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14295" windowHeight="12240" tabRatio="710" activeTab="2"/>
  </bookViews>
  <sheets>
    <sheet name="GENERALIDADES" sheetId="2" r:id="rId1"/>
    <sheet name="FIXTUR" sheetId="3" r:id="rId2"/>
    <sheet name="PROGRAMACION" sheetId="16" r:id="rId3"/>
    <sheet name="PUNTUACION" sheetId="19" r:id="rId4"/>
    <sheet name="VALLA" sheetId="6" r:id="rId5"/>
    <sheet name="GOLEADORES" sheetId="5" r:id="rId6"/>
    <sheet name="TARJETAS SUB 14" sheetId="18" r:id="rId7"/>
    <sheet name="RESULTADOS" sheetId="20" r:id="rId8"/>
    <sheet name="PONDERADOS" sheetId="15" r:id="rId9"/>
  </sheets>
  <definedNames>
    <definedName name="_xlnm.Print_Area" localSheetId="1">FIXTUR!$A$1:$I$47</definedName>
    <definedName name="_xlnm.Print_Area" localSheetId="0">GENERALIDADES!$A$1:$A$49</definedName>
    <definedName name="_xlnm.Print_Area" localSheetId="5">GOLEADORES!$A$1:$V$63</definedName>
    <definedName name="_xlnm.Print_Area" localSheetId="8">PONDERADOS!$A$1:$M$24</definedName>
    <definedName name="_xlnm.Print_Area" localSheetId="2">PROGRAMACION!$A$1:$M$92</definedName>
    <definedName name="_xlnm.Print_Area" localSheetId="4">VALLA!$A$1:$K$27</definedName>
  </definedNames>
  <calcPr calcId="125725"/>
</workbook>
</file>

<file path=xl/calcChain.xml><?xml version="1.0" encoding="utf-8"?>
<calcChain xmlns="http://schemas.openxmlformats.org/spreadsheetml/2006/main">
  <c r="E30" i="3"/>
  <c r="D13"/>
  <c r="D37" l="1"/>
  <c r="D30"/>
  <c r="E13" l="1"/>
  <c r="E6"/>
  <c r="D6"/>
  <c r="F23" i="15" l="1"/>
  <c r="J23" s="1"/>
  <c r="L23" s="1"/>
  <c r="F24"/>
  <c r="J24" s="1"/>
  <c r="L24" s="1"/>
  <c r="I10"/>
  <c r="F10"/>
  <c r="J10" s="1"/>
  <c r="L10" s="1"/>
  <c r="AO84" i="19"/>
  <c r="Z84" s="1"/>
  <c r="AM84"/>
  <c r="AL84"/>
  <c r="AO82"/>
  <c r="AM82"/>
  <c r="AL82"/>
  <c r="AN82" s="1"/>
  <c r="Z82"/>
  <c r="AO80"/>
  <c r="AM80"/>
  <c r="AL80"/>
  <c r="Z80"/>
  <c r="AO78"/>
  <c r="AM78"/>
  <c r="AL78"/>
  <c r="Z78"/>
  <c r="AO76"/>
  <c r="AM76"/>
  <c r="AL76"/>
  <c r="Z76"/>
  <c r="X67"/>
  <c r="V67"/>
  <c r="T67"/>
  <c r="R67"/>
  <c r="P67"/>
  <c r="AO63"/>
  <c r="Z63" s="1"/>
  <c r="AM63"/>
  <c r="AL63"/>
  <c r="AN63" s="1"/>
  <c r="AO61"/>
  <c r="Z61" s="1"/>
  <c r="AM61"/>
  <c r="AL61"/>
  <c r="AO59"/>
  <c r="Z59" s="1"/>
  <c r="AM59"/>
  <c r="AL59"/>
  <c r="AO57"/>
  <c r="Z57" s="1"/>
  <c r="AM57"/>
  <c r="AL57"/>
  <c r="AN57" s="1"/>
  <c r="AO55"/>
  <c r="Z55" s="1"/>
  <c r="AM55"/>
  <c r="AL55"/>
  <c r="X46"/>
  <c r="V46"/>
  <c r="T46"/>
  <c r="R46"/>
  <c r="P46"/>
  <c r="AO42"/>
  <c r="Z42" s="1"/>
  <c r="AM42"/>
  <c r="AL42"/>
  <c r="AO40"/>
  <c r="Z40" s="1"/>
  <c r="AM40"/>
  <c r="AL40"/>
  <c r="AN40" s="1"/>
  <c r="AO38"/>
  <c r="Z38" s="1"/>
  <c r="AM38"/>
  <c r="AL38"/>
  <c r="AO36"/>
  <c r="Z36" s="1"/>
  <c r="AM36"/>
  <c r="AL36"/>
  <c r="AO34"/>
  <c r="Z34" s="1"/>
  <c r="AM34"/>
  <c r="AL34"/>
  <c r="X25"/>
  <c r="V25"/>
  <c r="T25"/>
  <c r="R25"/>
  <c r="P25"/>
  <c r="AO21"/>
  <c r="Z21" s="1"/>
  <c r="AM21"/>
  <c r="AL21"/>
  <c r="X4"/>
  <c r="AO19"/>
  <c r="Z19" s="1"/>
  <c r="AM19"/>
  <c r="AL19"/>
  <c r="AO17"/>
  <c r="Z17"/>
  <c r="AM17"/>
  <c r="AL17"/>
  <c r="AN17" s="1"/>
  <c r="T4"/>
  <c r="AO15"/>
  <c r="Z15" s="1"/>
  <c r="AM15"/>
  <c r="AL15"/>
  <c r="AO13"/>
  <c r="Z13" s="1"/>
  <c r="AM13"/>
  <c r="AN13" s="1"/>
  <c r="AL13"/>
  <c r="P4"/>
  <c r="V4"/>
  <c r="R4"/>
  <c r="U36" i="5"/>
  <c r="V36"/>
  <c r="U37"/>
  <c r="V37" s="1"/>
  <c r="U38"/>
  <c r="V38" s="1"/>
  <c r="U39"/>
  <c r="V39" s="1"/>
  <c r="U40"/>
  <c r="V40" s="1"/>
  <c r="U41"/>
  <c r="V41" s="1"/>
  <c r="U42"/>
  <c r="V42"/>
  <c r="U43"/>
  <c r="V43" s="1"/>
  <c r="U44"/>
  <c r="V44" s="1"/>
  <c r="U45"/>
  <c r="V45" s="1"/>
  <c r="U46"/>
  <c r="V46" s="1"/>
  <c r="U47"/>
  <c r="V47" s="1"/>
  <c r="U48"/>
  <c r="V48" s="1"/>
  <c r="U49"/>
  <c r="V49" s="1"/>
  <c r="U50"/>
  <c r="V50" s="1"/>
  <c r="U51"/>
  <c r="V51" s="1"/>
  <c r="U52"/>
  <c r="V52" s="1"/>
  <c r="U53"/>
  <c r="V53" s="1"/>
  <c r="U54"/>
  <c r="V54" s="1"/>
  <c r="U55"/>
  <c r="V55" s="1"/>
  <c r="U56"/>
  <c r="V56" s="1"/>
  <c r="U57"/>
  <c r="V57" s="1"/>
  <c r="U58"/>
  <c r="V58" s="1"/>
  <c r="U59"/>
  <c r="V59" s="1"/>
  <c r="U60"/>
  <c r="V60" s="1"/>
  <c r="U61"/>
  <c r="V61" s="1"/>
  <c r="U62"/>
  <c r="V62" s="1"/>
  <c r="U63"/>
  <c r="V63" s="1"/>
  <c r="U35"/>
  <c r="U34"/>
  <c r="V34" s="1"/>
  <c r="U33"/>
  <c r="I9" i="6"/>
  <c r="K9" s="1"/>
  <c r="I10"/>
  <c r="K10" s="1"/>
  <c r="I11"/>
  <c r="K11"/>
  <c r="I12"/>
  <c r="K12" s="1"/>
  <c r="I13"/>
  <c r="K13" s="1"/>
  <c r="I14"/>
  <c r="K14" s="1"/>
  <c r="I15"/>
  <c r="K15" s="1"/>
  <c r="I20"/>
  <c r="K20" s="1"/>
  <c r="I21"/>
  <c r="K21" s="1"/>
  <c r="I22"/>
  <c r="K22" s="1"/>
  <c r="I24"/>
  <c r="K24" s="1"/>
  <c r="I25"/>
  <c r="K25" s="1"/>
  <c r="I26"/>
  <c r="K26" s="1"/>
  <c r="F6" i="15"/>
  <c r="J6" s="1"/>
  <c r="L6" s="1"/>
  <c r="F7"/>
  <c r="J7" s="1"/>
  <c r="L7" s="1"/>
  <c r="F8"/>
  <c r="F9"/>
  <c r="F11"/>
  <c r="J11" s="1"/>
  <c r="L11" s="1"/>
  <c r="U7" i="5"/>
  <c r="V7" s="1"/>
  <c r="U8"/>
  <c r="V8" s="1"/>
  <c r="U9"/>
  <c r="V9"/>
  <c r="U10"/>
  <c r="V10" s="1"/>
  <c r="U11"/>
  <c r="V11" s="1"/>
  <c r="U12"/>
  <c r="V12" s="1"/>
  <c r="U13"/>
  <c r="V13"/>
  <c r="U14"/>
  <c r="V14" s="1"/>
  <c r="U15"/>
  <c r="V15" s="1"/>
  <c r="U16"/>
  <c r="V16" s="1"/>
  <c r="U17"/>
  <c r="V17" s="1"/>
  <c r="U18"/>
  <c r="V18" s="1"/>
  <c r="U19"/>
  <c r="V19"/>
  <c r="U20"/>
  <c r="V20" s="1"/>
  <c r="U21"/>
  <c r="V21" s="1"/>
  <c r="U22"/>
  <c r="V22" s="1"/>
  <c r="U23"/>
  <c r="V23" s="1"/>
  <c r="U24"/>
  <c r="V24" s="1"/>
  <c r="U25"/>
  <c r="V25"/>
  <c r="U26"/>
  <c r="V26" s="1"/>
  <c r="U27"/>
  <c r="V27" s="1"/>
  <c r="U28"/>
  <c r="V28" s="1"/>
  <c r="V33"/>
  <c r="V35"/>
  <c r="F22" i="15"/>
  <c r="J22" s="1"/>
  <c r="L22" s="1"/>
  <c r="F20"/>
  <c r="J20" s="1"/>
  <c r="L20" s="1"/>
  <c r="F5"/>
  <c r="J5" s="1"/>
  <c r="L5" s="1"/>
  <c r="I5"/>
  <c r="I6"/>
  <c r="I7"/>
  <c r="I8"/>
  <c r="J8"/>
  <c r="L8" s="1"/>
  <c r="I9"/>
  <c r="J9"/>
  <c r="L9" s="1"/>
  <c r="I11"/>
  <c r="F15"/>
  <c r="J15" s="1"/>
  <c r="L15" s="1"/>
  <c r="F16"/>
  <c r="J16" s="1"/>
  <c r="F17"/>
  <c r="J17" s="1"/>
  <c r="L17" s="1"/>
  <c r="F18"/>
  <c r="J18" s="1"/>
  <c r="L18" s="1"/>
  <c r="F19"/>
  <c r="J19" s="1"/>
  <c r="L19" s="1"/>
  <c r="F21"/>
  <c r="J21"/>
  <c r="L21" s="1"/>
  <c r="U6" i="5"/>
  <c r="V6" s="1"/>
  <c r="L65"/>
  <c r="I8" i="6"/>
  <c r="K8" s="1"/>
  <c r="I6"/>
  <c r="K6" s="1"/>
  <c r="I7"/>
  <c r="K7" s="1"/>
  <c r="I16"/>
  <c r="K16"/>
  <c r="I23"/>
  <c r="K23" s="1"/>
  <c r="I27"/>
  <c r="K27" s="1"/>
  <c r="AN15" i="19"/>
  <c r="AN21"/>
  <c r="AN19"/>
  <c r="AN34" l="1"/>
  <c r="AN36"/>
  <c r="AN38"/>
  <c r="AN42"/>
  <c r="AN55"/>
  <c r="AN59"/>
  <c r="AN61"/>
  <c r="AN80"/>
  <c r="AN76"/>
  <c r="AN78"/>
  <c r="AN84"/>
</calcChain>
</file>

<file path=xl/sharedStrings.xml><?xml version="1.0" encoding="utf-8"?>
<sst xmlns="http://schemas.openxmlformats.org/spreadsheetml/2006/main" count="593" uniqueCount="368">
  <si>
    <t>CLUB</t>
  </si>
  <si>
    <t>PATIN SPORT</t>
  </si>
  <si>
    <t>INTERNACIONAL</t>
  </si>
  <si>
    <t>POND</t>
  </si>
  <si>
    <t>TOTAL</t>
  </si>
  <si>
    <t>PARTIDOS</t>
  </si>
  <si>
    <t>FECHAS</t>
  </si>
  <si>
    <t>DEPORTISTA</t>
  </si>
  <si>
    <t>TABLA DE GOLEADORES</t>
  </si>
  <si>
    <t>PONDERADO</t>
  </si>
  <si>
    <t>VALLA MENOS VENCIDA</t>
  </si>
  <si>
    <t>QUINTO PUESTO</t>
  </si>
  <si>
    <t>CUARTO PUESTO</t>
  </si>
  <si>
    <t>TERCER PUESTO</t>
  </si>
  <si>
    <t>SEGUNDO PUESTO</t>
  </si>
  <si>
    <t>PRIMER PUESTO</t>
  </si>
  <si>
    <t>GOLEADOR</t>
  </si>
  <si>
    <t>PUESTO</t>
  </si>
  <si>
    <t>TOTAL PUNTOS</t>
  </si>
  <si>
    <t>DIFERENCIA</t>
  </si>
  <si>
    <t>GOLES EN CONTRA</t>
  </si>
  <si>
    <t>GOLES A FAVOR</t>
  </si>
  <si>
    <t>PARTIDOS EMPATADOS</t>
  </si>
  <si>
    <t>PARTIDOS PERDIDOS</t>
  </si>
  <si>
    <t>PARTIDOS GANADOS</t>
  </si>
  <si>
    <t>RESULTADO PARTIDO 6</t>
  </si>
  <si>
    <t>RESULTADO PARTIDO 5</t>
  </si>
  <si>
    <t>RESULTADO PARTIDO 4</t>
  </si>
  <si>
    <t>RESULTADO PARTIDO 3</t>
  </si>
  <si>
    <t>RESULTADO PARTIDO 2</t>
  </si>
  <si>
    <t>RESULTADO PARTIDO 1</t>
  </si>
  <si>
    <t>PARTIDOS JUGADOS</t>
  </si>
  <si>
    <t>HURACANES</t>
  </si>
  <si>
    <t xml:space="preserve">INSCRIPCIONES </t>
  </si>
  <si>
    <t>GRUPO</t>
  </si>
  <si>
    <t>A</t>
  </si>
  <si>
    <t xml:space="preserve">GRUPO </t>
  </si>
  <si>
    <t>B</t>
  </si>
  <si>
    <t>TARJETA AZUL</t>
  </si>
  <si>
    <t>TARJETA ROJA</t>
  </si>
  <si>
    <t>PAR. JUGADOS</t>
  </si>
  <si>
    <t>PAR. GANADOS</t>
  </si>
  <si>
    <t>PAR. EMPATADOS</t>
  </si>
  <si>
    <t>PAR. PERDIDOS</t>
  </si>
  <si>
    <t>PUNTOS</t>
  </si>
  <si>
    <t>GOLES CONTRA</t>
  </si>
  <si>
    <t>GOL DIFERENCIA</t>
  </si>
  <si>
    <t>BONIFICACION</t>
  </si>
  <si>
    <t>EQUIPOS</t>
  </si>
  <si>
    <t>SUB 14</t>
  </si>
  <si>
    <t>HALCONES</t>
  </si>
  <si>
    <t>2.0</t>
  </si>
  <si>
    <t>4.0</t>
  </si>
  <si>
    <t>SUB 19</t>
  </si>
  <si>
    <t>SUB 14 VARONES</t>
  </si>
  <si>
    <t>SUB 19 VAR0NES</t>
  </si>
  <si>
    <t>X</t>
  </si>
  <si>
    <t>SUB 19 VARONES</t>
  </si>
  <si>
    <t xml:space="preserve">SUB 19     </t>
  </si>
  <si>
    <t>ESTADO</t>
  </si>
  <si>
    <t>RESULTADOS RONDA CLASIFICATORIA</t>
  </si>
  <si>
    <t>PUNTOS PONDERADOS</t>
  </si>
  <si>
    <t>SUB 19 VARONES GRUPO A</t>
  </si>
  <si>
    <t>6ª PARADA NACIONAL INTERCLUBES-ABIERTA VARONES</t>
  </si>
  <si>
    <t>SUB 19 VARONES GRUPO B</t>
  </si>
  <si>
    <t>SUB 14 MIXTO GRUPO A</t>
  </si>
  <si>
    <t>SUB 14 MIXTO GRUPO B</t>
  </si>
  <si>
    <t>TABLA DE POSICIONES FINAL</t>
  </si>
  <si>
    <t>SEPTIMO PUESTO</t>
  </si>
  <si>
    <t>OCTAVO PUESTO</t>
  </si>
  <si>
    <t>DECIMO PUESTO</t>
  </si>
  <si>
    <t>SUB 14 MIXTO</t>
  </si>
  <si>
    <t>SEXTO PUESTO</t>
  </si>
  <si>
    <t>NOVENO PUESTO</t>
  </si>
  <si>
    <t xml:space="preserve"> PONDERADO CATEGORIA SUB 14 MIXTO - 6a PARADA MEDELLIN</t>
  </si>
  <si>
    <t xml:space="preserve"> PONDERADO CATEGORIA SUB 19 VARONES - 6a PARADA - MEDELLIN</t>
  </si>
  <si>
    <t xml:space="preserve">JORNADA (INICIAL DEL DIA O POSTERIOR A UN RECESO) SE  INICIARÁN PUNTUALMENTE  A LA HORA SEÑALADA, TODOS LOS DEMAS </t>
  </si>
  <si>
    <t xml:space="preserve">PODRAN TENER UN ADELANTO DE HASTA MEDIA HORA, DE  NO ESTAR  LOS EQUIPOS EN LA CANCHA SE PROCEDERÁ A  PITAR W.O.  EN </t>
  </si>
  <si>
    <t xml:space="preserve">CONTRA  DEL EQUIPO  QUE NO  SE ENCUENTRE LISTO. </t>
  </si>
  <si>
    <t>INICIA</t>
  </si>
  <si>
    <t>FINALIZA</t>
  </si>
  <si>
    <t>Part</t>
  </si>
  <si>
    <t>ACREDITACIONES</t>
  </si>
  <si>
    <t>REAL HC</t>
  </si>
  <si>
    <t>RECESO</t>
  </si>
  <si>
    <t xml:space="preserve">PARA EFECTOS DE PROGRAMACIÓN, EN EL ESCENARIO SE DISPONDRÁ DE UN RELOJ CON LA HORA OFICIAL. EL PARTIDO INCIAL DE CADA </t>
  </si>
  <si>
    <t>MIMBRE</t>
  </si>
  <si>
    <t>PREMIACION</t>
  </si>
  <si>
    <t>MANIZALEZ</t>
  </si>
  <si>
    <t>RACING</t>
  </si>
  <si>
    <t>MANIZALES HC</t>
  </si>
  <si>
    <t>DOMINGO</t>
  </si>
  <si>
    <t>REUNION INF. AUDITORIO LIGA VALLECAUCANA DE PATINAJE</t>
  </si>
  <si>
    <t>MARZO 8 AL 10 DE 2013.</t>
  </si>
  <si>
    <t xml:space="preserve">VIERNES 8 DE MARZO CANCHA CENTRAL </t>
  </si>
  <si>
    <t xml:space="preserve">VIERNES 8 DE MARZO CANCHA NUEVA </t>
  </si>
  <si>
    <t>RISARALDA</t>
  </si>
  <si>
    <t xml:space="preserve">SABADO 9 DE MARZO CANCHA NUEVA </t>
  </si>
  <si>
    <t>AB V GA 2</t>
  </si>
  <si>
    <t>INFANTIL SUB 14  2 TIEMPOS DE 12 MINUTOS</t>
  </si>
  <si>
    <t>AB V GC 1</t>
  </si>
  <si>
    <t>AB V GD 1</t>
  </si>
  <si>
    <t>AB V GB 2</t>
  </si>
  <si>
    <t>AB V GC 2</t>
  </si>
  <si>
    <t>AB V GD 2</t>
  </si>
  <si>
    <t>AB V GA 3</t>
  </si>
  <si>
    <t>AB V GB 3</t>
  </si>
  <si>
    <t>AB V GC 3</t>
  </si>
  <si>
    <t>AB V GD 3</t>
  </si>
  <si>
    <t>AB V GA 1</t>
  </si>
  <si>
    <t>AB V GB 1</t>
  </si>
  <si>
    <t>INF.MX GA1</t>
  </si>
  <si>
    <t>INF.MX GA2</t>
  </si>
  <si>
    <t>INF.MX GA3</t>
  </si>
  <si>
    <t>INTER AZUL/A</t>
  </si>
  <si>
    <t>INTER NEGRO/B</t>
  </si>
  <si>
    <t>BUFALOS/A</t>
  </si>
  <si>
    <t>D´RAPEG/A</t>
  </si>
  <si>
    <t>CORAZONISTA ATLANTICO</t>
  </si>
  <si>
    <t>FMC ROLLING</t>
  </si>
  <si>
    <t>PATIN SPORT DRIF</t>
  </si>
  <si>
    <t>COR B ANTIOQUIA</t>
  </si>
  <si>
    <t>D´RAPEG B</t>
  </si>
  <si>
    <t>BUFALOS B</t>
  </si>
  <si>
    <t>REAL H.C.</t>
  </si>
  <si>
    <t xml:space="preserve">PATIN SPORT AGUA </t>
  </si>
  <si>
    <t>CORAZONISTA A ANTIOQUIA</t>
  </si>
  <si>
    <t>PATIN SPORT - ANTIOQUIA</t>
  </si>
  <si>
    <t>MIMBRE - QUINDIO</t>
  </si>
  <si>
    <t>MANIZALES - CALDAS</t>
  </si>
  <si>
    <t>INTER AZUL - BOGOTA</t>
  </si>
  <si>
    <t>INTER NEGRO - BOGOTA</t>
  </si>
  <si>
    <t>HURACANES - VALLE</t>
  </si>
  <si>
    <t>BUFALOS - CUNDINAMARCA</t>
  </si>
  <si>
    <t>CORAZONISTA - ANTIOQUIA</t>
  </si>
  <si>
    <t>D'RAPEG - TOLIMA</t>
  </si>
  <si>
    <t>HALCONES - ANTIOQUIA</t>
  </si>
  <si>
    <t>REAL HC - ANTIOQUIA</t>
  </si>
  <si>
    <t>CORAZONISTA - ATLANTICO</t>
  </si>
  <si>
    <t>SUPER PATIN - SANTANDER</t>
  </si>
  <si>
    <t>HURACANES B - VALLE</t>
  </si>
  <si>
    <t>HURACANES A - VALLE</t>
  </si>
  <si>
    <t>RISARALDA - RISARALDA</t>
  </si>
  <si>
    <t>SABANETA - META</t>
  </si>
  <si>
    <t>SIETE RIOS - VALLE</t>
  </si>
  <si>
    <t>GRUPO A</t>
  </si>
  <si>
    <t>GRUPO B</t>
  </si>
  <si>
    <t>GRUPO C</t>
  </si>
  <si>
    <t>GRUPO D</t>
  </si>
  <si>
    <t>RANKING 2012 ABIERTA VARONES</t>
  </si>
  <si>
    <t>ABIERTA VARONES</t>
  </si>
  <si>
    <t>INFANTIL MIXTO</t>
  </si>
  <si>
    <t>POSICIONES RANKING 2012 INFANTIL MIXTO</t>
  </si>
  <si>
    <t>FCM ROLLING (3)</t>
  </si>
  <si>
    <t>PATIN SPORT (3)</t>
  </si>
  <si>
    <t>CORAZ.BOGOTA (2)</t>
  </si>
  <si>
    <t>BENGALA (3)</t>
  </si>
  <si>
    <t>HURACANES (1)</t>
  </si>
  <si>
    <t>CORAZONISTA ANT. A (2)</t>
  </si>
  <si>
    <t>INTERNACIONAL (2)</t>
  </si>
  <si>
    <t>REAL HC (1)</t>
  </si>
  <si>
    <t>MANIZALES.H.C (1)</t>
  </si>
  <si>
    <t>BARCELONA (1)</t>
  </si>
  <si>
    <t>CORAZ. AZUL BOG (1)</t>
  </si>
  <si>
    <t>MIMBRE (1)</t>
  </si>
  <si>
    <t>GACELAS (1)</t>
  </si>
  <si>
    <t>MANYANET (1)</t>
  </si>
  <si>
    <t>CORAZONISTA ANT. B (1)</t>
  </si>
  <si>
    <t>INTERNACIONAL NEGRO (1)</t>
  </si>
  <si>
    <t>2a PARADA CALI 2013</t>
  </si>
  <si>
    <t>INSCRIPCIONES</t>
  </si>
  <si>
    <t>INF.MX GB1</t>
  </si>
  <si>
    <t>INF.MX GC1</t>
  </si>
  <si>
    <t>INF.MX GB2</t>
  </si>
  <si>
    <t>INF.MX GC2</t>
  </si>
  <si>
    <t>SABADO 9 DE MARZO CANCHA CENTRAL</t>
  </si>
  <si>
    <t>CORAZONISTA - BOGOTA</t>
  </si>
  <si>
    <t>BARCELONA A - VALLE</t>
  </si>
  <si>
    <t>BARCELONA B - VALLE</t>
  </si>
  <si>
    <t>SABANETA - ANTIOQUIA</t>
  </si>
  <si>
    <t>M/ZALES RECARGADO - CALDAS</t>
  </si>
  <si>
    <t xml:space="preserve">  </t>
  </si>
  <si>
    <t>BENGALA - VALLE</t>
  </si>
  <si>
    <t>INF.MX GB3</t>
  </si>
  <si>
    <t>INF.MX GC3</t>
  </si>
  <si>
    <t>2A PARADA NAL INTERCLUBES. ABIERTA VARONES E INFANTIL MIXTO - CALI</t>
  </si>
  <si>
    <t>NINGUNO DE LOS DOS EQUIPOS.</t>
  </si>
  <si>
    <t>* EQUIPO QUE MENOS PARTIDOS PIERDA</t>
  </si>
  <si>
    <t>* EN CASO DE EMPATE EN ESTA CIFRA, MAYOR GOL DIFERENCIA (OBTENIDO DENTRO DE SU GRUPO)</t>
  </si>
  <si>
    <t>* SI PERSISTE EL EMPATE, MEJOR COSCIENTE DE LA DIVISION DE LOS GOLES MARCADOS, SOBRE LOS GOLES SUFRIDOS</t>
  </si>
  <si>
    <t>* SI PERSISTE EL EMPATE, SORTEO ENTRE LOS EQUIPOS EMPATADOS REALIZADO POR LOS COMISIONADOS DEL CAMPEONATO</t>
  </si>
  <si>
    <t>SER LO MAS JUSTOS EN EL PROCESO DE SIEMBRA DE EQUIPOS. DE IGUAL MANERA, AUNQUE LA CATEGORIA TIENE CAMBIOS EN EDADES,</t>
  </si>
  <si>
    <t>LA INFANTIL MIXTO HARÁ SIEMBRA CON BASE AL RANKING DE SUB14 2012.</t>
  </si>
  <si>
    <t>SOBRE EL QUE VA PERDIENDO SEA DE DOCE GOLES. A PARTIR DE ESTE MOMENTO NO SERÁ CONTABILIZADO NINGÚN GOL EN</t>
  </si>
  <si>
    <t xml:space="preserve">REGLAMENTARIO, PERO EL MARCADOR DEL PARTIDO SE CERRARÁ EN EL MOMENTO QUE LA DIFERENCIA ENTRE EL QUE VA GANANDO </t>
  </si>
  <si>
    <t xml:space="preserve"> INSTANCIAS:</t>
  </si>
  <si>
    <t>* SI PERSISTE EL EMPATE, MAYOR CANTIDAD DE GOLES PROMEDIO POR PARTIDO MARCADOS (OBTENIDOS DENTRO DE SU GRUPO)</t>
  </si>
  <si>
    <t>* SI PERSISTE EL EMPATE, MENOR CANTIDAD DE GOLES PROMEDIO POR PARTIDO RECIBIDOS (OBTENIDOS DENTRO DE SU GRUPO)</t>
  </si>
  <si>
    <t xml:space="preserve">DESDE EL PUNTO PENAL EN TODAS LAS INSTANCIAS, CON EXCEPECION DE LAS FINALES POR BRONCE Y ORO, DONDE SE HARÁ UNA </t>
  </si>
  <si>
    <t xml:space="preserve">PRORROGA DE EXTRA TEIMPO CON NORMA DE "GOL DE ORO", SI FNALIZADA LA PRORROGA EL EMPATE PERSISTE, SE RESOLVERA POR </t>
  </si>
  <si>
    <t>COBROS DESDE EL PUNTO PENAL.</t>
  </si>
  <si>
    <t xml:space="preserve">6)EN NINGUN CASO SE PERMITITIRA EMPATE INCLUIDAS RONDA CLASIFICATORIA Y FINALES. TODO EMPATE SERÁ RESULETO POR COBROS </t>
  </si>
  <si>
    <t>7) TODOS LOS PARTIDOS SE JUGARÁN CON TIEMPO DETENIDO DE LA SIGUIENTE MANERA</t>
  </si>
  <si>
    <t>8) LOS  EQUIPOS DEBERÁN ESTAR LISTOS PARA SUS RESPECTIVOS  PARTIDOS CON SUFICIENTE ANTERIORIDAD (30 MINUTOS).</t>
  </si>
  <si>
    <t xml:space="preserve">1) TENIENDO EN CUENTA EL PROCESO DE JUEGOS NACIONALES 2015 Y LOS CAMBIOS QUE SE REALIZARON EN ALGUNOS EQUIPOS Y </t>
  </si>
  <si>
    <t xml:space="preserve">CLUBES PARA FACILITAR ESTE PROCESO, LA SIEMBRA SE HARÁ CON BASE A LOS EQUIPOS Y/O CLUBES DE ORIGEN 2012 PARA PODER </t>
  </si>
  <si>
    <t>DOMINGO 10 DE MARZO, CANCHA CENTRAL</t>
  </si>
  <si>
    <t>DOMINGO 10 DE MARZO, CANCHA NUEVA</t>
  </si>
  <si>
    <t>AB V GE 1</t>
  </si>
  <si>
    <t>AB V GF 1</t>
  </si>
  <si>
    <t>INAUGURACIÓN</t>
  </si>
  <si>
    <t>INF.MX GD1</t>
  </si>
  <si>
    <t>INF.MX GD2</t>
  </si>
  <si>
    <t>AB V GE 2</t>
  </si>
  <si>
    <t>AB V GF 2</t>
  </si>
  <si>
    <t>AB V GE 3</t>
  </si>
  <si>
    <t>AB V GF 3</t>
  </si>
  <si>
    <t>AB V 15°-18°</t>
  </si>
  <si>
    <t>AB V 9°-14°</t>
  </si>
  <si>
    <t>AB V 1°-8°</t>
  </si>
  <si>
    <t>INF.MX GD3</t>
  </si>
  <si>
    <t>AB V 5°-8°</t>
  </si>
  <si>
    <t>INF.MX 5°-8°</t>
  </si>
  <si>
    <t>INF.MX 1°-4°</t>
  </si>
  <si>
    <t>INF.MX 9°-12°</t>
  </si>
  <si>
    <t>9:50:00 p.m</t>
  </si>
  <si>
    <t>INF MIX11°-12°</t>
  </si>
  <si>
    <t>INF MIX 9°-10°</t>
  </si>
  <si>
    <t>INF MIX 7°-8°</t>
  </si>
  <si>
    <t>INF MIX 5°-6°</t>
  </si>
  <si>
    <t>AB V 13°-14°</t>
  </si>
  <si>
    <t>AB V 11°-12°</t>
  </si>
  <si>
    <t>AB V 9°-10°</t>
  </si>
  <si>
    <t>AB V 7°-8°</t>
  </si>
  <si>
    <t>AB V 5°-6°</t>
  </si>
  <si>
    <t>AB V 3°-4°</t>
  </si>
  <si>
    <t>AB V 1°-2°</t>
  </si>
  <si>
    <t>INF MIX 3°-4°</t>
  </si>
  <si>
    <t>INF MIX 1°-2°</t>
  </si>
  <si>
    <t>14:00:00 a.m.</t>
  </si>
  <si>
    <t>15:00:00 p.m.</t>
  </si>
  <si>
    <t>16:00:00 p.m.</t>
  </si>
  <si>
    <t>17:00:00 p.m.</t>
  </si>
  <si>
    <t>18:00:00 p.m.</t>
  </si>
  <si>
    <t>19:00:00 p.m.</t>
  </si>
  <si>
    <t>20:00:00 p.m.</t>
  </si>
  <si>
    <t>21:00:00 p.m.</t>
  </si>
  <si>
    <t>22:00:00 p.m.</t>
  </si>
  <si>
    <t>23:00:00 p.m.</t>
  </si>
  <si>
    <t>SUPER PATIN SANTANDER</t>
  </si>
  <si>
    <t>MANIZALES</t>
  </si>
  <si>
    <t>CORAZONISTA ANTIOQUIA</t>
  </si>
  <si>
    <t>17°</t>
  </si>
  <si>
    <t>18°</t>
  </si>
  <si>
    <t>15°</t>
  </si>
  <si>
    <t>16°</t>
  </si>
  <si>
    <t>1° GRUPO G</t>
  </si>
  <si>
    <t>1° GRUPO H</t>
  </si>
  <si>
    <t>3° GRUPO G</t>
  </si>
  <si>
    <t>3° GRUPO H</t>
  </si>
  <si>
    <t>2° GRUPO G</t>
  </si>
  <si>
    <t>2° GRUPO H</t>
  </si>
  <si>
    <t>11° (GRUPO G)</t>
  </si>
  <si>
    <t>13° (GRUPO G)</t>
  </si>
  <si>
    <t>9° (GRUPO G)</t>
  </si>
  <si>
    <t>10° (GRUPO H)</t>
  </si>
  <si>
    <t>12°(GRUPO H)</t>
  </si>
  <si>
    <t>14°(GRUPO H)</t>
  </si>
  <si>
    <t>10°(GRUPO H)</t>
  </si>
  <si>
    <t>1° GRUPO A</t>
  </si>
  <si>
    <t>1° GRUPO E</t>
  </si>
  <si>
    <t>1° GRUPO B</t>
  </si>
  <si>
    <t>1° GRUPO F</t>
  </si>
  <si>
    <t>1° GRUPO C</t>
  </si>
  <si>
    <t>MEJOR 2°</t>
  </si>
  <si>
    <t>1° GRUPO D</t>
  </si>
  <si>
    <t>2° MEJOR 2°</t>
  </si>
  <si>
    <t>PERDEDOR 44</t>
  </si>
  <si>
    <t>PERDEDOR 45</t>
  </si>
  <si>
    <t>PERDEDOR 31</t>
  </si>
  <si>
    <t>PERDEDOR 32</t>
  </si>
  <si>
    <t>GANADOR 44</t>
  </si>
  <si>
    <t>GANADOR 31</t>
  </si>
  <si>
    <t>GANADOR 45</t>
  </si>
  <si>
    <t>GANADOR 32</t>
  </si>
  <si>
    <t>PERDEDOR 35</t>
  </si>
  <si>
    <t>PERDEDOR 36</t>
  </si>
  <si>
    <t>GANADOR 35</t>
  </si>
  <si>
    <t>GANADOR 36</t>
  </si>
  <si>
    <t>PERDEDOR 63</t>
  </si>
  <si>
    <t>PERDEDOR 64</t>
  </si>
  <si>
    <t>GANADOR 63</t>
  </si>
  <si>
    <t>GANADOR 64</t>
  </si>
  <si>
    <t>PERDEDOR 28</t>
  </si>
  <si>
    <t>PERDEDOR 29</t>
  </si>
  <si>
    <t>GANADOR 28</t>
  </si>
  <si>
    <t>GANADOR 29</t>
  </si>
  <si>
    <t>INF.MX GD4</t>
  </si>
  <si>
    <t>INF.MX GD5</t>
  </si>
  <si>
    <t>INF.MX GD6</t>
  </si>
  <si>
    <t>CORAZONISTA BOGOTÁ</t>
  </si>
  <si>
    <t>CORAZONISTA ATLÁNTICO</t>
  </si>
  <si>
    <t>2° GRUPO A</t>
  </si>
  <si>
    <t>2° GRUPO C</t>
  </si>
  <si>
    <t>2° GRUPO B</t>
  </si>
  <si>
    <t>2° GRUPO D</t>
  </si>
  <si>
    <t>1°GRUPO A</t>
  </si>
  <si>
    <t>3° GRUPO A</t>
  </si>
  <si>
    <t>3° GRUPO C</t>
  </si>
  <si>
    <t>3° GRUPO D</t>
  </si>
  <si>
    <t>3° GRUPO B</t>
  </si>
  <si>
    <t>PERDEDOR 51</t>
  </si>
  <si>
    <t>PERDEDOR 52</t>
  </si>
  <si>
    <t>GANADOR 51</t>
  </si>
  <si>
    <t>GANADOR 52</t>
  </si>
  <si>
    <t>PERDEDOR 47</t>
  </si>
  <si>
    <t>PERDEDOR 48</t>
  </si>
  <si>
    <t>GANADOR 47</t>
  </si>
  <si>
    <t>GANADOR 48</t>
  </si>
  <si>
    <t>PERDEDOR 49</t>
  </si>
  <si>
    <t>PERDEDOR 50</t>
  </si>
  <si>
    <t>GANADOR 50</t>
  </si>
  <si>
    <t>GANADOR 49</t>
  </si>
  <si>
    <t>MANIZALEZ RECARGADO</t>
  </si>
  <si>
    <t>INF.MX rep.</t>
  </si>
  <si>
    <t xml:space="preserve">2) EN LA CATEGORÍA MAYORES VARONES CON 18 EQUIPOS EN SEIS GRUPOS, SE JUGARA  A UNA VUELTA, LUEGO EN SEGUNDA FASE SE </t>
  </si>
  <si>
    <t xml:space="preserve">CONFORMAN TRES GRUPOS 1er GRUPO  1o al 8o LOS SEIS PRIMEROS Y LOS DOS MEJORES SEGUNDOS.  SE ENFRENTAN EN ELIMINATORIAS </t>
  </si>
  <si>
    <t xml:space="preserve">DIRECTAS DE CUARTOS, SEMIS  Y FINAL.  2o GRUPO  9o al 14o LOS CUATRO SEGUNDOS RESTANTES Y LOS DOS MEJORES TERCEROS, SE </t>
  </si>
  <si>
    <t>DIVIDEN EN DOS GRUPOS EL G Y EL H ASI: G : 9o 11o y 13o y el H: 10o 12o y 14o SE JUEGAN DOS TRIANGULARES Y LUEGA SE CRUZAN PRIMEROS</t>
  </si>
  <si>
    <t>SEGUNDOS Y TERCEROS. 3er GRUPO LOS CUATRO ULTIMOS TERCEROS 15o 16o 17o y 18o JUEGAN SEMIFINAL Y FINAL  15 vs  18  y 16 vs 17</t>
  </si>
  <si>
    <t>SE ENFRENTAN PERDEDORES Y GANADORES. DE ESTA FORMA LOS PRIMEROS CATORCE CLASIFICADOS DISPUTARAN 5 PARTIDOS Y DEL</t>
  </si>
  <si>
    <t>15 AL 18  4 PARTIDOS DURANTE EL TORNEO.</t>
  </si>
  <si>
    <t>3) EN LA GATEGORIA INFANTIL MIXTO CON 13 EQUIPOS SE JUGARA EN TRES GRUPOS DE 3 EQUIPOS Y UN GRUPO DE CUATRO TRAS JUGAR</t>
  </si>
  <si>
    <t>LA FASE INICIAL SE JUEGA UN PARTIDO DE REPESCA ENTRE EL 4o DEL GRUPO D Y EL ULTIMO TERCERO. ESTE PARTIDO ARROJA EL 13o.</t>
  </si>
  <si>
    <t>A PARTIR DE AHÍ JUEGAN LOS CUATRO PRIMEROS POR LOS 4 PRIMERO LUGARES SEMIS Y FINALES. LOS CUATRO SEGUNDOS POR LOS</t>
  </si>
  <si>
    <t>PUESTOS DEL 5o al 8o SEMIS Y FINALES Y LOS CUATRO TERCEROS O EL REPESCADO ´POR LAS POSICIONES 9o AL 12o TODOS LOS EQUIPOS</t>
  </si>
  <si>
    <t>JUEGAN 4 o 5 PARTIDOS PUEDE DARSE EL CASO QUE EL DE LA REPESCA JUEGUE SOLO 3</t>
  </si>
  <si>
    <t>4) EN LA CATEGORIA INFANTIL MIXTO SE APLICARA NOCAUT TÉCNICO, EN DONDE EL PARTIDO SE LLEVARÁ HASTA EL FINAL DEL TIEMPO</t>
  </si>
  <si>
    <t>ABIERTA VARONES: 2 TIEMPOS DE 18 MINUTOS (LA FINAL DE ABIERTA VAROONES SERÁ A 20 MINUTOS TIEMPO DETENIDO)</t>
  </si>
  <si>
    <t>REAL HC. ANTIOQUIA</t>
  </si>
  <si>
    <t>MANIZALES RECARGADO-CALDAS</t>
  </si>
  <si>
    <t>SUPER PATIN-SANTANDER</t>
  </si>
  <si>
    <t>DRAPEG - TOLIMA</t>
  </si>
  <si>
    <t>GRUPO E</t>
  </si>
  <si>
    <t>GRUPO F</t>
  </si>
  <si>
    <t>SIETE RIOS -VALLE</t>
  </si>
  <si>
    <t>MANIZALES HC- CALDAS</t>
  </si>
  <si>
    <t>BARCELONA B- VALLE</t>
  </si>
  <si>
    <t>REAL HC -ANTIOQUIA</t>
  </si>
  <si>
    <t xml:space="preserve"> </t>
  </si>
  <si>
    <t>5)  EN LA CATEGORIA INFANTIL MIXTO EL MEJOR CLASIFICADO , SERA DETERMINADO EN ESTRICTO ORDEN SEGÚN LAS SIGUIENTES</t>
  </si>
  <si>
    <t>MIMBRE QUINDIO</t>
  </si>
  <si>
    <t>D'RAPEG TOLIMA</t>
  </si>
  <si>
    <t>HURACANES B. VALLE</t>
  </si>
  <si>
    <t>HALCONES- ANTIOQUIA</t>
  </si>
  <si>
    <t>INTER NEGRO .BOGOTA</t>
  </si>
  <si>
    <t>SABANETA META</t>
  </si>
  <si>
    <t>HURACANES "A" VALLE</t>
  </si>
  <si>
    <t>SIETE RIOS-VALLE</t>
  </si>
  <si>
    <t>HURACANES B . VALLE</t>
  </si>
  <si>
    <t>INTER AZUL. BOGOTA</t>
  </si>
  <si>
    <t>BARCELONA "B" - VALLE</t>
  </si>
  <si>
    <t>INTER NEGRO -BOGOTA</t>
  </si>
  <si>
    <t>BARCELONA "A" - VALLE</t>
  </si>
  <si>
    <t>PATIN SPORT -ANTIOQUIA</t>
  </si>
  <si>
    <t>PATIN SPORT ANTIOQUIA</t>
  </si>
  <si>
    <t>HURACANES "A" - VALLE</t>
  </si>
  <si>
    <t>BARCELONA "A" -VALLE</t>
  </si>
</sst>
</file>

<file path=xl/styles.xml><?xml version="1.0" encoding="utf-8"?>
<styleSheet xmlns="http://schemas.openxmlformats.org/spreadsheetml/2006/main">
  <numFmts count="2">
    <numFmt numFmtId="164" formatCode="[$-240A]h:mm:ss\ \a\.m\./\p\.m\.;@"/>
    <numFmt numFmtId="165" formatCode="[$-240A]h:mm:ss\ AM/PM;@"/>
  </numFmts>
  <fonts count="7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8"/>
      <name val="Calibri"/>
      <family val="2"/>
    </font>
    <font>
      <b/>
      <u/>
      <sz val="10"/>
      <name val="Arial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10"/>
      <name val="Arial"/>
      <family val="2"/>
    </font>
    <font>
      <sz val="10"/>
      <color indexed="8"/>
      <name val="Arial Narrow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9"/>
      <name val="Times New Roman"/>
      <family val="1"/>
    </font>
    <font>
      <b/>
      <sz val="11"/>
      <color indexed="56"/>
      <name val="Times New Roman"/>
      <family val="1"/>
    </font>
    <font>
      <b/>
      <sz val="22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rgb="FFFFC000"/>
      <name val="Arial"/>
      <family val="2"/>
    </font>
    <font>
      <b/>
      <sz val="16"/>
      <color rgb="FFFF0000"/>
      <name val="Arial"/>
      <family val="2"/>
    </font>
    <font>
      <b/>
      <sz val="14"/>
      <color theme="8" tint="-0.249977111117893"/>
      <name val="Arial"/>
      <family val="2"/>
    </font>
    <font>
      <b/>
      <sz val="14"/>
      <color rgb="FFC00000"/>
      <name val="Arial"/>
      <family val="2"/>
    </font>
    <font>
      <b/>
      <sz val="14"/>
      <color rgb="FF7030A0"/>
      <name val="Arial"/>
      <family val="2"/>
    </font>
    <font>
      <b/>
      <sz val="16"/>
      <color rgb="FF00B050"/>
      <name val="Arial"/>
      <family val="2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2"/>
      <color theme="9" tint="-0.249977111117893"/>
      <name val="Arial"/>
      <family val="2"/>
    </font>
    <font>
      <b/>
      <sz val="10"/>
      <color theme="0"/>
      <name val="Arial Narrow"/>
      <family val="2"/>
    </font>
    <font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2"/>
      <color rgb="FFFF0000"/>
      <name val="Calibri"/>
      <family val="2"/>
      <scheme val="minor"/>
    </font>
    <font>
      <b/>
      <sz val="16"/>
      <color theme="3"/>
      <name val="Arial"/>
      <family val="2"/>
    </font>
    <font>
      <b/>
      <sz val="14"/>
      <color rgb="FF10FC1B"/>
      <name val="Arial"/>
      <family val="2"/>
    </font>
    <font>
      <b/>
      <sz val="14"/>
      <color rgb="FFFFFF00"/>
      <name val="Arial"/>
      <family val="2"/>
    </font>
    <font>
      <b/>
      <sz val="18"/>
      <color rgb="FF00B0F0"/>
      <name val="Arial Narrow"/>
      <family val="2"/>
    </font>
    <font>
      <b/>
      <sz val="10"/>
      <color rgb="FFFF0000"/>
      <name val="Arial Narrow"/>
      <family val="2"/>
    </font>
    <font>
      <b/>
      <sz val="9"/>
      <color rgb="FFFF0000"/>
      <name val="Arial Narrow"/>
      <family val="2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sz val="14"/>
      <name val="Calibri"/>
      <family val="2"/>
      <scheme val="minor"/>
    </font>
    <font>
      <b/>
      <sz val="14"/>
      <color theme="0"/>
      <name val="Times New Roman"/>
      <family val="1"/>
    </font>
    <font>
      <sz val="11"/>
      <name val="Calibri"/>
      <family val="2"/>
      <scheme val="minor"/>
    </font>
    <font>
      <b/>
      <sz val="12"/>
      <color rgb="FF002060"/>
      <name val="Times New Roman"/>
      <family val="1"/>
    </font>
    <font>
      <sz val="11"/>
      <color rgb="FF002060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 Narrow"/>
      <family val="2"/>
    </font>
    <font>
      <sz val="11"/>
      <color theme="1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EE8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4">
    <xf numFmtId="0" fontId="0" fillId="0" borderId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6" fillId="26" borderId="40" applyNumberFormat="0" applyAlignment="0" applyProtection="0"/>
    <xf numFmtId="0" fontId="27" fillId="27" borderId="41" applyNumberFormat="0" applyAlignment="0" applyProtection="0"/>
    <xf numFmtId="0" fontId="28" fillId="0" borderId="42" applyNumberFormat="0" applyFill="0" applyAlignment="0" applyProtection="0"/>
    <xf numFmtId="0" fontId="29" fillId="0" borderId="0" applyNumberFormat="0" applyFill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30" fillId="34" borderId="40" applyNumberFormat="0" applyAlignment="0" applyProtection="0"/>
    <xf numFmtId="0" fontId="31" fillId="35" borderId="0" applyNumberFormat="0" applyBorder="0" applyAlignment="0" applyProtection="0"/>
    <xf numFmtId="0" fontId="32" fillId="36" borderId="0" applyNumberFormat="0" applyBorder="0" applyAlignment="0" applyProtection="0"/>
    <xf numFmtId="0" fontId="2" fillId="0" borderId="0"/>
    <xf numFmtId="0" fontId="2" fillId="0" borderId="0"/>
    <xf numFmtId="0" fontId="23" fillId="37" borderId="43" applyNumberFormat="0" applyFont="0" applyAlignment="0" applyProtection="0"/>
    <xf numFmtId="0" fontId="33" fillId="26" borderId="44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45" applyNumberFormat="0" applyFill="0" applyAlignment="0" applyProtection="0"/>
    <xf numFmtId="0" fontId="38" fillId="0" borderId="46" applyNumberFormat="0" applyFill="0" applyAlignment="0" applyProtection="0"/>
    <xf numFmtId="0" fontId="29" fillId="0" borderId="47" applyNumberFormat="0" applyFill="0" applyAlignment="0" applyProtection="0"/>
    <xf numFmtId="0" fontId="39" fillId="0" borderId="48" applyNumberFormat="0" applyFill="0" applyAlignment="0" applyProtection="0"/>
  </cellStyleXfs>
  <cellXfs count="423">
    <xf numFmtId="0" fontId="0" fillId="0" borderId="0" xfId="0"/>
    <xf numFmtId="0" fontId="0" fillId="0" borderId="0" xfId="0"/>
    <xf numFmtId="0" fontId="0" fillId="0" borderId="1" xfId="0" applyBorder="1"/>
    <xf numFmtId="0" fontId="0" fillId="38" borderId="1" xfId="0" applyFill="1" applyBorder="1"/>
    <xf numFmtId="0" fontId="0" fillId="39" borderId="1" xfId="0" applyFill="1" applyBorder="1"/>
    <xf numFmtId="0" fontId="0" fillId="39" borderId="0" xfId="0" applyFill="1"/>
    <xf numFmtId="0" fontId="0" fillId="40" borderId="0" xfId="0" applyFill="1"/>
    <xf numFmtId="0" fontId="34" fillId="0" borderId="1" xfId="0" applyFont="1" applyBorder="1"/>
    <xf numFmtId="0" fontId="40" fillId="0" borderId="0" xfId="0" applyFont="1"/>
    <xf numFmtId="0" fontId="2" fillId="0" borderId="0" xfId="33"/>
    <xf numFmtId="0" fontId="2" fillId="0" borderId="0" xfId="33" applyAlignment="1">
      <alignment horizontal="center"/>
    </xf>
    <xf numFmtId="0" fontId="2" fillId="41" borderId="2" xfId="33" applyFont="1" applyFill="1" applyBorder="1" applyAlignment="1">
      <alignment horizontal="left" vertical="center"/>
    </xf>
    <xf numFmtId="0" fontId="2" fillId="41" borderId="3" xfId="33" applyFont="1" applyFill="1" applyBorder="1" applyAlignment="1">
      <alignment textRotation="90"/>
    </xf>
    <xf numFmtId="0" fontId="2" fillId="41" borderId="4" xfId="33" applyFont="1" applyFill="1" applyBorder="1" applyAlignment="1">
      <alignment textRotation="90"/>
    </xf>
    <xf numFmtId="0" fontId="5" fillId="42" borderId="5" xfId="33" applyFont="1" applyFill="1" applyBorder="1" applyAlignment="1">
      <alignment horizontal="left" vertical="center"/>
    </xf>
    <xf numFmtId="0" fontId="2" fillId="42" borderId="1" xfId="33" applyFont="1" applyFill="1" applyBorder="1" applyAlignment="1">
      <alignment horizontal="center" vertical="center"/>
    </xf>
    <xf numFmtId="0" fontId="2" fillId="42" borderId="1" xfId="33" applyFont="1" applyFill="1" applyBorder="1" applyAlignment="1">
      <alignment horizontal="center"/>
    </xf>
    <xf numFmtId="0" fontId="2" fillId="42" borderId="6" xfId="33" applyFont="1" applyFill="1" applyBorder="1" applyAlignment="1">
      <alignment horizontal="center"/>
    </xf>
    <xf numFmtId="0" fontId="2" fillId="42" borderId="1" xfId="33" applyNumberFormat="1" applyFont="1" applyFill="1" applyBorder="1"/>
    <xf numFmtId="0" fontId="2" fillId="42" borderId="1" xfId="33" applyFont="1" applyFill="1" applyBorder="1"/>
    <xf numFmtId="0" fontId="2" fillId="42" borderId="1" xfId="33" applyFont="1" applyFill="1" applyBorder="1" applyAlignment="1">
      <alignment horizontal="right"/>
    </xf>
    <xf numFmtId="1" fontId="41" fillId="42" borderId="6" xfId="33" applyNumberFormat="1" applyFont="1" applyFill="1" applyBorder="1" applyAlignment="1">
      <alignment horizontal="center"/>
    </xf>
    <xf numFmtId="1" fontId="42" fillId="42" borderId="6" xfId="33" applyNumberFormat="1" applyFont="1" applyFill="1" applyBorder="1" applyAlignment="1">
      <alignment horizontal="center"/>
    </xf>
    <xf numFmtId="1" fontId="43" fillId="42" borderId="6" xfId="33" applyNumberFormat="1" applyFont="1" applyFill="1" applyBorder="1" applyAlignment="1">
      <alignment horizontal="center"/>
    </xf>
    <xf numFmtId="1" fontId="44" fillId="42" borderId="6" xfId="33" applyNumberFormat="1" applyFont="1" applyFill="1" applyBorder="1" applyAlignment="1">
      <alignment horizontal="center"/>
    </xf>
    <xf numFmtId="1" fontId="45" fillId="42" borderId="6" xfId="33" applyNumberFormat="1" applyFont="1" applyFill="1" applyBorder="1" applyAlignment="1">
      <alignment horizontal="center"/>
    </xf>
    <xf numFmtId="1" fontId="3" fillId="42" borderId="6" xfId="33" applyNumberFormat="1" applyFont="1" applyFill="1" applyBorder="1" applyAlignment="1">
      <alignment horizontal="center"/>
    </xf>
    <xf numFmtId="1" fontId="46" fillId="42" borderId="6" xfId="33" applyNumberFormat="1" applyFont="1" applyFill="1" applyBorder="1" applyAlignment="1">
      <alignment horizontal="center"/>
    </xf>
    <xf numFmtId="0" fontId="2" fillId="43" borderId="7" xfId="33" applyFill="1" applyBorder="1" applyAlignment="1">
      <alignment horizontal="left" vertical="center"/>
    </xf>
    <xf numFmtId="0" fontId="2" fillId="43" borderId="8" xfId="33" applyFont="1" applyFill="1" applyBorder="1" applyAlignment="1">
      <alignment textRotation="90"/>
    </xf>
    <xf numFmtId="0" fontId="2" fillId="43" borderId="9" xfId="33" applyFont="1" applyFill="1" applyBorder="1" applyAlignment="1">
      <alignment textRotation="90"/>
    </xf>
    <xf numFmtId="0" fontId="5" fillId="42" borderId="10" xfId="33" applyFont="1" applyFill="1" applyBorder="1" applyAlignment="1">
      <alignment horizontal="left" vertical="center"/>
    </xf>
    <xf numFmtId="0" fontId="2" fillId="42" borderId="11" xfId="33" applyFill="1" applyBorder="1" applyAlignment="1">
      <alignment horizontal="center" vertical="center"/>
    </xf>
    <xf numFmtId="0" fontId="2" fillId="42" borderId="11" xfId="33" applyFont="1" applyFill="1" applyBorder="1" applyAlignment="1">
      <alignment horizontal="center" vertical="center"/>
    </xf>
    <xf numFmtId="0" fontId="2" fillId="42" borderId="11" xfId="33" applyFill="1" applyBorder="1" applyAlignment="1">
      <alignment horizontal="center"/>
    </xf>
    <xf numFmtId="0" fontId="2" fillId="42" borderId="12" xfId="33" applyFill="1" applyBorder="1" applyAlignment="1">
      <alignment horizontal="center"/>
    </xf>
    <xf numFmtId="0" fontId="2" fillId="42" borderId="13" xfId="33" applyFont="1" applyFill="1" applyBorder="1" applyAlignment="1">
      <alignment horizontal="center" vertical="center"/>
    </xf>
    <xf numFmtId="0" fontId="2" fillId="42" borderId="13" xfId="33" applyFill="1" applyBorder="1" applyAlignment="1">
      <alignment horizontal="center"/>
    </xf>
    <xf numFmtId="0" fontId="2" fillId="42" borderId="13" xfId="33" applyNumberFormat="1" applyFill="1" applyBorder="1"/>
    <xf numFmtId="0" fontId="2" fillId="42" borderId="13" xfId="33" applyFill="1" applyBorder="1"/>
    <xf numFmtId="1" fontId="42" fillId="42" borderId="14" xfId="33" applyNumberFormat="1" applyFont="1" applyFill="1" applyBorder="1" applyAlignment="1">
      <alignment horizontal="center"/>
    </xf>
    <xf numFmtId="0" fontId="2" fillId="42" borderId="1" xfId="33" applyFill="1" applyBorder="1" applyAlignment="1">
      <alignment horizontal="center"/>
    </xf>
    <xf numFmtId="0" fontId="2" fillId="42" borderId="1" xfId="33" applyFill="1" applyBorder="1"/>
    <xf numFmtId="0" fontId="2" fillId="42" borderId="1" xfId="33" applyFill="1" applyBorder="1" applyAlignment="1">
      <alignment horizontal="right"/>
    </xf>
    <xf numFmtId="0" fontId="0" fillId="38" borderId="15" xfId="0" applyFill="1" applyBorder="1"/>
    <xf numFmtId="0" fontId="7" fillId="44" borderId="1" xfId="0" applyFont="1" applyFill="1" applyBorder="1" applyAlignment="1">
      <alignment horizontal="center" vertical="center"/>
    </xf>
    <xf numFmtId="0" fontId="1" fillId="2" borderId="16" xfId="0" applyFont="1" applyFill="1" applyBorder="1"/>
    <xf numFmtId="0" fontId="1" fillId="2" borderId="16" xfId="0" applyFont="1" applyFill="1" applyBorder="1" applyAlignment="1">
      <alignment vertical="center"/>
    </xf>
    <xf numFmtId="0" fontId="1" fillId="3" borderId="16" xfId="0" applyFont="1" applyFill="1" applyBorder="1"/>
    <xf numFmtId="0" fontId="0" fillId="0" borderId="1" xfId="0" applyBorder="1"/>
    <xf numFmtId="0" fontId="34" fillId="39" borderId="1" xfId="0" applyFont="1" applyFill="1" applyBorder="1"/>
    <xf numFmtId="0" fontId="8" fillId="42" borderId="17" xfId="34" applyFont="1" applyFill="1" applyBorder="1" applyAlignment="1"/>
    <xf numFmtId="0" fontId="8" fillId="42" borderId="10" xfId="34" applyFont="1" applyFill="1" applyBorder="1" applyAlignment="1"/>
    <xf numFmtId="0" fontId="1" fillId="40" borderId="13" xfId="33" applyFont="1" applyFill="1" applyBorder="1" applyAlignment="1">
      <alignment horizontal="center"/>
    </xf>
    <xf numFmtId="0" fontId="1" fillId="40" borderId="1" xfId="33" applyFont="1" applyFill="1" applyBorder="1" applyAlignment="1">
      <alignment horizontal="center"/>
    </xf>
    <xf numFmtId="0" fontId="0" fillId="0" borderId="1" xfId="0" applyBorder="1"/>
    <xf numFmtId="0" fontId="0" fillId="40" borderId="1" xfId="0" applyFill="1" applyBorder="1"/>
    <xf numFmtId="0" fontId="2" fillId="42" borderId="13" xfId="33" applyFill="1" applyBorder="1" applyAlignment="1">
      <alignment horizontal="right"/>
    </xf>
    <xf numFmtId="1" fontId="49" fillId="42" borderId="6" xfId="33" applyNumberFormat="1" applyFont="1" applyFill="1" applyBorder="1" applyAlignment="1">
      <alignment horizontal="center"/>
    </xf>
    <xf numFmtId="0" fontId="8" fillId="42" borderId="5" xfId="34" applyFont="1" applyFill="1" applyBorder="1" applyAlignment="1"/>
    <xf numFmtId="0" fontId="9" fillId="0" borderId="2" xfId="0" applyFont="1" applyBorder="1" applyAlignment="1">
      <alignment horizontal="center" vertical="center"/>
    </xf>
    <xf numFmtId="0" fontId="50" fillId="45" borderId="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0" fillId="45" borderId="5" xfId="0" applyFont="1" applyFill="1" applyBorder="1" applyAlignment="1">
      <alignment horizontal="center" vertical="center"/>
    </xf>
    <xf numFmtId="0" fontId="50" fillId="45" borderId="18" xfId="0" applyFont="1" applyFill="1" applyBorder="1" applyAlignment="1">
      <alignment horizontal="center" vertical="center"/>
    </xf>
    <xf numFmtId="0" fontId="50" fillId="45" borderId="19" xfId="0" applyFont="1" applyFill="1" applyBorder="1" applyAlignment="1">
      <alignment horizontal="center" vertical="center"/>
    </xf>
    <xf numFmtId="0" fontId="50" fillId="45" borderId="1" xfId="0" applyFont="1" applyFill="1" applyBorder="1" applyAlignment="1">
      <alignment horizontal="center" vertical="center"/>
    </xf>
    <xf numFmtId="0" fontId="0" fillId="40" borderId="1" xfId="0" applyFill="1" applyBorder="1"/>
    <xf numFmtId="0" fontId="0" fillId="40" borderId="1" xfId="0" applyFill="1" applyBorder="1"/>
    <xf numFmtId="0" fontId="51" fillId="46" borderId="1" xfId="0" applyFont="1" applyFill="1" applyBorder="1"/>
    <xf numFmtId="0" fontId="6" fillId="44" borderId="1" xfId="0" applyFont="1" applyFill="1" applyBorder="1" applyAlignment="1">
      <alignment horizontal="left" vertical="center"/>
    </xf>
    <xf numFmtId="0" fontId="6" fillId="47" borderId="1" xfId="0" applyFont="1" applyFill="1" applyBorder="1" applyAlignment="1">
      <alignment vertical="center"/>
    </xf>
    <xf numFmtId="0" fontId="7" fillId="44" borderId="1" xfId="0" applyFont="1" applyFill="1" applyBorder="1" applyAlignment="1">
      <alignment horizontal="left" vertical="center"/>
    </xf>
    <xf numFmtId="0" fontId="6" fillId="44" borderId="1" xfId="0" applyFont="1" applyFill="1" applyBorder="1" applyAlignment="1">
      <alignment horizontal="center" vertical="center"/>
    </xf>
    <xf numFmtId="0" fontId="0" fillId="46" borderId="1" xfId="0" applyFill="1" applyBorder="1"/>
    <xf numFmtId="0" fontId="0" fillId="0" borderId="1" xfId="0" applyBorder="1" applyAlignment="1">
      <alignment vertical="center"/>
    </xf>
    <xf numFmtId="0" fontId="0" fillId="38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1" borderId="1" xfId="0" applyFill="1" applyBorder="1" applyAlignment="1">
      <alignment vertical="center"/>
    </xf>
    <xf numFmtId="0" fontId="0" fillId="49" borderId="1" xfId="0" applyFill="1" applyBorder="1" applyAlignment="1">
      <alignment vertical="center"/>
    </xf>
    <xf numFmtId="0" fontId="54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0" fillId="40" borderId="1" xfId="0" applyFill="1" applyBorder="1"/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0" fillId="0" borderId="0" xfId="33" applyFont="1" applyAlignment="1" applyProtection="1">
      <alignment horizontal="center" vertical="center"/>
    </xf>
    <xf numFmtId="0" fontId="10" fillId="39" borderId="0" xfId="33" applyFont="1" applyFill="1" applyAlignment="1" applyProtection="1">
      <alignment horizontal="center" vertical="center"/>
    </xf>
    <xf numFmtId="0" fontId="10" fillId="0" borderId="0" xfId="33" applyFont="1" applyBorder="1" applyAlignment="1" applyProtection="1">
      <alignment horizontal="center" vertical="center"/>
    </xf>
    <xf numFmtId="0" fontId="10" fillId="4" borderId="22" xfId="33" applyFont="1" applyFill="1" applyBorder="1" applyAlignment="1" applyProtection="1">
      <alignment horizontal="center" vertical="center"/>
    </xf>
    <xf numFmtId="0" fontId="10" fillId="4" borderId="23" xfId="33" applyFont="1" applyFill="1" applyBorder="1" applyAlignment="1" applyProtection="1">
      <alignment horizontal="center" vertical="center"/>
    </xf>
    <xf numFmtId="0" fontId="10" fillId="5" borderId="22" xfId="33" applyFont="1" applyFill="1" applyBorder="1" applyAlignment="1" applyProtection="1">
      <alignment horizontal="center" vertical="center"/>
    </xf>
    <xf numFmtId="0" fontId="10" fillId="5" borderId="23" xfId="33" applyFont="1" applyFill="1" applyBorder="1" applyAlignment="1" applyProtection="1">
      <alignment horizontal="center" vertical="center"/>
    </xf>
    <xf numFmtId="0" fontId="10" fillId="5" borderId="24" xfId="33" applyFont="1" applyFill="1" applyBorder="1" applyAlignment="1" applyProtection="1">
      <alignment horizontal="center" vertical="center"/>
    </xf>
    <xf numFmtId="0" fontId="14" fillId="0" borderId="0" xfId="33" applyFont="1" applyBorder="1" applyAlignment="1" applyProtection="1">
      <alignment vertical="center"/>
    </xf>
    <xf numFmtId="0" fontId="10" fillId="4" borderId="25" xfId="33" applyFont="1" applyFill="1" applyBorder="1" applyAlignment="1" applyProtection="1">
      <alignment horizontal="center" vertical="center"/>
    </xf>
    <xf numFmtId="0" fontId="10" fillId="4" borderId="26" xfId="33" applyFont="1" applyFill="1" applyBorder="1" applyAlignment="1" applyProtection="1">
      <alignment horizontal="center" vertical="center"/>
    </xf>
    <xf numFmtId="0" fontId="10" fillId="5" borderId="25" xfId="33" applyFont="1" applyFill="1" applyBorder="1" applyAlignment="1" applyProtection="1">
      <alignment horizontal="center" vertical="center"/>
    </xf>
    <xf numFmtId="0" fontId="10" fillId="5" borderId="26" xfId="33" applyFont="1" applyFill="1" applyBorder="1" applyAlignment="1" applyProtection="1">
      <alignment horizontal="center" vertical="center"/>
    </xf>
    <xf numFmtId="0" fontId="10" fillId="5" borderId="0" xfId="33" applyFont="1" applyFill="1" applyBorder="1" applyAlignment="1" applyProtection="1">
      <alignment horizontal="center" vertical="center"/>
    </xf>
    <xf numFmtId="0" fontId="2" fillId="39" borderId="0" xfId="33" applyFill="1"/>
    <xf numFmtId="0" fontId="1" fillId="39" borderId="21" xfId="33" applyFont="1" applyFill="1" applyBorder="1" applyAlignment="1"/>
    <xf numFmtId="0" fontId="1" fillId="39" borderId="0" xfId="33" applyFont="1" applyFill="1" applyBorder="1" applyAlignment="1"/>
    <xf numFmtId="0" fontId="2" fillId="39" borderId="0" xfId="33" applyFill="1" applyBorder="1" applyAlignment="1"/>
    <xf numFmtId="0" fontId="1" fillId="39" borderId="0" xfId="33" applyFont="1" applyFill="1" applyBorder="1" applyAlignment="1">
      <alignment horizontal="left"/>
    </xf>
    <xf numFmtId="0" fontId="1" fillId="0" borderId="0" xfId="33" applyFont="1" applyBorder="1" applyAlignment="1">
      <alignment horizontal="center"/>
    </xf>
    <xf numFmtId="0" fontId="2" fillId="0" borderId="0" xfId="33" applyBorder="1" applyAlignment="1">
      <alignment horizontal="center"/>
    </xf>
    <xf numFmtId="0" fontId="2" fillId="39" borderId="1" xfId="33" applyFont="1" applyFill="1" applyBorder="1" applyAlignment="1">
      <alignment horizontal="center"/>
    </xf>
    <xf numFmtId="0" fontId="2" fillId="39" borderId="21" xfId="33" applyFont="1" applyFill="1" applyBorder="1" applyAlignment="1">
      <alignment horizontal="center"/>
    </xf>
    <xf numFmtId="0" fontId="1" fillId="39" borderId="21" xfId="33" applyFont="1" applyFill="1" applyBorder="1" applyAlignment="1">
      <alignment horizontal="left"/>
    </xf>
    <xf numFmtId="1" fontId="55" fillId="42" borderId="6" xfId="33" applyNumberFormat="1" applyFont="1" applyFill="1" applyBorder="1" applyAlignment="1">
      <alignment horizontal="center"/>
    </xf>
    <xf numFmtId="1" fontId="56" fillId="42" borderId="6" xfId="33" applyNumberFormat="1" applyFont="1" applyFill="1" applyBorder="1" applyAlignment="1">
      <alignment horizontal="center"/>
    </xf>
    <xf numFmtId="1" fontId="57" fillId="42" borderId="6" xfId="33" applyNumberFormat="1" applyFont="1" applyFill="1" applyBorder="1" applyAlignment="1">
      <alignment horizontal="center"/>
    </xf>
    <xf numFmtId="0" fontId="47" fillId="0" borderId="0" xfId="0" applyFont="1" applyAlignment="1">
      <alignment horizontal="left" vertical="center"/>
    </xf>
    <xf numFmtId="0" fontId="7" fillId="0" borderId="21" xfId="0" applyNumberFormat="1" applyFont="1" applyFill="1" applyBorder="1" applyAlignment="1">
      <alignment horizontal="center" vertical="center"/>
    </xf>
    <xf numFmtId="0" fontId="7" fillId="47" borderId="1" xfId="0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165" fontId="7" fillId="0" borderId="15" xfId="0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165" fontId="53" fillId="0" borderId="1" xfId="0" applyNumberFormat="1" applyFont="1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0" borderId="0" xfId="0" applyFill="1" applyAlignment="1">
      <alignment vertical="center"/>
    </xf>
    <xf numFmtId="0" fontId="0" fillId="50" borderId="0" xfId="0" applyFont="1" applyFill="1" applyAlignment="1">
      <alignment vertical="center"/>
    </xf>
    <xf numFmtId="0" fontId="0" fillId="58" borderId="0" xfId="0" applyFont="1" applyFill="1" applyAlignment="1">
      <alignment vertical="center"/>
    </xf>
    <xf numFmtId="0" fontId="0" fillId="58" borderId="0" xfId="0" applyFill="1" applyAlignment="1">
      <alignment vertical="center"/>
    </xf>
    <xf numFmtId="165" fontId="0" fillId="0" borderId="0" xfId="0" applyNumberFormat="1" applyAlignment="1">
      <alignment vertical="center"/>
    </xf>
    <xf numFmtId="165" fontId="53" fillId="58" borderId="1" xfId="0" applyNumberFormat="1" applyFont="1" applyFill="1" applyBorder="1" applyAlignment="1">
      <alignment horizontal="center" vertical="center"/>
    </xf>
    <xf numFmtId="165" fontId="7" fillId="58" borderId="1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left" vertical="center" wrapText="1"/>
    </xf>
    <xf numFmtId="0" fontId="6" fillId="59" borderId="1" xfId="0" applyFont="1" applyFill="1" applyBorder="1" applyAlignment="1">
      <alignment vertical="center"/>
    </xf>
    <xf numFmtId="0" fontId="6" fillId="60" borderId="1" xfId="0" applyFont="1" applyFill="1" applyBorder="1" applyAlignment="1">
      <alignment vertical="center"/>
    </xf>
    <xf numFmtId="0" fontId="47" fillId="39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8" fillId="39" borderId="0" xfId="34" applyFont="1" applyFill="1" applyBorder="1" applyAlignment="1">
      <alignment vertical="center"/>
    </xf>
    <xf numFmtId="0" fontId="52" fillId="44" borderId="1" xfId="0" applyFont="1" applyFill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39" borderId="0" xfId="0" applyFont="1" applyFill="1" applyAlignment="1">
      <alignment horizontal="center" vertical="center"/>
    </xf>
    <xf numFmtId="0" fontId="73" fillId="0" borderId="3" xfId="0" applyFont="1" applyFill="1" applyBorder="1" applyAlignment="1">
      <alignment horizontal="center" vertical="center"/>
    </xf>
    <xf numFmtId="0" fontId="73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1" fillId="0" borderId="1" xfId="34" applyFont="1" applyFill="1" applyBorder="1" applyAlignment="1"/>
    <xf numFmtId="0" fontId="1" fillId="0" borderId="11" xfId="0" applyFont="1" applyFill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47" fillId="0" borderId="0" xfId="0" applyFont="1" applyBorder="1" applyAlignment="1">
      <alignment horizontal="center" vertical="center"/>
    </xf>
    <xf numFmtId="0" fontId="5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53" fillId="48" borderId="1" xfId="0" applyFont="1" applyFill="1" applyBorder="1" applyAlignment="1">
      <alignment horizontal="center" vertical="center"/>
    </xf>
    <xf numFmtId="0" fontId="52" fillId="43" borderId="1" xfId="0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vertical="center"/>
    </xf>
    <xf numFmtId="0" fontId="7" fillId="59" borderId="27" xfId="0" applyFont="1" applyFill="1" applyBorder="1" applyAlignment="1">
      <alignment vertical="center"/>
    </xf>
    <xf numFmtId="0" fontId="6" fillId="6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7" fillId="60" borderId="1" xfId="0" applyFont="1" applyFill="1" applyBorder="1" applyAlignment="1">
      <alignment horizontal="center" vertical="center"/>
    </xf>
    <xf numFmtId="0" fontId="7" fillId="60" borderId="27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center" vertical="center"/>
    </xf>
    <xf numFmtId="0" fontId="6" fillId="64" borderId="27" xfId="0" applyFont="1" applyFill="1" applyBorder="1" applyAlignment="1">
      <alignment vertical="center"/>
    </xf>
    <xf numFmtId="0" fontId="7" fillId="61" borderId="13" xfId="0" applyFont="1" applyFill="1" applyBorder="1" applyAlignment="1">
      <alignment horizontal="center" vertical="center"/>
    </xf>
    <xf numFmtId="0" fontId="7" fillId="63" borderId="13" xfId="0" applyFont="1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/>
    </xf>
    <xf numFmtId="0" fontId="1" fillId="2" borderId="0" xfId="0" applyFont="1" applyFill="1" applyBorder="1"/>
    <xf numFmtId="0" fontId="74" fillId="0" borderId="0" xfId="0" applyFont="1"/>
    <xf numFmtId="0" fontId="74" fillId="39" borderId="0" xfId="0" applyFont="1" applyFill="1"/>
    <xf numFmtId="0" fontId="7" fillId="0" borderId="21" xfId="0" applyNumberFormat="1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>
      <alignment horizontal="center" vertical="center"/>
    </xf>
    <xf numFmtId="0" fontId="7" fillId="0" borderId="27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19" fontId="7" fillId="0" borderId="1" xfId="0" applyNumberFormat="1" applyFont="1" applyFill="1" applyBorder="1" applyAlignment="1">
      <alignment horizontal="center" vertical="center"/>
    </xf>
    <xf numFmtId="0" fontId="7" fillId="49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0" fontId="7" fillId="40" borderId="13" xfId="0" applyFont="1" applyFill="1" applyBorder="1" applyAlignment="1">
      <alignment horizontal="center" vertical="center"/>
    </xf>
    <xf numFmtId="0" fontId="7" fillId="49" borderId="13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7" fillId="66" borderId="1" xfId="0" applyFont="1" applyFill="1" applyBorder="1" applyAlignment="1">
      <alignment horizontal="center" vertical="center"/>
    </xf>
    <xf numFmtId="0" fontId="7" fillId="65" borderId="13" xfId="0" applyFont="1" applyFill="1" applyBorder="1" applyAlignment="1">
      <alignment horizontal="center" vertical="center"/>
    </xf>
    <xf numFmtId="0" fontId="7" fillId="47" borderId="11" xfId="0" applyFont="1" applyFill="1" applyBorder="1" applyAlignment="1">
      <alignment horizontal="center" vertical="center"/>
    </xf>
    <xf numFmtId="0" fontId="7" fillId="47" borderId="27" xfId="0" applyFont="1" applyFill="1" applyBorder="1" applyAlignment="1">
      <alignment horizontal="center" vertical="center"/>
    </xf>
    <xf numFmtId="0" fontId="0" fillId="66" borderId="1" xfId="0" applyFill="1" applyBorder="1" applyAlignment="1">
      <alignment horizontal="center" vertical="center"/>
    </xf>
    <xf numFmtId="0" fontId="53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7" fillId="39" borderId="13" xfId="0" applyFont="1" applyFill="1" applyBorder="1" applyAlignment="1">
      <alignment horizontal="center" vertical="center"/>
    </xf>
    <xf numFmtId="0" fontId="7" fillId="39" borderId="1" xfId="0" applyNumberFormat="1" applyFont="1" applyFill="1" applyBorder="1" applyAlignment="1">
      <alignment horizontal="center" vertical="center"/>
    </xf>
    <xf numFmtId="0" fontId="52" fillId="60" borderId="1" xfId="0" applyFont="1" applyFill="1" applyBorder="1" applyAlignment="1">
      <alignment vertical="center"/>
    </xf>
    <xf numFmtId="0" fontId="52" fillId="60" borderId="1" xfId="0" applyFont="1" applyFill="1" applyBorder="1" applyAlignment="1">
      <alignment horizontal="center" vertical="center"/>
    </xf>
    <xf numFmtId="0" fontId="52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horizontal="left" vertical="center"/>
    </xf>
    <xf numFmtId="0" fontId="6" fillId="61" borderId="1" xfId="0" applyFont="1" applyFill="1" applyBorder="1" applyAlignment="1">
      <alignment vertical="center"/>
    </xf>
    <xf numFmtId="0" fontId="6" fillId="49" borderId="1" xfId="0" applyFont="1" applyFill="1" applyBorder="1" applyAlignment="1">
      <alignment horizontal="left" vertical="center"/>
    </xf>
    <xf numFmtId="0" fontId="7" fillId="49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vertical="center"/>
    </xf>
    <xf numFmtId="0" fontId="6" fillId="49" borderId="1" xfId="0" applyFont="1" applyFill="1" applyBorder="1" applyAlignment="1">
      <alignment horizontal="center" vertical="center"/>
    </xf>
    <xf numFmtId="0" fontId="60" fillId="47" borderId="1" xfId="0" applyFont="1" applyFill="1" applyBorder="1" applyAlignment="1">
      <alignment horizontal="center" vertical="center"/>
    </xf>
    <xf numFmtId="0" fontId="58" fillId="45" borderId="1" xfId="0" applyFont="1" applyFill="1" applyBorder="1" applyAlignment="1">
      <alignment horizontal="center" vertical="center"/>
    </xf>
    <xf numFmtId="0" fontId="59" fillId="47" borderId="1" xfId="0" applyFont="1" applyFill="1" applyBorder="1" applyAlignment="1">
      <alignment horizontal="center" vertical="center"/>
    </xf>
    <xf numFmtId="0" fontId="52" fillId="47" borderId="15" xfId="0" applyFont="1" applyFill="1" applyBorder="1" applyAlignment="1">
      <alignment horizontal="center" vertical="center"/>
    </xf>
    <xf numFmtId="0" fontId="52" fillId="47" borderId="13" xfId="0" applyFont="1" applyFill="1" applyBorder="1" applyAlignment="1">
      <alignment horizontal="center" vertical="center"/>
    </xf>
    <xf numFmtId="0" fontId="52" fillId="49" borderId="15" xfId="0" applyFont="1" applyFill="1" applyBorder="1" applyAlignment="1">
      <alignment horizontal="center" vertical="center"/>
    </xf>
    <xf numFmtId="0" fontId="52" fillId="49" borderId="13" xfId="0" applyFont="1" applyFill="1" applyBorder="1" applyAlignment="1">
      <alignment horizontal="center" vertical="center"/>
    </xf>
    <xf numFmtId="0" fontId="6" fillId="64" borderId="27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vertical="center"/>
    </xf>
    <xf numFmtId="0" fontId="58" fillId="45" borderId="28" xfId="0" applyFont="1" applyFill="1" applyBorder="1" applyAlignment="1">
      <alignment horizontal="center" vertical="center"/>
    </xf>
    <xf numFmtId="0" fontId="58" fillId="45" borderId="29" xfId="0" applyFont="1" applyFill="1" applyBorder="1" applyAlignment="1">
      <alignment horizontal="center" vertical="center"/>
    </xf>
    <xf numFmtId="0" fontId="58" fillId="45" borderId="30" xfId="0" applyFont="1" applyFill="1" applyBorder="1" applyAlignment="1">
      <alignment horizontal="center" vertical="center"/>
    </xf>
    <xf numFmtId="0" fontId="58" fillId="45" borderId="31" xfId="0" applyFont="1" applyFill="1" applyBorder="1" applyAlignment="1">
      <alignment horizontal="center" vertical="center"/>
    </xf>
    <xf numFmtId="0" fontId="58" fillId="45" borderId="0" xfId="0" applyFont="1" applyFill="1" applyBorder="1" applyAlignment="1">
      <alignment horizontal="center" vertical="center"/>
    </xf>
    <xf numFmtId="0" fontId="58" fillId="45" borderId="20" xfId="0" applyFont="1" applyFill="1" applyBorder="1" applyAlignment="1">
      <alignment horizontal="center" vertical="center"/>
    </xf>
    <xf numFmtId="0" fontId="59" fillId="3" borderId="31" xfId="0" applyFont="1" applyFill="1" applyBorder="1" applyAlignment="1">
      <alignment horizontal="center" vertical="center"/>
    </xf>
    <xf numFmtId="0" fontId="59" fillId="3" borderId="17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7" fillId="50" borderId="21" xfId="0" applyNumberFormat="1" applyFont="1" applyFill="1" applyBorder="1" applyAlignment="1">
      <alignment horizontal="center" vertical="center"/>
    </xf>
    <xf numFmtId="0" fontId="7" fillId="50" borderId="11" xfId="0" applyNumberFormat="1" applyFont="1" applyFill="1" applyBorder="1" applyAlignment="1">
      <alignment horizontal="center" vertical="center"/>
    </xf>
    <xf numFmtId="0" fontId="7" fillId="50" borderId="27" xfId="0" applyNumberFormat="1" applyFont="1" applyFill="1" applyBorder="1" applyAlignment="1">
      <alignment horizontal="center" vertical="center"/>
    </xf>
    <xf numFmtId="164" fontId="60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165" fontId="53" fillId="58" borderId="21" xfId="0" applyNumberFormat="1" applyFont="1" applyFill="1" applyBorder="1" applyAlignment="1">
      <alignment horizontal="center" vertical="center"/>
    </xf>
    <xf numFmtId="165" fontId="53" fillId="58" borderId="11" xfId="0" applyNumberFormat="1" applyFont="1" applyFill="1" applyBorder="1" applyAlignment="1">
      <alignment horizontal="center" vertical="center"/>
    </xf>
    <xf numFmtId="165" fontId="53" fillId="58" borderId="27" xfId="0" applyNumberFormat="1" applyFont="1" applyFill="1" applyBorder="1" applyAlignment="1">
      <alignment horizontal="center" vertical="center"/>
    </xf>
    <xf numFmtId="0" fontId="7" fillId="58" borderId="21" xfId="0" applyFont="1" applyFill="1" applyBorder="1" applyAlignment="1">
      <alignment horizontal="center" vertical="center"/>
    </xf>
    <xf numFmtId="0" fontId="7" fillId="58" borderId="11" xfId="0" applyFont="1" applyFill="1" applyBorder="1" applyAlignment="1">
      <alignment horizontal="center" vertical="center"/>
    </xf>
    <xf numFmtId="0" fontId="7" fillId="58" borderId="27" xfId="0" applyFont="1" applyFill="1" applyBorder="1" applyAlignment="1">
      <alignment horizontal="center" vertical="center"/>
    </xf>
    <xf numFmtId="0" fontId="10" fillId="0" borderId="15" xfId="33" applyFont="1" applyBorder="1" applyAlignment="1" applyProtection="1">
      <alignment horizontal="center" vertical="center"/>
    </xf>
    <xf numFmtId="0" fontId="10" fillId="0" borderId="13" xfId="33" applyFont="1" applyBorder="1" applyAlignment="1" applyProtection="1">
      <alignment horizontal="center" vertical="center"/>
    </xf>
    <xf numFmtId="0" fontId="14" fillId="0" borderId="15" xfId="33" applyFont="1" applyBorder="1" applyAlignment="1" applyProtection="1">
      <alignment horizontal="center" vertical="center"/>
    </xf>
    <xf numFmtId="0" fontId="14" fillId="0" borderId="13" xfId="33" applyFont="1" applyBorder="1" applyAlignment="1" applyProtection="1">
      <alignment horizontal="center" vertical="center"/>
    </xf>
    <xf numFmtId="0" fontId="19" fillId="56" borderId="22" xfId="33" applyFont="1" applyFill="1" applyBorder="1" applyAlignment="1" applyProtection="1">
      <alignment horizontal="center" vertical="center"/>
    </xf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33" xfId="0" applyBorder="1"/>
    <xf numFmtId="0" fontId="0" fillId="0" borderId="26" xfId="0" applyBorder="1"/>
    <xf numFmtId="0" fontId="10" fillId="0" borderId="22" xfId="33" applyFont="1" applyFill="1" applyBorder="1" applyAlignment="1" applyProtection="1">
      <alignment horizontal="center" vertical="center"/>
    </xf>
    <xf numFmtId="0" fontId="10" fillId="0" borderId="23" xfId="33" applyFont="1" applyFill="1" applyBorder="1" applyAlignment="1" applyProtection="1">
      <alignment horizontal="center" vertical="center"/>
    </xf>
    <xf numFmtId="0" fontId="10" fillId="0" borderId="25" xfId="33" applyFont="1" applyFill="1" applyBorder="1" applyAlignment="1" applyProtection="1">
      <alignment horizontal="center" vertical="center"/>
    </xf>
    <xf numFmtId="0" fontId="10" fillId="0" borderId="26" xfId="33" applyFont="1" applyFill="1" applyBorder="1" applyAlignment="1" applyProtection="1">
      <alignment horizontal="center" vertical="center"/>
    </xf>
    <xf numFmtId="0" fontId="10" fillId="0" borderId="15" xfId="33" applyFont="1" applyFill="1" applyBorder="1" applyAlignment="1" applyProtection="1">
      <alignment horizontal="center" vertical="center"/>
    </xf>
    <xf numFmtId="0" fontId="10" fillId="0" borderId="13" xfId="33" applyFont="1" applyFill="1" applyBorder="1" applyAlignment="1" applyProtection="1">
      <alignment horizontal="center" vertical="center"/>
    </xf>
    <xf numFmtId="0" fontId="10" fillId="6" borderId="15" xfId="33" applyFont="1" applyFill="1" applyBorder="1" applyAlignment="1" applyProtection="1">
      <alignment horizontal="center" vertical="center"/>
    </xf>
    <xf numFmtId="0" fontId="10" fillId="6" borderId="13" xfId="33" applyFont="1" applyFill="1" applyBorder="1" applyAlignment="1" applyProtection="1">
      <alignment horizontal="center" vertical="center"/>
    </xf>
    <xf numFmtId="0" fontId="10" fillId="4" borderId="15" xfId="33" applyFont="1" applyFill="1" applyBorder="1" applyAlignment="1" applyProtection="1">
      <alignment horizontal="center" vertical="center"/>
    </xf>
    <xf numFmtId="0" fontId="10" fillId="4" borderId="13" xfId="33" applyFont="1" applyFill="1" applyBorder="1" applyAlignment="1" applyProtection="1">
      <alignment horizontal="center" vertical="center"/>
    </xf>
    <xf numFmtId="0" fontId="66" fillId="47" borderId="22" xfId="33" applyFont="1" applyFill="1" applyBorder="1" applyAlignment="1" applyProtection="1">
      <alignment horizontal="center" vertical="center"/>
    </xf>
    <xf numFmtId="0" fontId="67" fillId="47" borderId="24" xfId="0" applyFont="1" applyFill="1" applyBorder="1"/>
    <xf numFmtId="0" fontId="67" fillId="47" borderId="23" xfId="0" applyFont="1" applyFill="1" applyBorder="1"/>
    <xf numFmtId="0" fontId="67" fillId="47" borderId="25" xfId="0" applyFont="1" applyFill="1" applyBorder="1"/>
    <xf numFmtId="0" fontId="67" fillId="47" borderId="33" xfId="0" applyFont="1" applyFill="1" applyBorder="1"/>
    <xf numFmtId="0" fontId="67" fillId="47" borderId="26" xfId="0" applyFont="1" applyFill="1" applyBorder="1"/>
    <xf numFmtId="0" fontId="0" fillId="0" borderId="13" xfId="0" applyBorder="1"/>
    <xf numFmtId="0" fontId="18" fillId="52" borderId="22" xfId="33" applyFont="1" applyFill="1" applyBorder="1" applyAlignment="1" applyProtection="1">
      <alignment horizontal="center" vertical="center"/>
    </xf>
    <xf numFmtId="0" fontId="0" fillId="52" borderId="24" xfId="0" applyFill="1" applyBorder="1"/>
    <xf numFmtId="0" fontId="0" fillId="52" borderId="23" xfId="0" applyFill="1" applyBorder="1"/>
    <xf numFmtId="0" fontId="0" fillId="52" borderId="25" xfId="0" applyFill="1" applyBorder="1"/>
    <xf numFmtId="0" fontId="0" fillId="52" borderId="33" xfId="0" applyFill="1" applyBorder="1"/>
    <xf numFmtId="0" fontId="0" fillId="52" borderId="26" xfId="0" applyFill="1" applyBorder="1"/>
    <xf numFmtId="0" fontId="19" fillId="53" borderId="22" xfId="33" applyFont="1" applyFill="1" applyBorder="1" applyAlignment="1" applyProtection="1">
      <alignment horizontal="center" vertical="center"/>
    </xf>
    <xf numFmtId="0" fontId="0" fillId="53" borderId="24" xfId="0" applyFill="1" applyBorder="1"/>
    <xf numFmtId="0" fontId="0" fillId="53" borderId="23" xfId="0" applyFill="1" applyBorder="1"/>
    <xf numFmtId="0" fontId="0" fillId="53" borderId="25" xfId="0" applyFill="1" applyBorder="1"/>
    <xf numFmtId="0" fontId="0" fillId="53" borderId="33" xfId="0" applyFill="1" applyBorder="1"/>
    <xf numFmtId="0" fontId="0" fillId="53" borderId="26" xfId="0" applyFill="1" applyBorder="1"/>
    <xf numFmtId="0" fontId="13" fillId="51" borderId="22" xfId="33" applyFont="1" applyFill="1" applyBorder="1" applyAlignment="1" applyProtection="1">
      <alignment horizontal="center" vertical="center" wrapText="1"/>
    </xf>
    <xf numFmtId="0" fontId="0" fillId="0" borderId="32" xfId="0" applyBorder="1"/>
    <xf numFmtId="0" fontId="0" fillId="0" borderId="0" xfId="0"/>
    <xf numFmtId="0" fontId="0" fillId="0" borderId="20" xfId="0" applyBorder="1"/>
    <xf numFmtId="0" fontId="61" fillId="49" borderId="22" xfId="33" applyFont="1" applyFill="1" applyBorder="1" applyAlignment="1" applyProtection="1">
      <alignment horizontal="center" vertical="center" textRotation="90"/>
    </xf>
    <xf numFmtId="0" fontId="61" fillId="53" borderId="22" xfId="33" applyFont="1" applyFill="1" applyBorder="1" applyAlignment="1" applyProtection="1">
      <alignment horizontal="center" vertical="center" textRotation="90"/>
    </xf>
    <xf numFmtId="0" fontId="24" fillId="53" borderId="23" xfId="0" applyFont="1" applyFill="1" applyBorder="1"/>
    <xf numFmtId="0" fontId="24" fillId="53" borderId="32" xfId="0" applyFont="1" applyFill="1" applyBorder="1"/>
    <xf numFmtId="0" fontId="24" fillId="53" borderId="20" xfId="0" applyFont="1" applyFill="1" applyBorder="1"/>
    <xf numFmtId="0" fontId="24" fillId="53" borderId="25" xfId="0" applyFont="1" applyFill="1" applyBorder="1"/>
    <xf numFmtId="0" fontId="24" fillId="53" borderId="26" xfId="0" applyFont="1" applyFill="1" applyBorder="1"/>
    <xf numFmtId="0" fontId="18" fillId="52" borderId="22" xfId="33" applyFont="1" applyFill="1" applyBorder="1" applyAlignment="1" applyProtection="1">
      <alignment horizontal="center" vertical="center" textRotation="90"/>
    </xf>
    <xf numFmtId="0" fontId="0" fillId="52" borderId="32" xfId="0" applyFill="1" applyBorder="1"/>
    <xf numFmtId="0" fontId="0" fillId="52" borderId="20" xfId="0" applyFill="1" applyBorder="1"/>
    <xf numFmtId="0" fontId="61" fillId="55" borderId="22" xfId="33" applyFont="1" applyFill="1" applyBorder="1" applyAlignment="1" applyProtection="1">
      <alignment horizontal="center" vertical="center" textRotation="90"/>
    </xf>
    <xf numFmtId="0" fontId="24" fillId="55" borderId="23" xfId="0" applyFont="1" applyFill="1" applyBorder="1"/>
    <xf numFmtId="0" fontId="24" fillId="55" borderId="32" xfId="0" applyFont="1" applyFill="1" applyBorder="1"/>
    <xf numFmtId="0" fontId="24" fillId="55" borderId="20" xfId="0" applyFont="1" applyFill="1" applyBorder="1"/>
    <xf numFmtId="0" fontId="24" fillId="55" borderId="25" xfId="0" applyFont="1" applyFill="1" applyBorder="1"/>
    <xf numFmtId="0" fontId="24" fillId="55" borderId="26" xfId="0" applyFont="1" applyFill="1" applyBorder="1"/>
    <xf numFmtId="0" fontId="20" fillId="47" borderId="22" xfId="33" applyFont="1" applyFill="1" applyBorder="1" applyAlignment="1" applyProtection="1">
      <alignment horizontal="center" vertical="center" textRotation="90"/>
    </xf>
    <xf numFmtId="0" fontId="20" fillId="47" borderId="23" xfId="33" applyFont="1" applyFill="1" applyBorder="1" applyAlignment="1" applyProtection="1">
      <alignment horizontal="center" vertical="center" textRotation="90"/>
    </xf>
    <xf numFmtId="0" fontId="20" fillId="47" borderId="32" xfId="33" applyFont="1" applyFill="1" applyBorder="1" applyAlignment="1" applyProtection="1">
      <alignment horizontal="center" vertical="center" textRotation="90"/>
    </xf>
    <xf numFmtId="0" fontId="20" fillId="47" borderId="20" xfId="33" applyFont="1" applyFill="1" applyBorder="1" applyAlignment="1" applyProtection="1">
      <alignment horizontal="center" vertical="center" textRotation="90"/>
    </xf>
    <xf numFmtId="0" fontId="20" fillId="47" borderId="25" xfId="33" applyFont="1" applyFill="1" applyBorder="1" applyAlignment="1" applyProtection="1">
      <alignment horizontal="center" vertical="center" textRotation="90"/>
    </xf>
    <xf numFmtId="0" fontId="20" fillId="47" borderId="26" xfId="33" applyFont="1" applyFill="1" applyBorder="1" applyAlignment="1" applyProtection="1">
      <alignment horizontal="center" vertical="center" textRotation="90"/>
    </xf>
    <xf numFmtId="0" fontId="17" fillId="6" borderId="15" xfId="33" applyFont="1" applyFill="1" applyBorder="1" applyAlignment="1" applyProtection="1">
      <alignment horizontal="center" vertical="center" textRotation="90"/>
    </xf>
    <xf numFmtId="0" fontId="17" fillId="6" borderId="16" xfId="33" applyFont="1" applyFill="1" applyBorder="1" applyAlignment="1" applyProtection="1">
      <alignment horizontal="center" vertical="center" textRotation="90"/>
    </xf>
    <xf numFmtId="0" fontId="17" fillId="6" borderId="13" xfId="33" applyFont="1" applyFill="1" applyBorder="1" applyAlignment="1" applyProtection="1">
      <alignment horizontal="center" vertical="center" textRotation="90"/>
    </xf>
    <xf numFmtId="0" fontId="16" fillId="0" borderId="15" xfId="33" applyFont="1" applyBorder="1" applyAlignment="1" applyProtection="1">
      <alignment horizontal="center" vertical="center" textRotation="90"/>
    </xf>
    <xf numFmtId="0" fontId="16" fillId="0" borderId="16" xfId="33" applyFont="1" applyBorder="1" applyAlignment="1" applyProtection="1">
      <alignment horizontal="center" vertical="center" textRotation="90"/>
    </xf>
    <xf numFmtId="0" fontId="16" fillId="0" borderId="13" xfId="33" applyFont="1" applyBorder="1" applyAlignment="1" applyProtection="1">
      <alignment horizontal="center" vertical="center" textRotation="90"/>
    </xf>
    <xf numFmtId="0" fontId="61" fillId="49" borderId="22" xfId="33" applyFont="1" applyFill="1" applyBorder="1" applyAlignment="1" applyProtection="1">
      <alignment horizontal="center" vertical="center"/>
    </xf>
    <xf numFmtId="0" fontId="14" fillId="0" borderId="22" xfId="33" applyFont="1" applyFill="1" applyBorder="1" applyAlignment="1" applyProtection="1">
      <alignment horizontal="center" vertical="center" textRotation="90"/>
    </xf>
    <xf numFmtId="0" fontId="15" fillId="0" borderId="23" xfId="33" applyFont="1" applyFill="1" applyBorder="1" applyAlignment="1" applyProtection="1">
      <alignment horizontal="center" vertical="center" textRotation="90"/>
    </xf>
    <xf numFmtId="0" fontId="15" fillId="0" borderId="32" xfId="33" applyFont="1" applyFill="1" applyBorder="1" applyAlignment="1" applyProtection="1">
      <alignment horizontal="center" vertical="center" textRotation="90"/>
    </xf>
    <xf numFmtId="0" fontId="15" fillId="0" borderId="20" xfId="33" applyFont="1" applyFill="1" applyBorder="1" applyAlignment="1" applyProtection="1">
      <alignment horizontal="center" vertical="center" textRotation="90"/>
    </xf>
    <xf numFmtId="0" fontId="15" fillId="0" borderId="25" xfId="33" applyFont="1" applyFill="1" applyBorder="1" applyAlignment="1" applyProtection="1">
      <alignment horizontal="center" vertical="center" textRotation="90"/>
    </xf>
    <xf numFmtId="0" fontId="15" fillId="0" borderId="26" xfId="33" applyFont="1" applyFill="1" applyBorder="1" applyAlignment="1" applyProtection="1">
      <alignment horizontal="center" vertical="center" textRotation="90"/>
    </xf>
    <xf numFmtId="0" fontId="0" fillId="0" borderId="16" xfId="0" applyBorder="1"/>
    <xf numFmtId="0" fontId="11" fillId="49" borderId="24" xfId="33" applyFont="1" applyFill="1" applyBorder="1" applyAlignment="1" applyProtection="1">
      <alignment horizontal="center" vertical="center"/>
    </xf>
    <xf numFmtId="0" fontId="11" fillId="49" borderId="23" xfId="33" applyFont="1" applyFill="1" applyBorder="1" applyAlignment="1" applyProtection="1">
      <alignment horizontal="center" vertical="center"/>
    </xf>
    <xf numFmtId="0" fontId="11" fillId="49" borderId="33" xfId="33" applyFont="1" applyFill="1" applyBorder="1" applyAlignment="1" applyProtection="1">
      <alignment horizontal="center" vertical="center"/>
    </xf>
    <xf numFmtId="0" fontId="11" fillId="49" borderId="26" xfId="33" applyFont="1" applyFill="1" applyBorder="1" applyAlignment="1" applyProtection="1">
      <alignment horizontal="center" vertical="center"/>
    </xf>
    <xf numFmtId="0" fontId="12" fillId="0" borderId="24" xfId="33" applyFont="1" applyBorder="1" applyAlignment="1" applyProtection="1">
      <alignment horizontal="center" vertical="center"/>
    </xf>
    <xf numFmtId="0" fontId="12" fillId="0" borderId="23" xfId="33" applyFont="1" applyBorder="1" applyAlignment="1" applyProtection="1">
      <alignment horizontal="center" vertical="center"/>
    </xf>
    <xf numFmtId="0" fontId="12" fillId="0" borderId="33" xfId="33" applyFont="1" applyBorder="1" applyAlignment="1" applyProtection="1">
      <alignment horizontal="center" vertical="center"/>
    </xf>
    <xf numFmtId="0" fontId="12" fillId="0" borderId="26" xfId="33" applyFont="1" applyBorder="1" applyAlignment="1" applyProtection="1">
      <alignment horizontal="center" vertical="center"/>
    </xf>
    <xf numFmtId="0" fontId="19" fillId="55" borderId="22" xfId="33" applyFont="1" applyFill="1" applyBorder="1" applyAlignment="1" applyProtection="1">
      <alignment horizontal="center" vertical="center"/>
    </xf>
    <xf numFmtId="0" fontId="0" fillId="55" borderId="24" xfId="0" applyFill="1" applyBorder="1"/>
    <xf numFmtId="0" fontId="0" fillId="55" borderId="23" xfId="0" applyFill="1" applyBorder="1"/>
    <xf numFmtId="0" fontId="0" fillId="55" borderId="25" xfId="0" applyFill="1" applyBorder="1"/>
    <xf numFmtId="0" fontId="0" fillId="55" borderId="33" xfId="0" applyFill="1" applyBorder="1"/>
    <xf numFmtId="0" fontId="0" fillId="55" borderId="26" xfId="0" applyFill="1" applyBorder="1"/>
    <xf numFmtId="0" fontId="61" fillId="53" borderId="22" xfId="33" applyFont="1" applyFill="1" applyBorder="1" applyAlignment="1" applyProtection="1">
      <alignment horizontal="center" vertical="center"/>
    </xf>
    <xf numFmtId="0" fontId="24" fillId="53" borderId="24" xfId="0" applyFont="1" applyFill="1" applyBorder="1"/>
    <xf numFmtId="0" fontId="24" fillId="53" borderId="33" xfId="0" applyFont="1" applyFill="1" applyBorder="1"/>
    <xf numFmtId="0" fontId="61" fillId="54" borderId="22" xfId="33" applyFont="1" applyFill="1" applyBorder="1" applyAlignment="1" applyProtection="1">
      <alignment horizontal="center" vertical="center" textRotation="90"/>
    </xf>
    <xf numFmtId="0" fontId="0" fillId="54" borderId="23" xfId="0" applyFill="1" applyBorder="1"/>
    <xf numFmtId="0" fontId="0" fillId="54" borderId="32" xfId="0" applyFill="1" applyBorder="1"/>
    <xf numFmtId="0" fontId="0" fillId="54" borderId="20" xfId="0" applyFill="1" applyBorder="1"/>
    <xf numFmtId="0" fontId="0" fillId="54" borderId="25" xfId="0" applyFill="1" applyBorder="1"/>
    <xf numFmtId="0" fontId="0" fillId="54" borderId="26" xfId="0" applyFill="1" applyBorder="1"/>
    <xf numFmtId="0" fontId="11" fillId="55" borderId="22" xfId="33" applyFont="1" applyFill="1" applyBorder="1" applyAlignment="1" applyProtection="1">
      <alignment horizontal="center" vertical="center" textRotation="90"/>
    </xf>
    <xf numFmtId="0" fontId="0" fillId="55" borderId="32" xfId="0" applyFill="1" applyBorder="1"/>
    <xf numFmtId="0" fontId="0" fillId="55" borderId="20" xfId="0" applyFill="1" applyBorder="1"/>
    <xf numFmtId="0" fontId="18" fillId="52" borderId="23" xfId="33" applyFont="1" applyFill="1" applyBorder="1" applyAlignment="1" applyProtection="1">
      <alignment horizontal="center" vertical="center" textRotation="90"/>
    </xf>
    <xf numFmtId="0" fontId="18" fillId="52" borderId="32" xfId="33" applyFont="1" applyFill="1" applyBorder="1" applyAlignment="1" applyProtection="1">
      <alignment horizontal="center" vertical="center" textRotation="90"/>
    </xf>
    <xf numFmtId="0" fontId="18" fillId="52" borderId="20" xfId="33" applyFont="1" applyFill="1" applyBorder="1" applyAlignment="1" applyProtection="1">
      <alignment horizontal="center" vertical="center" textRotation="90"/>
    </xf>
    <xf numFmtId="0" fontId="18" fillId="52" borderId="25" xfId="33" applyFont="1" applyFill="1" applyBorder="1" applyAlignment="1" applyProtection="1">
      <alignment horizontal="center" vertical="center" textRotation="90"/>
    </xf>
    <xf numFmtId="0" fontId="18" fillId="52" borderId="26" xfId="33" applyFont="1" applyFill="1" applyBorder="1" applyAlignment="1" applyProtection="1">
      <alignment horizontal="center" vertical="center" textRotation="90"/>
    </xf>
    <xf numFmtId="0" fontId="11" fillId="39" borderId="22" xfId="33" applyFont="1" applyFill="1" applyBorder="1" applyAlignment="1" applyProtection="1">
      <alignment horizontal="center" vertical="center" textRotation="90"/>
    </xf>
    <xf numFmtId="0" fontId="65" fillId="39" borderId="23" xfId="0" applyFont="1" applyFill="1" applyBorder="1"/>
    <xf numFmtId="0" fontId="65" fillId="39" borderId="32" xfId="0" applyFont="1" applyFill="1" applyBorder="1"/>
    <xf numFmtId="0" fontId="65" fillId="39" borderId="20" xfId="0" applyFont="1" applyFill="1" applyBorder="1"/>
    <xf numFmtId="0" fontId="65" fillId="39" borderId="25" xfId="0" applyFont="1" applyFill="1" applyBorder="1"/>
    <xf numFmtId="0" fontId="65" fillId="39" borderId="26" xfId="0" applyFont="1" applyFill="1" applyBorder="1"/>
    <xf numFmtId="0" fontId="14" fillId="49" borderId="22" xfId="33" applyFont="1" applyFill="1" applyBorder="1" applyAlignment="1" applyProtection="1">
      <alignment horizontal="center" vertical="center" textRotation="90"/>
    </xf>
    <xf numFmtId="0" fontId="14" fillId="49" borderId="23" xfId="33" applyFont="1" applyFill="1" applyBorder="1" applyAlignment="1" applyProtection="1">
      <alignment horizontal="center" vertical="center" textRotation="90"/>
    </xf>
    <xf numFmtId="0" fontId="14" fillId="49" borderId="32" xfId="33" applyFont="1" applyFill="1" applyBorder="1" applyAlignment="1" applyProtection="1">
      <alignment horizontal="center" vertical="center" textRotation="90"/>
    </xf>
    <xf numFmtId="0" fontId="14" fillId="49" borderId="20" xfId="33" applyFont="1" applyFill="1" applyBorder="1" applyAlignment="1" applyProtection="1">
      <alignment horizontal="center" vertical="center" textRotation="90"/>
    </xf>
    <xf numFmtId="0" fontId="14" fillId="49" borderId="25" xfId="33" applyFont="1" applyFill="1" applyBorder="1" applyAlignment="1" applyProtection="1">
      <alignment horizontal="center" vertical="center" textRotation="90"/>
    </xf>
    <xf numFmtId="0" fontId="14" fillId="49" borderId="26" xfId="33" applyFont="1" applyFill="1" applyBorder="1" applyAlignment="1" applyProtection="1">
      <alignment horizontal="center" vertical="center" textRotation="90"/>
    </xf>
    <xf numFmtId="0" fontId="11" fillId="0" borderId="0" xfId="33" applyFont="1" applyAlignment="1" applyProtection="1">
      <alignment horizontal="center" vertical="center"/>
    </xf>
    <xf numFmtId="0" fontId="12" fillId="0" borderId="0" xfId="33" applyFont="1" applyAlignment="1" applyProtection="1">
      <alignment horizontal="center" vertical="center"/>
    </xf>
    <xf numFmtId="0" fontId="62" fillId="52" borderId="22" xfId="33" applyFont="1" applyFill="1" applyBorder="1" applyAlignment="1" applyProtection="1">
      <alignment horizontal="center" vertical="center" textRotation="90"/>
    </xf>
    <xf numFmtId="0" fontId="34" fillId="52" borderId="23" xfId="0" applyFont="1" applyFill="1" applyBorder="1"/>
    <xf numFmtId="0" fontId="34" fillId="52" borderId="32" xfId="0" applyFont="1" applyFill="1" applyBorder="1"/>
    <xf numFmtId="0" fontId="34" fillId="52" borderId="20" xfId="0" applyFont="1" applyFill="1" applyBorder="1"/>
    <xf numFmtId="0" fontId="34" fillId="52" borderId="25" xfId="0" applyFont="1" applyFill="1" applyBorder="1"/>
    <xf numFmtId="0" fontId="34" fillId="52" borderId="26" xfId="0" applyFont="1" applyFill="1" applyBorder="1"/>
    <xf numFmtId="0" fontId="12" fillId="39" borderId="22" xfId="33" applyFont="1" applyFill="1" applyBorder="1" applyAlignment="1" applyProtection="1">
      <alignment horizontal="center" vertical="center" textRotation="90"/>
    </xf>
    <xf numFmtId="0" fontId="63" fillId="39" borderId="23" xfId="0" applyFont="1" applyFill="1" applyBorder="1"/>
    <xf numFmtId="0" fontId="63" fillId="39" borderId="32" xfId="0" applyFont="1" applyFill="1" applyBorder="1"/>
    <xf numFmtId="0" fontId="63" fillId="39" borderId="20" xfId="0" applyFont="1" applyFill="1" applyBorder="1"/>
    <xf numFmtId="0" fontId="63" fillId="39" borderId="25" xfId="0" applyFont="1" applyFill="1" applyBorder="1"/>
    <xf numFmtId="0" fontId="63" fillId="39" borderId="26" xfId="0" applyFont="1" applyFill="1" applyBorder="1"/>
    <xf numFmtId="0" fontId="64" fillId="53" borderId="22" xfId="33" applyFont="1" applyFill="1" applyBorder="1" applyAlignment="1" applyProtection="1">
      <alignment horizontal="center" vertical="center" textRotation="90"/>
    </xf>
    <xf numFmtId="0" fontId="64" fillId="53" borderId="23" xfId="33" applyFont="1" applyFill="1" applyBorder="1" applyAlignment="1" applyProtection="1">
      <alignment horizontal="center" vertical="center" textRotation="90"/>
    </xf>
    <xf numFmtId="0" fontId="64" fillId="53" borderId="32" xfId="33" applyFont="1" applyFill="1" applyBorder="1" applyAlignment="1" applyProtection="1">
      <alignment horizontal="center" vertical="center" textRotation="90"/>
    </xf>
    <xf numFmtId="0" fontId="64" fillId="53" borderId="20" xfId="33" applyFont="1" applyFill="1" applyBorder="1" applyAlignment="1" applyProtection="1">
      <alignment horizontal="center" vertical="center" textRotation="90"/>
    </xf>
    <xf numFmtId="0" fontId="64" fillId="53" borderId="25" xfId="33" applyFont="1" applyFill="1" applyBorder="1" applyAlignment="1" applyProtection="1">
      <alignment horizontal="center" vertical="center" textRotation="90"/>
    </xf>
    <xf numFmtId="0" fontId="64" fillId="53" borderId="26" xfId="33" applyFont="1" applyFill="1" applyBorder="1" applyAlignment="1" applyProtection="1">
      <alignment horizontal="center" vertical="center" textRotation="90"/>
    </xf>
    <xf numFmtId="0" fontId="0" fillId="38" borderId="1" xfId="0" applyFill="1" applyBorder="1"/>
    <xf numFmtId="0" fontId="40" fillId="47" borderId="1" xfId="0" applyFont="1" applyFill="1" applyBorder="1" applyAlignment="1">
      <alignment horizontal="center"/>
    </xf>
    <xf numFmtId="0" fontId="68" fillId="47" borderId="25" xfId="0" applyFont="1" applyFill="1" applyBorder="1" applyAlignment="1">
      <alignment horizontal="center"/>
    </xf>
    <xf numFmtId="0" fontId="68" fillId="47" borderId="33" xfId="0" applyFont="1" applyFill="1" applyBorder="1" applyAlignment="1">
      <alignment horizontal="center"/>
    </xf>
    <xf numFmtId="0" fontId="68" fillId="47" borderId="26" xfId="0" applyFont="1" applyFill="1" applyBorder="1" applyAlignment="1">
      <alignment horizontal="center"/>
    </xf>
    <xf numFmtId="0" fontId="68" fillId="47" borderId="21" xfId="0" applyFont="1" applyFill="1" applyBorder="1" applyAlignment="1">
      <alignment horizontal="center"/>
    </xf>
    <xf numFmtId="0" fontId="68" fillId="47" borderId="11" xfId="0" applyFont="1" applyFill="1" applyBorder="1" applyAlignment="1">
      <alignment horizontal="center"/>
    </xf>
    <xf numFmtId="0" fontId="68" fillId="47" borderId="27" xfId="0" applyFont="1" applyFill="1" applyBorder="1" applyAlignment="1">
      <alignment horizontal="center"/>
    </xf>
    <xf numFmtId="0" fontId="51" fillId="40" borderId="21" xfId="0" applyFont="1" applyFill="1" applyBorder="1" applyAlignment="1">
      <alignment horizontal="center"/>
    </xf>
    <xf numFmtId="0" fontId="51" fillId="40" borderId="11" xfId="0" applyFont="1" applyFill="1" applyBorder="1" applyAlignment="1">
      <alignment horizontal="center"/>
    </xf>
    <xf numFmtId="0" fontId="51" fillId="40" borderId="27" xfId="0" applyFont="1" applyFill="1" applyBorder="1" applyAlignment="1">
      <alignment horizontal="center"/>
    </xf>
    <xf numFmtId="0" fontId="0" fillId="38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70" fillId="38" borderId="15" xfId="0" applyFont="1" applyFill="1" applyBorder="1" applyAlignment="1">
      <alignment horizontal="center" vertical="center"/>
    </xf>
    <xf numFmtId="0" fontId="70" fillId="38" borderId="13" xfId="0" applyFont="1" applyFill="1" applyBorder="1" applyAlignment="1">
      <alignment horizontal="center" vertical="center"/>
    </xf>
    <xf numFmtId="0" fontId="51" fillId="40" borderId="21" xfId="0" applyFont="1" applyFill="1" applyBorder="1" applyAlignment="1">
      <alignment horizontal="center" vertical="center"/>
    </xf>
    <xf numFmtId="0" fontId="51" fillId="40" borderId="11" xfId="0" applyFont="1" applyFill="1" applyBorder="1" applyAlignment="1">
      <alignment horizontal="center" vertical="center"/>
    </xf>
    <xf numFmtId="0" fontId="51" fillId="40" borderId="27" xfId="0" applyFont="1" applyFill="1" applyBorder="1" applyAlignment="1">
      <alignment horizontal="center" vertical="center"/>
    </xf>
    <xf numFmtId="0" fontId="69" fillId="47" borderId="1" xfId="0" applyFont="1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0" fontId="40" fillId="47" borderId="1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39" fillId="49" borderId="1" xfId="0" applyFont="1" applyFill="1" applyBorder="1" applyAlignment="1">
      <alignment horizontal="center" vertical="center"/>
    </xf>
    <xf numFmtId="0" fontId="71" fillId="47" borderId="1" xfId="0" applyFont="1" applyFill="1" applyBorder="1" applyAlignment="1">
      <alignment horizontal="center" vertical="center"/>
    </xf>
    <xf numFmtId="0" fontId="0" fillId="57" borderId="1" xfId="0" applyFill="1" applyBorder="1" applyAlignment="1">
      <alignment horizontal="center" vertical="center"/>
    </xf>
    <xf numFmtId="0" fontId="22" fillId="39" borderId="1" xfId="33" applyFont="1" applyFill="1" applyBorder="1" applyAlignment="1">
      <alignment horizontal="center"/>
    </xf>
    <xf numFmtId="0" fontId="21" fillId="39" borderId="28" xfId="33" applyFont="1" applyFill="1" applyBorder="1" applyAlignment="1">
      <alignment horizontal="center"/>
    </xf>
    <xf numFmtId="0" fontId="21" fillId="39" borderId="29" xfId="33" applyFont="1" applyFill="1" applyBorder="1" applyAlignment="1">
      <alignment horizontal="center"/>
    </xf>
    <xf numFmtId="0" fontId="21" fillId="39" borderId="34" xfId="33" applyFont="1" applyFill="1" applyBorder="1" applyAlignment="1">
      <alignment horizontal="center"/>
    </xf>
    <xf numFmtId="0" fontId="21" fillId="39" borderId="35" xfId="33" applyFont="1" applyFill="1" applyBorder="1" applyAlignment="1">
      <alignment horizontal="center"/>
    </xf>
    <xf numFmtId="0" fontId="4" fillId="47" borderId="28" xfId="33" applyFont="1" applyFill="1" applyBorder="1" applyAlignment="1">
      <alignment horizontal="center"/>
    </xf>
    <xf numFmtId="0" fontId="4" fillId="47" borderId="29" xfId="33" applyFont="1" applyFill="1" applyBorder="1" applyAlignment="1">
      <alignment horizontal="center"/>
    </xf>
    <xf numFmtId="0" fontId="4" fillId="47" borderId="36" xfId="33" applyFont="1" applyFill="1" applyBorder="1" applyAlignment="1">
      <alignment horizontal="center"/>
    </xf>
    <xf numFmtId="0" fontId="4" fillId="47" borderId="37" xfId="33" applyFont="1" applyFill="1" applyBorder="1" applyAlignment="1">
      <alignment horizontal="center"/>
    </xf>
    <xf numFmtId="0" fontId="4" fillId="47" borderId="38" xfId="33" applyFont="1" applyFill="1" applyBorder="1" applyAlignment="1">
      <alignment horizontal="center"/>
    </xf>
    <xf numFmtId="0" fontId="4" fillId="47" borderId="39" xfId="33" applyFont="1" applyFill="1" applyBorder="1" applyAlignment="1">
      <alignment horizontal="center"/>
    </xf>
    <xf numFmtId="0" fontId="2" fillId="0" borderId="35" xfId="33" applyBorder="1"/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2" xfId="33"/>
    <cellStyle name="Normal 6" xfId="34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otal" xfId="43" builtinId="25" customBuiltin="1"/>
  </cellStyles>
  <dxfs count="0"/>
  <tableStyles count="0" defaultTableStyle="TableStyleMedium9" defaultPivotStyle="PivotStyleLight16"/>
  <colors>
    <mruColors>
      <color rgb="FFFF66CC"/>
      <color rgb="FF6EE88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66675</xdr:rowOff>
    </xdr:from>
    <xdr:to>
      <xdr:col>0</xdr:col>
      <xdr:colOff>8601075</xdr:colOff>
      <xdr:row>0</xdr:row>
      <xdr:rowOff>1000125</xdr:rowOff>
    </xdr:to>
    <xdr:grpSp>
      <xdr:nvGrpSpPr>
        <xdr:cNvPr id="2229" name="1 Grupo"/>
        <xdr:cNvGrpSpPr>
          <a:grpSpLocks/>
        </xdr:cNvGrpSpPr>
      </xdr:nvGrpSpPr>
      <xdr:grpSpPr bwMode="auto">
        <a:xfrm>
          <a:off x="28575" y="66675"/>
          <a:ext cx="8572500" cy="933450"/>
          <a:chOff x="28576" y="66675"/>
          <a:chExt cx="8572499" cy="933213"/>
        </a:xfrm>
      </xdr:grpSpPr>
      <xdr:pic>
        <xdr:nvPicPr>
          <xdr:cNvPr id="2230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231" name="3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8</xdr:col>
      <xdr:colOff>123825</xdr:colOff>
      <xdr:row>0</xdr:row>
      <xdr:rowOff>752475</xdr:rowOff>
    </xdr:to>
    <xdr:grpSp>
      <xdr:nvGrpSpPr>
        <xdr:cNvPr id="3314" name="6 Grupo"/>
        <xdr:cNvGrpSpPr>
          <a:grpSpLocks/>
        </xdr:cNvGrpSpPr>
      </xdr:nvGrpSpPr>
      <xdr:grpSpPr bwMode="auto">
        <a:xfrm>
          <a:off x="38100" y="38100"/>
          <a:ext cx="8839200" cy="714375"/>
          <a:chOff x="28576" y="66675"/>
          <a:chExt cx="8572499" cy="933213"/>
        </a:xfrm>
      </xdr:grpSpPr>
      <xdr:pic>
        <xdr:nvPicPr>
          <xdr:cNvPr id="3315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316" name="8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484701</xdr:colOff>
      <xdr:row>0</xdr:row>
      <xdr:rowOff>31393</xdr:rowOff>
    </xdr:from>
    <xdr:to>
      <xdr:col>7</xdr:col>
      <xdr:colOff>1218126</xdr:colOff>
      <xdr:row>0</xdr:row>
      <xdr:rowOff>479068</xdr:rowOff>
    </xdr:to>
    <xdr:grpSp>
      <xdr:nvGrpSpPr>
        <xdr:cNvPr id="1205" name="2 Grupo"/>
        <xdr:cNvGrpSpPr>
          <a:grpSpLocks/>
        </xdr:cNvGrpSpPr>
      </xdr:nvGrpSpPr>
      <xdr:grpSpPr bwMode="auto">
        <a:xfrm>
          <a:off x="484701" y="31393"/>
          <a:ext cx="5086752" cy="447675"/>
          <a:chOff x="28576" y="66675"/>
          <a:chExt cx="8572499" cy="933213"/>
        </a:xfrm>
      </xdr:grpSpPr>
      <xdr:pic>
        <xdr:nvPicPr>
          <xdr:cNvPr id="1206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07" name="4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25</xdr:col>
      <xdr:colOff>0</xdr:colOff>
      <xdr:row>22</xdr:row>
      <xdr:rowOff>9525</xdr:rowOff>
    </xdr:to>
    <xdr:grpSp>
      <xdr:nvGrpSpPr>
        <xdr:cNvPr id="10533" name="57 Grupo"/>
        <xdr:cNvGrpSpPr>
          <a:grpSpLocks/>
        </xdr:cNvGrpSpPr>
      </xdr:nvGrpSpPr>
      <xdr:grpSpPr bwMode="auto">
        <a:xfrm>
          <a:off x="1548848" y="2771913"/>
          <a:ext cx="1932609" cy="1390595"/>
          <a:chOff x="1487365" y="4066442"/>
          <a:chExt cx="1834661" cy="1476375"/>
        </a:xfrm>
      </xdr:grpSpPr>
      <xdr:cxnSp macro="">
        <xdr:nvCxnSpPr>
          <xdr:cNvPr id="4" name="3 Conector recto"/>
          <xdr:cNvCxnSpPr/>
        </xdr:nvCxnSpPr>
        <xdr:spPr>
          <a:xfrm>
            <a:off x="2964750" y="4066442"/>
            <a:ext cx="357276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4 Conector recto"/>
          <xdr:cNvCxnSpPr/>
        </xdr:nvCxnSpPr>
        <xdr:spPr>
          <a:xfrm>
            <a:off x="1497021" y="5249497"/>
            <a:ext cx="366932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5 Conector recto"/>
          <xdr:cNvCxnSpPr/>
        </xdr:nvCxnSpPr>
        <xdr:spPr>
          <a:xfrm>
            <a:off x="2597818" y="4076219"/>
            <a:ext cx="724208" cy="56708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6 Conector recto"/>
          <xdr:cNvCxnSpPr/>
        </xdr:nvCxnSpPr>
        <xdr:spPr>
          <a:xfrm>
            <a:off x="2221229" y="4066442"/>
            <a:ext cx="1091140" cy="8604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7 Conector recto"/>
          <xdr:cNvCxnSpPr/>
        </xdr:nvCxnSpPr>
        <xdr:spPr>
          <a:xfrm>
            <a:off x="1863953" y="4076219"/>
            <a:ext cx="1448417" cy="114394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8 Conector recto"/>
          <xdr:cNvCxnSpPr/>
        </xdr:nvCxnSpPr>
        <xdr:spPr>
          <a:xfrm>
            <a:off x="1497021" y="4359762"/>
            <a:ext cx="1448417" cy="115372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9 Conector recto"/>
          <xdr:cNvCxnSpPr/>
        </xdr:nvCxnSpPr>
        <xdr:spPr>
          <a:xfrm>
            <a:off x="1487365" y="4653081"/>
            <a:ext cx="1110453" cy="87018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10 Conector recto"/>
          <xdr:cNvCxnSpPr/>
        </xdr:nvCxnSpPr>
        <xdr:spPr>
          <a:xfrm>
            <a:off x="1487365" y="4956178"/>
            <a:ext cx="743521" cy="57686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190500</xdr:colOff>
      <xdr:row>33</xdr:row>
      <xdr:rowOff>0</xdr:rowOff>
    </xdr:from>
    <xdr:to>
      <xdr:col>24</xdr:col>
      <xdr:colOff>180975</xdr:colOff>
      <xdr:row>43</xdr:row>
      <xdr:rowOff>9525</xdr:rowOff>
    </xdr:to>
    <xdr:grpSp>
      <xdr:nvGrpSpPr>
        <xdr:cNvPr id="10534" name="58 Grupo"/>
        <xdr:cNvGrpSpPr>
          <a:grpSpLocks/>
        </xdr:cNvGrpSpPr>
      </xdr:nvGrpSpPr>
      <xdr:grpSpPr bwMode="auto">
        <a:xfrm>
          <a:off x="1539461" y="5670826"/>
          <a:ext cx="1941775" cy="1390595"/>
          <a:chOff x="1487365" y="4066442"/>
          <a:chExt cx="1834661" cy="1476375"/>
        </a:xfrm>
      </xdr:grpSpPr>
      <xdr:cxnSp macro="">
        <xdr:nvCxnSpPr>
          <xdr:cNvPr id="13" name="12 Conector recto"/>
          <xdr:cNvCxnSpPr/>
        </xdr:nvCxnSpPr>
        <xdr:spPr>
          <a:xfrm>
            <a:off x="2957015" y="4066442"/>
            <a:ext cx="365011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13 Conector recto"/>
          <xdr:cNvCxnSpPr/>
        </xdr:nvCxnSpPr>
        <xdr:spPr>
          <a:xfrm>
            <a:off x="1496971" y="5249497"/>
            <a:ext cx="374617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14 Conector recto"/>
          <xdr:cNvCxnSpPr/>
        </xdr:nvCxnSpPr>
        <xdr:spPr>
          <a:xfrm>
            <a:off x="2592004" y="4076219"/>
            <a:ext cx="730022" cy="56708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15 Conector recto"/>
          <xdr:cNvCxnSpPr/>
        </xdr:nvCxnSpPr>
        <xdr:spPr>
          <a:xfrm>
            <a:off x="2217387" y="4066442"/>
            <a:ext cx="1095033" cy="8604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16 Conector recto"/>
          <xdr:cNvCxnSpPr/>
        </xdr:nvCxnSpPr>
        <xdr:spPr>
          <a:xfrm>
            <a:off x="1861982" y="4076219"/>
            <a:ext cx="1450439" cy="114394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17 Conector recto"/>
          <xdr:cNvCxnSpPr/>
        </xdr:nvCxnSpPr>
        <xdr:spPr>
          <a:xfrm>
            <a:off x="1496971" y="4359762"/>
            <a:ext cx="1440833" cy="115372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18 Conector recto"/>
          <xdr:cNvCxnSpPr/>
        </xdr:nvCxnSpPr>
        <xdr:spPr>
          <a:xfrm>
            <a:off x="1487365" y="4653081"/>
            <a:ext cx="1104639" cy="87018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19 Conector recto"/>
          <xdr:cNvCxnSpPr/>
        </xdr:nvCxnSpPr>
        <xdr:spPr>
          <a:xfrm>
            <a:off x="1487365" y="4956178"/>
            <a:ext cx="739628" cy="57686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190500</xdr:colOff>
      <xdr:row>54</xdr:row>
      <xdr:rowOff>0</xdr:rowOff>
    </xdr:from>
    <xdr:to>
      <xdr:col>24</xdr:col>
      <xdr:colOff>180975</xdr:colOff>
      <xdr:row>64</xdr:row>
      <xdr:rowOff>9525</xdr:rowOff>
    </xdr:to>
    <xdr:grpSp>
      <xdr:nvGrpSpPr>
        <xdr:cNvPr id="10535" name="67 Grupo"/>
        <xdr:cNvGrpSpPr>
          <a:grpSpLocks/>
        </xdr:cNvGrpSpPr>
      </xdr:nvGrpSpPr>
      <xdr:grpSpPr bwMode="auto">
        <a:xfrm>
          <a:off x="1539461" y="8569739"/>
          <a:ext cx="1941775" cy="1390595"/>
          <a:chOff x="1487365" y="4066442"/>
          <a:chExt cx="1834661" cy="1476375"/>
        </a:xfrm>
      </xdr:grpSpPr>
      <xdr:cxnSp macro="">
        <xdr:nvCxnSpPr>
          <xdr:cNvPr id="22" name="21 Conector recto"/>
          <xdr:cNvCxnSpPr/>
        </xdr:nvCxnSpPr>
        <xdr:spPr>
          <a:xfrm>
            <a:off x="2957015" y="4066442"/>
            <a:ext cx="365011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22 Conector recto"/>
          <xdr:cNvCxnSpPr/>
        </xdr:nvCxnSpPr>
        <xdr:spPr>
          <a:xfrm>
            <a:off x="1496971" y="5249497"/>
            <a:ext cx="374617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23 Conector recto"/>
          <xdr:cNvCxnSpPr/>
        </xdr:nvCxnSpPr>
        <xdr:spPr>
          <a:xfrm>
            <a:off x="2592004" y="4076219"/>
            <a:ext cx="730022" cy="56708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24 Conector recto"/>
          <xdr:cNvCxnSpPr/>
        </xdr:nvCxnSpPr>
        <xdr:spPr>
          <a:xfrm>
            <a:off x="2217387" y="4066442"/>
            <a:ext cx="1095033" cy="8604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25 Conector recto"/>
          <xdr:cNvCxnSpPr/>
        </xdr:nvCxnSpPr>
        <xdr:spPr>
          <a:xfrm>
            <a:off x="1861982" y="4076219"/>
            <a:ext cx="1450439" cy="114394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26 Conector recto"/>
          <xdr:cNvCxnSpPr/>
        </xdr:nvCxnSpPr>
        <xdr:spPr>
          <a:xfrm>
            <a:off x="1496971" y="4359762"/>
            <a:ext cx="1440833" cy="115372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27 Conector recto"/>
          <xdr:cNvCxnSpPr/>
        </xdr:nvCxnSpPr>
        <xdr:spPr>
          <a:xfrm>
            <a:off x="1487365" y="4653081"/>
            <a:ext cx="1104639" cy="87018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28 Conector recto"/>
          <xdr:cNvCxnSpPr/>
        </xdr:nvCxnSpPr>
        <xdr:spPr>
          <a:xfrm>
            <a:off x="1487365" y="4956178"/>
            <a:ext cx="739628" cy="57686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190500</xdr:colOff>
      <xdr:row>75</xdr:row>
      <xdr:rowOff>0</xdr:rowOff>
    </xdr:from>
    <xdr:to>
      <xdr:col>25</xdr:col>
      <xdr:colOff>0</xdr:colOff>
      <xdr:row>85</xdr:row>
      <xdr:rowOff>9525</xdr:rowOff>
    </xdr:to>
    <xdr:grpSp>
      <xdr:nvGrpSpPr>
        <xdr:cNvPr id="10536" name="67 Grupo"/>
        <xdr:cNvGrpSpPr>
          <a:grpSpLocks/>
        </xdr:cNvGrpSpPr>
      </xdr:nvGrpSpPr>
      <xdr:grpSpPr bwMode="auto">
        <a:xfrm>
          <a:off x="1539461" y="11468652"/>
          <a:ext cx="1941996" cy="1390595"/>
          <a:chOff x="1487365" y="4066442"/>
          <a:chExt cx="1834661" cy="1476375"/>
        </a:xfrm>
      </xdr:grpSpPr>
      <xdr:cxnSp macro="">
        <xdr:nvCxnSpPr>
          <xdr:cNvPr id="32" name="31 Conector recto"/>
          <xdr:cNvCxnSpPr/>
        </xdr:nvCxnSpPr>
        <xdr:spPr>
          <a:xfrm>
            <a:off x="2957015" y="4066442"/>
            <a:ext cx="365011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32 Conector recto"/>
          <xdr:cNvCxnSpPr/>
        </xdr:nvCxnSpPr>
        <xdr:spPr>
          <a:xfrm>
            <a:off x="1496971" y="5249497"/>
            <a:ext cx="374617" cy="29332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33 Conector recto"/>
          <xdr:cNvCxnSpPr/>
        </xdr:nvCxnSpPr>
        <xdr:spPr>
          <a:xfrm>
            <a:off x="2592004" y="4076219"/>
            <a:ext cx="730022" cy="56708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34 Conector recto"/>
          <xdr:cNvCxnSpPr/>
        </xdr:nvCxnSpPr>
        <xdr:spPr>
          <a:xfrm>
            <a:off x="2217387" y="4066442"/>
            <a:ext cx="1095033" cy="86040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35 Conector recto"/>
          <xdr:cNvCxnSpPr/>
        </xdr:nvCxnSpPr>
        <xdr:spPr>
          <a:xfrm>
            <a:off x="1861982" y="4076219"/>
            <a:ext cx="1450439" cy="114394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36 Conector recto"/>
          <xdr:cNvCxnSpPr/>
        </xdr:nvCxnSpPr>
        <xdr:spPr>
          <a:xfrm>
            <a:off x="1496971" y="4359762"/>
            <a:ext cx="1440833" cy="115372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37 Conector recto"/>
          <xdr:cNvCxnSpPr/>
        </xdr:nvCxnSpPr>
        <xdr:spPr>
          <a:xfrm>
            <a:off x="1487365" y="4653081"/>
            <a:ext cx="1104639" cy="87018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38 Conector recto"/>
          <xdr:cNvCxnSpPr/>
        </xdr:nvCxnSpPr>
        <xdr:spPr>
          <a:xfrm>
            <a:off x="1487365" y="4956178"/>
            <a:ext cx="739628" cy="57686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76200</xdr:colOff>
      <xdr:row>0</xdr:row>
      <xdr:rowOff>47625</xdr:rowOff>
    </xdr:from>
    <xdr:to>
      <xdr:col>41</xdr:col>
      <xdr:colOff>228600</xdr:colOff>
      <xdr:row>1</xdr:row>
      <xdr:rowOff>47625</xdr:rowOff>
    </xdr:to>
    <xdr:grpSp>
      <xdr:nvGrpSpPr>
        <xdr:cNvPr id="10537" name="39 Grupo"/>
        <xdr:cNvGrpSpPr>
          <a:grpSpLocks/>
        </xdr:cNvGrpSpPr>
      </xdr:nvGrpSpPr>
      <xdr:grpSpPr bwMode="auto">
        <a:xfrm>
          <a:off x="81280" y="45720"/>
          <a:ext cx="6744473" cy="640522"/>
          <a:chOff x="28576" y="66675"/>
          <a:chExt cx="8572499" cy="933213"/>
        </a:xfrm>
      </xdr:grpSpPr>
      <xdr:pic>
        <xdr:nvPicPr>
          <xdr:cNvPr id="10538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539" name="41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10</xdr:col>
      <xdr:colOff>533400</xdr:colOff>
      <xdr:row>0</xdr:row>
      <xdr:rowOff>609600</xdr:rowOff>
    </xdr:to>
    <xdr:grpSp>
      <xdr:nvGrpSpPr>
        <xdr:cNvPr id="5301" name="2 Grupo"/>
        <xdr:cNvGrpSpPr>
          <a:grpSpLocks/>
        </xdr:cNvGrpSpPr>
      </xdr:nvGrpSpPr>
      <xdr:grpSpPr bwMode="auto">
        <a:xfrm>
          <a:off x="38100" y="28575"/>
          <a:ext cx="4883604" cy="581025"/>
          <a:chOff x="28576" y="66675"/>
          <a:chExt cx="8572499" cy="933213"/>
        </a:xfrm>
      </xdr:grpSpPr>
      <xdr:pic>
        <xdr:nvPicPr>
          <xdr:cNvPr id="5302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303" name="4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38100</xdr:rowOff>
    </xdr:from>
    <xdr:to>
      <xdr:col>21</xdr:col>
      <xdr:colOff>742950</xdr:colOff>
      <xdr:row>0</xdr:row>
      <xdr:rowOff>742950</xdr:rowOff>
    </xdr:to>
    <xdr:grpSp>
      <xdr:nvGrpSpPr>
        <xdr:cNvPr id="6325" name="2 Grupo"/>
        <xdr:cNvGrpSpPr>
          <a:grpSpLocks/>
        </xdr:cNvGrpSpPr>
      </xdr:nvGrpSpPr>
      <xdr:grpSpPr bwMode="auto">
        <a:xfrm>
          <a:off x="47625" y="38100"/>
          <a:ext cx="5591175" cy="704850"/>
          <a:chOff x="28576" y="66675"/>
          <a:chExt cx="8572499" cy="933213"/>
        </a:xfrm>
      </xdr:grpSpPr>
      <xdr:pic>
        <xdr:nvPicPr>
          <xdr:cNvPr id="6326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327" name="4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1</xdr:col>
      <xdr:colOff>3800475</xdr:colOff>
      <xdr:row>0</xdr:row>
      <xdr:rowOff>723900</xdr:rowOff>
    </xdr:to>
    <xdr:grpSp>
      <xdr:nvGrpSpPr>
        <xdr:cNvPr id="7349" name="3 Grupo"/>
        <xdr:cNvGrpSpPr>
          <a:grpSpLocks/>
        </xdr:cNvGrpSpPr>
      </xdr:nvGrpSpPr>
      <xdr:grpSpPr bwMode="auto">
        <a:xfrm>
          <a:off x="30480" y="35560"/>
          <a:ext cx="5699760" cy="660400"/>
          <a:chOff x="28576" y="66675"/>
          <a:chExt cx="8572499" cy="933213"/>
        </a:xfrm>
      </xdr:grpSpPr>
      <xdr:pic>
        <xdr:nvPicPr>
          <xdr:cNvPr id="7350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351" name="5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12</xdr:col>
      <xdr:colOff>276225</xdr:colOff>
      <xdr:row>0</xdr:row>
      <xdr:rowOff>638175</xdr:rowOff>
    </xdr:to>
    <xdr:grpSp>
      <xdr:nvGrpSpPr>
        <xdr:cNvPr id="8373" name="2 Grupo"/>
        <xdr:cNvGrpSpPr>
          <a:grpSpLocks/>
        </xdr:cNvGrpSpPr>
      </xdr:nvGrpSpPr>
      <xdr:grpSpPr bwMode="auto">
        <a:xfrm>
          <a:off x="28575" y="9525"/>
          <a:ext cx="4933950" cy="628650"/>
          <a:chOff x="28576" y="66675"/>
          <a:chExt cx="8572499" cy="933213"/>
        </a:xfrm>
      </xdr:grpSpPr>
      <xdr:pic>
        <xdr:nvPicPr>
          <xdr:cNvPr id="8374" name="Picture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52950" y="66676"/>
            <a:ext cx="4048125" cy="93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375" name="4 Imagen" descr="LOGO APROBADO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 l="10776" t="12926" r="5939" b="14285"/>
          <a:stretch>
            <a:fillRect/>
          </a:stretch>
        </xdr:blipFill>
        <xdr:spPr bwMode="auto">
          <a:xfrm>
            <a:off x="28576" y="66675"/>
            <a:ext cx="4495800" cy="919446"/>
          </a:xfrm>
          <a:prstGeom prst="rect">
            <a:avLst/>
          </a:prstGeom>
          <a:noFill/>
          <a:ln w="9525">
            <a:solidFill>
              <a:srgbClr val="C2C2C2"/>
            </a:solidFill>
            <a:miter lim="800000"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3"/>
  <sheetViews>
    <sheetView view="pageBreakPreview" topLeftCell="A28" zoomScaleSheetLayoutView="100" workbookViewId="0">
      <selection activeCell="A26" sqref="A26"/>
    </sheetView>
  </sheetViews>
  <sheetFormatPr baseColWidth="10" defaultRowHeight="14.25"/>
  <cols>
    <col min="1" max="1" width="129.42578125" style="174" customWidth="1"/>
    <col min="2" max="16384" width="11.42578125" style="174"/>
  </cols>
  <sheetData>
    <row r="1" spans="1:1" ht="83.25" customHeight="1"/>
    <row r="2" spans="1:1">
      <c r="A2" s="46" t="s">
        <v>204</v>
      </c>
    </row>
    <row r="3" spans="1:1">
      <c r="A3" s="46" t="s">
        <v>205</v>
      </c>
    </row>
    <row r="4" spans="1:1">
      <c r="A4" s="46" t="s">
        <v>191</v>
      </c>
    </row>
    <row r="5" spans="1:1">
      <c r="A5" s="46" t="s">
        <v>192</v>
      </c>
    </row>
    <row r="6" spans="1:1">
      <c r="A6" s="173"/>
    </row>
    <row r="7" spans="1:1">
      <c r="A7" s="46" t="s">
        <v>325</v>
      </c>
    </row>
    <row r="8" spans="1:1">
      <c r="A8" s="46" t="s">
        <v>326</v>
      </c>
    </row>
    <row r="9" spans="1:1">
      <c r="A9" s="46" t="s">
        <v>327</v>
      </c>
    </row>
    <row r="10" spans="1:1">
      <c r="A10" s="46" t="s">
        <v>328</v>
      </c>
    </row>
    <row r="11" spans="1:1">
      <c r="A11" s="46" t="s">
        <v>329</v>
      </c>
    </row>
    <row r="12" spans="1:1">
      <c r="A12" s="46" t="s">
        <v>330</v>
      </c>
    </row>
    <row r="13" spans="1:1">
      <c r="A13" s="46" t="s">
        <v>331</v>
      </c>
    </row>
    <row r="14" spans="1:1">
      <c r="A14" s="46"/>
    </row>
    <row r="15" spans="1:1">
      <c r="A15" s="47" t="s">
        <v>332</v>
      </c>
    </row>
    <row r="16" spans="1:1">
      <c r="A16" s="47" t="s">
        <v>333</v>
      </c>
    </row>
    <row r="17" spans="1:1">
      <c r="A17" s="47" t="s">
        <v>334</v>
      </c>
    </row>
    <row r="18" spans="1:1">
      <c r="A18" s="47" t="s">
        <v>335</v>
      </c>
    </row>
    <row r="19" spans="1:1">
      <c r="A19" s="47" t="s">
        <v>336</v>
      </c>
    </row>
    <row r="20" spans="1:1">
      <c r="A20" s="47"/>
    </row>
    <row r="21" spans="1:1">
      <c r="A21" s="47" t="s">
        <v>337</v>
      </c>
    </row>
    <row r="22" spans="1:1">
      <c r="A22" s="47" t="s">
        <v>194</v>
      </c>
    </row>
    <row r="23" spans="1:1">
      <c r="A23" s="47" t="s">
        <v>193</v>
      </c>
    </row>
    <row r="24" spans="1:1">
      <c r="A24" s="47" t="s">
        <v>186</v>
      </c>
    </row>
    <row r="25" spans="1:1">
      <c r="A25" s="47"/>
    </row>
    <row r="26" spans="1:1">
      <c r="A26" s="47" t="s">
        <v>350</v>
      </c>
    </row>
    <row r="27" spans="1:1">
      <c r="A27" s="47" t="s">
        <v>195</v>
      </c>
    </row>
    <row r="28" spans="1:1">
      <c r="A28" s="47"/>
    </row>
    <row r="29" spans="1:1">
      <c r="A29" s="47" t="s">
        <v>187</v>
      </c>
    </row>
    <row r="30" spans="1:1">
      <c r="A30" s="47" t="s">
        <v>188</v>
      </c>
    </row>
    <row r="31" spans="1:1">
      <c r="A31" s="47" t="s">
        <v>196</v>
      </c>
    </row>
    <row r="32" spans="1:1">
      <c r="A32" s="47" t="s">
        <v>197</v>
      </c>
    </row>
    <row r="33" spans="1:1">
      <c r="A33" s="47" t="s">
        <v>189</v>
      </c>
    </row>
    <row r="34" spans="1:1">
      <c r="A34" s="47" t="s">
        <v>190</v>
      </c>
    </row>
    <row r="35" spans="1:1">
      <c r="A35" s="47"/>
    </row>
    <row r="36" spans="1:1">
      <c r="A36" s="47" t="s">
        <v>201</v>
      </c>
    </row>
    <row r="37" spans="1:1">
      <c r="A37" s="47" t="s">
        <v>198</v>
      </c>
    </row>
    <row r="38" spans="1:1">
      <c r="A38" s="46" t="s">
        <v>199</v>
      </c>
    </row>
    <row r="39" spans="1:1">
      <c r="A39" s="46" t="s">
        <v>200</v>
      </c>
    </row>
    <row r="40" spans="1:1">
      <c r="A40" s="46"/>
    </row>
    <row r="41" spans="1:1">
      <c r="A41" s="46" t="s">
        <v>202</v>
      </c>
    </row>
    <row r="42" spans="1:1">
      <c r="A42" s="46" t="s">
        <v>338</v>
      </c>
    </row>
    <row r="43" spans="1:1">
      <c r="A43" s="46" t="s">
        <v>99</v>
      </c>
    </row>
    <row r="44" spans="1:1">
      <c r="A44" s="46"/>
    </row>
    <row r="45" spans="1:1">
      <c r="A45" s="48" t="s">
        <v>203</v>
      </c>
    </row>
    <row r="46" spans="1:1">
      <c r="A46" s="48" t="s">
        <v>85</v>
      </c>
    </row>
    <row r="47" spans="1:1">
      <c r="A47" s="48" t="s">
        <v>76</v>
      </c>
    </row>
    <row r="48" spans="1:1">
      <c r="A48" s="48" t="s">
        <v>77</v>
      </c>
    </row>
    <row r="49" spans="1:1">
      <c r="A49" s="48" t="s">
        <v>78</v>
      </c>
    </row>
    <row r="50" spans="1:1">
      <c r="A50" s="175"/>
    </row>
    <row r="51" spans="1:1">
      <c r="A51" s="175"/>
    </row>
    <row r="52" spans="1:1">
      <c r="A52" s="175"/>
    </row>
    <row r="53" spans="1:1">
      <c r="A53" s="175"/>
    </row>
  </sheetData>
  <pageMargins left="0.7" right="0.7" top="0.75" bottom="0.75" header="0.3" footer="0.3"/>
  <pageSetup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view="pageBreakPreview" topLeftCell="A22" zoomScaleSheetLayoutView="100" workbookViewId="0">
      <selection activeCell="A47" sqref="A47"/>
    </sheetView>
  </sheetViews>
  <sheetFormatPr baseColWidth="10" defaultRowHeight="12.75"/>
  <cols>
    <col min="1" max="1" width="44" style="139" customWidth="1"/>
    <col min="2" max="2" width="3.7109375" style="139" customWidth="1"/>
    <col min="3" max="3" width="24.7109375" style="139" bestFit="1" customWidth="1"/>
    <col min="4" max="4" width="25.140625" style="139" customWidth="1"/>
    <col min="5" max="5" width="26.5703125" style="143" customWidth="1"/>
    <col min="6" max="6" width="2" style="139" customWidth="1"/>
    <col min="7" max="7" width="2.42578125" style="139" customWidth="1"/>
    <col min="8" max="8" width="2.7109375" style="139" customWidth="1"/>
    <col min="9" max="9" width="2.140625" style="139" customWidth="1"/>
    <col min="10" max="10" width="4.28515625" style="139" customWidth="1"/>
    <col min="11" max="13" width="11.42578125" style="139" customWidth="1"/>
    <col min="14" max="14" width="22.85546875" style="139" customWidth="1"/>
    <col min="15" max="16384" width="11.42578125" style="139"/>
  </cols>
  <sheetData>
    <row r="1" spans="1:10" ht="60.75" customHeight="1" thickBot="1">
      <c r="A1" s="138"/>
      <c r="B1" s="138"/>
      <c r="C1" s="138"/>
      <c r="D1" s="138"/>
      <c r="E1" s="144"/>
      <c r="G1" s="138"/>
      <c r="H1" s="138"/>
      <c r="I1" s="138"/>
    </row>
    <row r="2" spans="1:10" ht="15" customHeight="1">
      <c r="A2" s="220" t="s">
        <v>150</v>
      </c>
      <c r="B2" s="221"/>
      <c r="C2" s="221"/>
      <c r="D2" s="221"/>
      <c r="E2" s="222"/>
      <c r="G2" s="60">
        <v>1</v>
      </c>
      <c r="H2" s="61" t="s">
        <v>56</v>
      </c>
      <c r="I2" s="217">
        <v>1</v>
      </c>
    </row>
    <row r="3" spans="1:10" ht="15" customHeight="1">
      <c r="A3" s="223"/>
      <c r="B3" s="224"/>
      <c r="C3" s="224"/>
      <c r="D3" s="224"/>
      <c r="E3" s="225"/>
      <c r="G3" s="62">
        <v>2</v>
      </c>
      <c r="H3" s="63">
        <v>5</v>
      </c>
      <c r="I3" s="218"/>
    </row>
    <row r="4" spans="1:10" ht="15.75" customHeight="1" thickBot="1">
      <c r="A4" s="226" t="s">
        <v>149</v>
      </c>
      <c r="B4" s="209" t="s">
        <v>170</v>
      </c>
      <c r="C4" s="209"/>
      <c r="D4" s="210" t="s">
        <v>145</v>
      </c>
      <c r="E4" s="212" t="s">
        <v>146</v>
      </c>
      <c r="G4" s="64">
        <v>3</v>
      </c>
      <c r="H4" s="65">
        <v>4</v>
      </c>
      <c r="I4" s="219"/>
      <c r="J4" s="140"/>
    </row>
    <row r="5" spans="1:10" ht="13.5">
      <c r="A5" s="227"/>
      <c r="B5" s="207" t="s">
        <v>169</v>
      </c>
      <c r="C5" s="207"/>
      <c r="D5" s="211"/>
      <c r="E5" s="213"/>
      <c r="G5" s="60">
        <v>1</v>
      </c>
      <c r="H5" s="66">
        <v>5</v>
      </c>
      <c r="I5" s="217">
        <v>2</v>
      </c>
    </row>
    <row r="6" spans="1:10" ht="15">
      <c r="A6" s="135" t="s">
        <v>1</v>
      </c>
      <c r="B6" s="77">
        <v>1</v>
      </c>
      <c r="C6" s="74" t="s">
        <v>127</v>
      </c>
      <c r="D6" s="75" t="str">
        <f>C6</f>
        <v>PATIN SPORT - ANTIOQUIA</v>
      </c>
      <c r="E6" s="203" t="str">
        <f>C7</f>
        <v>MIMBRE - QUINDIO</v>
      </c>
      <c r="G6" s="67" t="s">
        <v>56</v>
      </c>
      <c r="H6" s="63">
        <v>4</v>
      </c>
      <c r="I6" s="218"/>
    </row>
    <row r="7" spans="1:10" ht="15.75" thickBot="1">
      <c r="A7" s="135" t="s">
        <v>86</v>
      </c>
      <c r="B7" s="77">
        <v>2</v>
      </c>
      <c r="C7" s="74" t="s">
        <v>128</v>
      </c>
      <c r="D7" s="75" t="s">
        <v>118</v>
      </c>
      <c r="E7" s="203" t="s">
        <v>339</v>
      </c>
      <c r="G7" s="64">
        <v>2</v>
      </c>
      <c r="H7" s="65">
        <v>3</v>
      </c>
      <c r="I7" s="219"/>
    </row>
    <row r="8" spans="1:10" ht="15">
      <c r="A8" s="135" t="s">
        <v>90</v>
      </c>
      <c r="B8" s="77">
        <v>3</v>
      </c>
      <c r="C8" s="74" t="s">
        <v>129</v>
      </c>
      <c r="D8" s="75" t="s">
        <v>140</v>
      </c>
      <c r="E8" s="203" t="s">
        <v>340</v>
      </c>
      <c r="G8" s="60">
        <v>1</v>
      </c>
      <c r="H8" s="66">
        <v>4</v>
      </c>
      <c r="I8" s="217">
        <v>3</v>
      </c>
    </row>
    <row r="9" spans="1:10" ht="15">
      <c r="A9" s="135" t="s">
        <v>114</v>
      </c>
      <c r="B9" s="77">
        <v>4</v>
      </c>
      <c r="C9" s="74" t="s">
        <v>130</v>
      </c>
      <c r="D9" s="75"/>
      <c r="E9" s="203"/>
      <c r="G9" s="62">
        <v>5</v>
      </c>
      <c r="H9" s="63">
        <v>3</v>
      </c>
      <c r="I9" s="218"/>
    </row>
    <row r="10" spans="1:10" ht="15.75" thickBot="1">
      <c r="A10" s="135" t="s">
        <v>115</v>
      </c>
      <c r="B10" s="77">
        <v>5</v>
      </c>
      <c r="C10" s="74" t="s">
        <v>131</v>
      </c>
      <c r="D10" s="75"/>
      <c r="E10" s="203"/>
      <c r="G10" s="68" t="s">
        <v>56</v>
      </c>
      <c r="H10" s="65">
        <v>2</v>
      </c>
      <c r="I10" s="219"/>
    </row>
    <row r="11" spans="1:10" ht="15">
      <c r="A11" s="135" t="s">
        <v>32</v>
      </c>
      <c r="B11" s="77">
        <v>6</v>
      </c>
      <c r="C11" s="74" t="s">
        <v>141</v>
      </c>
      <c r="D11" s="215" t="s">
        <v>147</v>
      </c>
      <c r="E11" s="216" t="s">
        <v>148</v>
      </c>
      <c r="G11" s="60">
        <v>1</v>
      </c>
      <c r="H11" s="66">
        <v>3</v>
      </c>
      <c r="I11" s="217">
        <v>4</v>
      </c>
    </row>
    <row r="12" spans="1:10" ht="15">
      <c r="A12" s="135" t="s">
        <v>116</v>
      </c>
      <c r="B12" s="77">
        <v>7</v>
      </c>
      <c r="C12" s="74" t="s">
        <v>133</v>
      </c>
      <c r="D12" s="215"/>
      <c r="E12" s="216"/>
      <c r="G12" s="62">
        <v>4</v>
      </c>
      <c r="H12" s="63">
        <v>2</v>
      </c>
      <c r="I12" s="218"/>
    </row>
    <row r="13" spans="1:10" ht="15.75" thickBot="1">
      <c r="A13" s="135" t="s">
        <v>126</v>
      </c>
      <c r="B13" s="77">
        <v>8</v>
      </c>
      <c r="C13" s="74" t="s">
        <v>134</v>
      </c>
      <c r="D13" s="202" t="str">
        <f>C8</f>
        <v>MANIZALES - CALDAS</v>
      </c>
      <c r="E13" s="201" t="str">
        <f>C9</f>
        <v>INTER AZUL - BOGOTA</v>
      </c>
      <c r="G13" s="64">
        <v>5</v>
      </c>
      <c r="H13" s="69" t="s">
        <v>56</v>
      </c>
      <c r="I13" s="219"/>
    </row>
    <row r="14" spans="1:10" ht="15">
      <c r="A14" s="135" t="s">
        <v>117</v>
      </c>
      <c r="B14" s="77">
        <v>9</v>
      </c>
      <c r="C14" s="74" t="s">
        <v>135</v>
      </c>
      <c r="D14" s="202" t="s">
        <v>136</v>
      </c>
      <c r="E14" s="201" t="s">
        <v>342</v>
      </c>
      <c r="G14" s="60">
        <v>1</v>
      </c>
      <c r="H14" s="66">
        <v>2</v>
      </c>
      <c r="I14" s="217">
        <v>5</v>
      </c>
    </row>
    <row r="15" spans="1:10" ht="15">
      <c r="A15" s="135" t="s">
        <v>50</v>
      </c>
      <c r="B15" s="77">
        <v>10</v>
      </c>
      <c r="C15" s="74" t="s">
        <v>136</v>
      </c>
      <c r="D15" s="202" t="s">
        <v>341</v>
      </c>
      <c r="E15" s="201" t="s">
        <v>96</v>
      </c>
      <c r="G15" s="62">
        <v>3</v>
      </c>
      <c r="H15" s="70" t="s">
        <v>56</v>
      </c>
      <c r="I15" s="218"/>
    </row>
    <row r="16" spans="1:10" ht="15.75" thickBot="1">
      <c r="A16" s="135" t="s">
        <v>124</v>
      </c>
      <c r="B16" s="77">
        <v>11</v>
      </c>
      <c r="C16" s="74" t="s">
        <v>137</v>
      </c>
      <c r="D16" s="202"/>
      <c r="E16" s="201"/>
      <c r="G16" s="64">
        <v>4</v>
      </c>
      <c r="H16" s="65">
        <v>5</v>
      </c>
      <c r="I16" s="219"/>
    </row>
    <row r="17" spans="1:14" ht="15.75" thickBot="1">
      <c r="A17" s="135" t="s">
        <v>118</v>
      </c>
      <c r="B17" s="77">
        <v>12</v>
      </c>
      <c r="C17" s="74" t="s">
        <v>138</v>
      </c>
      <c r="D17" s="198" t="s">
        <v>343</v>
      </c>
      <c r="E17" s="199" t="s">
        <v>344</v>
      </c>
      <c r="G17" s="133"/>
      <c r="H17" s="133"/>
      <c r="I17" s="134"/>
    </row>
    <row r="18" spans="1:14" ht="15">
      <c r="A18" s="135" t="s">
        <v>120</v>
      </c>
      <c r="B18" s="77">
        <v>13</v>
      </c>
      <c r="C18" s="74" t="s">
        <v>139</v>
      </c>
      <c r="D18" s="197" t="s">
        <v>131</v>
      </c>
      <c r="E18" s="199" t="s">
        <v>141</v>
      </c>
      <c r="G18" s="60">
        <v>1</v>
      </c>
      <c r="H18" s="145">
        <v>4</v>
      </c>
      <c r="I18" s="217">
        <v>1</v>
      </c>
    </row>
    <row r="19" spans="1:14" ht="15.75" thickBot="1">
      <c r="A19" s="135" t="s">
        <v>89</v>
      </c>
      <c r="B19" s="77">
        <v>14</v>
      </c>
      <c r="C19" s="74" t="s">
        <v>140</v>
      </c>
      <c r="D19" s="137" t="s">
        <v>134</v>
      </c>
      <c r="E19" s="200" t="s">
        <v>133</v>
      </c>
      <c r="G19" s="64">
        <v>2</v>
      </c>
      <c r="H19" s="65">
        <v>3</v>
      </c>
      <c r="I19" s="219"/>
    </row>
    <row r="20" spans="1:14" ht="15">
      <c r="A20" s="135" t="s">
        <v>119</v>
      </c>
      <c r="B20" s="77">
        <v>15</v>
      </c>
      <c r="C20" s="74" t="s">
        <v>180</v>
      </c>
      <c r="D20" s="137" t="s">
        <v>143</v>
      </c>
      <c r="E20" s="200" t="s">
        <v>345</v>
      </c>
      <c r="G20" s="60">
        <v>1</v>
      </c>
      <c r="H20" s="66">
        <v>3</v>
      </c>
      <c r="I20" s="217">
        <v>2</v>
      </c>
      <c r="N20" s="139" t="s">
        <v>181</v>
      </c>
    </row>
    <row r="21" spans="1:14" ht="15.75" thickBot="1">
      <c r="A21" s="135" t="s">
        <v>121</v>
      </c>
      <c r="B21" s="77">
        <v>16</v>
      </c>
      <c r="C21" s="74" t="s">
        <v>142</v>
      </c>
      <c r="D21" s="148"/>
      <c r="E21" s="149"/>
      <c r="G21" s="146">
        <v>4</v>
      </c>
      <c r="H21" s="63">
        <v>2</v>
      </c>
      <c r="I21" s="219"/>
    </row>
    <row r="22" spans="1:14" ht="15">
      <c r="A22" s="135" t="s">
        <v>122</v>
      </c>
      <c r="B22" s="77">
        <v>17</v>
      </c>
      <c r="C22" s="74" t="s">
        <v>143</v>
      </c>
      <c r="D22" s="148"/>
      <c r="E22" s="149"/>
      <c r="G22" s="60">
        <v>1</v>
      </c>
      <c r="H22" s="66">
        <v>2</v>
      </c>
      <c r="I22" s="217">
        <v>3</v>
      </c>
    </row>
    <row r="23" spans="1:14" ht="15.75" thickBot="1">
      <c r="A23" s="135" t="s">
        <v>125</v>
      </c>
      <c r="B23" s="77">
        <v>18</v>
      </c>
      <c r="C23" s="74" t="s">
        <v>144</v>
      </c>
      <c r="D23" s="148"/>
      <c r="E23" s="149"/>
      <c r="G23" s="64">
        <v>3</v>
      </c>
      <c r="H23" s="65">
        <v>4</v>
      </c>
      <c r="I23" s="219"/>
    </row>
    <row r="24" spans="1:14" ht="15.75" thickBot="1">
      <c r="A24" s="135" t="s">
        <v>123</v>
      </c>
      <c r="B24" s="147">
        <v>19</v>
      </c>
      <c r="C24" s="150"/>
      <c r="D24" s="148"/>
      <c r="E24" s="149"/>
      <c r="G24" s="117"/>
      <c r="H24" s="117"/>
      <c r="I24" s="117"/>
    </row>
    <row r="25" spans="1:14">
      <c r="A25" s="141"/>
      <c r="B25" s="149"/>
      <c r="C25" s="150"/>
      <c r="D25" s="148"/>
      <c r="E25" s="149"/>
      <c r="G25" s="60">
        <v>1</v>
      </c>
      <c r="H25" s="61" t="s">
        <v>56</v>
      </c>
      <c r="I25" s="217">
        <v>1</v>
      </c>
    </row>
    <row r="26" spans="1:14" ht="12.75" customHeight="1">
      <c r="A26" s="208" t="s">
        <v>151</v>
      </c>
      <c r="B26" s="208"/>
      <c r="C26" s="208"/>
      <c r="D26" s="208"/>
      <c r="E26" s="208"/>
      <c r="G26" s="62">
        <v>2</v>
      </c>
      <c r="H26" s="63">
        <v>5</v>
      </c>
      <c r="I26" s="218"/>
    </row>
    <row r="27" spans="1:14" ht="13.5" customHeight="1" thickBot="1">
      <c r="A27" s="208"/>
      <c r="B27" s="208"/>
      <c r="C27" s="208"/>
      <c r="D27" s="208"/>
      <c r="E27" s="208"/>
      <c r="G27" s="64">
        <v>3</v>
      </c>
      <c r="H27" s="65">
        <v>4</v>
      </c>
      <c r="I27" s="219"/>
      <c r="J27" s="140"/>
    </row>
    <row r="28" spans="1:14" ht="15" customHeight="1">
      <c r="A28" s="228" t="s">
        <v>152</v>
      </c>
      <c r="B28" s="209" t="s">
        <v>33</v>
      </c>
      <c r="C28" s="209"/>
      <c r="D28" s="159" t="s">
        <v>34</v>
      </c>
      <c r="E28" s="158" t="s">
        <v>36</v>
      </c>
      <c r="G28" s="60">
        <v>1</v>
      </c>
      <c r="H28" s="66">
        <v>5</v>
      </c>
      <c r="I28" s="217">
        <v>2</v>
      </c>
    </row>
    <row r="29" spans="1:14" ht="15" customHeight="1">
      <c r="A29" s="228"/>
      <c r="B29" s="207" t="s">
        <v>169</v>
      </c>
      <c r="C29" s="207"/>
      <c r="D29" s="159" t="s">
        <v>35</v>
      </c>
      <c r="E29" s="158" t="s">
        <v>37</v>
      </c>
      <c r="G29" s="67" t="s">
        <v>56</v>
      </c>
      <c r="H29" s="63">
        <v>4</v>
      </c>
      <c r="I29" s="218"/>
    </row>
    <row r="30" spans="1:14" ht="15.75" customHeight="1" thickBot="1">
      <c r="A30" s="151" t="s">
        <v>153</v>
      </c>
      <c r="B30" s="45">
        <v>1</v>
      </c>
      <c r="C30" s="76" t="s">
        <v>127</v>
      </c>
      <c r="D30" s="136" t="str">
        <f>C30</f>
        <v>PATIN SPORT - ANTIOQUIA</v>
      </c>
      <c r="E30" s="162" t="str">
        <f>C31</f>
        <v>CORAZONISTA - BOGOTA</v>
      </c>
      <c r="G30" s="64">
        <v>2</v>
      </c>
      <c r="H30" s="65">
        <v>3</v>
      </c>
      <c r="I30" s="219"/>
    </row>
    <row r="31" spans="1:14" ht="13.5">
      <c r="A31" s="151" t="s">
        <v>154</v>
      </c>
      <c r="B31" s="45">
        <v>2</v>
      </c>
      <c r="C31" s="76" t="s">
        <v>176</v>
      </c>
      <c r="D31" s="136" t="s">
        <v>177</v>
      </c>
      <c r="E31" s="162" t="s">
        <v>346</v>
      </c>
      <c r="G31" s="60">
        <v>1</v>
      </c>
      <c r="H31" s="66">
        <v>4</v>
      </c>
      <c r="I31" s="217">
        <v>3</v>
      </c>
    </row>
    <row r="32" spans="1:14" ht="15" customHeight="1">
      <c r="A32" s="151" t="s">
        <v>155</v>
      </c>
      <c r="B32" s="45">
        <v>3</v>
      </c>
      <c r="C32" s="76" t="s">
        <v>182</v>
      </c>
      <c r="D32" s="136" t="s">
        <v>131</v>
      </c>
      <c r="E32" s="162" t="s">
        <v>347</v>
      </c>
      <c r="G32" s="62">
        <v>5</v>
      </c>
      <c r="H32" s="63">
        <v>3</v>
      </c>
      <c r="I32" s="218"/>
    </row>
    <row r="33" spans="1:9" ht="15.75" customHeight="1" thickBot="1">
      <c r="A33" s="151" t="s">
        <v>156</v>
      </c>
      <c r="B33" s="45">
        <v>4</v>
      </c>
      <c r="C33" s="76" t="s">
        <v>132</v>
      </c>
      <c r="D33" s="160"/>
      <c r="E33" s="162"/>
      <c r="G33" s="68" t="s">
        <v>56</v>
      </c>
      <c r="H33" s="65">
        <v>2</v>
      </c>
      <c r="I33" s="219"/>
    </row>
    <row r="34" spans="1:9" ht="13.5">
      <c r="A34" s="151" t="s">
        <v>157</v>
      </c>
      <c r="B34" s="45">
        <v>5</v>
      </c>
      <c r="C34" s="74" t="s">
        <v>130</v>
      </c>
      <c r="D34" s="161"/>
      <c r="E34" s="204" t="s">
        <v>148</v>
      </c>
      <c r="G34" s="60">
        <v>1</v>
      </c>
      <c r="H34" s="66">
        <v>3</v>
      </c>
      <c r="I34" s="217">
        <v>4</v>
      </c>
    </row>
    <row r="35" spans="1:9" ht="15" customHeight="1">
      <c r="A35" s="151" t="s">
        <v>158</v>
      </c>
      <c r="B35" s="45">
        <v>6</v>
      </c>
      <c r="C35" s="74" t="s">
        <v>137</v>
      </c>
      <c r="D35" s="214" t="s">
        <v>147</v>
      </c>
      <c r="E35" s="205" t="s">
        <v>132</v>
      </c>
      <c r="G35" s="62">
        <v>4</v>
      </c>
      <c r="H35" s="63">
        <v>2</v>
      </c>
      <c r="I35" s="218"/>
    </row>
    <row r="36" spans="1:9" ht="15.75" customHeight="1" thickBot="1">
      <c r="A36" s="151" t="s">
        <v>159</v>
      </c>
      <c r="B36" s="45">
        <v>7</v>
      </c>
      <c r="C36" s="76" t="s">
        <v>129</v>
      </c>
      <c r="D36" s="214"/>
      <c r="E36" s="205" t="s">
        <v>130</v>
      </c>
      <c r="G36" s="64">
        <v>5</v>
      </c>
      <c r="H36" s="69" t="s">
        <v>56</v>
      </c>
      <c r="I36" s="219"/>
    </row>
    <row r="37" spans="1:9" ht="13.5">
      <c r="A37" s="151" t="s">
        <v>160</v>
      </c>
      <c r="B37" s="45">
        <v>8</v>
      </c>
      <c r="C37" s="76" t="s">
        <v>177</v>
      </c>
      <c r="D37" s="169" t="str">
        <f>C32</f>
        <v>BENGALA - VALLE</v>
      </c>
      <c r="E37" s="205" t="s">
        <v>179</v>
      </c>
      <c r="G37" s="60">
        <v>1</v>
      </c>
      <c r="H37" s="66">
        <v>2</v>
      </c>
      <c r="I37" s="217">
        <v>5</v>
      </c>
    </row>
    <row r="38" spans="1:9" ht="15" customHeight="1">
      <c r="A38" s="151" t="s">
        <v>161</v>
      </c>
      <c r="B38" s="45">
        <v>9</v>
      </c>
      <c r="C38" s="76" t="s">
        <v>131</v>
      </c>
      <c r="D38" s="169" t="s">
        <v>348</v>
      </c>
      <c r="E38" s="206" t="s">
        <v>144</v>
      </c>
      <c r="G38" s="62">
        <v>3</v>
      </c>
      <c r="H38" s="70" t="s">
        <v>56</v>
      </c>
      <c r="I38" s="218"/>
    </row>
    <row r="39" spans="1:9" ht="15.75" customHeight="1" thickBot="1">
      <c r="A39" s="151" t="s">
        <v>162</v>
      </c>
      <c r="B39" s="45">
        <v>10</v>
      </c>
      <c r="C39" s="74" t="s">
        <v>178</v>
      </c>
      <c r="D39" s="169" t="s">
        <v>138</v>
      </c>
      <c r="E39" s="156"/>
      <c r="G39" s="64">
        <v>4</v>
      </c>
      <c r="H39" s="65">
        <v>5</v>
      </c>
      <c r="I39" s="219"/>
    </row>
    <row r="40" spans="1:9" ht="14.25" thickBot="1">
      <c r="A40" s="151" t="s">
        <v>163</v>
      </c>
      <c r="B40" s="45">
        <v>11</v>
      </c>
      <c r="C40" s="142" t="s">
        <v>138</v>
      </c>
      <c r="D40" s="169"/>
      <c r="E40" s="157"/>
    </row>
    <row r="41" spans="1:9" ht="13.5">
      <c r="A41" s="151" t="s">
        <v>164</v>
      </c>
      <c r="B41" s="45">
        <v>12</v>
      </c>
      <c r="C41" s="142" t="s">
        <v>179</v>
      </c>
      <c r="D41" s="148"/>
      <c r="E41" s="157"/>
      <c r="G41" s="60">
        <v>1</v>
      </c>
      <c r="H41" s="145">
        <v>4</v>
      </c>
      <c r="I41" s="217">
        <v>1</v>
      </c>
    </row>
    <row r="42" spans="1:9" ht="15.75" customHeight="1" thickBot="1">
      <c r="A42" s="151" t="s">
        <v>165</v>
      </c>
      <c r="B42" s="45">
        <v>13</v>
      </c>
      <c r="C42" s="142" t="s">
        <v>144</v>
      </c>
      <c r="D42" s="148"/>
      <c r="E42" s="157"/>
      <c r="G42" s="64">
        <v>2</v>
      </c>
      <c r="H42" s="65">
        <v>3</v>
      </c>
      <c r="I42" s="219"/>
    </row>
    <row r="43" spans="1:9" ht="13.5">
      <c r="A43" s="151" t="s">
        <v>166</v>
      </c>
      <c r="B43" s="89">
        <v>14</v>
      </c>
      <c r="C43" s="155"/>
      <c r="D43" s="153"/>
      <c r="E43" s="154"/>
      <c r="G43" s="60">
        <v>1</v>
      </c>
      <c r="H43" s="66">
        <v>3</v>
      </c>
      <c r="I43" s="217">
        <v>2</v>
      </c>
    </row>
    <row r="44" spans="1:9" ht="15.75" customHeight="1" thickBot="1">
      <c r="A44" s="151" t="s">
        <v>167</v>
      </c>
      <c r="B44" s="89">
        <v>15</v>
      </c>
      <c r="C44" s="155"/>
      <c r="D44" s="153"/>
      <c r="E44" s="154"/>
      <c r="G44" s="146">
        <v>4</v>
      </c>
      <c r="H44" s="63">
        <v>2</v>
      </c>
      <c r="I44" s="219"/>
    </row>
    <row r="45" spans="1:9" ht="13.5">
      <c r="A45" s="152" t="s">
        <v>168</v>
      </c>
      <c r="B45" s="89">
        <v>16</v>
      </c>
      <c r="C45" s="155"/>
      <c r="D45" s="153"/>
      <c r="E45" s="154"/>
      <c r="G45" s="60">
        <v>1</v>
      </c>
      <c r="H45" s="66">
        <v>2</v>
      </c>
      <c r="I45" s="217">
        <v>3</v>
      </c>
    </row>
    <row r="46" spans="1:9" ht="15.75" customHeight="1" thickBot="1">
      <c r="G46" s="64">
        <v>3</v>
      </c>
      <c r="H46" s="65">
        <v>4</v>
      </c>
      <c r="I46" s="219"/>
    </row>
    <row r="47" spans="1:9">
      <c r="A47" s="117" t="s">
        <v>349</v>
      </c>
      <c r="B47" s="117"/>
      <c r="C47" s="117"/>
      <c r="D47" s="117"/>
    </row>
    <row r="48" spans="1:9">
      <c r="A48" s="117"/>
      <c r="B48" s="117"/>
      <c r="C48" s="117"/>
      <c r="D48" s="117"/>
    </row>
    <row r="49" spans="1:4">
      <c r="A49" s="117"/>
      <c r="B49" s="117"/>
      <c r="C49" s="117"/>
      <c r="D49" s="117"/>
    </row>
    <row r="50" spans="1:4">
      <c r="A50" s="143"/>
      <c r="B50" s="143"/>
      <c r="C50" s="143"/>
      <c r="D50" s="143"/>
    </row>
    <row r="51" spans="1:4">
      <c r="A51" s="143"/>
      <c r="B51" s="143"/>
      <c r="C51" s="143"/>
      <c r="D51" s="143"/>
    </row>
  </sheetData>
  <mergeCells count="29">
    <mergeCell ref="I43:I44"/>
    <mergeCell ref="I45:I46"/>
    <mergeCell ref="I18:I19"/>
    <mergeCell ref="I20:I21"/>
    <mergeCell ref="I22:I23"/>
    <mergeCell ref="I37:I39"/>
    <mergeCell ref="I41:I42"/>
    <mergeCell ref="D35:D36"/>
    <mergeCell ref="D11:D12"/>
    <mergeCell ref="E11:E12"/>
    <mergeCell ref="I2:I4"/>
    <mergeCell ref="I5:I7"/>
    <mergeCell ref="I8:I10"/>
    <mergeCell ref="I11:I13"/>
    <mergeCell ref="I14:I16"/>
    <mergeCell ref="I25:I27"/>
    <mergeCell ref="I28:I30"/>
    <mergeCell ref="A2:E3"/>
    <mergeCell ref="A4:A5"/>
    <mergeCell ref="A28:A29"/>
    <mergeCell ref="I31:I33"/>
    <mergeCell ref="I34:I36"/>
    <mergeCell ref="B4:C4"/>
    <mergeCell ref="B5:C5"/>
    <mergeCell ref="A26:E27"/>
    <mergeCell ref="B28:C28"/>
    <mergeCell ref="B29:C29"/>
    <mergeCell ref="D4:D5"/>
    <mergeCell ref="E4:E5"/>
  </mergeCells>
  <pageMargins left="0.7" right="0.7" top="0.75" bottom="0.75" header="0.3" footer="0.3"/>
  <pageSetup paperSize="9" scale="95" orientation="landscape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2"/>
  <sheetViews>
    <sheetView tabSelected="1" view="pageBreakPreview" zoomScale="142" zoomScaleSheetLayoutView="142" workbookViewId="0">
      <pane ySplit="465" topLeftCell="A16" activePane="bottomLeft"/>
      <selection activeCell="F1" sqref="F1:G65536"/>
      <selection pane="bottomLeft" activeCell="H55" sqref="H55"/>
    </sheetView>
  </sheetViews>
  <sheetFormatPr baseColWidth="10" defaultRowHeight="15"/>
  <cols>
    <col min="1" max="1" width="10" style="130" customWidth="1"/>
    <col min="2" max="2" width="10.42578125" style="130" customWidth="1"/>
    <col min="3" max="3" width="3.85546875" style="81" customWidth="1"/>
    <col min="4" max="4" width="8.85546875" style="125" customWidth="1"/>
    <col min="5" max="5" width="25.5703125" style="125" customWidth="1"/>
    <col min="6" max="7" width="3.28515625" style="125" customWidth="1"/>
    <col min="8" max="8" width="25.5703125" style="125" customWidth="1"/>
    <col min="9" max="9" width="0" style="81" hidden="1" customWidth="1"/>
    <col min="10" max="10" width="16.85546875" style="81" hidden="1" customWidth="1"/>
    <col min="11" max="14" width="11.42578125" style="81" hidden="1" customWidth="1"/>
    <col min="15" max="17" width="0" style="81" hidden="1" customWidth="1"/>
    <col min="18" max="18" width="0.42578125" style="81" customWidth="1"/>
    <col min="19" max="16384" width="11.42578125" style="81"/>
  </cols>
  <sheetData>
    <row r="1" spans="1:8" ht="39.75" customHeight="1"/>
    <row r="2" spans="1:8">
      <c r="A2" s="232" t="s">
        <v>185</v>
      </c>
      <c r="B2" s="232"/>
      <c r="C2" s="232"/>
      <c r="D2" s="232"/>
      <c r="E2" s="232"/>
      <c r="F2" s="232"/>
      <c r="G2" s="232"/>
      <c r="H2" s="232"/>
    </row>
    <row r="3" spans="1:8">
      <c r="A3" s="233" t="s">
        <v>93</v>
      </c>
      <c r="B3" s="233"/>
      <c r="C3" s="233"/>
      <c r="D3" s="233"/>
      <c r="E3" s="233"/>
      <c r="F3" s="233"/>
      <c r="G3" s="233"/>
      <c r="H3" s="233"/>
    </row>
    <row r="4" spans="1:8">
      <c r="A4" s="120" t="s">
        <v>79</v>
      </c>
      <c r="B4" s="120" t="s">
        <v>80</v>
      </c>
      <c r="C4" s="88" t="s">
        <v>81</v>
      </c>
      <c r="D4" s="89" t="s">
        <v>34</v>
      </c>
      <c r="E4" s="89" t="s">
        <v>0</v>
      </c>
      <c r="F4" s="89"/>
      <c r="G4" s="89"/>
      <c r="H4" s="89" t="s">
        <v>0</v>
      </c>
    </row>
    <row r="5" spans="1:8">
      <c r="A5" s="120">
        <v>0.41666666666666669</v>
      </c>
      <c r="B5" s="120">
        <v>0.45833333333333331</v>
      </c>
      <c r="C5" s="233" t="s">
        <v>92</v>
      </c>
      <c r="D5" s="233"/>
      <c r="E5" s="233"/>
      <c r="F5" s="233"/>
      <c r="G5" s="233"/>
      <c r="H5" s="233"/>
    </row>
    <row r="6" spans="1:8">
      <c r="A6" s="120">
        <v>0.45833333333333331</v>
      </c>
      <c r="B6" s="121">
        <v>0.5</v>
      </c>
      <c r="C6" s="233" t="s">
        <v>82</v>
      </c>
      <c r="D6" s="233"/>
      <c r="E6" s="233"/>
      <c r="F6" s="233"/>
      <c r="G6" s="233"/>
      <c r="H6" s="233"/>
    </row>
    <row r="7" spans="1:8">
      <c r="A7" s="229" t="s">
        <v>95</v>
      </c>
      <c r="B7" s="230"/>
      <c r="C7" s="230"/>
      <c r="D7" s="230"/>
      <c r="E7" s="230"/>
      <c r="F7" s="230"/>
      <c r="G7" s="230"/>
      <c r="H7" s="231"/>
    </row>
    <row r="8" spans="1:8">
      <c r="A8" s="120">
        <v>0.499999999999999</v>
      </c>
      <c r="B8" s="122">
        <v>0.54166666666666596</v>
      </c>
      <c r="C8" s="88">
        <v>1</v>
      </c>
      <c r="D8" s="119" t="s">
        <v>109</v>
      </c>
      <c r="E8" s="119" t="s">
        <v>365</v>
      </c>
      <c r="F8" s="119"/>
      <c r="G8" s="119"/>
      <c r="H8" s="119" t="s">
        <v>353</v>
      </c>
    </row>
    <row r="9" spans="1:8">
      <c r="A9" s="120">
        <v>0.54166666666666596</v>
      </c>
      <c r="B9" s="122">
        <v>0.58333333333333304</v>
      </c>
      <c r="C9" s="88">
        <v>2</v>
      </c>
      <c r="D9" s="182" t="s">
        <v>110</v>
      </c>
      <c r="E9" s="182" t="s">
        <v>351</v>
      </c>
      <c r="F9" s="182"/>
      <c r="G9" s="182"/>
      <c r="H9" s="182" t="s">
        <v>323</v>
      </c>
    </row>
    <row r="10" spans="1:8">
      <c r="A10" s="120">
        <v>0.58333333333333304</v>
      </c>
      <c r="B10" s="122">
        <v>0.625</v>
      </c>
      <c r="C10" s="88">
        <v>3</v>
      </c>
      <c r="D10" s="164" t="s">
        <v>100</v>
      </c>
      <c r="E10" s="164" t="s">
        <v>129</v>
      </c>
      <c r="F10" s="164"/>
      <c r="G10" s="164"/>
      <c r="H10" s="164" t="s">
        <v>354</v>
      </c>
    </row>
    <row r="11" spans="1:8">
      <c r="A11" s="120">
        <v>0.625</v>
      </c>
      <c r="B11" s="122">
        <v>0.66666666666666696</v>
      </c>
      <c r="C11" s="88">
        <v>4</v>
      </c>
      <c r="D11" s="184" t="s">
        <v>101</v>
      </c>
      <c r="E11" s="184" t="s">
        <v>130</v>
      </c>
      <c r="F11" s="184"/>
      <c r="G11" s="184"/>
      <c r="H11" s="184" t="s">
        <v>96</v>
      </c>
    </row>
    <row r="12" spans="1:8">
      <c r="A12" s="120">
        <v>0.66666666666666696</v>
      </c>
      <c r="B12" s="122">
        <v>0.70833333333333304</v>
      </c>
      <c r="C12" s="118">
        <v>5</v>
      </c>
      <c r="D12" s="165" t="s">
        <v>208</v>
      </c>
      <c r="E12" s="166" t="s">
        <v>355</v>
      </c>
      <c r="F12" s="165"/>
      <c r="G12" s="165"/>
      <c r="H12" s="165" t="s">
        <v>356</v>
      </c>
    </row>
    <row r="13" spans="1:8">
      <c r="A13" s="120">
        <v>0.70833333333333304</v>
      </c>
      <c r="B13" s="122">
        <v>0.75</v>
      </c>
      <c r="C13" s="88">
        <v>6</v>
      </c>
      <c r="D13" s="183" t="s">
        <v>209</v>
      </c>
      <c r="E13" s="183" t="s">
        <v>357</v>
      </c>
      <c r="F13" s="183"/>
      <c r="G13" s="183"/>
      <c r="H13" s="183" t="s">
        <v>358</v>
      </c>
    </row>
    <row r="14" spans="1:8">
      <c r="A14" s="120">
        <v>0.75</v>
      </c>
      <c r="B14" s="122">
        <v>0.79166666666666696</v>
      </c>
      <c r="C14" s="88">
        <v>7</v>
      </c>
      <c r="D14" s="119" t="s">
        <v>98</v>
      </c>
      <c r="E14" s="119" t="s">
        <v>359</v>
      </c>
      <c r="F14" s="119"/>
      <c r="G14" s="119"/>
      <c r="H14" s="119" t="s">
        <v>118</v>
      </c>
    </row>
    <row r="15" spans="1:8">
      <c r="A15" s="120">
        <v>0.79166666666666696</v>
      </c>
      <c r="B15" s="120">
        <v>0.8125</v>
      </c>
      <c r="C15" s="88"/>
      <c r="D15" s="89"/>
      <c r="E15" s="89" t="s">
        <v>210</v>
      </c>
      <c r="F15" s="89"/>
      <c r="G15" s="89"/>
      <c r="H15" s="89"/>
    </row>
    <row r="16" spans="1:8">
      <c r="A16" s="120">
        <v>0.8125</v>
      </c>
      <c r="B16" s="120">
        <v>0.85416666666666663</v>
      </c>
      <c r="C16" s="88">
        <v>8</v>
      </c>
      <c r="D16" s="182" t="s">
        <v>102</v>
      </c>
      <c r="E16" s="182" t="s">
        <v>323</v>
      </c>
      <c r="F16" s="182"/>
      <c r="G16" s="182"/>
      <c r="H16" s="182" t="s">
        <v>137</v>
      </c>
    </row>
    <row r="17" spans="1:19">
      <c r="A17" s="120">
        <v>0.85416666666666663</v>
      </c>
      <c r="B17" s="120">
        <v>0.89583333333333337</v>
      </c>
      <c r="C17" s="88">
        <v>9</v>
      </c>
      <c r="D17" s="164" t="s">
        <v>103</v>
      </c>
      <c r="E17" s="164" t="s">
        <v>249</v>
      </c>
      <c r="F17" s="164"/>
      <c r="G17" s="164"/>
      <c r="H17" s="164" t="s">
        <v>136</v>
      </c>
    </row>
    <row r="18" spans="1:19">
      <c r="A18" s="120">
        <v>0.89583333333333337</v>
      </c>
      <c r="B18" s="120">
        <v>0.9375</v>
      </c>
      <c r="C18" s="88">
        <v>10</v>
      </c>
      <c r="D18" s="184" t="s">
        <v>104</v>
      </c>
      <c r="E18" s="184" t="s">
        <v>96</v>
      </c>
      <c r="F18" s="184"/>
      <c r="G18" s="184"/>
      <c r="H18" s="184" t="s">
        <v>352</v>
      </c>
    </row>
    <row r="19" spans="1:19" ht="12.75" customHeight="1">
      <c r="A19" s="229" t="s">
        <v>94</v>
      </c>
      <c r="B19" s="230"/>
      <c r="C19" s="230"/>
      <c r="D19" s="230"/>
      <c r="E19" s="230"/>
      <c r="F19" s="230"/>
      <c r="G19" s="230"/>
      <c r="H19" s="231"/>
    </row>
    <row r="20" spans="1:19" ht="12.75" customHeight="1">
      <c r="A20" s="181">
        <v>0.5</v>
      </c>
      <c r="B20" s="120">
        <v>0.53472222222222221</v>
      </c>
      <c r="C20" s="179">
        <v>11</v>
      </c>
      <c r="D20" s="195" t="s">
        <v>211</v>
      </c>
      <c r="E20" s="196" t="s">
        <v>360</v>
      </c>
      <c r="F20" s="196"/>
      <c r="G20" s="196"/>
      <c r="H20" s="196" t="s">
        <v>179</v>
      </c>
    </row>
    <row r="21" spans="1:19" ht="12.75" customHeight="1">
      <c r="A21" s="120">
        <v>0.53472222222222221</v>
      </c>
      <c r="B21" s="120">
        <v>0.56944444444444442</v>
      </c>
      <c r="C21" s="88">
        <v>12</v>
      </c>
      <c r="D21" s="187" t="s">
        <v>212</v>
      </c>
      <c r="E21" s="187" t="s">
        <v>144</v>
      </c>
      <c r="F21" s="187"/>
      <c r="G21" s="187"/>
      <c r="H21" s="187" t="s">
        <v>132</v>
      </c>
    </row>
    <row r="22" spans="1:19">
      <c r="A22" s="120">
        <v>0.56944444444444442</v>
      </c>
      <c r="B22" s="120">
        <v>0.60416666666666663</v>
      </c>
      <c r="C22" s="88">
        <v>13</v>
      </c>
      <c r="D22" s="187" t="s">
        <v>171</v>
      </c>
      <c r="E22" s="187" t="s">
        <v>300</v>
      </c>
      <c r="F22" s="187"/>
      <c r="G22" s="187"/>
      <c r="H22" s="187" t="s">
        <v>361</v>
      </c>
    </row>
    <row r="23" spans="1:19">
      <c r="A23" s="120">
        <v>0.60416666666666663</v>
      </c>
      <c r="B23" s="120">
        <v>0.63888888888888895</v>
      </c>
      <c r="C23" s="88">
        <v>14</v>
      </c>
      <c r="D23" s="195" t="s">
        <v>172</v>
      </c>
      <c r="E23" s="187" t="s">
        <v>182</v>
      </c>
      <c r="F23" s="187"/>
      <c r="G23" s="187"/>
      <c r="H23" s="187" t="s">
        <v>301</v>
      </c>
      <c r="S23" s="126"/>
    </row>
    <row r="24" spans="1:19">
      <c r="A24" s="120">
        <v>0.63888888888888895</v>
      </c>
      <c r="B24" s="120">
        <v>0.67361111111111116</v>
      </c>
      <c r="C24" s="88">
        <v>15</v>
      </c>
      <c r="D24" s="187" t="s">
        <v>111</v>
      </c>
      <c r="E24" s="187" t="s">
        <v>127</v>
      </c>
      <c r="F24" s="187"/>
      <c r="G24" s="187"/>
      <c r="H24" s="187" t="s">
        <v>131</v>
      </c>
    </row>
    <row r="25" spans="1:19">
      <c r="A25" s="120">
        <v>0.67361111111111116</v>
      </c>
      <c r="B25" s="120">
        <v>0.70833333333333337</v>
      </c>
      <c r="C25" s="88">
        <v>16</v>
      </c>
      <c r="D25" s="187" t="s">
        <v>220</v>
      </c>
      <c r="E25" s="187" t="s">
        <v>130</v>
      </c>
      <c r="F25" s="187"/>
      <c r="G25" s="187"/>
      <c r="H25" s="187" t="s">
        <v>144</v>
      </c>
    </row>
    <row r="26" spans="1:19">
      <c r="A26" s="120">
        <v>0.70833333333333337</v>
      </c>
      <c r="B26" s="120">
        <v>0.74305555555555547</v>
      </c>
      <c r="C26" s="88">
        <v>17</v>
      </c>
      <c r="D26" s="195" t="s">
        <v>173</v>
      </c>
      <c r="E26" s="187" t="s">
        <v>361</v>
      </c>
      <c r="F26" s="187"/>
      <c r="G26" s="187"/>
      <c r="H26" s="187" t="s">
        <v>129</v>
      </c>
    </row>
    <row r="27" spans="1:19">
      <c r="A27" s="120">
        <v>0.74305555555555547</v>
      </c>
      <c r="B27" s="120">
        <v>0.77777777777777779</v>
      </c>
      <c r="C27" s="88">
        <v>18</v>
      </c>
      <c r="D27" s="187" t="s">
        <v>174</v>
      </c>
      <c r="E27" s="187" t="s">
        <v>301</v>
      </c>
      <c r="F27" s="187"/>
      <c r="G27" s="187"/>
      <c r="H27" s="187" t="s">
        <v>137</v>
      </c>
    </row>
    <row r="28" spans="1:19">
      <c r="A28" s="120">
        <v>0.8125</v>
      </c>
      <c r="B28" s="120">
        <v>0.84722222222222221</v>
      </c>
      <c r="C28" s="88">
        <v>19</v>
      </c>
      <c r="D28" s="187" t="s">
        <v>112</v>
      </c>
      <c r="E28" s="187" t="s">
        <v>362</v>
      </c>
      <c r="F28" s="187"/>
      <c r="G28" s="187"/>
      <c r="H28" s="187" t="s">
        <v>363</v>
      </c>
    </row>
    <row r="29" spans="1:19">
      <c r="A29" s="120">
        <v>0.84722222222222221</v>
      </c>
      <c r="B29" s="123">
        <v>0.88888888888888884</v>
      </c>
      <c r="C29" s="88">
        <v>20</v>
      </c>
      <c r="D29" s="165" t="s">
        <v>213</v>
      </c>
      <c r="E29" s="165" t="s">
        <v>143</v>
      </c>
      <c r="F29" s="165"/>
      <c r="G29" s="165"/>
      <c r="H29" s="165" t="s">
        <v>251</v>
      </c>
    </row>
    <row r="30" spans="1:19" s="127" customFormat="1">
      <c r="A30" s="123">
        <v>0.88888888888888884</v>
      </c>
      <c r="B30" s="123">
        <v>0.93055555555555547</v>
      </c>
      <c r="C30" s="88">
        <v>21</v>
      </c>
      <c r="D30" s="185" t="s">
        <v>214</v>
      </c>
      <c r="E30" s="183" t="s">
        <v>345</v>
      </c>
      <c r="F30" s="183"/>
      <c r="G30" s="183"/>
      <c r="H30" s="183" t="s">
        <v>133</v>
      </c>
    </row>
    <row r="31" spans="1:19" s="127" customFormat="1">
      <c r="A31" s="229" t="s">
        <v>97</v>
      </c>
      <c r="B31" s="230"/>
      <c r="C31" s="230"/>
      <c r="D31" s="230"/>
      <c r="E31" s="230"/>
      <c r="F31" s="230"/>
      <c r="G31" s="230"/>
      <c r="H31" s="231"/>
    </row>
    <row r="32" spans="1:19">
      <c r="A32" s="120">
        <v>0.29166666666666669</v>
      </c>
      <c r="B32" s="120">
        <v>0.3263888888888889</v>
      </c>
      <c r="C32" s="88">
        <v>22</v>
      </c>
      <c r="D32" s="187" t="s">
        <v>297</v>
      </c>
      <c r="E32" s="187" t="s">
        <v>179</v>
      </c>
      <c r="F32" s="187"/>
      <c r="G32" s="187"/>
      <c r="H32" s="187" t="s">
        <v>132</v>
      </c>
    </row>
    <row r="33" spans="1:10">
      <c r="A33" s="120">
        <v>0.3263888888888889</v>
      </c>
      <c r="B33" s="120">
        <v>0.36805555555555558</v>
      </c>
      <c r="C33" s="88">
        <v>23</v>
      </c>
      <c r="D33" s="119" t="s">
        <v>105</v>
      </c>
      <c r="E33" s="119" t="s">
        <v>364</v>
      </c>
      <c r="F33" s="119"/>
      <c r="G33" s="119"/>
      <c r="H33" s="119" t="s">
        <v>118</v>
      </c>
    </row>
    <row r="34" spans="1:10">
      <c r="A34" s="120">
        <v>0.36805555555555558</v>
      </c>
      <c r="B34" s="120">
        <v>0.90972222222222221</v>
      </c>
      <c r="C34" s="88">
        <v>24</v>
      </c>
      <c r="D34" s="186" t="s">
        <v>106</v>
      </c>
      <c r="E34" s="182" t="s">
        <v>128</v>
      </c>
      <c r="F34" s="182"/>
      <c r="G34" s="182"/>
      <c r="H34" s="182" t="s">
        <v>137</v>
      </c>
    </row>
    <row r="35" spans="1:10">
      <c r="A35" s="120">
        <v>0.90972222222222221</v>
      </c>
      <c r="B35" s="120">
        <v>0.95138888888888884</v>
      </c>
      <c r="C35" s="88">
        <v>25</v>
      </c>
      <c r="D35" s="170" t="s">
        <v>107</v>
      </c>
      <c r="E35" s="164" t="s">
        <v>250</v>
      </c>
      <c r="F35" s="164"/>
      <c r="G35" s="164"/>
      <c r="H35" s="164" t="s">
        <v>249</v>
      </c>
    </row>
    <row r="36" spans="1:10">
      <c r="A36" s="120">
        <v>0.4513888888888889</v>
      </c>
      <c r="B36" s="120">
        <v>0.49305555555555558</v>
      </c>
      <c r="C36" s="88">
        <v>26</v>
      </c>
      <c r="D36" s="165" t="s">
        <v>215</v>
      </c>
      <c r="E36" s="165" t="s">
        <v>131</v>
      </c>
      <c r="F36" s="165"/>
      <c r="G36" s="165"/>
      <c r="H36" s="165" t="s">
        <v>251</v>
      </c>
    </row>
    <row r="37" spans="1:10">
      <c r="A37" s="120">
        <v>0.49305555555555558</v>
      </c>
      <c r="B37" s="120">
        <v>0.53472222222222221</v>
      </c>
      <c r="C37" s="88">
        <v>27</v>
      </c>
      <c r="D37" s="171" t="s">
        <v>216</v>
      </c>
      <c r="E37" s="167" t="s">
        <v>366</v>
      </c>
      <c r="F37" s="167"/>
      <c r="G37" s="167"/>
      <c r="H37" s="167" t="s">
        <v>133</v>
      </c>
    </row>
    <row r="38" spans="1:10">
      <c r="A38" s="120">
        <v>0.53472222222222221</v>
      </c>
      <c r="B38" s="81"/>
      <c r="D38" s="81"/>
      <c r="E38" s="176" t="s">
        <v>84</v>
      </c>
      <c r="F38" s="177"/>
      <c r="G38" s="177"/>
      <c r="H38" s="177"/>
      <c r="I38" s="177"/>
      <c r="J38" s="178"/>
    </row>
    <row r="39" spans="1:10" ht="15" customHeight="1">
      <c r="A39" s="120" t="s">
        <v>239</v>
      </c>
      <c r="B39" s="120" t="s">
        <v>240</v>
      </c>
      <c r="C39" s="88">
        <v>28</v>
      </c>
      <c r="D39" s="188" t="s">
        <v>217</v>
      </c>
      <c r="E39" s="188" t="s">
        <v>254</v>
      </c>
      <c r="F39" s="188"/>
      <c r="G39" s="188"/>
      <c r="H39" s="188" t="s">
        <v>253</v>
      </c>
    </row>
    <row r="40" spans="1:10" ht="15" customHeight="1">
      <c r="A40" s="120" t="s">
        <v>240</v>
      </c>
      <c r="B40" s="120" t="s">
        <v>241</v>
      </c>
      <c r="C40" s="88">
        <v>29</v>
      </c>
      <c r="D40" s="188" t="s">
        <v>217</v>
      </c>
      <c r="E40" s="188" t="s">
        <v>255</v>
      </c>
      <c r="F40" s="188"/>
      <c r="G40" s="188"/>
      <c r="H40" s="188" t="s">
        <v>252</v>
      </c>
    </row>
    <row r="41" spans="1:10">
      <c r="A41" s="120" t="s">
        <v>241</v>
      </c>
      <c r="B41" s="120" t="s">
        <v>242</v>
      </c>
      <c r="C41" s="88">
        <v>30</v>
      </c>
      <c r="D41" s="119" t="s">
        <v>218</v>
      </c>
      <c r="E41" s="119" t="s">
        <v>262</v>
      </c>
      <c r="F41" s="119"/>
      <c r="G41" s="119"/>
      <c r="H41" s="119" t="s">
        <v>263</v>
      </c>
    </row>
    <row r="42" spans="1:10">
      <c r="A42" s="120" t="s">
        <v>242</v>
      </c>
      <c r="B42" s="120" t="s">
        <v>243</v>
      </c>
      <c r="C42" s="88">
        <v>31</v>
      </c>
      <c r="D42" s="164" t="s">
        <v>219</v>
      </c>
      <c r="E42" s="164" t="s">
        <v>269</v>
      </c>
      <c r="F42" s="164"/>
      <c r="G42" s="164"/>
      <c r="H42" s="164" t="s">
        <v>270</v>
      </c>
    </row>
    <row r="43" spans="1:10">
      <c r="A43" s="120" t="s">
        <v>243</v>
      </c>
      <c r="B43" s="120" t="s">
        <v>244</v>
      </c>
      <c r="C43" s="88">
        <v>32</v>
      </c>
      <c r="D43" s="164" t="s">
        <v>219</v>
      </c>
      <c r="E43" s="164" t="s">
        <v>271</v>
      </c>
      <c r="F43" s="164"/>
      <c r="G43" s="164"/>
      <c r="H43" s="164" t="s">
        <v>272</v>
      </c>
    </row>
    <row r="44" spans="1:10">
      <c r="A44" s="120" t="s">
        <v>244</v>
      </c>
      <c r="B44" s="120" t="s">
        <v>245</v>
      </c>
      <c r="C44" s="88">
        <v>33</v>
      </c>
      <c r="D44" s="119" t="s">
        <v>218</v>
      </c>
      <c r="E44" s="119" t="s">
        <v>268</v>
      </c>
      <c r="F44" s="119"/>
      <c r="G44" s="119"/>
      <c r="H44" s="119" t="s">
        <v>267</v>
      </c>
    </row>
    <row r="45" spans="1:10">
      <c r="A45" s="120" t="s">
        <v>245</v>
      </c>
      <c r="B45" s="120" t="s">
        <v>246</v>
      </c>
      <c r="C45" s="88">
        <v>34</v>
      </c>
      <c r="D45" s="119" t="s">
        <v>218</v>
      </c>
      <c r="E45" s="119" t="s">
        <v>264</v>
      </c>
      <c r="F45" s="119"/>
      <c r="G45" s="119"/>
      <c r="H45" s="119" t="s">
        <v>263</v>
      </c>
    </row>
    <row r="46" spans="1:10">
      <c r="A46" s="120" t="s">
        <v>246</v>
      </c>
      <c r="B46" s="120" t="s">
        <v>247</v>
      </c>
      <c r="C46" s="88">
        <v>35</v>
      </c>
      <c r="D46" s="164" t="s">
        <v>221</v>
      </c>
      <c r="E46" s="164" t="s">
        <v>277</v>
      </c>
      <c r="F46" s="164"/>
      <c r="G46" s="164"/>
      <c r="H46" s="164" t="s">
        <v>279</v>
      </c>
    </row>
    <row r="47" spans="1:10">
      <c r="A47" s="120" t="s">
        <v>247</v>
      </c>
      <c r="B47" s="120" t="s">
        <v>248</v>
      </c>
      <c r="C47" s="179">
        <v>36</v>
      </c>
      <c r="D47" s="164" t="s">
        <v>221</v>
      </c>
      <c r="E47" s="164" t="s">
        <v>278</v>
      </c>
      <c r="F47" s="164"/>
      <c r="G47" s="164"/>
      <c r="H47" s="164" t="s">
        <v>280</v>
      </c>
    </row>
    <row r="48" spans="1:10">
      <c r="A48" s="120"/>
      <c r="B48" s="120"/>
      <c r="C48" s="179"/>
      <c r="D48" s="81"/>
      <c r="E48" s="187"/>
      <c r="F48" s="187"/>
      <c r="G48" s="187"/>
      <c r="H48" s="187"/>
    </row>
    <row r="49" spans="1:8">
      <c r="A49" s="120"/>
      <c r="B49" s="120"/>
      <c r="C49" s="88"/>
      <c r="D49" s="81"/>
      <c r="E49" s="193"/>
      <c r="F49" s="194"/>
      <c r="G49" s="194"/>
      <c r="H49" s="187"/>
    </row>
    <row r="50" spans="1:8">
      <c r="A50" s="229" t="s">
        <v>175</v>
      </c>
      <c r="B50" s="230"/>
      <c r="C50" s="230"/>
      <c r="D50" s="230"/>
      <c r="E50" s="230"/>
      <c r="F50" s="230"/>
      <c r="G50" s="230"/>
      <c r="H50" s="231"/>
    </row>
    <row r="51" spans="1:8">
      <c r="A51" s="120">
        <v>0.29166666666666669</v>
      </c>
      <c r="B51" s="120">
        <v>0.3263888888888889</v>
      </c>
      <c r="C51" s="88">
        <v>37</v>
      </c>
      <c r="D51" s="187" t="s">
        <v>183</v>
      </c>
      <c r="E51" s="187" t="s">
        <v>300</v>
      </c>
      <c r="F51" s="187"/>
      <c r="G51" s="187"/>
      <c r="H51" s="187" t="s">
        <v>129</v>
      </c>
    </row>
    <row r="52" spans="1:8" ht="15" customHeight="1">
      <c r="A52" s="120">
        <v>0.3263888888888889</v>
      </c>
      <c r="B52" s="120">
        <v>0.36111111111111099</v>
      </c>
      <c r="C52" s="88">
        <v>38</v>
      </c>
      <c r="D52" s="195" t="s">
        <v>184</v>
      </c>
      <c r="E52" s="187" t="s">
        <v>182</v>
      </c>
      <c r="F52" s="187"/>
      <c r="G52" s="187"/>
      <c r="H52" s="187" t="s">
        <v>348</v>
      </c>
    </row>
    <row r="53" spans="1:8">
      <c r="A53" s="120">
        <v>0.36111111111111099</v>
      </c>
      <c r="B53" s="120">
        <v>0.39583333333333398</v>
      </c>
      <c r="C53" s="88">
        <v>39</v>
      </c>
      <c r="D53" s="187" t="s">
        <v>113</v>
      </c>
      <c r="E53" s="187" t="s">
        <v>127</v>
      </c>
      <c r="F53" s="187"/>
      <c r="G53" s="187"/>
      <c r="H53" s="187" t="s">
        <v>367</v>
      </c>
    </row>
    <row r="54" spans="1:8">
      <c r="A54" s="120">
        <v>0.39583333333333331</v>
      </c>
      <c r="B54" s="120">
        <v>0.4375</v>
      </c>
      <c r="C54" s="88">
        <v>40</v>
      </c>
      <c r="D54" s="189" t="s">
        <v>108</v>
      </c>
      <c r="E54" s="184" t="s">
        <v>130</v>
      </c>
      <c r="F54" s="184"/>
      <c r="G54" s="184"/>
      <c r="H54" s="184" t="s">
        <v>135</v>
      </c>
    </row>
    <row r="55" spans="1:8">
      <c r="A55" s="120">
        <v>0.4375</v>
      </c>
      <c r="B55" s="120">
        <v>0.47222222222222227</v>
      </c>
      <c r="C55" s="88">
        <v>41</v>
      </c>
      <c r="D55" s="187" t="s">
        <v>298</v>
      </c>
      <c r="E55" s="187" t="s">
        <v>179</v>
      </c>
      <c r="F55" s="187"/>
      <c r="G55" s="187"/>
      <c r="H55" s="187" t="s">
        <v>144</v>
      </c>
    </row>
    <row r="56" spans="1:8">
      <c r="A56" s="120">
        <v>0.47222222222222227</v>
      </c>
      <c r="B56" s="120">
        <v>0.50694444444444442</v>
      </c>
      <c r="C56" s="88">
        <v>42</v>
      </c>
      <c r="D56" s="187" t="s">
        <v>299</v>
      </c>
      <c r="E56" s="187" t="s">
        <v>130</v>
      </c>
      <c r="F56" s="187"/>
      <c r="G56" s="187"/>
      <c r="H56" s="187" t="s">
        <v>132</v>
      </c>
    </row>
    <row r="57" spans="1:8">
      <c r="A57" s="120">
        <v>0.50694444444444442</v>
      </c>
      <c r="B57" s="120">
        <v>0.54861111111111105</v>
      </c>
      <c r="C57" s="179">
        <v>43</v>
      </c>
      <c r="D57" s="119" t="s">
        <v>218</v>
      </c>
      <c r="E57" s="190" t="s">
        <v>266</v>
      </c>
      <c r="F57" s="190"/>
      <c r="G57" s="190"/>
      <c r="H57" s="191" t="s">
        <v>267</v>
      </c>
    </row>
    <row r="58" spans="1:8">
      <c r="A58" s="120">
        <v>0.54861111111111105</v>
      </c>
      <c r="B58" s="120">
        <v>0.58333333333333337</v>
      </c>
      <c r="C58" s="88"/>
      <c r="D58" s="81"/>
      <c r="E58" s="168" t="s">
        <v>84</v>
      </c>
      <c r="F58" s="168"/>
      <c r="G58" s="168"/>
      <c r="H58" s="168"/>
    </row>
    <row r="59" spans="1:8">
      <c r="A59" s="120">
        <v>0.58333333333333337</v>
      </c>
      <c r="B59" s="120">
        <v>0.625</v>
      </c>
      <c r="C59" s="88">
        <v>44</v>
      </c>
      <c r="D59" s="164" t="s">
        <v>219</v>
      </c>
      <c r="E59" s="164" t="s">
        <v>275</v>
      </c>
      <c r="F59" s="172"/>
      <c r="G59" s="172"/>
      <c r="H59" s="164" t="s">
        <v>276</v>
      </c>
    </row>
    <row r="60" spans="1:8" ht="15" customHeight="1">
      <c r="A60" s="120">
        <v>0.625</v>
      </c>
      <c r="B60" s="120">
        <v>0.66666666666666696</v>
      </c>
      <c r="C60" s="88">
        <v>45</v>
      </c>
      <c r="D60" s="164" t="s">
        <v>219</v>
      </c>
      <c r="E60" s="164" t="s">
        <v>273</v>
      </c>
      <c r="F60" s="172"/>
      <c r="G60" s="172"/>
      <c r="H60" s="164" t="s">
        <v>274</v>
      </c>
    </row>
    <row r="61" spans="1:8">
      <c r="A61" s="120">
        <v>0.66666666666666696</v>
      </c>
      <c r="B61" s="120">
        <v>0.70138888888888895</v>
      </c>
      <c r="C61" s="88">
        <v>46</v>
      </c>
      <c r="D61" s="187" t="s">
        <v>324</v>
      </c>
      <c r="E61" s="187"/>
      <c r="F61" s="194"/>
      <c r="G61" s="194"/>
      <c r="H61" s="187"/>
    </row>
    <row r="62" spans="1:8">
      <c r="A62" s="120">
        <v>0.70138888888888895</v>
      </c>
      <c r="B62" s="120">
        <v>0.73611111111111105</v>
      </c>
      <c r="C62" s="88">
        <v>47</v>
      </c>
      <c r="D62" s="187" t="s">
        <v>222</v>
      </c>
      <c r="E62" s="187" t="s">
        <v>302</v>
      </c>
      <c r="F62" s="187"/>
      <c r="G62" s="187"/>
      <c r="H62" s="187" t="s">
        <v>303</v>
      </c>
    </row>
    <row r="63" spans="1:8">
      <c r="A63" s="120">
        <v>0.73611111111111105</v>
      </c>
      <c r="B63" s="120">
        <v>0.77083333333333304</v>
      </c>
      <c r="C63" s="88">
        <v>48</v>
      </c>
      <c r="D63" s="187" t="s">
        <v>222</v>
      </c>
      <c r="E63" s="187" t="s">
        <v>304</v>
      </c>
      <c r="F63" s="187"/>
      <c r="G63" s="187"/>
      <c r="H63" s="187" t="s">
        <v>305</v>
      </c>
    </row>
    <row r="64" spans="1:8">
      <c r="A64" s="120">
        <v>0.77083333333333304</v>
      </c>
      <c r="B64" s="120">
        <v>0.80555555555555503</v>
      </c>
      <c r="C64" s="88">
        <v>49</v>
      </c>
      <c r="D64" s="187" t="s">
        <v>223</v>
      </c>
      <c r="E64" s="187" t="s">
        <v>306</v>
      </c>
      <c r="F64" s="187"/>
      <c r="G64" s="187"/>
      <c r="H64" s="187" t="s">
        <v>273</v>
      </c>
    </row>
    <row r="65" spans="1:8">
      <c r="A65" s="120">
        <v>0.80555555555555503</v>
      </c>
      <c r="B65" s="120">
        <v>0.84027777777777801</v>
      </c>
      <c r="C65" s="88">
        <v>50</v>
      </c>
      <c r="D65" s="187" t="s">
        <v>223</v>
      </c>
      <c r="E65" s="187" t="s">
        <v>271</v>
      </c>
      <c r="F65" s="194"/>
      <c r="G65" s="194"/>
      <c r="H65" s="187" t="s">
        <v>275</v>
      </c>
    </row>
    <row r="66" spans="1:8">
      <c r="A66" s="120">
        <v>0.84027777777777779</v>
      </c>
      <c r="B66" s="120">
        <v>0.875</v>
      </c>
      <c r="C66" s="179">
        <v>51</v>
      </c>
      <c r="D66" s="187" t="s">
        <v>224</v>
      </c>
      <c r="E66" s="187" t="s">
        <v>307</v>
      </c>
      <c r="F66" s="194"/>
      <c r="G66" s="194"/>
      <c r="H66" s="187" t="s">
        <v>308</v>
      </c>
    </row>
    <row r="67" spans="1:8">
      <c r="A67" s="120">
        <v>0.875</v>
      </c>
      <c r="B67" s="120">
        <v>0.90972222222222221</v>
      </c>
      <c r="C67" s="88">
        <v>52</v>
      </c>
      <c r="D67" s="187" t="s">
        <v>224</v>
      </c>
      <c r="E67" s="187" t="s">
        <v>310</v>
      </c>
      <c r="F67" s="187"/>
      <c r="G67" s="187"/>
      <c r="H67" s="187" t="s">
        <v>309</v>
      </c>
    </row>
    <row r="68" spans="1:8">
      <c r="A68" s="120" t="s">
        <v>225</v>
      </c>
      <c r="B68" s="120">
        <v>0.95138888888888884</v>
      </c>
      <c r="C68" s="179">
        <v>53</v>
      </c>
      <c r="D68" s="119" t="s">
        <v>218</v>
      </c>
      <c r="E68" s="119" t="s">
        <v>264</v>
      </c>
      <c r="F68" s="119"/>
      <c r="G68" s="119"/>
      <c r="H68" s="119" t="s">
        <v>262</v>
      </c>
    </row>
    <row r="69" spans="1:8" s="128" customFormat="1">
      <c r="A69" s="131" t="s">
        <v>91</v>
      </c>
      <c r="B69" s="237" t="s">
        <v>206</v>
      </c>
      <c r="C69" s="238"/>
      <c r="D69" s="238"/>
      <c r="E69" s="238"/>
      <c r="F69" s="238"/>
      <c r="G69" s="238"/>
      <c r="H69" s="239"/>
    </row>
    <row r="70" spans="1:8">
      <c r="A70" s="120">
        <v>0.29166666666666669</v>
      </c>
      <c r="B70" s="120">
        <v>0.33333333333333298</v>
      </c>
      <c r="C70" s="89">
        <v>54</v>
      </c>
      <c r="D70" s="119" t="s">
        <v>218</v>
      </c>
      <c r="E70" s="119" t="s">
        <v>265</v>
      </c>
      <c r="F70" s="124"/>
      <c r="G70" s="124"/>
      <c r="H70" s="119" t="s">
        <v>266</v>
      </c>
    </row>
    <row r="71" spans="1:8">
      <c r="A71" s="120">
        <v>0.33333333333333298</v>
      </c>
      <c r="B71" s="120">
        <v>0.36805555555555558</v>
      </c>
      <c r="C71" s="89">
        <v>55</v>
      </c>
      <c r="D71" s="187" t="s">
        <v>226</v>
      </c>
      <c r="E71" s="187" t="s">
        <v>311</v>
      </c>
      <c r="F71" s="194"/>
      <c r="G71" s="194"/>
      <c r="H71" s="187" t="s">
        <v>312</v>
      </c>
    </row>
    <row r="72" spans="1:8">
      <c r="A72" s="120">
        <v>0.36805555555555558</v>
      </c>
      <c r="B72" s="120">
        <v>0.40277777777777773</v>
      </c>
      <c r="C72" s="89">
        <v>56</v>
      </c>
      <c r="D72" s="187" t="s">
        <v>227</v>
      </c>
      <c r="E72" s="187" t="s">
        <v>313</v>
      </c>
      <c r="F72" s="194"/>
      <c r="G72" s="194"/>
      <c r="H72" s="187" t="s">
        <v>314</v>
      </c>
    </row>
    <row r="73" spans="1:8">
      <c r="A73" s="120">
        <v>0.40277777777777773</v>
      </c>
      <c r="B73" s="120">
        <v>0.4375</v>
      </c>
      <c r="C73" s="89">
        <v>57</v>
      </c>
      <c r="D73" s="187" t="s">
        <v>228</v>
      </c>
      <c r="E73" s="187" t="s">
        <v>315</v>
      </c>
      <c r="F73" s="194"/>
      <c r="G73" s="194"/>
      <c r="H73" s="187" t="s">
        <v>316</v>
      </c>
    </row>
    <row r="74" spans="1:8">
      <c r="A74" s="120">
        <v>0.4375</v>
      </c>
      <c r="B74" s="120">
        <v>0.47916666666666669</v>
      </c>
      <c r="C74" s="234" t="s">
        <v>84</v>
      </c>
      <c r="D74" s="235"/>
      <c r="E74" s="235"/>
      <c r="F74" s="235"/>
      <c r="G74" s="235"/>
      <c r="H74" s="236"/>
    </row>
    <row r="75" spans="1:8">
      <c r="A75" s="120">
        <v>0.47916666666666669</v>
      </c>
      <c r="B75" s="120">
        <v>0.51388888888888895</v>
      </c>
      <c r="C75" s="89">
        <v>58</v>
      </c>
      <c r="D75" s="187" t="s">
        <v>229</v>
      </c>
      <c r="E75" s="187" t="s">
        <v>317</v>
      </c>
      <c r="F75" s="194"/>
      <c r="G75" s="194"/>
      <c r="H75" s="187" t="s">
        <v>318</v>
      </c>
    </row>
    <row r="76" spans="1:8">
      <c r="A76" s="120">
        <v>0.51388888888888895</v>
      </c>
      <c r="B76" s="120">
        <v>0.55555555555555558</v>
      </c>
      <c r="C76" s="89">
        <v>59</v>
      </c>
      <c r="D76" s="164" t="s">
        <v>233</v>
      </c>
      <c r="E76" s="164" t="s">
        <v>285</v>
      </c>
      <c r="F76" s="172"/>
      <c r="G76" s="172"/>
      <c r="H76" s="164" t="s">
        <v>286</v>
      </c>
    </row>
    <row r="77" spans="1:8">
      <c r="A77" s="120">
        <v>0.55555555555555558</v>
      </c>
      <c r="B77" s="120">
        <v>0.59722222222222221</v>
      </c>
      <c r="C77" s="89">
        <v>60</v>
      </c>
      <c r="D77" s="119" t="s">
        <v>232</v>
      </c>
      <c r="E77" s="119" t="s">
        <v>256</v>
      </c>
      <c r="F77" s="180"/>
      <c r="G77" s="180"/>
      <c r="H77" s="119" t="s">
        <v>257</v>
      </c>
    </row>
    <row r="78" spans="1:8">
      <c r="A78" s="120">
        <v>0.59722222222222221</v>
      </c>
      <c r="B78" s="120">
        <v>0.63194444444444442</v>
      </c>
      <c r="C78" s="89">
        <v>61</v>
      </c>
      <c r="D78" s="89" t="s">
        <v>237</v>
      </c>
      <c r="E78" s="89" t="s">
        <v>319</v>
      </c>
      <c r="F78" s="163"/>
      <c r="G78" s="163"/>
      <c r="H78" s="89" t="s">
        <v>320</v>
      </c>
    </row>
    <row r="79" spans="1:8">
      <c r="A79" s="120">
        <v>0.63194444444444442</v>
      </c>
      <c r="B79" s="120">
        <v>0.66666666666666663</v>
      </c>
      <c r="C79" s="89">
        <v>62</v>
      </c>
      <c r="D79" s="89" t="s">
        <v>238</v>
      </c>
      <c r="E79" s="89" t="s">
        <v>322</v>
      </c>
      <c r="F79" s="163"/>
      <c r="G79" s="163"/>
      <c r="H79" s="89" t="s">
        <v>321</v>
      </c>
    </row>
    <row r="80" spans="1:8" s="129" customFormat="1">
      <c r="A80" s="132" t="s">
        <v>91</v>
      </c>
      <c r="B80" s="240" t="s">
        <v>207</v>
      </c>
      <c r="C80" s="241"/>
      <c r="D80" s="241"/>
      <c r="E80" s="241"/>
      <c r="F80" s="241"/>
      <c r="G80" s="241"/>
      <c r="H80" s="242"/>
    </row>
    <row r="81" spans="1:8">
      <c r="A81" s="120">
        <v>0.29166666666666669</v>
      </c>
      <c r="B81" s="120">
        <v>0.33333333333333331</v>
      </c>
      <c r="C81" s="89">
        <v>63</v>
      </c>
      <c r="D81" s="164" t="s">
        <v>221</v>
      </c>
      <c r="E81" s="164" t="s">
        <v>281</v>
      </c>
      <c r="F81" s="164"/>
      <c r="G81" s="164"/>
      <c r="H81" s="164" t="s">
        <v>282</v>
      </c>
    </row>
    <row r="82" spans="1:8">
      <c r="A82" s="120">
        <v>0.33333333333333298</v>
      </c>
      <c r="B82" s="120">
        <v>0.375</v>
      </c>
      <c r="C82" s="89">
        <v>64</v>
      </c>
      <c r="D82" s="164" t="s">
        <v>221</v>
      </c>
      <c r="E82" s="164" t="s">
        <v>283</v>
      </c>
      <c r="F82" s="164"/>
      <c r="G82" s="164"/>
      <c r="H82" s="164" t="s">
        <v>284</v>
      </c>
    </row>
    <row r="83" spans="1:8">
      <c r="A83" s="120">
        <v>0.375</v>
      </c>
      <c r="B83" s="120">
        <v>0.41666666666666702</v>
      </c>
      <c r="C83" s="89">
        <v>65</v>
      </c>
      <c r="D83" s="188" t="s">
        <v>217</v>
      </c>
      <c r="E83" s="188" t="s">
        <v>293</v>
      </c>
      <c r="F83" s="192"/>
      <c r="G83" s="192"/>
      <c r="H83" s="188" t="s">
        <v>294</v>
      </c>
    </row>
    <row r="84" spans="1:8">
      <c r="A84" s="120">
        <v>0.41666666666666702</v>
      </c>
      <c r="B84" s="120">
        <v>0.45833333333333298</v>
      </c>
      <c r="C84" s="89">
        <v>66</v>
      </c>
      <c r="D84" s="188" t="s">
        <v>217</v>
      </c>
      <c r="E84" s="188" t="s">
        <v>295</v>
      </c>
      <c r="F84" s="192"/>
      <c r="G84" s="192"/>
      <c r="H84" s="188" t="s">
        <v>296</v>
      </c>
    </row>
    <row r="85" spans="1:8" ht="15" customHeight="1">
      <c r="A85" s="120">
        <v>0.45833333333333298</v>
      </c>
      <c r="B85" s="120">
        <v>0.5</v>
      </c>
      <c r="C85" s="234" t="s">
        <v>84</v>
      </c>
      <c r="D85" s="235"/>
      <c r="E85" s="235"/>
      <c r="F85" s="235"/>
      <c r="G85" s="235"/>
      <c r="H85" s="236"/>
    </row>
    <row r="86" spans="1:8">
      <c r="A86" s="120">
        <v>0.5</v>
      </c>
      <c r="B86" s="120">
        <v>0.54166666666666696</v>
      </c>
      <c r="C86" s="89">
        <v>67</v>
      </c>
      <c r="D86" s="119" t="s">
        <v>230</v>
      </c>
      <c r="E86" s="119" t="s">
        <v>258</v>
      </c>
      <c r="F86" s="180"/>
      <c r="G86" s="180"/>
      <c r="H86" s="119" t="s">
        <v>259</v>
      </c>
    </row>
    <row r="87" spans="1:8">
      <c r="A87" s="120">
        <v>0.54166666666666696</v>
      </c>
      <c r="B87" s="120">
        <v>0.58333333333333304</v>
      </c>
      <c r="C87" s="89">
        <v>68</v>
      </c>
      <c r="D87" s="119" t="s">
        <v>231</v>
      </c>
      <c r="E87" s="119" t="s">
        <v>260</v>
      </c>
      <c r="F87" s="180"/>
      <c r="G87" s="180"/>
      <c r="H87" s="119" t="s">
        <v>261</v>
      </c>
    </row>
    <row r="88" spans="1:8">
      <c r="A88" s="120">
        <v>0.58333333333333304</v>
      </c>
      <c r="B88" s="120">
        <v>0.625</v>
      </c>
      <c r="C88" s="89">
        <v>69</v>
      </c>
      <c r="D88" s="164" t="s">
        <v>234</v>
      </c>
      <c r="E88" s="164" t="s">
        <v>287</v>
      </c>
      <c r="F88" s="172"/>
      <c r="G88" s="172"/>
      <c r="H88" s="164" t="s">
        <v>288</v>
      </c>
    </row>
    <row r="89" spans="1:8">
      <c r="A89" s="120">
        <v>0.625</v>
      </c>
      <c r="B89" s="120">
        <v>0.66666666666666663</v>
      </c>
      <c r="C89" s="89">
        <v>70</v>
      </c>
      <c r="D89" s="164" t="s">
        <v>235</v>
      </c>
      <c r="E89" s="164" t="s">
        <v>289</v>
      </c>
      <c r="F89" s="172"/>
      <c r="G89" s="172"/>
      <c r="H89" s="164" t="s">
        <v>290</v>
      </c>
    </row>
    <row r="90" spans="1:8">
      <c r="A90" s="120">
        <v>0.66666666666666663</v>
      </c>
      <c r="B90" s="120">
        <v>0.70833333333333337</v>
      </c>
      <c r="C90" s="89">
        <v>71</v>
      </c>
      <c r="D90" s="164" t="s">
        <v>236</v>
      </c>
      <c r="E90" s="164" t="s">
        <v>291</v>
      </c>
      <c r="F90" s="172"/>
      <c r="G90" s="172"/>
      <c r="H90" s="164" t="s">
        <v>292</v>
      </c>
    </row>
    <row r="91" spans="1:8">
      <c r="A91" s="81"/>
      <c r="B91" s="81"/>
      <c r="D91" s="81"/>
      <c r="E91" s="89"/>
      <c r="F91" s="163"/>
      <c r="G91" s="163"/>
      <c r="H91" s="89"/>
    </row>
    <row r="92" spans="1:8">
      <c r="A92" s="120">
        <v>0.70833333333333337</v>
      </c>
      <c r="B92" s="120"/>
      <c r="C92" s="234" t="s">
        <v>87</v>
      </c>
      <c r="D92" s="235"/>
      <c r="E92" s="235"/>
      <c r="F92" s="235"/>
      <c r="G92" s="235"/>
      <c r="H92" s="236"/>
    </row>
  </sheetData>
  <mergeCells count="13">
    <mergeCell ref="A50:H50"/>
    <mergeCell ref="C92:H92"/>
    <mergeCell ref="C74:H74"/>
    <mergeCell ref="C85:H85"/>
    <mergeCell ref="B69:H69"/>
    <mergeCell ref="B80:H80"/>
    <mergeCell ref="A31:H31"/>
    <mergeCell ref="A19:H19"/>
    <mergeCell ref="A2:H2"/>
    <mergeCell ref="A3:H3"/>
    <mergeCell ref="C5:H5"/>
    <mergeCell ref="C6:H6"/>
    <mergeCell ref="A7:H7"/>
  </mergeCells>
  <pageMargins left="0.59" right="0.49" top="0.75" bottom="0.75" header="0.3" footer="0.3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85"/>
  <sheetViews>
    <sheetView view="pageBreakPreview" topLeftCell="D4" zoomScaleSheetLayoutView="100" workbookViewId="0">
      <selection activeCell="AB19" sqref="AB19:AB20"/>
    </sheetView>
  </sheetViews>
  <sheetFormatPr baseColWidth="10" defaultColWidth="1.7109375" defaultRowHeight="12.75"/>
  <cols>
    <col min="1" max="3" width="0" style="90" hidden="1" customWidth="1"/>
    <col min="4" max="14" width="1.7109375" style="90" customWidth="1"/>
    <col min="15" max="15" width="3" style="90" customWidth="1"/>
    <col min="16" max="27" width="2.7109375" style="90" customWidth="1"/>
    <col min="28" max="28" width="4.85546875" style="90" customWidth="1"/>
    <col min="29" max="34" width="0" style="90" hidden="1" customWidth="1"/>
    <col min="35" max="39" width="4.7109375" style="90" customWidth="1"/>
    <col min="40" max="40" width="5.140625" style="90" customWidth="1"/>
    <col min="41" max="43" width="4.7109375" style="90" customWidth="1"/>
    <col min="44" max="50" width="1.7109375" style="92"/>
    <col min="51" max="16384" width="1.7109375" style="90"/>
  </cols>
  <sheetData>
    <row r="1" spans="4:44" ht="52.5" customHeight="1"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</row>
    <row r="2" spans="4:44" ht="18.75" customHeight="1">
      <c r="D2" s="365" t="s">
        <v>63</v>
      </c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365"/>
      <c r="AP2" s="365"/>
    </row>
    <row r="3" spans="4:44" ht="13.5" customHeight="1">
      <c r="D3" s="366" t="s">
        <v>60</v>
      </c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</row>
    <row r="4" spans="4:44" ht="15.95" customHeight="1">
      <c r="D4" s="282" t="s">
        <v>62</v>
      </c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9"/>
      <c r="P4" s="286" t="str">
        <f>D13</f>
        <v>HURACANES</v>
      </c>
      <c r="Q4" s="249"/>
      <c r="R4" s="367" t="str">
        <f>D15</f>
        <v>INTERNACIONAL</v>
      </c>
      <c r="S4" s="368"/>
      <c r="T4" s="287" t="str">
        <f>D17</f>
        <v>REAL HC</v>
      </c>
      <c r="U4" s="288"/>
      <c r="V4" s="373" t="str">
        <f>D19</f>
        <v>MANIZALEZ</v>
      </c>
      <c r="W4" s="374"/>
      <c r="X4" s="379">
        <f>D21</f>
        <v>0</v>
      </c>
      <c r="Y4" s="380"/>
      <c r="Z4" s="315" t="s">
        <v>61</v>
      </c>
      <c r="AA4" s="316"/>
      <c r="AB4" s="311" t="s">
        <v>31</v>
      </c>
      <c r="AC4" s="308" t="s">
        <v>30</v>
      </c>
      <c r="AD4" s="308" t="s">
        <v>29</v>
      </c>
      <c r="AE4" s="308" t="s">
        <v>28</v>
      </c>
      <c r="AF4" s="308" t="s">
        <v>27</v>
      </c>
      <c r="AG4" s="308" t="s">
        <v>26</v>
      </c>
      <c r="AH4" s="308" t="s">
        <v>25</v>
      </c>
      <c r="AI4" s="311" t="s">
        <v>24</v>
      </c>
      <c r="AJ4" s="311" t="s">
        <v>23</v>
      </c>
      <c r="AK4" s="311" t="s">
        <v>22</v>
      </c>
      <c r="AL4" s="311" t="s">
        <v>21</v>
      </c>
      <c r="AM4" s="311" t="s">
        <v>20</v>
      </c>
      <c r="AN4" s="311" t="s">
        <v>19</v>
      </c>
      <c r="AO4" s="311" t="s">
        <v>18</v>
      </c>
      <c r="AP4" s="311" t="s">
        <v>17</v>
      </c>
    </row>
    <row r="5" spans="4:44" ht="15.95" customHeight="1">
      <c r="D5" s="283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5"/>
      <c r="P5" s="283"/>
      <c r="Q5" s="285"/>
      <c r="R5" s="369"/>
      <c r="S5" s="370"/>
      <c r="T5" s="289"/>
      <c r="U5" s="290"/>
      <c r="V5" s="375"/>
      <c r="W5" s="376"/>
      <c r="X5" s="381"/>
      <c r="Y5" s="382"/>
      <c r="Z5" s="317"/>
      <c r="AA5" s="318"/>
      <c r="AB5" s="312"/>
      <c r="AC5" s="309"/>
      <c r="AD5" s="309"/>
      <c r="AE5" s="309"/>
      <c r="AF5" s="309"/>
      <c r="AG5" s="309"/>
      <c r="AH5" s="309"/>
      <c r="AI5" s="321"/>
      <c r="AJ5" s="321"/>
      <c r="AK5" s="321"/>
      <c r="AL5" s="321"/>
      <c r="AM5" s="312"/>
      <c r="AN5" s="312"/>
      <c r="AO5" s="312"/>
      <c r="AP5" s="312"/>
    </row>
    <row r="6" spans="4:44" ht="15.95" customHeight="1">
      <c r="D6" s="283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5"/>
      <c r="P6" s="283"/>
      <c r="Q6" s="285"/>
      <c r="R6" s="369"/>
      <c r="S6" s="370"/>
      <c r="T6" s="289"/>
      <c r="U6" s="290"/>
      <c r="V6" s="375"/>
      <c r="W6" s="376"/>
      <c r="X6" s="381"/>
      <c r="Y6" s="382"/>
      <c r="Z6" s="317"/>
      <c r="AA6" s="318"/>
      <c r="AB6" s="312"/>
      <c r="AC6" s="309"/>
      <c r="AD6" s="309"/>
      <c r="AE6" s="309"/>
      <c r="AF6" s="309"/>
      <c r="AG6" s="309"/>
      <c r="AH6" s="309"/>
      <c r="AI6" s="321"/>
      <c r="AJ6" s="321"/>
      <c r="AK6" s="321"/>
      <c r="AL6" s="321"/>
      <c r="AM6" s="312"/>
      <c r="AN6" s="312"/>
      <c r="AO6" s="312"/>
      <c r="AP6" s="312"/>
    </row>
    <row r="7" spans="4:44" ht="15.95" customHeight="1">
      <c r="D7" s="283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5"/>
      <c r="P7" s="283"/>
      <c r="Q7" s="285"/>
      <c r="R7" s="369"/>
      <c r="S7" s="370"/>
      <c r="T7" s="289"/>
      <c r="U7" s="290"/>
      <c r="V7" s="375"/>
      <c r="W7" s="376"/>
      <c r="X7" s="381"/>
      <c r="Y7" s="382"/>
      <c r="Z7" s="317"/>
      <c r="AA7" s="318"/>
      <c r="AB7" s="312"/>
      <c r="AC7" s="309"/>
      <c r="AD7" s="309"/>
      <c r="AE7" s="309"/>
      <c r="AF7" s="309"/>
      <c r="AG7" s="309"/>
      <c r="AH7" s="309"/>
      <c r="AI7" s="321"/>
      <c r="AJ7" s="321"/>
      <c r="AK7" s="321"/>
      <c r="AL7" s="321"/>
      <c r="AM7" s="312"/>
      <c r="AN7" s="312"/>
      <c r="AO7" s="312"/>
      <c r="AP7" s="312"/>
    </row>
    <row r="8" spans="4:44" ht="15.95" customHeight="1">
      <c r="D8" s="283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  <c r="P8" s="283"/>
      <c r="Q8" s="285"/>
      <c r="R8" s="369"/>
      <c r="S8" s="370"/>
      <c r="T8" s="289"/>
      <c r="U8" s="290"/>
      <c r="V8" s="375"/>
      <c r="W8" s="376"/>
      <c r="X8" s="381"/>
      <c r="Y8" s="382"/>
      <c r="Z8" s="317"/>
      <c r="AA8" s="318"/>
      <c r="AB8" s="312"/>
      <c r="AC8" s="309"/>
      <c r="AD8" s="309"/>
      <c r="AE8" s="309"/>
      <c r="AF8" s="309"/>
      <c r="AG8" s="309"/>
      <c r="AH8" s="309"/>
      <c r="AI8" s="321"/>
      <c r="AJ8" s="321"/>
      <c r="AK8" s="321"/>
      <c r="AL8" s="321"/>
      <c r="AM8" s="312"/>
      <c r="AN8" s="312"/>
      <c r="AO8" s="312"/>
      <c r="AP8" s="312"/>
    </row>
    <row r="9" spans="4:44" ht="15.95" customHeight="1">
      <c r="D9" s="283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5"/>
      <c r="P9" s="283"/>
      <c r="Q9" s="285"/>
      <c r="R9" s="369"/>
      <c r="S9" s="370"/>
      <c r="T9" s="289"/>
      <c r="U9" s="290"/>
      <c r="V9" s="375"/>
      <c r="W9" s="376"/>
      <c r="X9" s="381"/>
      <c r="Y9" s="382"/>
      <c r="Z9" s="317"/>
      <c r="AA9" s="318"/>
      <c r="AB9" s="312"/>
      <c r="AC9" s="309"/>
      <c r="AD9" s="309"/>
      <c r="AE9" s="309"/>
      <c r="AF9" s="309"/>
      <c r="AG9" s="309"/>
      <c r="AH9" s="309"/>
      <c r="AI9" s="321"/>
      <c r="AJ9" s="321"/>
      <c r="AK9" s="321"/>
      <c r="AL9" s="321"/>
      <c r="AM9" s="312"/>
      <c r="AN9" s="312"/>
      <c r="AO9" s="312"/>
      <c r="AP9" s="312"/>
    </row>
    <row r="10" spans="4:44" ht="15.95" customHeight="1">
      <c r="D10" s="283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5"/>
      <c r="P10" s="283"/>
      <c r="Q10" s="285"/>
      <c r="R10" s="369"/>
      <c r="S10" s="370"/>
      <c r="T10" s="289"/>
      <c r="U10" s="290"/>
      <c r="V10" s="375"/>
      <c r="W10" s="376"/>
      <c r="X10" s="381"/>
      <c r="Y10" s="382"/>
      <c r="Z10" s="317"/>
      <c r="AA10" s="318"/>
      <c r="AB10" s="312"/>
      <c r="AC10" s="309"/>
      <c r="AD10" s="309"/>
      <c r="AE10" s="309"/>
      <c r="AF10" s="309"/>
      <c r="AG10" s="309"/>
      <c r="AH10" s="309"/>
      <c r="AI10" s="321"/>
      <c r="AJ10" s="321"/>
      <c r="AK10" s="321"/>
      <c r="AL10" s="321"/>
      <c r="AM10" s="312"/>
      <c r="AN10" s="312"/>
      <c r="AO10" s="312"/>
      <c r="AP10" s="312"/>
    </row>
    <row r="11" spans="4:44" ht="15.95" customHeight="1">
      <c r="D11" s="283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5"/>
      <c r="P11" s="283"/>
      <c r="Q11" s="285"/>
      <c r="R11" s="369"/>
      <c r="S11" s="370"/>
      <c r="T11" s="289"/>
      <c r="U11" s="290"/>
      <c r="V11" s="375"/>
      <c r="W11" s="376"/>
      <c r="X11" s="381"/>
      <c r="Y11" s="382"/>
      <c r="Z11" s="317"/>
      <c r="AA11" s="318"/>
      <c r="AB11" s="312"/>
      <c r="AC11" s="309"/>
      <c r="AD11" s="309"/>
      <c r="AE11" s="309"/>
      <c r="AF11" s="309"/>
      <c r="AG11" s="309"/>
      <c r="AH11" s="309"/>
      <c r="AI11" s="321"/>
      <c r="AJ11" s="321"/>
      <c r="AK11" s="321"/>
      <c r="AL11" s="321"/>
      <c r="AM11" s="312"/>
      <c r="AN11" s="312"/>
      <c r="AO11" s="312"/>
      <c r="AP11" s="312"/>
    </row>
    <row r="12" spans="4:44" ht="15.95" customHeight="1">
      <c r="D12" s="250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2"/>
      <c r="P12" s="250"/>
      <c r="Q12" s="252"/>
      <c r="R12" s="371"/>
      <c r="S12" s="372"/>
      <c r="T12" s="291"/>
      <c r="U12" s="292"/>
      <c r="V12" s="377"/>
      <c r="W12" s="378"/>
      <c r="X12" s="383"/>
      <c r="Y12" s="384"/>
      <c r="Z12" s="319"/>
      <c r="AA12" s="320"/>
      <c r="AB12" s="313"/>
      <c r="AC12" s="310"/>
      <c r="AD12" s="310"/>
      <c r="AE12" s="310"/>
      <c r="AF12" s="310"/>
      <c r="AG12" s="310"/>
      <c r="AH12" s="310"/>
      <c r="AI12" s="269"/>
      <c r="AJ12" s="269"/>
      <c r="AK12" s="269"/>
      <c r="AL12" s="269"/>
      <c r="AM12" s="313"/>
      <c r="AN12" s="313"/>
      <c r="AO12" s="313"/>
      <c r="AP12" s="313"/>
    </row>
    <row r="13" spans="4:44" ht="11.25" customHeight="1">
      <c r="D13" s="314" t="s">
        <v>32</v>
      </c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9"/>
      <c r="P13" s="93"/>
      <c r="Q13" s="94"/>
      <c r="R13" s="95"/>
      <c r="S13" s="96">
        <v>0</v>
      </c>
      <c r="T13" s="97"/>
      <c r="U13" s="97">
        <v>1</v>
      </c>
      <c r="V13" s="95"/>
      <c r="W13" s="96">
        <v>0</v>
      </c>
      <c r="X13" s="95"/>
      <c r="Y13" s="96"/>
      <c r="Z13" s="253">
        <f>AO13/AB13</f>
        <v>0</v>
      </c>
      <c r="AA13" s="254"/>
      <c r="AB13" s="257">
        <v>3</v>
      </c>
      <c r="AC13" s="261"/>
      <c r="AD13" s="259"/>
      <c r="AE13" s="259"/>
      <c r="AF13" s="259"/>
      <c r="AG13" s="259"/>
      <c r="AH13" s="259"/>
      <c r="AI13" s="243"/>
      <c r="AJ13" s="243"/>
      <c r="AK13" s="243"/>
      <c r="AL13" s="243">
        <f>P14+R14+T14+V14+X14+Z14</f>
        <v>22</v>
      </c>
      <c r="AM13" s="243">
        <f>Q13+S13+U13+W13+Y13+AA13</f>
        <v>1</v>
      </c>
      <c r="AN13" s="243">
        <f>AL13-AM13</f>
        <v>21</v>
      </c>
      <c r="AO13" s="245">
        <f>(AI13*3)+(AK13*1)</f>
        <v>0</v>
      </c>
      <c r="AP13" s="245"/>
      <c r="AR13" s="98"/>
    </row>
    <row r="14" spans="4:44" ht="11.25" customHeight="1">
      <c r="D14" s="250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2"/>
      <c r="P14" s="99"/>
      <c r="Q14" s="100"/>
      <c r="R14" s="101">
        <v>9</v>
      </c>
      <c r="S14" s="102"/>
      <c r="T14" s="103">
        <v>4</v>
      </c>
      <c r="U14" s="103"/>
      <c r="V14" s="101">
        <v>9</v>
      </c>
      <c r="W14" s="102"/>
      <c r="X14" s="101"/>
      <c r="Y14" s="102"/>
      <c r="Z14" s="255"/>
      <c r="AA14" s="256"/>
      <c r="AB14" s="258"/>
      <c r="AC14" s="262"/>
      <c r="AD14" s="260"/>
      <c r="AE14" s="260"/>
      <c r="AF14" s="260"/>
      <c r="AG14" s="260"/>
      <c r="AH14" s="260"/>
      <c r="AI14" s="269"/>
      <c r="AJ14" s="269"/>
      <c r="AK14" s="269"/>
      <c r="AL14" s="269"/>
      <c r="AM14" s="244"/>
      <c r="AN14" s="244"/>
      <c r="AO14" s="246"/>
      <c r="AP14" s="246"/>
      <c r="AR14" s="98"/>
    </row>
    <row r="15" spans="4:44" ht="11.25" customHeight="1">
      <c r="D15" s="270" t="s">
        <v>2</v>
      </c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2"/>
      <c r="P15" s="95"/>
      <c r="Q15" s="96">
        <v>9</v>
      </c>
      <c r="R15" s="93"/>
      <c r="S15" s="94"/>
      <c r="T15" s="95"/>
      <c r="U15" s="96">
        <v>0</v>
      </c>
      <c r="V15" s="95"/>
      <c r="W15" s="96">
        <v>0</v>
      </c>
      <c r="X15" s="95"/>
      <c r="Y15" s="96"/>
      <c r="Z15" s="253">
        <f>AO15/AB15</f>
        <v>0</v>
      </c>
      <c r="AA15" s="254"/>
      <c r="AB15" s="257">
        <v>3</v>
      </c>
      <c r="AC15" s="259"/>
      <c r="AD15" s="261"/>
      <c r="AE15" s="259"/>
      <c r="AF15" s="259"/>
      <c r="AG15" s="259"/>
      <c r="AH15" s="259"/>
      <c r="AI15" s="243"/>
      <c r="AJ15" s="243"/>
      <c r="AK15" s="243"/>
      <c r="AL15" s="243">
        <f>P16+R16+T16+V16+X16</f>
        <v>20</v>
      </c>
      <c r="AM15" s="243">
        <f>Q15+S15+U15+W15+Y15</f>
        <v>9</v>
      </c>
      <c r="AN15" s="243">
        <f>AL15-AM15</f>
        <v>11</v>
      </c>
      <c r="AO15" s="245">
        <f>(AI15*3)+(AK15*1)</f>
        <v>0</v>
      </c>
      <c r="AP15" s="245"/>
    </row>
    <row r="16" spans="4:44" ht="11.25" customHeight="1">
      <c r="D16" s="273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5"/>
      <c r="P16" s="101">
        <v>0</v>
      </c>
      <c r="Q16" s="102"/>
      <c r="R16" s="99"/>
      <c r="S16" s="100"/>
      <c r="T16" s="101">
        <v>10</v>
      </c>
      <c r="U16" s="102"/>
      <c r="V16" s="101">
        <v>10</v>
      </c>
      <c r="W16" s="102"/>
      <c r="X16" s="101"/>
      <c r="Y16" s="102"/>
      <c r="Z16" s="255"/>
      <c r="AA16" s="256"/>
      <c r="AB16" s="258"/>
      <c r="AC16" s="260"/>
      <c r="AD16" s="262"/>
      <c r="AE16" s="260"/>
      <c r="AF16" s="260"/>
      <c r="AG16" s="260"/>
      <c r="AH16" s="260"/>
      <c r="AI16" s="269"/>
      <c r="AJ16" s="269"/>
      <c r="AK16" s="269"/>
      <c r="AL16" s="269"/>
      <c r="AM16" s="244"/>
      <c r="AN16" s="244"/>
      <c r="AO16" s="246"/>
      <c r="AP16" s="246"/>
    </row>
    <row r="17" spans="4:43" ht="11.25" customHeight="1">
      <c r="D17" s="336" t="s">
        <v>83</v>
      </c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288"/>
      <c r="P17" s="95"/>
      <c r="Q17" s="96">
        <v>4</v>
      </c>
      <c r="R17" s="95"/>
      <c r="S17" s="96">
        <v>1</v>
      </c>
      <c r="T17" s="93"/>
      <c r="U17" s="94"/>
      <c r="V17" s="95"/>
      <c r="W17" s="96">
        <v>0</v>
      </c>
      <c r="X17" s="95"/>
      <c r="Y17" s="96"/>
      <c r="Z17" s="253">
        <f>AO17/AB17</f>
        <v>0</v>
      </c>
      <c r="AA17" s="254"/>
      <c r="AB17" s="257">
        <v>3</v>
      </c>
      <c r="AC17" s="259"/>
      <c r="AD17" s="259"/>
      <c r="AE17" s="261"/>
      <c r="AF17" s="259"/>
      <c r="AG17" s="259"/>
      <c r="AH17" s="259"/>
      <c r="AI17" s="243"/>
      <c r="AJ17" s="243"/>
      <c r="AK17" s="243"/>
      <c r="AL17" s="243">
        <f>P18+R18+T18+V18+X18</f>
        <v>11</v>
      </c>
      <c r="AM17" s="243">
        <f>Q17+S17+U17+W17+Y17</f>
        <v>5</v>
      </c>
      <c r="AN17" s="243">
        <f>AL17-AM17</f>
        <v>6</v>
      </c>
      <c r="AO17" s="245">
        <f>(AI17*3)+(AK17*1)</f>
        <v>0</v>
      </c>
      <c r="AP17" s="245"/>
    </row>
    <row r="18" spans="4:43" ht="11.25" customHeight="1">
      <c r="D18" s="291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292"/>
      <c r="P18" s="101">
        <v>1</v>
      </c>
      <c r="Q18" s="102"/>
      <c r="R18" s="101">
        <v>1</v>
      </c>
      <c r="S18" s="102"/>
      <c r="T18" s="99"/>
      <c r="U18" s="100"/>
      <c r="V18" s="101">
        <v>9</v>
      </c>
      <c r="W18" s="102"/>
      <c r="X18" s="101"/>
      <c r="Y18" s="102"/>
      <c r="Z18" s="255"/>
      <c r="AA18" s="256"/>
      <c r="AB18" s="258"/>
      <c r="AC18" s="260"/>
      <c r="AD18" s="260"/>
      <c r="AE18" s="262"/>
      <c r="AF18" s="260"/>
      <c r="AG18" s="260"/>
      <c r="AH18" s="260"/>
      <c r="AI18" s="269"/>
      <c r="AJ18" s="269"/>
      <c r="AK18" s="269"/>
      <c r="AL18" s="269"/>
      <c r="AM18" s="244"/>
      <c r="AN18" s="244"/>
      <c r="AO18" s="246"/>
      <c r="AP18" s="246"/>
    </row>
    <row r="19" spans="4:43" ht="11.25" customHeight="1">
      <c r="D19" s="326" t="s">
        <v>88</v>
      </c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7"/>
      <c r="P19" s="95"/>
      <c r="Q19" s="96">
        <v>0</v>
      </c>
      <c r="R19" s="95"/>
      <c r="S19" s="96">
        <v>10</v>
      </c>
      <c r="T19" s="95"/>
      <c r="U19" s="96">
        <v>9</v>
      </c>
      <c r="V19" s="93"/>
      <c r="W19" s="94"/>
      <c r="X19" s="95"/>
      <c r="Y19" s="96"/>
      <c r="Z19" s="253">
        <f>AO19/AB19</f>
        <v>0</v>
      </c>
      <c r="AA19" s="254"/>
      <c r="AB19" s="257">
        <v>3</v>
      </c>
      <c r="AC19" s="259"/>
      <c r="AD19" s="259"/>
      <c r="AE19" s="259"/>
      <c r="AF19" s="261"/>
      <c r="AG19" s="259"/>
      <c r="AH19" s="259"/>
      <c r="AI19" s="243"/>
      <c r="AJ19" s="243"/>
      <c r="AK19" s="243"/>
      <c r="AL19" s="243">
        <f>P20+R20+T20+V20+X20</f>
        <v>9</v>
      </c>
      <c r="AM19" s="243">
        <f>Q19+S19+U19+W19+Y19</f>
        <v>19</v>
      </c>
      <c r="AN19" s="243">
        <f>AL19-AM19</f>
        <v>-10</v>
      </c>
      <c r="AO19" s="245">
        <f>(AI19*3)+(AK19*1)</f>
        <v>0</v>
      </c>
      <c r="AP19" s="245"/>
    </row>
    <row r="20" spans="4:43" ht="11.25" customHeight="1"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9"/>
      <c r="P20" s="101">
        <v>9</v>
      </c>
      <c r="Q20" s="102"/>
      <c r="R20" s="101">
        <v>0</v>
      </c>
      <c r="S20" s="102"/>
      <c r="T20" s="101">
        <v>0</v>
      </c>
      <c r="U20" s="102"/>
      <c r="V20" s="99"/>
      <c r="W20" s="100"/>
      <c r="X20" s="101"/>
      <c r="Y20" s="102"/>
      <c r="Z20" s="255"/>
      <c r="AA20" s="256"/>
      <c r="AB20" s="258"/>
      <c r="AC20" s="260"/>
      <c r="AD20" s="260"/>
      <c r="AE20" s="260"/>
      <c r="AF20" s="262"/>
      <c r="AG20" s="260"/>
      <c r="AH20" s="260"/>
      <c r="AI20" s="269"/>
      <c r="AJ20" s="269"/>
      <c r="AK20" s="269"/>
      <c r="AL20" s="269"/>
      <c r="AM20" s="244"/>
      <c r="AN20" s="244"/>
      <c r="AO20" s="246"/>
      <c r="AP20" s="246"/>
    </row>
    <row r="21" spans="4:43" ht="11.25" customHeight="1">
      <c r="D21" s="276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8"/>
      <c r="P21" s="95"/>
      <c r="Q21" s="96"/>
      <c r="R21" s="95"/>
      <c r="S21" s="96"/>
      <c r="T21" s="95"/>
      <c r="U21" s="96"/>
      <c r="V21" s="95"/>
      <c r="W21" s="96"/>
      <c r="X21" s="93"/>
      <c r="Y21" s="94"/>
      <c r="Z21" s="253" t="e">
        <f>AO21/AB21</f>
        <v>#DIV/0!</v>
      </c>
      <c r="AA21" s="254"/>
      <c r="AB21" s="257"/>
      <c r="AC21" s="92"/>
      <c r="AD21" s="92"/>
      <c r="AE21" s="92"/>
      <c r="AF21" s="92"/>
      <c r="AG21" s="92"/>
      <c r="AH21" s="92"/>
      <c r="AI21" s="243"/>
      <c r="AJ21" s="243"/>
      <c r="AK21" s="243"/>
      <c r="AL21" s="243">
        <f>P22+R22+T22+V22+X22</f>
        <v>0</v>
      </c>
      <c r="AM21" s="243">
        <f>Q21+S21+U21+W21+Y21</f>
        <v>0</v>
      </c>
      <c r="AN21" s="243">
        <f>AL21-AM21</f>
        <v>0</v>
      </c>
      <c r="AO21" s="245">
        <f>(AI21*3)+(AK21*1)</f>
        <v>0</v>
      </c>
      <c r="AP21" s="245"/>
    </row>
    <row r="22" spans="4:43" ht="11.25" customHeight="1">
      <c r="D22" s="279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1"/>
      <c r="P22" s="101"/>
      <c r="Q22" s="102"/>
      <c r="R22" s="101"/>
      <c r="S22" s="102"/>
      <c r="T22" s="101"/>
      <c r="U22" s="102"/>
      <c r="V22" s="101"/>
      <c r="W22" s="102"/>
      <c r="X22" s="99"/>
      <c r="Y22" s="100"/>
      <c r="Z22" s="255"/>
      <c r="AA22" s="256"/>
      <c r="AB22" s="258"/>
      <c r="AC22" s="92"/>
      <c r="AD22" s="92"/>
      <c r="AE22" s="92"/>
      <c r="AF22" s="92"/>
      <c r="AG22" s="92"/>
      <c r="AH22" s="92"/>
      <c r="AI22" s="269"/>
      <c r="AJ22" s="269"/>
      <c r="AK22" s="269"/>
      <c r="AL22" s="269"/>
      <c r="AM22" s="244"/>
      <c r="AN22" s="244"/>
      <c r="AO22" s="246"/>
      <c r="AP22" s="246"/>
    </row>
    <row r="23" spans="4:43" ht="11.25" customHeight="1"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"/>
    </row>
    <row r="24" spans="4:43" ht="11.25" customHeight="1"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"/>
    </row>
    <row r="25" spans="4:43" ht="11.25" customHeight="1">
      <c r="D25" s="282" t="s">
        <v>64</v>
      </c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9"/>
      <c r="P25" s="339">
        <f>D34</f>
        <v>0</v>
      </c>
      <c r="Q25" s="340"/>
      <c r="R25" s="345">
        <f>D36</f>
        <v>0</v>
      </c>
      <c r="S25" s="332"/>
      <c r="T25" s="293">
        <f>D38</f>
        <v>0</v>
      </c>
      <c r="U25" s="348"/>
      <c r="V25" s="353">
        <f>D40</f>
        <v>0</v>
      </c>
      <c r="W25" s="354"/>
      <c r="X25" s="359">
        <f>D42</f>
        <v>0</v>
      </c>
      <c r="Y25" s="360"/>
      <c r="Z25" s="315" t="s">
        <v>61</v>
      </c>
      <c r="AA25" s="316"/>
      <c r="AB25" s="311" t="s">
        <v>31</v>
      </c>
      <c r="AC25" s="308" t="s">
        <v>30</v>
      </c>
      <c r="AD25" s="308" t="s">
        <v>29</v>
      </c>
      <c r="AE25" s="308" t="s">
        <v>28</v>
      </c>
      <c r="AF25" s="308" t="s">
        <v>27</v>
      </c>
      <c r="AG25" s="308" t="s">
        <v>26</v>
      </c>
      <c r="AH25" s="308" t="s">
        <v>25</v>
      </c>
      <c r="AI25" s="311" t="s">
        <v>24</v>
      </c>
      <c r="AJ25" s="311" t="s">
        <v>23</v>
      </c>
      <c r="AK25" s="311" t="s">
        <v>22</v>
      </c>
      <c r="AL25" s="311" t="s">
        <v>21</v>
      </c>
      <c r="AM25" s="311" t="s">
        <v>20</v>
      </c>
      <c r="AN25" s="311" t="s">
        <v>19</v>
      </c>
      <c r="AO25" s="311" t="s">
        <v>18</v>
      </c>
      <c r="AP25" s="311" t="s">
        <v>17</v>
      </c>
      <c r="AQ25" s="9"/>
    </row>
    <row r="26" spans="4:43" ht="11.25" customHeight="1">
      <c r="D26" s="283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5"/>
      <c r="P26" s="341"/>
      <c r="Q26" s="342"/>
      <c r="R26" s="346"/>
      <c r="S26" s="347"/>
      <c r="T26" s="349"/>
      <c r="U26" s="350"/>
      <c r="V26" s="355"/>
      <c r="W26" s="356"/>
      <c r="X26" s="361"/>
      <c r="Y26" s="362"/>
      <c r="Z26" s="317"/>
      <c r="AA26" s="318"/>
      <c r="AB26" s="312"/>
      <c r="AC26" s="309"/>
      <c r="AD26" s="309"/>
      <c r="AE26" s="309"/>
      <c r="AF26" s="309"/>
      <c r="AG26" s="309"/>
      <c r="AH26" s="309"/>
      <c r="AI26" s="321"/>
      <c r="AJ26" s="321"/>
      <c r="AK26" s="321"/>
      <c r="AL26" s="321"/>
      <c r="AM26" s="312"/>
      <c r="AN26" s="312"/>
      <c r="AO26" s="312"/>
      <c r="AP26" s="312"/>
      <c r="AQ26" s="9"/>
    </row>
    <row r="27" spans="4:43" ht="11.25" customHeight="1">
      <c r="D27" s="283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5"/>
      <c r="P27" s="341"/>
      <c r="Q27" s="342"/>
      <c r="R27" s="346"/>
      <c r="S27" s="347"/>
      <c r="T27" s="349"/>
      <c r="U27" s="350"/>
      <c r="V27" s="355"/>
      <c r="W27" s="356"/>
      <c r="X27" s="361"/>
      <c r="Y27" s="362"/>
      <c r="Z27" s="317"/>
      <c r="AA27" s="318"/>
      <c r="AB27" s="312"/>
      <c r="AC27" s="309"/>
      <c r="AD27" s="309"/>
      <c r="AE27" s="309"/>
      <c r="AF27" s="309"/>
      <c r="AG27" s="309"/>
      <c r="AH27" s="309"/>
      <c r="AI27" s="321"/>
      <c r="AJ27" s="321"/>
      <c r="AK27" s="321"/>
      <c r="AL27" s="321"/>
      <c r="AM27" s="312"/>
      <c r="AN27" s="312"/>
      <c r="AO27" s="312"/>
      <c r="AP27" s="312"/>
      <c r="AQ27" s="9"/>
    </row>
    <row r="28" spans="4:43" ht="11.25" customHeight="1">
      <c r="D28" s="283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5"/>
      <c r="P28" s="341"/>
      <c r="Q28" s="342"/>
      <c r="R28" s="346"/>
      <c r="S28" s="347"/>
      <c r="T28" s="349"/>
      <c r="U28" s="350"/>
      <c r="V28" s="355"/>
      <c r="W28" s="356"/>
      <c r="X28" s="361"/>
      <c r="Y28" s="362"/>
      <c r="Z28" s="317"/>
      <c r="AA28" s="318"/>
      <c r="AB28" s="312"/>
      <c r="AC28" s="309"/>
      <c r="AD28" s="309"/>
      <c r="AE28" s="309"/>
      <c r="AF28" s="309"/>
      <c r="AG28" s="309"/>
      <c r="AH28" s="309"/>
      <c r="AI28" s="321"/>
      <c r="AJ28" s="321"/>
      <c r="AK28" s="321"/>
      <c r="AL28" s="321"/>
      <c r="AM28" s="312"/>
      <c r="AN28" s="312"/>
      <c r="AO28" s="312"/>
      <c r="AP28" s="312"/>
      <c r="AQ28" s="9"/>
    </row>
    <row r="29" spans="4:43" ht="11.25" customHeight="1">
      <c r="D29" s="283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5"/>
      <c r="P29" s="341"/>
      <c r="Q29" s="342"/>
      <c r="R29" s="346"/>
      <c r="S29" s="347"/>
      <c r="T29" s="349"/>
      <c r="U29" s="350"/>
      <c r="V29" s="355"/>
      <c r="W29" s="356"/>
      <c r="X29" s="361"/>
      <c r="Y29" s="362"/>
      <c r="Z29" s="317"/>
      <c r="AA29" s="318"/>
      <c r="AB29" s="312"/>
      <c r="AC29" s="309"/>
      <c r="AD29" s="309"/>
      <c r="AE29" s="309"/>
      <c r="AF29" s="309"/>
      <c r="AG29" s="309"/>
      <c r="AH29" s="309"/>
      <c r="AI29" s="321"/>
      <c r="AJ29" s="321"/>
      <c r="AK29" s="321"/>
      <c r="AL29" s="321"/>
      <c r="AM29" s="312"/>
      <c r="AN29" s="312"/>
      <c r="AO29" s="312"/>
      <c r="AP29" s="312"/>
      <c r="AQ29" s="9"/>
    </row>
    <row r="30" spans="4:43" ht="11.25" customHeight="1">
      <c r="D30" s="283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5"/>
      <c r="P30" s="341"/>
      <c r="Q30" s="342"/>
      <c r="R30" s="346"/>
      <c r="S30" s="347"/>
      <c r="T30" s="349"/>
      <c r="U30" s="350"/>
      <c r="V30" s="355"/>
      <c r="W30" s="356"/>
      <c r="X30" s="361"/>
      <c r="Y30" s="362"/>
      <c r="Z30" s="317"/>
      <c r="AA30" s="318"/>
      <c r="AB30" s="312"/>
      <c r="AC30" s="309"/>
      <c r="AD30" s="309"/>
      <c r="AE30" s="309"/>
      <c r="AF30" s="309"/>
      <c r="AG30" s="309"/>
      <c r="AH30" s="309"/>
      <c r="AI30" s="321"/>
      <c r="AJ30" s="321"/>
      <c r="AK30" s="321"/>
      <c r="AL30" s="321"/>
      <c r="AM30" s="312"/>
      <c r="AN30" s="312"/>
      <c r="AO30" s="312"/>
      <c r="AP30" s="312"/>
      <c r="AQ30" s="9"/>
    </row>
    <row r="31" spans="4:43" ht="11.25" customHeight="1">
      <c r="D31" s="283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5"/>
      <c r="P31" s="341"/>
      <c r="Q31" s="342"/>
      <c r="R31" s="346"/>
      <c r="S31" s="347"/>
      <c r="T31" s="349"/>
      <c r="U31" s="350"/>
      <c r="V31" s="355"/>
      <c r="W31" s="356"/>
      <c r="X31" s="361"/>
      <c r="Y31" s="362"/>
      <c r="Z31" s="317"/>
      <c r="AA31" s="318"/>
      <c r="AB31" s="312"/>
      <c r="AC31" s="309"/>
      <c r="AD31" s="309"/>
      <c r="AE31" s="309"/>
      <c r="AF31" s="309"/>
      <c r="AG31" s="309"/>
      <c r="AH31" s="309"/>
      <c r="AI31" s="321"/>
      <c r="AJ31" s="321"/>
      <c r="AK31" s="321"/>
      <c r="AL31" s="321"/>
      <c r="AM31" s="312"/>
      <c r="AN31" s="312"/>
      <c r="AO31" s="312"/>
      <c r="AP31" s="312"/>
      <c r="AQ31" s="9"/>
    </row>
    <row r="32" spans="4:43" ht="11.25" customHeight="1">
      <c r="D32" s="283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5"/>
      <c r="P32" s="341"/>
      <c r="Q32" s="342"/>
      <c r="R32" s="346"/>
      <c r="S32" s="347"/>
      <c r="T32" s="349"/>
      <c r="U32" s="350"/>
      <c r="V32" s="355"/>
      <c r="W32" s="356"/>
      <c r="X32" s="361"/>
      <c r="Y32" s="362"/>
      <c r="Z32" s="317"/>
      <c r="AA32" s="318"/>
      <c r="AB32" s="312"/>
      <c r="AC32" s="309"/>
      <c r="AD32" s="309"/>
      <c r="AE32" s="309"/>
      <c r="AF32" s="309"/>
      <c r="AG32" s="309"/>
      <c r="AH32" s="309"/>
      <c r="AI32" s="321"/>
      <c r="AJ32" s="321"/>
      <c r="AK32" s="321"/>
      <c r="AL32" s="321"/>
      <c r="AM32" s="312"/>
      <c r="AN32" s="312"/>
      <c r="AO32" s="312"/>
      <c r="AP32" s="312"/>
      <c r="AQ32" s="9"/>
    </row>
    <row r="33" spans="4:43" ht="11.25" customHeight="1">
      <c r="D33" s="250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2"/>
      <c r="P33" s="343"/>
      <c r="Q33" s="344"/>
      <c r="R33" s="333"/>
      <c r="S33" s="335"/>
      <c r="T33" s="351"/>
      <c r="U33" s="352"/>
      <c r="V33" s="357"/>
      <c r="W33" s="358"/>
      <c r="X33" s="363"/>
      <c r="Y33" s="364"/>
      <c r="Z33" s="319"/>
      <c r="AA33" s="320"/>
      <c r="AB33" s="313"/>
      <c r="AC33" s="310"/>
      <c r="AD33" s="310"/>
      <c r="AE33" s="310"/>
      <c r="AF33" s="310"/>
      <c r="AG33" s="310"/>
      <c r="AH33" s="310"/>
      <c r="AI33" s="269"/>
      <c r="AJ33" s="269"/>
      <c r="AK33" s="269"/>
      <c r="AL33" s="269"/>
      <c r="AM33" s="313"/>
      <c r="AN33" s="313"/>
      <c r="AO33" s="313"/>
      <c r="AP33" s="313"/>
      <c r="AQ33" s="9"/>
    </row>
    <row r="34" spans="4:43" ht="11.25" customHeight="1">
      <c r="D34" s="336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288"/>
      <c r="P34" s="93"/>
      <c r="Q34" s="94"/>
      <c r="R34" s="95"/>
      <c r="S34" s="96"/>
      <c r="T34" s="97"/>
      <c r="U34" s="97"/>
      <c r="V34" s="95"/>
      <c r="W34" s="96"/>
      <c r="X34" s="95"/>
      <c r="Y34" s="96"/>
      <c r="Z34" s="253" t="e">
        <f>AO34/AB34</f>
        <v>#DIV/0!</v>
      </c>
      <c r="AA34" s="254"/>
      <c r="AB34" s="257"/>
      <c r="AC34" s="261"/>
      <c r="AD34" s="259"/>
      <c r="AE34" s="259"/>
      <c r="AF34" s="259"/>
      <c r="AG34" s="259"/>
      <c r="AH34" s="259"/>
      <c r="AI34" s="243"/>
      <c r="AJ34" s="243"/>
      <c r="AK34" s="243"/>
      <c r="AL34" s="243">
        <f>P35+R35+T35+V35+X35+Z35</f>
        <v>0</v>
      </c>
      <c r="AM34" s="243">
        <f>Q34+S34+U34+W34+Y34+AA34</f>
        <v>0</v>
      </c>
      <c r="AN34" s="243">
        <f>AL34-AM34</f>
        <v>0</v>
      </c>
      <c r="AO34" s="245">
        <f>(AI34*3)+(AK34*1)</f>
        <v>0</v>
      </c>
      <c r="AP34" s="245"/>
      <c r="AQ34" s="9"/>
    </row>
    <row r="35" spans="4:43" ht="11.25" customHeight="1">
      <c r="D35" s="291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292"/>
      <c r="P35" s="99"/>
      <c r="Q35" s="100"/>
      <c r="R35" s="101"/>
      <c r="S35" s="102"/>
      <c r="T35" s="103"/>
      <c r="U35" s="103"/>
      <c r="V35" s="101"/>
      <c r="W35" s="102"/>
      <c r="X35" s="101"/>
      <c r="Y35" s="102"/>
      <c r="Z35" s="255"/>
      <c r="AA35" s="256"/>
      <c r="AB35" s="258"/>
      <c r="AC35" s="262"/>
      <c r="AD35" s="260"/>
      <c r="AE35" s="260"/>
      <c r="AF35" s="260"/>
      <c r="AG35" s="260"/>
      <c r="AH35" s="260"/>
      <c r="AI35" s="269"/>
      <c r="AJ35" s="269"/>
      <c r="AK35" s="269"/>
      <c r="AL35" s="269"/>
      <c r="AM35" s="244"/>
      <c r="AN35" s="244"/>
      <c r="AO35" s="246"/>
      <c r="AP35" s="246"/>
      <c r="AQ35" s="9"/>
    </row>
    <row r="36" spans="4:43" ht="11.25" customHeight="1">
      <c r="D36" s="330"/>
      <c r="E36" s="331"/>
      <c r="F36" s="331"/>
      <c r="G36" s="331"/>
      <c r="H36" s="331"/>
      <c r="I36" s="331"/>
      <c r="J36" s="331"/>
      <c r="K36" s="331"/>
      <c r="L36" s="331"/>
      <c r="M36" s="331"/>
      <c r="N36" s="331"/>
      <c r="O36" s="332"/>
      <c r="P36" s="95"/>
      <c r="Q36" s="96"/>
      <c r="R36" s="93"/>
      <c r="S36" s="94"/>
      <c r="T36" s="95"/>
      <c r="U36" s="96"/>
      <c r="V36" s="95"/>
      <c r="W36" s="96"/>
      <c r="X36" s="95"/>
      <c r="Y36" s="96"/>
      <c r="Z36" s="253" t="e">
        <f>AO36/AB36</f>
        <v>#DIV/0!</v>
      </c>
      <c r="AA36" s="254"/>
      <c r="AB36" s="257"/>
      <c r="AC36" s="259"/>
      <c r="AD36" s="261"/>
      <c r="AE36" s="259"/>
      <c r="AF36" s="259"/>
      <c r="AG36" s="259"/>
      <c r="AH36" s="259"/>
      <c r="AI36" s="243"/>
      <c r="AJ36" s="243"/>
      <c r="AK36" s="243"/>
      <c r="AL36" s="243">
        <f>P37+R37+T37+V37+X37</f>
        <v>0</v>
      </c>
      <c r="AM36" s="243">
        <f>Q36+S36+U36+W36+Y36</f>
        <v>0</v>
      </c>
      <c r="AN36" s="243">
        <f>AL36-AM36</f>
        <v>0</v>
      </c>
      <c r="AO36" s="245">
        <f>(AI36*3)+(AK36*1)</f>
        <v>0</v>
      </c>
      <c r="AP36" s="245"/>
      <c r="AQ36" s="9"/>
    </row>
    <row r="37" spans="4:43" ht="11.25" customHeight="1">
      <c r="D37" s="333"/>
      <c r="E37" s="334"/>
      <c r="F37" s="334"/>
      <c r="G37" s="334"/>
      <c r="H37" s="334"/>
      <c r="I37" s="334"/>
      <c r="J37" s="334"/>
      <c r="K37" s="334"/>
      <c r="L37" s="334"/>
      <c r="M37" s="334"/>
      <c r="N37" s="334"/>
      <c r="O37" s="335"/>
      <c r="P37" s="101"/>
      <c r="Q37" s="102"/>
      <c r="R37" s="99"/>
      <c r="S37" s="100"/>
      <c r="T37" s="101"/>
      <c r="U37" s="102"/>
      <c r="V37" s="101"/>
      <c r="W37" s="102"/>
      <c r="X37" s="101"/>
      <c r="Y37" s="102"/>
      <c r="Z37" s="255"/>
      <c r="AA37" s="256"/>
      <c r="AB37" s="258"/>
      <c r="AC37" s="260"/>
      <c r="AD37" s="262"/>
      <c r="AE37" s="260"/>
      <c r="AF37" s="260"/>
      <c r="AG37" s="260"/>
      <c r="AH37" s="260"/>
      <c r="AI37" s="269"/>
      <c r="AJ37" s="269"/>
      <c r="AK37" s="269"/>
      <c r="AL37" s="269"/>
      <c r="AM37" s="244"/>
      <c r="AN37" s="244"/>
      <c r="AO37" s="246"/>
      <c r="AP37" s="246"/>
      <c r="AQ37" s="9"/>
    </row>
    <row r="38" spans="4:43" ht="11.25" customHeight="1">
      <c r="D38" s="270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2"/>
      <c r="P38" s="95"/>
      <c r="Q38" s="96"/>
      <c r="R38" s="95"/>
      <c r="S38" s="96"/>
      <c r="T38" s="93"/>
      <c r="U38" s="94"/>
      <c r="V38" s="95"/>
      <c r="W38" s="96"/>
      <c r="X38" s="95"/>
      <c r="Y38" s="96"/>
      <c r="Z38" s="253" t="e">
        <f>AO38/AB38</f>
        <v>#DIV/0!</v>
      </c>
      <c r="AA38" s="254"/>
      <c r="AB38" s="257"/>
      <c r="AC38" s="259"/>
      <c r="AD38" s="259"/>
      <c r="AE38" s="261"/>
      <c r="AF38" s="259"/>
      <c r="AG38" s="259"/>
      <c r="AH38" s="259"/>
      <c r="AI38" s="243"/>
      <c r="AJ38" s="243"/>
      <c r="AK38" s="243"/>
      <c r="AL38" s="243">
        <f>P39+R39+T39+V39+X39</f>
        <v>0</v>
      </c>
      <c r="AM38" s="243">
        <f>Q38+S38+U38+W38+Y38</f>
        <v>0</v>
      </c>
      <c r="AN38" s="243">
        <f>AL38-AM38</f>
        <v>0</v>
      </c>
      <c r="AO38" s="245">
        <f>(AI38*3)+(AK38*1)</f>
        <v>0</v>
      </c>
      <c r="AP38" s="245"/>
      <c r="AQ38" s="9"/>
    </row>
    <row r="39" spans="4:43" ht="11.25" customHeight="1">
      <c r="D39" s="273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5"/>
      <c r="P39" s="101"/>
      <c r="Q39" s="102"/>
      <c r="R39" s="101"/>
      <c r="S39" s="102"/>
      <c r="T39" s="99"/>
      <c r="U39" s="100"/>
      <c r="V39" s="101"/>
      <c r="W39" s="102"/>
      <c r="X39" s="101"/>
      <c r="Y39" s="102"/>
      <c r="Z39" s="255"/>
      <c r="AA39" s="256"/>
      <c r="AB39" s="258"/>
      <c r="AC39" s="260"/>
      <c r="AD39" s="260"/>
      <c r="AE39" s="262"/>
      <c r="AF39" s="260"/>
      <c r="AG39" s="260"/>
      <c r="AH39" s="260"/>
      <c r="AI39" s="269"/>
      <c r="AJ39" s="269"/>
      <c r="AK39" s="269"/>
      <c r="AL39" s="269"/>
      <c r="AM39" s="244"/>
      <c r="AN39" s="244"/>
      <c r="AO39" s="246"/>
      <c r="AP39" s="246"/>
      <c r="AQ39" s="9"/>
    </row>
    <row r="40" spans="4:43" ht="11.25" customHeight="1"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7"/>
      <c r="P40" s="95"/>
      <c r="Q40" s="96"/>
      <c r="R40" s="95"/>
      <c r="S40" s="96"/>
      <c r="T40" s="95"/>
      <c r="U40" s="96"/>
      <c r="V40" s="93"/>
      <c r="W40" s="94"/>
      <c r="X40" s="95"/>
      <c r="Y40" s="96"/>
      <c r="Z40" s="253" t="e">
        <f>AO40/AB40</f>
        <v>#DIV/0!</v>
      </c>
      <c r="AA40" s="254"/>
      <c r="AB40" s="257"/>
      <c r="AC40" s="259"/>
      <c r="AD40" s="259"/>
      <c r="AE40" s="259"/>
      <c r="AF40" s="261"/>
      <c r="AG40" s="259"/>
      <c r="AH40" s="259"/>
      <c r="AI40" s="243"/>
      <c r="AJ40" s="243"/>
      <c r="AK40" s="243"/>
      <c r="AL40" s="243">
        <f>P41+R41+T41+V41+X41</f>
        <v>0</v>
      </c>
      <c r="AM40" s="243">
        <f>Q40+S40+U40+W40+Y40</f>
        <v>0</v>
      </c>
      <c r="AN40" s="243">
        <f>AL40-AM40</f>
        <v>0</v>
      </c>
      <c r="AO40" s="245">
        <f>(AI40*3)+(AK40*1)</f>
        <v>0</v>
      </c>
      <c r="AP40" s="245"/>
      <c r="AQ40" s="9"/>
    </row>
    <row r="41" spans="4:43" ht="11.25" customHeight="1"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9"/>
      <c r="P41" s="101"/>
      <c r="Q41" s="102"/>
      <c r="R41" s="101"/>
      <c r="S41" s="102"/>
      <c r="T41" s="101"/>
      <c r="U41" s="102"/>
      <c r="V41" s="99"/>
      <c r="W41" s="100"/>
      <c r="X41" s="101"/>
      <c r="Y41" s="102"/>
      <c r="Z41" s="255"/>
      <c r="AA41" s="256"/>
      <c r="AB41" s="258"/>
      <c r="AC41" s="260"/>
      <c r="AD41" s="260"/>
      <c r="AE41" s="260"/>
      <c r="AF41" s="262"/>
      <c r="AG41" s="260"/>
      <c r="AH41" s="260"/>
      <c r="AI41" s="269"/>
      <c r="AJ41" s="269"/>
      <c r="AK41" s="269"/>
      <c r="AL41" s="269"/>
      <c r="AM41" s="244"/>
      <c r="AN41" s="244"/>
      <c r="AO41" s="246"/>
      <c r="AP41" s="246"/>
      <c r="AQ41" s="9"/>
    </row>
    <row r="42" spans="4:43" ht="11.25" customHeight="1"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3"/>
      <c r="P42" s="95"/>
      <c r="Q42" s="96"/>
      <c r="R42" s="95"/>
      <c r="S42" s="96"/>
      <c r="T42" s="95"/>
      <c r="U42" s="96"/>
      <c r="V42" s="95"/>
      <c r="W42" s="96"/>
      <c r="X42" s="93"/>
      <c r="Y42" s="94"/>
      <c r="Z42" s="253" t="e">
        <f>AO42/AB42</f>
        <v>#DIV/0!</v>
      </c>
      <c r="AA42" s="254"/>
      <c r="AB42" s="257"/>
      <c r="AC42" s="92"/>
      <c r="AD42" s="92"/>
      <c r="AE42" s="92"/>
      <c r="AF42" s="92"/>
      <c r="AG42" s="92"/>
      <c r="AH42" s="92"/>
      <c r="AI42" s="243"/>
      <c r="AJ42" s="243"/>
      <c r="AK42" s="243"/>
      <c r="AL42" s="243">
        <f>P43+R43+T43+V43+X43</f>
        <v>0</v>
      </c>
      <c r="AM42" s="243">
        <f>Q42+S42+U42+W42+Y42</f>
        <v>0</v>
      </c>
      <c r="AN42" s="243">
        <f>AL42-AM42</f>
        <v>0</v>
      </c>
      <c r="AO42" s="245">
        <f>(AI42*3)+(AK42*1)</f>
        <v>0</v>
      </c>
      <c r="AP42" s="245"/>
      <c r="AQ42" s="9"/>
    </row>
    <row r="43" spans="4:43" ht="11.25" customHeight="1"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5"/>
      <c r="P43" s="101"/>
      <c r="Q43" s="102"/>
      <c r="R43" s="101"/>
      <c r="S43" s="102"/>
      <c r="T43" s="101"/>
      <c r="U43" s="102"/>
      <c r="V43" s="101"/>
      <c r="W43" s="102"/>
      <c r="X43" s="99"/>
      <c r="Y43" s="100"/>
      <c r="Z43" s="255"/>
      <c r="AA43" s="256"/>
      <c r="AB43" s="258"/>
      <c r="AC43" s="92"/>
      <c r="AD43" s="92"/>
      <c r="AE43" s="92"/>
      <c r="AF43" s="92"/>
      <c r="AG43" s="92"/>
      <c r="AH43" s="92"/>
      <c r="AI43" s="269"/>
      <c r="AJ43" s="269"/>
      <c r="AK43" s="269"/>
      <c r="AL43" s="269"/>
      <c r="AM43" s="244"/>
      <c r="AN43" s="244"/>
      <c r="AO43" s="246"/>
      <c r="AP43" s="246"/>
      <c r="AQ43" s="9"/>
    </row>
    <row r="44" spans="4:43" ht="11.25" customHeight="1"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"/>
    </row>
    <row r="45" spans="4:43" ht="11.25" customHeight="1"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"/>
    </row>
    <row r="46" spans="4:43" ht="11.25" customHeight="1">
      <c r="D46" s="282" t="s">
        <v>65</v>
      </c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9"/>
      <c r="P46" s="286">
        <f>D55</f>
        <v>0</v>
      </c>
      <c r="Q46" s="249"/>
      <c r="R46" s="287">
        <f>D57</f>
        <v>0</v>
      </c>
      <c r="S46" s="288"/>
      <c r="T46" s="293">
        <f>D59</f>
        <v>0</v>
      </c>
      <c r="U46" s="272"/>
      <c r="V46" s="296">
        <f>D61</f>
        <v>0</v>
      </c>
      <c r="W46" s="297"/>
      <c r="X46" s="302">
        <f>D63</f>
        <v>0</v>
      </c>
      <c r="Y46" s="303"/>
      <c r="Z46" s="315" t="s">
        <v>61</v>
      </c>
      <c r="AA46" s="316"/>
      <c r="AB46" s="311" t="s">
        <v>31</v>
      </c>
      <c r="AC46" s="308" t="s">
        <v>30</v>
      </c>
      <c r="AD46" s="308" t="s">
        <v>29</v>
      </c>
      <c r="AE46" s="308" t="s">
        <v>28</v>
      </c>
      <c r="AF46" s="308" t="s">
        <v>27</v>
      </c>
      <c r="AG46" s="308" t="s">
        <v>26</v>
      </c>
      <c r="AH46" s="308" t="s">
        <v>25</v>
      </c>
      <c r="AI46" s="311" t="s">
        <v>24</v>
      </c>
      <c r="AJ46" s="311" t="s">
        <v>23</v>
      </c>
      <c r="AK46" s="311" t="s">
        <v>22</v>
      </c>
      <c r="AL46" s="311" t="s">
        <v>21</v>
      </c>
      <c r="AM46" s="311" t="s">
        <v>20</v>
      </c>
      <c r="AN46" s="311" t="s">
        <v>19</v>
      </c>
      <c r="AO46" s="311" t="s">
        <v>18</v>
      </c>
      <c r="AP46" s="311" t="s">
        <v>17</v>
      </c>
      <c r="AQ46" s="9"/>
    </row>
    <row r="47" spans="4:43" ht="11.25" customHeight="1">
      <c r="D47" s="283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5"/>
      <c r="P47" s="283"/>
      <c r="Q47" s="285"/>
      <c r="R47" s="289"/>
      <c r="S47" s="290"/>
      <c r="T47" s="294"/>
      <c r="U47" s="295"/>
      <c r="V47" s="298"/>
      <c r="W47" s="299"/>
      <c r="X47" s="304"/>
      <c r="Y47" s="305"/>
      <c r="Z47" s="317"/>
      <c r="AA47" s="318"/>
      <c r="AB47" s="312"/>
      <c r="AC47" s="309"/>
      <c r="AD47" s="309"/>
      <c r="AE47" s="309"/>
      <c r="AF47" s="309"/>
      <c r="AG47" s="309"/>
      <c r="AH47" s="309"/>
      <c r="AI47" s="321"/>
      <c r="AJ47" s="321"/>
      <c r="AK47" s="321"/>
      <c r="AL47" s="321"/>
      <c r="AM47" s="312"/>
      <c r="AN47" s="312"/>
      <c r="AO47" s="312"/>
      <c r="AP47" s="312"/>
      <c r="AQ47" s="9"/>
    </row>
    <row r="48" spans="4:43" ht="11.25" customHeight="1"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5"/>
      <c r="P48" s="283"/>
      <c r="Q48" s="285"/>
      <c r="R48" s="289"/>
      <c r="S48" s="290"/>
      <c r="T48" s="294"/>
      <c r="U48" s="295"/>
      <c r="V48" s="298"/>
      <c r="W48" s="299"/>
      <c r="X48" s="304"/>
      <c r="Y48" s="305"/>
      <c r="Z48" s="317"/>
      <c r="AA48" s="318"/>
      <c r="AB48" s="312"/>
      <c r="AC48" s="309"/>
      <c r="AD48" s="309"/>
      <c r="AE48" s="309"/>
      <c r="AF48" s="309"/>
      <c r="AG48" s="309"/>
      <c r="AH48" s="309"/>
      <c r="AI48" s="321"/>
      <c r="AJ48" s="321"/>
      <c r="AK48" s="321"/>
      <c r="AL48" s="321"/>
      <c r="AM48" s="312"/>
      <c r="AN48" s="312"/>
      <c r="AO48" s="312"/>
      <c r="AP48" s="312"/>
      <c r="AQ48" s="9"/>
    </row>
    <row r="49" spans="4:43" ht="11.25" customHeight="1">
      <c r="D49" s="283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5"/>
      <c r="P49" s="283"/>
      <c r="Q49" s="285"/>
      <c r="R49" s="289"/>
      <c r="S49" s="290"/>
      <c r="T49" s="294"/>
      <c r="U49" s="295"/>
      <c r="V49" s="298"/>
      <c r="W49" s="299"/>
      <c r="X49" s="304"/>
      <c r="Y49" s="305"/>
      <c r="Z49" s="317"/>
      <c r="AA49" s="318"/>
      <c r="AB49" s="312"/>
      <c r="AC49" s="309"/>
      <c r="AD49" s="309"/>
      <c r="AE49" s="309"/>
      <c r="AF49" s="309"/>
      <c r="AG49" s="309"/>
      <c r="AH49" s="309"/>
      <c r="AI49" s="321"/>
      <c r="AJ49" s="321"/>
      <c r="AK49" s="321"/>
      <c r="AL49" s="321"/>
      <c r="AM49" s="312"/>
      <c r="AN49" s="312"/>
      <c r="AO49" s="312"/>
      <c r="AP49" s="312"/>
      <c r="AQ49" s="9"/>
    </row>
    <row r="50" spans="4:43" ht="11.25" customHeight="1">
      <c r="D50" s="283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5"/>
      <c r="P50" s="283"/>
      <c r="Q50" s="285"/>
      <c r="R50" s="289"/>
      <c r="S50" s="290"/>
      <c r="T50" s="294"/>
      <c r="U50" s="295"/>
      <c r="V50" s="298"/>
      <c r="W50" s="299"/>
      <c r="X50" s="304"/>
      <c r="Y50" s="305"/>
      <c r="Z50" s="317"/>
      <c r="AA50" s="318"/>
      <c r="AB50" s="312"/>
      <c r="AC50" s="309"/>
      <c r="AD50" s="309"/>
      <c r="AE50" s="309"/>
      <c r="AF50" s="309"/>
      <c r="AG50" s="309"/>
      <c r="AH50" s="309"/>
      <c r="AI50" s="321"/>
      <c r="AJ50" s="321"/>
      <c r="AK50" s="321"/>
      <c r="AL50" s="321"/>
      <c r="AM50" s="312"/>
      <c r="AN50" s="312"/>
      <c r="AO50" s="312"/>
      <c r="AP50" s="312"/>
      <c r="AQ50" s="9"/>
    </row>
    <row r="51" spans="4:43" ht="11.25" customHeight="1">
      <c r="D51" s="283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5"/>
      <c r="P51" s="283"/>
      <c r="Q51" s="285"/>
      <c r="R51" s="289"/>
      <c r="S51" s="290"/>
      <c r="T51" s="294"/>
      <c r="U51" s="295"/>
      <c r="V51" s="298"/>
      <c r="W51" s="299"/>
      <c r="X51" s="304"/>
      <c r="Y51" s="305"/>
      <c r="Z51" s="317"/>
      <c r="AA51" s="318"/>
      <c r="AB51" s="312"/>
      <c r="AC51" s="309"/>
      <c r="AD51" s="309"/>
      <c r="AE51" s="309"/>
      <c r="AF51" s="309"/>
      <c r="AG51" s="309"/>
      <c r="AH51" s="309"/>
      <c r="AI51" s="321"/>
      <c r="AJ51" s="321"/>
      <c r="AK51" s="321"/>
      <c r="AL51" s="321"/>
      <c r="AM51" s="312"/>
      <c r="AN51" s="312"/>
      <c r="AO51" s="312"/>
      <c r="AP51" s="312"/>
      <c r="AQ51" s="9"/>
    </row>
    <row r="52" spans="4:43" ht="11.25" customHeight="1">
      <c r="D52" s="283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5"/>
      <c r="P52" s="283"/>
      <c r="Q52" s="285"/>
      <c r="R52" s="289"/>
      <c r="S52" s="290"/>
      <c r="T52" s="294"/>
      <c r="U52" s="295"/>
      <c r="V52" s="298"/>
      <c r="W52" s="299"/>
      <c r="X52" s="304"/>
      <c r="Y52" s="305"/>
      <c r="Z52" s="317"/>
      <c r="AA52" s="318"/>
      <c r="AB52" s="312"/>
      <c r="AC52" s="309"/>
      <c r="AD52" s="309"/>
      <c r="AE52" s="309"/>
      <c r="AF52" s="309"/>
      <c r="AG52" s="309"/>
      <c r="AH52" s="309"/>
      <c r="AI52" s="321"/>
      <c r="AJ52" s="321"/>
      <c r="AK52" s="321"/>
      <c r="AL52" s="321"/>
      <c r="AM52" s="312"/>
      <c r="AN52" s="312"/>
      <c r="AO52" s="312"/>
      <c r="AP52" s="312"/>
      <c r="AQ52" s="9"/>
    </row>
    <row r="53" spans="4:43" ht="11.25" customHeight="1">
      <c r="D53" s="283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5"/>
      <c r="P53" s="283"/>
      <c r="Q53" s="285"/>
      <c r="R53" s="289"/>
      <c r="S53" s="290"/>
      <c r="T53" s="294"/>
      <c r="U53" s="295"/>
      <c r="V53" s="298"/>
      <c r="W53" s="299"/>
      <c r="X53" s="304"/>
      <c r="Y53" s="305"/>
      <c r="Z53" s="317"/>
      <c r="AA53" s="318"/>
      <c r="AB53" s="312"/>
      <c r="AC53" s="309"/>
      <c r="AD53" s="309"/>
      <c r="AE53" s="309"/>
      <c r="AF53" s="309"/>
      <c r="AG53" s="309"/>
      <c r="AH53" s="309"/>
      <c r="AI53" s="321"/>
      <c r="AJ53" s="321"/>
      <c r="AK53" s="321"/>
      <c r="AL53" s="321"/>
      <c r="AM53" s="312"/>
      <c r="AN53" s="312"/>
      <c r="AO53" s="312"/>
      <c r="AP53" s="312"/>
      <c r="AQ53" s="9"/>
    </row>
    <row r="54" spans="4:43" ht="11.25" customHeight="1">
      <c r="D54" s="250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2"/>
      <c r="P54" s="250"/>
      <c r="Q54" s="252"/>
      <c r="R54" s="291"/>
      <c r="S54" s="292"/>
      <c r="T54" s="273"/>
      <c r="U54" s="275"/>
      <c r="V54" s="300"/>
      <c r="W54" s="301"/>
      <c r="X54" s="306"/>
      <c r="Y54" s="307"/>
      <c r="Z54" s="319"/>
      <c r="AA54" s="320"/>
      <c r="AB54" s="313"/>
      <c r="AC54" s="310"/>
      <c r="AD54" s="310"/>
      <c r="AE54" s="310"/>
      <c r="AF54" s="310"/>
      <c r="AG54" s="310"/>
      <c r="AH54" s="310"/>
      <c r="AI54" s="269"/>
      <c r="AJ54" s="269"/>
      <c r="AK54" s="269"/>
      <c r="AL54" s="269"/>
      <c r="AM54" s="313"/>
      <c r="AN54" s="313"/>
      <c r="AO54" s="313"/>
      <c r="AP54" s="313"/>
      <c r="AQ54" s="9"/>
    </row>
    <row r="55" spans="4:43" ht="11.25" customHeight="1">
      <c r="D55" s="314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9"/>
      <c r="P55" s="93"/>
      <c r="Q55" s="94"/>
      <c r="R55" s="95"/>
      <c r="S55" s="96"/>
      <c r="T55" s="97"/>
      <c r="U55" s="97"/>
      <c r="V55" s="95"/>
      <c r="W55" s="96"/>
      <c r="X55" s="95"/>
      <c r="Y55" s="96"/>
      <c r="Z55" s="253" t="e">
        <f>AO55/AB55</f>
        <v>#DIV/0!</v>
      </c>
      <c r="AA55" s="254"/>
      <c r="AB55" s="257"/>
      <c r="AC55" s="261"/>
      <c r="AD55" s="259"/>
      <c r="AE55" s="259"/>
      <c r="AF55" s="259"/>
      <c r="AG55" s="259"/>
      <c r="AH55" s="259"/>
      <c r="AI55" s="243"/>
      <c r="AJ55" s="243"/>
      <c r="AK55" s="243"/>
      <c r="AL55" s="243">
        <f>P56+R56+T56+V56+X56+Z56</f>
        <v>0</v>
      </c>
      <c r="AM55" s="243">
        <f>Q55+S55+U55+W55+Y55+AA55</f>
        <v>0</v>
      </c>
      <c r="AN55" s="243">
        <f>AL55-AM55</f>
        <v>0</v>
      </c>
      <c r="AO55" s="245">
        <f>(AI55*3)+(AK55*1)</f>
        <v>0</v>
      </c>
      <c r="AP55" s="245"/>
      <c r="AQ55" s="9"/>
    </row>
    <row r="56" spans="4:43" ht="11.25" customHeight="1">
      <c r="D56" s="250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2"/>
      <c r="P56" s="99"/>
      <c r="Q56" s="100"/>
      <c r="R56" s="101"/>
      <c r="S56" s="102"/>
      <c r="T56" s="103"/>
      <c r="U56" s="103"/>
      <c r="V56" s="101"/>
      <c r="W56" s="102"/>
      <c r="X56" s="101"/>
      <c r="Y56" s="102"/>
      <c r="Z56" s="255"/>
      <c r="AA56" s="256"/>
      <c r="AB56" s="258"/>
      <c r="AC56" s="262"/>
      <c r="AD56" s="260"/>
      <c r="AE56" s="260"/>
      <c r="AF56" s="260"/>
      <c r="AG56" s="260"/>
      <c r="AH56" s="260"/>
      <c r="AI56" s="269"/>
      <c r="AJ56" s="269"/>
      <c r="AK56" s="269"/>
      <c r="AL56" s="269"/>
      <c r="AM56" s="244"/>
      <c r="AN56" s="244"/>
      <c r="AO56" s="246"/>
      <c r="AP56" s="246"/>
      <c r="AQ56" s="9"/>
    </row>
    <row r="57" spans="4:43" ht="11.25" customHeight="1">
      <c r="D57" s="276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8"/>
      <c r="P57" s="95"/>
      <c r="Q57" s="96"/>
      <c r="R57" s="93"/>
      <c r="S57" s="94"/>
      <c r="T57" s="95"/>
      <c r="U57" s="96"/>
      <c r="V57" s="95"/>
      <c r="W57" s="96"/>
      <c r="X57" s="95"/>
      <c r="Y57" s="96"/>
      <c r="Z57" s="253" t="e">
        <f>AO57/AB57</f>
        <v>#DIV/0!</v>
      </c>
      <c r="AA57" s="254"/>
      <c r="AB57" s="257"/>
      <c r="AC57" s="259"/>
      <c r="AD57" s="261"/>
      <c r="AE57" s="259"/>
      <c r="AF57" s="259"/>
      <c r="AG57" s="259"/>
      <c r="AH57" s="259"/>
      <c r="AI57" s="243"/>
      <c r="AJ57" s="243"/>
      <c r="AK57" s="243"/>
      <c r="AL57" s="243">
        <f>P58+R58+T58+V58+X58</f>
        <v>0</v>
      </c>
      <c r="AM57" s="243">
        <f>Q57+S57+U57+W57+Y57</f>
        <v>0</v>
      </c>
      <c r="AN57" s="243">
        <f>AL57-AM57</f>
        <v>0</v>
      </c>
      <c r="AO57" s="245">
        <f>(AI57*3)+(AK57*1)</f>
        <v>0</v>
      </c>
      <c r="AP57" s="245"/>
      <c r="AQ57" s="9"/>
    </row>
    <row r="58" spans="4:43" ht="11.25" customHeight="1">
      <c r="D58" s="279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1"/>
      <c r="P58" s="101"/>
      <c r="Q58" s="102"/>
      <c r="R58" s="99"/>
      <c r="S58" s="100"/>
      <c r="T58" s="101"/>
      <c r="U58" s="102"/>
      <c r="V58" s="101"/>
      <c r="W58" s="102"/>
      <c r="X58" s="101"/>
      <c r="Y58" s="102"/>
      <c r="Z58" s="255"/>
      <c r="AA58" s="256"/>
      <c r="AB58" s="258"/>
      <c r="AC58" s="260"/>
      <c r="AD58" s="262"/>
      <c r="AE58" s="260"/>
      <c r="AF58" s="260"/>
      <c r="AG58" s="260"/>
      <c r="AH58" s="260"/>
      <c r="AI58" s="269"/>
      <c r="AJ58" s="269"/>
      <c r="AK58" s="269"/>
      <c r="AL58" s="269"/>
      <c r="AM58" s="244"/>
      <c r="AN58" s="244"/>
      <c r="AO58" s="246"/>
      <c r="AP58" s="246"/>
      <c r="AQ58" s="9"/>
    </row>
    <row r="59" spans="4:43" ht="11.25" customHeight="1">
      <c r="D59" s="270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2"/>
      <c r="P59" s="95"/>
      <c r="Q59" s="96"/>
      <c r="R59" s="95"/>
      <c r="S59" s="96"/>
      <c r="T59" s="93"/>
      <c r="U59" s="94"/>
      <c r="V59" s="95"/>
      <c r="W59" s="96"/>
      <c r="X59" s="95"/>
      <c r="Y59" s="96"/>
      <c r="Z59" s="253" t="e">
        <f>AO59/AB59</f>
        <v>#DIV/0!</v>
      </c>
      <c r="AA59" s="254"/>
      <c r="AB59" s="257"/>
      <c r="AC59" s="259"/>
      <c r="AD59" s="259"/>
      <c r="AE59" s="261"/>
      <c r="AF59" s="259"/>
      <c r="AG59" s="259"/>
      <c r="AH59" s="259"/>
      <c r="AI59" s="243"/>
      <c r="AJ59" s="243"/>
      <c r="AK59" s="243"/>
      <c r="AL59" s="243">
        <f>P60+R60+T60+V60+X60</f>
        <v>0</v>
      </c>
      <c r="AM59" s="243">
        <f>Q59+S59+U59+W59+Y59</f>
        <v>0</v>
      </c>
      <c r="AN59" s="243">
        <f>AL59-AM59</f>
        <v>0</v>
      </c>
      <c r="AO59" s="245">
        <f>(AI59*3)+(AK59*1)</f>
        <v>0</v>
      </c>
      <c r="AP59" s="245"/>
      <c r="AQ59" s="9"/>
    </row>
    <row r="60" spans="4:43" ht="11.25" customHeight="1">
      <c r="D60" s="273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5"/>
      <c r="P60" s="101"/>
      <c r="Q60" s="102"/>
      <c r="R60" s="101"/>
      <c r="S60" s="102"/>
      <c r="T60" s="99"/>
      <c r="U60" s="100"/>
      <c r="V60" s="101"/>
      <c r="W60" s="102"/>
      <c r="X60" s="101"/>
      <c r="Y60" s="102"/>
      <c r="Z60" s="255"/>
      <c r="AA60" s="256"/>
      <c r="AB60" s="258"/>
      <c r="AC60" s="260"/>
      <c r="AD60" s="260"/>
      <c r="AE60" s="262"/>
      <c r="AF60" s="260"/>
      <c r="AG60" s="260"/>
      <c r="AH60" s="260"/>
      <c r="AI60" s="269"/>
      <c r="AJ60" s="269"/>
      <c r="AK60" s="269"/>
      <c r="AL60" s="269"/>
      <c r="AM60" s="244"/>
      <c r="AN60" s="244"/>
      <c r="AO60" s="246"/>
      <c r="AP60" s="246"/>
      <c r="AQ60" s="9"/>
    </row>
    <row r="61" spans="4:43" ht="11.25" customHeight="1">
      <c r="D61" s="247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9"/>
      <c r="P61" s="95"/>
      <c r="Q61" s="96"/>
      <c r="R61" s="95"/>
      <c r="S61" s="96"/>
      <c r="T61" s="95"/>
      <c r="U61" s="96"/>
      <c r="V61" s="93"/>
      <c r="W61" s="94"/>
      <c r="X61" s="95"/>
      <c r="Y61" s="96"/>
      <c r="Z61" s="253" t="e">
        <f>AO61/AB61</f>
        <v>#DIV/0!</v>
      </c>
      <c r="AA61" s="254"/>
      <c r="AB61" s="257"/>
      <c r="AC61" s="259"/>
      <c r="AD61" s="259"/>
      <c r="AE61" s="259"/>
      <c r="AF61" s="261"/>
      <c r="AG61" s="259"/>
      <c r="AH61" s="259"/>
      <c r="AI61" s="243"/>
      <c r="AJ61" s="243"/>
      <c r="AK61" s="243"/>
      <c r="AL61" s="243">
        <f>P62+R62+T62+V62+X62</f>
        <v>0</v>
      </c>
      <c r="AM61" s="243">
        <f>Q61+S61+U61+W61+Y61</f>
        <v>0</v>
      </c>
      <c r="AN61" s="243">
        <f>AL61-AM61</f>
        <v>0</v>
      </c>
      <c r="AO61" s="245">
        <f>(AI61*3)+(AK61*1)</f>
        <v>0</v>
      </c>
      <c r="AP61" s="245"/>
      <c r="AQ61" s="9"/>
    </row>
    <row r="62" spans="4:43" ht="11.25" customHeight="1">
      <c r="D62" s="250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2"/>
      <c r="P62" s="101"/>
      <c r="Q62" s="102"/>
      <c r="R62" s="101"/>
      <c r="S62" s="102"/>
      <c r="T62" s="101"/>
      <c r="U62" s="102"/>
      <c r="V62" s="99"/>
      <c r="W62" s="100"/>
      <c r="X62" s="101"/>
      <c r="Y62" s="102"/>
      <c r="Z62" s="255"/>
      <c r="AA62" s="256"/>
      <c r="AB62" s="258"/>
      <c r="AC62" s="260"/>
      <c r="AD62" s="260"/>
      <c r="AE62" s="260"/>
      <c r="AF62" s="262"/>
      <c r="AG62" s="260"/>
      <c r="AH62" s="260"/>
      <c r="AI62" s="269"/>
      <c r="AJ62" s="269"/>
      <c r="AK62" s="269"/>
      <c r="AL62" s="269"/>
      <c r="AM62" s="244"/>
      <c r="AN62" s="244"/>
      <c r="AO62" s="246"/>
      <c r="AP62" s="246"/>
      <c r="AQ62" s="9"/>
    </row>
    <row r="63" spans="4:43" ht="11.25" customHeight="1">
      <c r="D63" s="263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5"/>
      <c r="P63" s="95"/>
      <c r="Q63" s="96"/>
      <c r="R63" s="95"/>
      <c r="S63" s="96"/>
      <c r="T63" s="95"/>
      <c r="U63" s="96"/>
      <c r="V63" s="95"/>
      <c r="W63" s="96"/>
      <c r="X63" s="93"/>
      <c r="Y63" s="94"/>
      <c r="Z63" s="253" t="e">
        <f>AO63/AB63</f>
        <v>#DIV/0!</v>
      </c>
      <c r="AA63" s="254"/>
      <c r="AB63" s="257"/>
      <c r="AC63" s="92"/>
      <c r="AD63" s="92"/>
      <c r="AE63" s="92"/>
      <c r="AF63" s="92"/>
      <c r="AG63" s="92"/>
      <c r="AH63" s="92"/>
      <c r="AI63" s="243"/>
      <c r="AJ63" s="243"/>
      <c r="AK63" s="243"/>
      <c r="AL63" s="243">
        <f>P64+R64+T64+V64+X64</f>
        <v>0</v>
      </c>
      <c r="AM63" s="243">
        <f>Q63+S63+U63+W63+Y63</f>
        <v>0</v>
      </c>
      <c r="AN63" s="243">
        <f>AL63-AM63</f>
        <v>0</v>
      </c>
      <c r="AO63" s="245">
        <f>(AI63*3)+(AK63*1)</f>
        <v>0</v>
      </c>
      <c r="AP63" s="245"/>
      <c r="AQ63" s="9"/>
    </row>
    <row r="64" spans="4:43" ht="11.25" customHeight="1">
      <c r="D64" s="266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/>
      <c r="P64" s="101"/>
      <c r="Q64" s="102"/>
      <c r="R64" s="101"/>
      <c r="S64" s="102"/>
      <c r="T64" s="101"/>
      <c r="U64" s="102"/>
      <c r="V64" s="101"/>
      <c r="W64" s="102"/>
      <c r="X64" s="99"/>
      <c r="Y64" s="100"/>
      <c r="Z64" s="255"/>
      <c r="AA64" s="256"/>
      <c r="AB64" s="258"/>
      <c r="AC64" s="92"/>
      <c r="AD64" s="92"/>
      <c r="AE64" s="92"/>
      <c r="AF64" s="92"/>
      <c r="AG64" s="92"/>
      <c r="AH64" s="92"/>
      <c r="AI64" s="269"/>
      <c r="AJ64" s="269"/>
      <c r="AK64" s="269"/>
      <c r="AL64" s="269"/>
      <c r="AM64" s="244"/>
      <c r="AN64" s="244"/>
      <c r="AO64" s="246"/>
      <c r="AP64" s="246"/>
      <c r="AQ64" s="9"/>
    </row>
    <row r="65" spans="1:43" ht="11.25" customHeight="1">
      <c r="A65" s="91"/>
      <c r="B65" s="91"/>
      <c r="C65" s="91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"/>
    </row>
    <row r="66" spans="1:43" ht="11.25" customHeight="1">
      <c r="A66" s="91"/>
      <c r="B66" s="91"/>
      <c r="C66" s="91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"/>
    </row>
    <row r="67" spans="1:43" ht="11.25" customHeight="1">
      <c r="D67" s="282" t="s">
        <v>66</v>
      </c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9"/>
      <c r="P67" s="286">
        <f>D76</f>
        <v>0</v>
      </c>
      <c r="Q67" s="249"/>
      <c r="R67" s="287">
        <f>D78</f>
        <v>0</v>
      </c>
      <c r="S67" s="288"/>
      <c r="T67" s="293">
        <f>D80</f>
        <v>0</v>
      </c>
      <c r="U67" s="272"/>
      <c r="V67" s="296">
        <f>D82</f>
        <v>0</v>
      </c>
      <c r="W67" s="297"/>
      <c r="X67" s="302">
        <f>D84</f>
        <v>0</v>
      </c>
      <c r="Y67" s="303"/>
      <c r="Z67" s="315" t="s">
        <v>61</v>
      </c>
      <c r="AA67" s="316"/>
      <c r="AB67" s="311" t="s">
        <v>31</v>
      </c>
      <c r="AC67" s="308" t="s">
        <v>30</v>
      </c>
      <c r="AD67" s="308" t="s">
        <v>29</v>
      </c>
      <c r="AE67" s="308" t="s">
        <v>28</v>
      </c>
      <c r="AF67" s="308" t="s">
        <v>27</v>
      </c>
      <c r="AG67" s="308" t="s">
        <v>26</v>
      </c>
      <c r="AH67" s="308" t="s">
        <v>25</v>
      </c>
      <c r="AI67" s="311" t="s">
        <v>24</v>
      </c>
      <c r="AJ67" s="311" t="s">
        <v>23</v>
      </c>
      <c r="AK67" s="311" t="s">
        <v>22</v>
      </c>
      <c r="AL67" s="311" t="s">
        <v>21</v>
      </c>
      <c r="AM67" s="311" t="s">
        <v>20</v>
      </c>
      <c r="AN67" s="311" t="s">
        <v>19</v>
      </c>
      <c r="AO67" s="311" t="s">
        <v>18</v>
      </c>
      <c r="AP67" s="311" t="s">
        <v>17</v>
      </c>
      <c r="AQ67" s="9"/>
    </row>
    <row r="68" spans="1:43" ht="11.25" customHeight="1">
      <c r="D68" s="283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5"/>
      <c r="P68" s="283"/>
      <c r="Q68" s="285"/>
      <c r="R68" s="289"/>
      <c r="S68" s="290"/>
      <c r="T68" s="294"/>
      <c r="U68" s="295"/>
      <c r="V68" s="298"/>
      <c r="W68" s="299"/>
      <c r="X68" s="304"/>
      <c r="Y68" s="305"/>
      <c r="Z68" s="317"/>
      <c r="AA68" s="318"/>
      <c r="AB68" s="312"/>
      <c r="AC68" s="309"/>
      <c r="AD68" s="309"/>
      <c r="AE68" s="309"/>
      <c r="AF68" s="309"/>
      <c r="AG68" s="309"/>
      <c r="AH68" s="309"/>
      <c r="AI68" s="321"/>
      <c r="AJ68" s="321"/>
      <c r="AK68" s="321"/>
      <c r="AL68" s="321"/>
      <c r="AM68" s="312"/>
      <c r="AN68" s="312"/>
      <c r="AO68" s="312"/>
      <c r="AP68" s="312"/>
      <c r="AQ68" s="9"/>
    </row>
    <row r="69" spans="1:43" ht="11.25" customHeight="1">
      <c r="D69" s="283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5"/>
      <c r="P69" s="283"/>
      <c r="Q69" s="285"/>
      <c r="R69" s="289"/>
      <c r="S69" s="290"/>
      <c r="T69" s="294"/>
      <c r="U69" s="295"/>
      <c r="V69" s="298"/>
      <c r="W69" s="299"/>
      <c r="X69" s="304"/>
      <c r="Y69" s="305"/>
      <c r="Z69" s="317"/>
      <c r="AA69" s="318"/>
      <c r="AB69" s="312"/>
      <c r="AC69" s="309"/>
      <c r="AD69" s="309"/>
      <c r="AE69" s="309"/>
      <c r="AF69" s="309"/>
      <c r="AG69" s="309"/>
      <c r="AH69" s="309"/>
      <c r="AI69" s="321"/>
      <c r="AJ69" s="321"/>
      <c r="AK69" s="321"/>
      <c r="AL69" s="321"/>
      <c r="AM69" s="312"/>
      <c r="AN69" s="312"/>
      <c r="AO69" s="312"/>
      <c r="AP69" s="312"/>
      <c r="AQ69" s="9"/>
    </row>
    <row r="70" spans="1:43" ht="11.25" customHeight="1">
      <c r="D70" s="283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5"/>
      <c r="P70" s="283"/>
      <c r="Q70" s="285"/>
      <c r="R70" s="289"/>
      <c r="S70" s="290"/>
      <c r="T70" s="294"/>
      <c r="U70" s="295"/>
      <c r="V70" s="298"/>
      <c r="W70" s="299"/>
      <c r="X70" s="304"/>
      <c r="Y70" s="305"/>
      <c r="Z70" s="317"/>
      <c r="AA70" s="318"/>
      <c r="AB70" s="312"/>
      <c r="AC70" s="309"/>
      <c r="AD70" s="309"/>
      <c r="AE70" s="309"/>
      <c r="AF70" s="309"/>
      <c r="AG70" s="309"/>
      <c r="AH70" s="309"/>
      <c r="AI70" s="321"/>
      <c r="AJ70" s="321"/>
      <c r="AK70" s="321"/>
      <c r="AL70" s="321"/>
      <c r="AM70" s="312"/>
      <c r="AN70" s="312"/>
      <c r="AO70" s="312"/>
      <c r="AP70" s="312"/>
      <c r="AQ70" s="9"/>
    </row>
    <row r="71" spans="1:43" ht="11.25" customHeight="1">
      <c r="D71" s="283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5"/>
      <c r="P71" s="283"/>
      <c r="Q71" s="285"/>
      <c r="R71" s="289"/>
      <c r="S71" s="290"/>
      <c r="T71" s="294"/>
      <c r="U71" s="295"/>
      <c r="V71" s="298"/>
      <c r="W71" s="299"/>
      <c r="X71" s="304"/>
      <c r="Y71" s="305"/>
      <c r="Z71" s="317"/>
      <c r="AA71" s="318"/>
      <c r="AB71" s="312"/>
      <c r="AC71" s="309"/>
      <c r="AD71" s="309"/>
      <c r="AE71" s="309"/>
      <c r="AF71" s="309"/>
      <c r="AG71" s="309"/>
      <c r="AH71" s="309"/>
      <c r="AI71" s="321"/>
      <c r="AJ71" s="321"/>
      <c r="AK71" s="321"/>
      <c r="AL71" s="321"/>
      <c r="AM71" s="312"/>
      <c r="AN71" s="312"/>
      <c r="AO71" s="312"/>
      <c r="AP71" s="312"/>
      <c r="AQ71" s="9"/>
    </row>
    <row r="72" spans="1:43" ht="11.25" customHeight="1">
      <c r="D72" s="283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5"/>
      <c r="P72" s="283"/>
      <c r="Q72" s="285"/>
      <c r="R72" s="289"/>
      <c r="S72" s="290"/>
      <c r="T72" s="294"/>
      <c r="U72" s="295"/>
      <c r="V72" s="298"/>
      <c r="W72" s="299"/>
      <c r="X72" s="304"/>
      <c r="Y72" s="305"/>
      <c r="Z72" s="317"/>
      <c r="AA72" s="318"/>
      <c r="AB72" s="312"/>
      <c r="AC72" s="309"/>
      <c r="AD72" s="309"/>
      <c r="AE72" s="309"/>
      <c r="AF72" s="309"/>
      <c r="AG72" s="309"/>
      <c r="AH72" s="309"/>
      <c r="AI72" s="321"/>
      <c r="AJ72" s="321"/>
      <c r="AK72" s="321"/>
      <c r="AL72" s="321"/>
      <c r="AM72" s="312"/>
      <c r="AN72" s="312"/>
      <c r="AO72" s="312"/>
      <c r="AP72" s="312"/>
      <c r="AQ72" s="9"/>
    </row>
    <row r="73" spans="1:43" ht="11.25" customHeight="1">
      <c r="D73" s="283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3"/>
      <c r="Q73" s="285"/>
      <c r="R73" s="289"/>
      <c r="S73" s="290"/>
      <c r="T73" s="294"/>
      <c r="U73" s="295"/>
      <c r="V73" s="298"/>
      <c r="W73" s="299"/>
      <c r="X73" s="304"/>
      <c r="Y73" s="305"/>
      <c r="Z73" s="317"/>
      <c r="AA73" s="318"/>
      <c r="AB73" s="312"/>
      <c r="AC73" s="309"/>
      <c r="AD73" s="309"/>
      <c r="AE73" s="309"/>
      <c r="AF73" s="309"/>
      <c r="AG73" s="309"/>
      <c r="AH73" s="309"/>
      <c r="AI73" s="321"/>
      <c r="AJ73" s="321"/>
      <c r="AK73" s="321"/>
      <c r="AL73" s="321"/>
      <c r="AM73" s="312"/>
      <c r="AN73" s="312"/>
      <c r="AO73" s="312"/>
      <c r="AP73" s="312"/>
      <c r="AQ73" s="9"/>
    </row>
    <row r="74" spans="1:43" ht="11.25" customHeight="1">
      <c r="D74" s="283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5"/>
      <c r="P74" s="283"/>
      <c r="Q74" s="285"/>
      <c r="R74" s="289"/>
      <c r="S74" s="290"/>
      <c r="T74" s="294"/>
      <c r="U74" s="295"/>
      <c r="V74" s="298"/>
      <c r="W74" s="299"/>
      <c r="X74" s="304"/>
      <c r="Y74" s="305"/>
      <c r="Z74" s="317"/>
      <c r="AA74" s="318"/>
      <c r="AB74" s="312"/>
      <c r="AC74" s="309"/>
      <c r="AD74" s="309"/>
      <c r="AE74" s="309"/>
      <c r="AF74" s="309"/>
      <c r="AG74" s="309"/>
      <c r="AH74" s="309"/>
      <c r="AI74" s="321"/>
      <c r="AJ74" s="321"/>
      <c r="AK74" s="321"/>
      <c r="AL74" s="321"/>
      <c r="AM74" s="312"/>
      <c r="AN74" s="312"/>
      <c r="AO74" s="312"/>
      <c r="AP74" s="312"/>
      <c r="AQ74" s="9"/>
    </row>
    <row r="75" spans="1:43" ht="11.25" customHeight="1">
      <c r="D75" s="250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2"/>
      <c r="P75" s="250"/>
      <c r="Q75" s="252"/>
      <c r="R75" s="291"/>
      <c r="S75" s="292"/>
      <c r="T75" s="273"/>
      <c r="U75" s="275"/>
      <c r="V75" s="300"/>
      <c r="W75" s="301"/>
      <c r="X75" s="306"/>
      <c r="Y75" s="307"/>
      <c r="Z75" s="319"/>
      <c r="AA75" s="320"/>
      <c r="AB75" s="313"/>
      <c r="AC75" s="310"/>
      <c r="AD75" s="310"/>
      <c r="AE75" s="310"/>
      <c r="AF75" s="310"/>
      <c r="AG75" s="310"/>
      <c r="AH75" s="310"/>
      <c r="AI75" s="269"/>
      <c r="AJ75" s="269"/>
      <c r="AK75" s="269"/>
      <c r="AL75" s="269"/>
      <c r="AM75" s="313"/>
      <c r="AN75" s="313"/>
      <c r="AO75" s="313"/>
      <c r="AP75" s="313"/>
      <c r="AQ75" s="9"/>
    </row>
    <row r="76" spans="1:43" ht="11.25" customHeight="1">
      <c r="D76" s="314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9"/>
      <c r="P76" s="93"/>
      <c r="Q76" s="94"/>
      <c r="R76" s="95"/>
      <c r="S76" s="96"/>
      <c r="T76" s="97"/>
      <c r="U76" s="97"/>
      <c r="V76" s="95"/>
      <c r="W76" s="96"/>
      <c r="X76" s="95"/>
      <c r="Y76" s="96"/>
      <c r="Z76" s="253" t="e">
        <f>AO76/AB76</f>
        <v>#DIV/0!</v>
      </c>
      <c r="AA76" s="254"/>
      <c r="AB76" s="257"/>
      <c r="AC76" s="261"/>
      <c r="AD76" s="259"/>
      <c r="AE76" s="259"/>
      <c r="AF76" s="259"/>
      <c r="AG76" s="259"/>
      <c r="AH76" s="259"/>
      <c r="AI76" s="243"/>
      <c r="AJ76" s="243"/>
      <c r="AK76" s="243"/>
      <c r="AL76" s="243">
        <f>P77+R77+T77+V77+X77+Z77</f>
        <v>0</v>
      </c>
      <c r="AM76" s="243">
        <f>Q76+S76+U76+W76+Y76+AA76</f>
        <v>0</v>
      </c>
      <c r="AN76" s="243">
        <f>AL76-AM76</f>
        <v>0</v>
      </c>
      <c r="AO76" s="245">
        <f>(AI76*3)+(AK76*1)</f>
        <v>0</v>
      </c>
      <c r="AP76" s="245"/>
      <c r="AQ76" s="9"/>
    </row>
    <row r="77" spans="1:43" ht="11.25" customHeight="1">
      <c r="D77" s="250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2"/>
      <c r="P77" s="99"/>
      <c r="Q77" s="100"/>
      <c r="R77" s="101"/>
      <c r="S77" s="102"/>
      <c r="T77" s="103"/>
      <c r="U77" s="103"/>
      <c r="V77" s="101"/>
      <c r="W77" s="102"/>
      <c r="X77" s="101"/>
      <c r="Y77" s="102"/>
      <c r="Z77" s="255"/>
      <c r="AA77" s="256"/>
      <c r="AB77" s="258"/>
      <c r="AC77" s="262"/>
      <c r="AD77" s="260"/>
      <c r="AE77" s="260"/>
      <c r="AF77" s="260"/>
      <c r="AG77" s="260"/>
      <c r="AH77" s="260"/>
      <c r="AI77" s="269"/>
      <c r="AJ77" s="269"/>
      <c r="AK77" s="269"/>
      <c r="AL77" s="269"/>
      <c r="AM77" s="244"/>
      <c r="AN77" s="244"/>
      <c r="AO77" s="246"/>
      <c r="AP77" s="246"/>
      <c r="AQ77" s="9"/>
    </row>
    <row r="78" spans="1:43" ht="11.25" customHeight="1">
      <c r="D78" s="276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8"/>
      <c r="P78" s="95"/>
      <c r="Q78" s="96"/>
      <c r="R78" s="93"/>
      <c r="S78" s="94"/>
      <c r="T78" s="95"/>
      <c r="U78" s="96"/>
      <c r="V78" s="95"/>
      <c r="W78" s="96"/>
      <c r="X78" s="95"/>
      <c r="Y78" s="96"/>
      <c r="Z78" s="253" t="e">
        <f>AO78/AB78</f>
        <v>#DIV/0!</v>
      </c>
      <c r="AA78" s="254"/>
      <c r="AB78" s="257"/>
      <c r="AC78" s="259"/>
      <c r="AD78" s="261"/>
      <c r="AE78" s="259"/>
      <c r="AF78" s="259"/>
      <c r="AG78" s="259"/>
      <c r="AH78" s="259"/>
      <c r="AI78" s="243"/>
      <c r="AJ78" s="243"/>
      <c r="AK78" s="243"/>
      <c r="AL78" s="243">
        <f>P79+R79+T79+V79+X79</f>
        <v>0</v>
      </c>
      <c r="AM78" s="243">
        <f>Q78+S78+U78+W78+Y78</f>
        <v>0</v>
      </c>
      <c r="AN78" s="243">
        <f>AL78-AM78</f>
        <v>0</v>
      </c>
      <c r="AO78" s="245">
        <f>(AI78*3)+(AK78*1)</f>
        <v>0</v>
      </c>
      <c r="AP78" s="245"/>
      <c r="AQ78" s="9"/>
    </row>
    <row r="79" spans="1:43" ht="11.25" customHeight="1">
      <c r="D79" s="279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1"/>
      <c r="P79" s="101"/>
      <c r="Q79" s="102"/>
      <c r="R79" s="99"/>
      <c r="S79" s="100"/>
      <c r="T79" s="101"/>
      <c r="U79" s="102"/>
      <c r="V79" s="101"/>
      <c r="W79" s="102"/>
      <c r="X79" s="101"/>
      <c r="Y79" s="102"/>
      <c r="Z79" s="255"/>
      <c r="AA79" s="256"/>
      <c r="AB79" s="258"/>
      <c r="AC79" s="260"/>
      <c r="AD79" s="262"/>
      <c r="AE79" s="260"/>
      <c r="AF79" s="260"/>
      <c r="AG79" s="260"/>
      <c r="AH79" s="260"/>
      <c r="AI79" s="269"/>
      <c r="AJ79" s="269"/>
      <c r="AK79" s="269"/>
      <c r="AL79" s="269"/>
      <c r="AM79" s="244"/>
      <c r="AN79" s="244"/>
      <c r="AO79" s="246"/>
      <c r="AP79" s="246"/>
      <c r="AQ79" s="9"/>
    </row>
    <row r="80" spans="1:43" ht="11.25" customHeight="1">
      <c r="D80" s="270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2"/>
      <c r="P80" s="95"/>
      <c r="Q80" s="96"/>
      <c r="R80" s="95"/>
      <c r="S80" s="96"/>
      <c r="T80" s="93"/>
      <c r="U80" s="94"/>
      <c r="V80" s="95"/>
      <c r="W80" s="96"/>
      <c r="X80" s="95"/>
      <c r="Y80" s="96"/>
      <c r="Z80" s="253" t="e">
        <f>AO80/AB80</f>
        <v>#DIV/0!</v>
      </c>
      <c r="AA80" s="254"/>
      <c r="AB80" s="257"/>
      <c r="AC80" s="259"/>
      <c r="AD80" s="259"/>
      <c r="AE80" s="261"/>
      <c r="AF80" s="259"/>
      <c r="AG80" s="259"/>
      <c r="AH80" s="259"/>
      <c r="AI80" s="243"/>
      <c r="AJ80" s="243"/>
      <c r="AK80" s="243"/>
      <c r="AL80" s="243">
        <f>P81+R81+T81+V81+X81</f>
        <v>0</v>
      </c>
      <c r="AM80" s="243">
        <f>Q80+S80+U80+W80+Y80</f>
        <v>0</v>
      </c>
      <c r="AN80" s="243">
        <f>AL80-AM80</f>
        <v>0</v>
      </c>
      <c r="AO80" s="245">
        <f>(AI80*3)+(AK80*1)</f>
        <v>0</v>
      </c>
      <c r="AP80" s="245"/>
      <c r="AQ80" s="9"/>
    </row>
    <row r="81" spans="4:43" ht="11.25" customHeight="1">
      <c r="D81" s="273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5"/>
      <c r="P81" s="101"/>
      <c r="Q81" s="102"/>
      <c r="R81" s="101"/>
      <c r="S81" s="102"/>
      <c r="T81" s="99"/>
      <c r="U81" s="100"/>
      <c r="V81" s="101"/>
      <c r="W81" s="102"/>
      <c r="X81" s="101"/>
      <c r="Y81" s="102"/>
      <c r="Z81" s="255"/>
      <c r="AA81" s="256"/>
      <c r="AB81" s="258"/>
      <c r="AC81" s="260"/>
      <c r="AD81" s="260"/>
      <c r="AE81" s="262"/>
      <c r="AF81" s="260"/>
      <c r="AG81" s="260"/>
      <c r="AH81" s="260"/>
      <c r="AI81" s="269"/>
      <c r="AJ81" s="269"/>
      <c r="AK81" s="269"/>
      <c r="AL81" s="269"/>
      <c r="AM81" s="244"/>
      <c r="AN81" s="244"/>
      <c r="AO81" s="246"/>
      <c r="AP81" s="246"/>
      <c r="AQ81" s="9"/>
    </row>
    <row r="82" spans="4:43" ht="11.25" customHeight="1">
      <c r="D82" s="247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9"/>
      <c r="P82" s="95"/>
      <c r="Q82" s="96"/>
      <c r="R82" s="95"/>
      <c r="S82" s="96"/>
      <c r="T82" s="95"/>
      <c r="U82" s="96"/>
      <c r="V82" s="93"/>
      <c r="W82" s="94"/>
      <c r="X82" s="95"/>
      <c r="Y82" s="96"/>
      <c r="Z82" s="253" t="e">
        <f>AO82/AB82</f>
        <v>#DIV/0!</v>
      </c>
      <c r="AA82" s="254"/>
      <c r="AB82" s="257"/>
      <c r="AC82" s="259"/>
      <c r="AD82" s="259"/>
      <c r="AE82" s="259"/>
      <c r="AF82" s="261"/>
      <c r="AG82" s="259"/>
      <c r="AH82" s="259"/>
      <c r="AI82" s="243"/>
      <c r="AJ82" s="243"/>
      <c r="AK82" s="243"/>
      <c r="AL82" s="243">
        <f>P83+R83+T83+V83+X83</f>
        <v>0</v>
      </c>
      <c r="AM82" s="243">
        <f>Q82+S82+U82+W82+Y82</f>
        <v>0</v>
      </c>
      <c r="AN82" s="243">
        <f>AL82-AM82</f>
        <v>0</v>
      </c>
      <c r="AO82" s="245">
        <f>(AI82*3)+(AK82*1)</f>
        <v>0</v>
      </c>
      <c r="AP82" s="245"/>
      <c r="AQ82" s="9"/>
    </row>
    <row r="83" spans="4:43" ht="11.25" customHeight="1">
      <c r="D83" s="250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2"/>
      <c r="P83" s="101"/>
      <c r="Q83" s="102"/>
      <c r="R83" s="101"/>
      <c r="S83" s="102"/>
      <c r="T83" s="101"/>
      <c r="U83" s="102"/>
      <c r="V83" s="99"/>
      <c r="W83" s="100"/>
      <c r="X83" s="101"/>
      <c r="Y83" s="102"/>
      <c r="Z83" s="255"/>
      <c r="AA83" s="256"/>
      <c r="AB83" s="258"/>
      <c r="AC83" s="260"/>
      <c r="AD83" s="260"/>
      <c r="AE83" s="260"/>
      <c r="AF83" s="262"/>
      <c r="AG83" s="260"/>
      <c r="AH83" s="260"/>
      <c r="AI83" s="269"/>
      <c r="AJ83" s="269"/>
      <c r="AK83" s="269"/>
      <c r="AL83" s="269"/>
      <c r="AM83" s="244"/>
      <c r="AN83" s="244"/>
      <c r="AO83" s="246"/>
      <c r="AP83" s="246"/>
      <c r="AQ83" s="9"/>
    </row>
    <row r="84" spans="4:43" ht="11.25" customHeight="1">
      <c r="D84" s="263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5"/>
      <c r="P84" s="95"/>
      <c r="Q84" s="96"/>
      <c r="R84" s="95"/>
      <c r="S84" s="96"/>
      <c r="T84" s="95"/>
      <c r="U84" s="96"/>
      <c r="V84" s="95"/>
      <c r="W84" s="96"/>
      <c r="X84" s="93"/>
      <c r="Y84" s="94"/>
      <c r="Z84" s="253" t="e">
        <f>AO84/AB84</f>
        <v>#DIV/0!</v>
      </c>
      <c r="AA84" s="254"/>
      <c r="AB84" s="257"/>
      <c r="AC84" s="92"/>
      <c r="AD84" s="92"/>
      <c r="AE84" s="92"/>
      <c r="AF84" s="92"/>
      <c r="AG84" s="92"/>
      <c r="AH84" s="92"/>
      <c r="AI84" s="243"/>
      <c r="AJ84" s="243"/>
      <c r="AK84" s="243"/>
      <c r="AL84" s="243">
        <f>P85+R85+T85+V85+X85</f>
        <v>0</v>
      </c>
      <c r="AM84" s="243">
        <f>Q84+S84+U84+W84+Y84</f>
        <v>0</v>
      </c>
      <c r="AN84" s="243">
        <f>AL84-AM84</f>
        <v>0</v>
      </c>
      <c r="AO84" s="245">
        <f>(AI84*3)+(AK84*1)</f>
        <v>0</v>
      </c>
      <c r="AP84" s="245"/>
      <c r="AQ84" s="9"/>
    </row>
    <row r="85" spans="4:43" ht="11.25" customHeight="1">
      <c r="D85" s="266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8"/>
      <c r="P85" s="101"/>
      <c r="Q85" s="102"/>
      <c r="R85" s="101"/>
      <c r="S85" s="102"/>
      <c r="T85" s="101"/>
      <c r="U85" s="102"/>
      <c r="V85" s="101"/>
      <c r="W85" s="102"/>
      <c r="X85" s="99"/>
      <c r="Y85" s="100"/>
      <c r="Z85" s="255"/>
      <c r="AA85" s="256"/>
      <c r="AB85" s="258"/>
      <c r="AC85" s="92"/>
      <c r="AD85" s="92"/>
      <c r="AE85" s="92"/>
      <c r="AF85" s="92"/>
      <c r="AG85" s="92"/>
      <c r="AH85" s="92"/>
      <c r="AI85" s="269"/>
      <c r="AJ85" s="269"/>
      <c r="AK85" s="269"/>
      <c r="AL85" s="269"/>
      <c r="AM85" s="244"/>
      <c r="AN85" s="244"/>
      <c r="AO85" s="246"/>
      <c r="AP85" s="246"/>
      <c r="AQ85" s="9"/>
    </row>
  </sheetData>
  <mergeCells count="406">
    <mergeCell ref="AG4:AG12"/>
    <mergeCell ref="AH13:AH14"/>
    <mergeCell ref="D2:AP2"/>
    <mergeCell ref="D3:AO3"/>
    <mergeCell ref="D4:O12"/>
    <mergeCell ref="P4:Q12"/>
    <mergeCell ref="R4:S12"/>
    <mergeCell ref="T4:U12"/>
    <mergeCell ref="V4:W12"/>
    <mergeCell ref="X4:Y12"/>
    <mergeCell ref="Z4:AA12"/>
    <mergeCell ref="AP13:AP14"/>
    <mergeCell ref="AN4:AN12"/>
    <mergeCell ref="AO4:AO12"/>
    <mergeCell ref="AP4:AP12"/>
    <mergeCell ref="AH4:AH12"/>
    <mergeCell ref="AI4:AI12"/>
    <mergeCell ref="AJ4:AJ12"/>
    <mergeCell ref="AK4:AK12"/>
    <mergeCell ref="AL4:AL12"/>
    <mergeCell ref="AM4:AM12"/>
    <mergeCell ref="AN13:AN14"/>
    <mergeCell ref="AB15:AB16"/>
    <mergeCell ref="AC15:AC16"/>
    <mergeCell ref="AD15:AD16"/>
    <mergeCell ref="AE15:AE16"/>
    <mergeCell ref="AF15:AF16"/>
    <mergeCell ref="AB4:AB12"/>
    <mergeCell ref="AC4:AC12"/>
    <mergeCell ref="AD4:AD12"/>
    <mergeCell ref="AE4:AE12"/>
    <mergeCell ref="AF4:AF12"/>
    <mergeCell ref="AO17:AO18"/>
    <mergeCell ref="AP17:AP18"/>
    <mergeCell ref="AN17:AN18"/>
    <mergeCell ref="AP15:AP16"/>
    <mergeCell ref="AN15:AN16"/>
    <mergeCell ref="AO15:AO16"/>
    <mergeCell ref="D13:O14"/>
    <mergeCell ref="Z13:AA14"/>
    <mergeCell ref="AB13:AB14"/>
    <mergeCell ref="AC13:AC14"/>
    <mergeCell ref="AD13:AD14"/>
    <mergeCell ref="AE13:AE14"/>
    <mergeCell ref="AF13:AF14"/>
    <mergeCell ref="AG13:AG14"/>
    <mergeCell ref="AH15:AH16"/>
    <mergeCell ref="AI15:AI16"/>
    <mergeCell ref="AJ15:AJ16"/>
    <mergeCell ref="AK15:AK16"/>
    <mergeCell ref="AL15:AL16"/>
    <mergeCell ref="AM15:AM16"/>
    <mergeCell ref="AO13:AO14"/>
    <mergeCell ref="D15:O16"/>
    <mergeCell ref="Z15:AA16"/>
    <mergeCell ref="AI17:AI18"/>
    <mergeCell ref="AJ17:AJ18"/>
    <mergeCell ref="AK17:AK18"/>
    <mergeCell ref="AL17:AL18"/>
    <mergeCell ref="AM17:AM18"/>
    <mergeCell ref="AG15:AG16"/>
    <mergeCell ref="AI13:AI14"/>
    <mergeCell ref="AJ13:AJ14"/>
    <mergeCell ref="AK13:AK14"/>
    <mergeCell ref="AL13:AL14"/>
    <mergeCell ref="AM13:AM14"/>
    <mergeCell ref="D17:O18"/>
    <mergeCell ref="Z17:AA18"/>
    <mergeCell ref="AB17:AB18"/>
    <mergeCell ref="AC17:AC18"/>
    <mergeCell ref="AD17:AD18"/>
    <mergeCell ref="AE17:AE18"/>
    <mergeCell ref="AF17:AF18"/>
    <mergeCell ref="AG17:AG18"/>
    <mergeCell ref="AH17:AH18"/>
    <mergeCell ref="D21:O22"/>
    <mergeCell ref="Z21:AA22"/>
    <mergeCell ref="AB21:AB22"/>
    <mergeCell ref="AI21:AI22"/>
    <mergeCell ref="AJ21:AJ22"/>
    <mergeCell ref="AK21:AK22"/>
    <mergeCell ref="AP19:AP20"/>
    <mergeCell ref="AI19:AI20"/>
    <mergeCell ref="AJ19:AJ20"/>
    <mergeCell ref="AK19:AK20"/>
    <mergeCell ref="AL19:AL20"/>
    <mergeCell ref="AM19:AM20"/>
    <mergeCell ref="AN19:AN20"/>
    <mergeCell ref="D19:O20"/>
    <mergeCell ref="Z19:AA20"/>
    <mergeCell ref="AB19:AB20"/>
    <mergeCell ref="AC19:AC20"/>
    <mergeCell ref="AD19:AD20"/>
    <mergeCell ref="AE19:AE20"/>
    <mergeCell ref="AF19:AF20"/>
    <mergeCell ref="AG19:AG20"/>
    <mergeCell ref="AH19:AH20"/>
    <mergeCell ref="AO19:AO20"/>
    <mergeCell ref="AL21:AL22"/>
    <mergeCell ref="AM21:AM22"/>
    <mergeCell ref="AN21:AN22"/>
    <mergeCell ref="AO21:AO22"/>
    <mergeCell ref="AM25:AM33"/>
    <mergeCell ref="AN25:AN33"/>
    <mergeCell ref="AO25:AO33"/>
    <mergeCell ref="AP21:AP22"/>
    <mergeCell ref="AP36:AP37"/>
    <mergeCell ref="AK34:AK35"/>
    <mergeCell ref="AL34:AL35"/>
    <mergeCell ref="AM34:AM35"/>
    <mergeCell ref="AN34:AN35"/>
    <mergeCell ref="AO34:AO35"/>
    <mergeCell ref="AP34:AP35"/>
    <mergeCell ref="AP25:AP33"/>
    <mergeCell ref="AE34:AE35"/>
    <mergeCell ref="AF34:AF35"/>
    <mergeCell ref="AG34:AG35"/>
    <mergeCell ref="AH34:AH35"/>
    <mergeCell ref="AI34:AI35"/>
    <mergeCell ref="AJ34:AJ35"/>
    <mergeCell ref="AO36:AO37"/>
    <mergeCell ref="AI36:AI37"/>
    <mergeCell ref="AJ36:AJ37"/>
    <mergeCell ref="AK36:AK37"/>
    <mergeCell ref="AL36:AL37"/>
    <mergeCell ref="AM36:AM37"/>
    <mergeCell ref="AN36:AN37"/>
    <mergeCell ref="AH36:AH37"/>
    <mergeCell ref="D34:O35"/>
    <mergeCell ref="Z34:AA35"/>
    <mergeCell ref="AB34:AB35"/>
    <mergeCell ref="AC34:AC35"/>
    <mergeCell ref="AD34:AD35"/>
    <mergeCell ref="D25:O33"/>
    <mergeCell ref="P25:Q33"/>
    <mergeCell ref="R25:S33"/>
    <mergeCell ref="T25:U33"/>
    <mergeCell ref="V25:W33"/>
    <mergeCell ref="X25:Y33"/>
    <mergeCell ref="Z25:AA33"/>
    <mergeCell ref="AD25:AD33"/>
    <mergeCell ref="AE25:AE33"/>
    <mergeCell ref="AB25:AB33"/>
    <mergeCell ref="AC25:AC33"/>
    <mergeCell ref="AF25:AF33"/>
    <mergeCell ref="AG25:AG33"/>
    <mergeCell ref="AH25:AH33"/>
    <mergeCell ref="AJ25:AJ33"/>
    <mergeCell ref="AK25:AK33"/>
    <mergeCell ref="AL25:AL33"/>
    <mergeCell ref="AI25:AI33"/>
    <mergeCell ref="D36:O37"/>
    <mergeCell ref="Z36:AA37"/>
    <mergeCell ref="AB36:AB37"/>
    <mergeCell ref="AC36:AC37"/>
    <mergeCell ref="AD36:AD37"/>
    <mergeCell ref="AE36:AE37"/>
    <mergeCell ref="AF36:AF37"/>
    <mergeCell ref="AG36:AG37"/>
    <mergeCell ref="AN38:AN39"/>
    <mergeCell ref="AI38:AI39"/>
    <mergeCell ref="AJ38:AJ39"/>
    <mergeCell ref="AK38:AK39"/>
    <mergeCell ref="AL38:AL39"/>
    <mergeCell ref="AM38:AM39"/>
    <mergeCell ref="D38:O39"/>
    <mergeCell ref="Z38:AA39"/>
    <mergeCell ref="AB38:AB39"/>
    <mergeCell ref="AC38:AC39"/>
    <mergeCell ref="AD38:AD39"/>
    <mergeCell ref="AE38:AE39"/>
    <mergeCell ref="AF38:AF39"/>
    <mergeCell ref="AH38:AH39"/>
    <mergeCell ref="AN42:AN43"/>
    <mergeCell ref="AP38:AP39"/>
    <mergeCell ref="D40:O41"/>
    <mergeCell ref="Z40:AA41"/>
    <mergeCell ref="AB40:AB41"/>
    <mergeCell ref="AC40:AC41"/>
    <mergeCell ref="AD40:AD41"/>
    <mergeCell ref="AE40:AE41"/>
    <mergeCell ref="AF40:AF41"/>
    <mergeCell ref="AG38:AG39"/>
    <mergeCell ref="AM40:AM41"/>
    <mergeCell ref="AN40:AN41"/>
    <mergeCell ref="AO40:AO41"/>
    <mergeCell ref="AP40:AP41"/>
    <mergeCell ref="AO38:AO39"/>
    <mergeCell ref="AK42:AK43"/>
    <mergeCell ref="AL42:AL43"/>
    <mergeCell ref="AM42:AM43"/>
    <mergeCell ref="AG40:AG41"/>
    <mergeCell ref="AH40:AH41"/>
    <mergeCell ref="AI40:AI41"/>
    <mergeCell ref="AJ40:AJ41"/>
    <mergeCell ref="AK40:AK41"/>
    <mergeCell ref="AL40:AL41"/>
    <mergeCell ref="AH46:AH54"/>
    <mergeCell ref="AI46:AI54"/>
    <mergeCell ref="AJ46:AJ54"/>
    <mergeCell ref="AK46:AK54"/>
    <mergeCell ref="AL46:AL54"/>
    <mergeCell ref="AM46:AM54"/>
    <mergeCell ref="AB46:AB54"/>
    <mergeCell ref="AC46:AC54"/>
    <mergeCell ref="AD46:AD54"/>
    <mergeCell ref="AE46:AE54"/>
    <mergeCell ref="AF46:AF54"/>
    <mergeCell ref="AG46:AG54"/>
    <mergeCell ref="AB57:AB58"/>
    <mergeCell ref="AC57:AC58"/>
    <mergeCell ref="AD57:AD58"/>
    <mergeCell ref="AE57:AE58"/>
    <mergeCell ref="AF57:AF58"/>
    <mergeCell ref="AH55:AH56"/>
    <mergeCell ref="AO42:AO43"/>
    <mergeCell ref="AP42:AP43"/>
    <mergeCell ref="D46:O54"/>
    <mergeCell ref="P46:Q54"/>
    <mergeCell ref="R46:S54"/>
    <mergeCell ref="T46:U54"/>
    <mergeCell ref="V46:W54"/>
    <mergeCell ref="X46:Y54"/>
    <mergeCell ref="Z46:AA54"/>
    <mergeCell ref="AP55:AP56"/>
    <mergeCell ref="AN46:AN54"/>
    <mergeCell ref="AO46:AO54"/>
    <mergeCell ref="AP46:AP54"/>
    <mergeCell ref="D42:O43"/>
    <mergeCell ref="Z42:AA43"/>
    <mergeCell ref="AB42:AB43"/>
    <mergeCell ref="AI42:AI43"/>
    <mergeCell ref="AJ42:AJ43"/>
    <mergeCell ref="AN55:AN56"/>
    <mergeCell ref="AO59:AO60"/>
    <mergeCell ref="AP59:AP60"/>
    <mergeCell ref="AN59:AN60"/>
    <mergeCell ref="AP57:AP58"/>
    <mergeCell ref="AN57:AN58"/>
    <mergeCell ref="AO57:AO58"/>
    <mergeCell ref="D55:O56"/>
    <mergeCell ref="Z55:AA56"/>
    <mergeCell ref="AB55:AB56"/>
    <mergeCell ref="AC55:AC56"/>
    <mergeCell ref="AD55:AD56"/>
    <mergeCell ref="AE55:AE56"/>
    <mergeCell ref="AF55:AF56"/>
    <mergeCell ref="AG55:AG56"/>
    <mergeCell ref="AH57:AH58"/>
    <mergeCell ref="AI57:AI58"/>
    <mergeCell ref="AJ57:AJ58"/>
    <mergeCell ref="AK57:AK58"/>
    <mergeCell ref="AL57:AL58"/>
    <mergeCell ref="AM57:AM58"/>
    <mergeCell ref="AO55:AO56"/>
    <mergeCell ref="D57:O58"/>
    <mergeCell ref="Z57:AA58"/>
    <mergeCell ref="AI59:AI60"/>
    <mergeCell ref="AJ59:AJ60"/>
    <mergeCell ref="AK59:AK60"/>
    <mergeCell ref="AL59:AL60"/>
    <mergeCell ref="AM59:AM60"/>
    <mergeCell ref="AG57:AG58"/>
    <mergeCell ref="AI55:AI56"/>
    <mergeCell ref="AJ55:AJ56"/>
    <mergeCell ref="AK55:AK56"/>
    <mergeCell ref="AL55:AL56"/>
    <mergeCell ref="AM55:AM56"/>
    <mergeCell ref="D59:O60"/>
    <mergeCell ref="Z59:AA60"/>
    <mergeCell ref="AB59:AB60"/>
    <mergeCell ref="AC59:AC60"/>
    <mergeCell ref="AD59:AD60"/>
    <mergeCell ref="AE59:AE60"/>
    <mergeCell ref="AF59:AF60"/>
    <mergeCell ref="AG59:AG60"/>
    <mergeCell ref="AH59:AH60"/>
    <mergeCell ref="AP63:AP64"/>
    <mergeCell ref="D61:O62"/>
    <mergeCell ref="Z61:AA62"/>
    <mergeCell ref="AB61:AB62"/>
    <mergeCell ref="AC61:AC62"/>
    <mergeCell ref="AD61:AD62"/>
    <mergeCell ref="AE61:AE62"/>
    <mergeCell ref="AF61:AF62"/>
    <mergeCell ref="AP61:AP62"/>
    <mergeCell ref="D63:O64"/>
    <mergeCell ref="Z63:AA64"/>
    <mergeCell ref="AB63:AB64"/>
    <mergeCell ref="AI63:AI64"/>
    <mergeCell ref="AJ63:AJ64"/>
    <mergeCell ref="AK63:AK64"/>
    <mergeCell ref="AL63:AL64"/>
    <mergeCell ref="AN63:AN64"/>
    <mergeCell ref="AO61:AO62"/>
    <mergeCell ref="AI61:AI62"/>
    <mergeCell ref="AJ61:AJ62"/>
    <mergeCell ref="AK61:AK62"/>
    <mergeCell ref="AL61:AL62"/>
    <mergeCell ref="Z67:AA75"/>
    <mergeCell ref="AB67:AB75"/>
    <mergeCell ref="AC67:AC75"/>
    <mergeCell ref="AM61:AM62"/>
    <mergeCell ref="AN61:AN62"/>
    <mergeCell ref="AG61:AG62"/>
    <mergeCell ref="AH61:AH62"/>
    <mergeCell ref="AO63:AO64"/>
    <mergeCell ref="AI67:AI75"/>
    <mergeCell ref="AJ67:AJ75"/>
    <mergeCell ref="AK67:AK75"/>
    <mergeCell ref="AL67:AL75"/>
    <mergeCell ref="AM67:AM75"/>
    <mergeCell ref="AN67:AN75"/>
    <mergeCell ref="AO67:AO75"/>
    <mergeCell ref="AM63:AM64"/>
    <mergeCell ref="D67:O75"/>
    <mergeCell ref="P67:Q75"/>
    <mergeCell ref="R67:S75"/>
    <mergeCell ref="T67:U75"/>
    <mergeCell ref="V67:W75"/>
    <mergeCell ref="X67:Y75"/>
    <mergeCell ref="AO76:AO77"/>
    <mergeCell ref="AP76:AP77"/>
    <mergeCell ref="AD67:AD75"/>
    <mergeCell ref="AE67:AE75"/>
    <mergeCell ref="AF67:AF75"/>
    <mergeCell ref="AG67:AG75"/>
    <mergeCell ref="AH67:AH75"/>
    <mergeCell ref="AI76:AI77"/>
    <mergeCell ref="AJ76:AJ77"/>
    <mergeCell ref="AK76:AK77"/>
    <mergeCell ref="AL76:AL77"/>
    <mergeCell ref="AM76:AM77"/>
    <mergeCell ref="AN76:AN77"/>
    <mergeCell ref="AP67:AP75"/>
    <mergeCell ref="D76:O77"/>
    <mergeCell ref="Z76:AA77"/>
    <mergeCell ref="AB76:AB77"/>
    <mergeCell ref="AC76:AC77"/>
    <mergeCell ref="AD76:AD77"/>
    <mergeCell ref="AE76:AE77"/>
    <mergeCell ref="AF76:AF77"/>
    <mergeCell ref="AG76:AG77"/>
    <mergeCell ref="AH76:AH77"/>
    <mergeCell ref="AO80:AO81"/>
    <mergeCell ref="D78:O79"/>
    <mergeCell ref="Z78:AA79"/>
    <mergeCell ref="AB78:AB79"/>
    <mergeCell ref="AC78:AC79"/>
    <mergeCell ref="AD78:AD79"/>
    <mergeCell ref="AE78:AE79"/>
    <mergeCell ref="AF78:AF79"/>
    <mergeCell ref="AG78:AG79"/>
    <mergeCell ref="AH78:AH79"/>
    <mergeCell ref="AI80:AI81"/>
    <mergeCell ref="AJ80:AJ81"/>
    <mergeCell ref="AK80:AK81"/>
    <mergeCell ref="AF80:AF81"/>
    <mergeCell ref="AG80:AG81"/>
    <mergeCell ref="AH80:AH81"/>
    <mergeCell ref="AL80:AL81"/>
    <mergeCell ref="AM80:AM81"/>
    <mergeCell ref="AN80:AN81"/>
    <mergeCell ref="AP78:AP79"/>
    <mergeCell ref="D80:O81"/>
    <mergeCell ref="Z80:AA81"/>
    <mergeCell ref="AB80:AB81"/>
    <mergeCell ref="AC80:AC81"/>
    <mergeCell ref="AD80:AD81"/>
    <mergeCell ref="AE80:AE81"/>
    <mergeCell ref="AN82:AN83"/>
    <mergeCell ref="AO82:AO83"/>
    <mergeCell ref="AP82:AP83"/>
    <mergeCell ref="AI78:AI79"/>
    <mergeCell ref="AJ78:AJ79"/>
    <mergeCell ref="AK78:AK79"/>
    <mergeCell ref="AL78:AL79"/>
    <mergeCell ref="AM78:AM79"/>
    <mergeCell ref="AN78:AN79"/>
    <mergeCell ref="AO78:AO79"/>
    <mergeCell ref="AH82:AH83"/>
    <mergeCell ref="AI82:AI83"/>
    <mergeCell ref="AJ82:AJ83"/>
    <mergeCell ref="AK82:AK83"/>
    <mergeCell ref="AL82:AL83"/>
    <mergeCell ref="AM82:AM83"/>
    <mergeCell ref="AN84:AN85"/>
    <mergeCell ref="AP80:AP81"/>
    <mergeCell ref="D82:O83"/>
    <mergeCell ref="Z82:AA83"/>
    <mergeCell ref="AB82:AB83"/>
    <mergeCell ref="AC82:AC83"/>
    <mergeCell ref="AD82:AD83"/>
    <mergeCell ref="AE82:AE83"/>
    <mergeCell ref="AF82:AF83"/>
    <mergeCell ref="AG82:AG83"/>
    <mergeCell ref="AO84:AO85"/>
    <mergeCell ref="AP84:AP85"/>
    <mergeCell ref="D84:O85"/>
    <mergeCell ref="Z84:AA85"/>
    <mergeCell ref="AB84:AB85"/>
    <mergeCell ref="AI84:AI85"/>
    <mergeCell ref="AJ84:AJ85"/>
    <mergeCell ref="AK84:AK85"/>
    <mergeCell ref="AL84:AL85"/>
    <mergeCell ref="AM84:AM85"/>
  </mergeCells>
  <pageMargins left="0.7" right="0.7" top="0.75" bottom="0.75" header="0.3" footer="0.3"/>
  <pageSetup scale="92" orientation="portrait" r:id="rId1"/>
  <rowBreaks count="1" manualBreakCount="1">
    <brk id="60" max="4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7"/>
  <sheetViews>
    <sheetView view="pageBreakPreview" zoomScale="140" zoomScaleSheetLayoutView="140" workbookViewId="0">
      <selection activeCell="I7" sqref="I7:K15"/>
    </sheetView>
  </sheetViews>
  <sheetFormatPr baseColWidth="10" defaultRowHeight="15"/>
  <cols>
    <col min="1" max="1" width="17.85546875" customWidth="1"/>
    <col min="2" max="8" width="4.7109375" customWidth="1"/>
    <col min="9" max="10" width="7.5703125" customWidth="1"/>
    <col min="11" max="11" width="8.85546875" customWidth="1"/>
    <col min="12" max="21" width="4.7109375" customWidth="1"/>
  </cols>
  <sheetData>
    <row r="1" spans="1:18" ht="48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M1" s="1"/>
      <c r="R1" s="8"/>
    </row>
    <row r="2" spans="1:18" ht="26.25">
      <c r="A2" s="386" t="s">
        <v>10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</row>
    <row r="3" spans="1:18" s="1" customFormat="1" ht="15.75">
      <c r="A3" s="387" t="s">
        <v>58</v>
      </c>
      <c r="B3" s="388"/>
      <c r="C3" s="388"/>
      <c r="D3" s="388"/>
      <c r="E3" s="388"/>
      <c r="F3" s="388"/>
      <c r="G3" s="388"/>
      <c r="H3" s="388"/>
      <c r="I3" s="388"/>
      <c r="J3" s="388"/>
      <c r="K3" s="389"/>
    </row>
    <row r="4" spans="1:18">
      <c r="A4" s="385" t="s">
        <v>0</v>
      </c>
      <c r="B4" s="385" t="s">
        <v>5</v>
      </c>
      <c r="C4" s="385"/>
      <c r="D4" s="385"/>
      <c r="E4" s="385"/>
      <c r="F4" s="385"/>
      <c r="G4" s="385"/>
      <c r="H4" s="385"/>
      <c r="I4" s="385" t="s">
        <v>4</v>
      </c>
      <c r="J4" s="385" t="s">
        <v>5</v>
      </c>
      <c r="K4" s="385" t="s">
        <v>9</v>
      </c>
    </row>
    <row r="5" spans="1:18">
      <c r="A5" s="385"/>
      <c r="B5" s="3">
        <v>1</v>
      </c>
      <c r="C5" s="3">
        <v>2</v>
      </c>
      <c r="D5" s="3">
        <v>3</v>
      </c>
      <c r="E5" s="3">
        <v>4</v>
      </c>
      <c r="F5" s="3">
        <v>5</v>
      </c>
      <c r="G5" s="44">
        <v>6</v>
      </c>
      <c r="H5" s="3">
        <v>7</v>
      </c>
      <c r="I5" s="385"/>
      <c r="J5" s="385"/>
      <c r="K5" s="385"/>
    </row>
    <row r="6" spans="1:18">
      <c r="A6" s="72"/>
      <c r="B6" s="78"/>
      <c r="C6" s="78"/>
      <c r="D6" s="78"/>
      <c r="E6" s="78"/>
      <c r="F6" s="78"/>
      <c r="G6" s="78"/>
      <c r="H6" s="78"/>
      <c r="I6" s="78" t="e">
        <f>B6+C6+D6+E6+F6+G6+H6/J6</f>
        <v>#DIV/0!</v>
      </c>
      <c r="J6" s="78"/>
      <c r="K6" s="78" t="e">
        <f>I6/J6</f>
        <v>#DIV/0!</v>
      </c>
    </row>
    <row r="7" spans="1:18">
      <c r="A7" s="72"/>
      <c r="B7" s="2"/>
      <c r="C7" s="2"/>
      <c r="D7" s="2"/>
      <c r="E7" s="2"/>
      <c r="F7" s="4"/>
      <c r="G7" s="4"/>
      <c r="H7" s="2"/>
      <c r="I7" s="4" t="e">
        <f>B7+C7+D7+E7+F7+G7+H7/J7</f>
        <v>#DIV/0!</v>
      </c>
      <c r="J7" s="2"/>
      <c r="K7" s="2" t="e">
        <f>I7/J7</f>
        <v>#DIV/0!</v>
      </c>
    </row>
    <row r="8" spans="1:18">
      <c r="A8" s="72"/>
      <c r="B8" s="55"/>
      <c r="C8" s="55"/>
      <c r="D8" s="55"/>
      <c r="E8" s="55"/>
      <c r="F8" s="55"/>
      <c r="G8" s="55"/>
      <c r="H8" s="55"/>
      <c r="I8" s="4" t="e">
        <f>B8+C8+D8+E8+F8+G8+H8/J8</f>
        <v>#DIV/0!</v>
      </c>
      <c r="J8" s="55"/>
      <c r="K8" s="55" t="e">
        <f>I8/J8</f>
        <v>#DIV/0!</v>
      </c>
    </row>
    <row r="9" spans="1:18" s="1" customFormat="1">
      <c r="A9" s="87"/>
      <c r="B9" s="55"/>
      <c r="C9" s="55"/>
      <c r="D9" s="55"/>
      <c r="E9" s="55"/>
      <c r="F9" s="55"/>
      <c r="G9" s="55"/>
      <c r="H9" s="55"/>
      <c r="I9" s="4" t="e">
        <f t="shared" ref="I9:I15" si="0">B9+C9+D9+E9+F9+G9+H9/J9</f>
        <v>#DIV/0!</v>
      </c>
      <c r="J9" s="55"/>
      <c r="K9" s="55" t="e">
        <f t="shared" ref="K9:K15" si="1">I9/J9</f>
        <v>#DIV/0!</v>
      </c>
    </row>
    <row r="10" spans="1:18" s="1" customFormat="1">
      <c r="A10" s="87"/>
      <c r="B10" s="55"/>
      <c r="C10" s="55"/>
      <c r="D10" s="55"/>
      <c r="E10" s="55"/>
      <c r="F10" s="55"/>
      <c r="G10" s="55"/>
      <c r="H10" s="55"/>
      <c r="I10" s="4" t="e">
        <f t="shared" si="0"/>
        <v>#DIV/0!</v>
      </c>
      <c r="J10" s="55"/>
      <c r="K10" s="55" t="e">
        <f t="shared" si="1"/>
        <v>#DIV/0!</v>
      </c>
    </row>
    <row r="11" spans="1:18" s="1" customFormat="1">
      <c r="A11" s="87"/>
      <c r="B11" s="55"/>
      <c r="C11" s="55"/>
      <c r="D11" s="55"/>
      <c r="E11" s="55"/>
      <c r="F11" s="55"/>
      <c r="G11" s="55"/>
      <c r="H11" s="55"/>
      <c r="I11" s="4" t="e">
        <f t="shared" si="0"/>
        <v>#DIV/0!</v>
      </c>
      <c r="J11" s="55"/>
      <c r="K11" s="55" t="e">
        <f t="shared" si="1"/>
        <v>#DIV/0!</v>
      </c>
    </row>
    <row r="12" spans="1:18" s="1" customFormat="1">
      <c r="A12" s="87"/>
      <c r="B12" s="55"/>
      <c r="C12" s="55"/>
      <c r="D12" s="55"/>
      <c r="E12" s="55"/>
      <c r="F12" s="55"/>
      <c r="G12" s="55"/>
      <c r="H12" s="55"/>
      <c r="I12" s="4" t="e">
        <f t="shared" si="0"/>
        <v>#DIV/0!</v>
      </c>
      <c r="J12" s="55"/>
      <c r="K12" s="55" t="e">
        <f t="shared" si="1"/>
        <v>#DIV/0!</v>
      </c>
    </row>
    <row r="13" spans="1:18" s="1" customFormat="1">
      <c r="A13" s="87"/>
      <c r="B13" s="55"/>
      <c r="C13" s="55"/>
      <c r="D13" s="55"/>
      <c r="E13" s="55"/>
      <c r="F13" s="55"/>
      <c r="G13" s="55"/>
      <c r="H13" s="55"/>
      <c r="I13" s="4" t="e">
        <f t="shared" si="0"/>
        <v>#DIV/0!</v>
      </c>
      <c r="J13" s="55"/>
      <c r="K13" s="55" t="e">
        <f t="shared" si="1"/>
        <v>#DIV/0!</v>
      </c>
    </row>
    <row r="14" spans="1:18">
      <c r="A14" s="72"/>
      <c r="B14" s="4"/>
      <c r="C14" s="4"/>
      <c r="D14" s="4"/>
      <c r="E14" s="4"/>
      <c r="F14" s="4"/>
      <c r="G14" s="4"/>
      <c r="H14" s="4"/>
      <c r="I14" s="4" t="e">
        <f t="shared" si="0"/>
        <v>#DIV/0!</v>
      </c>
      <c r="J14" s="55"/>
      <c r="K14" s="55" t="e">
        <f t="shared" si="1"/>
        <v>#DIV/0!</v>
      </c>
    </row>
    <row r="15" spans="1:18">
      <c r="A15" s="72"/>
      <c r="B15" s="2"/>
      <c r="C15" s="2"/>
      <c r="D15" s="2"/>
      <c r="E15" s="2"/>
      <c r="F15" s="4"/>
      <c r="G15" s="55"/>
      <c r="H15" s="2"/>
      <c r="I15" s="4" t="e">
        <f t="shared" si="0"/>
        <v>#DIV/0!</v>
      </c>
      <c r="J15" s="55"/>
      <c r="K15" s="55" t="e">
        <f t="shared" si="1"/>
        <v>#DIV/0!</v>
      </c>
    </row>
    <row r="16" spans="1:18">
      <c r="A16" s="72"/>
      <c r="B16" s="2"/>
      <c r="C16" s="2"/>
      <c r="D16" s="2"/>
      <c r="E16" s="2"/>
      <c r="F16" s="2"/>
      <c r="G16" s="2"/>
      <c r="H16" s="2"/>
      <c r="I16" s="4" t="e">
        <f>B16+C16+D16+E16+F16+G16+H16/J16</f>
        <v>#DIV/0!</v>
      </c>
      <c r="J16" s="2"/>
      <c r="K16" s="2" t="e">
        <f>I16/J16</f>
        <v>#DIV/0!</v>
      </c>
    </row>
    <row r="17" spans="1:11" ht="15.75">
      <c r="A17" s="390" t="s">
        <v>49</v>
      </c>
      <c r="B17" s="391"/>
      <c r="C17" s="391"/>
      <c r="D17" s="391"/>
      <c r="E17" s="391"/>
      <c r="F17" s="391"/>
      <c r="G17" s="391"/>
      <c r="H17" s="391"/>
      <c r="I17" s="391"/>
      <c r="J17" s="391"/>
      <c r="K17" s="392"/>
    </row>
    <row r="18" spans="1:11">
      <c r="A18" s="385" t="s">
        <v>0</v>
      </c>
      <c r="B18" s="385" t="s">
        <v>5</v>
      </c>
      <c r="C18" s="385"/>
      <c r="D18" s="385"/>
      <c r="E18" s="385"/>
      <c r="F18" s="385"/>
      <c r="G18" s="385"/>
      <c r="H18" s="385"/>
      <c r="I18" s="385" t="s">
        <v>4</v>
      </c>
      <c r="J18" s="385" t="s">
        <v>5</v>
      </c>
      <c r="K18" s="385" t="s">
        <v>9</v>
      </c>
    </row>
    <row r="19" spans="1:11">
      <c r="A19" s="385"/>
      <c r="B19" s="3">
        <v>1</v>
      </c>
      <c r="C19" s="3">
        <v>2</v>
      </c>
      <c r="D19" s="3">
        <v>3</v>
      </c>
      <c r="E19" s="3">
        <v>4</v>
      </c>
      <c r="F19" s="3">
        <v>5</v>
      </c>
      <c r="G19" s="3">
        <v>6</v>
      </c>
      <c r="H19" s="3">
        <v>7</v>
      </c>
      <c r="I19" s="385"/>
      <c r="J19" s="385"/>
      <c r="K19" s="385"/>
    </row>
    <row r="20" spans="1:11" ht="15.75">
      <c r="A20" s="56"/>
      <c r="B20" s="73"/>
      <c r="C20" s="73"/>
      <c r="D20" s="73"/>
      <c r="E20" s="73"/>
      <c r="F20" s="73"/>
      <c r="G20" s="73"/>
      <c r="H20" s="73"/>
      <c r="I20" s="4" t="e">
        <f t="shared" ref="I20:I27" si="2">B20+C20+D20+E20+F20+G20+H20/J20</f>
        <v>#DIV/0!</v>
      </c>
      <c r="J20" s="73"/>
      <c r="K20" s="4" t="e">
        <f t="shared" ref="K20:K27" si="3">I20/J20</f>
        <v>#DIV/0!</v>
      </c>
    </row>
    <row r="21" spans="1:11">
      <c r="A21" s="71"/>
      <c r="B21" s="4"/>
      <c r="C21" s="4"/>
      <c r="D21" s="4"/>
      <c r="E21" s="4"/>
      <c r="F21" s="4"/>
      <c r="G21" s="4"/>
      <c r="H21" s="4"/>
      <c r="I21" s="4" t="e">
        <f t="shared" si="2"/>
        <v>#DIV/0!</v>
      </c>
      <c r="J21" s="4"/>
      <c r="K21" s="4" t="e">
        <f t="shared" si="3"/>
        <v>#DIV/0!</v>
      </c>
    </row>
    <row r="22" spans="1:11">
      <c r="A22" s="71"/>
      <c r="B22" s="4"/>
      <c r="C22" s="4"/>
      <c r="D22" s="5"/>
      <c r="E22" s="4"/>
      <c r="F22" s="4"/>
      <c r="G22" s="4"/>
      <c r="H22" s="4"/>
      <c r="I22" s="4" t="e">
        <f t="shared" si="2"/>
        <v>#DIV/0!</v>
      </c>
      <c r="J22" s="4"/>
      <c r="K22" s="4" t="e">
        <f t="shared" si="3"/>
        <v>#DIV/0!</v>
      </c>
    </row>
    <row r="23" spans="1:11">
      <c r="A23" s="71"/>
      <c r="B23" s="2"/>
      <c r="C23" s="2"/>
      <c r="D23" s="2"/>
      <c r="E23" s="2"/>
      <c r="F23" s="2"/>
      <c r="G23" s="2"/>
      <c r="H23" s="2"/>
      <c r="I23" s="4" t="e">
        <f t="shared" si="2"/>
        <v>#DIV/0!</v>
      </c>
      <c r="J23" s="2"/>
      <c r="K23" s="4" t="e">
        <f t="shared" si="3"/>
        <v>#DIV/0!</v>
      </c>
    </row>
    <row r="24" spans="1:11">
      <c r="A24" s="71"/>
      <c r="B24" s="2"/>
      <c r="C24" s="2"/>
      <c r="D24" s="2"/>
      <c r="E24" s="2"/>
      <c r="F24" s="2"/>
      <c r="G24" s="2"/>
      <c r="H24" s="2"/>
      <c r="I24" s="4" t="e">
        <f t="shared" si="2"/>
        <v>#DIV/0!</v>
      </c>
      <c r="J24" s="2"/>
      <c r="K24" s="4" t="e">
        <f t="shared" si="3"/>
        <v>#DIV/0!</v>
      </c>
    </row>
    <row r="25" spans="1:11">
      <c r="A25" s="71"/>
      <c r="B25" s="4"/>
      <c r="C25" s="4"/>
      <c r="D25" s="4"/>
      <c r="E25" s="4"/>
      <c r="F25" s="4"/>
      <c r="G25" s="4"/>
      <c r="H25" s="4"/>
      <c r="I25" s="4" t="e">
        <f t="shared" si="2"/>
        <v>#DIV/0!</v>
      </c>
      <c r="J25" s="4"/>
      <c r="K25" s="4" t="e">
        <f t="shared" si="3"/>
        <v>#DIV/0!</v>
      </c>
    </row>
    <row r="26" spans="1:11">
      <c r="A26" s="71"/>
      <c r="B26" s="2"/>
      <c r="C26" s="2"/>
      <c r="D26" s="2"/>
      <c r="E26" s="2"/>
      <c r="F26" s="2"/>
      <c r="G26" s="2"/>
      <c r="H26" s="2"/>
      <c r="I26" s="4" t="e">
        <f t="shared" si="2"/>
        <v>#DIV/0!</v>
      </c>
      <c r="J26" s="2"/>
      <c r="K26" s="4" t="e">
        <f t="shared" si="3"/>
        <v>#DIV/0!</v>
      </c>
    </row>
    <row r="27" spans="1:11">
      <c r="A27" s="56"/>
      <c r="B27" s="55"/>
      <c r="C27" s="55"/>
      <c r="D27" s="55"/>
      <c r="E27" s="55"/>
      <c r="F27" s="55"/>
      <c r="G27" s="55"/>
      <c r="H27" s="55"/>
      <c r="I27" s="4" t="e">
        <f t="shared" si="2"/>
        <v>#DIV/0!</v>
      </c>
      <c r="J27" s="55"/>
      <c r="K27" s="55" t="e">
        <f t="shared" si="3"/>
        <v>#DIV/0!</v>
      </c>
    </row>
  </sheetData>
  <mergeCells count="13">
    <mergeCell ref="A2:K2"/>
    <mergeCell ref="A3:K3"/>
    <mergeCell ref="A17:K17"/>
    <mergeCell ref="A4:A5"/>
    <mergeCell ref="B4:H4"/>
    <mergeCell ref="I4:I5"/>
    <mergeCell ref="J4:J5"/>
    <mergeCell ref="K4:K5"/>
    <mergeCell ref="A18:A19"/>
    <mergeCell ref="B18:H18"/>
    <mergeCell ref="I18:I19"/>
    <mergeCell ref="J18:J19"/>
    <mergeCell ref="K18:K19"/>
  </mergeCells>
  <pageMargins left="0.75" right="0.75" top="1" bottom="1" header="0" footer="0"/>
  <pageSetup paperSize="9" orientation="portrait" horizontalDpi="200" verticalDpi="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5"/>
  <sheetViews>
    <sheetView view="pageBreakPreview" zoomScaleNormal="120" zoomScaleSheetLayoutView="100" workbookViewId="0">
      <selection activeCell="R16" sqref="R16"/>
    </sheetView>
  </sheetViews>
  <sheetFormatPr baseColWidth="10" defaultRowHeight="15"/>
  <cols>
    <col min="1" max="1" width="18" customWidth="1"/>
    <col min="2" max="2" width="23.140625" customWidth="1"/>
    <col min="3" max="9" width="2.140625" hidden="1" customWidth="1"/>
    <col min="10" max="10" width="10.28515625" hidden="1" customWidth="1"/>
    <col min="11" max="11" width="7" hidden="1" customWidth="1"/>
    <col min="12" max="12" width="7.42578125" hidden="1" customWidth="1"/>
    <col min="13" max="13" width="2.140625" customWidth="1"/>
    <col min="14" max="14" width="2.85546875" customWidth="1"/>
    <col min="15" max="19" width="2.140625" customWidth="1"/>
    <col min="20" max="20" width="7.140625" customWidth="1"/>
    <col min="21" max="21" width="9.42578125" bestFit="1" customWidth="1"/>
    <col min="22" max="22" width="12" bestFit="1" customWidth="1"/>
  </cols>
  <sheetData>
    <row r="1" spans="1:22" ht="59.25" customHeight="1"/>
    <row r="2" spans="1:22" ht="16.5" customHeight="1">
      <c r="A2" s="404" t="s">
        <v>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</row>
    <row r="3" spans="1:22" ht="16.5" customHeight="1">
      <c r="A3" s="396" t="s">
        <v>0</v>
      </c>
      <c r="B3" s="396" t="s">
        <v>7</v>
      </c>
      <c r="C3" s="398" t="s">
        <v>6</v>
      </c>
      <c r="D3" s="398"/>
      <c r="E3" s="398"/>
      <c r="F3" s="398"/>
      <c r="G3" s="398"/>
      <c r="H3" s="398"/>
      <c r="I3" s="398"/>
      <c r="J3" s="396" t="s">
        <v>5</v>
      </c>
      <c r="K3" s="396" t="s">
        <v>4</v>
      </c>
      <c r="L3" s="396" t="s">
        <v>3</v>
      </c>
      <c r="M3" s="398" t="s">
        <v>6</v>
      </c>
      <c r="N3" s="398"/>
      <c r="O3" s="398"/>
      <c r="P3" s="398"/>
      <c r="Q3" s="398"/>
      <c r="R3" s="398"/>
      <c r="S3" s="398"/>
      <c r="T3" s="399" t="s">
        <v>5</v>
      </c>
      <c r="U3" s="396" t="s">
        <v>4</v>
      </c>
      <c r="V3" s="396" t="s">
        <v>3</v>
      </c>
    </row>
    <row r="4" spans="1:22" ht="16.5" customHeight="1">
      <c r="A4" s="397"/>
      <c r="B4" s="397"/>
      <c r="C4" s="80">
        <v>1</v>
      </c>
      <c r="D4" s="80">
        <v>2</v>
      </c>
      <c r="E4" s="80">
        <v>3</v>
      </c>
      <c r="F4" s="80">
        <v>4</v>
      </c>
      <c r="G4" s="80">
        <v>5</v>
      </c>
      <c r="H4" s="80">
        <v>6</v>
      </c>
      <c r="I4" s="80">
        <v>7</v>
      </c>
      <c r="J4" s="397"/>
      <c r="K4" s="397"/>
      <c r="L4" s="397"/>
      <c r="M4" s="80">
        <v>1</v>
      </c>
      <c r="N4" s="80">
        <v>2</v>
      </c>
      <c r="O4" s="80">
        <v>3</v>
      </c>
      <c r="P4" s="80">
        <v>4</v>
      </c>
      <c r="Q4" s="80">
        <v>5</v>
      </c>
      <c r="R4" s="80">
        <v>6</v>
      </c>
      <c r="S4" s="80">
        <v>7</v>
      </c>
      <c r="T4" s="400"/>
      <c r="U4" s="397"/>
      <c r="V4" s="397"/>
    </row>
    <row r="5" spans="1:22" ht="16.5" customHeight="1">
      <c r="A5" s="401" t="s">
        <v>55</v>
      </c>
      <c r="B5" s="402"/>
      <c r="C5" s="402"/>
      <c r="D5" s="402"/>
      <c r="E5" s="402"/>
      <c r="F5" s="40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  <c r="R5" s="402"/>
      <c r="S5" s="402"/>
      <c r="T5" s="402"/>
      <c r="U5" s="402"/>
      <c r="V5" s="403"/>
    </row>
    <row r="6" spans="1:22" ht="16.5" customHeight="1">
      <c r="A6" s="7"/>
      <c r="B6" s="49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4"/>
      <c r="O6" s="4"/>
      <c r="P6" s="4"/>
      <c r="Q6" s="4"/>
      <c r="R6" s="4"/>
      <c r="S6" s="4"/>
      <c r="T6" s="4"/>
      <c r="U6" s="4">
        <f t="shared" ref="U6:U28" si="0">M6+N6+O6+P6+Q6+R6+S6</f>
        <v>0</v>
      </c>
      <c r="V6" s="4" t="e">
        <f t="shared" ref="V6:V28" si="1">U6/T6</f>
        <v>#DIV/0!</v>
      </c>
    </row>
    <row r="7" spans="1:22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>
        <f t="shared" si="0"/>
        <v>0</v>
      </c>
      <c r="V7" s="55" t="e">
        <f t="shared" si="1"/>
        <v>#DIV/0!</v>
      </c>
    </row>
    <row r="8" spans="1:22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>
        <f t="shared" si="0"/>
        <v>0</v>
      </c>
      <c r="V8" s="55" t="e">
        <f t="shared" si="1"/>
        <v>#DIV/0!</v>
      </c>
    </row>
    <row r="9" spans="1:22">
      <c r="A9" s="5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5">
        <f t="shared" si="0"/>
        <v>0</v>
      </c>
      <c r="V9" s="55" t="e">
        <f t="shared" si="1"/>
        <v>#DIV/0!</v>
      </c>
    </row>
    <row r="10" spans="1:22">
      <c r="A10" s="7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>
        <f t="shared" si="0"/>
        <v>0</v>
      </c>
      <c r="V10" s="55" t="e">
        <f t="shared" si="1"/>
        <v>#DIV/0!</v>
      </c>
    </row>
    <row r="11" spans="1:22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>
        <f t="shared" si="0"/>
        <v>0</v>
      </c>
      <c r="V11" s="55" t="e">
        <f t="shared" si="1"/>
        <v>#DIV/0!</v>
      </c>
    </row>
    <row r="12" spans="1:2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>
        <f t="shared" si="0"/>
        <v>0</v>
      </c>
      <c r="V12" s="55" t="e">
        <f t="shared" si="1"/>
        <v>#DIV/0!</v>
      </c>
    </row>
    <row r="13" spans="1:22">
      <c r="A13" s="7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>
        <f t="shared" si="0"/>
        <v>0</v>
      </c>
      <c r="V13" s="55" t="e">
        <f t="shared" si="1"/>
        <v>#DIV/0!</v>
      </c>
    </row>
    <row r="14" spans="1:22" ht="17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5">
        <f t="shared" si="0"/>
        <v>0</v>
      </c>
      <c r="V14" s="55" t="e">
        <f t="shared" si="1"/>
        <v>#DIV/0!</v>
      </c>
    </row>
    <row r="15" spans="1:22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>
        <f t="shared" si="0"/>
        <v>0</v>
      </c>
      <c r="V15" s="55" t="e">
        <f t="shared" si="1"/>
        <v>#DIV/0!</v>
      </c>
    </row>
    <row r="16" spans="1:22" s="1" customForma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>
        <f t="shared" si="0"/>
        <v>0</v>
      </c>
      <c r="V16" s="55" t="e">
        <f t="shared" si="1"/>
        <v>#DIV/0!</v>
      </c>
    </row>
    <row r="17" spans="1:22">
      <c r="A17" s="7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>
        <f t="shared" si="0"/>
        <v>0</v>
      </c>
      <c r="V17" s="55" t="e">
        <f t="shared" si="1"/>
        <v>#DIV/0!</v>
      </c>
    </row>
    <row r="18" spans="1:22">
      <c r="A18" s="7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>
        <f t="shared" si="0"/>
        <v>0</v>
      </c>
      <c r="V18" s="55" t="e">
        <f t="shared" si="1"/>
        <v>#DIV/0!</v>
      </c>
    </row>
    <row r="19" spans="1:22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>
        <f t="shared" si="0"/>
        <v>0</v>
      </c>
      <c r="V19" s="55" t="e">
        <f t="shared" si="1"/>
        <v>#DIV/0!</v>
      </c>
    </row>
    <row r="20" spans="1:22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>
        <f t="shared" si="0"/>
        <v>0</v>
      </c>
      <c r="V20" s="55" t="e">
        <f t="shared" si="1"/>
        <v>#DIV/0!</v>
      </c>
    </row>
    <row r="21" spans="1:22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>
        <f t="shared" si="0"/>
        <v>0</v>
      </c>
      <c r="V21" s="55" t="e">
        <f t="shared" si="1"/>
        <v>#DIV/0!</v>
      </c>
    </row>
    <row r="22" spans="1: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>
        <f t="shared" si="0"/>
        <v>0</v>
      </c>
      <c r="V22" s="55" t="e">
        <f t="shared" si="1"/>
        <v>#DIV/0!</v>
      </c>
    </row>
    <row r="23" spans="1:22">
      <c r="A23" s="7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>
        <f t="shared" si="0"/>
        <v>0</v>
      </c>
      <c r="V23" s="55" t="e">
        <f t="shared" si="1"/>
        <v>#DIV/0!</v>
      </c>
    </row>
    <row r="24" spans="1:22">
      <c r="A24" s="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>
        <f t="shared" si="0"/>
        <v>0</v>
      </c>
      <c r="V24" s="55" t="e">
        <f t="shared" si="1"/>
        <v>#DIV/0!</v>
      </c>
    </row>
    <row r="25" spans="1:22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>
        <f t="shared" si="0"/>
        <v>0</v>
      </c>
      <c r="V25" s="55" t="e">
        <f t="shared" si="1"/>
        <v>#DIV/0!</v>
      </c>
    </row>
    <row r="26" spans="1:22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>
        <f t="shared" si="0"/>
        <v>0</v>
      </c>
      <c r="V26" s="55" t="e">
        <f t="shared" si="1"/>
        <v>#DIV/0!</v>
      </c>
    </row>
    <row r="27" spans="1:2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>
        <f t="shared" si="0"/>
        <v>0</v>
      </c>
      <c r="V27" s="55" t="e">
        <f t="shared" si="1"/>
        <v>#DIV/0!</v>
      </c>
    </row>
    <row r="28" spans="1:22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>
        <f t="shared" si="0"/>
        <v>0</v>
      </c>
      <c r="V28" s="55" t="e">
        <f t="shared" si="1"/>
        <v>#DIV/0!</v>
      </c>
    </row>
    <row r="29" spans="1:22" ht="18.75">
      <c r="A29" s="404" t="s">
        <v>8</v>
      </c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</row>
    <row r="30" spans="1:22">
      <c r="A30" s="396" t="s">
        <v>0</v>
      </c>
      <c r="B30" s="396" t="s">
        <v>7</v>
      </c>
      <c r="C30" s="398" t="s">
        <v>6</v>
      </c>
      <c r="D30" s="398"/>
      <c r="E30" s="398"/>
      <c r="F30" s="398"/>
      <c r="G30" s="398"/>
      <c r="H30" s="398"/>
      <c r="I30" s="398"/>
      <c r="J30" s="396" t="s">
        <v>5</v>
      </c>
      <c r="K30" s="396" t="s">
        <v>4</v>
      </c>
      <c r="L30" s="396" t="s">
        <v>3</v>
      </c>
      <c r="M30" s="398" t="s">
        <v>6</v>
      </c>
      <c r="N30" s="398"/>
      <c r="O30" s="398"/>
      <c r="P30" s="398"/>
      <c r="Q30" s="398"/>
      <c r="R30" s="398"/>
      <c r="S30" s="398"/>
      <c r="T30" s="399" t="s">
        <v>5</v>
      </c>
      <c r="U30" s="396" t="s">
        <v>4</v>
      </c>
      <c r="V30" s="396" t="s">
        <v>3</v>
      </c>
    </row>
    <row r="31" spans="1:22">
      <c r="A31" s="397"/>
      <c r="B31" s="397"/>
      <c r="C31" s="80">
        <v>1</v>
      </c>
      <c r="D31" s="80">
        <v>2</v>
      </c>
      <c r="E31" s="80">
        <v>3</v>
      </c>
      <c r="F31" s="80">
        <v>4</v>
      </c>
      <c r="G31" s="80">
        <v>5</v>
      </c>
      <c r="H31" s="80">
        <v>6</v>
      </c>
      <c r="I31" s="80">
        <v>7</v>
      </c>
      <c r="J31" s="397"/>
      <c r="K31" s="397"/>
      <c r="L31" s="397"/>
      <c r="M31" s="80">
        <v>1</v>
      </c>
      <c r="N31" s="80">
        <v>2</v>
      </c>
      <c r="O31" s="80">
        <v>3</v>
      </c>
      <c r="P31" s="80">
        <v>4</v>
      </c>
      <c r="Q31" s="80">
        <v>5</v>
      </c>
      <c r="R31" s="80">
        <v>6</v>
      </c>
      <c r="S31" s="80">
        <v>7</v>
      </c>
      <c r="T31" s="400"/>
      <c r="U31" s="397"/>
      <c r="V31" s="397"/>
    </row>
    <row r="32" spans="1:22" s="1" customFormat="1" ht="15.75">
      <c r="A32" s="393" t="s">
        <v>54</v>
      </c>
      <c r="B32" s="394"/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N32" s="394"/>
      <c r="O32" s="394"/>
      <c r="P32" s="394"/>
      <c r="Q32" s="394"/>
      <c r="R32" s="394"/>
      <c r="S32" s="394"/>
      <c r="T32" s="394"/>
      <c r="U32" s="394"/>
      <c r="V32" s="395"/>
    </row>
    <row r="33" spans="1:22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5">
        <f t="shared" ref="U33:U63" si="2">M33+N33+O33+P33+Q33+R33+S33</f>
        <v>0</v>
      </c>
      <c r="V33" s="4" t="e">
        <f>U33/T33</f>
        <v>#DIV/0!</v>
      </c>
    </row>
    <row r="34" spans="1:22" s="1" customFormat="1">
      <c r="A34" s="7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>
        <f t="shared" si="2"/>
        <v>0</v>
      </c>
      <c r="V34" s="55" t="e">
        <f>U34/T34</f>
        <v>#DIV/0!</v>
      </c>
    </row>
    <row r="35" spans="1:22" ht="13.5" customHeight="1">
      <c r="A35" s="7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4">
        <f t="shared" si="2"/>
        <v>0</v>
      </c>
      <c r="V35" s="55" t="e">
        <f>U35/T35</f>
        <v>#DIV/0!</v>
      </c>
    </row>
    <row r="36" spans="1:22">
      <c r="A36" s="7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>
        <f t="shared" si="2"/>
        <v>0</v>
      </c>
      <c r="V36" s="4" t="e">
        <f t="shared" ref="V36:V63" si="3">U36/T36</f>
        <v>#DIV/0!</v>
      </c>
    </row>
    <row r="37" spans="1:2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>
        <f t="shared" si="2"/>
        <v>0</v>
      </c>
      <c r="V37" s="55" t="e">
        <f t="shared" si="3"/>
        <v>#DIV/0!</v>
      </c>
    </row>
    <row r="38" spans="1:22">
      <c r="A38" s="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>
        <f t="shared" si="2"/>
        <v>0</v>
      </c>
      <c r="V38" s="55" t="e">
        <f t="shared" si="3"/>
        <v>#DIV/0!</v>
      </c>
    </row>
    <row r="39" spans="1:22">
      <c r="A39" s="5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5">
        <f t="shared" si="2"/>
        <v>0</v>
      </c>
      <c r="V39" s="4" t="e">
        <f t="shared" si="3"/>
        <v>#DIV/0!</v>
      </c>
    </row>
    <row r="40" spans="1:2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>
        <f t="shared" si="2"/>
        <v>0</v>
      </c>
      <c r="V40" s="55" t="e">
        <f t="shared" si="3"/>
        <v>#DIV/0!</v>
      </c>
    </row>
    <row r="41" spans="1:22" s="1" customForma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4">
        <f t="shared" si="2"/>
        <v>0</v>
      </c>
      <c r="V41" s="55" t="e">
        <f t="shared" si="3"/>
        <v>#DIV/0!</v>
      </c>
    </row>
    <row r="42" spans="1:22">
      <c r="A42" s="55"/>
      <c r="B42" s="5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5">
        <f t="shared" si="2"/>
        <v>0</v>
      </c>
      <c r="V42" s="4" t="e">
        <f t="shared" si="3"/>
        <v>#DIV/0!</v>
      </c>
    </row>
    <row r="43" spans="1:22">
      <c r="A43" s="55"/>
      <c r="B43" s="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>
        <f t="shared" si="2"/>
        <v>0</v>
      </c>
      <c r="V43" s="55" t="e">
        <f t="shared" si="3"/>
        <v>#DIV/0!</v>
      </c>
    </row>
    <row r="44" spans="1:22">
      <c r="A44" s="7"/>
      <c r="B44" s="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4">
        <f t="shared" si="2"/>
        <v>0</v>
      </c>
      <c r="V44" s="55" t="e">
        <f t="shared" si="3"/>
        <v>#DIV/0!</v>
      </c>
    </row>
    <row r="45" spans="1:22" s="1" customFormat="1">
      <c r="A45" s="7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>
        <f t="shared" si="2"/>
        <v>0</v>
      </c>
      <c r="V45" s="4" t="e">
        <f t="shared" si="3"/>
        <v>#DIV/0!</v>
      </c>
    </row>
    <row r="46" spans="1:22" s="1" customForma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>
        <f t="shared" si="2"/>
        <v>0</v>
      </c>
      <c r="V46" s="55" t="e">
        <f t="shared" si="3"/>
        <v>#DIV/0!</v>
      </c>
    </row>
    <row r="47" spans="1:22">
      <c r="A47" s="7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4">
        <f t="shared" si="2"/>
        <v>0</v>
      </c>
      <c r="V47" s="55" t="e">
        <f t="shared" si="3"/>
        <v>#DIV/0!</v>
      </c>
    </row>
    <row r="48" spans="1:22">
      <c r="A48" s="7"/>
      <c r="B48" s="5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5">
        <f t="shared" si="2"/>
        <v>0</v>
      </c>
      <c r="V48" s="4" t="e">
        <f t="shared" si="3"/>
        <v>#DIV/0!</v>
      </c>
    </row>
    <row r="49" spans="1:2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>
        <f t="shared" si="2"/>
        <v>0</v>
      </c>
      <c r="V49" s="55" t="e">
        <f t="shared" si="3"/>
        <v>#DIV/0!</v>
      </c>
    </row>
    <row r="50" spans="1:22" s="1" customForma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4">
        <f t="shared" si="2"/>
        <v>0</v>
      </c>
      <c r="V50" s="55" t="e">
        <f t="shared" si="3"/>
        <v>#DIV/0!</v>
      </c>
    </row>
    <row r="51" spans="1:22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>
        <f t="shared" si="2"/>
        <v>0</v>
      </c>
      <c r="V51" s="4" t="e">
        <f t="shared" si="3"/>
        <v>#DIV/0!</v>
      </c>
    </row>
    <row r="52" spans="1:22">
      <c r="A52" s="2"/>
      <c r="B52" s="5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55">
        <f t="shared" si="2"/>
        <v>0</v>
      </c>
      <c r="V52" s="55" t="e">
        <f t="shared" si="3"/>
        <v>#DIV/0!</v>
      </c>
    </row>
    <row r="53" spans="1:22">
      <c r="A53" s="7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4">
        <f t="shared" si="2"/>
        <v>0</v>
      </c>
      <c r="V53" s="55" t="e">
        <f t="shared" si="3"/>
        <v>#DIV/0!</v>
      </c>
    </row>
    <row r="54" spans="1:22">
      <c r="A54" s="50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>
        <f t="shared" si="2"/>
        <v>0</v>
      </c>
      <c r="V54" s="4" t="e">
        <f t="shared" si="3"/>
        <v>#DIV/0!</v>
      </c>
    </row>
    <row r="55" spans="1:22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>
        <f t="shared" si="2"/>
        <v>0</v>
      </c>
      <c r="V55" s="55" t="e">
        <f t="shared" si="3"/>
        <v>#DIV/0!</v>
      </c>
    </row>
    <row r="56" spans="1:22" s="1" customFormat="1">
      <c r="A56" s="7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4">
        <f t="shared" si="2"/>
        <v>0</v>
      </c>
      <c r="V56" s="55" t="e">
        <f t="shared" si="3"/>
        <v>#DIV/0!</v>
      </c>
    </row>
    <row r="57" spans="1:22" s="1" customFormat="1">
      <c r="A57" s="7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>
        <f t="shared" si="2"/>
        <v>0</v>
      </c>
      <c r="V57" s="4" t="e">
        <f t="shared" si="3"/>
        <v>#DIV/0!</v>
      </c>
    </row>
    <row r="58" spans="1:22" s="1" customFormat="1">
      <c r="A58" s="7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>
        <f t="shared" si="2"/>
        <v>0</v>
      </c>
      <c r="V58" s="55" t="e">
        <f t="shared" si="3"/>
        <v>#DIV/0!</v>
      </c>
    </row>
    <row r="59" spans="1:22" s="1" customFormat="1">
      <c r="A59" s="7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4">
        <f t="shared" si="2"/>
        <v>0</v>
      </c>
      <c r="V59" s="55" t="e">
        <f t="shared" si="3"/>
        <v>#DIV/0!</v>
      </c>
    </row>
    <row r="60" spans="1:22" s="1" customFormat="1">
      <c r="A60" s="7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>
        <f t="shared" si="2"/>
        <v>0</v>
      </c>
      <c r="V60" s="4" t="e">
        <f t="shared" si="3"/>
        <v>#DIV/0!</v>
      </c>
    </row>
    <row r="61" spans="1:22" s="1" customFormat="1">
      <c r="A61" s="7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>
        <f t="shared" si="2"/>
        <v>0</v>
      </c>
      <c r="V61" s="55" t="e">
        <f t="shared" si="3"/>
        <v>#DIV/0!</v>
      </c>
    </row>
    <row r="62" spans="1:22" s="1" customFormat="1">
      <c r="A62" s="7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4">
        <f t="shared" si="2"/>
        <v>0</v>
      </c>
      <c r="V62" s="55" t="e">
        <f t="shared" si="3"/>
        <v>#DIV/0!</v>
      </c>
    </row>
    <row r="63" spans="1:22" s="1" customFormat="1">
      <c r="A63" s="7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>
        <f t="shared" si="2"/>
        <v>0</v>
      </c>
      <c r="V63" s="4" t="e">
        <f t="shared" si="3"/>
        <v>#DIV/0!</v>
      </c>
    </row>
    <row r="65" spans="12:12">
      <c r="L65" t="e">
        <f>K65/J65</f>
        <v>#DIV/0!</v>
      </c>
    </row>
  </sheetData>
  <mergeCells count="24">
    <mergeCell ref="C30:I30"/>
    <mergeCell ref="A2:V2"/>
    <mergeCell ref="M3:S3"/>
    <mergeCell ref="T3:T4"/>
    <mergeCell ref="U3:U4"/>
    <mergeCell ref="V3:V4"/>
    <mergeCell ref="J3:J4"/>
    <mergeCell ref="L3:L4"/>
    <mergeCell ref="A32:V32"/>
    <mergeCell ref="A3:A4"/>
    <mergeCell ref="B3:B4"/>
    <mergeCell ref="C3:I3"/>
    <mergeCell ref="T30:T31"/>
    <mergeCell ref="K3:K4"/>
    <mergeCell ref="A5:V5"/>
    <mergeCell ref="A29:V29"/>
    <mergeCell ref="L30:L31"/>
    <mergeCell ref="U30:U31"/>
    <mergeCell ref="B30:B31"/>
    <mergeCell ref="A30:A31"/>
    <mergeCell ref="J30:J31"/>
    <mergeCell ref="K30:K31"/>
    <mergeCell ref="V30:V31"/>
    <mergeCell ref="M30:S30"/>
  </mergeCells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view="pageBreakPreview" zoomScaleSheetLayoutView="100" workbookViewId="0">
      <selection activeCell="P13" sqref="P13"/>
    </sheetView>
  </sheetViews>
  <sheetFormatPr baseColWidth="10" defaultRowHeight="14.25" customHeight="1"/>
  <cols>
    <col min="1" max="1" width="18.28515625" style="81" customWidth="1"/>
    <col min="2" max="2" width="25.5703125" style="81" customWidth="1"/>
    <col min="3" max="3" width="3.28515625" style="81" customWidth="1"/>
    <col min="4" max="4" width="4" style="81" customWidth="1"/>
    <col min="5" max="5" width="4.140625" style="81" customWidth="1"/>
    <col min="6" max="6" width="3.85546875" style="81" customWidth="1"/>
    <col min="7" max="7" width="3.7109375" style="81" customWidth="1"/>
    <col min="8" max="8" width="4" style="81" customWidth="1"/>
    <col min="9" max="9" width="3.7109375" style="81" customWidth="1"/>
    <col min="10" max="10" width="4" style="81" customWidth="1"/>
    <col min="11" max="11" width="3.5703125" style="81" customWidth="1"/>
    <col min="12" max="12" width="3.42578125" style="81" customWidth="1"/>
    <col min="13" max="13" width="12.5703125" style="81" customWidth="1"/>
    <col min="14" max="16384" width="11.42578125" style="81"/>
  </cols>
  <sheetData>
    <row r="1" spans="1:13" ht="14.25" customHeight="1">
      <c r="A1" s="410" t="s">
        <v>49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</row>
    <row r="2" spans="1:13" ht="14.25" customHeight="1">
      <c r="A2" s="406" t="s">
        <v>0</v>
      </c>
      <c r="B2" s="409" t="s">
        <v>7</v>
      </c>
      <c r="C2" s="407" t="s">
        <v>38</v>
      </c>
      <c r="D2" s="407"/>
      <c r="E2" s="407"/>
      <c r="F2" s="407"/>
      <c r="G2" s="407"/>
      <c r="H2" s="408" t="s">
        <v>39</v>
      </c>
      <c r="I2" s="408"/>
      <c r="J2" s="408"/>
      <c r="K2" s="408"/>
      <c r="L2" s="408"/>
      <c r="M2" s="86" t="s">
        <v>59</v>
      </c>
    </row>
    <row r="3" spans="1:13" ht="14.25" customHeight="1">
      <c r="A3" s="406"/>
      <c r="B3" s="409"/>
      <c r="C3" s="82">
        <v>1</v>
      </c>
      <c r="D3" s="82">
        <v>2</v>
      </c>
      <c r="E3" s="82">
        <v>3</v>
      </c>
      <c r="F3" s="82">
        <v>4</v>
      </c>
      <c r="G3" s="82">
        <v>5</v>
      </c>
      <c r="H3" s="83">
        <v>1</v>
      </c>
      <c r="I3" s="83">
        <v>2</v>
      </c>
      <c r="J3" s="83">
        <v>3</v>
      </c>
      <c r="K3" s="83">
        <v>4</v>
      </c>
      <c r="L3" s="83">
        <v>5</v>
      </c>
      <c r="M3" s="79"/>
    </row>
    <row r="4" spans="1:13" ht="14.25" customHeight="1">
      <c r="A4" s="84"/>
      <c r="B4" s="85"/>
      <c r="C4" s="82"/>
      <c r="D4" s="82"/>
      <c r="E4" s="82"/>
      <c r="F4" s="82"/>
      <c r="G4" s="82"/>
      <c r="H4" s="83"/>
      <c r="I4" s="83"/>
      <c r="J4" s="83"/>
      <c r="K4" s="83"/>
      <c r="L4" s="83"/>
      <c r="M4" s="79"/>
    </row>
    <row r="5" spans="1:13" ht="14.25" customHeight="1">
      <c r="A5" s="85"/>
      <c r="B5" s="85"/>
      <c r="C5" s="82"/>
      <c r="D5" s="82"/>
      <c r="E5" s="82"/>
      <c r="F5" s="82"/>
      <c r="G5" s="82"/>
      <c r="H5" s="83"/>
      <c r="I5" s="83"/>
      <c r="J5" s="83"/>
      <c r="K5" s="83"/>
      <c r="L5" s="83"/>
      <c r="M5" s="79"/>
    </row>
    <row r="6" spans="1:13" ht="14.25" customHeight="1">
      <c r="A6" s="84"/>
      <c r="B6" s="85"/>
      <c r="C6" s="82"/>
      <c r="D6" s="82"/>
      <c r="E6" s="82"/>
      <c r="F6" s="82"/>
      <c r="G6" s="82"/>
      <c r="H6" s="83"/>
      <c r="I6" s="83"/>
      <c r="J6" s="83"/>
      <c r="K6" s="83"/>
      <c r="L6" s="83"/>
      <c r="M6" s="79"/>
    </row>
    <row r="7" spans="1:13" ht="14.25" customHeight="1">
      <c r="A7" s="84"/>
      <c r="B7" s="85"/>
      <c r="C7" s="82"/>
      <c r="D7" s="82"/>
      <c r="E7" s="82"/>
      <c r="F7" s="82"/>
      <c r="G7" s="82"/>
      <c r="H7" s="83"/>
      <c r="I7" s="83"/>
      <c r="J7" s="83"/>
      <c r="K7" s="83"/>
      <c r="L7" s="83"/>
      <c r="M7" s="79"/>
    </row>
    <row r="8" spans="1:13" ht="14.25" customHeight="1">
      <c r="A8" s="84"/>
      <c r="B8" s="85"/>
      <c r="C8" s="82"/>
      <c r="D8" s="82"/>
      <c r="E8" s="82"/>
      <c r="F8" s="82"/>
      <c r="G8" s="82"/>
      <c r="H8" s="83"/>
      <c r="I8" s="83"/>
      <c r="J8" s="83"/>
      <c r="K8" s="83"/>
      <c r="L8" s="83"/>
      <c r="M8" s="79"/>
    </row>
    <row r="9" spans="1:13" ht="14.25" customHeight="1">
      <c r="A9" s="84"/>
      <c r="B9" s="85"/>
      <c r="C9" s="82"/>
      <c r="D9" s="82"/>
      <c r="E9" s="82"/>
      <c r="F9" s="82"/>
      <c r="G9" s="82"/>
      <c r="H9" s="83"/>
      <c r="I9" s="83"/>
      <c r="J9" s="83"/>
      <c r="K9" s="83"/>
      <c r="L9" s="83"/>
      <c r="M9" s="79"/>
    </row>
    <row r="10" spans="1:13" ht="14.25" customHeight="1">
      <c r="A10" s="410" t="s">
        <v>53</v>
      </c>
      <c r="B10" s="410"/>
      <c r="C10" s="410"/>
      <c r="D10" s="410"/>
      <c r="E10" s="410"/>
      <c r="F10" s="410"/>
      <c r="G10" s="410"/>
      <c r="H10" s="410"/>
      <c r="I10" s="410"/>
      <c r="J10" s="410"/>
      <c r="K10" s="410"/>
      <c r="L10" s="410"/>
      <c r="M10" s="410"/>
    </row>
    <row r="11" spans="1:13" ht="14.25" customHeight="1">
      <c r="A11" s="406" t="s">
        <v>0</v>
      </c>
      <c r="B11" s="409" t="s">
        <v>7</v>
      </c>
      <c r="C11" s="407" t="s">
        <v>38</v>
      </c>
      <c r="D11" s="407"/>
      <c r="E11" s="407"/>
      <c r="F11" s="407"/>
      <c r="G11" s="407"/>
      <c r="H11" s="408" t="s">
        <v>39</v>
      </c>
      <c r="I11" s="408"/>
      <c r="J11" s="408"/>
      <c r="K11" s="408"/>
      <c r="L11" s="408"/>
      <c r="M11" s="86" t="s">
        <v>59</v>
      </c>
    </row>
    <row r="12" spans="1:13" ht="14.25" customHeight="1">
      <c r="A12" s="406"/>
      <c r="B12" s="409"/>
      <c r="C12" s="82">
        <v>1</v>
      </c>
      <c r="D12" s="82">
        <v>2</v>
      </c>
      <c r="E12" s="82">
        <v>3</v>
      </c>
      <c r="F12" s="82">
        <v>4</v>
      </c>
      <c r="G12" s="82">
        <v>5</v>
      </c>
      <c r="H12" s="83">
        <v>1</v>
      </c>
      <c r="I12" s="83">
        <v>2</v>
      </c>
      <c r="J12" s="83">
        <v>3</v>
      </c>
      <c r="K12" s="83">
        <v>4</v>
      </c>
      <c r="L12" s="83">
        <v>5</v>
      </c>
      <c r="M12" s="79"/>
    </row>
    <row r="13" spans="1:13" ht="14.25" customHeight="1">
      <c r="A13" s="84"/>
      <c r="B13" s="85"/>
      <c r="C13" s="82"/>
      <c r="D13" s="82"/>
      <c r="E13" s="82"/>
      <c r="F13" s="82"/>
      <c r="G13" s="82"/>
      <c r="H13" s="83"/>
      <c r="I13" s="83"/>
      <c r="J13" s="83"/>
      <c r="K13" s="83"/>
      <c r="L13" s="83"/>
      <c r="M13" s="79"/>
    </row>
    <row r="14" spans="1:13" ht="14.25" customHeight="1">
      <c r="A14" s="84"/>
      <c r="B14" s="85"/>
      <c r="C14" s="82"/>
      <c r="D14" s="82"/>
      <c r="E14" s="82"/>
      <c r="F14" s="82"/>
      <c r="G14" s="82"/>
      <c r="H14" s="83"/>
      <c r="I14" s="83"/>
      <c r="J14" s="83"/>
      <c r="K14" s="83"/>
      <c r="L14" s="83"/>
      <c r="M14" s="79"/>
    </row>
    <row r="15" spans="1:13" ht="14.25" customHeight="1">
      <c r="A15" s="84"/>
      <c r="B15" s="85"/>
      <c r="C15" s="82"/>
      <c r="D15" s="82"/>
      <c r="E15" s="82"/>
      <c r="F15" s="82"/>
      <c r="G15" s="82"/>
      <c r="H15" s="83"/>
      <c r="I15" s="83"/>
      <c r="J15" s="83"/>
      <c r="K15" s="83"/>
      <c r="L15" s="83"/>
      <c r="M15" s="79"/>
    </row>
    <row r="16" spans="1:13" ht="14.25" customHeight="1">
      <c r="A16" s="84"/>
      <c r="B16" s="85"/>
      <c r="C16" s="82"/>
      <c r="D16" s="82"/>
      <c r="E16" s="82"/>
      <c r="F16" s="82"/>
      <c r="G16" s="82"/>
      <c r="H16" s="83"/>
      <c r="I16" s="83"/>
      <c r="J16" s="83"/>
      <c r="K16" s="83"/>
      <c r="L16" s="83"/>
      <c r="M16" s="79"/>
    </row>
  </sheetData>
  <mergeCells count="10">
    <mergeCell ref="A11:A12"/>
    <mergeCell ref="C11:G11"/>
    <mergeCell ref="H11:L11"/>
    <mergeCell ref="B11:B12"/>
    <mergeCell ref="A1:M1"/>
    <mergeCell ref="A10:M10"/>
    <mergeCell ref="A2:A3"/>
    <mergeCell ref="B2:B3"/>
    <mergeCell ref="C2:G2"/>
    <mergeCell ref="H2:L2"/>
  </mergeCells>
  <pageMargins left="0.7" right="0.7" top="0.75" bottom="0.75" header="0.3" footer="0.3"/>
  <pageSetup paperSize="9" scale="88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view="pageBreakPreview" topLeftCell="A13" zoomScaleSheetLayoutView="100" workbookViewId="0">
      <selection activeCell="E10" sqref="E10"/>
    </sheetView>
  </sheetViews>
  <sheetFormatPr baseColWidth="10" defaultRowHeight="12.75"/>
  <cols>
    <col min="1" max="1" width="23.5703125" style="9" customWidth="1"/>
    <col min="2" max="2" width="57.28515625" style="9" customWidth="1"/>
    <col min="3" max="16384" width="11.42578125" style="9"/>
  </cols>
  <sheetData>
    <row r="1" spans="1:2" ht="60" customHeight="1" thickBot="1">
      <c r="A1" s="104"/>
      <c r="B1" s="104"/>
    </row>
    <row r="2" spans="1:2">
      <c r="A2" s="412" t="s">
        <v>67</v>
      </c>
      <c r="B2" s="413"/>
    </row>
    <row r="3" spans="1:2" ht="13.5" thickBot="1">
      <c r="A3" s="414"/>
      <c r="B3" s="415"/>
    </row>
    <row r="4" spans="1:2">
      <c r="A4" s="104"/>
      <c r="B4" s="104"/>
    </row>
    <row r="5" spans="1:2">
      <c r="A5" s="411" t="s">
        <v>71</v>
      </c>
      <c r="B5" s="411"/>
    </row>
    <row r="6" spans="1:2">
      <c r="A6" s="411"/>
      <c r="B6" s="411"/>
    </row>
    <row r="7" spans="1:2" ht="15.95" customHeight="1">
      <c r="A7" s="105" t="s">
        <v>15</v>
      </c>
      <c r="B7" s="112"/>
    </row>
    <row r="8" spans="1:2" ht="15.95" customHeight="1">
      <c r="A8" s="105" t="s">
        <v>14</v>
      </c>
      <c r="B8" s="111"/>
    </row>
    <row r="9" spans="1:2" ht="15.95" customHeight="1">
      <c r="A9" s="105" t="s">
        <v>13</v>
      </c>
      <c r="B9" s="111"/>
    </row>
    <row r="10" spans="1:2" ht="15.95" customHeight="1">
      <c r="A10" s="105" t="s">
        <v>12</v>
      </c>
      <c r="B10" s="111"/>
    </row>
    <row r="11" spans="1:2" ht="15.95" customHeight="1">
      <c r="A11" s="105" t="s">
        <v>11</v>
      </c>
      <c r="B11" s="111"/>
    </row>
    <row r="12" spans="1:2" ht="15.95" customHeight="1">
      <c r="A12" s="105" t="s">
        <v>72</v>
      </c>
      <c r="B12" s="111"/>
    </row>
    <row r="13" spans="1:2" ht="15.95" customHeight="1">
      <c r="A13" s="105" t="s">
        <v>68</v>
      </c>
      <c r="B13" s="111"/>
    </row>
    <row r="14" spans="1:2" ht="15.95" customHeight="1">
      <c r="A14" s="106"/>
      <c r="B14" s="107"/>
    </row>
    <row r="15" spans="1:2" ht="15.95" customHeight="1">
      <c r="A15" s="113" t="s">
        <v>16</v>
      </c>
      <c r="B15" s="111"/>
    </row>
    <row r="16" spans="1:2" ht="15.95" customHeight="1">
      <c r="A16" s="108"/>
      <c r="B16" s="111"/>
    </row>
    <row r="17" spans="1:2" ht="15.95" customHeight="1">
      <c r="A17" s="91"/>
      <c r="B17" s="91"/>
    </row>
    <row r="18" spans="1:2" ht="15.95" customHeight="1">
      <c r="A18" s="113" t="s">
        <v>10</v>
      </c>
      <c r="B18" s="111"/>
    </row>
    <row r="19" spans="1:2" ht="15.95" customHeight="1">
      <c r="A19" s="108"/>
      <c r="B19" s="111"/>
    </row>
    <row r="20" spans="1:2">
      <c r="A20" s="109"/>
      <c r="B20" s="110"/>
    </row>
    <row r="21" spans="1:2">
      <c r="A21" s="411" t="s">
        <v>57</v>
      </c>
      <c r="B21" s="411"/>
    </row>
    <row r="22" spans="1:2">
      <c r="A22" s="411"/>
      <c r="B22" s="411"/>
    </row>
    <row r="23" spans="1:2" ht="15.95" customHeight="1">
      <c r="A23" s="105" t="s">
        <v>15</v>
      </c>
      <c r="B23" s="112"/>
    </row>
    <row r="24" spans="1:2" ht="15.95" customHeight="1">
      <c r="A24" s="105" t="s">
        <v>14</v>
      </c>
      <c r="B24" s="111"/>
    </row>
    <row r="25" spans="1:2" ht="15.95" customHeight="1">
      <c r="A25" s="105" t="s">
        <v>13</v>
      </c>
      <c r="B25" s="111"/>
    </row>
    <row r="26" spans="1:2" ht="15.95" customHeight="1">
      <c r="A26" s="105" t="s">
        <v>12</v>
      </c>
      <c r="B26" s="111"/>
    </row>
    <row r="27" spans="1:2" ht="15.95" customHeight="1">
      <c r="A27" s="105" t="s">
        <v>11</v>
      </c>
      <c r="B27" s="111"/>
    </row>
    <row r="28" spans="1:2" ht="15.95" customHeight="1">
      <c r="A28" s="105" t="s">
        <v>72</v>
      </c>
      <c r="B28" s="111"/>
    </row>
    <row r="29" spans="1:2" ht="15.95" customHeight="1">
      <c r="A29" s="105" t="s">
        <v>68</v>
      </c>
      <c r="B29" s="111"/>
    </row>
    <row r="30" spans="1:2" ht="15.95" customHeight="1">
      <c r="A30" s="105" t="s">
        <v>69</v>
      </c>
      <c r="B30" s="111"/>
    </row>
    <row r="31" spans="1:2" ht="15.95" customHeight="1">
      <c r="A31" s="105" t="s">
        <v>73</v>
      </c>
      <c r="B31" s="111"/>
    </row>
    <row r="32" spans="1:2" ht="15.95" customHeight="1">
      <c r="A32" s="105" t="s">
        <v>70</v>
      </c>
      <c r="B32" s="111"/>
    </row>
    <row r="33" spans="1:2" ht="15.95" customHeight="1">
      <c r="A33" s="106"/>
      <c r="B33" s="107"/>
    </row>
    <row r="34" spans="1:2" ht="15.95" customHeight="1">
      <c r="A34" s="113" t="s">
        <v>16</v>
      </c>
      <c r="B34" s="111"/>
    </row>
    <row r="35" spans="1:2" ht="15.95" customHeight="1">
      <c r="A35" s="108"/>
      <c r="B35" s="111"/>
    </row>
    <row r="36" spans="1:2" ht="15.95" customHeight="1">
      <c r="A36" s="91"/>
      <c r="B36" s="91"/>
    </row>
    <row r="37" spans="1:2" ht="15.95" customHeight="1">
      <c r="A37" s="113" t="s">
        <v>10</v>
      </c>
      <c r="B37" s="111"/>
    </row>
    <row r="38" spans="1:2" ht="15.95" customHeight="1">
      <c r="A38" s="108"/>
      <c r="B38" s="111"/>
    </row>
  </sheetData>
  <mergeCells count="3">
    <mergeCell ref="A21:B22"/>
    <mergeCell ref="A2:B3"/>
    <mergeCell ref="A5:B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4"/>
  <sheetViews>
    <sheetView view="pageBreakPreview" zoomScaleSheetLayoutView="100" workbookViewId="0">
      <selection activeCell="M13" sqref="M13"/>
    </sheetView>
  </sheetViews>
  <sheetFormatPr baseColWidth="10" defaultRowHeight="15"/>
  <cols>
    <col min="1" max="1" width="23.85546875" style="1" bestFit="1" customWidth="1"/>
    <col min="2" max="3" width="4" style="1" customWidth="1"/>
    <col min="4" max="4" width="4.140625" style="1" customWidth="1"/>
    <col min="5" max="6" width="4" style="1" customWidth="1"/>
    <col min="7" max="7" width="4.140625" style="1" customWidth="1"/>
    <col min="8" max="8" width="4" style="1" customWidth="1"/>
    <col min="9" max="9" width="4.140625" style="1" customWidth="1"/>
    <col min="10" max="10" width="5" style="1" bestFit="1" customWidth="1"/>
    <col min="11" max="11" width="4" style="1" bestFit="1" customWidth="1"/>
    <col min="12" max="12" width="5" style="1" bestFit="1" customWidth="1"/>
    <col min="13" max="13" width="4.42578125" style="1" customWidth="1"/>
    <col min="14" max="16384" width="11.42578125" style="1"/>
  </cols>
  <sheetData>
    <row r="1" spans="1:15" ht="51" customHeight="1" thickBot="1">
      <c r="A1" s="422"/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9"/>
    </row>
    <row r="2" spans="1:15" ht="16.5" thickBot="1">
      <c r="A2" s="416" t="s">
        <v>74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8"/>
      <c r="N2" s="9"/>
    </row>
    <row r="3" spans="1:15" ht="93.75">
      <c r="A3" s="11"/>
      <c r="B3" s="12" t="s">
        <v>40</v>
      </c>
      <c r="C3" s="12" t="s">
        <v>41</v>
      </c>
      <c r="D3" s="12" t="s">
        <v>42</v>
      </c>
      <c r="E3" s="12" t="s">
        <v>43</v>
      </c>
      <c r="F3" s="12" t="s">
        <v>44</v>
      </c>
      <c r="G3" s="12" t="s">
        <v>21</v>
      </c>
      <c r="H3" s="12" t="s">
        <v>45</v>
      </c>
      <c r="I3" s="12" t="s">
        <v>46</v>
      </c>
      <c r="J3" s="12" t="s">
        <v>9</v>
      </c>
      <c r="K3" s="12" t="s">
        <v>47</v>
      </c>
      <c r="L3" s="12" t="s">
        <v>4</v>
      </c>
      <c r="M3" s="13" t="s">
        <v>17</v>
      </c>
      <c r="N3" s="9"/>
    </row>
    <row r="4" spans="1:15">
      <c r="A4" s="14" t="s">
        <v>48</v>
      </c>
      <c r="B4" s="15"/>
      <c r="C4" s="15"/>
      <c r="D4" s="15"/>
      <c r="E4" s="15"/>
      <c r="F4" s="16"/>
      <c r="G4" s="16"/>
      <c r="H4" s="16"/>
      <c r="I4" s="16"/>
      <c r="J4" s="16"/>
      <c r="K4" s="16"/>
      <c r="L4" s="16"/>
      <c r="M4" s="17"/>
      <c r="N4" s="10"/>
    </row>
    <row r="5" spans="1:15" ht="18">
      <c r="A5" s="59"/>
      <c r="B5" s="15"/>
      <c r="C5" s="15"/>
      <c r="D5" s="15"/>
      <c r="E5" s="15"/>
      <c r="F5" s="54">
        <f t="shared" ref="F5:F11" si="0" xml:space="preserve"> (C5*3)+(D5*1)</f>
        <v>0</v>
      </c>
      <c r="G5" s="16"/>
      <c r="H5" s="16"/>
      <c r="I5" s="16">
        <f t="shared" ref="I5:I11" si="1">G5-H5</f>
        <v>0</v>
      </c>
      <c r="J5" s="18" t="e">
        <f t="shared" ref="J5:J11" si="2">F5/B5</f>
        <v>#DIV/0!</v>
      </c>
      <c r="K5" s="19">
        <v>2.2000000000000002</v>
      </c>
      <c r="L5" s="20" t="e">
        <f t="shared" ref="L5:L11" si="3">J5+K5</f>
        <v>#DIV/0!</v>
      </c>
      <c r="M5" s="21">
        <v>1</v>
      </c>
      <c r="N5" s="9"/>
    </row>
    <row r="6" spans="1:15" ht="20.25">
      <c r="A6" s="59"/>
      <c r="B6" s="15"/>
      <c r="C6" s="15"/>
      <c r="D6" s="15"/>
      <c r="E6" s="15"/>
      <c r="F6" s="54">
        <f t="shared" si="0"/>
        <v>0</v>
      </c>
      <c r="G6" s="16"/>
      <c r="H6" s="16"/>
      <c r="I6" s="16">
        <f t="shared" si="1"/>
        <v>0</v>
      </c>
      <c r="J6" s="18" t="e">
        <f t="shared" si="2"/>
        <v>#DIV/0!</v>
      </c>
      <c r="K6" s="19">
        <v>2</v>
      </c>
      <c r="L6" s="20" t="e">
        <f t="shared" si="3"/>
        <v>#DIV/0!</v>
      </c>
      <c r="M6" s="22">
        <v>2</v>
      </c>
      <c r="N6" s="9"/>
    </row>
    <row r="7" spans="1:15" ht="18">
      <c r="A7" s="59"/>
      <c r="B7" s="15"/>
      <c r="C7" s="15"/>
      <c r="D7" s="15"/>
      <c r="E7" s="15"/>
      <c r="F7" s="54">
        <f t="shared" si="0"/>
        <v>0</v>
      </c>
      <c r="G7" s="16"/>
      <c r="H7" s="16"/>
      <c r="I7" s="16">
        <f t="shared" si="1"/>
        <v>0</v>
      </c>
      <c r="J7" s="18" t="e">
        <f t="shared" si="2"/>
        <v>#DIV/0!</v>
      </c>
      <c r="K7" s="19">
        <v>1.9</v>
      </c>
      <c r="L7" s="20" t="e">
        <f t="shared" si="3"/>
        <v>#DIV/0!</v>
      </c>
      <c r="M7" s="23">
        <v>3</v>
      </c>
      <c r="N7" s="9"/>
    </row>
    <row r="8" spans="1:15" ht="18">
      <c r="A8" s="59"/>
      <c r="B8" s="15"/>
      <c r="C8" s="15"/>
      <c r="D8" s="15"/>
      <c r="E8" s="15"/>
      <c r="F8" s="54">
        <f t="shared" si="0"/>
        <v>0</v>
      </c>
      <c r="G8" s="16"/>
      <c r="H8" s="16"/>
      <c r="I8" s="16">
        <f t="shared" si="1"/>
        <v>0</v>
      </c>
      <c r="J8" s="18" t="e">
        <f t="shared" si="2"/>
        <v>#DIV/0!</v>
      </c>
      <c r="K8" s="20">
        <v>1.7</v>
      </c>
      <c r="L8" s="20" t="e">
        <f t="shared" si="3"/>
        <v>#DIV/0!</v>
      </c>
      <c r="M8" s="24">
        <v>4</v>
      </c>
      <c r="N8" s="9"/>
    </row>
    <row r="9" spans="1:15" ht="18">
      <c r="A9" s="59"/>
      <c r="B9" s="15"/>
      <c r="C9" s="15"/>
      <c r="D9" s="15"/>
      <c r="E9" s="15"/>
      <c r="F9" s="54">
        <f t="shared" si="0"/>
        <v>0</v>
      </c>
      <c r="G9" s="16"/>
      <c r="H9" s="16"/>
      <c r="I9" s="16">
        <f t="shared" si="1"/>
        <v>0</v>
      </c>
      <c r="J9" s="18" t="e">
        <f t="shared" si="2"/>
        <v>#DIV/0!</v>
      </c>
      <c r="K9" s="19">
        <v>1</v>
      </c>
      <c r="L9" s="20" t="e">
        <f t="shared" si="3"/>
        <v>#DIV/0!</v>
      </c>
      <c r="M9" s="25">
        <v>5</v>
      </c>
      <c r="N9" s="9"/>
    </row>
    <row r="10" spans="1:15" ht="20.25">
      <c r="A10" s="59"/>
      <c r="B10" s="15"/>
      <c r="C10" s="15"/>
      <c r="D10" s="15"/>
      <c r="E10" s="15"/>
      <c r="F10" s="54">
        <f xml:space="preserve"> (C10*3)+(D10*1)</f>
        <v>0</v>
      </c>
      <c r="G10" s="16"/>
      <c r="H10" s="16"/>
      <c r="I10" s="16">
        <f>G10-H10</f>
        <v>0</v>
      </c>
      <c r="J10" s="18" t="e">
        <f>F10/B10</f>
        <v>#DIV/0!</v>
      </c>
      <c r="K10" s="20">
        <v>1</v>
      </c>
      <c r="L10" s="20" t="e">
        <f>J10+K10</f>
        <v>#DIV/0!</v>
      </c>
      <c r="M10" s="27">
        <v>6</v>
      </c>
      <c r="N10" s="9"/>
    </row>
    <row r="11" spans="1:15" ht="21" thickBot="1">
      <c r="A11" s="59"/>
      <c r="B11" s="15"/>
      <c r="C11" s="15"/>
      <c r="D11" s="15"/>
      <c r="E11" s="15"/>
      <c r="F11" s="54">
        <f t="shared" si="0"/>
        <v>0</v>
      </c>
      <c r="G11" s="16"/>
      <c r="H11" s="16"/>
      <c r="I11" s="16">
        <f t="shared" si="1"/>
        <v>0</v>
      </c>
      <c r="J11" s="18" t="e">
        <f t="shared" si="2"/>
        <v>#DIV/0!</v>
      </c>
      <c r="K11" s="20">
        <v>1</v>
      </c>
      <c r="L11" s="20" t="e">
        <f t="shared" si="3"/>
        <v>#DIV/0!</v>
      </c>
      <c r="M11" s="114">
        <v>7</v>
      </c>
      <c r="N11" s="9"/>
    </row>
    <row r="12" spans="1:15" ht="16.5" thickBot="1">
      <c r="A12" s="419" t="s">
        <v>75</v>
      </c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1"/>
    </row>
    <row r="13" spans="1:15" ht="93.75">
      <c r="A13" s="28"/>
      <c r="B13" s="29" t="s">
        <v>40</v>
      </c>
      <c r="C13" s="29" t="s">
        <v>41</v>
      </c>
      <c r="D13" s="29" t="s">
        <v>42</v>
      </c>
      <c r="E13" s="29" t="s">
        <v>43</v>
      </c>
      <c r="F13" s="29" t="s">
        <v>44</v>
      </c>
      <c r="G13" s="29" t="s">
        <v>21</v>
      </c>
      <c r="H13" s="29" t="s">
        <v>45</v>
      </c>
      <c r="I13" s="29" t="s">
        <v>46</v>
      </c>
      <c r="J13" s="29" t="s">
        <v>9</v>
      </c>
      <c r="K13" s="29" t="s">
        <v>47</v>
      </c>
      <c r="L13" s="29" t="s">
        <v>4</v>
      </c>
      <c r="M13" s="30" t="s">
        <v>17</v>
      </c>
    </row>
    <row r="14" spans="1:15">
      <c r="A14" s="31" t="s">
        <v>48</v>
      </c>
      <c r="B14" s="32"/>
      <c r="C14" s="33"/>
      <c r="D14" s="33"/>
      <c r="E14" s="33"/>
      <c r="F14" s="34"/>
      <c r="G14" s="34"/>
      <c r="H14" s="34"/>
      <c r="I14" s="34"/>
      <c r="J14" s="34"/>
      <c r="K14" s="34"/>
      <c r="L14" s="34"/>
      <c r="M14" s="35"/>
    </row>
    <row r="15" spans="1:15" ht="20.25">
      <c r="A15" s="51"/>
      <c r="B15" s="36"/>
      <c r="C15" s="36"/>
      <c r="D15" s="36"/>
      <c r="E15" s="36"/>
      <c r="F15" s="53">
        <f t="shared" ref="F15:F22" si="4">(C15*3)+(D15*1)</f>
        <v>0</v>
      </c>
      <c r="G15" s="37"/>
      <c r="H15" s="37"/>
      <c r="I15" s="37"/>
      <c r="J15" s="38" t="e">
        <f t="shared" ref="J15:J22" si="5">F15/B15</f>
        <v>#DIV/0!</v>
      </c>
      <c r="K15" s="39">
        <v>2.2000000000000002</v>
      </c>
      <c r="L15" s="39" t="e">
        <f t="shared" ref="L15:L22" si="6">J15+K15</f>
        <v>#DIV/0!</v>
      </c>
      <c r="M15" s="40">
        <v>1</v>
      </c>
      <c r="O15" s="5"/>
    </row>
    <row r="16" spans="1:15" ht="18">
      <c r="A16" s="52"/>
      <c r="B16" s="15"/>
      <c r="C16" s="15"/>
      <c r="D16" s="15"/>
      <c r="E16" s="15"/>
      <c r="F16" s="53">
        <f t="shared" si="4"/>
        <v>0</v>
      </c>
      <c r="G16" s="41"/>
      <c r="H16" s="41"/>
      <c r="I16" s="37"/>
      <c r="J16" s="38" t="e">
        <f t="shared" si="5"/>
        <v>#DIV/0!</v>
      </c>
      <c r="K16" s="43" t="s">
        <v>51</v>
      </c>
      <c r="L16" s="57" t="s">
        <v>52</v>
      </c>
      <c r="M16" s="21">
        <v>2</v>
      </c>
      <c r="O16" s="6"/>
    </row>
    <row r="17" spans="1:13" ht="18">
      <c r="A17" s="52"/>
      <c r="B17" s="15"/>
      <c r="C17" s="15"/>
      <c r="D17" s="15"/>
      <c r="E17" s="15"/>
      <c r="F17" s="53">
        <f t="shared" si="4"/>
        <v>0</v>
      </c>
      <c r="G17" s="41"/>
      <c r="H17" s="41"/>
      <c r="I17" s="37"/>
      <c r="J17" s="38" t="e">
        <f t="shared" si="5"/>
        <v>#DIV/0!</v>
      </c>
      <c r="K17" s="42">
        <v>1.9</v>
      </c>
      <c r="L17" s="39" t="e">
        <f t="shared" si="6"/>
        <v>#DIV/0!</v>
      </c>
      <c r="M17" s="23">
        <v>3</v>
      </c>
    </row>
    <row r="18" spans="1:13" ht="15.75">
      <c r="A18" s="52"/>
      <c r="B18" s="15"/>
      <c r="C18" s="15"/>
      <c r="D18" s="15"/>
      <c r="E18" s="15"/>
      <c r="F18" s="53">
        <f t="shared" si="4"/>
        <v>0</v>
      </c>
      <c r="G18" s="41"/>
      <c r="H18" s="41"/>
      <c r="I18" s="37"/>
      <c r="J18" s="38" t="e">
        <f t="shared" si="5"/>
        <v>#DIV/0!</v>
      </c>
      <c r="K18" s="43">
        <v>1.7</v>
      </c>
      <c r="L18" s="39" t="e">
        <f t="shared" si="6"/>
        <v>#DIV/0!</v>
      </c>
      <c r="M18" s="58">
        <v>4</v>
      </c>
    </row>
    <row r="19" spans="1:13" ht="18">
      <c r="A19" s="52"/>
      <c r="B19" s="15"/>
      <c r="C19" s="15"/>
      <c r="D19" s="15"/>
      <c r="E19" s="15"/>
      <c r="F19" s="53">
        <f t="shared" si="4"/>
        <v>0</v>
      </c>
      <c r="G19" s="41"/>
      <c r="H19" s="41"/>
      <c r="I19" s="37"/>
      <c r="J19" s="38" t="e">
        <f t="shared" si="5"/>
        <v>#DIV/0!</v>
      </c>
      <c r="K19" s="42">
        <v>1</v>
      </c>
      <c r="L19" s="39" t="e">
        <f t="shared" si="6"/>
        <v>#DIV/0!</v>
      </c>
      <c r="M19" s="24">
        <v>5</v>
      </c>
    </row>
    <row r="20" spans="1:13" ht="18">
      <c r="A20" s="52"/>
      <c r="B20" s="15"/>
      <c r="C20" s="15"/>
      <c r="D20" s="15"/>
      <c r="E20" s="15"/>
      <c r="F20" s="53">
        <f t="shared" si="4"/>
        <v>0</v>
      </c>
      <c r="G20" s="41"/>
      <c r="H20" s="41"/>
      <c r="I20" s="37"/>
      <c r="J20" s="38" t="e">
        <f t="shared" si="5"/>
        <v>#DIV/0!</v>
      </c>
      <c r="K20" s="42">
        <v>1</v>
      </c>
      <c r="L20" s="39" t="e">
        <f t="shared" si="6"/>
        <v>#DIV/0!</v>
      </c>
      <c r="M20" s="25">
        <v>6</v>
      </c>
    </row>
    <row r="21" spans="1:13" ht="20.25">
      <c r="A21" s="52"/>
      <c r="B21" s="15"/>
      <c r="C21" s="15"/>
      <c r="D21" s="15"/>
      <c r="E21" s="15"/>
      <c r="F21" s="53">
        <f t="shared" si="4"/>
        <v>0</v>
      </c>
      <c r="G21" s="41"/>
      <c r="H21" s="41"/>
      <c r="I21" s="37"/>
      <c r="J21" s="38" t="e">
        <f t="shared" si="5"/>
        <v>#DIV/0!</v>
      </c>
      <c r="K21" s="43">
        <v>1</v>
      </c>
      <c r="L21" s="39" t="e">
        <f t="shared" si="6"/>
        <v>#DIV/0!</v>
      </c>
      <c r="M21" s="22">
        <v>7</v>
      </c>
    </row>
    <row r="22" spans="1:13" ht="18">
      <c r="A22" s="52"/>
      <c r="B22" s="15"/>
      <c r="C22" s="15"/>
      <c r="D22" s="15"/>
      <c r="E22" s="15"/>
      <c r="F22" s="53">
        <f t="shared" si="4"/>
        <v>0</v>
      </c>
      <c r="G22" s="41"/>
      <c r="H22" s="41"/>
      <c r="I22" s="37"/>
      <c r="J22" s="38" t="e">
        <f t="shared" si="5"/>
        <v>#DIV/0!</v>
      </c>
      <c r="K22" s="43">
        <v>1</v>
      </c>
      <c r="L22" s="39" t="e">
        <f t="shared" si="6"/>
        <v>#DIV/0!</v>
      </c>
      <c r="M22" s="26">
        <v>8</v>
      </c>
    </row>
    <row r="23" spans="1:13" ht="18">
      <c r="A23" s="52"/>
      <c r="B23" s="15"/>
      <c r="C23" s="15"/>
      <c r="D23" s="15"/>
      <c r="E23" s="15"/>
      <c r="F23" s="53">
        <f>(C23*3)+(D23*1)</f>
        <v>0</v>
      </c>
      <c r="G23" s="41"/>
      <c r="H23" s="41"/>
      <c r="I23" s="37"/>
      <c r="J23" s="38" t="e">
        <f>F23/B23</f>
        <v>#DIV/0!</v>
      </c>
      <c r="K23" s="42">
        <v>1</v>
      </c>
      <c r="L23" s="39" t="e">
        <f>J23+K23</f>
        <v>#DIV/0!</v>
      </c>
      <c r="M23" s="115">
        <v>9</v>
      </c>
    </row>
    <row r="24" spans="1:13" ht="18">
      <c r="A24" s="52"/>
      <c r="B24" s="15"/>
      <c r="C24" s="15"/>
      <c r="D24" s="15"/>
      <c r="E24" s="15"/>
      <c r="F24" s="53">
        <f>(C24*3)+(D24*1)</f>
        <v>0</v>
      </c>
      <c r="G24" s="41"/>
      <c r="H24" s="41"/>
      <c r="I24" s="37"/>
      <c r="J24" s="38" t="e">
        <f>F24/B24</f>
        <v>#DIV/0!</v>
      </c>
      <c r="K24" s="42">
        <v>1</v>
      </c>
      <c r="L24" s="39" t="e">
        <f>J24+K24</f>
        <v>#DIV/0!</v>
      </c>
      <c r="M24" s="116">
        <v>10</v>
      </c>
    </row>
  </sheetData>
  <mergeCells count="3">
    <mergeCell ref="A2:M2"/>
    <mergeCell ref="A12:M12"/>
    <mergeCell ref="A1:M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GENERALIDADES</vt:lpstr>
      <vt:lpstr>FIXTUR</vt:lpstr>
      <vt:lpstr>PROGRAMACION</vt:lpstr>
      <vt:lpstr>PUNTUACION</vt:lpstr>
      <vt:lpstr>VALLA</vt:lpstr>
      <vt:lpstr>GOLEADORES</vt:lpstr>
      <vt:lpstr>TARJETAS SUB 14</vt:lpstr>
      <vt:lpstr>RESULTADOS</vt:lpstr>
      <vt:lpstr>PONDERADOS</vt:lpstr>
      <vt:lpstr>FIXTUR!Área_de_impresión</vt:lpstr>
      <vt:lpstr>GENERALIDADES!Área_de_impresión</vt:lpstr>
      <vt:lpstr>GOLEADORES!Área_de_impresión</vt:lpstr>
      <vt:lpstr>PONDERADOS!Área_de_impresión</vt:lpstr>
      <vt:lpstr>PROGRAMACION!Área_de_impresión</vt:lpstr>
      <vt:lpstr>VALLA!Área_de_impresión</vt:lpstr>
    </vt:vector>
  </TitlesOfParts>
  <Company>PREMIUM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PREMIUM</dc:creator>
  <cp:lastModifiedBy>TOSHIBA</cp:lastModifiedBy>
  <cp:lastPrinted>2013-03-03T23:53:16Z</cp:lastPrinted>
  <dcterms:created xsi:type="dcterms:W3CDTF">2010-01-29T19:54:32Z</dcterms:created>
  <dcterms:modified xsi:type="dcterms:W3CDTF">2013-03-07T16:24:05Z</dcterms:modified>
</cp:coreProperties>
</file>