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16230" windowHeight="12000"/>
  </bookViews>
  <sheets>
    <sheet name="Report 1" sheetId="1" r:id="rId1"/>
    <sheet name="Report 2" sheetId="2" r:id="rId2"/>
  </sheets>
  <definedNames>
    <definedName name="_xlnm.Print_Area" localSheetId="0">'Report 1'!$A$1:$L$27</definedName>
    <definedName name="_xlnm.Print_Area" localSheetId="1">'Report 2'!$A$5:$J$40</definedName>
    <definedName name="TitleRegion1.a5.j38.2">'Report 2'!$A$5</definedName>
  </definedNames>
  <calcPr calcId="145621"/>
</workbook>
</file>

<file path=xl/calcChain.xml><?xml version="1.0" encoding="utf-8"?>
<calcChain xmlns="http://schemas.openxmlformats.org/spreadsheetml/2006/main">
  <c r="L27" i="1" l="1"/>
  <c r="K27" i="1"/>
  <c r="J27" i="1"/>
  <c r="I27" i="1"/>
  <c r="H27" i="1"/>
  <c r="G27" i="1"/>
  <c r="F27" i="1"/>
  <c r="E27" i="1"/>
  <c r="D27" i="1"/>
  <c r="C27" i="1"/>
</calcChain>
</file>

<file path=xl/sharedStrings.xml><?xml version="1.0" encoding="utf-8"?>
<sst xmlns="http://schemas.openxmlformats.org/spreadsheetml/2006/main" count="90" uniqueCount="70">
  <si>
    <t xml:space="preserve">MINNEAPOLIS     </t>
  </si>
  <si>
    <t xml:space="preserve">ANOKA-HENNEPIN  </t>
  </si>
  <si>
    <t xml:space="preserve">CHASKA          </t>
  </si>
  <si>
    <t xml:space="preserve">BURNSVILLE      </t>
  </si>
  <si>
    <t xml:space="preserve">LAKEVILLE       </t>
  </si>
  <si>
    <t xml:space="preserve">ROSEMOUNT-APPLE </t>
  </si>
  <si>
    <t xml:space="preserve">HOPKINS         </t>
  </si>
  <si>
    <t xml:space="preserve">BLOOMINGTON     </t>
  </si>
  <si>
    <t xml:space="preserve">EDEN PRAIRIE    </t>
  </si>
  <si>
    <t xml:space="preserve">EDINA           </t>
  </si>
  <si>
    <t xml:space="preserve">MINNETONKA      </t>
  </si>
  <si>
    <t xml:space="preserve">OSSEO           </t>
  </si>
  <si>
    <t xml:space="preserve">ROBBINSDALE     </t>
  </si>
  <si>
    <t xml:space="preserve">WAYZATA         </t>
  </si>
  <si>
    <t xml:space="preserve">ROCHESTER       </t>
  </si>
  <si>
    <t xml:space="preserve">MOUNDS VIEW     </t>
  </si>
  <si>
    <t>NORTH ST PAUL-MA</t>
  </si>
  <si>
    <t xml:space="preserve">ROSEVILLE       </t>
  </si>
  <si>
    <t xml:space="preserve">WHITE BEAR LAKE </t>
  </si>
  <si>
    <t xml:space="preserve">ST. PAUL        </t>
  </si>
  <si>
    <t xml:space="preserve">DULUTH          </t>
  </si>
  <si>
    <t xml:space="preserve">ELK RIVER       </t>
  </si>
  <si>
    <t xml:space="preserve">ST. CLOUD       </t>
  </si>
  <si>
    <t>SOUTH WASHINGTON</t>
  </si>
  <si>
    <t xml:space="preserve">STILLWATER      </t>
  </si>
  <si>
    <t>FY 05</t>
  </si>
  <si>
    <t>FY 06</t>
  </si>
  <si>
    <t>FY 07</t>
  </si>
  <si>
    <t>FY 08</t>
  </si>
  <si>
    <t>FY 09</t>
  </si>
  <si>
    <t>FY 10</t>
  </si>
  <si>
    <t>FY 11</t>
  </si>
  <si>
    <t>FY 12</t>
  </si>
  <si>
    <t>FY 13</t>
  </si>
  <si>
    <t>FY 14</t>
  </si>
  <si>
    <t>Totals</t>
  </si>
  <si>
    <t>FY 2014</t>
  </si>
  <si>
    <t>2013</t>
  </si>
  <si>
    <t>SUBTOTAL</t>
  </si>
  <si>
    <t>SUBTOTAL /</t>
  </si>
  <si>
    <t>ADJ ADM</t>
  </si>
  <si>
    <t>SQ FEET</t>
  </si>
  <si>
    <t>REV/ADM</t>
  </si>
  <si>
    <t xml:space="preserve"> REV/ADM</t>
  </si>
  <si>
    <t>PER ADM</t>
  </si>
  <si>
    <t>SQ FOOT</t>
  </si>
  <si>
    <t>STATE TOTAL</t>
  </si>
  <si>
    <t>DISTRICTS NOT IN ALT FAC</t>
  </si>
  <si>
    <t>DISTRICTS  IN ALT FAC</t>
  </si>
  <si>
    <t>Difference: Districts in Alt Fac vs Districts not in Alt Fac</t>
  </si>
  <si>
    <t>ALL DISTRICTS BY STRATA:</t>
  </si>
  <si>
    <t>MPLS &amp; ST PAUL</t>
  </si>
  <si>
    <t>OTHER METRO, INNER</t>
  </si>
  <si>
    <t>OTHER METRO, OUTER</t>
  </si>
  <si>
    <t>NONMET&gt;=2K</t>
  </si>
  <si>
    <t>NONMET 1K-2K</t>
  </si>
  <si>
    <t>NONMET &lt; 1K</t>
  </si>
  <si>
    <t>DISTRICTS NOT IN ALT FAC BY STRATA:</t>
  </si>
  <si>
    <t>DISTRICTS IN ALT FAC BY STRATA:</t>
  </si>
  <si>
    <t>Difference: Districts in Alt Fac vs Districts not in Alt Fac by Strata:</t>
  </si>
  <si>
    <t>end of worksheet</t>
  </si>
  <si>
    <t>ALTERNATIVE FACILITY, HEALTH AND SAFETY</t>
  </si>
  <si>
    <t>MAINTENANCE</t>
  </si>
  <si>
    <t>FACILITY</t>
  </si>
  <si>
    <t>SAFETY</t>
  </si>
  <si>
    <t>DEFERRED</t>
  </si>
  <si>
    <t>ALTERNATIVE</t>
  </si>
  <si>
    <t>HEALTH AND</t>
  </si>
  <si>
    <t>District Name</t>
  </si>
  <si>
    <t>District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</si>
</sst>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indexed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1">
    <xf numFmtId="0" fontId="0" fillId="0" borderId="0" xfId="0"/>
    <xf numFmtId="0" fontId="18" fillId="0" borderId="0" xfId="0" applyFont="1"/>
    <xf numFmtId="164" fontId="18" fillId="0" borderId="0" xfId="1" applyNumberFormat="1" applyFont="1"/>
    <xf numFmtId="0" fontId="19" fillId="0" borderId="0" xfId="0" applyFont="1"/>
    <xf numFmtId="0" fontId="20" fillId="0" borderId="0" xfId="0" applyFont="1" applyAlignment="1">
      <alignment horizontal="center"/>
    </xf>
    <xf numFmtId="164" fontId="20" fillId="0" borderId="10" xfId="1" applyNumberFormat="1" applyFont="1" applyBorder="1" applyAlignment="1">
      <alignment horizontal="center"/>
    </xf>
    <xf numFmtId="164" fontId="20" fillId="0" borderId="11" xfId="1" applyNumberFormat="1" applyFont="1" applyBorder="1" applyAlignment="1">
      <alignment horizontal="center"/>
    </xf>
    <xf numFmtId="164" fontId="19" fillId="0" borderId="0" xfId="1" applyNumberFormat="1" applyFont="1"/>
    <xf numFmtId="164" fontId="19" fillId="33" borderId="0" xfId="1" applyNumberFormat="1" applyFont="1" applyFill="1"/>
    <xf numFmtId="0" fontId="19" fillId="0" borderId="0" xfId="1" applyNumberFormat="1" applyFont="1"/>
    <xf numFmtId="164" fontId="20" fillId="0" borderId="10" xfId="1" applyNumberFormat="1" applyFont="1" applyBorder="1"/>
    <xf numFmtId="164" fontId="20" fillId="0" borderId="11" xfId="1" applyNumberFormat="1" applyFont="1" applyBorder="1"/>
    <xf numFmtId="164" fontId="20" fillId="0" borderId="12" xfId="1" applyNumberFormat="1" applyFont="1" applyBorder="1" applyAlignment="1">
      <alignment horizontal="center"/>
    </xf>
    <xf numFmtId="164" fontId="20" fillId="0" borderId="12" xfId="1" applyNumberFormat="1" applyFont="1" applyBorder="1"/>
    <xf numFmtId="0" fontId="0" fillId="0" borderId="0" xfId="0" applyFill="1"/>
    <xf numFmtId="164" fontId="0" fillId="0" borderId="0" xfId="1" applyNumberFormat="1" applyFont="1" applyFill="1"/>
    <xf numFmtId="0" fontId="0" fillId="0" borderId="0" xfId="0" applyFill="1" applyAlignment="1">
      <alignment horizontal="right"/>
    </xf>
    <xf numFmtId="164" fontId="0" fillId="0" borderId="0" xfId="1" applyNumberFormat="1" applyFont="1" applyFill="1" applyAlignment="1">
      <alignment horizontal="right"/>
    </xf>
    <xf numFmtId="0" fontId="0" fillId="0" borderId="13" xfId="0" applyFill="1" applyBorder="1" applyAlignment="1">
      <alignment horizontal="right"/>
    </xf>
    <xf numFmtId="0" fontId="0" fillId="0" borderId="14" xfId="0" applyFill="1" applyBorder="1" applyAlignment="1">
      <alignment horizontal="right"/>
    </xf>
    <xf numFmtId="164" fontId="0" fillId="0" borderId="14" xfId="1" applyNumberFormat="1" applyFont="1" applyFill="1" applyBorder="1" applyAlignment="1">
      <alignment horizontal="right"/>
    </xf>
    <xf numFmtId="3" fontId="0" fillId="0" borderId="14" xfId="0" applyNumberFormat="1" applyFill="1" applyBorder="1" applyAlignment="1">
      <alignment horizontal="right"/>
    </xf>
    <xf numFmtId="0" fontId="0" fillId="0" borderId="15" xfId="0" applyFill="1" applyBorder="1" applyAlignment="1">
      <alignment horizontal="right"/>
    </xf>
    <xf numFmtId="0" fontId="0" fillId="0" borderId="16" xfId="0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164" fontId="0" fillId="0" borderId="0" xfId="1" quotePrefix="1" applyNumberFormat="1" applyFont="1" applyFill="1" applyBorder="1" applyAlignment="1">
      <alignment horizontal="right"/>
    </xf>
    <xf numFmtId="164" fontId="0" fillId="0" borderId="0" xfId="1" applyNumberFormat="1" applyFont="1" applyFill="1" applyBorder="1" applyAlignment="1">
      <alignment horizontal="right"/>
    </xf>
    <xf numFmtId="0" fontId="0" fillId="0" borderId="17" xfId="0" applyFill="1" applyBorder="1" applyAlignment="1">
      <alignment horizontal="right"/>
    </xf>
    <xf numFmtId="0" fontId="0" fillId="0" borderId="18" xfId="0" applyFill="1" applyBorder="1" applyAlignment="1">
      <alignment horizontal="right"/>
    </xf>
    <xf numFmtId="0" fontId="0" fillId="0" borderId="19" xfId="0" applyFill="1" applyBorder="1" applyAlignment="1">
      <alignment horizontal="right"/>
    </xf>
    <xf numFmtId="164" fontId="0" fillId="0" borderId="19" xfId="1" applyNumberFormat="1" applyFont="1" applyFill="1" applyBorder="1" applyAlignment="1">
      <alignment horizontal="right"/>
    </xf>
    <xf numFmtId="0" fontId="0" fillId="0" borderId="20" xfId="0" applyFill="1" applyBorder="1" applyAlignment="1">
      <alignment horizontal="right"/>
    </xf>
    <xf numFmtId="164" fontId="0" fillId="0" borderId="0" xfId="0" applyNumberFormat="1" applyFill="1"/>
    <xf numFmtId="3" fontId="0" fillId="0" borderId="0" xfId="1" applyNumberFormat="1" applyFont="1" applyFill="1"/>
    <xf numFmtId="3" fontId="0" fillId="0" borderId="0" xfId="0" applyNumberFormat="1" applyFill="1"/>
    <xf numFmtId="164" fontId="16" fillId="0" borderId="10" xfId="0" applyNumberFormat="1" applyFont="1" applyFill="1" applyBorder="1"/>
    <xf numFmtId="0" fontId="0" fillId="0" borderId="11" xfId="0" applyFill="1" applyBorder="1"/>
    <xf numFmtId="3" fontId="0" fillId="0" borderId="11" xfId="1" applyNumberFormat="1" applyFont="1" applyFill="1" applyBorder="1"/>
    <xf numFmtId="43" fontId="0" fillId="0" borderId="12" xfId="1" applyFont="1" applyFill="1" applyBorder="1"/>
    <xf numFmtId="164" fontId="16" fillId="0" borderId="13" xfId="0" applyNumberFormat="1" applyFont="1" applyFill="1" applyBorder="1"/>
    <xf numFmtId="0" fontId="0" fillId="0" borderId="14" xfId="0" applyFill="1" applyBorder="1"/>
    <xf numFmtId="3" fontId="0" fillId="0" borderId="14" xfId="1" applyNumberFormat="1" applyFont="1" applyFill="1" applyBorder="1"/>
    <xf numFmtId="43" fontId="0" fillId="0" borderId="15" xfId="1" applyFont="1" applyFill="1" applyBorder="1"/>
    <xf numFmtId="164" fontId="16" fillId="0" borderId="16" xfId="0" applyNumberFormat="1" applyFont="1" applyFill="1" applyBorder="1"/>
    <xf numFmtId="0" fontId="0" fillId="0" borderId="0" xfId="0" applyFill="1" applyBorder="1"/>
    <xf numFmtId="3" fontId="0" fillId="0" borderId="0" xfId="1" applyNumberFormat="1" applyFont="1" applyFill="1" applyBorder="1"/>
    <xf numFmtId="43" fontId="0" fillId="0" borderId="17" xfId="1" applyFont="1" applyFill="1" applyBorder="1"/>
    <xf numFmtId="164" fontId="16" fillId="0" borderId="18" xfId="0" applyNumberFormat="1" applyFont="1" applyFill="1" applyBorder="1"/>
    <xf numFmtId="0" fontId="0" fillId="0" borderId="19" xfId="0" applyFill="1" applyBorder="1"/>
    <xf numFmtId="3" fontId="0" fillId="0" borderId="19" xfId="1" applyNumberFormat="1" applyFont="1" applyFill="1" applyBorder="1"/>
    <xf numFmtId="164" fontId="0" fillId="0" borderId="19" xfId="1" applyNumberFormat="1" applyFont="1" applyFill="1" applyBorder="1"/>
    <xf numFmtId="43" fontId="0" fillId="0" borderId="20" xfId="1" applyNumberFormat="1" applyFont="1" applyFill="1" applyBorder="1"/>
    <xf numFmtId="0" fontId="21" fillId="0" borderId="13" xfId="0" applyFont="1" applyFill="1" applyBorder="1"/>
    <xf numFmtId="164" fontId="22" fillId="0" borderId="14" xfId="0" applyNumberFormat="1" applyFont="1" applyFill="1" applyBorder="1"/>
    <xf numFmtId="0" fontId="0" fillId="0" borderId="16" xfId="0" applyFill="1" applyBorder="1"/>
    <xf numFmtId="164" fontId="0" fillId="0" borderId="0" xfId="0" applyNumberFormat="1" applyFill="1" applyBorder="1"/>
    <xf numFmtId="0" fontId="0" fillId="0" borderId="18" xfId="0" applyFill="1" applyBorder="1"/>
    <xf numFmtId="164" fontId="0" fillId="0" borderId="19" xfId="0" applyNumberFormat="1" applyFill="1" applyBorder="1"/>
    <xf numFmtId="43" fontId="0" fillId="0" borderId="20" xfId="1" applyFont="1" applyFill="1" applyBorder="1"/>
    <xf numFmtId="164" fontId="0" fillId="0" borderId="14" xfId="0" applyNumberFormat="1" applyFill="1" applyBorder="1"/>
    <xf numFmtId="0" fontId="23" fillId="0" borderId="0" xfId="0" applyFont="1" applyFill="1" applyBorder="1"/>
    <xf numFmtId="0" fontId="23" fillId="0" borderId="19" xfId="0" applyFont="1" applyFill="1" applyBorder="1"/>
    <xf numFmtId="0" fontId="23" fillId="0" borderId="0" xfId="0" applyFont="1" applyFill="1"/>
    <xf numFmtId="0" fontId="23" fillId="0" borderId="11" xfId="0" applyFont="1" applyFill="1" applyBorder="1"/>
    <xf numFmtId="3" fontId="0" fillId="0" borderId="12" xfId="1" applyNumberFormat="1" applyFont="1" applyFill="1" applyBorder="1"/>
    <xf numFmtId="3" fontId="0" fillId="0" borderId="15" xfId="1" applyNumberFormat="1" applyFont="1" applyFill="1" applyBorder="1"/>
    <xf numFmtId="164" fontId="0" fillId="0" borderId="0" xfId="1" applyNumberFormat="1" applyFont="1" applyFill="1" applyBorder="1"/>
    <xf numFmtId="43" fontId="0" fillId="0" borderId="17" xfId="1" applyNumberFormat="1" applyFont="1" applyFill="1" applyBorder="1"/>
    <xf numFmtId="0" fontId="19" fillId="33" borderId="0" xfId="1" applyNumberFormat="1" applyFont="1" applyFill="1"/>
    <xf numFmtId="164" fontId="0" fillId="0" borderId="14" xfId="1" applyNumberFormat="1" applyFont="1" applyFill="1" applyBorder="1" applyAlignment="1">
      <alignment horizontal="center"/>
    </xf>
    <xf numFmtId="0" fontId="20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tabSelected="1" view="pageLayout" zoomScaleNormal="100" workbookViewId="0"/>
  </sheetViews>
  <sheetFormatPr defaultRowHeight="11.25" x14ac:dyDescent="0.2"/>
  <cols>
    <col min="1" max="1" width="6.85546875" style="1" customWidth="1"/>
    <col min="2" max="2" width="11.5703125" style="1" customWidth="1"/>
    <col min="3" max="3" width="12.85546875" style="2" customWidth="1"/>
    <col min="4" max="4" width="12" style="2" bestFit="1" customWidth="1"/>
    <col min="5" max="5" width="12.85546875" style="2" customWidth="1"/>
    <col min="6" max="6" width="12" style="2" bestFit="1" customWidth="1"/>
    <col min="7" max="8" width="11.85546875" style="2" customWidth="1"/>
    <col min="9" max="11" width="12" style="2" bestFit="1" customWidth="1"/>
    <col min="12" max="12" width="11.7109375" style="2" customWidth="1"/>
    <col min="13" max="16384" width="9.140625" style="1"/>
  </cols>
  <sheetData>
    <row r="1" spans="1:12" ht="12.75" x14ac:dyDescent="0.2">
      <c r="A1" s="70" t="s">
        <v>69</v>
      </c>
      <c r="B1" s="4" t="s">
        <v>68</v>
      </c>
      <c r="C1" s="5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  <c r="K1" s="6" t="s">
        <v>33</v>
      </c>
      <c r="L1" s="12" t="s">
        <v>34</v>
      </c>
    </row>
    <row r="2" spans="1:12" ht="12.75" x14ac:dyDescent="0.2">
      <c r="A2" s="3">
        <v>1</v>
      </c>
      <c r="B2" s="3" t="s">
        <v>0</v>
      </c>
      <c r="C2" s="7">
        <v>20817793</v>
      </c>
      <c r="D2" s="7">
        <v>22661288</v>
      </c>
      <c r="E2" s="7">
        <v>23742560</v>
      </c>
      <c r="F2" s="7">
        <v>31542756</v>
      </c>
      <c r="G2" s="7">
        <v>30741388</v>
      </c>
      <c r="H2" s="7">
        <v>36673594</v>
      </c>
      <c r="I2" s="7">
        <v>41779361</v>
      </c>
      <c r="J2" s="7">
        <v>42217640</v>
      </c>
      <c r="K2" s="7">
        <v>41819616</v>
      </c>
      <c r="L2" s="7">
        <v>36927504</v>
      </c>
    </row>
    <row r="3" spans="1:12" ht="12.75" x14ac:dyDescent="0.2">
      <c r="A3" s="3">
        <v>11</v>
      </c>
      <c r="B3" s="3" t="s">
        <v>1</v>
      </c>
      <c r="C3" s="7">
        <v>6000000</v>
      </c>
      <c r="D3" s="7">
        <v>6128049</v>
      </c>
      <c r="E3" s="7">
        <v>5332902</v>
      </c>
      <c r="F3" s="7">
        <v>8378570</v>
      </c>
      <c r="G3" s="7">
        <v>5523945</v>
      </c>
      <c r="H3" s="7">
        <v>5359437.3499999996</v>
      </c>
      <c r="I3" s="7">
        <v>5512343</v>
      </c>
      <c r="J3" s="7">
        <v>7236028</v>
      </c>
      <c r="K3" s="7">
        <v>7206270</v>
      </c>
      <c r="L3" s="7">
        <v>4707735</v>
      </c>
    </row>
    <row r="4" spans="1:12" ht="12.75" x14ac:dyDescent="0.2">
      <c r="A4" s="3">
        <v>112</v>
      </c>
      <c r="B4" s="3" t="s">
        <v>2</v>
      </c>
      <c r="C4" s="68">
        <v>0</v>
      </c>
      <c r="D4" s="68">
        <v>0</v>
      </c>
      <c r="E4" s="68">
        <v>0</v>
      </c>
      <c r="F4" s="68">
        <v>0</v>
      </c>
      <c r="G4" s="68">
        <v>0</v>
      </c>
      <c r="H4" s="68">
        <v>0</v>
      </c>
      <c r="I4" s="7">
        <v>1422400</v>
      </c>
      <c r="J4" s="7">
        <v>905000</v>
      </c>
      <c r="K4" s="7">
        <v>1217048</v>
      </c>
      <c r="L4" s="7">
        <v>1138830</v>
      </c>
    </row>
    <row r="5" spans="1:12" ht="12.75" x14ac:dyDescent="0.2">
      <c r="A5" s="3">
        <v>191</v>
      </c>
      <c r="B5" s="3" t="s">
        <v>3</v>
      </c>
      <c r="C5" s="7">
        <v>3535000</v>
      </c>
      <c r="D5" s="7">
        <v>3050000</v>
      </c>
      <c r="E5" s="7">
        <v>3587533.12</v>
      </c>
      <c r="F5" s="7">
        <v>2020704</v>
      </c>
      <c r="G5" s="7">
        <v>4344781</v>
      </c>
      <c r="H5" s="7">
        <v>4390577</v>
      </c>
      <c r="I5" s="7">
        <v>2739288</v>
      </c>
      <c r="J5" s="7">
        <v>2742701</v>
      </c>
      <c r="K5" s="7">
        <v>3400999</v>
      </c>
      <c r="L5" s="7">
        <v>3400999</v>
      </c>
    </row>
    <row r="6" spans="1:12" ht="12.75" x14ac:dyDescent="0.2">
      <c r="A6" s="3">
        <v>194</v>
      </c>
      <c r="B6" s="3" t="s">
        <v>4</v>
      </c>
      <c r="C6" s="68">
        <v>0</v>
      </c>
      <c r="D6" s="68">
        <v>0</v>
      </c>
      <c r="E6" s="7">
        <v>183000</v>
      </c>
      <c r="F6" s="7">
        <v>1018710</v>
      </c>
      <c r="G6" s="7">
        <v>4895200</v>
      </c>
      <c r="H6" s="7">
        <v>2506748</v>
      </c>
      <c r="I6" s="7">
        <v>1462230</v>
      </c>
      <c r="J6" s="7">
        <v>1633643</v>
      </c>
      <c r="K6" s="7">
        <v>688958</v>
      </c>
      <c r="L6" s="7">
        <v>1434114</v>
      </c>
    </row>
    <row r="7" spans="1:12" ht="12.75" x14ac:dyDescent="0.2">
      <c r="A7" s="3">
        <v>196</v>
      </c>
      <c r="B7" s="3" t="s">
        <v>5</v>
      </c>
      <c r="C7" s="7">
        <v>8165439</v>
      </c>
      <c r="D7" s="7">
        <v>7299334</v>
      </c>
      <c r="E7" s="7">
        <v>8996458.8000000007</v>
      </c>
      <c r="F7" s="7">
        <v>7226061</v>
      </c>
      <c r="G7" s="7">
        <v>6672761</v>
      </c>
      <c r="H7" s="7">
        <v>5314999</v>
      </c>
      <c r="I7" s="7">
        <v>7774479</v>
      </c>
      <c r="J7" s="7">
        <v>8168674</v>
      </c>
      <c r="K7" s="7">
        <v>7106174</v>
      </c>
      <c r="L7" s="7">
        <v>6485799</v>
      </c>
    </row>
    <row r="8" spans="1:12" ht="12.75" x14ac:dyDescent="0.2">
      <c r="A8" s="3">
        <v>270</v>
      </c>
      <c r="B8" s="3" t="s">
        <v>6</v>
      </c>
      <c r="C8" s="8">
        <v>0</v>
      </c>
      <c r="D8" s="8">
        <v>0</v>
      </c>
      <c r="E8" s="7">
        <v>1884733</v>
      </c>
      <c r="F8" s="7">
        <v>3485107</v>
      </c>
      <c r="G8" s="7">
        <v>3815481</v>
      </c>
      <c r="H8" s="7">
        <v>4934558</v>
      </c>
      <c r="I8" s="7">
        <v>5476534</v>
      </c>
      <c r="J8" s="7">
        <v>4912849</v>
      </c>
      <c r="K8" s="7">
        <v>5029179</v>
      </c>
      <c r="L8" s="7">
        <v>6169732</v>
      </c>
    </row>
    <row r="9" spans="1:12" ht="12.75" x14ac:dyDescent="0.2">
      <c r="A9" s="3">
        <v>271</v>
      </c>
      <c r="B9" s="3" t="s">
        <v>7</v>
      </c>
      <c r="C9" s="7">
        <v>4611422</v>
      </c>
      <c r="D9" s="7">
        <v>4679003</v>
      </c>
      <c r="E9" s="7">
        <v>4752833.32</v>
      </c>
      <c r="F9" s="7">
        <v>5423435</v>
      </c>
      <c r="G9" s="7">
        <v>6007458</v>
      </c>
      <c r="H9" s="7">
        <v>5440432.3200000003</v>
      </c>
      <c r="I9" s="7">
        <v>5500430</v>
      </c>
      <c r="J9" s="7">
        <v>7017686</v>
      </c>
      <c r="K9" s="7">
        <v>4737193</v>
      </c>
      <c r="L9" s="7">
        <v>8253209</v>
      </c>
    </row>
    <row r="10" spans="1:12" ht="12.75" x14ac:dyDescent="0.2">
      <c r="A10" s="3">
        <v>272</v>
      </c>
      <c r="B10" s="3" t="s">
        <v>8</v>
      </c>
      <c r="C10" s="68">
        <v>0</v>
      </c>
      <c r="D10" s="68">
        <v>0</v>
      </c>
      <c r="E10" s="68">
        <v>0</v>
      </c>
      <c r="F10" s="68">
        <v>0</v>
      </c>
      <c r="G10" s="68">
        <v>0</v>
      </c>
      <c r="H10" s="7">
        <v>389000</v>
      </c>
      <c r="I10" s="7">
        <v>561776</v>
      </c>
      <c r="J10" s="7">
        <v>1519926</v>
      </c>
      <c r="K10" s="7">
        <v>1531513.99</v>
      </c>
      <c r="L10" s="7">
        <v>1031514</v>
      </c>
    </row>
    <row r="11" spans="1:12" ht="12.75" x14ac:dyDescent="0.2">
      <c r="A11" s="3">
        <v>273</v>
      </c>
      <c r="B11" s="3" t="s">
        <v>9</v>
      </c>
      <c r="C11" s="68">
        <v>0</v>
      </c>
      <c r="D11" s="68">
        <v>0</v>
      </c>
      <c r="E11" s="68">
        <v>0</v>
      </c>
      <c r="F11" s="68">
        <v>0</v>
      </c>
      <c r="G11" s="68">
        <v>0</v>
      </c>
      <c r="H11" s="7">
        <v>524534</v>
      </c>
      <c r="I11" s="7">
        <v>1059141</v>
      </c>
      <c r="J11" s="7">
        <v>885412</v>
      </c>
      <c r="K11" s="7">
        <v>1730064</v>
      </c>
      <c r="L11" s="7">
        <v>4488373</v>
      </c>
    </row>
    <row r="12" spans="1:12" ht="12.75" x14ac:dyDescent="0.2">
      <c r="A12" s="3">
        <v>276</v>
      </c>
      <c r="B12" s="3" t="s">
        <v>10</v>
      </c>
      <c r="C12" s="7">
        <v>1608000</v>
      </c>
      <c r="D12" s="7">
        <v>1968441</v>
      </c>
      <c r="E12" s="7">
        <v>2647091</v>
      </c>
      <c r="F12" s="7">
        <v>4680301</v>
      </c>
      <c r="G12" s="7">
        <v>793653</v>
      </c>
      <c r="H12" s="7">
        <v>166935</v>
      </c>
      <c r="I12" s="7">
        <v>416409</v>
      </c>
      <c r="J12" s="7">
        <v>996444</v>
      </c>
      <c r="K12" s="7">
        <v>3595320</v>
      </c>
      <c r="L12" s="7">
        <v>3937302</v>
      </c>
    </row>
    <row r="13" spans="1:12" ht="12.75" x14ac:dyDescent="0.2">
      <c r="A13" s="3">
        <v>279</v>
      </c>
      <c r="B13" s="3" t="s">
        <v>11</v>
      </c>
      <c r="C13" s="7">
        <v>1000000</v>
      </c>
      <c r="D13" s="7">
        <v>3329360</v>
      </c>
      <c r="E13" s="7">
        <v>3724700</v>
      </c>
      <c r="F13" s="7">
        <v>3496264</v>
      </c>
      <c r="G13" s="7">
        <v>2990863</v>
      </c>
      <c r="H13" s="7">
        <v>3238656</v>
      </c>
      <c r="I13" s="7">
        <v>3408966</v>
      </c>
      <c r="J13" s="7">
        <v>3771112</v>
      </c>
      <c r="K13" s="7">
        <v>4017192</v>
      </c>
      <c r="L13" s="7">
        <v>4073162</v>
      </c>
    </row>
    <row r="14" spans="1:12" ht="12.75" x14ac:dyDescent="0.2">
      <c r="A14" s="3">
        <v>281</v>
      </c>
      <c r="B14" s="3" t="s">
        <v>12</v>
      </c>
      <c r="C14" s="7">
        <v>21212316</v>
      </c>
      <c r="D14" s="7">
        <v>21782009</v>
      </c>
      <c r="E14" s="7">
        <v>21038132.82</v>
      </c>
      <c r="F14" s="7">
        <v>23766584</v>
      </c>
      <c r="G14" s="7">
        <v>22288750</v>
      </c>
      <c r="H14" s="7">
        <v>23425595</v>
      </c>
      <c r="I14" s="7">
        <v>23096089</v>
      </c>
      <c r="J14" s="7">
        <v>23914679</v>
      </c>
      <c r="K14" s="7">
        <v>13221623</v>
      </c>
      <c r="L14" s="7">
        <v>19101924</v>
      </c>
    </row>
    <row r="15" spans="1:12" ht="12.75" x14ac:dyDescent="0.2">
      <c r="A15" s="3">
        <v>284</v>
      </c>
      <c r="B15" s="3" t="s">
        <v>13</v>
      </c>
      <c r="C15" s="68">
        <v>0</v>
      </c>
      <c r="D15" s="68">
        <v>0</v>
      </c>
      <c r="E15" s="68">
        <v>0</v>
      </c>
      <c r="F15" s="68">
        <v>0</v>
      </c>
      <c r="G15" s="68">
        <v>0</v>
      </c>
      <c r="H15" s="68">
        <v>0</v>
      </c>
      <c r="I15" s="68">
        <v>0</v>
      </c>
      <c r="J15" s="68">
        <v>0</v>
      </c>
      <c r="K15" s="7">
        <v>1300025</v>
      </c>
      <c r="L15" s="7">
        <v>401363</v>
      </c>
    </row>
    <row r="16" spans="1:12" ht="12.75" x14ac:dyDescent="0.2">
      <c r="A16" s="3">
        <v>535</v>
      </c>
      <c r="B16" s="3" t="s">
        <v>14</v>
      </c>
      <c r="C16" s="7">
        <v>6957470</v>
      </c>
      <c r="D16" s="7">
        <v>9121070</v>
      </c>
      <c r="E16" s="7">
        <v>17350384.890000001</v>
      </c>
      <c r="F16" s="7">
        <v>11982033.41</v>
      </c>
      <c r="G16" s="7">
        <v>11829332.33</v>
      </c>
      <c r="H16" s="7">
        <v>11757375.619999999</v>
      </c>
      <c r="I16" s="7">
        <v>10864595</v>
      </c>
      <c r="J16" s="7">
        <v>11230129</v>
      </c>
      <c r="K16" s="7">
        <v>10937333</v>
      </c>
      <c r="L16" s="7">
        <v>6729726</v>
      </c>
    </row>
    <row r="17" spans="1:12" ht="12.75" x14ac:dyDescent="0.2">
      <c r="A17" s="3">
        <v>621</v>
      </c>
      <c r="B17" s="3" t="s">
        <v>15</v>
      </c>
      <c r="C17" s="7">
        <v>378000</v>
      </c>
      <c r="D17" s="7">
        <v>6045988</v>
      </c>
      <c r="E17" s="7">
        <v>6463414</v>
      </c>
      <c r="F17" s="7">
        <v>6417813</v>
      </c>
      <c r="G17" s="7">
        <v>7387218</v>
      </c>
      <c r="H17" s="7">
        <v>7120963</v>
      </c>
      <c r="I17" s="7">
        <v>6519819</v>
      </c>
      <c r="J17" s="7">
        <v>6035982</v>
      </c>
      <c r="K17" s="7">
        <v>7362169</v>
      </c>
      <c r="L17" s="7">
        <v>7278607</v>
      </c>
    </row>
    <row r="18" spans="1:12" ht="12.75" x14ac:dyDescent="0.2">
      <c r="A18" s="3">
        <v>622</v>
      </c>
      <c r="B18" s="3" t="s">
        <v>16</v>
      </c>
      <c r="C18" s="7">
        <v>3845116</v>
      </c>
      <c r="D18" s="7">
        <v>4216740</v>
      </c>
      <c r="E18" s="7">
        <v>4846091.01</v>
      </c>
      <c r="F18" s="7">
        <v>5087425</v>
      </c>
      <c r="G18" s="7">
        <v>5409265</v>
      </c>
      <c r="H18" s="7">
        <v>7756225</v>
      </c>
      <c r="I18" s="7">
        <v>7370211</v>
      </c>
      <c r="J18" s="7">
        <v>7683341</v>
      </c>
      <c r="K18" s="7">
        <v>7580138</v>
      </c>
      <c r="L18" s="7">
        <v>8422971</v>
      </c>
    </row>
    <row r="19" spans="1:12" ht="12.75" x14ac:dyDescent="0.2">
      <c r="A19" s="3">
        <v>623</v>
      </c>
      <c r="B19" s="3" t="s">
        <v>17</v>
      </c>
      <c r="C19" s="7">
        <v>1305000</v>
      </c>
      <c r="D19" s="7">
        <v>2517200</v>
      </c>
      <c r="E19" s="7">
        <v>3249099</v>
      </c>
      <c r="F19" s="7">
        <v>3000000</v>
      </c>
      <c r="G19" s="7">
        <v>2065076</v>
      </c>
      <c r="H19" s="7">
        <v>1985840</v>
      </c>
      <c r="I19" s="7">
        <v>1994425</v>
      </c>
      <c r="J19" s="7">
        <v>2380273</v>
      </c>
      <c r="K19" s="7">
        <v>1402040</v>
      </c>
      <c r="L19" s="7">
        <v>2271585</v>
      </c>
    </row>
    <row r="20" spans="1:12" ht="12.75" x14ac:dyDescent="0.2">
      <c r="A20" s="3">
        <v>624</v>
      </c>
      <c r="B20" s="3" t="s">
        <v>18</v>
      </c>
      <c r="C20" s="7">
        <v>2621000</v>
      </c>
      <c r="D20" s="9">
        <v>0</v>
      </c>
      <c r="E20" s="7">
        <v>2000000</v>
      </c>
      <c r="F20" s="7">
        <v>2000000</v>
      </c>
      <c r="G20" s="7">
        <v>2097323</v>
      </c>
      <c r="H20" s="7">
        <v>2960972</v>
      </c>
      <c r="I20" s="7">
        <v>3074740</v>
      </c>
      <c r="J20" s="7">
        <v>3548082</v>
      </c>
      <c r="K20" s="7">
        <v>3639038</v>
      </c>
      <c r="L20" s="7">
        <v>3865523</v>
      </c>
    </row>
    <row r="21" spans="1:12" ht="12.75" x14ac:dyDescent="0.2">
      <c r="A21" s="3">
        <v>625</v>
      </c>
      <c r="B21" s="3" t="s">
        <v>19</v>
      </c>
      <c r="C21" s="7">
        <v>9156482</v>
      </c>
      <c r="D21" s="7">
        <v>9479022</v>
      </c>
      <c r="E21" s="7">
        <v>6680696</v>
      </c>
      <c r="F21" s="7">
        <v>8443673</v>
      </c>
      <c r="G21" s="7">
        <v>5333889</v>
      </c>
      <c r="H21" s="7">
        <v>6056735</v>
      </c>
      <c r="I21" s="7">
        <v>8151142</v>
      </c>
      <c r="J21" s="7">
        <v>8439434</v>
      </c>
      <c r="K21" s="7">
        <v>8433238</v>
      </c>
      <c r="L21" s="7">
        <v>8435863</v>
      </c>
    </row>
    <row r="22" spans="1:12" ht="12.75" x14ac:dyDescent="0.2">
      <c r="A22" s="3">
        <v>709</v>
      </c>
      <c r="B22" s="3" t="s">
        <v>20</v>
      </c>
      <c r="C22" s="7">
        <v>2232341</v>
      </c>
      <c r="D22" s="7">
        <v>2234178</v>
      </c>
      <c r="E22" s="7">
        <v>2238112.75</v>
      </c>
      <c r="F22" s="7">
        <v>2706924</v>
      </c>
      <c r="G22" s="7">
        <v>4113080.64</v>
      </c>
      <c r="H22" s="7">
        <v>4267084</v>
      </c>
      <c r="I22" s="7">
        <v>4261510</v>
      </c>
      <c r="J22" s="7">
        <v>4270073</v>
      </c>
      <c r="K22" s="7">
        <v>2832238</v>
      </c>
      <c r="L22" s="7">
        <v>5039515</v>
      </c>
    </row>
    <row r="23" spans="1:12" ht="12.75" x14ac:dyDescent="0.2">
      <c r="A23" s="3">
        <v>728</v>
      </c>
      <c r="B23" s="3" t="s">
        <v>21</v>
      </c>
      <c r="C23" s="68">
        <v>0</v>
      </c>
      <c r="D23" s="68">
        <v>0</v>
      </c>
      <c r="E23" s="68">
        <v>0</v>
      </c>
      <c r="F23" s="7">
        <v>822849</v>
      </c>
      <c r="G23" s="7">
        <v>2335690</v>
      </c>
      <c r="H23" s="7">
        <v>2252375</v>
      </c>
      <c r="I23" s="7">
        <v>2686874</v>
      </c>
      <c r="J23" s="7">
        <v>3601921</v>
      </c>
      <c r="K23" s="7">
        <v>6187554</v>
      </c>
      <c r="L23" s="7">
        <v>6443569</v>
      </c>
    </row>
    <row r="24" spans="1:12" ht="12.75" x14ac:dyDescent="0.2">
      <c r="A24" s="3">
        <v>742</v>
      </c>
      <c r="B24" s="3" t="s">
        <v>22</v>
      </c>
      <c r="C24" s="7">
        <v>2500000</v>
      </c>
      <c r="D24" s="7">
        <v>2500000</v>
      </c>
      <c r="E24" s="7">
        <v>1910880.04</v>
      </c>
      <c r="F24" s="7">
        <v>1296049</v>
      </c>
      <c r="G24" s="7">
        <v>864229</v>
      </c>
      <c r="H24" s="7">
        <v>802498</v>
      </c>
      <c r="I24" s="7">
        <v>898425</v>
      </c>
      <c r="J24" s="7">
        <v>1153227</v>
      </c>
      <c r="K24" s="7">
        <v>4000000</v>
      </c>
      <c r="L24" s="7">
        <v>3451251</v>
      </c>
    </row>
    <row r="25" spans="1:12" ht="12.75" x14ac:dyDescent="0.2">
      <c r="A25" s="3">
        <v>833</v>
      </c>
      <c r="B25" s="3" t="s">
        <v>23</v>
      </c>
      <c r="C25" s="7">
        <v>3408725</v>
      </c>
      <c r="D25" s="7">
        <v>4040825</v>
      </c>
      <c r="E25" s="7">
        <v>5360983.3499999996</v>
      </c>
      <c r="F25" s="7">
        <v>4358588</v>
      </c>
      <c r="G25" s="7">
        <v>4104601</v>
      </c>
      <c r="H25" s="7">
        <v>3305416</v>
      </c>
      <c r="I25" s="7">
        <v>3083723</v>
      </c>
      <c r="J25" s="7">
        <v>1095080</v>
      </c>
      <c r="K25" s="7">
        <v>2419936</v>
      </c>
      <c r="L25" s="7">
        <v>3196150</v>
      </c>
    </row>
    <row r="26" spans="1:12" ht="12.75" x14ac:dyDescent="0.2">
      <c r="A26" s="3">
        <v>834</v>
      </c>
      <c r="B26" s="3" t="s">
        <v>24</v>
      </c>
      <c r="C26" s="7">
        <v>3725905</v>
      </c>
      <c r="D26" s="7">
        <v>3253577</v>
      </c>
      <c r="E26" s="7">
        <v>4080593.75</v>
      </c>
      <c r="F26" s="7">
        <v>5506886</v>
      </c>
      <c r="G26" s="7">
        <v>6224892</v>
      </c>
      <c r="H26" s="7">
        <v>6584211</v>
      </c>
      <c r="I26" s="7">
        <v>7580653</v>
      </c>
      <c r="J26" s="7">
        <v>7947105</v>
      </c>
      <c r="K26" s="7">
        <v>8354052</v>
      </c>
      <c r="L26" s="7">
        <v>8007672</v>
      </c>
    </row>
    <row r="27" spans="1:12" ht="12.75" x14ac:dyDescent="0.2">
      <c r="A27" s="3"/>
      <c r="B27" s="3" t="s">
        <v>35</v>
      </c>
      <c r="C27" s="10">
        <f>SUM(C2:C26)</f>
        <v>103080009</v>
      </c>
      <c r="D27" s="11">
        <f t="shared" ref="D27:L27" si="0">SUM(D2:D26)</f>
        <v>114306084</v>
      </c>
      <c r="E27" s="11">
        <f t="shared" si="0"/>
        <v>130070198.85000001</v>
      </c>
      <c r="F27" s="11">
        <f t="shared" si="0"/>
        <v>142660732.41</v>
      </c>
      <c r="G27" s="11">
        <f t="shared" si="0"/>
        <v>139838875.97</v>
      </c>
      <c r="H27" s="11">
        <f t="shared" si="0"/>
        <v>147214760.29000002</v>
      </c>
      <c r="I27" s="11">
        <f t="shared" si="0"/>
        <v>156695563</v>
      </c>
      <c r="J27" s="11">
        <f t="shared" si="0"/>
        <v>163306441</v>
      </c>
      <c r="K27" s="11">
        <f t="shared" si="0"/>
        <v>159748910.99000001</v>
      </c>
      <c r="L27" s="13">
        <f t="shared" si="0"/>
        <v>164693992</v>
      </c>
    </row>
    <row r="28" spans="1:12" ht="12.75" x14ac:dyDescent="0.2">
      <c r="A28" s="1" t="s">
        <v>60</v>
      </c>
      <c r="L28" s="7"/>
    </row>
  </sheetData>
  <printOptions gridLines="1"/>
  <pageMargins left="0.25" right="0.25" top="1" bottom="0.75" header="0.3" footer="0.3"/>
  <pageSetup scale="95" orientation="landscape" r:id="rId1"/>
  <headerFooter>
    <oddHeader>&amp;LMDE / School Finance&amp;CREPORT 1
ALTERNATIVE FACILITIES REVENUE BY DISTRICT
Districts Eligible for Revenue Under M.S 123B.59, Subd 1(a) &amp;RAugust 21, 2013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9"/>
  <sheetViews>
    <sheetView view="pageLayout" topLeftCell="A5" zoomScale="75" zoomScaleNormal="75" zoomScalePageLayoutView="75" workbookViewId="0">
      <selection activeCell="A5" sqref="A5"/>
    </sheetView>
  </sheetViews>
  <sheetFormatPr defaultRowHeight="15" zeroHeight="1" x14ac:dyDescent="0.25"/>
  <cols>
    <col min="1" max="1" width="3.7109375" style="14" customWidth="1"/>
    <col min="2" max="2" width="23.7109375" style="14" customWidth="1"/>
    <col min="3" max="5" width="15.7109375" style="15" customWidth="1"/>
    <col min="6" max="6" width="11.7109375" style="14" customWidth="1"/>
    <col min="7" max="7" width="13" style="14" customWidth="1"/>
    <col min="8" max="8" width="10.85546875" style="14" customWidth="1"/>
    <col min="9" max="10" width="12.140625" style="14" customWidth="1"/>
    <col min="11" max="16384" width="9.140625" style="14"/>
  </cols>
  <sheetData>
    <row r="1" spans="1:10" hidden="1" x14ac:dyDescent="0.25">
      <c r="F1" s="15"/>
      <c r="G1" s="15"/>
      <c r="H1" s="15"/>
      <c r="I1" s="15"/>
      <c r="J1" s="15"/>
    </row>
    <row r="2" spans="1:10" s="16" customFormat="1" hidden="1" x14ac:dyDescent="0.25">
      <c r="C2" s="17"/>
      <c r="D2" s="17"/>
      <c r="E2" s="17"/>
      <c r="F2" s="17"/>
      <c r="G2" s="17"/>
      <c r="H2" s="17"/>
      <c r="I2" s="17"/>
      <c r="J2" s="17"/>
    </row>
    <row r="3" spans="1:10" s="16" customFormat="1" hidden="1" x14ac:dyDescent="0.25">
      <c r="C3" s="17"/>
      <c r="D3" s="17"/>
      <c r="E3" s="17"/>
    </row>
    <row r="4" spans="1:10" s="16" customFormat="1" hidden="1" x14ac:dyDescent="0.25">
      <c r="C4" s="17"/>
      <c r="D4" s="17"/>
      <c r="E4" s="17"/>
    </row>
    <row r="5" spans="1:10" s="16" customFormat="1" x14ac:dyDescent="0.25">
      <c r="A5" s="18"/>
      <c r="B5" s="19"/>
      <c r="C5" s="20"/>
      <c r="D5" s="20"/>
      <c r="E5" s="69" t="s">
        <v>61</v>
      </c>
      <c r="F5" s="19"/>
      <c r="G5" s="19"/>
      <c r="H5" s="19"/>
      <c r="I5" s="21"/>
      <c r="J5" s="22"/>
    </row>
    <row r="6" spans="1:10" s="16" customFormat="1" x14ac:dyDescent="0.25">
      <c r="A6" s="23"/>
      <c r="B6" s="24"/>
      <c r="C6" s="25"/>
      <c r="D6" s="25"/>
      <c r="E6" s="26" t="s">
        <v>65</v>
      </c>
      <c r="F6" s="24" t="s">
        <v>66</v>
      </c>
      <c r="G6" s="24" t="s">
        <v>65</v>
      </c>
      <c r="H6" s="24" t="s">
        <v>67</v>
      </c>
      <c r="I6" s="24"/>
      <c r="J6" s="27"/>
    </row>
    <row r="7" spans="1:10" s="16" customFormat="1" x14ac:dyDescent="0.25">
      <c r="A7" s="23"/>
      <c r="B7" s="24"/>
      <c r="C7" s="25" t="s">
        <v>36</v>
      </c>
      <c r="D7" s="25" t="s">
        <v>37</v>
      </c>
      <c r="E7" s="26" t="s">
        <v>62</v>
      </c>
      <c r="F7" s="24" t="s">
        <v>63</v>
      </c>
      <c r="G7" s="24" t="s">
        <v>62</v>
      </c>
      <c r="H7" s="24" t="s">
        <v>64</v>
      </c>
      <c r="I7" s="24" t="s">
        <v>38</v>
      </c>
      <c r="J7" s="27" t="s">
        <v>39</v>
      </c>
    </row>
    <row r="8" spans="1:10" s="16" customFormat="1" x14ac:dyDescent="0.25">
      <c r="A8" s="28"/>
      <c r="B8" s="29"/>
      <c r="C8" s="30" t="s">
        <v>40</v>
      </c>
      <c r="D8" s="30" t="s">
        <v>41</v>
      </c>
      <c r="E8" s="30" t="s">
        <v>38</v>
      </c>
      <c r="F8" s="29" t="s">
        <v>42</v>
      </c>
      <c r="G8" s="29" t="s">
        <v>43</v>
      </c>
      <c r="H8" s="29" t="s">
        <v>42</v>
      </c>
      <c r="I8" s="29" t="s">
        <v>44</v>
      </c>
      <c r="J8" s="31" t="s">
        <v>45</v>
      </c>
    </row>
    <row r="9" spans="1:10" hidden="1" x14ac:dyDescent="0.25">
      <c r="B9" s="32"/>
      <c r="C9" s="33">
        <v>781978</v>
      </c>
      <c r="D9" s="33">
        <v>173559888</v>
      </c>
      <c r="E9" s="33">
        <v>252608611.39000008</v>
      </c>
      <c r="F9" s="33">
        <v>215.56483954791565</v>
      </c>
      <c r="G9" s="33">
        <v>33.762949852809164</v>
      </c>
      <c r="H9" s="33">
        <v>73.710213445902525</v>
      </c>
      <c r="I9" s="33">
        <v>323.03800284662748</v>
      </c>
      <c r="J9" s="33"/>
    </row>
    <row r="10" spans="1:10" hidden="1" x14ac:dyDescent="0.25">
      <c r="B10" s="32"/>
      <c r="C10" s="33"/>
      <c r="D10" s="33"/>
      <c r="E10" s="33"/>
      <c r="F10" s="33" t="e">
        <v>#DIV/0!</v>
      </c>
      <c r="G10" s="33" t="e">
        <v>#DIV/0!</v>
      </c>
      <c r="H10" s="33" t="e">
        <v>#DIV/0!</v>
      </c>
      <c r="I10" s="33"/>
      <c r="J10" s="33"/>
    </row>
    <row r="11" spans="1:10" x14ac:dyDescent="0.25">
      <c r="A11" s="35" t="s">
        <v>46</v>
      </c>
      <c r="B11" s="36"/>
      <c r="C11" s="37">
        <v>781978</v>
      </c>
      <c r="D11" s="37">
        <v>173559888</v>
      </c>
      <c r="E11" s="37">
        <v>252608611.39000002</v>
      </c>
      <c r="F11" s="37">
        <v>215.56483954791565</v>
      </c>
      <c r="G11" s="37">
        <v>33.762949852809157</v>
      </c>
      <c r="H11" s="37">
        <v>73.710213445902582</v>
      </c>
      <c r="I11" s="37">
        <v>323.03800284662742</v>
      </c>
      <c r="J11" s="38">
        <v>1.4554550265093511</v>
      </c>
    </row>
    <row r="12" spans="1:10" x14ac:dyDescent="0.25">
      <c r="A12" s="39" t="s">
        <v>47</v>
      </c>
      <c r="B12" s="40"/>
      <c r="C12" s="41">
        <v>421655</v>
      </c>
      <c r="D12" s="41">
        <v>104937973</v>
      </c>
      <c r="E12" s="41">
        <v>61119842.820000008</v>
      </c>
      <c r="F12" s="41">
        <v>5.0949289110765914</v>
      </c>
      <c r="G12" s="41">
        <v>62.614896064317982</v>
      </c>
      <c r="H12" s="41">
        <v>77.242429403185056</v>
      </c>
      <c r="I12" s="41">
        <v>144.95225437857965</v>
      </c>
      <c r="J12" s="42">
        <v>0.58243780656979149</v>
      </c>
    </row>
    <row r="13" spans="1:10" x14ac:dyDescent="0.25">
      <c r="A13" s="43" t="s">
        <v>48</v>
      </c>
      <c r="B13" s="44"/>
      <c r="C13" s="45">
        <v>360323</v>
      </c>
      <c r="D13" s="45">
        <v>68621915</v>
      </c>
      <c r="E13" s="45">
        <v>191488768.56999996</v>
      </c>
      <c r="F13" s="45">
        <v>461.85966438445502</v>
      </c>
      <c r="G13" s="45">
        <v>0</v>
      </c>
      <c r="H13" s="45">
        <v>69.576765069118537</v>
      </c>
      <c r="I13" s="45">
        <v>531.43642945357351</v>
      </c>
      <c r="J13" s="46">
        <v>2.7904900143051963</v>
      </c>
    </row>
    <row r="14" spans="1:10" x14ac:dyDescent="0.25">
      <c r="A14" s="47" t="s">
        <v>49</v>
      </c>
      <c r="B14" s="48"/>
      <c r="C14" s="49"/>
      <c r="D14" s="49"/>
      <c r="E14" s="49"/>
      <c r="F14" s="49"/>
      <c r="G14" s="49"/>
      <c r="H14" s="49"/>
      <c r="I14" s="50">
        <v>386.48417507499386</v>
      </c>
      <c r="J14" s="51">
        <v>2.2080522077354048</v>
      </c>
    </row>
    <row r="15" spans="1:10" x14ac:dyDescent="0.25">
      <c r="A15" s="52" t="s">
        <v>50</v>
      </c>
      <c r="B15" s="53"/>
      <c r="C15" s="41"/>
      <c r="D15" s="41"/>
      <c r="E15" s="41"/>
      <c r="F15" s="41"/>
      <c r="G15" s="41"/>
      <c r="H15" s="41"/>
      <c r="I15" s="41"/>
      <c r="J15" s="42"/>
    </row>
    <row r="16" spans="1:10" x14ac:dyDescent="0.25">
      <c r="A16" s="54"/>
      <c r="B16" s="55" t="s">
        <v>51</v>
      </c>
      <c r="C16" s="45">
        <v>72535</v>
      </c>
      <c r="D16" s="45">
        <v>15040721</v>
      </c>
      <c r="E16" s="45">
        <v>54891431.149999999</v>
      </c>
      <c r="F16" s="45">
        <v>625.3996966981457</v>
      </c>
      <c r="G16" s="45">
        <v>0</v>
      </c>
      <c r="H16" s="45">
        <v>131.35816019852484</v>
      </c>
      <c r="I16" s="45">
        <v>756.75785689667055</v>
      </c>
      <c r="J16" s="46">
        <v>3.6495212663009968</v>
      </c>
    </row>
    <row r="17" spans="1:10" x14ac:dyDescent="0.25">
      <c r="A17" s="54"/>
      <c r="B17" s="55" t="s">
        <v>52</v>
      </c>
      <c r="C17" s="45">
        <v>86220</v>
      </c>
      <c r="D17" s="45">
        <v>17536866</v>
      </c>
      <c r="E17" s="45">
        <v>51296332.830000006</v>
      </c>
      <c r="F17" s="45">
        <v>506.27157272094644</v>
      </c>
      <c r="G17" s="45">
        <v>18.742510902342843</v>
      </c>
      <c r="H17" s="45">
        <v>69.932945256321048</v>
      </c>
      <c r="I17" s="45">
        <v>594.94702887961034</v>
      </c>
      <c r="J17" s="46">
        <v>2.9250570101864271</v>
      </c>
    </row>
    <row r="18" spans="1:10" x14ac:dyDescent="0.25">
      <c r="A18" s="54"/>
      <c r="B18" s="55" t="s">
        <v>53</v>
      </c>
      <c r="C18" s="45">
        <v>260596</v>
      </c>
      <c r="D18" s="45">
        <v>47384991</v>
      </c>
      <c r="E18" s="45">
        <v>76916181.459999993</v>
      </c>
      <c r="F18" s="45">
        <v>219.68678279789407</v>
      </c>
      <c r="G18" s="45">
        <v>18.312658290994488</v>
      </c>
      <c r="H18" s="45">
        <v>57.155440260019354</v>
      </c>
      <c r="I18" s="45">
        <v>295.15488134890785</v>
      </c>
      <c r="J18" s="46">
        <v>1.6232182350736333</v>
      </c>
    </row>
    <row r="19" spans="1:10" x14ac:dyDescent="0.25">
      <c r="A19" s="54"/>
      <c r="B19" s="55" t="s">
        <v>54</v>
      </c>
      <c r="C19" s="45">
        <v>183715</v>
      </c>
      <c r="D19" s="45">
        <v>38768746</v>
      </c>
      <c r="E19" s="45">
        <v>42782812.730000004</v>
      </c>
      <c r="F19" s="45">
        <v>118.43348120730479</v>
      </c>
      <c r="G19" s="45">
        <v>46.229511253844272</v>
      </c>
      <c r="H19" s="45">
        <v>68.212998775276901</v>
      </c>
      <c r="I19" s="45">
        <v>232.87599123642602</v>
      </c>
      <c r="J19" s="46">
        <v>1.1035387301410267</v>
      </c>
    </row>
    <row r="20" spans="1:10" x14ac:dyDescent="0.25">
      <c r="A20" s="54"/>
      <c r="B20" s="55" t="s">
        <v>55</v>
      </c>
      <c r="C20" s="45">
        <v>92882</v>
      </c>
      <c r="D20" s="45">
        <v>23804695</v>
      </c>
      <c r="E20" s="45">
        <v>12614533.970000004</v>
      </c>
      <c r="F20" s="45">
        <v>2.3705709394715875</v>
      </c>
      <c r="G20" s="45">
        <v>64.948594883831106</v>
      </c>
      <c r="H20" s="45">
        <v>68.493305592041509</v>
      </c>
      <c r="I20" s="45">
        <v>135.81247141534425</v>
      </c>
      <c r="J20" s="46">
        <v>0.52991789938917533</v>
      </c>
    </row>
    <row r="21" spans="1:10" x14ac:dyDescent="0.25">
      <c r="A21" s="56"/>
      <c r="B21" s="57" t="s">
        <v>56</v>
      </c>
      <c r="C21" s="49">
        <v>86030</v>
      </c>
      <c r="D21" s="49">
        <v>31023869</v>
      </c>
      <c r="E21" s="49">
        <v>14107319.249999998</v>
      </c>
      <c r="F21" s="49">
        <v>3.779761478553993</v>
      </c>
      <c r="G21" s="49">
        <v>63.792736952225958</v>
      </c>
      <c r="H21" s="49">
        <v>96.40889468789959</v>
      </c>
      <c r="I21" s="49">
        <v>163.98139311867951</v>
      </c>
      <c r="J21" s="58">
        <v>0.45472469117246461</v>
      </c>
    </row>
    <row r="22" spans="1:10" x14ac:dyDescent="0.25">
      <c r="A22" s="52" t="s">
        <v>57</v>
      </c>
      <c r="B22" s="59"/>
      <c r="C22" s="41"/>
      <c r="D22" s="41"/>
      <c r="E22" s="41"/>
      <c r="F22" s="41"/>
      <c r="G22" s="41"/>
      <c r="H22" s="41"/>
      <c r="I22" s="41"/>
      <c r="J22" s="42"/>
    </row>
    <row r="23" spans="1:10" hidden="1" x14ac:dyDescent="0.25">
      <c r="A23" s="54"/>
      <c r="B23" s="60" t="s">
        <v>51</v>
      </c>
      <c r="C23" s="45">
        <v>0</v>
      </c>
      <c r="D23" s="45">
        <v>0</v>
      </c>
      <c r="E23" s="45">
        <v>0</v>
      </c>
      <c r="F23" s="45"/>
      <c r="G23" s="45"/>
      <c r="H23" s="45"/>
      <c r="I23" s="45"/>
      <c r="J23" s="46"/>
    </row>
    <row r="24" spans="1:10" x14ac:dyDescent="0.25">
      <c r="A24" s="54"/>
      <c r="B24" s="60" t="s">
        <v>52</v>
      </c>
      <c r="C24" s="45">
        <v>23951</v>
      </c>
      <c r="D24" s="45">
        <v>5158728</v>
      </c>
      <c r="E24" s="45">
        <v>4536109.54</v>
      </c>
      <c r="F24" s="45">
        <v>0</v>
      </c>
      <c r="G24" s="45">
        <v>67.470222120161992</v>
      </c>
      <c r="H24" s="45">
        <v>121.92101582397396</v>
      </c>
      <c r="I24" s="45">
        <v>189.39123794413595</v>
      </c>
      <c r="J24" s="46">
        <v>0.87930775571032238</v>
      </c>
    </row>
    <row r="25" spans="1:10" x14ac:dyDescent="0.25">
      <c r="A25" s="54"/>
      <c r="B25" s="60" t="s">
        <v>53</v>
      </c>
      <c r="C25" s="45">
        <v>81794</v>
      </c>
      <c r="D25" s="45">
        <v>15742566</v>
      </c>
      <c r="E25" s="45">
        <v>11407543.300000001</v>
      </c>
      <c r="F25" s="45">
        <v>18.448785974521357</v>
      </c>
      <c r="G25" s="45">
        <v>58.344200063574348</v>
      </c>
      <c r="H25" s="45">
        <v>62.673763356725438</v>
      </c>
      <c r="I25" s="45">
        <v>139.46674939482114</v>
      </c>
      <c r="J25" s="46">
        <v>0.72463048908291072</v>
      </c>
    </row>
    <row r="26" spans="1:10" x14ac:dyDescent="0.25">
      <c r="A26" s="54"/>
      <c r="B26" s="60" t="s">
        <v>54</v>
      </c>
      <c r="C26" s="45">
        <v>136998</v>
      </c>
      <c r="D26" s="45">
        <v>29208115</v>
      </c>
      <c r="E26" s="45">
        <v>18454336.760000002</v>
      </c>
      <c r="F26" s="45">
        <v>0.68574723718594432</v>
      </c>
      <c r="G26" s="45">
        <v>61.994004729996057</v>
      </c>
      <c r="H26" s="45">
        <v>72.025402560621302</v>
      </c>
      <c r="I26" s="45">
        <v>134.70515452780333</v>
      </c>
      <c r="J26" s="46">
        <v>0.63182224392091035</v>
      </c>
    </row>
    <row r="27" spans="1:10" x14ac:dyDescent="0.25">
      <c r="A27" s="54"/>
      <c r="B27" s="60" t="s">
        <v>55</v>
      </c>
      <c r="C27" s="45">
        <v>92882</v>
      </c>
      <c r="D27" s="45">
        <v>23804695</v>
      </c>
      <c r="E27" s="45">
        <v>12614533.970000004</v>
      </c>
      <c r="F27" s="45">
        <v>2.3705709394715875</v>
      </c>
      <c r="G27" s="45">
        <v>64.948594883831106</v>
      </c>
      <c r="H27" s="45">
        <v>68.493305592041509</v>
      </c>
      <c r="I27" s="45">
        <v>135.81247141534425</v>
      </c>
      <c r="J27" s="46">
        <v>0.52991789938917533</v>
      </c>
    </row>
    <row r="28" spans="1:10" x14ac:dyDescent="0.25">
      <c r="A28" s="56"/>
      <c r="B28" s="61" t="s">
        <v>56</v>
      </c>
      <c r="C28" s="49">
        <v>86030</v>
      </c>
      <c r="D28" s="49">
        <v>31023869</v>
      </c>
      <c r="E28" s="49">
        <v>14107319.249999998</v>
      </c>
      <c r="F28" s="49">
        <v>3.779761478553993</v>
      </c>
      <c r="G28" s="49">
        <v>63.792736952225958</v>
      </c>
      <c r="H28" s="49">
        <v>96.408894687899604</v>
      </c>
      <c r="I28" s="49">
        <v>163.98139311867951</v>
      </c>
      <c r="J28" s="58">
        <v>0.45472469117246461</v>
      </c>
    </row>
    <row r="29" spans="1:10" x14ac:dyDescent="0.25">
      <c r="A29" s="52" t="s">
        <v>58</v>
      </c>
      <c r="B29" s="59"/>
      <c r="C29" s="41"/>
      <c r="D29" s="41"/>
      <c r="E29" s="41"/>
      <c r="F29" s="41"/>
      <c r="G29" s="41"/>
      <c r="H29" s="41"/>
      <c r="I29" s="41"/>
      <c r="J29" s="42"/>
    </row>
    <row r="30" spans="1:10" x14ac:dyDescent="0.25">
      <c r="A30" s="54"/>
      <c r="B30" s="60" t="s">
        <v>51</v>
      </c>
      <c r="C30" s="45">
        <v>72535</v>
      </c>
      <c r="D30" s="45">
        <v>15040721</v>
      </c>
      <c r="E30" s="45">
        <v>54891431.149999999</v>
      </c>
      <c r="F30" s="45">
        <v>625.3996966981457</v>
      </c>
      <c r="G30" s="45">
        <v>0</v>
      </c>
      <c r="H30" s="45">
        <v>131.35816019852484</v>
      </c>
      <c r="I30" s="45">
        <v>756.75785689667055</v>
      </c>
      <c r="J30" s="46">
        <v>3.6495212663009968</v>
      </c>
    </row>
    <row r="31" spans="1:10" x14ac:dyDescent="0.25">
      <c r="A31" s="54"/>
      <c r="B31" s="60" t="s">
        <v>52</v>
      </c>
      <c r="C31" s="45">
        <v>62269</v>
      </c>
      <c r="D31" s="45">
        <v>12378138</v>
      </c>
      <c r="E31" s="45">
        <v>46760223.289999999</v>
      </c>
      <c r="F31" s="45">
        <v>701.00266585299266</v>
      </c>
      <c r="G31" s="45">
        <v>0</v>
      </c>
      <c r="H31" s="45">
        <v>49.936377491207494</v>
      </c>
      <c r="I31" s="45">
        <v>750.93904334420017</v>
      </c>
      <c r="J31" s="46">
        <v>3.7776459827802857</v>
      </c>
    </row>
    <row r="32" spans="1:10" x14ac:dyDescent="0.25">
      <c r="A32" s="54"/>
      <c r="B32" s="60" t="s">
        <v>53</v>
      </c>
      <c r="C32" s="45">
        <v>178802</v>
      </c>
      <c r="D32" s="45">
        <v>31642425</v>
      </c>
      <c r="E32" s="45">
        <v>65508638.159999982</v>
      </c>
      <c r="F32" s="45">
        <v>311.74425817384594</v>
      </c>
      <c r="G32" s="45">
        <v>0</v>
      </c>
      <c r="H32" s="45">
        <v>54.631051722016522</v>
      </c>
      <c r="I32" s="45">
        <v>366.37530989586236</v>
      </c>
      <c r="J32" s="46">
        <v>2.0702786894493701</v>
      </c>
    </row>
    <row r="33" spans="1:10" x14ac:dyDescent="0.25">
      <c r="A33" s="56"/>
      <c r="B33" s="61" t="s">
        <v>54</v>
      </c>
      <c r="C33" s="49">
        <v>46717</v>
      </c>
      <c r="D33" s="49">
        <v>9560631</v>
      </c>
      <c r="E33" s="49">
        <v>24328475.970000003</v>
      </c>
      <c r="F33" s="49">
        <v>463.72971295245844</v>
      </c>
      <c r="G33" s="49">
        <v>0</v>
      </c>
      <c r="H33" s="49">
        <v>57.033092236230914</v>
      </c>
      <c r="I33" s="49">
        <v>520.76280518868941</v>
      </c>
      <c r="J33" s="58">
        <v>2.544651704474318</v>
      </c>
    </row>
    <row r="34" spans="1:10" hidden="1" x14ac:dyDescent="0.25">
      <c r="B34" s="62" t="s">
        <v>55</v>
      </c>
      <c r="C34" s="33">
        <v>0</v>
      </c>
      <c r="D34" s="33">
        <v>0</v>
      </c>
      <c r="E34" s="33">
        <v>0</v>
      </c>
      <c r="F34" s="33" t="e">
        <v>#DIV/0!</v>
      </c>
      <c r="G34" s="33"/>
      <c r="H34" s="33" t="e">
        <v>#DIV/0!</v>
      </c>
      <c r="I34" s="33"/>
      <c r="J34" s="33"/>
    </row>
    <row r="35" spans="1:10" hidden="1" x14ac:dyDescent="0.25">
      <c r="B35" s="62" t="s">
        <v>56</v>
      </c>
      <c r="C35" s="33">
        <v>0</v>
      </c>
      <c r="D35" s="33">
        <v>0</v>
      </c>
      <c r="E35" s="33">
        <v>0</v>
      </c>
      <c r="F35" s="33" t="e">
        <v>#DIV/0!</v>
      </c>
      <c r="G35" s="33"/>
      <c r="H35" s="33" t="e">
        <v>#DIV/0!</v>
      </c>
      <c r="I35" s="33"/>
      <c r="J35" s="33"/>
    </row>
    <row r="36" spans="1:10" x14ac:dyDescent="0.25">
      <c r="A36" s="35" t="s">
        <v>59</v>
      </c>
      <c r="B36" s="63"/>
      <c r="C36" s="37"/>
      <c r="D36" s="64"/>
      <c r="E36" s="41"/>
      <c r="F36" s="41"/>
      <c r="G36" s="41"/>
      <c r="H36" s="41"/>
      <c r="I36" s="41"/>
      <c r="J36" s="65"/>
    </row>
    <row r="37" spans="1:10" x14ac:dyDescent="0.25">
      <c r="A37" s="54"/>
      <c r="B37" s="60" t="s">
        <v>52</v>
      </c>
      <c r="C37" s="45"/>
      <c r="D37" s="45"/>
      <c r="E37" s="45"/>
      <c r="F37" s="66">
        <v>701.00266585299266</v>
      </c>
      <c r="G37" s="66">
        <v>-67.470222120161992</v>
      </c>
      <c r="H37" s="66">
        <v>-71.984638332766465</v>
      </c>
      <c r="I37" s="66">
        <v>561.54780540006425</v>
      </c>
      <c r="J37" s="67">
        <v>2.8983382270699636</v>
      </c>
    </row>
    <row r="38" spans="1:10" x14ac:dyDescent="0.25">
      <c r="A38" s="54"/>
      <c r="B38" s="60" t="s">
        <v>53</v>
      </c>
      <c r="C38" s="45"/>
      <c r="D38" s="45"/>
      <c r="E38" s="45"/>
      <c r="F38" s="66">
        <v>293.29547219932459</v>
      </c>
      <c r="G38" s="66">
        <v>-58.344200063574348</v>
      </c>
      <c r="H38" s="66">
        <v>-8.0427116347089154</v>
      </c>
      <c r="I38" s="66">
        <v>226.90856050104122</v>
      </c>
      <c r="J38" s="67">
        <v>1.3456482003664594</v>
      </c>
    </row>
    <row r="39" spans="1:10" x14ac:dyDescent="0.25">
      <c r="A39" s="56"/>
      <c r="B39" s="61" t="s">
        <v>54</v>
      </c>
      <c r="C39" s="49"/>
      <c r="D39" s="49"/>
      <c r="E39" s="49"/>
      <c r="F39" s="50">
        <v>463.04396571527252</v>
      </c>
      <c r="G39" s="50">
        <v>-61.994004729996057</v>
      </c>
      <c r="H39" s="50">
        <v>-14.992310324390388</v>
      </c>
      <c r="I39" s="50">
        <v>386.05765066088611</v>
      </c>
      <c r="J39" s="51">
        <v>1.9128294605534077</v>
      </c>
    </row>
    <row r="40" spans="1:10" x14ac:dyDescent="0.25">
      <c r="A40" s="14" t="s">
        <v>60</v>
      </c>
      <c r="B40" s="62"/>
      <c r="C40" s="33"/>
      <c r="D40" s="33"/>
      <c r="E40" s="33"/>
      <c r="F40" s="33"/>
      <c r="G40" s="33"/>
      <c r="H40" s="33"/>
      <c r="I40" s="33"/>
      <c r="J40" s="33"/>
    </row>
    <row r="41" spans="1:10" hidden="1" x14ac:dyDescent="0.25">
      <c r="B41" s="32"/>
      <c r="C41" s="33"/>
      <c r="D41" s="33"/>
      <c r="E41" s="33"/>
      <c r="F41" s="34"/>
      <c r="G41" s="34"/>
      <c r="H41" s="34"/>
      <c r="I41" s="34"/>
      <c r="J41" s="34"/>
    </row>
    <row r="42" spans="1:10" hidden="1" x14ac:dyDescent="0.25">
      <c r="C42" s="33"/>
      <c r="D42" s="33"/>
      <c r="E42" s="33"/>
      <c r="F42" s="34"/>
      <c r="G42" s="34"/>
      <c r="H42" s="34"/>
      <c r="I42" s="34"/>
      <c r="J42" s="34"/>
    </row>
    <row r="43" spans="1:10" hidden="1" x14ac:dyDescent="0.25">
      <c r="C43" s="33"/>
      <c r="D43" s="33"/>
      <c r="E43" s="33"/>
      <c r="F43" s="34"/>
      <c r="G43" s="34"/>
      <c r="H43" s="34"/>
      <c r="I43" s="34"/>
      <c r="J43" s="34"/>
    </row>
    <row r="44" spans="1:10" hidden="1" x14ac:dyDescent="0.25">
      <c r="C44" s="33"/>
      <c r="D44" s="33"/>
      <c r="E44" s="33"/>
      <c r="F44" s="34"/>
      <c r="G44" s="34"/>
      <c r="H44" s="34"/>
      <c r="I44" s="34"/>
      <c r="J44" s="34"/>
    </row>
    <row r="45" spans="1:10" hidden="1" x14ac:dyDescent="0.25">
      <c r="C45" s="33"/>
      <c r="D45" s="33"/>
      <c r="E45" s="33"/>
      <c r="F45" s="34"/>
      <c r="G45" s="34"/>
      <c r="H45" s="34"/>
      <c r="I45" s="34"/>
      <c r="J45" s="34"/>
    </row>
    <row r="46" spans="1:10" hidden="1" x14ac:dyDescent="0.25">
      <c r="C46" s="33"/>
      <c r="D46" s="33"/>
      <c r="E46" s="33"/>
      <c r="F46" s="34"/>
      <c r="G46" s="34"/>
      <c r="H46" s="34"/>
      <c r="I46" s="34"/>
      <c r="J46" s="34"/>
    </row>
    <row r="47" spans="1:10" hidden="1" x14ac:dyDescent="0.25">
      <c r="C47" s="33"/>
      <c r="D47" s="33"/>
      <c r="E47" s="33"/>
      <c r="F47" s="34"/>
      <c r="G47" s="34"/>
      <c r="H47" s="34"/>
      <c r="I47" s="34"/>
      <c r="J47" s="34"/>
    </row>
    <row r="48" spans="1:10" hidden="1" x14ac:dyDescent="0.25">
      <c r="C48" s="33"/>
      <c r="D48" s="33"/>
      <c r="E48" s="33"/>
      <c r="F48" s="34"/>
      <c r="G48" s="34"/>
      <c r="H48" s="34"/>
      <c r="I48" s="34"/>
      <c r="J48" s="34"/>
    </row>
    <row r="49" spans="3:10" hidden="1" x14ac:dyDescent="0.25">
      <c r="C49" s="33"/>
      <c r="D49" s="33"/>
      <c r="E49" s="33"/>
      <c r="F49" s="34"/>
      <c r="G49" s="34"/>
      <c r="H49" s="34"/>
      <c r="I49" s="34"/>
      <c r="J49" s="34"/>
    </row>
    <row r="50" spans="3:10" hidden="1" x14ac:dyDescent="0.25">
      <c r="C50" s="33"/>
      <c r="D50" s="33"/>
      <c r="E50" s="33"/>
      <c r="F50" s="34"/>
      <c r="G50" s="34"/>
      <c r="H50" s="34"/>
      <c r="I50" s="34"/>
      <c r="J50" s="34"/>
    </row>
    <row r="51" spans="3:10" hidden="1" x14ac:dyDescent="0.25">
      <c r="C51" s="33"/>
      <c r="D51" s="33"/>
      <c r="E51" s="33"/>
      <c r="F51" s="34"/>
      <c r="G51" s="34"/>
      <c r="H51" s="34"/>
      <c r="I51" s="34"/>
      <c r="J51" s="34"/>
    </row>
    <row r="52" spans="3:10" hidden="1" x14ac:dyDescent="0.25">
      <c r="C52" s="33"/>
      <c r="D52" s="33"/>
      <c r="E52" s="33"/>
      <c r="F52" s="34"/>
      <c r="G52" s="34"/>
      <c r="H52" s="34"/>
      <c r="I52" s="34"/>
      <c r="J52" s="34"/>
    </row>
    <row r="53" spans="3:10" hidden="1" x14ac:dyDescent="0.25"/>
    <row r="54" spans="3:10" hidden="1" x14ac:dyDescent="0.25"/>
    <row r="55" spans="3:10" hidden="1" x14ac:dyDescent="0.25"/>
    <row r="56" spans="3:10" hidden="1" x14ac:dyDescent="0.25"/>
    <row r="57" spans="3:10" hidden="1" x14ac:dyDescent="0.25"/>
    <row r="58" spans="3:10" hidden="1" x14ac:dyDescent="0.25"/>
    <row r="59" spans="3:10" hidden="1" x14ac:dyDescent="0.25"/>
  </sheetData>
  <printOptions gridLines="1"/>
  <pageMargins left="0.7" right="0.7" top="1" bottom="0.75" header="0.3" footer="0.3"/>
  <pageSetup scale="91" orientation="landscape" r:id="rId1"/>
  <headerFooter>
    <oddHeader>&amp;LMDE / School Finance Division&amp;CREPORT 2
FY 2014 REVENUE FOR DEFERRED MAINTENANCE, HEALTH &amp; SAFETY AND ALTERNATIVE BONDING
BY ALTERNATIVE BONDING ELIGIBILITY AND STRATA&amp;RAugust 21, 2013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Report 1</vt:lpstr>
      <vt:lpstr>Report 2</vt:lpstr>
      <vt:lpstr>'Report 1'!Print_Area</vt:lpstr>
      <vt:lpstr>'Report 2'!Print_Area</vt:lpstr>
      <vt:lpstr>TitleRegion1.a5.j38.2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Information about 8-21-13 Facility Spreadsheet Reports</dc:title>
  <dc:creator>Kubesh, Chris;Minnesota Department of Education</dc:creator>
  <cp:lastModifiedBy>Biringer, Catherine</cp:lastModifiedBy>
  <cp:lastPrinted>2013-08-27T18:53:40Z</cp:lastPrinted>
  <dcterms:created xsi:type="dcterms:W3CDTF">2013-08-15T21:12:41Z</dcterms:created>
  <dcterms:modified xsi:type="dcterms:W3CDTF">2013-08-29T20:17:44Z</dcterms:modified>
</cp:coreProperties>
</file>