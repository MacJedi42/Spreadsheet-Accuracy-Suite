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7795" windowHeight="151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Sheet1!$A$1:$E$52</definedName>
  </definedNames>
  <calcPr calcId="145621"/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E15" i="1"/>
  <c r="E14" i="1"/>
  <c r="E13" i="1"/>
</calcChain>
</file>

<file path=xl/sharedStrings.xml><?xml version="1.0" encoding="utf-8"?>
<sst xmlns="http://schemas.openxmlformats.org/spreadsheetml/2006/main" count="25" uniqueCount="25">
  <si>
    <t>* Animal concentration factor = (A*M)*D</t>
  </si>
  <si>
    <t>A = number of animals (assumes all are in the same animal sector as defined by the EPA)</t>
  </si>
  <si>
    <t>M= Animal Sector multiplier</t>
  </si>
  <si>
    <t>D = The total number of days in one calander year the animals are confined in the facility</t>
  </si>
  <si>
    <t xml:space="preserve"> </t>
  </si>
  <si>
    <t>* If more than one animal sector uses the facility, determine the Animal concentration factor for each sector then add together</t>
  </si>
  <si>
    <t>Animal Sector</t>
  </si>
  <si>
    <t>Multiplier (M)</t>
  </si>
  <si>
    <t># of Animals (A)</t>
  </si>
  <si>
    <t>Days (D)</t>
  </si>
  <si>
    <t>Animal Concentration Factor</t>
  </si>
  <si>
    <t>Cattle or cow/calf pairs</t>
  </si>
  <si>
    <t>Mature dairy cattle</t>
  </si>
  <si>
    <t>veal calves</t>
  </si>
  <si>
    <t>swine (weighing over 55 lbs)</t>
  </si>
  <si>
    <t>Swine (weighing less than 55 lbs)</t>
  </si>
  <si>
    <t>horses</t>
  </si>
  <si>
    <t>sheep or lambs</t>
  </si>
  <si>
    <t>turkeys</t>
  </si>
  <si>
    <t>laying hens or broilers (liquid manure handling systems)</t>
  </si>
  <si>
    <t>chickens other than laying hens (other than liquid manure handling systems)</t>
  </si>
  <si>
    <t>laying hens (other than liquid manure handling systems)</t>
  </si>
  <si>
    <t>ducks (other than liquid manure handling systems)</t>
  </si>
  <si>
    <t>ducks ( liquid manure handling systems)</t>
  </si>
  <si>
    <t>Water Quality Animal Concentration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</si>
</sst>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Alignment="0" applyProtection="0"/>
    <xf numFmtId="0" fontId="18" fillId="0" borderId="0" applyNumberFormat="0" applyFill="0" applyAlignment="0" applyProtection="0"/>
  </cellStyleXfs>
  <cellXfs count="8">
    <xf numFmtId="0" fontId="0" fillId="0" borderId="0" xfId="0"/>
    <xf numFmtId="0" fontId="0" fillId="0" borderId="10" xfId="0" applyBorder="1" applyAlignment="1">
      <alignment horizontal="center" vertical="center" wrapText="1"/>
    </xf>
    <xf numFmtId="0" fontId="0" fillId="0" borderId="10" xfId="0" applyBorder="1"/>
    <xf numFmtId="0" fontId="0" fillId="0" borderId="0" xfId="0" applyAlignment="1">
      <alignment horizontal="center"/>
    </xf>
    <xf numFmtId="0" fontId="19" fillId="0" borderId="10" xfId="0" applyFont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0" xfId="0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zoomScaleNormal="100" workbookViewId="0">
      <selection activeCell="G20" sqref="G20"/>
    </sheetView>
  </sheetViews>
  <sheetFormatPr defaultRowHeight="15" x14ac:dyDescent="0.25"/>
  <cols>
    <col min="1" max="1" width="69" customWidth="1"/>
    <col min="2" max="2" width="10.7109375" style="3" customWidth="1"/>
    <col min="3" max="3" width="12.85546875" style="3" customWidth="1"/>
    <col min="4" max="4" width="9.140625" style="3"/>
    <col min="5" max="5" width="15.85546875" style="3" customWidth="1"/>
  </cols>
  <sheetData>
    <row r="1" spans="1:5" s="7" customFormat="1" x14ac:dyDescent="0.25">
      <c r="A1" s="7" t="s">
        <v>24</v>
      </c>
      <c r="B1" s="3"/>
      <c r="C1" s="3"/>
      <c r="D1" s="3"/>
      <c r="E1" s="3"/>
    </row>
    <row r="2" spans="1:5" s="7" customFormat="1" x14ac:dyDescent="0.25">
      <c r="B2" s="3"/>
      <c r="C2" s="3"/>
      <c r="D2" s="3"/>
      <c r="E2" s="3"/>
    </row>
    <row r="3" spans="1:5" x14ac:dyDescent="0.25">
      <c r="A3" t="s">
        <v>0</v>
      </c>
    </row>
    <row r="5" spans="1:5" x14ac:dyDescent="0.25">
      <c r="A5" t="s">
        <v>1</v>
      </c>
    </row>
    <row r="6" spans="1:5" x14ac:dyDescent="0.25">
      <c r="A6" t="s">
        <v>2</v>
      </c>
    </row>
    <row r="7" spans="1:5" x14ac:dyDescent="0.25">
      <c r="A7" t="s">
        <v>3</v>
      </c>
      <c r="B7" s="3" t="s">
        <v>4</v>
      </c>
    </row>
    <row r="9" spans="1:5" x14ac:dyDescent="0.25">
      <c r="A9" t="s">
        <v>5</v>
      </c>
    </row>
    <row r="12" spans="1:5" ht="45" x14ac:dyDescent="0.25">
      <c r="A12" s="2" t="s">
        <v>6</v>
      </c>
      <c r="B12" s="5" t="s">
        <v>7</v>
      </c>
      <c r="C12" s="1" t="s">
        <v>8</v>
      </c>
      <c r="D12" s="6" t="s">
        <v>9</v>
      </c>
      <c r="E12" s="5" t="s">
        <v>10</v>
      </c>
    </row>
    <row r="13" spans="1:5" x14ac:dyDescent="0.25">
      <c r="A13" s="2" t="s">
        <v>11</v>
      </c>
      <c r="B13" s="6">
        <v>1</v>
      </c>
      <c r="C13" s="6"/>
      <c r="D13" s="6"/>
      <c r="E13" s="4">
        <f>(C13*B13)*D13</f>
        <v>0</v>
      </c>
    </row>
    <row r="14" spans="1:5" x14ac:dyDescent="0.25">
      <c r="A14" s="2" t="s">
        <v>12</v>
      </c>
      <c r="B14" s="6">
        <v>1.4</v>
      </c>
      <c r="C14" s="6"/>
      <c r="D14" s="6"/>
      <c r="E14" s="4">
        <f>(C14*B14)*D14</f>
        <v>0</v>
      </c>
    </row>
    <row r="15" spans="1:5" x14ac:dyDescent="0.25">
      <c r="A15" s="2" t="s">
        <v>13</v>
      </c>
      <c r="B15" s="6">
        <v>1</v>
      </c>
      <c r="C15" s="6"/>
      <c r="D15" s="6"/>
      <c r="E15" s="4">
        <f>(C15*B15)*D15</f>
        <v>0</v>
      </c>
    </row>
    <row r="16" spans="1:5" x14ac:dyDescent="0.25">
      <c r="A16" s="2" t="s">
        <v>14</v>
      </c>
      <c r="B16" s="6">
        <v>0.4</v>
      </c>
      <c r="C16" s="6"/>
      <c r="D16" s="6"/>
      <c r="E16" s="4">
        <f>(C16*B16)*D16</f>
        <v>0</v>
      </c>
    </row>
    <row r="17" spans="1:5" x14ac:dyDescent="0.25">
      <c r="A17" s="2" t="s">
        <v>15</v>
      </c>
      <c r="B17" s="6">
        <v>0.1</v>
      </c>
      <c r="C17" s="6"/>
      <c r="D17" s="6"/>
      <c r="E17" s="4">
        <f>(C17*B17)*D17</f>
        <v>0</v>
      </c>
    </row>
    <row r="18" spans="1:5" x14ac:dyDescent="0.25">
      <c r="A18" s="2" t="s">
        <v>16</v>
      </c>
      <c r="B18" s="6">
        <v>2</v>
      </c>
      <c r="C18" s="6"/>
      <c r="D18" s="6"/>
      <c r="E18" s="4">
        <f>(C18*B18)*D18</f>
        <v>0</v>
      </c>
    </row>
    <row r="19" spans="1:5" x14ac:dyDescent="0.25">
      <c r="A19" s="2" t="s">
        <v>17</v>
      </c>
      <c r="B19" s="6">
        <v>0.1</v>
      </c>
      <c r="C19" s="6"/>
      <c r="D19" s="6"/>
      <c r="E19" s="4">
        <f>(C19*B19)*D19</f>
        <v>0</v>
      </c>
    </row>
    <row r="20" spans="1:5" x14ac:dyDescent="0.25">
      <c r="A20" s="2" t="s">
        <v>18</v>
      </c>
      <c r="B20" s="6">
        <v>1.7999999999999999E-2</v>
      </c>
      <c r="C20" s="6"/>
      <c r="D20" s="6"/>
      <c r="E20" s="4">
        <f>(C20*B20)*D20</f>
        <v>0</v>
      </c>
    </row>
    <row r="21" spans="1:5" x14ac:dyDescent="0.25">
      <c r="A21" s="2" t="s">
        <v>19</v>
      </c>
      <c r="B21" s="6">
        <v>3.3000000000000002E-2</v>
      </c>
      <c r="C21" s="6"/>
      <c r="D21" s="6"/>
      <c r="E21" s="4">
        <f>(C21*B21)*D21</f>
        <v>0</v>
      </c>
    </row>
    <row r="22" spans="1:5" x14ac:dyDescent="0.25">
      <c r="A22" s="2" t="s">
        <v>20</v>
      </c>
      <c r="B22" s="6">
        <v>8.0000000000000002E-3</v>
      </c>
      <c r="C22" s="6"/>
      <c r="D22" s="6"/>
      <c r="E22" s="4">
        <f>(C22*B22)*D22</f>
        <v>0</v>
      </c>
    </row>
    <row r="23" spans="1:5" x14ac:dyDescent="0.25">
      <c r="A23" s="2" t="s">
        <v>21</v>
      </c>
      <c r="B23" s="6">
        <v>1.2E-2</v>
      </c>
      <c r="C23" s="6"/>
      <c r="D23" s="6"/>
      <c r="E23" s="4">
        <f>(C23*B23)*D23</f>
        <v>0</v>
      </c>
    </row>
    <row r="24" spans="1:5" x14ac:dyDescent="0.25">
      <c r="A24" s="2" t="s">
        <v>22</v>
      </c>
      <c r="B24" s="6">
        <v>3.3000000000000002E-2</v>
      </c>
      <c r="C24" s="6"/>
      <c r="D24" s="6"/>
      <c r="E24" s="4">
        <f>(C24*B24)*D24</f>
        <v>0</v>
      </c>
    </row>
    <row r="25" spans="1:5" x14ac:dyDescent="0.25">
      <c r="A25" s="2" t="s">
        <v>23</v>
      </c>
      <c r="B25" s="6">
        <v>0.2</v>
      </c>
      <c r="C25" s="6"/>
      <c r="D25" s="6"/>
      <c r="E25" s="4">
        <f>(C25*B25)*D25</f>
        <v>0</v>
      </c>
    </row>
  </sheetData>
  <pageMargins left="0.25" right="0.25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USDA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mary.schrader</dc:creator>
  <cp:lastModifiedBy>mary.schrader</cp:lastModifiedBy>
  <cp:lastPrinted>2014-02-03T22:48:05Z</cp:lastPrinted>
  <dcterms:created xsi:type="dcterms:W3CDTF">2014-02-03T22:12:09Z</dcterms:created>
  <dcterms:modified xsi:type="dcterms:W3CDTF">2014-02-03T22:52:55Z</dcterms:modified>
</cp:coreProperties>
</file>