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0" windowWidth="23955" windowHeight="1099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R8" i="1" l="1"/>
  <c r="S8" i="1"/>
  <c r="T8" i="1"/>
  <c r="U8" i="1"/>
  <c r="Q8" i="1"/>
</calcChain>
</file>

<file path=xl/sharedStrings.xml><?xml version="1.0" encoding="utf-8"?>
<sst xmlns="http://schemas.openxmlformats.org/spreadsheetml/2006/main" count="71" uniqueCount="38">
  <si>
    <t>Credit  Headcount At Census</t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</si>
  <si>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Gender</t>
    </r>
  </si>
  <si>
    <t>AY07-08</t>
  </si>
  <si>
    <t>AY08-09</t>
  </si>
  <si>
    <t>AY09-10</t>
  </si>
  <si>
    <t>AY10-11</t>
  </si>
  <si>
    <t>AY11-12</t>
  </si>
  <si>
    <t>Academic Year</t>
  </si>
  <si>
    <t>Gender</t>
  </si>
  <si>
    <t>SU07</t>
  </si>
  <si>
    <t>FA07</t>
  </si>
  <si>
    <t>SP08</t>
  </si>
  <si>
    <t>SU08</t>
  </si>
  <si>
    <t>FA08</t>
  </si>
  <si>
    <t>SP09</t>
  </si>
  <si>
    <t>SU09</t>
  </si>
  <si>
    <t>FA09</t>
  </si>
  <si>
    <t>SP10</t>
  </si>
  <si>
    <t>SU10</t>
  </si>
  <si>
    <t>FA10</t>
  </si>
  <si>
    <t>SP11</t>
  </si>
  <si>
    <t>SU11</t>
  </si>
  <si>
    <t>FA11</t>
  </si>
  <si>
    <t>SP12</t>
  </si>
  <si>
    <t>Male</t>
  </si>
  <si>
    <t>Female</t>
  </si>
  <si>
    <t>Undeclared</t>
  </si>
  <si>
    <t>Term Total</t>
  </si>
  <si>
    <t>% of Total</t>
  </si>
  <si>
    <t>Credit Headcount % of Total</t>
  </si>
  <si>
    <t>SU12</t>
  </si>
  <si>
    <t>FA12</t>
  </si>
  <si>
    <t>SP13</t>
  </si>
  <si>
    <t>AY12-13</t>
  </si>
  <si>
    <t>AY13-14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</si>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</sst>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9.9"/>
      <name val="Calibri"/>
      <family val="2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11"/>
      <color rgb="FFC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/>
    <xf numFmtId="43" fontId="21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" fillId="0" borderId="0"/>
  </cellStyleXfs>
  <cellXfs count="81">
    <xf numFmtId="0" fontId="0" fillId="0" borderId="0" xfId="0"/>
    <xf numFmtId="0" fontId="0" fillId="0" borderId="0" xfId="0"/>
    <xf numFmtId="0" fontId="16" fillId="0" borderId="24" xfId="45" applyFont="1" applyBorder="1" applyAlignment="1">
      <alignment horizontal="center" vertical="center"/>
    </xf>
    <xf numFmtId="9" fontId="23" fillId="0" borderId="21" xfId="2" applyFont="1" applyBorder="1" applyAlignment="1" applyProtection="1">
      <alignment horizontal="center" vertical="center"/>
    </xf>
    <xf numFmtId="164" fontId="23" fillId="0" borderId="17" xfId="1" applyNumberFormat="1" applyFont="1" applyBorder="1" applyAlignment="1" applyProtection="1">
      <alignment horizontal="center" vertical="center"/>
    </xf>
    <xf numFmtId="164" fontId="23" fillId="0" borderId="22" xfId="1" applyNumberFormat="1" applyFont="1" applyBorder="1" applyAlignment="1" applyProtection="1">
      <alignment horizontal="center" vertical="center"/>
    </xf>
    <xf numFmtId="164" fontId="25" fillId="0" borderId="29" xfId="1" applyNumberFormat="1" applyFont="1" applyBorder="1" applyAlignment="1" applyProtection="1">
      <alignment horizontal="center" vertical="center"/>
    </xf>
    <xf numFmtId="9" fontId="23" fillId="0" borderId="10" xfId="2" applyFont="1" applyBorder="1" applyAlignment="1" applyProtection="1">
      <alignment horizontal="center" vertical="center"/>
    </xf>
    <xf numFmtId="9" fontId="23" fillId="0" borderId="22" xfId="2" applyFont="1" applyBorder="1" applyAlignment="1" applyProtection="1">
      <alignment horizontal="center" vertical="center"/>
    </xf>
    <xf numFmtId="9" fontId="23" fillId="0" borderId="18" xfId="2" applyFont="1" applyBorder="1" applyAlignment="1" applyProtection="1">
      <alignment horizontal="center" vertical="center"/>
    </xf>
    <xf numFmtId="9" fontId="23" fillId="0" borderId="19" xfId="2" applyFont="1" applyBorder="1" applyAlignment="1" applyProtection="1">
      <alignment horizontal="center" vertical="center"/>
    </xf>
    <xf numFmtId="9" fontId="23" fillId="0" borderId="20" xfId="2" applyFont="1" applyBorder="1" applyAlignment="1" applyProtection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5" fillId="0" borderId="13" xfId="47" applyFont="1" applyBorder="1" applyAlignment="1" applyProtection="1"/>
    <xf numFmtId="9" fontId="23" fillId="0" borderId="17" xfId="2" applyFont="1" applyBorder="1" applyAlignment="1" applyProtection="1">
      <alignment horizontal="center" vertical="center"/>
    </xf>
    <xf numFmtId="9" fontId="23" fillId="0" borderId="16" xfId="2" applyFont="1" applyBorder="1" applyAlignment="1" applyProtection="1">
      <alignment horizontal="center" vertical="center"/>
    </xf>
    <xf numFmtId="0" fontId="25" fillId="0" borderId="31" xfId="47" applyFont="1" applyBorder="1" applyAlignment="1" applyProtection="1"/>
    <xf numFmtId="0" fontId="25" fillId="0" borderId="25" xfId="47" applyFont="1" applyBorder="1" applyAlignment="1" applyProtection="1"/>
    <xf numFmtId="0" fontId="25" fillId="0" borderId="30" xfId="47" applyFont="1" applyBorder="1" applyAlignment="1" applyProtection="1"/>
    <xf numFmtId="0" fontId="27" fillId="0" borderId="24" xfId="47" applyFont="1" applyBorder="1" applyAlignment="1" applyProtection="1">
      <alignment horizontal="center" vertical="center"/>
    </xf>
    <xf numFmtId="164" fontId="23" fillId="0" borderId="10" xfId="1" applyNumberFormat="1" applyFont="1" applyBorder="1" applyAlignment="1" applyProtection="1">
      <alignment horizontal="center" vertical="center"/>
    </xf>
    <xf numFmtId="164" fontId="23" fillId="0" borderId="35" xfId="1" applyNumberFormat="1" applyFont="1" applyBorder="1" applyAlignment="1" applyProtection="1">
      <alignment horizontal="center" vertical="center"/>
    </xf>
    <xf numFmtId="164" fontId="23" fillId="0" borderId="15" xfId="1" applyNumberFormat="1" applyFont="1" applyBorder="1" applyAlignment="1" applyProtection="1">
      <alignment horizontal="center" vertical="center"/>
    </xf>
    <xf numFmtId="164" fontId="23" fillId="0" borderId="16" xfId="1" applyNumberFormat="1" applyFont="1" applyBorder="1" applyAlignment="1" applyProtection="1">
      <alignment horizontal="center" vertical="center"/>
    </xf>
    <xf numFmtId="164" fontId="23" fillId="0" borderId="21" xfId="1" applyNumberFormat="1" applyFont="1" applyBorder="1" applyAlignment="1" applyProtection="1">
      <alignment horizontal="center" vertical="center"/>
    </xf>
    <xf numFmtId="164" fontId="23" fillId="0" borderId="36" xfId="1" applyNumberFormat="1" applyFont="1" applyBorder="1" applyAlignment="1" applyProtection="1">
      <alignment horizontal="center" vertical="center"/>
    </xf>
    <xf numFmtId="164" fontId="23" fillId="0" borderId="40" xfId="1" applyNumberFormat="1" applyFont="1" applyBorder="1" applyAlignment="1" applyProtection="1">
      <alignment horizontal="center" vertical="center"/>
    </xf>
    <xf numFmtId="164" fontId="23" fillId="0" borderId="41" xfId="1" applyNumberFormat="1" applyFont="1" applyBorder="1" applyAlignment="1" applyProtection="1">
      <alignment horizontal="center" vertical="center"/>
    </xf>
    <xf numFmtId="164" fontId="23" fillId="0" borderId="26" xfId="1" applyNumberFormat="1" applyFont="1" applyBorder="1" applyAlignment="1" applyProtection="1">
      <alignment horizontal="center" vertical="center"/>
    </xf>
    <xf numFmtId="164" fontId="23" fillId="0" borderId="27" xfId="1" applyNumberFormat="1" applyFont="1" applyBorder="1" applyAlignment="1" applyProtection="1">
      <alignment horizontal="center" vertical="center"/>
    </xf>
    <xf numFmtId="164" fontId="23" fillId="0" borderId="28" xfId="1" applyNumberFormat="1" applyFont="1" applyBorder="1" applyAlignment="1" applyProtection="1">
      <alignment horizontal="center" vertical="center"/>
    </xf>
    <xf numFmtId="164" fontId="23" fillId="0" borderId="44" xfId="1" applyNumberFormat="1" applyFont="1" applyBorder="1" applyAlignment="1" applyProtection="1">
      <alignment horizontal="center" vertical="center"/>
    </xf>
    <xf numFmtId="164" fontId="23" fillId="0" borderId="45" xfId="1" applyNumberFormat="1" applyFont="1" applyBorder="1" applyAlignment="1" applyProtection="1">
      <alignment horizontal="center" vertical="center"/>
    </xf>
    <xf numFmtId="164" fontId="25" fillId="0" borderId="46" xfId="1" applyNumberFormat="1" applyFont="1" applyBorder="1" applyAlignment="1" applyProtection="1">
      <alignment horizontal="center" vertical="center"/>
    </xf>
    <xf numFmtId="164" fontId="25" fillId="0" borderId="47" xfId="1" applyNumberFormat="1" applyFont="1" applyBorder="1" applyAlignment="1" applyProtection="1">
      <alignment horizontal="center" vertical="center"/>
    </xf>
    <xf numFmtId="164" fontId="25" fillId="0" borderId="48" xfId="1" applyNumberFormat="1" applyFont="1" applyBorder="1" applyAlignment="1" applyProtection="1">
      <alignment horizontal="center" vertical="center"/>
    </xf>
    <xf numFmtId="164" fontId="25" fillId="0" borderId="49" xfId="1" applyNumberFormat="1" applyFont="1" applyBorder="1" applyAlignment="1" applyProtection="1">
      <alignment horizontal="center" vertical="center"/>
    </xf>
    <xf numFmtId="9" fontId="23" fillId="0" borderId="15" xfId="2" applyFont="1" applyBorder="1" applyAlignment="1" applyProtection="1">
      <alignment horizontal="center" vertical="center"/>
    </xf>
    <xf numFmtId="9" fontId="23" fillId="0" borderId="41" xfId="2" applyFont="1" applyBorder="1" applyAlignment="1" applyProtection="1">
      <alignment horizontal="center" vertical="center"/>
    </xf>
    <xf numFmtId="9" fontId="23" fillId="0" borderId="36" xfId="2" applyFont="1" applyBorder="1" applyAlignment="1" applyProtection="1">
      <alignment horizontal="center" vertical="center"/>
    </xf>
    <xf numFmtId="9" fontId="23" fillId="0" borderId="43" xfId="2" applyFont="1" applyBorder="1" applyAlignment="1" applyProtection="1">
      <alignment horizontal="center" vertical="center"/>
    </xf>
    <xf numFmtId="9" fontId="23" fillId="0" borderId="40" xfId="2" applyFont="1" applyBorder="1" applyAlignment="1" applyProtection="1">
      <alignment horizontal="center" vertical="center"/>
    </xf>
    <xf numFmtId="9" fontId="23" fillId="0" borderId="35" xfId="2" applyFont="1" applyBorder="1" applyAlignment="1" applyProtection="1">
      <alignment horizontal="center" vertical="center"/>
    </xf>
    <xf numFmtId="9" fontId="23" fillId="0" borderId="42" xfId="2" applyFont="1" applyBorder="1" applyAlignment="1" applyProtection="1">
      <alignment horizontal="center" vertical="center"/>
    </xf>
    <xf numFmtId="164" fontId="23" fillId="0" borderId="33" xfId="1" applyNumberFormat="1" applyFont="1" applyBorder="1" applyAlignment="1" applyProtection="1">
      <alignment horizontal="center" vertical="center"/>
    </xf>
    <xf numFmtId="9" fontId="0" fillId="0" borderId="0" xfId="2" applyFont="1"/>
    <xf numFmtId="165" fontId="0" fillId="0" borderId="0" xfId="2" applyNumberFormat="1" applyFont="1"/>
    <xf numFmtId="165" fontId="0" fillId="0" borderId="0" xfId="0" applyNumberFormat="1"/>
    <xf numFmtId="0" fontId="22" fillId="35" borderId="51" xfId="45" applyFont="1" applyFill="1" applyBorder="1" applyAlignment="1">
      <alignment horizontal="center" vertical="center"/>
    </xf>
    <xf numFmtId="0" fontId="22" fillId="35" borderId="52" xfId="45" applyFont="1" applyFill="1" applyBorder="1" applyAlignment="1">
      <alignment horizontal="center" vertical="center"/>
    </xf>
    <xf numFmtId="0" fontId="22" fillId="35" borderId="53" xfId="45" applyFont="1" applyFill="1" applyBorder="1" applyAlignment="1">
      <alignment horizontal="center" vertical="center"/>
    </xf>
    <xf numFmtId="0" fontId="22" fillId="0" borderId="51" xfId="45" applyFont="1" applyFill="1" applyBorder="1" applyAlignment="1">
      <alignment horizontal="center" vertical="center"/>
    </xf>
    <xf numFmtId="0" fontId="22" fillId="0" borderId="52" xfId="45" applyFont="1" applyFill="1" applyBorder="1" applyAlignment="1">
      <alignment horizontal="center" vertical="center"/>
    </xf>
    <xf numFmtId="0" fontId="22" fillId="0" borderId="53" xfId="45" applyFont="1" applyFill="1" applyBorder="1" applyAlignment="1">
      <alignment horizontal="center" vertical="center"/>
    </xf>
    <xf numFmtId="165" fontId="23" fillId="0" borderId="17" xfId="1" applyNumberFormat="1" applyFont="1" applyBorder="1" applyAlignment="1" applyProtection="1">
      <alignment horizontal="center" vertical="center"/>
    </xf>
    <xf numFmtId="165" fontId="23" fillId="0" borderId="15" xfId="1" applyNumberFormat="1" applyFont="1" applyBorder="1" applyAlignment="1" applyProtection="1">
      <alignment horizontal="center" vertical="center"/>
    </xf>
    <xf numFmtId="165" fontId="23" fillId="0" borderId="21" xfId="1" applyNumberFormat="1" applyFont="1" applyBorder="1" applyAlignment="1" applyProtection="1">
      <alignment horizontal="center" vertical="center"/>
    </xf>
    <xf numFmtId="165" fontId="23" fillId="0" borderId="10" xfId="1" applyNumberFormat="1" applyFont="1" applyBorder="1" applyAlignment="1" applyProtection="1">
      <alignment horizontal="center" vertical="center"/>
    </xf>
    <xf numFmtId="165" fontId="23" fillId="0" borderId="18" xfId="1" applyNumberFormat="1" applyFont="1" applyBorder="1" applyAlignment="1" applyProtection="1">
      <alignment horizontal="center" vertical="center"/>
    </xf>
    <xf numFmtId="165" fontId="23" fillId="0" borderId="19" xfId="1" applyNumberFormat="1" applyFont="1" applyBorder="1" applyAlignment="1" applyProtection="1">
      <alignment horizontal="center" vertical="center"/>
    </xf>
    <xf numFmtId="165" fontId="23" fillId="0" borderId="33" xfId="1" applyNumberFormat="1" applyFont="1" applyBorder="1" applyAlignment="1" applyProtection="1">
      <alignment horizontal="center" vertical="center"/>
    </xf>
    <xf numFmtId="0" fontId="22" fillId="35" borderId="32" xfId="45" applyFont="1" applyFill="1" applyBorder="1" applyAlignment="1">
      <alignment horizontal="center" vertical="center"/>
    </xf>
    <xf numFmtId="0" fontId="22" fillId="35" borderId="33" xfId="45" applyFont="1" applyFill="1" applyBorder="1" applyAlignment="1">
      <alignment horizontal="center" vertical="center"/>
    </xf>
    <xf numFmtId="0" fontId="22" fillId="35" borderId="50" xfId="45" applyFont="1" applyFill="1" applyBorder="1" applyAlignment="1">
      <alignment horizontal="center" vertical="center"/>
    </xf>
    <xf numFmtId="0" fontId="22" fillId="33" borderId="11" xfId="10" applyFont="1" applyFill="1" applyBorder="1" applyAlignment="1">
      <alignment horizontal="center" vertical="center" wrapText="1"/>
    </xf>
    <xf numFmtId="0" fontId="22" fillId="33" borderId="12" xfId="10" applyFont="1" applyFill="1" applyBorder="1" applyAlignment="1">
      <alignment horizontal="center" vertical="center" wrapText="1"/>
    </xf>
    <xf numFmtId="0" fontId="22" fillId="33" borderId="13" xfId="10" applyFont="1" applyFill="1" applyBorder="1" applyAlignment="1">
      <alignment horizontal="center" vertical="center" wrapText="1"/>
    </xf>
    <xf numFmtId="0" fontId="22" fillId="0" borderId="32" xfId="45" applyFont="1" applyFill="1" applyBorder="1" applyAlignment="1">
      <alignment horizontal="center" vertical="center"/>
    </xf>
    <xf numFmtId="0" fontId="22" fillId="0" borderId="33" xfId="45" applyFont="1" applyFill="1" applyBorder="1" applyAlignment="1">
      <alignment horizontal="center" vertical="center"/>
    </xf>
    <xf numFmtId="0" fontId="22" fillId="0" borderId="34" xfId="45" applyFont="1" applyFill="1" applyBorder="1" applyAlignment="1">
      <alignment horizontal="center" vertical="center"/>
    </xf>
    <xf numFmtId="0" fontId="26" fillId="33" borderId="11" xfId="10" applyFont="1" applyFill="1" applyBorder="1" applyAlignment="1">
      <alignment horizontal="center" vertical="center" wrapText="1"/>
    </xf>
    <xf numFmtId="0" fontId="26" fillId="33" borderId="12" xfId="10" applyFont="1" applyFill="1" applyBorder="1" applyAlignment="1">
      <alignment horizontal="center" vertical="center" wrapText="1"/>
    </xf>
    <xf numFmtId="0" fontId="26" fillId="33" borderId="13" xfId="10" applyFont="1" applyFill="1" applyBorder="1" applyAlignment="1">
      <alignment horizontal="center" vertical="center" wrapText="1"/>
    </xf>
    <xf numFmtId="3" fontId="27" fillId="0" borderId="37" xfId="1" applyNumberFormat="1" applyFont="1" applyFill="1" applyBorder="1" applyAlignment="1" applyProtection="1">
      <alignment horizontal="center" vertical="center"/>
    </xf>
    <xf numFmtId="3" fontId="27" fillId="0" borderId="38" xfId="1" applyNumberFormat="1" applyFont="1" applyFill="1" applyBorder="1" applyAlignment="1" applyProtection="1">
      <alignment horizontal="center" vertical="center"/>
    </xf>
    <xf numFmtId="3" fontId="27" fillId="0" borderId="39" xfId="1" applyNumberFormat="1" applyFont="1" applyFill="1" applyBorder="1" applyAlignment="1" applyProtection="1">
      <alignment horizontal="center" vertical="center"/>
    </xf>
    <xf numFmtId="0" fontId="19" fillId="34" borderId="23" xfId="45" applyFont="1" applyFill="1" applyBorder="1" applyAlignment="1">
      <alignment horizontal="center"/>
    </xf>
    <xf numFmtId="0" fontId="19" fillId="34" borderId="0" xfId="45" applyFont="1" applyFill="1" applyBorder="1" applyAlignment="1">
      <alignment horizontal="center"/>
    </xf>
    <xf numFmtId="0" fontId="19" fillId="34" borderId="13" xfId="45" applyFont="1" applyFill="1" applyBorder="1" applyAlignment="1">
      <alignment horizontal="center"/>
    </xf>
    <xf numFmtId="0" fontId="19" fillId="34" borderId="14" xfId="45" applyFont="1" applyFill="1" applyBorder="1" applyAlignment="1">
      <alignment horizontal="center"/>
    </xf>
  </cellXfs>
  <cellStyles count="58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50"/>
    <cellStyle name="Comma 2 2" xfId="5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7" builtinId="8"/>
    <cellStyle name="Hyperlink 2" xfId="51"/>
    <cellStyle name="Input" xfId="11" builtinId="20" customBuiltin="1"/>
    <cellStyle name="Linked Cell" xfId="14" builtinId="24" customBuiltin="1"/>
    <cellStyle name="Neutral" xfId="10" builtinId="28" customBuiltin="1"/>
    <cellStyle name="Neutral 2" xfId="54"/>
    <cellStyle name="Normal" xfId="0" builtinId="0"/>
    <cellStyle name="Normal 2" xfId="45"/>
    <cellStyle name="Normal 2 2" xfId="49"/>
    <cellStyle name="Normal 2 2 2" xfId="52"/>
    <cellStyle name="Normal 3" xfId="44"/>
    <cellStyle name="Normal 3 2" xfId="55"/>
    <cellStyle name="Normal 4" xfId="57"/>
    <cellStyle name="Note" xfId="17" builtinId="10" customBuiltin="1"/>
    <cellStyle name="Note 2" xfId="46"/>
    <cellStyle name="Output" xfId="12" builtinId="21" customBuiltin="1"/>
    <cellStyle name="Percent" xfId="2" builtinId="5"/>
    <cellStyle name="Percent 2" xfId="48"/>
    <cellStyle name="Percent 2 2" xfId="56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7"/>
  <sheetViews>
    <sheetView tabSelected="1" workbookViewId="0">
      <selection activeCell="T10" sqref="T10"/>
    </sheetView>
  </sheetViews>
  <sheetFormatPr defaultRowHeight="15" x14ac:dyDescent="0.25"/>
  <cols>
    <col min="1" max="1" width="14.140625" customWidth="1"/>
    <col min="2" max="2" width="6.5703125" bestFit="1" customWidth="1"/>
    <col min="3" max="4" width="7.5703125" bestFit="1" customWidth="1"/>
    <col min="5" max="5" width="6.5703125" bestFit="1" customWidth="1"/>
    <col min="6" max="7" width="7.5703125" bestFit="1" customWidth="1"/>
    <col min="8" max="8" width="6.5703125" bestFit="1" customWidth="1"/>
    <col min="9" max="10" width="7.5703125" bestFit="1" customWidth="1"/>
    <col min="11" max="11" width="6.5703125" bestFit="1" customWidth="1"/>
    <col min="12" max="13" width="7.5703125" bestFit="1" customWidth="1"/>
    <col min="14" max="14" width="5.42578125" bestFit="1" customWidth="1"/>
    <col min="15" max="15" width="7.5703125" bestFit="1" customWidth="1"/>
    <col min="16" max="16" width="8" customWidth="1"/>
    <col min="17" max="17" width="6.5703125" style="1" bestFit="1" customWidth="1"/>
    <col min="18" max="18" width="7.5703125" style="1" bestFit="1" customWidth="1"/>
    <col min="19" max="19" width="8" style="1" customWidth="1"/>
    <col min="20" max="20" width="11.140625" bestFit="1" customWidth="1"/>
    <col min="22" max="22" width="10.140625" bestFit="1" customWidth="1"/>
  </cols>
  <sheetData>
    <row r="1" spans="1:32" ht="15.75" x14ac:dyDescent="0.25">
      <c r="A1" s="65"/>
      <c r="B1" s="77" t="s">
        <v>0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</row>
    <row r="2" spans="1:32" ht="16.5" thickBot="1" x14ac:dyDescent="0.3">
      <c r="A2" s="66"/>
      <c r="B2" s="79" t="s">
        <v>1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3" spans="1:32" ht="15.75" thickBot="1" x14ac:dyDescent="0.3">
      <c r="A3" s="67"/>
      <c r="B3" s="62" t="s">
        <v>2</v>
      </c>
      <c r="C3" s="63"/>
      <c r="D3" s="64"/>
      <c r="E3" s="68" t="s">
        <v>3</v>
      </c>
      <c r="F3" s="69"/>
      <c r="G3" s="70"/>
      <c r="H3" s="62" t="s">
        <v>4</v>
      </c>
      <c r="I3" s="63"/>
      <c r="J3" s="64"/>
      <c r="K3" s="68" t="s">
        <v>5</v>
      </c>
      <c r="L3" s="69"/>
      <c r="M3" s="70"/>
      <c r="N3" s="62" t="s">
        <v>6</v>
      </c>
      <c r="O3" s="63"/>
      <c r="P3" s="64"/>
      <c r="Q3" s="68" t="s">
        <v>33</v>
      </c>
      <c r="R3" s="69"/>
      <c r="S3" s="70"/>
      <c r="T3" s="62" t="s">
        <v>34</v>
      </c>
      <c r="U3" s="63"/>
      <c r="V3" s="64"/>
    </row>
    <row r="4" spans="1:32" ht="15.75" thickBot="1" x14ac:dyDescent="0.3">
      <c r="A4" s="2" t="s">
        <v>8</v>
      </c>
      <c r="B4" s="49" t="s">
        <v>9</v>
      </c>
      <c r="C4" s="50" t="s">
        <v>10</v>
      </c>
      <c r="D4" s="51" t="s">
        <v>11</v>
      </c>
      <c r="E4" s="52" t="s">
        <v>12</v>
      </c>
      <c r="F4" s="53" t="s">
        <v>13</v>
      </c>
      <c r="G4" s="54" t="s">
        <v>14</v>
      </c>
      <c r="H4" s="49" t="s">
        <v>15</v>
      </c>
      <c r="I4" s="50" t="s">
        <v>16</v>
      </c>
      <c r="J4" s="51" t="s">
        <v>17</v>
      </c>
      <c r="K4" s="52" t="s">
        <v>18</v>
      </c>
      <c r="L4" s="53" t="s">
        <v>19</v>
      </c>
      <c r="M4" s="54" t="s">
        <v>20</v>
      </c>
      <c r="N4" s="49" t="s">
        <v>21</v>
      </c>
      <c r="O4" s="50" t="s">
        <v>22</v>
      </c>
      <c r="P4" s="51" t="s">
        <v>23</v>
      </c>
      <c r="Q4" s="52" t="s">
        <v>30</v>
      </c>
      <c r="R4" s="53" t="s">
        <v>31</v>
      </c>
      <c r="S4" s="54" t="s">
        <v>32</v>
      </c>
      <c r="T4" s="49" t="s">
        <v>35</v>
      </c>
      <c r="U4" s="50" t="s">
        <v>36</v>
      </c>
      <c r="V4" s="51" t="s">
        <v>37</v>
      </c>
    </row>
    <row r="5" spans="1:32" x14ac:dyDescent="0.25">
      <c r="A5" s="17" t="s">
        <v>24</v>
      </c>
      <c r="B5" s="4">
        <v>2035</v>
      </c>
      <c r="C5" s="23">
        <v>5463</v>
      </c>
      <c r="D5" s="24">
        <v>5555</v>
      </c>
      <c r="E5" s="27">
        <v>2475</v>
      </c>
      <c r="F5" s="23">
        <v>6240</v>
      </c>
      <c r="G5" s="28">
        <v>6646</v>
      </c>
      <c r="H5" s="4">
        <v>1507</v>
      </c>
      <c r="I5" s="23">
        <v>7180</v>
      </c>
      <c r="J5" s="24">
        <v>7155</v>
      </c>
      <c r="K5" s="27">
        <v>932</v>
      </c>
      <c r="L5" s="23">
        <v>6521</v>
      </c>
      <c r="M5" s="28">
        <v>6641</v>
      </c>
      <c r="N5" s="4">
        <v>158</v>
      </c>
      <c r="O5" s="23">
        <v>6286</v>
      </c>
      <c r="P5" s="45">
        <v>6465</v>
      </c>
      <c r="Q5" s="4">
        <v>639</v>
      </c>
      <c r="R5" s="23">
        <v>5938</v>
      </c>
      <c r="S5" s="45">
        <v>5777</v>
      </c>
      <c r="T5" s="4">
        <v>135</v>
      </c>
      <c r="U5" s="23">
        <v>6047</v>
      </c>
      <c r="V5" s="45">
        <v>6041</v>
      </c>
    </row>
    <row r="6" spans="1:32" x14ac:dyDescent="0.25">
      <c r="A6" s="18" t="s">
        <v>25</v>
      </c>
      <c r="B6" s="25">
        <v>3578</v>
      </c>
      <c r="C6" s="21">
        <v>8879</v>
      </c>
      <c r="D6" s="5">
        <v>8755</v>
      </c>
      <c r="E6" s="22">
        <v>4217</v>
      </c>
      <c r="F6" s="21">
        <v>9686</v>
      </c>
      <c r="G6" s="26">
        <v>10144</v>
      </c>
      <c r="H6" s="25">
        <v>2466</v>
      </c>
      <c r="I6" s="21">
        <v>10431</v>
      </c>
      <c r="J6" s="5">
        <v>10189</v>
      </c>
      <c r="K6" s="22">
        <v>1261</v>
      </c>
      <c r="L6" s="21">
        <v>9256</v>
      </c>
      <c r="M6" s="26">
        <v>9195</v>
      </c>
      <c r="N6" s="25">
        <v>62</v>
      </c>
      <c r="O6" s="21">
        <v>8604</v>
      </c>
      <c r="P6" s="21">
        <v>8872</v>
      </c>
      <c r="Q6" s="25">
        <v>831</v>
      </c>
      <c r="R6" s="21">
        <v>8212</v>
      </c>
      <c r="S6" s="21">
        <v>7910</v>
      </c>
      <c r="T6" s="25">
        <v>84</v>
      </c>
      <c r="U6" s="21">
        <v>8095</v>
      </c>
      <c r="V6" s="21">
        <v>8073</v>
      </c>
    </row>
    <row r="7" spans="1:32" ht="15.75" thickBot="1" x14ac:dyDescent="0.3">
      <c r="A7" s="19" t="s">
        <v>26</v>
      </c>
      <c r="B7" s="29">
        <v>39</v>
      </c>
      <c r="C7" s="30">
        <v>114</v>
      </c>
      <c r="D7" s="31">
        <v>138</v>
      </c>
      <c r="E7" s="32">
        <v>84</v>
      </c>
      <c r="F7" s="30">
        <v>246</v>
      </c>
      <c r="G7" s="33">
        <v>242</v>
      </c>
      <c r="H7" s="29">
        <v>57</v>
      </c>
      <c r="I7" s="30">
        <v>217</v>
      </c>
      <c r="J7" s="31">
        <v>199</v>
      </c>
      <c r="K7" s="32">
        <v>31</v>
      </c>
      <c r="L7" s="30">
        <v>172</v>
      </c>
      <c r="M7" s="33">
        <v>185</v>
      </c>
      <c r="N7" s="29">
        <v>2</v>
      </c>
      <c r="O7" s="30">
        <v>135</v>
      </c>
      <c r="P7" s="21">
        <v>147</v>
      </c>
      <c r="Q7" s="29">
        <v>9</v>
      </c>
      <c r="R7" s="30">
        <v>119</v>
      </c>
      <c r="S7" s="21">
        <v>106</v>
      </c>
      <c r="T7" s="29">
        <v>1</v>
      </c>
      <c r="U7" s="30">
        <v>105</v>
      </c>
      <c r="V7" s="21">
        <v>94</v>
      </c>
      <c r="W7" s="48"/>
      <c r="X7" s="48"/>
      <c r="Y7" s="47"/>
    </row>
    <row r="8" spans="1:32" ht="15.75" thickBot="1" x14ac:dyDescent="0.3">
      <c r="A8" s="14" t="s">
        <v>27</v>
      </c>
      <c r="B8" s="34">
        <v>5652</v>
      </c>
      <c r="C8" s="35">
        <v>14456</v>
      </c>
      <c r="D8" s="6">
        <v>14448</v>
      </c>
      <c r="E8" s="36">
        <v>6776</v>
      </c>
      <c r="F8" s="35">
        <v>16172</v>
      </c>
      <c r="G8" s="37">
        <v>17032</v>
      </c>
      <c r="H8" s="34">
        <v>4030</v>
      </c>
      <c r="I8" s="35">
        <v>17828</v>
      </c>
      <c r="J8" s="6">
        <v>17543</v>
      </c>
      <c r="K8" s="36">
        <v>2224</v>
      </c>
      <c r="L8" s="35">
        <v>15949</v>
      </c>
      <c r="M8" s="37">
        <v>16021</v>
      </c>
      <c r="N8" s="34">
        <v>222</v>
      </c>
      <c r="O8" s="35">
        <v>15025</v>
      </c>
      <c r="P8" s="35">
        <v>15484</v>
      </c>
      <c r="Q8" s="34">
        <f>SUM(Q5:Q7)</f>
        <v>1479</v>
      </c>
      <c r="R8" s="34">
        <f t="shared" ref="R8:U8" si="0">SUM(R5:R7)</f>
        <v>14269</v>
      </c>
      <c r="S8" s="34">
        <f t="shared" si="0"/>
        <v>13793</v>
      </c>
      <c r="T8" s="34">
        <f t="shared" si="0"/>
        <v>220</v>
      </c>
      <c r="U8" s="34">
        <f t="shared" si="0"/>
        <v>14247</v>
      </c>
      <c r="V8" s="35">
        <v>14208</v>
      </c>
      <c r="Y8" s="13"/>
      <c r="AF8" s="46"/>
    </row>
    <row r="9" spans="1:32" s="1" customFormat="1" ht="15.75" thickBot="1" x14ac:dyDescent="0.3">
      <c r="A9" s="20" t="s">
        <v>7</v>
      </c>
      <c r="B9" s="74">
        <v>21297</v>
      </c>
      <c r="C9" s="75"/>
      <c r="D9" s="76"/>
      <c r="E9" s="74">
        <v>24409</v>
      </c>
      <c r="F9" s="75"/>
      <c r="G9" s="76"/>
      <c r="H9" s="74">
        <v>24067</v>
      </c>
      <c r="I9" s="75"/>
      <c r="J9" s="76"/>
      <c r="K9" s="74">
        <v>21012</v>
      </c>
      <c r="L9" s="75"/>
      <c r="M9" s="76"/>
      <c r="N9" s="74">
        <v>19534</v>
      </c>
      <c r="O9" s="75"/>
      <c r="P9" s="76"/>
      <c r="Q9" s="74">
        <v>17946</v>
      </c>
      <c r="R9" s="75"/>
      <c r="S9" s="76"/>
      <c r="T9" s="74">
        <v>18180</v>
      </c>
      <c r="U9" s="75"/>
      <c r="V9" s="76"/>
      <c r="X9" s="13"/>
      <c r="Y9" s="12"/>
      <c r="AF9" s="46"/>
    </row>
    <row r="10" spans="1:32" ht="15.75" thickBo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U10" s="13"/>
      <c r="W10" s="13"/>
      <c r="AA10" s="1"/>
    </row>
    <row r="11" spans="1:32" ht="15.75" x14ac:dyDescent="0.25">
      <c r="A11" s="71" t="s">
        <v>28</v>
      </c>
      <c r="B11" s="77" t="s">
        <v>29</v>
      </c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</row>
    <row r="12" spans="1:32" ht="16.5" thickBot="1" x14ac:dyDescent="0.3">
      <c r="A12" s="72"/>
      <c r="B12" s="79" t="s">
        <v>1</v>
      </c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</row>
    <row r="13" spans="1:32" ht="15.75" thickBot="1" x14ac:dyDescent="0.3">
      <c r="A13" s="73"/>
      <c r="B13" s="62" t="s">
        <v>2</v>
      </c>
      <c r="C13" s="63"/>
      <c r="D13" s="64"/>
      <c r="E13" s="68" t="s">
        <v>3</v>
      </c>
      <c r="F13" s="69"/>
      <c r="G13" s="70"/>
      <c r="H13" s="62" t="s">
        <v>4</v>
      </c>
      <c r="I13" s="63"/>
      <c r="J13" s="64"/>
      <c r="K13" s="68" t="s">
        <v>5</v>
      </c>
      <c r="L13" s="69"/>
      <c r="M13" s="70"/>
      <c r="N13" s="62" t="s">
        <v>6</v>
      </c>
      <c r="O13" s="63"/>
      <c r="P13" s="64"/>
      <c r="Q13" s="68" t="s">
        <v>33</v>
      </c>
      <c r="R13" s="69"/>
      <c r="S13" s="70"/>
      <c r="T13" s="62" t="s">
        <v>34</v>
      </c>
      <c r="U13" s="63"/>
      <c r="V13" s="64"/>
    </row>
    <row r="14" spans="1:32" ht="15.75" thickBot="1" x14ac:dyDescent="0.3">
      <c r="A14" s="2" t="s">
        <v>8</v>
      </c>
      <c r="B14" s="49" t="s">
        <v>9</v>
      </c>
      <c r="C14" s="50" t="s">
        <v>10</v>
      </c>
      <c r="D14" s="51" t="s">
        <v>11</v>
      </c>
      <c r="E14" s="52" t="s">
        <v>12</v>
      </c>
      <c r="F14" s="53" t="s">
        <v>13</v>
      </c>
      <c r="G14" s="54" t="s">
        <v>14</v>
      </c>
      <c r="H14" s="49" t="s">
        <v>15</v>
      </c>
      <c r="I14" s="50" t="s">
        <v>16</v>
      </c>
      <c r="J14" s="51" t="s">
        <v>17</v>
      </c>
      <c r="K14" s="52" t="s">
        <v>18</v>
      </c>
      <c r="L14" s="53" t="s">
        <v>19</v>
      </c>
      <c r="M14" s="54" t="s">
        <v>20</v>
      </c>
      <c r="N14" s="49" t="s">
        <v>21</v>
      </c>
      <c r="O14" s="50" t="s">
        <v>22</v>
      </c>
      <c r="P14" s="51" t="s">
        <v>23</v>
      </c>
      <c r="Q14" s="52" t="s">
        <v>30</v>
      </c>
      <c r="R14" s="53" t="s">
        <v>31</v>
      </c>
      <c r="S14" s="54" t="s">
        <v>32</v>
      </c>
      <c r="T14" s="49" t="s">
        <v>35</v>
      </c>
      <c r="U14" s="50" t="s">
        <v>36</v>
      </c>
      <c r="V14" s="51" t="s">
        <v>37</v>
      </c>
    </row>
    <row r="15" spans="1:32" x14ac:dyDescent="0.25">
      <c r="A15" s="17" t="s">
        <v>24</v>
      </c>
      <c r="B15" s="15">
        <v>0.36004953998584571</v>
      </c>
      <c r="C15" s="38">
        <v>0.37790536801328167</v>
      </c>
      <c r="D15" s="39">
        <v>0.38448228128460687</v>
      </c>
      <c r="E15" s="15">
        <v>0.36525974025974028</v>
      </c>
      <c r="F15" s="38">
        <v>0.38585209003215432</v>
      </c>
      <c r="G15" s="38">
        <v>0.39020666979802726</v>
      </c>
      <c r="H15" s="38">
        <v>0.3739454094292804</v>
      </c>
      <c r="I15" s="38">
        <v>0.40273726722010322</v>
      </c>
      <c r="J15" s="16">
        <v>0.40785498489425981</v>
      </c>
      <c r="K15" s="42">
        <v>0.41906474820143885</v>
      </c>
      <c r="L15" s="38">
        <v>0.40886575960875288</v>
      </c>
      <c r="M15" s="39">
        <v>0.41451844454153924</v>
      </c>
      <c r="N15" s="15">
        <v>0.71171171171171166</v>
      </c>
      <c r="O15" s="38">
        <v>0.41836938435940102</v>
      </c>
      <c r="P15" s="38">
        <v>0.41752777060191165</v>
      </c>
      <c r="Q15" s="15">
        <v>0.43272481406355645</v>
      </c>
      <c r="R15" s="38">
        <v>0.41631682059893649</v>
      </c>
      <c r="S15" s="38">
        <v>0.41857266936884774</v>
      </c>
      <c r="T15" s="55">
        <v>0.56000000000000005</v>
      </c>
      <c r="U15" s="56">
        <v>0.42</v>
      </c>
      <c r="V15" s="61">
        <v>0.42520000000000002</v>
      </c>
    </row>
    <row r="16" spans="1:32" x14ac:dyDescent="0.25">
      <c r="A16" s="18" t="s">
        <v>25</v>
      </c>
      <c r="B16" s="3">
        <v>0.63305024769992924</v>
      </c>
      <c r="C16" s="7">
        <v>0.61420863309352514</v>
      </c>
      <c r="D16" s="40">
        <v>0.60596622369878184</v>
      </c>
      <c r="E16" s="3">
        <v>0.62234356552538372</v>
      </c>
      <c r="F16" s="7">
        <v>0.59893643334157809</v>
      </c>
      <c r="G16" s="7">
        <v>0.59558478158759987</v>
      </c>
      <c r="H16" s="7">
        <v>0.61191066997518606</v>
      </c>
      <c r="I16" s="7">
        <v>0.58509086829706081</v>
      </c>
      <c r="J16" s="8">
        <v>0.58080145927150428</v>
      </c>
      <c r="K16" s="43">
        <v>0.56699640287769781</v>
      </c>
      <c r="L16" s="7">
        <v>0.58034986519531007</v>
      </c>
      <c r="M16" s="40">
        <v>0.57393421134760625</v>
      </c>
      <c r="N16" s="3">
        <v>0.27927927927927926</v>
      </c>
      <c r="O16" s="7">
        <v>0.57264559068219634</v>
      </c>
      <c r="P16" s="7">
        <v>0.5729785585120124</v>
      </c>
      <c r="Q16" s="3">
        <v>0.5611899932386748</v>
      </c>
      <c r="R16" s="7">
        <v>0.57528687377553878</v>
      </c>
      <c r="S16" s="7">
        <v>0.57361030689056169</v>
      </c>
      <c r="T16" s="57">
        <v>0.44</v>
      </c>
      <c r="U16" s="58">
        <v>0.56999999999999995</v>
      </c>
      <c r="V16" s="58">
        <v>0.56820000000000004</v>
      </c>
    </row>
    <row r="17" spans="1:22" ht="15.75" thickBot="1" x14ac:dyDescent="0.3">
      <c r="A17" s="19" t="s">
        <v>26</v>
      </c>
      <c r="B17" s="9">
        <v>6.9002123142250533E-3</v>
      </c>
      <c r="C17" s="10">
        <v>7.8859988931931375E-3</v>
      </c>
      <c r="D17" s="41">
        <v>9.5514950166112958E-3</v>
      </c>
      <c r="E17" s="9">
        <v>1.2396694214876033E-2</v>
      </c>
      <c r="F17" s="10">
        <v>1.5211476626267623E-2</v>
      </c>
      <c r="G17" s="10">
        <v>1.4208548614372945E-2</v>
      </c>
      <c r="H17" s="10">
        <v>1.4143920595533498E-2</v>
      </c>
      <c r="I17" s="10">
        <v>1.2171864482835989E-2</v>
      </c>
      <c r="J17" s="11">
        <v>1.1343555834235878E-2</v>
      </c>
      <c r="K17" s="44">
        <v>1.3938848920863309E-2</v>
      </c>
      <c r="L17" s="10">
        <v>1.078437519593705E-2</v>
      </c>
      <c r="M17" s="41">
        <v>1.1547344110854504E-2</v>
      </c>
      <c r="N17" s="9">
        <v>9.0090090090090089E-3</v>
      </c>
      <c r="O17" s="10">
        <v>8.9850249584026622E-3</v>
      </c>
      <c r="P17" s="10">
        <v>9.4936708860759497E-3</v>
      </c>
      <c r="Q17" s="9">
        <v>6.0851926977687626E-3</v>
      </c>
      <c r="R17" s="10">
        <v>8.3963056255247689E-3</v>
      </c>
      <c r="S17" s="10">
        <v>7.8170237405906194E-3</v>
      </c>
      <c r="T17" s="59">
        <v>3.0000000000000001E-3</v>
      </c>
      <c r="U17" s="60">
        <v>7.0000000000000001E-3</v>
      </c>
      <c r="V17" s="60">
        <v>7.0000000000000001E-3</v>
      </c>
    </row>
  </sheetData>
  <mergeCells count="27">
    <mergeCell ref="B11:V11"/>
    <mergeCell ref="B12:V12"/>
    <mergeCell ref="B1:V1"/>
    <mergeCell ref="B2:V2"/>
    <mergeCell ref="T3:V3"/>
    <mergeCell ref="T9:V9"/>
    <mergeCell ref="N9:P9"/>
    <mergeCell ref="E3:G3"/>
    <mergeCell ref="H3:J3"/>
    <mergeCell ref="K3:M3"/>
    <mergeCell ref="N3:P3"/>
    <mergeCell ref="T13:V13"/>
    <mergeCell ref="A1:A3"/>
    <mergeCell ref="B3:D3"/>
    <mergeCell ref="Q13:S13"/>
    <mergeCell ref="A11:A13"/>
    <mergeCell ref="B13:D13"/>
    <mergeCell ref="E13:G13"/>
    <mergeCell ref="H13:J13"/>
    <mergeCell ref="K13:M13"/>
    <mergeCell ref="N13:P13"/>
    <mergeCell ref="B9:D9"/>
    <mergeCell ref="E9:G9"/>
    <mergeCell ref="H9:J9"/>
    <mergeCell ref="K9:M9"/>
    <mergeCell ref="Q3:S3"/>
    <mergeCell ref="Q9:S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3F5964-9EE2-451D-BC5F-006E4B95AC02}">
  <ds:schemaRefs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microsoft.com/sharepoint/v3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E308B17-A208-44D0-8342-7DDBA8CFCD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3A1E8C-191D-4F7A-AA4E-2FF91A5F3F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LIVE.gender</dc:title>
  <dc:creator>nmesaris</dc:creator>
  <cp:lastModifiedBy>Wesley Klein</cp:lastModifiedBy>
  <dcterms:created xsi:type="dcterms:W3CDTF">2012-03-22T21:49:41Z</dcterms:created>
  <dcterms:modified xsi:type="dcterms:W3CDTF">2014-07-22T16:46:23Z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