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autoCompressPictures="0"/>
  <bookViews>
    <workbookView xWindow="825" yWindow="855" windowWidth="22935" windowHeight="11625"/>
  </bookViews>
  <sheets>
    <sheet name="Flexible Budget" sheetId="1" r:id="rId1"/>
  </sheets>
  <definedNames>
    <definedName name="__IntlFixup" hidden="1">TRUE</definedName>
    <definedName name="__IntlFixupTable" hidden="1">#REF!</definedName>
    <definedName name="_Order1" hidden="1">0</definedName>
    <definedName name="AA.Report.Files" hidden="1">#REF!</definedName>
    <definedName name="AA.Reports.Available" hidden="1">#REF!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_xlnm.Print_Area" localSheetId="0">'Flexible Budget'!$B$3:$J$79</definedName>
    <definedName name="Show.Acct.Update.Warning" hidden="1">#REF!</definedName>
    <definedName name="Show.MDB.Update.Warning" hidden="1">#REF!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1" i="1" l="1"/>
  <c r="E29" i="1"/>
  <c r="E30" i="1"/>
  <c r="E34" i="1"/>
  <c r="E35" i="1"/>
  <c r="E54" i="1"/>
  <c r="E57" i="1"/>
  <c r="E59" i="1"/>
  <c r="E77" i="1"/>
  <c r="E79" i="1"/>
  <c r="H29" i="1"/>
  <c r="H30" i="1"/>
  <c r="H34" i="1"/>
  <c r="H21" i="1"/>
  <c r="H35" i="1"/>
  <c r="H54" i="1"/>
  <c r="H57" i="1"/>
  <c r="H59" i="1"/>
  <c r="H77" i="1"/>
  <c r="H79" i="1"/>
  <c r="F21" i="1"/>
  <c r="F29" i="1"/>
  <c r="F30" i="1"/>
  <c r="F34" i="1"/>
  <c r="F35" i="1"/>
  <c r="F54" i="1"/>
  <c r="F57" i="1"/>
  <c r="F59" i="1"/>
  <c r="F77" i="1"/>
  <c r="F79" i="1"/>
  <c r="I29" i="1"/>
  <c r="I30" i="1"/>
  <c r="I34" i="1"/>
  <c r="I21" i="1"/>
  <c r="I35" i="1"/>
  <c r="I54" i="1"/>
  <c r="I57" i="1"/>
  <c r="I59" i="1"/>
  <c r="I77" i="1"/>
  <c r="I79" i="1"/>
  <c r="G21" i="1"/>
  <c r="G29" i="1"/>
  <c r="G30" i="1"/>
  <c r="G34" i="1"/>
  <c r="G35" i="1"/>
  <c r="G54" i="1"/>
  <c r="G57" i="1"/>
  <c r="G59" i="1"/>
  <c r="G77" i="1"/>
  <c r="G79" i="1"/>
  <c r="J79" i="1"/>
  <c r="J77" i="1"/>
  <c r="J76" i="1"/>
  <c r="J75" i="1"/>
  <c r="J74" i="1"/>
  <c r="J73" i="1"/>
  <c r="J70" i="1"/>
  <c r="J69" i="1"/>
  <c r="J68" i="1"/>
  <c r="J67" i="1"/>
  <c r="J66" i="1"/>
  <c r="J62" i="1"/>
  <c r="J59" i="1"/>
  <c r="J57" i="1"/>
  <c r="J54" i="1"/>
  <c r="J51" i="1"/>
  <c r="J50" i="1"/>
  <c r="J49" i="1"/>
  <c r="J48" i="1"/>
  <c r="J47" i="1"/>
  <c r="J46" i="1"/>
  <c r="J43" i="1"/>
  <c r="J42" i="1"/>
  <c r="J41" i="1"/>
  <c r="J40" i="1"/>
  <c r="J39" i="1"/>
  <c r="J38" i="1"/>
  <c r="J35" i="1"/>
  <c r="J34" i="1"/>
  <c r="J33" i="1"/>
  <c r="J32" i="1"/>
  <c r="J31" i="1"/>
  <c r="J30" i="1"/>
  <c r="J29" i="1"/>
  <c r="J28" i="1"/>
  <c r="J27" i="1"/>
  <c r="J26" i="1"/>
  <c r="J25" i="1"/>
  <c r="J24" i="1"/>
  <c r="J16" i="1"/>
  <c r="J21" i="1"/>
  <c r="J20" i="1"/>
  <c r="J19" i="1"/>
  <c r="J18" i="1"/>
  <c r="J17" i="1"/>
  <c r="J13" i="1"/>
  <c r="J12" i="1"/>
  <c r="J11" i="1"/>
  <c r="J10" i="1"/>
  <c r="J8" i="1"/>
  <c r="J9" i="1"/>
  <c r="I13" i="1"/>
  <c r="I24" i="1"/>
  <c r="I25" i="1"/>
  <c r="I26" i="1"/>
  <c r="I27" i="1"/>
  <c r="I28" i="1"/>
  <c r="I31" i="1"/>
  <c r="I32" i="1"/>
  <c r="I33" i="1"/>
  <c r="I43" i="1"/>
  <c r="I51" i="1"/>
  <c r="I70" i="1"/>
  <c r="H13" i="1"/>
  <c r="H24" i="1"/>
  <c r="H25" i="1"/>
  <c r="H26" i="1"/>
  <c r="H27" i="1"/>
  <c r="H28" i="1"/>
  <c r="H31" i="1"/>
  <c r="H32" i="1"/>
  <c r="H33" i="1"/>
  <c r="H43" i="1"/>
  <c r="H51" i="1"/>
  <c r="H70" i="1"/>
  <c r="E70" i="1"/>
  <c r="F70" i="1"/>
  <c r="G70" i="1"/>
  <c r="E25" i="1"/>
  <c r="F25" i="1"/>
  <c r="G25" i="1"/>
  <c r="E51" i="1"/>
  <c r="F51" i="1"/>
  <c r="G51" i="1"/>
  <c r="G24" i="1"/>
  <c r="F24" i="1"/>
  <c r="E24" i="1"/>
  <c r="G13" i="1"/>
  <c r="G33" i="1"/>
  <c r="G32" i="1"/>
  <c r="G31" i="1"/>
  <c r="F33" i="1"/>
  <c r="F32" i="1"/>
  <c r="F31" i="1"/>
  <c r="G28" i="1"/>
  <c r="F28" i="1"/>
  <c r="G27" i="1"/>
  <c r="F27" i="1"/>
  <c r="G26" i="1"/>
  <c r="F26" i="1"/>
  <c r="G43" i="1"/>
  <c r="F43" i="1"/>
  <c r="E43" i="1"/>
  <c r="E33" i="1"/>
  <c r="E32" i="1"/>
  <c r="E31" i="1"/>
  <c r="E28" i="1"/>
  <c r="E27" i="1"/>
  <c r="E26" i="1"/>
  <c r="Q6" i="1"/>
  <c r="F13" i="1"/>
  <c r="E13" i="1"/>
</calcChain>
</file>

<file path=xl/sharedStrings.xml><?xml version="1.0" encoding="utf-8"?>
<sst xmlns="http://schemas.openxmlformats.org/spreadsheetml/2006/main" count="70" uniqueCount="54">
  <si>
    <t>Total Costs</t>
  </si>
  <si>
    <t>Fringe</t>
  </si>
  <si>
    <t>Year 1</t>
  </si>
  <si>
    <t>Year 2</t>
  </si>
  <si>
    <t>Total</t>
  </si>
  <si>
    <t>Rate</t>
  </si>
  <si>
    <t>Total Salaries and Fringe</t>
  </si>
  <si>
    <t>Total Salaries</t>
  </si>
  <si>
    <t>Total  Fringe</t>
  </si>
  <si>
    <t>Indirect Costs</t>
  </si>
  <si>
    <t>Total Direct Costs</t>
  </si>
  <si>
    <t xml:space="preserve">Rate </t>
  </si>
  <si>
    <t>Travel</t>
  </si>
  <si>
    <t>Budget</t>
  </si>
  <si>
    <t>Year 3</t>
  </si>
  <si>
    <t>Senior Salaries</t>
  </si>
  <si>
    <t>Student/IH Salaries</t>
  </si>
  <si>
    <t>Total Student/IH Salaries</t>
  </si>
  <si>
    <t>Fringe Calculator</t>
  </si>
  <si>
    <t>Please Enter Salary Here</t>
  </si>
  <si>
    <t>Your Fringe Rate Is</t>
  </si>
  <si>
    <t>For Students Please Use</t>
  </si>
  <si>
    <t>Academic Year</t>
  </si>
  <si>
    <t>Summer</t>
  </si>
  <si>
    <t>Full Year</t>
  </si>
  <si>
    <t>Tuition</t>
  </si>
  <si>
    <t>Total Travel</t>
  </si>
  <si>
    <t>Total Budget</t>
  </si>
  <si>
    <t>Equipment &gt;$5,000</t>
  </si>
  <si>
    <t>Subaward &gt;$25,000</t>
  </si>
  <si>
    <t>Other Direct Costs (include 1st $25,000 of Subawards here)</t>
  </si>
  <si>
    <t>Total Subaward &gt;$25,000</t>
  </si>
  <si>
    <t>Total Equipment &gt;$5,000</t>
  </si>
  <si>
    <t>Total Tuition</t>
  </si>
  <si>
    <t>Senior 5</t>
  </si>
  <si>
    <t>Student/IH 1</t>
  </si>
  <si>
    <t>Student/IH 2</t>
  </si>
  <si>
    <t>Student/IH 3</t>
  </si>
  <si>
    <t>Student/IH 4</t>
  </si>
  <si>
    <t>Student/IH 5</t>
  </si>
  <si>
    <t>In State Per Diem = $30 per day</t>
  </si>
  <si>
    <t>Out of State Per Diem = $46 per day</t>
  </si>
  <si>
    <t>UI mileage rate = .555 mi</t>
  </si>
  <si>
    <t>*Please note - this information is current as of 12/1/2013) always check the OSP website for most current information</t>
  </si>
  <si>
    <t>Salary Base</t>
  </si>
  <si>
    <t xml:space="preserve"> </t>
  </si>
  <si>
    <t>Senior 1</t>
  </si>
  <si>
    <t>Senior 2</t>
  </si>
  <si>
    <t>Senior 3</t>
  </si>
  <si>
    <t>Senior 4</t>
  </si>
  <si>
    <t xml:space="preserve">Senior 1 </t>
  </si>
  <si>
    <t xml:space="preserve">Senior 2 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</si>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</sst>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mmmm\ d\,\ yyyy"/>
    <numFmt numFmtId="171" formatCode="mm/dd/yy"/>
    <numFmt numFmtId="172" formatCode="&quot;$&quot;#,##0"/>
    <numFmt numFmtId="173" formatCode="0.0%"/>
  </numFmts>
  <fonts count="4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Tahoma"/>
      <family val="2"/>
    </font>
    <font>
      <sz val="8"/>
      <name val="Times New Roman"/>
      <family val="1"/>
    </font>
    <font>
      <sz val="8"/>
      <name val="Verdana"/>
      <family val="2"/>
    </font>
    <font>
      <sz val="10"/>
      <name val="Helv"/>
    </font>
    <font>
      <b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indexed="12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6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2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3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6" borderId="0" applyNumberFormat="0" applyBorder="0" applyAlignment="0" applyProtection="0"/>
    <xf numFmtId="0" fontId="22" fillId="3" borderId="0" applyNumberFormat="0" applyBorder="0" applyAlignment="0" applyProtection="0"/>
    <xf numFmtId="0" fontId="22" fillId="9" borderId="0" applyNumberFormat="0" applyBorder="0" applyAlignment="0" applyProtection="0"/>
    <xf numFmtId="0" fontId="22" fillId="8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37" fontId="6" fillId="16" borderId="1" applyBorder="0" applyProtection="0">
      <alignment vertical="center"/>
    </xf>
    <xf numFmtId="0" fontId="23" fillId="17" borderId="0" applyNumberFormat="0" applyBorder="0" applyAlignment="0" applyProtection="0"/>
    <xf numFmtId="5" fontId="7" fillId="0" borderId="2">
      <protection locked="0"/>
    </xf>
    <xf numFmtId="0" fontId="8" fillId="18" borderId="0" applyBorder="0">
      <alignment horizontal="left" vertical="center" indent="1"/>
    </xf>
    <xf numFmtId="0" fontId="24" fillId="4" borderId="3" applyNumberFormat="0" applyAlignment="0" applyProtection="0"/>
    <xf numFmtId="0" fontId="25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9" fillId="0" borderId="5"/>
    <xf numFmtId="4" fontId="7" fillId="20" borderId="5">
      <protection locked="0"/>
    </xf>
    <xf numFmtId="0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27" fillId="6" borderId="0" applyNumberFormat="0" applyBorder="0" applyAlignment="0" applyProtection="0"/>
    <xf numFmtId="4" fontId="7" fillId="21" borderId="5"/>
    <xf numFmtId="43" fontId="10" fillId="0" borderId="6"/>
    <xf numFmtId="37" fontId="11" fillId="22" borderId="2" applyBorder="0">
      <alignment horizontal="left" vertical="center" indent="1"/>
    </xf>
    <xf numFmtId="37" fontId="12" fillId="23" borderId="7" applyFill="0">
      <alignment vertical="center"/>
    </xf>
    <xf numFmtId="0" fontId="12" fillId="24" borderId="8" applyNumberFormat="0">
      <alignment horizontal="left" vertical="top" indent="1"/>
    </xf>
    <xf numFmtId="0" fontId="12" fillId="16" borderId="0" applyBorder="0">
      <alignment horizontal="left" vertical="center" indent="1"/>
    </xf>
    <xf numFmtId="0" fontId="12" fillId="0" borderId="8" applyNumberFormat="0" applyFill="0">
      <alignment horizontal="centerContinuous" vertical="top"/>
    </xf>
    <xf numFmtId="0" fontId="13" fillId="0" borderId="0" applyNumberFormat="0" applyFont="0" applyFill="0" applyAlignment="0" applyProtection="0"/>
    <xf numFmtId="0" fontId="14" fillId="0" borderId="0" applyNumberFormat="0" applyFont="0" applyFill="0" applyAlignment="0" applyProtection="0"/>
    <xf numFmtId="0" fontId="28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9" fillId="10" borderId="3" applyNumberFormat="0" applyAlignment="0" applyProtection="0"/>
    <xf numFmtId="43" fontId="10" fillId="0" borderId="10"/>
    <xf numFmtId="0" fontId="30" fillId="0" borderId="11" applyNumberFormat="0" applyFill="0" applyAlignment="0" applyProtection="0"/>
    <xf numFmtId="44" fontId="10" fillId="0" borderId="12"/>
    <xf numFmtId="0" fontId="31" fillId="7" borderId="0" applyNumberFormat="0" applyBorder="0" applyAlignment="0" applyProtection="0"/>
    <xf numFmtId="0" fontId="15" fillId="23" borderId="0">
      <alignment horizontal="left" wrapText="1" indent="1"/>
    </xf>
    <xf numFmtId="37" fontId="6" fillId="16" borderId="13" applyBorder="0">
      <alignment horizontal="left" vertical="center" indent="2"/>
    </xf>
    <xf numFmtId="0" fontId="16" fillId="0" borderId="0"/>
    <xf numFmtId="0" fontId="1" fillId="7" borderId="14" applyNumberFormat="0" applyFont="0" applyAlignment="0" applyProtection="0"/>
    <xf numFmtId="0" fontId="32" fillId="4" borderId="15" applyNumberFormat="0" applyAlignment="0" applyProtection="0"/>
    <xf numFmtId="169" fontId="17" fillId="25" borderId="16"/>
    <xf numFmtId="168" fontId="17" fillId="0" borderId="16" applyFont="0" applyFill="0" applyBorder="0" applyAlignment="0" applyProtection="0">
      <protection locked="0"/>
    </xf>
    <xf numFmtId="2" fontId="18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>
      <alignment horizontal="right"/>
    </xf>
    <xf numFmtId="0" fontId="20" fillId="0" borderId="0"/>
    <xf numFmtId="0" fontId="1" fillId="0" borderId="17" applyNumberFormat="0" applyFon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0" xfId="0" applyFont="1" applyProtection="1"/>
    <xf numFmtId="0" fontId="4" fillId="0" borderId="0" xfId="0" applyFont="1" applyFill="1" applyProtection="1"/>
    <xf numFmtId="0" fontId="3" fillId="28" borderId="0" xfId="0" applyFont="1" applyFill="1" applyAlignment="1" applyProtection="1">
      <alignment horizontal="centerContinuous" vertical="center"/>
    </xf>
    <xf numFmtId="38" fontId="35" fillId="0" borderId="0" xfId="0" applyNumberFormat="1" applyFont="1" applyFill="1" applyProtection="1"/>
    <xf numFmtId="0" fontId="1" fillId="0" borderId="0" xfId="0" applyFont="1" applyProtection="1"/>
    <xf numFmtId="0" fontId="38" fillId="28" borderId="0" xfId="0" applyFont="1" applyFill="1" applyAlignment="1" applyProtection="1">
      <alignment horizontal="centerContinuous" vertical="center"/>
    </xf>
    <xf numFmtId="0" fontId="37" fillId="28" borderId="0" xfId="0" applyFont="1" applyFill="1" applyProtection="1"/>
    <xf numFmtId="0" fontId="37" fillId="28" borderId="0" xfId="0" applyFont="1" applyFill="1" applyAlignment="1" applyProtection="1">
      <alignment horizontal="center"/>
    </xf>
    <xf numFmtId="3" fontId="39" fillId="0" borderId="0" xfId="53" applyNumberFormat="1" applyFont="1" applyAlignment="1" applyProtection="1">
      <alignment horizontal="right" vertical="center"/>
    </xf>
    <xf numFmtId="3" fontId="40" fillId="0" borderId="0" xfId="53" applyNumberFormat="1" applyFont="1" applyAlignment="1" applyProtection="1">
      <alignment horizontal="right" vertical="center"/>
    </xf>
    <xf numFmtId="0" fontId="41" fillId="0" borderId="0" xfId="53" applyFont="1" applyAlignment="1" applyProtection="1">
      <alignment horizontal="center" vertical="center"/>
    </xf>
    <xf numFmtId="170" fontId="42" fillId="0" borderId="0" xfId="36" applyNumberFormat="1" applyFont="1" applyFill="1" applyAlignment="1" applyProtection="1">
      <alignment horizontal="centerContinuous"/>
      <protection locked="0"/>
    </xf>
    <xf numFmtId="0" fontId="4" fillId="0" borderId="0" xfId="0" applyFont="1" applyFill="1" applyAlignment="1" applyProtection="1">
      <alignment horizontal="centerContinuous"/>
    </xf>
    <xf numFmtId="172" fontId="37" fillId="0" borderId="0" xfId="0" applyNumberFormat="1" applyFont="1" applyFill="1" applyBorder="1" applyAlignment="1" applyProtection="1">
      <alignment horizontal="right"/>
    </xf>
    <xf numFmtId="0" fontId="1" fillId="0" borderId="2" xfId="0" applyFont="1" applyBorder="1" applyProtection="1"/>
    <xf numFmtId="0" fontId="1" fillId="0" borderId="0" xfId="0" applyFont="1" applyBorder="1" applyProtection="1"/>
    <xf numFmtId="0" fontId="1" fillId="0" borderId="24" xfId="0" applyFont="1" applyBorder="1" applyProtection="1"/>
    <xf numFmtId="0" fontId="4" fillId="27" borderId="19" xfId="0" applyFont="1" applyFill="1" applyBorder="1" applyProtection="1"/>
    <xf numFmtId="0" fontId="42" fillId="27" borderId="19" xfId="0" applyFont="1" applyFill="1" applyBorder="1" applyAlignment="1" applyProtection="1">
      <alignment horizontal="center"/>
    </xf>
    <xf numFmtId="0" fontId="42" fillId="27" borderId="19" xfId="0" applyFont="1" applyFill="1" applyBorder="1" applyAlignment="1" applyProtection="1">
      <alignment horizontal="centerContinuous"/>
    </xf>
    <xf numFmtId="173" fontId="37" fillId="0" borderId="0" xfId="0" applyNumberFormat="1" applyFont="1" applyFill="1" applyBorder="1" applyProtection="1"/>
    <xf numFmtId="173" fontId="37" fillId="30" borderId="20" xfId="0" applyNumberFormat="1" applyFont="1" applyFill="1" applyBorder="1" applyProtection="1"/>
    <xf numFmtId="0" fontId="42" fillId="28" borderId="18" xfId="0" applyFont="1" applyFill="1" applyBorder="1" applyProtection="1"/>
    <xf numFmtId="0" fontId="4" fillId="28" borderId="18" xfId="0" applyFont="1" applyFill="1" applyBorder="1" applyProtection="1"/>
    <xf numFmtId="0" fontId="42" fillId="28" borderId="18" xfId="0" applyFont="1" applyFill="1" applyBorder="1" applyAlignment="1" applyProtection="1">
      <alignment horizontal="center"/>
    </xf>
    <xf numFmtId="3" fontId="42" fillId="28" borderId="18" xfId="0" applyNumberFormat="1" applyFont="1" applyFill="1" applyBorder="1" applyAlignment="1" applyProtection="1">
      <alignment horizontal="center"/>
      <protection locked="0"/>
    </xf>
    <xf numFmtId="3" fontId="37" fillId="28" borderId="18" xfId="0" applyNumberFormat="1" applyFont="1" applyFill="1" applyBorder="1" applyAlignment="1" applyProtection="1">
      <alignment horizontal="center"/>
      <protection locked="0"/>
    </xf>
    <xf numFmtId="0" fontId="4" fillId="0" borderId="0" xfId="0" applyNumberFormat="1" applyFont="1" applyFill="1" applyProtection="1">
      <protection locked="0"/>
    </xf>
    <xf numFmtId="3" fontId="4" fillId="0" borderId="0" xfId="0" applyNumberFormat="1" applyFont="1" applyFill="1" applyProtection="1"/>
    <xf numFmtId="3" fontId="1" fillId="0" borderId="0" xfId="0" applyNumberFormat="1" applyFont="1" applyProtection="1"/>
    <xf numFmtId="0" fontId="37" fillId="0" borderId="2" xfId="0" applyFont="1" applyBorder="1" applyProtection="1"/>
    <xf numFmtId="0" fontId="37" fillId="0" borderId="0" xfId="0" applyFont="1" applyBorder="1" applyProtection="1"/>
    <xf numFmtId="9" fontId="37" fillId="0" borderId="0" xfId="0" applyNumberFormat="1" applyFont="1" applyBorder="1" applyProtection="1"/>
    <xf numFmtId="0" fontId="37" fillId="0" borderId="24" xfId="0" applyFont="1" applyBorder="1" applyProtection="1"/>
    <xf numFmtId="0" fontId="37" fillId="0" borderId="25" xfId="0" applyFont="1" applyBorder="1" applyProtection="1"/>
    <xf numFmtId="0" fontId="37" fillId="0" borderId="18" xfId="0" applyFont="1" applyBorder="1" applyProtection="1"/>
    <xf numFmtId="9" fontId="37" fillId="0" borderId="18" xfId="0" applyNumberFormat="1" applyFont="1" applyBorder="1" applyProtection="1"/>
    <xf numFmtId="0" fontId="37" fillId="0" borderId="26" xfId="0" applyFont="1" applyBorder="1" applyProtection="1"/>
    <xf numFmtId="0" fontId="4" fillId="0" borderId="0" xfId="0" applyNumberFormat="1" applyFont="1" applyFill="1" applyAlignment="1" applyProtection="1">
      <alignment horizontal="right"/>
      <protection locked="0"/>
    </xf>
    <xf numFmtId="0" fontId="4" fillId="28" borderId="0" xfId="0" applyFont="1" applyFill="1" applyProtection="1"/>
    <xf numFmtId="0" fontId="4" fillId="28" borderId="0" xfId="0" applyNumberFormat="1" applyFont="1" applyFill="1" applyProtection="1">
      <protection locked="0"/>
    </xf>
    <xf numFmtId="3" fontId="4" fillId="28" borderId="0" xfId="0" applyNumberFormat="1" applyFont="1" applyFill="1" applyProtection="1"/>
    <xf numFmtId="38" fontId="4" fillId="0" borderId="0" xfId="0" applyNumberFormat="1" applyFont="1" applyFill="1" applyProtection="1"/>
    <xf numFmtId="0" fontId="43" fillId="28" borderId="0" xfId="0" applyFont="1" applyFill="1" applyProtection="1"/>
    <xf numFmtId="0" fontId="43" fillId="28" borderId="0" xfId="0" applyNumberFormat="1" applyFont="1" applyFill="1" applyProtection="1">
      <protection locked="0"/>
    </xf>
    <xf numFmtId="38" fontId="42" fillId="28" borderId="0" xfId="0" applyNumberFormat="1" applyFont="1" applyFill="1" applyAlignment="1" applyProtection="1">
      <alignment horizontal="center"/>
    </xf>
    <xf numFmtId="0" fontId="42" fillId="28" borderId="0" xfId="0" applyFont="1" applyFill="1" applyProtection="1"/>
    <xf numFmtId="0" fontId="42" fillId="28" borderId="0" xfId="0" applyNumberFormat="1" applyFont="1" applyFill="1" applyAlignment="1" applyProtection="1">
      <alignment horizontal="center"/>
      <protection locked="0"/>
    </xf>
    <xf numFmtId="38" fontId="4" fillId="28" borderId="0" xfId="0" applyNumberFormat="1" applyFont="1" applyFill="1" applyProtection="1"/>
    <xf numFmtId="173" fontId="4" fillId="0" borderId="0" xfId="0" applyNumberFormat="1" applyFont="1" applyFill="1" applyProtection="1">
      <protection locked="0"/>
    </xf>
    <xf numFmtId="0" fontId="4" fillId="28" borderId="0" xfId="0" applyNumberFormat="1" applyFont="1" applyFill="1" applyBorder="1" applyProtection="1"/>
    <xf numFmtId="6" fontId="4" fillId="28" borderId="0" xfId="0" applyNumberFormat="1" applyFont="1" applyFill="1" applyBorder="1" applyProtection="1"/>
    <xf numFmtId="38" fontId="4" fillId="28" borderId="0" xfId="0" applyNumberFormat="1" applyFont="1" applyFill="1" applyBorder="1" applyProtection="1"/>
    <xf numFmtId="0" fontId="4" fillId="28" borderId="0" xfId="0" applyNumberFormat="1" applyFont="1" applyFill="1" applyProtection="1"/>
    <xf numFmtId="0" fontId="4" fillId="0" borderId="0" xfId="0" applyNumberFormat="1" applyFont="1" applyFill="1" applyProtection="1"/>
    <xf numFmtId="0" fontId="42" fillId="0" borderId="0" xfId="0" applyFont="1" applyFill="1" applyProtection="1"/>
    <xf numFmtId="0" fontId="1" fillId="31" borderId="2" xfId="0" applyFont="1" applyFill="1" applyBorder="1" applyProtection="1"/>
    <xf numFmtId="0" fontId="1" fillId="31" borderId="0" xfId="0" applyFont="1" applyFill="1" applyBorder="1" applyProtection="1"/>
    <xf numFmtId="0" fontId="1" fillId="31" borderId="24" xfId="0" applyFont="1" applyFill="1" applyBorder="1" applyProtection="1"/>
    <xf numFmtId="6" fontId="4" fillId="28" borderId="0" xfId="0" applyNumberFormat="1" applyFont="1" applyFill="1" applyProtection="1">
      <protection locked="0"/>
    </xf>
    <xf numFmtId="38" fontId="4" fillId="28" borderId="28" xfId="0" applyNumberFormat="1" applyFont="1" applyFill="1" applyBorder="1" applyProtection="1"/>
    <xf numFmtId="38" fontId="4" fillId="28" borderId="28" xfId="0" applyNumberFormat="1" applyFont="1" applyFill="1" applyBorder="1" applyProtection="1">
      <protection locked="0"/>
    </xf>
    <xf numFmtId="38" fontId="4" fillId="0" borderId="0" xfId="0" applyNumberFormat="1" applyFont="1" applyFill="1" applyProtection="1">
      <protection locked="0"/>
    </xf>
    <xf numFmtId="0" fontId="42" fillId="28" borderId="0" xfId="0" applyNumberFormat="1" applyFont="1" applyFill="1" applyAlignment="1" applyProtection="1">
      <alignment horizontal="center"/>
    </xf>
    <xf numFmtId="10" fontId="4" fillId="0" borderId="0" xfId="0" applyNumberFormat="1" applyFont="1" applyFill="1" applyProtection="1"/>
    <xf numFmtId="6" fontId="4" fillId="0" borderId="0" xfId="0" applyNumberFormat="1" applyFont="1" applyFill="1" applyBorder="1" applyProtection="1"/>
    <xf numFmtId="6" fontId="42" fillId="28" borderId="12" xfId="0" applyNumberFormat="1" applyFont="1" applyFill="1" applyBorder="1" applyProtection="1"/>
    <xf numFmtId="0" fontId="1" fillId="28" borderId="0" xfId="0" applyFont="1" applyFill="1" applyProtection="1"/>
    <xf numFmtId="0" fontId="44" fillId="0" borderId="0" xfId="53" applyFont="1" applyAlignment="1" applyProtection="1">
      <alignment horizontal="center" vertical="center"/>
    </xf>
    <xf numFmtId="0" fontId="45" fillId="28" borderId="0" xfId="53" applyFont="1" applyFill="1" applyAlignment="1" applyProtection="1">
      <alignment horizontal="left" vertical="center"/>
    </xf>
    <xf numFmtId="0" fontId="44" fillId="28" borderId="0" xfId="53" applyFont="1" applyFill="1" applyAlignment="1" applyProtection="1">
      <alignment horizontal="center" vertical="center"/>
    </xf>
    <xf numFmtId="3" fontId="42" fillId="28" borderId="12" xfId="0" applyNumberFormat="1" applyFont="1" applyFill="1" applyBorder="1" applyProtection="1"/>
    <xf numFmtId="8" fontId="1" fillId="0" borderId="0" xfId="0" applyNumberFormat="1" applyFont="1" applyProtection="1"/>
    <xf numFmtId="6" fontId="1" fillId="0" borderId="0" xfId="0" applyNumberFormat="1" applyFont="1" applyProtection="1"/>
    <xf numFmtId="6" fontId="4" fillId="28" borderId="0" xfId="0" applyNumberFormat="1" applyFont="1" applyFill="1" applyProtection="1"/>
    <xf numFmtId="0" fontId="39" fillId="0" borderId="0" xfId="53" applyFont="1" applyAlignment="1" applyProtection="1">
      <alignment horizontal="left" vertical="center"/>
    </xf>
    <xf numFmtId="0" fontId="1" fillId="0" borderId="0" xfId="53" applyFont="1" applyAlignment="1" applyProtection="1">
      <alignment horizontal="left" vertical="center"/>
    </xf>
    <xf numFmtId="0" fontId="0" fillId="0" borderId="0" xfId="0" applyFont="1" applyProtection="1"/>
    <xf numFmtId="40" fontId="4" fillId="28" borderId="0" xfId="0" applyNumberFormat="1" applyFont="1" applyFill="1" applyProtection="1"/>
    <xf numFmtId="2" fontId="4" fillId="28" borderId="0" xfId="0" applyNumberFormat="1" applyFont="1" applyFill="1" applyProtection="1"/>
    <xf numFmtId="0" fontId="37" fillId="31" borderId="2" xfId="0" applyFont="1" applyFill="1" applyBorder="1" applyAlignment="1" applyProtection="1"/>
    <xf numFmtId="0" fontId="37" fillId="31" borderId="0" xfId="0" applyFont="1" applyFill="1" applyBorder="1" applyAlignment="1"/>
    <xf numFmtId="0" fontId="37" fillId="31" borderId="24" xfId="0" applyFont="1" applyFill="1" applyBorder="1" applyAlignment="1"/>
    <xf numFmtId="0" fontId="37" fillId="31" borderId="2" xfId="0" applyFont="1" applyFill="1" applyBorder="1" applyAlignment="1" applyProtection="1">
      <alignment wrapText="1"/>
    </xf>
    <xf numFmtId="0" fontId="37" fillId="31" borderId="0" xfId="0" applyFont="1" applyFill="1" applyBorder="1" applyAlignment="1">
      <alignment wrapText="1"/>
    </xf>
    <xf numFmtId="0" fontId="37" fillId="31" borderId="24" xfId="0" applyFont="1" applyFill="1" applyBorder="1" applyAlignment="1">
      <alignment wrapText="1"/>
    </xf>
    <xf numFmtId="0" fontId="37" fillId="31" borderId="2" xfId="0" applyFont="1" applyFill="1" applyBorder="1" applyAlignment="1">
      <alignment wrapText="1"/>
    </xf>
    <xf numFmtId="0" fontId="1" fillId="31" borderId="25" xfId="0" applyFont="1" applyFill="1" applyBorder="1" applyAlignment="1"/>
    <xf numFmtId="0" fontId="1" fillId="31" borderId="18" xfId="0" applyFont="1" applyFill="1" applyBorder="1" applyAlignment="1"/>
    <xf numFmtId="0" fontId="1" fillId="31" borderId="26" xfId="0" applyFont="1" applyFill="1" applyBorder="1" applyAlignment="1"/>
    <xf numFmtId="0" fontId="38" fillId="29" borderId="21" xfId="0" applyFont="1" applyFill="1" applyBorder="1" applyAlignment="1" applyProtection="1">
      <alignment horizontal="center" vertical="center"/>
    </xf>
    <xf numFmtId="0" fontId="38" fillId="29" borderId="22" xfId="0" applyFont="1" applyFill="1" applyBorder="1" applyAlignment="1">
      <alignment horizontal="center" vertical="center"/>
    </xf>
    <xf numFmtId="0" fontId="36" fillId="0" borderId="22" xfId="0" applyFont="1" applyBorder="1" applyAlignment="1"/>
    <xf numFmtId="0" fontId="36" fillId="0" borderId="23" xfId="0" applyFont="1" applyBorder="1" applyAlignment="1"/>
    <xf numFmtId="0" fontId="37" fillId="0" borderId="2" xfId="0" applyFont="1" applyBorder="1" applyAlignment="1" applyProtection="1">
      <alignment horizontal="right"/>
    </xf>
    <xf numFmtId="0" fontId="37" fillId="0" borderId="0" xfId="0" applyFont="1" applyBorder="1" applyAlignment="1">
      <alignment horizontal="right"/>
    </xf>
    <xf numFmtId="0" fontId="37" fillId="0" borderId="2" xfId="0" applyFont="1" applyBorder="1" applyAlignment="1" applyProtection="1">
      <alignment horizontal="left"/>
    </xf>
    <xf numFmtId="0" fontId="37" fillId="0" borderId="0" xfId="0" applyFont="1" applyBorder="1" applyAlignment="1">
      <alignment horizontal="left"/>
    </xf>
    <xf numFmtId="172" fontId="37" fillId="30" borderId="27" xfId="0" applyNumberFormat="1" applyFont="1" applyFill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37" fillId="31" borderId="21" xfId="0" applyFont="1" applyFill="1" applyBorder="1" applyAlignment="1" applyProtection="1"/>
    <xf numFmtId="0" fontId="37" fillId="31" borderId="22" xfId="0" applyFont="1" applyFill="1" applyBorder="1" applyAlignment="1"/>
    <xf numFmtId="0" fontId="37" fillId="31" borderId="23" xfId="0" applyFont="1" applyFill="1" applyBorder="1" applyAlignment="1"/>
  </cellXfs>
  <cellStyles count="7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/>
    <cellStyle name="Bad" xfId="26" builtinId="27" customBuiltin="1"/>
    <cellStyle name="Blank" xfId="27"/>
    <cellStyle name="Body text" xfId="28"/>
    <cellStyle name="Calculation" xfId="29" builtinId="22" customBuiltin="1"/>
    <cellStyle name="Check Cell" xfId="30" builtinId="23" customBuiltin="1"/>
    <cellStyle name="Comma0" xfId="31"/>
    <cellStyle name="Currency0" xfId="32"/>
    <cellStyle name="DarkBlueOutline" xfId="33"/>
    <cellStyle name="DarkBlueOutlineYellow" xfId="34"/>
    <cellStyle name="Date" xfId="35"/>
    <cellStyle name="Date_simple" xfId="36"/>
    <cellStyle name="Dezimal [0]_Compiling Utility Macros" xfId="37"/>
    <cellStyle name="Dezimal_Compiling Utility Macros" xfId="38"/>
    <cellStyle name="Explanatory Text" xfId="39" builtinId="53" customBuiltin="1"/>
    <cellStyle name="Fixed" xfId="40"/>
    <cellStyle name="Good" xfId="41" builtinId="26" customBuiltin="1"/>
    <cellStyle name="GRAY" xfId="42"/>
    <cellStyle name="Gross Margin" xfId="43"/>
    <cellStyle name="header" xfId="44"/>
    <cellStyle name="Header Total" xfId="45"/>
    <cellStyle name="Header1" xfId="46"/>
    <cellStyle name="Header2" xfId="47"/>
    <cellStyle name="Header3" xfId="48"/>
    <cellStyle name="Heading 1" xfId="49" builtinId="16" customBuiltin="1"/>
    <cellStyle name="Heading 2" xfId="50" builtinId="17" customBuiltin="1"/>
    <cellStyle name="Heading 3" xfId="51" builtinId="18" customBuiltin="1"/>
    <cellStyle name="Heading 4" xfId="52" builtinId="19" customBuiltin="1"/>
    <cellStyle name="Hyperlink" xfId="53" builtinId="8"/>
    <cellStyle name="Input" xfId="54" builtinId="20" customBuiltin="1"/>
    <cellStyle name="Level 2 Total" xfId="55"/>
    <cellStyle name="Linked Cell" xfId="56" builtinId="24" customBuiltin="1"/>
    <cellStyle name="Major Total" xfId="57"/>
    <cellStyle name="Neutral" xfId="58" builtinId="28" customBuiltin="1"/>
    <cellStyle name="NonPrint_TemTitle" xfId="59"/>
    <cellStyle name="Normal" xfId="0" builtinId="0"/>
    <cellStyle name="Normal 2" xfId="60"/>
    <cellStyle name="NormalRed" xfId="61"/>
    <cellStyle name="Note" xfId="62" builtinId="10" customBuiltin="1"/>
    <cellStyle name="Output" xfId="63" builtinId="21" customBuiltin="1"/>
    <cellStyle name="Percent.0" xfId="64"/>
    <cellStyle name="Percent.00" xfId="65"/>
    <cellStyle name="RED POSTED" xfId="66"/>
    <cellStyle name="Standard_Anpassen der Amortisation" xfId="67"/>
    <cellStyle name="Text_simple" xfId="68"/>
    <cellStyle name="Title" xfId="69" builtinId="15" customBuiltin="1"/>
    <cellStyle name="TmsRmn10BlueItalic" xfId="70"/>
    <cellStyle name="TmsRmn10Bold" xfId="71"/>
    <cellStyle name="Total" xfId="72" builtinId="25" customBuiltin="1"/>
    <cellStyle name="Währung [0]_Compiling Utility Macros" xfId="73"/>
    <cellStyle name="Währung_Compiling Utility Macros" xfId="74"/>
    <cellStyle name="Warning Text" xfId="75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590550</xdr:colOff>
      <xdr:row>1</xdr:row>
      <xdr:rowOff>47625</xdr:rowOff>
    </xdr:to>
    <xdr:sp macro="" textlink="">
      <xdr:nvSpPr>
        <xdr:cNvPr id="1026" name="Rectangle 2"/>
        <xdr:cNvSpPr>
          <a:spLocks noChangeArrowheads="1"/>
        </xdr:cNvSpPr>
      </xdr:nvSpPr>
      <xdr:spPr bwMode="auto">
        <a:xfrm>
          <a:off x="0" y="0"/>
          <a:ext cx="704850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 enableFormatConditionsCalculation="0">
    <pageSetUpPr autoPageBreaks="0" fitToPage="1"/>
  </sheetPr>
  <dimension ref="B1:Q82"/>
  <sheetViews>
    <sheetView tabSelected="1" workbookViewId="0">
      <selection activeCell="O61" sqref="O61"/>
    </sheetView>
  </sheetViews>
  <sheetFormatPr defaultColWidth="8.85546875" defaultRowHeight="12.75" x14ac:dyDescent="0.2"/>
  <cols>
    <col min="1" max="1" width="1.7109375" style="1" customWidth="1"/>
    <col min="2" max="2" width="24.28515625" style="1" customWidth="1"/>
    <col min="3" max="3" width="11.7109375" style="1" customWidth="1"/>
    <col min="4" max="10" width="15.7109375" style="1" customWidth="1"/>
    <col min="11" max="11" width="13.140625" style="1" customWidth="1"/>
    <col min="12" max="12" width="19.85546875" style="1" customWidth="1"/>
    <col min="13" max="15" width="8.85546875" style="1"/>
    <col min="16" max="16" width="7" style="1" customWidth="1"/>
    <col min="17" max="17" width="10.140625" style="1" customWidth="1"/>
    <col min="18" max="16384" width="8.85546875" style="1"/>
  </cols>
  <sheetData>
    <row r="1" spans="2:17" ht="8.25" customHeight="1" x14ac:dyDescent="0.2"/>
    <row r="2" spans="2:17" ht="8.25" customHeight="1" x14ac:dyDescent="0.2"/>
    <row r="3" spans="2:17" ht="15" customHeight="1" x14ac:dyDescent="0.25">
      <c r="B3" s="6" t="s">
        <v>13</v>
      </c>
      <c r="C3" s="3"/>
      <c r="D3" s="3"/>
      <c r="E3" s="3"/>
      <c r="F3" s="3"/>
      <c r="G3" s="3"/>
      <c r="H3" s="3"/>
      <c r="I3" s="3"/>
      <c r="J3" s="3"/>
      <c r="L3" s="91" t="s">
        <v>18</v>
      </c>
      <c r="M3" s="92"/>
      <c r="N3" s="92"/>
      <c r="O3" s="92"/>
      <c r="P3" s="93"/>
      <c r="Q3" s="94"/>
    </row>
    <row r="4" spans="2:17" s="5" customFormat="1" ht="12.95" customHeight="1" x14ac:dyDescent="0.2">
      <c r="B4" s="12"/>
      <c r="C4" s="13"/>
      <c r="D4" s="13"/>
      <c r="E4" s="13"/>
      <c r="F4" s="13"/>
      <c r="G4" s="13"/>
      <c r="H4" s="13"/>
      <c r="I4" s="13"/>
      <c r="J4" s="13"/>
      <c r="L4" s="95" t="s">
        <v>19</v>
      </c>
      <c r="M4" s="96"/>
      <c r="N4" s="96"/>
      <c r="O4" s="14"/>
      <c r="P4" s="99">
        <v>0</v>
      </c>
      <c r="Q4" s="100"/>
    </row>
    <row r="5" spans="2:17" s="5" customFormat="1" ht="12.95" customHeight="1" x14ac:dyDescent="0.2">
      <c r="B5" s="2"/>
      <c r="C5" s="2"/>
      <c r="D5" s="2"/>
      <c r="E5" s="2"/>
      <c r="F5" s="2"/>
      <c r="G5" s="2"/>
      <c r="H5" s="2"/>
      <c r="I5" s="2"/>
      <c r="J5" s="2"/>
      <c r="L5" s="15"/>
      <c r="M5" s="16"/>
      <c r="N5" s="16"/>
      <c r="O5" s="16"/>
      <c r="P5" s="16"/>
      <c r="Q5" s="17"/>
    </row>
    <row r="6" spans="2:17" s="5" customFormat="1" ht="12.95" customHeight="1" x14ac:dyDescent="0.2">
      <c r="B6" s="18"/>
      <c r="C6" s="18"/>
      <c r="D6" s="19"/>
      <c r="E6" s="20"/>
      <c r="F6" s="20"/>
      <c r="G6" s="20"/>
      <c r="H6" s="20"/>
      <c r="I6" s="20"/>
      <c r="J6" s="20"/>
      <c r="L6" s="97" t="s">
        <v>20</v>
      </c>
      <c r="M6" s="98"/>
      <c r="N6" s="98"/>
      <c r="O6" s="21"/>
      <c r="P6" s="16"/>
      <c r="Q6" s="22" t="e">
        <f>SUM(P4*0.21+9100)/P4</f>
        <v>#DIV/0!</v>
      </c>
    </row>
    <row r="7" spans="2:17" s="5" customFormat="1" ht="12.95" customHeight="1" x14ac:dyDescent="0.2">
      <c r="B7" s="23" t="s">
        <v>15</v>
      </c>
      <c r="C7" s="24"/>
      <c r="D7" s="25" t="s">
        <v>44</v>
      </c>
      <c r="E7" s="26" t="s">
        <v>2</v>
      </c>
      <c r="F7" s="27" t="s">
        <v>3</v>
      </c>
      <c r="G7" s="27" t="s">
        <v>14</v>
      </c>
      <c r="H7" s="27" t="s">
        <v>52</v>
      </c>
      <c r="I7" s="27" t="s">
        <v>53</v>
      </c>
      <c r="J7" s="26" t="s">
        <v>4</v>
      </c>
      <c r="L7" s="15"/>
      <c r="M7" s="16"/>
      <c r="N7" s="16"/>
      <c r="O7" s="16"/>
      <c r="P7" s="16"/>
      <c r="Q7" s="17"/>
    </row>
    <row r="8" spans="2:17" s="5" customFormat="1" ht="12.95" customHeight="1" x14ac:dyDescent="0.2">
      <c r="B8" s="2" t="s">
        <v>46</v>
      </c>
      <c r="C8" s="2"/>
      <c r="D8" s="28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f>SUM(E8-I8)</f>
        <v>0</v>
      </c>
      <c r="K8" s="30"/>
      <c r="L8" s="15"/>
      <c r="M8" s="16"/>
      <c r="N8" s="16"/>
      <c r="O8" s="16"/>
      <c r="P8" s="16"/>
      <c r="Q8" s="17"/>
    </row>
    <row r="9" spans="2:17" s="5" customFormat="1" ht="12.95" customHeight="1" x14ac:dyDescent="0.2">
      <c r="B9" s="2" t="s">
        <v>47</v>
      </c>
      <c r="C9" s="2"/>
      <c r="D9" s="28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f>SUM(E9:I9)</f>
        <v>0</v>
      </c>
      <c r="K9" s="30"/>
      <c r="L9" s="31" t="s">
        <v>21</v>
      </c>
      <c r="M9" s="32"/>
      <c r="N9" s="32"/>
      <c r="O9" s="33">
        <v>0.01</v>
      </c>
      <c r="P9" s="32" t="s">
        <v>22</v>
      </c>
      <c r="Q9" s="34"/>
    </row>
    <row r="10" spans="2:17" s="5" customFormat="1" ht="12.95" customHeight="1" x14ac:dyDescent="0.2">
      <c r="B10" s="2" t="s">
        <v>48</v>
      </c>
      <c r="C10" s="2"/>
      <c r="D10" s="28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f>SUM(E10:I10)</f>
        <v>0</v>
      </c>
      <c r="K10" s="30"/>
      <c r="L10" s="31"/>
      <c r="M10" s="32"/>
      <c r="N10" s="32"/>
      <c r="O10" s="33">
        <v>0.09</v>
      </c>
      <c r="P10" s="32" t="s">
        <v>23</v>
      </c>
      <c r="Q10" s="34"/>
    </row>
    <row r="11" spans="2:17" s="5" customFormat="1" ht="12.95" customHeight="1" x14ac:dyDescent="0.2">
      <c r="B11" s="2" t="s">
        <v>49</v>
      </c>
      <c r="C11" s="2"/>
      <c r="D11" s="28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f>SUM(E11:I11)</f>
        <v>0</v>
      </c>
      <c r="K11" s="30"/>
      <c r="L11" s="35"/>
      <c r="M11" s="36"/>
      <c r="N11" s="36"/>
      <c r="O11" s="37">
        <v>0.03</v>
      </c>
      <c r="P11" s="36" t="s">
        <v>24</v>
      </c>
      <c r="Q11" s="38"/>
    </row>
    <row r="12" spans="2:17" s="5" customFormat="1" ht="12.95" customHeight="1" x14ac:dyDescent="0.2">
      <c r="B12" s="2" t="s">
        <v>34</v>
      </c>
      <c r="C12" s="2"/>
      <c r="D12" s="3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f>SUM(E12:I12)</f>
        <v>0</v>
      </c>
    </row>
    <row r="13" spans="2:17" s="5" customFormat="1" ht="12.95" customHeight="1" x14ac:dyDescent="0.2">
      <c r="B13" s="40" t="s">
        <v>7</v>
      </c>
      <c r="C13" s="40"/>
      <c r="D13" s="41"/>
      <c r="E13" s="42">
        <f>SUM(E8:E12)</f>
        <v>0</v>
      </c>
      <c r="F13" s="42">
        <f>SUM(F8:F12)</f>
        <v>0</v>
      </c>
      <c r="G13" s="42">
        <f>SUM(G8:G12)</f>
        <v>0</v>
      </c>
      <c r="H13" s="42">
        <f>SUM(H8:H12)</f>
        <v>0</v>
      </c>
      <c r="I13" s="42">
        <f>SUM(I8:I12)</f>
        <v>0</v>
      </c>
      <c r="J13" s="42">
        <f>SUM(E13:I13)</f>
        <v>0</v>
      </c>
    </row>
    <row r="14" spans="2:17" s="5" customFormat="1" ht="12.95" customHeight="1" x14ac:dyDescent="0.2">
      <c r="B14" s="2"/>
      <c r="C14" s="2"/>
      <c r="D14" s="28"/>
      <c r="E14" s="43"/>
      <c r="F14" s="43"/>
      <c r="G14" s="43"/>
      <c r="H14" s="43"/>
      <c r="I14" s="43"/>
      <c r="J14" s="43"/>
    </row>
    <row r="15" spans="2:17" s="5" customFormat="1" ht="12.95" customHeight="1" x14ac:dyDescent="0.2">
      <c r="B15" s="44" t="s">
        <v>16</v>
      </c>
      <c r="C15" s="44"/>
      <c r="D15" s="45"/>
      <c r="E15" s="46"/>
      <c r="F15" s="46"/>
      <c r="G15" s="46"/>
      <c r="H15" s="46"/>
      <c r="I15" s="46"/>
      <c r="J15" s="46"/>
    </row>
    <row r="16" spans="2:17" s="5" customFormat="1" ht="12.95" customHeight="1" x14ac:dyDescent="0.2">
      <c r="B16" s="2" t="s">
        <v>35</v>
      </c>
      <c r="C16" s="2"/>
      <c r="D16" s="28"/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f>SUM(E16:I16)</f>
        <v>0</v>
      </c>
    </row>
    <row r="17" spans="2:11" s="5" customFormat="1" ht="12.95" customHeight="1" x14ac:dyDescent="0.2">
      <c r="B17" s="2" t="s">
        <v>36</v>
      </c>
      <c r="C17" s="2"/>
      <c r="D17" s="28"/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f t="shared" ref="J16:J21" si="0">SUM(E17:I17)</f>
        <v>0</v>
      </c>
    </row>
    <row r="18" spans="2:11" s="5" customFormat="1" ht="12.95" customHeight="1" x14ac:dyDescent="0.2">
      <c r="B18" s="2" t="s">
        <v>37</v>
      </c>
      <c r="C18" s="2"/>
      <c r="D18" s="28"/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f t="shared" si="0"/>
        <v>0</v>
      </c>
    </row>
    <row r="19" spans="2:11" s="5" customFormat="1" ht="12.95" customHeight="1" x14ac:dyDescent="0.2">
      <c r="B19" s="2" t="s">
        <v>38</v>
      </c>
      <c r="C19" s="2"/>
      <c r="D19" s="28"/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f t="shared" si="0"/>
        <v>0</v>
      </c>
    </row>
    <row r="20" spans="2:11" s="5" customFormat="1" ht="12.95" customHeight="1" x14ac:dyDescent="0.2">
      <c r="B20" s="2" t="s">
        <v>39</v>
      </c>
      <c r="C20" s="2"/>
      <c r="D20" s="28"/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f t="shared" si="0"/>
        <v>0</v>
      </c>
    </row>
    <row r="21" spans="2:11" s="5" customFormat="1" ht="12.95" customHeight="1" x14ac:dyDescent="0.2">
      <c r="B21" s="40" t="s">
        <v>17</v>
      </c>
      <c r="C21" s="40"/>
      <c r="D21" s="41"/>
      <c r="E21" s="42">
        <f>SUM(E16:E20)</f>
        <v>0</v>
      </c>
      <c r="F21" s="42">
        <f>SUM(F16:F20)</f>
        <v>0</v>
      </c>
      <c r="G21" s="42">
        <f>SUM(G16:G20)</f>
        <v>0</v>
      </c>
      <c r="H21" s="42">
        <f>SUM(H16:H20)</f>
        <v>0</v>
      </c>
      <c r="I21" s="42">
        <f>SUM(I16:I20)</f>
        <v>0</v>
      </c>
      <c r="J21" s="42">
        <f t="shared" si="0"/>
        <v>0</v>
      </c>
    </row>
    <row r="22" spans="2:11" s="5" customFormat="1" ht="12.95" customHeight="1" x14ac:dyDescent="0.2">
      <c r="B22" s="2"/>
      <c r="C22" s="2"/>
      <c r="D22" s="28"/>
      <c r="E22" s="43"/>
      <c r="F22" s="43"/>
      <c r="G22" s="43"/>
      <c r="H22" s="43"/>
      <c r="I22" s="43"/>
      <c r="J22" s="43"/>
    </row>
    <row r="23" spans="2:11" s="5" customFormat="1" ht="12.95" customHeight="1" x14ac:dyDescent="0.2">
      <c r="B23" s="47" t="s">
        <v>1</v>
      </c>
      <c r="C23" s="40"/>
      <c r="D23" s="48" t="s">
        <v>5</v>
      </c>
      <c r="E23" s="49"/>
      <c r="F23" s="49"/>
      <c r="G23" s="49"/>
      <c r="H23" s="49"/>
      <c r="I23" s="49"/>
      <c r="J23" s="49"/>
    </row>
    <row r="24" spans="2:11" s="5" customFormat="1" ht="12.95" customHeight="1" x14ac:dyDescent="0.2">
      <c r="B24" s="2" t="s">
        <v>50</v>
      </c>
      <c r="C24" s="2"/>
      <c r="D24" s="50">
        <v>0</v>
      </c>
      <c r="E24" s="43">
        <f>SUM($D$24*E8)</f>
        <v>0</v>
      </c>
      <c r="F24" s="43">
        <f>SUM($D$24*F8)</f>
        <v>0</v>
      </c>
      <c r="G24" s="43">
        <f>SUM($D$24*G8)</f>
        <v>0</v>
      </c>
      <c r="H24" s="43">
        <f>SUM($D$24*H8)</f>
        <v>0</v>
      </c>
      <c r="I24" s="43">
        <f>SUM($D$24*I8)</f>
        <v>0</v>
      </c>
      <c r="J24" s="43">
        <f t="shared" ref="J24:J35" si="1">SUM(E24:I24)</f>
        <v>0</v>
      </c>
    </row>
    <row r="25" spans="2:11" s="5" customFormat="1" ht="12.95" customHeight="1" x14ac:dyDescent="0.2">
      <c r="B25" s="2" t="s">
        <v>51</v>
      </c>
      <c r="C25" s="2"/>
      <c r="D25" s="50">
        <v>0</v>
      </c>
      <c r="E25" s="43">
        <f t="shared" ref="E25:E28" si="2">SUM(D25*E9)</f>
        <v>0</v>
      </c>
      <c r="F25" s="43">
        <f>SUM(D25*F9)</f>
        <v>0</v>
      </c>
      <c r="G25" s="43">
        <f>SUM(D25*G9)</f>
        <v>0</v>
      </c>
      <c r="H25" s="43">
        <f>SUM(E25*H9)</f>
        <v>0</v>
      </c>
      <c r="I25" s="43">
        <f>SUM(F25*I9)</f>
        <v>0</v>
      </c>
      <c r="J25" s="43">
        <f t="shared" si="1"/>
        <v>0</v>
      </c>
    </row>
    <row r="26" spans="2:11" s="5" customFormat="1" ht="12.95" customHeight="1" x14ac:dyDescent="0.2">
      <c r="B26" s="2" t="s">
        <v>48</v>
      </c>
      <c r="C26" s="2"/>
      <c r="D26" s="50">
        <v>0</v>
      </c>
      <c r="E26" s="43">
        <f t="shared" si="2"/>
        <v>0</v>
      </c>
      <c r="F26" s="43">
        <f>SUM(D26*F10)</f>
        <v>0</v>
      </c>
      <c r="G26" s="43">
        <f>SUM(D26*G10)</f>
        <v>0</v>
      </c>
      <c r="H26" s="43">
        <f>SUM(E26*H10)</f>
        <v>0</v>
      </c>
      <c r="I26" s="43">
        <f>SUM(F26*I10)</f>
        <v>0</v>
      </c>
      <c r="J26" s="43">
        <f t="shared" si="1"/>
        <v>0</v>
      </c>
    </row>
    <row r="27" spans="2:11" s="5" customFormat="1" ht="12.95" customHeight="1" x14ac:dyDescent="0.2">
      <c r="B27" s="2" t="s">
        <v>49</v>
      </c>
      <c r="C27" s="2"/>
      <c r="D27" s="50">
        <v>0</v>
      </c>
      <c r="E27" s="43">
        <f t="shared" si="2"/>
        <v>0</v>
      </c>
      <c r="F27" s="43">
        <f>SUM(D27*F11)</f>
        <v>0</v>
      </c>
      <c r="G27" s="43">
        <f>SUM(D27*G11)</f>
        <v>0</v>
      </c>
      <c r="H27" s="43">
        <f>SUM(E27*H11)</f>
        <v>0</v>
      </c>
      <c r="I27" s="43">
        <f>SUM(F27*I11)</f>
        <v>0</v>
      </c>
      <c r="J27" s="43">
        <f t="shared" si="1"/>
        <v>0</v>
      </c>
    </row>
    <row r="28" spans="2:11" s="5" customFormat="1" ht="12.95" customHeight="1" x14ac:dyDescent="0.2">
      <c r="B28" s="2" t="s">
        <v>34</v>
      </c>
      <c r="C28" s="2"/>
      <c r="D28" s="50">
        <v>0</v>
      </c>
      <c r="E28" s="43">
        <f t="shared" si="2"/>
        <v>0</v>
      </c>
      <c r="F28" s="43">
        <f>SUM(D28*F12)</f>
        <v>0</v>
      </c>
      <c r="G28" s="43">
        <f>SUM(D28*G12)</f>
        <v>0</v>
      </c>
      <c r="H28" s="43">
        <f>SUM(E28*H12)</f>
        <v>0</v>
      </c>
      <c r="I28" s="43">
        <f>SUM(F28*I12)</f>
        <v>0</v>
      </c>
      <c r="J28" s="43">
        <f t="shared" si="1"/>
        <v>0</v>
      </c>
    </row>
    <row r="29" spans="2:11" s="5" customFormat="1" ht="12.95" customHeight="1" x14ac:dyDescent="0.2">
      <c r="B29" s="2" t="s">
        <v>35</v>
      </c>
      <c r="C29" s="2"/>
      <c r="D29" s="50">
        <v>0</v>
      </c>
      <c r="E29" s="43">
        <f>SUM(D29*E16)</f>
        <v>0</v>
      </c>
      <c r="F29" s="43">
        <f>SUM(D29*F16)</f>
        <v>0</v>
      </c>
      <c r="G29" s="43">
        <f>SUM(D29*G16)</f>
        <v>0</v>
      </c>
      <c r="H29" s="43">
        <f>SUM(E29*H16)</f>
        <v>0</v>
      </c>
      <c r="I29" s="43">
        <f>SUM(F29*I16)</f>
        <v>0</v>
      </c>
      <c r="J29" s="43">
        <f t="shared" si="1"/>
        <v>0</v>
      </c>
    </row>
    <row r="30" spans="2:11" s="5" customFormat="1" ht="12.95" customHeight="1" x14ac:dyDescent="0.2">
      <c r="B30" s="2" t="s">
        <v>36</v>
      </c>
      <c r="C30" s="2"/>
      <c r="D30" s="50">
        <v>0</v>
      </c>
      <c r="E30" s="43">
        <f t="shared" ref="E30:E33" si="3">SUM(D30*E17)</f>
        <v>0</v>
      </c>
      <c r="F30" s="43">
        <f>SUM(D30*F17)</f>
        <v>0</v>
      </c>
      <c r="G30" s="43">
        <f>SUM(D30*G17)</f>
        <v>0</v>
      </c>
      <c r="H30" s="43">
        <f>SUM(E30*H17)</f>
        <v>0</v>
      </c>
      <c r="I30" s="43">
        <f>SUM(F30*I17)</f>
        <v>0</v>
      </c>
      <c r="J30" s="43">
        <f t="shared" si="1"/>
        <v>0</v>
      </c>
    </row>
    <row r="31" spans="2:11" s="5" customFormat="1" ht="12.95" customHeight="1" x14ac:dyDescent="0.2">
      <c r="B31" s="2" t="s">
        <v>37</v>
      </c>
      <c r="C31" s="2"/>
      <c r="D31" s="50">
        <v>0</v>
      </c>
      <c r="E31" s="43">
        <f t="shared" si="3"/>
        <v>0</v>
      </c>
      <c r="F31" s="43">
        <f>SUM(D31*F18)</f>
        <v>0</v>
      </c>
      <c r="G31" s="43">
        <f>SUM(D31*G18)</f>
        <v>0</v>
      </c>
      <c r="H31" s="43">
        <f>SUM(E31*H18)</f>
        <v>0</v>
      </c>
      <c r="I31" s="43">
        <f>SUM(F31*I18)</f>
        <v>0</v>
      </c>
      <c r="J31" s="43">
        <f t="shared" si="1"/>
        <v>0</v>
      </c>
      <c r="K31" s="78" t="s">
        <v>45</v>
      </c>
    </row>
    <row r="32" spans="2:11" s="5" customFormat="1" ht="12.95" customHeight="1" x14ac:dyDescent="0.2">
      <c r="B32" s="2" t="s">
        <v>38</v>
      </c>
      <c r="C32" s="2"/>
      <c r="D32" s="50">
        <v>0</v>
      </c>
      <c r="E32" s="43">
        <f t="shared" si="3"/>
        <v>0</v>
      </c>
      <c r="F32" s="43">
        <f>SUM(D32*F19)</f>
        <v>0</v>
      </c>
      <c r="G32" s="43">
        <f>SUM(D32*G19)</f>
        <v>0</v>
      </c>
      <c r="H32" s="43">
        <f>SUM(E32*H19)</f>
        <v>0</v>
      </c>
      <c r="I32" s="43">
        <f>SUM(F32*I19)</f>
        <v>0</v>
      </c>
      <c r="J32" s="43">
        <f t="shared" si="1"/>
        <v>0</v>
      </c>
    </row>
    <row r="33" spans="2:16" s="5" customFormat="1" ht="12.95" customHeight="1" x14ac:dyDescent="0.2">
      <c r="B33" s="2" t="s">
        <v>39</v>
      </c>
      <c r="C33" s="2"/>
      <c r="D33" s="50">
        <v>0</v>
      </c>
      <c r="E33" s="43">
        <f t="shared" si="3"/>
        <v>0</v>
      </c>
      <c r="F33" s="43">
        <f>SUM(D33*F20)</f>
        <v>0</v>
      </c>
      <c r="G33" s="43">
        <f>SUM(D33*G20)</f>
        <v>0</v>
      </c>
      <c r="H33" s="43">
        <f>SUM(E33*H20)</f>
        <v>0</v>
      </c>
      <c r="I33" s="43">
        <f>SUM(F33*I20)</f>
        <v>0</v>
      </c>
      <c r="J33" s="43">
        <f t="shared" si="1"/>
        <v>0</v>
      </c>
    </row>
    <row r="34" spans="2:16" s="5" customFormat="1" ht="12.95" customHeight="1" x14ac:dyDescent="0.2">
      <c r="B34" s="40" t="s">
        <v>8</v>
      </c>
      <c r="C34" s="40"/>
      <c r="D34" s="51"/>
      <c r="E34" s="52">
        <f>SUM(E24:E33)</f>
        <v>0</v>
      </c>
      <c r="F34" s="52">
        <f>SUM(F24:F33)</f>
        <v>0</v>
      </c>
      <c r="G34" s="52">
        <f>SUM(G24:G33)</f>
        <v>0</v>
      </c>
      <c r="H34" s="52">
        <f>SUM(H24:H33)</f>
        <v>0</v>
      </c>
      <c r="I34" s="52">
        <f>SUM(I24:I33)</f>
        <v>0</v>
      </c>
      <c r="J34" s="53">
        <f t="shared" si="1"/>
        <v>0</v>
      </c>
    </row>
    <row r="35" spans="2:16" s="5" customFormat="1" ht="12.95" customHeight="1" x14ac:dyDescent="0.2">
      <c r="B35" s="40" t="s">
        <v>6</v>
      </c>
      <c r="C35" s="40"/>
      <c r="D35" s="54"/>
      <c r="E35" s="75">
        <f>SUM(E13+E21+E34)</f>
        <v>0</v>
      </c>
      <c r="F35" s="75">
        <f>SUM(F13+F21+F34)</f>
        <v>0</v>
      </c>
      <c r="G35" s="75">
        <f>SUM(G13+G21+G34)</f>
        <v>0</v>
      </c>
      <c r="H35" s="75">
        <f>SUM(H13+H21+H34)</f>
        <v>0</v>
      </c>
      <c r="I35" s="75">
        <f>SUM(I13+I21+I34)</f>
        <v>0</v>
      </c>
      <c r="J35" s="49">
        <f t="shared" si="1"/>
        <v>0</v>
      </c>
      <c r="K35" s="73"/>
    </row>
    <row r="36" spans="2:16" s="5" customFormat="1" ht="12.95" customHeight="1" x14ac:dyDescent="0.2">
      <c r="B36" s="2"/>
      <c r="C36" s="2"/>
      <c r="D36" s="55"/>
      <c r="E36" s="2"/>
      <c r="F36" s="2"/>
      <c r="G36" s="2"/>
      <c r="H36" s="2"/>
      <c r="I36" s="2"/>
      <c r="J36" s="43"/>
    </row>
    <row r="37" spans="2:16" s="5" customFormat="1" ht="12.95" customHeight="1" x14ac:dyDescent="0.2">
      <c r="B37" s="47" t="s">
        <v>12</v>
      </c>
      <c r="C37" s="40"/>
      <c r="D37" s="54"/>
      <c r="E37" s="26" t="s">
        <v>2</v>
      </c>
      <c r="F37" s="27" t="s">
        <v>3</v>
      </c>
      <c r="G37" s="27" t="s">
        <v>14</v>
      </c>
      <c r="H37" s="27" t="s">
        <v>14</v>
      </c>
      <c r="I37" s="27" t="s">
        <v>14</v>
      </c>
      <c r="J37" s="26" t="s">
        <v>4</v>
      </c>
    </row>
    <row r="38" spans="2:16" s="5" customFormat="1" ht="12.95" customHeight="1" x14ac:dyDescent="0.2">
      <c r="B38" s="2"/>
      <c r="C38" s="2"/>
      <c r="D38" s="55"/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f t="shared" ref="J38:J43" si="4">SUM(E38:I38)</f>
        <v>0</v>
      </c>
      <c r="L38" s="101" t="s">
        <v>42</v>
      </c>
      <c r="M38" s="102"/>
      <c r="N38" s="102"/>
      <c r="O38" s="102"/>
      <c r="P38" s="103"/>
    </row>
    <row r="39" spans="2:16" s="5" customFormat="1" ht="12.95" customHeight="1" x14ac:dyDescent="0.2">
      <c r="B39" s="2"/>
      <c r="C39" s="2"/>
      <c r="D39" s="55"/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55">
        <f t="shared" si="4"/>
        <v>0</v>
      </c>
      <c r="L39" s="81" t="s">
        <v>40</v>
      </c>
      <c r="M39" s="82"/>
      <c r="N39" s="82"/>
      <c r="O39" s="82"/>
      <c r="P39" s="83"/>
    </row>
    <row r="40" spans="2:16" s="5" customFormat="1" ht="12.95" customHeight="1" x14ac:dyDescent="0.2">
      <c r="B40" s="56"/>
      <c r="C40" s="2"/>
      <c r="D40" s="55"/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55">
        <f t="shared" si="4"/>
        <v>0</v>
      </c>
      <c r="L40" s="81" t="s">
        <v>41</v>
      </c>
      <c r="M40" s="82"/>
      <c r="N40" s="82"/>
      <c r="O40" s="82"/>
      <c r="P40" s="83"/>
    </row>
    <row r="41" spans="2:16" s="5" customFormat="1" ht="12.95" customHeight="1" x14ac:dyDescent="0.2">
      <c r="B41" s="56"/>
      <c r="C41" s="2"/>
      <c r="D41" s="55"/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55">
        <f t="shared" si="4"/>
        <v>0</v>
      </c>
      <c r="L41" s="57"/>
      <c r="M41" s="58"/>
      <c r="N41" s="58"/>
      <c r="O41" s="58"/>
      <c r="P41" s="59"/>
    </row>
    <row r="42" spans="2:16" s="5" customFormat="1" ht="12.95" customHeight="1" x14ac:dyDescent="0.2">
      <c r="B42" s="2"/>
      <c r="C42" s="2"/>
      <c r="D42" s="55"/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55">
        <f t="shared" si="4"/>
        <v>0</v>
      </c>
      <c r="L42" s="84" t="s">
        <v>43</v>
      </c>
      <c r="M42" s="85"/>
      <c r="N42" s="85"/>
      <c r="O42" s="85"/>
      <c r="P42" s="86"/>
    </row>
    <row r="43" spans="2:16" s="5" customFormat="1" ht="12.95" customHeight="1" x14ac:dyDescent="0.2">
      <c r="B43" s="40" t="s">
        <v>26</v>
      </c>
      <c r="C43" s="40"/>
      <c r="D43" s="54"/>
      <c r="E43" s="80">
        <f>SUM(E38:E42)</f>
        <v>0</v>
      </c>
      <c r="F43" s="80">
        <f t="shared" ref="F43:G43" si="5">SUM(F38:F42)</f>
        <v>0</v>
      </c>
      <c r="G43" s="80">
        <f t="shared" si="5"/>
        <v>0</v>
      </c>
      <c r="H43" s="80">
        <f t="shared" ref="H43:I43" si="6">SUM(H38:H42)</f>
        <v>0</v>
      </c>
      <c r="I43" s="80">
        <f t="shared" si="6"/>
        <v>0</v>
      </c>
      <c r="J43" s="79">
        <f t="shared" si="4"/>
        <v>0</v>
      </c>
      <c r="L43" s="87"/>
      <c r="M43" s="85"/>
      <c r="N43" s="85"/>
      <c r="O43" s="85"/>
      <c r="P43" s="86"/>
    </row>
    <row r="44" spans="2:16" s="5" customFormat="1" ht="12.95" customHeight="1" x14ac:dyDescent="0.2">
      <c r="B44" s="2"/>
      <c r="C44" s="2"/>
      <c r="D44" s="55"/>
      <c r="E44" s="2"/>
      <c r="F44" s="2"/>
      <c r="G44" s="2"/>
      <c r="H44" s="2"/>
      <c r="I44" s="2"/>
      <c r="J44" s="43"/>
      <c r="L44" s="88"/>
      <c r="M44" s="89"/>
      <c r="N44" s="89"/>
      <c r="O44" s="89"/>
      <c r="P44" s="90"/>
    </row>
    <row r="45" spans="2:16" s="5" customFormat="1" ht="12.95" customHeight="1" x14ac:dyDescent="0.2">
      <c r="B45" s="47" t="s">
        <v>30</v>
      </c>
      <c r="C45" s="40"/>
      <c r="D45" s="54"/>
      <c r="E45" s="40"/>
      <c r="F45" s="40"/>
      <c r="G45" s="40"/>
      <c r="H45" s="40"/>
      <c r="I45" s="40"/>
      <c r="J45" s="49"/>
    </row>
    <row r="46" spans="2:16" s="5" customFormat="1" ht="12.95" customHeight="1" x14ac:dyDescent="0.2">
      <c r="B46" s="2"/>
      <c r="C46" s="2"/>
      <c r="D46" s="55"/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f t="shared" ref="J46:J51" si="7">SUM(E46:I46)</f>
        <v>0</v>
      </c>
    </row>
    <row r="47" spans="2:16" s="5" customFormat="1" ht="12.95" customHeight="1" x14ac:dyDescent="0.2">
      <c r="B47" s="2"/>
      <c r="C47" s="2"/>
      <c r="D47" s="55"/>
      <c r="E47" s="29">
        <v>0</v>
      </c>
      <c r="F47" s="2">
        <v>0</v>
      </c>
      <c r="G47" s="2">
        <v>0</v>
      </c>
      <c r="H47" s="2">
        <v>0</v>
      </c>
      <c r="I47" s="2">
        <v>0</v>
      </c>
      <c r="J47" s="2">
        <f t="shared" si="7"/>
        <v>0</v>
      </c>
    </row>
    <row r="48" spans="2:16" s="5" customFormat="1" ht="12.95" customHeight="1" x14ac:dyDescent="0.2">
      <c r="B48" s="2"/>
      <c r="C48" s="2"/>
      <c r="D48" s="55"/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f t="shared" si="7"/>
        <v>0</v>
      </c>
    </row>
    <row r="49" spans="2:10" s="5" customFormat="1" ht="12.95" customHeight="1" x14ac:dyDescent="0.2">
      <c r="B49" s="2"/>
      <c r="C49" s="2"/>
      <c r="D49" s="55"/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f t="shared" si="7"/>
        <v>0</v>
      </c>
    </row>
    <row r="50" spans="2:10" s="5" customFormat="1" ht="12.95" customHeight="1" x14ac:dyDescent="0.2">
      <c r="B50" s="2"/>
      <c r="C50" s="2"/>
      <c r="D50" s="55"/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f t="shared" si="7"/>
        <v>0</v>
      </c>
    </row>
    <row r="51" spans="2:10" s="5" customFormat="1" ht="12.95" customHeight="1" x14ac:dyDescent="0.2">
      <c r="B51" s="40" t="s">
        <v>10</v>
      </c>
      <c r="C51" s="40"/>
      <c r="D51" s="54"/>
      <c r="E51" s="40">
        <f>SUM(E46:E50)</f>
        <v>0</v>
      </c>
      <c r="F51" s="40">
        <f>SUM(F46:F50)</f>
        <v>0</v>
      </c>
      <c r="G51" s="40">
        <f>SUM(G46:G50)</f>
        <v>0</v>
      </c>
      <c r="H51" s="40">
        <f>SUM(H46:H50)</f>
        <v>0</v>
      </c>
      <c r="I51" s="40">
        <f>SUM(I46:I50)</f>
        <v>0</v>
      </c>
      <c r="J51" s="49">
        <f t="shared" si="7"/>
        <v>0</v>
      </c>
    </row>
    <row r="52" spans="2:10" s="5" customFormat="1" ht="12.95" customHeight="1" x14ac:dyDescent="0.2">
      <c r="B52" s="56"/>
      <c r="C52" s="2"/>
      <c r="D52" s="55"/>
      <c r="E52" s="2"/>
      <c r="F52" s="2"/>
      <c r="G52" s="2"/>
      <c r="H52" s="2"/>
      <c r="I52" s="2"/>
      <c r="J52" s="2"/>
    </row>
    <row r="53" spans="2:10" s="5" customFormat="1" ht="12.95" customHeight="1" x14ac:dyDescent="0.2">
      <c r="B53" s="47" t="s">
        <v>10</v>
      </c>
      <c r="C53" s="40"/>
      <c r="D53" s="54"/>
      <c r="E53" s="60"/>
      <c r="F53" s="60"/>
      <c r="G53" s="60"/>
      <c r="H53" s="60"/>
      <c r="I53" s="60"/>
      <c r="J53" s="60"/>
    </row>
    <row r="54" spans="2:10" s="5" customFormat="1" ht="12.95" customHeight="1" x14ac:dyDescent="0.2">
      <c r="B54" s="40" t="s">
        <v>4</v>
      </c>
      <c r="C54" s="40"/>
      <c r="D54" s="54"/>
      <c r="E54" s="61">
        <f>SUM(E35+E43+E51)</f>
        <v>0</v>
      </c>
      <c r="F54" s="61">
        <f>SUM(F35+F43+F51)</f>
        <v>0</v>
      </c>
      <c r="G54" s="61">
        <f>SUM(G35+G43+G51)</f>
        <v>0</v>
      </c>
      <c r="H54" s="61">
        <f>SUM(H35+H43+H51)</f>
        <v>0</v>
      </c>
      <c r="I54" s="61">
        <f>SUM(I35+I43+I51)</f>
        <v>0</v>
      </c>
      <c r="J54" s="62">
        <f t="shared" ref="J54" si="8">SUM(E54:I54)</f>
        <v>0</v>
      </c>
    </row>
    <row r="55" spans="2:10" s="5" customFormat="1" ht="12.95" customHeight="1" x14ac:dyDescent="0.2">
      <c r="B55" s="2"/>
      <c r="C55" s="2"/>
      <c r="D55" s="55"/>
      <c r="E55" s="63"/>
      <c r="F55" s="63"/>
      <c r="G55" s="63"/>
      <c r="H55" s="63"/>
      <c r="I55" s="63"/>
      <c r="J55" s="63"/>
    </row>
    <row r="56" spans="2:10" s="5" customFormat="1" ht="12.95" customHeight="1" x14ac:dyDescent="0.2">
      <c r="B56" s="47" t="s">
        <v>9</v>
      </c>
      <c r="C56" s="40"/>
      <c r="D56" s="64" t="s">
        <v>11</v>
      </c>
      <c r="E56" s="52"/>
      <c r="F56" s="52"/>
      <c r="G56" s="52"/>
      <c r="H56" s="52"/>
      <c r="I56" s="52"/>
      <c r="J56" s="52"/>
    </row>
    <row r="57" spans="2:10" s="5" customFormat="1" ht="12.95" customHeight="1" x14ac:dyDescent="0.2">
      <c r="B57" s="2"/>
      <c r="C57" s="2"/>
      <c r="D57" s="65">
        <v>0</v>
      </c>
      <c r="E57" s="66">
        <f>SUM($D$57*E54)</f>
        <v>0</v>
      </c>
      <c r="F57" s="66">
        <f>SUM($D$57*F54)</f>
        <v>0</v>
      </c>
      <c r="G57" s="66">
        <f t="shared" ref="G57:H57" si="9">SUM($D$57*G54)</f>
        <v>0</v>
      </c>
      <c r="H57" s="66">
        <f t="shared" ref="H57:I57" si="10">SUM($D$57*H54)</f>
        <v>0</v>
      </c>
      <c r="I57" s="66">
        <f t="shared" si="10"/>
        <v>0</v>
      </c>
      <c r="J57" s="66">
        <f t="shared" ref="J57" si="11">SUM(E57:I57)</f>
        <v>0</v>
      </c>
    </row>
    <row r="58" spans="2:10" s="5" customFormat="1" ht="12.95" customHeight="1" x14ac:dyDescent="0.2">
      <c r="B58" s="2"/>
      <c r="C58" s="2"/>
      <c r="D58" s="65"/>
      <c r="E58" s="66"/>
      <c r="F58" s="66"/>
      <c r="G58" s="66"/>
      <c r="H58" s="66"/>
      <c r="I58" s="66"/>
      <c r="J58" s="66"/>
    </row>
    <row r="59" spans="2:10" s="5" customFormat="1" ht="12.95" customHeight="1" thickBot="1" x14ac:dyDescent="0.25">
      <c r="B59" s="47" t="s">
        <v>0</v>
      </c>
      <c r="C59" s="40"/>
      <c r="D59" s="54"/>
      <c r="E59" s="67">
        <f>SUM(E57+E54)</f>
        <v>0</v>
      </c>
      <c r="F59" s="67">
        <f t="shared" ref="F59:G59" si="12">SUM(F57+F54)</f>
        <v>0</v>
      </c>
      <c r="G59" s="67">
        <f t="shared" si="12"/>
        <v>0</v>
      </c>
      <c r="H59" s="67">
        <f t="shared" ref="H59:I59" si="13">SUM(H57+H54)</f>
        <v>0</v>
      </c>
      <c r="I59" s="67">
        <f t="shared" si="13"/>
        <v>0</v>
      </c>
      <c r="J59" s="67">
        <f t="shared" ref="J59" si="14">SUM(E59:I59)</f>
        <v>0</v>
      </c>
    </row>
    <row r="60" spans="2:10" s="5" customFormat="1" ht="12.95" customHeight="1" thickTop="1" x14ac:dyDescent="0.2"/>
    <row r="61" spans="2:10" s="5" customFormat="1" ht="12.95" customHeight="1" x14ac:dyDescent="0.2">
      <c r="B61" s="47" t="s">
        <v>28</v>
      </c>
      <c r="C61" s="40"/>
      <c r="D61" s="54"/>
      <c r="E61" s="40"/>
      <c r="F61" s="40"/>
      <c r="G61" s="40"/>
      <c r="H61" s="40"/>
      <c r="I61" s="40"/>
      <c r="J61" s="49"/>
    </row>
    <row r="62" spans="2:10" s="5" customFormat="1" ht="12.95" customHeight="1" x14ac:dyDescent="0.2"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f t="shared" ref="J62" si="15">SUM(E62:I62)</f>
        <v>0</v>
      </c>
    </row>
    <row r="63" spans="2:10" s="5" customFormat="1" ht="12.95" customHeight="1" x14ac:dyDescent="0.2">
      <c r="B63" s="40" t="s">
        <v>32</v>
      </c>
      <c r="C63" s="40"/>
      <c r="D63" s="54"/>
      <c r="E63" s="42"/>
      <c r="F63" s="42"/>
      <c r="G63" s="42"/>
      <c r="H63" s="42"/>
      <c r="I63" s="42"/>
      <c r="J63" s="42"/>
    </row>
    <row r="64" spans="2:10" s="5" customFormat="1" ht="12.95" customHeight="1" x14ac:dyDescent="0.2"/>
    <row r="65" spans="2:12" s="5" customFormat="1" ht="12.95" customHeight="1" x14ac:dyDescent="0.2">
      <c r="B65" s="47" t="s">
        <v>29</v>
      </c>
      <c r="C65" s="40"/>
      <c r="D65" s="54"/>
      <c r="E65" s="40"/>
      <c r="F65" s="40"/>
      <c r="G65" s="40"/>
      <c r="H65" s="40"/>
      <c r="I65" s="40"/>
      <c r="J65" s="49"/>
    </row>
    <row r="66" spans="2:12" s="5" customFormat="1" ht="12.95" customHeight="1" x14ac:dyDescent="0.2"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43">
        <f t="shared" ref="J66:J70" si="16">SUM(E66:I66)</f>
        <v>0</v>
      </c>
    </row>
    <row r="67" spans="2:12" s="5" customFormat="1" ht="12.95" customHeight="1" x14ac:dyDescent="0.2"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43">
        <f t="shared" si="16"/>
        <v>0</v>
      </c>
    </row>
    <row r="68" spans="2:12" s="5" customFormat="1" ht="12.95" customHeight="1" x14ac:dyDescent="0.2"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43">
        <f t="shared" si="16"/>
        <v>0</v>
      </c>
    </row>
    <row r="69" spans="2:12" s="5" customFormat="1" ht="12.95" customHeight="1" x14ac:dyDescent="0.2"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43">
        <f t="shared" si="16"/>
        <v>0</v>
      </c>
      <c r="L69" s="78"/>
    </row>
    <row r="70" spans="2:12" s="5" customFormat="1" ht="12.95" customHeight="1" x14ac:dyDescent="0.2">
      <c r="B70" s="40" t="s">
        <v>31</v>
      </c>
      <c r="C70" s="40"/>
      <c r="D70" s="54"/>
      <c r="E70" s="40">
        <f>SUM(E66:E69)</f>
        <v>0</v>
      </c>
      <c r="F70" s="40">
        <f>SUM(F66:F69)</f>
        <v>0</v>
      </c>
      <c r="G70" s="40">
        <f>SUM(G66:G69)</f>
        <v>0</v>
      </c>
      <c r="H70" s="40">
        <f>SUM(H66:H69)</f>
        <v>0</v>
      </c>
      <c r="I70" s="40">
        <f>SUM(I66:I69)</f>
        <v>0</v>
      </c>
      <c r="J70" s="49">
        <f t="shared" si="16"/>
        <v>0</v>
      </c>
    </row>
    <row r="71" spans="2:12" s="5" customFormat="1" ht="12.95" customHeight="1" x14ac:dyDescent="0.2"/>
    <row r="72" spans="2:12" s="5" customFormat="1" ht="12.95" customHeight="1" x14ac:dyDescent="0.2">
      <c r="B72" s="7" t="s">
        <v>25</v>
      </c>
      <c r="C72" s="68"/>
      <c r="D72" s="68"/>
      <c r="E72" s="8"/>
      <c r="F72" s="8"/>
      <c r="G72" s="8"/>
      <c r="H72" s="8"/>
      <c r="I72" s="8"/>
      <c r="J72" s="8"/>
    </row>
    <row r="73" spans="2:12" s="5" customFormat="1" ht="12.95" customHeight="1" x14ac:dyDescent="0.2">
      <c r="B73" s="77"/>
      <c r="C73" s="69"/>
      <c r="D73" s="69"/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29">
        <f t="shared" ref="J73:J77" si="17">SUM(E73:I73)</f>
        <v>0</v>
      </c>
    </row>
    <row r="74" spans="2:12" s="5" customFormat="1" ht="12.95" customHeight="1" x14ac:dyDescent="0.2">
      <c r="B74" s="76"/>
      <c r="C74" s="69"/>
      <c r="D74" s="69"/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29">
        <f t="shared" si="17"/>
        <v>0</v>
      </c>
    </row>
    <row r="75" spans="2:12" s="5" customFormat="1" ht="12.95" customHeight="1" x14ac:dyDescent="0.2">
      <c r="B75" s="69"/>
      <c r="C75" s="69"/>
      <c r="D75" s="69"/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29">
        <f t="shared" si="17"/>
        <v>0</v>
      </c>
    </row>
    <row r="76" spans="2:12" s="5" customFormat="1" ht="12.95" customHeight="1" x14ac:dyDescent="0.2">
      <c r="B76" s="69"/>
      <c r="C76" s="69"/>
      <c r="D76" s="69"/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29">
        <f t="shared" si="17"/>
        <v>0</v>
      </c>
    </row>
    <row r="77" spans="2:12" s="5" customFormat="1" ht="12.95" customHeight="1" x14ac:dyDescent="0.2">
      <c r="B77" s="40" t="s">
        <v>33</v>
      </c>
      <c r="C77" s="40"/>
      <c r="D77" s="54"/>
      <c r="E77" s="42">
        <f>SUM(E73:E76)</f>
        <v>0</v>
      </c>
      <c r="F77" s="42">
        <f>SUM(F73:F76)</f>
        <v>0</v>
      </c>
      <c r="G77" s="42">
        <f>SUM(G73:G76)</f>
        <v>0</v>
      </c>
      <c r="H77" s="42">
        <f>SUM(H73:H76)</f>
        <v>0</v>
      </c>
      <c r="I77" s="42">
        <f>SUM(I73:I76)</f>
        <v>0</v>
      </c>
      <c r="J77" s="42">
        <f t="shared" si="17"/>
        <v>0</v>
      </c>
    </row>
    <row r="78" spans="2:12" s="5" customFormat="1" ht="12.95" customHeight="1" x14ac:dyDescent="0.2">
      <c r="B78" s="69"/>
      <c r="C78" s="69"/>
      <c r="D78" s="69"/>
      <c r="E78" s="9"/>
      <c r="F78" s="9"/>
      <c r="G78" s="9"/>
      <c r="H78" s="9"/>
      <c r="I78" s="9"/>
      <c r="J78" s="29"/>
    </row>
    <row r="79" spans="2:12" s="5" customFormat="1" ht="12.95" customHeight="1" thickBot="1" x14ac:dyDescent="0.25">
      <c r="B79" s="70" t="s">
        <v>27</v>
      </c>
      <c r="C79" s="71"/>
      <c r="D79" s="71"/>
      <c r="E79" s="72">
        <f>SUM(E59+E63+E70+E77)</f>
        <v>0</v>
      </c>
      <c r="F79" s="72">
        <f>SUM(F59+F63+F70+F77)</f>
        <v>0</v>
      </c>
      <c r="G79" s="72">
        <f>SUM(G59+G63+G70+G77)</f>
        <v>0</v>
      </c>
      <c r="H79" s="72">
        <f>SUM(H59+H63+H70+H77)</f>
        <v>0</v>
      </c>
      <c r="I79" s="72">
        <f>SUM(I59+I63+I70+I77)</f>
        <v>0</v>
      </c>
      <c r="J79" s="72">
        <f t="shared" ref="J79" si="18">SUM(E79:I79)</f>
        <v>0</v>
      </c>
      <c r="K79" s="74"/>
    </row>
    <row r="80" spans="2:12" ht="15" customHeight="1" thickTop="1" x14ac:dyDescent="0.2">
      <c r="B80" s="11"/>
      <c r="C80" s="11"/>
      <c r="D80" s="11"/>
      <c r="E80" s="10"/>
      <c r="F80" s="10"/>
      <c r="G80" s="10"/>
      <c r="H80" s="10"/>
      <c r="I80" s="10"/>
      <c r="J80" s="4"/>
    </row>
    <row r="81" spans="2:2" ht="15" customHeight="1" x14ac:dyDescent="0.2"/>
    <row r="82" spans="2:2" x14ac:dyDescent="0.2">
      <c r="B82" s="5"/>
    </row>
  </sheetData>
  <sheetProtection formatCells="0" formatColumns="0" formatRows="0" selectLockedCells="1" selectUnlockedCells="1"/>
  <mergeCells count="8">
    <mergeCell ref="L39:P39"/>
    <mergeCell ref="L40:P40"/>
    <mergeCell ref="L42:P44"/>
    <mergeCell ref="L3:Q3"/>
    <mergeCell ref="L4:N4"/>
    <mergeCell ref="L6:N6"/>
    <mergeCell ref="P4:Q4"/>
    <mergeCell ref="L38:P38"/>
  </mergeCells>
  <phoneticPr fontId="0" type="noConversion"/>
  <printOptions horizontalCentered="1"/>
  <pageMargins left="0.23622047244094499" right="0.23622047244094499" top="0.74803149606299202" bottom="0.74803149606299202" header="0.23622047244094499" footer="0.511811023622047"/>
  <pageSetup scale="70" orientation="portrait" horizontalDpi="300" verticalDpi="300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00B0963-C875-4D82-8234-939DD26CF9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Flexible Budget</vt:lpstr>
      <vt:lpstr>'Flexible Budget'!Print_Area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2011-06-03T14:56:01Z</dcterms:created>
  <dcterms:modified xsi:type="dcterms:W3CDTF">2014-04-14T19:28:09Z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TC018773909991</vt:lpwstr>
  </property>
</Properties>
</file>