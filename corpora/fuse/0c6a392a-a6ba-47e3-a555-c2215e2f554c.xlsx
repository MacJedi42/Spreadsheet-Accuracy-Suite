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45" windowWidth="15480" windowHeight="11640"/>
  </bookViews>
  <sheets>
    <sheet name="Matrix" sheetId="1" r:id="rId1"/>
    <sheet name="Notes" sheetId="2" r:id="rId2"/>
    <sheet name="Carnegie Classifications" sheetId="3" r:id="rId3"/>
  </sheets>
  <definedNames>
    <definedName name="_xlnm._FilterDatabase" localSheetId="1" hidden="1">Notes!$A$13:$B$178</definedName>
    <definedName name="_xlnm.Print_Area" localSheetId="0">Matrix!$A$1:$T$222</definedName>
    <definedName name="_xlnm.Print_Area" localSheetId="1">Notes!$A$1:$L$33</definedName>
    <definedName name="_xlnm.Print_Titles" localSheetId="0">Matrix!$A:$B,Matrix!$1:$1</definedName>
  </definedNames>
  <calcPr calcId="125725"/>
</workbook>
</file>

<file path=xl/calcChain.xml><?xml version="1.0" encoding="utf-8"?>
<calcChain xmlns="http://schemas.openxmlformats.org/spreadsheetml/2006/main">
  <c r="D222" i="1"/>
  <c r="D221"/>
  <c r="D220"/>
  <c r="D219"/>
  <c r="D218"/>
  <c r="D217"/>
  <c r="F222"/>
  <c r="F221"/>
  <c r="F220"/>
  <c r="F219"/>
  <c r="F218"/>
  <c r="F217"/>
  <c r="F216"/>
  <c r="H215"/>
  <c r="H214"/>
  <c r="H213"/>
  <c r="H212"/>
  <c r="H211"/>
  <c r="H210"/>
  <c r="H209"/>
  <c r="D215"/>
  <c r="D214"/>
  <c r="D213"/>
  <c r="D212"/>
  <c r="D211"/>
  <c r="D210"/>
  <c r="F215"/>
  <c r="F214"/>
  <c r="F213"/>
  <c r="F212"/>
  <c r="F211"/>
  <c r="F210"/>
  <c r="F209"/>
  <c r="F208"/>
  <c r="F207"/>
  <c r="F206"/>
  <c r="F205"/>
  <c r="F204"/>
  <c r="F203"/>
  <c r="F202"/>
  <c r="D208"/>
  <c r="D207"/>
  <c r="D206"/>
  <c r="D205"/>
  <c r="D204"/>
  <c r="D203"/>
  <c r="F115"/>
  <c r="F114"/>
  <c r="F113"/>
  <c r="F112"/>
  <c r="F111"/>
  <c r="F110"/>
  <c r="F109"/>
  <c r="F101"/>
  <c r="F100"/>
  <c r="F99"/>
  <c r="F98"/>
  <c r="F97"/>
  <c r="F96"/>
  <c r="F95"/>
  <c r="F199"/>
  <c r="F198"/>
  <c r="F197"/>
  <c r="F196"/>
  <c r="F195"/>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08"/>
  <c r="F107"/>
  <c r="F106"/>
  <c r="F105"/>
  <c r="F104"/>
  <c r="F103"/>
  <c r="F102"/>
  <c r="F93"/>
  <c r="F92"/>
  <c r="F91"/>
  <c r="F90"/>
  <c r="F89"/>
  <c r="F88"/>
  <c r="F87"/>
  <c r="F72"/>
  <c r="F71"/>
  <c r="F70"/>
  <c r="F69"/>
  <c r="F68"/>
  <c r="F67"/>
  <c r="F66"/>
  <c r="F86"/>
  <c r="F85"/>
  <c r="F84"/>
  <c r="F83"/>
  <c r="F82"/>
  <c r="F81"/>
  <c r="F80"/>
  <c r="F79"/>
  <c r="F78"/>
  <c r="F77"/>
  <c r="F76"/>
  <c r="F75"/>
  <c r="F74"/>
  <c r="F73"/>
  <c r="F65"/>
  <c r="F64"/>
  <c r="F63"/>
  <c r="F62"/>
  <c r="F61"/>
  <c r="F60"/>
  <c r="F59"/>
  <c r="F58"/>
  <c r="F57"/>
  <c r="F56"/>
  <c r="F55"/>
  <c r="F54"/>
  <c r="F53"/>
  <c r="F52"/>
  <c r="F44"/>
  <c r="F43"/>
  <c r="F42"/>
  <c r="F41"/>
  <c r="F40"/>
  <c r="F39"/>
  <c r="F38"/>
  <c r="F37"/>
  <c r="F36"/>
  <c r="F35"/>
  <c r="F34"/>
  <c r="F33"/>
  <c r="F32"/>
  <c r="F31"/>
  <c r="F30"/>
  <c r="F29"/>
  <c r="F28"/>
  <c r="F27"/>
  <c r="F26"/>
  <c r="F25"/>
  <c r="F24"/>
  <c r="F23"/>
  <c r="F22"/>
  <c r="F21"/>
  <c r="F20"/>
  <c r="F19"/>
  <c r="F18"/>
  <c r="F17"/>
  <c r="F15"/>
  <c r="F14"/>
  <c r="F13"/>
  <c r="F12"/>
  <c r="F11"/>
  <c r="F10"/>
  <c r="F9"/>
  <c r="F8"/>
  <c r="F7"/>
  <c r="F6"/>
  <c r="F5"/>
  <c r="F4"/>
  <c r="F3"/>
  <c r="F2"/>
  <c r="D115"/>
  <c r="D114"/>
  <c r="D113"/>
  <c r="D112"/>
  <c r="D111"/>
  <c r="D110"/>
  <c r="D101"/>
  <c r="D100"/>
  <c r="D99"/>
  <c r="D98"/>
  <c r="D97"/>
  <c r="D96"/>
  <c r="D199"/>
  <c r="D198"/>
  <c r="D197"/>
  <c r="D196"/>
  <c r="D195"/>
  <c r="D194"/>
  <c r="D192"/>
  <c r="D191"/>
  <c r="D190"/>
  <c r="D189"/>
  <c r="D188"/>
  <c r="D187"/>
  <c r="D185"/>
  <c r="D184"/>
  <c r="D183"/>
  <c r="D182"/>
  <c r="D181"/>
  <c r="D180"/>
  <c r="D178"/>
  <c r="D177"/>
  <c r="D176"/>
  <c r="D175"/>
  <c r="D174"/>
  <c r="D173"/>
  <c r="D171"/>
  <c r="D170"/>
  <c r="D169"/>
  <c r="D168"/>
  <c r="D167"/>
  <c r="D166"/>
  <c r="D164"/>
  <c r="D163"/>
  <c r="D162"/>
  <c r="D161"/>
  <c r="D160"/>
  <c r="D159"/>
  <c r="D157"/>
  <c r="D156"/>
  <c r="D155"/>
  <c r="D154"/>
  <c r="D153"/>
  <c r="D152"/>
  <c r="D150"/>
  <c r="D149"/>
  <c r="D148"/>
  <c r="D147"/>
  <c r="D146"/>
  <c r="D145"/>
  <c r="D143"/>
  <c r="D142"/>
  <c r="D141"/>
  <c r="D140"/>
  <c r="D139"/>
  <c r="D138"/>
  <c r="D136"/>
  <c r="D135"/>
  <c r="D134"/>
  <c r="D133"/>
  <c r="D132"/>
  <c r="D131"/>
  <c r="D129"/>
  <c r="D128"/>
  <c r="D127"/>
  <c r="D126"/>
  <c r="D125"/>
  <c r="D124"/>
  <c r="D122"/>
  <c r="D121"/>
  <c r="D120"/>
  <c r="D119"/>
  <c r="D118"/>
  <c r="D117"/>
  <c r="D108"/>
  <c r="D107"/>
  <c r="D106"/>
  <c r="D105"/>
  <c r="D104"/>
  <c r="D103"/>
  <c r="D93"/>
  <c r="D92"/>
  <c r="D91"/>
  <c r="D90"/>
  <c r="D89"/>
  <c r="D88"/>
  <c r="D72"/>
  <c r="D71"/>
  <c r="D70"/>
  <c r="D69"/>
  <c r="D68"/>
  <c r="D67"/>
  <c r="D86"/>
  <c r="D85"/>
  <c r="D84"/>
  <c r="D83"/>
  <c r="D82"/>
  <c r="D81"/>
  <c r="D79"/>
  <c r="D78"/>
  <c r="D77"/>
  <c r="D76"/>
  <c r="D75"/>
  <c r="D74"/>
  <c r="D65"/>
  <c r="D64"/>
  <c r="D63"/>
  <c r="D62"/>
  <c r="D61"/>
  <c r="D60"/>
  <c r="D58"/>
  <c r="D57"/>
  <c r="D56"/>
  <c r="D55"/>
  <c r="D54"/>
  <c r="D53"/>
  <c r="D44"/>
  <c r="D43"/>
  <c r="D42"/>
  <c r="D41"/>
  <c r="D40"/>
  <c r="D39"/>
  <c r="D37"/>
  <c r="D36"/>
  <c r="D35"/>
  <c r="D34"/>
  <c r="D33"/>
  <c r="D32"/>
  <c r="D30"/>
  <c r="D29"/>
  <c r="D28"/>
  <c r="D27"/>
  <c r="D26"/>
  <c r="D25"/>
  <c r="D23"/>
  <c r="D22"/>
  <c r="D21"/>
  <c r="D20"/>
  <c r="D19"/>
  <c r="D18"/>
  <c r="D15"/>
  <c r="D14"/>
  <c r="D13"/>
  <c r="D12"/>
  <c r="D11"/>
  <c r="D10"/>
  <c r="D8"/>
  <c r="D7"/>
  <c r="D6"/>
  <c r="D5"/>
  <c r="D4"/>
  <c r="D3"/>
</calcChain>
</file>

<file path=xl/sharedStrings.xml><?xml version="1.0" encoding="utf-8"?>
<sst xmlns="http://schemas.openxmlformats.org/spreadsheetml/2006/main" count="516" uniqueCount="201">
  <si>
    <t>CSU Global</t>
  </si>
  <si>
    <t>… shall be a comprehensive baccalaureate and specialized graduate research university with selective admission standards. The university of northern Colorado shall be the primary institution for undergraduate and graduate degree programs for educational personnel preparation in the state of Colorado. The university shall offer masters and doctoral programs primarily in the field of education. The university has the responsibility to offer on a statewide basis, utilizing where possible and appropriate the faculty and facilities of other educational institutions, those graduate-level programs needed by professional educators and education administrators. The Colorado commission on higher education shall include in its funding recommendations an appropriate level of general fund support for those programs. As part of its mission as a graduate research university specializing in programs for educational personnel, the university of northern Colorado shall include the education innovation institute created in section 23-40-106 for the purposes described in section 23-40-106 (2).</t>
  </si>
  <si>
    <t>shall be a specialized baccalaureate and graduate research institution with high admission standards. The Colorado school of mines shall have a unique mission in energy, mineral, and material science and engineering and associated engineering and science fields. The school shall be the primary institution of higher education offering energy, mineral, and material science and mineral engineering degrees at both the graduate and undergraduate levels.</t>
  </si>
  <si>
    <t>shall be a general baccalaureate institution with moderately selective admission standards. Adams state college shall offer undergraduate liberal arts and sciences, teacher preparation, and business degree programs, a limited number of master's level programs, and two-year transfer programs with a community college role and mission. Adams state college shall not offer vocational education programs. Adams state college shall receive resident credit for two-year course offerings in its commission-approved service area. Adams state college has a significant responsibility to provide access to teacher education in rural Colorado. Adams state college shall also serve as a regional education provider. In addition, Adams state college shall offer programs, when feasible, that preserve and promote the unique history and culture of the region.</t>
  </si>
  <si>
    <t>shall be a public liberal arts college, with selective admission standards with a historic and continuing commitment to Native American education. In addition, the college may offer professional programs and a limited number of graduate programs to serve regional needs. The center of southwest studies provides a valuable regional, national, and international resource. Fort Lewis college shall be a regional education provider and shall have two-year authority only for an associate of arts degree in agricultural science.The Colorado commission on higher education shall, in consultation with the board of trustees of Fort Lewis college, establish the criteria for designation as a regional education provider.</t>
  </si>
  <si>
    <t>shall be a general baccalaureate and specialized graduate institution with moderately selective admission standards. Mesa state college shall offer undergraduate liberal arts and sciences, teacher preparation, and business degree programs and a limited number of graduate programs. Mesa state college shall also maintain a community college role and mission, including vocational and technical programs. Mesa state college shall receive resident credit for two-year course offerings in its commission-approved service area. Mesa state college shall also serve as a regional education provider.</t>
  </si>
  <si>
    <t>shall be a comprehensive institution with modified open admission standards at the baccalaureate level; except that nontraditional students at the baccalaureate level who are at least twenty years of age shall only have as an admission requirement a high school diploma, a GED high school equivalency certificate, or the equivalent thereof. Metropolitan state college of Denver shall offer a variety of liberal arts and science, technical, and educational programs. The college may offer a limited number of professional programs. In furtherance of its role and mission, Metropolitan state college of Denver may offer master's degree programs that address the needs of its urban service area.</t>
  </si>
  <si>
    <t>shall be a general baccalaureate institution with moderately selective admission standards. Western state college of Colorado shall offer undergraduate liberal arts and sciences, teacher preparation, and business degree programs and a limited number of graduate programs. Western state college of Colorado shall also serve as a regional education provider.</t>
  </si>
  <si>
    <t>"Junior college" means an educational institution which provides not more than two years of training in the arts, sciences, and humanities beyond the twelfth grade of the public high school curriculum or vocational education and which conducts occupational, technical, and community service programs, with no term limitations, and general education, including college transfer programs, with unrestricted admissions.</t>
  </si>
  <si>
    <t>Type</t>
  </si>
  <si>
    <t>Admissions</t>
  </si>
  <si>
    <t>Minority Class</t>
  </si>
  <si>
    <t xml:space="preserve">Highly selective </t>
  </si>
  <si>
    <t>Energy, mining, engineering</t>
  </si>
  <si>
    <t>Highly Selective</t>
  </si>
  <si>
    <t>medicine, pharmacy, dentistry, physical therapy</t>
  </si>
  <si>
    <t>Selective</t>
  </si>
  <si>
    <t>Research/Land Grant</t>
  </si>
  <si>
    <t>Veterinary medicine, agriculture, forestry</t>
  </si>
  <si>
    <t>Specialized research</t>
  </si>
  <si>
    <t>Comprehensive research</t>
  </si>
  <si>
    <t>grad Law</t>
  </si>
  <si>
    <t>General baccalaureate/ limited graduate</t>
  </si>
  <si>
    <t>selective</t>
  </si>
  <si>
    <t>Urban research</t>
  </si>
  <si>
    <t>urban research, professional grad programs</t>
  </si>
  <si>
    <t>General baccalaureate/ Specialized graduate research</t>
  </si>
  <si>
    <t>Education</t>
  </si>
  <si>
    <t>General baccalaureate</t>
  </si>
  <si>
    <t>Moderately selective</t>
  </si>
  <si>
    <t>Moderately Selective</t>
  </si>
  <si>
    <t>Native American</t>
  </si>
  <si>
    <t>Liberal Arts</t>
  </si>
  <si>
    <t>regional ed provider in Western Colorado</t>
  </si>
  <si>
    <t>field experiences in degree programs, outdoor &amp; recreational learning/ ed provider of central mountain region</t>
  </si>
  <si>
    <t>Modified Open admission</t>
  </si>
  <si>
    <t xml:space="preserve">Two year local district college </t>
  </si>
  <si>
    <t>Open Admission</t>
  </si>
  <si>
    <t>Same as CCC, but serve residents in local tax district</t>
  </si>
  <si>
    <t>two year local district college</t>
  </si>
  <si>
    <t>Same as CCC, but serve local tax district</t>
  </si>
  <si>
    <t>H.S.I.</t>
  </si>
  <si>
    <t>RU/VH: Research Universities (very high research activity)</t>
  </si>
  <si>
    <t>Bac/A&amp;S: Baccalaureate Colleges--Arts &amp; Sciences</t>
  </si>
  <si>
    <t>DRU: Doctoral/Research Universities</t>
  </si>
  <si>
    <t>Master's L: Master's Colleges and Universities (larger programs)</t>
  </si>
  <si>
    <t>RU/H: Research Universities (high research activity)</t>
  </si>
  <si>
    <t>Assoc/Pub-R-L: Associate's--Public Rural-serving Large</t>
  </si>
  <si>
    <t>Adams State College</t>
  </si>
  <si>
    <t>Aims Community College</t>
  </si>
  <si>
    <t>Arapahoe Community College</t>
  </si>
  <si>
    <t>Colorado Mountain College</t>
  </si>
  <si>
    <t>Colorado Northwestern Community College</t>
  </si>
  <si>
    <t>Colorado School of Mines</t>
  </si>
  <si>
    <t>Colorado State University</t>
  </si>
  <si>
    <t>Colorado State University - Pueblo</t>
  </si>
  <si>
    <t>Community College of Aurora</t>
  </si>
  <si>
    <t>Community College of Denver</t>
  </si>
  <si>
    <t>Fort Lewis College</t>
  </si>
  <si>
    <t>Front Range Community College</t>
  </si>
  <si>
    <t>Lamar Community College</t>
  </si>
  <si>
    <t>Metropolitan State College of Denver</t>
  </si>
  <si>
    <t>Morgan Community College</t>
  </si>
  <si>
    <t>Northeastern Junior College</t>
  </si>
  <si>
    <t>Otero Junior College</t>
  </si>
  <si>
    <t>Pikes Peak Community College</t>
  </si>
  <si>
    <t>Pueblo Community College</t>
  </si>
  <si>
    <t>Red Rocks Community College</t>
  </si>
  <si>
    <t>Trinidad State Junior College</t>
  </si>
  <si>
    <t>University of Colorado - Boulder</t>
  </si>
  <si>
    <t>University of Colorado - Colorado Springs</t>
  </si>
  <si>
    <t>University of Colorado Denver</t>
  </si>
  <si>
    <t>University of Northern Colorado</t>
  </si>
  <si>
    <t>Western State College</t>
  </si>
  <si>
    <t>Assoc/Pub-S-MC: Associate's--Public Suburban-serving Multicampus</t>
  </si>
  <si>
    <t>Assoc/Pub-R-M: Associate's--Public Rural-serving Medium</t>
  </si>
  <si>
    <t>Assoc/Pub-U-MC: Associate's--Public Urban-serving Multicampus</t>
  </si>
  <si>
    <t>Assoc/Pub-R-S: Associate's--Public Rural-serving Small</t>
  </si>
  <si>
    <t>Unknown Eth</t>
  </si>
  <si>
    <t>Black</t>
  </si>
  <si>
    <t>NA or AN</t>
  </si>
  <si>
    <t>Hispanic</t>
  </si>
  <si>
    <t>White, non Hispanic</t>
  </si>
  <si>
    <t>Asian or PI</t>
  </si>
  <si>
    <t>n/a</t>
  </si>
  <si>
    <t>N/R</t>
  </si>
  <si>
    <t>Student FTE %    (F 08)</t>
  </si>
  <si>
    <t>Institution Name</t>
  </si>
  <si>
    <t>Student FTE        (F 08)</t>
  </si>
  <si>
    <t>See ACC</t>
  </si>
  <si>
    <t>See ACC &amp; "Junior college" means an educational institution which provides not more than two years of training in the arts, sciences, and humanities beyond the twelfth grade of the public high school curriculum or vocational education and which conducts occupational, technical, and community service programs, with no term limitations, and general education, including college transfer programs, with unrestricted admissions.</t>
  </si>
  <si>
    <t>Access as a part of the mission: Adams State College dedicates its resources to provide opportunity and access for all students. The College is an innovative leader that recognizes the inherent educational value of diversity. It is a catalyst for the educational, cultural, and economic interests of rural Colorado, the surrounding region, and the global community.  Access as an institutional goal:  Provide educational access and opportunity for success</t>
  </si>
  <si>
    <t xml:space="preserve"> As a core value of Strategic Planning4/8/2010:Diversity, Respect, and Inclusiveness: UC Denver seeks the richness that an increasing diversity of our communities brings to our learning, research, and service endeavors. Our common humanity leads us to create an inclusive and respectful ethos characterized by caring, empathy, compassion, nurturing, collegiality, and mentoring. Access as a driver in setting priorities: : An institution wide commitment to student access and success (note: embedded, but not explicit in priorities) </t>
  </si>
  <si>
    <t>Access as a core value of Strategic Planning: We believe in access, in assisting students in achieving their educational goals, and in setting high personal and academic standards.</t>
  </si>
  <si>
    <t>See Mesa above</t>
  </si>
  <si>
    <t xml:space="preserve">Access as a value statement: Western State College of Colorado is a moderately selective institution within Colorado’s system of higher education and is committed to providing access and opportunity to the State’s diverse population. (WSC also discusses access as it relates to affordability)  </t>
  </si>
  <si>
    <t>Access as a core initiative in Strategic Planning: ENSURING ACCESS. We will enhance student financial support by doubling both merit and need-based financial aid within the next five years; we will initiate a statewide dialogue on how Colorado can expand access to higher education. CU-Boulder is committed to recruiting outstanding students from a diverse talent pool throughout the state, the nation, and the world. In particular, we want to provide access for qualified Colorado residents, regardless of their ability to pay. Although financial aid has been the fastest-growing budget item for the past four years, we still lag behind our peers in overall funds available to help attract the best students. Clearly, we need to increase our financial aid investment if we are to compete for outstanding undergraduate students. At the graduate level, we also must enhance stipends, health care, and housing to recruit top-tier graduate students. Our overall recruitment strategies must reflect our intent to build a diverse student body that is more representative of the world today and tomorrow.</t>
  </si>
  <si>
    <t>Achieving Diversity (access) in context of Strategic Planning: The historic and philosophical basis of the land-grant system began with a commitment to increased access inherent in the legislation. In the middle of the 19th century, access was intended for those who, due to economic or social conditions, had not been offered full participation in the academic enterprise. Subsequent acts in the 1890s and 1990s continued the tradition of expanding access. As we enter the 21st century, it is consistent to look at ways the land-grant mission can be used to provide access to people seeking to gain the opportunities afforded by higher education. The benefits derived from an educational environment that includes individuals reflective of all aspects of our society cannot be overstated. Only in such an environment do individuals from all walks of life come together to prepare themselves most effectively for their roles in a global society. The university's commitment to diversity is a longstanding one reflecting the essential nature of a diverse community and necessary to the furtherance of its role and mission as a land-grant institution.</t>
  </si>
  <si>
    <t>See CSU</t>
  </si>
  <si>
    <t>not found</t>
  </si>
  <si>
    <t>Not found</t>
  </si>
  <si>
    <t>Mission: To provide an accessible, responsive learning environment that facilitates the achievement of educational, professional and personal goals by our students and other members of our communities in an atmosphere that embraces academic excellence, diversity and innovation. Philosophy: Open access allows anyone who is college ready an opportunity to attend one of our 13 colleges throughout the state. Student Access Goal: All Coloradans shall have access to comprehensive community college educational programs.</t>
  </si>
  <si>
    <t>NFY</t>
  </si>
  <si>
    <t xml:space="preserve">Fort Lewis College offers accessible, high quality, baccalaureate liberal arts education to a diverse student population, preparing citizens for the common good in an increasingly complex world. Diversity as a value in Strategic Planning: Diversity is a source of renewal and vitality. The College is committed to developing capacities for living together in a democracy, the hallmark of which is individual, social, and cultural diversity. The College fosters a climate and models a condition of openness in which students, faculty, and staff engage with respect, tolerance and equity. The College is further dedicated to our historical mission to educate the nation’s Native Americans within the liberal arts framework. </t>
  </si>
  <si>
    <t>Statutory Mission</t>
  </si>
  <si>
    <t>… shall be an urban comprehensive undergraduate and graduate research university with selective admission standards. The Denver campus shall offer baccalaureate, masters, and a limited number of doctoral degree programs, emphasizing those that serve the needs of the Denver metropolitan area. The Denver campus has statewide authority to offered graduate programs in public administration and exclusive authority in architecture and planning.</t>
  </si>
  <si>
    <t xml:space="preserve">…shall offer specialized baccalaureate, first-professional, masters, and doctoral degree programs in health-related disciplines and professions. It shall be affiliated with the university of Colorado hospital and offer health care facilities that offer settings for education, clinical practice, and basic applied research. It shall have exclusive authority in medicine, dentistry, pharmacy, and physical therapy. </t>
  </si>
  <si>
    <t>Specialty Areas</t>
  </si>
  <si>
    <t>Accessibility statements</t>
  </si>
  <si>
    <t>south central Colorado/ significant role in serving educational personnel in rural CO</t>
  </si>
  <si>
    <t xml:space="preserve">a state system of community and technical colleges which shall be under the management and jurisdiction of the state board for community colleges and occupational ed. The mission shall be to serve Colorado residents who reside in their service areas by offering a broad range of general, personal, vocational, and tech ed programs. each college shall be a 2 year college. no college shall impose admission requirements upon any students. the objects of the community &amp; tech colleges shall be to provide educational programs to fill the occupational needs of youth and adults in tech and voc fields, two year transfer ed programs to qualify students for admission to the junior year at other colleges &amp; universities, basic skills, workforce devel, and a broad range of personal and vocational ed for adults. </t>
  </si>
  <si>
    <t xml:space="preserve">… shall be a comprehensive graduate research university with selective admission standards offering a comprehensive array of baccalaureate, masters, and doctoral degree programs. Consistent with the tradition of land grant universities, Colorado state university has exclusive authority to offer graduate and undergraduate programs in agriculture, forestry, natural resources, and veterinary medicine. The CCHE, in consultation with the board of governors of CSU system, shall designate those graduate level programs that are the primary responsibility of the CSU system. CSU has the responsibility to provide on a statewide basis, utilizing when possible and appropriate the faculty and facilities of other educational institutions, those graduate level programs. </t>
  </si>
  <si>
    <t xml:space="preserve">…shall be a baccalaureate and graduate online university with the mission in Colorado of offering upper division baccalaureate degree-completion programs for nontraditional students in partnership with the Colorado community college system and selected master-level graduate programs. </t>
  </si>
  <si>
    <t xml:space="preserve">…shall be a regional, comprehensive institution with moderately selective admission standards. The university shall offer a broad array of baccalaureate programs with a  strong professional focus and a firm grounding in the liberal arts and sciences. The university shall also offer selected masters-level graduate programs. </t>
  </si>
  <si>
    <t>urban college serving Denver metropolitan area</t>
  </si>
  <si>
    <t xml:space="preserve">… shall be a comprehensive graduate research university with selective admission standards. The Boulder campus of the University of Colorado shall offer a comprehensive array of undergraduate, masters, and doctoral degree programs. The Boulder campus of the university of Colorado has exclusive authority to offer graduate programs in law. </t>
  </si>
  <si>
    <t xml:space="preserve">…shall be a comprehensive baccalaureate university with selective admission standards. The Colorado Springs campus shall offer liberal arts and sciences, business, engineering, health sciences, and teacher preparation undergraduate degree programs, and a selected number of masters and doctoral degree programs. </t>
  </si>
  <si>
    <t>Local District College</t>
  </si>
  <si>
    <t>Community College</t>
  </si>
  <si>
    <t>2 year and community college</t>
  </si>
  <si>
    <t>Four year institution</t>
  </si>
  <si>
    <t>Institution type</t>
  </si>
  <si>
    <t>Delta-Montrose Technical College</t>
  </si>
  <si>
    <t>Emily Griffith Opportunity</t>
  </si>
  <si>
    <t>Pickens Technical College</t>
  </si>
  <si>
    <t>Tehnical Schools</t>
  </si>
  <si>
    <t xml:space="preserve">Mesa State College </t>
  </si>
  <si>
    <t>4 Year State College</t>
  </si>
  <si>
    <t>Research Institutions</t>
  </si>
  <si>
    <t>UCD- Health Sciences Center</t>
  </si>
  <si>
    <t>See above</t>
  </si>
  <si>
    <t>N/A</t>
  </si>
  <si>
    <t>Technical School</t>
  </si>
  <si>
    <t>Open</t>
  </si>
  <si>
    <t>see ucd</t>
  </si>
  <si>
    <t>Carnegie Classifications</t>
  </si>
  <si>
    <r>
      <t>Associate's Colleges.</t>
    </r>
    <r>
      <rPr>
        <sz val="9"/>
        <color theme="1"/>
        <rFont val="Arial"/>
        <family val="2"/>
      </rPr>
      <t xml:space="preserve"> Includes institutions where all degrees are at the associate's level, or where bachelor's degrees account for less than 10 percent of all undergraduate degrees. Excludes institutions eligible for classification as Tribal Colleges or Special Focus Institutions.</t>
    </r>
  </si>
  <si>
    <t>Assoc/Pub-R-S: Associate's—Public Rural-serving Small</t>
  </si>
  <si>
    <t>Assoc/Pub-R-M: Associate's—Public Rural-serving Medium</t>
  </si>
  <si>
    <t>Assoc/Pub-R-L: Associate's—Public Rural-serving Large</t>
  </si>
  <si>
    <t>Assoc/Pub-S-SC: Associate's—Public Suburban-serving Single Campus</t>
  </si>
  <si>
    <t>Assoc/Pub-S-MC: Associate's—Public Suburban-serving Multicampus</t>
  </si>
  <si>
    <t>Assoc/Pub-U-SC: Associate's—Public Urban-serving Single Campus</t>
  </si>
  <si>
    <t>Assoc/Pub-U-MC: Associate's—Public Urban-serving Multicampus</t>
  </si>
  <si>
    <t>Assoc/Pub-Spec: Associate's—Public Special Use</t>
  </si>
  <si>
    <t>Assoc/PrivNFP: Associate's—Private Not-for-profit</t>
  </si>
  <si>
    <t>Assoc/PrivFP: Associate's—Private For-profit</t>
  </si>
  <si>
    <t>Assoc/Pub2in4: Associate's—Public 2-year Colleges under Universities</t>
  </si>
  <si>
    <t>Assoc/Pub4: Associate's—Public 4-year, Primarily Associate's</t>
  </si>
  <si>
    <t>Assoc/PrivNFP4: Associate's—Private Not-for-profit 4-year, Primarily Associate's</t>
  </si>
  <si>
    <t>Assoc/PrivFP4: Associate's—Private For-profit 4-year, Primarily Associate's</t>
  </si>
  <si>
    <r>
      <t>Doctorate-granting Universities.</t>
    </r>
    <r>
      <rPr>
        <sz val="9"/>
        <color theme="1"/>
        <rFont val="Arial"/>
        <family val="2"/>
      </rPr>
      <t xml:space="preserve"> Includes institutions that award at least 20 doctoral degrees per year (excluding doctoral-level degrees that qualify recipients for entry into professional practice, such as the JD, MD, PharmD, DPT, etc.). Excludes Special Focus Institutions and Tribal Colleges.</t>
    </r>
  </si>
  <si>
    <r>
      <t>Master's Colleges and Universities.</t>
    </r>
    <r>
      <rPr>
        <sz val="9"/>
        <color theme="1"/>
        <rFont val="Arial"/>
        <family val="2"/>
      </rPr>
      <t xml:space="preserve"> Generally includes institutions that award at least 50 master's degrees and fewer than 20 doctoral degrees per year. (Some institutions above the master's degree threshold are included among Baccalaureate Colleges, and some below the threshold are included among Master's Colleges and Universities; see Technical Details.) Excludes Special Focus Institutions and Tribal Colleges.</t>
    </r>
  </si>
  <si>
    <t>Master's/L: Master's Colleges and Universities (larger programs)</t>
  </si>
  <si>
    <t>Master's/M: Master's Colleges and Universities (medium programs)</t>
  </si>
  <si>
    <t>Master's/S: Master's Colleges and Universities (smaller programs)</t>
  </si>
  <si>
    <r>
      <t>Baccalaureate Colleges.</t>
    </r>
    <r>
      <rPr>
        <sz val="9"/>
        <color theme="1"/>
        <rFont val="Arial"/>
        <family val="2"/>
      </rPr>
      <t xml:space="preserve"> Includes institutions where baccalaureate degrees represent at least 10 percent of all undergraduate degrees and that award fewer than 50 master's degrees or 20 doctoral degrees per year. (Some institutions above the master's degree threshold are also included; see Technical Details.) Excludes Special Focus Institutions and Tribal Colleges.</t>
    </r>
  </si>
  <si>
    <t>Bac/A&amp;S: Baccalaureate Colleges—Arts &amp; Sciences</t>
  </si>
  <si>
    <t>Bac/Diverse: Baccalaureate Colleges—Diverse Fields</t>
  </si>
  <si>
    <t>Bac/Assoc: Baccalaureate/Associate's Colleges</t>
  </si>
  <si>
    <t>extremely variable</t>
  </si>
  <si>
    <t>Basic Classification for Colorado: ACC, CNC, CCA, CCD, FRCC, LCC, MCC, NJC, OJC, PPCC, PCC, RRCC, Aims, CMC</t>
  </si>
  <si>
    <t>Basic Classification for Colorado:UNC, CU Boulder, UCD, UCDHSC, CSMines</t>
  </si>
  <si>
    <t>Basic Classification for Colorado: CSU- Colo Springs</t>
  </si>
  <si>
    <t>Basic Classification for Colorado:Adams State, Mesa State, Metro State, Ft. Lewis College, Western State, CSU Pueblo</t>
  </si>
  <si>
    <t>0% (only 2 non-pell eligible students enrolled)</t>
  </si>
  <si>
    <t>Pell Eligible FTE
(F 08)</t>
  </si>
  <si>
    <t>Pell Eligible FTE %
(F 08)</t>
  </si>
  <si>
    <t>$2,439 - $$3,872, depending on program</t>
  </si>
  <si>
    <t>Criminal Justice; Nursing; Cosmetology; Drafting and Design Technology; Admin Assistant/Secretarial</t>
  </si>
  <si>
    <t>Construction; Nursing; Home Health Aide; Cosmetology</t>
  </si>
  <si>
    <t>Computer Systems; Cosmetology; Commercial and Advertising Art; Nursing; Dental Asst.</t>
  </si>
  <si>
    <t>Ethnic Breakdown</t>
  </si>
  <si>
    <t>Retention</t>
  </si>
  <si>
    <t>Pell Eligibility</t>
  </si>
  <si>
    <t>Graduation Rates</t>
  </si>
  <si>
    <t>Type of Institution</t>
  </si>
  <si>
    <t>Tuition and fees</t>
  </si>
  <si>
    <t>Accessibility Statements</t>
  </si>
  <si>
    <t>Fall 07 to Fall 08 retention</t>
  </si>
  <si>
    <t>Retention (F 07 to 
F 08)</t>
  </si>
  <si>
    <t>http://highered.colorado.gov/Publications/Reports/Enrollment/FY2008/2008_RetentionRates_rev082009.pdf</t>
  </si>
  <si>
    <t>http://highered.colorado.gov/Publications/Reports/Enrollment/FY2008/2008_GradRates.pdf</t>
  </si>
  <si>
    <t>2 year colleges- 2005 cohort, graduating at original or 2-Year transfer institution</t>
  </si>
  <si>
    <t>4 year colleges- 2002 cohort, graduating in 6 years at either home or transfer institution</t>
  </si>
  <si>
    <t>http://highered.colorado.gov/Publications/Reports/Enrollment/FY2008/</t>
  </si>
  <si>
    <t>See next tab.</t>
  </si>
  <si>
    <t>http://classifications.carnegiefoundation.org/lookup_listings/institution.php</t>
  </si>
  <si>
    <t>Data run by CDHE Research Department.</t>
  </si>
  <si>
    <t>Taken from individual Institution's website.</t>
  </si>
  <si>
    <t>Carnegie Classification</t>
  </si>
  <si>
    <t>CCHE Classification</t>
  </si>
  <si>
    <t>Resident tuition/
fees</t>
  </si>
  <si>
    <t>Non Resident tuition/
fees</t>
  </si>
  <si>
    <t>Total Graduation Rate</t>
  </si>
  <si>
    <t>Graduation Rate - Pell Eligibile</t>
  </si>
  <si>
    <t>Graduation Rate - Non Pell Eligible</t>
  </si>
  <si>
    <t>Tuition/fees for 09-10- basic for 30 credit hours, does not include high cost programs or differential tuition/ 
for ldc- in district tuition/fees.</t>
  </si>
  <si>
    <t>http://highered.colorado.gov/Data/Graphs/Inst_Dashboard.swf</t>
  </si>
  <si>
    <t>Federal Designation</t>
  </si>
  <si>
    <t>DHE/CCHE policy &amp; Colorado Revised Statues.</t>
  </si>
</sst>
</file>

<file path=xl/styles.xml><?xml version="1.0" encoding="utf-8"?>
<styleSheet xmlns="http://schemas.openxmlformats.org/spreadsheetml/2006/main">
  <numFmts count="3">
    <numFmt numFmtId="43" formatCode="_(* #,##0.00_);_(* \(#,##0.00\);_(* &quot;-&quot;??_);_(@_)"/>
    <numFmt numFmtId="164" formatCode="&quot;$&quot;#,##0.00"/>
    <numFmt numFmtId="165" formatCode="_(* #,##0_);_(* \(#,##0\);_(* &quot;-&quot;??_);_(@_)"/>
  </numFmts>
  <fonts count="17">
    <font>
      <sz val="11"/>
      <color theme="1"/>
      <name val="Calibri"/>
      <family val="2"/>
      <scheme val="minor"/>
    </font>
    <font>
      <sz val="10"/>
      <name val="Arial"/>
      <family val="2"/>
    </font>
    <font>
      <u/>
      <sz val="11"/>
      <color theme="10"/>
      <name val="Calibri"/>
      <family val="2"/>
    </font>
    <font>
      <sz val="9"/>
      <color theme="1"/>
      <name val="Calibri"/>
      <family val="2"/>
      <scheme val="minor"/>
    </font>
    <font>
      <b/>
      <sz val="20"/>
      <color theme="1"/>
      <name val="Calibri"/>
      <family val="2"/>
      <scheme val="minor"/>
    </font>
    <font>
      <sz val="9"/>
      <color theme="1"/>
      <name val="Arial"/>
      <family val="2"/>
    </font>
    <font>
      <b/>
      <sz val="9"/>
      <color theme="1"/>
      <name val="Arial"/>
      <family val="2"/>
    </font>
    <font>
      <sz val="11"/>
      <color rgb="FFFF0000"/>
      <name val="Calibri"/>
      <family val="2"/>
      <scheme val="minor"/>
    </font>
    <font>
      <b/>
      <sz val="12"/>
      <color theme="1"/>
      <name val="Calibri"/>
      <family val="2"/>
      <scheme val="minor"/>
    </font>
    <font>
      <b/>
      <sz val="11"/>
      <color rgb="FFFF0000"/>
      <name val="Calibri"/>
      <family val="2"/>
      <scheme val="minor"/>
    </font>
    <font>
      <sz val="11"/>
      <name val="Calibri"/>
      <family val="2"/>
    </font>
    <font>
      <sz val="11"/>
      <color theme="1"/>
      <name val="Calibri"/>
      <family val="2"/>
      <scheme val="minor"/>
    </font>
    <font>
      <b/>
      <sz val="11"/>
      <color theme="1"/>
      <name val="Calibri"/>
      <family val="2"/>
      <scheme val="minor"/>
    </font>
    <font>
      <sz val="11"/>
      <name val="Calibri"/>
      <family val="2"/>
      <scheme val="minor"/>
    </font>
    <font>
      <b/>
      <i/>
      <sz val="9"/>
      <color theme="1"/>
      <name val="Calibri"/>
      <family val="2"/>
      <scheme val="minor"/>
    </font>
    <font>
      <b/>
      <i/>
      <sz val="9"/>
      <name val="Calibri"/>
      <family val="2"/>
    </font>
    <font>
      <b/>
      <i/>
      <sz val="9"/>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theme="2"/>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Border="0" applyAlignment="0" applyProtection="0">
      <alignment vertical="top"/>
      <protection locked="0"/>
    </xf>
    <xf numFmtId="9" fontId="11" fillId="0" borderId="0" applyFont="0" applyFill="0" applyBorder="0" applyAlignment="0" applyProtection="0"/>
    <xf numFmtId="43" fontId="11" fillId="0" borderId="0" applyFont="0" applyFill="0" applyBorder="0" applyAlignment="0" applyProtection="0"/>
  </cellStyleXfs>
  <cellXfs count="96">
    <xf numFmtId="0" fontId="0" fillId="0" borderId="0" xfId="0"/>
    <xf numFmtId="0" fontId="0" fillId="2" borderId="0" xfId="0" applyFill="1"/>
    <xf numFmtId="0" fontId="0" fillId="0" borderId="0" xfId="0" applyFont="1"/>
    <xf numFmtId="0" fontId="0" fillId="6" borderId="1" xfId="0" applyFill="1" applyBorder="1"/>
    <xf numFmtId="0" fontId="0" fillId="0" borderId="0" xfId="0" applyBorder="1"/>
    <xf numFmtId="0" fontId="0" fillId="0" borderId="0" xfId="0" applyBorder="1" applyAlignment="1">
      <alignment wrapText="1"/>
    </xf>
    <xf numFmtId="0" fontId="0" fillId="0" borderId="0" xfId="0" applyBorder="1" applyAlignment="1">
      <alignment horizontal="right" wrapText="1"/>
    </xf>
    <xf numFmtId="3" fontId="0" fillId="0" borderId="0" xfId="0" applyNumberFormat="1" applyBorder="1" applyAlignment="1">
      <alignment horizontal="right" wrapText="1"/>
    </xf>
    <xf numFmtId="0" fontId="8" fillId="0" borderId="0" xfId="0" applyFont="1" applyBorder="1"/>
    <xf numFmtId="0" fontId="0" fillId="0" borderId="0" xfId="0" applyBorder="1" applyAlignment="1">
      <alignment horizontal="left" indent="2"/>
    </xf>
    <xf numFmtId="0" fontId="10" fillId="0" borderId="0" xfId="2" applyFont="1" applyBorder="1" applyAlignment="1" applyProtection="1">
      <alignment horizontal="left" indent="2"/>
    </xf>
    <xf numFmtId="0" fontId="9" fillId="10" borderId="0" xfId="0" applyFont="1" applyFill="1" applyBorder="1" applyAlignment="1">
      <alignment horizontal="left"/>
    </xf>
    <xf numFmtId="0" fontId="7" fillId="10" borderId="0" xfId="0" applyFont="1" applyFill="1" applyBorder="1"/>
    <xf numFmtId="0" fontId="9" fillId="10" borderId="0" xfId="0" applyFont="1" applyFill="1" applyBorder="1"/>
    <xf numFmtId="165" fontId="0" fillId="6" borderId="1" xfId="4" applyNumberFormat="1" applyFont="1" applyFill="1" applyBorder="1"/>
    <xf numFmtId="165" fontId="0" fillId="0" borderId="0" xfId="4" applyNumberFormat="1" applyFont="1"/>
    <xf numFmtId="10" fontId="0" fillId="6" borderId="1" xfId="3" applyNumberFormat="1" applyFont="1" applyFill="1" applyBorder="1"/>
    <xf numFmtId="10" fontId="0" fillId="0" borderId="0" xfId="3" applyNumberFormat="1" applyFont="1"/>
    <xf numFmtId="0" fontId="0" fillId="0" borderId="0" xfId="0" applyBorder="1" applyAlignment="1"/>
    <xf numFmtId="0" fontId="12" fillId="0" borderId="0" xfId="0" applyFont="1" applyBorder="1"/>
    <xf numFmtId="0" fontId="12" fillId="0" borderId="0" xfId="0" applyFont="1"/>
    <xf numFmtId="0" fontId="12" fillId="0" borderId="0" xfId="0" applyFont="1" applyBorder="1" applyAlignment="1">
      <alignment wrapText="1"/>
    </xf>
    <xf numFmtId="0" fontId="10" fillId="0" borderId="0" xfId="2" applyFont="1" applyBorder="1" applyAlignment="1" applyProtection="1"/>
    <xf numFmtId="0" fontId="0" fillId="0" borderId="0" xfId="0" applyFill="1" applyBorder="1"/>
    <xf numFmtId="0" fontId="13" fillId="0" borderId="0" xfId="0" applyFont="1"/>
    <xf numFmtId="0" fontId="4" fillId="7" borderId="2" xfId="0" applyFont="1" applyFill="1" applyBorder="1" applyAlignment="1">
      <alignment horizontal="center" vertical="center" textRotation="90"/>
    </xf>
    <xf numFmtId="0" fontId="4" fillId="7" borderId="3" xfId="0" applyFont="1" applyFill="1" applyBorder="1" applyAlignment="1">
      <alignment horizontal="center" vertical="center" textRotation="90"/>
    </xf>
    <xf numFmtId="0" fontId="4" fillId="7" borderId="4" xfId="0" applyFont="1" applyFill="1" applyBorder="1" applyAlignment="1">
      <alignment horizontal="center" vertical="center" textRotation="90"/>
    </xf>
    <xf numFmtId="0" fontId="4" fillId="8" borderId="2" xfId="0" applyFont="1" applyFill="1" applyBorder="1" applyAlignment="1">
      <alignment horizontal="center" vertical="center" textRotation="90"/>
    </xf>
    <xf numFmtId="0" fontId="4" fillId="8" borderId="3" xfId="0" applyFont="1" applyFill="1" applyBorder="1" applyAlignment="1">
      <alignment horizontal="center" vertical="center" textRotation="90"/>
    </xf>
    <xf numFmtId="0" fontId="4" fillId="8" borderId="4" xfId="0" applyFont="1" applyFill="1" applyBorder="1" applyAlignment="1">
      <alignment horizontal="center" vertical="center" textRotation="90"/>
    </xf>
    <xf numFmtId="0" fontId="4" fillId="11" borderId="1" xfId="0" applyFont="1" applyFill="1" applyBorder="1" applyAlignment="1">
      <alignment horizontal="center" vertical="center" textRotation="90"/>
    </xf>
    <xf numFmtId="0" fontId="0" fillId="0" borderId="0" xfId="0" applyBorder="1" applyAlignment="1">
      <alignment horizontal="left" wrapText="1"/>
    </xf>
    <xf numFmtId="0" fontId="6" fillId="0" borderId="0" xfId="0" applyFont="1" applyBorder="1" applyAlignment="1">
      <alignment wrapText="1"/>
    </xf>
    <xf numFmtId="0" fontId="0" fillId="5" borderId="1" xfId="0" applyFont="1" applyFill="1" applyBorder="1" applyAlignment="1">
      <alignment vertical="top" wrapText="1"/>
    </xf>
    <xf numFmtId="0" fontId="0" fillId="0" borderId="1" xfId="0" applyFont="1" applyBorder="1" applyAlignment="1">
      <alignment vertical="top" wrapText="1"/>
    </xf>
    <xf numFmtId="0" fontId="0" fillId="5" borderId="1" xfId="0" applyFont="1" applyFill="1" applyBorder="1" applyAlignment="1">
      <alignment vertical="top" wrapText="1"/>
    </xf>
    <xf numFmtId="0" fontId="0" fillId="5" borderId="1" xfId="0" applyFont="1" applyFill="1" applyBorder="1" applyAlignment="1">
      <alignment horizontal="left" vertical="top" wrapText="1"/>
    </xf>
    <xf numFmtId="0" fontId="0" fillId="6" borderId="1" xfId="0" applyFont="1" applyFill="1" applyBorder="1" applyAlignment="1">
      <alignment vertical="top" wrapText="1"/>
    </xf>
    <xf numFmtId="0" fontId="0" fillId="5" borderId="1" xfId="0" applyNumberFormat="1" applyFont="1" applyFill="1" applyBorder="1" applyAlignment="1">
      <alignment vertical="top" wrapText="1"/>
    </xf>
    <xf numFmtId="0" fontId="0" fillId="6" borderId="1" xfId="0" applyFont="1" applyFill="1" applyBorder="1"/>
    <xf numFmtId="0" fontId="12" fillId="5" borderId="1" xfId="0" applyFont="1" applyFill="1" applyBorder="1" applyAlignment="1">
      <alignment vertical="top" wrapText="1"/>
    </xf>
    <xf numFmtId="3" fontId="0" fillId="5" borderId="1" xfId="0" applyNumberFormat="1" applyFont="1" applyFill="1" applyBorder="1" applyAlignment="1">
      <alignment horizontal="right" vertical="top" wrapText="1"/>
    </xf>
    <xf numFmtId="165" fontId="0" fillId="5" borderId="1" xfId="4" applyNumberFormat="1" applyFont="1" applyFill="1" applyBorder="1" applyAlignment="1">
      <alignment horizontal="right" vertical="top" wrapText="1"/>
    </xf>
    <xf numFmtId="10" fontId="0" fillId="5" borderId="1" xfId="3" applyNumberFormat="1" applyFont="1" applyFill="1" applyBorder="1" applyAlignment="1">
      <alignment horizontal="right" vertical="top" wrapText="1"/>
    </xf>
    <xf numFmtId="10" fontId="0" fillId="5" borderId="1" xfId="0" applyNumberFormat="1" applyFont="1" applyFill="1" applyBorder="1" applyAlignment="1">
      <alignment vertical="top" wrapText="1"/>
    </xf>
    <xf numFmtId="0" fontId="13" fillId="5" borderId="1" xfId="0" applyFont="1" applyFill="1" applyBorder="1" applyAlignment="1">
      <alignment vertical="top" wrapText="1"/>
    </xf>
    <xf numFmtId="164" fontId="0" fillId="5" borderId="1" xfId="0" applyNumberFormat="1" applyFont="1" applyFill="1" applyBorder="1" applyAlignment="1">
      <alignment vertical="top" wrapText="1"/>
    </xf>
    <xf numFmtId="0" fontId="0" fillId="0" borderId="1" xfId="0" applyFont="1" applyFill="1" applyBorder="1" applyAlignment="1">
      <alignment horizontal="right" vertical="top" wrapText="1"/>
    </xf>
    <xf numFmtId="3" fontId="0" fillId="0" borderId="1" xfId="0" applyNumberFormat="1" applyFont="1" applyFill="1" applyBorder="1" applyAlignment="1">
      <alignment horizontal="right" vertical="top" wrapText="1"/>
    </xf>
    <xf numFmtId="10" fontId="0" fillId="0" borderId="1" xfId="3" applyNumberFormat="1" applyFont="1" applyFill="1" applyBorder="1" applyAlignment="1">
      <alignment horizontal="right" vertical="top" wrapText="1"/>
    </xf>
    <xf numFmtId="165" fontId="0" fillId="0" borderId="1" xfId="4" applyNumberFormat="1" applyFont="1" applyFill="1" applyBorder="1" applyAlignment="1">
      <alignment horizontal="right" vertical="top" wrapText="1"/>
    </xf>
    <xf numFmtId="10" fontId="0" fillId="0" borderId="1" xfId="0" applyNumberFormat="1" applyFont="1" applyFill="1" applyBorder="1" applyAlignment="1">
      <alignment vertical="top" wrapText="1"/>
    </xf>
    <xf numFmtId="0" fontId="13" fillId="0" borderId="1" xfId="0" applyFont="1" applyFill="1" applyBorder="1" applyAlignment="1">
      <alignment vertical="top" wrapText="1"/>
    </xf>
    <xf numFmtId="0" fontId="0" fillId="0" borderId="1" xfId="0" applyFont="1" applyFill="1" applyBorder="1" applyAlignment="1">
      <alignment vertical="top" wrapText="1"/>
    </xf>
    <xf numFmtId="164" fontId="0" fillId="0" borderId="1" xfId="0" applyNumberFormat="1" applyFont="1" applyFill="1" applyBorder="1" applyAlignment="1">
      <alignment vertical="top" wrapText="1"/>
    </xf>
    <xf numFmtId="0" fontId="12" fillId="5" borderId="1" xfId="0" applyFont="1" applyFill="1" applyBorder="1" applyAlignment="1">
      <alignment horizontal="left" vertical="top" wrapText="1"/>
    </xf>
    <xf numFmtId="165" fontId="0" fillId="0" borderId="1" xfId="4" applyNumberFormat="1" applyFont="1" applyFill="1" applyBorder="1" applyAlignment="1">
      <alignment vertical="top" wrapText="1"/>
    </xf>
    <xf numFmtId="0" fontId="0" fillId="2" borderId="1" xfId="0" applyFont="1" applyFill="1" applyBorder="1" applyAlignment="1">
      <alignment horizontal="right" vertical="top" wrapText="1"/>
    </xf>
    <xf numFmtId="0" fontId="0" fillId="0" borderId="1" xfId="0" applyFont="1" applyBorder="1" applyAlignment="1">
      <alignment horizontal="right" vertical="top" wrapText="1"/>
    </xf>
    <xf numFmtId="10" fontId="0" fillId="0" borderId="1" xfId="3" applyNumberFormat="1" applyFont="1" applyBorder="1" applyAlignment="1">
      <alignment horizontal="right" vertical="top" wrapText="1"/>
    </xf>
    <xf numFmtId="165" fontId="0" fillId="0" borderId="1" xfId="4" applyNumberFormat="1" applyFont="1" applyBorder="1" applyAlignment="1">
      <alignment horizontal="right" vertical="top" wrapText="1"/>
    </xf>
    <xf numFmtId="0" fontId="0" fillId="2" borderId="1" xfId="0" applyFont="1" applyFill="1" applyBorder="1" applyAlignment="1">
      <alignment vertical="top" wrapText="1"/>
    </xf>
    <xf numFmtId="0" fontId="13" fillId="2" borderId="1" xfId="0" applyFont="1" applyFill="1" applyBorder="1" applyAlignment="1">
      <alignment vertical="top" wrapText="1"/>
    </xf>
    <xf numFmtId="164" fontId="0" fillId="2" borderId="1" xfId="0" applyNumberFormat="1" applyFont="1" applyFill="1" applyBorder="1" applyAlignment="1">
      <alignment vertical="top" wrapText="1"/>
    </xf>
    <xf numFmtId="10" fontId="0" fillId="2" borderId="1" xfId="0" applyNumberFormat="1" applyFont="1" applyFill="1" applyBorder="1" applyAlignment="1">
      <alignment vertical="top" wrapText="1"/>
    </xf>
    <xf numFmtId="3" fontId="0" fillId="0" borderId="1" xfId="0" applyNumberFormat="1" applyFont="1" applyBorder="1" applyAlignment="1">
      <alignment horizontal="right" vertical="top" wrapText="1"/>
    </xf>
    <xf numFmtId="0" fontId="14" fillId="3" borderId="1" xfId="0" applyFont="1" applyFill="1" applyBorder="1" applyAlignment="1">
      <alignment horizontal="center" vertical="top" wrapText="1"/>
    </xf>
    <xf numFmtId="0" fontId="14" fillId="4" borderId="1" xfId="0" applyFont="1" applyFill="1" applyBorder="1" applyAlignment="1">
      <alignment horizontal="center" vertical="top" wrapText="1"/>
    </xf>
    <xf numFmtId="0" fontId="15" fillId="3" borderId="1" xfId="2" applyFont="1" applyFill="1" applyBorder="1" applyAlignment="1" applyProtection="1">
      <alignment horizontal="center" vertical="top" wrapText="1"/>
    </xf>
    <xf numFmtId="165" fontId="15" fillId="3" borderId="1" xfId="4" applyNumberFormat="1" applyFont="1" applyFill="1" applyBorder="1" applyAlignment="1" applyProtection="1">
      <alignment horizontal="center" vertical="top" wrapText="1"/>
    </xf>
    <xf numFmtId="10" fontId="15" fillId="3" borderId="1" xfId="3" applyNumberFormat="1" applyFont="1" applyFill="1" applyBorder="1" applyAlignment="1" applyProtection="1">
      <alignment horizontal="center" vertical="top" wrapText="1"/>
    </xf>
    <xf numFmtId="0" fontId="16" fillId="3" borderId="1" xfId="0" applyFont="1" applyFill="1" applyBorder="1" applyAlignment="1">
      <alignment horizontal="center" vertical="top" wrapText="1"/>
    </xf>
    <xf numFmtId="0" fontId="3" fillId="0" borderId="0" xfId="0" applyFont="1"/>
    <xf numFmtId="0" fontId="0" fillId="6" borderId="1" xfId="0" applyFont="1" applyFill="1" applyBorder="1" applyAlignment="1">
      <alignment horizontal="right" vertical="top" wrapText="1"/>
    </xf>
    <xf numFmtId="3" fontId="0" fillId="6" borderId="1" xfId="0" applyNumberFormat="1" applyFont="1" applyFill="1" applyBorder="1" applyAlignment="1">
      <alignment horizontal="right" vertical="top" wrapText="1"/>
    </xf>
    <xf numFmtId="165" fontId="0" fillId="6" borderId="1" xfId="4" applyNumberFormat="1" applyFont="1" applyFill="1" applyBorder="1" applyAlignment="1">
      <alignment horizontal="right" vertical="top" wrapText="1"/>
    </xf>
    <xf numFmtId="10" fontId="0" fillId="6" borderId="1" xfId="0" applyNumberFormat="1" applyFont="1" applyFill="1" applyBorder="1" applyAlignment="1">
      <alignment vertical="top" wrapText="1"/>
    </xf>
    <xf numFmtId="0" fontId="13" fillId="6" borderId="1" xfId="0" applyFont="1" applyFill="1" applyBorder="1" applyAlignment="1">
      <alignment vertical="top" wrapText="1"/>
    </xf>
    <xf numFmtId="164" fontId="0" fillId="6" borderId="1" xfId="0" applyNumberFormat="1" applyFont="1" applyFill="1" applyBorder="1" applyAlignment="1">
      <alignment vertical="top" wrapText="1"/>
    </xf>
    <xf numFmtId="10" fontId="0" fillId="0" borderId="1" xfId="0" applyNumberFormat="1" applyFont="1" applyBorder="1" applyAlignment="1">
      <alignment vertical="top" wrapText="1"/>
    </xf>
    <xf numFmtId="0" fontId="13" fillId="0" borderId="1" xfId="0" applyFont="1" applyBorder="1" applyAlignment="1">
      <alignment vertical="top" wrapText="1"/>
    </xf>
    <xf numFmtId="0" fontId="0" fillId="0" borderId="1" xfId="0" applyFont="1" applyBorder="1" applyAlignment="1">
      <alignment vertical="top" wrapText="1"/>
    </xf>
    <xf numFmtId="164" fontId="0" fillId="0" borderId="1" xfId="0" applyNumberFormat="1" applyFont="1" applyBorder="1" applyAlignment="1">
      <alignment vertical="top" wrapText="1"/>
    </xf>
    <xf numFmtId="10" fontId="0" fillId="0" borderId="1" xfId="3" applyNumberFormat="1" applyFont="1" applyBorder="1" applyAlignment="1">
      <alignment vertical="top" wrapText="1"/>
    </xf>
    <xf numFmtId="165" fontId="0" fillId="0" borderId="1" xfId="4" applyNumberFormat="1" applyFont="1" applyBorder="1" applyAlignment="1">
      <alignment vertical="top" wrapText="1"/>
    </xf>
    <xf numFmtId="9" fontId="0" fillId="0" borderId="1" xfId="0" applyNumberFormat="1" applyFont="1" applyBorder="1" applyAlignment="1">
      <alignment vertical="top" wrapText="1"/>
    </xf>
    <xf numFmtId="165" fontId="0" fillId="6" borderId="1" xfId="4" applyNumberFormat="1" applyFont="1" applyFill="1" applyBorder="1" applyAlignment="1">
      <alignment vertical="top" wrapText="1"/>
    </xf>
    <xf numFmtId="10" fontId="0" fillId="6" borderId="1" xfId="3" applyNumberFormat="1" applyFont="1" applyFill="1" applyBorder="1" applyAlignment="1">
      <alignment vertical="top" wrapText="1"/>
    </xf>
    <xf numFmtId="164" fontId="0" fillId="6" borderId="1" xfId="0" applyNumberFormat="1" applyFont="1" applyFill="1" applyBorder="1"/>
    <xf numFmtId="0" fontId="12" fillId="5" borderId="1" xfId="0" applyFont="1" applyFill="1" applyBorder="1" applyAlignment="1">
      <alignment horizontal="left" wrapText="1"/>
    </xf>
    <xf numFmtId="10" fontId="0" fillId="0" borderId="1" xfId="3" applyNumberFormat="1" applyFont="1" applyFill="1" applyBorder="1" applyAlignment="1">
      <alignment vertical="top" wrapText="1"/>
    </xf>
    <xf numFmtId="3" fontId="12" fillId="5" borderId="1" xfId="0" applyNumberFormat="1" applyFont="1" applyFill="1" applyBorder="1" applyAlignment="1">
      <alignment vertical="top" wrapText="1"/>
    </xf>
    <xf numFmtId="0" fontId="4" fillId="9" borderId="2" xfId="0" applyFont="1" applyFill="1" applyBorder="1" applyAlignment="1">
      <alignment horizontal="right" vertical="center" textRotation="90"/>
    </xf>
    <xf numFmtId="0" fontId="4" fillId="9" borderId="3" xfId="0" applyFont="1" applyFill="1" applyBorder="1" applyAlignment="1">
      <alignment horizontal="right" vertical="center" textRotation="90"/>
    </xf>
    <xf numFmtId="0" fontId="4" fillId="9" borderId="4" xfId="0" applyFont="1" applyFill="1" applyBorder="1" applyAlignment="1">
      <alignment horizontal="right" vertical="center" textRotation="90"/>
    </xf>
  </cellXfs>
  <cellStyles count="5">
    <cellStyle name="Comma" xfId="4" builtinId="3"/>
    <cellStyle name="Hyperlink" xfId="2" builtinId="8"/>
    <cellStyle name="Normal" xfId="0" builtinId="0"/>
    <cellStyle name="Normal 3" xfId="1"/>
    <cellStyle name="Percent" xfId="3"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highered.colorado.gov/Publications/Reports/Enrollment/FY200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classifications.carnegiefoundation.org/lookup_listings/srp.php?clq=%7b%22basic2005_ids%22%3A%2216%22%7d&amp;limit=0,50" TargetMode="External"/><Relationship Id="rId13" Type="http://schemas.openxmlformats.org/officeDocument/2006/relationships/hyperlink" Target="http://classifications.carnegiefoundation.org/lookup_listings/srp.php?clq=%7b%22basic2005_ids%22%3A%2211%22%7d&amp;limit=0,50" TargetMode="External"/><Relationship Id="rId18" Type="http://schemas.openxmlformats.org/officeDocument/2006/relationships/hyperlink" Target="http://classifications.carnegiefoundation.org/lookup_listings/srp.php?clq=%7b%22basic2005_ids%22%3A%226%22%7d&amp;limit=0,50" TargetMode="External"/><Relationship Id="rId3" Type="http://schemas.openxmlformats.org/officeDocument/2006/relationships/hyperlink" Target="http://classifications.carnegiefoundation.org/lookup_listings/srp.php?clq=%7b%22basic2005_ids%22%3A%2221%22%7d&amp;limit=0,50" TargetMode="External"/><Relationship Id="rId21" Type="http://schemas.openxmlformats.org/officeDocument/2006/relationships/hyperlink" Target="http://classifications.carnegiefoundation.org/lookup_listings/srp.php?clq=%7b%22basic2005_ids%22%3A%223%22%7d&amp;limit=0,50" TargetMode="External"/><Relationship Id="rId7" Type="http://schemas.openxmlformats.org/officeDocument/2006/relationships/hyperlink" Target="http://classifications.carnegiefoundation.org/lookup_listings/srp.php?clq=%7b%22basic2005_ids%22%3A%2217%22%7d&amp;limit=0,50" TargetMode="External"/><Relationship Id="rId12" Type="http://schemas.openxmlformats.org/officeDocument/2006/relationships/hyperlink" Target="http://classifications.carnegiefoundation.org/lookup_listings/srp.php?clq=%7b%22basic2005_ids%22%3A%2212%22%7d&amp;limit=0,50" TargetMode="External"/><Relationship Id="rId17" Type="http://schemas.openxmlformats.org/officeDocument/2006/relationships/hyperlink" Target="http://classifications.carnegiefoundation.org/lookup_listings/srp.php?clq=%7b%22basic2005_ids%22%3A%227%22%7d&amp;limit=0,50" TargetMode="External"/><Relationship Id="rId2" Type="http://schemas.openxmlformats.org/officeDocument/2006/relationships/hyperlink" Target="http://classifications.carnegiefoundation.org/lookup_listings/srp.php?clq=%7b%22basic2005_ids%22%3A%2222%22%7d&amp;limit=0,50" TargetMode="External"/><Relationship Id="rId16" Type="http://schemas.openxmlformats.org/officeDocument/2006/relationships/hyperlink" Target="http://classifications.carnegiefoundation.org/lookup_listings/srp.php?clq=%7b%22basic2005_ids%22%3A%228%22%7d&amp;limit=0,50" TargetMode="External"/><Relationship Id="rId20" Type="http://schemas.openxmlformats.org/officeDocument/2006/relationships/hyperlink" Target="http://classifications.carnegiefoundation.org/lookup_listings/srp.php?clq=%7b%22basic2005_ids%22%3A%224%22%7d&amp;limit=0,50" TargetMode="External"/><Relationship Id="rId1" Type="http://schemas.openxmlformats.org/officeDocument/2006/relationships/hyperlink" Target="http://classifications.carnegiefoundation.org/lookup_listings/srp.php?clq=%7b%22basic2005_ids%22%3A%2223%22%7d&amp;limit=0,50" TargetMode="External"/><Relationship Id="rId6" Type="http://schemas.openxmlformats.org/officeDocument/2006/relationships/hyperlink" Target="http://classifications.carnegiefoundation.org/lookup_listings/srp.php?clq=%7b%22basic2005_ids%22%3A%2218%22%7d&amp;limit=0,50" TargetMode="External"/><Relationship Id="rId11" Type="http://schemas.openxmlformats.org/officeDocument/2006/relationships/hyperlink" Target="http://classifications.carnegiefoundation.org/lookup_listings/srp.php?clq=%7b%22basic2005_ids%22%3A%2213%22%7d&amp;limit=0,50" TargetMode="External"/><Relationship Id="rId24" Type="http://schemas.openxmlformats.org/officeDocument/2006/relationships/printerSettings" Target="../printerSettings/printerSettings3.bin"/><Relationship Id="rId5" Type="http://schemas.openxmlformats.org/officeDocument/2006/relationships/hyperlink" Target="http://classifications.carnegiefoundation.org/lookup_listings/srp.php?clq=%7b%22basic2005_ids%22%3A%2219%22%7d&amp;limit=0,50" TargetMode="External"/><Relationship Id="rId15" Type="http://schemas.openxmlformats.org/officeDocument/2006/relationships/hyperlink" Target="http://classifications.carnegiefoundation.org/lookup_listings/srp.php?clq=%7b%22basic2005_ids%22%3A%229%22%7d&amp;limit=0,50" TargetMode="External"/><Relationship Id="rId23" Type="http://schemas.openxmlformats.org/officeDocument/2006/relationships/hyperlink" Target="http://classifications.carnegiefoundation.org/lookup_listings/srp.php?clq=%7b%22basic2005_ids%22%3A%221%22%7d&amp;limit=0,50" TargetMode="External"/><Relationship Id="rId10" Type="http://schemas.openxmlformats.org/officeDocument/2006/relationships/hyperlink" Target="http://classifications.carnegiefoundation.org/lookup_listings/srp.php?clq=%7b%22basic2005_ids%22%3A%2214%22%7d&amp;limit=0,50" TargetMode="External"/><Relationship Id="rId19" Type="http://schemas.openxmlformats.org/officeDocument/2006/relationships/hyperlink" Target="http://classifications.carnegiefoundation.org/lookup_listings/srp.php?clq=%7b%22basic2005_ids%22%3A%225%22%7d&amp;limit=0,50" TargetMode="External"/><Relationship Id="rId4" Type="http://schemas.openxmlformats.org/officeDocument/2006/relationships/hyperlink" Target="http://classifications.carnegiefoundation.org/lookup_listings/srp.php?clq=%7b%22basic2005_ids%22%3A%2220%22%7d&amp;limit=0,50" TargetMode="External"/><Relationship Id="rId9" Type="http://schemas.openxmlformats.org/officeDocument/2006/relationships/hyperlink" Target="http://classifications.carnegiefoundation.org/lookup_listings/srp.php?clq=%7b%22basic2005_ids%22%3A%2215%22%7d&amp;limit=0,50" TargetMode="External"/><Relationship Id="rId14" Type="http://schemas.openxmlformats.org/officeDocument/2006/relationships/hyperlink" Target="http://classifications.carnegiefoundation.org/lookup_listings/srp.php?clq=%7b%22basic2005_ids%22%3A%2210%22%7d&amp;limit=0,50" TargetMode="External"/><Relationship Id="rId22" Type="http://schemas.openxmlformats.org/officeDocument/2006/relationships/hyperlink" Target="http://classifications.carnegiefoundation.org/lookup_listings/srp.php?clq=%7b%22basic2005_ids%22%3A%222%22%7d&amp;limit=0,50"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T222"/>
  <sheetViews>
    <sheetView tabSelected="1" topLeftCell="A3" zoomScaleNormal="100" zoomScaleSheetLayoutView="75" workbookViewId="0">
      <selection activeCell="H15" sqref="H15"/>
    </sheetView>
  </sheetViews>
  <sheetFormatPr defaultRowHeight="15"/>
  <cols>
    <col min="1" max="1" width="9.140625" customWidth="1"/>
    <col min="2" max="2" width="12.7109375" style="2" customWidth="1"/>
    <col min="3" max="3" width="7.140625" style="2" customWidth="1"/>
    <col min="4" max="4" width="10.28515625" style="2" bestFit="1" customWidth="1"/>
    <col min="5" max="5" width="7.140625" style="15" customWidth="1"/>
    <col min="6" max="6" width="10.5703125" style="17" bestFit="1" customWidth="1"/>
    <col min="7" max="10" width="10.140625" style="2" customWidth="1"/>
    <col min="11" max="11" width="15" style="2" customWidth="1"/>
    <col min="12" max="12" width="12" style="2" customWidth="1"/>
    <col min="13" max="13" width="10.28515625" style="2" customWidth="1"/>
    <col min="14" max="15" width="11.5703125" style="2" bestFit="1" customWidth="1"/>
    <col min="16" max="16" width="11.140625" style="2" customWidth="1"/>
    <col min="17" max="17" width="18.7109375" style="2" customWidth="1"/>
    <col min="18" max="18" width="14.7109375" style="2" customWidth="1"/>
    <col min="19" max="19" width="46.140625" style="2" customWidth="1"/>
    <col min="20" max="20" width="42.7109375" style="2" customWidth="1"/>
  </cols>
  <sheetData>
    <row r="1" spans="1:20" s="73" customFormat="1" ht="48">
      <c r="A1" s="67" t="s">
        <v>121</v>
      </c>
      <c r="B1" s="67" t="s">
        <v>87</v>
      </c>
      <c r="C1" s="68" t="s">
        <v>88</v>
      </c>
      <c r="D1" s="69" t="s">
        <v>86</v>
      </c>
      <c r="E1" s="70" t="s">
        <v>166</v>
      </c>
      <c r="F1" s="71" t="s">
        <v>167</v>
      </c>
      <c r="G1" s="72" t="s">
        <v>180</v>
      </c>
      <c r="H1" s="72" t="s">
        <v>194</v>
      </c>
      <c r="I1" s="72" t="s">
        <v>195</v>
      </c>
      <c r="J1" s="72" t="s">
        <v>196</v>
      </c>
      <c r="K1" s="72" t="s">
        <v>190</v>
      </c>
      <c r="L1" s="72" t="s">
        <v>191</v>
      </c>
      <c r="M1" s="72" t="s">
        <v>9</v>
      </c>
      <c r="N1" s="72" t="s">
        <v>192</v>
      </c>
      <c r="O1" s="72" t="s">
        <v>193</v>
      </c>
      <c r="P1" s="72" t="s">
        <v>10</v>
      </c>
      <c r="Q1" s="72" t="s">
        <v>107</v>
      </c>
      <c r="R1" s="72" t="s">
        <v>11</v>
      </c>
      <c r="S1" s="72" t="s">
        <v>104</v>
      </c>
      <c r="T1" s="67" t="s">
        <v>108</v>
      </c>
    </row>
    <row r="2" spans="1:20" ht="60" customHeight="1">
      <c r="A2" s="93" t="s">
        <v>128</v>
      </c>
      <c r="B2" s="41" t="s">
        <v>53</v>
      </c>
      <c r="C2" s="42">
        <v>4493</v>
      </c>
      <c r="D2" s="42"/>
      <c r="E2" s="43">
        <v>693</v>
      </c>
      <c r="F2" s="44">
        <f>E2/C2</f>
        <v>0.15423992877809928</v>
      </c>
      <c r="G2" s="45">
        <v>0.83599999999999997</v>
      </c>
      <c r="H2" s="45">
        <v>0.76300000000000001</v>
      </c>
      <c r="I2" s="45">
        <v>0.68799999999999994</v>
      </c>
      <c r="J2" s="45">
        <v>0.77800000000000002</v>
      </c>
      <c r="K2" s="46" t="s">
        <v>46</v>
      </c>
      <c r="L2" s="46" t="s">
        <v>120</v>
      </c>
      <c r="M2" s="36"/>
      <c r="N2" s="47">
        <v>12244</v>
      </c>
      <c r="O2" s="47">
        <v>25249</v>
      </c>
      <c r="P2" s="36" t="s">
        <v>12</v>
      </c>
      <c r="Q2" s="36" t="s">
        <v>13</v>
      </c>
      <c r="R2" s="36"/>
      <c r="S2" s="34" t="s">
        <v>2</v>
      </c>
      <c r="T2" s="34" t="s">
        <v>102</v>
      </c>
    </row>
    <row r="3" spans="1:20">
      <c r="A3" s="94"/>
      <c r="B3" s="48" t="s">
        <v>78</v>
      </c>
      <c r="C3" s="49">
        <v>514</v>
      </c>
      <c r="D3" s="50">
        <f>C3/C2</f>
        <v>0.11440017805475183</v>
      </c>
      <c r="E3" s="51">
        <v>39</v>
      </c>
      <c r="F3" s="44">
        <f t="shared" ref="F3:F73" si="0">E3/C3</f>
        <v>7.5875486381322951E-2</v>
      </c>
      <c r="G3" s="52">
        <v>0.86199999999999999</v>
      </c>
      <c r="H3" s="52">
        <v>0.85699999999999998</v>
      </c>
      <c r="I3" s="52"/>
      <c r="J3" s="52"/>
      <c r="K3" s="53"/>
      <c r="L3" s="53"/>
      <c r="M3" s="54"/>
      <c r="N3" s="55"/>
      <c r="O3" s="55"/>
      <c r="P3" s="54"/>
      <c r="Q3" s="54"/>
      <c r="R3" s="54"/>
      <c r="S3" s="35"/>
      <c r="T3" s="34"/>
    </row>
    <row r="4" spans="1:20">
      <c r="A4" s="94"/>
      <c r="B4" s="48" t="s">
        <v>79</v>
      </c>
      <c r="C4" s="49">
        <v>70</v>
      </c>
      <c r="D4" s="50">
        <f>C4/C2</f>
        <v>1.5579790785666592E-2</v>
      </c>
      <c r="E4" s="51">
        <v>25</v>
      </c>
      <c r="F4" s="44">
        <f t="shared" si="0"/>
        <v>0.35714285714285715</v>
      </c>
      <c r="G4" s="52">
        <v>0.75</v>
      </c>
      <c r="H4" s="52">
        <v>0.71399999999999997</v>
      </c>
      <c r="I4" s="52"/>
      <c r="J4" s="52"/>
      <c r="K4" s="53"/>
      <c r="L4" s="53"/>
      <c r="M4" s="54"/>
      <c r="N4" s="55"/>
      <c r="O4" s="55"/>
      <c r="P4" s="54"/>
      <c r="Q4" s="54"/>
      <c r="R4" s="54"/>
      <c r="S4" s="35"/>
      <c r="T4" s="34"/>
    </row>
    <row r="5" spans="1:20">
      <c r="A5" s="94"/>
      <c r="B5" s="48" t="s">
        <v>80</v>
      </c>
      <c r="C5" s="49">
        <v>33</v>
      </c>
      <c r="D5" s="50">
        <f>C5/C2</f>
        <v>7.3447585132428222E-3</v>
      </c>
      <c r="E5" s="51">
        <v>9</v>
      </c>
      <c r="F5" s="44">
        <f t="shared" si="0"/>
        <v>0.27272727272727271</v>
      </c>
      <c r="G5" s="52"/>
      <c r="H5" s="52">
        <v>0.625</v>
      </c>
      <c r="I5" s="52"/>
      <c r="J5" s="52"/>
      <c r="K5" s="53"/>
      <c r="L5" s="53"/>
      <c r="M5" s="54"/>
      <c r="N5" s="55"/>
      <c r="O5" s="55"/>
      <c r="P5" s="54"/>
      <c r="Q5" s="54"/>
      <c r="R5" s="54"/>
      <c r="S5" s="35"/>
      <c r="T5" s="34"/>
    </row>
    <row r="6" spans="1:20">
      <c r="A6" s="94"/>
      <c r="B6" s="48" t="s">
        <v>83</v>
      </c>
      <c r="C6" s="49">
        <v>218</v>
      </c>
      <c r="D6" s="50">
        <f>C6/C2</f>
        <v>4.8519919875361674E-2</v>
      </c>
      <c r="E6" s="51">
        <v>56</v>
      </c>
      <c r="F6" s="44">
        <f t="shared" si="0"/>
        <v>0.25688073394495414</v>
      </c>
      <c r="G6" s="52">
        <v>0.91400000000000003</v>
      </c>
      <c r="H6" s="52">
        <v>0.75</v>
      </c>
      <c r="I6" s="52"/>
      <c r="J6" s="52"/>
      <c r="K6" s="53"/>
      <c r="L6" s="53"/>
      <c r="M6" s="54"/>
      <c r="N6" s="55"/>
      <c r="O6" s="55"/>
      <c r="P6" s="54"/>
      <c r="Q6" s="54"/>
      <c r="R6" s="54"/>
      <c r="S6" s="35"/>
      <c r="T6" s="34"/>
    </row>
    <row r="7" spans="1:20">
      <c r="A7" s="94"/>
      <c r="B7" s="48" t="s">
        <v>81</v>
      </c>
      <c r="C7" s="49">
        <v>267</v>
      </c>
      <c r="D7" s="50">
        <f>C7/C2</f>
        <v>5.9425773425328288E-2</v>
      </c>
      <c r="E7" s="51">
        <v>61</v>
      </c>
      <c r="F7" s="44">
        <f t="shared" si="0"/>
        <v>0.22846441947565543</v>
      </c>
      <c r="G7" s="52">
        <v>0.86799999999999999</v>
      </c>
      <c r="H7" s="52">
        <v>0.65100000000000002</v>
      </c>
      <c r="I7" s="52"/>
      <c r="J7" s="52"/>
      <c r="K7" s="53"/>
      <c r="L7" s="53"/>
      <c r="M7" s="54"/>
      <c r="N7" s="55"/>
      <c r="O7" s="55"/>
      <c r="P7" s="54"/>
      <c r="Q7" s="54"/>
      <c r="R7" s="54"/>
      <c r="S7" s="35"/>
      <c r="T7" s="34"/>
    </row>
    <row r="8" spans="1:20" ht="30">
      <c r="A8" s="94"/>
      <c r="B8" s="48" t="s">
        <v>82</v>
      </c>
      <c r="C8" s="49">
        <v>3094</v>
      </c>
      <c r="D8" s="50">
        <f>C8/C2</f>
        <v>0.68862675272646334</v>
      </c>
      <c r="E8" s="51">
        <v>503</v>
      </c>
      <c r="F8" s="44">
        <f t="shared" si="0"/>
        <v>0.16257272139625081</v>
      </c>
      <c r="G8" s="52">
        <v>0.83699999999999997</v>
      </c>
      <c r="H8" s="52">
        <v>0.77700000000000002</v>
      </c>
      <c r="I8" s="52"/>
      <c r="J8" s="52"/>
      <c r="K8" s="53"/>
      <c r="L8" s="53"/>
      <c r="M8" s="54"/>
      <c r="N8" s="55"/>
      <c r="O8" s="55"/>
      <c r="P8" s="54"/>
      <c r="Q8" s="54"/>
      <c r="R8" s="54"/>
      <c r="S8" s="35"/>
      <c r="T8" s="34"/>
    </row>
    <row r="9" spans="1:20" ht="90">
      <c r="A9" s="94"/>
      <c r="B9" s="41" t="s">
        <v>54</v>
      </c>
      <c r="C9" s="42">
        <v>25495</v>
      </c>
      <c r="D9" s="42"/>
      <c r="E9" s="43">
        <v>4999</v>
      </c>
      <c r="F9" s="44">
        <f t="shared" si="0"/>
        <v>0.19607766228672288</v>
      </c>
      <c r="G9" s="45">
        <v>0.81899999999999995</v>
      </c>
      <c r="H9" s="45">
        <v>0.67200000000000004</v>
      </c>
      <c r="I9" s="45">
        <v>0.60099999999999998</v>
      </c>
      <c r="J9" s="45">
        <v>0.68400000000000005</v>
      </c>
      <c r="K9" s="46" t="s">
        <v>42</v>
      </c>
      <c r="L9" s="46" t="s">
        <v>120</v>
      </c>
      <c r="M9" s="36" t="s">
        <v>17</v>
      </c>
      <c r="N9" s="47">
        <v>6318</v>
      </c>
      <c r="O9" s="47">
        <v>21590</v>
      </c>
      <c r="P9" s="36" t="s">
        <v>16</v>
      </c>
      <c r="Q9" s="36" t="s">
        <v>18</v>
      </c>
      <c r="R9" s="36"/>
      <c r="S9" s="34" t="s">
        <v>111</v>
      </c>
      <c r="T9" s="34" t="s">
        <v>97</v>
      </c>
    </row>
    <row r="10" spans="1:20">
      <c r="A10" s="94"/>
      <c r="B10" s="48" t="s">
        <v>78</v>
      </c>
      <c r="C10" s="49">
        <v>1538</v>
      </c>
      <c r="D10" s="50">
        <f>C10/C9</f>
        <v>6.0325554030201997E-2</v>
      </c>
      <c r="E10" s="51">
        <v>402</v>
      </c>
      <c r="F10" s="44">
        <f t="shared" si="0"/>
        <v>0.26137841352405722</v>
      </c>
      <c r="G10" s="52">
        <v>0.69599999999999995</v>
      </c>
      <c r="H10" s="52">
        <v>0.67800000000000005</v>
      </c>
      <c r="I10" s="52"/>
      <c r="J10" s="52"/>
      <c r="K10" s="53"/>
      <c r="L10" s="53"/>
      <c r="M10" s="54"/>
      <c r="N10" s="55"/>
      <c r="O10" s="55"/>
      <c r="P10" s="54"/>
      <c r="Q10" s="54"/>
      <c r="R10" s="54"/>
      <c r="S10" s="35"/>
      <c r="T10" s="35"/>
    </row>
    <row r="11" spans="1:20">
      <c r="A11" s="94"/>
      <c r="B11" s="48" t="s">
        <v>79</v>
      </c>
      <c r="C11" s="49">
        <v>545</v>
      </c>
      <c r="D11" s="50">
        <f>C11/C9</f>
        <v>2.1376740537360266E-2</v>
      </c>
      <c r="E11" s="51">
        <v>250</v>
      </c>
      <c r="F11" s="44">
        <f t="shared" si="0"/>
        <v>0.45871559633027525</v>
      </c>
      <c r="G11" s="52">
        <v>0.8</v>
      </c>
      <c r="H11" s="52">
        <v>0.61599999999999999</v>
      </c>
      <c r="I11" s="52"/>
      <c r="J11" s="52"/>
      <c r="K11" s="53"/>
      <c r="L11" s="53"/>
      <c r="M11" s="54"/>
      <c r="N11" s="55"/>
      <c r="O11" s="55"/>
      <c r="P11" s="54"/>
      <c r="Q11" s="54"/>
      <c r="R11" s="54"/>
      <c r="S11" s="35"/>
      <c r="T11" s="35"/>
    </row>
    <row r="12" spans="1:20">
      <c r="A12" s="94"/>
      <c r="B12" s="48" t="s">
        <v>80</v>
      </c>
      <c r="C12" s="49">
        <v>395</v>
      </c>
      <c r="D12" s="50">
        <f>C12/C9</f>
        <v>1.5493233967444597E-2</v>
      </c>
      <c r="E12" s="51">
        <v>122</v>
      </c>
      <c r="F12" s="44">
        <f t="shared" si="0"/>
        <v>0.30886075949367087</v>
      </c>
      <c r="G12" s="52">
        <v>0.78400000000000003</v>
      </c>
      <c r="H12" s="52">
        <v>0.61199999999999999</v>
      </c>
      <c r="I12" s="52"/>
      <c r="J12" s="52"/>
      <c r="K12" s="53"/>
      <c r="L12" s="53"/>
      <c r="M12" s="54"/>
      <c r="N12" s="55"/>
      <c r="O12" s="55"/>
      <c r="P12" s="54"/>
      <c r="Q12" s="54"/>
      <c r="R12" s="54"/>
      <c r="S12" s="35"/>
      <c r="T12" s="35"/>
    </row>
    <row r="13" spans="1:20">
      <c r="A13" s="94"/>
      <c r="B13" s="48" t="s">
        <v>83</v>
      </c>
      <c r="C13" s="49">
        <v>790</v>
      </c>
      <c r="D13" s="50">
        <f>C13/C9</f>
        <v>3.0986467934889194E-2</v>
      </c>
      <c r="E13" s="51">
        <v>205</v>
      </c>
      <c r="F13" s="44">
        <f t="shared" si="0"/>
        <v>0.25949367088607594</v>
      </c>
      <c r="G13" s="52">
        <v>0.81899999999999995</v>
      </c>
      <c r="H13" s="52">
        <v>0.66700000000000004</v>
      </c>
      <c r="I13" s="52"/>
      <c r="J13" s="52"/>
      <c r="K13" s="53"/>
      <c r="L13" s="53"/>
      <c r="M13" s="54"/>
      <c r="N13" s="55"/>
      <c r="O13" s="55"/>
      <c r="P13" s="54"/>
      <c r="Q13" s="54"/>
      <c r="R13" s="54"/>
      <c r="S13" s="35"/>
      <c r="T13" s="35"/>
    </row>
    <row r="14" spans="1:20">
      <c r="A14" s="94"/>
      <c r="B14" s="48" t="s">
        <v>81</v>
      </c>
      <c r="C14" s="49">
        <v>1543</v>
      </c>
      <c r="D14" s="50">
        <f>C14/C9</f>
        <v>6.0521670915865855E-2</v>
      </c>
      <c r="E14" s="51">
        <v>493</v>
      </c>
      <c r="F14" s="44">
        <f t="shared" si="0"/>
        <v>0.31950745301360983</v>
      </c>
      <c r="G14" s="52">
        <v>0.77600000000000002</v>
      </c>
      <c r="H14" s="52">
        <v>0.59799999999999998</v>
      </c>
      <c r="I14" s="52"/>
      <c r="J14" s="52"/>
      <c r="K14" s="53"/>
      <c r="L14" s="53"/>
      <c r="M14" s="54"/>
      <c r="N14" s="55"/>
      <c r="O14" s="55"/>
      <c r="P14" s="54"/>
      <c r="Q14" s="54"/>
      <c r="R14" s="54"/>
      <c r="S14" s="35"/>
      <c r="T14" s="35"/>
    </row>
    <row r="15" spans="1:20" ht="270" customHeight="1">
      <c r="A15" s="94"/>
      <c r="B15" s="48" t="s">
        <v>82</v>
      </c>
      <c r="C15" s="49">
        <v>19798</v>
      </c>
      <c r="D15" s="50">
        <f>C15/C9</f>
        <v>0.77654442047460281</v>
      </c>
      <c r="E15" s="51">
        <v>3527</v>
      </c>
      <c r="F15" s="44">
        <f t="shared" si="0"/>
        <v>0.1781493080109102</v>
      </c>
      <c r="G15" s="52">
        <v>0.82499999999999996</v>
      </c>
      <c r="H15" s="52">
        <v>0.68200000000000005</v>
      </c>
      <c r="I15" s="52"/>
      <c r="J15" s="52"/>
      <c r="K15" s="53"/>
      <c r="L15" s="53"/>
      <c r="M15" s="54"/>
      <c r="N15" s="55"/>
      <c r="O15" s="55"/>
      <c r="P15" s="54"/>
      <c r="Q15" s="54"/>
      <c r="R15" s="54"/>
      <c r="S15" s="35"/>
      <c r="T15" s="35"/>
    </row>
    <row r="16" spans="1:20" ht="105">
      <c r="A16" s="94"/>
      <c r="B16" s="56" t="s">
        <v>0</v>
      </c>
      <c r="C16" s="42"/>
      <c r="D16" s="42"/>
      <c r="E16" s="43"/>
      <c r="F16" s="44"/>
      <c r="G16" s="45"/>
      <c r="H16" s="45"/>
      <c r="I16" s="45"/>
      <c r="J16" s="45"/>
      <c r="K16" s="46"/>
      <c r="L16" s="46"/>
      <c r="M16" s="36"/>
      <c r="N16" s="47"/>
      <c r="O16" s="47"/>
      <c r="P16" s="36"/>
      <c r="Q16" s="36"/>
      <c r="R16" s="36"/>
      <c r="S16" s="36" t="s">
        <v>112</v>
      </c>
      <c r="T16" s="36" t="s">
        <v>98</v>
      </c>
    </row>
    <row r="17" spans="1:20" ht="75">
      <c r="A17" s="94"/>
      <c r="B17" s="41" t="s">
        <v>55</v>
      </c>
      <c r="C17" s="42">
        <v>4633</v>
      </c>
      <c r="D17" s="42"/>
      <c r="E17" s="43">
        <v>1828</v>
      </c>
      <c r="F17" s="44">
        <f t="shared" si="0"/>
        <v>0.3945607597668897</v>
      </c>
      <c r="G17" s="45">
        <v>0.65600000000000003</v>
      </c>
      <c r="H17" s="45">
        <v>0.39300000000000002</v>
      </c>
      <c r="I17" s="45">
        <v>0.33500000000000002</v>
      </c>
      <c r="J17" s="45">
        <v>0.42599999999999999</v>
      </c>
      <c r="K17" s="46" t="s">
        <v>43</v>
      </c>
      <c r="L17" s="46" t="s">
        <v>120</v>
      </c>
      <c r="M17" s="36" t="s">
        <v>22</v>
      </c>
      <c r="N17" s="47">
        <v>5203</v>
      </c>
      <c r="O17" s="47">
        <v>14868</v>
      </c>
      <c r="P17" s="36" t="s">
        <v>30</v>
      </c>
      <c r="Q17" s="36"/>
      <c r="R17" s="36" t="s">
        <v>41</v>
      </c>
      <c r="S17" s="34" t="s">
        <v>113</v>
      </c>
      <c r="T17" s="34" t="s">
        <v>98</v>
      </c>
    </row>
    <row r="18" spans="1:20">
      <c r="A18" s="94"/>
      <c r="B18" s="48" t="s">
        <v>78</v>
      </c>
      <c r="C18" s="49">
        <v>324</v>
      </c>
      <c r="D18" s="50">
        <f>C18/C17</f>
        <v>6.9933088711418082E-2</v>
      </c>
      <c r="E18" s="51">
        <v>147</v>
      </c>
      <c r="F18" s="44">
        <f t="shared" si="0"/>
        <v>0.45370370370370372</v>
      </c>
      <c r="G18" s="52">
        <v>0.66700000000000004</v>
      </c>
      <c r="H18" s="52">
        <v>0.57099999999999995</v>
      </c>
      <c r="I18" s="52"/>
      <c r="J18" s="52"/>
      <c r="K18" s="53"/>
      <c r="L18" s="53"/>
      <c r="M18" s="54"/>
      <c r="N18" s="55"/>
      <c r="O18" s="55"/>
      <c r="P18" s="54"/>
      <c r="Q18" s="54"/>
      <c r="R18" s="54"/>
      <c r="S18" s="35"/>
      <c r="T18" s="35"/>
    </row>
    <row r="19" spans="1:20">
      <c r="A19" s="94"/>
      <c r="B19" s="48" t="s">
        <v>79</v>
      </c>
      <c r="C19" s="49">
        <v>363</v>
      </c>
      <c r="D19" s="50">
        <f>C19/C17</f>
        <v>7.8350960500755448E-2</v>
      </c>
      <c r="E19" s="51">
        <v>146</v>
      </c>
      <c r="F19" s="44">
        <f t="shared" si="0"/>
        <v>0.40220385674931131</v>
      </c>
      <c r="G19" s="52">
        <v>0.73</v>
      </c>
      <c r="H19" s="52">
        <v>0.375</v>
      </c>
      <c r="I19" s="52"/>
      <c r="J19" s="52"/>
      <c r="K19" s="53"/>
      <c r="L19" s="53"/>
      <c r="M19" s="54"/>
      <c r="N19" s="55"/>
      <c r="O19" s="55"/>
      <c r="P19" s="54"/>
      <c r="Q19" s="54"/>
      <c r="R19" s="54"/>
      <c r="S19" s="35"/>
      <c r="T19" s="35"/>
    </row>
    <row r="20" spans="1:20">
      <c r="A20" s="94"/>
      <c r="B20" s="48" t="s">
        <v>80</v>
      </c>
      <c r="C20" s="49">
        <v>91</v>
      </c>
      <c r="D20" s="50">
        <f>C20/C17</f>
        <v>1.964170084178718E-2</v>
      </c>
      <c r="E20" s="51">
        <v>46</v>
      </c>
      <c r="F20" s="44">
        <f t="shared" si="0"/>
        <v>0.50549450549450547</v>
      </c>
      <c r="G20" s="52">
        <v>0.78600000000000003</v>
      </c>
      <c r="H20" s="52">
        <v>0.375</v>
      </c>
      <c r="I20" s="52"/>
      <c r="J20" s="52"/>
      <c r="K20" s="53"/>
      <c r="L20" s="53"/>
      <c r="M20" s="54"/>
      <c r="N20" s="55"/>
      <c r="O20" s="55"/>
      <c r="P20" s="54"/>
      <c r="Q20" s="54"/>
      <c r="R20" s="54"/>
      <c r="S20" s="35"/>
      <c r="T20" s="35"/>
    </row>
    <row r="21" spans="1:20">
      <c r="A21" s="94"/>
      <c r="B21" s="48" t="s">
        <v>83</v>
      </c>
      <c r="C21" s="49">
        <v>116</v>
      </c>
      <c r="D21" s="50">
        <f>C21/C17</f>
        <v>2.5037772501618823E-2</v>
      </c>
      <c r="E21" s="51">
        <v>25</v>
      </c>
      <c r="F21" s="44">
        <f t="shared" si="0"/>
        <v>0.21551724137931033</v>
      </c>
      <c r="G21" s="52">
        <v>0.47099999999999997</v>
      </c>
      <c r="H21" s="52">
        <v>0.27300000000000002</v>
      </c>
      <c r="I21" s="52"/>
      <c r="J21" s="52"/>
      <c r="K21" s="53"/>
      <c r="L21" s="53"/>
      <c r="M21" s="54"/>
      <c r="N21" s="55"/>
      <c r="O21" s="55"/>
      <c r="P21" s="54"/>
      <c r="Q21" s="54"/>
      <c r="R21" s="54"/>
      <c r="S21" s="35"/>
      <c r="T21" s="35"/>
    </row>
    <row r="22" spans="1:20">
      <c r="A22" s="94"/>
      <c r="B22" s="48" t="s">
        <v>81</v>
      </c>
      <c r="C22" s="49">
        <v>1135</v>
      </c>
      <c r="D22" s="50">
        <f>C22/C17</f>
        <v>0.24498165335635658</v>
      </c>
      <c r="E22" s="51">
        <v>576</v>
      </c>
      <c r="F22" s="44">
        <f t="shared" si="0"/>
        <v>0.50748898678414101</v>
      </c>
      <c r="G22" s="52">
        <v>0.67600000000000005</v>
      </c>
      <c r="H22" s="52">
        <v>0.36799999999999999</v>
      </c>
      <c r="I22" s="52"/>
      <c r="J22" s="52"/>
      <c r="K22" s="53"/>
      <c r="L22" s="53"/>
      <c r="M22" s="54"/>
      <c r="N22" s="55"/>
      <c r="O22" s="55"/>
      <c r="P22" s="54"/>
      <c r="Q22" s="54"/>
      <c r="R22" s="54"/>
      <c r="S22" s="35"/>
      <c r="T22" s="35"/>
    </row>
    <row r="23" spans="1:20" ht="30">
      <c r="A23" s="94"/>
      <c r="B23" s="48" t="s">
        <v>82</v>
      </c>
      <c r="C23" s="49">
        <v>2478</v>
      </c>
      <c r="D23" s="50">
        <f>C23/C17</f>
        <v>0.53485862292251241</v>
      </c>
      <c r="E23" s="51">
        <v>888</v>
      </c>
      <c r="F23" s="44">
        <f t="shared" si="0"/>
        <v>0.3583535108958838</v>
      </c>
      <c r="G23" s="52">
        <v>0.66900000000000004</v>
      </c>
      <c r="H23" s="52">
        <v>0.41</v>
      </c>
      <c r="I23" s="52"/>
      <c r="J23" s="52"/>
      <c r="K23" s="53"/>
      <c r="L23" s="53"/>
      <c r="M23" s="54"/>
      <c r="N23" s="55"/>
      <c r="O23" s="55"/>
      <c r="P23" s="54"/>
      <c r="Q23" s="54"/>
      <c r="R23" s="54"/>
      <c r="S23" s="35"/>
      <c r="T23" s="35"/>
    </row>
    <row r="24" spans="1:20" ht="90">
      <c r="A24" s="94"/>
      <c r="B24" s="41" t="s">
        <v>69</v>
      </c>
      <c r="C24" s="42">
        <v>30623</v>
      </c>
      <c r="D24" s="42"/>
      <c r="E24" s="43">
        <v>4839</v>
      </c>
      <c r="F24" s="44">
        <f t="shared" si="0"/>
        <v>0.15801848283969566</v>
      </c>
      <c r="G24" s="45">
        <v>0.89900000000000002</v>
      </c>
      <c r="H24" s="45">
        <v>0.70299999999999996</v>
      </c>
      <c r="I24" s="45">
        <v>0.64600000000000002</v>
      </c>
      <c r="J24" s="45">
        <v>0.71</v>
      </c>
      <c r="K24" s="46" t="s">
        <v>42</v>
      </c>
      <c r="L24" s="46" t="s">
        <v>120</v>
      </c>
      <c r="M24" s="36" t="s">
        <v>20</v>
      </c>
      <c r="N24" s="47">
        <v>7932</v>
      </c>
      <c r="O24" s="47">
        <v>26756</v>
      </c>
      <c r="P24" s="36" t="s">
        <v>16</v>
      </c>
      <c r="Q24" s="36" t="s">
        <v>21</v>
      </c>
      <c r="R24" s="36"/>
      <c r="S24" s="34" t="s">
        <v>115</v>
      </c>
      <c r="T24" s="34" t="s">
        <v>96</v>
      </c>
    </row>
    <row r="25" spans="1:20">
      <c r="A25" s="94"/>
      <c r="B25" s="48" t="s">
        <v>78</v>
      </c>
      <c r="C25" s="49">
        <v>1723</v>
      </c>
      <c r="D25" s="50">
        <f>C25/C24</f>
        <v>5.6264898932175164E-2</v>
      </c>
      <c r="E25" s="51">
        <v>338</v>
      </c>
      <c r="F25" s="44">
        <f t="shared" si="0"/>
        <v>0.19616947185142194</v>
      </c>
      <c r="G25" s="52">
        <v>0.86299999999999999</v>
      </c>
      <c r="H25" s="52">
        <v>0.68600000000000005</v>
      </c>
      <c r="I25" s="52"/>
      <c r="J25" s="52"/>
      <c r="K25" s="53"/>
      <c r="L25" s="53"/>
      <c r="M25" s="54"/>
      <c r="N25" s="55"/>
      <c r="O25" s="55"/>
      <c r="P25" s="54"/>
      <c r="Q25" s="54"/>
      <c r="R25" s="54"/>
      <c r="S25" s="34"/>
      <c r="T25" s="34"/>
    </row>
    <row r="26" spans="1:20">
      <c r="A26" s="94"/>
      <c r="B26" s="48" t="s">
        <v>79</v>
      </c>
      <c r="C26" s="49">
        <v>480</v>
      </c>
      <c r="D26" s="50">
        <f>C26/C24</f>
        <v>1.5674493028116122E-2</v>
      </c>
      <c r="E26" s="51">
        <v>220</v>
      </c>
      <c r="F26" s="44">
        <f t="shared" si="0"/>
        <v>0.45833333333333331</v>
      </c>
      <c r="G26" s="52">
        <v>0.81899999999999995</v>
      </c>
      <c r="H26" s="52">
        <v>0.53100000000000003</v>
      </c>
      <c r="I26" s="52"/>
      <c r="J26" s="52"/>
      <c r="K26" s="53"/>
      <c r="L26" s="53"/>
      <c r="M26" s="54"/>
      <c r="N26" s="55"/>
      <c r="O26" s="55"/>
      <c r="P26" s="54"/>
      <c r="Q26" s="54"/>
      <c r="R26" s="54"/>
      <c r="S26" s="34"/>
      <c r="T26" s="34"/>
    </row>
    <row r="27" spans="1:20">
      <c r="A27" s="94"/>
      <c r="B27" s="48" t="s">
        <v>80</v>
      </c>
      <c r="C27" s="49">
        <v>242</v>
      </c>
      <c r="D27" s="50">
        <f>C27/C24</f>
        <v>7.9025569016752117E-3</v>
      </c>
      <c r="E27" s="51">
        <v>78</v>
      </c>
      <c r="F27" s="44">
        <f t="shared" si="0"/>
        <v>0.32231404958677684</v>
      </c>
      <c r="G27" s="52">
        <v>0.81599999999999995</v>
      </c>
      <c r="H27" s="52">
        <v>0.51</v>
      </c>
      <c r="I27" s="52"/>
      <c r="J27" s="52"/>
      <c r="K27" s="53"/>
      <c r="L27" s="53"/>
      <c r="M27" s="54"/>
      <c r="N27" s="55"/>
      <c r="O27" s="55"/>
      <c r="P27" s="54"/>
      <c r="Q27" s="54"/>
      <c r="R27" s="54"/>
      <c r="S27" s="34"/>
      <c r="T27" s="34"/>
    </row>
    <row r="28" spans="1:20">
      <c r="A28" s="94"/>
      <c r="B28" s="48" t="s">
        <v>83</v>
      </c>
      <c r="C28" s="49">
        <v>1762</v>
      </c>
      <c r="D28" s="50">
        <f>C28/C24</f>
        <v>5.7538451490709595E-2</v>
      </c>
      <c r="E28" s="51">
        <v>563</v>
      </c>
      <c r="F28" s="44">
        <f t="shared" si="0"/>
        <v>0.31952326901248579</v>
      </c>
      <c r="G28" s="52">
        <v>0.85899999999999999</v>
      </c>
      <c r="H28" s="52">
        <v>0.70199999999999996</v>
      </c>
      <c r="I28" s="52"/>
      <c r="J28" s="52"/>
      <c r="K28" s="53"/>
      <c r="L28" s="53"/>
      <c r="M28" s="54"/>
      <c r="N28" s="55"/>
      <c r="O28" s="55"/>
      <c r="P28" s="54"/>
      <c r="Q28" s="54"/>
      <c r="R28" s="54"/>
      <c r="S28" s="34"/>
      <c r="T28" s="34"/>
    </row>
    <row r="29" spans="1:20">
      <c r="A29" s="94"/>
      <c r="B29" s="48" t="s">
        <v>81</v>
      </c>
      <c r="C29" s="49">
        <v>1861</v>
      </c>
      <c r="D29" s="50">
        <f>C29/C24</f>
        <v>6.077131567775855E-2</v>
      </c>
      <c r="E29" s="51">
        <v>545</v>
      </c>
      <c r="F29" s="44">
        <f t="shared" si="0"/>
        <v>0.29285330467490595</v>
      </c>
      <c r="G29" s="52">
        <v>0.73799999999999999</v>
      </c>
      <c r="H29" s="52">
        <v>0.64300000000000002</v>
      </c>
      <c r="I29" s="52"/>
      <c r="J29" s="52"/>
      <c r="K29" s="53"/>
      <c r="L29" s="53"/>
      <c r="M29" s="54"/>
      <c r="N29" s="55"/>
      <c r="O29" s="55"/>
      <c r="P29" s="54"/>
      <c r="Q29" s="54"/>
      <c r="R29" s="54"/>
      <c r="S29" s="34"/>
      <c r="T29" s="34"/>
    </row>
    <row r="30" spans="1:20" ht="252.75" customHeight="1">
      <c r="A30" s="94"/>
      <c r="B30" s="48" t="s">
        <v>82</v>
      </c>
      <c r="C30" s="49">
        <v>23333</v>
      </c>
      <c r="D30" s="50">
        <f>C30/C24</f>
        <v>0.76194363713548641</v>
      </c>
      <c r="E30" s="51">
        <v>3095</v>
      </c>
      <c r="F30" s="44">
        <f t="shared" si="0"/>
        <v>0.13264475206788667</v>
      </c>
      <c r="G30" s="52">
        <v>0.84499999999999997</v>
      </c>
      <c r="H30" s="52">
        <v>0.71599999999999997</v>
      </c>
      <c r="I30" s="52"/>
      <c r="J30" s="52"/>
      <c r="K30" s="53"/>
      <c r="L30" s="53"/>
      <c r="M30" s="54"/>
      <c r="N30" s="55"/>
      <c r="O30" s="55"/>
      <c r="P30" s="54"/>
      <c r="Q30" s="54"/>
      <c r="R30" s="54"/>
      <c r="S30" s="34"/>
      <c r="T30" s="34"/>
    </row>
    <row r="31" spans="1:20" ht="90">
      <c r="A31" s="94"/>
      <c r="B31" s="41" t="s">
        <v>70</v>
      </c>
      <c r="C31" s="42">
        <v>8010</v>
      </c>
      <c r="D31" s="42"/>
      <c r="E31" s="43">
        <v>2237</v>
      </c>
      <c r="F31" s="44">
        <f t="shared" si="0"/>
        <v>0.27927590511860173</v>
      </c>
      <c r="G31" s="45">
        <v>0.71399999999999997</v>
      </c>
      <c r="H31" s="45">
        <v>0.53800000000000003</v>
      </c>
      <c r="I31" s="45">
        <v>0.5</v>
      </c>
      <c r="J31" s="45">
        <v>0.54700000000000004</v>
      </c>
      <c r="K31" s="46" t="s">
        <v>45</v>
      </c>
      <c r="L31" s="46"/>
      <c r="M31" s="36" t="s">
        <v>22</v>
      </c>
      <c r="N31" s="47">
        <v>6057</v>
      </c>
      <c r="O31" s="47">
        <v>16396</v>
      </c>
      <c r="P31" s="36" t="s">
        <v>23</v>
      </c>
      <c r="Q31" s="36"/>
      <c r="R31" s="36"/>
      <c r="S31" s="34" t="s">
        <v>116</v>
      </c>
      <c r="T31" s="34" t="s">
        <v>99</v>
      </c>
    </row>
    <row r="32" spans="1:20">
      <c r="A32" s="94"/>
      <c r="B32" s="48" t="s">
        <v>78</v>
      </c>
      <c r="C32" s="49">
        <v>467</v>
      </c>
      <c r="D32" s="50">
        <f>C32/C31</f>
        <v>5.8302122347066165E-2</v>
      </c>
      <c r="E32" s="51">
        <v>155</v>
      </c>
      <c r="F32" s="44">
        <f t="shared" si="0"/>
        <v>0.33190578158458245</v>
      </c>
      <c r="G32" s="52">
        <v>0.65300000000000002</v>
      </c>
      <c r="H32" s="52">
        <v>0.55000000000000004</v>
      </c>
      <c r="I32" s="52"/>
      <c r="J32" s="52"/>
      <c r="K32" s="53"/>
      <c r="L32" s="53"/>
      <c r="M32" s="54"/>
      <c r="N32" s="55"/>
      <c r="O32" s="55"/>
      <c r="P32" s="54"/>
      <c r="Q32" s="54"/>
      <c r="R32" s="54"/>
      <c r="S32" s="35"/>
      <c r="T32" s="35"/>
    </row>
    <row r="33" spans="1:20">
      <c r="A33" s="94"/>
      <c r="B33" s="48" t="s">
        <v>79</v>
      </c>
      <c r="C33" s="49">
        <v>275</v>
      </c>
      <c r="D33" s="50">
        <f>C33/C31</f>
        <v>3.4332084893882647E-2</v>
      </c>
      <c r="E33" s="51">
        <v>146</v>
      </c>
      <c r="F33" s="44">
        <f t="shared" si="0"/>
        <v>0.53090909090909089</v>
      </c>
      <c r="G33" s="52">
        <v>0.73699999999999999</v>
      </c>
      <c r="H33" s="52">
        <v>0.46200000000000002</v>
      </c>
      <c r="I33" s="52"/>
      <c r="J33" s="52"/>
      <c r="K33" s="53"/>
      <c r="L33" s="53"/>
      <c r="M33" s="54"/>
      <c r="N33" s="55"/>
      <c r="O33" s="55"/>
      <c r="P33" s="54"/>
      <c r="Q33" s="54"/>
      <c r="R33" s="54"/>
      <c r="S33" s="35"/>
      <c r="T33" s="35"/>
    </row>
    <row r="34" spans="1:20">
      <c r="A34" s="94"/>
      <c r="B34" s="48" t="s">
        <v>80</v>
      </c>
      <c r="C34" s="49">
        <v>58</v>
      </c>
      <c r="D34" s="50">
        <f>C34/C31</f>
        <v>7.2409488139825217E-3</v>
      </c>
      <c r="E34" s="51">
        <v>27</v>
      </c>
      <c r="F34" s="44">
        <f t="shared" si="0"/>
        <v>0.46551724137931033</v>
      </c>
      <c r="G34" s="54"/>
      <c r="H34" s="54"/>
      <c r="I34" s="54"/>
      <c r="J34" s="54"/>
      <c r="K34" s="54"/>
      <c r="L34" s="54"/>
      <c r="M34" s="54"/>
      <c r="N34" s="55"/>
      <c r="O34" s="55"/>
      <c r="P34" s="54"/>
      <c r="Q34" s="54"/>
      <c r="R34" s="54"/>
      <c r="S34" s="35"/>
      <c r="T34" s="35"/>
    </row>
    <row r="35" spans="1:20">
      <c r="A35" s="94"/>
      <c r="B35" s="48" t="s">
        <v>83</v>
      </c>
      <c r="C35" s="49">
        <v>355</v>
      </c>
      <c r="D35" s="50">
        <f>C35/C31</f>
        <v>4.4319600499375778E-2</v>
      </c>
      <c r="E35" s="51">
        <v>116</v>
      </c>
      <c r="F35" s="44">
        <f t="shared" si="0"/>
        <v>0.3267605633802817</v>
      </c>
      <c r="G35" s="52">
        <v>0.73799999999999999</v>
      </c>
      <c r="H35" s="52">
        <v>0.55600000000000005</v>
      </c>
      <c r="I35" s="52"/>
      <c r="J35" s="52"/>
      <c r="K35" s="54"/>
      <c r="L35" s="54"/>
      <c r="M35" s="54"/>
      <c r="N35" s="55"/>
      <c r="O35" s="55"/>
      <c r="P35" s="54"/>
      <c r="Q35" s="54"/>
      <c r="R35" s="54"/>
      <c r="S35" s="35"/>
      <c r="T35" s="35"/>
    </row>
    <row r="36" spans="1:20">
      <c r="A36" s="94"/>
      <c r="B36" s="48" t="s">
        <v>81</v>
      </c>
      <c r="C36" s="49">
        <v>754</v>
      </c>
      <c r="D36" s="50">
        <f>C36/C31</f>
        <v>9.4132334581772781E-2</v>
      </c>
      <c r="E36" s="51">
        <v>266</v>
      </c>
      <c r="F36" s="44">
        <f t="shared" si="0"/>
        <v>0.35278514588859416</v>
      </c>
      <c r="G36" s="52">
        <v>0.69200000000000006</v>
      </c>
      <c r="H36" s="52">
        <v>0.48599999999999999</v>
      </c>
      <c r="I36" s="52"/>
      <c r="J36" s="52"/>
      <c r="K36" s="54"/>
      <c r="L36" s="54"/>
      <c r="M36" s="54"/>
      <c r="N36" s="55"/>
      <c r="O36" s="55"/>
      <c r="P36" s="54"/>
      <c r="Q36" s="54"/>
      <c r="R36" s="54"/>
      <c r="S36" s="35"/>
      <c r="T36" s="35"/>
    </row>
    <row r="37" spans="1:20" ht="30">
      <c r="A37" s="94"/>
      <c r="B37" s="48" t="s">
        <v>82</v>
      </c>
      <c r="C37" s="49">
        <v>6039</v>
      </c>
      <c r="D37" s="50">
        <f>C37/C31</f>
        <v>0.75393258426966292</v>
      </c>
      <c r="E37" s="51">
        <v>1527</v>
      </c>
      <c r="F37" s="44">
        <f t="shared" si="0"/>
        <v>0.25285643318430201</v>
      </c>
      <c r="G37" s="52">
        <v>0.71799999999999997</v>
      </c>
      <c r="H37" s="52">
        <v>0.54600000000000004</v>
      </c>
      <c r="I37" s="52"/>
      <c r="J37" s="52"/>
      <c r="K37" s="54"/>
      <c r="L37" s="54"/>
      <c r="M37" s="54"/>
      <c r="N37" s="55"/>
      <c r="O37" s="55"/>
      <c r="P37" s="54"/>
      <c r="Q37" s="54"/>
      <c r="R37" s="54"/>
      <c r="S37" s="35"/>
      <c r="T37" s="35"/>
    </row>
    <row r="38" spans="1:20" ht="90">
      <c r="A38" s="94"/>
      <c r="B38" s="41" t="s">
        <v>71</v>
      </c>
      <c r="C38" s="42">
        <v>16283</v>
      </c>
      <c r="D38" s="42"/>
      <c r="E38" s="43">
        <v>4888</v>
      </c>
      <c r="F38" s="44">
        <f t="shared" si="0"/>
        <v>0.30019038260762759</v>
      </c>
      <c r="G38" s="45">
        <v>0.70799999999999996</v>
      </c>
      <c r="H38" s="45">
        <v>0.46700000000000003</v>
      </c>
      <c r="I38" s="45">
        <v>0.433</v>
      </c>
      <c r="J38" s="45">
        <v>0.47499999999999998</v>
      </c>
      <c r="K38" s="46" t="s">
        <v>42</v>
      </c>
      <c r="L38" s="46" t="s">
        <v>120</v>
      </c>
      <c r="M38" s="36" t="s">
        <v>24</v>
      </c>
      <c r="N38" s="47">
        <v>6542</v>
      </c>
      <c r="O38" s="47">
        <v>19251</v>
      </c>
      <c r="P38" s="36" t="s">
        <v>16</v>
      </c>
      <c r="Q38" s="36" t="s">
        <v>25</v>
      </c>
      <c r="R38" s="36"/>
      <c r="S38" s="34" t="s">
        <v>105</v>
      </c>
      <c r="T38" s="34" t="s">
        <v>92</v>
      </c>
    </row>
    <row r="39" spans="1:20">
      <c r="A39" s="94"/>
      <c r="B39" s="48" t="s">
        <v>78</v>
      </c>
      <c r="C39" s="49">
        <v>1127</v>
      </c>
      <c r="D39" s="50">
        <f>C39/C38</f>
        <v>6.9213289934287298E-2</v>
      </c>
      <c r="E39" s="51">
        <v>417</v>
      </c>
      <c r="F39" s="44">
        <f t="shared" si="0"/>
        <v>0.37000887311446318</v>
      </c>
      <c r="G39" s="52">
        <v>0.71899999999999997</v>
      </c>
      <c r="H39" s="52">
        <v>0.69599999999999995</v>
      </c>
      <c r="I39" s="52"/>
      <c r="J39" s="52"/>
      <c r="K39" s="53"/>
      <c r="L39" s="53"/>
      <c r="M39" s="54"/>
      <c r="N39" s="55"/>
      <c r="O39" s="55"/>
      <c r="P39" s="54"/>
      <c r="Q39" s="54"/>
      <c r="R39" s="54"/>
      <c r="S39" s="35"/>
      <c r="T39" s="34"/>
    </row>
    <row r="40" spans="1:20">
      <c r="A40" s="94"/>
      <c r="B40" s="48" t="s">
        <v>79</v>
      </c>
      <c r="C40" s="49">
        <v>646</v>
      </c>
      <c r="D40" s="50">
        <f>C40/C38</f>
        <v>3.9673278879813305E-2</v>
      </c>
      <c r="E40" s="51">
        <v>367</v>
      </c>
      <c r="F40" s="44">
        <f t="shared" si="0"/>
        <v>0.56811145510835914</v>
      </c>
      <c r="G40" s="52">
        <v>0.65500000000000003</v>
      </c>
      <c r="H40" s="52">
        <v>0.58299999999999996</v>
      </c>
      <c r="I40" s="52"/>
      <c r="J40" s="52"/>
      <c r="K40" s="53"/>
      <c r="L40" s="53"/>
      <c r="M40" s="54"/>
      <c r="N40" s="55"/>
      <c r="O40" s="55"/>
      <c r="P40" s="54"/>
      <c r="Q40" s="54"/>
      <c r="R40" s="54"/>
      <c r="S40" s="35"/>
      <c r="T40" s="34"/>
    </row>
    <row r="41" spans="1:20">
      <c r="A41" s="94"/>
      <c r="B41" s="48" t="s">
        <v>80</v>
      </c>
      <c r="C41" s="49">
        <v>125</v>
      </c>
      <c r="D41" s="50">
        <f>C41/C38</f>
        <v>7.6767180494994782E-3</v>
      </c>
      <c r="E41" s="51">
        <v>64</v>
      </c>
      <c r="F41" s="44">
        <f t="shared" si="0"/>
        <v>0.51200000000000001</v>
      </c>
      <c r="G41" s="52">
        <v>0.58799999999999997</v>
      </c>
      <c r="H41" s="52">
        <v>0.66700000000000004</v>
      </c>
      <c r="I41" s="52"/>
      <c r="J41" s="52"/>
      <c r="K41" s="53"/>
      <c r="L41" s="53"/>
      <c r="M41" s="54"/>
      <c r="N41" s="55"/>
      <c r="O41" s="55"/>
      <c r="P41" s="54"/>
      <c r="Q41" s="54"/>
      <c r="R41" s="54"/>
      <c r="S41" s="35"/>
      <c r="T41" s="34"/>
    </row>
    <row r="42" spans="1:20">
      <c r="A42" s="94"/>
      <c r="B42" s="48" t="s">
        <v>83</v>
      </c>
      <c r="C42" s="49">
        <v>1405</v>
      </c>
      <c r="D42" s="50">
        <f>C42/C38</f>
        <v>8.6286310876374131E-2</v>
      </c>
      <c r="E42" s="51">
        <v>630</v>
      </c>
      <c r="F42" s="44">
        <f t="shared" si="0"/>
        <v>0.44839857651245552</v>
      </c>
      <c r="G42" s="52">
        <v>0.81</v>
      </c>
      <c r="H42" s="52">
        <v>0.41399999999999998</v>
      </c>
      <c r="I42" s="52"/>
      <c r="J42" s="52"/>
      <c r="K42" s="53"/>
      <c r="L42" s="53"/>
      <c r="M42" s="54"/>
      <c r="N42" s="55"/>
      <c r="O42" s="55"/>
      <c r="P42" s="54"/>
      <c r="Q42" s="54"/>
      <c r="R42" s="54"/>
      <c r="S42" s="35"/>
      <c r="T42" s="34"/>
    </row>
    <row r="43" spans="1:20">
      <c r="A43" s="94"/>
      <c r="B43" s="48" t="s">
        <v>81</v>
      </c>
      <c r="C43" s="49">
        <v>1499</v>
      </c>
      <c r="D43" s="50">
        <f>C43/C38</f>
        <v>9.2059202849597746E-2</v>
      </c>
      <c r="E43" s="51">
        <v>540</v>
      </c>
      <c r="F43" s="44">
        <f t="shared" si="0"/>
        <v>0.36024016010673782</v>
      </c>
      <c r="G43" s="52">
        <v>0.70199999999999996</v>
      </c>
      <c r="H43" s="52">
        <v>0.32100000000000001</v>
      </c>
      <c r="I43" s="52"/>
      <c r="J43" s="52"/>
      <c r="K43" s="53"/>
      <c r="L43" s="53"/>
      <c r="M43" s="54"/>
      <c r="N43" s="55"/>
      <c r="O43" s="55"/>
      <c r="P43" s="54"/>
      <c r="Q43" s="54"/>
      <c r="R43" s="54"/>
      <c r="S43" s="35"/>
      <c r="T43" s="34"/>
    </row>
    <row r="44" spans="1:20" ht="72.75" customHeight="1">
      <c r="A44" s="94"/>
      <c r="B44" s="48" t="s">
        <v>82</v>
      </c>
      <c r="C44" s="49">
        <v>10776</v>
      </c>
      <c r="D44" s="50">
        <f>C44/C38</f>
        <v>0.66179450961125097</v>
      </c>
      <c r="E44" s="51">
        <v>2870</v>
      </c>
      <c r="F44" s="44">
        <f t="shared" si="0"/>
        <v>0.26633259094283596</v>
      </c>
      <c r="G44" s="52">
        <v>0.69</v>
      </c>
      <c r="H44" s="52">
        <v>0.5</v>
      </c>
      <c r="I44" s="52"/>
      <c r="J44" s="52"/>
      <c r="K44" s="53"/>
      <c r="L44" s="53"/>
      <c r="M44" s="54"/>
      <c r="N44" s="55"/>
      <c r="O44" s="55"/>
      <c r="P44" s="54"/>
      <c r="Q44" s="54"/>
      <c r="R44" s="54"/>
      <c r="S44" s="35"/>
      <c r="T44" s="34"/>
    </row>
    <row r="45" spans="1:20" ht="90">
      <c r="A45" s="94"/>
      <c r="B45" s="41" t="s">
        <v>129</v>
      </c>
      <c r="C45" s="42" t="s">
        <v>85</v>
      </c>
      <c r="D45" s="42"/>
      <c r="E45" s="43"/>
      <c r="F45" s="44"/>
      <c r="G45" s="45"/>
      <c r="H45" s="45" t="s">
        <v>134</v>
      </c>
      <c r="I45" s="45"/>
      <c r="J45" s="45"/>
      <c r="K45" s="46" t="s">
        <v>42</v>
      </c>
      <c r="L45" s="46" t="s">
        <v>120</v>
      </c>
      <c r="M45" s="36" t="s">
        <v>19</v>
      </c>
      <c r="N45" s="47" t="s">
        <v>160</v>
      </c>
      <c r="O45" s="47"/>
      <c r="P45" s="36" t="s">
        <v>14</v>
      </c>
      <c r="Q45" s="36" t="s">
        <v>15</v>
      </c>
      <c r="R45" s="36"/>
      <c r="S45" s="34" t="s">
        <v>106</v>
      </c>
      <c r="T45" s="34"/>
    </row>
    <row r="46" spans="1:20">
      <c r="A46" s="94"/>
      <c r="B46" s="48" t="s">
        <v>78</v>
      </c>
      <c r="C46" s="49" t="s">
        <v>85</v>
      </c>
      <c r="D46" s="49"/>
      <c r="E46" s="51"/>
      <c r="F46" s="44"/>
      <c r="G46" s="52"/>
      <c r="H46" s="52"/>
      <c r="I46" s="52"/>
      <c r="J46" s="52"/>
      <c r="K46" s="53"/>
      <c r="L46" s="53"/>
      <c r="M46" s="54"/>
      <c r="N46" s="55"/>
      <c r="O46" s="55"/>
      <c r="P46" s="54"/>
      <c r="Q46" s="54"/>
      <c r="R46" s="54"/>
      <c r="S46" s="35"/>
      <c r="T46" s="35"/>
    </row>
    <row r="47" spans="1:20">
      <c r="A47" s="94"/>
      <c r="B47" s="48" t="s">
        <v>79</v>
      </c>
      <c r="C47" s="49" t="s">
        <v>85</v>
      </c>
      <c r="D47" s="49"/>
      <c r="E47" s="51"/>
      <c r="F47" s="44"/>
      <c r="G47" s="52"/>
      <c r="H47" s="52"/>
      <c r="I47" s="52"/>
      <c r="J47" s="52"/>
      <c r="K47" s="53"/>
      <c r="L47" s="53"/>
      <c r="M47" s="54"/>
      <c r="N47" s="55"/>
      <c r="O47" s="55"/>
      <c r="P47" s="54"/>
      <c r="Q47" s="54"/>
      <c r="R47" s="54"/>
      <c r="S47" s="35"/>
      <c r="T47" s="35"/>
    </row>
    <row r="48" spans="1:20">
      <c r="A48" s="94"/>
      <c r="B48" s="48" t="s">
        <v>80</v>
      </c>
      <c r="C48" s="49" t="s">
        <v>85</v>
      </c>
      <c r="D48" s="49"/>
      <c r="E48" s="51"/>
      <c r="F48" s="44"/>
      <c r="G48" s="52"/>
      <c r="H48" s="52"/>
      <c r="I48" s="52"/>
      <c r="J48" s="52"/>
      <c r="K48" s="53"/>
      <c r="L48" s="53"/>
      <c r="M48" s="54"/>
      <c r="N48" s="55"/>
      <c r="O48" s="55"/>
      <c r="P48" s="54"/>
      <c r="Q48" s="54"/>
      <c r="R48" s="54"/>
      <c r="S48" s="35"/>
      <c r="T48" s="35"/>
    </row>
    <row r="49" spans="1:20">
      <c r="A49" s="94"/>
      <c r="B49" s="48" t="s">
        <v>83</v>
      </c>
      <c r="C49" s="49" t="s">
        <v>85</v>
      </c>
      <c r="D49" s="49"/>
      <c r="E49" s="51"/>
      <c r="F49" s="44"/>
      <c r="G49" s="52"/>
      <c r="H49" s="52"/>
      <c r="I49" s="52"/>
      <c r="J49" s="52"/>
      <c r="K49" s="53"/>
      <c r="L49" s="53"/>
      <c r="M49" s="54"/>
      <c r="N49" s="55"/>
      <c r="O49" s="55"/>
      <c r="P49" s="54"/>
      <c r="Q49" s="54"/>
      <c r="R49" s="54"/>
      <c r="S49" s="35"/>
      <c r="T49" s="35"/>
    </row>
    <row r="50" spans="1:20">
      <c r="A50" s="94"/>
      <c r="B50" s="48" t="s">
        <v>81</v>
      </c>
      <c r="C50" s="49" t="s">
        <v>85</v>
      </c>
      <c r="D50" s="49"/>
      <c r="E50" s="51"/>
      <c r="F50" s="44"/>
      <c r="G50" s="52"/>
      <c r="H50" s="52"/>
      <c r="I50" s="52"/>
      <c r="J50" s="52"/>
      <c r="K50" s="53"/>
      <c r="L50" s="53"/>
      <c r="M50" s="54"/>
      <c r="N50" s="55"/>
      <c r="O50" s="55"/>
      <c r="P50" s="54"/>
      <c r="Q50" s="54"/>
      <c r="R50" s="54"/>
      <c r="S50" s="35"/>
      <c r="T50" s="35"/>
    </row>
    <row r="51" spans="1:20" ht="30">
      <c r="A51" s="94"/>
      <c r="B51" s="48" t="s">
        <v>82</v>
      </c>
      <c r="C51" s="49" t="s">
        <v>85</v>
      </c>
      <c r="D51" s="54"/>
      <c r="E51" s="57"/>
      <c r="F51" s="44"/>
      <c r="G51" s="54"/>
      <c r="H51" s="54"/>
      <c r="I51" s="54"/>
      <c r="J51" s="54"/>
      <c r="K51" s="54"/>
      <c r="L51" s="54"/>
      <c r="M51" s="54"/>
      <c r="N51" s="55"/>
      <c r="O51" s="55"/>
      <c r="P51" s="54"/>
      <c r="Q51" s="54"/>
      <c r="R51" s="54"/>
      <c r="S51" s="35"/>
      <c r="T51" s="35"/>
    </row>
    <row r="52" spans="1:20" ht="105">
      <c r="A52" s="94"/>
      <c r="B52" s="41" t="s">
        <v>72</v>
      </c>
      <c r="C52" s="42">
        <v>11130</v>
      </c>
      <c r="D52" s="42"/>
      <c r="E52" s="43">
        <v>2400</v>
      </c>
      <c r="F52" s="44">
        <f t="shared" si="0"/>
        <v>0.215633423180593</v>
      </c>
      <c r="G52" s="45">
        <v>0.70499999999999996</v>
      </c>
      <c r="H52" s="45">
        <v>0.59299999999999997</v>
      </c>
      <c r="I52" s="45">
        <v>0.51900000000000002</v>
      </c>
      <c r="J52" s="45">
        <v>0.60699999999999998</v>
      </c>
      <c r="K52" s="46" t="s">
        <v>44</v>
      </c>
      <c r="L52" s="46" t="s">
        <v>120</v>
      </c>
      <c r="M52" s="36" t="s">
        <v>26</v>
      </c>
      <c r="N52" s="47">
        <v>5451</v>
      </c>
      <c r="O52" s="47">
        <v>14082</v>
      </c>
      <c r="P52" s="36" t="s">
        <v>16</v>
      </c>
      <c r="Q52" s="36" t="s">
        <v>27</v>
      </c>
      <c r="R52" s="36"/>
      <c r="S52" s="34" t="s">
        <v>1</v>
      </c>
      <c r="T52" s="34"/>
    </row>
    <row r="53" spans="1:20">
      <c r="A53" s="94"/>
      <c r="B53" s="48" t="s">
        <v>78</v>
      </c>
      <c r="C53" s="49">
        <v>542</v>
      </c>
      <c r="D53" s="50">
        <f>C53/C52</f>
        <v>4.8697214734950582E-2</v>
      </c>
      <c r="E53" s="51">
        <v>157</v>
      </c>
      <c r="F53" s="44">
        <f t="shared" si="0"/>
        <v>0.28966789667896681</v>
      </c>
      <c r="G53" s="52">
        <v>0.71399999999999997</v>
      </c>
      <c r="H53" s="52">
        <v>0.60299999999999998</v>
      </c>
      <c r="I53" s="52"/>
      <c r="J53" s="52"/>
      <c r="K53" s="53"/>
      <c r="L53" s="53"/>
      <c r="M53" s="54"/>
      <c r="N53" s="55"/>
      <c r="O53" s="55"/>
      <c r="P53" s="54"/>
      <c r="Q53" s="54"/>
      <c r="R53" s="54"/>
      <c r="S53" s="35"/>
      <c r="T53" s="35"/>
    </row>
    <row r="54" spans="1:20">
      <c r="A54" s="94"/>
      <c r="B54" s="48" t="s">
        <v>79</v>
      </c>
      <c r="C54" s="49">
        <v>355</v>
      </c>
      <c r="D54" s="50">
        <f>C54/C52</f>
        <v>3.1895777178796048E-2</v>
      </c>
      <c r="E54" s="51">
        <v>143</v>
      </c>
      <c r="F54" s="44">
        <f t="shared" si="0"/>
        <v>0.40281690140845072</v>
      </c>
      <c r="G54" s="52">
        <v>0.68100000000000005</v>
      </c>
      <c r="H54" s="52">
        <v>0.54500000000000004</v>
      </c>
      <c r="I54" s="52"/>
      <c r="J54" s="52"/>
      <c r="K54" s="53"/>
      <c r="L54" s="53"/>
      <c r="M54" s="54"/>
      <c r="N54" s="55"/>
      <c r="O54" s="55"/>
      <c r="P54" s="54"/>
      <c r="Q54" s="54"/>
      <c r="R54" s="54"/>
      <c r="S54" s="35"/>
      <c r="T54" s="35"/>
    </row>
    <row r="55" spans="1:20">
      <c r="A55" s="94"/>
      <c r="B55" s="48" t="s">
        <v>80</v>
      </c>
      <c r="C55" s="49">
        <v>123</v>
      </c>
      <c r="D55" s="50">
        <f>C55/C52</f>
        <v>1.1051212938005392E-2</v>
      </c>
      <c r="E55" s="51">
        <v>44</v>
      </c>
      <c r="F55" s="44">
        <f t="shared" si="0"/>
        <v>0.35772357723577236</v>
      </c>
      <c r="G55" s="52">
        <v>0.61899999999999999</v>
      </c>
      <c r="H55" s="52">
        <v>0.7</v>
      </c>
      <c r="I55" s="52"/>
      <c r="J55" s="52"/>
      <c r="K55" s="53"/>
      <c r="L55" s="53"/>
      <c r="M55" s="54"/>
      <c r="N55" s="55"/>
      <c r="O55" s="55"/>
      <c r="P55" s="54"/>
      <c r="Q55" s="54"/>
      <c r="R55" s="54"/>
      <c r="S55" s="35"/>
      <c r="T55" s="35"/>
    </row>
    <row r="56" spans="1:20">
      <c r="A56" s="94"/>
      <c r="B56" s="48" t="s">
        <v>83</v>
      </c>
      <c r="C56" s="49">
        <v>300</v>
      </c>
      <c r="D56" s="50">
        <f>C56/C52</f>
        <v>2.6954177897574125E-2</v>
      </c>
      <c r="E56" s="51">
        <v>67</v>
      </c>
      <c r="F56" s="44">
        <f t="shared" si="0"/>
        <v>0.22333333333333333</v>
      </c>
      <c r="G56" s="52">
        <v>0.63900000000000001</v>
      </c>
      <c r="H56" s="52">
        <v>0.57299999999999995</v>
      </c>
      <c r="I56" s="52"/>
      <c r="J56" s="52"/>
      <c r="K56" s="53"/>
      <c r="L56" s="53"/>
      <c r="M56" s="54"/>
      <c r="N56" s="55"/>
      <c r="O56" s="55"/>
      <c r="P56" s="54"/>
      <c r="Q56" s="54"/>
      <c r="R56" s="54"/>
      <c r="S56" s="35"/>
      <c r="T56" s="35"/>
    </row>
    <row r="57" spans="1:20">
      <c r="A57" s="94"/>
      <c r="B57" s="48" t="s">
        <v>81</v>
      </c>
      <c r="C57" s="49">
        <v>912</v>
      </c>
      <c r="D57" s="50">
        <f>C57/C52</f>
        <v>8.1940700808625339E-2</v>
      </c>
      <c r="E57" s="51">
        <v>297</v>
      </c>
      <c r="F57" s="44">
        <f t="shared" si="0"/>
        <v>0.32565789473684209</v>
      </c>
      <c r="G57" s="52">
        <v>0.63900000000000001</v>
      </c>
      <c r="H57" s="52">
        <v>0.53300000000000003</v>
      </c>
      <c r="I57" s="52"/>
      <c r="J57" s="52"/>
      <c r="K57" s="53"/>
      <c r="L57" s="53"/>
      <c r="M57" s="54"/>
      <c r="N57" s="55"/>
      <c r="O57" s="55"/>
      <c r="P57" s="54"/>
      <c r="Q57" s="54"/>
      <c r="R57" s="54"/>
      <c r="S57" s="35"/>
      <c r="T57" s="35"/>
    </row>
    <row r="58" spans="1:20" ht="202.5" customHeight="1">
      <c r="A58" s="95"/>
      <c r="B58" s="48" t="s">
        <v>82</v>
      </c>
      <c r="C58" s="49">
        <v>8608</v>
      </c>
      <c r="D58" s="50">
        <f>C58/C52</f>
        <v>0.7734052111410602</v>
      </c>
      <c r="E58" s="51">
        <v>1692</v>
      </c>
      <c r="F58" s="44">
        <f t="shared" si="0"/>
        <v>0.19656133828996283</v>
      </c>
      <c r="G58" s="52">
        <v>0.71400000000000008</v>
      </c>
      <c r="H58" s="52">
        <v>0.59899999999999998</v>
      </c>
      <c r="I58" s="52"/>
      <c r="J58" s="52"/>
      <c r="K58" s="54"/>
      <c r="L58" s="54"/>
      <c r="M58" s="54"/>
      <c r="N58" s="55"/>
      <c r="O58" s="55"/>
      <c r="P58" s="54"/>
      <c r="Q58" s="54"/>
      <c r="R58" s="54"/>
      <c r="S58" s="35"/>
      <c r="T58" s="35"/>
    </row>
    <row r="59" spans="1:20" ht="90">
      <c r="A59" s="25" t="s">
        <v>127</v>
      </c>
      <c r="B59" s="41" t="s">
        <v>48</v>
      </c>
      <c r="C59" s="42">
        <v>2411</v>
      </c>
      <c r="D59" s="42"/>
      <c r="E59" s="43">
        <v>1530</v>
      </c>
      <c r="F59" s="44">
        <f t="shared" si="0"/>
        <v>0.63459145582745746</v>
      </c>
      <c r="G59" s="45">
        <v>0.39500000000000002</v>
      </c>
      <c r="H59" s="45">
        <v>0.38300000000000001</v>
      </c>
      <c r="I59" s="45">
        <v>0.28699999999999998</v>
      </c>
      <c r="J59" s="45">
        <v>0.443</v>
      </c>
      <c r="K59" s="46" t="s">
        <v>45</v>
      </c>
      <c r="L59" s="46" t="s">
        <v>120</v>
      </c>
      <c r="M59" s="36" t="s">
        <v>28</v>
      </c>
      <c r="N59" s="47">
        <v>4454</v>
      </c>
      <c r="O59" s="47">
        <v>11686</v>
      </c>
      <c r="P59" s="36" t="s">
        <v>29</v>
      </c>
      <c r="Q59" s="36" t="s">
        <v>109</v>
      </c>
      <c r="R59" s="36" t="s">
        <v>41</v>
      </c>
      <c r="S59" s="34" t="s">
        <v>3</v>
      </c>
      <c r="T59" s="34" t="s">
        <v>91</v>
      </c>
    </row>
    <row r="60" spans="1:20" s="1" customFormat="1">
      <c r="A60" s="26"/>
      <c r="B60" s="58" t="s">
        <v>78</v>
      </c>
      <c r="C60" s="59">
        <v>100</v>
      </c>
      <c r="D60" s="60">
        <f>C60/C59</f>
        <v>4.14765657403567E-2</v>
      </c>
      <c r="E60" s="61">
        <v>62</v>
      </c>
      <c r="F60" s="44">
        <f t="shared" si="0"/>
        <v>0.62</v>
      </c>
      <c r="G60" s="62"/>
      <c r="H60" s="62"/>
      <c r="I60" s="62"/>
      <c r="J60" s="62"/>
      <c r="K60" s="63"/>
      <c r="L60" s="63"/>
      <c r="M60" s="62"/>
      <c r="N60" s="64"/>
      <c r="O60" s="64"/>
      <c r="P60" s="62"/>
      <c r="Q60" s="62"/>
      <c r="R60" s="62"/>
      <c r="S60" s="35"/>
      <c r="T60" s="34"/>
    </row>
    <row r="61" spans="1:20" s="1" customFormat="1">
      <c r="A61" s="26"/>
      <c r="B61" s="58" t="s">
        <v>79</v>
      </c>
      <c r="C61" s="59">
        <v>115</v>
      </c>
      <c r="D61" s="60">
        <f>C61/C59</f>
        <v>4.7698050601410205E-2</v>
      </c>
      <c r="E61" s="61">
        <v>115</v>
      </c>
      <c r="F61" s="44">
        <f t="shared" si="0"/>
        <v>1</v>
      </c>
      <c r="G61" s="65">
        <v>0.38900000000000001</v>
      </c>
      <c r="H61" s="65">
        <v>0.26300000000000001</v>
      </c>
      <c r="I61" s="65"/>
      <c r="J61" s="65"/>
      <c r="K61" s="63"/>
      <c r="L61" s="63"/>
      <c r="M61" s="62"/>
      <c r="N61" s="64"/>
      <c r="O61" s="64"/>
      <c r="P61" s="62"/>
      <c r="Q61" s="62"/>
      <c r="R61" s="62"/>
      <c r="S61" s="35"/>
      <c r="T61" s="34"/>
    </row>
    <row r="62" spans="1:20" s="1" customFormat="1">
      <c r="A62" s="26"/>
      <c r="B62" s="58" t="s">
        <v>80</v>
      </c>
      <c r="C62" s="59">
        <v>52</v>
      </c>
      <c r="D62" s="60">
        <f>C62/C59</f>
        <v>2.1567814184985483E-2</v>
      </c>
      <c r="E62" s="61">
        <v>31</v>
      </c>
      <c r="F62" s="44">
        <f t="shared" si="0"/>
        <v>0.59615384615384615</v>
      </c>
      <c r="G62" s="62"/>
      <c r="H62" s="62"/>
      <c r="I62" s="62"/>
      <c r="J62" s="62"/>
      <c r="K62" s="63"/>
      <c r="L62" s="63"/>
      <c r="M62" s="62"/>
      <c r="N62" s="64"/>
      <c r="O62" s="64"/>
      <c r="P62" s="62"/>
      <c r="Q62" s="62"/>
      <c r="R62" s="62"/>
      <c r="S62" s="35"/>
      <c r="T62" s="34"/>
    </row>
    <row r="63" spans="1:20" s="1" customFormat="1">
      <c r="A63" s="26"/>
      <c r="B63" s="58" t="s">
        <v>83</v>
      </c>
      <c r="C63" s="59">
        <v>40</v>
      </c>
      <c r="D63" s="60">
        <f>C63/C59</f>
        <v>1.6590626296142681E-2</v>
      </c>
      <c r="E63" s="61">
        <v>20</v>
      </c>
      <c r="F63" s="44">
        <f t="shared" si="0"/>
        <v>0.5</v>
      </c>
      <c r="G63" s="62"/>
      <c r="H63" s="62"/>
      <c r="I63" s="62"/>
      <c r="J63" s="62"/>
      <c r="K63" s="63"/>
      <c r="L63" s="63"/>
      <c r="M63" s="62"/>
      <c r="N63" s="64"/>
      <c r="O63" s="64"/>
      <c r="P63" s="62"/>
      <c r="Q63" s="62"/>
      <c r="R63" s="62"/>
      <c r="S63" s="35"/>
      <c r="T63" s="34"/>
    </row>
    <row r="64" spans="1:20" s="1" customFormat="1">
      <c r="A64" s="26"/>
      <c r="B64" s="58" t="s">
        <v>81</v>
      </c>
      <c r="C64" s="59">
        <v>689</v>
      </c>
      <c r="D64" s="60">
        <f>C64/C59</f>
        <v>0.28577353795105764</v>
      </c>
      <c r="E64" s="61">
        <v>524</v>
      </c>
      <c r="F64" s="44">
        <f t="shared" si="0"/>
        <v>0.760522496371553</v>
      </c>
      <c r="G64" s="65">
        <v>0.34399999999999997</v>
      </c>
      <c r="H64" s="65">
        <v>0.376</v>
      </c>
      <c r="I64" s="65"/>
      <c r="J64" s="65"/>
      <c r="K64" s="63"/>
      <c r="L64" s="63"/>
      <c r="M64" s="62"/>
      <c r="N64" s="64"/>
      <c r="O64" s="64"/>
      <c r="P64" s="62"/>
      <c r="Q64" s="62"/>
      <c r="R64" s="62"/>
      <c r="S64" s="35"/>
      <c r="T64" s="34"/>
    </row>
    <row r="65" spans="1:20" s="1" customFormat="1" ht="136.5" customHeight="1">
      <c r="A65" s="26"/>
      <c r="B65" s="58" t="s">
        <v>82</v>
      </c>
      <c r="C65" s="66">
        <v>1413</v>
      </c>
      <c r="D65" s="60">
        <f>C65/C59</f>
        <v>0.58606387391124015</v>
      </c>
      <c r="E65" s="61">
        <v>778</v>
      </c>
      <c r="F65" s="44">
        <f t="shared" si="0"/>
        <v>0.55060155697098367</v>
      </c>
      <c r="G65" s="65">
        <v>0.54200000000000004</v>
      </c>
      <c r="H65" s="65">
        <v>0.38600000000000001</v>
      </c>
      <c r="I65" s="65"/>
      <c r="J65" s="65"/>
      <c r="K65" s="63"/>
      <c r="L65" s="63"/>
      <c r="M65" s="62"/>
      <c r="N65" s="64"/>
      <c r="O65" s="64"/>
      <c r="P65" s="62"/>
      <c r="Q65" s="62"/>
      <c r="R65" s="62"/>
      <c r="S65" s="35"/>
      <c r="T65" s="34"/>
    </row>
    <row r="66" spans="1:20" ht="60">
      <c r="A66" s="26"/>
      <c r="B66" s="41" t="s">
        <v>58</v>
      </c>
      <c r="C66" s="42">
        <v>3740</v>
      </c>
      <c r="D66" s="42"/>
      <c r="E66" s="43">
        <v>1508</v>
      </c>
      <c r="F66" s="44">
        <f t="shared" ref="F66:F72" si="1">E66/C66</f>
        <v>0.40320855614973261</v>
      </c>
      <c r="G66" s="45">
        <v>0.58299999999999996</v>
      </c>
      <c r="H66" s="45">
        <v>0.40100000000000002</v>
      </c>
      <c r="I66" s="45">
        <v>0.27800000000000002</v>
      </c>
      <c r="J66" s="45">
        <v>0.433</v>
      </c>
      <c r="K66" s="46" t="s">
        <v>43</v>
      </c>
      <c r="L66" s="46" t="s">
        <v>120</v>
      </c>
      <c r="M66" s="36" t="s">
        <v>28</v>
      </c>
      <c r="N66" s="47">
        <v>4646</v>
      </c>
      <c r="O66" s="47">
        <v>16512</v>
      </c>
      <c r="P66" s="36" t="s">
        <v>30</v>
      </c>
      <c r="Q66" s="36" t="s">
        <v>32</v>
      </c>
      <c r="R66" s="36" t="s">
        <v>31</v>
      </c>
      <c r="S66" s="34" t="s">
        <v>4</v>
      </c>
      <c r="T66" s="37" t="s">
        <v>103</v>
      </c>
    </row>
    <row r="67" spans="1:20">
      <c r="A67" s="26"/>
      <c r="B67" s="48" t="s">
        <v>78</v>
      </c>
      <c r="C67" s="49">
        <v>312</v>
      </c>
      <c r="D67" s="50">
        <f>C67/C66</f>
        <v>8.3422459893048126E-2</v>
      </c>
      <c r="E67" s="51">
        <v>83</v>
      </c>
      <c r="F67" s="44">
        <f t="shared" si="1"/>
        <v>0.26602564102564102</v>
      </c>
      <c r="G67" s="52">
        <v>0.63300000000000001</v>
      </c>
      <c r="H67" s="52">
        <v>0.41699999999999998</v>
      </c>
      <c r="I67" s="52"/>
      <c r="J67" s="52"/>
      <c r="K67" s="53"/>
      <c r="L67" s="53"/>
      <c r="M67" s="54"/>
      <c r="N67" s="55"/>
      <c r="O67" s="55"/>
      <c r="P67" s="54"/>
      <c r="Q67" s="54"/>
      <c r="R67" s="54"/>
      <c r="S67" s="35"/>
      <c r="T67" s="37"/>
    </row>
    <row r="68" spans="1:20">
      <c r="A68" s="26"/>
      <c r="B68" s="48" t="s">
        <v>79</v>
      </c>
      <c r="C68" s="49">
        <v>34</v>
      </c>
      <c r="D68" s="50">
        <f>C68/C66</f>
        <v>9.0909090909090905E-3</v>
      </c>
      <c r="E68" s="51">
        <v>28</v>
      </c>
      <c r="F68" s="44">
        <f t="shared" si="1"/>
        <v>0.82352941176470584</v>
      </c>
      <c r="G68" s="52">
        <v>0.625</v>
      </c>
      <c r="H68" s="52">
        <v>0.25</v>
      </c>
      <c r="I68" s="52"/>
      <c r="J68" s="52"/>
      <c r="K68" s="53"/>
      <c r="L68" s="53"/>
      <c r="M68" s="54"/>
      <c r="N68" s="55"/>
      <c r="O68" s="55"/>
      <c r="P68" s="54"/>
      <c r="Q68" s="54"/>
      <c r="R68" s="54"/>
      <c r="S68" s="35"/>
      <c r="T68" s="37"/>
    </row>
    <row r="69" spans="1:20">
      <c r="A69" s="26"/>
      <c r="B69" s="48" t="s">
        <v>80</v>
      </c>
      <c r="C69" s="49">
        <v>755</v>
      </c>
      <c r="D69" s="50">
        <f>C69/C66</f>
        <v>0.2018716577540107</v>
      </c>
      <c r="E69" s="51">
        <v>596</v>
      </c>
      <c r="F69" s="44">
        <f t="shared" si="1"/>
        <v>0.78940397350993374</v>
      </c>
      <c r="G69" s="52">
        <v>0.51500000000000001</v>
      </c>
      <c r="H69" s="52">
        <v>0.17499999999999999</v>
      </c>
      <c r="I69" s="52"/>
      <c r="J69" s="52"/>
      <c r="K69" s="53"/>
      <c r="L69" s="53"/>
      <c r="M69" s="54"/>
      <c r="N69" s="55"/>
      <c r="O69" s="55"/>
      <c r="P69" s="54"/>
      <c r="Q69" s="54"/>
      <c r="R69" s="54"/>
      <c r="S69" s="35"/>
      <c r="T69" s="37"/>
    </row>
    <row r="70" spans="1:20">
      <c r="A70" s="26"/>
      <c r="B70" s="48" t="s">
        <v>83</v>
      </c>
      <c r="C70" s="49">
        <v>34</v>
      </c>
      <c r="D70" s="50">
        <f>C70/C66</f>
        <v>9.0909090909090905E-3</v>
      </c>
      <c r="E70" s="51">
        <v>12</v>
      </c>
      <c r="F70" s="44">
        <f t="shared" si="1"/>
        <v>0.35294117647058826</v>
      </c>
      <c r="G70" s="52">
        <v>0.8</v>
      </c>
      <c r="H70" s="52"/>
      <c r="I70" s="52"/>
      <c r="J70" s="52"/>
      <c r="K70" s="53"/>
      <c r="L70" s="53"/>
      <c r="M70" s="54"/>
      <c r="N70" s="55"/>
      <c r="O70" s="55"/>
      <c r="P70" s="54"/>
      <c r="Q70" s="54"/>
      <c r="R70" s="54"/>
      <c r="S70" s="35"/>
      <c r="T70" s="37"/>
    </row>
    <row r="71" spans="1:20">
      <c r="A71" s="26"/>
      <c r="B71" s="48" t="s">
        <v>81</v>
      </c>
      <c r="C71" s="49">
        <v>205</v>
      </c>
      <c r="D71" s="50">
        <f>C71/C66</f>
        <v>5.4812834224598928E-2</v>
      </c>
      <c r="E71" s="51">
        <v>107</v>
      </c>
      <c r="F71" s="44">
        <f t="shared" si="1"/>
        <v>0.52195121951219514</v>
      </c>
      <c r="G71" s="52">
        <v>0.55000000000000004</v>
      </c>
      <c r="H71" s="52">
        <v>0.38300000000000001</v>
      </c>
      <c r="I71" s="52"/>
      <c r="J71" s="52"/>
      <c r="K71" s="53"/>
      <c r="L71" s="53"/>
      <c r="M71" s="54"/>
      <c r="N71" s="55"/>
      <c r="O71" s="55"/>
      <c r="P71" s="54"/>
      <c r="Q71" s="54"/>
      <c r="R71" s="54"/>
      <c r="S71" s="35"/>
      <c r="T71" s="37"/>
    </row>
    <row r="72" spans="1:20" ht="119.25" customHeight="1">
      <c r="A72" s="26"/>
      <c r="B72" s="48" t="s">
        <v>82</v>
      </c>
      <c r="C72" s="49">
        <v>2355</v>
      </c>
      <c r="D72" s="50">
        <f>C72/C66</f>
        <v>0.6296791443850267</v>
      </c>
      <c r="E72" s="51">
        <v>681</v>
      </c>
      <c r="F72" s="44">
        <f t="shared" si="1"/>
        <v>0.28917197452229298</v>
      </c>
      <c r="G72" s="52">
        <v>0.6</v>
      </c>
      <c r="H72" s="52">
        <v>0.46</v>
      </c>
      <c r="I72" s="52"/>
      <c r="J72" s="52"/>
      <c r="K72" s="53"/>
      <c r="L72" s="53"/>
      <c r="M72" s="54"/>
      <c r="N72" s="55"/>
      <c r="O72" s="55"/>
      <c r="P72" s="54"/>
      <c r="Q72" s="54"/>
      <c r="R72" s="54"/>
      <c r="S72" s="35"/>
      <c r="T72" s="37"/>
    </row>
    <row r="73" spans="1:20" ht="75">
      <c r="A73" s="26"/>
      <c r="B73" s="41" t="s">
        <v>126</v>
      </c>
      <c r="C73" s="42">
        <v>6205</v>
      </c>
      <c r="D73" s="42"/>
      <c r="E73" s="43">
        <v>2941</v>
      </c>
      <c r="F73" s="44">
        <f t="shared" si="0"/>
        <v>0.47397260273972602</v>
      </c>
      <c r="G73" s="45">
        <v>0.60899999999999999</v>
      </c>
      <c r="H73" s="45">
        <v>0.40899999999999997</v>
      </c>
      <c r="I73" s="45">
        <v>0.34200000000000003</v>
      </c>
      <c r="J73" s="45">
        <v>0.433</v>
      </c>
      <c r="K73" s="46" t="s">
        <v>43</v>
      </c>
      <c r="L73" s="46" t="s">
        <v>120</v>
      </c>
      <c r="M73" s="36" t="s">
        <v>22</v>
      </c>
      <c r="N73" s="47">
        <v>5396</v>
      </c>
      <c r="O73" s="47">
        <v>13512</v>
      </c>
      <c r="P73" s="36" t="s">
        <v>30</v>
      </c>
      <c r="Q73" s="36" t="s">
        <v>33</v>
      </c>
      <c r="R73" s="36"/>
      <c r="S73" s="34" t="s">
        <v>5</v>
      </c>
      <c r="T73" s="34" t="s">
        <v>94</v>
      </c>
    </row>
    <row r="74" spans="1:20">
      <c r="A74" s="26"/>
      <c r="B74" s="48" t="s">
        <v>78</v>
      </c>
      <c r="C74" s="49">
        <v>400</v>
      </c>
      <c r="D74" s="50">
        <f>C74/C73</f>
        <v>6.4464141821112E-2</v>
      </c>
      <c r="E74" s="51">
        <v>377</v>
      </c>
      <c r="F74" s="44">
        <f t="shared" ref="F74:F144" si="2">E74/C74</f>
        <v>0.9425</v>
      </c>
      <c r="G74" s="52">
        <v>0.5</v>
      </c>
      <c r="H74" s="52">
        <v>0.33300000000000002</v>
      </c>
      <c r="I74" s="52"/>
      <c r="J74" s="52"/>
      <c r="K74" s="53"/>
      <c r="L74" s="53"/>
      <c r="M74" s="54"/>
      <c r="N74" s="55"/>
      <c r="O74" s="55"/>
      <c r="P74" s="54"/>
      <c r="Q74" s="54"/>
      <c r="R74" s="54"/>
      <c r="S74" s="34"/>
      <c r="T74" s="35"/>
    </row>
    <row r="75" spans="1:20">
      <c r="A75" s="26"/>
      <c r="B75" s="48" t="s">
        <v>79</v>
      </c>
      <c r="C75" s="49">
        <v>103</v>
      </c>
      <c r="D75" s="50">
        <f>C75/C73</f>
        <v>1.659951651893634E-2</v>
      </c>
      <c r="E75" s="51">
        <v>116</v>
      </c>
      <c r="F75" s="44">
        <f t="shared" si="2"/>
        <v>1.1262135922330097</v>
      </c>
      <c r="G75" s="52">
        <v>0.72199999999999998</v>
      </c>
      <c r="H75" s="52">
        <v>0.47099999999999997</v>
      </c>
      <c r="I75" s="52"/>
      <c r="J75" s="52"/>
      <c r="K75" s="53"/>
      <c r="L75" s="53"/>
      <c r="M75" s="54"/>
      <c r="N75" s="55"/>
      <c r="O75" s="55"/>
      <c r="P75" s="54"/>
      <c r="Q75" s="54"/>
      <c r="R75" s="54"/>
      <c r="S75" s="34"/>
      <c r="T75" s="35"/>
    </row>
    <row r="76" spans="1:20">
      <c r="A76" s="26"/>
      <c r="B76" s="48" t="s">
        <v>80</v>
      </c>
      <c r="C76" s="49">
        <v>111</v>
      </c>
      <c r="D76" s="50">
        <f>C76/C73</f>
        <v>1.7888799355358583E-2</v>
      </c>
      <c r="E76" s="51">
        <v>73</v>
      </c>
      <c r="F76" s="44">
        <f t="shared" si="2"/>
        <v>0.65765765765765771</v>
      </c>
      <c r="G76" s="52">
        <v>0.52900000000000003</v>
      </c>
      <c r="H76" s="52">
        <v>0.16700000000000001</v>
      </c>
      <c r="I76" s="52"/>
      <c r="J76" s="52"/>
      <c r="K76" s="53"/>
      <c r="L76" s="53"/>
      <c r="M76" s="54"/>
      <c r="N76" s="55"/>
      <c r="O76" s="55"/>
      <c r="P76" s="54"/>
      <c r="Q76" s="54"/>
      <c r="R76" s="54"/>
      <c r="S76" s="34"/>
      <c r="T76" s="35"/>
    </row>
    <row r="77" spans="1:20">
      <c r="A77" s="26"/>
      <c r="B77" s="48" t="s">
        <v>83</v>
      </c>
      <c r="C77" s="49">
        <v>153</v>
      </c>
      <c r="D77" s="50">
        <f>C77/C73</f>
        <v>2.4657534246575342E-2</v>
      </c>
      <c r="E77" s="51">
        <v>75</v>
      </c>
      <c r="F77" s="44">
        <f t="shared" si="2"/>
        <v>0.49019607843137253</v>
      </c>
      <c r="G77" s="52">
        <v>0.6</v>
      </c>
      <c r="H77" s="52">
        <v>0.36</v>
      </c>
      <c r="I77" s="52"/>
      <c r="J77" s="52"/>
      <c r="K77" s="53"/>
      <c r="L77" s="53"/>
      <c r="M77" s="54"/>
      <c r="N77" s="55"/>
      <c r="O77" s="55"/>
      <c r="P77" s="54"/>
      <c r="Q77" s="54"/>
      <c r="R77" s="54"/>
      <c r="S77" s="34"/>
      <c r="T77" s="35"/>
    </row>
    <row r="78" spans="1:20">
      <c r="A78" s="26"/>
      <c r="B78" s="48" t="s">
        <v>81</v>
      </c>
      <c r="C78" s="49">
        <v>579</v>
      </c>
      <c r="D78" s="50">
        <f>C78/C73</f>
        <v>9.3311845286059625E-2</v>
      </c>
      <c r="E78" s="51">
        <v>334</v>
      </c>
      <c r="F78" s="44">
        <f t="shared" si="2"/>
        <v>0.57685664939550951</v>
      </c>
      <c r="G78" s="52">
        <v>0.63900000000000001</v>
      </c>
      <c r="H78" s="52">
        <v>0.317</v>
      </c>
      <c r="I78" s="52"/>
      <c r="J78" s="52"/>
      <c r="K78" s="53"/>
      <c r="L78" s="53"/>
      <c r="M78" s="54"/>
      <c r="N78" s="55"/>
      <c r="O78" s="55"/>
      <c r="P78" s="54"/>
      <c r="Q78" s="54"/>
      <c r="R78" s="54"/>
      <c r="S78" s="34"/>
      <c r="T78" s="35"/>
    </row>
    <row r="79" spans="1:20" ht="60.75" customHeight="1">
      <c r="A79" s="26"/>
      <c r="B79" s="48" t="s">
        <v>82</v>
      </c>
      <c r="C79" s="49">
        <v>4838</v>
      </c>
      <c r="D79" s="50">
        <f>C79/C73</f>
        <v>0.77969379532634975</v>
      </c>
      <c r="E79" s="51">
        <v>1965</v>
      </c>
      <c r="F79" s="44">
        <f t="shared" si="2"/>
        <v>0.40615957007027698</v>
      </c>
      <c r="G79" s="52">
        <v>0.61199999999999999</v>
      </c>
      <c r="H79" s="52">
        <v>0.42499999999999999</v>
      </c>
      <c r="I79" s="52"/>
      <c r="J79" s="52"/>
      <c r="K79" s="53"/>
      <c r="L79" s="53"/>
      <c r="M79" s="54"/>
      <c r="N79" s="55"/>
      <c r="O79" s="55"/>
      <c r="P79" s="54"/>
      <c r="Q79" s="54"/>
      <c r="R79" s="54"/>
      <c r="S79" s="34"/>
      <c r="T79" s="35"/>
    </row>
    <row r="80" spans="1:20" ht="75">
      <c r="A80" s="26"/>
      <c r="B80" s="41" t="s">
        <v>61</v>
      </c>
      <c r="C80" s="42">
        <v>21469</v>
      </c>
      <c r="D80" s="42"/>
      <c r="E80" s="43">
        <v>8867</v>
      </c>
      <c r="F80" s="44">
        <f t="shared" si="2"/>
        <v>0.41301411337277005</v>
      </c>
      <c r="G80" s="45">
        <v>0.66700000000000004</v>
      </c>
      <c r="H80" s="45">
        <v>0.27400000000000002</v>
      </c>
      <c r="I80" s="45">
        <v>0.22900000000000001</v>
      </c>
      <c r="J80" s="45">
        <v>0.28799999999999998</v>
      </c>
      <c r="K80" s="46" t="s">
        <v>43</v>
      </c>
      <c r="L80" s="46" t="s">
        <v>120</v>
      </c>
      <c r="M80" s="36" t="s">
        <v>22</v>
      </c>
      <c r="N80" s="47">
        <v>3639</v>
      </c>
      <c r="O80" s="47">
        <v>11949</v>
      </c>
      <c r="P80" s="36" t="s">
        <v>35</v>
      </c>
      <c r="Q80" s="36" t="s">
        <v>114</v>
      </c>
      <c r="R80" s="36"/>
      <c r="S80" s="34" t="s">
        <v>6</v>
      </c>
      <c r="T80" s="34" t="s">
        <v>93</v>
      </c>
    </row>
    <row r="81" spans="1:20">
      <c r="A81" s="26"/>
      <c r="B81" s="48" t="s">
        <v>78</v>
      </c>
      <c r="C81" s="49">
        <v>1767</v>
      </c>
      <c r="D81" s="50">
        <f>C81/C80</f>
        <v>8.2304718431226415E-2</v>
      </c>
      <c r="E81" s="51">
        <v>877</v>
      </c>
      <c r="F81" s="44">
        <f t="shared" si="2"/>
        <v>0.49632144878324846</v>
      </c>
      <c r="G81" s="52">
        <v>0.65100000000000002</v>
      </c>
      <c r="H81" s="52">
        <v>0.26800000000000002</v>
      </c>
      <c r="I81" s="52"/>
      <c r="J81" s="52"/>
      <c r="K81" s="53"/>
      <c r="L81" s="53"/>
      <c r="M81" s="54"/>
      <c r="N81" s="55"/>
      <c r="O81" s="55"/>
      <c r="P81" s="54"/>
      <c r="Q81" s="54"/>
      <c r="R81" s="54"/>
      <c r="S81" s="35"/>
      <c r="T81" s="34"/>
    </row>
    <row r="82" spans="1:20">
      <c r="A82" s="26"/>
      <c r="B82" s="48" t="s">
        <v>79</v>
      </c>
      <c r="C82" s="49">
        <v>1211</v>
      </c>
      <c r="D82" s="50">
        <f>C82/C80</f>
        <v>5.6406912292142161E-2</v>
      </c>
      <c r="E82" s="51">
        <v>1105</v>
      </c>
      <c r="F82" s="44">
        <f t="shared" si="2"/>
        <v>0.91246903385631706</v>
      </c>
      <c r="G82" s="52">
        <v>0.65600000000000003</v>
      </c>
      <c r="H82" s="52">
        <v>0.17599999999999999</v>
      </c>
      <c r="I82" s="52"/>
      <c r="J82" s="52"/>
      <c r="K82" s="53"/>
      <c r="L82" s="53"/>
      <c r="M82" s="54"/>
      <c r="N82" s="55"/>
      <c r="O82" s="55"/>
      <c r="P82" s="54"/>
      <c r="Q82" s="54"/>
      <c r="R82" s="54"/>
      <c r="S82" s="35"/>
      <c r="T82" s="34"/>
    </row>
    <row r="83" spans="1:20">
      <c r="A83" s="26"/>
      <c r="B83" s="48" t="s">
        <v>80</v>
      </c>
      <c r="C83" s="49">
        <v>289</v>
      </c>
      <c r="D83" s="50">
        <f>C83/C80</f>
        <v>1.3461269737761423E-2</v>
      </c>
      <c r="E83" s="51">
        <v>173</v>
      </c>
      <c r="F83" s="44">
        <f t="shared" si="2"/>
        <v>0.59861591695501726</v>
      </c>
      <c r="G83" s="52">
        <v>0.52600000000000002</v>
      </c>
      <c r="H83" s="52">
        <v>0.2</v>
      </c>
      <c r="I83" s="52"/>
      <c r="J83" s="52"/>
      <c r="K83" s="53"/>
      <c r="L83" s="53"/>
      <c r="M83" s="54"/>
      <c r="N83" s="55"/>
      <c r="O83" s="55"/>
      <c r="P83" s="54"/>
      <c r="Q83" s="54"/>
      <c r="R83" s="54"/>
      <c r="S83" s="35"/>
      <c r="T83" s="34"/>
    </row>
    <row r="84" spans="1:20">
      <c r="A84" s="26"/>
      <c r="B84" s="48" t="s">
        <v>83</v>
      </c>
      <c r="C84" s="49">
        <v>957</v>
      </c>
      <c r="D84" s="50">
        <f>C84/C80</f>
        <v>4.4575900135078485E-2</v>
      </c>
      <c r="E84" s="51">
        <v>425</v>
      </c>
      <c r="F84" s="44">
        <f t="shared" si="2"/>
        <v>0.44409613375130619</v>
      </c>
      <c r="G84" s="52">
        <v>0.66200000000000003</v>
      </c>
      <c r="H84" s="52">
        <v>0.22500000000000001</v>
      </c>
      <c r="I84" s="52"/>
      <c r="J84" s="52"/>
      <c r="K84" s="53"/>
      <c r="L84" s="53"/>
      <c r="M84" s="54"/>
      <c r="N84" s="55"/>
      <c r="O84" s="55"/>
      <c r="P84" s="54"/>
      <c r="Q84" s="54"/>
      <c r="R84" s="54"/>
      <c r="S84" s="35"/>
      <c r="T84" s="34"/>
    </row>
    <row r="85" spans="1:20">
      <c r="A85" s="26"/>
      <c r="B85" s="48" t="s">
        <v>81</v>
      </c>
      <c r="C85" s="49">
        <v>2835</v>
      </c>
      <c r="D85" s="50">
        <f>C85/C80</f>
        <v>0.13205086403651778</v>
      </c>
      <c r="E85" s="51">
        <v>1641</v>
      </c>
      <c r="F85" s="44">
        <f t="shared" si="2"/>
        <v>0.57883597883597881</v>
      </c>
      <c r="G85" s="52">
        <v>0.67</v>
      </c>
      <c r="H85" s="52">
        <v>0.23300000000000001</v>
      </c>
      <c r="I85" s="52"/>
      <c r="J85" s="52"/>
      <c r="K85" s="54"/>
      <c r="L85" s="54"/>
      <c r="M85" s="54"/>
      <c r="N85" s="55"/>
      <c r="O85" s="55"/>
      <c r="P85" s="54"/>
      <c r="Q85" s="54"/>
      <c r="R85" s="54"/>
      <c r="S85" s="35"/>
      <c r="T85" s="34"/>
    </row>
    <row r="86" spans="1:20" ht="90.75" customHeight="1">
      <c r="A86" s="26"/>
      <c r="B86" s="48" t="s">
        <v>82</v>
      </c>
      <c r="C86" s="49">
        <v>14290</v>
      </c>
      <c r="D86" s="50">
        <f>C86/C80</f>
        <v>0.66561088080488151</v>
      </c>
      <c r="E86" s="51">
        <v>4646</v>
      </c>
      <c r="F86" s="44">
        <f t="shared" si="2"/>
        <v>0.32512246326102168</v>
      </c>
      <c r="G86" s="52">
        <v>0.67</v>
      </c>
      <c r="H86" s="52">
        <v>0.29499999999999998</v>
      </c>
      <c r="I86" s="52"/>
      <c r="J86" s="52"/>
      <c r="K86" s="54"/>
      <c r="L86" s="54"/>
      <c r="M86" s="54"/>
      <c r="N86" s="55"/>
      <c r="O86" s="55"/>
      <c r="P86" s="54"/>
      <c r="Q86" s="54"/>
      <c r="R86" s="54"/>
      <c r="S86" s="35"/>
      <c r="T86" s="34"/>
    </row>
    <row r="87" spans="1:20" ht="105">
      <c r="A87" s="26"/>
      <c r="B87" s="41" t="s">
        <v>73</v>
      </c>
      <c r="C87" s="42">
        <v>2110</v>
      </c>
      <c r="D87" s="42"/>
      <c r="E87" s="43">
        <v>498</v>
      </c>
      <c r="F87" s="44">
        <f t="shared" si="2"/>
        <v>0.23601895734597156</v>
      </c>
      <c r="G87" s="45">
        <v>0.61299999999999999</v>
      </c>
      <c r="H87" s="45">
        <v>0.436</v>
      </c>
      <c r="I87" s="45">
        <v>0.41299999999999998</v>
      </c>
      <c r="J87" s="45">
        <v>0.442</v>
      </c>
      <c r="K87" s="46" t="s">
        <v>43</v>
      </c>
      <c r="L87" s="46" t="s">
        <v>120</v>
      </c>
      <c r="M87" s="36" t="s">
        <v>28</v>
      </c>
      <c r="N87" s="47">
        <v>4064</v>
      </c>
      <c r="O87" s="47">
        <v>12754</v>
      </c>
      <c r="P87" s="36" t="s">
        <v>29</v>
      </c>
      <c r="Q87" s="36" t="s">
        <v>34</v>
      </c>
      <c r="R87" s="36"/>
      <c r="S87" s="34" t="s">
        <v>7</v>
      </c>
      <c r="T87" s="34" t="s">
        <v>95</v>
      </c>
    </row>
    <row r="88" spans="1:20">
      <c r="A88" s="26"/>
      <c r="B88" s="48" t="s">
        <v>78</v>
      </c>
      <c r="C88" s="49">
        <v>265</v>
      </c>
      <c r="D88" s="50">
        <f>C88/C87</f>
        <v>0.12559241706161137</v>
      </c>
      <c r="E88" s="51">
        <v>70</v>
      </c>
      <c r="F88" s="44">
        <f t="shared" si="2"/>
        <v>0.26415094339622641</v>
      </c>
      <c r="G88" s="52">
        <v>0.52500000000000002</v>
      </c>
      <c r="H88" s="52">
        <v>0.3</v>
      </c>
      <c r="I88" s="52"/>
      <c r="J88" s="52"/>
      <c r="K88" s="53"/>
      <c r="L88" s="53"/>
      <c r="M88" s="54"/>
      <c r="N88" s="55"/>
      <c r="O88" s="55"/>
      <c r="P88" s="54"/>
      <c r="Q88" s="54"/>
      <c r="R88" s="54"/>
      <c r="S88" s="35"/>
      <c r="T88" s="34"/>
    </row>
    <row r="89" spans="1:20">
      <c r="A89" s="26"/>
      <c r="B89" s="48" t="s">
        <v>79</v>
      </c>
      <c r="C89" s="49">
        <v>41</v>
      </c>
      <c r="D89" s="50">
        <f>C89/C87</f>
        <v>1.943127962085308E-2</v>
      </c>
      <c r="E89" s="51">
        <v>16</v>
      </c>
      <c r="F89" s="44">
        <f t="shared" si="2"/>
        <v>0.3902439024390244</v>
      </c>
      <c r="G89" s="52">
        <v>0.54500000000000004</v>
      </c>
      <c r="H89" s="52"/>
      <c r="I89" s="52"/>
      <c r="J89" s="52"/>
      <c r="K89" s="53"/>
      <c r="L89" s="53"/>
      <c r="M89" s="54"/>
      <c r="N89" s="55"/>
      <c r="O89" s="55"/>
      <c r="P89" s="54"/>
      <c r="Q89" s="54"/>
      <c r="R89" s="54"/>
      <c r="S89" s="35"/>
      <c r="T89" s="34"/>
    </row>
    <row r="90" spans="1:20">
      <c r="A90" s="26"/>
      <c r="B90" s="48" t="s">
        <v>80</v>
      </c>
      <c r="C90" s="49">
        <v>19</v>
      </c>
      <c r="D90" s="50">
        <f>C90/C87</f>
        <v>9.0047393364928903E-3</v>
      </c>
      <c r="E90" s="51">
        <v>7</v>
      </c>
      <c r="F90" s="44">
        <f t="shared" si="2"/>
        <v>0.36842105263157893</v>
      </c>
      <c r="G90" s="52">
        <v>0.66700000000000004</v>
      </c>
      <c r="H90" s="52"/>
      <c r="I90" s="52"/>
      <c r="J90" s="52"/>
      <c r="K90" s="53"/>
      <c r="L90" s="53"/>
      <c r="M90" s="54"/>
      <c r="N90" s="55"/>
      <c r="O90" s="55"/>
      <c r="P90" s="54"/>
      <c r="Q90" s="54"/>
      <c r="R90" s="54"/>
      <c r="S90" s="35"/>
      <c r="T90" s="34"/>
    </row>
    <row r="91" spans="1:20">
      <c r="A91" s="26"/>
      <c r="B91" s="48" t="s">
        <v>83</v>
      </c>
      <c r="C91" s="49">
        <v>17</v>
      </c>
      <c r="D91" s="50">
        <f>C91/C87</f>
        <v>8.0568720379146919E-3</v>
      </c>
      <c r="E91" s="51">
        <v>2</v>
      </c>
      <c r="F91" s="44">
        <f t="shared" si="2"/>
        <v>0.11764705882352941</v>
      </c>
      <c r="G91" s="52"/>
      <c r="H91" s="52">
        <v>0.14299999999999999</v>
      </c>
      <c r="I91" s="52"/>
      <c r="J91" s="52"/>
      <c r="K91" s="53"/>
      <c r="L91" s="53"/>
      <c r="M91" s="54"/>
      <c r="N91" s="55"/>
      <c r="O91" s="55"/>
      <c r="P91" s="54"/>
      <c r="Q91" s="54"/>
      <c r="R91" s="54"/>
      <c r="S91" s="35"/>
      <c r="T91" s="34"/>
    </row>
    <row r="92" spans="1:20">
      <c r="A92" s="26"/>
      <c r="B92" s="48" t="s">
        <v>81</v>
      </c>
      <c r="C92" s="49">
        <v>109</v>
      </c>
      <c r="D92" s="50">
        <f>C92/C87</f>
        <v>5.1658767772511847E-2</v>
      </c>
      <c r="E92" s="51">
        <v>47</v>
      </c>
      <c r="F92" s="44">
        <f t="shared" si="2"/>
        <v>0.43119266055045874</v>
      </c>
      <c r="G92" s="52">
        <v>0.44</v>
      </c>
      <c r="H92" s="52">
        <v>0.42099999999999999</v>
      </c>
      <c r="I92" s="52"/>
      <c r="J92" s="52"/>
      <c r="K92" s="53"/>
      <c r="L92" s="53"/>
      <c r="M92" s="54"/>
      <c r="N92" s="55"/>
      <c r="O92" s="55"/>
      <c r="P92" s="54"/>
      <c r="Q92" s="54"/>
      <c r="R92" s="54"/>
      <c r="S92" s="35"/>
      <c r="T92" s="34"/>
    </row>
    <row r="93" spans="1:20" ht="30">
      <c r="A93" s="26"/>
      <c r="B93" s="48" t="s">
        <v>82</v>
      </c>
      <c r="C93" s="49">
        <v>1659</v>
      </c>
      <c r="D93" s="50">
        <f>C93/C87</f>
        <v>0.78625592417061607</v>
      </c>
      <c r="E93" s="51">
        <v>356</v>
      </c>
      <c r="F93" s="44">
        <f t="shared" si="2"/>
        <v>0.21458710066305003</v>
      </c>
      <c r="G93" s="52">
        <v>0.63200000000000001</v>
      </c>
      <c r="H93" s="52">
        <v>0.45400000000000001</v>
      </c>
      <c r="I93" s="52"/>
      <c r="J93" s="52"/>
      <c r="K93" s="53"/>
      <c r="L93" s="53"/>
      <c r="M93" s="54"/>
      <c r="N93" s="55"/>
      <c r="O93" s="55"/>
      <c r="P93" s="54"/>
      <c r="Q93" s="54"/>
      <c r="R93" s="54"/>
      <c r="S93" s="35"/>
      <c r="T93" s="34"/>
    </row>
    <row r="94" spans="1:20" s="1" customFormat="1">
      <c r="A94" s="27"/>
      <c r="B94" s="74"/>
      <c r="C94" s="75"/>
      <c r="D94" s="75"/>
      <c r="E94" s="76"/>
      <c r="F94" s="76"/>
      <c r="G94" s="77"/>
      <c r="H94" s="77"/>
      <c r="I94" s="77"/>
      <c r="J94" s="77"/>
      <c r="K94" s="78"/>
      <c r="L94" s="78"/>
      <c r="M94" s="38"/>
      <c r="N94" s="79"/>
      <c r="O94" s="79"/>
      <c r="P94" s="38"/>
      <c r="Q94" s="38"/>
      <c r="R94" s="38"/>
      <c r="S94" s="38"/>
      <c r="T94" s="38"/>
    </row>
    <row r="95" spans="1:20" ht="60">
      <c r="A95" s="28" t="s">
        <v>118</v>
      </c>
      <c r="B95" s="41" t="s">
        <v>49</v>
      </c>
      <c r="C95" s="42">
        <v>4840</v>
      </c>
      <c r="D95" s="42"/>
      <c r="E95" s="43">
        <v>1646</v>
      </c>
      <c r="F95" s="44">
        <f t="shared" ref="F95:F101" si="3">E95/C95</f>
        <v>0.34008264462809917</v>
      </c>
      <c r="G95" s="45" t="s">
        <v>84</v>
      </c>
      <c r="H95" s="45">
        <v>0.57199999999999995</v>
      </c>
      <c r="I95" s="45">
        <v>0.61599999999999999</v>
      </c>
      <c r="J95" s="45">
        <v>0.45</v>
      </c>
      <c r="K95" s="46" t="s">
        <v>47</v>
      </c>
      <c r="L95" s="46" t="s">
        <v>117</v>
      </c>
      <c r="M95" s="36" t="s">
        <v>36</v>
      </c>
      <c r="N95" s="47">
        <v>2265</v>
      </c>
      <c r="O95" s="47">
        <v>7518</v>
      </c>
      <c r="P95" s="36" t="s">
        <v>37</v>
      </c>
      <c r="Q95" s="36" t="s">
        <v>38</v>
      </c>
      <c r="R95" s="36"/>
      <c r="S95" s="34" t="s">
        <v>8</v>
      </c>
      <c r="T95" s="34" t="s">
        <v>100</v>
      </c>
    </row>
    <row r="96" spans="1:20">
      <c r="A96" s="29"/>
      <c r="B96" s="59" t="s">
        <v>78</v>
      </c>
      <c r="C96" s="66">
        <v>303</v>
      </c>
      <c r="D96" s="60">
        <f>C96/C95</f>
        <v>6.2603305785123964E-2</v>
      </c>
      <c r="E96" s="61">
        <v>107</v>
      </c>
      <c r="F96" s="44">
        <f t="shared" si="3"/>
        <v>0.35313531353135313</v>
      </c>
      <c r="G96" s="80" t="s">
        <v>84</v>
      </c>
      <c r="H96" s="80"/>
      <c r="I96" s="80"/>
      <c r="J96" s="80"/>
      <c r="K96" s="81"/>
      <c r="L96" s="81"/>
      <c r="M96" s="82"/>
      <c r="N96" s="83"/>
      <c r="O96" s="83"/>
      <c r="P96" s="82"/>
      <c r="Q96" s="82"/>
      <c r="R96" s="82"/>
      <c r="S96" s="35"/>
      <c r="T96" s="35"/>
    </row>
    <row r="97" spans="1:20">
      <c r="A97" s="29"/>
      <c r="B97" s="59" t="s">
        <v>79</v>
      </c>
      <c r="C97" s="66">
        <v>66</v>
      </c>
      <c r="D97" s="60">
        <f>C97/C95</f>
        <v>1.3636363636363636E-2</v>
      </c>
      <c r="E97" s="61">
        <v>35</v>
      </c>
      <c r="F97" s="44">
        <f t="shared" si="3"/>
        <v>0.53030303030303028</v>
      </c>
      <c r="G97" s="80" t="s">
        <v>84</v>
      </c>
      <c r="H97" s="80"/>
      <c r="I97" s="80"/>
      <c r="J97" s="80"/>
      <c r="K97" s="81"/>
      <c r="L97" s="81"/>
      <c r="M97" s="82"/>
      <c r="N97" s="83"/>
      <c r="O97" s="83"/>
      <c r="P97" s="82"/>
      <c r="Q97" s="82"/>
      <c r="R97" s="82"/>
      <c r="S97" s="35"/>
      <c r="T97" s="35"/>
    </row>
    <row r="98" spans="1:20">
      <c r="A98" s="29"/>
      <c r="B98" s="59" t="s">
        <v>80</v>
      </c>
      <c r="C98" s="66">
        <v>49</v>
      </c>
      <c r="D98" s="60">
        <f>C98/C95</f>
        <v>1.012396694214876E-2</v>
      </c>
      <c r="E98" s="61">
        <v>24</v>
      </c>
      <c r="F98" s="44">
        <f t="shared" si="3"/>
        <v>0.48979591836734693</v>
      </c>
      <c r="G98" s="80" t="s">
        <v>84</v>
      </c>
      <c r="H98" s="80"/>
      <c r="I98" s="80"/>
      <c r="J98" s="80"/>
      <c r="K98" s="81"/>
      <c r="L98" s="81"/>
      <c r="M98" s="82"/>
      <c r="N98" s="83"/>
      <c r="O98" s="83"/>
      <c r="P98" s="82"/>
      <c r="Q98" s="82"/>
      <c r="R98" s="82"/>
      <c r="S98" s="35"/>
      <c r="T98" s="35"/>
    </row>
    <row r="99" spans="1:20">
      <c r="A99" s="29"/>
      <c r="B99" s="59" t="s">
        <v>83</v>
      </c>
      <c r="C99" s="66">
        <v>75</v>
      </c>
      <c r="D99" s="60">
        <f>C99/C95</f>
        <v>1.5495867768595042E-2</v>
      </c>
      <c r="E99" s="61">
        <v>24</v>
      </c>
      <c r="F99" s="44">
        <f t="shared" si="3"/>
        <v>0.32</v>
      </c>
      <c r="G99" s="80" t="s">
        <v>84</v>
      </c>
      <c r="H99" s="80"/>
      <c r="I99" s="80"/>
      <c r="J99" s="80"/>
      <c r="K99" s="81"/>
      <c r="L99" s="81"/>
      <c r="M99" s="82"/>
      <c r="N99" s="83"/>
      <c r="O99" s="83"/>
      <c r="P99" s="82"/>
      <c r="Q99" s="82"/>
      <c r="R99" s="82"/>
      <c r="S99" s="35"/>
      <c r="T99" s="35"/>
    </row>
    <row r="100" spans="1:20">
      <c r="A100" s="29"/>
      <c r="B100" s="59" t="s">
        <v>81</v>
      </c>
      <c r="C100" s="66">
        <v>1007</v>
      </c>
      <c r="D100" s="60">
        <f>C100/C95</f>
        <v>0.20805785123966941</v>
      </c>
      <c r="E100" s="61">
        <v>542</v>
      </c>
      <c r="F100" s="44">
        <f t="shared" si="3"/>
        <v>0.53823237338629593</v>
      </c>
      <c r="G100" s="80" t="s">
        <v>84</v>
      </c>
      <c r="H100" s="80">
        <v>0.3</v>
      </c>
      <c r="I100" s="80"/>
      <c r="J100" s="80"/>
      <c r="K100" s="81"/>
      <c r="L100" s="81"/>
      <c r="M100" s="82"/>
      <c r="N100" s="83"/>
      <c r="O100" s="83"/>
      <c r="P100" s="82"/>
      <c r="Q100" s="82"/>
      <c r="R100" s="82"/>
      <c r="S100" s="35"/>
      <c r="T100" s="35"/>
    </row>
    <row r="101" spans="1:20" ht="12.75" customHeight="1">
      <c r="A101" s="29"/>
      <c r="B101" s="59" t="s">
        <v>82</v>
      </c>
      <c r="C101" s="66">
        <v>3340</v>
      </c>
      <c r="D101" s="60">
        <f>C101/C95</f>
        <v>0.69008264462809921</v>
      </c>
      <c r="E101" s="61">
        <v>914</v>
      </c>
      <c r="F101" s="44">
        <f t="shared" si="3"/>
        <v>0.27365269461077846</v>
      </c>
      <c r="G101" s="80" t="s">
        <v>84</v>
      </c>
      <c r="H101" s="80">
        <v>0.625</v>
      </c>
      <c r="I101" s="80"/>
      <c r="J101" s="80"/>
      <c r="K101" s="81"/>
      <c r="L101" s="81"/>
      <c r="M101" s="82"/>
      <c r="N101" s="83"/>
      <c r="O101" s="83"/>
      <c r="P101" s="82"/>
      <c r="Q101" s="82"/>
      <c r="R101" s="82"/>
      <c r="S101" s="35"/>
      <c r="T101" s="35"/>
    </row>
    <row r="102" spans="1:20" ht="90">
      <c r="A102" s="29"/>
      <c r="B102" s="41" t="s">
        <v>50</v>
      </c>
      <c r="C102" s="42">
        <v>7204</v>
      </c>
      <c r="D102" s="42"/>
      <c r="E102" s="43">
        <v>1559</v>
      </c>
      <c r="F102" s="44">
        <f t="shared" si="2"/>
        <v>0.21640755136035536</v>
      </c>
      <c r="G102" s="45">
        <v>0.55200000000000005</v>
      </c>
      <c r="H102" s="45">
        <v>0.156</v>
      </c>
      <c r="I102" s="45">
        <v>0.14799999999999999</v>
      </c>
      <c r="J102" s="45">
        <v>0.16600000000000001</v>
      </c>
      <c r="K102" s="46" t="s">
        <v>74</v>
      </c>
      <c r="L102" s="46" t="s">
        <v>119</v>
      </c>
      <c r="M102" s="36" t="s">
        <v>118</v>
      </c>
      <c r="N102" s="47">
        <v>2831</v>
      </c>
      <c r="O102" s="47">
        <v>11430</v>
      </c>
      <c r="P102" s="36" t="s">
        <v>37</v>
      </c>
      <c r="Q102" s="36"/>
      <c r="R102" s="36"/>
      <c r="S102" s="34" t="s">
        <v>110</v>
      </c>
      <c r="T102" s="37" t="s">
        <v>101</v>
      </c>
    </row>
    <row r="103" spans="1:20">
      <c r="A103" s="29"/>
      <c r="B103" s="59" t="s">
        <v>78</v>
      </c>
      <c r="C103" s="66">
        <v>503</v>
      </c>
      <c r="D103" s="60">
        <f>C103/C102</f>
        <v>6.9822320932815096E-2</v>
      </c>
      <c r="E103" s="61">
        <v>57</v>
      </c>
      <c r="F103" s="44">
        <f t="shared" si="2"/>
        <v>0.11332007952286283</v>
      </c>
      <c r="G103" s="80">
        <v>0.375</v>
      </c>
      <c r="H103" s="80">
        <v>0.20799999999999999</v>
      </c>
      <c r="I103" s="80"/>
      <c r="J103" s="80"/>
      <c r="K103" s="81"/>
      <c r="L103" s="81"/>
      <c r="M103" s="82"/>
      <c r="N103" s="83"/>
      <c r="O103" s="83"/>
      <c r="P103" s="82"/>
      <c r="Q103" s="82"/>
      <c r="R103" s="82"/>
      <c r="S103" s="35"/>
      <c r="T103" s="37"/>
    </row>
    <row r="104" spans="1:20">
      <c r="A104" s="29"/>
      <c r="B104" s="59" t="s">
        <v>79</v>
      </c>
      <c r="C104" s="66">
        <v>216</v>
      </c>
      <c r="D104" s="60">
        <f>C104/C102</f>
        <v>2.9983342587451417E-2</v>
      </c>
      <c r="E104" s="61">
        <v>108</v>
      </c>
      <c r="F104" s="44">
        <f t="shared" si="2"/>
        <v>0.5</v>
      </c>
      <c r="G104" s="80">
        <v>0.214</v>
      </c>
      <c r="H104" s="80"/>
      <c r="I104" s="80"/>
      <c r="J104" s="80"/>
      <c r="K104" s="81"/>
      <c r="L104" s="81"/>
      <c r="M104" s="82"/>
      <c r="N104" s="83"/>
      <c r="O104" s="83"/>
      <c r="P104" s="82"/>
      <c r="Q104" s="82"/>
      <c r="R104" s="82"/>
      <c r="S104" s="35"/>
      <c r="T104" s="37"/>
    </row>
    <row r="105" spans="1:20">
      <c r="A105" s="29"/>
      <c r="B105" s="59" t="s">
        <v>80</v>
      </c>
      <c r="C105" s="66">
        <v>65</v>
      </c>
      <c r="D105" s="60">
        <f>C105/C102</f>
        <v>9.0227651304830656E-3</v>
      </c>
      <c r="E105" s="61">
        <v>25</v>
      </c>
      <c r="F105" s="44">
        <f t="shared" si="2"/>
        <v>0.38461538461538464</v>
      </c>
      <c r="G105" s="80"/>
      <c r="H105" s="80"/>
      <c r="I105" s="80"/>
      <c r="J105" s="80"/>
      <c r="K105" s="81"/>
      <c r="L105" s="81"/>
      <c r="M105" s="82"/>
      <c r="N105" s="83"/>
      <c r="O105" s="83"/>
      <c r="P105" s="82"/>
      <c r="Q105" s="82"/>
      <c r="R105" s="82"/>
      <c r="S105" s="35"/>
      <c r="T105" s="37"/>
    </row>
    <row r="106" spans="1:20">
      <c r="A106" s="29"/>
      <c r="B106" s="59" t="s">
        <v>83</v>
      </c>
      <c r="C106" s="66">
        <v>229</v>
      </c>
      <c r="D106" s="60">
        <f>C106/C102</f>
        <v>3.1787895613548028E-2</v>
      </c>
      <c r="E106" s="61">
        <v>63</v>
      </c>
      <c r="F106" s="44">
        <f t="shared" si="2"/>
        <v>0.27510917030567683</v>
      </c>
      <c r="G106" s="80">
        <v>0.57099999999999995</v>
      </c>
      <c r="H106" s="80"/>
      <c r="I106" s="80"/>
      <c r="J106" s="80"/>
      <c r="K106" s="81"/>
      <c r="L106" s="81"/>
      <c r="M106" s="82"/>
      <c r="N106" s="83"/>
      <c r="O106" s="83"/>
      <c r="P106" s="82"/>
      <c r="Q106" s="82"/>
      <c r="R106" s="82"/>
      <c r="S106" s="35"/>
      <c r="T106" s="37"/>
    </row>
    <row r="107" spans="1:20" s="2" customFormat="1">
      <c r="A107" s="29"/>
      <c r="B107" s="59" t="s">
        <v>81</v>
      </c>
      <c r="C107" s="66">
        <v>721</v>
      </c>
      <c r="D107" s="60">
        <f>C107/C102</f>
        <v>0.10008328706274291</v>
      </c>
      <c r="E107" s="61">
        <v>236</v>
      </c>
      <c r="F107" s="44">
        <f t="shared" si="2"/>
        <v>0.32732316227461861</v>
      </c>
      <c r="G107" s="80">
        <v>0.55300000000000005</v>
      </c>
      <c r="H107" s="80">
        <v>6.5000000000000002E-2</v>
      </c>
      <c r="I107" s="80"/>
      <c r="J107" s="80"/>
      <c r="K107" s="81"/>
      <c r="L107" s="81"/>
      <c r="M107" s="82"/>
      <c r="N107" s="83"/>
      <c r="O107" s="83"/>
      <c r="P107" s="82"/>
      <c r="Q107" s="82"/>
      <c r="R107" s="82"/>
      <c r="S107" s="35"/>
      <c r="T107" s="37"/>
    </row>
    <row r="108" spans="1:20" ht="120.75" customHeight="1">
      <c r="A108" s="29"/>
      <c r="B108" s="59" t="s">
        <v>82</v>
      </c>
      <c r="C108" s="66">
        <v>5392</v>
      </c>
      <c r="D108" s="60">
        <f>C108/C102</f>
        <v>0.74847307051637979</v>
      </c>
      <c r="E108" s="61">
        <v>1068</v>
      </c>
      <c r="F108" s="44">
        <f t="shared" si="2"/>
        <v>0.19807121661721069</v>
      </c>
      <c r="G108" s="80">
        <v>0.56200000000000006</v>
      </c>
      <c r="H108" s="80">
        <v>0.17399999999999999</v>
      </c>
      <c r="I108" s="80"/>
      <c r="J108" s="80"/>
      <c r="K108" s="81"/>
      <c r="L108" s="81"/>
      <c r="M108" s="82"/>
      <c r="N108" s="83"/>
      <c r="O108" s="83"/>
      <c r="P108" s="82"/>
      <c r="Q108" s="82"/>
      <c r="R108" s="82"/>
      <c r="S108" s="35"/>
      <c r="T108" s="37"/>
    </row>
    <row r="109" spans="1:20" ht="60">
      <c r="A109" s="29"/>
      <c r="B109" s="41" t="s">
        <v>51</v>
      </c>
      <c r="C109" s="42">
        <v>5092</v>
      </c>
      <c r="D109" s="42"/>
      <c r="E109" s="43">
        <v>530</v>
      </c>
      <c r="F109" s="44">
        <f>E109/C109</f>
        <v>0.10408483896307934</v>
      </c>
      <c r="G109" s="45">
        <v>0.51900000000000002</v>
      </c>
      <c r="H109" s="45">
        <v>0.111</v>
      </c>
      <c r="I109" s="45">
        <v>7.0999999999999994E-2</v>
      </c>
      <c r="J109" s="45">
        <v>0.154</v>
      </c>
      <c r="K109" s="46" t="s">
        <v>47</v>
      </c>
      <c r="L109" s="46" t="s">
        <v>117</v>
      </c>
      <c r="M109" s="36" t="s">
        <v>39</v>
      </c>
      <c r="N109" s="47">
        <v>1530</v>
      </c>
      <c r="O109" s="47">
        <v>7230</v>
      </c>
      <c r="P109" s="36" t="s">
        <v>37</v>
      </c>
      <c r="Q109" s="36" t="s">
        <v>40</v>
      </c>
      <c r="R109" s="36"/>
      <c r="S109" s="34"/>
      <c r="T109" s="37"/>
    </row>
    <row r="110" spans="1:20">
      <c r="A110" s="29"/>
      <c r="B110" s="59" t="s">
        <v>78</v>
      </c>
      <c r="C110" s="66">
        <v>431</v>
      </c>
      <c r="D110" s="60">
        <f>C110/C109</f>
        <v>8.4642576590730559E-2</v>
      </c>
      <c r="E110" s="61">
        <v>43</v>
      </c>
      <c r="F110" s="44">
        <f>E110/C110</f>
        <v>9.9767981438515077E-2</v>
      </c>
      <c r="G110" s="80">
        <v>0.37</v>
      </c>
      <c r="H110" s="80">
        <v>0.5</v>
      </c>
      <c r="I110" s="80"/>
      <c r="J110" s="80"/>
      <c r="K110" s="81"/>
      <c r="L110" s="81"/>
      <c r="M110" s="82"/>
      <c r="N110" s="83"/>
      <c r="O110" s="83"/>
      <c r="P110" s="82"/>
      <c r="Q110" s="82"/>
      <c r="R110" s="82"/>
      <c r="S110" s="35"/>
      <c r="T110" s="37"/>
    </row>
    <row r="111" spans="1:20">
      <c r="A111" s="29"/>
      <c r="B111" s="59" t="s">
        <v>79</v>
      </c>
      <c r="C111" s="66">
        <v>26</v>
      </c>
      <c r="D111" s="60">
        <f>C111/C109</f>
        <v>5.1060487038491753E-3</v>
      </c>
      <c r="E111" s="61">
        <v>8</v>
      </c>
      <c r="F111" s="44">
        <f t="shared" ref="F111:F115" si="4">E111/C111</f>
        <v>0.30769230769230771</v>
      </c>
      <c r="G111" s="80"/>
      <c r="H111" s="80"/>
      <c r="I111" s="80"/>
      <c r="J111" s="80"/>
      <c r="K111" s="81"/>
      <c r="L111" s="81"/>
      <c r="M111" s="82"/>
      <c r="N111" s="83"/>
      <c r="O111" s="83"/>
      <c r="P111" s="82"/>
      <c r="Q111" s="82"/>
      <c r="R111" s="82"/>
      <c r="S111" s="35"/>
      <c r="T111" s="37"/>
    </row>
    <row r="112" spans="1:20">
      <c r="A112" s="29"/>
      <c r="B112" s="59" t="s">
        <v>80</v>
      </c>
      <c r="C112" s="66">
        <v>44</v>
      </c>
      <c r="D112" s="60">
        <f>C112/C109</f>
        <v>8.6410054988216804E-3</v>
      </c>
      <c r="E112" s="61">
        <v>10</v>
      </c>
      <c r="F112" s="44">
        <f t="shared" si="4"/>
        <v>0.22727272727272727</v>
      </c>
      <c r="G112" s="80"/>
      <c r="H112" s="80"/>
      <c r="I112" s="80"/>
      <c r="J112" s="80"/>
      <c r="K112" s="81"/>
      <c r="L112" s="81"/>
      <c r="M112" s="82"/>
      <c r="N112" s="83"/>
      <c r="O112" s="83"/>
      <c r="P112" s="82"/>
      <c r="Q112" s="82"/>
      <c r="R112" s="82"/>
      <c r="S112" s="35"/>
      <c r="T112" s="37"/>
    </row>
    <row r="113" spans="1:20">
      <c r="A113" s="29"/>
      <c r="B113" s="59" t="s">
        <v>83</v>
      </c>
      <c r="C113" s="66">
        <v>59</v>
      </c>
      <c r="D113" s="60">
        <f>C113/C109</f>
        <v>1.1586802827965436E-2</v>
      </c>
      <c r="E113" s="61">
        <v>5</v>
      </c>
      <c r="F113" s="44">
        <f t="shared" si="4"/>
        <v>8.4745762711864403E-2</v>
      </c>
      <c r="G113" s="80"/>
      <c r="H113" s="80"/>
      <c r="I113" s="80"/>
      <c r="J113" s="80"/>
      <c r="K113" s="81"/>
      <c r="L113" s="81"/>
      <c r="M113" s="82"/>
      <c r="N113" s="83"/>
      <c r="O113" s="83"/>
      <c r="P113" s="82"/>
      <c r="Q113" s="82"/>
      <c r="R113" s="82"/>
      <c r="S113" s="35"/>
      <c r="T113" s="37"/>
    </row>
    <row r="114" spans="1:20">
      <c r="A114" s="29"/>
      <c r="B114" s="59" t="s">
        <v>81</v>
      </c>
      <c r="C114" s="66">
        <v>594</v>
      </c>
      <c r="D114" s="60">
        <f>C114/C109</f>
        <v>0.1166535742340927</v>
      </c>
      <c r="E114" s="61">
        <v>54</v>
      </c>
      <c r="F114" s="44">
        <f t="shared" si="4"/>
        <v>9.0909090909090912E-2</v>
      </c>
      <c r="G114" s="80">
        <v>0.47799999999999998</v>
      </c>
      <c r="H114" s="80"/>
      <c r="I114" s="80"/>
      <c r="J114" s="80"/>
      <c r="K114" s="81"/>
      <c r="L114" s="81"/>
      <c r="M114" s="82"/>
      <c r="N114" s="83"/>
      <c r="O114" s="83"/>
      <c r="P114" s="82"/>
      <c r="Q114" s="82"/>
      <c r="R114" s="82"/>
      <c r="S114" s="35"/>
      <c r="T114" s="37"/>
    </row>
    <row r="115" spans="1:20" ht="30">
      <c r="A115" s="29"/>
      <c r="B115" s="59" t="s">
        <v>82</v>
      </c>
      <c r="C115" s="49">
        <v>3921</v>
      </c>
      <c r="D115" s="60">
        <f>C115/C109</f>
        <v>0.77003142183817752</v>
      </c>
      <c r="E115" s="61">
        <v>409</v>
      </c>
      <c r="F115" s="44">
        <f t="shared" si="4"/>
        <v>0.10431012496812038</v>
      </c>
      <c r="G115" s="82">
        <v>53.8</v>
      </c>
      <c r="H115" s="82">
        <v>7.4</v>
      </c>
      <c r="I115" s="82"/>
      <c r="J115" s="82"/>
      <c r="K115" s="82"/>
      <c r="L115" s="82"/>
      <c r="M115" s="82"/>
      <c r="N115" s="83"/>
      <c r="O115" s="83"/>
      <c r="P115" s="82"/>
      <c r="Q115" s="82"/>
      <c r="R115" s="82"/>
      <c r="S115" s="35"/>
      <c r="T115" s="37"/>
    </row>
    <row r="116" spans="1:20" ht="75">
      <c r="A116" s="29"/>
      <c r="B116" s="41" t="s">
        <v>52</v>
      </c>
      <c r="C116" s="42">
        <v>1429</v>
      </c>
      <c r="D116" s="42"/>
      <c r="E116" s="43">
        <v>222</v>
      </c>
      <c r="F116" s="44">
        <f t="shared" si="2"/>
        <v>0.15535339398180545</v>
      </c>
      <c r="G116" s="45">
        <v>0.36699999999999999</v>
      </c>
      <c r="H116" s="45">
        <v>0.35899999999999999</v>
      </c>
      <c r="I116" s="45">
        <v>0.36499999999999999</v>
      </c>
      <c r="J116" s="45" t="s">
        <v>165</v>
      </c>
      <c r="K116" s="46" t="s">
        <v>75</v>
      </c>
      <c r="L116" s="46"/>
      <c r="M116" s="36"/>
      <c r="N116" s="47">
        <v>2898</v>
      </c>
      <c r="O116" s="47">
        <v>5430</v>
      </c>
      <c r="P116" s="36" t="s">
        <v>37</v>
      </c>
      <c r="Q116" s="36"/>
      <c r="R116" s="36"/>
      <c r="S116" s="34" t="s">
        <v>89</v>
      </c>
      <c r="T116" s="34" t="s">
        <v>89</v>
      </c>
    </row>
    <row r="117" spans="1:20">
      <c r="A117" s="29"/>
      <c r="B117" s="59" t="s">
        <v>78</v>
      </c>
      <c r="C117" s="49">
        <v>111</v>
      </c>
      <c r="D117" s="50">
        <f>C117/C116</f>
        <v>7.7676696990902724E-2</v>
      </c>
      <c r="E117" s="51">
        <v>7</v>
      </c>
      <c r="F117" s="44">
        <f t="shared" si="2"/>
        <v>6.3063063063063057E-2</v>
      </c>
      <c r="G117" s="52">
        <v>0.5</v>
      </c>
      <c r="H117" s="52"/>
      <c r="I117" s="52"/>
      <c r="J117" s="52"/>
      <c r="K117" s="82"/>
      <c r="L117" s="82"/>
      <c r="M117" s="82"/>
      <c r="N117" s="83"/>
      <c r="O117" s="83"/>
      <c r="P117" s="82"/>
      <c r="Q117" s="82"/>
      <c r="R117" s="82"/>
      <c r="S117" s="35"/>
      <c r="T117" s="35"/>
    </row>
    <row r="118" spans="1:20">
      <c r="A118" s="29"/>
      <c r="B118" s="59" t="s">
        <v>79</v>
      </c>
      <c r="C118" s="49">
        <v>42</v>
      </c>
      <c r="D118" s="50">
        <f>C118/C116</f>
        <v>2.9391182645206439E-2</v>
      </c>
      <c r="E118" s="51">
        <v>18</v>
      </c>
      <c r="F118" s="44">
        <f t="shared" si="2"/>
        <v>0.42857142857142855</v>
      </c>
      <c r="G118" s="52">
        <v>0.125</v>
      </c>
      <c r="H118" s="52"/>
      <c r="I118" s="52"/>
      <c r="J118" s="52"/>
      <c r="K118" s="82"/>
      <c r="L118" s="82"/>
      <c r="M118" s="82"/>
      <c r="N118" s="83"/>
      <c r="O118" s="83"/>
      <c r="P118" s="82"/>
      <c r="Q118" s="82"/>
      <c r="R118" s="82"/>
      <c r="S118" s="35"/>
      <c r="T118" s="35"/>
    </row>
    <row r="119" spans="1:20">
      <c r="A119" s="29"/>
      <c r="B119" s="59" t="s">
        <v>80</v>
      </c>
      <c r="C119" s="49">
        <v>20</v>
      </c>
      <c r="D119" s="50">
        <f>C119/C116</f>
        <v>1.3995801259622114E-2</v>
      </c>
      <c r="E119" s="51">
        <v>10</v>
      </c>
      <c r="F119" s="44">
        <f t="shared" si="2"/>
        <v>0.5</v>
      </c>
      <c r="G119" s="80"/>
      <c r="H119" s="80"/>
      <c r="I119" s="80"/>
      <c r="J119" s="80"/>
      <c r="K119" s="82"/>
      <c r="L119" s="82"/>
      <c r="M119" s="82"/>
      <c r="N119" s="83"/>
      <c r="O119" s="83"/>
      <c r="P119" s="82"/>
      <c r="Q119" s="82"/>
      <c r="R119" s="82"/>
      <c r="S119" s="35"/>
      <c r="T119" s="35"/>
    </row>
    <row r="120" spans="1:20">
      <c r="A120" s="29"/>
      <c r="B120" s="59" t="s">
        <v>83</v>
      </c>
      <c r="C120" s="49">
        <v>11</v>
      </c>
      <c r="D120" s="50">
        <f>C120/C116</f>
        <v>7.6976906927921623E-3</v>
      </c>
      <c r="E120" s="51">
        <v>3</v>
      </c>
      <c r="F120" s="44">
        <f t="shared" si="2"/>
        <v>0.27272727272727271</v>
      </c>
      <c r="G120" s="80"/>
      <c r="H120" s="80"/>
      <c r="I120" s="80"/>
      <c r="J120" s="80"/>
      <c r="K120" s="82"/>
      <c r="L120" s="82"/>
      <c r="M120" s="82"/>
      <c r="N120" s="83"/>
      <c r="O120" s="83"/>
      <c r="P120" s="82"/>
      <c r="Q120" s="82"/>
      <c r="R120" s="82"/>
      <c r="S120" s="35"/>
      <c r="T120" s="35"/>
    </row>
    <row r="121" spans="1:20">
      <c r="A121" s="29"/>
      <c r="B121" s="59" t="s">
        <v>81</v>
      </c>
      <c r="C121" s="49">
        <v>102</v>
      </c>
      <c r="D121" s="50">
        <f>C121/C116</f>
        <v>7.1378586424072785E-2</v>
      </c>
      <c r="E121" s="51">
        <v>16</v>
      </c>
      <c r="F121" s="44">
        <f t="shared" si="2"/>
        <v>0.15686274509803921</v>
      </c>
      <c r="G121" s="80">
        <v>0.28599999999999998</v>
      </c>
      <c r="H121" s="80">
        <v>0.38500000000000001</v>
      </c>
      <c r="I121" s="80"/>
      <c r="J121" s="80"/>
      <c r="K121" s="82"/>
      <c r="L121" s="82"/>
      <c r="M121" s="82"/>
      <c r="N121" s="83"/>
      <c r="O121" s="83"/>
      <c r="P121" s="82"/>
      <c r="Q121" s="82"/>
      <c r="R121" s="82"/>
      <c r="S121" s="35"/>
      <c r="T121" s="35"/>
    </row>
    <row r="122" spans="1:20" ht="30">
      <c r="A122" s="29"/>
      <c r="B122" s="59" t="s">
        <v>82</v>
      </c>
      <c r="C122" s="49">
        <v>1138</v>
      </c>
      <c r="D122" s="50">
        <f>C122/C116</f>
        <v>0.79636109167249824</v>
      </c>
      <c r="E122" s="51">
        <v>168</v>
      </c>
      <c r="F122" s="44">
        <f t="shared" si="2"/>
        <v>0.14762741652021089</v>
      </c>
      <c r="G122" s="80">
        <v>0.41199999999999998</v>
      </c>
      <c r="H122" s="80">
        <v>0.42899999999999999</v>
      </c>
      <c r="I122" s="80"/>
      <c r="J122" s="80"/>
      <c r="K122" s="82"/>
      <c r="L122" s="82"/>
      <c r="M122" s="82"/>
      <c r="N122" s="83"/>
      <c r="O122" s="83"/>
      <c r="P122" s="82"/>
      <c r="Q122" s="82"/>
      <c r="R122" s="82"/>
      <c r="S122" s="35"/>
      <c r="T122" s="35"/>
    </row>
    <row r="123" spans="1:20" ht="90">
      <c r="A123" s="29"/>
      <c r="B123" s="41" t="s">
        <v>56</v>
      </c>
      <c r="C123" s="42">
        <v>5384</v>
      </c>
      <c r="D123" s="42"/>
      <c r="E123" s="43">
        <v>2006</v>
      </c>
      <c r="F123" s="44">
        <f t="shared" si="2"/>
        <v>0.37258543833580982</v>
      </c>
      <c r="G123" s="45">
        <v>0.54300000000000004</v>
      </c>
      <c r="H123" s="45">
        <v>0.19</v>
      </c>
      <c r="I123" s="45">
        <v>0.187</v>
      </c>
      <c r="J123" s="45">
        <v>0.19700000000000001</v>
      </c>
      <c r="K123" s="46" t="s">
        <v>74</v>
      </c>
      <c r="L123" s="46" t="s">
        <v>119</v>
      </c>
      <c r="M123" s="36" t="s">
        <v>118</v>
      </c>
      <c r="N123" s="47">
        <v>2799</v>
      </c>
      <c r="O123" s="47">
        <v>11401</v>
      </c>
      <c r="P123" s="36" t="s">
        <v>37</v>
      </c>
      <c r="Q123" s="36"/>
      <c r="R123" s="36"/>
      <c r="S123" s="34" t="s">
        <v>89</v>
      </c>
      <c r="T123" s="34" t="s">
        <v>89</v>
      </c>
    </row>
    <row r="124" spans="1:20">
      <c r="A124" s="29"/>
      <c r="B124" s="59" t="s">
        <v>78</v>
      </c>
      <c r="C124" s="66">
        <v>523</v>
      </c>
      <c r="D124" s="60">
        <f>C124/C123</f>
        <v>9.7139673105497773E-2</v>
      </c>
      <c r="E124" s="61">
        <v>109</v>
      </c>
      <c r="F124" s="44">
        <f t="shared" si="2"/>
        <v>0.2084130019120459</v>
      </c>
      <c r="G124" s="80">
        <v>0.308</v>
      </c>
      <c r="H124" s="80">
        <v>0.25</v>
      </c>
      <c r="I124" s="80"/>
      <c r="J124" s="80"/>
      <c r="K124" s="81"/>
      <c r="L124" s="81"/>
      <c r="M124" s="82"/>
      <c r="N124" s="83"/>
      <c r="O124" s="83"/>
      <c r="P124" s="82"/>
      <c r="Q124" s="82"/>
      <c r="R124" s="82"/>
      <c r="S124" s="35"/>
      <c r="T124" s="35"/>
    </row>
    <row r="125" spans="1:20">
      <c r="A125" s="29"/>
      <c r="B125" s="59" t="s">
        <v>79</v>
      </c>
      <c r="C125" s="66">
        <v>1251</v>
      </c>
      <c r="D125" s="60">
        <f>C125/C123</f>
        <v>0.2323551263001486</v>
      </c>
      <c r="E125" s="61">
        <v>880</v>
      </c>
      <c r="F125" s="44">
        <f t="shared" si="2"/>
        <v>0.70343725019984016</v>
      </c>
      <c r="G125" s="80">
        <v>0.46800000000000003</v>
      </c>
      <c r="H125" s="80">
        <v>0.13</v>
      </c>
      <c r="I125" s="80"/>
      <c r="J125" s="80"/>
      <c r="K125" s="81"/>
      <c r="L125" s="81"/>
      <c r="M125" s="82"/>
      <c r="N125" s="83"/>
      <c r="O125" s="83"/>
      <c r="P125" s="82"/>
      <c r="Q125" s="82"/>
      <c r="R125" s="82"/>
      <c r="S125" s="35"/>
      <c r="T125" s="35"/>
    </row>
    <row r="126" spans="1:20">
      <c r="A126" s="29"/>
      <c r="B126" s="59" t="s">
        <v>80</v>
      </c>
      <c r="C126" s="66">
        <v>32</v>
      </c>
      <c r="D126" s="60">
        <f>C126/C123</f>
        <v>5.9435364041604752E-3</v>
      </c>
      <c r="E126" s="61">
        <v>21</v>
      </c>
      <c r="F126" s="44">
        <f t="shared" si="2"/>
        <v>0.65625</v>
      </c>
      <c r="G126" s="80"/>
      <c r="H126" s="80">
        <v>0</v>
      </c>
      <c r="I126" s="80"/>
      <c r="J126" s="80"/>
      <c r="K126" s="81"/>
      <c r="L126" s="81"/>
      <c r="M126" s="82"/>
      <c r="N126" s="83"/>
      <c r="O126" s="83"/>
      <c r="P126" s="82"/>
      <c r="Q126" s="82"/>
      <c r="R126" s="82"/>
      <c r="S126" s="35"/>
      <c r="T126" s="35"/>
    </row>
    <row r="127" spans="1:20">
      <c r="A127" s="29"/>
      <c r="B127" s="59" t="s">
        <v>83</v>
      </c>
      <c r="C127" s="66">
        <v>351</v>
      </c>
      <c r="D127" s="60">
        <f>C127/C123</f>
        <v>6.519316493313522E-2</v>
      </c>
      <c r="E127" s="61">
        <v>134</v>
      </c>
      <c r="F127" s="44">
        <f t="shared" si="2"/>
        <v>0.38176638176638178</v>
      </c>
      <c r="G127" s="80">
        <v>0.69599999999999995</v>
      </c>
      <c r="H127" s="80">
        <v>0.188</v>
      </c>
      <c r="I127" s="80"/>
      <c r="J127" s="80"/>
      <c r="K127" s="81"/>
      <c r="L127" s="81"/>
      <c r="M127" s="82"/>
      <c r="N127" s="83"/>
      <c r="O127" s="83"/>
      <c r="P127" s="82"/>
      <c r="Q127" s="82"/>
      <c r="R127" s="82"/>
      <c r="S127" s="35"/>
      <c r="T127" s="35"/>
    </row>
    <row r="128" spans="1:20">
      <c r="A128" s="29"/>
      <c r="B128" s="59" t="s">
        <v>81</v>
      </c>
      <c r="C128" s="66">
        <v>665</v>
      </c>
      <c r="D128" s="60">
        <f>C128/C123</f>
        <v>0.12351411589895989</v>
      </c>
      <c r="E128" s="61">
        <v>266</v>
      </c>
      <c r="F128" s="44">
        <f t="shared" si="2"/>
        <v>0.4</v>
      </c>
      <c r="G128" s="80">
        <v>0.51400000000000001</v>
      </c>
      <c r="H128" s="80">
        <v>0.08</v>
      </c>
      <c r="I128" s="80"/>
      <c r="J128" s="80"/>
      <c r="K128" s="81"/>
      <c r="L128" s="81"/>
      <c r="M128" s="82"/>
      <c r="N128" s="83"/>
      <c r="O128" s="83"/>
      <c r="P128" s="82"/>
      <c r="Q128" s="82"/>
      <c r="R128" s="82"/>
      <c r="S128" s="35"/>
      <c r="T128" s="35"/>
    </row>
    <row r="129" spans="1:20" ht="30">
      <c r="A129" s="29"/>
      <c r="B129" s="59" t="s">
        <v>82</v>
      </c>
      <c r="C129" s="66">
        <v>2446</v>
      </c>
      <c r="D129" s="60">
        <f>C129/C123</f>
        <v>0.45430906389301634</v>
      </c>
      <c r="E129" s="61">
        <v>596</v>
      </c>
      <c r="F129" s="44">
        <f t="shared" si="2"/>
        <v>0.24366312346688471</v>
      </c>
      <c r="G129" s="80">
        <v>0.58899999999999997</v>
      </c>
      <c r="H129" s="80">
        <v>0.23</v>
      </c>
      <c r="I129" s="80"/>
      <c r="J129" s="80"/>
      <c r="K129" s="81"/>
      <c r="L129" s="81"/>
      <c r="M129" s="82"/>
      <c r="N129" s="83"/>
      <c r="O129" s="83"/>
      <c r="P129" s="82"/>
      <c r="Q129" s="82"/>
      <c r="R129" s="82"/>
      <c r="S129" s="35"/>
      <c r="T129" s="35"/>
    </row>
    <row r="130" spans="1:20" ht="75">
      <c r="A130" s="29"/>
      <c r="B130" s="41" t="s">
        <v>57</v>
      </c>
      <c r="C130" s="42">
        <v>8250</v>
      </c>
      <c r="D130" s="42"/>
      <c r="E130" s="43">
        <v>3378</v>
      </c>
      <c r="F130" s="44">
        <f t="shared" si="2"/>
        <v>0.40945454545454546</v>
      </c>
      <c r="G130" s="45">
        <v>0.48599999999999999</v>
      </c>
      <c r="H130" s="45">
        <v>0.122</v>
      </c>
      <c r="I130" s="45">
        <v>0.13500000000000001</v>
      </c>
      <c r="J130" s="45">
        <v>8.7999999999999995E-2</v>
      </c>
      <c r="K130" s="46" t="s">
        <v>76</v>
      </c>
      <c r="L130" s="46" t="s">
        <v>119</v>
      </c>
      <c r="M130" s="36" t="s">
        <v>118</v>
      </c>
      <c r="N130" s="47">
        <v>3196</v>
      </c>
      <c r="O130" s="47">
        <v>11767</v>
      </c>
      <c r="P130" s="36" t="s">
        <v>37</v>
      </c>
      <c r="Q130" s="36"/>
      <c r="R130" s="36" t="s">
        <v>41</v>
      </c>
      <c r="S130" s="34" t="s">
        <v>89</v>
      </c>
      <c r="T130" s="34" t="s">
        <v>89</v>
      </c>
    </row>
    <row r="131" spans="1:20">
      <c r="A131" s="29"/>
      <c r="B131" s="59" t="s">
        <v>78</v>
      </c>
      <c r="C131" s="66">
        <v>474</v>
      </c>
      <c r="D131" s="60">
        <f>C131/C130</f>
        <v>5.7454545454545453E-2</v>
      </c>
      <c r="E131" s="61">
        <v>154</v>
      </c>
      <c r="F131" s="44">
        <f t="shared" si="2"/>
        <v>0.32489451476793246</v>
      </c>
      <c r="G131" s="80">
        <v>0.53800000000000003</v>
      </c>
      <c r="H131" s="80"/>
      <c r="I131" s="80"/>
      <c r="J131" s="80"/>
      <c r="K131" s="81"/>
      <c r="L131" s="81"/>
      <c r="M131" s="82"/>
      <c r="N131" s="83"/>
      <c r="O131" s="83"/>
      <c r="P131" s="82"/>
      <c r="Q131" s="82"/>
      <c r="R131" s="82"/>
      <c r="S131" s="35"/>
      <c r="T131" s="35"/>
    </row>
    <row r="132" spans="1:20">
      <c r="A132" s="29"/>
      <c r="B132" s="59" t="s">
        <v>79</v>
      </c>
      <c r="C132" s="66">
        <v>1088</v>
      </c>
      <c r="D132" s="60">
        <f>C132/C130</f>
        <v>0.13187878787878787</v>
      </c>
      <c r="E132" s="61">
        <v>846</v>
      </c>
      <c r="F132" s="44">
        <f t="shared" si="2"/>
        <v>0.77757352941176472</v>
      </c>
      <c r="G132" s="80">
        <v>0.48</v>
      </c>
      <c r="H132" s="80">
        <v>0.17199999999999999</v>
      </c>
      <c r="I132" s="80"/>
      <c r="J132" s="80"/>
      <c r="K132" s="81"/>
      <c r="L132" s="81"/>
      <c r="M132" s="82"/>
      <c r="N132" s="83"/>
      <c r="O132" s="83"/>
      <c r="P132" s="82"/>
      <c r="Q132" s="82"/>
      <c r="R132" s="82"/>
      <c r="S132" s="35"/>
      <c r="T132" s="35"/>
    </row>
    <row r="133" spans="1:20">
      <c r="A133" s="29"/>
      <c r="B133" s="59" t="s">
        <v>80</v>
      </c>
      <c r="C133" s="66">
        <v>100</v>
      </c>
      <c r="D133" s="60">
        <f>C133/C130</f>
        <v>1.2121212121212121E-2</v>
      </c>
      <c r="E133" s="61">
        <v>69</v>
      </c>
      <c r="F133" s="44">
        <f t="shared" si="2"/>
        <v>0.69</v>
      </c>
      <c r="G133" s="80">
        <v>0.25</v>
      </c>
      <c r="H133" s="80">
        <v>0</v>
      </c>
      <c r="I133" s="80"/>
      <c r="J133" s="80"/>
      <c r="K133" s="81"/>
      <c r="L133" s="81"/>
      <c r="M133" s="82"/>
      <c r="N133" s="83"/>
      <c r="O133" s="83"/>
      <c r="P133" s="82"/>
      <c r="Q133" s="82"/>
      <c r="R133" s="82"/>
      <c r="S133" s="35"/>
      <c r="T133" s="35"/>
    </row>
    <row r="134" spans="1:20">
      <c r="A134" s="29"/>
      <c r="B134" s="59" t="s">
        <v>83</v>
      </c>
      <c r="C134" s="66">
        <v>466</v>
      </c>
      <c r="D134" s="60">
        <f>C134/C130</f>
        <v>5.6484848484848485E-2</v>
      </c>
      <c r="E134" s="61">
        <v>225</v>
      </c>
      <c r="F134" s="44">
        <f t="shared" si="2"/>
        <v>0.48283261802575106</v>
      </c>
      <c r="G134" s="80">
        <v>0.63</v>
      </c>
      <c r="H134" s="80">
        <v>4.4999999999999998E-2</v>
      </c>
      <c r="I134" s="80"/>
      <c r="J134" s="80"/>
      <c r="K134" s="81"/>
      <c r="L134" s="81"/>
      <c r="M134" s="82"/>
      <c r="N134" s="83"/>
      <c r="O134" s="83"/>
      <c r="P134" s="82"/>
      <c r="Q134" s="82"/>
      <c r="R134" s="82"/>
      <c r="S134" s="35"/>
      <c r="T134" s="35"/>
    </row>
    <row r="135" spans="1:20">
      <c r="A135" s="29"/>
      <c r="B135" s="59" t="s">
        <v>81</v>
      </c>
      <c r="C135" s="66">
        <v>2155</v>
      </c>
      <c r="D135" s="60">
        <f>C135/C130</f>
        <v>0.26121212121212123</v>
      </c>
      <c r="E135" s="61">
        <v>1069</v>
      </c>
      <c r="F135" s="44">
        <f t="shared" si="2"/>
        <v>0.4960556844547564</v>
      </c>
      <c r="G135" s="80">
        <v>0.48899999999999999</v>
      </c>
      <c r="H135" s="80">
        <v>0.188</v>
      </c>
      <c r="I135" s="80"/>
      <c r="J135" s="80"/>
      <c r="K135" s="81"/>
      <c r="L135" s="81"/>
      <c r="M135" s="82"/>
      <c r="N135" s="83"/>
      <c r="O135" s="83"/>
      <c r="P135" s="82"/>
      <c r="Q135" s="82"/>
      <c r="R135" s="82"/>
      <c r="S135" s="35"/>
      <c r="T135" s="35"/>
    </row>
    <row r="136" spans="1:20" ht="30">
      <c r="A136" s="29"/>
      <c r="B136" s="59" t="s">
        <v>82</v>
      </c>
      <c r="C136" s="66">
        <v>3483</v>
      </c>
      <c r="D136" s="60">
        <f>C136/C130</f>
        <v>0.42218181818181816</v>
      </c>
      <c r="E136" s="61">
        <v>1013</v>
      </c>
      <c r="F136" s="44">
        <f t="shared" si="2"/>
        <v>0.29084122882572494</v>
      </c>
      <c r="G136" s="80">
        <v>0.47399999999999998</v>
      </c>
      <c r="H136" s="80">
        <v>0.10199999999999999</v>
      </c>
      <c r="I136" s="80"/>
      <c r="J136" s="80"/>
      <c r="K136" s="81"/>
      <c r="L136" s="81"/>
      <c r="M136" s="82"/>
      <c r="N136" s="83"/>
      <c r="O136" s="83"/>
      <c r="P136" s="82"/>
      <c r="Q136" s="82"/>
      <c r="R136" s="82"/>
      <c r="S136" s="35"/>
      <c r="T136" s="35"/>
    </row>
    <row r="137" spans="1:20" ht="90">
      <c r="A137" s="29"/>
      <c r="B137" s="41" t="s">
        <v>59</v>
      </c>
      <c r="C137" s="42">
        <v>15695</v>
      </c>
      <c r="D137" s="42"/>
      <c r="E137" s="43">
        <v>4278</v>
      </c>
      <c r="F137" s="44">
        <f t="shared" si="2"/>
        <v>0.27257088244663907</v>
      </c>
      <c r="G137" s="45">
        <v>0.55000000000000004</v>
      </c>
      <c r="H137" s="45">
        <v>0.19400000000000001</v>
      </c>
      <c r="I137" s="45">
        <v>0.224</v>
      </c>
      <c r="J137" s="45">
        <v>0.16200000000000001</v>
      </c>
      <c r="K137" s="46" t="s">
        <v>74</v>
      </c>
      <c r="L137" s="46" t="s">
        <v>119</v>
      </c>
      <c r="M137" s="36" t="s">
        <v>118</v>
      </c>
      <c r="N137" s="47">
        <v>2945</v>
      </c>
      <c r="O137" s="47">
        <v>11544</v>
      </c>
      <c r="P137" s="36" t="s">
        <v>37</v>
      </c>
      <c r="Q137" s="36"/>
      <c r="R137" s="36"/>
      <c r="S137" s="34" t="s">
        <v>89</v>
      </c>
      <c r="T137" s="34" t="s">
        <v>89</v>
      </c>
    </row>
    <row r="138" spans="1:20">
      <c r="A138" s="29"/>
      <c r="B138" s="59" t="s">
        <v>78</v>
      </c>
      <c r="C138" s="66">
        <v>759</v>
      </c>
      <c r="D138" s="60">
        <f>C138/C137</f>
        <v>4.8359350111500478E-2</v>
      </c>
      <c r="E138" s="61">
        <v>228</v>
      </c>
      <c r="F138" s="44">
        <f t="shared" si="2"/>
        <v>0.30039525691699603</v>
      </c>
      <c r="G138" s="80">
        <v>0.51200000000000001</v>
      </c>
      <c r="H138" s="80">
        <v>0.183</v>
      </c>
      <c r="I138" s="80"/>
      <c r="J138" s="80"/>
      <c r="K138" s="81"/>
      <c r="L138" s="81"/>
      <c r="M138" s="82"/>
      <c r="N138" s="83"/>
      <c r="O138" s="83"/>
      <c r="P138" s="82"/>
      <c r="Q138" s="82"/>
      <c r="R138" s="82"/>
      <c r="S138" s="35"/>
      <c r="T138" s="35"/>
    </row>
    <row r="139" spans="1:20">
      <c r="A139" s="29"/>
      <c r="B139" s="59" t="s">
        <v>79</v>
      </c>
      <c r="C139" s="66">
        <v>227</v>
      </c>
      <c r="D139" s="60">
        <f>C139/C137</f>
        <v>1.4463204842306466E-2</v>
      </c>
      <c r="E139" s="61">
        <v>128</v>
      </c>
      <c r="F139" s="44">
        <f t="shared" si="2"/>
        <v>0.56387665198237891</v>
      </c>
      <c r="G139" s="80">
        <v>0.42899999999999999</v>
      </c>
      <c r="H139" s="80">
        <v>0.105</v>
      </c>
      <c r="I139" s="80"/>
      <c r="J139" s="80"/>
      <c r="K139" s="81"/>
      <c r="L139" s="81"/>
      <c r="M139" s="82"/>
      <c r="N139" s="83"/>
      <c r="O139" s="83"/>
      <c r="P139" s="82"/>
      <c r="Q139" s="82"/>
      <c r="R139" s="82"/>
      <c r="S139" s="35"/>
      <c r="T139" s="35"/>
    </row>
    <row r="140" spans="1:20">
      <c r="A140" s="29"/>
      <c r="B140" s="59" t="s">
        <v>80</v>
      </c>
      <c r="C140" s="66">
        <v>144</v>
      </c>
      <c r="D140" s="60">
        <f>C140/C137</f>
        <v>9.1748964638419875E-3</v>
      </c>
      <c r="E140" s="61">
        <v>61</v>
      </c>
      <c r="F140" s="44">
        <f t="shared" si="2"/>
        <v>0.4236111111111111</v>
      </c>
      <c r="G140" s="80">
        <v>0.53800000000000003</v>
      </c>
      <c r="H140" s="80">
        <v>7.6999999999999999E-2</v>
      </c>
      <c r="I140" s="80"/>
      <c r="J140" s="80"/>
      <c r="K140" s="81"/>
      <c r="L140" s="81"/>
      <c r="M140" s="82"/>
      <c r="N140" s="83"/>
      <c r="O140" s="83"/>
      <c r="P140" s="82"/>
      <c r="Q140" s="82"/>
      <c r="R140" s="82"/>
      <c r="S140" s="35"/>
      <c r="T140" s="35"/>
    </row>
    <row r="141" spans="1:20">
      <c r="A141" s="29"/>
      <c r="B141" s="59" t="s">
        <v>83</v>
      </c>
      <c r="C141" s="66">
        <v>579</v>
      </c>
      <c r="D141" s="60">
        <f>C141/C137</f>
        <v>3.6890729531697995E-2</v>
      </c>
      <c r="E141" s="61">
        <v>205</v>
      </c>
      <c r="F141" s="44">
        <f t="shared" si="2"/>
        <v>0.3540587219343696</v>
      </c>
      <c r="G141" s="80">
        <v>0.56299999999999994</v>
      </c>
      <c r="H141" s="80">
        <v>0.25</v>
      </c>
      <c r="I141" s="80"/>
      <c r="J141" s="80"/>
      <c r="K141" s="81"/>
      <c r="L141" s="81"/>
      <c r="M141" s="82"/>
      <c r="N141" s="83"/>
      <c r="O141" s="83"/>
      <c r="P141" s="82"/>
      <c r="Q141" s="82"/>
      <c r="R141" s="82"/>
      <c r="S141" s="35"/>
      <c r="T141" s="35"/>
    </row>
    <row r="142" spans="1:20">
      <c r="A142" s="29"/>
      <c r="B142" s="59" t="s">
        <v>81</v>
      </c>
      <c r="C142" s="66">
        <v>1860</v>
      </c>
      <c r="D142" s="60">
        <f>C142/C137</f>
        <v>0.11850907932462568</v>
      </c>
      <c r="E142" s="61">
        <v>702</v>
      </c>
      <c r="F142" s="44">
        <f t="shared" si="2"/>
        <v>0.3774193548387097</v>
      </c>
      <c r="G142" s="80">
        <v>0.51600000000000001</v>
      </c>
      <c r="H142" s="80">
        <v>0.28499999999999998</v>
      </c>
      <c r="I142" s="80"/>
      <c r="J142" s="80"/>
      <c r="K142" s="81"/>
      <c r="L142" s="81"/>
      <c r="M142" s="82"/>
      <c r="N142" s="83"/>
      <c r="O142" s="83"/>
      <c r="P142" s="82"/>
      <c r="Q142" s="82"/>
      <c r="R142" s="82"/>
      <c r="S142" s="35"/>
      <c r="T142" s="35"/>
    </row>
    <row r="143" spans="1:20" ht="30">
      <c r="A143" s="29"/>
      <c r="B143" s="59" t="s">
        <v>82</v>
      </c>
      <c r="C143" s="66">
        <v>11888</v>
      </c>
      <c r="D143" s="60">
        <f>C143/C137</f>
        <v>0.75743867473717741</v>
      </c>
      <c r="E143" s="61">
        <v>2954</v>
      </c>
      <c r="F143" s="44">
        <f t="shared" si="2"/>
        <v>0.24848586810228801</v>
      </c>
      <c r="G143" s="80">
        <v>0.56699999999999995</v>
      </c>
      <c r="H143" s="80">
        <v>0.188</v>
      </c>
      <c r="I143" s="80"/>
      <c r="J143" s="80"/>
      <c r="K143" s="81"/>
      <c r="L143" s="81"/>
      <c r="M143" s="82"/>
      <c r="N143" s="83"/>
      <c r="O143" s="83"/>
      <c r="P143" s="82"/>
      <c r="Q143" s="82"/>
      <c r="R143" s="82"/>
      <c r="S143" s="35"/>
      <c r="T143" s="35"/>
    </row>
    <row r="144" spans="1:20" ht="60">
      <c r="A144" s="29"/>
      <c r="B144" s="41" t="s">
        <v>60</v>
      </c>
      <c r="C144" s="42">
        <v>1138</v>
      </c>
      <c r="D144" s="42"/>
      <c r="E144" s="43">
        <v>444</v>
      </c>
      <c r="F144" s="44">
        <f t="shared" si="2"/>
        <v>0.39015817223198596</v>
      </c>
      <c r="G144" s="45">
        <v>0.55000000000000004</v>
      </c>
      <c r="H144" s="45">
        <v>0.41399999999999998</v>
      </c>
      <c r="I144" s="45">
        <v>0.40300000000000002</v>
      </c>
      <c r="J144" s="45">
        <v>1</v>
      </c>
      <c r="K144" s="46" t="s">
        <v>77</v>
      </c>
      <c r="L144" s="46" t="s">
        <v>119</v>
      </c>
      <c r="M144" s="36" t="s">
        <v>118</v>
      </c>
      <c r="N144" s="47">
        <v>3043</v>
      </c>
      <c r="O144" s="47">
        <v>5572</v>
      </c>
      <c r="P144" s="36" t="s">
        <v>37</v>
      </c>
      <c r="Q144" s="36"/>
      <c r="R144" s="36"/>
      <c r="S144" s="34" t="s">
        <v>89</v>
      </c>
      <c r="T144" s="34" t="s">
        <v>89</v>
      </c>
    </row>
    <row r="145" spans="1:20">
      <c r="A145" s="29"/>
      <c r="B145" s="59" t="s">
        <v>78</v>
      </c>
      <c r="C145" s="66">
        <v>280</v>
      </c>
      <c r="D145" s="60">
        <f>C145/C144</f>
        <v>0.24604569420035149</v>
      </c>
      <c r="E145" s="61">
        <v>12</v>
      </c>
      <c r="F145" s="44">
        <f t="shared" ref="F145:F199" si="5">E145/C145</f>
        <v>4.2857142857142858E-2</v>
      </c>
      <c r="G145" s="80">
        <v>0.1</v>
      </c>
      <c r="H145" s="80"/>
      <c r="I145" s="80"/>
      <c r="J145" s="80"/>
      <c r="K145" s="81"/>
      <c r="L145" s="81"/>
      <c r="M145" s="82"/>
      <c r="N145" s="83"/>
      <c r="O145" s="83"/>
      <c r="P145" s="82"/>
      <c r="Q145" s="82"/>
      <c r="R145" s="82"/>
      <c r="S145" s="35"/>
      <c r="T145" s="35"/>
    </row>
    <row r="146" spans="1:20">
      <c r="A146" s="29"/>
      <c r="B146" s="59" t="s">
        <v>79</v>
      </c>
      <c r="C146" s="66">
        <v>19</v>
      </c>
      <c r="D146" s="60">
        <f>C146/C144</f>
        <v>1.6695957820738138E-2</v>
      </c>
      <c r="E146" s="61">
        <v>22</v>
      </c>
      <c r="F146" s="44">
        <f t="shared" si="5"/>
        <v>1.1578947368421053</v>
      </c>
      <c r="G146" s="80"/>
      <c r="H146" s="80"/>
      <c r="I146" s="80"/>
      <c r="J146" s="80"/>
      <c r="K146" s="81"/>
      <c r="L146" s="81"/>
      <c r="M146" s="82"/>
      <c r="N146" s="83"/>
      <c r="O146" s="83"/>
      <c r="P146" s="82"/>
      <c r="Q146" s="82"/>
      <c r="R146" s="82"/>
      <c r="S146" s="35"/>
      <c r="T146" s="35"/>
    </row>
    <row r="147" spans="1:20">
      <c r="A147" s="29"/>
      <c r="B147" s="59" t="s">
        <v>80</v>
      </c>
      <c r="C147" s="66">
        <v>13</v>
      </c>
      <c r="D147" s="60">
        <f>C147/C144</f>
        <v>1.1423550087873463E-2</v>
      </c>
      <c r="E147" s="61">
        <v>10</v>
      </c>
      <c r="F147" s="44">
        <f t="shared" si="5"/>
        <v>0.76923076923076927</v>
      </c>
      <c r="G147" s="80"/>
      <c r="H147" s="80"/>
      <c r="I147" s="80"/>
      <c r="J147" s="80"/>
      <c r="K147" s="81"/>
      <c r="L147" s="81"/>
      <c r="M147" s="82"/>
      <c r="N147" s="83"/>
      <c r="O147" s="83"/>
      <c r="P147" s="82"/>
      <c r="Q147" s="82"/>
      <c r="R147" s="82"/>
      <c r="S147" s="35"/>
      <c r="T147" s="35"/>
    </row>
    <row r="148" spans="1:20">
      <c r="A148" s="29"/>
      <c r="B148" s="59" t="s">
        <v>83</v>
      </c>
      <c r="C148" s="66">
        <v>6</v>
      </c>
      <c r="D148" s="60">
        <f>C148/C144</f>
        <v>5.272407732864675E-3</v>
      </c>
      <c r="E148" s="61">
        <v>1</v>
      </c>
      <c r="F148" s="44">
        <f t="shared" si="5"/>
        <v>0.16666666666666666</v>
      </c>
      <c r="G148" s="80"/>
      <c r="H148" s="80"/>
      <c r="I148" s="80"/>
      <c r="J148" s="80"/>
      <c r="K148" s="81"/>
      <c r="L148" s="81"/>
      <c r="M148" s="82"/>
      <c r="N148" s="83"/>
      <c r="O148" s="83"/>
      <c r="P148" s="82"/>
      <c r="Q148" s="82"/>
      <c r="R148" s="82"/>
      <c r="S148" s="35"/>
      <c r="T148" s="35"/>
    </row>
    <row r="149" spans="1:20">
      <c r="A149" s="29"/>
      <c r="B149" s="59" t="s">
        <v>81</v>
      </c>
      <c r="C149" s="66">
        <v>163</v>
      </c>
      <c r="D149" s="60">
        <f>C149/C144</f>
        <v>0.14323374340949033</v>
      </c>
      <c r="E149" s="61">
        <v>122</v>
      </c>
      <c r="F149" s="44">
        <f t="shared" si="5"/>
        <v>0.74846625766871167</v>
      </c>
      <c r="G149" s="80">
        <v>0.53300000000000003</v>
      </c>
      <c r="H149" s="80">
        <v>0.37</v>
      </c>
      <c r="I149" s="80"/>
      <c r="J149" s="80"/>
      <c r="K149" s="81"/>
      <c r="L149" s="81"/>
      <c r="M149" s="82"/>
      <c r="N149" s="83"/>
      <c r="O149" s="83"/>
      <c r="P149" s="82"/>
      <c r="Q149" s="82"/>
      <c r="R149" s="82"/>
      <c r="S149" s="35"/>
      <c r="T149" s="35"/>
    </row>
    <row r="150" spans="1:20" ht="30">
      <c r="A150" s="29"/>
      <c r="B150" s="59" t="s">
        <v>82</v>
      </c>
      <c r="C150" s="66">
        <v>637</v>
      </c>
      <c r="D150" s="60">
        <f>C150/C144</f>
        <v>0.55975395430579966</v>
      </c>
      <c r="E150" s="61">
        <v>277</v>
      </c>
      <c r="F150" s="44">
        <f t="shared" si="5"/>
        <v>0.43485086342229201</v>
      </c>
      <c r="G150" s="80">
        <v>0.59799999999999998</v>
      </c>
      <c r="H150" s="80">
        <v>0.41399999999999998</v>
      </c>
      <c r="I150" s="80"/>
      <c r="J150" s="80"/>
      <c r="K150" s="81"/>
      <c r="L150" s="81"/>
      <c r="M150" s="82"/>
      <c r="N150" s="83"/>
      <c r="O150" s="83"/>
      <c r="P150" s="82"/>
      <c r="Q150" s="82"/>
      <c r="R150" s="82"/>
      <c r="S150" s="35"/>
      <c r="T150" s="35"/>
    </row>
    <row r="151" spans="1:20" ht="60">
      <c r="A151" s="29"/>
      <c r="B151" s="41" t="s">
        <v>62</v>
      </c>
      <c r="C151" s="42">
        <v>1759</v>
      </c>
      <c r="D151" s="42"/>
      <c r="E151" s="43">
        <v>546</v>
      </c>
      <c r="F151" s="44">
        <f t="shared" si="5"/>
        <v>0.31040363843092666</v>
      </c>
      <c r="G151" s="45">
        <v>0.41499999999999998</v>
      </c>
      <c r="H151" s="45">
        <v>0.6</v>
      </c>
      <c r="I151" s="45">
        <v>0.61399999999999999</v>
      </c>
      <c r="J151" s="45">
        <v>0.44400000000000001</v>
      </c>
      <c r="K151" s="46" t="s">
        <v>77</v>
      </c>
      <c r="L151" s="46" t="s">
        <v>119</v>
      </c>
      <c r="M151" s="36"/>
      <c r="N151" s="47">
        <v>2820</v>
      </c>
      <c r="O151" s="47">
        <v>11422</v>
      </c>
      <c r="P151" s="36" t="s">
        <v>37</v>
      </c>
      <c r="Q151" s="36"/>
      <c r="R151" s="36"/>
      <c r="S151" s="34" t="s">
        <v>89</v>
      </c>
      <c r="T151" s="34" t="s">
        <v>89</v>
      </c>
    </row>
    <row r="152" spans="1:20">
      <c r="A152" s="29"/>
      <c r="B152" s="59" t="s">
        <v>78</v>
      </c>
      <c r="C152" s="49">
        <v>212</v>
      </c>
      <c r="D152" s="84">
        <f>C152/C151</f>
        <v>0.12052302444570778</v>
      </c>
      <c r="E152" s="85">
        <v>14</v>
      </c>
      <c r="F152" s="44">
        <f t="shared" si="5"/>
        <v>6.6037735849056603E-2</v>
      </c>
      <c r="G152" s="82"/>
      <c r="H152" s="82"/>
      <c r="I152" s="82"/>
      <c r="J152" s="82"/>
      <c r="K152" s="82"/>
      <c r="L152" s="82"/>
      <c r="M152" s="82"/>
      <c r="N152" s="83"/>
      <c r="O152" s="83"/>
      <c r="P152" s="82"/>
      <c r="Q152" s="82"/>
      <c r="R152" s="82"/>
      <c r="S152" s="35"/>
      <c r="T152" s="35"/>
    </row>
    <row r="153" spans="1:20">
      <c r="A153" s="29"/>
      <c r="B153" s="59" t="s">
        <v>79</v>
      </c>
      <c r="C153" s="49">
        <v>19</v>
      </c>
      <c r="D153" s="84">
        <f>C153/C151</f>
        <v>1.0801591813530414E-2</v>
      </c>
      <c r="E153" s="85">
        <v>12</v>
      </c>
      <c r="F153" s="44">
        <f t="shared" si="5"/>
        <v>0.63157894736842102</v>
      </c>
      <c r="G153" s="82"/>
      <c r="H153" s="82"/>
      <c r="I153" s="82"/>
      <c r="J153" s="82"/>
      <c r="K153" s="82"/>
      <c r="L153" s="82"/>
      <c r="M153" s="82"/>
      <c r="N153" s="83"/>
      <c r="O153" s="83"/>
      <c r="P153" s="82"/>
      <c r="Q153" s="82"/>
      <c r="R153" s="82"/>
      <c r="S153" s="35"/>
      <c r="T153" s="35"/>
    </row>
    <row r="154" spans="1:20">
      <c r="A154" s="29"/>
      <c r="B154" s="59" t="s">
        <v>80</v>
      </c>
      <c r="C154" s="49">
        <v>18</v>
      </c>
      <c r="D154" s="84">
        <f>C154/C151</f>
        <v>1.023308698123934E-2</v>
      </c>
      <c r="E154" s="85">
        <v>9</v>
      </c>
      <c r="F154" s="44">
        <f t="shared" si="5"/>
        <v>0.5</v>
      </c>
      <c r="G154" s="82"/>
      <c r="H154" s="82"/>
      <c r="I154" s="82"/>
      <c r="J154" s="82"/>
      <c r="K154" s="82"/>
      <c r="L154" s="82"/>
      <c r="M154" s="82"/>
      <c r="N154" s="83"/>
      <c r="O154" s="83"/>
      <c r="P154" s="82"/>
      <c r="Q154" s="82"/>
      <c r="R154" s="82"/>
      <c r="S154" s="35"/>
      <c r="T154" s="35"/>
    </row>
    <row r="155" spans="1:20">
      <c r="A155" s="29"/>
      <c r="B155" s="59" t="s">
        <v>83</v>
      </c>
      <c r="C155" s="49">
        <v>11</v>
      </c>
      <c r="D155" s="84">
        <f>C155/C151</f>
        <v>6.2535531552018195E-3</v>
      </c>
      <c r="E155" s="85">
        <v>3</v>
      </c>
      <c r="F155" s="44">
        <f t="shared" si="5"/>
        <v>0.27272727272727271</v>
      </c>
      <c r="G155" s="82"/>
      <c r="H155" s="82"/>
      <c r="I155" s="82"/>
      <c r="J155" s="82"/>
      <c r="K155" s="82"/>
      <c r="L155" s="82"/>
      <c r="M155" s="82"/>
      <c r="N155" s="83"/>
      <c r="O155" s="83"/>
      <c r="P155" s="82"/>
      <c r="Q155" s="82"/>
      <c r="R155" s="82"/>
      <c r="S155" s="35"/>
      <c r="T155" s="35"/>
    </row>
    <row r="156" spans="1:20">
      <c r="A156" s="29"/>
      <c r="B156" s="59" t="s">
        <v>81</v>
      </c>
      <c r="C156" s="49">
        <v>216</v>
      </c>
      <c r="D156" s="84">
        <f>C156/C151</f>
        <v>0.12279704377487209</v>
      </c>
      <c r="E156" s="85">
        <v>123</v>
      </c>
      <c r="F156" s="44">
        <f t="shared" si="5"/>
        <v>0.56944444444444442</v>
      </c>
      <c r="G156" s="80">
        <v>0.41699999999999998</v>
      </c>
      <c r="H156" s="80">
        <v>0.316</v>
      </c>
      <c r="I156" s="80"/>
      <c r="J156" s="80"/>
      <c r="K156" s="82"/>
      <c r="L156" s="82"/>
      <c r="M156" s="82"/>
      <c r="N156" s="83"/>
      <c r="O156" s="83"/>
      <c r="P156" s="82"/>
      <c r="Q156" s="82"/>
      <c r="R156" s="82"/>
      <c r="S156" s="35"/>
      <c r="T156" s="35"/>
    </row>
    <row r="157" spans="1:20" ht="30">
      <c r="A157" s="29"/>
      <c r="B157" s="59" t="s">
        <v>82</v>
      </c>
      <c r="C157" s="49">
        <v>1271</v>
      </c>
      <c r="D157" s="84">
        <f>C157/C151</f>
        <v>0.72256964184195571</v>
      </c>
      <c r="E157" s="85">
        <v>385</v>
      </c>
      <c r="F157" s="44">
        <f t="shared" si="5"/>
        <v>0.30291109362706531</v>
      </c>
      <c r="G157" s="80">
        <v>0.375</v>
      </c>
      <c r="H157" s="80">
        <v>0.69899999999999995</v>
      </c>
      <c r="I157" s="80"/>
      <c r="J157" s="80"/>
      <c r="K157" s="82"/>
      <c r="L157" s="82"/>
      <c r="M157" s="82"/>
      <c r="N157" s="83"/>
      <c r="O157" s="83"/>
      <c r="P157" s="82"/>
      <c r="Q157" s="82"/>
      <c r="R157" s="82"/>
      <c r="S157" s="35"/>
      <c r="T157" s="35"/>
    </row>
    <row r="158" spans="1:20" ht="60">
      <c r="A158" s="29"/>
      <c r="B158" s="41" t="s">
        <v>63</v>
      </c>
      <c r="C158" s="42">
        <v>2698</v>
      </c>
      <c r="D158" s="42"/>
      <c r="E158" s="43">
        <v>504</v>
      </c>
      <c r="F158" s="44">
        <f t="shared" si="5"/>
        <v>0.18680504077094143</v>
      </c>
      <c r="G158" s="45">
        <v>0.51100000000000001</v>
      </c>
      <c r="H158" s="45">
        <v>0.38100000000000001</v>
      </c>
      <c r="I158" s="45">
        <v>0.41499999999999998</v>
      </c>
      <c r="J158" s="45">
        <v>0.19700000000000001</v>
      </c>
      <c r="K158" s="46" t="s">
        <v>47</v>
      </c>
      <c r="L158" s="46" t="s">
        <v>119</v>
      </c>
      <c r="M158" s="36"/>
      <c r="N158" s="47">
        <v>3244</v>
      </c>
      <c r="O158" s="47">
        <v>9613</v>
      </c>
      <c r="P158" s="36" t="s">
        <v>37</v>
      </c>
      <c r="Q158" s="36"/>
      <c r="R158" s="36"/>
      <c r="S158" s="34" t="s">
        <v>90</v>
      </c>
      <c r="T158" s="34" t="s">
        <v>102</v>
      </c>
    </row>
    <row r="159" spans="1:20">
      <c r="A159" s="29"/>
      <c r="B159" s="59" t="s">
        <v>78</v>
      </c>
      <c r="C159" s="49">
        <v>117</v>
      </c>
      <c r="D159" s="84">
        <f>C159/C158</f>
        <v>4.3365455893254259E-2</v>
      </c>
      <c r="E159" s="85">
        <v>28</v>
      </c>
      <c r="F159" s="44">
        <f t="shared" si="5"/>
        <v>0.23931623931623933</v>
      </c>
      <c r="G159" s="80">
        <v>0.33300000000000002</v>
      </c>
      <c r="H159" s="80"/>
      <c r="I159" s="80"/>
      <c r="J159" s="80"/>
      <c r="K159" s="82"/>
      <c r="L159" s="82"/>
      <c r="M159" s="82"/>
      <c r="N159" s="83"/>
      <c r="O159" s="83"/>
      <c r="P159" s="82"/>
      <c r="Q159" s="82"/>
      <c r="R159" s="82"/>
      <c r="S159" s="35"/>
      <c r="T159" s="35"/>
    </row>
    <row r="160" spans="1:20">
      <c r="A160" s="29"/>
      <c r="B160" s="59" t="s">
        <v>79</v>
      </c>
      <c r="C160" s="49">
        <v>79</v>
      </c>
      <c r="D160" s="84">
        <f>C160/C158</f>
        <v>2.928094885100074E-2</v>
      </c>
      <c r="E160" s="85">
        <v>69</v>
      </c>
      <c r="F160" s="44">
        <f t="shared" si="5"/>
        <v>0.87341772151898733</v>
      </c>
      <c r="G160" s="80">
        <v>0.26200000000000001</v>
      </c>
      <c r="H160" s="80">
        <v>0.29599999999999999</v>
      </c>
      <c r="I160" s="80"/>
      <c r="J160" s="80"/>
      <c r="K160" s="82"/>
      <c r="L160" s="82"/>
      <c r="M160" s="82"/>
      <c r="N160" s="83"/>
      <c r="O160" s="83"/>
      <c r="P160" s="82"/>
      <c r="Q160" s="82"/>
      <c r="R160" s="82"/>
      <c r="S160" s="35"/>
      <c r="T160" s="35"/>
    </row>
    <row r="161" spans="1:20">
      <c r="A161" s="29"/>
      <c r="B161" s="59" t="s">
        <v>80</v>
      </c>
      <c r="C161" s="49">
        <v>19</v>
      </c>
      <c r="D161" s="84">
        <f>C161/C158</f>
        <v>7.0422535211267607E-3</v>
      </c>
      <c r="E161" s="85">
        <v>3</v>
      </c>
      <c r="F161" s="44">
        <f t="shared" si="5"/>
        <v>0.15789473684210525</v>
      </c>
      <c r="G161" s="82"/>
      <c r="H161" s="82"/>
      <c r="I161" s="82"/>
      <c r="J161" s="82"/>
      <c r="K161" s="82"/>
      <c r="L161" s="82"/>
      <c r="M161" s="82"/>
      <c r="N161" s="83"/>
      <c r="O161" s="83"/>
      <c r="P161" s="82"/>
      <c r="Q161" s="82"/>
      <c r="R161" s="82"/>
      <c r="S161" s="35"/>
      <c r="T161" s="35"/>
    </row>
    <row r="162" spans="1:20">
      <c r="A162" s="29"/>
      <c r="B162" s="59" t="s">
        <v>83</v>
      </c>
      <c r="C162" s="49">
        <v>15</v>
      </c>
      <c r="D162" s="84">
        <f>C162/C158</f>
        <v>5.5596738324684954E-3</v>
      </c>
      <c r="E162" s="85">
        <v>3</v>
      </c>
      <c r="F162" s="44">
        <f t="shared" si="5"/>
        <v>0.2</v>
      </c>
      <c r="G162" s="82"/>
      <c r="H162" s="82"/>
      <c r="I162" s="82"/>
      <c r="J162" s="82"/>
      <c r="K162" s="82"/>
      <c r="L162" s="82"/>
      <c r="M162" s="82"/>
      <c r="N162" s="83"/>
      <c r="O162" s="83"/>
      <c r="P162" s="82"/>
      <c r="Q162" s="82"/>
      <c r="R162" s="82"/>
      <c r="S162" s="35"/>
      <c r="T162" s="35"/>
    </row>
    <row r="163" spans="1:20">
      <c r="A163" s="29"/>
      <c r="B163" s="59" t="s">
        <v>81</v>
      </c>
      <c r="C163" s="49">
        <v>176</v>
      </c>
      <c r="D163" s="84">
        <f>C163/C158</f>
        <v>6.5233506300963681E-2</v>
      </c>
      <c r="E163" s="85">
        <v>53</v>
      </c>
      <c r="F163" s="44">
        <f t="shared" si="5"/>
        <v>0.30113636363636365</v>
      </c>
      <c r="G163" s="80">
        <v>0.51600000000000001</v>
      </c>
      <c r="H163" s="80">
        <v>0.21099999999999999</v>
      </c>
      <c r="I163" s="80"/>
      <c r="J163" s="80"/>
      <c r="K163" s="82"/>
      <c r="L163" s="82"/>
      <c r="M163" s="82"/>
      <c r="N163" s="83"/>
      <c r="O163" s="83"/>
      <c r="P163" s="82"/>
      <c r="Q163" s="82"/>
      <c r="R163" s="82"/>
      <c r="S163" s="35"/>
      <c r="T163" s="35"/>
    </row>
    <row r="164" spans="1:20" ht="30">
      <c r="A164" s="29"/>
      <c r="B164" s="59" t="s">
        <v>82</v>
      </c>
      <c r="C164" s="49">
        <v>2268</v>
      </c>
      <c r="D164" s="84">
        <f>C164/C158</f>
        <v>0.84062268346923652</v>
      </c>
      <c r="E164" s="85">
        <v>347</v>
      </c>
      <c r="F164" s="44">
        <f t="shared" si="5"/>
        <v>0.15299823633156967</v>
      </c>
      <c r="G164" s="80">
        <v>0.55700000000000005</v>
      </c>
      <c r="H164" s="80">
        <v>0.41199999999999998</v>
      </c>
      <c r="I164" s="80"/>
      <c r="J164" s="80"/>
      <c r="K164" s="82"/>
      <c r="L164" s="82"/>
      <c r="M164" s="82"/>
      <c r="N164" s="83"/>
      <c r="O164" s="83"/>
      <c r="P164" s="82"/>
      <c r="Q164" s="82"/>
      <c r="R164" s="82"/>
      <c r="S164" s="35"/>
      <c r="T164" s="35"/>
    </row>
    <row r="165" spans="1:20" ht="60">
      <c r="A165" s="29"/>
      <c r="B165" s="41" t="s">
        <v>64</v>
      </c>
      <c r="C165" s="42">
        <v>1551</v>
      </c>
      <c r="D165" s="42"/>
      <c r="E165" s="43">
        <v>896</v>
      </c>
      <c r="F165" s="44">
        <f t="shared" si="5"/>
        <v>0.5776918117343649</v>
      </c>
      <c r="G165" s="45">
        <v>0.56200000000000006</v>
      </c>
      <c r="H165" s="45">
        <v>0.47599999999999998</v>
      </c>
      <c r="I165" s="45">
        <v>0.48299999999999998</v>
      </c>
      <c r="J165" s="45">
        <v>0.3</v>
      </c>
      <c r="K165" s="46" t="s">
        <v>77</v>
      </c>
      <c r="L165" s="46" t="s">
        <v>119</v>
      </c>
      <c r="M165" s="36"/>
      <c r="N165" s="47">
        <v>2855</v>
      </c>
      <c r="O165" s="47">
        <v>5389</v>
      </c>
      <c r="P165" s="36" t="s">
        <v>37</v>
      </c>
      <c r="Q165" s="36"/>
      <c r="R165" s="36" t="s">
        <v>41</v>
      </c>
      <c r="S165" s="39" t="s">
        <v>90</v>
      </c>
      <c r="T165" s="34" t="s">
        <v>102</v>
      </c>
    </row>
    <row r="166" spans="1:20">
      <c r="A166" s="29"/>
      <c r="B166" s="59" t="s">
        <v>78</v>
      </c>
      <c r="C166" s="49">
        <v>261</v>
      </c>
      <c r="D166" s="84">
        <f>C166/C165</f>
        <v>0.16827852998065765</v>
      </c>
      <c r="E166" s="85">
        <v>33</v>
      </c>
      <c r="F166" s="44">
        <f t="shared" si="5"/>
        <v>0.12643678160919541</v>
      </c>
      <c r="G166" s="80">
        <v>0.41199999999999998</v>
      </c>
      <c r="H166" s="80"/>
      <c r="I166" s="80"/>
      <c r="J166" s="80"/>
      <c r="K166" s="82"/>
      <c r="L166" s="82"/>
      <c r="M166" s="82"/>
      <c r="N166" s="83"/>
      <c r="O166" s="83"/>
      <c r="P166" s="82"/>
      <c r="Q166" s="82"/>
      <c r="R166" s="82"/>
      <c r="S166" s="35"/>
      <c r="T166" s="35"/>
    </row>
    <row r="167" spans="1:20">
      <c r="A167" s="29"/>
      <c r="B167" s="59" t="s">
        <v>79</v>
      </c>
      <c r="C167" s="49">
        <v>38</v>
      </c>
      <c r="D167" s="84">
        <f>C167/C165</f>
        <v>2.4500322372662798E-2</v>
      </c>
      <c r="E167" s="85">
        <v>29</v>
      </c>
      <c r="F167" s="44">
        <f t="shared" si="5"/>
        <v>0.76315789473684215</v>
      </c>
      <c r="G167" s="86">
        <v>0.4</v>
      </c>
      <c r="H167" s="86">
        <v>0.44400000000000001</v>
      </c>
      <c r="I167" s="86"/>
      <c r="J167" s="86"/>
      <c r="K167" s="82"/>
      <c r="L167" s="82"/>
      <c r="M167" s="82"/>
      <c r="N167" s="83"/>
      <c r="O167" s="83"/>
      <c r="P167" s="82"/>
      <c r="Q167" s="82"/>
      <c r="R167" s="82"/>
      <c r="S167" s="35"/>
      <c r="T167" s="35"/>
    </row>
    <row r="168" spans="1:20">
      <c r="A168" s="29"/>
      <c r="B168" s="59" t="s">
        <v>80</v>
      </c>
      <c r="C168" s="49">
        <v>16</v>
      </c>
      <c r="D168" s="84">
        <f>C168/C165</f>
        <v>1.0315925209542231E-2</v>
      </c>
      <c r="E168" s="85">
        <v>18</v>
      </c>
      <c r="F168" s="44">
        <f t="shared" si="5"/>
        <v>1.125</v>
      </c>
      <c r="G168" s="82"/>
      <c r="H168" s="82">
        <v>57.1</v>
      </c>
      <c r="I168" s="82"/>
      <c r="J168" s="82"/>
      <c r="K168" s="82"/>
      <c r="L168" s="82"/>
      <c r="M168" s="82"/>
      <c r="N168" s="83"/>
      <c r="O168" s="83"/>
      <c r="P168" s="82"/>
      <c r="Q168" s="82"/>
      <c r="R168" s="82"/>
      <c r="S168" s="35"/>
      <c r="T168" s="35"/>
    </row>
    <row r="169" spans="1:20">
      <c r="A169" s="29"/>
      <c r="B169" s="59" t="s">
        <v>83</v>
      </c>
      <c r="C169" s="49">
        <v>10</v>
      </c>
      <c r="D169" s="84">
        <f>C169/C165</f>
        <v>6.4474532559638939E-3</v>
      </c>
      <c r="E169" s="85">
        <v>5</v>
      </c>
      <c r="F169" s="44">
        <f t="shared" si="5"/>
        <v>0.5</v>
      </c>
      <c r="G169" s="82"/>
      <c r="H169" s="82"/>
      <c r="I169" s="82"/>
      <c r="J169" s="82"/>
      <c r="K169" s="82"/>
      <c r="L169" s="82"/>
      <c r="M169" s="82"/>
      <c r="N169" s="83"/>
      <c r="O169" s="83"/>
      <c r="P169" s="82"/>
      <c r="Q169" s="82"/>
      <c r="R169" s="82"/>
      <c r="S169" s="35"/>
      <c r="T169" s="35"/>
    </row>
    <row r="170" spans="1:20">
      <c r="A170" s="29"/>
      <c r="B170" s="59" t="s">
        <v>81</v>
      </c>
      <c r="C170" s="49">
        <v>391</v>
      </c>
      <c r="D170" s="84">
        <f>C170/C165</f>
        <v>0.25209542230818827</v>
      </c>
      <c r="E170" s="85">
        <v>329</v>
      </c>
      <c r="F170" s="44">
        <f t="shared" si="5"/>
        <v>0.84143222506393867</v>
      </c>
      <c r="G170" s="86">
        <v>0.6</v>
      </c>
      <c r="H170" s="86">
        <v>0.434</v>
      </c>
      <c r="I170" s="86"/>
      <c r="J170" s="86"/>
      <c r="K170" s="82"/>
      <c r="L170" s="82"/>
      <c r="M170" s="82"/>
      <c r="N170" s="83"/>
      <c r="O170" s="83"/>
      <c r="P170" s="82"/>
      <c r="Q170" s="82"/>
      <c r="R170" s="82"/>
      <c r="S170" s="35"/>
      <c r="T170" s="35"/>
    </row>
    <row r="171" spans="1:20" ht="30">
      <c r="A171" s="29"/>
      <c r="B171" s="59" t="s">
        <v>82</v>
      </c>
      <c r="C171" s="49">
        <v>801</v>
      </c>
      <c r="D171" s="84">
        <f>C171/C165</f>
        <v>0.51644100580270791</v>
      </c>
      <c r="E171" s="85">
        <v>482</v>
      </c>
      <c r="F171" s="44">
        <f t="shared" si="5"/>
        <v>0.60174781523096132</v>
      </c>
      <c r="G171" s="82">
        <v>62.2</v>
      </c>
      <c r="H171" s="82">
        <v>51.4</v>
      </c>
      <c r="I171" s="82"/>
      <c r="J171" s="82"/>
      <c r="K171" s="82"/>
      <c r="L171" s="82"/>
      <c r="M171" s="82"/>
      <c r="N171" s="83"/>
      <c r="O171" s="83"/>
      <c r="P171" s="82"/>
      <c r="Q171" s="82"/>
      <c r="R171" s="82"/>
      <c r="S171" s="35"/>
      <c r="T171" s="35"/>
    </row>
    <row r="172" spans="1:20" ht="75">
      <c r="A172" s="29"/>
      <c r="B172" s="41" t="s">
        <v>65</v>
      </c>
      <c r="C172" s="42">
        <v>11873</v>
      </c>
      <c r="D172" s="42"/>
      <c r="E172" s="43">
        <v>4404</v>
      </c>
      <c r="F172" s="44">
        <f t="shared" si="5"/>
        <v>0.3709256295797187</v>
      </c>
      <c r="G172" s="45">
        <v>0.48699999999999999</v>
      </c>
      <c r="H172" s="45">
        <v>0.20699999999999999</v>
      </c>
      <c r="I172" s="45">
        <v>0.23</v>
      </c>
      <c r="J172" s="45">
        <v>0.14899999999999999</v>
      </c>
      <c r="K172" s="46" t="s">
        <v>76</v>
      </c>
      <c r="L172" s="46" t="s">
        <v>119</v>
      </c>
      <c r="M172" s="36"/>
      <c r="N172" s="47">
        <v>2909</v>
      </c>
      <c r="O172" s="47">
        <v>11505</v>
      </c>
      <c r="P172" s="36" t="s">
        <v>37</v>
      </c>
      <c r="Q172" s="36"/>
      <c r="R172" s="36"/>
      <c r="S172" s="34" t="s">
        <v>89</v>
      </c>
      <c r="T172" s="34" t="s">
        <v>89</v>
      </c>
    </row>
    <row r="173" spans="1:20">
      <c r="A173" s="29"/>
      <c r="B173" s="59" t="s">
        <v>78</v>
      </c>
      <c r="C173" s="49">
        <v>415</v>
      </c>
      <c r="D173" s="84">
        <f>C173/C172</f>
        <v>3.4953255285100647E-2</v>
      </c>
      <c r="E173" s="85">
        <v>172</v>
      </c>
      <c r="F173" s="44">
        <f t="shared" si="5"/>
        <v>0.41445783132530123</v>
      </c>
      <c r="G173" s="80">
        <v>0.54300000000000004</v>
      </c>
      <c r="H173" s="80">
        <v>0.182</v>
      </c>
      <c r="I173" s="80"/>
      <c r="J173" s="80"/>
      <c r="K173" s="82"/>
      <c r="L173" s="82"/>
      <c r="M173" s="82"/>
      <c r="N173" s="83"/>
      <c r="O173" s="83"/>
      <c r="P173" s="82"/>
      <c r="Q173" s="82"/>
      <c r="R173" s="82"/>
      <c r="S173" s="35"/>
      <c r="T173" s="35"/>
    </row>
    <row r="174" spans="1:20">
      <c r="A174" s="29"/>
      <c r="B174" s="59" t="s">
        <v>79</v>
      </c>
      <c r="C174" s="49">
        <v>1002</v>
      </c>
      <c r="D174" s="84">
        <f>C174/C172</f>
        <v>8.4393160953423738E-2</v>
      </c>
      <c r="E174" s="85">
        <v>604</v>
      </c>
      <c r="F174" s="44">
        <f t="shared" si="5"/>
        <v>0.60279441117764476</v>
      </c>
      <c r="G174" s="80">
        <v>0.33300000000000002</v>
      </c>
      <c r="H174" s="80">
        <v>0.125</v>
      </c>
      <c r="I174" s="80"/>
      <c r="J174" s="80"/>
      <c r="K174" s="82"/>
      <c r="L174" s="82"/>
      <c r="M174" s="82"/>
      <c r="N174" s="83"/>
      <c r="O174" s="83"/>
      <c r="P174" s="82"/>
      <c r="Q174" s="82"/>
      <c r="R174" s="82"/>
      <c r="S174" s="35"/>
      <c r="T174" s="35"/>
    </row>
    <row r="175" spans="1:20">
      <c r="A175" s="29"/>
      <c r="B175" s="59" t="s">
        <v>80</v>
      </c>
      <c r="C175" s="49">
        <v>182</v>
      </c>
      <c r="D175" s="84">
        <f>C175/C172</f>
        <v>1.5328897498526067E-2</v>
      </c>
      <c r="E175" s="85">
        <v>81</v>
      </c>
      <c r="F175" s="44">
        <f t="shared" si="5"/>
        <v>0.44505494505494503</v>
      </c>
      <c r="G175" s="80">
        <v>0.54200000000000004</v>
      </c>
      <c r="H175" s="80">
        <v>0.19</v>
      </c>
      <c r="I175" s="80"/>
      <c r="J175" s="80"/>
      <c r="K175" s="82"/>
      <c r="L175" s="82"/>
      <c r="M175" s="82"/>
      <c r="N175" s="83"/>
      <c r="O175" s="83"/>
      <c r="P175" s="82"/>
      <c r="Q175" s="82"/>
      <c r="R175" s="82"/>
      <c r="S175" s="35"/>
      <c r="T175" s="35"/>
    </row>
    <row r="176" spans="1:20">
      <c r="A176" s="29"/>
      <c r="B176" s="59" t="s">
        <v>83</v>
      </c>
      <c r="C176" s="49">
        <v>497</v>
      </c>
      <c r="D176" s="84">
        <f>C176/C172</f>
        <v>4.1859681630590416E-2</v>
      </c>
      <c r="E176" s="85">
        <v>172</v>
      </c>
      <c r="F176" s="44">
        <f t="shared" si="5"/>
        <v>0.34607645875251508</v>
      </c>
      <c r="G176" s="80">
        <v>0.54200000000000004</v>
      </c>
      <c r="H176" s="80">
        <v>0.03</v>
      </c>
      <c r="I176" s="80"/>
      <c r="J176" s="80"/>
      <c r="K176" s="82"/>
      <c r="L176" s="82"/>
      <c r="M176" s="82"/>
      <c r="N176" s="83"/>
      <c r="O176" s="83"/>
      <c r="P176" s="82"/>
      <c r="Q176" s="82"/>
      <c r="R176" s="82"/>
      <c r="S176" s="35"/>
      <c r="T176" s="35"/>
    </row>
    <row r="177" spans="1:20">
      <c r="A177" s="29"/>
      <c r="B177" s="59" t="s">
        <v>81</v>
      </c>
      <c r="C177" s="49">
        <v>1486</v>
      </c>
      <c r="D177" s="84">
        <f>C177/C172</f>
        <v>0.12515792133411943</v>
      </c>
      <c r="E177" s="85">
        <v>684</v>
      </c>
      <c r="F177" s="44">
        <f t="shared" si="5"/>
        <v>0.46029609690444145</v>
      </c>
      <c r="G177" s="80">
        <v>0.42899999999999999</v>
      </c>
      <c r="H177" s="80">
        <v>0.19600000000000001</v>
      </c>
      <c r="I177" s="80"/>
      <c r="J177" s="80"/>
      <c r="K177" s="82"/>
      <c r="L177" s="82"/>
      <c r="M177" s="82"/>
      <c r="N177" s="83"/>
      <c r="O177" s="83"/>
      <c r="P177" s="82"/>
      <c r="Q177" s="82"/>
      <c r="R177" s="82"/>
      <c r="S177" s="35"/>
      <c r="T177" s="35"/>
    </row>
    <row r="178" spans="1:20" ht="30">
      <c r="A178" s="29"/>
      <c r="B178" s="59" t="s">
        <v>82</v>
      </c>
      <c r="C178" s="49">
        <v>8205</v>
      </c>
      <c r="D178" s="84">
        <f>C178/C172</f>
        <v>0.69106375810662846</v>
      </c>
      <c r="E178" s="85">
        <v>2691</v>
      </c>
      <c r="F178" s="44">
        <f t="shared" si="5"/>
        <v>0.32797074954296163</v>
      </c>
      <c r="G178" s="80">
        <v>0.51100000000000001</v>
      </c>
      <c r="H178" s="80">
        <v>0.23</v>
      </c>
      <c r="I178" s="80"/>
      <c r="J178" s="80"/>
      <c r="K178" s="82"/>
      <c r="L178" s="82"/>
      <c r="M178" s="82"/>
      <c r="N178" s="83"/>
      <c r="O178" s="83"/>
      <c r="P178" s="82"/>
      <c r="Q178" s="82"/>
      <c r="R178" s="82"/>
      <c r="S178" s="35"/>
      <c r="T178" s="35"/>
    </row>
    <row r="179" spans="1:20" ht="60">
      <c r="A179" s="29"/>
      <c r="B179" s="41" t="s">
        <v>66</v>
      </c>
      <c r="C179" s="42">
        <v>5437</v>
      </c>
      <c r="D179" s="42"/>
      <c r="E179" s="43">
        <v>335</v>
      </c>
      <c r="F179" s="44">
        <f t="shared" si="5"/>
        <v>6.1614861136656242E-2</v>
      </c>
      <c r="G179" s="45">
        <v>0.55300000000000005</v>
      </c>
      <c r="H179" s="45">
        <v>0.23499999999999999</v>
      </c>
      <c r="I179" s="45">
        <v>0.22900000000000001</v>
      </c>
      <c r="J179" s="45">
        <v>0.28899999999999998</v>
      </c>
      <c r="K179" s="46" t="s">
        <v>47</v>
      </c>
      <c r="L179" s="46" t="s">
        <v>119</v>
      </c>
      <c r="M179" s="36"/>
      <c r="N179" s="47">
        <v>2992</v>
      </c>
      <c r="O179" s="47">
        <v>11525</v>
      </c>
      <c r="P179" s="36" t="s">
        <v>37</v>
      </c>
      <c r="Q179" s="36"/>
      <c r="R179" s="36" t="s">
        <v>41</v>
      </c>
      <c r="S179" s="34" t="s">
        <v>89</v>
      </c>
      <c r="T179" s="34" t="s">
        <v>89</v>
      </c>
    </row>
    <row r="180" spans="1:20">
      <c r="A180" s="29"/>
      <c r="B180" s="59" t="s">
        <v>78</v>
      </c>
      <c r="C180" s="49">
        <v>185</v>
      </c>
      <c r="D180" s="84">
        <f>C180/C179</f>
        <v>3.4026117344123599E-2</v>
      </c>
      <c r="E180" s="85">
        <v>129</v>
      </c>
      <c r="F180" s="44">
        <f t="shared" si="5"/>
        <v>0.69729729729729728</v>
      </c>
      <c r="G180" s="86">
        <v>0.8</v>
      </c>
      <c r="H180" s="86">
        <v>0.3</v>
      </c>
      <c r="I180" s="86"/>
      <c r="J180" s="86"/>
      <c r="K180" s="82"/>
      <c r="L180" s="82"/>
      <c r="M180" s="82"/>
      <c r="N180" s="83"/>
      <c r="O180" s="83"/>
      <c r="P180" s="82"/>
      <c r="Q180" s="82"/>
      <c r="R180" s="82"/>
      <c r="S180" s="35"/>
      <c r="T180" s="35"/>
    </row>
    <row r="181" spans="1:20">
      <c r="A181" s="29"/>
      <c r="B181" s="59" t="s">
        <v>79</v>
      </c>
      <c r="C181" s="49">
        <v>139</v>
      </c>
      <c r="D181" s="84">
        <f>C181/C179</f>
        <v>2.556556924774692E-2</v>
      </c>
      <c r="E181" s="85">
        <v>121</v>
      </c>
      <c r="F181" s="44">
        <f t="shared" si="5"/>
        <v>0.87050359712230219</v>
      </c>
      <c r="G181" s="82"/>
      <c r="H181" s="82">
        <v>0</v>
      </c>
      <c r="I181" s="82"/>
      <c r="J181" s="82"/>
      <c r="K181" s="82"/>
      <c r="L181" s="82"/>
      <c r="M181" s="82"/>
      <c r="N181" s="83"/>
      <c r="O181" s="83"/>
      <c r="P181" s="82"/>
      <c r="Q181" s="82"/>
      <c r="R181" s="82"/>
      <c r="S181" s="35"/>
      <c r="T181" s="35"/>
    </row>
    <row r="182" spans="1:20">
      <c r="A182" s="29"/>
      <c r="B182" s="59" t="s">
        <v>80</v>
      </c>
      <c r="C182" s="49">
        <v>143</v>
      </c>
      <c r="D182" s="84">
        <f>C182/C179</f>
        <v>2.6301269082214456E-2</v>
      </c>
      <c r="E182" s="85">
        <v>79</v>
      </c>
      <c r="F182" s="44">
        <f t="shared" si="5"/>
        <v>0.55244755244755239</v>
      </c>
      <c r="G182" s="86">
        <v>0.5</v>
      </c>
      <c r="H182" s="86">
        <v>7.6999999999999999E-2</v>
      </c>
      <c r="I182" s="86"/>
      <c r="J182" s="86"/>
      <c r="K182" s="82"/>
      <c r="L182" s="82"/>
      <c r="M182" s="82"/>
      <c r="N182" s="83"/>
      <c r="O182" s="83"/>
      <c r="P182" s="82"/>
      <c r="Q182" s="82"/>
      <c r="R182" s="82"/>
      <c r="S182" s="35"/>
      <c r="T182" s="35"/>
    </row>
    <row r="183" spans="1:20">
      <c r="A183" s="29"/>
      <c r="B183" s="59" t="s">
        <v>83</v>
      </c>
      <c r="C183" s="49">
        <v>57</v>
      </c>
      <c r="D183" s="84">
        <f>C183/C179</f>
        <v>1.0483722641162405E-2</v>
      </c>
      <c r="E183" s="85">
        <v>27</v>
      </c>
      <c r="F183" s="44">
        <f t="shared" si="5"/>
        <v>0.47368421052631576</v>
      </c>
      <c r="G183" s="82"/>
      <c r="H183" s="82"/>
      <c r="I183" s="82"/>
      <c r="J183" s="82"/>
      <c r="K183" s="82"/>
      <c r="L183" s="82"/>
      <c r="M183" s="82"/>
      <c r="N183" s="83"/>
      <c r="O183" s="83"/>
      <c r="P183" s="82"/>
      <c r="Q183" s="82"/>
      <c r="R183" s="82"/>
      <c r="S183" s="35"/>
      <c r="T183" s="35"/>
    </row>
    <row r="184" spans="1:20">
      <c r="A184" s="29"/>
      <c r="B184" s="59" t="s">
        <v>81</v>
      </c>
      <c r="C184" s="49">
        <v>1750</v>
      </c>
      <c r="D184" s="84">
        <f>C184/C179</f>
        <v>0.32186867757954757</v>
      </c>
      <c r="E184" s="85">
        <v>1329</v>
      </c>
      <c r="F184" s="44">
        <f t="shared" si="5"/>
        <v>0.75942857142857145</v>
      </c>
      <c r="G184" s="80">
        <v>0.58199999999999996</v>
      </c>
      <c r="H184" s="80">
        <v>0.17599999999999999</v>
      </c>
      <c r="I184" s="80"/>
      <c r="J184" s="80"/>
      <c r="K184" s="82"/>
      <c r="L184" s="82"/>
      <c r="M184" s="82"/>
      <c r="N184" s="83"/>
      <c r="O184" s="83"/>
      <c r="P184" s="82"/>
      <c r="Q184" s="82"/>
      <c r="R184" s="82"/>
      <c r="S184" s="35"/>
      <c r="T184" s="35"/>
    </row>
    <row r="185" spans="1:20" ht="30">
      <c r="A185" s="29"/>
      <c r="B185" s="59" t="s">
        <v>82</v>
      </c>
      <c r="C185" s="49">
        <v>3133</v>
      </c>
      <c r="D185" s="84">
        <f>C185/C179</f>
        <v>0.57623689534669853</v>
      </c>
      <c r="E185" s="85">
        <v>1665</v>
      </c>
      <c r="F185" s="44">
        <f t="shared" si="5"/>
        <v>0.53143951484200447</v>
      </c>
      <c r="G185" s="80">
        <v>0.51400000000000001</v>
      </c>
      <c r="H185" s="80">
        <v>0.29299999999999998</v>
      </c>
      <c r="I185" s="80"/>
      <c r="J185" s="80"/>
      <c r="K185" s="82"/>
      <c r="L185" s="82"/>
      <c r="M185" s="82"/>
      <c r="N185" s="83"/>
      <c r="O185" s="83"/>
      <c r="P185" s="82"/>
      <c r="Q185" s="82"/>
      <c r="R185" s="82"/>
      <c r="S185" s="35"/>
      <c r="T185" s="35"/>
    </row>
    <row r="186" spans="1:20" ht="90">
      <c r="A186" s="29"/>
      <c r="B186" s="41" t="s">
        <v>67</v>
      </c>
      <c r="C186" s="42">
        <v>7667</v>
      </c>
      <c r="D186" s="42"/>
      <c r="E186" s="43">
        <v>1710</v>
      </c>
      <c r="F186" s="44">
        <f t="shared" si="5"/>
        <v>0.22303378113995043</v>
      </c>
      <c r="G186" s="45">
        <v>0.57199999999999995</v>
      </c>
      <c r="H186" s="45">
        <v>0.20799999999999999</v>
      </c>
      <c r="I186" s="45">
        <v>0.20399999999999999</v>
      </c>
      <c r="J186" s="45">
        <v>0.214</v>
      </c>
      <c r="K186" s="46" t="s">
        <v>74</v>
      </c>
      <c r="L186" s="46" t="s">
        <v>119</v>
      </c>
      <c r="M186" s="36"/>
      <c r="N186" s="47">
        <v>2892</v>
      </c>
      <c r="O186" s="47">
        <v>11490</v>
      </c>
      <c r="P186" s="36" t="s">
        <v>37</v>
      </c>
      <c r="Q186" s="36"/>
      <c r="R186" s="36"/>
      <c r="S186" s="34" t="s">
        <v>89</v>
      </c>
      <c r="T186" s="34" t="s">
        <v>89</v>
      </c>
    </row>
    <row r="187" spans="1:20">
      <c r="A187" s="29"/>
      <c r="B187" s="59" t="s">
        <v>78</v>
      </c>
      <c r="C187" s="49">
        <v>364</v>
      </c>
      <c r="D187" s="84">
        <f>C187/C186</f>
        <v>4.7476196687100562E-2</v>
      </c>
      <c r="E187" s="85">
        <v>82</v>
      </c>
      <c r="F187" s="44">
        <f t="shared" si="5"/>
        <v>0.22527472527472528</v>
      </c>
      <c r="G187" s="80">
        <v>0.45</v>
      </c>
      <c r="H187" s="80">
        <v>6.3E-2</v>
      </c>
      <c r="I187" s="80"/>
      <c r="J187" s="80"/>
      <c r="K187" s="82"/>
      <c r="L187" s="82"/>
      <c r="M187" s="82"/>
      <c r="N187" s="83"/>
      <c r="O187" s="83"/>
      <c r="P187" s="82"/>
      <c r="Q187" s="82"/>
      <c r="R187" s="82"/>
      <c r="S187" s="35"/>
      <c r="T187" s="35"/>
    </row>
    <row r="188" spans="1:20">
      <c r="A188" s="29"/>
      <c r="B188" s="59" t="s">
        <v>79</v>
      </c>
      <c r="C188" s="49">
        <v>130</v>
      </c>
      <c r="D188" s="84">
        <f>C188/C186</f>
        <v>1.6955784531107344E-2</v>
      </c>
      <c r="E188" s="85">
        <v>71</v>
      </c>
      <c r="F188" s="44">
        <f t="shared" si="5"/>
        <v>0.5461538461538461</v>
      </c>
      <c r="G188" s="80">
        <v>0.41699999999999998</v>
      </c>
      <c r="H188" s="80"/>
      <c r="I188" s="80"/>
      <c r="J188" s="80"/>
      <c r="K188" s="82"/>
      <c r="L188" s="82"/>
      <c r="M188" s="82"/>
      <c r="N188" s="83"/>
      <c r="O188" s="83"/>
      <c r="P188" s="82"/>
      <c r="Q188" s="82"/>
      <c r="R188" s="82"/>
      <c r="S188" s="35"/>
      <c r="T188" s="35"/>
    </row>
    <row r="189" spans="1:20">
      <c r="A189" s="29"/>
      <c r="B189" s="59" t="s">
        <v>80</v>
      </c>
      <c r="C189" s="49">
        <v>96</v>
      </c>
      <c r="D189" s="84">
        <f>C189/C186</f>
        <v>1.2521194730663885E-2</v>
      </c>
      <c r="E189" s="85">
        <v>44</v>
      </c>
      <c r="F189" s="44">
        <f t="shared" si="5"/>
        <v>0.45833333333333331</v>
      </c>
      <c r="G189" s="82"/>
      <c r="H189" s="84">
        <v>0.3</v>
      </c>
      <c r="I189" s="84"/>
      <c r="J189" s="84"/>
      <c r="K189" s="82"/>
      <c r="L189" s="82"/>
      <c r="M189" s="82"/>
      <c r="N189" s="83"/>
      <c r="O189" s="83"/>
      <c r="P189" s="82"/>
      <c r="Q189" s="82"/>
      <c r="R189" s="82"/>
      <c r="S189" s="35"/>
      <c r="T189" s="35"/>
    </row>
    <row r="190" spans="1:20">
      <c r="A190" s="29"/>
      <c r="B190" s="59" t="s">
        <v>83</v>
      </c>
      <c r="C190" s="49">
        <v>195</v>
      </c>
      <c r="D190" s="84">
        <f>C190/C186</f>
        <v>2.5433676796661014E-2</v>
      </c>
      <c r="E190" s="85">
        <v>45</v>
      </c>
      <c r="F190" s="44">
        <f t="shared" si="5"/>
        <v>0.23076923076923078</v>
      </c>
      <c r="G190" s="80">
        <v>0.71399999999999997</v>
      </c>
      <c r="H190" s="80">
        <v>0.19</v>
      </c>
      <c r="I190" s="80"/>
      <c r="J190" s="80"/>
      <c r="K190" s="82"/>
      <c r="L190" s="82"/>
      <c r="M190" s="82"/>
      <c r="N190" s="83"/>
      <c r="O190" s="83"/>
      <c r="P190" s="82"/>
      <c r="Q190" s="82"/>
      <c r="R190" s="82"/>
      <c r="S190" s="35"/>
      <c r="T190" s="35"/>
    </row>
    <row r="191" spans="1:20">
      <c r="A191" s="29"/>
      <c r="B191" s="59" t="s">
        <v>81</v>
      </c>
      <c r="C191" s="49">
        <v>909</v>
      </c>
      <c r="D191" s="84">
        <f>C191/C186</f>
        <v>0.11856006260597365</v>
      </c>
      <c r="E191" s="85">
        <v>307</v>
      </c>
      <c r="F191" s="44">
        <f t="shared" si="5"/>
        <v>0.33773377337733773</v>
      </c>
      <c r="G191" s="80">
        <v>0.61799999999999999</v>
      </c>
      <c r="H191" s="80">
        <v>0.156</v>
      </c>
      <c r="I191" s="80"/>
      <c r="J191" s="80"/>
      <c r="K191" s="82"/>
      <c r="L191" s="82"/>
      <c r="M191" s="82"/>
      <c r="N191" s="83"/>
      <c r="O191" s="83"/>
      <c r="P191" s="82"/>
      <c r="Q191" s="82"/>
      <c r="R191" s="82"/>
      <c r="S191" s="35"/>
      <c r="T191" s="35"/>
    </row>
    <row r="192" spans="1:20" ht="30">
      <c r="A192" s="29"/>
      <c r="B192" s="59" t="s">
        <v>82</v>
      </c>
      <c r="C192" s="49">
        <v>5875</v>
      </c>
      <c r="D192" s="84">
        <f>C192/C186</f>
        <v>0.76627103169427413</v>
      </c>
      <c r="E192" s="85">
        <v>1161</v>
      </c>
      <c r="F192" s="44">
        <f t="shared" si="5"/>
        <v>0.19761702127659575</v>
      </c>
      <c r="G192" s="80">
        <v>0.57899999999999996</v>
      </c>
      <c r="H192" s="80">
        <v>0.219</v>
      </c>
      <c r="I192" s="80"/>
      <c r="J192" s="80"/>
      <c r="K192" s="82"/>
      <c r="L192" s="82"/>
      <c r="M192" s="82"/>
      <c r="N192" s="83"/>
      <c r="O192" s="83"/>
      <c r="P192" s="82"/>
      <c r="Q192" s="82"/>
      <c r="R192" s="82"/>
      <c r="S192" s="35"/>
      <c r="T192" s="35"/>
    </row>
    <row r="193" spans="1:20" ht="75">
      <c r="A193" s="29"/>
      <c r="B193" s="41" t="s">
        <v>68</v>
      </c>
      <c r="C193" s="42">
        <v>1740</v>
      </c>
      <c r="D193" s="42"/>
      <c r="E193" s="43">
        <v>941</v>
      </c>
      <c r="F193" s="44">
        <f t="shared" si="5"/>
        <v>0.54080459770114941</v>
      </c>
      <c r="G193" s="45">
        <v>0.64600000000000002</v>
      </c>
      <c r="H193" s="45">
        <v>0.39300000000000002</v>
      </c>
      <c r="I193" s="45">
        <v>0.39500000000000002</v>
      </c>
      <c r="J193" s="45">
        <v>0.36799999999999999</v>
      </c>
      <c r="K193" s="46" t="s">
        <v>75</v>
      </c>
      <c r="L193" s="46" t="s">
        <v>119</v>
      </c>
      <c r="M193" s="36"/>
      <c r="N193" s="47">
        <v>3054</v>
      </c>
      <c r="O193" s="47">
        <v>5580</v>
      </c>
      <c r="P193" s="36" t="s">
        <v>37</v>
      </c>
      <c r="Q193" s="36"/>
      <c r="R193" s="36" t="s">
        <v>41</v>
      </c>
      <c r="S193" s="34" t="s">
        <v>89</v>
      </c>
      <c r="T193" s="34" t="s">
        <v>89</v>
      </c>
    </row>
    <row r="194" spans="1:20">
      <c r="A194" s="29"/>
      <c r="B194" s="59" t="s">
        <v>78</v>
      </c>
      <c r="C194" s="49">
        <v>3</v>
      </c>
      <c r="D194" s="84">
        <f>C194/C193</f>
        <v>1.7241379310344827E-3</v>
      </c>
      <c r="E194" s="85">
        <v>36</v>
      </c>
      <c r="F194" s="44"/>
      <c r="G194" s="80">
        <v>0.44400000000000001</v>
      </c>
      <c r="H194" s="80"/>
      <c r="I194" s="80"/>
      <c r="J194" s="80"/>
      <c r="K194" s="82"/>
      <c r="L194" s="82"/>
      <c r="M194" s="82"/>
      <c r="N194" s="83"/>
      <c r="O194" s="83"/>
      <c r="P194" s="82"/>
      <c r="Q194" s="82"/>
      <c r="R194" s="82"/>
      <c r="S194" s="35"/>
      <c r="T194" s="35"/>
    </row>
    <row r="195" spans="1:20">
      <c r="A195" s="29"/>
      <c r="B195" s="59" t="s">
        <v>79</v>
      </c>
      <c r="C195" s="49">
        <v>51</v>
      </c>
      <c r="D195" s="84">
        <f>C195/C193</f>
        <v>2.9310344827586206E-2</v>
      </c>
      <c r="E195" s="85">
        <v>34</v>
      </c>
      <c r="F195" s="44">
        <f t="shared" si="5"/>
        <v>0.66666666666666663</v>
      </c>
      <c r="G195" s="86">
        <v>0.25</v>
      </c>
      <c r="H195" s="86">
        <v>0.41199999999999998</v>
      </c>
      <c r="I195" s="86"/>
      <c r="J195" s="86"/>
      <c r="K195" s="82"/>
      <c r="L195" s="82"/>
      <c r="M195" s="82"/>
      <c r="N195" s="83"/>
      <c r="O195" s="83"/>
      <c r="P195" s="82"/>
      <c r="Q195" s="82"/>
      <c r="R195" s="82"/>
      <c r="S195" s="35"/>
      <c r="T195" s="35"/>
    </row>
    <row r="196" spans="1:20">
      <c r="A196" s="29"/>
      <c r="B196" s="59" t="s">
        <v>80</v>
      </c>
      <c r="C196" s="49">
        <v>23</v>
      </c>
      <c r="D196" s="84">
        <f>C196/C193</f>
        <v>1.3218390804597701E-2</v>
      </c>
      <c r="E196" s="85">
        <v>16</v>
      </c>
      <c r="F196" s="44">
        <f t="shared" si="5"/>
        <v>0.69565217391304346</v>
      </c>
      <c r="G196" s="82"/>
      <c r="H196" s="82">
        <v>37.5</v>
      </c>
      <c r="I196" s="82"/>
      <c r="J196" s="82"/>
      <c r="K196" s="82"/>
      <c r="L196" s="82"/>
      <c r="M196" s="82"/>
      <c r="N196" s="83"/>
      <c r="O196" s="83"/>
      <c r="P196" s="82"/>
      <c r="Q196" s="82"/>
      <c r="R196" s="82"/>
      <c r="S196" s="35"/>
      <c r="T196" s="35"/>
    </row>
    <row r="197" spans="1:20">
      <c r="A197" s="29"/>
      <c r="B197" s="59" t="s">
        <v>83</v>
      </c>
      <c r="C197" s="49">
        <v>17</v>
      </c>
      <c r="D197" s="84">
        <f>C197/C193</f>
        <v>9.7701149425287355E-3</v>
      </c>
      <c r="E197" s="85">
        <v>6</v>
      </c>
      <c r="F197" s="44">
        <f t="shared" si="5"/>
        <v>0.35294117647058826</v>
      </c>
      <c r="G197" s="82"/>
      <c r="H197" s="82"/>
      <c r="I197" s="82"/>
      <c r="J197" s="82"/>
      <c r="K197" s="82"/>
      <c r="L197" s="82"/>
      <c r="M197" s="82"/>
      <c r="N197" s="83"/>
      <c r="O197" s="83"/>
      <c r="P197" s="82"/>
      <c r="Q197" s="82"/>
      <c r="R197" s="82"/>
      <c r="S197" s="35"/>
      <c r="T197" s="35"/>
    </row>
    <row r="198" spans="1:20">
      <c r="A198" s="29"/>
      <c r="B198" s="59" t="s">
        <v>81</v>
      </c>
      <c r="C198" s="49">
        <v>702</v>
      </c>
      <c r="D198" s="84">
        <f>C198/C193</f>
        <v>0.40344827586206894</v>
      </c>
      <c r="E198" s="85">
        <v>515</v>
      </c>
      <c r="F198" s="44">
        <f t="shared" si="5"/>
        <v>0.73361823361823364</v>
      </c>
      <c r="G198" s="80">
        <v>0.69099999999999995</v>
      </c>
      <c r="H198" s="80">
        <v>0.38800000000000001</v>
      </c>
      <c r="I198" s="80"/>
      <c r="J198" s="80"/>
      <c r="K198" s="82"/>
      <c r="L198" s="82"/>
      <c r="M198" s="82"/>
      <c r="N198" s="83"/>
      <c r="O198" s="83"/>
      <c r="P198" s="82"/>
      <c r="Q198" s="82"/>
      <c r="R198" s="82"/>
      <c r="S198" s="35"/>
      <c r="T198" s="35"/>
    </row>
    <row r="199" spans="1:20" ht="30">
      <c r="A199" s="30"/>
      <c r="B199" s="59" t="s">
        <v>82</v>
      </c>
      <c r="C199" s="49">
        <v>935</v>
      </c>
      <c r="D199" s="84">
        <f>C199/C193</f>
        <v>0.53735632183908044</v>
      </c>
      <c r="E199" s="85">
        <v>334</v>
      </c>
      <c r="F199" s="44">
        <f t="shared" si="5"/>
        <v>0.35721925133689841</v>
      </c>
      <c r="G199" s="80">
        <v>0.65300000000000002</v>
      </c>
      <c r="H199" s="80">
        <v>0.40200000000000002</v>
      </c>
      <c r="I199" s="80"/>
      <c r="J199" s="80"/>
      <c r="K199" s="82"/>
      <c r="L199" s="82"/>
      <c r="M199" s="82"/>
      <c r="N199" s="83"/>
      <c r="O199" s="83"/>
      <c r="P199" s="82"/>
      <c r="Q199" s="82"/>
      <c r="R199" s="82"/>
      <c r="S199" s="35"/>
      <c r="T199" s="35"/>
    </row>
    <row r="200" spans="1:20">
      <c r="A200" s="3"/>
      <c r="B200" s="74"/>
      <c r="C200" s="75"/>
      <c r="D200" s="38"/>
      <c r="E200" s="87"/>
      <c r="F200" s="88"/>
      <c r="G200" s="77"/>
      <c r="H200" s="77"/>
      <c r="I200" s="77"/>
      <c r="J200" s="77"/>
      <c r="K200" s="38"/>
      <c r="L200" s="38"/>
      <c r="M200" s="38"/>
      <c r="N200" s="79"/>
      <c r="O200" s="79"/>
      <c r="P200" s="38"/>
      <c r="Q200" s="38"/>
      <c r="R200" s="38"/>
      <c r="S200" s="38"/>
      <c r="T200" s="38"/>
    </row>
    <row r="201" spans="1:20">
      <c r="A201" s="31" t="s">
        <v>125</v>
      </c>
      <c r="B201" s="40"/>
      <c r="C201" s="40"/>
      <c r="D201" s="40"/>
      <c r="E201" s="14"/>
      <c r="F201" s="16"/>
      <c r="G201" s="40"/>
      <c r="H201" s="40"/>
      <c r="I201" s="40"/>
      <c r="J201" s="40"/>
      <c r="K201" s="40"/>
      <c r="L201" s="40"/>
      <c r="M201" s="40"/>
      <c r="N201" s="89"/>
      <c r="O201" s="89"/>
      <c r="P201" s="40"/>
      <c r="Q201" s="40"/>
      <c r="R201" s="40"/>
      <c r="S201" s="40"/>
      <c r="T201" s="40"/>
    </row>
    <row r="202" spans="1:20" ht="105">
      <c r="A202" s="31"/>
      <c r="B202" s="90" t="s">
        <v>122</v>
      </c>
      <c r="C202" s="42">
        <v>292</v>
      </c>
      <c r="D202" s="42"/>
      <c r="E202" s="43">
        <v>48</v>
      </c>
      <c r="F202" s="44">
        <f t="shared" ref="F202:F222" si="6">E202/C202</f>
        <v>0.16438356164383561</v>
      </c>
      <c r="G202" s="45">
        <v>0.91</v>
      </c>
      <c r="H202" s="45"/>
      <c r="I202" s="45"/>
      <c r="J202" s="45"/>
      <c r="K202" s="46" t="s">
        <v>131</v>
      </c>
      <c r="L202" s="46" t="s">
        <v>132</v>
      </c>
      <c r="M202" s="36" t="s">
        <v>132</v>
      </c>
      <c r="N202" s="47" t="s">
        <v>168</v>
      </c>
      <c r="O202" s="47"/>
      <c r="P202" s="36" t="s">
        <v>133</v>
      </c>
      <c r="Q202" s="36" t="s">
        <v>169</v>
      </c>
      <c r="R202" s="36"/>
      <c r="S202" s="34" t="s">
        <v>110</v>
      </c>
      <c r="T202" s="34"/>
    </row>
    <row r="203" spans="1:20">
      <c r="A203" s="31"/>
      <c r="B203" s="48" t="s">
        <v>78</v>
      </c>
      <c r="C203" s="49">
        <v>22</v>
      </c>
      <c r="D203" s="50">
        <f>C203/C202</f>
        <v>7.5342465753424653E-2</v>
      </c>
      <c r="E203" s="51">
        <v>0</v>
      </c>
      <c r="F203" s="44">
        <f t="shared" si="6"/>
        <v>0</v>
      </c>
      <c r="G203" s="52"/>
      <c r="H203" s="52"/>
      <c r="I203" s="52"/>
      <c r="J203" s="52"/>
      <c r="K203" s="53"/>
      <c r="L203" s="53"/>
      <c r="M203" s="54"/>
      <c r="N203" s="55"/>
      <c r="O203" s="55"/>
      <c r="P203" s="54"/>
      <c r="Q203" s="54"/>
      <c r="R203" s="54"/>
      <c r="S203" s="35"/>
      <c r="T203" s="35"/>
    </row>
    <row r="204" spans="1:20">
      <c r="A204" s="31"/>
      <c r="B204" s="48" t="s">
        <v>79</v>
      </c>
      <c r="C204" s="49">
        <v>1</v>
      </c>
      <c r="D204" s="50">
        <f>C204/C202</f>
        <v>3.4246575342465752E-3</v>
      </c>
      <c r="E204" s="51">
        <v>1</v>
      </c>
      <c r="F204" s="44">
        <f t="shared" si="6"/>
        <v>1</v>
      </c>
      <c r="G204" s="52"/>
      <c r="H204" s="52"/>
      <c r="I204" s="52"/>
      <c r="J204" s="52"/>
      <c r="K204" s="53"/>
      <c r="L204" s="53"/>
      <c r="M204" s="54"/>
      <c r="N204" s="55"/>
      <c r="O204" s="55"/>
      <c r="P204" s="54"/>
      <c r="Q204" s="54"/>
      <c r="R204" s="54"/>
      <c r="S204" s="35"/>
      <c r="T204" s="35"/>
    </row>
    <row r="205" spans="1:20">
      <c r="A205" s="31"/>
      <c r="B205" s="48" t="s">
        <v>80</v>
      </c>
      <c r="C205" s="49">
        <v>1</v>
      </c>
      <c r="D205" s="50">
        <f>C205/C202</f>
        <v>3.4246575342465752E-3</v>
      </c>
      <c r="E205" s="51">
        <v>1</v>
      </c>
      <c r="F205" s="44">
        <f t="shared" si="6"/>
        <v>1</v>
      </c>
      <c r="G205" s="52"/>
      <c r="H205" s="52"/>
      <c r="I205" s="52"/>
      <c r="J205" s="52"/>
      <c r="K205" s="53"/>
      <c r="L205" s="53"/>
      <c r="M205" s="54"/>
      <c r="N205" s="55"/>
      <c r="O205" s="55"/>
      <c r="P205" s="54"/>
      <c r="Q205" s="54"/>
      <c r="R205" s="54"/>
      <c r="S205" s="35"/>
      <c r="T205" s="35"/>
    </row>
    <row r="206" spans="1:20">
      <c r="A206" s="31"/>
      <c r="B206" s="48" t="s">
        <v>83</v>
      </c>
      <c r="C206" s="49">
        <v>2</v>
      </c>
      <c r="D206" s="50">
        <f>C206/C202</f>
        <v>6.8493150684931503E-3</v>
      </c>
      <c r="E206" s="51">
        <v>0</v>
      </c>
      <c r="F206" s="44">
        <f t="shared" si="6"/>
        <v>0</v>
      </c>
      <c r="G206" s="52"/>
      <c r="H206" s="52"/>
      <c r="I206" s="52"/>
      <c r="J206" s="52"/>
      <c r="K206" s="53"/>
      <c r="L206" s="53"/>
      <c r="M206" s="54"/>
      <c r="N206" s="55"/>
      <c r="O206" s="55"/>
      <c r="P206" s="54"/>
      <c r="Q206" s="54"/>
      <c r="R206" s="54"/>
      <c r="S206" s="35"/>
      <c r="T206" s="35"/>
    </row>
    <row r="207" spans="1:20">
      <c r="A207" s="31"/>
      <c r="B207" s="48" t="s">
        <v>81</v>
      </c>
      <c r="C207" s="49">
        <v>36</v>
      </c>
      <c r="D207" s="50">
        <f>C207/C202</f>
        <v>0.12328767123287671</v>
      </c>
      <c r="E207" s="51">
        <v>7</v>
      </c>
      <c r="F207" s="44">
        <f t="shared" si="6"/>
        <v>0.19444444444444445</v>
      </c>
      <c r="G207" s="52"/>
      <c r="H207" s="52"/>
      <c r="I207" s="52"/>
      <c r="J207" s="52"/>
      <c r="K207" s="53"/>
      <c r="L207" s="53"/>
      <c r="M207" s="54"/>
      <c r="N207" s="55"/>
      <c r="O207" s="55"/>
      <c r="P207" s="54"/>
      <c r="Q207" s="54"/>
      <c r="R207" s="54"/>
      <c r="S207" s="35"/>
      <c r="T207" s="35"/>
    </row>
    <row r="208" spans="1:20" ht="122.25" customHeight="1">
      <c r="A208" s="31"/>
      <c r="B208" s="59" t="s">
        <v>82</v>
      </c>
      <c r="C208" s="49">
        <v>230</v>
      </c>
      <c r="D208" s="91">
        <f>C208/C202</f>
        <v>0.78767123287671237</v>
      </c>
      <c r="E208" s="57">
        <v>39</v>
      </c>
      <c r="F208" s="44">
        <f t="shared" si="6"/>
        <v>0.16956521739130434</v>
      </c>
      <c r="G208" s="52"/>
      <c r="H208" s="52"/>
      <c r="I208" s="52"/>
      <c r="J208" s="52"/>
      <c r="K208" s="54"/>
      <c r="L208" s="54"/>
      <c r="M208" s="54"/>
      <c r="N208" s="55"/>
      <c r="O208" s="55"/>
      <c r="P208" s="54"/>
      <c r="Q208" s="54"/>
      <c r="R208" s="54"/>
      <c r="S208" s="35"/>
      <c r="T208" s="35"/>
    </row>
    <row r="209" spans="1:20" ht="60">
      <c r="A209" s="31"/>
      <c r="B209" s="41" t="s">
        <v>123</v>
      </c>
      <c r="C209" s="92">
        <v>3436</v>
      </c>
      <c r="D209" s="42"/>
      <c r="E209" s="43">
        <v>375</v>
      </c>
      <c r="F209" s="44">
        <f t="shared" si="6"/>
        <v>0.10913853317811409</v>
      </c>
      <c r="G209" s="45">
        <v>0.77</v>
      </c>
      <c r="H209" s="45">
        <f>2632/C209</f>
        <v>0.7660069848661234</v>
      </c>
      <c r="I209" s="45"/>
      <c r="J209" s="45"/>
      <c r="K209" s="46" t="s">
        <v>131</v>
      </c>
      <c r="L209" s="46" t="s">
        <v>132</v>
      </c>
      <c r="M209" s="36" t="s">
        <v>132</v>
      </c>
      <c r="N209" s="47">
        <v>5100</v>
      </c>
      <c r="O209" s="47">
        <v>11100</v>
      </c>
      <c r="P209" s="36" t="s">
        <v>133</v>
      </c>
      <c r="Q209" s="36" t="s">
        <v>170</v>
      </c>
      <c r="R209" s="36"/>
      <c r="S209" s="34" t="s">
        <v>130</v>
      </c>
      <c r="T209" s="34"/>
    </row>
    <row r="210" spans="1:20">
      <c r="A210" s="31"/>
      <c r="B210" s="48" t="s">
        <v>78</v>
      </c>
      <c r="C210" s="49">
        <v>102</v>
      </c>
      <c r="D210" s="50">
        <f>C210/C209</f>
        <v>2.9685681024447033E-2</v>
      </c>
      <c r="E210" s="51">
        <v>20</v>
      </c>
      <c r="F210" s="50">
        <f t="shared" si="6"/>
        <v>0.19607843137254902</v>
      </c>
      <c r="G210" s="52"/>
      <c r="H210" s="52">
        <f>60/C210</f>
        <v>0.58823529411764708</v>
      </c>
      <c r="I210" s="52"/>
      <c r="J210" s="52"/>
      <c r="K210" s="53"/>
      <c r="L210" s="53"/>
      <c r="M210" s="54"/>
      <c r="N210" s="55"/>
      <c r="O210" s="55"/>
      <c r="P210" s="54"/>
      <c r="Q210" s="54"/>
      <c r="R210" s="54"/>
      <c r="S210" s="35"/>
      <c r="T210" s="35"/>
    </row>
    <row r="211" spans="1:20">
      <c r="A211" s="31"/>
      <c r="B211" s="48" t="s">
        <v>79</v>
      </c>
      <c r="C211" s="49">
        <v>394</v>
      </c>
      <c r="D211" s="50">
        <f>C211/C209</f>
        <v>0.11466821885913853</v>
      </c>
      <c r="E211" s="51">
        <v>75</v>
      </c>
      <c r="F211" s="50">
        <f t="shared" si="6"/>
        <v>0.19035532994923857</v>
      </c>
      <c r="G211" s="52"/>
      <c r="H211" s="52">
        <f>175/C211</f>
        <v>0.44416243654822335</v>
      </c>
      <c r="I211" s="52"/>
      <c r="J211" s="52"/>
      <c r="K211" s="53"/>
      <c r="L211" s="53"/>
      <c r="M211" s="54"/>
      <c r="N211" s="55"/>
      <c r="O211" s="55"/>
      <c r="P211" s="54"/>
      <c r="Q211" s="54"/>
      <c r="R211" s="54"/>
      <c r="S211" s="35"/>
      <c r="T211" s="35"/>
    </row>
    <row r="212" spans="1:20">
      <c r="A212" s="31"/>
      <c r="B212" s="48" t="s">
        <v>80</v>
      </c>
      <c r="C212" s="49">
        <v>47</v>
      </c>
      <c r="D212" s="50">
        <f>C212/C209</f>
        <v>1.3678696158323633E-2</v>
      </c>
      <c r="E212" s="51">
        <v>11</v>
      </c>
      <c r="F212" s="50">
        <f t="shared" si="6"/>
        <v>0.23404255319148937</v>
      </c>
      <c r="G212" s="52"/>
      <c r="H212" s="52">
        <f>35/C212</f>
        <v>0.74468085106382975</v>
      </c>
      <c r="I212" s="52"/>
      <c r="J212" s="52"/>
      <c r="K212" s="53"/>
      <c r="L212" s="53"/>
      <c r="M212" s="54"/>
      <c r="N212" s="55"/>
      <c r="O212" s="55"/>
      <c r="P212" s="54"/>
      <c r="Q212" s="54"/>
      <c r="R212" s="54"/>
      <c r="S212" s="35"/>
      <c r="T212" s="35"/>
    </row>
    <row r="213" spans="1:20">
      <c r="A213" s="31"/>
      <c r="B213" s="48" t="s">
        <v>83</v>
      </c>
      <c r="C213" s="49">
        <v>82</v>
      </c>
      <c r="D213" s="50">
        <f>C213/C209</f>
        <v>2.3864959254947613E-2</v>
      </c>
      <c r="E213" s="51">
        <v>12</v>
      </c>
      <c r="F213" s="50">
        <f t="shared" si="6"/>
        <v>0.14634146341463414</v>
      </c>
      <c r="G213" s="52"/>
      <c r="H213" s="52">
        <f>45/C213</f>
        <v>0.54878048780487809</v>
      </c>
      <c r="I213" s="52"/>
      <c r="J213" s="52"/>
      <c r="K213" s="53"/>
      <c r="L213" s="53"/>
      <c r="M213" s="54"/>
      <c r="N213" s="55"/>
      <c r="O213" s="55"/>
      <c r="P213" s="54"/>
      <c r="Q213" s="54"/>
      <c r="R213" s="54"/>
      <c r="S213" s="35"/>
      <c r="T213" s="35"/>
    </row>
    <row r="214" spans="1:20">
      <c r="A214" s="31"/>
      <c r="B214" s="48" t="s">
        <v>81</v>
      </c>
      <c r="C214" s="49">
        <v>841</v>
      </c>
      <c r="D214" s="50">
        <f>C214/C209</f>
        <v>0.24476135040745053</v>
      </c>
      <c r="E214" s="51">
        <v>131</v>
      </c>
      <c r="F214" s="50">
        <f t="shared" si="6"/>
        <v>0.15576694411414982</v>
      </c>
      <c r="G214" s="52"/>
      <c r="H214" s="52">
        <f>625/C214</f>
        <v>0.74316290130796669</v>
      </c>
      <c r="I214" s="52"/>
      <c r="J214" s="52"/>
      <c r="K214" s="53"/>
      <c r="L214" s="53"/>
      <c r="M214" s="54"/>
      <c r="N214" s="55"/>
      <c r="O214" s="55"/>
      <c r="P214" s="54"/>
      <c r="Q214" s="54"/>
      <c r="R214" s="54"/>
      <c r="S214" s="35"/>
      <c r="T214" s="35"/>
    </row>
    <row r="215" spans="1:20" ht="30">
      <c r="A215" s="31"/>
      <c r="B215" s="48" t="s">
        <v>82</v>
      </c>
      <c r="C215" s="49">
        <v>1813</v>
      </c>
      <c r="D215" s="91">
        <f>C215/C209</f>
        <v>0.52764842840512227</v>
      </c>
      <c r="E215" s="57">
        <v>126</v>
      </c>
      <c r="F215" s="91">
        <f t="shared" si="6"/>
        <v>6.9498069498069498E-2</v>
      </c>
      <c r="G215" s="52"/>
      <c r="H215" s="52">
        <f>1660/C215</f>
        <v>0.91560948703805844</v>
      </c>
      <c r="I215" s="52"/>
      <c r="J215" s="52"/>
      <c r="K215" s="54"/>
      <c r="L215" s="54"/>
      <c r="M215" s="54"/>
      <c r="N215" s="55"/>
      <c r="O215" s="55"/>
      <c r="P215" s="54"/>
      <c r="Q215" s="54"/>
      <c r="R215" s="54"/>
      <c r="S215" s="35"/>
      <c r="T215" s="35"/>
    </row>
    <row r="216" spans="1:20" ht="90">
      <c r="A216" s="31"/>
      <c r="B216" s="90" t="s">
        <v>124</v>
      </c>
      <c r="C216" s="42">
        <v>672</v>
      </c>
      <c r="D216" s="42"/>
      <c r="E216" s="43">
        <v>220</v>
      </c>
      <c r="F216" s="44">
        <f t="shared" si="6"/>
        <v>0.32738095238095238</v>
      </c>
      <c r="G216" s="45">
        <v>0.76</v>
      </c>
      <c r="H216" s="45"/>
      <c r="I216" s="45"/>
      <c r="J216" s="45"/>
      <c r="K216" s="46" t="s">
        <v>131</v>
      </c>
      <c r="L216" s="46" t="s">
        <v>132</v>
      </c>
      <c r="M216" s="36" t="s">
        <v>132</v>
      </c>
      <c r="N216" s="47"/>
      <c r="O216" s="47"/>
      <c r="P216" s="36" t="s">
        <v>133</v>
      </c>
      <c r="Q216" s="36" t="s">
        <v>171</v>
      </c>
      <c r="R216" s="36"/>
      <c r="S216" s="34" t="s">
        <v>130</v>
      </c>
      <c r="T216" s="34"/>
    </row>
    <row r="217" spans="1:20">
      <c r="A217" s="31"/>
      <c r="B217" s="48" t="s">
        <v>78</v>
      </c>
      <c r="C217" s="49">
        <v>28</v>
      </c>
      <c r="D217" s="50">
        <f>C217/C216</f>
        <v>4.1666666666666664E-2</v>
      </c>
      <c r="E217" s="51">
        <v>10</v>
      </c>
      <c r="F217" s="50">
        <f t="shared" si="6"/>
        <v>0.35714285714285715</v>
      </c>
      <c r="G217" s="52"/>
      <c r="H217" s="52"/>
      <c r="I217" s="52"/>
      <c r="J217" s="52"/>
      <c r="K217" s="53"/>
      <c r="L217" s="53"/>
      <c r="M217" s="54"/>
      <c r="N217" s="55"/>
      <c r="O217" s="55"/>
      <c r="P217" s="54"/>
      <c r="Q217" s="54"/>
      <c r="R217" s="54"/>
      <c r="S217" s="35"/>
      <c r="T217" s="35"/>
    </row>
    <row r="218" spans="1:20">
      <c r="A218" s="31"/>
      <c r="B218" s="48" t="s">
        <v>79</v>
      </c>
      <c r="C218" s="49">
        <v>134</v>
      </c>
      <c r="D218" s="50">
        <f>C218/C216</f>
        <v>0.19940476190476192</v>
      </c>
      <c r="E218" s="51">
        <v>95</v>
      </c>
      <c r="F218" s="50">
        <f t="shared" si="6"/>
        <v>0.70895522388059706</v>
      </c>
      <c r="G218" s="52"/>
      <c r="H218" s="52"/>
      <c r="I218" s="52"/>
      <c r="J218" s="52"/>
      <c r="K218" s="53"/>
      <c r="L218" s="53"/>
      <c r="M218" s="54"/>
      <c r="N218" s="55"/>
      <c r="O218" s="55"/>
      <c r="P218" s="54"/>
      <c r="Q218" s="54"/>
      <c r="R218" s="54"/>
      <c r="S218" s="35"/>
      <c r="T218" s="35"/>
    </row>
    <row r="219" spans="1:20">
      <c r="A219" s="31"/>
      <c r="B219" s="48" t="s">
        <v>80</v>
      </c>
      <c r="C219" s="49">
        <v>8</v>
      </c>
      <c r="D219" s="50">
        <f>C219/C216</f>
        <v>1.1904761904761904E-2</v>
      </c>
      <c r="E219" s="51">
        <v>2</v>
      </c>
      <c r="F219" s="50">
        <f t="shared" si="6"/>
        <v>0.25</v>
      </c>
      <c r="G219" s="52"/>
      <c r="H219" s="52"/>
      <c r="I219" s="52"/>
      <c r="J219" s="52"/>
      <c r="K219" s="53"/>
      <c r="L219" s="53"/>
      <c r="M219" s="54"/>
      <c r="N219" s="55"/>
      <c r="O219" s="55"/>
      <c r="P219" s="54"/>
      <c r="Q219" s="54"/>
      <c r="R219" s="54"/>
      <c r="S219" s="35"/>
      <c r="T219" s="35"/>
    </row>
    <row r="220" spans="1:20">
      <c r="A220" s="31"/>
      <c r="B220" s="48" t="s">
        <v>83</v>
      </c>
      <c r="C220" s="49">
        <v>32</v>
      </c>
      <c r="D220" s="50">
        <f>C220/C216</f>
        <v>4.7619047619047616E-2</v>
      </c>
      <c r="E220" s="51">
        <v>13</v>
      </c>
      <c r="F220" s="50">
        <f t="shared" si="6"/>
        <v>0.40625</v>
      </c>
      <c r="G220" s="52"/>
      <c r="H220" s="52"/>
      <c r="I220" s="52"/>
      <c r="J220" s="52"/>
      <c r="K220" s="53"/>
      <c r="L220" s="53"/>
      <c r="M220" s="54"/>
      <c r="N220" s="55"/>
      <c r="O220" s="55"/>
      <c r="P220" s="54"/>
      <c r="Q220" s="54"/>
      <c r="R220" s="54"/>
      <c r="S220" s="35"/>
      <c r="T220" s="35"/>
    </row>
    <row r="221" spans="1:20">
      <c r="A221" s="31"/>
      <c r="B221" s="48" t="s">
        <v>81</v>
      </c>
      <c r="C221" s="49">
        <v>104</v>
      </c>
      <c r="D221" s="50">
        <f>C221/C216</f>
        <v>0.15476190476190477</v>
      </c>
      <c r="E221" s="51">
        <v>45</v>
      </c>
      <c r="F221" s="50">
        <f t="shared" si="6"/>
        <v>0.43269230769230771</v>
      </c>
      <c r="G221" s="52"/>
      <c r="H221" s="52"/>
      <c r="I221" s="52"/>
      <c r="J221" s="52"/>
      <c r="K221" s="53"/>
      <c r="L221" s="53"/>
      <c r="M221" s="54"/>
      <c r="N221" s="55"/>
      <c r="O221" s="55"/>
      <c r="P221" s="54"/>
      <c r="Q221" s="54"/>
      <c r="R221" s="54"/>
      <c r="S221" s="35"/>
      <c r="T221" s="35"/>
    </row>
    <row r="222" spans="1:20" ht="30">
      <c r="A222" s="31"/>
      <c r="B222" s="48" t="s">
        <v>82</v>
      </c>
      <c r="C222" s="49">
        <v>366</v>
      </c>
      <c r="D222" s="91">
        <f>C222/C216</f>
        <v>0.5446428571428571</v>
      </c>
      <c r="E222" s="57">
        <v>55</v>
      </c>
      <c r="F222" s="91">
        <f t="shared" si="6"/>
        <v>0.15027322404371585</v>
      </c>
      <c r="G222" s="52"/>
      <c r="H222" s="52"/>
      <c r="I222" s="52"/>
      <c r="J222" s="52"/>
      <c r="K222" s="54"/>
      <c r="L222" s="54"/>
      <c r="M222" s="54"/>
      <c r="N222" s="55"/>
      <c r="O222" s="55"/>
      <c r="P222" s="54"/>
      <c r="Q222" s="54"/>
      <c r="R222" s="54"/>
      <c r="S222" s="35"/>
      <c r="T222" s="35"/>
    </row>
  </sheetData>
  <mergeCells count="66">
    <mergeCell ref="S186:S192"/>
    <mergeCell ref="T186:T192"/>
    <mergeCell ref="T130:T136"/>
    <mergeCell ref="S144:S150"/>
    <mergeCell ref="T144:T150"/>
    <mergeCell ref="S172:S178"/>
    <mergeCell ref="T172:T178"/>
    <mergeCell ref="T165:T171"/>
    <mergeCell ref="S137:S143"/>
    <mergeCell ref="S151:S157"/>
    <mergeCell ref="T151:T157"/>
    <mergeCell ref="S158:S164"/>
    <mergeCell ref="S179:S185"/>
    <mergeCell ref="T179:T185"/>
    <mergeCell ref="T52:T58"/>
    <mergeCell ref="S80:S86"/>
    <mergeCell ref="T80:T86"/>
    <mergeCell ref="T66:T72"/>
    <mergeCell ref="S66:S72"/>
    <mergeCell ref="S59:S65"/>
    <mergeCell ref="T59:T65"/>
    <mergeCell ref="T73:T79"/>
    <mergeCell ref="T2:T8"/>
    <mergeCell ref="T38:T44"/>
    <mergeCell ref="S45:S51"/>
    <mergeCell ref="T45:T51"/>
    <mergeCell ref="S9:S15"/>
    <mergeCell ref="T9:T15"/>
    <mergeCell ref="S17:S23"/>
    <mergeCell ref="T17:T23"/>
    <mergeCell ref="S24:S30"/>
    <mergeCell ref="T24:T30"/>
    <mergeCell ref="S31:S37"/>
    <mergeCell ref="T31:T37"/>
    <mergeCell ref="A2:A58"/>
    <mergeCell ref="A201:A222"/>
    <mergeCell ref="S202:S208"/>
    <mergeCell ref="S38:S44"/>
    <mergeCell ref="S52:S58"/>
    <mergeCell ref="S73:S79"/>
    <mergeCell ref="S87:S93"/>
    <mergeCell ref="S109:S115"/>
    <mergeCell ref="S2:S8"/>
    <mergeCell ref="S95:S101"/>
    <mergeCell ref="S130:S136"/>
    <mergeCell ref="S193:S199"/>
    <mergeCell ref="S165:S171"/>
    <mergeCell ref="S209:S215"/>
    <mergeCell ref="S116:S122"/>
    <mergeCell ref="S102:S108"/>
    <mergeCell ref="S123:S129"/>
    <mergeCell ref="S216:S222"/>
    <mergeCell ref="T216:T222"/>
    <mergeCell ref="A59:A94"/>
    <mergeCell ref="A95:A199"/>
    <mergeCell ref="T137:T143"/>
    <mergeCell ref="T158:T164"/>
    <mergeCell ref="T202:T208"/>
    <mergeCell ref="T209:T215"/>
    <mergeCell ref="T87:T93"/>
    <mergeCell ref="T116:T122"/>
    <mergeCell ref="T109:T115"/>
    <mergeCell ref="T95:T101"/>
    <mergeCell ref="T102:T108"/>
    <mergeCell ref="T123:T129"/>
    <mergeCell ref="T193:T199"/>
  </mergeCells>
  <pageMargins left="0.21" right="0.17" top="0.75" bottom="0.75" header="0.3" footer="0.3"/>
  <pageSetup paperSize="5" scale="55" fitToHeight="0" orientation="landscape" r:id="rId1"/>
  <headerFooter>
    <oddFooter>&amp;CPage &amp;P of &amp;N&amp;RLast updated &amp;D</oddFooter>
  </headerFooter>
  <rowBreaks count="8" manualBreakCount="8">
    <brk id="16" max="19" man="1"/>
    <brk id="37" max="19" man="1"/>
    <brk id="58" max="19" man="1"/>
    <brk id="79" max="19" man="1"/>
    <brk id="101" max="19" man="1"/>
    <brk id="129" max="19" man="1"/>
    <brk id="164" max="19" man="1"/>
    <brk id="192" max="19" man="1"/>
  </rowBreaks>
</worksheet>
</file>

<file path=xl/worksheets/sheet2.xml><?xml version="1.0" encoding="utf-8"?>
<worksheet xmlns="http://schemas.openxmlformats.org/spreadsheetml/2006/main" xmlns:r="http://schemas.openxmlformats.org/officeDocument/2006/relationships">
  <dimension ref="A1:L178"/>
  <sheetViews>
    <sheetView workbookViewId="0">
      <selection activeCell="J15" sqref="J15"/>
    </sheetView>
  </sheetViews>
  <sheetFormatPr defaultRowHeight="15"/>
  <cols>
    <col min="1" max="1" width="26.28515625" style="19" customWidth="1"/>
    <col min="2" max="16384" width="9.140625" style="4"/>
  </cols>
  <sheetData>
    <row r="1" spans="1:3">
      <c r="A1" s="19" t="s">
        <v>172</v>
      </c>
      <c r="B1" s="22" t="s">
        <v>185</v>
      </c>
    </row>
    <row r="2" spans="1:3">
      <c r="B2" s="22" t="s">
        <v>198</v>
      </c>
    </row>
    <row r="4" spans="1:3">
      <c r="A4" s="19" t="s">
        <v>174</v>
      </c>
      <c r="B4" s="4" t="s">
        <v>188</v>
      </c>
    </row>
    <row r="6" spans="1:3">
      <c r="A6" s="19" t="s">
        <v>173</v>
      </c>
      <c r="B6" s="4" t="s">
        <v>179</v>
      </c>
    </row>
    <row r="7" spans="1:3">
      <c r="B7" s="4" t="s">
        <v>181</v>
      </c>
    </row>
    <row r="9" spans="1:3">
      <c r="A9" s="19" t="s">
        <v>175</v>
      </c>
      <c r="B9" t="s">
        <v>183</v>
      </c>
    </row>
    <row r="10" spans="1:3">
      <c r="B10" t="s">
        <v>184</v>
      </c>
    </row>
    <row r="11" spans="1:3">
      <c r="B11" s="4" t="s">
        <v>182</v>
      </c>
    </row>
    <row r="13" spans="1:3">
      <c r="A13" s="20" t="s">
        <v>135</v>
      </c>
      <c r="B13" s="23" t="s">
        <v>187</v>
      </c>
    </row>
    <row r="14" spans="1:3">
      <c r="A14" s="20"/>
      <c r="B14" s="18" t="s">
        <v>186</v>
      </c>
      <c r="C14" s="6"/>
    </row>
    <row r="15" spans="1:3">
      <c r="A15" s="20"/>
      <c r="B15" s="5"/>
      <c r="C15" s="6"/>
    </row>
    <row r="16" spans="1:3">
      <c r="A16" s="19" t="s">
        <v>191</v>
      </c>
      <c r="B16" s="24" t="s">
        <v>200</v>
      </c>
      <c r="C16" s="6"/>
    </row>
    <row r="17" spans="1:12">
      <c r="B17" s="5"/>
      <c r="C17" s="6"/>
    </row>
    <row r="18" spans="1:12">
      <c r="A18" s="19" t="s">
        <v>176</v>
      </c>
      <c r="B18" s="24" t="s">
        <v>200</v>
      </c>
      <c r="C18" s="6"/>
    </row>
    <row r="19" spans="1:12">
      <c r="B19" s="5"/>
      <c r="C19" s="6"/>
    </row>
    <row r="20" spans="1:12" ht="30" customHeight="1">
      <c r="A20" s="19" t="s">
        <v>177</v>
      </c>
      <c r="B20" s="32" t="s">
        <v>197</v>
      </c>
      <c r="C20" s="32"/>
      <c r="D20" s="32"/>
      <c r="E20" s="32"/>
      <c r="F20" s="32"/>
      <c r="G20" s="32"/>
      <c r="H20" s="32"/>
      <c r="I20" s="32"/>
      <c r="J20" s="32"/>
      <c r="K20" s="32"/>
      <c r="L20" s="32"/>
    </row>
    <row r="21" spans="1:12">
      <c r="B21" s="5"/>
      <c r="C21" s="6"/>
    </row>
    <row r="22" spans="1:12">
      <c r="A22" s="21" t="s">
        <v>10</v>
      </c>
      <c r="B22" s="24" t="s">
        <v>200</v>
      </c>
      <c r="C22" s="6"/>
    </row>
    <row r="23" spans="1:12">
      <c r="A23" s="21"/>
      <c r="B23" s="5"/>
      <c r="C23" s="6"/>
    </row>
    <row r="24" spans="1:12">
      <c r="A24" s="21" t="s">
        <v>107</v>
      </c>
      <c r="B24" s="18" t="s">
        <v>189</v>
      </c>
      <c r="C24" s="6"/>
    </row>
    <row r="25" spans="1:12">
      <c r="A25" s="21"/>
      <c r="B25" s="5"/>
      <c r="C25" s="6"/>
    </row>
    <row r="26" spans="1:12">
      <c r="A26" s="21" t="s">
        <v>11</v>
      </c>
      <c r="B26" s="18" t="s">
        <v>199</v>
      </c>
      <c r="C26" s="6"/>
    </row>
    <row r="27" spans="1:12">
      <c r="A27" s="21"/>
      <c r="B27" s="5"/>
      <c r="C27" s="6"/>
    </row>
    <row r="28" spans="1:12">
      <c r="A28" s="21" t="s">
        <v>104</v>
      </c>
      <c r="B28" s="18" t="s">
        <v>189</v>
      </c>
      <c r="C28" s="6"/>
    </row>
    <row r="29" spans="1:12">
      <c r="A29" s="21"/>
      <c r="B29" s="5"/>
      <c r="C29" s="6"/>
    </row>
    <row r="30" spans="1:12">
      <c r="A30" s="21" t="s">
        <v>178</v>
      </c>
      <c r="B30" s="18" t="s">
        <v>189</v>
      </c>
      <c r="C30" s="6"/>
    </row>
    <row r="31" spans="1:12">
      <c r="A31" s="21"/>
      <c r="B31" s="5"/>
      <c r="C31" s="6"/>
    </row>
    <row r="32" spans="1:12">
      <c r="A32" s="21"/>
      <c r="B32" s="5"/>
      <c r="C32" s="6"/>
    </row>
    <row r="33" spans="1:3">
      <c r="A33" s="21"/>
      <c r="B33" s="5"/>
      <c r="C33" s="6"/>
    </row>
    <row r="34" spans="1:3">
      <c r="A34" s="21"/>
      <c r="B34" s="5"/>
      <c r="C34" s="6"/>
    </row>
    <row r="35" spans="1:3">
      <c r="A35" s="21"/>
      <c r="B35" s="5"/>
      <c r="C35" s="6"/>
    </row>
    <row r="36" spans="1:3">
      <c r="A36" s="21"/>
      <c r="B36" s="5"/>
      <c r="C36" s="6"/>
    </row>
    <row r="37" spans="1:3">
      <c r="A37" s="21"/>
      <c r="B37" s="5"/>
      <c r="C37" s="6"/>
    </row>
    <row r="38" spans="1:3">
      <c r="A38" s="21"/>
      <c r="B38" s="5"/>
      <c r="C38" s="6"/>
    </row>
    <row r="39" spans="1:3">
      <c r="A39" s="21"/>
      <c r="B39" s="5"/>
      <c r="C39" s="6"/>
    </row>
    <row r="40" spans="1:3">
      <c r="A40" s="21"/>
      <c r="B40" s="5"/>
      <c r="C40" s="7"/>
    </row>
    <row r="41" spans="1:3">
      <c r="A41" s="21"/>
      <c r="B41" s="5"/>
    </row>
    <row r="42" spans="1:3">
      <c r="A42" s="21"/>
      <c r="B42" s="5"/>
      <c r="C42" s="7"/>
    </row>
    <row r="43" spans="1:3">
      <c r="A43" s="21"/>
      <c r="B43" s="5"/>
      <c r="C43" s="6"/>
    </row>
    <row r="44" spans="1:3">
      <c r="A44" s="21"/>
      <c r="B44" s="5"/>
      <c r="C44" s="6"/>
    </row>
    <row r="45" spans="1:3">
      <c r="A45" s="21"/>
      <c r="B45" s="5"/>
      <c r="C45" s="6"/>
    </row>
    <row r="46" spans="1:3">
      <c r="A46" s="21"/>
      <c r="B46" s="5"/>
      <c r="C46" s="6"/>
    </row>
    <row r="47" spans="1:3">
      <c r="A47" s="21"/>
      <c r="B47" s="5"/>
      <c r="C47" s="6"/>
    </row>
    <row r="48" spans="1:3">
      <c r="A48" s="21"/>
      <c r="B48" s="5"/>
      <c r="C48" s="6"/>
    </row>
    <row r="49" spans="1:3">
      <c r="A49" s="21"/>
      <c r="B49" s="5"/>
      <c r="C49" s="6"/>
    </row>
    <row r="50" spans="1:3">
      <c r="A50" s="21"/>
      <c r="B50" s="5"/>
      <c r="C50" s="6"/>
    </row>
    <row r="51" spans="1:3">
      <c r="A51" s="21"/>
      <c r="B51" s="5"/>
      <c r="C51" s="6"/>
    </row>
    <row r="52" spans="1:3">
      <c r="A52" s="21"/>
      <c r="B52" s="5"/>
      <c r="C52" s="6"/>
    </row>
    <row r="53" spans="1:3">
      <c r="A53" s="21"/>
      <c r="B53" s="5"/>
      <c r="C53" s="6"/>
    </row>
    <row r="54" spans="1:3">
      <c r="A54" s="21"/>
      <c r="B54" s="5"/>
      <c r="C54" s="7"/>
    </row>
    <row r="55" spans="1:3">
      <c r="A55" s="21"/>
      <c r="B55" s="5"/>
      <c r="C55" s="6"/>
    </row>
    <row r="56" spans="1:3">
      <c r="A56" s="21"/>
      <c r="B56" s="5"/>
      <c r="C56" s="7"/>
    </row>
    <row r="57" spans="1:3">
      <c r="A57" s="21"/>
      <c r="B57" s="5"/>
      <c r="C57" s="6"/>
    </row>
    <row r="58" spans="1:3">
      <c r="A58" s="21"/>
      <c r="B58" s="5"/>
      <c r="C58" s="6"/>
    </row>
    <row r="59" spans="1:3">
      <c r="A59" s="21"/>
      <c r="B59" s="5"/>
      <c r="C59" s="7"/>
    </row>
    <row r="60" spans="1:3">
      <c r="A60" s="21"/>
      <c r="B60" s="5"/>
      <c r="C60" s="6"/>
    </row>
    <row r="61" spans="1:3">
      <c r="A61" s="21"/>
      <c r="B61" s="5"/>
      <c r="C61" s="6"/>
    </row>
    <row r="62" spans="1:3">
      <c r="A62" s="21"/>
      <c r="B62" s="5"/>
      <c r="C62" s="7"/>
    </row>
    <row r="63" spans="1:3">
      <c r="A63" s="21"/>
      <c r="B63" s="5"/>
      <c r="C63" s="6"/>
    </row>
    <row r="64" spans="1:3">
      <c r="A64" s="21"/>
      <c r="B64" s="5"/>
      <c r="C64" s="6"/>
    </row>
    <row r="65" spans="1:3">
      <c r="A65" s="21"/>
      <c r="B65" s="5"/>
      <c r="C65" s="6"/>
    </row>
    <row r="66" spans="1:3">
      <c r="A66" s="21"/>
      <c r="B66" s="5"/>
      <c r="C66" s="6"/>
    </row>
    <row r="67" spans="1:3">
      <c r="A67" s="21"/>
      <c r="B67" s="5"/>
      <c r="C67" s="6"/>
    </row>
    <row r="68" spans="1:3">
      <c r="A68" s="21"/>
      <c r="B68" s="5"/>
      <c r="C68" s="6"/>
    </row>
    <row r="69" spans="1:3">
      <c r="A69" s="21"/>
      <c r="B69" s="5"/>
      <c r="C69" s="6"/>
    </row>
    <row r="70" spans="1:3">
      <c r="A70" s="21"/>
      <c r="B70" s="5"/>
      <c r="C70" s="6"/>
    </row>
    <row r="71" spans="1:3">
      <c r="A71" s="21"/>
      <c r="B71" s="5"/>
      <c r="C71" s="6"/>
    </row>
    <row r="72" spans="1:3">
      <c r="A72" s="21"/>
      <c r="B72" s="5"/>
    </row>
    <row r="73" spans="1:3">
      <c r="A73" s="21"/>
      <c r="B73" s="5"/>
      <c r="C73" s="6"/>
    </row>
    <row r="74" spans="1:3">
      <c r="A74" s="21"/>
      <c r="B74" s="5"/>
      <c r="C74" s="6"/>
    </row>
    <row r="75" spans="1:3">
      <c r="A75" s="21"/>
      <c r="B75" s="5"/>
      <c r="C75" s="7"/>
    </row>
    <row r="76" spans="1:3">
      <c r="A76" s="21"/>
      <c r="B76" s="5"/>
      <c r="C76" s="6"/>
    </row>
    <row r="77" spans="1:3">
      <c r="A77" s="21"/>
      <c r="B77" s="5"/>
      <c r="C77" s="7"/>
    </row>
    <row r="78" spans="1:3">
      <c r="A78" s="21"/>
      <c r="B78" s="5"/>
      <c r="C78" s="7"/>
    </row>
    <row r="79" spans="1:3">
      <c r="A79" s="21"/>
      <c r="B79" s="5"/>
      <c r="C79" s="6"/>
    </row>
    <row r="80" spans="1:3">
      <c r="A80" s="21"/>
      <c r="B80" s="5"/>
      <c r="C80" s="6"/>
    </row>
    <row r="81" spans="1:3">
      <c r="A81" s="21"/>
      <c r="B81" s="5"/>
      <c r="C81" s="7"/>
    </row>
    <row r="82" spans="1:3">
      <c r="A82" s="21"/>
      <c r="B82" s="5"/>
      <c r="C82" s="6"/>
    </row>
    <row r="83" spans="1:3">
      <c r="A83" s="21"/>
      <c r="B83" s="5"/>
      <c r="C83" s="6"/>
    </row>
    <row r="84" spans="1:3">
      <c r="A84" s="21"/>
      <c r="B84" s="5"/>
      <c r="C84" s="6"/>
    </row>
    <row r="85" spans="1:3">
      <c r="A85" s="21"/>
      <c r="B85" s="5"/>
      <c r="C85" s="7"/>
    </row>
    <row r="86" spans="1:3">
      <c r="A86" s="21"/>
      <c r="B86" s="5"/>
      <c r="C86" s="7"/>
    </row>
    <row r="87" spans="1:3">
      <c r="A87" s="21"/>
      <c r="B87" s="5"/>
      <c r="C87" s="6"/>
    </row>
    <row r="88" spans="1:3">
      <c r="A88" s="21"/>
      <c r="B88" s="5"/>
      <c r="C88" s="6"/>
    </row>
    <row r="89" spans="1:3">
      <c r="A89" s="21"/>
      <c r="B89" s="5"/>
      <c r="C89" s="6"/>
    </row>
    <row r="90" spans="1:3">
      <c r="A90" s="21"/>
      <c r="B90" s="5"/>
      <c r="C90" s="7"/>
    </row>
    <row r="91" spans="1:3">
      <c r="A91" s="21"/>
      <c r="B91" s="5"/>
      <c r="C91" s="6"/>
    </row>
    <row r="92" spans="1:3">
      <c r="A92" s="21"/>
      <c r="B92" s="5"/>
      <c r="C92" s="6"/>
    </row>
    <row r="93" spans="1:3">
      <c r="A93" s="21"/>
      <c r="B93" s="5"/>
      <c r="C93" s="7"/>
    </row>
    <row r="94" spans="1:3">
      <c r="A94" s="21"/>
      <c r="B94" s="5"/>
      <c r="C94" s="7"/>
    </row>
    <row r="95" spans="1:3">
      <c r="A95" s="21"/>
      <c r="B95" s="5"/>
    </row>
    <row r="96" spans="1:3">
      <c r="A96" s="21"/>
      <c r="B96" s="5"/>
      <c r="C96" s="7"/>
    </row>
    <row r="97" spans="1:3">
      <c r="A97" s="21"/>
      <c r="B97" s="5"/>
      <c r="C97" s="6"/>
    </row>
    <row r="98" spans="1:3">
      <c r="A98" s="21"/>
      <c r="B98" s="5"/>
      <c r="C98" s="6"/>
    </row>
    <row r="99" spans="1:3">
      <c r="A99" s="21"/>
      <c r="B99" s="5"/>
      <c r="C99" s="6"/>
    </row>
    <row r="100" spans="1:3">
      <c r="A100" s="21"/>
      <c r="B100" s="5"/>
      <c r="C100" s="6"/>
    </row>
    <row r="101" spans="1:3">
      <c r="A101" s="21"/>
      <c r="B101" s="5"/>
      <c r="C101" s="6"/>
    </row>
    <row r="102" spans="1:3">
      <c r="A102" s="21"/>
      <c r="B102" s="5"/>
      <c r="C102" s="6"/>
    </row>
    <row r="103" spans="1:3">
      <c r="A103" s="21"/>
      <c r="B103" s="5"/>
      <c r="C103" s="6"/>
    </row>
    <row r="104" spans="1:3">
      <c r="A104" s="21"/>
      <c r="B104" s="5"/>
      <c r="C104" s="6"/>
    </row>
    <row r="105" spans="1:3">
      <c r="A105" s="21"/>
      <c r="B105" s="5"/>
      <c r="C105" s="6"/>
    </row>
    <row r="106" spans="1:3">
      <c r="A106" s="21"/>
      <c r="B106" s="5"/>
      <c r="C106" s="6"/>
    </row>
    <row r="107" spans="1:3">
      <c r="A107" s="21"/>
      <c r="B107" s="5"/>
      <c r="C107" s="6"/>
    </row>
    <row r="108" spans="1:3">
      <c r="A108" s="21"/>
      <c r="B108" s="5"/>
      <c r="C108" s="6"/>
    </row>
    <row r="109" spans="1:3">
      <c r="A109" s="21"/>
      <c r="B109" s="5"/>
      <c r="C109" s="6"/>
    </row>
    <row r="110" spans="1:3">
      <c r="A110" s="21"/>
      <c r="B110" s="5"/>
      <c r="C110" s="6"/>
    </row>
    <row r="111" spans="1:3">
      <c r="A111" s="21"/>
      <c r="B111" s="5"/>
      <c r="C111" s="6"/>
    </row>
    <row r="112" spans="1:3">
      <c r="A112" s="21"/>
      <c r="B112" s="5"/>
      <c r="C112" s="6"/>
    </row>
    <row r="113" spans="1:3">
      <c r="A113" s="21"/>
      <c r="B113" s="5"/>
      <c r="C113" s="6"/>
    </row>
    <row r="114" spans="1:3">
      <c r="A114" s="21"/>
      <c r="B114" s="5"/>
      <c r="C114" s="6"/>
    </row>
    <row r="115" spans="1:3">
      <c r="A115" s="21"/>
      <c r="B115" s="5"/>
      <c r="C115" s="6"/>
    </row>
    <row r="116" spans="1:3">
      <c r="A116" s="21"/>
      <c r="B116" s="5"/>
      <c r="C116" s="6"/>
    </row>
    <row r="117" spans="1:3">
      <c r="A117" s="21"/>
      <c r="B117" s="5"/>
      <c r="C117" s="6"/>
    </row>
    <row r="118" spans="1:3">
      <c r="A118" s="21"/>
      <c r="B118" s="5"/>
      <c r="C118" s="6"/>
    </row>
    <row r="119" spans="1:3">
      <c r="A119" s="21"/>
      <c r="B119" s="5"/>
      <c r="C119" s="6"/>
    </row>
    <row r="120" spans="1:3">
      <c r="A120" s="21"/>
      <c r="B120" s="5"/>
      <c r="C120" s="6"/>
    </row>
    <row r="121" spans="1:3">
      <c r="A121" s="21"/>
      <c r="B121" s="5"/>
      <c r="C121" s="6"/>
    </row>
    <row r="122" spans="1:3">
      <c r="A122" s="21"/>
      <c r="B122" s="5"/>
      <c r="C122" s="6"/>
    </row>
    <row r="123" spans="1:3">
      <c r="A123" s="21"/>
      <c r="B123" s="5"/>
      <c r="C123" s="6"/>
    </row>
    <row r="124" spans="1:3">
      <c r="A124" s="21"/>
      <c r="B124" s="5"/>
      <c r="C124" s="6"/>
    </row>
    <row r="125" spans="1:3">
      <c r="A125" s="21"/>
      <c r="B125" s="5"/>
      <c r="C125" s="6"/>
    </row>
    <row r="126" spans="1:3">
      <c r="A126" s="21"/>
      <c r="B126" s="5"/>
    </row>
    <row r="127" spans="1:3">
      <c r="A127" s="21"/>
      <c r="B127" s="5"/>
      <c r="C127" s="6"/>
    </row>
    <row r="128" spans="1:3">
      <c r="A128" s="21"/>
      <c r="B128" s="5"/>
      <c r="C128" s="6"/>
    </row>
    <row r="129" spans="1:3">
      <c r="A129" s="21"/>
      <c r="B129" s="5"/>
      <c r="C129" s="6"/>
    </row>
    <row r="130" spans="1:3">
      <c r="A130" s="21"/>
      <c r="B130" s="5"/>
      <c r="C130" s="6"/>
    </row>
    <row r="131" spans="1:3">
      <c r="A131" s="21"/>
      <c r="B131" s="5"/>
      <c r="C131" s="6"/>
    </row>
    <row r="132" spans="1:3">
      <c r="A132" s="21"/>
      <c r="B132" s="5"/>
      <c r="C132" s="6"/>
    </row>
    <row r="133" spans="1:3">
      <c r="A133" s="21"/>
      <c r="B133" s="5"/>
      <c r="C133" s="6"/>
    </row>
    <row r="134" spans="1:3">
      <c r="A134" s="21"/>
      <c r="B134" s="5"/>
      <c r="C134" s="7"/>
    </row>
    <row r="135" spans="1:3">
      <c r="A135" s="21"/>
      <c r="B135" s="5"/>
      <c r="C135" s="6"/>
    </row>
    <row r="136" spans="1:3">
      <c r="A136" s="21"/>
      <c r="B136" s="5"/>
      <c r="C136" s="6"/>
    </row>
    <row r="137" spans="1:3">
      <c r="A137" s="21"/>
      <c r="B137" s="5"/>
      <c r="C137" s="6"/>
    </row>
    <row r="138" spans="1:3">
      <c r="A138" s="21"/>
      <c r="B138" s="5"/>
      <c r="C138" s="6"/>
    </row>
    <row r="139" spans="1:3">
      <c r="A139" s="21"/>
      <c r="B139" s="5"/>
      <c r="C139" s="6"/>
    </row>
    <row r="140" spans="1:3">
      <c r="A140" s="21"/>
      <c r="B140" s="5"/>
      <c r="C140" s="6"/>
    </row>
    <row r="141" spans="1:3">
      <c r="A141" s="21"/>
      <c r="B141" s="5"/>
      <c r="C141" s="7"/>
    </row>
    <row r="142" spans="1:3">
      <c r="A142" s="21"/>
      <c r="B142" s="5"/>
      <c r="C142" s="6"/>
    </row>
    <row r="143" spans="1:3">
      <c r="A143" s="21"/>
      <c r="B143" s="5"/>
      <c r="C143" s="7"/>
    </row>
    <row r="144" spans="1:3">
      <c r="A144" s="21"/>
      <c r="B144" s="5"/>
      <c r="C144" s="6"/>
    </row>
    <row r="145" spans="1:3">
      <c r="A145" s="21"/>
      <c r="B145" s="5"/>
      <c r="C145" s="6"/>
    </row>
    <row r="146" spans="1:3">
      <c r="A146" s="21"/>
      <c r="B146" s="5"/>
      <c r="C146" s="6"/>
    </row>
    <row r="147" spans="1:3">
      <c r="A147" s="21"/>
      <c r="B147" s="5"/>
      <c r="C147" s="6"/>
    </row>
    <row r="148" spans="1:3">
      <c r="A148" s="21"/>
      <c r="B148" s="5"/>
      <c r="C148" s="6"/>
    </row>
    <row r="149" spans="1:3">
      <c r="A149" s="21"/>
      <c r="B149" s="5"/>
      <c r="C149" s="7"/>
    </row>
    <row r="150" spans="1:3">
      <c r="A150" s="21"/>
      <c r="B150" s="5"/>
      <c r="C150" s="6"/>
    </row>
    <row r="151" spans="1:3">
      <c r="A151" s="21"/>
      <c r="B151" s="5"/>
    </row>
    <row r="152" spans="1:3">
      <c r="A152" s="21"/>
      <c r="B152" s="5"/>
      <c r="C152" s="7"/>
    </row>
    <row r="153" spans="1:3">
      <c r="A153" s="21"/>
      <c r="B153" s="5"/>
      <c r="C153" s="6"/>
    </row>
    <row r="154" spans="1:3">
      <c r="A154" s="21"/>
      <c r="B154" s="5"/>
      <c r="C154" s="7"/>
    </row>
    <row r="155" spans="1:3">
      <c r="A155" s="21"/>
      <c r="B155" s="5"/>
      <c r="C155" s="7"/>
    </row>
    <row r="156" spans="1:3">
      <c r="A156" s="21"/>
      <c r="B156" s="5"/>
      <c r="C156" s="7"/>
    </row>
    <row r="157" spans="1:3">
      <c r="A157" s="21"/>
      <c r="B157" s="5"/>
      <c r="C157" s="7"/>
    </row>
    <row r="158" spans="1:3">
      <c r="A158" s="21"/>
      <c r="B158" s="5"/>
      <c r="C158" s="7"/>
    </row>
    <row r="159" spans="1:3">
      <c r="A159" s="21"/>
      <c r="B159" s="5"/>
      <c r="C159" s="7"/>
    </row>
    <row r="160" spans="1:3">
      <c r="A160" s="21"/>
      <c r="B160" s="5"/>
      <c r="C160" s="7"/>
    </row>
    <row r="161" spans="1:3">
      <c r="A161" s="21"/>
      <c r="B161" s="5"/>
      <c r="C161" s="7"/>
    </row>
    <row r="162" spans="1:3">
      <c r="A162" s="21"/>
      <c r="B162" s="5"/>
      <c r="C162" s="7"/>
    </row>
    <row r="163" spans="1:3">
      <c r="A163" s="21"/>
      <c r="B163" s="5"/>
      <c r="C163" s="6"/>
    </row>
    <row r="164" spans="1:3">
      <c r="A164" s="21"/>
      <c r="B164" s="5"/>
      <c r="C164" s="7"/>
    </row>
    <row r="165" spans="1:3">
      <c r="A165" s="21"/>
      <c r="B165" s="5"/>
      <c r="C165" s="7"/>
    </row>
    <row r="166" spans="1:3">
      <c r="A166" s="21"/>
      <c r="B166" s="5"/>
      <c r="C166" s="7"/>
    </row>
    <row r="167" spans="1:3">
      <c r="A167" s="21"/>
      <c r="B167" s="5"/>
      <c r="C167" s="7"/>
    </row>
    <row r="168" spans="1:3">
      <c r="A168" s="21"/>
      <c r="B168" s="5"/>
      <c r="C168" s="7"/>
    </row>
    <row r="169" spans="1:3">
      <c r="A169" s="21"/>
      <c r="B169" s="5"/>
      <c r="C169" s="7"/>
    </row>
    <row r="170" spans="1:3">
      <c r="A170" s="21"/>
      <c r="B170" s="5"/>
      <c r="C170" s="7"/>
    </row>
    <row r="171" spans="1:3">
      <c r="A171" s="21"/>
      <c r="B171" s="5"/>
      <c r="C171" s="6"/>
    </row>
    <row r="172" spans="1:3">
      <c r="A172" s="21"/>
      <c r="B172" s="5"/>
      <c r="C172" s="7"/>
    </row>
    <row r="173" spans="1:3">
      <c r="A173" s="21"/>
      <c r="B173" s="5"/>
      <c r="C173" s="7"/>
    </row>
    <row r="174" spans="1:3">
      <c r="A174" s="21"/>
      <c r="B174" s="5"/>
      <c r="C174" s="7"/>
    </row>
    <row r="175" spans="1:3">
      <c r="A175" s="21"/>
      <c r="B175" s="5"/>
      <c r="C175" s="7"/>
    </row>
    <row r="176" spans="1:3">
      <c r="A176" s="21"/>
      <c r="B176" s="5"/>
      <c r="C176" s="6"/>
    </row>
    <row r="177" spans="1:3">
      <c r="A177" s="21"/>
      <c r="B177" s="5"/>
      <c r="C177" s="7"/>
    </row>
    <row r="178" spans="1:3">
      <c r="A178" s="21"/>
      <c r="B178" s="5"/>
      <c r="C178" s="7"/>
    </row>
  </sheetData>
  <sortState ref="A2:C163">
    <sortCondition ref="A2:A163"/>
    <sortCondition ref="B2:B163"/>
    <sortCondition ref="C2:C163"/>
  </sortState>
  <mergeCells count="1">
    <mergeCell ref="B20:L20"/>
  </mergeCells>
  <hyperlinks>
    <hyperlink ref="B1" r:id="rId1"/>
  </hyperlinks>
  <pageMargins left="0.25" right="0.25" top="0.75" bottom="0.75" header="0.3" footer="0.3"/>
  <pageSetup orientation="landscape" r:id="rId2"/>
  <headerFooter>
    <oddHeader>&amp;CReference Notes Corresponding to Column Headers on Matrix</oddHeader>
    <oddFooter>&amp;RLast Updated &amp;D</oddFooter>
  </headerFooter>
</worksheet>
</file>

<file path=xl/worksheets/sheet3.xml><?xml version="1.0" encoding="utf-8"?>
<worksheet xmlns="http://schemas.openxmlformats.org/spreadsheetml/2006/main" xmlns:r="http://schemas.openxmlformats.org/officeDocument/2006/relationships">
  <dimension ref="A1:L40"/>
  <sheetViews>
    <sheetView workbookViewId="0">
      <selection activeCell="P7" sqref="P7"/>
    </sheetView>
  </sheetViews>
  <sheetFormatPr defaultRowHeight="15"/>
  <cols>
    <col min="1" max="12" width="9.140625" style="4"/>
  </cols>
  <sheetData>
    <row r="1" spans="1:7" ht="15.75">
      <c r="A1" s="8" t="s">
        <v>135</v>
      </c>
    </row>
    <row r="2" spans="1:7" ht="60" customHeight="1">
      <c r="A2" s="33" t="s">
        <v>136</v>
      </c>
      <c r="B2" s="33"/>
      <c r="C2" s="33"/>
      <c r="D2" s="33"/>
      <c r="E2" s="33"/>
      <c r="F2" s="33"/>
      <c r="G2" s="33"/>
    </row>
    <row r="3" spans="1:7">
      <c r="A3" s="9"/>
    </row>
    <row r="4" spans="1:7">
      <c r="A4" s="10" t="s">
        <v>137</v>
      </c>
    </row>
    <row r="5" spans="1:7">
      <c r="A5" s="10" t="s">
        <v>138</v>
      </c>
    </row>
    <row r="6" spans="1:7">
      <c r="A6" s="10" t="s">
        <v>139</v>
      </c>
    </row>
    <row r="7" spans="1:7">
      <c r="A7" s="10" t="s">
        <v>140</v>
      </c>
    </row>
    <row r="8" spans="1:7">
      <c r="A8" s="10" t="s">
        <v>141</v>
      </c>
    </row>
    <row r="9" spans="1:7">
      <c r="A9" s="10" t="s">
        <v>142</v>
      </c>
    </row>
    <row r="10" spans="1:7">
      <c r="A10" s="10" t="s">
        <v>143</v>
      </c>
    </row>
    <row r="11" spans="1:7">
      <c r="A11" s="10" t="s">
        <v>144</v>
      </c>
    </row>
    <row r="12" spans="1:7">
      <c r="A12" s="10" t="s">
        <v>145</v>
      </c>
    </row>
    <row r="13" spans="1:7">
      <c r="A13" s="10" t="s">
        <v>146</v>
      </c>
    </row>
    <row r="14" spans="1:7">
      <c r="A14" s="10" t="s">
        <v>147</v>
      </c>
    </row>
    <row r="15" spans="1:7">
      <c r="A15" s="10" t="s">
        <v>148</v>
      </c>
    </row>
    <row r="16" spans="1:7">
      <c r="A16" s="10" t="s">
        <v>149</v>
      </c>
    </row>
    <row r="17" spans="1:11">
      <c r="A17" s="10" t="s">
        <v>150</v>
      </c>
    </row>
    <row r="19" spans="1:11" ht="20.25" customHeight="1">
      <c r="A19" s="13" t="s">
        <v>161</v>
      </c>
      <c r="B19" s="12"/>
      <c r="C19" s="12"/>
      <c r="D19" s="12"/>
      <c r="E19" s="12"/>
      <c r="F19" s="12"/>
      <c r="G19" s="12"/>
      <c r="H19" s="12"/>
      <c r="I19" s="12"/>
      <c r="J19" s="12"/>
      <c r="K19" s="12"/>
    </row>
    <row r="20" spans="1:11" ht="59.25" customHeight="1">
      <c r="A20" s="33" t="s">
        <v>151</v>
      </c>
      <c r="B20" s="33"/>
      <c r="C20" s="33"/>
      <c r="D20" s="33"/>
      <c r="E20" s="33"/>
      <c r="F20" s="33"/>
      <c r="G20" s="33"/>
    </row>
    <row r="21" spans="1:11">
      <c r="A21" s="9"/>
    </row>
    <row r="22" spans="1:11">
      <c r="A22" s="10" t="s">
        <v>42</v>
      </c>
    </row>
    <row r="23" spans="1:11">
      <c r="A23" s="10" t="s">
        <v>46</v>
      </c>
    </row>
    <row r="24" spans="1:11">
      <c r="A24" s="10" t="s">
        <v>44</v>
      </c>
    </row>
    <row r="26" spans="1:11">
      <c r="A26" s="13" t="s">
        <v>162</v>
      </c>
      <c r="B26" s="12"/>
      <c r="C26" s="12"/>
      <c r="D26" s="12"/>
      <c r="E26" s="12"/>
      <c r="F26" s="12"/>
      <c r="G26" s="12"/>
      <c r="H26" s="12"/>
    </row>
    <row r="27" spans="1:11" ht="76.5" customHeight="1">
      <c r="A27" s="33" t="s">
        <v>152</v>
      </c>
      <c r="B27" s="33"/>
      <c r="C27" s="33"/>
      <c r="D27" s="33"/>
      <c r="E27" s="33"/>
      <c r="F27" s="33"/>
      <c r="G27" s="33"/>
    </row>
    <row r="28" spans="1:11">
      <c r="A28" s="9"/>
    </row>
    <row r="29" spans="1:11">
      <c r="A29" s="10" t="s">
        <v>153</v>
      </c>
    </row>
    <row r="30" spans="1:11">
      <c r="A30" s="10" t="s">
        <v>154</v>
      </c>
    </row>
    <row r="31" spans="1:11">
      <c r="A31" s="10" t="s">
        <v>155</v>
      </c>
    </row>
    <row r="33" spans="1:12">
      <c r="A33" s="13" t="s">
        <v>163</v>
      </c>
      <c r="B33" s="12"/>
      <c r="C33" s="12"/>
      <c r="D33" s="12"/>
      <c r="E33" s="12"/>
      <c r="F33" s="12"/>
    </row>
    <row r="34" spans="1:12" ht="66" customHeight="1">
      <c r="A34" s="33" t="s">
        <v>156</v>
      </c>
      <c r="B34" s="33"/>
      <c r="C34" s="33"/>
      <c r="D34" s="33"/>
      <c r="E34" s="33"/>
      <c r="F34" s="33"/>
      <c r="G34" s="33"/>
    </row>
    <row r="36" spans="1:12">
      <c r="A36" s="10" t="s">
        <v>157</v>
      </c>
    </row>
    <row r="37" spans="1:12">
      <c r="A37" s="10" t="s">
        <v>158</v>
      </c>
    </row>
    <row r="38" spans="1:12">
      <c r="A38" s="10" t="s">
        <v>159</v>
      </c>
    </row>
    <row r="40" spans="1:12">
      <c r="A40" s="11" t="s">
        <v>164</v>
      </c>
      <c r="B40" s="12"/>
      <c r="C40" s="12"/>
      <c r="D40" s="12"/>
      <c r="E40" s="12"/>
      <c r="F40" s="12"/>
      <c r="G40" s="12"/>
      <c r="H40" s="12"/>
      <c r="I40" s="12"/>
      <c r="J40" s="12"/>
      <c r="K40" s="12"/>
      <c r="L40" s="12"/>
    </row>
  </sheetData>
  <mergeCells count="4">
    <mergeCell ref="A2:G2"/>
    <mergeCell ref="A20:G20"/>
    <mergeCell ref="A27:G27"/>
    <mergeCell ref="A34:G34"/>
  </mergeCells>
  <hyperlinks>
    <hyperlink ref="A38" r:id="rId1" display="http://classifications.carnegiefoundation.org/lookup_listings/srp.php?clq=%7b%22basic2005_ids%22%3A%2223%22%7d&amp;limit=0,50"/>
    <hyperlink ref="A37" r:id="rId2" display="http://classifications.carnegiefoundation.org/lookup_listings/srp.php?clq=%7b%22basic2005_ids%22%3A%2222%22%7d&amp;limit=0,50"/>
    <hyperlink ref="A36" r:id="rId3" display="http://classifications.carnegiefoundation.org/lookup_listings/srp.php?clq=%7b%22basic2005_ids%22%3A%2221%22%7d&amp;limit=0,50"/>
    <hyperlink ref="A31" r:id="rId4" display="http://classifications.carnegiefoundation.org/lookup_listings/srp.php?clq=%7b%22basic2005_ids%22%3A%2220%22%7d&amp;limit=0,50"/>
    <hyperlink ref="A30" r:id="rId5" display="http://classifications.carnegiefoundation.org/lookup_listings/srp.php?clq=%7b%22basic2005_ids%22%3A%2219%22%7d&amp;limit=0,50"/>
    <hyperlink ref="A29" r:id="rId6" display="http://classifications.carnegiefoundation.org/lookup_listings/srp.php?clq=%7b%22basic2005_ids%22%3A%2218%22%7d&amp;limit=0,50"/>
    <hyperlink ref="A24" r:id="rId7" display="http://classifications.carnegiefoundation.org/lookup_listings/srp.php?clq=%7b%22basic2005_ids%22%3A%2217%22%7d&amp;limit=0,50"/>
    <hyperlink ref="A23" r:id="rId8" display="http://classifications.carnegiefoundation.org/lookup_listings/srp.php?clq=%7b%22basic2005_ids%22%3A%2216%22%7d&amp;limit=0,50"/>
    <hyperlink ref="A22" r:id="rId9" display="http://classifications.carnegiefoundation.org/lookup_listings/srp.php?clq=%7b%22basic2005_ids%22%3A%2215%22%7d&amp;limit=0,50"/>
    <hyperlink ref="A17" r:id="rId10" display="http://classifications.carnegiefoundation.org/lookup_listings/srp.php?clq=%7b%22basic2005_ids%22%3A%2214%22%7d&amp;limit=0,50"/>
    <hyperlink ref="A16" r:id="rId11" display="http://classifications.carnegiefoundation.org/lookup_listings/srp.php?clq=%7b%22basic2005_ids%22%3A%2213%22%7d&amp;limit=0,50"/>
    <hyperlink ref="A15" r:id="rId12" display="http://classifications.carnegiefoundation.org/lookup_listings/srp.php?clq=%7b%22basic2005_ids%22%3A%2212%22%7d&amp;limit=0,50"/>
    <hyperlink ref="A14" r:id="rId13" display="http://classifications.carnegiefoundation.org/lookup_listings/srp.php?clq=%7b%22basic2005_ids%22%3A%2211%22%7d&amp;limit=0,50"/>
    <hyperlink ref="A13" r:id="rId14" display="http://classifications.carnegiefoundation.org/lookup_listings/srp.php?clq=%7b%22basic2005_ids%22%3A%2210%22%7d&amp;limit=0,50"/>
    <hyperlink ref="A12" r:id="rId15" display="http://classifications.carnegiefoundation.org/lookup_listings/srp.php?clq=%7b%22basic2005_ids%22%3A%229%22%7d&amp;limit=0,50"/>
    <hyperlink ref="A11" r:id="rId16" display="http://classifications.carnegiefoundation.org/lookup_listings/srp.php?clq=%7b%22basic2005_ids%22%3A%228%22%7d&amp;limit=0,50"/>
    <hyperlink ref="A10" r:id="rId17" display="http://classifications.carnegiefoundation.org/lookup_listings/srp.php?clq=%7b%22basic2005_ids%22%3A%227%22%7d&amp;limit=0,50"/>
    <hyperlink ref="A9" r:id="rId18" display="http://classifications.carnegiefoundation.org/lookup_listings/srp.php?clq=%7b%22basic2005_ids%22%3A%226%22%7d&amp;limit=0,50"/>
    <hyperlink ref="A8" r:id="rId19" display="http://classifications.carnegiefoundation.org/lookup_listings/srp.php?clq=%7b%22basic2005_ids%22%3A%225%22%7d&amp;limit=0,50"/>
    <hyperlink ref="A7" r:id="rId20" display="http://classifications.carnegiefoundation.org/lookup_listings/srp.php?clq=%7b%22basic2005_ids%22%3A%224%22%7d&amp;limit=0,50"/>
    <hyperlink ref="A6" r:id="rId21" display="http://classifications.carnegiefoundation.org/lookup_listings/srp.php?clq=%7b%22basic2005_ids%22%3A%223%22%7d&amp;limit=0,50"/>
    <hyperlink ref="A5" r:id="rId22" display="http://classifications.carnegiefoundation.org/lookup_listings/srp.php?clq=%7b%22basic2005_ids%22%3A%222%22%7d&amp;limit=0,50"/>
    <hyperlink ref="A4" r:id="rId23" display="http://classifications.carnegiefoundation.org/lookup_listings/srp.php?clq=%7b%22basic2005_ids%22%3A%221%22%7d&amp;limit=0,50"/>
  </hyperlinks>
  <pageMargins left="0.7" right="0.7" top="0.75" bottom="0.75" header="0.3" footer="0.3"/>
  <pageSetup orientation="landscape"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Matrix</vt:lpstr>
      <vt:lpstr>Notes</vt:lpstr>
      <vt:lpstr>Carnegie Classifications</vt:lpstr>
      <vt:lpstr>Matrix!Print_Area</vt:lpstr>
      <vt:lpstr>Notes!Print_Area</vt:lpstr>
      <vt:lpstr>Matrix!Print_Titles</vt:lpstr>
    </vt:vector>
  </TitlesOfParts>
  <Company>DHE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kpoast</dc:creator>
  <cp:lastModifiedBy>eweaver</cp:lastModifiedBy>
  <cp:lastPrinted>2010-04-22T17:21:02Z</cp:lastPrinted>
  <dcterms:created xsi:type="dcterms:W3CDTF">2010-04-05T21:25:30Z</dcterms:created>
  <dcterms:modified xsi:type="dcterms:W3CDTF">2010-04-22T17:26:34Z</dcterms:modified>
</cp:coreProperties>
</file>