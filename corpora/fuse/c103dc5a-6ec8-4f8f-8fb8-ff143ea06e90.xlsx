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108" windowWidth="11616" windowHeight="9744"/>
  </bookViews>
  <sheets>
    <sheet name="GTR Soybean Table" sheetId="10" r:id="rId1"/>
    <sheet name="US" sheetId="7" r:id="rId2"/>
    <sheet name="China" sheetId="1" r:id="rId3"/>
    <sheet name="Mexico" sheetId="2" r:id="rId4"/>
    <sheet name="Japan" sheetId="4" r:id="rId5"/>
    <sheet name="Taiwan" sheetId="3" r:id="rId6"/>
    <sheet name="Indonesia" sheetId="5" r:id="rId7"/>
    <sheet name="Korea" sheetId="9" r:id="rId8"/>
    <sheet name="EU" sheetId="8" r:id="rId9"/>
    <sheet name="Egypt" sheetId="14" r:id="rId10"/>
    <sheet name="Data" sheetId="12" r:id="rId11"/>
    <sheet name="Sheet1" sheetId="13" r:id="rId12"/>
    <sheet name="2012-13 weekly analysis" sheetId="15" r:id="rId13"/>
    <sheet name="Sheet2" sheetId="16" r:id="rId14"/>
  </sheets>
  <externalReferences>
    <externalReference r:id="rId15"/>
    <externalReference r:id="rId16"/>
  </externalReferences>
  <calcPr calcId="145621"/>
</workbook>
</file>

<file path=xl/calcChain.xml><?xml version="1.0" encoding="utf-8"?>
<calcChain xmlns="http://schemas.openxmlformats.org/spreadsheetml/2006/main">
  <c r="A91" i="14" l="1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H408" i="2"/>
  <c r="G408" i="2"/>
  <c r="H79" i="14"/>
  <c r="G79" i="14"/>
  <c r="F408" i="8"/>
  <c r="G408" i="8"/>
  <c r="H408" i="8"/>
  <c r="H408" i="9"/>
  <c r="I408" i="9"/>
  <c r="G408" i="9"/>
  <c r="H408" i="5"/>
  <c r="I408" i="5"/>
  <c r="G408" i="5"/>
  <c r="H409" i="3"/>
  <c r="I409" i="3"/>
  <c r="G409" i="3"/>
  <c r="H408" i="4"/>
  <c r="I408" i="4"/>
  <c r="G408" i="4"/>
  <c r="H78" i="14"/>
  <c r="G78" i="14"/>
  <c r="G407" i="8"/>
  <c r="H407" i="8"/>
  <c r="F407" i="8"/>
  <c r="H407" i="9"/>
  <c r="I407" i="9"/>
  <c r="G407" i="9"/>
  <c r="H407" i="5"/>
  <c r="I407" i="5"/>
  <c r="G407" i="5"/>
  <c r="H408" i="3"/>
  <c r="I408" i="3"/>
  <c r="G408" i="3"/>
  <c r="H407" i="4"/>
  <c r="I407" i="4"/>
  <c r="G407" i="4"/>
  <c r="H407" i="2"/>
  <c r="G407" i="2"/>
  <c r="H77" i="14"/>
  <c r="G77" i="14"/>
  <c r="G406" i="8"/>
  <c r="H406" i="8"/>
  <c r="F406" i="8"/>
  <c r="H406" i="9"/>
  <c r="I406" i="9"/>
  <c r="G406" i="9"/>
  <c r="H406" i="5"/>
  <c r="I406" i="5"/>
  <c r="G406" i="5"/>
  <c r="H407" i="3"/>
  <c r="I407" i="3"/>
  <c r="G407" i="3"/>
  <c r="H406" i="4"/>
  <c r="I406" i="4"/>
  <c r="G406" i="4"/>
  <c r="H406" i="2"/>
  <c r="G406" i="2"/>
  <c r="G405" i="8"/>
  <c r="H405" i="8"/>
  <c r="F405" i="8"/>
  <c r="H405" i="2"/>
  <c r="G405" i="2"/>
  <c r="G76" i="14"/>
  <c r="H76" i="14"/>
  <c r="H405" i="9"/>
  <c r="I405" i="9"/>
  <c r="G405" i="9"/>
  <c r="H405" i="5"/>
  <c r="G405" i="5"/>
  <c r="H406" i="3"/>
  <c r="G406" i="3"/>
  <c r="H405" i="4"/>
  <c r="I405" i="4"/>
  <c r="G405" i="4"/>
  <c r="H75" i="14"/>
  <c r="G75" i="14"/>
  <c r="G404" i="8"/>
  <c r="H404" i="8"/>
  <c r="F404" i="8"/>
  <c r="H404" i="9"/>
  <c r="I404" i="9"/>
  <c r="G404" i="9"/>
  <c r="H404" i="5"/>
  <c r="I404" i="5"/>
  <c r="G404" i="5"/>
  <c r="H405" i="3"/>
  <c r="I405" i="3"/>
  <c r="G405" i="3"/>
  <c r="H404" i="4"/>
  <c r="I404" i="4"/>
  <c r="G404" i="4"/>
  <c r="H404" i="2"/>
  <c r="G404" i="2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H74" i="14"/>
  <c r="G74" i="14"/>
  <c r="H403" i="2"/>
  <c r="G403" i="2"/>
  <c r="G403" i="8"/>
  <c r="H403" i="8"/>
  <c r="F403" i="8"/>
  <c r="H403" i="9"/>
  <c r="I403" i="9"/>
  <c r="G403" i="9"/>
  <c r="H403" i="5"/>
  <c r="I403" i="5"/>
  <c r="G403" i="5"/>
  <c r="H404" i="3"/>
  <c r="I404" i="3"/>
  <c r="G404" i="3"/>
  <c r="H403" i="4"/>
  <c r="I403" i="4"/>
  <c r="G403" i="4"/>
  <c r="H402" i="2"/>
  <c r="G402" i="2"/>
  <c r="G402" i="8"/>
  <c r="H402" i="8"/>
  <c r="F402" i="8"/>
  <c r="H73" i="14"/>
  <c r="G73" i="14"/>
  <c r="H403" i="3"/>
  <c r="I403" i="3"/>
  <c r="G403" i="3"/>
  <c r="I402" i="4"/>
  <c r="G402" i="4"/>
  <c r="H402" i="4"/>
  <c r="H402" i="9"/>
  <c r="I402" i="9"/>
  <c r="G402" i="9"/>
  <c r="A398" i="9"/>
  <c r="H402" i="5"/>
  <c r="I402" i="5"/>
  <c r="G402" i="5"/>
  <c r="H406" i="1"/>
  <c r="H407" i="1"/>
  <c r="H409" i="1"/>
  <c r="H416" i="1"/>
  <c r="I416" i="1"/>
  <c r="H401" i="2"/>
  <c r="G401" i="2"/>
  <c r="H72" i="14"/>
  <c r="G72" i="14"/>
  <c r="G401" i="8"/>
  <c r="H401" i="8"/>
  <c r="F401" i="8"/>
  <c r="H401" i="9"/>
  <c r="I401" i="9"/>
  <c r="G401" i="9"/>
  <c r="H401" i="5"/>
  <c r="I401" i="5"/>
  <c r="G401" i="5"/>
  <c r="H400" i="5"/>
  <c r="H402" i="3"/>
  <c r="I402" i="3"/>
  <c r="G402" i="3"/>
  <c r="H401" i="4"/>
  <c r="I401" i="4"/>
  <c r="G401" i="4"/>
  <c r="H71" i="14"/>
  <c r="G71" i="14"/>
  <c r="H400" i="2"/>
  <c r="G400" i="2"/>
  <c r="H400" i="9"/>
  <c r="I400" i="9"/>
  <c r="G400" i="9"/>
  <c r="I400" i="5"/>
  <c r="G400" i="5"/>
  <c r="H401" i="3"/>
  <c r="I401" i="3"/>
  <c r="G401" i="3"/>
  <c r="H400" i="4"/>
  <c r="I400" i="4"/>
  <c r="G400" i="4"/>
  <c r="G400" i="8"/>
  <c r="F400" i="8"/>
  <c r="H400" i="8"/>
  <c r="G399" i="8"/>
  <c r="F399" i="8"/>
  <c r="H399" i="8"/>
  <c r="H70" i="14"/>
  <c r="G70" i="14"/>
  <c r="H399" i="2"/>
  <c r="G399" i="2"/>
  <c r="H399" i="9"/>
  <c r="I399" i="9"/>
  <c r="G399" i="9"/>
  <c r="H399" i="5"/>
  <c r="I399" i="5"/>
  <c r="G399" i="5"/>
  <c r="H400" i="3"/>
  <c r="I400" i="3"/>
  <c r="G400" i="3"/>
  <c r="H399" i="4"/>
  <c r="I399" i="4"/>
  <c r="G399" i="4"/>
  <c r="H398" i="2"/>
  <c r="G398" i="2"/>
  <c r="H69" i="14"/>
  <c r="G69" i="14"/>
  <c r="H398" i="9"/>
  <c r="I398" i="9"/>
  <c r="G398" i="9"/>
  <c r="H398" i="5"/>
  <c r="I398" i="5"/>
  <c r="G398" i="5"/>
  <c r="G398" i="8"/>
  <c r="H398" i="8"/>
  <c r="F398" i="8"/>
  <c r="H398" i="4"/>
  <c r="I398" i="4"/>
  <c r="G398" i="4"/>
  <c r="H399" i="3"/>
  <c r="G399" i="3"/>
  <c r="H397" i="2"/>
  <c r="G397" i="2"/>
  <c r="H68" i="14"/>
  <c r="G68" i="14"/>
  <c r="H397" i="9"/>
  <c r="I397" i="9"/>
  <c r="G397" i="9"/>
  <c r="H397" i="5"/>
  <c r="I397" i="5"/>
  <c r="G397" i="5"/>
  <c r="H398" i="3"/>
  <c r="I398" i="3"/>
  <c r="G398" i="3"/>
  <c r="H397" i="4"/>
  <c r="I397" i="4"/>
  <c r="G397" i="4"/>
  <c r="G397" i="8"/>
  <c r="H397" i="8"/>
  <c r="F397" i="8"/>
  <c r="H396" i="2"/>
  <c r="G396" i="2"/>
  <c r="G396" i="8"/>
  <c r="H396" i="8"/>
  <c r="F396" i="8"/>
  <c r="G67" i="14"/>
  <c r="H67" i="14"/>
  <c r="G396" i="9"/>
  <c r="I396" i="9"/>
  <c r="H396" i="9"/>
  <c r="H396" i="5"/>
  <c r="I396" i="5"/>
  <c r="G396" i="5"/>
  <c r="H397" i="3"/>
  <c r="I397" i="3"/>
  <c r="G397" i="3"/>
  <c r="H396" i="4"/>
  <c r="I396" i="4"/>
  <c r="G396" i="4"/>
  <c r="H395" i="2"/>
  <c r="G395" i="2"/>
  <c r="H66" i="14"/>
  <c r="G66" i="14"/>
  <c r="G395" i="8"/>
  <c r="H395" i="8"/>
  <c r="F395" i="8"/>
  <c r="G395" i="9"/>
  <c r="H395" i="9"/>
  <c r="I395" i="9"/>
  <c r="H395" i="5"/>
  <c r="I395" i="5"/>
  <c r="G395" i="5"/>
  <c r="G396" i="3"/>
  <c r="H396" i="3"/>
  <c r="I396" i="3"/>
  <c r="H395" i="4"/>
  <c r="G395" i="4"/>
  <c r="I395" i="4"/>
  <c r="G65" i="14"/>
  <c r="H65" i="14"/>
  <c r="F394" i="8"/>
  <c r="G394" i="8"/>
  <c r="H394" i="8"/>
  <c r="G394" i="9"/>
  <c r="H394" i="9"/>
  <c r="I394" i="9"/>
  <c r="G394" i="5"/>
  <c r="H394" i="5"/>
  <c r="I394" i="5"/>
  <c r="G395" i="3"/>
  <c r="H395" i="3"/>
  <c r="I395" i="3"/>
  <c r="G394" i="4"/>
  <c r="H394" i="4"/>
  <c r="I394" i="4"/>
  <c r="G394" i="2"/>
  <c r="H394" i="2"/>
  <c r="G64" i="14"/>
  <c r="H64" i="14"/>
  <c r="F393" i="8"/>
  <c r="G393" i="8"/>
  <c r="H393" i="8"/>
  <c r="G393" i="9"/>
  <c r="H393" i="9"/>
  <c r="I393" i="9"/>
  <c r="G393" i="5"/>
  <c r="I393" i="5"/>
  <c r="H393" i="5"/>
  <c r="G394" i="3"/>
  <c r="H394" i="3"/>
  <c r="I394" i="3"/>
  <c r="H393" i="4"/>
  <c r="I393" i="4"/>
  <c r="G393" i="4"/>
  <c r="G393" i="2"/>
  <c r="H393" i="2"/>
  <c r="G63" i="14"/>
  <c r="H63" i="14"/>
  <c r="G392" i="2"/>
  <c r="H392" i="2"/>
  <c r="F392" i="8"/>
  <c r="G392" i="8"/>
  <c r="H392" i="8"/>
  <c r="G392" i="9"/>
  <c r="H392" i="9"/>
  <c r="I392" i="9"/>
  <c r="G392" i="5"/>
  <c r="H392" i="5"/>
  <c r="I392" i="5"/>
  <c r="G393" i="3"/>
  <c r="H393" i="3"/>
  <c r="I393" i="3"/>
  <c r="G392" i="4"/>
  <c r="H392" i="4"/>
  <c r="I392" i="4"/>
  <c r="H62" i="14"/>
  <c r="G62" i="14"/>
  <c r="H391" i="8"/>
  <c r="G391" i="8"/>
  <c r="F391" i="8"/>
  <c r="H391" i="9"/>
  <c r="G391" i="9"/>
  <c r="I391" i="9"/>
  <c r="H391" i="5"/>
  <c r="G391" i="5"/>
  <c r="I391" i="5"/>
  <c r="H392" i="3"/>
  <c r="G392" i="3"/>
  <c r="I392" i="3"/>
  <c r="H391" i="4"/>
  <c r="G391" i="4"/>
  <c r="I391" i="4"/>
  <c r="H391" i="2"/>
  <c r="G391" i="2"/>
  <c r="I387" i="7"/>
  <c r="G388" i="2"/>
  <c r="H59" i="14"/>
  <c r="G59" i="14"/>
  <c r="G388" i="8"/>
  <c r="F388" i="8"/>
  <c r="H388" i="8"/>
  <c r="H388" i="9"/>
  <c r="G388" i="9"/>
  <c r="I388" i="9"/>
  <c r="I387" i="3"/>
  <c r="I388" i="3"/>
  <c r="I389" i="3"/>
  <c r="H387" i="3"/>
  <c r="H388" i="3"/>
  <c r="H389" i="3"/>
  <c r="H388" i="5"/>
  <c r="I388" i="5"/>
  <c r="G388" i="5"/>
  <c r="G389" i="3"/>
  <c r="H388" i="4"/>
  <c r="I388" i="4"/>
  <c r="G388" i="4"/>
  <c r="H387" i="4"/>
  <c r="H388" i="2"/>
  <c r="F386" i="7"/>
  <c r="I386" i="7"/>
  <c r="H58" i="14"/>
  <c r="G58" i="14"/>
  <c r="G387" i="8"/>
  <c r="H387" i="8"/>
  <c r="F387" i="8"/>
  <c r="H387" i="9"/>
  <c r="I387" i="9"/>
  <c r="G387" i="9"/>
  <c r="H387" i="5"/>
  <c r="I387" i="5"/>
  <c r="G387" i="5"/>
  <c r="G388" i="3"/>
  <c r="I387" i="4"/>
  <c r="G387" i="4"/>
  <c r="H387" i="2"/>
  <c r="G387" i="2"/>
  <c r="A80" i="14"/>
  <c r="A81" i="14"/>
  <c r="A82" i="14"/>
  <c r="A83" i="14"/>
  <c r="A84" i="14"/>
  <c r="A85" i="14"/>
  <c r="A86" i="14"/>
  <c r="A87" i="14"/>
  <c r="A88" i="14"/>
  <c r="A89" i="14"/>
  <c r="A90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408" i="8"/>
  <c r="A409" i="8"/>
  <c r="A410" i="8"/>
  <c r="A411" i="8"/>
  <c r="A412" i="8"/>
  <c r="A413" i="8"/>
  <c r="A414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9" i="3"/>
  <c r="A410" i="3"/>
  <c r="A411" i="3"/>
  <c r="A412" i="3"/>
  <c r="A413" i="3"/>
  <c r="A414" i="3"/>
  <c r="A415" i="3"/>
  <c r="A416" i="3"/>
  <c r="A417" i="3"/>
  <c r="A418" i="3"/>
  <c r="A419" i="3"/>
  <c r="A420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11" i="4"/>
  <c r="A412" i="4"/>
  <c r="A413" i="4"/>
  <c r="A414" i="4"/>
  <c r="A415" i="4"/>
  <c r="A416" i="4"/>
  <c r="A417" i="4"/>
  <c r="A418" i="4"/>
  <c r="A419" i="4"/>
  <c r="A420" i="4"/>
  <c r="A421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I385" i="7"/>
  <c r="H57" i="14"/>
  <c r="G57" i="14"/>
  <c r="A58" i="14"/>
  <c r="A59" i="14"/>
  <c r="A60" i="14"/>
  <c r="A61" i="14"/>
  <c r="A62" i="14"/>
  <c r="A63" i="14"/>
  <c r="A64" i="14"/>
  <c r="A65" i="14"/>
  <c r="A66" i="14"/>
  <c r="F386" i="8"/>
  <c r="H386" i="8"/>
  <c r="G386" i="8"/>
  <c r="A386" i="8"/>
  <c r="A387" i="8"/>
  <c r="A388" i="8"/>
  <c r="A389" i="8"/>
  <c r="A390" i="8"/>
  <c r="A391" i="8"/>
  <c r="A392" i="8"/>
  <c r="A393" i="8"/>
  <c r="H386" i="9"/>
  <c r="I386" i="9"/>
  <c r="G386" i="9"/>
  <c r="H386" i="5"/>
  <c r="I386" i="5"/>
  <c r="G386" i="5"/>
  <c r="G387" i="3"/>
  <c r="A387" i="3"/>
  <c r="A388" i="3"/>
  <c r="A389" i="3"/>
  <c r="A390" i="3"/>
  <c r="A391" i="3"/>
  <c r="A392" i="3"/>
  <c r="A393" i="3"/>
  <c r="A394" i="3"/>
  <c r="A395" i="3"/>
  <c r="A396" i="3"/>
  <c r="H386" i="4"/>
  <c r="I386" i="4"/>
  <c r="G386" i="4"/>
  <c r="A386" i="4"/>
  <c r="A387" i="4"/>
  <c r="A388" i="4"/>
  <c r="A389" i="4"/>
  <c r="A390" i="4"/>
  <c r="A391" i="4"/>
  <c r="A392" i="4"/>
  <c r="A393" i="4"/>
  <c r="H386" i="2"/>
  <c r="G386" i="2"/>
  <c r="H56" i="14"/>
  <c r="G56" i="14"/>
  <c r="G385" i="8"/>
  <c r="F385" i="8"/>
  <c r="H385" i="8"/>
  <c r="A385" i="8"/>
  <c r="H385" i="9"/>
  <c r="G385" i="9"/>
  <c r="I385" i="9"/>
  <c r="H385" i="5"/>
  <c r="G385" i="5"/>
  <c r="I385" i="5"/>
  <c r="H386" i="3"/>
  <c r="I386" i="3"/>
  <c r="G386" i="3"/>
  <c r="A386" i="3"/>
  <c r="H385" i="4"/>
  <c r="G385" i="4"/>
  <c r="I385" i="4"/>
  <c r="A385" i="4"/>
  <c r="H385" i="2"/>
  <c r="G385" i="2"/>
  <c r="I384" i="7"/>
  <c r="H55" i="14"/>
  <c r="G55" i="14"/>
  <c r="G384" i="8"/>
  <c r="H384" i="8"/>
  <c r="F384" i="8"/>
  <c r="A384" i="8"/>
  <c r="H384" i="9"/>
  <c r="G384" i="9"/>
  <c r="I384" i="9"/>
  <c r="H384" i="5"/>
  <c r="I384" i="5"/>
  <c r="G384" i="5"/>
  <c r="H385" i="3"/>
  <c r="G385" i="3"/>
  <c r="I385" i="3"/>
  <c r="A385" i="3"/>
  <c r="H384" i="4"/>
  <c r="G384" i="4"/>
  <c r="I384" i="4"/>
  <c r="A384" i="4"/>
  <c r="H384" i="2"/>
  <c r="G384" i="2"/>
  <c r="I383" i="7"/>
  <c r="H54" i="14"/>
  <c r="G54" i="14"/>
  <c r="A383" i="8"/>
  <c r="G383" i="8"/>
  <c r="F383" i="8"/>
  <c r="H383" i="8"/>
  <c r="H383" i="9"/>
  <c r="G383" i="9"/>
  <c r="I383" i="9"/>
  <c r="H383" i="5"/>
  <c r="G383" i="5"/>
  <c r="I383" i="5"/>
  <c r="H384" i="3"/>
  <c r="G384" i="3"/>
  <c r="I384" i="3"/>
  <c r="A384" i="3"/>
  <c r="H383" i="4"/>
  <c r="G383" i="4"/>
  <c r="I383" i="4"/>
  <c r="A383" i="4"/>
  <c r="H383" i="2"/>
  <c r="G383" i="2"/>
  <c r="I382" i="7"/>
  <c r="H53" i="14"/>
  <c r="G53" i="14"/>
  <c r="H382" i="8"/>
  <c r="G382" i="8"/>
  <c r="F382" i="8"/>
  <c r="A382" i="8"/>
  <c r="H382" i="9"/>
  <c r="G382" i="9"/>
  <c r="I382" i="9"/>
  <c r="H382" i="5"/>
  <c r="G382" i="5"/>
  <c r="I382" i="5"/>
  <c r="H383" i="3"/>
  <c r="G383" i="3"/>
  <c r="I383" i="3"/>
  <c r="A383" i="3"/>
  <c r="H382" i="4"/>
  <c r="G382" i="4"/>
  <c r="I382" i="4"/>
  <c r="A382" i="4"/>
  <c r="H382" i="2"/>
  <c r="G382" i="2"/>
  <c r="I381" i="7"/>
  <c r="H52" i="14"/>
  <c r="G52" i="14"/>
  <c r="G381" i="8"/>
  <c r="F381" i="8"/>
  <c r="H381" i="8"/>
  <c r="H381" i="9"/>
  <c r="G381" i="9"/>
  <c r="I381" i="9"/>
  <c r="H381" i="5"/>
  <c r="G381" i="5"/>
  <c r="I381" i="5"/>
  <c r="H382" i="3"/>
  <c r="G382" i="3"/>
  <c r="I382" i="3"/>
  <c r="H381" i="4"/>
  <c r="G381" i="4"/>
  <c r="I381" i="4"/>
  <c r="A381" i="4"/>
  <c r="H381" i="2"/>
  <c r="G381" i="2"/>
  <c r="I380" i="7"/>
  <c r="K328" i="7"/>
  <c r="H51" i="14"/>
  <c r="G51" i="14"/>
  <c r="G380" i="8"/>
  <c r="F380" i="8"/>
  <c r="H380" i="8"/>
  <c r="H380" i="9"/>
  <c r="G380" i="9"/>
  <c r="I380" i="9"/>
  <c r="H380" i="5"/>
  <c r="G380" i="5"/>
  <c r="I380" i="5"/>
  <c r="H381" i="3"/>
  <c r="G381" i="3"/>
  <c r="I381" i="3"/>
  <c r="H380" i="4"/>
  <c r="G380" i="4"/>
  <c r="I380" i="4"/>
  <c r="H380" i="2"/>
  <c r="G380" i="2"/>
  <c r="L380" i="1"/>
  <c r="K380" i="1"/>
  <c r="I379" i="7"/>
  <c r="H50" i="14"/>
  <c r="G50" i="14"/>
  <c r="G379" i="8"/>
  <c r="F379" i="8"/>
  <c r="H379" i="8"/>
  <c r="H379" i="9"/>
  <c r="G379" i="9"/>
  <c r="I379" i="9"/>
  <c r="H379" i="5"/>
  <c r="G379" i="5"/>
  <c r="I379" i="5"/>
  <c r="H380" i="3"/>
  <c r="G380" i="3"/>
  <c r="I380" i="3"/>
  <c r="H379" i="4"/>
  <c r="G379" i="4"/>
  <c r="I379" i="4"/>
  <c r="H379" i="2"/>
  <c r="G379" i="2"/>
  <c r="I378" i="7"/>
  <c r="H49" i="14"/>
  <c r="G49" i="14"/>
  <c r="G378" i="8"/>
  <c r="F378" i="8"/>
  <c r="H378" i="8"/>
  <c r="H378" i="9"/>
  <c r="G378" i="9"/>
  <c r="I378" i="9"/>
  <c r="H378" i="5"/>
  <c r="G378" i="5"/>
  <c r="I378" i="5"/>
  <c r="H379" i="3"/>
  <c r="G379" i="3"/>
  <c r="I379" i="3"/>
  <c r="H378" i="4"/>
  <c r="G378" i="4"/>
  <c r="I378" i="4"/>
  <c r="H378" i="2"/>
  <c r="G378" i="2"/>
  <c r="I377" i="7"/>
  <c r="H48" i="14"/>
  <c r="G48" i="14"/>
  <c r="G377" i="8"/>
  <c r="F377" i="8"/>
  <c r="H377" i="8"/>
  <c r="H377" i="9"/>
  <c r="G377" i="9"/>
  <c r="I377" i="9"/>
  <c r="H377" i="5"/>
  <c r="G377" i="5"/>
  <c r="I377" i="5"/>
  <c r="H378" i="3"/>
  <c r="G378" i="3"/>
  <c r="I378" i="3"/>
  <c r="H377" i="4"/>
  <c r="G377" i="4"/>
  <c r="I377" i="4"/>
  <c r="H377" i="2"/>
  <c r="G377" i="2"/>
  <c r="I376" i="7"/>
  <c r="H47" i="14"/>
  <c r="G47" i="14"/>
  <c r="G376" i="8"/>
  <c r="F376" i="8"/>
  <c r="H376" i="8"/>
  <c r="H376" i="9"/>
  <c r="G376" i="9"/>
  <c r="I376" i="9"/>
  <c r="H376" i="5"/>
  <c r="G376" i="5"/>
  <c r="I376" i="5"/>
  <c r="H377" i="3"/>
  <c r="G377" i="3"/>
  <c r="I377" i="3"/>
  <c r="H376" i="4"/>
  <c r="G376" i="4"/>
  <c r="I376" i="4"/>
  <c r="H376" i="2"/>
  <c r="G376" i="2"/>
  <c r="I375" i="7"/>
  <c r="H46" i="14"/>
  <c r="G46" i="14"/>
  <c r="G375" i="8"/>
  <c r="F375" i="8"/>
  <c r="H375" i="8"/>
  <c r="H375" i="9"/>
  <c r="G375" i="9"/>
  <c r="I375" i="9"/>
  <c r="I375" i="5"/>
  <c r="H375" i="5"/>
  <c r="G375" i="5"/>
  <c r="I376" i="3"/>
  <c r="H376" i="3"/>
  <c r="G376" i="3"/>
  <c r="H375" i="4"/>
  <c r="G375" i="4"/>
  <c r="I375" i="4"/>
  <c r="H375" i="2"/>
  <c r="G375" i="2"/>
  <c r="I374" i="7"/>
  <c r="H45" i="14"/>
  <c r="G45" i="14"/>
  <c r="G374" i="8"/>
  <c r="F374" i="8"/>
  <c r="H374" i="8"/>
  <c r="H374" i="9"/>
  <c r="G374" i="9"/>
  <c r="I374" i="9"/>
  <c r="H374" i="5"/>
  <c r="G374" i="5"/>
  <c r="I374" i="5"/>
  <c r="H375" i="3"/>
  <c r="G375" i="3"/>
  <c r="I375" i="3"/>
  <c r="H374" i="4"/>
  <c r="G374" i="4"/>
  <c r="I374" i="4"/>
  <c r="H374" i="2"/>
  <c r="G374" i="2"/>
  <c r="I373" i="7"/>
  <c r="I372" i="7"/>
  <c r="H44" i="14"/>
  <c r="G44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G373" i="8"/>
  <c r="H373" i="8"/>
  <c r="F373" i="8"/>
  <c r="A373" i="8"/>
  <c r="A374" i="8"/>
  <c r="A375" i="8"/>
  <c r="A376" i="8"/>
  <c r="A377" i="8"/>
  <c r="A378" i="8"/>
  <c r="A379" i="8"/>
  <c r="A380" i="8"/>
  <c r="A381" i="8"/>
  <c r="H373" i="9"/>
  <c r="I373" i="9"/>
  <c r="G373" i="9"/>
  <c r="H373" i="5"/>
  <c r="I373" i="5"/>
  <c r="G373" i="5"/>
  <c r="H374" i="3"/>
  <c r="I374" i="3"/>
  <c r="G374" i="3"/>
  <c r="A374" i="3"/>
  <c r="A375" i="3"/>
  <c r="A376" i="3"/>
  <c r="A377" i="3"/>
  <c r="A378" i="3"/>
  <c r="A379" i="3"/>
  <c r="A380" i="3"/>
  <c r="A381" i="3"/>
  <c r="A382" i="3"/>
  <c r="H373" i="4"/>
  <c r="I373" i="4"/>
  <c r="G373" i="4"/>
  <c r="A373" i="4"/>
  <c r="A374" i="4"/>
  <c r="A375" i="4"/>
  <c r="A376" i="4"/>
  <c r="A377" i="4"/>
  <c r="A378" i="4"/>
  <c r="A379" i="4"/>
  <c r="A380" i="4"/>
  <c r="H373" i="2"/>
  <c r="G373" i="2"/>
  <c r="H43" i="14"/>
  <c r="G43" i="14"/>
  <c r="A43" i="14"/>
  <c r="G372" i="8"/>
  <c r="F372" i="8"/>
  <c r="H372" i="8"/>
  <c r="A372" i="8"/>
  <c r="H372" i="9"/>
  <c r="G372" i="9"/>
  <c r="I372" i="9"/>
  <c r="H372" i="5"/>
  <c r="G372" i="5"/>
  <c r="I372" i="5"/>
  <c r="H373" i="3"/>
  <c r="G373" i="3"/>
  <c r="I373" i="3"/>
  <c r="A373" i="3"/>
  <c r="H372" i="4"/>
  <c r="G372" i="4"/>
  <c r="I372" i="4"/>
  <c r="A372" i="4"/>
  <c r="H372" i="2"/>
  <c r="G372" i="2"/>
  <c r="I371" i="7"/>
  <c r="H42" i="14"/>
  <c r="G42" i="14"/>
  <c r="A42" i="14"/>
  <c r="G371" i="8"/>
  <c r="F371" i="8"/>
  <c r="H371" i="8"/>
  <c r="A371" i="8"/>
  <c r="H371" i="9"/>
  <c r="G371" i="9"/>
  <c r="I371" i="9"/>
  <c r="H371" i="5"/>
  <c r="G371" i="5"/>
  <c r="I371" i="5"/>
  <c r="I372" i="3"/>
  <c r="H372" i="3"/>
  <c r="G372" i="3"/>
  <c r="A372" i="3"/>
  <c r="H371" i="4"/>
  <c r="G371" i="4"/>
  <c r="I371" i="4"/>
  <c r="A371" i="4"/>
  <c r="H371" i="2"/>
  <c r="G371" i="2"/>
  <c r="I370" i="7"/>
  <c r="H41" i="14"/>
  <c r="G41" i="14"/>
  <c r="A41" i="14"/>
  <c r="H370" i="8"/>
  <c r="G370" i="8"/>
  <c r="F370" i="8"/>
  <c r="A370" i="8"/>
  <c r="I370" i="9"/>
  <c r="H370" i="9"/>
  <c r="G370" i="9"/>
  <c r="H370" i="5"/>
  <c r="G370" i="5"/>
  <c r="I370" i="5"/>
  <c r="I371" i="3"/>
  <c r="H371" i="3"/>
  <c r="G371" i="3"/>
  <c r="A371" i="3"/>
  <c r="H370" i="4"/>
  <c r="G370" i="4"/>
  <c r="I370" i="4"/>
  <c r="A370" i="4"/>
  <c r="H370" i="2"/>
  <c r="G370" i="2"/>
  <c r="I369" i="7"/>
  <c r="A40" i="14"/>
  <c r="H40" i="14"/>
  <c r="G40" i="14"/>
  <c r="H369" i="8"/>
  <c r="G369" i="8"/>
  <c r="F369" i="8"/>
  <c r="A369" i="8"/>
  <c r="H369" i="9"/>
  <c r="G369" i="9"/>
  <c r="I369" i="9"/>
  <c r="H369" i="5"/>
  <c r="G369" i="5"/>
  <c r="I369" i="5"/>
  <c r="H370" i="3"/>
  <c r="G370" i="3"/>
  <c r="I370" i="3"/>
  <c r="A370" i="3"/>
  <c r="H369" i="4"/>
  <c r="G369" i="4"/>
  <c r="I369" i="4"/>
  <c r="A369" i="4"/>
  <c r="H369" i="2"/>
  <c r="G369" i="2"/>
  <c r="I368" i="7"/>
  <c r="H39" i="14"/>
  <c r="G39" i="14"/>
  <c r="A39" i="14"/>
  <c r="G368" i="8"/>
  <c r="F368" i="8"/>
  <c r="H368" i="8"/>
  <c r="A368" i="8"/>
  <c r="I368" i="9"/>
  <c r="H368" i="9"/>
  <c r="G368" i="9"/>
  <c r="H368" i="5"/>
  <c r="G368" i="5"/>
  <c r="I368" i="5"/>
  <c r="H369" i="3"/>
  <c r="G369" i="3"/>
  <c r="I369" i="3"/>
  <c r="A369" i="3"/>
  <c r="H368" i="4"/>
  <c r="G368" i="4"/>
  <c r="I368" i="4"/>
  <c r="A368" i="4"/>
  <c r="H368" i="2"/>
  <c r="G368" i="2"/>
  <c r="I367" i="7"/>
  <c r="H38" i="14"/>
  <c r="G38" i="14"/>
  <c r="A38" i="14"/>
  <c r="G367" i="8"/>
  <c r="F367" i="8"/>
  <c r="H367" i="8"/>
  <c r="A367" i="8"/>
  <c r="H367" i="9"/>
  <c r="G367" i="9"/>
  <c r="I367" i="9"/>
  <c r="H367" i="5"/>
  <c r="G367" i="5"/>
  <c r="I367" i="5"/>
  <c r="H368" i="3"/>
  <c r="G368" i="3"/>
  <c r="I368" i="3"/>
  <c r="H367" i="4"/>
  <c r="G367" i="4"/>
  <c r="I367" i="4"/>
  <c r="A367" i="4"/>
  <c r="H367" i="2"/>
  <c r="G367" i="2"/>
  <c r="I365" i="7"/>
  <c r="H37" i="14"/>
  <c r="G37" i="14"/>
  <c r="A37" i="14"/>
  <c r="G366" i="8"/>
  <c r="F366" i="8"/>
  <c r="H366" i="8"/>
  <c r="A366" i="8"/>
  <c r="H366" i="9"/>
  <c r="G366" i="9"/>
  <c r="I366" i="9"/>
  <c r="H366" i="5"/>
  <c r="G366" i="5"/>
  <c r="I366" i="5"/>
  <c r="H367" i="3"/>
  <c r="G367" i="3"/>
  <c r="I367" i="3"/>
  <c r="H366" i="4"/>
  <c r="G366" i="4"/>
  <c r="I366" i="4"/>
  <c r="A366" i="4"/>
  <c r="H366" i="2"/>
  <c r="G366" i="2"/>
  <c r="H36" i="14"/>
  <c r="G36" i="14"/>
  <c r="A36" i="14"/>
  <c r="G365" i="8"/>
  <c r="F365" i="8"/>
  <c r="H365" i="8"/>
  <c r="A365" i="8"/>
  <c r="H365" i="9"/>
  <c r="G365" i="9"/>
  <c r="I365" i="9"/>
  <c r="H365" i="5"/>
  <c r="G365" i="5"/>
  <c r="I365" i="5"/>
  <c r="H366" i="3"/>
  <c r="G366" i="3"/>
  <c r="I366" i="3"/>
  <c r="H365" i="4"/>
  <c r="G365" i="4"/>
  <c r="I365" i="4"/>
  <c r="A365" i="4"/>
  <c r="H365" i="2"/>
  <c r="G365" i="2"/>
  <c r="I364" i="7"/>
  <c r="H35" i="14"/>
  <c r="G35" i="14"/>
  <c r="A35" i="14"/>
  <c r="G364" i="8"/>
  <c r="F364" i="8"/>
  <c r="H364" i="8"/>
  <c r="A364" i="8"/>
  <c r="H364" i="9"/>
  <c r="G364" i="9"/>
  <c r="I364" i="9"/>
  <c r="H364" i="5"/>
  <c r="G364" i="5"/>
  <c r="I364" i="5"/>
  <c r="H365" i="3"/>
  <c r="G365" i="3"/>
  <c r="I365" i="3"/>
  <c r="H364" i="4"/>
  <c r="I364" i="4"/>
  <c r="G364" i="4"/>
  <c r="A364" i="4"/>
  <c r="H364" i="2"/>
  <c r="G364" i="2"/>
  <c r="I363" i="7"/>
  <c r="H34" i="14"/>
  <c r="G34" i="14"/>
  <c r="A34" i="14"/>
  <c r="H363" i="8"/>
  <c r="G363" i="8"/>
  <c r="F363" i="8"/>
  <c r="A363" i="8"/>
  <c r="H363" i="9"/>
  <c r="G363" i="9"/>
  <c r="I363" i="9"/>
  <c r="H363" i="5"/>
  <c r="G363" i="5"/>
  <c r="I363" i="5"/>
  <c r="H364" i="3"/>
  <c r="G364" i="3"/>
  <c r="I364" i="3"/>
  <c r="H363" i="4"/>
  <c r="G363" i="4"/>
  <c r="I363" i="4"/>
  <c r="A363" i="4"/>
  <c r="H363" i="2"/>
  <c r="G363" i="2"/>
  <c r="I363" i="2"/>
  <c r="I362" i="7"/>
  <c r="H33" i="14"/>
  <c r="G33" i="14"/>
  <c r="A33" i="14"/>
  <c r="G362" i="8"/>
  <c r="F362" i="8"/>
  <c r="H362" i="8"/>
  <c r="A362" i="8"/>
  <c r="H362" i="9"/>
  <c r="G362" i="9"/>
  <c r="I362" i="9"/>
  <c r="H362" i="5"/>
  <c r="G362" i="5"/>
  <c r="I362" i="5"/>
  <c r="H363" i="3"/>
  <c r="G363" i="3"/>
  <c r="I363" i="3"/>
  <c r="H362" i="4"/>
  <c r="G362" i="4"/>
  <c r="I362" i="4"/>
  <c r="A362" i="4"/>
  <c r="H362" i="2"/>
  <c r="G362" i="2"/>
  <c r="I362" i="2"/>
  <c r="I361" i="7"/>
  <c r="G32" i="14"/>
  <c r="H32" i="14"/>
  <c r="A32" i="14"/>
  <c r="F361" i="8"/>
  <c r="G361" i="8"/>
  <c r="H361" i="8"/>
  <c r="A361" i="8"/>
  <c r="G361" i="9"/>
  <c r="H361" i="9"/>
  <c r="I361" i="9"/>
  <c r="G361" i="5"/>
  <c r="H361" i="5"/>
  <c r="I361" i="5"/>
  <c r="G362" i="3"/>
  <c r="H362" i="3"/>
  <c r="I362" i="3"/>
  <c r="G361" i="3"/>
  <c r="G361" i="4"/>
  <c r="H361" i="4"/>
  <c r="I361" i="4"/>
  <c r="A361" i="4"/>
  <c r="G361" i="2"/>
  <c r="H361" i="2"/>
  <c r="I361" i="2"/>
  <c r="I360" i="7"/>
  <c r="H31" i="14"/>
  <c r="G31" i="14"/>
  <c r="A31" i="14"/>
  <c r="G360" i="8"/>
  <c r="F360" i="8"/>
  <c r="H360" i="8"/>
  <c r="A360" i="8"/>
  <c r="H360" i="9"/>
  <c r="G360" i="9"/>
  <c r="I360" i="9"/>
  <c r="H360" i="5"/>
  <c r="G360" i="5"/>
  <c r="I360" i="5"/>
  <c r="H361" i="3"/>
  <c r="I361" i="3"/>
  <c r="H360" i="4"/>
  <c r="G360" i="4"/>
  <c r="I360" i="4"/>
  <c r="A360" i="4"/>
  <c r="I360" i="2"/>
  <c r="G360" i="2"/>
  <c r="H360" i="2"/>
  <c r="I359" i="7"/>
  <c r="G30" i="14"/>
  <c r="H30" i="14"/>
  <c r="F359" i="8"/>
  <c r="H359" i="8"/>
  <c r="G359" i="8"/>
  <c r="G359" i="9"/>
  <c r="H359" i="9"/>
  <c r="I359" i="9"/>
  <c r="G359" i="5"/>
  <c r="H359" i="5"/>
  <c r="I359" i="5"/>
  <c r="G360" i="3"/>
  <c r="H360" i="3"/>
  <c r="I360" i="3"/>
  <c r="G359" i="4"/>
  <c r="H359" i="4"/>
  <c r="I359" i="4"/>
  <c r="G359" i="2"/>
  <c r="H359" i="2"/>
  <c r="I359" i="2"/>
  <c r="I358" i="7"/>
  <c r="G29" i="14"/>
  <c r="H29" i="14"/>
  <c r="F358" i="8"/>
  <c r="G358" i="8"/>
  <c r="H358" i="8"/>
  <c r="G358" i="9"/>
  <c r="H358" i="9"/>
  <c r="I358" i="9"/>
  <c r="G358" i="5"/>
  <c r="H358" i="5"/>
  <c r="G359" i="3"/>
  <c r="H359" i="3"/>
  <c r="I359" i="3"/>
  <c r="G358" i="4"/>
  <c r="H358" i="4"/>
  <c r="I358" i="4"/>
  <c r="A358" i="4"/>
  <c r="A359" i="4"/>
  <c r="G358" i="2"/>
  <c r="H358" i="2"/>
  <c r="I358" i="2"/>
  <c r="I357" i="7"/>
  <c r="I358" i="5"/>
  <c r="G28" i="14"/>
  <c r="H28" i="14"/>
  <c r="A28" i="14"/>
  <c r="A29" i="14"/>
  <c r="A30" i="14"/>
  <c r="F357" i="8"/>
  <c r="G357" i="8"/>
  <c r="H357" i="8"/>
  <c r="G357" i="9"/>
  <c r="H357" i="9"/>
  <c r="I357" i="9"/>
  <c r="G357" i="5"/>
  <c r="H357" i="5"/>
  <c r="I357" i="5"/>
  <c r="G358" i="3"/>
  <c r="H358" i="3"/>
  <c r="I358" i="3"/>
  <c r="G357" i="4"/>
  <c r="H357" i="4"/>
  <c r="I357" i="4"/>
  <c r="G357" i="2"/>
  <c r="H357" i="2"/>
  <c r="I357" i="2"/>
  <c r="I356" i="7"/>
  <c r="G27" i="14"/>
  <c r="H27" i="14"/>
  <c r="A27" i="14"/>
  <c r="F356" i="8"/>
  <c r="G356" i="8"/>
  <c r="H356" i="8"/>
  <c r="A356" i="8"/>
  <c r="A357" i="8"/>
  <c r="A358" i="8"/>
  <c r="A359" i="8"/>
  <c r="G356" i="9"/>
  <c r="H356" i="9"/>
  <c r="I356" i="9"/>
  <c r="G356" i="5"/>
  <c r="H356" i="5"/>
  <c r="I356" i="5"/>
  <c r="G357" i="3"/>
  <c r="H357" i="3"/>
  <c r="I357" i="3"/>
  <c r="G356" i="4"/>
  <c r="H356" i="4"/>
  <c r="I356" i="4"/>
  <c r="A356" i="4"/>
  <c r="A357" i="4"/>
  <c r="G356" i="2"/>
  <c r="H356" i="2"/>
  <c r="I356" i="2"/>
  <c r="G26" i="14"/>
  <c r="H26" i="14"/>
  <c r="A26" i="14"/>
  <c r="F355" i="8"/>
  <c r="G355" i="8"/>
  <c r="H355" i="8"/>
  <c r="A355" i="8"/>
  <c r="G355" i="9"/>
  <c r="H355" i="9"/>
  <c r="I355" i="9"/>
  <c r="G355" i="5"/>
  <c r="H355" i="5"/>
  <c r="I355" i="5"/>
  <c r="G356" i="3"/>
  <c r="H356" i="3"/>
  <c r="I356" i="3"/>
  <c r="G355" i="4"/>
  <c r="H355" i="4"/>
  <c r="I355" i="4"/>
  <c r="G355" i="2"/>
  <c r="H355" i="2"/>
  <c r="I355" i="2"/>
  <c r="I354" i="7"/>
  <c r="I353" i="7"/>
  <c r="G25" i="14"/>
  <c r="H25" i="14"/>
  <c r="F354" i="8"/>
  <c r="G354" i="8"/>
  <c r="H354" i="8"/>
  <c r="G354" i="9"/>
  <c r="H354" i="9"/>
  <c r="I354" i="9"/>
  <c r="G354" i="5"/>
  <c r="H354" i="5"/>
  <c r="I354" i="5"/>
  <c r="G355" i="3"/>
  <c r="H355" i="3"/>
  <c r="I355" i="3"/>
  <c r="G354" i="4"/>
  <c r="H354" i="4"/>
  <c r="I354" i="4"/>
  <c r="A355" i="4"/>
  <c r="G354" i="2"/>
  <c r="H354" i="2"/>
  <c r="I354" i="2"/>
  <c r="G24" i="14"/>
  <c r="H24" i="14"/>
  <c r="A24" i="14"/>
  <c r="A25" i="14"/>
  <c r="F353" i="8"/>
  <c r="H353" i="8"/>
  <c r="G353" i="8"/>
  <c r="G353" i="9"/>
  <c r="H353" i="9"/>
  <c r="I353" i="9"/>
  <c r="G353" i="5"/>
  <c r="H353" i="5"/>
  <c r="I353" i="5"/>
  <c r="G354" i="3"/>
  <c r="H354" i="3"/>
  <c r="I354" i="3"/>
  <c r="G353" i="4"/>
  <c r="H353" i="4"/>
  <c r="I353" i="4"/>
  <c r="G353" i="2"/>
  <c r="H353" i="2"/>
  <c r="I353" i="2"/>
  <c r="I352" i="7"/>
  <c r="G23" i="14"/>
  <c r="H23" i="14"/>
  <c r="A23" i="14"/>
  <c r="F352" i="8"/>
  <c r="G352" i="8"/>
  <c r="H352" i="8"/>
  <c r="G352" i="9"/>
  <c r="H352" i="9"/>
  <c r="I352" i="9"/>
  <c r="G352" i="5"/>
  <c r="H352" i="5"/>
  <c r="I352" i="5"/>
  <c r="G353" i="3"/>
  <c r="H353" i="3"/>
  <c r="I353" i="3"/>
  <c r="G352" i="4"/>
  <c r="I352" i="4"/>
  <c r="H352" i="4"/>
  <c r="A352" i="4"/>
  <c r="A353" i="4"/>
  <c r="A354" i="4"/>
  <c r="I351" i="2"/>
  <c r="I352" i="2"/>
  <c r="G352" i="2"/>
  <c r="H352" i="2"/>
  <c r="I351" i="7"/>
  <c r="H22" i="14"/>
  <c r="G22" i="14"/>
  <c r="A22" i="14"/>
  <c r="H351" i="8"/>
  <c r="G351" i="8"/>
  <c r="F351" i="8"/>
  <c r="I351" i="9"/>
  <c r="H351" i="9"/>
  <c r="G351" i="9"/>
  <c r="H351" i="5"/>
  <c r="G351" i="5"/>
  <c r="I351" i="5"/>
  <c r="H352" i="3"/>
  <c r="G352" i="3"/>
  <c r="I352" i="3"/>
  <c r="H351" i="4"/>
  <c r="G351" i="4"/>
  <c r="I351" i="4"/>
  <c r="A351" i="4"/>
  <c r="G351" i="2"/>
  <c r="H351" i="2"/>
  <c r="I350" i="7"/>
  <c r="G21" i="14"/>
  <c r="H21" i="14"/>
  <c r="F350" i="8"/>
  <c r="G350" i="8"/>
  <c r="H350" i="8"/>
  <c r="G350" i="9"/>
  <c r="I350" i="9"/>
  <c r="H350" i="9"/>
  <c r="G349" i="9"/>
  <c r="A21" i="14"/>
  <c r="G350" i="5"/>
  <c r="H350" i="5"/>
  <c r="I350" i="5"/>
  <c r="G351" i="3"/>
  <c r="H351" i="3"/>
  <c r="I351" i="3"/>
  <c r="G350" i="4"/>
  <c r="H350" i="4"/>
  <c r="I350" i="4"/>
  <c r="A350" i="4"/>
  <c r="G350" i="2"/>
  <c r="H350" i="2"/>
  <c r="I350" i="2"/>
  <c r="J350" i="1"/>
  <c r="S363" i="7"/>
  <c r="S362" i="7"/>
  <c r="M348" i="7"/>
  <c r="S361" i="7"/>
  <c r="U354" i="7"/>
  <c r="T354" i="7"/>
  <c r="S354" i="7"/>
  <c r="AF344" i="7"/>
  <c r="U351" i="7"/>
  <c r="U352" i="7" s="1"/>
  <c r="U350" i="7"/>
  <c r="T352" i="7"/>
  <c r="S352" i="7"/>
  <c r="S350" i="7"/>
  <c r="T350" i="7"/>
  <c r="L348" i="7"/>
  <c r="K348" i="7"/>
  <c r="J348" i="7"/>
  <c r="G20" i="14"/>
  <c r="H20" i="14"/>
  <c r="A20" i="14"/>
  <c r="F349" i="8"/>
  <c r="H349" i="8"/>
  <c r="G349" i="8"/>
  <c r="H349" i="9"/>
  <c r="I349" i="9"/>
  <c r="G349" i="5"/>
  <c r="H349" i="5"/>
  <c r="I349" i="5"/>
  <c r="G350" i="3"/>
  <c r="H350" i="3"/>
  <c r="I350" i="3"/>
  <c r="G349" i="4"/>
  <c r="H349" i="4"/>
  <c r="I349" i="4"/>
  <c r="A349" i="4"/>
  <c r="G349" i="2"/>
  <c r="H349" i="2"/>
  <c r="I349" i="2"/>
  <c r="J349" i="1"/>
  <c r="G349" i="1"/>
  <c r="H349" i="1"/>
  <c r="I348" i="7"/>
  <c r="H19" i="14"/>
  <c r="G19" i="14"/>
  <c r="A19" i="14"/>
  <c r="G348" i="8"/>
  <c r="F348" i="8"/>
  <c r="H348" i="8"/>
  <c r="H348" i="9"/>
  <c r="G348" i="9"/>
  <c r="I348" i="9"/>
  <c r="G348" i="5"/>
  <c r="I348" i="5"/>
  <c r="H348" i="5"/>
  <c r="H349" i="3"/>
  <c r="G349" i="3"/>
  <c r="I349" i="3"/>
  <c r="H348" i="4"/>
  <c r="G348" i="4"/>
  <c r="I348" i="4"/>
  <c r="A348" i="4"/>
  <c r="I348" i="2"/>
  <c r="H348" i="2"/>
  <c r="G348" i="2"/>
  <c r="J348" i="1"/>
  <c r="P347" i="7"/>
  <c r="N382" i="7"/>
  <c r="M382" i="7"/>
  <c r="N381" i="7"/>
  <c r="M381" i="7"/>
  <c r="N380" i="7"/>
  <c r="M380" i="7"/>
  <c r="N379" i="7"/>
  <c r="M379" i="7"/>
  <c r="N378" i="7"/>
  <c r="M378" i="7"/>
  <c r="N377" i="7"/>
  <c r="M377" i="7"/>
  <c r="N376" i="7"/>
  <c r="M376" i="7"/>
  <c r="N375" i="7"/>
  <c r="M375" i="7"/>
  <c r="N374" i="7"/>
  <c r="M374" i="7"/>
  <c r="N373" i="7"/>
  <c r="M373" i="7"/>
  <c r="N372" i="7"/>
  <c r="M372" i="7"/>
  <c r="N371" i="7"/>
  <c r="M371" i="7"/>
  <c r="N370" i="7"/>
  <c r="M370" i="7"/>
  <c r="N369" i="7"/>
  <c r="M369" i="7"/>
  <c r="N368" i="7"/>
  <c r="M368" i="7"/>
  <c r="N367" i="7"/>
  <c r="M367" i="7"/>
  <c r="N366" i="7"/>
  <c r="M366" i="7"/>
  <c r="N365" i="7"/>
  <c r="M365" i="7"/>
  <c r="N364" i="7"/>
  <c r="M364" i="7"/>
  <c r="N363" i="7"/>
  <c r="M363" i="7"/>
  <c r="N362" i="7"/>
  <c r="M362" i="7"/>
  <c r="N361" i="7"/>
  <c r="M361" i="7"/>
  <c r="N360" i="7"/>
  <c r="M360" i="7"/>
  <c r="N359" i="7"/>
  <c r="M359" i="7"/>
  <c r="N358" i="7"/>
  <c r="M358" i="7"/>
  <c r="N357" i="7"/>
  <c r="M357" i="7"/>
  <c r="N356" i="7"/>
  <c r="M356" i="7"/>
  <c r="N355" i="7"/>
  <c r="M355" i="7"/>
  <c r="N354" i="7"/>
  <c r="M354" i="7"/>
  <c r="N353" i="7"/>
  <c r="M353" i="7"/>
  <c r="N352" i="7"/>
  <c r="M352" i="7"/>
  <c r="N351" i="7"/>
  <c r="M351" i="7"/>
  <c r="N350" i="7"/>
  <c r="M350" i="7"/>
  <c r="N349" i="7"/>
  <c r="M349" i="7"/>
  <c r="N348" i="7"/>
  <c r="N347" i="7"/>
  <c r="M347" i="7"/>
  <c r="N346" i="7"/>
  <c r="M346" i="7"/>
  <c r="N345" i="7"/>
  <c r="M345" i="7"/>
  <c r="N344" i="7"/>
  <c r="M344" i="7"/>
  <c r="N343" i="7"/>
  <c r="M343" i="7"/>
  <c r="N342" i="7"/>
  <c r="M342" i="7"/>
  <c r="N341" i="7"/>
  <c r="M341" i="7"/>
  <c r="N340" i="7"/>
  <c r="M340" i="7"/>
  <c r="N339" i="7"/>
  <c r="M339" i="7"/>
  <c r="N338" i="7"/>
  <c r="M338" i="7"/>
  <c r="N337" i="7"/>
  <c r="M337" i="7"/>
  <c r="N336" i="7"/>
  <c r="M336" i="7"/>
  <c r="N335" i="7"/>
  <c r="M335" i="7"/>
  <c r="N334" i="7"/>
  <c r="M334" i="7"/>
  <c r="N333" i="7"/>
  <c r="M333" i="7"/>
  <c r="N332" i="7"/>
  <c r="M332" i="7"/>
  <c r="N331" i="7"/>
  <c r="M331" i="7"/>
  <c r="D29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13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H13" i="15"/>
  <c r="F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J13" i="15"/>
  <c r="P13" i="15" s="1"/>
  <c r="K13" i="15"/>
  <c r="Q13" i="15" s="1"/>
  <c r="L13" i="15"/>
  <c r="R13" i="15"/>
  <c r="M13" i="15"/>
  <c r="S13" i="15"/>
  <c r="N13" i="15"/>
  <c r="O13" i="15"/>
  <c r="U13" i="15"/>
  <c r="J14" i="15"/>
  <c r="P14" i="15" s="1"/>
  <c r="K14" i="15"/>
  <c r="Q14" i="15"/>
  <c r="L14" i="15"/>
  <c r="R14" i="15" s="1"/>
  <c r="M14" i="15"/>
  <c r="S14" i="15" s="1"/>
  <c r="N14" i="15"/>
  <c r="O14" i="15"/>
  <c r="U14" i="15"/>
  <c r="J15" i="15"/>
  <c r="P15" i="15"/>
  <c r="K15" i="15"/>
  <c r="Q15" i="15" s="1"/>
  <c r="L15" i="15"/>
  <c r="R15" i="15" s="1"/>
  <c r="M15" i="15"/>
  <c r="S15" i="15" s="1"/>
  <c r="N15" i="15"/>
  <c r="O15" i="15"/>
  <c r="U15" i="15"/>
  <c r="J16" i="15"/>
  <c r="P16" i="15" s="1"/>
  <c r="K16" i="15"/>
  <c r="Q16" i="15" s="1"/>
  <c r="L16" i="15"/>
  <c r="R16" i="15"/>
  <c r="M16" i="15"/>
  <c r="S16" i="15" s="1"/>
  <c r="N16" i="15"/>
  <c r="O16" i="15"/>
  <c r="U16" i="15"/>
  <c r="J17" i="15"/>
  <c r="P17" i="15" s="1"/>
  <c r="K17" i="15"/>
  <c r="Q17" i="15" s="1"/>
  <c r="L17" i="15"/>
  <c r="R17" i="15" s="1"/>
  <c r="M17" i="15"/>
  <c r="S17" i="15" s="1"/>
  <c r="N17" i="15"/>
  <c r="O17" i="15"/>
  <c r="U17" i="15"/>
  <c r="J18" i="15"/>
  <c r="P18" i="15" s="1"/>
  <c r="K18" i="15"/>
  <c r="Q18" i="15" s="1"/>
  <c r="L18" i="15"/>
  <c r="R18" i="15" s="1"/>
  <c r="M18" i="15"/>
  <c r="S18" i="15" s="1"/>
  <c r="N18" i="15"/>
  <c r="O18" i="15"/>
  <c r="U18" i="15"/>
  <c r="J19" i="15"/>
  <c r="P19" i="15"/>
  <c r="K19" i="15"/>
  <c r="Q19" i="15" s="1"/>
  <c r="L19" i="15"/>
  <c r="R19" i="15" s="1"/>
  <c r="M19" i="15"/>
  <c r="S19" i="15" s="1"/>
  <c r="N19" i="15"/>
  <c r="O19" i="15"/>
  <c r="U19" i="15"/>
  <c r="J20" i="15"/>
  <c r="P20" i="15"/>
  <c r="K20" i="15"/>
  <c r="Q20" i="15" s="1"/>
  <c r="L20" i="15"/>
  <c r="R20" i="15" s="1"/>
  <c r="M20" i="15"/>
  <c r="S20" i="15" s="1"/>
  <c r="N20" i="15"/>
  <c r="O20" i="15"/>
  <c r="U20" i="15"/>
  <c r="J21" i="15"/>
  <c r="P21" i="15" s="1"/>
  <c r="K21" i="15"/>
  <c r="Q21" i="15" s="1"/>
  <c r="L21" i="15"/>
  <c r="R21" i="15" s="1"/>
  <c r="M21" i="15"/>
  <c r="S21" i="15" s="1"/>
  <c r="N21" i="15"/>
  <c r="O21" i="15"/>
  <c r="U21" i="15"/>
  <c r="J22" i="15"/>
  <c r="P22" i="15" s="1"/>
  <c r="K22" i="15"/>
  <c r="Q22" i="15"/>
  <c r="L22" i="15"/>
  <c r="R22" i="15" s="1"/>
  <c r="M22" i="15"/>
  <c r="S22" i="15" s="1"/>
  <c r="N22" i="15"/>
  <c r="O22" i="15"/>
  <c r="U22" i="15"/>
  <c r="J23" i="15"/>
  <c r="P23" i="15"/>
  <c r="K23" i="15"/>
  <c r="Q23" i="15" s="1"/>
  <c r="L23" i="15"/>
  <c r="R23" i="15"/>
  <c r="M23" i="15"/>
  <c r="S23" i="15" s="1"/>
  <c r="N23" i="15"/>
  <c r="O23" i="15"/>
  <c r="U23" i="15"/>
  <c r="J24" i="15"/>
  <c r="P24" i="15" s="1"/>
  <c r="K24" i="15"/>
  <c r="Q24" i="15" s="1"/>
  <c r="L24" i="15"/>
  <c r="R24" i="15" s="1"/>
  <c r="M24" i="15"/>
  <c r="S24" i="15" s="1"/>
  <c r="N24" i="15"/>
  <c r="O24" i="15"/>
  <c r="U24" i="15"/>
  <c r="J25" i="15"/>
  <c r="P25" i="15"/>
  <c r="K25" i="15"/>
  <c r="Q25" i="15" s="1"/>
  <c r="L25" i="15"/>
  <c r="R25" i="15" s="1"/>
  <c r="M25" i="15"/>
  <c r="S25" i="15" s="1"/>
  <c r="N25" i="15"/>
  <c r="O25" i="15"/>
  <c r="U25" i="15"/>
  <c r="J26" i="15"/>
  <c r="P26" i="15"/>
  <c r="K26" i="15"/>
  <c r="Q26" i="15" s="1"/>
  <c r="L26" i="15"/>
  <c r="R26" i="15" s="1"/>
  <c r="M26" i="15"/>
  <c r="S26" i="15" s="1"/>
  <c r="N26" i="15"/>
  <c r="O26" i="15"/>
  <c r="U26" i="15"/>
  <c r="J27" i="15"/>
  <c r="P27" i="15" s="1"/>
  <c r="K27" i="15"/>
  <c r="Q27" i="15" s="1"/>
  <c r="L27" i="15"/>
  <c r="R27" i="15" s="1"/>
  <c r="M27" i="15"/>
  <c r="S27" i="15" s="1"/>
  <c r="N27" i="15"/>
  <c r="O27" i="15"/>
  <c r="U27" i="15"/>
  <c r="I26" i="15"/>
  <c r="I18" i="15"/>
  <c r="I20" i="15"/>
  <c r="I16" i="15"/>
  <c r="I24" i="15"/>
  <c r="I15" i="15"/>
  <c r="I14" i="15"/>
  <c r="I13" i="15"/>
  <c r="I27" i="15"/>
  <c r="I19" i="15"/>
  <c r="E13" i="15"/>
  <c r="I23" i="15"/>
  <c r="I22" i="15"/>
  <c r="I21" i="15"/>
  <c r="I25" i="15"/>
  <c r="I17" i="15"/>
  <c r="U64" i="15"/>
  <c r="U63" i="15"/>
  <c r="U62" i="15"/>
  <c r="U61" i="15"/>
  <c r="U60" i="15"/>
  <c r="U59" i="15"/>
  <c r="U58" i="15"/>
  <c r="U57" i="15"/>
  <c r="U56" i="15"/>
  <c r="U55" i="15"/>
  <c r="U54" i="15"/>
  <c r="U53" i="15"/>
  <c r="U52" i="15"/>
  <c r="U51" i="15"/>
  <c r="U50" i="15"/>
  <c r="U49" i="15"/>
  <c r="U48" i="15"/>
  <c r="U47" i="15"/>
  <c r="U46" i="15"/>
  <c r="U45" i="15"/>
  <c r="U44" i="15"/>
  <c r="U43" i="15"/>
  <c r="U42" i="15"/>
  <c r="U41" i="15"/>
  <c r="U40" i="15"/>
  <c r="U39" i="15"/>
  <c r="U38" i="15"/>
  <c r="U37" i="15"/>
  <c r="U36" i="15"/>
  <c r="U35" i="15"/>
  <c r="U34" i="15"/>
  <c r="U33" i="15"/>
  <c r="U32" i="15"/>
  <c r="U31" i="15"/>
  <c r="U30" i="15"/>
  <c r="J29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N29" i="15"/>
  <c r="M64" i="15"/>
  <c r="S64" i="15" s="1"/>
  <c r="M63" i="15"/>
  <c r="S63" i="15" s="1"/>
  <c r="M62" i="15"/>
  <c r="S62" i="15" s="1"/>
  <c r="M61" i="15"/>
  <c r="S61" i="15" s="1"/>
  <c r="M60" i="15"/>
  <c r="S60" i="15" s="1"/>
  <c r="M59" i="15"/>
  <c r="S59" i="15" s="1"/>
  <c r="M58" i="15"/>
  <c r="S58" i="15" s="1"/>
  <c r="M57" i="15"/>
  <c r="S57" i="15" s="1"/>
  <c r="M56" i="15"/>
  <c r="S56" i="15" s="1"/>
  <c r="M55" i="15"/>
  <c r="S55" i="15" s="1"/>
  <c r="M54" i="15"/>
  <c r="S54" i="15" s="1"/>
  <c r="M53" i="15"/>
  <c r="S53" i="15" s="1"/>
  <c r="M52" i="15"/>
  <c r="S52" i="15" s="1"/>
  <c r="M51" i="15"/>
  <c r="S51" i="15" s="1"/>
  <c r="M50" i="15"/>
  <c r="S50" i="15" s="1"/>
  <c r="M49" i="15"/>
  <c r="S49" i="15" s="1"/>
  <c r="M48" i="15"/>
  <c r="S48" i="15" s="1"/>
  <c r="M47" i="15"/>
  <c r="S47" i="15" s="1"/>
  <c r="M46" i="15"/>
  <c r="S46" i="15" s="1"/>
  <c r="M45" i="15"/>
  <c r="S45" i="15" s="1"/>
  <c r="M44" i="15"/>
  <c r="S44" i="15" s="1"/>
  <c r="M43" i="15"/>
  <c r="S43" i="15" s="1"/>
  <c r="M42" i="15"/>
  <c r="S42" i="15" s="1"/>
  <c r="M41" i="15"/>
  <c r="S41" i="15" s="1"/>
  <c r="M40" i="15"/>
  <c r="S40" i="15" s="1"/>
  <c r="M39" i="15"/>
  <c r="S39" i="15" s="1"/>
  <c r="M38" i="15"/>
  <c r="S38" i="15" s="1"/>
  <c r="M37" i="15"/>
  <c r="S37" i="15" s="1"/>
  <c r="M36" i="15"/>
  <c r="S36" i="15" s="1"/>
  <c r="M35" i="15"/>
  <c r="S35" i="15" s="1"/>
  <c r="M34" i="15"/>
  <c r="S34" i="15" s="1"/>
  <c r="M33" i="15"/>
  <c r="S33" i="15" s="1"/>
  <c r="M32" i="15"/>
  <c r="S32" i="15" s="1"/>
  <c r="M31" i="15"/>
  <c r="S31" i="15" s="1"/>
  <c r="M30" i="15"/>
  <c r="S30" i="15" s="1"/>
  <c r="M29" i="15"/>
  <c r="L29" i="15"/>
  <c r="K64" i="15"/>
  <c r="Q64" i="15" s="1"/>
  <c r="K63" i="15"/>
  <c r="Q63" i="15" s="1"/>
  <c r="K62" i="15"/>
  <c r="Q62" i="15" s="1"/>
  <c r="K61" i="15"/>
  <c r="Q61" i="15" s="1"/>
  <c r="K60" i="15"/>
  <c r="Q60" i="15" s="1"/>
  <c r="K59" i="15"/>
  <c r="Q59" i="15" s="1"/>
  <c r="K58" i="15"/>
  <c r="Q58" i="15"/>
  <c r="K57" i="15"/>
  <c r="Q57" i="15"/>
  <c r="K56" i="15"/>
  <c r="Q56" i="15" s="1"/>
  <c r="K55" i="15"/>
  <c r="Q55" i="15" s="1"/>
  <c r="K54" i="15"/>
  <c r="Q54" i="15" s="1"/>
  <c r="K53" i="15"/>
  <c r="Q53" i="15"/>
  <c r="K52" i="15"/>
  <c r="Q52" i="15" s="1"/>
  <c r="K51" i="15"/>
  <c r="Q51" i="15" s="1"/>
  <c r="K50" i="15"/>
  <c r="Q50" i="15" s="1"/>
  <c r="K49" i="15"/>
  <c r="Q49" i="15"/>
  <c r="K48" i="15"/>
  <c r="Q48" i="15" s="1"/>
  <c r="K47" i="15"/>
  <c r="Q47" i="15" s="1"/>
  <c r="K46" i="15"/>
  <c r="Q46" i="15"/>
  <c r="K45" i="15"/>
  <c r="Q45" i="15" s="1"/>
  <c r="K44" i="15"/>
  <c r="Q44" i="15" s="1"/>
  <c r="K43" i="15"/>
  <c r="Q43" i="15" s="1"/>
  <c r="K42" i="15"/>
  <c r="Q42" i="15" s="1"/>
  <c r="K41" i="15"/>
  <c r="Q41" i="15"/>
  <c r="K40" i="15"/>
  <c r="Q40" i="15" s="1"/>
  <c r="K39" i="15"/>
  <c r="Q39" i="15" s="1"/>
  <c r="K38" i="15"/>
  <c r="Q38" i="15" s="1"/>
  <c r="K37" i="15"/>
  <c r="Q37" i="15" s="1"/>
  <c r="K36" i="15"/>
  <c r="Q36" i="15" s="1"/>
  <c r="K35" i="15"/>
  <c r="Q35" i="15" s="1"/>
  <c r="K34" i="15"/>
  <c r="Q34" i="15" s="1"/>
  <c r="K33" i="15"/>
  <c r="Q33" i="15" s="1"/>
  <c r="K32" i="15"/>
  <c r="Q32" i="15" s="1"/>
  <c r="K31" i="15"/>
  <c r="Q31" i="15" s="1"/>
  <c r="K30" i="15"/>
  <c r="Q30" i="15" s="1"/>
  <c r="K29" i="15"/>
  <c r="O28" i="15"/>
  <c r="N28" i="15"/>
  <c r="M28" i="15"/>
  <c r="S28" i="15" s="1"/>
  <c r="L28" i="15"/>
  <c r="R28" i="15" s="1"/>
  <c r="K28" i="15"/>
  <c r="Q28" i="15" s="1"/>
  <c r="J28" i="15"/>
  <c r="P28" i="15" s="1"/>
  <c r="H28" i="15"/>
  <c r="G28" i="15"/>
  <c r="E65" i="15"/>
  <c r="F65" i="15" s="1"/>
  <c r="F66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F46" i="15" s="1"/>
  <c r="F47" i="15" s="1"/>
  <c r="F48" i="15" s="1"/>
  <c r="F49" i="15" s="1"/>
  <c r="F50" i="15" s="1"/>
  <c r="F51" i="15" s="1"/>
  <c r="F52" i="15" s="1"/>
  <c r="F53" i="15" s="1"/>
  <c r="F54" i="15" s="1"/>
  <c r="F55" i="15" s="1"/>
  <c r="F56" i="15" s="1"/>
  <c r="F57" i="15" s="1"/>
  <c r="F58" i="15" s="1"/>
  <c r="F59" i="15" s="1"/>
  <c r="F60" i="15" s="1"/>
  <c r="F61" i="15" s="1"/>
  <c r="F62" i="15" s="1"/>
  <c r="F63" i="15" s="1"/>
  <c r="F64" i="15" s="1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U29" i="15"/>
  <c r="R29" i="15"/>
  <c r="P29" i="15"/>
  <c r="U28" i="15"/>
  <c r="U66" i="15" s="1"/>
  <c r="D28" i="15"/>
  <c r="I28" i="15"/>
  <c r="H66" i="15"/>
  <c r="H18" i="14"/>
  <c r="G18" i="14"/>
  <c r="A18" i="14"/>
  <c r="G347" i="8"/>
  <c r="F347" i="8"/>
  <c r="H347" i="8"/>
  <c r="H347" i="9"/>
  <c r="G347" i="9"/>
  <c r="I347" i="9"/>
  <c r="G347" i="5"/>
  <c r="I347" i="5"/>
  <c r="H347" i="5"/>
  <c r="G348" i="3"/>
  <c r="H348" i="3"/>
  <c r="I348" i="3"/>
  <c r="G347" i="4"/>
  <c r="H347" i="4"/>
  <c r="I347" i="4"/>
  <c r="A347" i="4"/>
  <c r="I346" i="2"/>
  <c r="I345" i="2"/>
  <c r="I344" i="2"/>
  <c r="I343" i="2"/>
  <c r="I342" i="2"/>
  <c r="I347" i="2"/>
  <c r="H347" i="2"/>
  <c r="G347" i="2"/>
  <c r="J346" i="1"/>
  <c r="J345" i="1"/>
  <c r="J344" i="1"/>
  <c r="J343" i="1"/>
  <c r="J347" i="1"/>
  <c r="I346" i="7"/>
  <c r="H17" i="14"/>
  <c r="G17" i="14"/>
  <c r="A17" i="14"/>
  <c r="G346" i="8"/>
  <c r="F346" i="8"/>
  <c r="H346" i="8"/>
  <c r="H346" i="9"/>
  <c r="G346" i="9"/>
  <c r="I346" i="9"/>
  <c r="H346" i="5"/>
  <c r="G346" i="5"/>
  <c r="I346" i="5"/>
  <c r="H347" i="3"/>
  <c r="G347" i="3"/>
  <c r="I347" i="3"/>
  <c r="G346" i="4"/>
  <c r="H346" i="4"/>
  <c r="I346" i="4"/>
  <c r="A346" i="4"/>
  <c r="H346" i="2"/>
  <c r="G346" i="2"/>
  <c r="I345" i="7"/>
  <c r="H16" i="14"/>
  <c r="G16" i="14"/>
  <c r="G345" i="8"/>
  <c r="F345" i="8"/>
  <c r="H345" i="8"/>
  <c r="H345" i="9"/>
  <c r="G345" i="9"/>
  <c r="I345" i="9"/>
  <c r="H345" i="5"/>
  <c r="G345" i="5"/>
  <c r="I345" i="5"/>
  <c r="H346" i="3"/>
  <c r="G346" i="3"/>
  <c r="I346" i="3"/>
  <c r="H345" i="4"/>
  <c r="G345" i="4"/>
  <c r="I345" i="4"/>
  <c r="A345" i="4"/>
  <c r="H345" i="2"/>
  <c r="G345" i="2"/>
  <c r="I344" i="7"/>
  <c r="H15" i="14"/>
  <c r="G15" i="14"/>
  <c r="G344" i="8"/>
  <c r="F344" i="8"/>
  <c r="H344" i="8"/>
  <c r="I344" i="9"/>
  <c r="H344" i="9"/>
  <c r="G344" i="9"/>
  <c r="H344" i="5"/>
  <c r="G344" i="5"/>
  <c r="I344" i="5"/>
  <c r="H345" i="3"/>
  <c r="G345" i="3"/>
  <c r="I345" i="3"/>
  <c r="I344" i="4"/>
  <c r="H344" i="4"/>
  <c r="G344" i="4"/>
  <c r="A344" i="4"/>
  <c r="H344" i="2"/>
  <c r="G344" i="2"/>
  <c r="I343" i="7"/>
  <c r="G14" i="14"/>
  <c r="H14" i="14"/>
  <c r="F343" i="8"/>
  <c r="G343" i="8"/>
  <c r="H343" i="8"/>
  <c r="G343" i="9"/>
  <c r="H343" i="9"/>
  <c r="I343" i="9"/>
  <c r="G343" i="5"/>
  <c r="H343" i="5"/>
  <c r="I343" i="5"/>
  <c r="G344" i="3"/>
  <c r="H344" i="3"/>
  <c r="I344" i="3"/>
  <c r="G343" i="4"/>
  <c r="H343" i="4"/>
  <c r="I343" i="4"/>
  <c r="A343" i="4"/>
  <c r="G343" i="2"/>
  <c r="H343" i="2"/>
  <c r="I342" i="7"/>
  <c r="G13" i="14"/>
  <c r="H13" i="14"/>
  <c r="G342" i="8"/>
  <c r="F342" i="8"/>
  <c r="H342" i="8"/>
  <c r="G342" i="9"/>
  <c r="H342" i="9"/>
  <c r="I342" i="9"/>
  <c r="G342" i="5"/>
  <c r="H342" i="5"/>
  <c r="I342" i="5"/>
  <c r="G343" i="3"/>
  <c r="H343" i="3"/>
  <c r="I343" i="3"/>
  <c r="G342" i="4"/>
  <c r="I342" i="4"/>
  <c r="H342" i="4"/>
  <c r="G342" i="2"/>
  <c r="H342" i="2"/>
  <c r="I341" i="7"/>
  <c r="G12" i="14"/>
  <c r="H12" i="14"/>
  <c r="F341" i="8"/>
  <c r="G341" i="8"/>
  <c r="H341" i="8"/>
  <c r="G341" i="9"/>
  <c r="H341" i="9"/>
  <c r="I341" i="9"/>
  <c r="G341" i="5"/>
  <c r="H341" i="5"/>
  <c r="I341" i="5"/>
  <c r="G342" i="3"/>
  <c r="H342" i="3"/>
  <c r="I342" i="3"/>
  <c r="G341" i="4"/>
  <c r="H341" i="4"/>
  <c r="I341" i="4"/>
  <c r="G341" i="2"/>
  <c r="H341" i="2"/>
  <c r="I340" i="7"/>
  <c r="G11" i="14"/>
  <c r="H11" i="14"/>
  <c r="A11" i="14"/>
  <c r="A12" i="14"/>
  <c r="A13" i="14"/>
  <c r="A14" i="14"/>
  <c r="A15" i="14"/>
  <c r="A16" i="14"/>
  <c r="F340" i="8"/>
  <c r="G340" i="8"/>
  <c r="G340" i="9"/>
  <c r="H340" i="9"/>
  <c r="I340" i="9"/>
  <c r="G340" i="5"/>
  <c r="H340" i="5"/>
  <c r="I340" i="5"/>
  <c r="G341" i="3"/>
  <c r="H341" i="3"/>
  <c r="I341" i="3"/>
  <c r="G340" i="4"/>
  <c r="H340" i="4"/>
  <c r="I340" i="4"/>
  <c r="G340" i="2"/>
  <c r="H340" i="2"/>
  <c r="I339" i="7"/>
  <c r="H340" i="8"/>
  <c r="H10" i="14"/>
  <c r="G10" i="14"/>
  <c r="G339" i="8"/>
  <c r="F339" i="8"/>
  <c r="H339" i="8"/>
  <c r="H339" i="9"/>
  <c r="G339" i="9"/>
  <c r="I339" i="9"/>
  <c r="H339" i="5"/>
  <c r="G339" i="5"/>
  <c r="I339" i="5"/>
  <c r="H340" i="3"/>
  <c r="I340" i="3"/>
  <c r="G340" i="3"/>
  <c r="H339" i="4"/>
  <c r="G339" i="4"/>
  <c r="I339" i="4"/>
  <c r="H339" i="2"/>
  <c r="G339" i="2"/>
  <c r="I338" i="7"/>
  <c r="G9" i="14"/>
  <c r="H9" i="14"/>
  <c r="F338" i="8"/>
  <c r="G338" i="8"/>
  <c r="H338" i="8"/>
  <c r="G338" i="9"/>
  <c r="H338" i="9"/>
  <c r="I338" i="9"/>
  <c r="G338" i="5"/>
  <c r="H338" i="5"/>
  <c r="I338" i="5"/>
  <c r="G339" i="3"/>
  <c r="H339" i="3"/>
  <c r="I339" i="3"/>
  <c r="G338" i="4"/>
  <c r="H338" i="4"/>
  <c r="I338" i="4"/>
  <c r="I337" i="7"/>
  <c r="H336" i="1"/>
  <c r="G8" i="14"/>
  <c r="H8" i="14"/>
  <c r="F337" i="8"/>
  <c r="G337" i="8"/>
  <c r="H337" i="8"/>
  <c r="G337" i="9"/>
  <c r="H337" i="9"/>
  <c r="I337" i="9"/>
  <c r="G337" i="5"/>
  <c r="H337" i="5"/>
  <c r="I337" i="5"/>
  <c r="G338" i="3"/>
  <c r="I338" i="3"/>
  <c r="H338" i="3"/>
  <c r="G337" i="4"/>
  <c r="H337" i="4"/>
  <c r="I337" i="4"/>
  <c r="I336" i="7"/>
  <c r="G7" i="14"/>
  <c r="H7" i="14"/>
  <c r="F336" i="8"/>
  <c r="G336" i="8"/>
  <c r="H336" i="8"/>
  <c r="G336" i="9"/>
  <c r="H336" i="9"/>
  <c r="I336" i="9"/>
  <c r="G336" i="5"/>
  <c r="H336" i="5"/>
  <c r="I336" i="5"/>
  <c r="G337" i="3"/>
  <c r="H337" i="3"/>
  <c r="I337" i="3"/>
  <c r="G336" i="4"/>
  <c r="H336" i="4"/>
  <c r="I336" i="4"/>
  <c r="I335" i="7"/>
  <c r="G6" i="14"/>
  <c r="H6" i="14"/>
  <c r="A6" i="14"/>
  <c r="A7" i="14"/>
  <c r="A8" i="14"/>
  <c r="A9" i="14"/>
  <c r="A10" i="14"/>
  <c r="F335" i="8"/>
  <c r="G335" i="8"/>
  <c r="H335" i="8"/>
  <c r="G335" i="9"/>
  <c r="H335" i="9"/>
  <c r="I335" i="9"/>
  <c r="G335" i="5"/>
  <c r="H335" i="5"/>
  <c r="I335" i="5"/>
  <c r="G336" i="3"/>
  <c r="H336" i="3"/>
  <c r="I336" i="3"/>
  <c r="G335" i="4"/>
  <c r="H335" i="4"/>
  <c r="I335" i="4"/>
  <c r="G335" i="2"/>
  <c r="H335" i="2"/>
  <c r="G336" i="2"/>
  <c r="H336" i="2"/>
  <c r="G337" i="2"/>
  <c r="H337" i="2"/>
  <c r="G338" i="2"/>
  <c r="H338" i="2"/>
  <c r="I334" i="7"/>
  <c r="H5" i="14"/>
  <c r="G5" i="14"/>
  <c r="A5" i="14"/>
  <c r="G334" i="8"/>
  <c r="F334" i="8"/>
  <c r="H334" i="8"/>
  <c r="H334" i="9"/>
  <c r="G334" i="9"/>
  <c r="I334" i="9"/>
  <c r="H334" i="5"/>
  <c r="G334" i="5"/>
  <c r="I334" i="5"/>
  <c r="H335" i="3"/>
  <c r="G335" i="3"/>
  <c r="I335" i="3"/>
  <c r="H334" i="4"/>
  <c r="G334" i="4"/>
  <c r="I334" i="4"/>
  <c r="H334" i="2"/>
  <c r="G334" i="2"/>
  <c r="I333" i="7"/>
  <c r="H4" i="14"/>
  <c r="G4" i="14"/>
  <c r="A4" i="14"/>
  <c r="G333" i="8"/>
  <c r="F333" i="8"/>
  <c r="H333" i="9"/>
  <c r="G333" i="9"/>
  <c r="I333" i="9"/>
  <c r="H333" i="5"/>
  <c r="G333" i="5"/>
  <c r="I333" i="5"/>
  <c r="H334" i="3"/>
  <c r="G334" i="3"/>
  <c r="I334" i="3"/>
  <c r="H333" i="4"/>
  <c r="G333" i="4"/>
  <c r="I333" i="4"/>
  <c r="H333" i="2"/>
  <c r="G333" i="2"/>
  <c r="H333" i="8"/>
  <c r="H3" i="14"/>
  <c r="G3" i="14"/>
  <c r="G332" i="8"/>
  <c r="F332" i="8"/>
  <c r="H332" i="8"/>
  <c r="H332" i="9"/>
  <c r="G332" i="9"/>
  <c r="I332" i="9"/>
  <c r="H332" i="5"/>
  <c r="G332" i="5"/>
  <c r="I332" i="5"/>
  <c r="H333" i="3"/>
  <c r="G333" i="3"/>
  <c r="I333" i="3"/>
  <c r="H332" i="4"/>
  <c r="G332" i="4"/>
  <c r="I332" i="4"/>
  <c r="G332" i="2"/>
  <c r="H332" i="2"/>
  <c r="G332" i="1"/>
  <c r="AK161" i="13"/>
  <c r="AK180" i="13"/>
  <c r="AK159" i="13"/>
  <c r="AK168" i="13"/>
  <c r="AK192" i="13"/>
  <c r="AK163" i="13"/>
  <c r="AK139" i="13"/>
  <c r="G331" i="8"/>
  <c r="F331" i="8"/>
  <c r="H331" i="8"/>
  <c r="H331" i="9"/>
  <c r="G331" i="9"/>
  <c r="I331" i="9"/>
  <c r="H331" i="5"/>
  <c r="G331" i="5"/>
  <c r="I331" i="5"/>
  <c r="H332" i="3"/>
  <c r="G332" i="3"/>
  <c r="I332" i="3"/>
  <c r="H331" i="4"/>
  <c r="G331" i="4"/>
  <c r="I331" i="4"/>
  <c r="H331" i="2"/>
  <c r="G331" i="2"/>
  <c r="I330" i="7"/>
  <c r="G330" i="8"/>
  <c r="F330" i="8"/>
  <c r="H330" i="8"/>
  <c r="H330" i="9"/>
  <c r="G330" i="9"/>
  <c r="I330" i="9"/>
  <c r="I330" i="5"/>
  <c r="H331" i="3"/>
  <c r="G331" i="3"/>
  <c r="I331" i="3"/>
  <c r="H330" i="4"/>
  <c r="G330" i="4"/>
  <c r="I330" i="4"/>
  <c r="H330" i="2"/>
  <c r="G330" i="2"/>
  <c r="I329" i="7"/>
  <c r="G329" i="8"/>
  <c r="F329" i="8"/>
  <c r="H329" i="8"/>
  <c r="H329" i="9"/>
  <c r="G329" i="9"/>
  <c r="I329" i="9"/>
  <c r="I329" i="5"/>
  <c r="H330" i="3"/>
  <c r="G330" i="3"/>
  <c r="I330" i="3"/>
  <c r="H329" i="4"/>
  <c r="G329" i="4"/>
  <c r="I329" i="4"/>
  <c r="H329" i="2"/>
  <c r="G329" i="2"/>
  <c r="I328" i="7"/>
  <c r="G328" i="8"/>
  <c r="F328" i="8"/>
  <c r="H328" i="8"/>
  <c r="H328" i="9"/>
  <c r="I328" i="9"/>
  <c r="G328" i="9"/>
  <c r="I328" i="5"/>
  <c r="H329" i="3"/>
  <c r="G329" i="3"/>
  <c r="I329" i="3"/>
  <c r="H328" i="4"/>
  <c r="I328" i="4"/>
  <c r="G328" i="4"/>
  <c r="H328" i="2"/>
  <c r="G328" i="2"/>
  <c r="G328" i="1"/>
  <c r="I327" i="7"/>
  <c r="G327" i="8"/>
  <c r="F327" i="8"/>
  <c r="H327" i="8"/>
  <c r="H327" i="9"/>
  <c r="G327" i="9"/>
  <c r="I327" i="9"/>
  <c r="I327" i="5"/>
  <c r="H328" i="3"/>
  <c r="G328" i="3"/>
  <c r="I328" i="3"/>
  <c r="H327" i="4"/>
  <c r="G327" i="4"/>
  <c r="I327" i="4"/>
  <c r="H327" i="2"/>
  <c r="G327" i="2"/>
  <c r="I326" i="7"/>
  <c r="G326" i="8"/>
  <c r="F326" i="8"/>
  <c r="H326" i="8"/>
  <c r="H326" i="9"/>
  <c r="G326" i="9"/>
  <c r="I326" i="9"/>
  <c r="I326" i="5"/>
  <c r="H327" i="3"/>
  <c r="G327" i="3"/>
  <c r="I327" i="3"/>
  <c r="G326" i="3"/>
  <c r="H326" i="3"/>
  <c r="I326" i="3"/>
  <c r="H326" i="4"/>
  <c r="G326" i="4"/>
  <c r="I326" i="4"/>
  <c r="H326" i="2"/>
  <c r="G326" i="2"/>
  <c r="I325" i="7"/>
  <c r="G325" i="8"/>
  <c r="F325" i="8"/>
  <c r="H325" i="8"/>
  <c r="H325" i="9"/>
  <c r="G325" i="9"/>
  <c r="I325" i="9"/>
  <c r="I325" i="5"/>
  <c r="H325" i="4"/>
  <c r="G325" i="4"/>
  <c r="I325" i="4"/>
  <c r="H325" i="2"/>
  <c r="G325" i="2"/>
  <c r="I324" i="7"/>
  <c r="G324" i="8"/>
  <c r="F324" i="8"/>
  <c r="H324" i="8"/>
  <c r="H324" i="9"/>
  <c r="G324" i="9"/>
  <c r="I324" i="9"/>
  <c r="I324" i="5"/>
  <c r="H325" i="3"/>
  <c r="G325" i="3"/>
  <c r="I325" i="3"/>
  <c r="H324" i="4"/>
  <c r="G324" i="4"/>
  <c r="I324" i="4"/>
  <c r="H324" i="2"/>
  <c r="G324" i="2"/>
  <c r="I323" i="7"/>
  <c r="G323" i="8"/>
  <c r="F323" i="8"/>
  <c r="H323" i="8"/>
  <c r="H323" i="9"/>
  <c r="G323" i="9"/>
  <c r="I323" i="9"/>
  <c r="I323" i="5"/>
  <c r="H324" i="3"/>
  <c r="G324" i="3"/>
  <c r="I324" i="3"/>
  <c r="H323" i="4"/>
  <c r="G323" i="4"/>
  <c r="I323" i="4"/>
  <c r="H323" i="2"/>
  <c r="G323" i="2"/>
  <c r="I322" i="7"/>
  <c r="G322" i="8"/>
  <c r="F322" i="8"/>
  <c r="H322" i="8"/>
  <c r="H322" i="9"/>
  <c r="G322" i="9"/>
  <c r="I322" i="9"/>
  <c r="I322" i="5"/>
  <c r="H323" i="3"/>
  <c r="G323" i="3"/>
  <c r="I323" i="3"/>
  <c r="H322" i="2"/>
  <c r="G322" i="2"/>
  <c r="H322" i="4"/>
  <c r="G322" i="4"/>
  <c r="I322" i="4"/>
  <c r="I321" i="7"/>
  <c r="K320" i="7"/>
  <c r="G321" i="8"/>
  <c r="F321" i="8"/>
  <c r="H321" i="9"/>
  <c r="G321" i="9"/>
  <c r="I321" i="9"/>
  <c r="I321" i="5"/>
  <c r="H322" i="3"/>
  <c r="G322" i="3"/>
  <c r="I322" i="3"/>
  <c r="H321" i="4"/>
  <c r="G321" i="4"/>
  <c r="I321" i="4"/>
  <c r="H321" i="2"/>
  <c r="G321" i="2"/>
  <c r="I320" i="7"/>
  <c r="H321" i="8"/>
  <c r="G320" i="8"/>
  <c r="F320" i="8"/>
  <c r="H320" i="8"/>
  <c r="H320" i="9"/>
  <c r="G320" i="9"/>
  <c r="I320" i="9"/>
  <c r="I320" i="5"/>
  <c r="I321" i="3"/>
  <c r="H321" i="3"/>
  <c r="G321" i="3"/>
  <c r="H320" i="4"/>
  <c r="G320" i="4"/>
  <c r="I320" i="4"/>
  <c r="H320" i="2"/>
  <c r="G320" i="2"/>
  <c r="I319" i="7"/>
  <c r="G319" i="8"/>
  <c r="F319" i="8"/>
  <c r="H319" i="9"/>
  <c r="G319" i="9"/>
  <c r="I319" i="9"/>
  <c r="I319" i="5"/>
  <c r="H320" i="3"/>
  <c r="G320" i="3"/>
  <c r="I320" i="3"/>
  <c r="H319" i="4"/>
  <c r="G319" i="4"/>
  <c r="I319" i="4"/>
  <c r="H319" i="2"/>
  <c r="G319" i="2"/>
  <c r="I318" i="7"/>
  <c r="H319" i="8"/>
  <c r="G318" i="8"/>
  <c r="F318" i="8"/>
  <c r="H318" i="8"/>
  <c r="I318" i="9"/>
  <c r="H318" i="9"/>
  <c r="G318" i="9"/>
  <c r="I318" i="5"/>
  <c r="H319" i="3"/>
  <c r="G319" i="3"/>
  <c r="I319" i="3"/>
  <c r="H318" i="4"/>
  <c r="G318" i="4"/>
  <c r="I318" i="4"/>
  <c r="H318" i="2"/>
  <c r="G318" i="2"/>
  <c r="I317" i="7"/>
  <c r="G317" i="8"/>
  <c r="F317" i="8"/>
  <c r="H317" i="8"/>
  <c r="H317" i="9"/>
  <c r="G317" i="9"/>
  <c r="I317" i="9"/>
  <c r="I317" i="5"/>
  <c r="H318" i="3"/>
  <c r="G318" i="3"/>
  <c r="I318" i="3"/>
  <c r="H317" i="4"/>
  <c r="G317" i="4"/>
  <c r="I317" i="4"/>
  <c r="H317" i="2"/>
  <c r="G317" i="2"/>
  <c r="I316" i="7"/>
  <c r="G316" i="8"/>
  <c r="F316" i="8"/>
  <c r="H316" i="8"/>
  <c r="H316" i="9"/>
  <c r="G316" i="9"/>
  <c r="I316" i="9"/>
  <c r="I316" i="5"/>
  <c r="H317" i="3"/>
  <c r="G317" i="3"/>
  <c r="I317" i="3"/>
  <c r="H316" i="4"/>
  <c r="G316" i="4"/>
  <c r="I316" i="4"/>
  <c r="H316" i="2"/>
  <c r="G316" i="2"/>
  <c r="I315" i="7"/>
  <c r="G315" i="8"/>
  <c r="F315" i="8"/>
  <c r="H315" i="8"/>
  <c r="H315" i="9"/>
  <c r="G315" i="9"/>
  <c r="I315" i="9"/>
  <c r="I315" i="5"/>
  <c r="H316" i="3"/>
  <c r="G316" i="3"/>
  <c r="I316" i="3"/>
  <c r="H315" i="4"/>
  <c r="G315" i="4"/>
  <c r="I315" i="4"/>
  <c r="H315" i="2"/>
  <c r="G315" i="2"/>
  <c r="I314" i="7"/>
  <c r="H314" i="2"/>
  <c r="G314" i="2"/>
  <c r="G314" i="8"/>
  <c r="F314" i="8"/>
  <c r="H314" i="8"/>
  <c r="H314" i="9"/>
  <c r="I314" i="9"/>
  <c r="G314" i="9"/>
  <c r="I314" i="5"/>
  <c r="H315" i="3"/>
  <c r="G315" i="3"/>
  <c r="I315" i="3"/>
  <c r="H314" i="4"/>
  <c r="G314" i="4"/>
  <c r="I314" i="4"/>
  <c r="I313" i="7"/>
  <c r="G313" i="8"/>
  <c r="F313" i="8"/>
  <c r="H313" i="8"/>
  <c r="H313" i="9"/>
  <c r="G313" i="9"/>
  <c r="I313" i="9"/>
  <c r="I313" i="5"/>
  <c r="H314" i="3"/>
  <c r="G314" i="3"/>
  <c r="I314" i="3"/>
  <c r="H313" i="4"/>
  <c r="G313" i="4"/>
  <c r="I313" i="4"/>
  <c r="G313" i="2"/>
  <c r="H313" i="2"/>
  <c r="I312" i="7"/>
  <c r="G312" i="8"/>
  <c r="F312" i="8"/>
  <c r="H312" i="8"/>
  <c r="H312" i="9"/>
  <c r="G312" i="9"/>
  <c r="I312" i="9"/>
  <c r="I312" i="5"/>
  <c r="H313" i="3"/>
  <c r="G313" i="3"/>
  <c r="I313" i="3"/>
  <c r="H312" i="4"/>
  <c r="G312" i="4"/>
  <c r="I312" i="4"/>
  <c r="H312" i="2"/>
  <c r="G312" i="2"/>
  <c r="I311" i="7"/>
  <c r="G311" i="8"/>
  <c r="F311" i="8"/>
  <c r="H311" i="8"/>
  <c r="H311" i="9"/>
  <c r="G311" i="9"/>
  <c r="I311" i="9"/>
  <c r="I311" i="5"/>
  <c r="I312" i="3"/>
  <c r="H312" i="3"/>
  <c r="G312" i="3"/>
  <c r="I311" i="4"/>
  <c r="H311" i="4"/>
  <c r="G311" i="4"/>
  <c r="H311" i="2"/>
  <c r="G311" i="2"/>
  <c r="I310" i="7"/>
  <c r="G310" i="8"/>
  <c r="F310" i="8"/>
  <c r="H310" i="8"/>
  <c r="H310" i="9"/>
  <c r="G310" i="9"/>
  <c r="I310" i="9"/>
  <c r="I310" i="5"/>
  <c r="I311" i="3"/>
  <c r="H311" i="3"/>
  <c r="G311" i="3"/>
  <c r="H310" i="4"/>
  <c r="I310" i="4"/>
  <c r="G310" i="4"/>
  <c r="H310" i="2"/>
  <c r="G310" i="2"/>
  <c r="I309" i="7"/>
  <c r="G309" i="8"/>
  <c r="F309" i="8"/>
  <c r="H309" i="8"/>
  <c r="H309" i="9"/>
  <c r="G309" i="9"/>
  <c r="I309" i="9"/>
  <c r="I309" i="5"/>
  <c r="H310" i="3"/>
  <c r="G310" i="3"/>
  <c r="I310" i="3"/>
  <c r="H309" i="4"/>
  <c r="G309" i="4"/>
  <c r="I309" i="4"/>
  <c r="H309" i="2"/>
  <c r="G309" i="2"/>
  <c r="I308" i="7"/>
  <c r="G308" i="8"/>
  <c r="F308" i="8"/>
  <c r="H308" i="8"/>
  <c r="H308" i="9"/>
  <c r="G308" i="9"/>
  <c r="I308" i="9"/>
  <c r="I308" i="5"/>
  <c r="H309" i="3"/>
  <c r="G309" i="3"/>
  <c r="I309" i="3"/>
  <c r="I308" i="4"/>
  <c r="H308" i="4"/>
  <c r="G308" i="4"/>
  <c r="H308" i="2"/>
  <c r="G308" i="2"/>
  <c r="I307" i="7"/>
  <c r="G307" i="8"/>
  <c r="F307" i="8"/>
  <c r="H307" i="8"/>
  <c r="H307" i="9"/>
  <c r="G307" i="9"/>
  <c r="I307" i="9"/>
  <c r="I307" i="5"/>
  <c r="H308" i="3"/>
  <c r="G308" i="3"/>
  <c r="I308" i="3"/>
  <c r="H307" i="4"/>
  <c r="G307" i="4"/>
  <c r="I307" i="4"/>
  <c r="H307" i="2"/>
  <c r="G307" i="2"/>
  <c r="I306" i="7"/>
  <c r="G306" i="8"/>
  <c r="F306" i="8"/>
  <c r="H306" i="8"/>
  <c r="H306" i="9"/>
  <c r="G306" i="9"/>
  <c r="I306" i="9"/>
  <c r="I306" i="5"/>
  <c r="H307" i="3"/>
  <c r="G307" i="3"/>
  <c r="I307" i="3"/>
  <c r="H306" i="4"/>
  <c r="G306" i="4"/>
  <c r="I306" i="4"/>
  <c r="H306" i="2"/>
  <c r="G306" i="2"/>
  <c r="I305" i="7"/>
  <c r="I304" i="7"/>
  <c r="I303" i="7"/>
  <c r="I302" i="7"/>
  <c r="I301" i="7"/>
  <c r="I300" i="7"/>
  <c r="I299" i="7"/>
  <c r="I298" i="7"/>
  <c r="I297" i="7"/>
  <c r="I296" i="7"/>
  <c r="F305" i="8"/>
  <c r="G305" i="8"/>
  <c r="H305" i="8"/>
  <c r="G305" i="9"/>
  <c r="H305" i="9"/>
  <c r="I305" i="9"/>
  <c r="I305" i="5"/>
  <c r="G306" i="3"/>
  <c r="H306" i="3"/>
  <c r="I306" i="3"/>
  <c r="G305" i="4"/>
  <c r="H305" i="4"/>
  <c r="I305" i="4"/>
  <c r="G305" i="2"/>
  <c r="H305" i="2"/>
  <c r="G304" i="8"/>
  <c r="F304" i="8"/>
  <c r="H304" i="8"/>
  <c r="H304" i="9"/>
  <c r="G304" i="9"/>
  <c r="I304" i="9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H305" i="3"/>
  <c r="G305" i="3"/>
  <c r="I305" i="3"/>
  <c r="H304" i="4"/>
  <c r="G304" i="4"/>
  <c r="I304" i="4"/>
  <c r="H304" i="2"/>
  <c r="G304" i="2"/>
  <c r="G303" i="8"/>
  <c r="F303" i="8"/>
  <c r="H303" i="8"/>
  <c r="H303" i="9"/>
  <c r="G303" i="9"/>
  <c r="I303" i="9"/>
  <c r="H304" i="3"/>
  <c r="G304" i="3"/>
  <c r="I304" i="3"/>
  <c r="H303" i="4"/>
  <c r="G303" i="4"/>
  <c r="I303" i="4"/>
  <c r="H303" i="2"/>
  <c r="G303" i="2"/>
  <c r="P155" i="7"/>
  <c r="P115" i="7"/>
  <c r="F302" i="8"/>
  <c r="G302" i="8"/>
  <c r="H302" i="8"/>
  <c r="G302" i="9"/>
  <c r="I302" i="9"/>
  <c r="H302" i="9"/>
  <c r="G303" i="3"/>
  <c r="I303" i="3"/>
  <c r="H303" i="3"/>
  <c r="G302" i="4"/>
  <c r="H302" i="4"/>
  <c r="I302" i="4"/>
  <c r="G302" i="2"/>
  <c r="H302" i="2"/>
  <c r="G302" i="1"/>
  <c r="H302" i="1"/>
  <c r="I302" i="1"/>
  <c r="G301" i="8"/>
  <c r="F301" i="8"/>
  <c r="H301" i="8"/>
  <c r="H301" i="9"/>
  <c r="G301" i="9"/>
  <c r="I301" i="9"/>
  <c r="H302" i="3"/>
  <c r="G302" i="3"/>
  <c r="I302" i="3"/>
  <c r="H301" i="4"/>
  <c r="G301" i="4"/>
  <c r="I301" i="4"/>
  <c r="H301" i="2"/>
  <c r="G301" i="2"/>
  <c r="G300" i="8"/>
  <c r="F300" i="8"/>
  <c r="H300" i="8"/>
  <c r="H300" i="9"/>
  <c r="G300" i="9"/>
  <c r="I300" i="9"/>
  <c r="H301" i="3"/>
  <c r="G301" i="3"/>
  <c r="I301" i="3"/>
  <c r="H300" i="4"/>
  <c r="G300" i="4"/>
  <c r="I300" i="4"/>
  <c r="H300" i="2"/>
  <c r="G300" i="2"/>
  <c r="G299" i="8"/>
  <c r="F299" i="8"/>
  <c r="H299" i="8"/>
  <c r="H299" i="9"/>
  <c r="G299" i="9"/>
  <c r="I299" i="9"/>
  <c r="H300" i="3"/>
  <c r="G300" i="3"/>
  <c r="I300" i="3"/>
  <c r="H299" i="4"/>
  <c r="G299" i="4"/>
  <c r="I299" i="4"/>
  <c r="H299" i="2"/>
  <c r="G299" i="2"/>
  <c r="H298" i="9"/>
  <c r="G298" i="9"/>
  <c r="I298" i="9"/>
  <c r="H299" i="3"/>
  <c r="G299" i="3"/>
  <c r="I299" i="3"/>
  <c r="H298" i="4"/>
  <c r="G298" i="4"/>
  <c r="I298" i="4"/>
  <c r="H298" i="2"/>
  <c r="G298" i="2"/>
  <c r="F297" i="8"/>
  <c r="G297" i="8"/>
  <c r="H297" i="8"/>
  <c r="F298" i="8"/>
  <c r="G298" i="8"/>
  <c r="G297" i="9"/>
  <c r="H297" i="9"/>
  <c r="I297" i="9"/>
  <c r="H330" i="5"/>
  <c r="G330" i="5"/>
  <c r="H329" i="5"/>
  <c r="G329" i="5"/>
  <c r="H328" i="5"/>
  <c r="G328" i="5"/>
  <c r="H327" i="5"/>
  <c r="G327" i="5"/>
  <c r="H326" i="5"/>
  <c r="G326" i="5"/>
  <c r="H325" i="5"/>
  <c r="G325" i="5"/>
  <c r="H324" i="5"/>
  <c r="G324" i="5"/>
  <c r="H323" i="5"/>
  <c r="G323" i="5"/>
  <c r="H322" i="5"/>
  <c r="G322" i="5"/>
  <c r="H321" i="5"/>
  <c r="G321" i="5"/>
  <c r="H320" i="5"/>
  <c r="G320" i="5"/>
  <c r="H319" i="5"/>
  <c r="G319" i="5"/>
  <c r="H318" i="5"/>
  <c r="G318" i="5"/>
  <c r="H317" i="5"/>
  <c r="G317" i="5"/>
  <c r="H316" i="5"/>
  <c r="G316" i="5"/>
  <c r="H315" i="5"/>
  <c r="G315" i="5"/>
  <c r="H314" i="5"/>
  <c r="G314" i="5"/>
  <c r="H313" i="5"/>
  <c r="G313" i="5"/>
  <c r="H312" i="5"/>
  <c r="G312" i="5"/>
  <c r="H311" i="5"/>
  <c r="G311" i="5"/>
  <c r="H310" i="5"/>
  <c r="G310" i="5"/>
  <c r="H309" i="5"/>
  <c r="G309" i="5"/>
  <c r="H308" i="5"/>
  <c r="G308" i="5"/>
  <c r="H307" i="5"/>
  <c r="G307" i="5"/>
  <c r="H306" i="5"/>
  <c r="G306" i="5"/>
  <c r="H305" i="5"/>
  <c r="G305" i="5"/>
  <c r="H304" i="5"/>
  <c r="G304" i="5"/>
  <c r="H303" i="5"/>
  <c r="G303" i="5"/>
  <c r="H302" i="5"/>
  <c r="G302" i="5"/>
  <c r="H301" i="5"/>
  <c r="G301" i="5"/>
  <c r="H300" i="5"/>
  <c r="G300" i="5"/>
  <c r="H299" i="5"/>
  <c r="G299" i="5"/>
  <c r="H298" i="5"/>
  <c r="G298" i="5"/>
  <c r="H297" i="5"/>
  <c r="G297" i="5"/>
  <c r="H298" i="3"/>
  <c r="G298" i="3"/>
  <c r="I298" i="3"/>
  <c r="H297" i="4"/>
  <c r="I297" i="4"/>
  <c r="H296" i="4"/>
  <c r="H295" i="4"/>
  <c r="H294" i="4"/>
  <c r="H293" i="4"/>
  <c r="H292" i="4"/>
  <c r="H291" i="4"/>
  <c r="H290" i="4"/>
  <c r="H289" i="4"/>
  <c r="G297" i="4"/>
  <c r="G296" i="4"/>
  <c r="G295" i="4"/>
  <c r="G294" i="4"/>
  <c r="G293" i="4"/>
  <c r="G292" i="4"/>
  <c r="G291" i="4"/>
  <c r="G290" i="4"/>
  <c r="H297" i="2"/>
  <c r="G297" i="2"/>
  <c r="H298" i="8"/>
  <c r="H296" i="2"/>
  <c r="G296" i="2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H297" i="3"/>
  <c r="G297" i="3"/>
  <c r="H296" i="9"/>
  <c r="G296" i="9"/>
  <c r="I296" i="9"/>
  <c r="H296" i="5"/>
  <c r="G296" i="5"/>
  <c r="I296" i="4"/>
  <c r="F296" i="8"/>
  <c r="H296" i="8"/>
  <c r="G296" i="8"/>
  <c r="G295" i="8"/>
  <c r="F295" i="8"/>
  <c r="H295" i="2"/>
  <c r="G295" i="2"/>
  <c r="H295" i="9"/>
  <c r="I295" i="9"/>
  <c r="G295" i="9"/>
  <c r="H296" i="3"/>
  <c r="G296" i="3"/>
  <c r="H295" i="5"/>
  <c r="G295" i="5"/>
  <c r="I295" i="4"/>
  <c r="G294" i="8"/>
  <c r="F294" i="8"/>
  <c r="H294" i="8"/>
  <c r="I286" i="9"/>
  <c r="I287" i="9"/>
  <c r="I288" i="9"/>
  <c r="I289" i="9"/>
  <c r="I290" i="9"/>
  <c r="I291" i="9"/>
  <c r="I292" i="9"/>
  <c r="I293" i="9"/>
  <c r="I294" i="9"/>
  <c r="H294" i="9"/>
  <c r="G294" i="9"/>
  <c r="H294" i="5"/>
  <c r="G294" i="5"/>
  <c r="H295" i="3"/>
  <c r="G295" i="3"/>
  <c r="I294" i="4"/>
  <c r="I293" i="4"/>
  <c r="I292" i="4"/>
  <c r="I291" i="4"/>
  <c r="I290" i="4"/>
  <c r="I289" i="4"/>
  <c r="I288" i="4"/>
  <c r="I287" i="4"/>
  <c r="I286" i="4"/>
  <c r="I285" i="4"/>
  <c r="I284" i="4"/>
  <c r="H294" i="2"/>
  <c r="G294" i="2"/>
  <c r="H293" i="2"/>
  <c r="G293" i="2"/>
  <c r="H293" i="9"/>
  <c r="G293" i="9"/>
  <c r="H293" i="5"/>
  <c r="G293" i="5"/>
  <c r="H294" i="3"/>
  <c r="G294" i="3"/>
  <c r="G293" i="8"/>
  <c r="F293" i="8"/>
  <c r="H293" i="8"/>
  <c r="H292" i="2"/>
  <c r="G292" i="2"/>
  <c r="H292" i="9"/>
  <c r="G292" i="9"/>
  <c r="H292" i="5"/>
  <c r="G292" i="5"/>
  <c r="H293" i="3"/>
  <c r="G293" i="3"/>
  <c r="G292" i="8"/>
  <c r="F292" i="8"/>
  <c r="H292" i="8"/>
  <c r="H291" i="2"/>
  <c r="G291" i="2"/>
  <c r="H291" i="9"/>
  <c r="G291" i="9"/>
  <c r="H291" i="5"/>
  <c r="G291" i="5"/>
  <c r="H292" i="3"/>
  <c r="G292" i="3"/>
  <c r="G291" i="8"/>
  <c r="H291" i="8"/>
  <c r="F291" i="8"/>
  <c r="H290" i="2"/>
  <c r="G290" i="2"/>
  <c r="H290" i="9"/>
  <c r="G290" i="9"/>
  <c r="H290" i="5"/>
  <c r="G290" i="5"/>
  <c r="H291" i="3"/>
  <c r="G291" i="3"/>
  <c r="G290" i="8"/>
  <c r="F290" i="8"/>
  <c r="H290" i="8"/>
  <c r="G289" i="8"/>
  <c r="H289" i="8"/>
  <c r="F289" i="8"/>
  <c r="H289" i="9"/>
  <c r="G289" i="9"/>
  <c r="H289" i="5"/>
  <c r="G289" i="5"/>
  <c r="H290" i="3"/>
  <c r="G290" i="3"/>
  <c r="G289" i="4"/>
  <c r="H289" i="2"/>
  <c r="G289" i="2"/>
  <c r="H288" i="2"/>
  <c r="G288" i="2"/>
  <c r="G288" i="8"/>
  <c r="H288" i="8"/>
  <c r="F288" i="8"/>
  <c r="H288" i="9"/>
  <c r="G288" i="9"/>
  <c r="H288" i="5"/>
  <c r="G288" i="5"/>
  <c r="H289" i="3"/>
  <c r="G289" i="3"/>
  <c r="H288" i="4"/>
  <c r="G288" i="4"/>
  <c r="H287" i="2"/>
  <c r="G287" i="2"/>
  <c r="H287" i="9"/>
  <c r="G287" i="9"/>
  <c r="H287" i="5"/>
  <c r="G287" i="5"/>
  <c r="H288" i="3"/>
  <c r="G288" i="3"/>
  <c r="H287" i="4"/>
  <c r="G287" i="4"/>
  <c r="G287" i="8"/>
  <c r="F287" i="8"/>
  <c r="H287" i="8"/>
  <c r="H286" i="4"/>
  <c r="G286" i="9"/>
  <c r="H286" i="9"/>
  <c r="G286" i="5"/>
  <c r="H286" i="5"/>
  <c r="G287" i="3"/>
  <c r="H287" i="3"/>
  <c r="G286" i="4"/>
  <c r="H286" i="2"/>
  <c r="G286" i="2"/>
  <c r="G287" i="1"/>
  <c r="G286" i="8"/>
  <c r="F286" i="8"/>
  <c r="H286" i="8"/>
  <c r="H285" i="2"/>
  <c r="G285" i="2"/>
  <c r="H285" i="5"/>
  <c r="G285" i="5"/>
  <c r="H286" i="3"/>
  <c r="G286" i="3"/>
  <c r="H285" i="4"/>
  <c r="G285" i="4"/>
  <c r="G285" i="8"/>
  <c r="F285" i="8"/>
  <c r="H285" i="8"/>
  <c r="F284" i="8"/>
  <c r="H284" i="8"/>
  <c r="G284" i="8"/>
  <c r="G284" i="5"/>
  <c r="H284" i="5"/>
  <c r="G285" i="3"/>
  <c r="H285" i="3"/>
  <c r="G284" i="4"/>
  <c r="H284" i="4"/>
  <c r="G284" i="2"/>
  <c r="H284" i="2"/>
  <c r="G283" i="8"/>
  <c r="H283" i="8"/>
  <c r="F283" i="8"/>
  <c r="H283" i="5"/>
  <c r="I283" i="5"/>
  <c r="G283" i="5"/>
  <c r="H284" i="3"/>
  <c r="I284" i="3"/>
  <c r="G284" i="3"/>
  <c r="H283" i="4"/>
  <c r="I283" i="4"/>
  <c r="G283" i="4"/>
  <c r="H283" i="2"/>
  <c r="I283" i="2"/>
  <c r="G283" i="2"/>
  <c r="G282" i="8"/>
  <c r="F282" i="8"/>
  <c r="H282" i="8"/>
  <c r="H282" i="5"/>
  <c r="I282" i="5"/>
  <c r="G282" i="5"/>
  <c r="H283" i="3"/>
  <c r="I283" i="3"/>
  <c r="G283" i="3"/>
  <c r="H282" i="4"/>
  <c r="I282" i="4"/>
  <c r="G282" i="4"/>
  <c r="H282" i="2"/>
  <c r="I282" i="2"/>
  <c r="G282" i="2"/>
  <c r="G281" i="8"/>
  <c r="H281" i="8"/>
  <c r="F281" i="8"/>
  <c r="H281" i="5"/>
  <c r="I281" i="5"/>
  <c r="G281" i="5"/>
  <c r="H282" i="3"/>
  <c r="I282" i="3"/>
  <c r="G282" i="3"/>
  <c r="H281" i="4"/>
  <c r="I281" i="4"/>
  <c r="G281" i="4"/>
  <c r="H281" i="2"/>
  <c r="I281" i="2"/>
  <c r="G281" i="2"/>
  <c r="G280" i="8"/>
  <c r="F280" i="8"/>
  <c r="H280" i="8"/>
  <c r="H280" i="5"/>
  <c r="I280" i="5"/>
  <c r="G280" i="5"/>
  <c r="H281" i="3"/>
  <c r="I281" i="3"/>
  <c r="G281" i="3"/>
  <c r="H280" i="4"/>
  <c r="I280" i="4"/>
  <c r="G280" i="4"/>
  <c r="H280" i="2"/>
  <c r="I280" i="2"/>
  <c r="G280" i="2"/>
  <c r="J279" i="1"/>
  <c r="J280" i="1"/>
  <c r="I278" i="7"/>
  <c r="I279" i="7"/>
  <c r="G279" i="8"/>
  <c r="F279" i="8"/>
  <c r="H279" i="8"/>
  <c r="H279" i="5"/>
  <c r="G279" i="5"/>
  <c r="I279" i="5"/>
  <c r="H280" i="3"/>
  <c r="G280" i="3"/>
  <c r="I280" i="3"/>
  <c r="H279" i="4"/>
  <c r="G279" i="4"/>
  <c r="I279" i="4"/>
  <c r="H279" i="2"/>
  <c r="G279" i="2"/>
  <c r="I279" i="2"/>
  <c r="G278" i="8"/>
  <c r="F278" i="8"/>
  <c r="H278" i="5"/>
  <c r="G278" i="5"/>
  <c r="H279" i="3"/>
  <c r="G279" i="3"/>
  <c r="H278" i="4"/>
  <c r="I278" i="4"/>
  <c r="G278" i="4"/>
  <c r="H278" i="2"/>
  <c r="I278" i="2"/>
  <c r="G278" i="2"/>
  <c r="I279" i="3"/>
  <c r="I278" i="5"/>
  <c r="H278" i="8"/>
  <c r="G277" i="8"/>
  <c r="F277" i="8"/>
  <c r="H277" i="8"/>
  <c r="G278" i="9"/>
  <c r="H278" i="9"/>
  <c r="G279" i="9"/>
  <c r="H279" i="9"/>
  <c r="G280" i="9"/>
  <c r="H280" i="9"/>
  <c r="G281" i="9"/>
  <c r="H281" i="9"/>
  <c r="I281" i="9"/>
  <c r="G282" i="9"/>
  <c r="I282" i="9"/>
  <c r="H282" i="9"/>
  <c r="G283" i="9"/>
  <c r="H283" i="9"/>
  <c r="G284" i="9"/>
  <c r="I284" i="9"/>
  <c r="H284" i="9"/>
  <c r="G285" i="9"/>
  <c r="H285" i="9"/>
  <c r="H277" i="9"/>
  <c r="G277" i="9"/>
  <c r="H277" i="5"/>
  <c r="G277" i="5"/>
  <c r="H278" i="3"/>
  <c r="G278" i="3"/>
  <c r="H277" i="4"/>
  <c r="G277" i="4"/>
  <c r="H277" i="2"/>
  <c r="G277" i="2"/>
  <c r="I279" i="9"/>
  <c r="I278" i="9"/>
  <c r="I277" i="2"/>
  <c r="I277" i="4"/>
  <c r="I278" i="3"/>
  <c r="I277" i="5"/>
  <c r="I277" i="9"/>
  <c r="I285" i="9"/>
  <c r="I283" i="9"/>
  <c r="I280" i="9"/>
  <c r="G276" i="8"/>
  <c r="F276" i="8"/>
  <c r="H276" i="9"/>
  <c r="G276" i="9"/>
  <c r="I276" i="9"/>
  <c r="H276" i="5"/>
  <c r="G276" i="5"/>
  <c r="I276" i="5"/>
  <c r="H277" i="3"/>
  <c r="G277" i="3"/>
  <c r="I277" i="3"/>
  <c r="H276" i="4"/>
  <c r="G276" i="4"/>
  <c r="I276" i="4"/>
  <c r="H276" i="2"/>
  <c r="G276" i="2"/>
  <c r="I276" i="2"/>
  <c r="H276" i="8"/>
  <c r="G275" i="8"/>
  <c r="F275" i="8"/>
  <c r="H275" i="9"/>
  <c r="G275" i="9"/>
  <c r="I275" i="9"/>
  <c r="H275" i="5"/>
  <c r="G275" i="5"/>
  <c r="I275" i="5"/>
  <c r="H276" i="3"/>
  <c r="G276" i="3"/>
  <c r="I276" i="3"/>
  <c r="H275" i="4"/>
  <c r="G275" i="4"/>
  <c r="I275" i="4"/>
  <c r="H275" i="2"/>
  <c r="G275" i="2"/>
  <c r="I275" i="2"/>
  <c r="H275" i="8"/>
  <c r="G275" i="1"/>
  <c r="H275" i="1"/>
  <c r="I275" i="1"/>
  <c r="G276" i="1"/>
  <c r="J276" i="1"/>
  <c r="H276" i="1"/>
  <c r="G277" i="1"/>
  <c r="H277" i="1"/>
  <c r="G278" i="1"/>
  <c r="J278" i="1"/>
  <c r="H278" i="1"/>
  <c r="G279" i="1"/>
  <c r="H279" i="1"/>
  <c r="G280" i="1"/>
  <c r="H280" i="1"/>
  <c r="G281" i="1"/>
  <c r="H281" i="1"/>
  <c r="G282" i="1"/>
  <c r="I282" i="1"/>
  <c r="H282" i="1"/>
  <c r="G283" i="1"/>
  <c r="H283" i="1"/>
  <c r="G284" i="1"/>
  <c r="H284" i="1"/>
  <c r="I284" i="1"/>
  <c r="G285" i="1"/>
  <c r="H285" i="1"/>
  <c r="G286" i="1"/>
  <c r="I286" i="1"/>
  <c r="H286" i="1"/>
  <c r="H287" i="1"/>
  <c r="G288" i="1"/>
  <c r="H288" i="1"/>
  <c r="G289" i="1"/>
  <c r="H289" i="1"/>
  <c r="G290" i="1"/>
  <c r="I290" i="1"/>
  <c r="H290" i="1"/>
  <c r="G291" i="1"/>
  <c r="H291" i="1"/>
  <c r="I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I297" i="1"/>
  <c r="G298" i="1"/>
  <c r="H298" i="1"/>
  <c r="I298" i="1"/>
  <c r="G299" i="1"/>
  <c r="H299" i="1"/>
  <c r="I299" i="1"/>
  <c r="G300" i="1"/>
  <c r="H300" i="1"/>
  <c r="G301" i="1"/>
  <c r="I301" i="1"/>
  <c r="H301" i="1"/>
  <c r="G303" i="1"/>
  <c r="H303" i="1"/>
  <c r="I303" i="1"/>
  <c r="G304" i="1"/>
  <c r="H304" i="1"/>
  <c r="I304" i="1"/>
  <c r="G305" i="1"/>
  <c r="H305" i="1"/>
  <c r="I305" i="1"/>
  <c r="G306" i="1"/>
  <c r="I306" i="1"/>
  <c r="H306" i="1"/>
  <c r="G307" i="1"/>
  <c r="I307" i="1"/>
  <c r="H307" i="1"/>
  <c r="G308" i="1"/>
  <c r="I308" i="1"/>
  <c r="H308" i="1"/>
  <c r="G309" i="1"/>
  <c r="H309" i="1"/>
  <c r="I309" i="1"/>
  <c r="G310" i="1"/>
  <c r="H310" i="1"/>
  <c r="I310" i="1"/>
  <c r="G311" i="1"/>
  <c r="H311" i="1"/>
  <c r="G312" i="1"/>
  <c r="H312" i="1"/>
  <c r="I312" i="1"/>
  <c r="G313" i="1"/>
  <c r="H313" i="1"/>
  <c r="G314" i="1"/>
  <c r="I314" i="1"/>
  <c r="H314" i="1"/>
  <c r="G315" i="1"/>
  <c r="H315" i="1"/>
  <c r="I315" i="1"/>
  <c r="G316" i="1"/>
  <c r="I316" i="1"/>
  <c r="H316" i="1"/>
  <c r="G317" i="1"/>
  <c r="H317" i="1"/>
  <c r="G318" i="1"/>
  <c r="H318" i="1"/>
  <c r="G319" i="1"/>
  <c r="H319" i="1"/>
  <c r="G320" i="1"/>
  <c r="I320" i="1"/>
  <c r="H320" i="1"/>
  <c r="G321" i="1"/>
  <c r="I321" i="1"/>
  <c r="H321" i="1"/>
  <c r="G322" i="1"/>
  <c r="H322" i="1"/>
  <c r="I322" i="1"/>
  <c r="G323" i="1"/>
  <c r="H323" i="1"/>
  <c r="I323" i="1"/>
  <c r="G324" i="1"/>
  <c r="H324" i="1"/>
  <c r="G325" i="1"/>
  <c r="H325" i="1"/>
  <c r="I325" i="1"/>
  <c r="G326" i="1"/>
  <c r="H326" i="1"/>
  <c r="G327" i="1"/>
  <c r="H327" i="1"/>
  <c r="I328" i="1"/>
  <c r="H328" i="1"/>
  <c r="G329" i="1"/>
  <c r="H329" i="1"/>
  <c r="I329" i="1"/>
  <c r="G330" i="1"/>
  <c r="H330" i="1"/>
  <c r="I330" i="1"/>
  <c r="G331" i="1"/>
  <c r="H331" i="1"/>
  <c r="I331" i="1"/>
  <c r="H332" i="1"/>
  <c r="G333" i="1"/>
  <c r="H333" i="1"/>
  <c r="I333" i="1"/>
  <c r="G334" i="1"/>
  <c r="H334" i="1"/>
  <c r="G335" i="1"/>
  <c r="H335" i="1"/>
  <c r="G336" i="1"/>
  <c r="I336" i="1"/>
  <c r="G337" i="1"/>
  <c r="H337" i="1"/>
  <c r="I337" i="1"/>
  <c r="G338" i="1"/>
  <c r="H338" i="1"/>
  <c r="I338" i="1"/>
  <c r="G339" i="1"/>
  <c r="I339" i="1"/>
  <c r="H339" i="1"/>
  <c r="G340" i="1"/>
  <c r="H340" i="1"/>
  <c r="G341" i="1"/>
  <c r="H341" i="1"/>
  <c r="I341" i="1"/>
  <c r="G342" i="1"/>
  <c r="H342" i="1"/>
  <c r="G343" i="1"/>
  <c r="H343" i="1"/>
  <c r="G344" i="1"/>
  <c r="H344" i="1"/>
  <c r="I344" i="1"/>
  <c r="G345" i="1"/>
  <c r="I345" i="1"/>
  <c r="H345" i="1"/>
  <c r="G346" i="1"/>
  <c r="H346" i="1"/>
  <c r="I346" i="1"/>
  <c r="G347" i="1"/>
  <c r="H347" i="1"/>
  <c r="I347" i="1"/>
  <c r="G348" i="1"/>
  <c r="H348" i="1"/>
  <c r="I349" i="1"/>
  <c r="G350" i="1"/>
  <c r="H350" i="1"/>
  <c r="G351" i="1"/>
  <c r="I351" i="1"/>
  <c r="H351" i="1"/>
  <c r="G352" i="1"/>
  <c r="H352" i="1"/>
  <c r="G353" i="1"/>
  <c r="H353" i="1"/>
  <c r="I353" i="1"/>
  <c r="G354" i="1"/>
  <c r="H354" i="1"/>
  <c r="I354" i="1"/>
  <c r="G355" i="1"/>
  <c r="H355" i="1"/>
  <c r="I355" i="1"/>
  <c r="G356" i="1"/>
  <c r="H356" i="1"/>
  <c r="G357" i="1"/>
  <c r="H357" i="1"/>
  <c r="I357" i="1"/>
  <c r="G358" i="1"/>
  <c r="H358" i="1"/>
  <c r="G359" i="1"/>
  <c r="H359" i="1"/>
  <c r="G360" i="1"/>
  <c r="H360" i="1"/>
  <c r="I360" i="1"/>
  <c r="G361" i="1"/>
  <c r="H361" i="1"/>
  <c r="I361" i="1"/>
  <c r="G362" i="1"/>
  <c r="I362" i="1"/>
  <c r="H362" i="1"/>
  <c r="G363" i="1"/>
  <c r="I363" i="1"/>
  <c r="H363" i="1"/>
  <c r="G364" i="1"/>
  <c r="H364" i="1"/>
  <c r="G365" i="1"/>
  <c r="I365" i="1"/>
  <c r="H365" i="1"/>
  <c r="G366" i="1"/>
  <c r="I366" i="1"/>
  <c r="H366" i="1"/>
  <c r="G367" i="1"/>
  <c r="H367" i="1"/>
  <c r="G368" i="1"/>
  <c r="H368" i="1"/>
  <c r="G369" i="1"/>
  <c r="H369" i="1"/>
  <c r="I369" i="1"/>
  <c r="G370" i="1"/>
  <c r="I370" i="1"/>
  <c r="H370" i="1"/>
  <c r="G371" i="1"/>
  <c r="I371" i="1"/>
  <c r="H371" i="1"/>
  <c r="G372" i="1"/>
  <c r="H372" i="1"/>
  <c r="I372" i="1"/>
  <c r="G373" i="1"/>
  <c r="I373" i="1"/>
  <c r="H373" i="1"/>
  <c r="G374" i="1"/>
  <c r="H374" i="1"/>
  <c r="G375" i="1"/>
  <c r="H375" i="1"/>
  <c r="G376" i="1"/>
  <c r="H376" i="1"/>
  <c r="G377" i="1"/>
  <c r="H377" i="1"/>
  <c r="I377" i="1"/>
  <c r="G378" i="1"/>
  <c r="H378" i="1"/>
  <c r="G379" i="1"/>
  <c r="H379" i="1"/>
  <c r="I379" i="1"/>
  <c r="G380" i="1"/>
  <c r="H380" i="1"/>
  <c r="G381" i="1"/>
  <c r="I381" i="1"/>
  <c r="H381" i="1"/>
  <c r="G382" i="1"/>
  <c r="H382" i="1"/>
  <c r="G383" i="1"/>
  <c r="I383" i="1"/>
  <c r="H383" i="1"/>
  <c r="G384" i="1"/>
  <c r="I384" i="1"/>
  <c r="H384" i="1"/>
  <c r="G385" i="1"/>
  <c r="I385" i="1"/>
  <c r="H385" i="1"/>
  <c r="G386" i="1"/>
  <c r="H386" i="1"/>
  <c r="G387" i="1"/>
  <c r="H387" i="1"/>
  <c r="G388" i="1"/>
  <c r="H388" i="1"/>
  <c r="G389" i="1"/>
  <c r="H389" i="1"/>
  <c r="I389" i="1"/>
  <c r="G390" i="1"/>
  <c r="H390" i="1"/>
  <c r="I390" i="1"/>
  <c r="G391" i="1"/>
  <c r="H391" i="1"/>
  <c r="G392" i="1"/>
  <c r="I392" i="1"/>
  <c r="H392" i="1"/>
  <c r="G393" i="1"/>
  <c r="H393" i="1"/>
  <c r="I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I399" i="1"/>
  <c r="G400" i="1"/>
  <c r="H400" i="1"/>
  <c r="G401" i="1"/>
  <c r="H401" i="1"/>
  <c r="G402" i="1"/>
  <c r="H402" i="1"/>
  <c r="G403" i="1"/>
  <c r="H403" i="1"/>
  <c r="G404" i="1"/>
  <c r="H404" i="1"/>
  <c r="G405" i="1"/>
  <c r="G406" i="1"/>
  <c r="G407" i="1"/>
  <c r="G408" i="1"/>
  <c r="G409" i="1"/>
  <c r="G410" i="1"/>
  <c r="H410" i="1"/>
  <c r="I410" i="1"/>
  <c r="G411" i="1"/>
  <c r="H411" i="1"/>
  <c r="I411" i="1"/>
  <c r="G412" i="1"/>
  <c r="H412" i="1"/>
  <c r="G413" i="1"/>
  <c r="G414" i="1"/>
  <c r="G415" i="1"/>
  <c r="H415" i="1"/>
  <c r="I415" i="1"/>
  <c r="G416" i="1"/>
  <c r="G417" i="1"/>
  <c r="G418" i="1"/>
  <c r="H418" i="1"/>
  <c r="G419" i="1"/>
  <c r="H419" i="1"/>
  <c r="I419" i="1"/>
  <c r="G420" i="1"/>
  <c r="H420" i="1"/>
  <c r="I420" i="1"/>
  <c r="G421" i="1"/>
  <c r="G422" i="1"/>
  <c r="H422" i="1"/>
  <c r="I422" i="1"/>
  <c r="G423" i="1"/>
  <c r="H423" i="1"/>
  <c r="G424" i="1"/>
  <c r="G425" i="1"/>
  <c r="I425" i="1"/>
  <c r="H425" i="1"/>
  <c r="G426" i="1"/>
  <c r="H426" i="1"/>
  <c r="G427" i="1"/>
  <c r="H427" i="1"/>
  <c r="G428" i="1"/>
  <c r="H428" i="1"/>
  <c r="G429" i="1"/>
  <c r="H429" i="1"/>
  <c r="I429" i="1"/>
  <c r="G430" i="1"/>
  <c r="H430" i="1"/>
  <c r="I430" i="1"/>
  <c r="G431" i="1"/>
  <c r="H431" i="1"/>
  <c r="I431" i="1"/>
  <c r="G432" i="1"/>
  <c r="H432" i="1"/>
  <c r="G433" i="1"/>
  <c r="H433" i="1"/>
  <c r="I433" i="1"/>
  <c r="G434" i="1"/>
  <c r="H434" i="1"/>
  <c r="G435" i="1"/>
  <c r="H435" i="1"/>
  <c r="G436" i="1"/>
  <c r="H436" i="1"/>
  <c r="G437" i="1"/>
  <c r="H437" i="1"/>
  <c r="I437" i="1"/>
  <c r="G438" i="1"/>
  <c r="H438" i="1"/>
  <c r="I438" i="1"/>
  <c r="G439" i="1"/>
  <c r="H439" i="1"/>
  <c r="I439" i="1"/>
  <c r="G440" i="1"/>
  <c r="H440" i="1"/>
  <c r="G441" i="1"/>
  <c r="H441" i="1"/>
  <c r="I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I448" i="1"/>
  <c r="G449" i="1"/>
  <c r="H449" i="1"/>
  <c r="I449" i="1"/>
  <c r="G450" i="1"/>
  <c r="H450" i="1"/>
  <c r="I450" i="1"/>
  <c r="G451" i="1"/>
  <c r="H451" i="1"/>
  <c r="G452" i="1"/>
  <c r="H452" i="1"/>
  <c r="I452" i="1"/>
  <c r="G453" i="1"/>
  <c r="H453" i="1"/>
  <c r="G454" i="1"/>
  <c r="H454" i="1"/>
  <c r="G455" i="1"/>
  <c r="H455" i="1"/>
  <c r="G456" i="1"/>
  <c r="H456" i="1"/>
  <c r="I456" i="1"/>
  <c r="G457" i="1"/>
  <c r="H457" i="1"/>
  <c r="I457" i="1"/>
  <c r="G458" i="1"/>
  <c r="H458" i="1"/>
  <c r="I458" i="1"/>
  <c r="G459" i="1"/>
  <c r="H459" i="1"/>
  <c r="G460" i="1"/>
  <c r="H460" i="1"/>
  <c r="I460" i="1"/>
  <c r="G461" i="1"/>
  <c r="H461" i="1"/>
  <c r="G462" i="1"/>
  <c r="H462" i="1"/>
  <c r="G463" i="1"/>
  <c r="H463" i="1"/>
  <c r="G464" i="1"/>
  <c r="H464" i="1"/>
  <c r="I464" i="1"/>
  <c r="G465" i="1"/>
  <c r="H465" i="1"/>
  <c r="I465" i="1"/>
  <c r="G466" i="1"/>
  <c r="H466" i="1"/>
  <c r="I466" i="1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G748" i="7"/>
  <c r="F748" i="7"/>
  <c r="H748" i="7"/>
  <c r="G747" i="7"/>
  <c r="F747" i="7"/>
  <c r="H747" i="7"/>
  <c r="G746" i="7"/>
  <c r="F746" i="7"/>
  <c r="H746" i="7"/>
  <c r="G745" i="7"/>
  <c r="F745" i="7"/>
  <c r="H745" i="7"/>
  <c r="G744" i="7"/>
  <c r="F744" i="7"/>
  <c r="H744" i="7"/>
  <c r="G743" i="7"/>
  <c r="F743" i="7"/>
  <c r="H743" i="7"/>
  <c r="G742" i="7"/>
  <c r="F742" i="7"/>
  <c r="H742" i="7"/>
  <c r="G741" i="7"/>
  <c r="F741" i="7"/>
  <c r="H741" i="7"/>
  <c r="G740" i="7"/>
  <c r="F740" i="7"/>
  <c r="H740" i="7"/>
  <c r="G739" i="7"/>
  <c r="F739" i="7"/>
  <c r="H739" i="7"/>
  <c r="G738" i="7"/>
  <c r="F738" i="7"/>
  <c r="H738" i="7"/>
  <c r="G737" i="7"/>
  <c r="F737" i="7"/>
  <c r="H737" i="7"/>
  <c r="G736" i="7"/>
  <c r="F736" i="7"/>
  <c r="H736" i="7"/>
  <c r="G735" i="7"/>
  <c r="F735" i="7"/>
  <c r="H735" i="7"/>
  <c r="G734" i="7"/>
  <c r="F734" i="7"/>
  <c r="H734" i="7"/>
  <c r="G733" i="7"/>
  <c r="F733" i="7"/>
  <c r="H733" i="7"/>
  <c r="G732" i="7"/>
  <c r="F732" i="7"/>
  <c r="H732" i="7"/>
  <c r="G731" i="7"/>
  <c r="F731" i="7"/>
  <c r="H731" i="7"/>
  <c r="G730" i="7"/>
  <c r="F730" i="7"/>
  <c r="H730" i="7"/>
  <c r="G729" i="7"/>
  <c r="F729" i="7"/>
  <c r="H729" i="7"/>
  <c r="G728" i="7"/>
  <c r="F728" i="7"/>
  <c r="H728" i="7"/>
  <c r="G727" i="7"/>
  <c r="F727" i="7"/>
  <c r="H727" i="7"/>
  <c r="G726" i="7"/>
  <c r="F726" i="7"/>
  <c r="H726" i="7"/>
  <c r="G725" i="7"/>
  <c r="F725" i="7"/>
  <c r="H725" i="7"/>
  <c r="G724" i="7"/>
  <c r="F724" i="7"/>
  <c r="H724" i="7"/>
  <c r="G723" i="7"/>
  <c r="F723" i="7"/>
  <c r="H723" i="7"/>
  <c r="G722" i="7"/>
  <c r="F722" i="7"/>
  <c r="H722" i="7"/>
  <c r="G721" i="7"/>
  <c r="F721" i="7"/>
  <c r="H721" i="7"/>
  <c r="G720" i="7"/>
  <c r="F720" i="7"/>
  <c r="H720" i="7"/>
  <c r="G719" i="7"/>
  <c r="F719" i="7"/>
  <c r="H719" i="7"/>
  <c r="G718" i="7"/>
  <c r="F718" i="7"/>
  <c r="H718" i="7"/>
  <c r="G717" i="7"/>
  <c r="F717" i="7"/>
  <c r="H717" i="7"/>
  <c r="G716" i="7"/>
  <c r="F716" i="7"/>
  <c r="H716" i="7"/>
  <c r="G715" i="7"/>
  <c r="F715" i="7"/>
  <c r="H715" i="7"/>
  <c r="G714" i="7"/>
  <c r="F714" i="7"/>
  <c r="H714" i="7"/>
  <c r="G713" i="7"/>
  <c r="F713" i="7"/>
  <c r="H713" i="7"/>
  <c r="G712" i="7"/>
  <c r="F712" i="7"/>
  <c r="H712" i="7"/>
  <c r="G711" i="7"/>
  <c r="F711" i="7"/>
  <c r="H711" i="7"/>
  <c r="G710" i="7"/>
  <c r="F710" i="7"/>
  <c r="H710" i="7"/>
  <c r="G709" i="7"/>
  <c r="F709" i="7"/>
  <c r="H709" i="7"/>
  <c r="G708" i="7"/>
  <c r="F708" i="7"/>
  <c r="H708" i="7"/>
  <c r="G707" i="7"/>
  <c r="F707" i="7"/>
  <c r="H707" i="7"/>
  <c r="G706" i="7"/>
  <c r="F706" i="7"/>
  <c r="H706" i="7"/>
  <c r="G705" i="7"/>
  <c r="F705" i="7"/>
  <c r="H705" i="7"/>
  <c r="G704" i="7"/>
  <c r="F704" i="7"/>
  <c r="H704" i="7"/>
  <c r="G703" i="7"/>
  <c r="F703" i="7"/>
  <c r="H703" i="7"/>
  <c r="G702" i="7"/>
  <c r="F702" i="7"/>
  <c r="H702" i="7"/>
  <c r="G701" i="7"/>
  <c r="F701" i="7"/>
  <c r="H701" i="7"/>
  <c r="G700" i="7"/>
  <c r="F700" i="7"/>
  <c r="H700" i="7"/>
  <c r="G699" i="7"/>
  <c r="F699" i="7"/>
  <c r="H699" i="7"/>
  <c r="G698" i="7"/>
  <c r="F698" i="7"/>
  <c r="H698" i="7"/>
  <c r="G697" i="7"/>
  <c r="F697" i="7"/>
  <c r="H697" i="7"/>
  <c r="G696" i="7"/>
  <c r="F696" i="7"/>
  <c r="H696" i="7"/>
  <c r="G695" i="7"/>
  <c r="F695" i="7"/>
  <c r="H695" i="7"/>
  <c r="G694" i="7"/>
  <c r="F694" i="7"/>
  <c r="H694" i="7"/>
  <c r="G693" i="7"/>
  <c r="F693" i="7"/>
  <c r="H693" i="7"/>
  <c r="G692" i="7"/>
  <c r="F692" i="7"/>
  <c r="H692" i="7"/>
  <c r="G691" i="7"/>
  <c r="F691" i="7"/>
  <c r="H691" i="7"/>
  <c r="G690" i="7"/>
  <c r="F690" i="7"/>
  <c r="H690" i="7"/>
  <c r="G689" i="7"/>
  <c r="F689" i="7"/>
  <c r="H689" i="7"/>
  <c r="G688" i="7"/>
  <c r="F688" i="7"/>
  <c r="H688" i="7"/>
  <c r="G687" i="7"/>
  <c r="F687" i="7"/>
  <c r="H687" i="7"/>
  <c r="G686" i="7"/>
  <c r="F686" i="7"/>
  <c r="H686" i="7"/>
  <c r="G685" i="7"/>
  <c r="F685" i="7"/>
  <c r="H685" i="7"/>
  <c r="G684" i="7"/>
  <c r="F684" i="7"/>
  <c r="H684" i="7"/>
  <c r="G683" i="7"/>
  <c r="F683" i="7"/>
  <c r="H683" i="7"/>
  <c r="G682" i="7"/>
  <c r="F682" i="7"/>
  <c r="H682" i="7"/>
  <c r="G681" i="7"/>
  <c r="F681" i="7"/>
  <c r="H681" i="7"/>
  <c r="G680" i="7"/>
  <c r="F680" i="7"/>
  <c r="H680" i="7"/>
  <c r="G679" i="7"/>
  <c r="F679" i="7"/>
  <c r="H679" i="7"/>
  <c r="G678" i="7"/>
  <c r="F678" i="7"/>
  <c r="H678" i="7"/>
  <c r="G677" i="7"/>
  <c r="F677" i="7"/>
  <c r="H677" i="7"/>
  <c r="G676" i="7"/>
  <c r="F676" i="7"/>
  <c r="H676" i="7"/>
  <c r="G675" i="7"/>
  <c r="F675" i="7"/>
  <c r="H675" i="7"/>
  <c r="G674" i="7"/>
  <c r="F674" i="7"/>
  <c r="H674" i="7"/>
  <c r="G673" i="7"/>
  <c r="F673" i="7"/>
  <c r="H673" i="7"/>
  <c r="G672" i="7"/>
  <c r="F672" i="7"/>
  <c r="H672" i="7"/>
  <c r="G671" i="7"/>
  <c r="F671" i="7"/>
  <c r="H671" i="7"/>
  <c r="G670" i="7"/>
  <c r="F670" i="7"/>
  <c r="H670" i="7"/>
  <c r="G669" i="7"/>
  <c r="F669" i="7"/>
  <c r="H669" i="7"/>
  <c r="G668" i="7"/>
  <c r="F668" i="7"/>
  <c r="H668" i="7"/>
  <c r="G667" i="7"/>
  <c r="F667" i="7"/>
  <c r="H667" i="7"/>
  <c r="G666" i="7"/>
  <c r="F666" i="7"/>
  <c r="H666" i="7"/>
  <c r="G665" i="7"/>
  <c r="F665" i="7"/>
  <c r="H665" i="7"/>
  <c r="G664" i="7"/>
  <c r="F664" i="7"/>
  <c r="H664" i="7"/>
  <c r="G663" i="7"/>
  <c r="F663" i="7"/>
  <c r="H663" i="7"/>
  <c r="G662" i="7"/>
  <c r="F662" i="7"/>
  <c r="H662" i="7"/>
  <c r="G661" i="7"/>
  <c r="F661" i="7"/>
  <c r="H661" i="7"/>
  <c r="G660" i="7"/>
  <c r="F660" i="7"/>
  <c r="H660" i="7"/>
  <c r="G659" i="7"/>
  <c r="F659" i="7"/>
  <c r="H659" i="7"/>
  <c r="G658" i="7"/>
  <c r="F658" i="7"/>
  <c r="H658" i="7"/>
  <c r="G657" i="7"/>
  <c r="F657" i="7"/>
  <c r="H657" i="7"/>
  <c r="G656" i="7"/>
  <c r="F656" i="7"/>
  <c r="H656" i="7"/>
  <c r="G655" i="7"/>
  <c r="F655" i="7"/>
  <c r="H655" i="7"/>
  <c r="G654" i="7"/>
  <c r="F654" i="7"/>
  <c r="H654" i="7"/>
  <c r="G653" i="7"/>
  <c r="F653" i="7"/>
  <c r="H653" i="7"/>
  <c r="G652" i="7"/>
  <c r="F652" i="7"/>
  <c r="H652" i="7"/>
  <c r="G651" i="7"/>
  <c r="F651" i="7"/>
  <c r="H651" i="7"/>
  <c r="G650" i="7"/>
  <c r="F650" i="7"/>
  <c r="H650" i="7"/>
  <c r="G649" i="7"/>
  <c r="F649" i="7"/>
  <c r="H649" i="7"/>
  <c r="G648" i="7"/>
  <c r="F648" i="7"/>
  <c r="H648" i="7"/>
  <c r="G647" i="7"/>
  <c r="F647" i="7"/>
  <c r="H647" i="7"/>
  <c r="G646" i="7"/>
  <c r="F646" i="7"/>
  <c r="H646" i="7"/>
  <c r="G645" i="7"/>
  <c r="F645" i="7"/>
  <c r="H645" i="7"/>
  <c r="G644" i="7"/>
  <c r="F644" i="7"/>
  <c r="H644" i="7"/>
  <c r="G643" i="7"/>
  <c r="F643" i="7"/>
  <c r="H643" i="7"/>
  <c r="G642" i="7"/>
  <c r="F642" i="7"/>
  <c r="H642" i="7"/>
  <c r="G641" i="7"/>
  <c r="F641" i="7"/>
  <c r="H641" i="7"/>
  <c r="G640" i="7"/>
  <c r="F640" i="7"/>
  <c r="H640" i="7"/>
  <c r="G639" i="7"/>
  <c r="F639" i="7"/>
  <c r="H639" i="7"/>
  <c r="G638" i="7"/>
  <c r="F638" i="7"/>
  <c r="H638" i="7"/>
  <c r="G637" i="7"/>
  <c r="F637" i="7"/>
  <c r="H637" i="7"/>
  <c r="G636" i="7"/>
  <c r="F636" i="7"/>
  <c r="H636" i="7"/>
  <c r="G635" i="7"/>
  <c r="F635" i="7"/>
  <c r="H635" i="7"/>
  <c r="G634" i="7"/>
  <c r="F634" i="7"/>
  <c r="H634" i="7"/>
  <c r="G633" i="7"/>
  <c r="F633" i="7"/>
  <c r="H633" i="7"/>
  <c r="G632" i="7"/>
  <c r="F632" i="7"/>
  <c r="H632" i="7"/>
  <c r="G631" i="7"/>
  <c r="F631" i="7"/>
  <c r="H631" i="7"/>
  <c r="G630" i="7"/>
  <c r="F630" i="7"/>
  <c r="H630" i="7"/>
  <c r="G629" i="7"/>
  <c r="F629" i="7"/>
  <c r="H629" i="7"/>
  <c r="G628" i="7"/>
  <c r="F628" i="7"/>
  <c r="H628" i="7"/>
  <c r="G627" i="7"/>
  <c r="F627" i="7"/>
  <c r="H627" i="7"/>
  <c r="G626" i="7"/>
  <c r="F626" i="7"/>
  <c r="H626" i="7"/>
  <c r="G625" i="7"/>
  <c r="F625" i="7"/>
  <c r="H625" i="7"/>
  <c r="G624" i="7"/>
  <c r="F624" i="7"/>
  <c r="H624" i="7"/>
  <c r="G623" i="7"/>
  <c r="F623" i="7"/>
  <c r="H623" i="7"/>
  <c r="G622" i="7"/>
  <c r="F622" i="7"/>
  <c r="H622" i="7"/>
  <c r="G621" i="7"/>
  <c r="F621" i="7"/>
  <c r="H621" i="7"/>
  <c r="G620" i="7"/>
  <c r="F620" i="7"/>
  <c r="H620" i="7"/>
  <c r="G619" i="7"/>
  <c r="F619" i="7"/>
  <c r="H619" i="7"/>
  <c r="G618" i="7"/>
  <c r="F618" i="7"/>
  <c r="H618" i="7"/>
  <c r="G617" i="7"/>
  <c r="F617" i="7"/>
  <c r="H617" i="7"/>
  <c r="G616" i="7"/>
  <c r="F616" i="7"/>
  <c r="H616" i="7"/>
  <c r="G615" i="7"/>
  <c r="F615" i="7"/>
  <c r="H615" i="7"/>
  <c r="G614" i="7"/>
  <c r="F614" i="7"/>
  <c r="H614" i="7"/>
  <c r="G613" i="7"/>
  <c r="F613" i="7"/>
  <c r="H613" i="7"/>
  <c r="G612" i="7"/>
  <c r="F612" i="7"/>
  <c r="H612" i="7"/>
  <c r="G611" i="7"/>
  <c r="F611" i="7"/>
  <c r="H611" i="7"/>
  <c r="G610" i="7"/>
  <c r="F610" i="7"/>
  <c r="H610" i="7"/>
  <c r="G609" i="7"/>
  <c r="F609" i="7"/>
  <c r="H609" i="7"/>
  <c r="G608" i="7"/>
  <c r="F608" i="7"/>
  <c r="H608" i="7"/>
  <c r="G607" i="7"/>
  <c r="F607" i="7"/>
  <c r="H607" i="7"/>
  <c r="G606" i="7"/>
  <c r="F606" i="7"/>
  <c r="H606" i="7"/>
  <c r="G605" i="7"/>
  <c r="F605" i="7"/>
  <c r="H605" i="7"/>
  <c r="G604" i="7"/>
  <c r="F604" i="7"/>
  <c r="H604" i="7"/>
  <c r="G603" i="7"/>
  <c r="F603" i="7"/>
  <c r="H603" i="7"/>
  <c r="G602" i="7"/>
  <c r="F602" i="7"/>
  <c r="H602" i="7"/>
  <c r="G601" i="7"/>
  <c r="F601" i="7"/>
  <c r="H601" i="7"/>
  <c r="G600" i="7"/>
  <c r="F600" i="7"/>
  <c r="H600" i="7"/>
  <c r="G599" i="7"/>
  <c r="F599" i="7"/>
  <c r="H599" i="7"/>
  <c r="G598" i="7"/>
  <c r="F598" i="7"/>
  <c r="H598" i="7"/>
  <c r="G597" i="7"/>
  <c r="F597" i="7"/>
  <c r="H597" i="7"/>
  <c r="G596" i="7"/>
  <c r="F596" i="7"/>
  <c r="H596" i="7"/>
  <c r="G595" i="7"/>
  <c r="F595" i="7"/>
  <c r="H595" i="7"/>
  <c r="G594" i="7"/>
  <c r="F594" i="7"/>
  <c r="H594" i="7"/>
  <c r="G593" i="7"/>
  <c r="F593" i="7"/>
  <c r="H593" i="7"/>
  <c r="G592" i="7"/>
  <c r="F592" i="7"/>
  <c r="H592" i="7"/>
  <c r="G591" i="7"/>
  <c r="F591" i="7"/>
  <c r="H591" i="7"/>
  <c r="G590" i="7"/>
  <c r="F590" i="7"/>
  <c r="H590" i="7"/>
  <c r="G589" i="7"/>
  <c r="F589" i="7"/>
  <c r="H589" i="7"/>
  <c r="G588" i="7"/>
  <c r="F588" i="7"/>
  <c r="H588" i="7"/>
  <c r="G587" i="7"/>
  <c r="F587" i="7"/>
  <c r="H587" i="7"/>
  <c r="G586" i="7"/>
  <c r="F586" i="7"/>
  <c r="H586" i="7"/>
  <c r="G585" i="7"/>
  <c r="F585" i="7"/>
  <c r="H585" i="7"/>
  <c r="G584" i="7"/>
  <c r="F584" i="7"/>
  <c r="H584" i="7"/>
  <c r="G583" i="7"/>
  <c r="F583" i="7"/>
  <c r="H583" i="7"/>
  <c r="G582" i="7"/>
  <c r="F582" i="7"/>
  <c r="H582" i="7"/>
  <c r="G581" i="7"/>
  <c r="F581" i="7"/>
  <c r="H581" i="7"/>
  <c r="G580" i="7"/>
  <c r="F580" i="7"/>
  <c r="H580" i="7"/>
  <c r="G579" i="7"/>
  <c r="F579" i="7"/>
  <c r="H579" i="7"/>
  <c r="G578" i="7"/>
  <c r="F578" i="7"/>
  <c r="H578" i="7"/>
  <c r="G577" i="7"/>
  <c r="F577" i="7"/>
  <c r="H577" i="7"/>
  <c r="G576" i="7"/>
  <c r="F576" i="7"/>
  <c r="H576" i="7"/>
  <c r="G575" i="7"/>
  <c r="F575" i="7"/>
  <c r="H575" i="7"/>
  <c r="G574" i="7"/>
  <c r="F574" i="7"/>
  <c r="H574" i="7"/>
  <c r="G573" i="7"/>
  <c r="F573" i="7"/>
  <c r="H573" i="7"/>
  <c r="G572" i="7"/>
  <c r="F572" i="7"/>
  <c r="H572" i="7"/>
  <c r="G571" i="7"/>
  <c r="F571" i="7"/>
  <c r="H571" i="7"/>
  <c r="G570" i="7"/>
  <c r="F570" i="7"/>
  <c r="H570" i="7"/>
  <c r="G569" i="7"/>
  <c r="F569" i="7"/>
  <c r="H569" i="7"/>
  <c r="G568" i="7"/>
  <c r="F568" i="7"/>
  <c r="H568" i="7"/>
  <c r="G567" i="7"/>
  <c r="F567" i="7"/>
  <c r="H567" i="7"/>
  <c r="G566" i="7"/>
  <c r="F566" i="7"/>
  <c r="H566" i="7"/>
  <c r="G565" i="7"/>
  <c r="F565" i="7"/>
  <c r="H565" i="7"/>
  <c r="G564" i="7"/>
  <c r="F564" i="7"/>
  <c r="H564" i="7"/>
  <c r="G563" i="7"/>
  <c r="F563" i="7"/>
  <c r="H563" i="7"/>
  <c r="G562" i="7"/>
  <c r="F562" i="7"/>
  <c r="H562" i="7"/>
  <c r="G561" i="7"/>
  <c r="F561" i="7"/>
  <c r="H561" i="7"/>
  <c r="G560" i="7"/>
  <c r="F560" i="7"/>
  <c r="H560" i="7"/>
  <c r="G559" i="7"/>
  <c r="F559" i="7"/>
  <c r="H559" i="7"/>
  <c r="G558" i="7"/>
  <c r="F558" i="7"/>
  <c r="H558" i="7"/>
  <c r="G557" i="7"/>
  <c r="F557" i="7"/>
  <c r="H557" i="7"/>
  <c r="G556" i="7"/>
  <c r="F556" i="7"/>
  <c r="H556" i="7"/>
  <c r="G555" i="7"/>
  <c r="F555" i="7"/>
  <c r="H555" i="7"/>
  <c r="G554" i="7"/>
  <c r="F554" i="7"/>
  <c r="H554" i="7"/>
  <c r="G553" i="7"/>
  <c r="F553" i="7"/>
  <c r="H553" i="7"/>
  <c r="G552" i="7"/>
  <c r="F552" i="7"/>
  <c r="H552" i="7"/>
  <c r="G551" i="7"/>
  <c r="F551" i="7"/>
  <c r="H551" i="7"/>
  <c r="G550" i="7"/>
  <c r="F550" i="7"/>
  <c r="H550" i="7"/>
  <c r="G549" i="7"/>
  <c r="F549" i="7"/>
  <c r="H549" i="7"/>
  <c r="G548" i="7"/>
  <c r="F548" i="7"/>
  <c r="H548" i="7"/>
  <c r="G547" i="7"/>
  <c r="F547" i="7"/>
  <c r="H547" i="7"/>
  <c r="G546" i="7"/>
  <c r="F546" i="7"/>
  <c r="H546" i="7"/>
  <c r="G545" i="7"/>
  <c r="F545" i="7"/>
  <c r="H545" i="7"/>
  <c r="G544" i="7"/>
  <c r="F544" i="7"/>
  <c r="H544" i="7"/>
  <c r="G543" i="7"/>
  <c r="F543" i="7"/>
  <c r="H543" i="7"/>
  <c r="G542" i="7"/>
  <c r="F542" i="7"/>
  <c r="H542" i="7"/>
  <c r="G541" i="7"/>
  <c r="F541" i="7"/>
  <c r="H541" i="7"/>
  <c r="G540" i="7"/>
  <c r="F540" i="7"/>
  <c r="H540" i="7"/>
  <c r="G539" i="7"/>
  <c r="F539" i="7"/>
  <c r="H539" i="7"/>
  <c r="G538" i="7"/>
  <c r="F538" i="7"/>
  <c r="H538" i="7"/>
  <c r="G537" i="7"/>
  <c r="F537" i="7"/>
  <c r="H537" i="7"/>
  <c r="G536" i="7"/>
  <c r="F536" i="7"/>
  <c r="H536" i="7"/>
  <c r="G535" i="7"/>
  <c r="F535" i="7"/>
  <c r="H535" i="7"/>
  <c r="G534" i="7"/>
  <c r="F534" i="7"/>
  <c r="H534" i="7"/>
  <c r="G533" i="7"/>
  <c r="F533" i="7"/>
  <c r="H533" i="7"/>
  <c r="G532" i="7"/>
  <c r="F532" i="7"/>
  <c r="H532" i="7"/>
  <c r="G531" i="7"/>
  <c r="F531" i="7"/>
  <c r="H531" i="7"/>
  <c r="G530" i="7"/>
  <c r="F530" i="7"/>
  <c r="H530" i="7"/>
  <c r="G529" i="7"/>
  <c r="F529" i="7"/>
  <c r="H529" i="7"/>
  <c r="G528" i="7"/>
  <c r="F528" i="7"/>
  <c r="H528" i="7"/>
  <c r="G527" i="7"/>
  <c r="F527" i="7"/>
  <c r="H527" i="7"/>
  <c r="G526" i="7"/>
  <c r="F526" i="7"/>
  <c r="H526" i="7"/>
  <c r="G525" i="7"/>
  <c r="F525" i="7"/>
  <c r="H525" i="7"/>
  <c r="G524" i="7"/>
  <c r="F524" i="7"/>
  <c r="H524" i="7"/>
  <c r="G523" i="7"/>
  <c r="F523" i="7"/>
  <c r="H523" i="7"/>
  <c r="G522" i="7"/>
  <c r="F522" i="7"/>
  <c r="H522" i="7"/>
  <c r="G521" i="7"/>
  <c r="F521" i="7"/>
  <c r="H521" i="7"/>
  <c r="G520" i="7"/>
  <c r="F520" i="7"/>
  <c r="H520" i="7"/>
  <c r="G519" i="7"/>
  <c r="F519" i="7"/>
  <c r="H519" i="7"/>
  <c r="G518" i="7"/>
  <c r="F518" i="7"/>
  <c r="H518" i="7"/>
  <c r="G517" i="7"/>
  <c r="F517" i="7"/>
  <c r="H517" i="7"/>
  <c r="G516" i="7"/>
  <c r="F516" i="7"/>
  <c r="H516" i="7"/>
  <c r="G515" i="7"/>
  <c r="F515" i="7"/>
  <c r="H515" i="7"/>
  <c r="G514" i="7"/>
  <c r="F514" i="7"/>
  <c r="H514" i="7"/>
  <c r="G513" i="7"/>
  <c r="F513" i="7"/>
  <c r="H513" i="7"/>
  <c r="G512" i="7"/>
  <c r="F512" i="7"/>
  <c r="H512" i="7"/>
  <c r="G511" i="7"/>
  <c r="F511" i="7"/>
  <c r="H511" i="7"/>
  <c r="G510" i="7"/>
  <c r="F510" i="7"/>
  <c r="H510" i="7"/>
  <c r="G509" i="7"/>
  <c r="F509" i="7"/>
  <c r="H509" i="7"/>
  <c r="G508" i="7"/>
  <c r="F508" i="7"/>
  <c r="H508" i="7"/>
  <c r="G507" i="7"/>
  <c r="F507" i="7"/>
  <c r="H507" i="7"/>
  <c r="G506" i="7"/>
  <c r="F506" i="7"/>
  <c r="H506" i="7"/>
  <c r="G505" i="7"/>
  <c r="F505" i="7"/>
  <c r="H505" i="7"/>
  <c r="G504" i="7"/>
  <c r="F504" i="7"/>
  <c r="H504" i="7"/>
  <c r="G503" i="7"/>
  <c r="F503" i="7"/>
  <c r="H503" i="7"/>
  <c r="G502" i="7"/>
  <c r="F502" i="7"/>
  <c r="H502" i="7"/>
  <c r="G501" i="7"/>
  <c r="F501" i="7"/>
  <c r="H501" i="7"/>
  <c r="G500" i="7"/>
  <c r="F500" i="7"/>
  <c r="H500" i="7"/>
  <c r="G499" i="7"/>
  <c r="F499" i="7"/>
  <c r="H499" i="7"/>
  <c r="G498" i="7"/>
  <c r="F498" i="7"/>
  <c r="H498" i="7"/>
  <c r="G497" i="7"/>
  <c r="F497" i="7"/>
  <c r="H497" i="7"/>
  <c r="G496" i="7"/>
  <c r="F496" i="7"/>
  <c r="H496" i="7"/>
  <c r="G495" i="7"/>
  <c r="F495" i="7"/>
  <c r="H495" i="7"/>
  <c r="G494" i="7"/>
  <c r="F494" i="7"/>
  <c r="H494" i="7"/>
  <c r="G493" i="7"/>
  <c r="F493" i="7"/>
  <c r="H493" i="7"/>
  <c r="G492" i="7"/>
  <c r="F492" i="7"/>
  <c r="H492" i="7"/>
  <c r="G491" i="7"/>
  <c r="F491" i="7"/>
  <c r="H491" i="7"/>
  <c r="G490" i="7"/>
  <c r="F490" i="7"/>
  <c r="H490" i="7"/>
  <c r="G489" i="7"/>
  <c r="F489" i="7"/>
  <c r="H489" i="7"/>
  <c r="G488" i="7"/>
  <c r="F488" i="7"/>
  <c r="H488" i="7"/>
  <c r="G487" i="7"/>
  <c r="F487" i="7"/>
  <c r="H487" i="7"/>
  <c r="G486" i="7"/>
  <c r="F486" i="7"/>
  <c r="H486" i="7"/>
  <c r="G485" i="7"/>
  <c r="F485" i="7"/>
  <c r="H485" i="7"/>
  <c r="G484" i="7"/>
  <c r="F484" i="7"/>
  <c r="H484" i="7"/>
  <c r="G483" i="7"/>
  <c r="F483" i="7"/>
  <c r="H483" i="7"/>
  <c r="G482" i="7"/>
  <c r="F482" i="7"/>
  <c r="H482" i="7"/>
  <c r="G481" i="7"/>
  <c r="F481" i="7"/>
  <c r="H481" i="7"/>
  <c r="G480" i="7"/>
  <c r="F480" i="7"/>
  <c r="H480" i="7"/>
  <c r="G479" i="7"/>
  <c r="F479" i="7"/>
  <c r="H479" i="7"/>
  <c r="G478" i="7"/>
  <c r="F478" i="7"/>
  <c r="H478" i="7"/>
  <c r="G477" i="7"/>
  <c r="F477" i="7"/>
  <c r="H477" i="7"/>
  <c r="G476" i="7"/>
  <c r="F476" i="7"/>
  <c r="H476" i="7"/>
  <c r="G475" i="7"/>
  <c r="F475" i="7"/>
  <c r="H475" i="7"/>
  <c r="G474" i="7"/>
  <c r="F474" i="7"/>
  <c r="H474" i="7"/>
  <c r="G473" i="7"/>
  <c r="F473" i="7"/>
  <c r="H473" i="7"/>
  <c r="G472" i="7"/>
  <c r="F472" i="7"/>
  <c r="H472" i="7"/>
  <c r="G471" i="7"/>
  <c r="F471" i="7"/>
  <c r="H471" i="7"/>
  <c r="G470" i="7"/>
  <c r="F470" i="7"/>
  <c r="H470" i="7"/>
  <c r="G469" i="7"/>
  <c r="F469" i="7"/>
  <c r="H469" i="7"/>
  <c r="G468" i="7"/>
  <c r="F468" i="7"/>
  <c r="H468" i="7"/>
  <c r="G467" i="7"/>
  <c r="F467" i="7"/>
  <c r="H467" i="7"/>
  <c r="G466" i="7"/>
  <c r="F466" i="7"/>
  <c r="H466" i="7"/>
  <c r="G465" i="7"/>
  <c r="F465" i="7"/>
  <c r="H465" i="7"/>
  <c r="G464" i="7"/>
  <c r="F464" i="7"/>
  <c r="H464" i="7"/>
  <c r="G463" i="7"/>
  <c r="F463" i="7"/>
  <c r="H463" i="7"/>
  <c r="G462" i="7"/>
  <c r="F462" i="7"/>
  <c r="H462" i="7"/>
  <c r="G461" i="7"/>
  <c r="F461" i="7"/>
  <c r="H461" i="7"/>
  <c r="G460" i="7"/>
  <c r="F460" i="7"/>
  <c r="H460" i="7"/>
  <c r="G459" i="7"/>
  <c r="F459" i="7"/>
  <c r="H459" i="7"/>
  <c r="G458" i="7"/>
  <c r="F458" i="7"/>
  <c r="H458" i="7"/>
  <c r="G457" i="7"/>
  <c r="F457" i="7"/>
  <c r="H457" i="7"/>
  <c r="G456" i="7"/>
  <c r="F456" i="7"/>
  <c r="H456" i="7"/>
  <c r="G455" i="7"/>
  <c r="F455" i="7"/>
  <c r="H455" i="7"/>
  <c r="G454" i="7"/>
  <c r="F454" i="7"/>
  <c r="H454" i="7"/>
  <c r="G453" i="7"/>
  <c r="F453" i="7"/>
  <c r="H453" i="7"/>
  <c r="G452" i="7"/>
  <c r="F452" i="7"/>
  <c r="H452" i="7"/>
  <c r="G451" i="7"/>
  <c r="F451" i="7"/>
  <c r="H451" i="7"/>
  <c r="G450" i="7"/>
  <c r="F450" i="7"/>
  <c r="H450" i="7"/>
  <c r="G449" i="7"/>
  <c r="F449" i="7"/>
  <c r="H449" i="7"/>
  <c r="G448" i="7"/>
  <c r="F448" i="7"/>
  <c r="H448" i="7"/>
  <c r="G447" i="7"/>
  <c r="F447" i="7"/>
  <c r="H447" i="7"/>
  <c r="G446" i="7"/>
  <c r="F446" i="7"/>
  <c r="H446" i="7"/>
  <c r="G445" i="7"/>
  <c r="F445" i="7"/>
  <c r="H445" i="7"/>
  <c r="G444" i="7"/>
  <c r="F444" i="7"/>
  <c r="H444" i="7"/>
  <c r="G443" i="7"/>
  <c r="F443" i="7"/>
  <c r="H443" i="7"/>
  <c r="G442" i="7"/>
  <c r="F442" i="7"/>
  <c r="H442" i="7"/>
  <c r="G441" i="7"/>
  <c r="F441" i="7"/>
  <c r="H441" i="7"/>
  <c r="G440" i="7"/>
  <c r="F440" i="7"/>
  <c r="H440" i="7"/>
  <c r="G439" i="7"/>
  <c r="F439" i="7"/>
  <c r="H439" i="7"/>
  <c r="G438" i="7"/>
  <c r="F438" i="7"/>
  <c r="H438" i="7"/>
  <c r="G437" i="7"/>
  <c r="F437" i="7"/>
  <c r="H437" i="7"/>
  <c r="G436" i="7"/>
  <c r="F436" i="7"/>
  <c r="H436" i="7"/>
  <c r="G435" i="7"/>
  <c r="F435" i="7"/>
  <c r="H435" i="7"/>
  <c r="G434" i="7"/>
  <c r="F434" i="7"/>
  <c r="H434" i="7"/>
  <c r="G433" i="7"/>
  <c r="F433" i="7"/>
  <c r="H433" i="7"/>
  <c r="G432" i="7"/>
  <c r="F432" i="7"/>
  <c r="H432" i="7"/>
  <c r="G431" i="7"/>
  <c r="F431" i="7"/>
  <c r="H431" i="7"/>
  <c r="G430" i="7"/>
  <c r="F430" i="7"/>
  <c r="H430" i="7"/>
  <c r="G429" i="7"/>
  <c r="F429" i="7"/>
  <c r="H429" i="7"/>
  <c r="G428" i="7"/>
  <c r="F428" i="7"/>
  <c r="H428" i="7"/>
  <c r="G427" i="7"/>
  <c r="F427" i="7"/>
  <c r="H427" i="7"/>
  <c r="G426" i="7"/>
  <c r="F426" i="7"/>
  <c r="H426" i="7"/>
  <c r="G425" i="7"/>
  <c r="F425" i="7"/>
  <c r="H425" i="7"/>
  <c r="G424" i="7"/>
  <c r="F424" i="7"/>
  <c r="H424" i="7"/>
  <c r="G423" i="7"/>
  <c r="F423" i="7"/>
  <c r="H423" i="7"/>
  <c r="G422" i="7"/>
  <c r="F422" i="7"/>
  <c r="H422" i="7"/>
  <c r="G421" i="7"/>
  <c r="F421" i="7"/>
  <c r="H421" i="7"/>
  <c r="G420" i="7"/>
  <c r="F420" i="7"/>
  <c r="H420" i="7"/>
  <c r="G419" i="7"/>
  <c r="F419" i="7"/>
  <c r="H419" i="7"/>
  <c r="G418" i="7"/>
  <c r="F418" i="7"/>
  <c r="H418" i="7"/>
  <c r="G417" i="7"/>
  <c r="F417" i="7"/>
  <c r="H417" i="7"/>
  <c r="G416" i="7"/>
  <c r="F416" i="7"/>
  <c r="H416" i="7"/>
  <c r="G415" i="7"/>
  <c r="F415" i="7"/>
  <c r="H415" i="7"/>
  <c r="G414" i="7"/>
  <c r="F414" i="7"/>
  <c r="H414" i="7"/>
  <c r="G413" i="7"/>
  <c r="F413" i="7"/>
  <c r="H413" i="7"/>
  <c r="G412" i="7"/>
  <c r="F412" i="7"/>
  <c r="H412" i="7"/>
  <c r="G411" i="7"/>
  <c r="F411" i="7"/>
  <c r="H411" i="7"/>
  <c r="G410" i="7"/>
  <c r="F410" i="7"/>
  <c r="H410" i="7"/>
  <c r="G409" i="7"/>
  <c r="F409" i="7"/>
  <c r="H409" i="7"/>
  <c r="G408" i="7"/>
  <c r="F408" i="7"/>
  <c r="H408" i="7"/>
  <c r="G407" i="7"/>
  <c r="F407" i="7"/>
  <c r="H407" i="7"/>
  <c r="G406" i="7"/>
  <c r="F406" i="7"/>
  <c r="G405" i="7"/>
  <c r="F405" i="7"/>
  <c r="G404" i="7"/>
  <c r="F404" i="7"/>
  <c r="G403" i="7"/>
  <c r="F403" i="7"/>
  <c r="G402" i="7"/>
  <c r="F402" i="7"/>
  <c r="G401" i="7"/>
  <c r="F401" i="7"/>
  <c r="G400" i="7"/>
  <c r="F400" i="7"/>
  <c r="G399" i="7"/>
  <c r="F399" i="7"/>
  <c r="G398" i="7"/>
  <c r="F398" i="7"/>
  <c r="G397" i="7"/>
  <c r="F397" i="7"/>
  <c r="G396" i="7"/>
  <c r="F396" i="7"/>
  <c r="G395" i="7"/>
  <c r="F395" i="7"/>
  <c r="H395" i="7"/>
  <c r="G394" i="7"/>
  <c r="F394" i="7"/>
  <c r="H394" i="7"/>
  <c r="G393" i="7"/>
  <c r="F393" i="7"/>
  <c r="G392" i="7"/>
  <c r="F392" i="7"/>
  <c r="G391" i="7"/>
  <c r="F391" i="7"/>
  <c r="G390" i="7"/>
  <c r="F390" i="7"/>
  <c r="G389" i="7"/>
  <c r="F389" i="7"/>
  <c r="H389" i="7"/>
  <c r="G388" i="7"/>
  <c r="F388" i="7"/>
  <c r="H388" i="7"/>
  <c r="G387" i="7"/>
  <c r="F387" i="7"/>
  <c r="G386" i="7"/>
  <c r="H386" i="7"/>
  <c r="G385" i="7"/>
  <c r="F385" i="7"/>
  <c r="H385" i="7"/>
  <c r="G384" i="7"/>
  <c r="F384" i="7"/>
  <c r="G383" i="7"/>
  <c r="F383" i="7"/>
  <c r="H383" i="7"/>
  <c r="G382" i="7"/>
  <c r="F382" i="7"/>
  <c r="G381" i="7"/>
  <c r="H381" i="7"/>
  <c r="F381" i="7"/>
  <c r="G380" i="7"/>
  <c r="F380" i="7"/>
  <c r="G379" i="7"/>
  <c r="F379" i="7"/>
  <c r="H379" i="7"/>
  <c r="G378" i="7"/>
  <c r="F378" i="7"/>
  <c r="G377" i="7"/>
  <c r="F377" i="7"/>
  <c r="G376" i="7"/>
  <c r="F376" i="7"/>
  <c r="H376" i="7"/>
  <c r="G375" i="7"/>
  <c r="F375" i="7"/>
  <c r="G374" i="7"/>
  <c r="F374" i="7"/>
  <c r="G373" i="7"/>
  <c r="F373" i="7"/>
  <c r="G372" i="7"/>
  <c r="F372" i="7"/>
  <c r="G371" i="7"/>
  <c r="H371" i="7"/>
  <c r="F371" i="7"/>
  <c r="G370" i="7"/>
  <c r="F370" i="7"/>
  <c r="G369" i="7"/>
  <c r="H369" i="7"/>
  <c r="F369" i="7"/>
  <c r="G368" i="7"/>
  <c r="F368" i="7"/>
  <c r="G367" i="7"/>
  <c r="F367" i="7"/>
  <c r="G366" i="7"/>
  <c r="F366" i="7"/>
  <c r="I366" i="7"/>
  <c r="H366" i="7"/>
  <c r="G365" i="7"/>
  <c r="F365" i="7"/>
  <c r="G364" i="7"/>
  <c r="F364" i="7"/>
  <c r="H364" i="7"/>
  <c r="G363" i="7"/>
  <c r="F363" i="7"/>
  <c r="G362" i="7"/>
  <c r="F362" i="7"/>
  <c r="H362" i="7"/>
  <c r="G361" i="7"/>
  <c r="F361" i="7"/>
  <c r="G360" i="7"/>
  <c r="F360" i="7"/>
  <c r="H360" i="7"/>
  <c r="G359" i="7"/>
  <c r="F359" i="7"/>
  <c r="H359" i="7"/>
  <c r="G358" i="7"/>
  <c r="F358" i="7"/>
  <c r="H358" i="7"/>
  <c r="G357" i="7"/>
  <c r="F357" i="7"/>
  <c r="H357" i="7"/>
  <c r="G356" i="7"/>
  <c r="F356" i="7"/>
  <c r="H356" i="7"/>
  <c r="G355" i="7"/>
  <c r="F355" i="7"/>
  <c r="H355" i="7"/>
  <c r="G354" i="7"/>
  <c r="F354" i="7"/>
  <c r="H354" i="7"/>
  <c r="G353" i="7"/>
  <c r="F353" i="7"/>
  <c r="H353" i="7"/>
  <c r="G352" i="7"/>
  <c r="F352" i="7"/>
  <c r="H352" i="7"/>
  <c r="G351" i="7"/>
  <c r="F351" i="7"/>
  <c r="H351" i="7"/>
  <c r="G350" i="7"/>
  <c r="F350" i="7"/>
  <c r="H350" i="7"/>
  <c r="G349" i="7"/>
  <c r="F349" i="7"/>
  <c r="H349" i="7"/>
  <c r="G348" i="7"/>
  <c r="F348" i="7"/>
  <c r="G347" i="7"/>
  <c r="F347" i="7"/>
  <c r="G346" i="7"/>
  <c r="F346" i="7"/>
  <c r="G345" i="7"/>
  <c r="F345" i="7"/>
  <c r="H345" i="7"/>
  <c r="G344" i="7"/>
  <c r="F344" i="7"/>
  <c r="H344" i="7"/>
  <c r="G343" i="7"/>
  <c r="F343" i="7"/>
  <c r="G342" i="7"/>
  <c r="F342" i="7"/>
  <c r="G341" i="7"/>
  <c r="F341" i="7"/>
  <c r="G340" i="7"/>
  <c r="F340" i="7"/>
  <c r="H340" i="7"/>
  <c r="G339" i="7"/>
  <c r="F339" i="7"/>
  <c r="G338" i="7"/>
  <c r="F338" i="7"/>
  <c r="H338" i="7"/>
  <c r="G337" i="7"/>
  <c r="F337" i="7"/>
  <c r="G336" i="7"/>
  <c r="F336" i="7"/>
  <c r="G335" i="7"/>
  <c r="F335" i="7"/>
  <c r="G334" i="7"/>
  <c r="F334" i="7"/>
  <c r="G333" i="7"/>
  <c r="F333" i="7"/>
  <c r="H333" i="7"/>
  <c r="G332" i="7"/>
  <c r="F332" i="7"/>
  <c r="G331" i="7"/>
  <c r="F331" i="7"/>
  <c r="H331" i="7"/>
  <c r="G330" i="7"/>
  <c r="F330" i="7"/>
  <c r="G329" i="7"/>
  <c r="F329" i="7"/>
  <c r="G328" i="7"/>
  <c r="F328" i="7"/>
  <c r="G327" i="7"/>
  <c r="F327" i="7"/>
  <c r="H327" i="7"/>
  <c r="G326" i="7"/>
  <c r="F326" i="7"/>
  <c r="H326" i="7"/>
  <c r="G325" i="7"/>
  <c r="F325" i="7"/>
  <c r="G324" i="7"/>
  <c r="F324" i="7"/>
  <c r="G323" i="7"/>
  <c r="F323" i="7"/>
  <c r="G322" i="7"/>
  <c r="F322" i="7"/>
  <c r="G321" i="7"/>
  <c r="F321" i="7"/>
  <c r="G320" i="7"/>
  <c r="F320" i="7"/>
  <c r="H320" i="7"/>
  <c r="G319" i="7"/>
  <c r="F319" i="7"/>
  <c r="H319" i="7"/>
  <c r="G318" i="7"/>
  <c r="F318" i="7"/>
  <c r="G317" i="7"/>
  <c r="F317" i="7"/>
  <c r="H317" i="7"/>
  <c r="G316" i="7"/>
  <c r="F316" i="7"/>
  <c r="G315" i="7"/>
  <c r="F315" i="7"/>
  <c r="H315" i="7"/>
  <c r="G314" i="7"/>
  <c r="F314" i="7"/>
  <c r="H314" i="7"/>
  <c r="G313" i="7"/>
  <c r="F313" i="7"/>
  <c r="G312" i="7"/>
  <c r="H312" i="7"/>
  <c r="F312" i="7"/>
  <c r="G311" i="7"/>
  <c r="F311" i="7"/>
  <c r="G310" i="7"/>
  <c r="F310" i="7"/>
  <c r="H310" i="7"/>
  <c r="G309" i="7"/>
  <c r="F309" i="7"/>
  <c r="H309" i="7"/>
  <c r="G308" i="7"/>
  <c r="F308" i="7"/>
  <c r="H308" i="7"/>
  <c r="G307" i="7"/>
  <c r="F307" i="7"/>
  <c r="H307" i="7"/>
  <c r="G306" i="7"/>
  <c r="F306" i="7"/>
  <c r="G305" i="7"/>
  <c r="F305" i="7"/>
  <c r="H305" i="7"/>
  <c r="G304" i="7"/>
  <c r="F304" i="7"/>
  <c r="G303" i="7"/>
  <c r="F303" i="7"/>
  <c r="H303" i="7"/>
  <c r="G302" i="7"/>
  <c r="F302" i="7"/>
  <c r="G301" i="7"/>
  <c r="F301" i="7"/>
  <c r="G300" i="7"/>
  <c r="F300" i="7"/>
  <c r="G299" i="7"/>
  <c r="F299" i="7"/>
  <c r="G298" i="7"/>
  <c r="F298" i="7"/>
  <c r="G297" i="7"/>
  <c r="F297" i="7"/>
  <c r="G296" i="7"/>
  <c r="F296" i="7"/>
  <c r="G295" i="7"/>
  <c r="F295" i="7"/>
  <c r="H295" i="7"/>
  <c r="G294" i="7"/>
  <c r="H294" i="7"/>
  <c r="F294" i="7"/>
  <c r="G293" i="7"/>
  <c r="F293" i="7"/>
  <c r="G292" i="7"/>
  <c r="F292" i="7"/>
  <c r="H292" i="7"/>
  <c r="G291" i="7"/>
  <c r="F291" i="7"/>
  <c r="H291" i="7"/>
  <c r="G290" i="7"/>
  <c r="F290" i="7"/>
  <c r="H290" i="7"/>
  <c r="G289" i="7"/>
  <c r="F289" i="7"/>
  <c r="H289" i="7"/>
  <c r="G288" i="7"/>
  <c r="F288" i="7"/>
  <c r="H288" i="7"/>
  <c r="G287" i="7"/>
  <c r="F287" i="7"/>
  <c r="H287" i="7"/>
  <c r="G286" i="7"/>
  <c r="F286" i="7"/>
  <c r="H286" i="7"/>
  <c r="G285" i="7"/>
  <c r="F285" i="7"/>
  <c r="H285" i="7"/>
  <c r="G284" i="7"/>
  <c r="F284" i="7"/>
  <c r="H284" i="7"/>
  <c r="G283" i="7"/>
  <c r="F283" i="7"/>
  <c r="H283" i="7"/>
  <c r="G282" i="7"/>
  <c r="F282" i="7"/>
  <c r="H282" i="7"/>
  <c r="G281" i="7"/>
  <c r="F281" i="7"/>
  <c r="H281" i="7"/>
  <c r="G280" i="7"/>
  <c r="F280" i="7"/>
  <c r="H280" i="7"/>
  <c r="G279" i="7"/>
  <c r="F279" i="7"/>
  <c r="G278" i="7"/>
  <c r="F278" i="7"/>
  <c r="G277" i="7"/>
  <c r="F277" i="7"/>
  <c r="G276" i="7"/>
  <c r="F276" i="7"/>
  <c r="G275" i="7"/>
  <c r="F275" i="7"/>
  <c r="G274" i="7"/>
  <c r="F274" i="7"/>
  <c r="G273" i="7"/>
  <c r="F273" i="7"/>
  <c r="G272" i="7"/>
  <c r="F272" i="7"/>
  <c r="G271" i="7"/>
  <c r="F271" i="7"/>
  <c r="G270" i="7"/>
  <c r="F270" i="7"/>
  <c r="G269" i="7"/>
  <c r="F269" i="7"/>
  <c r="G268" i="7"/>
  <c r="F268" i="7"/>
  <c r="G267" i="7"/>
  <c r="F267" i="7"/>
  <c r="H279" i="7"/>
  <c r="I382" i="1"/>
  <c r="I374" i="1"/>
  <c r="I367" i="1"/>
  <c r="I359" i="1"/>
  <c r="I358" i="1"/>
  <c r="I350" i="1"/>
  <c r="I343" i="1"/>
  <c r="I342" i="1"/>
  <c r="I335" i="1"/>
  <c r="I334" i="1"/>
  <c r="I327" i="1"/>
  <c r="I326" i="1"/>
  <c r="I319" i="1"/>
  <c r="I318" i="1"/>
  <c r="I311" i="1"/>
  <c r="I294" i="1"/>
  <c r="I277" i="7"/>
  <c r="I462" i="1"/>
  <c r="I461" i="1"/>
  <c r="I454" i="1"/>
  <c r="I453" i="1"/>
  <c r="I446" i="1"/>
  <c r="I443" i="1"/>
  <c r="I442" i="1"/>
  <c r="I435" i="1"/>
  <c r="I434" i="1"/>
  <c r="I427" i="1"/>
  <c r="I426" i="1"/>
  <c r="I402" i="1"/>
  <c r="I386" i="1"/>
  <c r="I283" i="1"/>
  <c r="I279" i="1"/>
  <c r="H278" i="7"/>
  <c r="I278" i="1"/>
  <c r="H277" i="7"/>
  <c r="I275" i="7"/>
  <c r="I274" i="7"/>
  <c r="I276" i="7"/>
  <c r="H274" i="7"/>
  <c r="I463" i="1"/>
  <c r="I459" i="1"/>
  <c r="I455" i="1"/>
  <c r="I451" i="1"/>
  <c r="I447" i="1"/>
  <c r="I277" i="1"/>
  <c r="I445" i="1"/>
  <c r="I444" i="1"/>
  <c r="I440" i="1"/>
  <c r="I436" i="1"/>
  <c r="I432" i="1"/>
  <c r="I428" i="1"/>
  <c r="I380" i="1"/>
  <c r="I376" i="1"/>
  <c r="I368" i="1"/>
  <c r="I364" i="1"/>
  <c r="I356" i="1"/>
  <c r="I352" i="1"/>
  <c r="I348" i="1"/>
  <c r="I340" i="1"/>
  <c r="I332" i="1"/>
  <c r="I324" i="1"/>
  <c r="I300" i="1"/>
  <c r="I292" i="1"/>
  <c r="I280" i="1"/>
  <c r="J277" i="1"/>
  <c r="H276" i="7"/>
  <c r="I276" i="1"/>
  <c r="H275" i="7"/>
  <c r="G274" i="8"/>
  <c r="F274" i="8"/>
  <c r="H274" i="8"/>
  <c r="H273" i="9"/>
  <c r="G273" i="9"/>
  <c r="H274" i="5"/>
  <c r="G274" i="5"/>
  <c r="H275" i="3"/>
  <c r="G275" i="3"/>
  <c r="H274" i="4"/>
  <c r="G274" i="4"/>
  <c r="H274" i="2"/>
  <c r="G274" i="2"/>
  <c r="H274" i="1"/>
  <c r="G274" i="1"/>
  <c r="J275" i="1"/>
  <c r="H273" i="7"/>
  <c r="I273" i="7"/>
  <c r="I274" i="1"/>
  <c r="I274" i="4"/>
  <c r="I275" i="3"/>
  <c r="I273" i="9"/>
  <c r="I274" i="5"/>
  <c r="I274" i="2"/>
  <c r="G273" i="8"/>
  <c r="F273" i="8"/>
  <c r="G273" i="5"/>
  <c r="H273" i="5"/>
  <c r="H274" i="3"/>
  <c r="I274" i="3"/>
  <c r="G274" i="3"/>
  <c r="H273" i="4"/>
  <c r="I273" i="4"/>
  <c r="G273" i="4"/>
  <c r="H273" i="2"/>
  <c r="I273" i="2"/>
  <c r="G273" i="2"/>
  <c r="H273" i="1"/>
  <c r="I273" i="1"/>
  <c r="G273" i="1"/>
  <c r="H272" i="7"/>
  <c r="I272" i="7"/>
  <c r="J274" i="1"/>
  <c r="H273" i="8"/>
  <c r="I273" i="5"/>
  <c r="G272" i="8"/>
  <c r="F272" i="8"/>
  <c r="H272" i="8"/>
  <c r="H272" i="9"/>
  <c r="I272" i="9"/>
  <c r="G272" i="9"/>
  <c r="H272" i="5"/>
  <c r="I272" i="5"/>
  <c r="G272" i="5"/>
  <c r="H273" i="3"/>
  <c r="I273" i="3"/>
  <c r="G273" i="3"/>
  <c r="H272" i="4"/>
  <c r="I272" i="4"/>
  <c r="G272" i="4"/>
  <c r="H272" i="2"/>
  <c r="I272" i="2"/>
  <c r="G272" i="2"/>
  <c r="H272" i="1"/>
  <c r="I272" i="1"/>
  <c r="G272" i="1"/>
  <c r="H271" i="7"/>
  <c r="I271" i="7"/>
  <c r="J273" i="1"/>
  <c r="G271" i="8"/>
  <c r="F271" i="8"/>
  <c r="H271" i="9"/>
  <c r="G271" i="9"/>
  <c r="H271" i="5"/>
  <c r="G271" i="5"/>
  <c r="H272" i="3"/>
  <c r="G272" i="3"/>
  <c r="H271" i="4"/>
  <c r="G271" i="4"/>
  <c r="H271" i="2"/>
  <c r="G271" i="2"/>
  <c r="H271" i="1"/>
  <c r="G271" i="1"/>
  <c r="H270" i="7"/>
  <c r="I270" i="7"/>
  <c r="I271" i="2"/>
  <c r="I272" i="3"/>
  <c r="J272" i="1"/>
  <c r="I271" i="5"/>
  <c r="I271" i="9"/>
  <c r="H271" i="8"/>
  <c r="I271" i="4"/>
  <c r="I271" i="1"/>
  <c r="Q44" i="12"/>
  <c r="Q45" i="12"/>
  <c r="G270" i="8"/>
  <c r="F270" i="8"/>
  <c r="H270" i="9"/>
  <c r="G270" i="9"/>
  <c r="H270" i="5"/>
  <c r="I270" i="5"/>
  <c r="G270" i="5"/>
  <c r="H271" i="3"/>
  <c r="G271" i="3"/>
  <c r="H270" i="4"/>
  <c r="G270" i="4"/>
  <c r="H270" i="2"/>
  <c r="G270" i="2"/>
  <c r="H270" i="1"/>
  <c r="G270" i="1"/>
  <c r="J271" i="1"/>
  <c r="H269" i="7"/>
  <c r="I269" i="7"/>
  <c r="I270" i="1"/>
  <c r="I270" i="2"/>
  <c r="H270" i="8"/>
  <c r="I270" i="9"/>
  <c r="I271" i="3"/>
  <c r="I270" i="4"/>
  <c r="G269" i="8"/>
  <c r="F269" i="8"/>
  <c r="H269" i="8"/>
  <c r="H269" i="9"/>
  <c r="G269" i="9"/>
  <c r="H269" i="5"/>
  <c r="G269" i="5"/>
  <c r="H270" i="3"/>
  <c r="I270" i="3"/>
  <c r="G270" i="3"/>
  <c r="H269" i="4"/>
  <c r="I269" i="4"/>
  <c r="G269" i="4"/>
  <c r="H269" i="2"/>
  <c r="I269" i="2"/>
  <c r="G269" i="2"/>
  <c r="H269" i="1"/>
  <c r="G269" i="1"/>
  <c r="H268" i="7"/>
  <c r="I268" i="7"/>
  <c r="J270" i="1"/>
  <c r="I269" i="1"/>
  <c r="I269" i="9"/>
  <c r="I269" i="5"/>
  <c r="G268" i="8"/>
  <c r="F268" i="8"/>
  <c r="H268" i="9"/>
  <c r="G268" i="9"/>
  <c r="H268" i="5"/>
  <c r="I268" i="5"/>
  <c r="G268" i="5"/>
  <c r="H269" i="3"/>
  <c r="I269" i="3"/>
  <c r="G269" i="3"/>
  <c r="H268" i="4"/>
  <c r="I268" i="4"/>
  <c r="G268" i="4"/>
  <c r="H268" i="2"/>
  <c r="I268" i="2"/>
  <c r="G268" i="2"/>
  <c r="H268" i="1"/>
  <c r="G268" i="1"/>
  <c r="J269" i="1"/>
  <c r="H267" i="7"/>
  <c r="H268" i="8"/>
  <c r="I268" i="1"/>
  <c r="I268" i="9"/>
  <c r="G267" i="8"/>
  <c r="H267" i="8"/>
  <c r="F267" i="8"/>
  <c r="H267" i="9"/>
  <c r="I267" i="9"/>
  <c r="G267" i="9"/>
  <c r="H267" i="5"/>
  <c r="I267" i="5"/>
  <c r="G267" i="5"/>
  <c r="H268" i="3"/>
  <c r="I268" i="3"/>
  <c r="G268" i="3"/>
  <c r="H267" i="4"/>
  <c r="G267" i="4"/>
  <c r="H267" i="2"/>
  <c r="G267" i="2"/>
  <c r="I267" i="2"/>
  <c r="H267" i="1"/>
  <c r="G267" i="1"/>
  <c r="J268" i="1"/>
  <c r="G266" i="7"/>
  <c r="F266" i="7"/>
  <c r="I267" i="4"/>
  <c r="H266" i="7"/>
  <c r="I267" i="1"/>
  <c r="I267" i="7"/>
  <c r="G266" i="8"/>
  <c r="F266" i="8"/>
  <c r="H266" i="8"/>
  <c r="H266" i="9"/>
  <c r="I266" i="9"/>
  <c r="G266" i="9"/>
  <c r="H266" i="5"/>
  <c r="I266" i="5"/>
  <c r="G266" i="5"/>
  <c r="H267" i="3"/>
  <c r="I267" i="3"/>
  <c r="G267" i="3"/>
  <c r="H266" i="4"/>
  <c r="I266" i="4"/>
  <c r="G266" i="4"/>
  <c r="H266" i="2"/>
  <c r="I266" i="2"/>
  <c r="G266" i="2"/>
  <c r="H266" i="1"/>
  <c r="G266" i="1"/>
  <c r="J267" i="1"/>
  <c r="G265" i="7"/>
  <c r="H265" i="7"/>
  <c r="F265" i="7"/>
  <c r="I266" i="7"/>
  <c r="I266" i="1"/>
  <c r="G265" i="8"/>
  <c r="F265" i="8"/>
  <c r="H265" i="8"/>
  <c r="H265" i="9"/>
  <c r="G265" i="9"/>
  <c r="I265" i="9"/>
  <c r="H265" i="5"/>
  <c r="G265" i="5"/>
  <c r="I265" i="5"/>
  <c r="H266" i="3"/>
  <c r="G266" i="3"/>
  <c r="I266" i="3"/>
  <c r="H265" i="4"/>
  <c r="G265" i="4"/>
  <c r="I265" i="4"/>
  <c r="H265" i="2"/>
  <c r="G265" i="2"/>
  <c r="I265" i="2"/>
  <c r="H265" i="1"/>
  <c r="G265" i="1"/>
  <c r="G264" i="7"/>
  <c r="F264" i="7"/>
  <c r="H264" i="7"/>
  <c r="I265" i="1"/>
  <c r="I265" i="7"/>
  <c r="J266" i="1"/>
  <c r="G264" i="8"/>
  <c r="F264" i="8"/>
  <c r="H264" i="9"/>
  <c r="G264" i="9"/>
  <c r="H264" i="5"/>
  <c r="G264" i="5"/>
  <c r="H265" i="3"/>
  <c r="G265" i="3"/>
  <c r="H264" i="4"/>
  <c r="G264" i="4"/>
  <c r="H264" i="2"/>
  <c r="G264" i="2"/>
  <c r="H264" i="1"/>
  <c r="G264" i="1"/>
  <c r="J265" i="1"/>
  <c r="G263" i="7"/>
  <c r="F263" i="7"/>
  <c r="I264" i="7"/>
  <c r="I264" i="2"/>
  <c r="I264" i="4"/>
  <c r="I265" i="3"/>
  <c r="I264" i="5"/>
  <c r="I264" i="9"/>
  <c r="H264" i="8"/>
  <c r="H263" i="7"/>
  <c r="I264" i="1"/>
  <c r="G263" i="8"/>
  <c r="F263" i="8"/>
  <c r="H263" i="9"/>
  <c r="G263" i="9"/>
  <c r="H263" i="5"/>
  <c r="G263" i="5"/>
  <c r="H264" i="3"/>
  <c r="G264" i="3"/>
  <c r="H263" i="4"/>
  <c r="G263" i="4"/>
  <c r="H263" i="2"/>
  <c r="G263" i="2"/>
  <c r="H263" i="1"/>
  <c r="G263" i="1"/>
  <c r="J264" i="1"/>
  <c r="G262" i="7"/>
  <c r="F262" i="7"/>
  <c r="I263" i="7"/>
  <c r="I263" i="2"/>
  <c r="I263" i="4"/>
  <c r="I264" i="3"/>
  <c r="I263" i="5"/>
  <c r="I263" i="9"/>
  <c r="H263" i="8"/>
  <c r="H262" i="7"/>
  <c r="I263" i="1"/>
  <c r="G262" i="8"/>
  <c r="F262" i="8"/>
  <c r="G262" i="9"/>
  <c r="H262" i="9"/>
  <c r="H262" i="5"/>
  <c r="G262" i="5"/>
  <c r="H263" i="3"/>
  <c r="G263" i="3"/>
  <c r="H262" i="4"/>
  <c r="G262" i="4"/>
  <c r="H262" i="2"/>
  <c r="G262" i="2"/>
  <c r="H262" i="1"/>
  <c r="G262" i="1"/>
  <c r="J263" i="1"/>
  <c r="G261" i="7"/>
  <c r="F261" i="7"/>
  <c r="I262" i="7"/>
  <c r="I262" i="2"/>
  <c r="I262" i="4"/>
  <c r="I263" i="3"/>
  <c r="I262" i="5"/>
  <c r="I262" i="9"/>
  <c r="H262" i="8"/>
  <c r="H261" i="7"/>
  <c r="I262" i="1"/>
  <c r="G261" i="8"/>
  <c r="F261" i="8"/>
  <c r="H261" i="9"/>
  <c r="G261" i="9"/>
  <c r="H261" i="5"/>
  <c r="G261" i="5"/>
  <c r="H262" i="3"/>
  <c r="G262" i="3"/>
  <c r="H261" i="4"/>
  <c r="G261" i="4"/>
  <c r="H261" i="2"/>
  <c r="G261" i="2"/>
  <c r="I261" i="2"/>
  <c r="H261" i="1"/>
  <c r="G261" i="1"/>
  <c r="G260" i="7"/>
  <c r="F260" i="7"/>
  <c r="I261" i="7"/>
  <c r="I261" i="4"/>
  <c r="I262" i="3"/>
  <c r="I261" i="5"/>
  <c r="I261" i="9"/>
  <c r="H261" i="8"/>
  <c r="H260" i="7"/>
  <c r="I261" i="1"/>
  <c r="J262" i="1"/>
  <c r="G260" i="8"/>
  <c r="F260" i="8"/>
  <c r="H260" i="8"/>
  <c r="H260" i="9"/>
  <c r="G260" i="9"/>
  <c r="I260" i="9"/>
  <c r="H260" i="5"/>
  <c r="G260" i="5"/>
  <c r="I260" i="5"/>
  <c r="H261" i="3"/>
  <c r="G261" i="3"/>
  <c r="I261" i="3"/>
  <c r="H260" i="4"/>
  <c r="G260" i="4"/>
  <c r="I260" i="4"/>
  <c r="H260" i="2"/>
  <c r="G260" i="2"/>
  <c r="I260" i="2"/>
  <c r="H260" i="1"/>
  <c r="G260" i="1"/>
  <c r="G259" i="7"/>
  <c r="F259" i="7"/>
  <c r="I260" i="7"/>
  <c r="H259" i="7"/>
  <c r="I260" i="1"/>
  <c r="J261" i="1"/>
  <c r="G259" i="8"/>
  <c r="F259" i="8"/>
  <c r="H259" i="9"/>
  <c r="G259" i="9"/>
  <c r="I259" i="9"/>
  <c r="H259" i="5"/>
  <c r="G259" i="5"/>
  <c r="I259" i="5"/>
  <c r="H260" i="3"/>
  <c r="G260" i="3"/>
  <c r="I260" i="3"/>
  <c r="H259" i="4"/>
  <c r="G259" i="4"/>
  <c r="I259" i="4"/>
  <c r="H259" i="2"/>
  <c r="G259" i="2"/>
  <c r="I259" i="2"/>
  <c r="H259" i="1"/>
  <c r="G259" i="1"/>
  <c r="G258" i="7"/>
  <c r="F258" i="7"/>
  <c r="I259" i="7"/>
  <c r="H259" i="8"/>
  <c r="H258" i="7"/>
  <c r="I259" i="1"/>
  <c r="J260" i="1"/>
  <c r="G258" i="8"/>
  <c r="F258" i="8"/>
  <c r="H258" i="8"/>
  <c r="H258" i="9"/>
  <c r="G258" i="9"/>
  <c r="I258" i="9"/>
  <c r="H258" i="5"/>
  <c r="G258" i="5"/>
  <c r="I258" i="5"/>
  <c r="H259" i="3"/>
  <c r="G259" i="3"/>
  <c r="I259" i="3"/>
  <c r="H258" i="4"/>
  <c r="G258" i="4"/>
  <c r="I258" i="4"/>
  <c r="H258" i="2"/>
  <c r="G258" i="2"/>
  <c r="I258" i="2"/>
  <c r="H258" i="1"/>
  <c r="G258" i="1"/>
  <c r="G257" i="7"/>
  <c r="F257" i="7"/>
  <c r="I258" i="7"/>
  <c r="H257" i="7"/>
  <c r="I258" i="1"/>
  <c r="J259" i="1"/>
  <c r="G257" i="8"/>
  <c r="F257" i="8"/>
  <c r="H257" i="9"/>
  <c r="G257" i="9"/>
  <c r="I257" i="9"/>
  <c r="H257" i="5"/>
  <c r="G257" i="5"/>
  <c r="I257" i="5"/>
  <c r="H258" i="3"/>
  <c r="G258" i="3"/>
  <c r="I258" i="3"/>
  <c r="H257" i="4"/>
  <c r="G257" i="4"/>
  <c r="H257" i="2"/>
  <c r="G257" i="2"/>
  <c r="I257" i="2"/>
  <c r="H257" i="1"/>
  <c r="G257" i="1"/>
  <c r="G256" i="7"/>
  <c r="F256" i="7"/>
  <c r="I257" i="7"/>
  <c r="H257" i="8"/>
  <c r="H256" i="7"/>
  <c r="I257" i="1"/>
  <c r="J258" i="1"/>
  <c r="I257" i="4"/>
  <c r="G256" i="8"/>
  <c r="F256" i="8"/>
  <c r="H256" i="9"/>
  <c r="G256" i="9"/>
  <c r="I256" i="9"/>
  <c r="H256" i="5"/>
  <c r="G256" i="5"/>
  <c r="I256" i="5"/>
  <c r="H257" i="3"/>
  <c r="G257" i="3"/>
  <c r="I257" i="3"/>
  <c r="H256" i="4"/>
  <c r="G256" i="4"/>
  <c r="I256" i="4"/>
  <c r="H256" i="2"/>
  <c r="G256" i="2"/>
  <c r="I256" i="2"/>
  <c r="H256" i="1"/>
  <c r="G256" i="1"/>
  <c r="G255" i="7"/>
  <c r="F255" i="7"/>
  <c r="I256" i="7"/>
  <c r="I256" i="1"/>
  <c r="H256" i="8"/>
  <c r="J257" i="1"/>
  <c r="H255" i="7"/>
  <c r="G255" i="8"/>
  <c r="F255" i="8"/>
  <c r="H255" i="8"/>
  <c r="H255" i="9"/>
  <c r="G255" i="9"/>
  <c r="I255" i="9"/>
  <c r="H255" i="5"/>
  <c r="G255" i="5"/>
  <c r="I255" i="5"/>
  <c r="H256" i="3"/>
  <c r="G256" i="3"/>
  <c r="I256" i="3"/>
  <c r="H255" i="4"/>
  <c r="G255" i="4"/>
  <c r="I255" i="4"/>
  <c r="H255" i="2"/>
  <c r="G255" i="2"/>
  <c r="I255" i="2"/>
  <c r="H255" i="1"/>
  <c r="G255" i="1"/>
  <c r="G254" i="7"/>
  <c r="F254" i="7"/>
  <c r="I255" i="7"/>
  <c r="H254" i="7"/>
  <c r="I255" i="1"/>
  <c r="J256" i="1"/>
  <c r="G253" i="7"/>
  <c r="F253" i="7"/>
  <c r="I254" i="7"/>
  <c r="G254" i="8"/>
  <c r="F254" i="8"/>
  <c r="H254" i="8"/>
  <c r="H254" i="9"/>
  <c r="G254" i="9"/>
  <c r="I254" i="9"/>
  <c r="H254" i="5"/>
  <c r="G254" i="5"/>
  <c r="I254" i="5"/>
  <c r="H255" i="3"/>
  <c r="G255" i="3"/>
  <c r="I255" i="3"/>
  <c r="H254" i="4"/>
  <c r="G254" i="4"/>
  <c r="I254" i="4"/>
  <c r="H254" i="2"/>
  <c r="G254" i="2"/>
  <c r="I254" i="2"/>
  <c r="H254" i="1"/>
  <c r="G254" i="1"/>
  <c r="I254" i="1"/>
  <c r="H253" i="7"/>
  <c r="J255" i="1"/>
  <c r="G253" i="8"/>
  <c r="F253" i="8"/>
  <c r="H253" i="9"/>
  <c r="G253" i="9"/>
  <c r="I253" i="9"/>
  <c r="H253" i="5"/>
  <c r="G253" i="5"/>
  <c r="I253" i="5"/>
  <c r="H254" i="3"/>
  <c r="G254" i="3"/>
  <c r="I254" i="3"/>
  <c r="H253" i="4"/>
  <c r="G253" i="4"/>
  <c r="I253" i="4"/>
  <c r="H253" i="2"/>
  <c r="G253" i="2"/>
  <c r="I253" i="2"/>
  <c r="H253" i="1"/>
  <c r="G253" i="1"/>
  <c r="G252" i="7"/>
  <c r="F252" i="7"/>
  <c r="H252" i="7"/>
  <c r="I253" i="1"/>
  <c r="I253" i="7"/>
  <c r="J254" i="1"/>
  <c r="H253" i="8"/>
  <c r="G252" i="8"/>
  <c r="F252" i="8"/>
  <c r="H252" i="8"/>
  <c r="H252" i="9"/>
  <c r="G252" i="9"/>
  <c r="H252" i="5"/>
  <c r="G252" i="5"/>
  <c r="I252" i="5"/>
  <c r="H253" i="3"/>
  <c r="G253" i="3"/>
  <c r="I253" i="3"/>
  <c r="H252" i="4"/>
  <c r="G252" i="4"/>
  <c r="I252" i="4"/>
  <c r="H252" i="2"/>
  <c r="G252" i="2"/>
  <c r="I252" i="2"/>
  <c r="H252" i="1"/>
  <c r="G252" i="1"/>
  <c r="G251" i="7"/>
  <c r="F251" i="7"/>
  <c r="I252" i="7"/>
  <c r="I252" i="9"/>
  <c r="H251" i="7"/>
  <c r="I252" i="1"/>
  <c r="J253" i="1"/>
  <c r="G251" i="8"/>
  <c r="F251" i="8"/>
  <c r="H251" i="9"/>
  <c r="G251" i="9"/>
  <c r="I251" i="9"/>
  <c r="H251" i="5"/>
  <c r="G251" i="5"/>
  <c r="I251" i="5"/>
  <c r="H252" i="3"/>
  <c r="G252" i="3"/>
  <c r="H251" i="4"/>
  <c r="G251" i="4"/>
  <c r="I251" i="4"/>
  <c r="H251" i="2"/>
  <c r="G251" i="2"/>
  <c r="I251" i="2"/>
  <c r="H251" i="1"/>
  <c r="G251" i="1"/>
  <c r="G250" i="7"/>
  <c r="F250" i="7"/>
  <c r="I251" i="7"/>
  <c r="H250" i="7"/>
  <c r="I252" i="3"/>
  <c r="H251" i="8"/>
  <c r="I251" i="1"/>
  <c r="J252" i="1"/>
  <c r="G250" i="8"/>
  <c r="F250" i="8"/>
  <c r="H250" i="8"/>
  <c r="H250" i="9"/>
  <c r="G250" i="9"/>
  <c r="I250" i="9"/>
  <c r="H250" i="5"/>
  <c r="G250" i="5"/>
  <c r="H251" i="3"/>
  <c r="G251" i="3"/>
  <c r="I251" i="3"/>
  <c r="H250" i="4"/>
  <c r="G250" i="4"/>
  <c r="I250" i="4"/>
  <c r="G250" i="2"/>
  <c r="H250" i="2"/>
  <c r="I250" i="2"/>
  <c r="H250" i="1"/>
  <c r="G250" i="1"/>
  <c r="G249" i="7"/>
  <c r="H249" i="7"/>
  <c r="F249" i="7"/>
  <c r="I250" i="7"/>
  <c r="I250" i="5"/>
  <c r="J251" i="1"/>
  <c r="I250" i="1"/>
  <c r="G249" i="8"/>
  <c r="F249" i="8"/>
  <c r="H249" i="9"/>
  <c r="G249" i="9"/>
  <c r="H249" i="5"/>
  <c r="G249" i="5"/>
  <c r="H250" i="3"/>
  <c r="G250" i="3"/>
  <c r="H249" i="4"/>
  <c r="G249" i="4"/>
  <c r="I249" i="4"/>
  <c r="H249" i="2"/>
  <c r="G249" i="2"/>
  <c r="I249" i="2"/>
  <c r="H249" i="1"/>
  <c r="G249" i="1"/>
  <c r="I249" i="1"/>
  <c r="G248" i="7"/>
  <c r="F248" i="7"/>
  <c r="I249" i="7"/>
  <c r="I249" i="5"/>
  <c r="I250" i="3"/>
  <c r="I249" i="9"/>
  <c r="J250" i="1"/>
  <c r="H248" i="7"/>
  <c r="H249" i="8"/>
  <c r="G248" i="8"/>
  <c r="F248" i="8"/>
  <c r="H248" i="8"/>
  <c r="H248" i="9"/>
  <c r="G248" i="9"/>
  <c r="I248" i="9"/>
  <c r="H248" i="5"/>
  <c r="G248" i="5"/>
  <c r="H249" i="3"/>
  <c r="G249" i="3"/>
  <c r="I249" i="3"/>
  <c r="H248" i="4"/>
  <c r="G248" i="4"/>
  <c r="I248" i="4"/>
  <c r="H248" i="2"/>
  <c r="G248" i="2"/>
  <c r="H248" i="1"/>
  <c r="G248" i="1"/>
  <c r="J249" i="1"/>
  <c r="G247" i="7"/>
  <c r="F247" i="7"/>
  <c r="I248" i="7"/>
  <c r="H247" i="7"/>
  <c r="I248" i="2"/>
  <c r="I248" i="5"/>
  <c r="I248" i="1"/>
  <c r="G247" i="8"/>
  <c r="F247" i="8"/>
  <c r="H247" i="9"/>
  <c r="G247" i="9"/>
  <c r="H247" i="5"/>
  <c r="G247" i="5"/>
  <c r="I247" i="5"/>
  <c r="H248" i="3"/>
  <c r="G248" i="3"/>
  <c r="H247" i="4"/>
  <c r="G247" i="4"/>
  <c r="H247" i="2"/>
  <c r="G247" i="2"/>
  <c r="I247" i="2"/>
  <c r="H247" i="1"/>
  <c r="G247" i="1"/>
  <c r="I247" i="1"/>
  <c r="G246" i="7"/>
  <c r="F246" i="7"/>
  <c r="I247" i="7"/>
  <c r="H246" i="7"/>
  <c r="I247" i="4"/>
  <c r="I248" i="3"/>
  <c r="I247" i="9"/>
  <c r="J248" i="1"/>
  <c r="H247" i="8"/>
  <c r="G246" i="8"/>
  <c r="F246" i="8"/>
  <c r="H246" i="9"/>
  <c r="G246" i="9"/>
  <c r="I246" i="9"/>
  <c r="H246" i="5"/>
  <c r="G246" i="5"/>
  <c r="H247" i="3"/>
  <c r="G247" i="3"/>
  <c r="I247" i="3"/>
  <c r="H246" i="4"/>
  <c r="G246" i="4"/>
  <c r="I246" i="4"/>
  <c r="H246" i="2"/>
  <c r="G246" i="2"/>
  <c r="H246" i="1"/>
  <c r="G246" i="1"/>
  <c r="G245" i="7"/>
  <c r="F245" i="7"/>
  <c r="I246" i="7"/>
  <c r="H246" i="8"/>
  <c r="H245" i="7"/>
  <c r="I246" i="1"/>
  <c r="I246" i="2"/>
  <c r="I246" i="5"/>
  <c r="J247" i="1"/>
  <c r="G245" i="8"/>
  <c r="F245" i="8"/>
  <c r="H245" i="9"/>
  <c r="G245" i="9"/>
  <c r="H245" i="5"/>
  <c r="G245" i="5"/>
  <c r="I245" i="5"/>
  <c r="H246" i="3"/>
  <c r="G246" i="3"/>
  <c r="H245" i="4"/>
  <c r="G245" i="4"/>
  <c r="H245" i="2"/>
  <c r="G245" i="2"/>
  <c r="I245" i="2"/>
  <c r="H245" i="1"/>
  <c r="G245" i="1"/>
  <c r="G244" i="7"/>
  <c r="F244" i="7"/>
  <c r="I245" i="7"/>
  <c r="H244" i="7"/>
  <c r="I245" i="1"/>
  <c r="I245" i="4"/>
  <c r="I246" i="3"/>
  <c r="I245" i="9"/>
  <c r="J246" i="1"/>
  <c r="H245" i="8"/>
  <c r="G244" i="8"/>
  <c r="F244" i="8"/>
  <c r="H244" i="8"/>
  <c r="H244" i="9"/>
  <c r="G244" i="9"/>
  <c r="I244" i="9"/>
  <c r="H244" i="5"/>
  <c r="G244" i="5"/>
  <c r="H245" i="3"/>
  <c r="G245" i="3"/>
  <c r="I245" i="3"/>
  <c r="H244" i="4"/>
  <c r="G244" i="4"/>
  <c r="I244" i="4"/>
  <c r="H244" i="2"/>
  <c r="G244" i="2"/>
  <c r="H244" i="1"/>
  <c r="G244" i="1"/>
  <c r="G243" i="7"/>
  <c r="F243" i="7"/>
  <c r="I244" i="1"/>
  <c r="H243" i="7"/>
  <c r="I244" i="2"/>
  <c r="I244" i="5"/>
  <c r="I244" i="7"/>
  <c r="J245" i="1"/>
  <c r="G243" i="8"/>
  <c r="F243" i="8"/>
  <c r="H243" i="9"/>
  <c r="G243" i="9"/>
  <c r="I243" i="9"/>
  <c r="H243" i="5"/>
  <c r="G243" i="5"/>
  <c r="H244" i="3"/>
  <c r="G244" i="3"/>
  <c r="I244" i="3"/>
  <c r="G243" i="4"/>
  <c r="H243" i="4"/>
  <c r="I243" i="4"/>
  <c r="G243" i="2"/>
  <c r="H243" i="2"/>
  <c r="I243" i="2"/>
  <c r="G243" i="1"/>
  <c r="J244" i="1"/>
  <c r="H243" i="1"/>
  <c r="G242" i="7"/>
  <c r="F242" i="7"/>
  <c r="I243" i="7"/>
  <c r="I243" i="1"/>
  <c r="H242" i="7"/>
  <c r="I243" i="5"/>
  <c r="H243" i="8"/>
  <c r="G242" i="8"/>
  <c r="F242" i="8"/>
  <c r="H242" i="8"/>
  <c r="H242" i="9"/>
  <c r="G242" i="9"/>
  <c r="I242" i="9"/>
  <c r="H242" i="5"/>
  <c r="G242" i="5"/>
  <c r="H243" i="3"/>
  <c r="G243" i="3"/>
  <c r="I243" i="3"/>
  <c r="H242" i="4"/>
  <c r="G242" i="4"/>
  <c r="I242" i="4"/>
  <c r="H242" i="2"/>
  <c r="G242" i="2"/>
  <c r="H242" i="1"/>
  <c r="G242" i="1"/>
  <c r="G241" i="7"/>
  <c r="F241" i="7"/>
  <c r="I242" i="7"/>
  <c r="I242" i="1"/>
  <c r="J243" i="1"/>
  <c r="H241" i="7"/>
  <c r="I242" i="2"/>
  <c r="I242" i="5"/>
  <c r="G241" i="8"/>
  <c r="F241" i="8"/>
  <c r="H241" i="9"/>
  <c r="G241" i="9"/>
  <c r="I241" i="9"/>
  <c r="H241" i="5"/>
  <c r="G241" i="5"/>
  <c r="H242" i="3"/>
  <c r="G242" i="3"/>
  <c r="I242" i="3"/>
  <c r="H241" i="4"/>
  <c r="G241" i="4"/>
  <c r="I241" i="4"/>
  <c r="H241" i="2"/>
  <c r="G241" i="2"/>
  <c r="H241" i="1"/>
  <c r="G241" i="1"/>
  <c r="G240" i="7"/>
  <c r="F240" i="7"/>
  <c r="I241" i="7"/>
  <c r="H240" i="7"/>
  <c r="I241" i="2"/>
  <c r="I241" i="5"/>
  <c r="I241" i="1"/>
  <c r="J242" i="1"/>
  <c r="H241" i="8"/>
  <c r="G240" i="8"/>
  <c r="F240" i="8"/>
  <c r="H240" i="8"/>
  <c r="H240" i="9"/>
  <c r="G240" i="9"/>
  <c r="I240" i="9"/>
  <c r="H240" i="5"/>
  <c r="G240" i="5"/>
  <c r="H241" i="3"/>
  <c r="G241" i="3"/>
  <c r="I241" i="3"/>
  <c r="H240" i="4"/>
  <c r="G240" i="4"/>
  <c r="I240" i="4"/>
  <c r="H240" i="2"/>
  <c r="G240" i="2"/>
  <c r="H240" i="1"/>
  <c r="G240" i="1"/>
  <c r="J241" i="1"/>
  <c r="G239" i="7"/>
  <c r="F239" i="7"/>
  <c r="H239" i="7"/>
  <c r="I240" i="7"/>
  <c r="I240" i="1"/>
  <c r="I240" i="2"/>
  <c r="I240" i="5"/>
  <c r="G239" i="8"/>
  <c r="F239" i="8"/>
  <c r="H239" i="9"/>
  <c r="G239" i="9"/>
  <c r="H239" i="5"/>
  <c r="G239" i="5"/>
  <c r="I239" i="5"/>
  <c r="H240" i="3"/>
  <c r="G240" i="3"/>
  <c r="H239" i="4"/>
  <c r="G239" i="4"/>
  <c r="H239" i="2"/>
  <c r="G239" i="2"/>
  <c r="I239" i="2"/>
  <c r="H239" i="1"/>
  <c r="G239" i="1"/>
  <c r="G238" i="7"/>
  <c r="F238" i="7"/>
  <c r="I239" i="7"/>
  <c r="H238" i="7"/>
  <c r="I239" i="1"/>
  <c r="I239" i="4"/>
  <c r="I240" i="3"/>
  <c r="I239" i="9"/>
  <c r="J240" i="1"/>
  <c r="H239" i="8"/>
  <c r="G238" i="8"/>
  <c r="F238" i="8"/>
  <c r="H238" i="9"/>
  <c r="G238" i="9"/>
  <c r="H238" i="5"/>
  <c r="G238" i="5"/>
  <c r="H239" i="3"/>
  <c r="G239" i="3"/>
  <c r="I239" i="3"/>
  <c r="H238" i="4"/>
  <c r="G238" i="4"/>
  <c r="I238" i="4"/>
  <c r="H238" i="2"/>
  <c r="G238" i="2"/>
  <c r="H238" i="1"/>
  <c r="G238" i="1"/>
  <c r="G237" i="7"/>
  <c r="F237" i="7"/>
  <c r="I238" i="7"/>
  <c r="I238" i="9"/>
  <c r="I238" i="1"/>
  <c r="J239" i="1"/>
  <c r="H237" i="7"/>
  <c r="I238" i="2"/>
  <c r="I238" i="5"/>
  <c r="H238" i="8"/>
  <c r="M237" i="1"/>
  <c r="M236" i="1"/>
  <c r="M235" i="1"/>
  <c r="M234" i="1"/>
  <c r="M233" i="1"/>
  <c r="M232" i="1"/>
  <c r="M231" i="1"/>
  <c r="M230" i="1"/>
  <c r="M229" i="1"/>
  <c r="M228" i="1"/>
  <c r="M226" i="1"/>
  <c r="M225" i="1"/>
  <c r="M224" i="1"/>
  <c r="M223" i="1"/>
  <c r="M222" i="1"/>
  <c r="M221" i="1"/>
  <c r="M220" i="1"/>
  <c r="M219" i="1"/>
  <c r="G237" i="8"/>
  <c r="F237" i="8"/>
  <c r="H237" i="8"/>
  <c r="H237" i="9"/>
  <c r="G237" i="9"/>
  <c r="I237" i="9"/>
  <c r="H237" i="5"/>
  <c r="G237" i="5"/>
  <c r="H238" i="3"/>
  <c r="G238" i="3"/>
  <c r="I238" i="3"/>
  <c r="H237" i="4"/>
  <c r="G237" i="4"/>
  <c r="I237" i="4"/>
  <c r="H237" i="2"/>
  <c r="G237" i="2"/>
  <c r="I237" i="2"/>
  <c r="I237" i="5"/>
  <c r="H237" i="1"/>
  <c r="G237" i="1"/>
  <c r="G236" i="7"/>
  <c r="F236" i="7"/>
  <c r="I237" i="7"/>
  <c r="I237" i="1"/>
  <c r="J238" i="1"/>
  <c r="H236" i="7"/>
  <c r="G236" i="8"/>
  <c r="F236" i="8"/>
  <c r="H236" i="9"/>
  <c r="G236" i="9"/>
  <c r="I236" i="9"/>
  <c r="H236" i="5"/>
  <c r="G236" i="5"/>
  <c r="H237" i="3"/>
  <c r="G237" i="3"/>
  <c r="I237" i="3"/>
  <c r="H236" i="4"/>
  <c r="G236" i="4"/>
  <c r="I236" i="4"/>
  <c r="H236" i="2"/>
  <c r="G236" i="2"/>
  <c r="H236" i="1"/>
  <c r="G236" i="1"/>
  <c r="G235" i="7"/>
  <c r="F235" i="7"/>
  <c r="I236" i="7"/>
  <c r="I236" i="1"/>
  <c r="L237" i="1"/>
  <c r="H235" i="7"/>
  <c r="I236" i="2"/>
  <c r="I236" i="5"/>
  <c r="J237" i="1"/>
  <c r="H236" i="8"/>
  <c r="G235" i="8"/>
  <c r="F235" i="8"/>
  <c r="H235" i="8"/>
  <c r="H235" i="9"/>
  <c r="G235" i="9"/>
  <c r="I235" i="9"/>
  <c r="H235" i="5"/>
  <c r="G235" i="5"/>
  <c r="H236" i="3"/>
  <c r="G236" i="3"/>
  <c r="I236" i="3"/>
  <c r="H235" i="4"/>
  <c r="G235" i="4"/>
  <c r="I235" i="4"/>
  <c r="H235" i="2"/>
  <c r="G235" i="2"/>
  <c r="G226" i="1"/>
  <c r="H235" i="1"/>
  <c r="G235" i="1"/>
  <c r="L236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G227" i="1"/>
  <c r="J227" i="1"/>
  <c r="I235" i="1"/>
  <c r="G234" i="7"/>
  <c r="H234" i="7"/>
  <c r="F234" i="7"/>
  <c r="I235" i="7"/>
  <c r="L228" i="1"/>
  <c r="J228" i="1"/>
  <c r="L229" i="1"/>
  <c r="J229" i="1"/>
  <c r="J230" i="1"/>
  <c r="L230" i="1"/>
  <c r="K231" i="1"/>
  <c r="L231" i="1"/>
  <c r="J231" i="1"/>
  <c r="L232" i="1"/>
  <c r="J232" i="1"/>
  <c r="J233" i="1"/>
  <c r="L233" i="1"/>
  <c r="L234" i="1"/>
  <c r="J234" i="1"/>
  <c r="L235" i="1"/>
  <c r="J235" i="1"/>
  <c r="I235" i="2"/>
  <c r="I235" i="5"/>
  <c r="J236" i="1"/>
  <c r="G234" i="8"/>
  <c r="F234" i="8"/>
  <c r="H234" i="9"/>
  <c r="G234" i="9"/>
  <c r="I234" i="9"/>
  <c r="H234" i="5"/>
  <c r="G234" i="5"/>
  <c r="H235" i="3"/>
  <c r="G235" i="3"/>
  <c r="I235" i="3"/>
  <c r="H234" i="4"/>
  <c r="G234" i="4"/>
  <c r="I234" i="4"/>
  <c r="H234" i="2"/>
  <c r="G234" i="2"/>
  <c r="I234" i="1"/>
  <c r="G233" i="7"/>
  <c r="F233" i="7"/>
  <c r="I234" i="7"/>
  <c r="H233" i="7"/>
  <c r="I234" i="2"/>
  <c r="I234" i="5"/>
  <c r="H234" i="8"/>
  <c r="G233" i="8"/>
  <c r="F233" i="8"/>
  <c r="H233" i="8"/>
  <c r="H233" i="9"/>
  <c r="G233" i="9"/>
  <c r="I233" i="9"/>
  <c r="H233" i="5"/>
  <c r="G233" i="5"/>
  <c r="H234" i="3"/>
  <c r="G234" i="3"/>
  <c r="I234" i="3"/>
  <c r="H233" i="4"/>
  <c r="G233" i="4"/>
  <c r="I233" i="4"/>
  <c r="H233" i="2"/>
  <c r="G233" i="2"/>
  <c r="I233" i="1"/>
  <c r="G232" i="7"/>
  <c r="H232" i="7"/>
  <c r="F232" i="7"/>
  <c r="I233" i="7"/>
  <c r="I233" i="2"/>
  <c r="I233" i="5"/>
  <c r="P120" i="13"/>
  <c r="G232" i="8"/>
  <c r="F232" i="8"/>
  <c r="H232" i="9"/>
  <c r="G232" i="9"/>
  <c r="H232" i="5"/>
  <c r="G232" i="5"/>
  <c r="H233" i="3"/>
  <c r="G233" i="3"/>
  <c r="H232" i="4"/>
  <c r="G232" i="4"/>
  <c r="H232" i="2"/>
  <c r="G232" i="2"/>
  <c r="I232" i="1"/>
  <c r="G231" i="7"/>
  <c r="H231" i="7"/>
  <c r="F231" i="7"/>
  <c r="I232" i="7"/>
  <c r="I232" i="2"/>
  <c r="I232" i="5"/>
  <c r="H232" i="8"/>
  <c r="I232" i="4"/>
  <c r="I233" i="3"/>
  <c r="I232" i="9"/>
  <c r="G231" i="8"/>
  <c r="F231" i="8"/>
  <c r="H231" i="9"/>
  <c r="G231" i="9"/>
  <c r="I231" i="9"/>
  <c r="H231" i="5"/>
  <c r="G231" i="5"/>
  <c r="H232" i="3"/>
  <c r="G232" i="3"/>
  <c r="I232" i="3"/>
  <c r="H231" i="4"/>
  <c r="G231" i="4"/>
  <c r="I231" i="4"/>
  <c r="H231" i="2"/>
  <c r="G231" i="2"/>
  <c r="I231" i="1"/>
  <c r="G230" i="7"/>
  <c r="F230" i="7"/>
  <c r="I231" i="7"/>
  <c r="G230" i="8"/>
  <c r="F230" i="8"/>
  <c r="H230" i="9"/>
  <c r="G230" i="9"/>
  <c r="H230" i="5"/>
  <c r="G230" i="5"/>
  <c r="H231" i="3"/>
  <c r="G231" i="3"/>
  <c r="H230" i="4"/>
  <c r="G230" i="4"/>
  <c r="H230" i="2"/>
  <c r="G230" i="2"/>
  <c r="G229" i="7"/>
  <c r="F229" i="7"/>
  <c r="I230" i="7"/>
  <c r="H230" i="7"/>
  <c r="I230" i="4"/>
  <c r="I230" i="5"/>
  <c r="H230" i="8"/>
  <c r="I231" i="2"/>
  <c r="I231" i="5"/>
  <c r="H231" i="8"/>
  <c r="H229" i="7"/>
  <c r="I230" i="1"/>
  <c r="I230" i="2"/>
  <c r="I231" i="3"/>
  <c r="I230" i="9"/>
  <c r="G229" i="8"/>
  <c r="F229" i="8"/>
  <c r="H229" i="9"/>
  <c r="G229" i="9"/>
  <c r="H229" i="5"/>
  <c r="G229" i="5"/>
  <c r="H230" i="3"/>
  <c r="G230" i="3"/>
  <c r="H229" i="4"/>
  <c r="G229" i="4"/>
  <c r="H229" i="2"/>
  <c r="G229" i="2"/>
  <c r="I229" i="1"/>
  <c r="G228" i="7"/>
  <c r="F228" i="7"/>
  <c r="I229" i="7"/>
  <c r="I229" i="2"/>
  <c r="I230" i="3"/>
  <c r="I229" i="9"/>
  <c r="H228" i="7"/>
  <c r="I229" i="4"/>
  <c r="I229" i="5"/>
  <c r="H229" i="8"/>
  <c r="G228" i="8"/>
  <c r="F228" i="8"/>
  <c r="H228" i="8"/>
  <c r="H228" i="9"/>
  <c r="G228" i="9"/>
  <c r="H228" i="5"/>
  <c r="G228" i="5"/>
  <c r="H229" i="3"/>
  <c r="G229" i="3"/>
  <c r="H228" i="4"/>
  <c r="G228" i="4"/>
  <c r="I228" i="4"/>
  <c r="H228" i="2"/>
  <c r="G228" i="2"/>
  <c r="I228" i="5"/>
  <c r="I228" i="2"/>
  <c r="I229" i="3"/>
  <c r="I228" i="9"/>
  <c r="I228" i="1"/>
  <c r="G227" i="7"/>
  <c r="F227" i="7"/>
  <c r="I228" i="7"/>
  <c r="H227" i="7"/>
  <c r="G227" i="8"/>
  <c r="F227" i="8"/>
  <c r="H227" i="9"/>
  <c r="G227" i="9"/>
  <c r="I227" i="9"/>
  <c r="H227" i="5"/>
  <c r="G227" i="5"/>
  <c r="H228" i="3"/>
  <c r="G228" i="3"/>
  <c r="I228" i="3"/>
  <c r="H227" i="4"/>
  <c r="G227" i="4"/>
  <c r="H227" i="2"/>
  <c r="G227" i="2"/>
  <c r="I227" i="2"/>
  <c r="H227" i="1"/>
  <c r="I227" i="1"/>
  <c r="G226" i="7"/>
  <c r="H226" i="7"/>
  <c r="F226" i="7"/>
  <c r="I227" i="7"/>
  <c r="I227" i="4"/>
  <c r="I227" i="5"/>
  <c r="H227" i="8"/>
  <c r="G226" i="8"/>
  <c r="F226" i="8"/>
  <c r="H226" i="9"/>
  <c r="G226" i="9"/>
  <c r="H226" i="5"/>
  <c r="G226" i="5"/>
  <c r="H227" i="3"/>
  <c r="G227" i="3"/>
  <c r="H226" i="4"/>
  <c r="G226" i="4"/>
  <c r="H226" i="2"/>
  <c r="G226" i="2"/>
  <c r="H226" i="1"/>
  <c r="I226" i="1"/>
  <c r="K225" i="7"/>
  <c r="G225" i="7"/>
  <c r="F225" i="7"/>
  <c r="I226" i="4"/>
  <c r="I226" i="5"/>
  <c r="H226" i="8"/>
  <c r="H225" i="7"/>
  <c r="I226" i="2"/>
  <c r="I227" i="3"/>
  <c r="I226" i="9"/>
  <c r="G225" i="8"/>
  <c r="F225" i="8"/>
  <c r="H225" i="9"/>
  <c r="G225" i="9"/>
  <c r="H225" i="5"/>
  <c r="G225" i="5"/>
  <c r="H226" i="3"/>
  <c r="G226" i="3"/>
  <c r="H225" i="4"/>
  <c r="G225" i="4"/>
  <c r="H225" i="2"/>
  <c r="G225" i="2"/>
  <c r="H225" i="1"/>
  <c r="G225" i="1"/>
  <c r="G224" i="7"/>
  <c r="F224" i="7"/>
  <c r="I225" i="7"/>
  <c r="L226" i="1"/>
  <c r="I225" i="2"/>
  <c r="I226" i="3"/>
  <c r="I225" i="9"/>
  <c r="H224" i="7"/>
  <c r="I225" i="1"/>
  <c r="I225" i="4"/>
  <c r="I225" i="5"/>
  <c r="H225" i="8"/>
  <c r="G224" i="8"/>
  <c r="F224" i="8"/>
  <c r="H224" i="9"/>
  <c r="G224" i="9"/>
  <c r="H224" i="5"/>
  <c r="G224" i="5"/>
  <c r="H225" i="3"/>
  <c r="G225" i="3"/>
  <c r="H224" i="4"/>
  <c r="G224" i="4"/>
  <c r="H224" i="2"/>
  <c r="G224" i="2"/>
  <c r="H224" i="1"/>
  <c r="G224" i="1"/>
  <c r="G223" i="7"/>
  <c r="F223" i="7"/>
  <c r="I224" i="7"/>
  <c r="L225" i="1"/>
  <c r="I224" i="1"/>
  <c r="I224" i="4"/>
  <c r="I224" i="5"/>
  <c r="H224" i="8"/>
  <c r="H223" i="7"/>
  <c r="I224" i="2"/>
  <c r="I225" i="3"/>
  <c r="I224" i="9"/>
  <c r="G223" i="8"/>
  <c r="F223" i="8"/>
  <c r="H223" i="9"/>
  <c r="G223" i="9"/>
  <c r="H223" i="5"/>
  <c r="G223" i="5"/>
  <c r="H224" i="3"/>
  <c r="G224" i="3"/>
  <c r="H223" i="4"/>
  <c r="G223" i="4"/>
  <c r="H223" i="2"/>
  <c r="G223" i="2"/>
  <c r="H223" i="1"/>
  <c r="G223" i="1"/>
  <c r="G222" i="7"/>
  <c r="F222" i="7"/>
  <c r="G222" i="8"/>
  <c r="F222" i="8"/>
  <c r="H222" i="8"/>
  <c r="H222" i="9"/>
  <c r="G222" i="9"/>
  <c r="H222" i="5"/>
  <c r="G222" i="5"/>
  <c r="H223" i="3"/>
  <c r="G223" i="3"/>
  <c r="H222" i="4"/>
  <c r="G222" i="4"/>
  <c r="H222" i="2"/>
  <c r="G222" i="2"/>
  <c r="H222" i="1"/>
  <c r="G222" i="1"/>
  <c r="G221" i="7"/>
  <c r="F221" i="7"/>
  <c r="L223" i="1"/>
  <c r="L224" i="1"/>
  <c r="H221" i="7"/>
  <c r="I222" i="1"/>
  <c r="I222" i="4"/>
  <c r="I222" i="5"/>
  <c r="I222" i="7"/>
  <c r="I223" i="2"/>
  <c r="I224" i="3"/>
  <c r="I223" i="9"/>
  <c r="I223" i="7"/>
  <c r="H222" i="7"/>
  <c r="I222" i="2"/>
  <c r="I223" i="3"/>
  <c r="I222" i="9"/>
  <c r="I223" i="4"/>
  <c r="I223" i="5"/>
  <c r="H223" i="8"/>
  <c r="I223" i="1"/>
  <c r="G221" i="8"/>
  <c r="F221" i="8"/>
  <c r="H221" i="9"/>
  <c r="G221" i="9"/>
  <c r="H221" i="5"/>
  <c r="G221" i="5"/>
  <c r="H222" i="3"/>
  <c r="G222" i="3"/>
  <c r="H221" i="4"/>
  <c r="G221" i="4"/>
  <c r="H221" i="2"/>
  <c r="G221" i="2"/>
  <c r="H221" i="1"/>
  <c r="G221" i="1"/>
  <c r="G220" i="7"/>
  <c r="F220" i="7"/>
  <c r="I221" i="7"/>
  <c r="G220" i="8"/>
  <c r="F220" i="8"/>
  <c r="H220" i="9"/>
  <c r="G220" i="9"/>
  <c r="H220" i="5"/>
  <c r="G220" i="5"/>
  <c r="H221" i="3"/>
  <c r="G221" i="3"/>
  <c r="H220" i="4"/>
  <c r="G220" i="4"/>
  <c r="H220" i="2"/>
  <c r="G220" i="2"/>
  <c r="H220" i="1"/>
  <c r="G220" i="1"/>
  <c r="G219" i="7"/>
  <c r="F219" i="7"/>
  <c r="I220" i="7"/>
  <c r="G219" i="8"/>
  <c r="F219" i="8"/>
  <c r="H219" i="9"/>
  <c r="G219" i="9"/>
  <c r="H219" i="5"/>
  <c r="G219" i="5"/>
  <c r="H220" i="3"/>
  <c r="G220" i="3"/>
  <c r="H219" i="4"/>
  <c r="G219" i="4"/>
  <c r="H219" i="2"/>
  <c r="G219" i="2"/>
  <c r="H219" i="1"/>
  <c r="G219" i="1"/>
  <c r="G218" i="7"/>
  <c r="F218" i="7"/>
  <c r="H218" i="7"/>
  <c r="G218" i="8"/>
  <c r="F218" i="8"/>
  <c r="H218" i="9"/>
  <c r="G218" i="9"/>
  <c r="H218" i="5"/>
  <c r="G218" i="5"/>
  <c r="H219" i="3"/>
  <c r="G219" i="3"/>
  <c r="H218" i="4"/>
  <c r="G218" i="4"/>
  <c r="H218" i="2"/>
  <c r="G218" i="2"/>
  <c r="H218" i="1"/>
  <c r="G218" i="1"/>
  <c r="K226" i="1"/>
  <c r="G217" i="7"/>
  <c r="F217" i="7"/>
  <c r="I218" i="7"/>
  <c r="G217" i="8"/>
  <c r="F217" i="8"/>
  <c r="H217" i="9"/>
  <c r="G217" i="9"/>
  <c r="H217" i="5"/>
  <c r="G217" i="5"/>
  <c r="H218" i="3"/>
  <c r="G218" i="3"/>
  <c r="H217" i="4"/>
  <c r="G217" i="4"/>
  <c r="H217" i="2"/>
  <c r="G217" i="2"/>
  <c r="H217" i="1"/>
  <c r="G217" i="1"/>
  <c r="G216" i="7"/>
  <c r="F216" i="7"/>
  <c r="G216" i="8"/>
  <c r="F216" i="8"/>
  <c r="H216" i="9"/>
  <c r="G216" i="9"/>
  <c r="H216" i="5"/>
  <c r="G216" i="5"/>
  <c r="H217" i="3"/>
  <c r="G217" i="3"/>
  <c r="H216" i="4"/>
  <c r="G216" i="4"/>
  <c r="H216" i="2"/>
  <c r="G216" i="2"/>
  <c r="H216" i="1"/>
  <c r="G216" i="1"/>
  <c r="G215" i="7"/>
  <c r="F215" i="7"/>
  <c r="L219" i="1"/>
  <c r="L220" i="1"/>
  <c r="L221" i="1"/>
  <c r="L222" i="1"/>
  <c r="H215" i="7"/>
  <c r="I219" i="1"/>
  <c r="I219" i="4"/>
  <c r="I219" i="5"/>
  <c r="H219" i="8"/>
  <c r="H220" i="7"/>
  <c r="I221" i="1"/>
  <c r="I221" i="4"/>
  <c r="I221" i="5"/>
  <c r="H221" i="8"/>
  <c r="I216" i="2"/>
  <c r="I217" i="3"/>
  <c r="I216" i="9"/>
  <c r="I216" i="7"/>
  <c r="I217" i="2"/>
  <c r="I218" i="3"/>
  <c r="I217" i="9"/>
  <c r="I218" i="2"/>
  <c r="I219" i="3"/>
  <c r="I218" i="9"/>
  <c r="I220" i="1"/>
  <c r="I220" i="4"/>
  <c r="I220" i="5"/>
  <c r="H220" i="8"/>
  <c r="I216" i="1"/>
  <c r="I216" i="4"/>
  <c r="I216" i="5"/>
  <c r="H216" i="8"/>
  <c r="H216" i="7"/>
  <c r="I217" i="1"/>
  <c r="I217" i="4"/>
  <c r="I217" i="5"/>
  <c r="H217" i="8"/>
  <c r="H217" i="7"/>
  <c r="I217" i="7"/>
  <c r="I218" i="1"/>
  <c r="I218" i="4"/>
  <c r="I218" i="5"/>
  <c r="H218" i="8"/>
  <c r="I219" i="2"/>
  <c r="I220" i="3"/>
  <c r="I219" i="9"/>
  <c r="H219" i="7"/>
  <c r="I220" i="2"/>
  <c r="I221" i="3"/>
  <c r="I220" i="9"/>
  <c r="I221" i="2"/>
  <c r="I222" i="3"/>
  <c r="I221" i="9"/>
  <c r="I219" i="7"/>
  <c r="G215" i="8"/>
  <c r="F215" i="8"/>
  <c r="H215" i="9"/>
  <c r="G215" i="9"/>
  <c r="H215" i="5"/>
  <c r="G215" i="5"/>
  <c r="H216" i="3"/>
  <c r="G216" i="3"/>
  <c r="H215" i="4"/>
  <c r="G215" i="4"/>
  <c r="H215" i="2"/>
  <c r="G215" i="2"/>
  <c r="H215" i="1"/>
  <c r="G215" i="1"/>
  <c r="G214" i="7"/>
  <c r="F214" i="7"/>
  <c r="I215" i="7"/>
  <c r="G214" i="8"/>
  <c r="F214" i="8"/>
  <c r="H214" i="9"/>
  <c r="G214" i="9"/>
  <c r="H214" i="5"/>
  <c r="G214" i="5"/>
  <c r="H215" i="3"/>
  <c r="G215" i="3"/>
  <c r="H214" i="4"/>
  <c r="G214" i="4"/>
  <c r="H214" i="2"/>
  <c r="G214" i="2"/>
  <c r="H214" i="1"/>
  <c r="G214" i="1"/>
  <c r="G213" i="7"/>
  <c r="F213" i="7"/>
  <c r="F213" i="8"/>
  <c r="G213" i="8"/>
  <c r="H213" i="9"/>
  <c r="G213" i="9"/>
  <c r="H213" i="5"/>
  <c r="G213" i="5"/>
  <c r="H214" i="3"/>
  <c r="G214" i="3"/>
  <c r="H213" i="4"/>
  <c r="G213" i="4"/>
  <c r="H213" i="2"/>
  <c r="G213" i="2"/>
  <c r="H213" i="1"/>
  <c r="G213" i="1"/>
  <c r="G212" i="7"/>
  <c r="F212" i="7"/>
  <c r="H212" i="7"/>
  <c r="G212" i="8"/>
  <c r="F212" i="8"/>
  <c r="H212" i="9"/>
  <c r="G212" i="9"/>
  <c r="H212" i="5"/>
  <c r="G212" i="5"/>
  <c r="H213" i="3"/>
  <c r="G213" i="3"/>
  <c r="H212" i="4"/>
  <c r="G212" i="4"/>
  <c r="H212" i="2"/>
  <c r="G212" i="2"/>
  <c r="H212" i="1"/>
  <c r="G212" i="1"/>
  <c r="G211" i="7"/>
  <c r="F211" i="7"/>
  <c r="I212" i="7"/>
  <c r="G211" i="8"/>
  <c r="F211" i="8"/>
  <c r="H211" i="9"/>
  <c r="G211" i="9"/>
  <c r="H211" i="5"/>
  <c r="G211" i="5"/>
  <c r="H212" i="3"/>
  <c r="G212" i="3"/>
  <c r="H211" i="4"/>
  <c r="G211" i="4"/>
  <c r="H211" i="2"/>
  <c r="G211" i="2"/>
  <c r="H211" i="1"/>
  <c r="G211" i="1"/>
  <c r="G210" i="7"/>
  <c r="F210" i="7"/>
  <c r="G210" i="8"/>
  <c r="F210" i="8"/>
  <c r="H210" i="9"/>
  <c r="G210" i="9"/>
  <c r="H210" i="5"/>
  <c r="G210" i="5"/>
  <c r="G211" i="3"/>
  <c r="H211" i="3"/>
  <c r="H210" i="4"/>
  <c r="G210" i="4"/>
  <c r="H210" i="2"/>
  <c r="G210" i="2"/>
  <c r="H210" i="1"/>
  <c r="G210" i="1"/>
  <c r="G209" i="7"/>
  <c r="F209" i="7"/>
  <c r="P44" i="12"/>
  <c r="P45" i="12"/>
  <c r="G209" i="8"/>
  <c r="F209" i="8"/>
  <c r="H209" i="9"/>
  <c r="G209" i="9"/>
  <c r="H209" i="5"/>
  <c r="G209" i="5"/>
  <c r="H210" i="3"/>
  <c r="G210" i="3"/>
  <c r="I210" i="3"/>
  <c r="H209" i="4"/>
  <c r="G209" i="4"/>
  <c r="H209" i="2"/>
  <c r="G209" i="2"/>
  <c r="H209" i="1"/>
  <c r="G209" i="1"/>
  <c r="G208" i="7"/>
  <c r="F208" i="7"/>
  <c r="I211" i="3"/>
  <c r="H213" i="8"/>
  <c r="I209" i="9"/>
  <c r="I209" i="7"/>
  <c r="I210" i="2"/>
  <c r="H210" i="7"/>
  <c r="I213" i="1"/>
  <c r="I213" i="4"/>
  <c r="I213" i="5"/>
  <c r="I209" i="2"/>
  <c r="H209" i="7"/>
  <c r="I210" i="5"/>
  <c r="H210" i="8"/>
  <c r="I210" i="7"/>
  <c r="I211" i="2"/>
  <c r="I212" i="3"/>
  <c r="I211" i="9"/>
  <c r="I212" i="1"/>
  <c r="I212" i="4"/>
  <c r="I212" i="5"/>
  <c r="H212" i="8"/>
  <c r="I213" i="7"/>
  <c r="I214" i="2"/>
  <c r="I215" i="3"/>
  <c r="I214" i="9"/>
  <c r="I215" i="2"/>
  <c r="I216" i="3"/>
  <c r="I215" i="9"/>
  <c r="I211" i="7"/>
  <c r="H208" i="7"/>
  <c r="I209" i="1"/>
  <c r="I209" i="4"/>
  <c r="I209" i="5"/>
  <c r="H209" i="8"/>
  <c r="I210" i="1"/>
  <c r="I210" i="4"/>
  <c r="I210" i="9"/>
  <c r="I211" i="1"/>
  <c r="I211" i="4"/>
  <c r="I211" i="5"/>
  <c r="H211" i="8"/>
  <c r="H211" i="7"/>
  <c r="I212" i="2"/>
  <c r="I213" i="3"/>
  <c r="I212" i="9"/>
  <c r="I213" i="2"/>
  <c r="I214" i="3"/>
  <c r="I213" i="9"/>
  <c r="H213" i="7"/>
  <c r="I214" i="1"/>
  <c r="I214" i="4"/>
  <c r="I214" i="5"/>
  <c r="H214" i="8"/>
  <c r="H214" i="7"/>
  <c r="I214" i="7"/>
  <c r="I215" i="1"/>
  <c r="I215" i="4"/>
  <c r="I215" i="5"/>
  <c r="H215" i="8"/>
  <c r="G208" i="8"/>
  <c r="F208" i="8"/>
  <c r="H208" i="9"/>
  <c r="G208" i="9"/>
  <c r="H208" i="5"/>
  <c r="G208" i="5"/>
  <c r="H209" i="3"/>
  <c r="G209" i="3"/>
  <c r="H208" i="4"/>
  <c r="G208" i="4"/>
  <c r="H208" i="2"/>
  <c r="G208" i="2"/>
  <c r="H208" i="1"/>
  <c r="G208" i="1"/>
  <c r="G207" i="7"/>
  <c r="F207" i="7"/>
  <c r="I208" i="7"/>
  <c r="G207" i="8"/>
  <c r="F207" i="8"/>
  <c r="H207" i="9"/>
  <c r="G207" i="9"/>
  <c r="H207" i="5"/>
  <c r="G207" i="5"/>
  <c r="H208" i="3"/>
  <c r="G208" i="3"/>
  <c r="H207" i="4"/>
  <c r="G207" i="4"/>
  <c r="H207" i="2"/>
  <c r="G207" i="2"/>
  <c r="H207" i="1"/>
  <c r="G207" i="1"/>
  <c r="G206" i="7"/>
  <c r="F206" i="7"/>
  <c r="G206" i="8"/>
  <c r="F206" i="8"/>
  <c r="H206" i="9"/>
  <c r="G206" i="9"/>
  <c r="H206" i="5"/>
  <c r="G206" i="5"/>
  <c r="I206" i="5"/>
  <c r="H207" i="3"/>
  <c r="G207" i="3"/>
  <c r="H206" i="4"/>
  <c r="G206" i="4"/>
  <c r="G205" i="4"/>
  <c r="H206" i="2"/>
  <c r="G206" i="2"/>
  <c r="H206" i="1"/>
  <c r="G206" i="1"/>
  <c r="G205" i="7"/>
  <c r="F205" i="7"/>
  <c r="G205" i="8"/>
  <c r="F205" i="8"/>
  <c r="H205" i="9"/>
  <c r="G205" i="9"/>
  <c r="H205" i="5"/>
  <c r="G205" i="5"/>
  <c r="H206" i="3"/>
  <c r="G206" i="3"/>
  <c r="H205" i="4"/>
  <c r="H205" i="2"/>
  <c r="G205" i="2"/>
  <c r="H205" i="1"/>
  <c r="G205" i="1"/>
  <c r="G204" i="7"/>
  <c r="F204" i="7"/>
  <c r="G204" i="8"/>
  <c r="F204" i="8"/>
  <c r="H204" i="9"/>
  <c r="G204" i="9"/>
  <c r="H204" i="5"/>
  <c r="G204" i="5"/>
  <c r="H205" i="3"/>
  <c r="G205" i="3"/>
  <c r="H204" i="4"/>
  <c r="G204" i="4"/>
  <c r="H204" i="2"/>
  <c r="G204" i="2"/>
  <c r="H204" i="1"/>
  <c r="G204" i="1"/>
  <c r="G203" i="7"/>
  <c r="F203" i="7"/>
  <c r="H203" i="7"/>
  <c r="I207" i="1"/>
  <c r="I207" i="4"/>
  <c r="I208" i="3"/>
  <c r="I207" i="9"/>
  <c r="I208" i="2"/>
  <c r="H206" i="8"/>
  <c r="I206" i="7"/>
  <c r="I208" i="5"/>
  <c r="H208" i="8"/>
  <c r="I205" i="5"/>
  <c r="H205" i="8"/>
  <c r="H205" i="7"/>
  <c r="I204" i="1"/>
  <c r="I204" i="4"/>
  <c r="I205" i="3"/>
  <c r="I204" i="9"/>
  <c r="I205" i="7"/>
  <c r="I205" i="2"/>
  <c r="I206" i="1"/>
  <c r="I205" i="4"/>
  <c r="H206" i="7"/>
  <c r="I204" i="2"/>
  <c r="I204" i="5"/>
  <c r="H204" i="8"/>
  <c r="H204" i="7"/>
  <c r="I204" i="7"/>
  <c r="I205" i="1"/>
  <c r="I206" i="3"/>
  <c r="I205" i="9"/>
  <c r="I206" i="2"/>
  <c r="I206" i="4"/>
  <c r="I207" i="3"/>
  <c r="I206" i="9"/>
  <c r="I207" i="2"/>
  <c r="I207" i="5"/>
  <c r="H207" i="8"/>
  <c r="H207" i="7"/>
  <c r="I207" i="7"/>
  <c r="I208" i="1"/>
  <c r="I208" i="4"/>
  <c r="I209" i="3"/>
  <c r="I208" i="9"/>
  <c r="G203" i="8"/>
  <c r="F203" i="8"/>
  <c r="H203" i="9"/>
  <c r="G203" i="9"/>
  <c r="H203" i="5"/>
  <c r="G203" i="5"/>
  <c r="H204" i="3"/>
  <c r="G204" i="3"/>
  <c r="H203" i="4"/>
  <c r="G203" i="4"/>
  <c r="H203" i="2"/>
  <c r="G203" i="2"/>
  <c r="H203" i="1"/>
  <c r="G203" i="1"/>
  <c r="G202" i="7"/>
  <c r="F202" i="7"/>
  <c r="I203" i="7"/>
  <c r="G202" i="8"/>
  <c r="F202" i="8"/>
  <c r="H202" i="9"/>
  <c r="G202" i="9"/>
  <c r="H202" i="5"/>
  <c r="G202" i="5"/>
  <c r="H203" i="3"/>
  <c r="G203" i="3"/>
  <c r="H202" i="4"/>
  <c r="G202" i="4"/>
  <c r="H202" i="2"/>
  <c r="G202" i="2"/>
  <c r="H202" i="1"/>
  <c r="G202" i="1"/>
  <c r="I202" i="1"/>
  <c r="I202" i="4"/>
  <c r="I203" i="3"/>
  <c r="I202" i="9"/>
  <c r="I203" i="2"/>
  <c r="I203" i="5"/>
  <c r="H203" i="8"/>
  <c r="I202" i="2"/>
  <c r="I202" i="5"/>
  <c r="H202" i="8"/>
  <c r="H202" i="7"/>
  <c r="I203" i="1"/>
  <c r="I203" i="4"/>
  <c r="I204" i="3"/>
  <c r="I203" i="9"/>
  <c r="G201" i="7"/>
  <c r="F201" i="7"/>
  <c r="I202" i="7"/>
  <c r="G201" i="8"/>
  <c r="F201" i="8"/>
  <c r="H201" i="9"/>
  <c r="G201" i="9"/>
  <c r="H201" i="5"/>
  <c r="G201" i="5"/>
  <c r="I201" i="5"/>
  <c r="H202" i="3"/>
  <c r="G202" i="3"/>
  <c r="H201" i="4"/>
  <c r="G201" i="4"/>
  <c r="H201" i="2"/>
  <c r="G201" i="2"/>
  <c r="I201" i="2"/>
  <c r="H201" i="1"/>
  <c r="G201" i="1"/>
  <c r="G200" i="7"/>
  <c r="F200" i="7"/>
  <c r="G200" i="8"/>
  <c r="F200" i="8"/>
  <c r="H200" i="8"/>
  <c r="H200" i="9"/>
  <c r="G200" i="9"/>
  <c r="G200" i="5"/>
  <c r="H200" i="5"/>
  <c r="H201" i="3"/>
  <c r="G201" i="3"/>
  <c r="H200" i="4"/>
  <c r="G200" i="4"/>
  <c r="H200" i="2"/>
  <c r="G200" i="2"/>
  <c r="I200" i="2"/>
  <c r="H200" i="1"/>
  <c r="G200" i="1"/>
  <c r="G199" i="7"/>
  <c r="F199" i="7"/>
  <c r="G199" i="8"/>
  <c r="F199" i="8"/>
  <c r="H199" i="8"/>
  <c r="H199" i="9"/>
  <c r="G199" i="9"/>
  <c r="H199" i="5"/>
  <c r="G199" i="5"/>
  <c r="I199" i="5"/>
  <c r="H200" i="3"/>
  <c r="G200" i="3"/>
  <c r="H199" i="4"/>
  <c r="G199" i="4"/>
  <c r="H199" i="2"/>
  <c r="G199" i="2"/>
  <c r="I199" i="2"/>
  <c r="H199" i="1"/>
  <c r="G199" i="1"/>
  <c r="G198" i="7"/>
  <c r="F198" i="7"/>
  <c r="G198" i="8"/>
  <c r="F198" i="8"/>
  <c r="H198" i="9"/>
  <c r="G198" i="9"/>
  <c r="I198" i="9"/>
  <c r="H198" i="5"/>
  <c r="G198" i="5"/>
  <c r="H199" i="3"/>
  <c r="G199" i="3"/>
  <c r="I199" i="3"/>
  <c r="H198" i="4"/>
  <c r="G198" i="4"/>
  <c r="I198" i="4"/>
  <c r="H198" i="2"/>
  <c r="G198" i="2"/>
  <c r="H198" i="1"/>
  <c r="G198" i="1"/>
  <c r="I198" i="1"/>
  <c r="G197" i="7"/>
  <c r="H197" i="7"/>
  <c r="F197" i="7"/>
  <c r="G197" i="8"/>
  <c r="F197" i="8"/>
  <c r="H197" i="9"/>
  <c r="G197" i="9"/>
  <c r="H197" i="5"/>
  <c r="G197" i="5"/>
  <c r="H198" i="3"/>
  <c r="G198" i="3"/>
  <c r="H197" i="4"/>
  <c r="G197" i="4"/>
  <c r="H197" i="2"/>
  <c r="G197" i="2"/>
  <c r="H197" i="1"/>
  <c r="G197" i="1"/>
  <c r="G196" i="7"/>
  <c r="F196" i="7"/>
  <c r="G196" i="8"/>
  <c r="F196" i="8"/>
  <c r="H196" i="9"/>
  <c r="G196" i="9"/>
  <c r="H196" i="5"/>
  <c r="G196" i="5"/>
  <c r="H197" i="3"/>
  <c r="G197" i="3"/>
  <c r="H196" i="4"/>
  <c r="G196" i="4"/>
  <c r="H196" i="2"/>
  <c r="G196" i="2"/>
  <c r="H196" i="1"/>
  <c r="G196" i="1"/>
  <c r="G195" i="7"/>
  <c r="F195" i="7"/>
  <c r="G195" i="8"/>
  <c r="F195" i="8"/>
  <c r="H195" i="9"/>
  <c r="G195" i="9"/>
  <c r="H195" i="5"/>
  <c r="G195" i="5"/>
  <c r="H196" i="3"/>
  <c r="G196" i="3"/>
  <c r="H195" i="4"/>
  <c r="G195" i="4"/>
  <c r="H195" i="2"/>
  <c r="G195" i="2"/>
  <c r="H195" i="1"/>
  <c r="G195" i="1"/>
  <c r="G194" i="7"/>
  <c r="F194" i="7"/>
  <c r="I195" i="2"/>
  <c r="I195" i="5"/>
  <c r="H195" i="8"/>
  <c r="H195" i="7"/>
  <c r="H201" i="8"/>
  <c r="I198" i="7"/>
  <c r="I199" i="7"/>
  <c r="I200" i="7"/>
  <c r="I196" i="1"/>
  <c r="I196" i="4"/>
  <c r="I197" i="3"/>
  <c r="I196" i="9"/>
  <c r="I196" i="7"/>
  <c r="I197" i="2"/>
  <c r="I197" i="5"/>
  <c r="H197" i="8"/>
  <c r="H199" i="7"/>
  <c r="H200" i="7"/>
  <c r="H201" i="7"/>
  <c r="I201" i="7"/>
  <c r="I195" i="7"/>
  <c r="I197" i="7"/>
  <c r="H194" i="7"/>
  <c r="I195" i="1"/>
  <c r="I195" i="4"/>
  <c r="I196" i="3"/>
  <c r="I195" i="9"/>
  <c r="I196" i="2"/>
  <c r="I196" i="5"/>
  <c r="H196" i="8"/>
  <c r="H196" i="7"/>
  <c r="I197" i="1"/>
  <c r="I197" i="4"/>
  <c r="I198" i="3"/>
  <c r="I197" i="9"/>
  <c r="I198" i="2"/>
  <c r="I198" i="5"/>
  <c r="H198" i="8"/>
  <c r="H198" i="7"/>
  <c r="I199" i="1"/>
  <c r="I199" i="4"/>
  <c r="I200" i="3"/>
  <c r="I199" i="9"/>
  <c r="I200" i="1"/>
  <c r="I200" i="4"/>
  <c r="I201" i="3"/>
  <c r="I200" i="5"/>
  <c r="I200" i="9"/>
  <c r="I201" i="1"/>
  <c r="I201" i="4"/>
  <c r="I202" i="3"/>
  <c r="I201" i="9"/>
  <c r="G194" i="8"/>
  <c r="F194" i="8"/>
  <c r="H194" i="9"/>
  <c r="G194" i="9"/>
  <c r="H194" i="5"/>
  <c r="G194" i="5"/>
  <c r="H195" i="3"/>
  <c r="G195" i="3"/>
  <c r="H194" i="4"/>
  <c r="G194" i="4"/>
  <c r="H194" i="2"/>
  <c r="G194" i="2"/>
  <c r="H194" i="1"/>
  <c r="G194" i="1"/>
  <c r="G193" i="7"/>
  <c r="F193" i="7"/>
  <c r="I194" i="7"/>
  <c r="A4" i="3"/>
  <c r="F193" i="8"/>
  <c r="G193" i="8"/>
  <c r="H193" i="9"/>
  <c r="G193" i="9"/>
  <c r="H193" i="5"/>
  <c r="G193" i="5"/>
  <c r="H194" i="3"/>
  <c r="G194" i="3"/>
  <c r="H193" i="4"/>
  <c r="G193" i="4"/>
  <c r="H193" i="2"/>
  <c r="G193" i="2"/>
  <c r="H193" i="1"/>
  <c r="G193" i="1"/>
  <c r="G192" i="7"/>
  <c r="F192" i="7"/>
  <c r="G192" i="8"/>
  <c r="F192" i="8"/>
  <c r="H192" i="9"/>
  <c r="G192" i="9"/>
  <c r="H192" i="5"/>
  <c r="G192" i="5"/>
  <c r="H193" i="3"/>
  <c r="G193" i="3"/>
  <c r="H192" i="4"/>
  <c r="G192" i="4"/>
  <c r="H192" i="2"/>
  <c r="G192" i="2"/>
  <c r="H192" i="1"/>
  <c r="G192" i="1"/>
  <c r="G191" i="7"/>
  <c r="F191" i="7"/>
  <c r="F191" i="8"/>
  <c r="G191" i="8"/>
  <c r="G191" i="9"/>
  <c r="H191" i="9"/>
  <c r="G191" i="5"/>
  <c r="H191" i="5"/>
  <c r="G192" i="3"/>
  <c r="H192" i="3"/>
  <c r="H191" i="4"/>
  <c r="G191" i="4"/>
  <c r="H191" i="2"/>
  <c r="G191" i="2"/>
  <c r="H191" i="1"/>
  <c r="G191" i="1"/>
  <c r="G190" i="7"/>
  <c r="F190" i="7"/>
  <c r="H193" i="8"/>
  <c r="I194" i="2"/>
  <c r="I194" i="5"/>
  <c r="H194" i="8"/>
  <c r="I191" i="4"/>
  <c r="I192" i="3"/>
  <c r="I191" i="5"/>
  <c r="I191" i="9"/>
  <c r="H191" i="8"/>
  <c r="H192" i="8"/>
  <c r="I193" i="4"/>
  <c r="I194" i="3"/>
  <c r="I193" i="9"/>
  <c r="H193" i="7"/>
  <c r="I193" i="7"/>
  <c r="I194" i="1"/>
  <c r="I194" i="4"/>
  <c r="I195" i="3"/>
  <c r="I194" i="9"/>
  <c r="I192" i="7"/>
  <c r="H191" i="7"/>
  <c r="H192" i="7"/>
  <c r="I191" i="7"/>
  <c r="H190" i="7"/>
  <c r="I193" i="5"/>
  <c r="I192" i="5"/>
  <c r="I193" i="3"/>
  <c r="I192" i="4"/>
  <c r="I193" i="2"/>
  <c r="I191" i="2"/>
  <c r="I192" i="2"/>
  <c r="I191" i="1"/>
  <c r="I192" i="1"/>
  <c r="I193" i="1"/>
  <c r="I192" i="9"/>
  <c r="G190" i="8"/>
  <c r="F190" i="8"/>
  <c r="H190" i="9"/>
  <c r="G190" i="9"/>
  <c r="H190" i="5"/>
  <c r="G190" i="5"/>
  <c r="H191" i="3"/>
  <c r="G191" i="3"/>
  <c r="H190" i="4"/>
  <c r="G190" i="4"/>
  <c r="H190" i="2"/>
  <c r="G190" i="2"/>
  <c r="H190" i="1"/>
  <c r="G190" i="1"/>
  <c r="G189" i="7"/>
  <c r="F189" i="7"/>
  <c r="I190" i="7"/>
  <c r="G189" i="8"/>
  <c r="F189" i="8"/>
  <c r="H189" i="9"/>
  <c r="G189" i="9"/>
  <c r="H189" i="5"/>
  <c r="G189" i="5"/>
  <c r="H190" i="3"/>
  <c r="G190" i="3"/>
  <c r="H189" i="4"/>
  <c r="G189" i="4"/>
  <c r="H189" i="2"/>
  <c r="G189" i="2"/>
  <c r="H189" i="1"/>
  <c r="G189" i="1"/>
  <c r="G188" i="7"/>
  <c r="F188" i="7"/>
  <c r="G188" i="8"/>
  <c r="F188" i="8"/>
  <c r="H188" i="9"/>
  <c r="G188" i="9"/>
  <c r="H188" i="5"/>
  <c r="G188" i="5"/>
  <c r="H189" i="3"/>
  <c r="G189" i="3"/>
  <c r="H188" i="4"/>
  <c r="G188" i="4"/>
  <c r="H188" i="2"/>
  <c r="G188" i="2"/>
  <c r="H188" i="1"/>
  <c r="G188" i="1"/>
  <c r="G187" i="7"/>
  <c r="F187" i="7"/>
  <c r="H187" i="7"/>
  <c r="G187" i="8"/>
  <c r="F187" i="8"/>
  <c r="H187" i="9"/>
  <c r="G187" i="9"/>
  <c r="H187" i="5"/>
  <c r="G187" i="5"/>
  <c r="H188" i="3"/>
  <c r="G188" i="3"/>
  <c r="H187" i="4"/>
  <c r="G187" i="4"/>
  <c r="H187" i="2"/>
  <c r="G187" i="2"/>
  <c r="H187" i="1"/>
  <c r="G187" i="1"/>
  <c r="G186" i="7"/>
  <c r="F186" i="7"/>
  <c r="G186" i="8"/>
  <c r="F186" i="8"/>
  <c r="H186" i="9"/>
  <c r="G186" i="9"/>
  <c r="H186" i="5"/>
  <c r="G186" i="5"/>
  <c r="H187" i="3"/>
  <c r="G187" i="3"/>
  <c r="H186" i="4"/>
  <c r="G186" i="4"/>
  <c r="H186" i="2"/>
  <c r="G186" i="2"/>
  <c r="H186" i="1"/>
  <c r="G186" i="1"/>
  <c r="G185" i="7"/>
  <c r="F185" i="7"/>
  <c r="G185" i="8"/>
  <c r="F185" i="8"/>
  <c r="H185" i="9"/>
  <c r="G185" i="9"/>
  <c r="H185" i="5"/>
  <c r="G185" i="5"/>
  <c r="H186" i="3"/>
  <c r="G186" i="3"/>
  <c r="H185" i="4"/>
  <c r="G185" i="4"/>
  <c r="H185" i="2"/>
  <c r="G185" i="2"/>
  <c r="H185" i="1"/>
  <c r="G185" i="1"/>
  <c r="G184" i="7"/>
  <c r="F184" i="7"/>
  <c r="L174" i="1"/>
  <c r="L173" i="1"/>
  <c r="L172" i="1"/>
  <c r="L171" i="1"/>
  <c r="L170" i="1"/>
  <c r="L169" i="1"/>
  <c r="L168" i="1"/>
  <c r="L167" i="1"/>
  <c r="L166" i="1"/>
  <c r="G184" i="8"/>
  <c r="F184" i="8"/>
  <c r="H184" i="9"/>
  <c r="G184" i="9"/>
  <c r="H184" i="5"/>
  <c r="G184" i="5"/>
  <c r="H185" i="3"/>
  <c r="G185" i="3"/>
  <c r="G184" i="4"/>
  <c r="H184" i="4"/>
  <c r="G184" i="2"/>
  <c r="H184" i="2"/>
  <c r="H184" i="1"/>
  <c r="G184" i="1"/>
  <c r="G183" i="7"/>
  <c r="F183" i="7"/>
  <c r="H183" i="7"/>
  <c r="G183" i="8"/>
  <c r="F183" i="8"/>
  <c r="H183" i="9"/>
  <c r="G183" i="9"/>
  <c r="H183" i="5"/>
  <c r="G183" i="5"/>
  <c r="H184" i="3"/>
  <c r="G184" i="3"/>
  <c r="H183" i="4"/>
  <c r="G183" i="4"/>
  <c r="H183" i="2"/>
  <c r="G183" i="2"/>
  <c r="H183" i="1"/>
  <c r="G183" i="1"/>
  <c r="G182" i="7"/>
  <c r="F182" i="7"/>
  <c r="G182" i="8"/>
  <c r="F182" i="8"/>
  <c r="H182" i="9"/>
  <c r="G182" i="9"/>
  <c r="H182" i="5"/>
  <c r="G182" i="5"/>
  <c r="H183" i="3"/>
  <c r="G183" i="3"/>
  <c r="H182" i="4"/>
  <c r="G182" i="4"/>
  <c r="H182" i="2"/>
  <c r="G182" i="2"/>
  <c r="H182" i="1"/>
  <c r="G182" i="1"/>
  <c r="G181" i="7"/>
  <c r="F181" i="7"/>
  <c r="G181" i="8"/>
  <c r="F181" i="8"/>
  <c r="H181" i="9"/>
  <c r="G181" i="9"/>
  <c r="H181" i="5"/>
  <c r="G181" i="5"/>
  <c r="H182" i="3"/>
  <c r="G182" i="3"/>
  <c r="H181" i="4"/>
  <c r="G181" i="4"/>
  <c r="H181" i="2"/>
  <c r="G181" i="2"/>
  <c r="H181" i="1"/>
  <c r="G181" i="1"/>
  <c r="G180" i="7"/>
  <c r="F180" i="7"/>
  <c r="I185" i="3"/>
  <c r="H184" i="8"/>
  <c r="H186" i="7"/>
  <c r="I189" i="3"/>
  <c r="I188" i="9"/>
  <c r="I189" i="2"/>
  <c r="I189" i="5"/>
  <c r="I191" i="3"/>
  <c r="I188" i="7"/>
  <c r="I190" i="9"/>
  <c r="I181" i="4"/>
  <c r="H181" i="8"/>
  <c r="I182" i="2"/>
  <c r="I183" i="3"/>
  <c r="I182" i="9"/>
  <c r="K183" i="1"/>
  <c r="I183" i="5"/>
  <c r="H185" i="8"/>
  <c r="I186" i="1"/>
  <c r="I186" i="4"/>
  <c r="H186" i="8"/>
  <c r="I187" i="2"/>
  <c r="I187" i="5"/>
  <c r="I181" i="7"/>
  <c r="I182" i="7"/>
  <c r="I185" i="7"/>
  <c r="I186" i="7"/>
  <c r="I187" i="7"/>
  <c r="H180" i="7"/>
  <c r="I183" i="7"/>
  <c r="H189" i="7"/>
  <c r="I189" i="7"/>
  <c r="H181" i="7"/>
  <c r="H182" i="7"/>
  <c r="I184" i="7"/>
  <c r="H185" i="7"/>
  <c r="H188" i="7"/>
  <c r="I182" i="5"/>
  <c r="I184" i="5"/>
  <c r="I188" i="5"/>
  <c r="I190" i="5"/>
  <c r="I181" i="5"/>
  <c r="I185" i="5"/>
  <c r="I186" i="5"/>
  <c r="I182" i="3"/>
  <c r="I186" i="3"/>
  <c r="I184" i="3"/>
  <c r="I187" i="3"/>
  <c r="I188" i="3"/>
  <c r="I190" i="3"/>
  <c r="I185" i="4"/>
  <c r="I182" i="4"/>
  <c r="I183" i="4"/>
  <c r="I184" i="4"/>
  <c r="I187" i="4"/>
  <c r="I188" i="4"/>
  <c r="I189" i="4"/>
  <c r="I190" i="4"/>
  <c r="I181" i="2"/>
  <c r="I184" i="2"/>
  <c r="I186" i="2"/>
  <c r="I183" i="2"/>
  <c r="I185" i="2"/>
  <c r="I188" i="2"/>
  <c r="I190" i="2"/>
  <c r="I181" i="1"/>
  <c r="L165" i="1"/>
  <c r="I185" i="1"/>
  <c r="I182" i="1"/>
  <c r="I183" i="1"/>
  <c r="I184" i="1"/>
  <c r="K182" i="1"/>
  <c r="K184" i="1"/>
  <c r="I187" i="1"/>
  <c r="I188" i="1"/>
  <c r="I189" i="1"/>
  <c r="I190" i="1"/>
  <c r="H182" i="8"/>
  <c r="H183" i="8"/>
  <c r="H187" i="8"/>
  <c r="H188" i="8"/>
  <c r="H189" i="8"/>
  <c r="H190" i="8"/>
  <c r="I183" i="9"/>
  <c r="I187" i="9"/>
  <c r="I189" i="9"/>
  <c r="I181" i="9"/>
  <c r="I184" i="9"/>
  <c r="I185" i="9"/>
  <c r="I186" i="9"/>
  <c r="H184" i="7"/>
  <c r="G180" i="8"/>
  <c r="F180" i="8"/>
  <c r="H180" i="9"/>
  <c r="G180" i="9"/>
  <c r="H180" i="5"/>
  <c r="G180" i="5"/>
  <c r="H181" i="3"/>
  <c r="G181" i="3"/>
  <c r="H180" i="4"/>
  <c r="G180" i="4"/>
  <c r="H180" i="2"/>
  <c r="G180" i="2"/>
  <c r="H180" i="1"/>
  <c r="G180" i="1"/>
  <c r="G179" i="7"/>
  <c r="F179" i="7"/>
  <c r="I180" i="7"/>
  <c r="G179" i="8"/>
  <c r="F179" i="8"/>
  <c r="H179" i="9"/>
  <c r="G179" i="9"/>
  <c r="H179" i="5"/>
  <c r="G179" i="5"/>
  <c r="H180" i="3"/>
  <c r="G180" i="3"/>
  <c r="H179" i="4"/>
  <c r="G179" i="4"/>
  <c r="H179" i="2"/>
  <c r="G179" i="2"/>
  <c r="H179" i="1"/>
  <c r="G179" i="1"/>
  <c r="G178" i="7"/>
  <c r="F178" i="7"/>
  <c r="G178" i="8"/>
  <c r="F178" i="8"/>
  <c r="H178" i="9"/>
  <c r="G178" i="9"/>
  <c r="H178" i="5"/>
  <c r="G178" i="5"/>
  <c r="H179" i="3"/>
  <c r="G179" i="3"/>
  <c r="H178" i="4"/>
  <c r="G178" i="4"/>
  <c r="H178" i="2"/>
  <c r="G178" i="2"/>
  <c r="H178" i="1"/>
  <c r="G178" i="1"/>
  <c r="G177" i="7"/>
  <c r="F177" i="7"/>
  <c r="I179" i="4"/>
  <c r="I179" i="9"/>
  <c r="I181" i="3"/>
  <c r="I180" i="5"/>
  <c r="H179" i="8"/>
  <c r="H180" i="8"/>
  <c r="I178" i="7"/>
  <c r="H179" i="7"/>
  <c r="I179" i="7"/>
  <c r="H177" i="7"/>
  <c r="I179" i="5"/>
  <c r="I178" i="5"/>
  <c r="I179" i="3"/>
  <c r="I180" i="3"/>
  <c r="I180" i="4"/>
  <c r="I178" i="4"/>
  <c r="I179" i="2"/>
  <c r="I178" i="2"/>
  <c r="I180" i="2"/>
  <c r="I179" i="1"/>
  <c r="K179" i="1"/>
  <c r="I180" i="1"/>
  <c r="K180" i="1"/>
  <c r="I178" i="1"/>
  <c r="K181" i="1"/>
  <c r="H178" i="8"/>
  <c r="I180" i="9"/>
  <c r="I178" i="9"/>
  <c r="H178" i="7"/>
  <c r="G177" i="8"/>
  <c r="F177" i="8"/>
  <c r="H177" i="9"/>
  <c r="G177" i="9"/>
  <c r="H177" i="5"/>
  <c r="G177" i="5"/>
  <c r="H178" i="3"/>
  <c r="G178" i="3"/>
  <c r="H177" i="4"/>
  <c r="G177" i="4"/>
  <c r="H177" i="2"/>
  <c r="G177" i="2"/>
  <c r="H177" i="1"/>
  <c r="G177" i="1"/>
  <c r="G176" i="7"/>
  <c r="F176" i="7"/>
  <c r="I177" i="7"/>
  <c r="G176" i="8"/>
  <c r="F176" i="8"/>
  <c r="H176" i="9"/>
  <c r="G176" i="9"/>
  <c r="H176" i="5"/>
  <c r="G176" i="5"/>
  <c r="H177" i="3"/>
  <c r="G177" i="3"/>
  <c r="H176" i="4"/>
  <c r="G176" i="4"/>
  <c r="H176" i="2"/>
  <c r="G176" i="2"/>
  <c r="H176" i="1"/>
  <c r="G176" i="1"/>
  <c r="G175" i="7"/>
  <c r="F175" i="7"/>
  <c r="G175" i="8"/>
  <c r="F175" i="8"/>
  <c r="H175" i="9"/>
  <c r="G175" i="9"/>
  <c r="H175" i="5"/>
  <c r="G175" i="5"/>
  <c r="H176" i="3"/>
  <c r="G176" i="3"/>
  <c r="H175" i="4"/>
  <c r="G175" i="4"/>
  <c r="H175" i="2"/>
  <c r="G175" i="2"/>
  <c r="H175" i="1"/>
  <c r="G175" i="1"/>
  <c r="G174" i="7"/>
  <c r="F174" i="7"/>
  <c r="G174" i="8"/>
  <c r="F174" i="8"/>
  <c r="H174" i="9"/>
  <c r="G174" i="9"/>
  <c r="H174" i="5"/>
  <c r="G174" i="5"/>
  <c r="H175" i="3"/>
  <c r="G175" i="3"/>
  <c r="H174" i="4"/>
  <c r="G174" i="4"/>
  <c r="H174" i="2"/>
  <c r="G174" i="2"/>
  <c r="H174" i="1"/>
  <c r="G174" i="1"/>
  <c r="G173" i="7"/>
  <c r="F173" i="7"/>
  <c r="G173" i="8"/>
  <c r="F173" i="8"/>
  <c r="G173" i="9"/>
  <c r="H173" i="9"/>
  <c r="G173" i="5"/>
  <c r="H173" i="5"/>
  <c r="H174" i="3"/>
  <c r="G174" i="3"/>
  <c r="H173" i="4"/>
  <c r="G173" i="4"/>
  <c r="G173" i="2"/>
  <c r="H173" i="2"/>
  <c r="G173" i="1"/>
  <c r="H173" i="1"/>
  <c r="L171" i="7"/>
  <c r="M171" i="7"/>
  <c r="L172" i="7"/>
  <c r="M172" i="7"/>
  <c r="F172" i="7"/>
  <c r="G172" i="7"/>
  <c r="L121" i="1"/>
  <c r="L122" i="1"/>
  <c r="N119" i="7"/>
  <c r="O119" i="7"/>
  <c r="G172" i="8"/>
  <c r="F172" i="8"/>
  <c r="H172" i="9"/>
  <c r="G172" i="9"/>
  <c r="H172" i="5"/>
  <c r="G172" i="5"/>
  <c r="H173" i="3"/>
  <c r="G173" i="3"/>
  <c r="H172" i="4"/>
  <c r="G172" i="4"/>
  <c r="H172" i="2"/>
  <c r="G172" i="2"/>
  <c r="H172" i="1"/>
  <c r="G172" i="1"/>
  <c r="G171" i="7"/>
  <c r="F171" i="7"/>
  <c r="G171" i="8"/>
  <c r="F171" i="8"/>
  <c r="H171" i="9"/>
  <c r="G171" i="9"/>
  <c r="H171" i="5"/>
  <c r="G171" i="5"/>
  <c r="H172" i="3"/>
  <c r="G172" i="3"/>
  <c r="H171" i="4"/>
  <c r="G171" i="4"/>
  <c r="H171" i="2"/>
  <c r="G171" i="2"/>
  <c r="H171" i="1"/>
  <c r="G171" i="1"/>
  <c r="M170" i="7"/>
  <c r="L170" i="7"/>
  <c r="G170" i="7"/>
  <c r="F170" i="7"/>
  <c r="L47" i="12"/>
  <c r="G170" i="8"/>
  <c r="F170" i="8"/>
  <c r="H170" i="9"/>
  <c r="G170" i="9"/>
  <c r="H170" i="5"/>
  <c r="G170" i="5"/>
  <c r="H171" i="3"/>
  <c r="G171" i="3"/>
  <c r="H170" i="4"/>
  <c r="G170" i="4"/>
  <c r="H170" i="2"/>
  <c r="G170" i="2"/>
  <c r="H170" i="1"/>
  <c r="G170" i="1"/>
  <c r="M169" i="7"/>
  <c r="L169" i="7"/>
  <c r="G169" i="7"/>
  <c r="F169" i="7"/>
  <c r="G169" i="8"/>
  <c r="F169" i="8"/>
  <c r="H169" i="9"/>
  <c r="G169" i="9"/>
  <c r="G169" i="5"/>
  <c r="H169" i="5"/>
  <c r="G170" i="3"/>
  <c r="H170" i="3"/>
  <c r="G169" i="4"/>
  <c r="H169" i="4"/>
  <c r="G169" i="2"/>
  <c r="H169" i="2"/>
  <c r="G169" i="1"/>
  <c r="H169" i="1"/>
  <c r="M168" i="7"/>
  <c r="L168" i="7"/>
  <c r="G168" i="7"/>
  <c r="F168" i="7"/>
  <c r="G168" i="8"/>
  <c r="F168" i="8"/>
  <c r="H168" i="9"/>
  <c r="G168" i="9"/>
  <c r="H168" i="5"/>
  <c r="G168" i="5"/>
  <c r="H169" i="3"/>
  <c r="G169" i="3"/>
  <c r="H168" i="4"/>
  <c r="G168" i="4"/>
  <c r="H168" i="2"/>
  <c r="G168" i="2"/>
  <c r="H168" i="1"/>
  <c r="G168" i="1"/>
  <c r="M167" i="7"/>
  <c r="L167" i="7"/>
  <c r="G167" i="7"/>
  <c r="F167" i="7"/>
  <c r="I169" i="1"/>
  <c r="H169" i="7"/>
  <c r="K172" i="7"/>
  <c r="H176" i="7"/>
  <c r="I168" i="4"/>
  <c r="I168" i="5"/>
  <c r="I168" i="9"/>
  <c r="I169" i="7"/>
  <c r="I170" i="9"/>
  <c r="I173" i="1"/>
  <c r="I174" i="3"/>
  <c r="H173" i="8"/>
  <c r="I173" i="7"/>
  <c r="I174" i="2"/>
  <c r="I174" i="9"/>
  <c r="I169" i="4"/>
  <c r="I170" i="3"/>
  <c r="I171" i="4"/>
  <c r="I172" i="3"/>
  <c r="I172" i="4"/>
  <c r="I172" i="5"/>
  <c r="I172" i="9"/>
  <c r="H174" i="7"/>
  <c r="I175" i="4"/>
  <c r="I176" i="2"/>
  <c r="I176" i="9"/>
  <c r="I178" i="3"/>
  <c r="H177" i="8"/>
  <c r="K168" i="7"/>
  <c r="K169" i="7"/>
  <c r="I170" i="7"/>
  <c r="I172" i="7"/>
  <c r="H173" i="7"/>
  <c r="I175" i="7"/>
  <c r="H167" i="7"/>
  <c r="H168" i="7"/>
  <c r="I168" i="7"/>
  <c r="H170" i="7"/>
  <c r="K170" i="7"/>
  <c r="H171" i="7"/>
  <c r="H172" i="7"/>
  <c r="K171" i="7"/>
  <c r="H175" i="7"/>
  <c r="I176" i="7"/>
  <c r="J180" i="7"/>
  <c r="K180" i="7"/>
  <c r="I169" i="5"/>
  <c r="I171" i="5"/>
  <c r="I173" i="5"/>
  <c r="I177" i="5"/>
  <c r="I170" i="5"/>
  <c r="I174" i="5"/>
  <c r="I175" i="5"/>
  <c r="I176" i="5"/>
  <c r="I171" i="3"/>
  <c r="I175" i="3"/>
  <c r="I177" i="3"/>
  <c r="I169" i="3"/>
  <c r="I173" i="3"/>
  <c r="I176" i="3"/>
  <c r="I174" i="4"/>
  <c r="I176" i="4"/>
  <c r="I177" i="4"/>
  <c r="I170" i="4"/>
  <c r="I173" i="4"/>
  <c r="I169" i="2"/>
  <c r="I171" i="2"/>
  <c r="I173" i="2"/>
  <c r="I177" i="2"/>
  <c r="I168" i="2"/>
  <c r="I170" i="2"/>
  <c r="I172" i="2"/>
  <c r="I175" i="2"/>
  <c r="I170" i="1"/>
  <c r="K170" i="1"/>
  <c r="I171" i="1"/>
  <c r="K171" i="1"/>
  <c r="I177" i="1"/>
  <c r="K177" i="1"/>
  <c r="K169" i="1"/>
  <c r="I168" i="1"/>
  <c r="I172" i="1"/>
  <c r="K172" i="1"/>
  <c r="I174" i="1"/>
  <c r="K174" i="1"/>
  <c r="I175" i="1"/>
  <c r="K175" i="1"/>
  <c r="I176" i="1"/>
  <c r="K176" i="1"/>
  <c r="K173" i="1"/>
  <c r="K178" i="1"/>
  <c r="H168" i="8"/>
  <c r="H169" i="8"/>
  <c r="H170" i="8"/>
  <c r="H171" i="8"/>
  <c r="H172" i="8"/>
  <c r="H174" i="8"/>
  <c r="H175" i="8"/>
  <c r="H176" i="8"/>
  <c r="I169" i="9"/>
  <c r="I171" i="9"/>
  <c r="I175" i="9"/>
  <c r="I173" i="9"/>
  <c r="I177" i="9"/>
  <c r="I171" i="7"/>
  <c r="G167" i="8"/>
  <c r="F167" i="8"/>
  <c r="H167" i="9"/>
  <c r="G167" i="9"/>
  <c r="H167" i="5"/>
  <c r="G167" i="5"/>
  <c r="H168" i="3"/>
  <c r="G168" i="3"/>
  <c r="H167" i="4"/>
  <c r="G167" i="4"/>
  <c r="H167" i="2"/>
  <c r="G167" i="2"/>
  <c r="G167" i="1"/>
  <c r="H167" i="1"/>
  <c r="L166" i="7"/>
  <c r="M166" i="7"/>
  <c r="G166" i="7"/>
  <c r="K167" i="7"/>
  <c r="F166" i="7"/>
  <c r="I167" i="7"/>
  <c r="F166" i="8"/>
  <c r="G166" i="8"/>
  <c r="H166" i="9"/>
  <c r="G166" i="9"/>
  <c r="G166" i="5"/>
  <c r="H166" i="5"/>
  <c r="H167" i="3"/>
  <c r="G167" i="3"/>
  <c r="H166" i="4"/>
  <c r="G166" i="4"/>
  <c r="H166" i="2"/>
  <c r="G166" i="2"/>
  <c r="H166" i="1"/>
  <c r="G166" i="1"/>
  <c r="M165" i="7"/>
  <c r="L165" i="7"/>
  <c r="G165" i="7"/>
  <c r="F165" i="7"/>
  <c r="G165" i="8"/>
  <c r="F165" i="8"/>
  <c r="H165" i="9"/>
  <c r="G165" i="9"/>
  <c r="H165" i="5"/>
  <c r="G165" i="5"/>
  <c r="H166" i="3"/>
  <c r="G166" i="3"/>
  <c r="H165" i="4"/>
  <c r="G165" i="4"/>
  <c r="H165" i="2"/>
  <c r="G165" i="2"/>
  <c r="H165" i="1"/>
  <c r="G165" i="1"/>
  <c r="M164" i="7"/>
  <c r="L164" i="7"/>
  <c r="M163" i="7"/>
  <c r="L163" i="7"/>
  <c r="G164" i="7"/>
  <c r="F164" i="7"/>
  <c r="G164" i="8"/>
  <c r="F164" i="8"/>
  <c r="H164" i="9"/>
  <c r="G164" i="9"/>
  <c r="H164" i="5"/>
  <c r="G164" i="5"/>
  <c r="H165" i="3"/>
  <c r="G165" i="3"/>
  <c r="H164" i="4"/>
  <c r="G164" i="4"/>
  <c r="H164" i="2"/>
  <c r="G164" i="2"/>
  <c r="H164" i="1"/>
  <c r="G164" i="1"/>
  <c r="G163" i="7"/>
  <c r="F163" i="7"/>
  <c r="H163" i="7"/>
  <c r="H165" i="7"/>
  <c r="I164" i="4"/>
  <c r="I164" i="5"/>
  <c r="I164" i="9"/>
  <c r="H164" i="8"/>
  <c r="H164" i="7"/>
  <c r="I165" i="4"/>
  <c r="I166" i="4"/>
  <c r="I167" i="3"/>
  <c r="I166" i="9"/>
  <c r="H166" i="8"/>
  <c r="I167" i="1"/>
  <c r="H167" i="8"/>
  <c r="K164" i="7"/>
  <c r="I164" i="7"/>
  <c r="I165" i="7"/>
  <c r="H166" i="7"/>
  <c r="I166" i="7"/>
  <c r="K165" i="7"/>
  <c r="K166" i="7"/>
  <c r="I166" i="5"/>
  <c r="I165" i="5"/>
  <c r="I167" i="5"/>
  <c r="I165" i="3"/>
  <c r="I166" i="3"/>
  <c r="I168" i="3"/>
  <c r="I167" i="4"/>
  <c r="I166" i="2"/>
  <c r="I164" i="2"/>
  <c r="I165" i="2"/>
  <c r="I167" i="2"/>
  <c r="I165" i="1"/>
  <c r="I166" i="1"/>
  <c r="K166" i="1"/>
  <c r="K167" i="1"/>
  <c r="K168" i="1"/>
  <c r="I164" i="1"/>
  <c r="L179" i="1"/>
  <c r="M179" i="1"/>
  <c r="H165" i="8"/>
  <c r="I167" i="9"/>
  <c r="I165" i="9"/>
  <c r="G163" i="8"/>
  <c r="F163" i="8"/>
  <c r="H163" i="9"/>
  <c r="G163" i="9"/>
  <c r="H163" i="5"/>
  <c r="G163" i="5"/>
  <c r="H164" i="3"/>
  <c r="G164" i="3"/>
  <c r="H163" i="4"/>
  <c r="G163" i="4"/>
  <c r="H163" i="2"/>
  <c r="G163" i="2"/>
  <c r="H163" i="1"/>
  <c r="G163" i="1"/>
  <c r="M162" i="7"/>
  <c r="L162" i="7"/>
  <c r="G162" i="7"/>
  <c r="K163" i="7"/>
  <c r="F162" i="7"/>
  <c r="I163" i="7"/>
  <c r="F162" i="8"/>
  <c r="G162" i="8"/>
  <c r="H162" i="9"/>
  <c r="G162" i="9"/>
  <c r="H162" i="5"/>
  <c r="G162" i="5"/>
  <c r="H163" i="3"/>
  <c r="G163" i="3"/>
  <c r="H162" i="4"/>
  <c r="G162" i="4"/>
  <c r="H162" i="2"/>
  <c r="G162" i="2"/>
  <c r="H162" i="1"/>
  <c r="G162" i="1"/>
  <c r="M161" i="7"/>
  <c r="L161" i="7"/>
  <c r="G161" i="7"/>
  <c r="F161" i="7"/>
  <c r="N151" i="1"/>
  <c r="N44" i="12"/>
  <c r="N45" i="12"/>
  <c r="G161" i="8"/>
  <c r="F161" i="8"/>
  <c r="H161" i="9"/>
  <c r="G161" i="9"/>
  <c r="H161" i="5"/>
  <c r="G161" i="5"/>
  <c r="H162" i="3"/>
  <c r="G162" i="3"/>
  <c r="H161" i="4"/>
  <c r="G161" i="4"/>
  <c r="H161" i="2"/>
  <c r="G161" i="2"/>
  <c r="H161" i="1"/>
  <c r="G161" i="1"/>
  <c r="M160" i="7"/>
  <c r="L160" i="7"/>
  <c r="G160" i="7"/>
  <c r="F160" i="7"/>
  <c r="G160" i="8"/>
  <c r="F160" i="8"/>
  <c r="H160" i="9"/>
  <c r="G160" i="9"/>
  <c r="H160" i="5"/>
  <c r="G160" i="5"/>
  <c r="H161" i="3"/>
  <c r="G161" i="3"/>
  <c r="H160" i="4"/>
  <c r="G160" i="4"/>
  <c r="H160" i="2"/>
  <c r="G160" i="2"/>
  <c r="H160" i="1"/>
  <c r="G160" i="1"/>
  <c r="M159" i="7"/>
  <c r="L159" i="7"/>
  <c r="G159" i="7"/>
  <c r="F159" i="7"/>
  <c r="G159" i="8"/>
  <c r="F159" i="8"/>
  <c r="H159" i="9"/>
  <c r="G159" i="9"/>
  <c r="H159" i="5"/>
  <c r="G159" i="5"/>
  <c r="H160" i="3"/>
  <c r="G160" i="3"/>
  <c r="H159" i="4"/>
  <c r="G159" i="4"/>
  <c r="H159" i="2"/>
  <c r="G159" i="2"/>
  <c r="H159" i="1"/>
  <c r="G159" i="1"/>
  <c r="M158" i="7"/>
  <c r="L158" i="7"/>
  <c r="G158" i="7"/>
  <c r="F158" i="7"/>
  <c r="I159" i="4"/>
  <c r="I160" i="1"/>
  <c r="I160" i="2"/>
  <c r="H160" i="8"/>
  <c r="I161" i="4"/>
  <c r="I162" i="1"/>
  <c r="I162" i="2"/>
  <c r="H162" i="8"/>
  <c r="I163" i="4"/>
  <c r="I159" i="7"/>
  <c r="I160" i="7"/>
  <c r="I161" i="7"/>
  <c r="K159" i="7"/>
  <c r="K160" i="7"/>
  <c r="K161" i="7"/>
  <c r="K162" i="7"/>
  <c r="H158" i="7"/>
  <c r="H159" i="7"/>
  <c r="H160" i="7"/>
  <c r="H161" i="7"/>
  <c r="H162" i="7"/>
  <c r="I162" i="7"/>
  <c r="I159" i="5"/>
  <c r="I161" i="5"/>
  <c r="I163" i="5"/>
  <c r="I160" i="5"/>
  <c r="I162" i="5"/>
  <c r="I160" i="3"/>
  <c r="I161" i="3"/>
  <c r="I162" i="3"/>
  <c r="I163" i="3"/>
  <c r="I164" i="3"/>
  <c r="I160" i="4"/>
  <c r="I162" i="4"/>
  <c r="I159" i="2"/>
  <c r="I161" i="2"/>
  <c r="I163" i="2"/>
  <c r="I159" i="1"/>
  <c r="I161" i="1"/>
  <c r="I163" i="1"/>
  <c r="K165" i="1"/>
  <c r="H159" i="8"/>
  <c r="H161" i="8"/>
  <c r="H163" i="8"/>
  <c r="I159" i="9"/>
  <c r="I161" i="9"/>
  <c r="I163" i="9"/>
  <c r="I160" i="9"/>
  <c r="I162" i="9"/>
  <c r="G158" i="8"/>
  <c r="H158" i="8"/>
  <c r="F158" i="8"/>
  <c r="H158" i="9"/>
  <c r="G158" i="9"/>
  <c r="H158" i="5"/>
  <c r="G158" i="5"/>
  <c r="H159" i="3"/>
  <c r="G159" i="3"/>
  <c r="H158" i="4"/>
  <c r="G158" i="4"/>
  <c r="H158" i="2"/>
  <c r="G158" i="2"/>
  <c r="H158" i="1"/>
  <c r="G158" i="1"/>
  <c r="M157" i="7"/>
  <c r="L157" i="7"/>
  <c r="G157" i="7"/>
  <c r="K158" i="7"/>
  <c r="F157" i="7"/>
  <c r="I158" i="1"/>
  <c r="I158" i="4"/>
  <c r="I158" i="7"/>
  <c r="H157" i="7"/>
  <c r="I158" i="5"/>
  <c r="I159" i="3"/>
  <c r="I158" i="2"/>
  <c r="I158" i="9"/>
  <c r="G157" i="8"/>
  <c r="H157" i="8"/>
  <c r="F157" i="8"/>
  <c r="H157" i="9"/>
  <c r="G157" i="9"/>
  <c r="H157" i="5"/>
  <c r="G157" i="5"/>
  <c r="H158" i="3"/>
  <c r="G158" i="3"/>
  <c r="H157" i="4"/>
  <c r="G157" i="4"/>
  <c r="H157" i="2"/>
  <c r="G157" i="2"/>
  <c r="H157" i="1"/>
  <c r="G157" i="1"/>
  <c r="M156" i="7"/>
  <c r="L156" i="7"/>
  <c r="G156" i="7"/>
  <c r="F156" i="7"/>
  <c r="H156" i="7"/>
  <c r="I158" i="3"/>
  <c r="I157" i="9"/>
  <c r="I157" i="7"/>
  <c r="K157" i="7"/>
  <c r="I157" i="5"/>
  <c r="I157" i="4"/>
  <c r="I157" i="2"/>
  <c r="I157" i="1"/>
  <c r="G156" i="8"/>
  <c r="F156" i="8"/>
  <c r="H156" i="9"/>
  <c r="G156" i="9"/>
  <c r="H156" i="5"/>
  <c r="G156" i="5"/>
  <c r="H157" i="3"/>
  <c r="G157" i="3"/>
  <c r="H156" i="4"/>
  <c r="G156" i="4"/>
  <c r="H156" i="2"/>
  <c r="G156" i="2"/>
  <c r="H156" i="1"/>
  <c r="G156" i="1"/>
  <c r="M155" i="7"/>
  <c r="L155" i="7"/>
  <c r="G155" i="7"/>
  <c r="K156" i="7"/>
  <c r="F155" i="7"/>
  <c r="I156" i="7"/>
  <c r="G155" i="8"/>
  <c r="F155" i="8"/>
  <c r="H155" i="9"/>
  <c r="G155" i="9"/>
  <c r="H155" i="5"/>
  <c r="G155" i="5"/>
  <c r="H156" i="3"/>
  <c r="G156" i="3"/>
  <c r="H155" i="4"/>
  <c r="G155" i="4"/>
  <c r="H155" i="2"/>
  <c r="G155" i="2"/>
  <c r="H155" i="1"/>
  <c r="G155" i="1"/>
  <c r="M154" i="7"/>
  <c r="L154" i="7"/>
  <c r="G154" i="7"/>
  <c r="F154" i="7"/>
  <c r="G154" i="8"/>
  <c r="F154" i="8"/>
  <c r="H154" i="9"/>
  <c r="G154" i="9"/>
  <c r="H154" i="5"/>
  <c r="G154" i="5"/>
  <c r="H155" i="3"/>
  <c r="G155" i="3"/>
  <c r="H154" i="4"/>
  <c r="G154" i="4"/>
  <c r="H154" i="2"/>
  <c r="G154" i="2"/>
  <c r="H154" i="1"/>
  <c r="G154" i="1"/>
  <c r="M153" i="7"/>
  <c r="L153" i="7"/>
  <c r="G153" i="7"/>
  <c r="F153" i="7"/>
  <c r="G153" i="8"/>
  <c r="F153" i="8"/>
  <c r="H153" i="9"/>
  <c r="G153" i="9"/>
  <c r="H153" i="5"/>
  <c r="G153" i="5"/>
  <c r="H154" i="3"/>
  <c r="G154" i="3"/>
  <c r="G153" i="3"/>
  <c r="H153" i="4"/>
  <c r="G153" i="4"/>
  <c r="H153" i="2"/>
  <c r="G153" i="2"/>
  <c r="H153" i="1"/>
  <c r="G153" i="1"/>
  <c r="M152" i="7"/>
  <c r="L152" i="7"/>
  <c r="G152" i="7"/>
  <c r="F152" i="7"/>
  <c r="K153" i="7"/>
  <c r="H153" i="8"/>
  <c r="I154" i="2"/>
  <c r="I154" i="4"/>
  <c r="I155" i="1"/>
  <c r="H155" i="8"/>
  <c r="I156" i="2"/>
  <c r="I156" i="4"/>
  <c r="K154" i="7"/>
  <c r="I153" i="7"/>
  <c r="I154" i="7"/>
  <c r="H153" i="7"/>
  <c r="H154" i="7"/>
  <c r="H155" i="7"/>
  <c r="I155" i="7"/>
  <c r="H152" i="7"/>
  <c r="K155" i="7"/>
  <c r="I153" i="5"/>
  <c r="I155" i="5"/>
  <c r="I154" i="5"/>
  <c r="I156" i="5"/>
  <c r="I154" i="3"/>
  <c r="I155" i="3"/>
  <c r="I156" i="3"/>
  <c r="I157" i="3"/>
  <c r="I153" i="4"/>
  <c r="I155" i="4"/>
  <c r="I155" i="2"/>
  <c r="I153" i="2"/>
  <c r="I153" i="1"/>
  <c r="I154" i="1"/>
  <c r="I156" i="1"/>
  <c r="H154" i="8"/>
  <c r="H156" i="8"/>
  <c r="I153" i="9"/>
  <c r="I155" i="9"/>
  <c r="I154" i="9"/>
  <c r="I156" i="9"/>
  <c r="G152" i="8"/>
  <c r="F152" i="8"/>
  <c r="H152" i="9"/>
  <c r="G152" i="9"/>
  <c r="H152" i="5"/>
  <c r="G152" i="5"/>
  <c r="H153" i="3"/>
  <c r="I153" i="3"/>
  <c r="H152" i="4"/>
  <c r="G152" i="4"/>
  <c r="H152" i="2"/>
  <c r="G152" i="2"/>
  <c r="H152" i="1"/>
  <c r="G152" i="1"/>
  <c r="M151" i="7"/>
  <c r="L151" i="7"/>
  <c r="G151" i="7"/>
  <c r="K152" i="7"/>
  <c r="F151" i="7"/>
  <c r="I152" i="7"/>
  <c r="G151" i="8"/>
  <c r="F151" i="8"/>
  <c r="H151" i="9"/>
  <c r="G151" i="9"/>
  <c r="H151" i="5"/>
  <c r="G151" i="5"/>
  <c r="H152" i="3"/>
  <c r="G152" i="3"/>
  <c r="H151" i="4"/>
  <c r="G151" i="4"/>
  <c r="H151" i="2"/>
  <c r="G151" i="2"/>
  <c r="H151" i="1"/>
  <c r="G151" i="1"/>
  <c r="M150" i="7"/>
  <c r="L150" i="7"/>
  <c r="G150" i="7"/>
  <c r="F150" i="7"/>
  <c r="G150" i="8"/>
  <c r="F150" i="8"/>
  <c r="H150" i="9"/>
  <c r="G150" i="9"/>
  <c r="H150" i="5"/>
  <c r="G150" i="5"/>
  <c r="H151" i="3"/>
  <c r="G151" i="3"/>
  <c r="H150" i="4"/>
  <c r="G150" i="4"/>
  <c r="I150" i="4"/>
  <c r="H150" i="2"/>
  <c r="G150" i="2"/>
  <c r="H150" i="1"/>
  <c r="G150" i="1"/>
  <c r="M149" i="7"/>
  <c r="L149" i="7"/>
  <c r="G149" i="7"/>
  <c r="F149" i="7"/>
  <c r="F149" i="8"/>
  <c r="G149" i="8"/>
  <c r="G149" i="9"/>
  <c r="H149" i="9"/>
  <c r="I149" i="9"/>
  <c r="G149" i="5"/>
  <c r="H149" i="5"/>
  <c r="I149" i="5"/>
  <c r="G150" i="3"/>
  <c r="H150" i="3"/>
  <c r="I150" i="3"/>
  <c r="G149" i="4"/>
  <c r="H149" i="4"/>
  <c r="G149" i="2"/>
  <c r="H149" i="2"/>
  <c r="G149" i="1"/>
  <c r="H149" i="1"/>
  <c r="I149" i="1"/>
  <c r="M148" i="7"/>
  <c r="L148" i="7"/>
  <c r="G148" i="7"/>
  <c r="F148" i="7"/>
  <c r="G148" i="8"/>
  <c r="F148" i="8"/>
  <c r="H148" i="9"/>
  <c r="G148" i="9"/>
  <c r="I148" i="9"/>
  <c r="H148" i="5"/>
  <c r="G148" i="5"/>
  <c r="H149" i="3"/>
  <c r="G149" i="3"/>
  <c r="H148" i="4"/>
  <c r="G148" i="4"/>
  <c r="H148" i="2"/>
  <c r="G148" i="2"/>
  <c r="H148" i="1"/>
  <c r="G148" i="1"/>
  <c r="M147" i="7"/>
  <c r="L147" i="7"/>
  <c r="G147" i="7"/>
  <c r="F147" i="7"/>
  <c r="G147" i="8"/>
  <c r="F147" i="8"/>
  <c r="H147" i="9"/>
  <c r="G147" i="9"/>
  <c r="H147" i="5"/>
  <c r="G147" i="5"/>
  <c r="H148" i="3"/>
  <c r="G148" i="3"/>
  <c r="H147" i="4"/>
  <c r="G147" i="4"/>
  <c r="H147" i="2"/>
  <c r="G147" i="2"/>
  <c r="I147" i="2"/>
  <c r="H147" i="1"/>
  <c r="G147" i="1"/>
  <c r="M146" i="7"/>
  <c r="L146" i="7"/>
  <c r="G146" i="7"/>
  <c r="F146" i="7"/>
  <c r="H146" i="7"/>
  <c r="G146" i="8"/>
  <c r="F146" i="8"/>
  <c r="H146" i="9"/>
  <c r="G146" i="9"/>
  <c r="I146" i="9"/>
  <c r="H146" i="5"/>
  <c r="G146" i="5"/>
  <c r="H147" i="3"/>
  <c r="G147" i="3"/>
  <c r="I147" i="3"/>
  <c r="H146" i="4"/>
  <c r="G146" i="4"/>
  <c r="H146" i="2"/>
  <c r="G146" i="2"/>
  <c r="I146" i="2"/>
  <c r="H146" i="1"/>
  <c r="G146" i="1"/>
  <c r="M145" i="7"/>
  <c r="L145" i="7"/>
  <c r="G145" i="7"/>
  <c r="F145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G145" i="8"/>
  <c r="F145" i="8"/>
  <c r="H145" i="9"/>
  <c r="G145" i="9"/>
  <c r="H145" i="5"/>
  <c r="G145" i="5"/>
  <c r="I145" i="5"/>
  <c r="H146" i="3"/>
  <c r="G146" i="3"/>
  <c r="I146" i="3"/>
  <c r="H145" i="4"/>
  <c r="G145" i="4"/>
  <c r="I145" i="4"/>
  <c r="H145" i="2"/>
  <c r="G145" i="2"/>
  <c r="H145" i="1"/>
  <c r="G145" i="1"/>
  <c r="G144" i="7"/>
  <c r="F144" i="7"/>
  <c r="G144" i="8"/>
  <c r="F144" i="8"/>
  <c r="H144" i="9"/>
  <c r="G144" i="9"/>
  <c r="I144" i="9"/>
  <c r="H144" i="5"/>
  <c r="G144" i="5"/>
  <c r="H145" i="3"/>
  <c r="G145" i="3"/>
  <c r="I145" i="3"/>
  <c r="H144" i="4"/>
  <c r="G144" i="4"/>
  <c r="I144" i="4"/>
  <c r="H144" i="2"/>
  <c r="G144" i="2"/>
  <c r="H144" i="1"/>
  <c r="G144" i="1"/>
  <c r="G143" i="7"/>
  <c r="F143" i="7"/>
  <c r="L44" i="12"/>
  <c r="L45" i="12"/>
  <c r="G143" i="8"/>
  <c r="F143" i="8"/>
  <c r="H143" i="9"/>
  <c r="G143" i="9"/>
  <c r="H143" i="5"/>
  <c r="G143" i="5"/>
  <c r="H144" i="3"/>
  <c r="G144" i="3"/>
  <c r="G143" i="4"/>
  <c r="H143" i="4"/>
  <c r="H143" i="2"/>
  <c r="G143" i="2"/>
  <c r="H143" i="1"/>
  <c r="G143" i="1"/>
  <c r="I143" i="1"/>
  <c r="G142" i="7"/>
  <c r="F142" i="7"/>
  <c r="G142" i="8"/>
  <c r="F142" i="8"/>
  <c r="H142" i="9"/>
  <c r="G142" i="9"/>
  <c r="H142" i="5"/>
  <c r="G142" i="5"/>
  <c r="H143" i="3"/>
  <c r="G143" i="3"/>
  <c r="H142" i="4"/>
  <c r="G142" i="4"/>
  <c r="I142" i="4"/>
  <c r="H142" i="2"/>
  <c r="G142" i="2"/>
  <c r="I142" i="2"/>
  <c r="H142" i="1"/>
  <c r="G142" i="1"/>
  <c r="I142" i="1"/>
  <c r="G141" i="7"/>
  <c r="F141" i="7"/>
  <c r="F141" i="8"/>
  <c r="G141" i="8"/>
  <c r="G141" i="9"/>
  <c r="H141" i="9"/>
  <c r="G141" i="5"/>
  <c r="H141" i="5"/>
  <c r="H142" i="3"/>
  <c r="G142" i="3"/>
  <c r="H141" i="4"/>
  <c r="G141" i="4"/>
  <c r="I141" i="4"/>
  <c r="G141" i="2"/>
  <c r="H141" i="2"/>
  <c r="G141" i="1"/>
  <c r="H141" i="1"/>
  <c r="G140" i="7"/>
  <c r="F140" i="7"/>
  <c r="G140" i="8"/>
  <c r="F140" i="8"/>
  <c r="H140" i="9"/>
  <c r="G140" i="9"/>
  <c r="I140" i="9"/>
  <c r="H140" i="5"/>
  <c r="G140" i="5"/>
  <c r="I140" i="5"/>
  <c r="H141" i="3"/>
  <c r="G141" i="3"/>
  <c r="I141" i="3"/>
  <c r="H140" i="4"/>
  <c r="G140" i="4"/>
  <c r="I140" i="4"/>
  <c r="H140" i="2"/>
  <c r="G140" i="2"/>
  <c r="H140" i="1"/>
  <c r="G140" i="1"/>
  <c r="I140" i="1"/>
  <c r="G139" i="7"/>
  <c r="F139" i="7"/>
  <c r="G139" i="8"/>
  <c r="F139" i="8"/>
  <c r="H139" i="9"/>
  <c r="G139" i="9"/>
  <c r="I139" i="9"/>
  <c r="H139" i="5"/>
  <c r="G139" i="5"/>
  <c r="H140" i="3"/>
  <c r="G140" i="3"/>
  <c r="I140" i="3"/>
  <c r="H139" i="4"/>
  <c r="G139" i="4"/>
  <c r="I139" i="4"/>
  <c r="H139" i="2"/>
  <c r="G139" i="2"/>
  <c r="H139" i="1"/>
  <c r="G139" i="1"/>
  <c r="G138" i="7"/>
  <c r="F138" i="7"/>
  <c r="H138" i="7"/>
  <c r="G138" i="8"/>
  <c r="F138" i="8"/>
  <c r="H138" i="9"/>
  <c r="G138" i="9"/>
  <c r="H138" i="5"/>
  <c r="G138" i="5"/>
  <c r="I138" i="5"/>
  <c r="H139" i="3"/>
  <c r="G139" i="3"/>
  <c r="H138" i="4"/>
  <c r="G138" i="4"/>
  <c r="H138" i="2"/>
  <c r="G138" i="2"/>
  <c r="H138" i="1"/>
  <c r="G138" i="1"/>
  <c r="G137" i="7"/>
  <c r="K138" i="7"/>
  <c r="F137" i="7"/>
  <c r="G137" i="8"/>
  <c r="F137" i="8"/>
  <c r="H137" i="9"/>
  <c r="G137" i="9"/>
  <c r="H137" i="5"/>
  <c r="G137" i="5"/>
  <c r="H138" i="3"/>
  <c r="G138" i="3"/>
  <c r="H137" i="4"/>
  <c r="G137" i="4"/>
  <c r="I137" i="4"/>
  <c r="H137" i="2"/>
  <c r="G137" i="2"/>
  <c r="H137" i="1"/>
  <c r="G137" i="1"/>
  <c r="G136" i="7"/>
  <c r="F136" i="7"/>
  <c r="F136" i="8"/>
  <c r="G136" i="8"/>
  <c r="G136" i="9"/>
  <c r="H136" i="9"/>
  <c r="G136" i="5"/>
  <c r="H136" i="5"/>
  <c r="G137" i="3"/>
  <c r="H137" i="3"/>
  <c r="H136" i="4"/>
  <c r="G136" i="4"/>
  <c r="H136" i="2"/>
  <c r="G136" i="2"/>
  <c r="H136" i="1"/>
  <c r="G136" i="1"/>
  <c r="G135" i="7"/>
  <c r="F135" i="7"/>
  <c r="G135" i="8"/>
  <c r="F135" i="8"/>
  <c r="H135" i="9"/>
  <c r="G135" i="9"/>
  <c r="H135" i="5"/>
  <c r="G135" i="5"/>
  <c r="H136" i="3"/>
  <c r="G136" i="3"/>
  <c r="H135" i="4"/>
  <c r="G135" i="4"/>
  <c r="I135" i="4"/>
  <c r="H135" i="2"/>
  <c r="G135" i="2"/>
  <c r="G135" i="1"/>
  <c r="H135" i="1"/>
  <c r="G134" i="7"/>
  <c r="F134" i="7"/>
  <c r="H134" i="7"/>
  <c r="F134" i="8"/>
  <c r="G134" i="8"/>
  <c r="G134" i="9"/>
  <c r="H134" i="9"/>
  <c r="G134" i="5"/>
  <c r="H134" i="5"/>
  <c r="I134" i="5"/>
  <c r="G135" i="3"/>
  <c r="H135" i="3"/>
  <c r="G134" i="4"/>
  <c r="H134" i="4"/>
  <c r="I134" i="4"/>
  <c r="G134" i="2"/>
  <c r="H134" i="2"/>
  <c r="G134" i="1"/>
  <c r="H134" i="1"/>
  <c r="I134" i="1"/>
  <c r="G133" i="7"/>
  <c r="F133" i="7"/>
  <c r="H133" i="7"/>
  <c r="F133" i="8"/>
  <c r="G133" i="8"/>
  <c r="G133" i="9"/>
  <c r="H133" i="9"/>
  <c r="G133" i="5"/>
  <c r="H133" i="5"/>
  <c r="G134" i="3"/>
  <c r="H134" i="3"/>
  <c r="G133" i="4"/>
  <c r="H133" i="4"/>
  <c r="G133" i="2"/>
  <c r="H133" i="2"/>
  <c r="G133" i="1"/>
  <c r="H133" i="1"/>
  <c r="G132" i="7"/>
  <c r="F132" i="7"/>
  <c r="I133" i="7"/>
  <c r="F132" i="8"/>
  <c r="G132" i="8"/>
  <c r="G132" i="9"/>
  <c r="H132" i="9"/>
  <c r="G132" i="5"/>
  <c r="H132" i="5"/>
  <c r="I132" i="5"/>
  <c r="G133" i="3"/>
  <c r="H133" i="3"/>
  <c r="I133" i="3"/>
  <c r="G132" i="4"/>
  <c r="H132" i="4"/>
  <c r="I132" i="4"/>
  <c r="G131" i="4"/>
  <c r="G132" i="2"/>
  <c r="H132" i="2"/>
  <c r="G132" i="1"/>
  <c r="H132" i="1"/>
  <c r="G131" i="7"/>
  <c r="F131" i="7"/>
  <c r="F131" i="8"/>
  <c r="G131" i="8"/>
  <c r="G131" i="9"/>
  <c r="H131" i="9"/>
  <c r="G131" i="5"/>
  <c r="H131" i="5"/>
  <c r="G132" i="3"/>
  <c r="H132" i="3"/>
  <c r="H131" i="4"/>
  <c r="I131" i="4"/>
  <c r="G131" i="2"/>
  <c r="H131" i="2"/>
  <c r="G130" i="7"/>
  <c r="F130" i="7"/>
  <c r="I131" i="7"/>
  <c r="F130" i="8"/>
  <c r="G130" i="8"/>
  <c r="G130" i="9"/>
  <c r="H130" i="9"/>
  <c r="G130" i="5"/>
  <c r="H130" i="5"/>
  <c r="G131" i="3"/>
  <c r="H131" i="3"/>
  <c r="K44" i="12"/>
  <c r="K45" i="12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F3" i="8"/>
  <c r="G3" i="8"/>
  <c r="H3" i="8"/>
  <c r="F4" i="8"/>
  <c r="G4" i="8"/>
  <c r="F5" i="8"/>
  <c r="G5" i="8"/>
  <c r="H5" i="8"/>
  <c r="F6" i="8"/>
  <c r="G6" i="8"/>
  <c r="F7" i="8"/>
  <c r="G7" i="8"/>
  <c r="F8" i="8"/>
  <c r="G8" i="8"/>
  <c r="F9" i="8"/>
  <c r="G9" i="8"/>
  <c r="H9" i="8"/>
  <c r="F10" i="8"/>
  <c r="G10" i="8"/>
  <c r="F11" i="8"/>
  <c r="G11" i="8"/>
  <c r="F12" i="8"/>
  <c r="G12" i="8"/>
  <c r="F14" i="8"/>
  <c r="G14" i="8"/>
  <c r="F19" i="8"/>
  <c r="G19" i="8"/>
  <c r="F21" i="8"/>
  <c r="G21" i="8"/>
  <c r="F22" i="8"/>
  <c r="G22" i="8"/>
  <c r="F23" i="8"/>
  <c r="G23" i="8"/>
  <c r="H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H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H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J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G3" i="9"/>
  <c r="H3" i="9"/>
  <c r="G4" i="9"/>
  <c r="H4" i="9"/>
  <c r="G5" i="9"/>
  <c r="H5" i="9"/>
  <c r="G6" i="9"/>
  <c r="H6" i="9"/>
  <c r="G7" i="9"/>
  <c r="H7" i="9"/>
  <c r="G8" i="9"/>
  <c r="H8" i="9"/>
  <c r="G9" i="9"/>
  <c r="H9" i="9"/>
  <c r="G10" i="9"/>
  <c r="H10" i="9"/>
  <c r="G11" i="9"/>
  <c r="H11" i="9"/>
  <c r="G12" i="9"/>
  <c r="H12" i="9"/>
  <c r="G13" i="9"/>
  <c r="H13" i="9"/>
  <c r="G14" i="9"/>
  <c r="H14" i="9"/>
  <c r="G15" i="9"/>
  <c r="H15" i="9"/>
  <c r="G16" i="9"/>
  <c r="H16" i="9"/>
  <c r="G17" i="9"/>
  <c r="H17" i="9"/>
  <c r="G18" i="9"/>
  <c r="H18" i="9"/>
  <c r="G19" i="9"/>
  <c r="H19" i="9"/>
  <c r="G20" i="9"/>
  <c r="H20" i="9"/>
  <c r="G21" i="9"/>
  <c r="H21" i="9"/>
  <c r="G22" i="9"/>
  <c r="H22" i="9"/>
  <c r="G23" i="9"/>
  <c r="H23" i="9"/>
  <c r="G24" i="9"/>
  <c r="H24" i="9"/>
  <c r="G25" i="9"/>
  <c r="H25" i="9"/>
  <c r="G26" i="9"/>
  <c r="H26" i="9"/>
  <c r="G27" i="9"/>
  <c r="H27" i="9"/>
  <c r="G28" i="9"/>
  <c r="H28" i="9"/>
  <c r="G29" i="9"/>
  <c r="H29" i="9"/>
  <c r="G30" i="9"/>
  <c r="H30" i="9"/>
  <c r="G31" i="9"/>
  <c r="H31" i="9"/>
  <c r="G32" i="9"/>
  <c r="H32" i="9"/>
  <c r="G33" i="9"/>
  <c r="H33" i="9"/>
  <c r="G34" i="9"/>
  <c r="H34" i="9"/>
  <c r="G35" i="9"/>
  <c r="H35" i="9"/>
  <c r="G36" i="9"/>
  <c r="H36" i="9"/>
  <c r="G37" i="9"/>
  <c r="H37" i="9"/>
  <c r="I37" i="9"/>
  <c r="G38" i="9"/>
  <c r="H38" i="9"/>
  <c r="G39" i="9"/>
  <c r="H39" i="9"/>
  <c r="G40" i="9"/>
  <c r="H40" i="9"/>
  <c r="G41" i="9"/>
  <c r="H41" i="9"/>
  <c r="G42" i="9"/>
  <c r="H42" i="9"/>
  <c r="G43" i="9"/>
  <c r="H43" i="9"/>
  <c r="G44" i="9"/>
  <c r="H44" i="9"/>
  <c r="G45" i="9"/>
  <c r="H45" i="9"/>
  <c r="G46" i="9"/>
  <c r="H46" i="9"/>
  <c r="G47" i="9"/>
  <c r="H47" i="9"/>
  <c r="G48" i="9"/>
  <c r="H48" i="9"/>
  <c r="G49" i="9"/>
  <c r="H49" i="9"/>
  <c r="G50" i="9"/>
  <c r="H50" i="9"/>
  <c r="G51" i="9"/>
  <c r="H51" i="9"/>
  <c r="G52" i="9"/>
  <c r="H52" i="9"/>
  <c r="G53" i="9"/>
  <c r="H53" i="9"/>
  <c r="G54" i="9"/>
  <c r="H54" i="9"/>
  <c r="G55" i="9"/>
  <c r="H55" i="9"/>
  <c r="G56" i="9"/>
  <c r="H56" i="9"/>
  <c r="G57" i="9"/>
  <c r="H57" i="9"/>
  <c r="G58" i="9"/>
  <c r="H58" i="9"/>
  <c r="G59" i="9"/>
  <c r="H59" i="9"/>
  <c r="G60" i="9"/>
  <c r="H60" i="9"/>
  <c r="G61" i="9"/>
  <c r="H61" i="9"/>
  <c r="G62" i="9"/>
  <c r="H62" i="9"/>
  <c r="G63" i="9"/>
  <c r="H63" i="9"/>
  <c r="G64" i="9"/>
  <c r="H64" i="9"/>
  <c r="G65" i="9"/>
  <c r="H65" i="9"/>
  <c r="G66" i="9"/>
  <c r="H66" i="9"/>
  <c r="G67" i="9"/>
  <c r="H67" i="9"/>
  <c r="G68" i="9"/>
  <c r="H68" i="9"/>
  <c r="G69" i="9"/>
  <c r="H69" i="9"/>
  <c r="G70" i="9"/>
  <c r="H70" i="9"/>
  <c r="G71" i="9"/>
  <c r="H71" i="9"/>
  <c r="G72" i="9"/>
  <c r="H72" i="9"/>
  <c r="G73" i="9"/>
  <c r="H73" i="9"/>
  <c r="G74" i="9"/>
  <c r="H74" i="9"/>
  <c r="G75" i="9"/>
  <c r="H75" i="9"/>
  <c r="G76" i="9"/>
  <c r="H76" i="9"/>
  <c r="G77" i="9"/>
  <c r="H77" i="9"/>
  <c r="G78" i="9"/>
  <c r="H78" i="9"/>
  <c r="G79" i="9"/>
  <c r="H79" i="9"/>
  <c r="G80" i="9"/>
  <c r="H80" i="9"/>
  <c r="G81" i="9"/>
  <c r="H81" i="9"/>
  <c r="G82" i="9"/>
  <c r="H82" i="9"/>
  <c r="G83" i="9"/>
  <c r="H83" i="9"/>
  <c r="G84" i="9"/>
  <c r="H84" i="9"/>
  <c r="G85" i="9"/>
  <c r="H85" i="9"/>
  <c r="G86" i="9"/>
  <c r="H86" i="9"/>
  <c r="G87" i="9"/>
  <c r="H87" i="9"/>
  <c r="G88" i="9"/>
  <c r="H88" i="9"/>
  <c r="G89" i="9"/>
  <c r="H89" i="9"/>
  <c r="G90" i="9"/>
  <c r="H90" i="9"/>
  <c r="G91" i="9"/>
  <c r="H91" i="9"/>
  <c r="G92" i="9"/>
  <c r="H92" i="9"/>
  <c r="G93" i="9"/>
  <c r="H93" i="9"/>
  <c r="G94" i="9"/>
  <c r="H94" i="9"/>
  <c r="G95" i="9"/>
  <c r="H95" i="9"/>
  <c r="G96" i="9"/>
  <c r="H96" i="9"/>
  <c r="G97" i="9"/>
  <c r="H97" i="9"/>
  <c r="G98" i="9"/>
  <c r="H98" i="9"/>
  <c r="G99" i="9"/>
  <c r="H99" i="9"/>
  <c r="G100" i="9"/>
  <c r="H100" i="9"/>
  <c r="G101" i="9"/>
  <c r="H101" i="9"/>
  <c r="G102" i="9"/>
  <c r="H102" i="9"/>
  <c r="G103" i="9"/>
  <c r="H103" i="9"/>
  <c r="G104" i="9"/>
  <c r="H104" i="9"/>
  <c r="G105" i="9"/>
  <c r="H105" i="9"/>
  <c r="G106" i="9"/>
  <c r="H106" i="9"/>
  <c r="G107" i="9"/>
  <c r="H107" i="9"/>
  <c r="G108" i="9"/>
  <c r="H108" i="9"/>
  <c r="G109" i="9"/>
  <c r="H109" i="9"/>
  <c r="G110" i="9"/>
  <c r="H110" i="9"/>
  <c r="G111" i="9"/>
  <c r="H111" i="9"/>
  <c r="G112" i="9"/>
  <c r="H112" i="9"/>
  <c r="G113" i="9"/>
  <c r="H113" i="9"/>
  <c r="G114" i="9"/>
  <c r="H114" i="9"/>
  <c r="G115" i="9"/>
  <c r="H115" i="9"/>
  <c r="G116" i="9"/>
  <c r="H116" i="9"/>
  <c r="G117" i="9"/>
  <c r="H117" i="9"/>
  <c r="G118" i="9"/>
  <c r="H118" i="9"/>
  <c r="G120" i="9"/>
  <c r="H120" i="9"/>
  <c r="G121" i="9"/>
  <c r="H121" i="9"/>
  <c r="G122" i="9"/>
  <c r="H122" i="9"/>
  <c r="G123" i="9"/>
  <c r="H123" i="9"/>
  <c r="G124" i="9"/>
  <c r="H124" i="9"/>
  <c r="G125" i="9"/>
  <c r="H125" i="9"/>
  <c r="G126" i="9"/>
  <c r="H126" i="9"/>
  <c r="G127" i="9"/>
  <c r="H127" i="9"/>
  <c r="G128" i="9"/>
  <c r="H128" i="9"/>
  <c r="G129" i="9"/>
  <c r="H129" i="9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G3" i="5"/>
  <c r="H3" i="5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6" i="5"/>
  <c r="H56" i="5"/>
  <c r="G57" i="5"/>
  <c r="H57" i="5"/>
  <c r="G58" i="5"/>
  <c r="H58" i="5"/>
  <c r="G59" i="5"/>
  <c r="H59" i="5"/>
  <c r="G60" i="5"/>
  <c r="H60" i="5"/>
  <c r="G61" i="5"/>
  <c r="H61" i="5"/>
  <c r="G62" i="5"/>
  <c r="H62" i="5"/>
  <c r="G63" i="5"/>
  <c r="H63" i="5"/>
  <c r="I63" i="5"/>
  <c r="G64" i="5"/>
  <c r="H64" i="5"/>
  <c r="I64" i="5"/>
  <c r="G65" i="5"/>
  <c r="H65" i="5"/>
  <c r="G66" i="5"/>
  <c r="H66" i="5"/>
  <c r="I66" i="5"/>
  <c r="G67" i="5"/>
  <c r="H67" i="5"/>
  <c r="G68" i="5"/>
  <c r="H68" i="5"/>
  <c r="G69" i="5"/>
  <c r="H69" i="5"/>
  <c r="G70" i="5"/>
  <c r="H70" i="5"/>
  <c r="I70" i="5"/>
  <c r="G71" i="5"/>
  <c r="H71" i="5"/>
  <c r="G72" i="5"/>
  <c r="H72" i="5"/>
  <c r="G73" i="5"/>
  <c r="H73" i="5"/>
  <c r="G74" i="5"/>
  <c r="H74" i="5"/>
  <c r="G75" i="5"/>
  <c r="H75" i="5"/>
  <c r="G76" i="5"/>
  <c r="H76" i="5"/>
  <c r="G77" i="5"/>
  <c r="H77" i="5"/>
  <c r="G78" i="5"/>
  <c r="H78" i="5"/>
  <c r="I78" i="5"/>
  <c r="G79" i="5"/>
  <c r="H79" i="5"/>
  <c r="G80" i="5"/>
  <c r="H80" i="5"/>
  <c r="G81" i="5"/>
  <c r="H81" i="5"/>
  <c r="G82" i="5"/>
  <c r="H82" i="5"/>
  <c r="G83" i="5"/>
  <c r="H83" i="5"/>
  <c r="G84" i="5"/>
  <c r="H84" i="5"/>
  <c r="G85" i="5"/>
  <c r="H85" i="5"/>
  <c r="G86" i="5"/>
  <c r="H86" i="5"/>
  <c r="G87" i="5"/>
  <c r="H87" i="5"/>
  <c r="G88" i="5"/>
  <c r="H88" i="5"/>
  <c r="G89" i="5"/>
  <c r="H89" i="5"/>
  <c r="G90" i="5"/>
  <c r="H90" i="5"/>
  <c r="G91" i="5"/>
  <c r="H91" i="5"/>
  <c r="G92" i="5"/>
  <c r="H92" i="5"/>
  <c r="G93" i="5"/>
  <c r="H93" i="5"/>
  <c r="G94" i="5"/>
  <c r="H94" i="5"/>
  <c r="I94" i="5"/>
  <c r="G95" i="5"/>
  <c r="H95" i="5"/>
  <c r="G96" i="5"/>
  <c r="H96" i="5"/>
  <c r="G97" i="5"/>
  <c r="H97" i="5"/>
  <c r="G98" i="5"/>
  <c r="H98" i="5"/>
  <c r="G99" i="5"/>
  <c r="H99" i="5"/>
  <c r="G100" i="5"/>
  <c r="H100" i="5"/>
  <c r="G101" i="5"/>
  <c r="H101" i="5"/>
  <c r="G102" i="5"/>
  <c r="H102" i="5"/>
  <c r="G103" i="5"/>
  <c r="H103" i="5"/>
  <c r="G104" i="5"/>
  <c r="H104" i="5"/>
  <c r="G105" i="5"/>
  <c r="H105" i="5"/>
  <c r="G106" i="5"/>
  <c r="H106" i="5"/>
  <c r="G107" i="5"/>
  <c r="H107" i="5"/>
  <c r="G108" i="5"/>
  <c r="H108" i="5"/>
  <c r="G109" i="5"/>
  <c r="H109" i="5"/>
  <c r="G110" i="5"/>
  <c r="H110" i="5"/>
  <c r="G111" i="5"/>
  <c r="H111" i="5"/>
  <c r="G112" i="5"/>
  <c r="H112" i="5"/>
  <c r="G114" i="5"/>
  <c r="H114" i="5"/>
  <c r="G115" i="5"/>
  <c r="H115" i="5"/>
  <c r="G116" i="5"/>
  <c r="H116" i="5"/>
  <c r="G117" i="5"/>
  <c r="H117" i="5"/>
  <c r="G118" i="5"/>
  <c r="H118" i="5"/>
  <c r="G119" i="5"/>
  <c r="H119" i="5"/>
  <c r="G120" i="5"/>
  <c r="H120" i="5"/>
  <c r="G121" i="5"/>
  <c r="H121" i="5"/>
  <c r="G122" i="5"/>
  <c r="H122" i="5"/>
  <c r="G123" i="5"/>
  <c r="H123" i="5"/>
  <c r="G124" i="5"/>
  <c r="H124" i="5"/>
  <c r="G125" i="5"/>
  <c r="H125" i="5"/>
  <c r="G126" i="5"/>
  <c r="H126" i="5"/>
  <c r="G127" i="5"/>
  <c r="H127" i="5"/>
  <c r="I127" i="5"/>
  <c r="G128" i="5"/>
  <c r="H128" i="5"/>
  <c r="G129" i="5"/>
  <c r="H129" i="5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G4" i="3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72" i="3"/>
  <c r="H72" i="3"/>
  <c r="G73" i="3"/>
  <c r="H73" i="3"/>
  <c r="G74" i="3"/>
  <c r="H74" i="3"/>
  <c r="G75" i="3"/>
  <c r="H75" i="3"/>
  <c r="G76" i="3"/>
  <c r="H76" i="3"/>
  <c r="G77" i="3"/>
  <c r="H77" i="3"/>
  <c r="G78" i="3"/>
  <c r="H78" i="3"/>
  <c r="G79" i="3"/>
  <c r="H79" i="3"/>
  <c r="G80" i="3"/>
  <c r="H80" i="3"/>
  <c r="G81" i="3"/>
  <c r="H81" i="3"/>
  <c r="G82" i="3"/>
  <c r="H82" i="3"/>
  <c r="G83" i="3"/>
  <c r="H83" i="3"/>
  <c r="G84" i="3"/>
  <c r="H84" i="3"/>
  <c r="G85" i="3"/>
  <c r="H85" i="3"/>
  <c r="G86" i="3"/>
  <c r="H86" i="3"/>
  <c r="G87" i="3"/>
  <c r="H87" i="3"/>
  <c r="G88" i="3"/>
  <c r="H88" i="3"/>
  <c r="G89" i="3"/>
  <c r="H89" i="3"/>
  <c r="G90" i="3"/>
  <c r="H90" i="3"/>
  <c r="G91" i="3"/>
  <c r="H91" i="3"/>
  <c r="G92" i="3"/>
  <c r="H92" i="3"/>
  <c r="G93" i="3"/>
  <c r="H93" i="3"/>
  <c r="G94" i="3"/>
  <c r="H94" i="3"/>
  <c r="G95" i="3"/>
  <c r="H95" i="3"/>
  <c r="G96" i="3"/>
  <c r="H96" i="3"/>
  <c r="G97" i="3"/>
  <c r="H97" i="3"/>
  <c r="G98" i="3"/>
  <c r="H98" i="3"/>
  <c r="G99" i="3"/>
  <c r="H99" i="3"/>
  <c r="G100" i="3"/>
  <c r="H100" i="3"/>
  <c r="G101" i="3"/>
  <c r="H101" i="3"/>
  <c r="G102" i="3"/>
  <c r="H102" i="3"/>
  <c r="G103" i="3"/>
  <c r="H103" i="3"/>
  <c r="G104" i="3"/>
  <c r="H104" i="3"/>
  <c r="G105" i="3"/>
  <c r="H105" i="3"/>
  <c r="G106" i="3"/>
  <c r="H106" i="3"/>
  <c r="G107" i="3"/>
  <c r="H107" i="3"/>
  <c r="G108" i="3"/>
  <c r="H108" i="3"/>
  <c r="G109" i="3"/>
  <c r="H109" i="3"/>
  <c r="G110" i="3"/>
  <c r="H110" i="3"/>
  <c r="G111" i="3"/>
  <c r="H111" i="3"/>
  <c r="G112" i="3"/>
  <c r="H112" i="3"/>
  <c r="G113" i="3"/>
  <c r="H113" i="3"/>
  <c r="G114" i="3"/>
  <c r="H114" i="3"/>
  <c r="G115" i="3"/>
  <c r="H115" i="3"/>
  <c r="G116" i="3"/>
  <c r="H116" i="3"/>
  <c r="G117" i="3"/>
  <c r="H117" i="3"/>
  <c r="G118" i="3"/>
  <c r="H118" i="3"/>
  <c r="G119" i="3"/>
  <c r="H119" i="3"/>
  <c r="G120" i="3"/>
  <c r="H120" i="3"/>
  <c r="G121" i="3"/>
  <c r="H121" i="3"/>
  <c r="G122" i="3"/>
  <c r="H122" i="3"/>
  <c r="G123" i="3"/>
  <c r="K123" i="3"/>
  <c r="H123" i="3"/>
  <c r="G124" i="3"/>
  <c r="H124" i="3"/>
  <c r="G125" i="3"/>
  <c r="H125" i="3"/>
  <c r="G126" i="3"/>
  <c r="H126" i="3"/>
  <c r="G127" i="3"/>
  <c r="H127" i="3"/>
  <c r="G128" i="3"/>
  <c r="H128" i="3"/>
  <c r="G129" i="3"/>
  <c r="H129" i="3"/>
  <c r="G130" i="3"/>
  <c r="H130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G3" i="4"/>
  <c r="H3" i="4"/>
  <c r="G4" i="4"/>
  <c r="H4" i="4"/>
  <c r="G5" i="4"/>
  <c r="H5" i="4"/>
  <c r="G6" i="4"/>
  <c r="H6" i="4"/>
  <c r="G7" i="4"/>
  <c r="H7" i="4"/>
  <c r="G8" i="4"/>
  <c r="H8" i="4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G20" i="4"/>
  <c r="H20" i="4"/>
  <c r="G21" i="4"/>
  <c r="H21" i="4"/>
  <c r="G22" i="4"/>
  <c r="H22" i="4"/>
  <c r="G23" i="4"/>
  <c r="H23" i="4"/>
  <c r="G24" i="4"/>
  <c r="H24" i="4"/>
  <c r="G25" i="4"/>
  <c r="H25" i="4"/>
  <c r="G26" i="4"/>
  <c r="H26" i="4"/>
  <c r="G27" i="4"/>
  <c r="H27" i="4"/>
  <c r="G28" i="4"/>
  <c r="H28" i="4"/>
  <c r="G29" i="4"/>
  <c r="H29" i="4"/>
  <c r="G30" i="4"/>
  <c r="H30" i="4"/>
  <c r="G31" i="4"/>
  <c r="H31" i="4"/>
  <c r="G32" i="4"/>
  <c r="H32" i="4"/>
  <c r="G33" i="4"/>
  <c r="H33" i="4"/>
  <c r="G34" i="4"/>
  <c r="H34" i="4"/>
  <c r="G35" i="4"/>
  <c r="H35" i="4"/>
  <c r="G36" i="4"/>
  <c r="H36" i="4"/>
  <c r="G37" i="4"/>
  <c r="H37" i="4"/>
  <c r="G38" i="4"/>
  <c r="H38" i="4"/>
  <c r="G39" i="4"/>
  <c r="H39" i="4"/>
  <c r="G40" i="4"/>
  <c r="H40" i="4"/>
  <c r="G41" i="4"/>
  <c r="H41" i="4"/>
  <c r="G42" i="4"/>
  <c r="H42" i="4"/>
  <c r="I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66" i="4"/>
  <c r="H66" i="4"/>
  <c r="G67" i="4"/>
  <c r="H67" i="4"/>
  <c r="G68" i="4"/>
  <c r="H68" i="4"/>
  <c r="G69" i="4"/>
  <c r="H69" i="4"/>
  <c r="G70" i="4"/>
  <c r="H70" i="4"/>
  <c r="G71" i="4"/>
  <c r="H71" i="4"/>
  <c r="G72" i="4"/>
  <c r="H72" i="4"/>
  <c r="G73" i="4"/>
  <c r="H73" i="4"/>
  <c r="G74" i="4"/>
  <c r="H74" i="4"/>
  <c r="G75" i="4"/>
  <c r="H75" i="4"/>
  <c r="G76" i="4"/>
  <c r="H76" i="4"/>
  <c r="G77" i="4"/>
  <c r="H77" i="4"/>
  <c r="G78" i="4"/>
  <c r="H78" i="4"/>
  <c r="G79" i="4"/>
  <c r="H79" i="4"/>
  <c r="G80" i="4"/>
  <c r="H80" i="4"/>
  <c r="G81" i="4"/>
  <c r="H81" i="4"/>
  <c r="G82" i="4"/>
  <c r="H82" i="4"/>
  <c r="G83" i="4"/>
  <c r="H83" i="4"/>
  <c r="G84" i="4"/>
  <c r="H84" i="4"/>
  <c r="G85" i="4"/>
  <c r="H85" i="4"/>
  <c r="G86" i="4"/>
  <c r="H86" i="4"/>
  <c r="G87" i="4"/>
  <c r="H87" i="4"/>
  <c r="G88" i="4"/>
  <c r="H88" i="4"/>
  <c r="G89" i="4"/>
  <c r="H89" i="4"/>
  <c r="G90" i="4"/>
  <c r="H90" i="4"/>
  <c r="G91" i="4"/>
  <c r="H91" i="4"/>
  <c r="G92" i="4"/>
  <c r="H92" i="4"/>
  <c r="G93" i="4"/>
  <c r="H93" i="4"/>
  <c r="G94" i="4"/>
  <c r="H94" i="4"/>
  <c r="G95" i="4"/>
  <c r="H95" i="4"/>
  <c r="G96" i="4"/>
  <c r="H96" i="4"/>
  <c r="G97" i="4"/>
  <c r="H97" i="4"/>
  <c r="G98" i="4"/>
  <c r="H98" i="4"/>
  <c r="G99" i="4"/>
  <c r="H99" i="4"/>
  <c r="G100" i="4"/>
  <c r="H100" i="4"/>
  <c r="G101" i="4"/>
  <c r="H101" i="4"/>
  <c r="G102" i="4"/>
  <c r="H102" i="4"/>
  <c r="G103" i="4"/>
  <c r="H103" i="4"/>
  <c r="G104" i="4"/>
  <c r="H104" i="4"/>
  <c r="G105" i="4"/>
  <c r="H105" i="4"/>
  <c r="G106" i="4"/>
  <c r="H106" i="4"/>
  <c r="G107" i="4"/>
  <c r="H107" i="4"/>
  <c r="G108" i="4"/>
  <c r="H108" i="4"/>
  <c r="G109" i="4"/>
  <c r="H109" i="4"/>
  <c r="G110" i="4"/>
  <c r="H110" i="4"/>
  <c r="G111" i="4"/>
  <c r="H111" i="4"/>
  <c r="G112" i="4"/>
  <c r="H112" i="4"/>
  <c r="G113" i="4"/>
  <c r="H113" i="4"/>
  <c r="G114" i="4"/>
  <c r="H114" i="4"/>
  <c r="G115" i="4"/>
  <c r="H115" i="4"/>
  <c r="G116" i="4"/>
  <c r="H116" i="4"/>
  <c r="G117" i="4"/>
  <c r="H117" i="4"/>
  <c r="G118" i="4"/>
  <c r="H118" i="4"/>
  <c r="G119" i="4"/>
  <c r="H119" i="4"/>
  <c r="G120" i="4"/>
  <c r="H120" i="4"/>
  <c r="G121" i="4"/>
  <c r="H121" i="4"/>
  <c r="G122" i="4"/>
  <c r="K122" i="4"/>
  <c r="H122" i="4"/>
  <c r="G123" i="4"/>
  <c r="H123" i="4"/>
  <c r="G124" i="4"/>
  <c r="H124" i="4"/>
  <c r="G125" i="4"/>
  <c r="H125" i="4"/>
  <c r="G126" i="4"/>
  <c r="H126" i="4"/>
  <c r="G127" i="4"/>
  <c r="H127" i="4"/>
  <c r="G128" i="4"/>
  <c r="H128" i="4"/>
  <c r="G129" i="4"/>
  <c r="H129" i="4"/>
  <c r="G130" i="4"/>
  <c r="H130" i="4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G3" i="2"/>
  <c r="H3" i="2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K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AW1" i="1"/>
  <c r="AX1" i="1"/>
  <c r="AZ1" i="1"/>
  <c r="BA1" i="1"/>
  <c r="AQ2" i="1"/>
  <c r="AW2" i="1"/>
  <c r="AX2" i="1"/>
  <c r="AV3" i="1"/>
  <c r="AX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G3" i="1"/>
  <c r="H3" i="1"/>
  <c r="AS3" i="1"/>
  <c r="AT3" i="1"/>
  <c r="G4" i="1"/>
  <c r="L4" i="1"/>
  <c r="H4" i="1"/>
  <c r="AW4" i="1"/>
  <c r="AW6" i="1"/>
  <c r="G5" i="1"/>
  <c r="H5" i="1"/>
  <c r="AV5" i="1"/>
  <c r="G6" i="1"/>
  <c r="H6" i="1"/>
  <c r="G7" i="1"/>
  <c r="L7" i="1"/>
  <c r="H7" i="1"/>
  <c r="G8" i="1"/>
  <c r="H8" i="1"/>
  <c r="G9" i="1"/>
  <c r="L9" i="1"/>
  <c r="H9" i="1"/>
  <c r="G10" i="1"/>
  <c r="L10" i="1"/>
  <c r="H10" i="1"/>
  <c r="G11" i="1"/>
  <c r="L11" i="1"/>
  <c r="H11" i="1"/>
  <c r="G12" i="1"/>
  <c r="H12" i="1"/>
  <c r="G13" i="1"/>
  <c r="L13" i="1"/>
  <c r="H13" i="1"/>
  <c r="G14" i="1"/>
  <c r="L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L41" i="1"/>
  <c r="H41" i="1"/>
  <c r="G42" i="1"/>
  <c r="L42" i="1"/>
  <c r="H42" i="1"/>
  <c r="G43" i="1"/>
  <c r="L43" i="1"/>
  <c r="H43" i="1"/>
  <c r="G44" i="1"/>
  <c r="H44" i="1"/>
  <c r="G45" i="1"/>
  <c r="L45" i="1"/>
  <c r="H45" i="1"/>
  <c r="G46" i="1"/>
  <c r="L46" i="1"/>
  <c r="H46" i="1"/>
  <c r="G47" i="1"/>
  <c r="L47" i="1"/>
  <c r="H47" i="1"/>
  <c r="G48" i="1"/>
  <c r="H48" i="1"/>
  <c r="G49" i="1"/>
  <c r="L49" i="1"/>
  <c r="H49" i="1"/>
  <c r="G50" i="1"/>
  <c r="L50" i="1"/>
  <c r="H50" i="1"/>
  <c r="G51" i="1"/>
  <c r="L51" i="1"/>
  <c r="H51" i="1"/>
  <c r="G52" i="1"/>
  <c r="H52" i="1"/>
  <c r="G53" i="1"/>
  <c r="L53" i="1"/>
  <c r="H53" i="1"/>
  <c r="G54" i="1"/>
  <c r="H54" i="1"/>
  <c r="G55" i="1"/>
  <c r="L55" i="1"/>
  <c r="H55" i="1"/>
  <c r="G56" i="1"/>
  <c r="H56" i="1"/>
  <c r="G57" i="1"/>
  <c r="H57" i="1"/>
  <c r="G58" i="1"/>
  <c r="H58" i="1"/>
  <c r="G59" i="1"/>
  <c r="H59" i="1"/>
  <c r="G60" i="1"/>
  <c r="H60" i="1"/>
  <c r="I60" i="1"/>
  <c r="G61" i="1"/>
  <c r="H61" i="1"/>
  <c r="I61" i="1"/>
  <c r="G62" i="1"/>
  <c r="H62" i="1"/>
  <c r="I62" i="1"/>
  <c r="G63" i="1"/>
  <c r="H63" i="1"/>
  <c r="G64" i="1"/>
  <c r="H64" i="1"/>
  <c r="I64" i="1"/>
  <c r="G65" i="1"/>
  <c r="H65" i="1"/>
  <c r="G66" i="1"/>
  <c r="H66" i="1"/>
  <c r="G67" i="1"/>
  <c r="H67" i="1"/>
  <c r="G68" i="1"/>
  <c r="H68" i="1"/>
  <c r="I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I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I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L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K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F18" i="7"/>
  <c r="G18" i="7"/>
  <c r="J18" i="7"/>
  <c r="F19" i="7"/>
  <c r="G19" i="7"/>
  <c r="J19" i="7"/>
  <c r="K19" i="7"/>
  <c r="F20" i="7"/>
  <c r="G20" i="7"/>
  <c r="J20" i="7"/>
  <c r="K20" i="7"/>
  <c r="F21" i="7"/>
  <c r="G21" i="7"/>
  <c r="F22" i="7"/>
  <c r="I22" i="7"/>
  <c r="G22" i="7"/>
  <c r="J22" i="7"/>
  <c r="F23" i="7"/>
  <c r="G23" i="7"/>
  <c r="J23" i="7"/>
  <c r="F24" i="7"/>
  <c r="G24" i="7"/>
  <c r="J24" i="7"/>
  <c r="F25" i="7"/>
  <c r="G25" i="7"/>
  <c r="J25" i="7"/>
  <c r="F26" i="7"/>
  <c r="G26" i="7"/>
  <c r="J26" i="7"/>
  <c r="F27" i="7"/>
  <c r="I27" i="7"/>
  <c r="G27" i="7"/>
  <c r="H27" i="7"/>
  <c r="J27" i="7"/>
  <c r="F28" i="7"/>
  <c r="I28" i="7"/>
  <c r="G28" i="7"/>
  <c r="J28" i="7"/>
  <c r="F29" i="7"/>
  <c r="G29" i="7"/>
  <c r="F30" i="7"/>
  <c r="I30" i="7"/>
  <c r="G30" i="7"/>
  <c r="F31" i="7"/>
  <c r="I31" i="7"/>
  <c r="G31" i="7"/>
  <c r="F32" i="7"/>
  <c r="G32" i="7"/>
  <c r="I32" i="7"/>
  <c r="F33" i="7"/>
  <c r="I33" i="7"/>
  <c r="G33" i="7"/>
  <c r="F34" i="7"/>
  <c r="G34" i="7"/>
  <c r="I34" i="7"/>
  <c r="F35" i="7"/>
  <c r="G35" i="7"/>
  <c r="F36" i="7"/>
  <c r="I36" i="7"/>
  <c r="G36" i="7"/>
  <c r="F37" i="7"/>
  <c r="I37" i="7"/>
  <c r="G37" i="7"/>
  <c r="H37" i="7"/>
  <c r="F38" i="7"/>
  <c r="G38" i="7"/>
  <c r="H38" i="7"/>
  <c r="I38" i="7"/>
  <c r="F39" i="7"/>
  <c r="I39" i="7"/>
  <c r="G39" i="7"/>
  <c r="F40" i="7"/>
  <c r="I40" i="7"/>
  <c r="G40" i="7"/>
  <c r="K40" i="7"/>
  <c r="F41" i="7"/>
  <c r="G41" i="7"/>
  <c r="K41" i="7"/>
  <c r="F42" i="7"/>
  <c r="G42" i="7"/>
  <c r="F43" i="7"/>
  <c r="I43" i="7"/>
  <c r="G43" i="7"/>
  <c r="F44" i="7"/>
  <c r="G44" i="7"/>
  <c r="I44" i="7"/>
  <c r="F45" i="7"/>
  <c r="G45" i="7"/>
  <c r="F46" i="7"/>
  <c r="I46" i="7"/>
  <c r="G46" i="7"/>
  <c r="F47" i="7"/>
  <c r="G47" i="7"/>
  <c r="F48" i="7"/>
  <c r="G48" i="7"/>
  <c r="I48" i="7"/>
  <c r="F49" i="7"/>
  <c r="G49" i="7"/>
  <c r="F50" i="7"/>
  <c r="I50" i="7"/>
  <c r="G50" i="7"/>
  <c r="F51" i="7"/>
  <c r="G51" i="7"/>
  <c r="I51" i="7"/>
  <c r="F52" i="7"/>
  <c r="I52" i="7"/>
  <c r="G52" i="7"/>
  <c r="H52" i="7"/>
  <c r="F53" i="7"/>
  <c r="G53" i="7"/>
  <c r="H53" i="7"/>
  <c r="I53" i="7"/>
  <c r="F54" i="7"/>
  <c r="I54" i="7"/>
  <c r="G54" i="7"/>
  <c r="F55" i="7"/>
  <c r="G55" i="7"/>
  <c r="I55" i="7"/>
  <c r="F56" i="7"/>
  <c r="I56" i="7"/>
  <c r="G56" i="7"/>
  <c r="H56" i="7"/>
  <c r="F57" i="7"/>
  <c r="G57" i="7"/>
  <c r="H57" i="7"/>
  <c r="I57" i="7"/>
  <c r="F58" i="7"/>
  <c r="I58" i="7"/>
  <c r="G58" i="7"/>
  <c r="F59" i="7"/>
  <c r="G59" i="7"/>
  <c r="I59" i="7"/>
  <c r="F60" i="7"/>
  <c r="I60" i="7"/>
  <c r="G60" i="7"/>
  <c r="H60" i="7"/>
  <c r="F61" i="7"/>
  <c r="G61" i="7"/>
  <c r="H61" i="7"/>
  <c r="I61" i="7"/>
  <c r="F62" i="7"/>
  <c r="I62" i="7"/>
  <c r="G62" i="7"/>
  <c r="F63" i="7"/>
  <c r="I63" i="7"/>
  <c r="G63" i="7"/>
  <c r="F64" i="7"/>
  <c r="I64" i="7"/>
  <c r="G64" i="7"/>
  <c r="F65" i="7"/>
  <c r="G65" i="7"/>
  <c r="I65" i="7"/>
  <c r="F66" i="7"/>
  <c r="G66" i="7"/>
  <c r="F67" i="7"/>
  <c r="I67" i="7"/>
  <c r="G67" i="7"/>
  <c r="F68" i="7"/>
  <c r="G68" i="7"/>
  <c r="H68" i="7"/>
  <c r="F69" i="7"/>
  <c r="I70" i="7"/>
  <c r="G69" i="7"/>
  <c r="H70" i="7"/>
  <c r="F71" i="7"/>
  <c r="I71" i="7"/>
  <c r="G71" i="7"/>
  <c r="F72" i="7"/>
  <c r="G72" i="7"/>
  <c r="L72" i="7"/>
  <c r="F73" i="7"/>
  <c r="I73" i="7"/>
  <c r="G73" i="7"/>
  <c r="F74" i="7"/>
  <c r="I74" i="7"/>
  <c r="G74" i="7"/>
  <c r="F75" i="7"/>
  <c r="I75" i="7"/>
  <c r="G75" i="7"/>
  <c r="F76" i="7"/>
  <c r="G76" i="7"/>
  <c r="F77" i="7"/>
  <c r="I77" i="7"/>
  <c r="G77" i="7"/>
  <c r="F78" i="7"/>
  <c r="I78" i="7"/>
  <c r="G78" i="7"/>
  <c r="F79" i="7"/>
  <c r="I79" i="7"/>
  <c r="G79" i="7"/>
  <c r="F80" i="7"/>
  <c r="G80" i="7"/>
  <c r="F81" i="7"/>
  <c r="I81" i="7"/>
  <c r="G81" i="7"/>
  <c r="F82" i="7"/>
  <c r="I82" i="7"/>
  <c r="G82" i="7"/>
  <c r="F83" i="7"/>
  <c r="I83" i="7"/>
  <c r="G83" i="7"/>
  <c r="F84" i="7"/>
  <c r="G84" i="7"/>
  <c r="F85" i="7"/>
  <c r="I85" i="7"/>
  <c r="G85" i="7"/>
  <c r="F86" i="7"/>
  <c r="I86" i="7"/>
  <c r="G86" i="7"/>
  <c r="L86" i="7"/>
  <c r="M86" i="7"/>
  <c r="F87" i="7"/>
  <c r="I87" i="7"/>
  <c r="G87" i="7"/>
  <c r="K87" i="7"/>
  <c r="L87" i="7"/>
  <c r="M87" i="7"/>
  <c r="F88" i="7"/>
  <c r="I88" i="7"/>
  <c r="G88" i="7"/>
  <c r="K88" i="7"/>
  <c r="L88" i="7"/>
  <c r="M88" i="7"/>
  <c r="F89" i="7"/>
  <c r="I89" i="7"/>
  <c r="G89" i="7"/>
  <c r="K89" i="7"/>
  <c r="L89" i="7"/>
  <c r="M89" i="7"/>
  <c r="F90" i="7"/>
  <c r="I90" i="7"/>
  <c r="G90" i="7"/>
  <c r="L90" i="7"/>
  <c r="M90" i="7"/>
  <c r="F91" i="7"/>
  <c r="I91" i="7"/>
  <c r="G91" i="7"/>
  <c r="K91" i="7"/>
  <c r="L91" i="7"/>
  <c r="M91" i="7"/>
  <c r="F92" i="7"/>
  <c r="I92" i="7"/>
  <c r="G92" i="7"/>
  <c r="K92" i="7"/>
  <c r="L92" i="7"/>
  <c r="M92" i="7"/>
  <c r="F93" i="7"/>
  <c r="I93" i="7"/>
  <c r="G93" i="7"/>
  <c r="K93" i="7"/>
  <c r="L93" i="7"/>
  <c r="M93" i="7"/>
  <c r="F94" i="7"/>
  <c r="I94" i="7"/>
  <c r="G94" i="7"/>
  <c r="L94" i="7"/>
  <c r="M94" i="7"/>
  <c r="F95" i="7"/>
  <c r="I95" i="7"/>
  <c r="G95" i="7"/>
  <c r="K95" i="7"/>
  <c r="L95" i="7"/>
  <c r="M95" i="7"/>
  <c r="F96" i="7"/>
  <c r="G96" i="7"/>
  <c r="K96" i="7"/>
  <c r="L96" i="7"/>
  <c r="M96" i="7"/>
  <c r="F97" i="7"/>
  <c r="I97" i="7"/>
  <c r="G97" i="7"/>
  <c r="K97" i="7"/>
  <c r="L97" i="7"/>
  <c r="M97" i="7"/>
  <c r="F98" i="7"/>
  <c r="I98" i="7"/>
  <c r="G98" i="7"/>
  <c r="L98" i="7"/>
  <c r="M98" i="7"/>
  <c r="F99" i="7"/>
  <c r="I99" i="7"/>
  <c r="G99" i="7"/>
  <c r="K99" i="7"/>
  <c r="L99" i="7"/>
  <c r="M99" i="7"/>
  <c r="F100" i="7"/>
  <c r="I100" i="7"/>
  <c r="G100" i="7"/>
  <c r="K100" i="7"/>
  <c r="L100" i="7"/>
  <c r="M100" i="7"/>
  <c r="F101" i="7"/>
  <c r="I101" i="7"/>
  <c r="G101" i="7"/>
  <c r="K101" i="7"/>
  <c r="L101" i="7"/>
  <c r="M101" i="7"/>
  <c r="F102" i="7"/>
  <c r="I102" i="7"/>
  <c r="G102" i="7"/>
  <c r="L102" i="7"/>
  <c r="M102" i="7"/>
  <c r="F103" i="7"/>
  <c r="I103" i="7"/>
  <c r="G103" i="7"/>
  <c r="K103" i="7"/>
  <c r="L103" i="7"/>
  <c r="M103" i="7"/>
  <c r="F104" i="7"/>
  <c r="I104" i="7"/>
  <c r="G104" i="7"/>
  <c r="K104" i="7"/>
  <c r="L104" i="7"/>
  <c r="M104" i="7"/>
  <c r="F105" i="7"/>
  <c r="I105" i="7"/>
  <c r="G105" i="7"/>
  <c r="K105" i="7"/>
  <c r="L105" i="7"/>
  <c r="M105" i="7"/>
  <c r="F106" i="7"/>
  <c r="I106" i="7"/>
  <c r="G106" i="7"/>
  <c r="L106" i="7"/>
  <c r="M106" i="7"/>
  <c r="F107" i="7"/>
  <c r="I107" i="7"/>
  <c r="G107" i="7"/>
  <c r="K107" i="7"/>
  <c r="L107" i="7"/>
  <c r="M107" i="7"/>
  <c r="F108" i="7"/>
  <c r="I108" i="7"/>
  <c r="G108" i="7"/>
  <c r="K108" i="7"/>
  <c r="L108" i="7"/>
  <c r="M108" i="7"/>
  <c r="F109" i="7"/>
  <c r="I109" i="7"/>
  <c r="G109" i="7"/>
  <c r="K109" i="7"/>
  <c r="L109" i="7"/>
  <c r="M109" i="7"/>
  <c r="F110" i="7"/>
  <c r="I110" i="7"/>
  <c r="G110" i="7"/>
  <c r="L110" i="7"/>
  <c r="M110" i="7"/>
  <c r="F111" i="7"/>
  <c r="I111" i="7"/>
  <c r="G111" i="7"/>
  <c r="K111" i="7"/>
  <c r="L111" i="7"/>
  <c r="M111" i="7"/>
  <c r="F112" i="7"/>
  <c r="I112" i="7"/>
  <c r="G112" i="7"/>
  <c r="L112" i="7"/>
  <c r="M112" i="7"/>
  <c r="F113" i="7"/>
  <c r="G113" i="7"/>
  <c r="K113" i="7"/>
  <c r="L113" i="7"/>
  <c r="M113" i="7"/>
  <c r="F114" i="7"/>
  <c r="I114" i="7"/>
  <c r="G114" i="7"/>
  <c r="K114" i="7"/>
  <c r="L114" i="7"/>
  <c r="M114" i="7"/>
  <c r="F115" i="7"/>
  <c r="G115" i="7"/>
  <c r="K115" i="7"/>
  <c r="L115" i="7"/>
  <c r="M115" i="7"/>
  <c r="F116" i="7"/>
  <c r="I116" i="7"/>
  <c r="G116" i="7"/>
  <c r="K116" i="7"/>
  <c r="L116" i="7"/>
  <c r="M116" i="7"/>
  <c r="F117" i="7"/>
  <c r="I117" i="7"/>
  <c r="G117" i="7"/>
  <c r="L117" i="7"/>
  <c r="M117" i="7"/>
  <c r="F118" i="7"/>
  <c r="I118" i="7"/>
  <c r="G118" i="7"/>
  <c r="K118" i="7"/>
  <c r="L118" i="7"/>
  <c r="M118" i="7"/>
  <c r="F119" i="7"/>
  <c r="I119" i="7"/>
  <c r="G119" i="7"/>
  <c r="K119" i="7"/>
  <c r="L119" i="7"/>
  <c r="M119" i="7"/>
  <c r="F120" i="7"/>
  <c r="I120" i="7"/>
  <c r="G120" i="7"/>
  <c r="K120" i="7"/>
  <c r="L120" i="7"/>
  <c r="M120" i="7"/>
  <c r="F121" i="7"/>
  <c r="I121" i="7"/>
  <c r="G121" i="7"/>
  <c r="L121" i="7"/>
  <c r="M121" i="7"/>
  <c r="F122" i="7"/>
  <c r="G122" i="7"/>
  <c r="K122" i="7"/>
  <c r="F123" i="7"/>
  <c r="G123" i="7"/>
  <c r="F124" i="7"/>
  <c r="I124" i="7"/>
  <c r="G124" i="7"/>
  <c r="F125" i="7"/>
  <c r="G125" i="7"/>
  <c r="F126" i="7"/>
  <c r="I126" i="7"/>
  <c r="G126" i="7"/>
  <c r="F127" i="7"/>
  <c r="G127" i="7"/>
  <c r="F128" i="7"/>
  <c r="G128" i="7"/>
  <c r="F129" i="7"/>
  <c r="G129" i="7"/>
  <c r="K130" i="7"/>
  <c r="I130" i="7"/>
  <c r="H130" i="7"/>
  <c r="H131" i="7"/>
  <c r="H132" i="7"/>
  <c r="H124" i="7"/>
  <c r="K86" i="7"/>
  <c r="I55" i="1"/>
  <c r="I5" i="1"/>
  <c r="I134" i="7"/>
  <c r="K148" i="7"/>
  <c r="H140" i="7"/>
  <c r="H141" i="7"/>
  <c r="H142" i="7"/>
  <c r="H147" i="7"/>
  <c r="H97" i="7"/>
  <c r="I108" i="4"/>
  <c r="I76" i="4"/>
  <c r="I58" i="4"/>
  <c r="I50" i="4"/>
  <c r="I46" i="4"/>
  <c r="I44" i="4"/>
  <c r="I43" i="4"/>
  <c r="I119" i="3"/>
  <c r="I62" i="5"/>
  <c r="I101" i="9"/>
  <c r="I69" i="9"/>
  <c r="I53" i="9"/>
  <c r="I45" i="9"/>
  <c r="I41" i="9"/>
  <c r="I39" i="9"/>
  <c r="I38" i="9"/>
  <c r="I53" i="1"/>
  <c r="H105" i="7"/>
  <c r="H79" i="7"/>
  <c r="H71" i="7"/>
  <c r="H69" i="7"/>
  <c r="I69" i="7"/>
  <c r="I66" i="7"/>
  <c r="H65" i="7"/>
  <c r="H64" i="7"/>
  <c r="H42" i="7"/>
  <c r="I41" i="7"/>
  <c r="I35" i="7"/>
  <c r="H34" i="7"/>
  <c r="H33" i="7"/>
  <c r="I29" i="7"/>
  <c r="I130" i="1"/>
  <c r="I113" i="1"/>
  <c r="I23" i="1"/>
  <c r="I7" i="1"/>
  <c r="I125" i="4"/>
  <c r="I116" i="4"/>
  <c r="I112" i="4"/>
  <c r="I110" i="4"/>
  <c r="I109" i="4"/>
  <c r="I10" i="4"/>
  <c r="I129" i="5"/>
  <c r="I128" i="5"/>
  <c r="H103" i="8"/>
  <c r="H87" i="8"/>
  <c r="H79" i="8"/>
  <c r="H75" i="8"/>
  <c r="H73" i="8"/>
  <c r="H72" i="8"/>
  <c r="H132" i="8"/>
  <c r="H134" i="8"/>
  <c r="H138" i="8"/>
  <c r="H139" i="8"/>
  <c r="H140" i="8"/>
  <c r="H141" i="8"/>
  <c r="H142" i="8"/>
  <c r="H145" i="8"/>
  <c r="H146" i="8"/>
  <c r="H148" i="8"/>
  <c r="H120" i="8"/>
  <c r="H112" i="8"/>
  <c r="H108" i="8"/>
  <c r="H106" i="8"/>
  <c r="H105" i="8"/>
  <c r="H55" i="8"/>
  <c r="H47" i="8"/>
  <c r="H43" i="8"/>
  <c r="H41" i="8"/>
  <c r="H40" i="8"/>
  <c r="H30" i="7"/>
  <c r="H89" i="7"/>
  <c r="H101" i="7"/>
  <c r="H109" i="7"/>
  <c r="H112" i="7"/>
  <c r="K106" i="7"/>
  <c r="H104" i="7"/>
  <c r="H17" i="7"/>
  <c r="H11" i="7"/>
  <c r="H9" i="7"/>
  <c r="H7" i="7"/>
  <c r="H5" i="7"/>
  <c r="H3" i="7"/>
  <c r="I131" i="1"/>
  <c r="I108" i="1"/>
  <c r="I100" i="1"/>
  <c r="I96" i="1"/>
  <c r="I94" i="1"/>
  <c r="I93" i="1"/>
  <c r="I39" i="1"/>
  <c r="I31" i="1"/>
  <c r="I27" i="1"/>
  <c r="I25" i="1"/>
  <c r="I24" i="1"/>
  <c r="I86" i="2"/>
  <c r="I92" i="4"/>
  <c r="I84" i="4"/>
  <c r="I80" i="4"/>
  <c r="I78" i="4"/>
  <c r="I77" i="4"/>
  <c r="I26" i="4"/>
  <c r="I18" i="4"/>
  <c r="I14" i="4"/>
  <c r="I12" i="4"/>
  <c r="I11" i="4"/>
  <c r="I128" i="3"/>
  <c r="I126" i="3"/>
  <c r="I125" i="3"/>
  <c r="I122" i="3"/>
  <c r="I121" i="3"/>
  <c r="I120" i="3"/>
  <c r="H143" i="8"/>
  <c r="H28" i="7"/>
  <c r="I20" i="7"/>
  <c r="I110" i="5"/>
  <c r="I102" i="5"/>
  <c r="I98" i="5"/>
  <c r="I96" i="5"/>
  <c r="I95" i="5"/>
  <c r="I45" i="5"/>
  <c r="H127" i="8"/>
  <c r="H123" i="8"/>
  <c r="H122" i="8"/>
  <c r="H121" i="8"/>
  <c r="H95" i="8"/>
  <c r="H91" i="8"/>
  <c r="H89" i="8"/>
  <c r="H88" i="8"/>
  <c r="H63" i="8"/>
  <c r="H59" i="8"/>
  <c r="H57" i="8"/>
  <c r="H56" i="8"/>
  <c r="H31" i="8"/>
  <c r="H27" i="8"/>
  <c r="H25" i="8"/>
  <c r="H24" i="8"/>
  <c r="H131" i="8"/>
  <c r="H114" i="7"/>
  <c r="H129" i="7"/>
  <c r="H83" i="7"/>
  <c r="H81" i="7"/>
  <c r="I121" i="1"/>
  <c r="I117" i="1"/>
  <c r="I115" i="1"/>
  <c r="I114" i="1"/>
  <c r="I110" i="1"/>
  <c r="I109" i="1"/>
  <c r="I84" i="1"/>
  <c r="I80" i="1"/>
  <c r="I78" i="1"/>
  <c r="I77" i="1"/>
  <c r="I47" i="1"/>
  <c r="I43" i="1"/>
  <c r="I41" i="1"/>
  <c r="I40" i="1"/>
  <c r="I15" i="1"/>
  <c r="I11" i="1"/>
  <c r="I9" i="1"/>
  <c r="L6" i="1"/>
  <c r="I123" i="2"/>
  <c r="I102" i="2"/>
  <c r="I94" i="2"/>
  <c r="I90" i="2"/>
  <c r="I89" i="2"/>
  <c r="I87" i="2"/>
  <c r="I84" i="2"/>
  <c r="I82" i="2"/>
  <c r="I129" i="4"/>
  <c r="I127" i="4"/>
  <c r="I126" i="4"/>
  <c r="I100" i="4"/>
  <c r="I96" i="4"/>
  <c r="I94" i="4"/>
  <c r="I93" i="4"/>
  <c r="I66" i="4"/>
  <c r="I62" i="4"/>
  <c r="I60" i="4"/>
  <c r="I59" i="4"/>
  <c r="I34" i="4"/>
  <c r="I30" i="4"/>
  <c r="I28" i="4"/>
  <c r="I27" i="4"/>
  <c r="I119" i="5"/>
  <c r="I115" i="5"/>
  <c r="I112" i="5"/>
  <c r="I111" i="5"/>
  <c r="I86" i="5"/>
  <c r="I82" i="5"/>
  <c r="I80" i="5"/>
  <c r="I79" i="5"/>
  <c r="I53" i="5"/>
  <c r="I49" i="5"/>
  <c r="I47" i="5"/>
  <c r="I46" i="5"/>
  <c r="I117" i="9"/>
  <c r="I109" i="9"/>
  <c r="I105" i="9"/>
  <c r="I103" i="9"/>
  <c r="I102" i="9"/>
  <c r="I5" i="9"/>
  <c r="H129" i="8"/>
  <c r="H128" i="8"/>
  <c r="H116" i="8"/>
  <c r="H114" i="8"/>
  <c r="H113" i="8"/>
  <c r="H99" i="8"/>
  <c r="H97" i="8"/>
  <c r="H96" i="8"/>
  <c r="H83" i="8"/>
  <c r="H81" i="8"/>
  <c r="H80" i="8"/>
  <c r="H67" i="8"/>
  <c r="H65" i="8"/>
  <c r="H64" i="8"/>
  <c r="H51" i="8"/>
  <c r="H49" i="8"/>
  <c r="H48" i="8"/>
  <c r="H35" i="8"/>
  <c r="H33" i="8"/>
  <c r="H32" i="8"/>
  <c r="H14" i="8"/>
  <c r="H11" i="8"/>
  <c r="H10" i="8"/>
  <c r="I141" i="1"/>
  <c r="H136" i="8"/>
  <c r="I137" i="1"/>
  <c r="H116" i="7"/>
  <c r="H128" i="7"/>
  <c r="K123" i="7"/>
  <c r="H122" i="7"/>
  <c r="K90" i="7"/>
  <c r="H88" i="7"/>
  <c r="H75" i="7"/>
  <c r="H73" i="7"/>
  <c r="I25" i="7"/>
  <c r="H24" i="7"/>
  <c r="H22" i="7"/>
  <c r="H21" i="7"/>
  <c r="H14" i="7"/>
  <c r="H10" i="7"/>
  <c r="H8" i="7"/>
  <c r="H6" i="7"/>
  <c r="I126" i="1"/>
  <c r="I124" i="1"/>
  <c r="I123" i="1"/>
  <c r="I122" i="1"/>
  <c r="I104" i="1"/>
  <c r="I102" i="1"/>
  <c r="I101" i="1"/>
  <c r="I88" i="1"/>
  <c r="I86" i="1"/>
  <c r="I85" i="1"/>
  <c r="I72" i="1"/>
  <c r="I70" i="1"/>
  <c r="I69" i="1"/>
  <c r="I51" i="1"/>
  <c r="I49" i="1"/>
  <c r="I35" i="1"/>
  <c r="I33" i="1"/>
  <c r="I32" i="1"/>
  <c r="I19" i="1"/>
  <c r="I17" i="1"/>
  <c r="I16" i="1"/>
  <c r="L5" i="1"/>
  <c r="I4" i="1"/>
  <c r="I3" i="1"/>
  <c r="AY1" i="1"/>
  <c r="I129" i="2"/>
  <c r="I128" i="2"/>
  <c r="I126" i="2"/>
  <c r="I124" i="2"/>
  <c r="I120" i="2"/>
  <c r="I66" i="2"/>
  <c r="I120" i="4"/>
  <c r="I118" i="4"/>
  <c r="I117" i="4"/>
  <c r="I104" i="4"/>
  <c r="I102" i="4"/>
  <c r="I101" i="4"/>
  <c r="I88" i="4"/>
  <c r="I86" i="4"/>
  <c r="I85" i="4"/>
  <c r="I70" i="4"/>
  <c r="I68" i="4"/>
  <c r="I67" i="4"/>
  <c r="I54" i="4"/>
  <c r="I52" i="4"/>
  <c r="I51" i="4"/>
  <c r="I38" i="4"/>
  <c r="I36" i="4"/>
  <c r="I35" i="4"/>
  <c r="I22" i="4"/>
  <c r="I20" i="4"/>
  <c r="I19" i="4"/>
  <c r="I6" i="4"/>
  <c r="I4" i="4"/>
  <c r="I3" i="4"/>
  <c r="I111" i="3"/>
  <c r="I123" i="5"/>
  <c r="I121" i="5"/>
  <c r="I120" i="5"/>
  <c r="I106" i="5"/>
  <c r="I104" i="5"/>
  <c r="I103" i="5"/>
  <c r="I90" i="5"/>
  <c r="I88" i="5"/>
  <c r="I87" i="5"/>
  <c r="I74" i="5"/>
  <c r="I72" i="5"/>
  <c r="I71" i="5"/>
  <c r="I58" i="5"/>
  <c r="I56" i="5"/>
  <c r="I54" i="5"/>
  <c r="I41" i="5"/>
  <c r="I39" i="5"/>
  <c r="I37" i="5"/>
  <c r="I35" i="5"/>
  <c r="I33" i="5"/>
  <c r="I31" i="5"/>
  <c r="I29" i="5"/>
  <c r="I27" i="5"/>
  <c r="I25" i="5"/>
  <c r="I23" i="5"/>
  <c r="I21" i="5"/>
  <c r="I19" i="5"/>
  <c r="I17" i="5"/>
  <c r="I15" i="5"/>
  <c r="I13" i="5"/>
  <c r="I11" i="5"/>
  <c r="I9" i="5"/>
  <c r="I7" i="5"/>
  <c r="I5" i="5"/>
  <c r="I3" i="5"/>
  <c r="I85" i="9"/>
  <c r="I77" i="9"/>
  <c r="I73" i="9"/>
  <c r="I71" i="9"/>
  <c r="I70" i="9"/>
  <c r="I21" i="9"/>
  <c r="I13" i="9"/>
  <c r="I9" i="9"/>
  <c r="I7" i="9"/>
  <c r="I6" i="9"/>
  <c r="H125" i="8"/>
  <c r="H124" i="8"/>
  <c r="H118" i="8"/>
  <c r="H117" i="8"/>
  <c r="H110" i="8"/>
  <c r="H109" i="8"/>
  <c r="H101" i="8"/>
  <c r="H100" i="8"/>
  <c r="H93" i="8"/>
  <c r="H92" i="8"/>
  <c r="H85" i="8"/>
  <c r="H84" i="8"/>
  <c r="H77" i="8"/>
  <c r="H76" i="8"/>
  <c r="H69" i="8"/>
  <c r="H68" i="8"/>
  <c r="H61" i="8"/>
  <c r="H60" i="8"/>
  <c r="H53" i="8"/>
  <c r="H52" i="8"/>
  <c r="H45" i="8"/>
  <c r="H44" i="8"/>
  <c r="H37" i="8"/>
  <c r="H36" i="8"/>
  <c r="H29" i="8"/>
  <c r="H28" i="8"/>
  <c r="H21" i="8"/>
  <c r="H19" i="8"/>
  <c r="H7" i="8"/>
  <c r="H6" i="8"/>
  <c r="I132" i="3"/>
  <c r="I131" i="5"/>
  <c r="I134" i="3"/>
  <c r="I133" i="9"/>
  <c r="H133" i="8"/>
  <c r="I136" i="4"/>
  <c r="I137" i="3"/>
  <c r="I136" i="5"/>
  <c r="I138" i="1"/>
  <c r="I139" i="3"/>
  <c r="I141" i="9"/>
  <c r="H144" i="8"/>
  <c r="I145" i="1"/>
  <c r="I145" i="2"/>
  <c r="I146" i="1"/>
  <c r="I148" i="2"/>
  <c r="I148" i="4"/>
  <c r="I149" i="3"/>
  <c r="H149" i="8"/>
  <c r="H149" i="7"/>
  <c r="I150" i="1"/>
  <c r="I152" i="5"/>
  <c r="I152" i="9"/>
  <c r="I143" i="5"/>
  <c r="I144" i="2"/>
  <c r="K145" i="7"/>
  <c r="I68" i="7"/>
  <c r="I45" i="7"/>
  <c r="H45" i="7"/>
  <c r="I125" i="7"/>
  <c r="H125" i="7"/>
  <c r="I115" i="7"/>
  <c r="H115" i="7"/>
  <c r="H93" i="7"/>
  <c r="H118" i="7"/>
  <c r="I129" i="7"/>
  <c r="I127" i="7"/>
  <c r="I96" i="7"/>
  <c r="H96" i="7"/>
  <c r="I23" i="7"/>
  <c r="H23" i="7"/>
  <c r="L56" i="1"/>
  <c r="I56" i="1"/>
  <c r="K126" i="7"/>
  <c r="K117" i="7"/>
  <c r="I113" i="7"/>
  <c r="K98" i="7"/>
  <c r="H85" i="7"/>
  <c r="H77" i="7"/>
  <c r="H49" i="7"/>
  <c r="I49" i="7"/>
  <c r="I47" i="7"/>
  <c r="H46" i="7"/>
  <c r="H26" i="7"/>
  <c r="I24" i="7"/>
  <c r="I19" i="7"/>
  <c r="H18" i="7"/>
  <c r="H15" i="7"/>
  <c r="H12" i="7"/>
  <c r="I128" i="1"/>
  <c r="I127" i="1"/>
  <c r="I119" i="1"/>
  <c r="I118" i="1"/>
  <c r="I111" i="1"/>
  <c r="I106" i="1"/>
  <c r="I105" i="1"/>
  <c r="I98" i="1"/>
  <c r="I97" i="1"/>
  <c r="I90" i="1"/>
  <c r="I89" i="1"/>
  <c r="I82" i="1"/>
  <c r="I81" i="1"/>
  <c r="I74" i="1"/>
  <c r="I73" i="1"/>
  <c r="I66" i="1"/>
  <c r="I65" i="1"/>
  <c r="I58" i="1"/>
  <c r="I57" i="1"/>
  <c r="I52" i="1"/>
  <c r="I45" i="1"/>
  <c r="I37" i="1"/>
  <c r="I36" i="1"/>
  <c r="I29" i="1"/>
  <c r="I28" i="1"/>
  <c r="I21" i="1"/>
  <c r="I20" i="1"/>
  <c r="I13" i="1"/>
  <c r="I112" i="2"/>
  <c r="I108" i="2"/>
  <c r="I107" i="2"/>
  <c r="I105" i="2"/>
  <c r="I103" i="2"/>
  <c r="I100" i="2"/>
  <c r="I78" i="2"/>
  <c r="I74" i="2"/>
  <c r="I73" i="2"/>
  <c r="I71" i="2"/>
  <c r="I69" i="2"/>
  <c r="I67" i="2"/>
  <c r="I64" i="2"/>
  <c r="I62" i="2"/>
  <c r="I130" i="4"/>
  <c r="I123" i="4"/>
  <c r="I121" i="4"/>
  <c r="I114" i="4"/>
  <c r="I113" i="4"/>
  <c r="I106" i="4"/>
  <c r="I105" i="4"/>
  <c r="I98" i="4"/>
  <c r="I97" i="4"/>
  <c r="I90" i="4"/>
  <c r="I89" i="4"/>
  <c r="I82" i="4"/>
  <c r="I81" i="4"/>
  <c r="I74" i="4"/>
  <c r="I73" i="4"/>
  <c r="I72" i="4"/>
  <c r="I71" i="4"/>
  <c r="I64" i="4"/>
  <c r="I63" i="4"/>
  <c r="I56" i="4"/>
  <c r="I55" i="4"/>
  <c r="I48" i="4"/>
  <c r="I47" i="4"/>
  <c r="I40" i="4"/>
  <c r="I39" i="4"/>
  <c r="I32" i="4"/>
  <c r="I31" i="4"/>
  <c r="I24" i="4"/>
  <c r="I23" i="4"/>
  <c r="I16" i="4"/>
  <c r="I15" i="4"/>
  <c r="I8" i="4"/>
  <c r="I7" i="4"/>
  <c r="I130" i="3"/>
  <c r="I129" i="3"/>
  <c r="I124" i="3"/>
  <c r="I118" i="3"/>
  <c r="I117" i="3"/>
  <c r="I116" i="3"/>
  <c r="I115" i="3"/>
  <c r="I114" i="3"/>
  <c r="I113" i="3"/>
  <c r="I112" i="3"/>
  <c r="I110" i="3"/>
  <c r="I109" i="3"/>
  <c r="I108" i="3"/>
  <c r="I107" i="3"/>
  <c r="I105" i="3"/>
  <c r="I104" i="3"/>
  <c r="I102" i="3"/>
  <c r="I100" i="3"/>
  <c r="I98" i="3"/>
  <c r="I96" i="3"/>
  <c r="I94" i="3"/>
  <c r="I92" i="3"/>
  <c r="I90" i="3"/>
  <c r="I88" i="3"/>
  <c r="I86" i="3"/>
  <c r="I84" i="3"/>
  <c r="I82" i="3"/>
  <c r="I80" i="3"/>
  <c r="I78" i="3"/>
  <c r="I76" i="3"/>
  <c r="I74" i="3"/>
  <c r="I72" i="3"/>
  <c r="I70" i="3"/>
  <c r="I68" i="3"/>
  <c r="I66" i="3"/>
  <c r="I64" i="3"/>
  <c r="I62" i="3"/>
  <c r="I60" i="3"/>
  <c r="I58" i="3"/>
  <c r="I56" i="3"/>
  <c r="I54" i="3"/>
  <c r="I52" i="3"/>
  <c r="I50" i="3"/>
  <c r="I48" i="3"/>
  <c r="I46" i="3"/>
  <c r="I44" i="3"/>
  <c r="I42" i="3"/>
  <c r="I40" i="3"/>
  <c r="I38" i="3"/>
  <c r="I36" i="3"/>
  <c r="I34" i="3"/>
  <c r="I32" i="3"/>
  <c r="I30" i="3"/>
  <c r="I28" i="3"/>
  <c r="I26" i="3"/>
  <c r="I24" i="3"/>
  <c r="I22" i="3"/>
  <c r="I20" i="3"/>
  <c r="I18" i="3"/>
  <c r="I16" i="3"/>
  <c r="I14" i="3"/>
  <c r="I12" i="3"/>
  <c r="I10" i="3"/>
  <c r="I8" i="3"/>
  <c r="I6" i="3"/>
  <c r="I4" i="3"/>
  <c r="I125" i="5"/>
  <c r="I124" i="5"/>
  <c r="I117" i="5"/>
  <c r="I116" i="5"/>
  <c r="I108" i="5"/>
  <c r="I107" i="5"/>
  <c r="I100" i="5"/>
  <c r="I99" i="5"/>
  <c r="I92" i="5"/>
  <c r="I91" i="5"/>
  <c r="I84" i="5"/>
  <c r="I83" i="5"/>
  <c r="I76" i="5"/>
  <c r="I75" i="5"/>
  <c r="I68" i="5"/>
  <c r="I67" i="5"/>
  <c r="I60" i="5"/>
  <c r="I59" i="5"/>
  <c r="I51" i="5"/>
  <c r="I50" i="5"/>
  <c r="I131" i="3"/>
  <c r="I130" i="5"/>
  <c r="H130" i="8"/>
  <c r="I132" i="1"/>
  <c r="I132" i="2"/>
  <c r="I133" i="1"/>
  <c r="I133" i="2"/>
  <c r="I136" i="3"/>
  <c r="I135" i="9"/>
  <c r="H135" i="8"/>
  <c r="H135" i="7"/>
  <c r="I136" i="1"/>
  <c r="I136" i="2"/>
  <c r="H136" i="7"/>
  <c r="I138" i="3"/>
  <c r="I137" i="5"/>
  <c r="I137" i="9"/>
  <c r="H137" i="8"/>
  <c r="I142" i="3"/>
  <c r="I141" i="5"/>
  <c r="I142" i="5"/>
  <c r="I143" i="4"/>
  <c r="I144" i="3"/>
  <c r="H145" i="7"/>
  <c r="I146" i="4"/>
  <c r="I147" i="5"/>
  <c r="I147" i="9"/>
  <c r="H147" i="8"/>
  <c r="I147" i="7"/>
  <c r="I148" i="1"/>
  <c r="I151" i="3"/>
  <c r="I150" i="5"/>
  <c r="I150" i="9"/>
  <c r="H150" i="8"/>
  <c r="I150" i="7"/>
  <c r="I152" i="3"/>
  <c r="I152" i="1"/>
  <c r="I152" i="4"/>
  <c r="I43" i="5"/>
  <c r="I42" i="5"/>
  <c r="I126" i="9"/>
  <c r="I122" i="9"/>
  <c r="I120" i="9"/>
  <c r="I118" i="9"/>
  <c r="I93" i="9"/>
  <c r="I89" i="9"/>
  <c r="I87" i="9"/>
  <c r="I86" i="9"/>
  <c r="I61" i="9"/>
  <c r="I57" i="9"/>
  <c r="I55" i="9"/>
  <c r="I54" i="9"/>
  <c r="I29" i="9"/>
  <c r="I25" i="9"/>
  <c r="I23" i="9"/>
  <c r="I22" i="9"/>
  <c r="H126" i="8"/>
  <c r="H119" i="8"/>
  <c r="H115" i="8"/>
  <c r="H111" i="8"/>
  <c r="H107" i="8"/>
  <c r="H102" i="8"/>
  <c r="H98" i="8"/>
  <c r="H94" i="8"/>
  <c r="H90" i="8"/>
  <c r="H86" i="8"/>
  <c r="H82" i="8"/>
  <c r="H78" i="8"/>
  <c r="H74" i="8"/>
  <c r="H70" i="8"/>
  <c r="H66" i="8"/>
  <c r="H62" i="8"/>
  <c r="H58" i="8"/>
  <c r="H54" i="8"/>
  <c r="H50" i="8"/>
  <c r="H46" i="8"/>
  <c r="H42" i="8"/>
  <c r="H38" i="8"/>
  <c r="H34" i="8"/>
  <c r="H30" i="8"/>
  <c r="H26" i="8"/>
  <c r="H22" i="8"/>
  <c r="H12" i="8"/>
  <c r="H8" i="8"/>
  <c r="H4" i="8"/>
  <c r="K131" i="7"/>
  <c r="I128" i="7"/>
  <c r="H120" i="7"/>
  <c r="H126" i="7"/>
  <c r="K128" i="7"/>
  <c r="H127" i="7"/>
  <c r="K124" i="7"/>
  <c r="H123" i="7"/>
  <c r="I123" i="7"/>
  <c r="K121" i="7"/>
  <c r="H119" i="7"/>
  <c r="K112" i="7"/>
  <c r="K110" i="7"/>
  <c r="H108" i="7"/>
  <c r="K102" i="7"/>
  <c r="H100" i="7"/>
  <c r="K94" i="7"/>
  <c r="H92" i="7"/>
  <c r="I84" i="7"/>
  <c r="I80" i="7"/>
  <c r="I76" i="7"/>
  <c r="I72" i="7"/>
  <c r="H67" i="7"/>
  <c r="H66" i="7"/>
  <c r="H63" i="7"/>
  <c r="H62" i="7"/>
  <c r="H59" i="7"/>
  <c r="H58" i="7"/>
  <c r="H55" i="7"/>
  <c r="H54" i="7"/>
  <c r="H51" i="7"/>
  <c r="H50" i="7"/>
  <c r="H48" i="7"/>
  <c r="H47" i="7"/>
  <c r="H44" i="7"/>
  <c r="H43" i="7"/>
  <c r="I42" i="7"/>
  <c r="H40" i="7"/>
  <c r="H39" i="7"/>
  <c r="H36" i="7"/>
  <c r="H35" i="7"/>
  <c r="H32" i="7"/>
  <c r="H31" i="7"/>
  <c r="L30" i="7"/>
  <c r="H29" i="7"/>
  <c r="I26" i="7"/>
  <c r="H25" i="7"/>
  <c r="H16" i="7"/>
  <c r="H13" i="7"/>
  <c r="H4" i="7"/>
  <c r="H137" i="7"/>
  <c r="I139" i="7"/>
  <c r="I140" i="7"/>
  <c r="I142" i="7"/>
  <c r="I143" i="7"/>
  <c r="H144" i="7"/>
  <c r="K150" i="7"/>
  <c r="J48" i="7"/>
  <c r="K132" i="7"/>
  <c r="K134" i="7"/>
  <c r="I136" i="7"/>
  <c r="K136" i="7"/>
  <c r="K139" i="7"/>
  <c r="K140" i="7"/>
  <c r="K142" i="7"/>
  <c r="K143" i="7"/>
  <c r="K146" i="7"/>
  <c r="I148" i="7"/>
  <c r="K149" i="7"/>
  <c r="H150" i="7"/>
  <c r="K133" i="7"/>
  <c r="K135" i="7"/>
  <c r="I135" i="7"/>
  <c r="K137" i="7"/>
  <c r="I137" i="7"/>
  <c r="I138" i="7"/>
  <c r="I141" i="7"/>
  <c r="K141" i="7"/>
  <c r="K144" i="7"/>
  <c r="K147" i="7"/>
  <c r="I149" i="7"/>
  <c r="K151" i="7"/>
  <c r="H148" i="7"/>
  <c r="H143" i="7"/>
  <c r="H139" i="7"/>
  <c r="I144" i="7"/>
  <c r="I132" i="7"/>
  <c r="H20" i="7"/>
  <c r="H72" i="7"/>
  <c r="H87" i="7"/>
  <c r="H91" i="7"/>
  <c r="H95" i="7"/>
  <c r="H99" i="7"/>
  <c r="H103" i="7"/>
  <c r="H107" i="7"/>
  <c r="K125" i="7"/>
  <c r="K127" i="7"/>
  <c r="K129" i="7"/>
  <c r="H121" i="7"/>
  <c r="H117" i="7"/>
  <c r="H113" i="7"/>
  <c r="H111" i="7"/>
  <c r="H110" i="7"/>
  <c r="H106" i="7"/>
  <c r="H102" i="7"/>
  <c r="H98" i="7"/>
  <c r="H94" i="7"/>
  <c r="H90" i="7"/>
  <c r="H86" i="7"/>
  <c r="H84" i="7"/>
  <c r="H82" i="7"/>
  <c r="H80" i="7"/>
  <c r="H78" i="7"/>
  <c r="H76" i="7"/>
  <c r="H74" i="7"/>
  <c r="K72" i="7"/>
  <c r="H41" i="7"/>
  <c r="H19" i="7"/>
  <c r="I145" i="7"/>
  <c r="I146" i="7"/>
  <c r="H151" i="7"/>
  <c r="I151" i="7"/>
  <c r="I126" i="5"/>
  <c r="I122" i="5"/>
  <c r="I118" i="5"/>
  <c r="I114" i="5"/>
  <c r="I109" i="5"/>
  <c r="I105" i="5"/>
  <c r="I101" i="5"/>
  <c r="I97" i="5"/>
  <c r="I93" i="5"/>
  <c r="I89" i="5"/>
  <c r="I85" i="5"/>
  <c r="I81" i="5"/>
  <c r="I77" i="5"/>
  <c r="I73" i="5"/>
  <c r="I69" i="5"/>
  <c r="I65" i="5"/>
  <c r="I61" i="5"/>
  <c r="I57" i="5"/>
  <c r="I52" i="5"/>
  <c r="I48" i="5"/>
  <c r="I44" i="5"/>
  <c r="I38" i="5"/>
  <c r="I36" i="5"/>
  <c r="I34" i="5"/>
  <c r="I32" i="5"/>
  <c r="I30" i="5"/>
  <c r="I28" i="5"/>
  <c r="I26" i="5"/>
  <c r="I24" i="5"/>
  <c r="I22" i="5"/>
  <c r="I20" i="5"/>
  <c r="I18" i="5"/>
  <c r="I16" i="5"/>
  <c r="I14" i="5"/>
  <c r="I12" i="5"/>
  <c r="I10" i="5"/>
  <c r="I8" i="5"/>
  <c r="I6" i="5"/>
  <c r="I4" i="5"/>
  <c r="I133" i="5"/>
  <c r="I135" i="5"/>
  <c r="I139" i="5"/>
  <c r="I144" i="5"/>
  <c r="I146" i="5"/>
  <c r="I148" i="5"/>
  <c r="I151" i="5"/>
  <c r="I127" i="3"/>
  <c r="I103" i="3"/>
  <c r="I101" i="3"/>
  <c r="I99" i="3"/>
  <c r="I97" i="3"/>
  <c r="I95" i="3"/>
  <c r="I93" i="3"/>
  <c r="I91" i="3"/>
  <c r="I89" i="3"/>
  <c r="I87" i="3"/>
  <c r="I85" i="3"/>
  <c r="I83" i="3"/>
  <c r="I81" i="3"/>
  <c r="I79" i="3"/>
  <c r="I77" i="3"/>
  <c r="I75" i="3"/>
  <c r="I73" i="3"/>
  <c r="I71" i="3"/>
  <c r="I69" i="3"/>
  <c r="I67" i="3"/>
  <c r="I65" i="3"/>
  <c r="I63" i="3"/>
  <c r="I61" i="3"/>
  <c r="I59" i="3"/>
  <c r="I57" i="3"/>
  <c r="I55" i="3"/>
  <c r="I53" i="3"/>
  <c r="I51" i="3"/>
  <c r="I49" i="3"/>
  <c r="I47" i="3"/>
  <c r="I45" i="3"/>
  <c r="I43" i="3"/>
  <c r="I41" i="3"/>
  <c r="I39" i="3"/>
  <c r="I37" i="3"/>
  <c r="I35" i="3"/>
  <c r="I33" i="3"/>
  <c r="I31" i="3"/>
  <c r="I29" i="3"/>
  <c r="I27" i="3"/>
  <c r="I25" i="3"/>
  <c r="I23" i="3"/>
  <c r="I21" i="3"/>
  <c r="I19" i="3"/>
  <c r="I17" i="3"/>
  <c r="I15" i="3"/>
  <c r="I13" i="3"/>
  <c r="I11" i="3"/>
  <c r="I9" i="3"/>
  <c r="I7" i="3"/>
  <c r="I5" i="3"/>
  <c r="I135" i="3"/>
  <c r="I143" i="3"/>
  <c r="I148" i="3"/>
  <c r="I106" i="3"/>
  <c r="I123" i="3"/>
  <c r="I128" i="4"/>
  <c r="I124" i="4"/>
  <c r="I119" i="4"/>
  <c r="I115" i="4"/>
  <c r="I111" i="4"/>
  <c r="I107" i="4"/>
  <c r="I103" i="4"/>
  <c r="I99" i="4"/>
  <c r="I95" i="4"/>
  <c r="I91" i="4"/>
  <c r="I87" i="4"/>
  <c r="I83" i="4"/>
  <c r="I79" i="4"/>
  <c r="I75" i="4"/>
  <c r="I133" i="4"/>
  <c r="I138" i="4"/>
  <c r="I147" i="4"/>
  <c r="I149" i="4"/>
  <c r="I151" i="4"/>
  <c r="I69" i="4"/>
  <c r="I65" i="4"/>
  <c r="I61" i="4"/>
  <c r="I57" i="4"/>
  <c r="I53" i="4"/>
  <c r="I49" i="4"/>
  <c r="I45" i="4"/>
  <c r="I41" i="4"/>
  <c r="I37" i="4"/>
  <c r="I33" i="4"/>
  <c r="I29" i="4"/>
  <c r="I25" i="4"/>
  <c r="I21" i="4"/>
  <c r="I17" i="4"/>
  <c r="I13" i="4"/>
  <c r="I9" i="4"/>
  <c r="I5" i="4"/>
  <c r="I122" i="4"/>
  <c r="I118" i="2"/>
  <c r="I117" i="2"/>
  <c r="I115" i="2"/>
  <c r="I113" i="2"/>
  <c r="I110" i="2"/>
  <c r="I98" i="2"/>
  <c r="I97" i="2"/>
  <c r="I95" i="2"/>
  <c r="I92" i="2"/>
  <c r="I80" i="2"/>
  <c r="I79" i="2"/>
  <c r="I76" i="2"/>
  <c r="I60" i="2"/>
  <c r="I59" i="2"/>
  <c r="I56" i="2"/>
  <c r="I54" i="2"/>
  <c r="I52" i="2"/>
  <c r="I50" i="2"/>
  <c r="I48" i="2"/>
  <c r="I46" i="2"/>
  <c r="I44" i="2"/>
  <c r="I42" i="2"/>
  <c r="I40" i="2"/>
  <c r="I38" i="2"/>
  <c r="I36" i="2"/>
  <c r="I34" i="2"/>
  <c r="I32" i="2"/>
  <c r="I30" i="2"/>
  <c r="I28" i="2"/>
  <c r="I26" i="2"/>
  <c r="I24" i="2"/>
  <c r="I22" i="2"/>
  <c r="I20" i="2"/>
  <c r="I18" i="2"/>
  <c r="I16" i="2"/>
  <c r="I14" i="2"/>
  <c r="I12" i="2"/>
  <c r="I10" i="2"/>
  <c r="I8" i="2"/>
  <c r="I6" i="2"/>
  <c r="I4" i="2"/>
  <c r="I131" i="2"/>
  <c r="I135" i="2"/>
  <c r="I138" i="2"/>
  <c r="I140" i="2"/>
  <c r="I143" i="2"/>
  <c r="I130" i="2"/>
  <c r="I127" i="2"/>
  <c r="I125" i="2"/>
  <c r="I121" i="2"/>
  <c r="I119" i="2"/>
  <c r="I116" i="2"/>
  <c r="I114" i="2"/>
  <c r="I111" i="2"/>
  <c r="I109" i="2"/>
  <c r="I106" i="2"/>
  <c r="I104" i="2"/>
  <c r="I101" i="2"/>
  <c r="I99" i="2"/>
  <c r="I96" i="2"/>
  <c r="I93" i="2"/>
  <c r="I91" i="2"/>
  <c r="I88" i="2"/>
  <c r="I85" i="2"/>
  <c r="I83" i="2"/>
  <c r="I81" i="2"/>
  <c r="I77" i="2"/>
  <c r="I75" i="2"/>
  <c r="I72" i="2"/>
  <c r="I70" i="2"/>
  <c r="I68" i="2"/>
  <c r="I65" i="2"/>
  <c r="I63" i="2"/>
  <c r="I61" i="2"/>
  <c r="I58" i="2"/>
  <c r="I57" i="2"/>
  <c r="I55" i="2"/>
  <c r="I53" i="2"/>
  <c r="I51" i="2"/>
  <c r="I49" i="2"/>
  <c r="I47" i="2"/>
  <c r="I45" i="2"/>
  <c r="I43" i="2"/>
  <c r="I41" i="2"/>
  <c r="I39" i="2"/>
  <c r="I37" i="2"/>
  <c r="I35" i="2"/>
  <c r="I33" i="2"/>
  <c r="I31" i="2"/>
  <c r="I29" i="2"/>
  <c r="I27" i="2"/>
  <c r="I25" i="2"/>
  <c r="I23" i="2"/>
  <c r="I21" i="2"/>
  <c r="I19" i="2"/>
  <c r="I17" i="2"/>
  <c r="I15" i="2"/>
  <c r="I13" i="2"/>
  <c r="I11" i="2"/>
  <c r="I9" i="2"/>
  <c r="I7" i="2"/>
  <c r="I5" i="2"/>
  <c r="I3" i="2"/>
  <c r="I134" i="2"/>
  <c r="I137" i="2"/>
  <c r="I139" i="2"/>
  <c r="I141" i="2"/>
  <c r="I149" i="2"/>
  <c r="I150" i="2"/>
  <c r="I152" i="2"/>
  <c r="I122" i="2"/>
  <c r="I151" i="2"/>
  <c r="AY2" i="1"/>
  <c r="I135" i="1"/>
  <c r="I139" i="1"/>
  <c r="I144" i="1"/>
  <c r="I147" i="1"/>
  <c r="I151" i="1"/>
  <c r="I129" i="1"/>
  <c r="I125" i="1"/>
  <c r="I120" i="1"/>
  <c r="I116" i="1"/>
  <c r="I112" i="1"/>
  <c r="I107" i="1"/>
  <c r="I103" i="1"/>
  <c r="I99" i="1"/>
  <c r="I95" i="1"/>
  <c r="I91" i="1"/>
  <c r="I87" i="1"/>
  <c r="I83" i="1"/>
  <c r="I79" i="1"/>
  <c r="I75" i="1"/>
  <c r="I71" i="1"/>
  <c r="I67" i="1"/>
  <c r="I63" i="1"/>
  <c r="I59" i="1"/>
  <c r="L54" i="1"/>
  <c r="L48" i="1"/>
  <c r="L44" i="1"/>
  <c r="I38" i="1"/>
  <c r="I34" i="1"/>
  <c r="I30" i="1"/>
  <c r="I26" i="1"/>
  <c r="I22" i="1"/>
  <c r="I18" i="1"/>
  <c r="L12" i="1"/>
  <c r="L8" i="1"/>
  <c r="I6" i="1"/>
  <c r="AU3" i="1"/>
  <c r="AS4" i="1"/>
  <c r="AT4" i="1"/>
  <c r="I54" i="1"/>
  <c r="I50" i="1"/>
  <c r="I48" i="1"/>
  <c r="I46" i="1"/>
  <c r="I44" i="1"/>
  <c r="I42" i="1"/>
  <c r="I14" i="1"/>
  <c r="I12" i="1"/>
  <c r="I10" i="1"/>
  <c r="I8" i="1"/>
  <c r="H151" i="8"/>
  <c r="H152" i="8"/>
  <c r="I128" i="9"/>
  <c r="I127" i="9"/>
  <c r="I113" i="9"/>
  <c r="I111" i="9"/>
  <c r="I110" i="9"/>
  <c r="I97" i="9"/>
  <c r="I95" i="9"/>
  <c r="I94" i="9"/>
  <c r="I81" i="9"/>
  <c r="I79" i="9"/>
  <c r="I78" i="9"/>
  <c r="I65" i="9"/>
  <c r="I63" i="9"/>
  <c r="I62" i="9"/>
  <c r="I49" i="9"/>
  <c r="I47" i="9"/>
  <c r="I46" i="9"/>
  <c r="I33" i="9"/>
  <c r="I31" i="9"/>
  <c r="I30" i="9"/>
  <c r="I17" i="9"/>
  <c r="I15" i="9"/>
  <c r="I14" i="9"/>
  <c r="I132" i="9"/>
  <c r="I124" i="9"/>
  <c r="I123" i="9"/>
  <c r="I115" i="9"/>
  <c r="I114" i="9"/>
  <c r="I107" i="9"/>
  <c r="I106" i="9"/>
  <c r="I99" i="9"/>
  <c r="I98" i="9"/>
  <c r="I91" i="9"/>
  <c r="I90" i="9"/>
  <c r="I83" i="9"/>
  <c r="I82" i="9"/>
  <c r="I75" i="9"/>
  <c r="I74" i="9"/>
  <c r="I67" i="9"/>
  <c r="I66" i="9"/>
  <c r="I59" i="9"/>
  <c r="I58" i="9"/>
  <c r="I51" i="9"/>
  <c r="I50" i="9"/>
  <c r="I43" i="9"/>
  <c r="I42" i="9"/>
  <c r="I35" i="9"/>
  <c r="I34" i="9"/>
  <c r="I27" i="9"/>
  <c r="I26" i="9"/>
  <c r="I19" i="9"/>
  <c r="I18" i="9"/>
  <c r="I11" i="9"/>
  <c r="I10" i="9"/>
  <c r="I3" i="9"/>
  <c r="I131" i="9"/>
  <c r="I136" i="9"/>
  <c r="I138" i="9"/>
  <c r="I143" i="9"/>
  <c r="I145" i="9"/>
  <c r="I129" i="9"/>
  <c r="I125" i="9"/>
  <c r="I121" i="9"/>
  <c r="I116" i="9"/>
  <c r="I112" i="9"/>
  <c r="I108" i="9"/>
  <c r="I104" i="9"/>
  <c r="I100" i="9"/>
  <c r="I96" i="9"/>
  <c r="I92" i="9"/>
  <c r="I88" i="9"/>
  <c r="I84" i="9"/>
  <c r="I80" i="9"/>
  <c r="I76" i="9"/>
  <c r="I72" i="9"/>
  <c r="I68" i="9"/>
  <c r="I64" i="9"/>
  <c r="I60" i="9"/>
  <c r="I56" i="9"/>
  <c r="I52" i="9"/>
  <c r="I48" i="9"/>
  <c r="I44" i="9"/>
  <c r="I40" i="9"/>
  <c r="I36" i="9"/>
  <c r="I32" i="9"/>
  <c r="I28" i="9"/>
  <c r="I24" i="9"/>
  <c r="I20" i="9"/>
  <c r="I16" i="9"/>
  <c r="I12" i="9"/>
  <c r="I8" i="9"/>
  <c r="I4" i="9"/>
  <c r="I130" i="9"/>
  <c r="I134" i="9"/>
  <c r="I142" i="9"/>
  <c r="I151" i="9"/>
  <c r="AV4" i="1"/>
  <c r="AU4" i="1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X4" i="1"/>
  <c r="AV6" i="1"/>
  <c r="I281" i="1"/>
  <c r="I285" i="1"/>
  <c r="I287" i="1"/>
  <c r="I288" i="1"/>
  <c r="I289" i="1"/>
  <c r="I293" i="1"/>
  <c r="I295" i="1"/>
  <c r="H293" i="7"/>
  <c r="I296" i="1"/>
  <c r="H295" i="8"/>
  <c r="H372" i="7"/>
  <c r="H370" i="7"/>
  <c r="H368" i="7"/>
  <c r="H367" i="7"/>
  <c r="H365" i="7"/>
  <c r="H363" i="7"/>
  <c r="H361" i="7"/>
  <c r="I355" i="7"/>
  <c r="I349" i="7"/>
  <c r="H347" i="7"/>
  <c r="O347" i="7"/>
  <c r="G29" i="15"/>
  <c r="G66" i="15"/>
  <c r="I347" i="7"/>
  <c r="H348" i="7"/>
  <c r="H346" i="7"/>
  <c r="H343" i="7"/>
  <c r="H342" i="7"/>
  <c r="H341" i="7"/>
  <c r="H339" i="7"/>
  <c r="H337" i="7"/>
  <c r="H336" i="7"/>
  <c r="H335" i="7"/>
  <c r="H334" i="7"/>
  <c r="I332" i="7"/>
  <c r="H332" i="7"/>
  <c r="H330" i="7"/>
  <c r="H329" i="7"/>
  <c r="H328" i="7"/>
  <c r="H325" i="7"/>
  <c r="H324" i="7"/>
  <c r="H323" i="7"/>
  <c r="H322" i="7"/>
  <c r="H321" i="7"/>
  <c r="H318" i="7"/>
  <c r="I317" i="1"/>
  <c r="H316" i="7"/>
  <c r="H313" i="7"/>
  <c r="I313" i="1"/>
  <c r="H311" i="7"/>
  <c r="H306" i="7"/>
  <c r="H304" i="7"/>
  <c r="H302" i="7"/>
  <c r="H301" i="7"/>
  <c r="H300" i="7"/>
  <c r="H299" i="7"/>
  <c r="H298" i="7"/>
  <c r="H297" i="7"/>
  <c r="H296" i="7"/>
  <c r="H384" i="7"/>
  <c r="H382" i="7"/>
  <c r="H380" i="7"/>
  <c r="H378" i="7"/>
  <c r="I378" i="1"/>
  <c r="H377" i="7"/>
  <c r="H375" i="7"/>
  <c r="I375" i="1"/>
  <c r="H374" i="7"/>
  <c r="H373" i="7"/>
  <c r="I387" i="1"/>
  <c r="H387" i="7"/>
  <c r="I388" i="1"/>
  <c r="H390" i="7"/>
  <c r="I391" i="1"/>
  <c r="H391" i="7"/>
  <c r="H392" i="7"/>
  <c r="H393" i="7"/>
  <c r="I394" i="1"/>
  <c r="I395" i="1"/>
  <c r="I396" i="1"/>
  <c r="H396" i="7"/>
  <c r="I397" i="1"/>
  <c r="H397" i="7"/>
  <c r="I398" i="1"/>
  <c r="H398" i="7"/>
  <c r="H399" i="7"/>
  <c r="I400" i="1"/>
  <c r="H400" i="7"/>
  <c r="I399" i="3"/>
  <c r="I401" i="1"/>
  <c r="H401" i="7"/>
  <c r="I409" i="1"/>
  <c r="I404" i="1"/>
  <c r="I423" i="1"/>
  <c r="I418" i="1"/>
  <c r="I412" i="1"/>
  <c r="H417" i="1"/>
  <c r="I417" i="1"/>
  <c r="H408" i="1"/>
  <c r="H414" i="1"/>
  <c r="I414" i="1"/>
  <c r="H424" i="1"/>
  <c r="I424" i="1"/>
  <c r="H421" i="1"/>
  <c r="I421" i="1"/>
  <c r="H413" i="1"/>
  <c r="I413" i="1"/>
  <c r="H405" i="1"/>
  <c r="I405" i="1"/>
  <c r="H402" i="7"/>
  <c r="I403" i="1"/>
  <c r="H403" i="7"/>
  <c r="H404" i="7"/>
  <c r="I405" i="5"/>
  <c r="I406" i="3"/>
  <c r="E66" i="15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H405" i="7"/>
  <c r="I406" i="1"/>
  <c r="H406" i="7"/>
  <c r="I407" i="1"/>
  <c r="I408" i="1"/>
  <c r="T361" i="7" l="1"/>
  <c r="U355" i="7" s="1"/>
  <c r="U357" i="7" s="1"/>
  <c r="Q29" i="15"/>
  <c r="K66" i="15"/>
  <c r="O66" i="15"/>
  <c r="S29" i="15"/>
  <c r="S66" i="15" s="1"/>
  <c r="M66" i="15"/>
  <c r="Q66" i="15"/>
</calcChain>
</file>

<file path=xl/sharedStrings.xml><?xml version="1.0" encoding="utf-8"?>
<sst xmlns="http://schemas.openxmlformats.org/spreadsheetml/2006/main" count="3140" uniqueCount="356">
  <si>
    <t>Japan</t>
  </si>
  <si>
    <t>Accumulated Exports</t>
  </si>
  <si>
    <t>Total Commitments</t>
  </si>
  <si>
    <t>Mexico</t>
  </si>
  <si>
    <t>% change</t>
  </si>
  <si>
    <t>Exports</t>
  </si>
  <si>
    <t>05/06Projected</t>
  </si>
  <si>
    <t>Unshipped Balance</t>
  </si>
  <si>
    <t>Taiwan</t>
  </si>
  <si>
    <t>Korea</t>
  </si>
  <si>
    <t xml:space="preserve">04/05 </t>
  </si>
  <si>
    <t>Top 5 Importers</t>
  </si>
  <si>
    <t>Top 5 Share of U.S. Corn Exports</t>
  </si>
  <si>
    <t>US Corn Exports</t>
  </si>
  <si>
    <t>*  Cumulative Exports + Outstanding (unshipped) exports</t>
  </si>
  <si>
    <t>** AMS Estimate, based on a 5 -year average U.S. share of Total Imports and WASDE Projected Import demand.</t>
  </si>
  <si>
    <t>EXPORT SALES, China</t>
  </si>
  <si>
    <t>EXPORT SALES, Mexico</t>
  </si>
  <si>
    <t>EXPORT SALES, Japan</t>
  </si>
  <si>
    <t>EXPORT SALES, Taiwan</t>
  </si>
  <si>
    <t>EXPORT SALES, Indonesia</t>
  </si>
  <si>
    <t>Sales</t>
  </si>
  <si>
    <t>Chng in</t>
  </si>
  <si>
    <t>Ttl Cmtmnts</t>
  </si>
  <si>
    <t xml:space="preserve">Chnge in </t>
  </si>
  <si>
    <t>unshipped</t>
  </si>
  <si>
    <t>Weekly</t>
  </si>
  <si>
    <t>EU-25</t>
  </si>
  <si>
    <t>Outstanding Sales (Unshipped)</t>
  </si>
  <si>
    <t>EXPORT SALES, Korea</t>
  </si>
  <si>
    <t xml:space="preserve">US Total </t>
  </si>
  <si>
    <t>2006/07</t>
  </si>
  <si>
    <t>curr</t>
  </si>
  <si>
    <t>last</t>
  </si>
  <si>
    <t>current</t>
  </si>
  <si>
    <t>last week</t>
  </si>
  <si>
    <t>last year</t>
  </si>
  <si>
    <t>Commitments</t>
  </si>
  <si>
    <t>Accum Exports</t>
  </si>
  <si>
    <t>This year</t>
  </si>
  <si>
    <t>Last year</t>
  </si>
  <si>
    <t>SOYBEANS</t>
  </si>
  <si>
    <t>1000 METRIC TONS</t>
  </si>
  <si>
    <t>-</t>
  </si>
  <si>
    <t>:</t>
  </si>
  <si>
    <t>next my</t>
  </si>
  <si>
    <t>2007/08</t>
  </si>
  <si>
    <t>DESTINATION</t>
  </si>
  <si>
    <t>EUROPEAN UNION - 27</t>
  </si>
  <si>
    <t>BELGIUM</t>
  </si>
  <si>
    <t>DENMARK</t>
  </si>
  <si>
    <t>ITALY</t>
  </si>
  <si>
    <t>U KING</t>
  </si>
  <si>
    <t>OTHER EUROPE</t>
  </si>
  <si>
    <t>TURKEY</t>
  </si>
  <si>
    <t>JAPAN</t>
  </si>
  <si>
    <t>TAIWAN</t>
  </si>
  <si>
    <t>CHINA</t>
  </si>
  <si>
    <t>OTHER ASIA AND OCEANIA</t>
  </si>
  <si>
    <t>HG KONG</t>
  </si>
  <si>
    <t>INDNSIA</t>
  </si>
  <si>
    <t>ISRAEL</t>
  </si>
  <si>
    <t>KOR REP</t>
  </si>
  <si>
    <t>MALAYSA</t>
  </si>
  <si>
    <t>PHIL</t>
  </si>
  <si>
    <t>SINGAPR</t>
  </si>
  <si>
    <t>SYRIA</t>
  </si>
  <si>
    <t>THAILND</t>
  </si>
  <si>
    <t>VIETNAM</t>
  </si>
  <si>
    <t>AFRICA</t>
  </si>
  <si>
    <t>EGYPT</t>
  </si>
  <si>
    <t>MOROCCO</t>
  </si>
  <si>
    <t>WESTERN HEMISPHERE</t>
  </si>
  <si>
    <t>BARBADO</t>
  </si>
  <si>
    <t>C RICA</t>
  </si>
  <si>
    <t>CANADA</t>
  </si>
  <si>
    <t>COLOMB</t>
  </si>
  <si>
    <t>CUBA</t>
  </si>
  <si>
    <t>GUATMAL</t>
  </si>
  <si>
    <t>MEXICO</t>
  </si>
  <si>
    <t>TOTAL KNOWN</t>
  </si>
  <si>
    <t>TOTAL UNKNOWN</t>
  </si>
  <si>
    <t>GERMANY</t>
  </si>
  <si>
    <t>NETHLDS</t>
  </si>
  <si>
    <t>LEBANON</t>
  </si>
  <si>
    <t>SPAIN</t>
  </si>
  <si>
    <t>PANAMA</t>
  </si>
  <si>
    <t>TRINID</t>
  </si>
  <si>
    <t>TOTAL KNOWN &amp; UNKNOWN</t>
  </si>
  <si>
    <t>EXPORTS FOR OWN ACCT</t>
  </si>
  <si>
    <t>OPTIONAL ORIGIN</t>
  </si>
  <si>
    <t>FRANCE</t>
  </si>
  <si>
    <t>U AR EM</t>
  </si>
  <si>
    <t>PORTUGL</t>
  </si>
  <si>
    <t>S ARAB</t>
  </si>
  <si>
    <t>---------</t>
  </si>
  <si>
    <t>PERU</t>
  </si>
  <si>
    <t>IRAN</t>
  </si>
  <si>
    <t>--------</t>
  </si>
  <si>
    <t>FINLAND</t>
  </si>
  <si>
    <t>Wkly chng last yr</t>
  </si>
  <si>
    <t>GREECE</t>
  </si>
  <si>
    <t>FORMER SOVIET UNION-12</t>
  </si>
  <si>
    <t>UKRAINE</t>
  </si>
  <si>
    <t>ARGENT</t>
  </si>
  <si>
    <t>SWITZLD</t>
  </si>
  <si>
    <t>LY Shipped</t>
  </si>
  <si>
    <t>Shipped</t>
  </si>
  <si>
    <t>CHILE</t>
  </si>
  <si>
    <t>VENEZ</t>
  </si>
  <si>
    <t>2008/09</t>
  </si>
  <si>
    <t>SALVADR</t>
  </si>
  <si>
    <t>*</t>
  </si>
  <si>
    <t>POLAND</t>
  </si>
  <si>
    <t>EXPORTS</t>
  </si>
  <si>
    <t>-----------</t>
  </si>
  <si>
    <t>---</t>
  </si>
  <si>
    <t>CARRYOVER EXPORT SALES</t>
  </si>
  <si>
    <t>AN</t>
  </si>
  <si>
    <t>D ACCUMU</t>
  </si>
  <si>
    <t>LATED EXPOR</t>
  </si>
  <si>
    <t>TS BY COUNTRY AN</t>
  </si>
  <si>
    <t>D REGION</t>
  </si>
  <si>
    <t>MA</t>
  </si>
  <si>
    <t>RKETING</t>
  </si>
  <si>
    <t>YEAR ENDING</t>
  </si>
  <si>
    <t>----------------------------</t>
  </si>
  <si>
    <t>----------------</t>
  </si>
  <si>
    <t>-----</t>
  </si>
  <si>
    <t>CARRYOV</t>
  </si>
  <si>
    <t>ER SALES</t>
  </si>
  <si>
    <t>: ACCUMULATED</t>
  </si>
  <si>
    <t>: 2006/07</t>
  </si>
  <si>
    <t>: 2007/08  :</t>
  </si>
  <si>
    <r>
      <t xml:space="preserve">4 </t>
    </r>
    <r>
      <rPr>
        <sz val="8"/>
        <rFont val="Times New Roman"/>
        <family val="1"/>
      </rPr>
      <t xml:space="preserve">Not included - FAS Press Release:  </t>
    </r>
    <r>
      <rPr>
        <b/>
        <sz val="8"/>
        <rFont val="Times New Roman"/>
        <family val="1"/>
      </rPr>
      <t>120,000 mt</t>
    </r>
    <r>
      <rPr>
        <sz val="8"/>
        <rFont val="Times New Roman"/>
        <family val="1"/>
      </rPr>
      <t xml:space="preserve"> on 12/11 to China for 2008/09.</t>
    </r>
  </si>
  <si>
    <t>2007/8</t>
  </si>
  <si>
    <t>2009/10</t>
  </si>
  <si>
    <t>this year</t>
  </si>
  <si>
    <t xml:space="preserve">this year </t>
  </si>
  <si>
    <t>2008-09</t>
  </si>
  <si>
    <t>IRELAND</t>
  </si>
  <si>
    <t>ROMANIA</t>
  </si>
  <si>
    <t>RUSSIA</t>
  </si>
  <si>
    <t>PAKISTN</t>
  </si>
  <si>
    <t>TUNISIA</t>
  </si>
  <si>
    <t>DOM REP</t>
  </si>
  <si>
    <t>CARRYOVER EXPORT SALES A</t>
  </si>
  <si>
    <t>N</t>
  </si>
  <si>
    <t>2008/09 M</t>
  </si>
  <si>
    <t>A</t>
  </si>
  <si>
    <t>------------------------------</t>
  </si>
  <si>
    <t>----------</t>
  </si>
  <si>
    <t>----</t>
  </si>
  <si>
    <t>: 2007/08</t>
  </si>
  <si>
    <t>: 2008/09  :</t>
  </si>
  <si>
    <t>TOTAL A</t>
  </si>
  <si>
    <t>CC</t>
  </si>
  <si>
    <t>UMULATED</t>
  </si>
  <si>
    <t>EXPOR</t>
  </si>
  <si>
    <t>TS OF SOY</t>
  </si>
  <si>
    <t>BEANS</t>
  </si>
  <si>
    <t>BY COUNT</t>
  </si>
  <si>
    <t>RY</t>
  </si>
  <si>
    <t>RANKED</t>
  </si>
  <si>
    <t>IN DE</t>
  </si>
  <si>
    <t>SCENDING</t>
  </si>
  <si>
    <t>ORDER</t>
  </si>
  <si>
    <t>FOR MARK</t>
  </si>
  <si>
    <t>ETING</t>
  </si>
  <si>
    <t>YEAR 200</t>
  </si>
  <si>
    <t>COMPA</t>
  </si>
  <si>
    <t>RED WITH</t>
  </si>
  <si>
    <t>4 PRE</t>
  </si>
  <si>
    <t>VIOUS MAR</t>
  </si>
  <si>
    <t>KETIN</t>
  </si>
  <si>
    <t>G YEARS</t>
  </si>
  <si>
    <t>(1</t>
  </si>
  <si>
    <t>,000</t>
  </si>
  <si>
    <t>Metric To</t>
  </si>
  <si>
    <t>ns)</t>
  </si>
  <si>
    <t>2008/</t>
  </si>
  <si>
    <t>2007/</t>
  </si>
  <si>
    <t>2006/</t>
  </si>
  <si>
    <t>2005/</t>
  </si>
  <si>
    <t>2004/</t>
  </si>
  <si>
    <t>COUNTRY</t>
  </si>
  <si>
    <t>RANK</t>
  </si>
  <si>
    <t>--</t>
  </si>
  <si>
    <t>------</t>
  </si>
  <si>
    <t>HONDURA</t>
  </si>
  <si>
    <t>BANGLADH</t>
  </si>
  <si>
    <t>NIGERIA</t>
  </si>
  <si>
    <t>S LANKA</t>
  </si>
  <si>
    <t>TOTAL</t>
  </si>
  <si>
    <r>
      <t xml:space="preserve">4 </t>
    </r>
    <r>
      <rPr>
        <sz val="8"/>
        <rFont val="Times New Roman"/>
        <family val="1"/>
      </rPr>
      <t xml:space="preserve">Not included - FAS Press Release:  </t>
    </r>
    <r>
      <rPr>
        <b/>
        <sz val="8"/>
        <rFont val="Times New Roman"/>
        <family val="1"/>
      </rPr>
      <t>110,000 mt</t>
    </r>
    <r>
      <rPr>
        <sz val="8"/>
        <rFont val="Times New Roman"/>
        <family val="1"/>
      </rPr>
      <t xml:space="preserve"> on 10/14 to China for 2009/10.</t>
    </r>
  </si>
  <si>
    <t>2010/11</t>
  </si>
  <si>
    <t>June</t>
  </si>
  <si>
    <t>ACCUM</t>
  </si>
  <si>
    <t>ULATED EX</t>
  </si>
  <si>
    <t>PORTS</t>
  </si>
  <si>
    <t>OF SOYBE</t>
  </si>
  <si>
    <t>ANS BY</t>
  </si>
  <si>
    <t>KETING</t>
  </si>
  <si>
    <t>YEARS</t>
  </si>
  <si>
    <t>2009/</t>
  </si>
  <si>
    <t>China</t>
  </si>
  <si>
    <t>2011/12</t>
  </si>
  <si>
    <t>jun</t>
  </si>
  <si>
    <t>mt soybeans</t>
  </si>
  <si>
    <t>bushels of soybeans</t>
  </si>
  <si>
    <t>soy oil used for methyl ester (biodiesel)</t>
  </si>
  <si>
    <t>SWEDEN</t>
  </si>
  <si>
    <t>2012/13</t>
  </si>
  <si>
    <t>TS BY COUNTRY</t>
  </si>
  <si>
    <t>AND REGION</t>
  </si>
  <si>
    <t>2010/11 M</t>
  </si>
  <si>
    <t>-------------</t>
  </si>
  <si>
    <t>: ACCUMULA</t>
  </si>
  <si>
    <t>TED EXPORTS</t>
  </si>
  <si>
    <t>: 2009/10</t>
  </si>
  <si>
    <t>: 2010/11</t>
  </si>
  <si>
    <t>YEAR 201</t>
  </si>
  <si>
    <t>0/2011</t>
  </si>
  <si>
    <t>2010/</t>
  </si>
  <si>
    <t>RAN</t>
  </si>
  <si>
    <t>K</t>
  </si>
  <si>
    <t>TOTAL AC</t>
  </si>
  <si>
    <t>CU</t>
  </si>
  <si>
    <t>MULATED E</t>
  </si>
  <si>
    <t>XPORTS</t>
  </si>
  <si>
    <t>OF SOYB</t>
  </si>
  <si>
    <t>EANS</t>
  </si>
  <si>
    <t>BY COUNTR</t>
  </si>
  <si>
    <t>Y</t>
  </si>
  <si>
    <t>IN DES</t>
  </si>
  <si>
    <t>CENDING</t>
  </si>
  <si>
    <t>ORDE</t>
  </si>
  <si>
    <t>R FOR MARK</t>
  </si>
  <si>
    <t>COMPAR</t>
  </si>
  <si>
    <t>ED WITH</t>
  </si>
  <si>
    <t>4 PR</t>
  </si>
  <si>
    <t>EVIOUS MAR</t>
  </si>
  <si>
    <t>2011/</t>
  </si>
  <si>
    <t>K  EXPORTS</t>
  </si>
  <si>
    <t>TS B</t>
  </si>
  <si>
    <t>Y COUNTRY</t>
  </si>
  <si>
    <t>AUG</t>
  </si>
  <si>
    <t>UST 31, 2</t>
  </si>
  <si>
    <t>--------------</t>
  </si>
  <si>
    <t>ACCUMULA</t>
  </si>
  <si>
    <t>TED</t>
  </si>
  <si>
    <t>Egypt</t>
  </si>
  <si>
    <t>Export Sales</t>
  </si>
  <si>
    <t>This yr</t>
  </si>
  <si>
    <t>Last yr</t>
  </si>
  <si>
    <t xml:space="preserve">Weeks </t>
  </si>
  <si>
    <t>Inspections (Mill Bushels)</t>
  </si>
  <si>
    <t>Inspections (Metric Tons)</t>
  </si>
  <si>
    <t>Remaining</t>
  </si>
  <si>
    <t>Date</t>
  </si>
  <si>
    <t>Unshipped</t>
  </si>
  <si>
    <t>Miss Gulf</t>
  </si>
  <si>
    <t>3-yr Ave</t>
  </si>
  <si>
    <t>PNW</t>
  </si>
  <si>
    <t>3-Yr Ave</t>
  </si>
  <si>
    <t>Total</t>
  </si>
  <si>
    <t>2012-13</t>
  </si>
  <si>
    <t>as of 12/20/2012</t>
  </si>
  <si>
    <t>Weekly pace</t>
  </si>
  <si>
    <t>Cumulative Weekly Inspections:</t>
  </si>
  <si>
    <t>2012-13 Soybeans Exports, Weekly Pace Needed to reach forecast</t>
  </si>
  <si>
    <t>Sales Needed to Meet WASDE</t>
  </si>
  <si>
    <t>Shipments Needed to Meet WASDE</t>
  </si>
  <si>
    <t>Actual Export Sales</t>
  </si>
  <si>
    <t>Cumulative Weekly Inspections</t>
  </si>
  <si>
    <t>3-year average</t>
  </si>
  <si>
    <t>Total Sales</t>
  </si>
  <si>
    <t>Total Shipped</t>
  </si>
  <si>
    <t>This week</t>
  </si>
  <si>
    <t>% ttl sales</t>
  </si>
  <si>
    <t>% ttl shipped</t>
  </si>
  <si>
    <t>% ttl 3yr</t>
  </si>
  <si>
    <t>%shpd 3yr</t>
  </si>
  <si>
    <t>% ly shpd</t>
  </si>
  <si>
    <t>5-weeks ending Jan 3 as % of total</t>
  </si>
  <si>
    <t>3-yr ave</t>
  </si>
  <si>
    <t>5-weeks (metric tons)</t>
  </si>
  <si>
    <t>Actual (tons)</t>
  </si>
  <si>
    <t>Soybeans</t>
  </si>
  <si>
    <t>Barge (.47*exports*.93)</t>
  </si>
  <si>
    <t>WASDE</t>
  </si>
  <si>
    <t>Commodity</t>
  </si>
  <si>
    <t>Attribute</t>
  </si>
  <si>
    <t>Country</t>
  </si>
  <si>
    <t>2009/2010</t>
  </si>
  <si>
    <t>2010/2011</t>
  </si>
  <si>
    <t>2011/2012</t>
  </si>
  <si>
    <t>2012/2013</t>
  </si>
  <si>
    <t>Oilseed, Soybean</t>
  </si>
  <si>
    <t>MY Exports (1000 MT)</t>
  </si>
  <si>
    <t>United States</t>
  </si>
  <si>
    <t>5 weeks as % of total</t>
  </si>
  <si>
    <t>Forecast (tons):  WASDE*3-yr avg % + higher commitments*</t>
  </si>
  <si>
    <t>*Higher Commitments:</t>
  </si>
  <si>
    <t>Ttotal Comtmnts</t>
  </si>
  <si>
    <t>3-yr avg</t>
  </si>
  <si>
    <t>More moving b/c of higher cmtmts</t>
  </si>
  <si>
    <t>.02*36.610</t>
  </si>
  <si>
    <t>ALES AND</t>
  </si>
  <si>
    <t>YR AGO</t>
  </si>
  <si>
    <t>GRAND TOTAL</t>
  </si>
  <si>
    <t>Metric Tons</t>
  </si>
  <si>
    <t>CMY</t>
  </si>
  <si>
    <t>NMY</t>
  </si>
  <si>
    <t>Accum.</t>
  </si>
  <si>
    <t>Outstanding</t>
  </si>
  <si>
    <t>Gross</t>
  </si>
  <si>
    <t>Net</t>
  </si>
  <si>
    <t>Unit Desc</t>
  </si>
  <si>
    <t>SOYBEANS       : 03/14   3706.5    226.8   31898.6  1172.1    35605.2</t>
  </si>
  <si>
    <t xml:space="preserve">               : 03/21   3203.0    569.9   32468.5  1193.0    35671.5  36610</t>
  </si>
  <si>
    <t xml:space="preserve">               :YR AGO   5044.0    561.4   26269.2   965.2    31313.1</t>
  </si>
  <si>
    <t xml:space="preserve">               :</t>
  </si>
  <si>
    <t>OUTSTANDING EXPORT</t>
  </si>
  <si>
    <t>S</t>
  </si>
  <si>
    <t>----------------------</t>
  </si>
  <si>
    <t>KETING YEAR</t>
  </si>
  <si>
    <t>/01 - 08/31</t>
  </si>
  <si>
    <t>ING YEAR</t>
  </si>
  <si>
    <t>:NEXT MAR</t>
  </si>
  <si>
    <t>DING SALES</t>
  </si>
  <si>
    <t>:SECOND Y</t>
  </si>
  <si>
    <t>R: THIRD YR</t>
  </si>
  <si>
    <t>MARKETI</t>
  </si>
  <si>
    <t>NG YEAR 09</t>
  </si>
  <si>
    <t>REGION</t>
  </si>
  <si>
    <t>AND MARKET</t>
  </si>
  <si>
    <t>D EXPORT</t>
  </si>
  <si>
    <t>S: OUTSTAN</t>
  </si>
  <si>
    <t>2012/</t>
  </si>
  <si>
    <t>BY COUNTRY,</t>
  </si>
  <si>
    <t>AS OF SE</t>
  </si>
  <si>
    <t>RRENT MAR</t>
  </si>
  <si>
    <t>OUTSTAND</t>
  </si>
  <si>
    <t>ING SALES</t>
  </si>
  <si>
    <t>:ACCUMULATE</t>
  </si>
  <si>
    <t>THIS WEE</t>
  </si>
  <si>
    <t>K: YR AGO</t>
  </si>
  <si>
    <t>:THIS WEEK:</t>
  </si>
  <si>
    <t>SOYBEANS       : 09/05  21896.3     60.1      60.1     2.2    21956.4</t>
  </si>
  <si>
    <t xml:space="preserve">               : 09/12  22745.4     74.2     134.3     4.9    22879.7  37290</t>
  </si>
  <si>
    <t xml:space="preserve">               :YR AGO  20825.0    207.3     546.7    20.1    21371.7</t>
  </si>
  <si>
    <t>PTEMBER 1</t>
  </si>
  <si>
    <t>2, 2013</t>
  </si>
  <si>
    <t>KUWAIT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</si>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</sst>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_);[Red]\(0\)"/>
    <numFmt numFmtId="167" formatCode="0.0_);[Red]\(0.0\)"/>
    <numFmt numFmtId="168" formatCode="mm/dd/yy;@"/>
    <numFmt numFmtId="169" formatCode="#,##0.0"/>
    <numFmt numFmtId="170" formatCode="0.0"/>
    <numFmt numFmtId="171" formatCode="mm\/dd\/yyyy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color indexed="10"/>
      <name val="Times New Roman"/>
      <family val="1"/>
    </font>
    <font>
      <b/>
      <sz val="11"/>
      <name val="Times New Roman"/>
      <family val="1"/>
    </font>
    <font>
      <sz val="8"/>
      <color indexed="10"/>
      <name val="Times New Roman"/>
      <family val="1"/>
    </font>
    <font>
      <vertAlign val="superscript"/>
      <sz val="8"/>
      <name val="Times New Roman"/>
      <family val="1"/>
    </font>
    <font>
      <sz val="9"/>
      <name val="Times New Roman"/>
      <family val="1"/>
    </font>
    <font>
      <sz val="8"/>
      <name val="Courier New"/>
      <family val="3"/>
    </font>
    <font>
      <u/>
      <sz val="10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name val="Arial Unicode MS"/>
      <family val="2"/>
    </font>
    <font>
      <sz val="9"/>
      <name val="Courier New"/>
      <family val="3"/>
    </font>
    <font>
      <sz val="10"/>
      <name val="Arial"/>
      <family val="2"/>
    </font>
    <font>
      <sz val="10"/>
      <name val="Courier New"/>
      <family val="3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Calibri"/>
      <family val="2"/>
    </font>
    <font>
      <sz val="10"/>
      <color rgb="FFFF0000"/>
      <name val="Arial"/>
      <family val="2"/>
    </font>
    <font>
      <b/>
      <sz val="7"/>
      <color rgb="FF4D4D4D"/>
      <name val="Verdana"/>
      <family val="2"/>
    </font>
    <font>
      <b/>
      <u/>
      <sz val="10"/>
      <color rgb="FF008000"/>
      <name val="Arial"/>
      <family val="2"/>
    </font>
    <font>
      <sz val="8"/>
      <color rgb="FF000000"/>
      <name val="Courier New"/>
      <family val="3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5D5D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9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medium">
        <color rgb="FFC0C0C0"/>
      </left>
      <right style="thin">
        <color rgb="FF000000"/>
      </right>
      <top style="medium">
        <color rgb="FFC0C0C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C0C0C0"/>
      </top>
      <bottom style="thin">
        <color rgb="FF000000"/>
      </bottom>
      <diagonal/>
    </border>
    <border>
      <left style="thin">
        <color rgb="FF000000"/>
      </left>
      <right style="medium">
        <color rgb="FFC0C0C0"/>
      </right>
      <top style="medium">
        <color rgb="FFC0C0C0"/>
      </top>
      <bottom style="thin">
        <color rgb="FF000000"/>
      </bottom>
      <diagonal/>
    </border>
    <border>
      <left style="medium">
        <color rgb="FFC0C0C0"/>
      </left>
      <right style="thin">
        <color rgb="FF000000"/>
      </right>
      <top style="thin">
        <color rgb="FF000000"/>
      </top>
      <bottom style="medium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C0C0C0"/>
      </bottom>
      <diagonal/>
    </border>
    <border>
      <left style="thin">
        <color rgb="FF000000"/>
      </left>
      <right style="medium">
        <color rgb="FFC0C0C0"/>
      </right>
      <top style="thin">
        <color rgb="FF000000"/>
      </top>
      <bottom style="medium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6" fillId="9" borderId="18" applyNumberFormat="0" applyFont="0" applyAlignment="0" applyProtection="0"/>
    <xf numFmtId="9" fontId="1" fillId="0" borderId="0" applyFont="0" applyFill="0" applyBorder="0" applyAlignment="0" applyProtection="0"/>
  </cellStyleXfs>
  <cellXfs count="264">
    <xf numFmtId="0" fontId="0" fillId="0" borderId="0" xfId="0"/>
    <xf numFmtId="9" fontId="0" fillId="0" borderId="0" xfId="3" applyFont="1"/>
    <xf numFmtId="164" fontId="0" fillId="0" borderId="0" xfId="1" applyNumberFormat="1" applyFont="1"/>
    <xf numFmtId="0" fontId="3" fillId="0" borderId="0" xfId="0" applyFont="1"/>
    <xf numFmtId="164" fontId="0" fillId="0" borderId="0" xfId="0" applyNumberFormat="1"/>
    <xf numFmtId="4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/>
    <xf numFmtId="15" fontId="3" fillId="0" borderId="6" xfId="0" applyNumberFormat="1" applyFont="1" applyBorder="1"/>
    <xf numFmtId="0" fontId="0" fillId="0" borderId="0" xfId="0" applyFill="1" applyBorder="1"/>
    <xf numFmtId="1" fontId="0" fillId="0" borderId="0" xfId="0" applyNumberFormat="1"/>
    <xf numFmtId="0" fontId="0" fillId="0" borderId="0" xfId="0" applyBorder="1"/>
    <xf numFmtId="15" fontId="3" fillId="0" borderId="0" xfId="0" applyNumberFormat="1" applyFont="1" applyBorder="1"/>
    <xf numFmtId="15" fontId="0" fillId="0" borderId="0" xfId="0" applyNumberFormat="1"/>
    <xf numFmtId="0" fontId="5" fillId="0" borderId="0" xfId="0" applyFont="1"/>
    <xf numFmtId="0" fontId="5" fillId="0" borderId="6" xfId="0" applyFont="1" applyBorder="1"/>
    <xf numFmtId="0" fontId="5" fillId="0" borderId="7" xfId="0" applyFont="1" applyBorder="1"/>
    <xf numFmtId="164" fontId="5" fillId="0" borderId="0" xfId="0" applyNumberFormat="1" applyFont="1"/>
    <xf numFmtId="164" fontId="5" fillId="0" borderId="8" xfId="0" applyNumberFormat="1" applyFont="1" applyBorder="1"/>
    <xf numFmtId="0" fontId="4" fillId="0" borderId="2" xfId="0" applyFont="1" applyFill="1" applyBorder="1"/>
    <xf numFmtId="164" fontId="4" fillId="0" borderId="1" xfId="0" applyNumberFormat="1" applyFont="1" applyBorder="1"/>
    <xf numFmtId="164" fontId="4" fillId="0" borderId="0" xfId="0" applyNumberFormat="1" applyFont="1"/>
    <xf numFmtId="9" fontId="4" fillId="0" borderId="6" xfId="3" applyFont="1" applyBorder="1"/>
    <xf numFmtId="164" fontId="4" fillId="0" borderId="3" xfId="0" applyNumberFormat="1" applyFont="1" applyBorder="1"/>
    <xf numFmtId="164" fontId="4" fillId="0" borderId="8" xfId="1" applyNumberFormat="1" applyFont="1" applyFill="1" applyBorder="1"/>
    <xf numFmtId="9" fontId="4" fillId="0" borderId="9" xfId="3" applyFont="1" applyBorder="1"/>
    <xf numFmtId="9" fontId="5" fillId="0" borderId="10" xfId="3" applyFont="1" applyBorder="1"/>
    <xf numFmtId="165" fontId="5" fillId="0" borderId="5" xfId="3" applyNumberFormat="1" applyFont="1" applyBorder="1"/>
    <xf numFmtId="164" fontId="5" fillId="0" borderId="0" xfId="1" applyNumberFormat="1" applyFont="1" applyBorder="1"/>
    <xf numFmtId="9" fontId="5" fillId="0" borderId="8" xfId="3" applyFont="1" applyBorder="1"/>
    <xf numFmtId="165" fontId="5" fillId="0" borderId="3" xfId="3" applyNumberFormat="1" applyFont="1" applyBorder="1"/>
    <xf numFmtId="14" fontId="0" fillId="0" borderId="0" xfId="0" applyNumberFormat="1"/>
    <xf numFmtId="164" fontId="5" fillId="2" borderId="0" xfId="0" applyNumberFormat="1" applyFont="1" applyFill="1" applyBorder="1"/>
    <xf numFmtId="9" fontId="0" fillId="0" borderId="0" xfId="3" applyNumberFormat="1" applyFont="1"/>
    <xf numFmtId="0" fontId="4" fillId="2" borderId="0" xfId="0" applyFont="1" applyFill="1" applyBorder="1" applyAlignment="1">
      <alignment wrapText="1"/>
    </xf>
    <xf numFmtId="0" fontId="4" fillId="3" borderId="0" xfId="0" applyFont="1" applyFill="1" applyBorder="1" applyAlignment="1">
      <alignment horizontal="right"/>
    </xf>
    <xf numFmtId="0" fontId="5" fillId="2" borderId="0" xfId="0" applyFont="1" applyFill="1" applyBorder="1"/>
    <xf numFmtId="16" fontId="0" fillId="0" borderId="0" xfId="0" applyNumberFormat="1"/>
    <xf numFmtId="43" fontId="0" fillId="0" borderId="0" xfId="1" applyFont="1"/>
    <xf numFmtId="164" fontId="4" fillId="2" borderId="0" xfId="0" applyNumberFormat="1" applyFont="1" applyFill="1" applyBorder="1"/>
    <xf numFmtId="0" fontId="4" fillId="2" borderId="0" xfId="0" quotePrefix="1" applyFont="1" applyFill="1" applyBorder="1" applyAlignment="1"/>
    <xf numFmtId="166" fontId="5" fillId="2" borderId="0" xfId="0" applyNumberFormat="1" applyFont="1" applyFill="1" applyBorder="1"/>
    <xf numFmtId="0" fontId="0" fillId="4" borderId="0" xfId="0" applyFill="1"/>
    <xf numFmtId="166" fontId="4" fillId="2" borderId="0" xfId="0" applyNumberFormat="1" applyFont="1" applyFill="1" applyBorder="1"/>
    <xf numFmtId="0" fontId="0" fillId="0" borderId="0" xfId="3" applyNumberFormat="1" applyFont="1"/>
    <xf numFmtId="164" fontId="8" fillId="2" borderId="0" xfId="0" applyNumberFormat="1" applyFont="1" applyFill="1" applyBorder="1"/>
    <xf numFmtId="0" fontId="0" fillId="3" borderId="0" xfId="0" applyFill="1" applyBorder="1"/>
    <xf numFmtId="0" fontId="7" fillId="2" borderId="0" xfId="0" applyFont="1" applyFill="1" applyBorder="1" applyAlignment="1">
      <alignment horizontal="center"/>
    </xf>
    <xf numFmtId="0" fontId="4" fillId="3" borderId="0" xfId="0" applyFont="1" applyFill="1" applyBorder="1"/>
    <xf numFmtId="0" fontId="4" fillId="3" borderId="0" xfId="0" applyFont="1" applyFill="1" applyBorder="1" applyAlignment="1">
      <alignment horizontal="right" vertical="center"/>
    </xf>
    <xf numFmtId="0" fontId="0" fillId="4" borderId="0" xfId="0" applyFill="1" applyBorder="1"/>
    <xf numFmtId="3" fontId="5" fillId="2" borderId="0" xfId="0" applyNumberFormat="1" applyFont="1" applyFill="1" applyBorder="1"/>
    <xf numFmtId="3" fontId="5" fillId="2" borderId="0" xfId="0" applyNumberFormat="1" applyFont="1" applyFill="1" applyBorder="1" applyAlignment="1">
      <alignment horizontal="right"/>
    </xf>
    <xf numFmtId="3" fontId="5" fillId="2" borderId="8" xfId="1" applyNumberFormat="1" applyFont="1" applyFill="1" applyBorder="1" applyAlignment="1">
      <alignment horizontal="right"/>
    </xf>
    <xf numFmtId="0" fontId="0" fillId="5" borderId="0" xfId="0" applyFill="1"/>
    <xf numFmtId="3" fontId="4" fillId="2" borderId="0" xfId="0" applyNumberFormat="1" applyFont="1" applyFill="1" applyBorder="1" applyAlignment="1">
      <alignment horizontal="right"/>
    </xf>
    <xf numFmtId="0" fontId="0" fillId="6" borderId="0" xfId="0" applyFill="1"/>
    <xf numFmtId="14" fontId="0" fillId="6" borderId="0" xfId="0" applyNumberFormat="1" applyFill="1"/>
    <xf numFmtId="14" fontId="0" fillId="0" borderId="0" xfId="0" applyNumberFormat="1" applyFill="1"/>
    <xf numFmtId="0" fontId="0" fillId="0" borderId="12" xfId="0" applyBorder="1"/>
    <xf numFmtId="14" fontId="0" fillId="7" borderId="0" xfId="0" applyNumberFormat="1" applyFill="1"/>
    <xf numFmtId="0" fontId="0" fillId="7" borderId="0" xfId="0" applyFill="1"/>
    <xf numFmtId="1" fontId="0" fillId="7" borderId="0" xfId="0" applyNumberFormat="1" applyFill="1"/>
    <xf numFmtId="164" fontId="0" fillId="7" borderId="0" xfId="1" applyNumberFormat="1" applyFont="1" applyFill="1"/>
    <xf numFmtId="0" fontId="0" fillId="7" borderId="0" xfId="3" applyNumberFormat="1" applyFont="1" applyFill="1"/>
    <xf numFmtId="0" fontId="13" fillId="0" borderId="0" xfId="0" applyFont="1"/>
    <xf numFmtId="0" fontId="14" fillId="0" borderId="0" xfId="0" applyFont="1"/>
    <xf numFmtId="0" fontId="6" fillId="0" borderId="0" xfId="0" applyFont="1"/>
    <xf numFmtId="0" fontId="12" fillId="2" borderId="0" xfId="0" applyFont="1" applyFill="1" applyBorder="1"/>
    <xf numFmtId="3" fontId="0" fillId="0" borderId="0" xfId="0" applyNumberFormat="1"/>
    <xf numFmtId="14" fontId="0" fillId="5" borderId="0" xfId="0" applyNumberFormat="1" applyFill="1"/>
    <xf numFmtId="0" fontId="15" fillId="2" borderId="0" xfId="0" applyFont="1" applyFill="1"/>
    <xf numFmtId="14" fontId="4" fillId="2" borderId="0" xfId="0" quotePrefix="1" applyNumberFormat="1" applyFont="1" applyFill="1" applyBorder="1"/>
    <xf numFmtId="164" fontId="4" fillId="9" borderId="18" xfId="2" applyNumberFormat="1" applyFont="1" applyAlignment="1">
      <alignment horizontal="right"/>
    </xf>
    <xf numFmtId="43" fontId="19" fillId="9" borderId="18" xfId="2" applyNumberFormat="1" applyFont="1"/>
    <xf numFmtId="0" fontId="19" fillId="9" borderId="18" xfId="2" applyFont="1"/>
    <xf numFmtId="0" fontId="3" fillId="9" borderId="18" xfId="2" applyFont="1"/>
    <xf numFmtId="43" fontId="3" fillId="9" borderId="18" xfId="2" applyNumberFormat="1" applyFont="1"/>
    <xf numFmtId="4" fontId="4" fillId="9" borderId="18" xfId="2" applyNumberFormat="1" applyFont="1"/>
    <xf numFmtId="14" fontId="4" fillId="9" borderId="18" xfId="2" applyNumberFormat="1" applyFont="1"/>
    <xf numFmtId="0" fontId="1" fillId="0" borderId="0" xfId="0" applyFont="1"/>
    <xf numFmtId="0" fontId="17" fillId="0" borderId="0" xfId="0" applyFont="1"/>
    <xf numFmtId="17" fontId="0" fillId="0" borderId="0" xfId="0" applyNumberFormat="1"/>
    <xf numFmtId="14" fontId="0" fillId="10" borderId="0" xfId="0" applyNumberFormat="1" applyFill="1"/>
    <xf numFmtId="0" fontId="0" fillId="10" borderId="0" xfId="0" applyFill="1"/>
    <xf numFmtId="1" fontId="0" fillId="10" borderId="0" xfId="0" applyNumberFormat="1" applyFill="1"/>
    <xf numFmtId="164" fontId="19" fillId="10" borderId="0" xfId="1" applyNumberFormat="1" applyFont="1" applyFill="1"/>
    <xf numFmtId="0" fontId="19" fillId="10" borderId="0" xfId="3" applyNumberFormat="1" applyFont="1" applyFill="1"/>
    <xf numFmtId="0" fontId="11" fillId="11" borderId="0" xfId="2" applyFont="1" applyFill="1" applyBorder="1" applyAlignment="1">
      <alignment wrapText="1"/>
    </xf>
    <xf numFmtId="0" fontId="13" fillId="0" borderId="0" xfId="0" applyFont="1" applyAlignment="1">
      <alignment vertical="center"/>
    </xf>
    <xf numFmtId="169" fontId="0" fillId="0" borderId="0" xfId="0" applyNumberFormat="1"/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0" fontId="11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6" fillId="11" borderId="0" xfId="2" applyFont="1" applyFill="1" applyBorder="1" applyAlignment="1">
      <alignment horizontal="left" vertical="center"/>
    </xf>
    <xf numFmtId="164" fontId="0" fillId="10" borderId="0" xfId="0" applyNumberFormat="1" applyFill="1"/>
    <xf numFmtId="0" fontId="18" fillId="0" borderId="0" xfId="0" applyFont="1"/>
    <xf numFmtId="0" fontId="3" fillId="12" borderId="18" xfId="2" applyFont="1" applyFill="1"/>
    <xf numFmtId="14" fontId="4" fillId="12" borderId="18" xfId="2" applyNumberFormat="1" applyFont="1" applyFill="1"/>
    <xf numFmtId="0" fontId="19" fillId="12" borderId="18" xfId="2" applyFont="1" applyFill="1"/>
    <xf numFmtId="43" fontId="3" fillId="12" borderId="18" xfId="2" applyNumberFormat="1" applyFont="1" applyFill="1"/>
    <xf numFmtId="0" fontId="19" fillId="9" borderId="19" xfId="2" applyFont="1" applyBorder="1"/>
    <xf numFmtId="14" fontId="4" fillId="9" borderId="19" xfId="2" applyNumberFormat="1" applyFont="1" applyBorder="1"/>
    <xf numFmtId="0" fontId="19" fillId="9" borderId="20" xfId="2" applyFont="1" applyBorder="1"/>
    <xf numFmtId="0" fontId="1" fillId="9" borderId="20" xfId="2" applyFont="1" applyBorder="1"/>
    <xf numFmtId="0" fontId="3" fillId="9" borderId="21" xfId="2" applyFont="1" applyBorder="1"/>
    <xf numFmtId="0" fontId="3" fillId="9" borderId="22" xfId="2" applyFont="1" applyBorder="1"/>
    <xf numFmtId="14" fontId="4" fillId="9" borderId="23" xfId="2" applyNumberFormat="1" applyFont="1" applyBorder="1"/>
    <xf numFmtId="0" fontId="19" fillId="9" borderId="23" xfId="2" applyFont="1" applyBorder="1"/>
    <xf numFmtId="0" fontId="19" fillId="9" borderId="24" xfId="2" applyFont="1" applyBorder="1"/>
    <xf numFmtId="43" fontId="3" fillId="9" borderId="25" xfId="2" applyNumberFormat="1" applyFont="1" applyBorder="1"/>
    <xf numFmtId="43" fontId="3" fillId="9" borderId="26" xfId="2" applyNumberFormat="1" applyFont="1" applyBorder="1"/>
    <xf numFmtId="1" fontId="0" fillId="0" borderId="0" xfId="0" applyNumberFormat="1" applyFont="1"/>
    <xf numFmtId="1" fontId="1" fillId="0" borderId="0" xfId="0" applyNumberFormat="1" applyFont="1"/>
    <xf numFmtId="164" fontId="1" fillId="0" borderId="0" xfId="1" applyNumberFormat="1" applyFont="1"/>
    <xf numFmtId="0" fontId="1" fillId="0" borderId="0" xfId="3" applyNumberFormat="1" applyFont="1"/>
    <xf numFmtId="170" fontId="0" fillId="0" borderId="0" xfId="0" applyNumberFormat="1"/>
    <xf numFmtId="170" fontId="17" fillId="0" borderId="0" xfId="0" applyNumberFormat="1" applyFont="1"/>
    <xf numFmtId="170" fontId="0" fillId="0" borderId="0" xfId="1" applyNumberFormat="1" applyFont="1"/>
    <xf numFmtId="0" fontId="0" fillId="12" borderId="0" xfId="0" applyFill="1"/>
    <xf numFmtId="0" fontId="15" fillId="12" borderId="0" xfId="0" applyFont="1" applyFill="1"/>
    <xf numFmtId="164" fontId="4" fillId="12" borderId="0" xfId="1" applyNumberFormat="1" applyFont="1" applyFill="1" applyBorder="1" applyAlignment="1">
      <alignment horizontal="right"/>
    </xf>
    <xf numFmtId="3" fontId="4" fillId="12" borderId="0" xfId="0" applyNumberFormat="1" applyFont="1" applyFill="1" applyBorder="1"/>
    <xf numFmtId="170" fontId="1" fillId="0" borderId="0" xfId="0" applyNumberFormat="1" applyFont="1"/>
    <xf numFmtId="9" fontId="24" fillId="10" borderId="0" xfId="3" applyNumberFormat="1" applyFont="1" applyFill="1"/>
    <xf numFmtId="0" fontId="13" fillId="10" borderId="0" xfId="0" applyFont="1" applyFill="1"/>
    <xf numFmtId="0" fontId="11" fillId="11" borderId="0" xfId="2" applyFont="1" applyFill="1" applyBorder="1" applyAlignment="1">
      <alignment horizontal="left" vertical="center"/>
    </xf>
    <xf numFmtId="0" fontId="20" fillId="0" borderId="0" xfId="0" applyFont="1"/>
    <xf numFmtId="0" fontId="6" fillId="11" borderId="0" xfId="2" applyFont="1" applyFill="1" applyBorder="1" applyAlignment="1">
      <alignment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1" fillId="0" borderId="1" xfId="0" applyFont="1" applyBorder="1"/>
    <xf numFmtId="0" fontId="1" fillId="0" borderId="12" xfId="0" applyFont="1" applyBorder="1" applyAlignment="1">
      <alignment wrapText="1"/>
    </xf>
    <xf numFmtId="0" fontId="1" fillId="0" borderId="12" xfId="0" applyFont="1" applyBorder="1"/>
    <xf numFmtId="0" fontId="0" fillId="13" borderId="12" xfId="0" applyFill="1" applyBorder="1" applyAlignment="1">
      <alignment wrapText="1"/>
    </xf>
    <xf numFmtId="0" fontId="0" fillId="14" borderId="12" xfId="0" applyFill="1" applyBorder="1" applyAlignment="1">
      <alignment wrapText="1"/>
    </xf>
    <xf numFmtId="15" fontId="3" fillId="0" borderId="0" xfId="0" applyNumberFormat="1" applyFont="1"/>
    <xf numFmtId="37" fontId="0" fillId="0" borderId="0" xfId="0" applyNumberFormat="1"/>
    <xf numFmtId="15" fontId="26" fillId="0" borderId="0" xfId="0" applyNumberFormat="1" applyFont="1"/>
    <xf numFmtId="3" fontId="3" fillId="0" borderId="0" xfId="0" applyNumberFormat="1" applyFont="1"/>
    <xf numFmtId="15" fontId="1" fillId="0" borderId="0" xfId="0" applyNumberFormat="1" applyFont="1"/>
    <xf numFmtId="164" fontId="3" fillId="10" borderId="0" xfId="1" applyNumberFormat="1" applyFont="1" applyFill="1"/>
    <xf numFmtId="164" fontId="26" fillId="0" borderId="0" xfId="1" applyNumberFormat="1" applyFont="1"/>
    <xf numFmtId="0" fontId="3" fillId="15" borderId="12" xfId="0" applyFont="1" applyFill="1" applyBorder="1" applyAlignment="1">
      <alignment horizontal="right" wrapText="1"/>
    </xf>
    <xf numFmtId="0" fontId="0" fillId="15" borderId="12" xfId="0" applyFill="1" applyBorder="1" applyAlignment="1">
      <alignment horizontal="right" wrapText="1"/>
    </xf>
    <xf numFmtId="0" fontId="3" fillId="14" borderId="12" xfId="0" applyFont="1" applyFill="1" applyBorder="1" applyAlignment="1">
      <alignment wrapText="1"/>
    </xf>
    <xf numFmtId="164" fontId="0" fillId="0" borderId="0" xfId="0" applyNumberFormat="1" applyFill="1" applyBorder="1" applyAlignment="1">
      <alignment wrapText="1"/>
    </xf>
    <xf numFmtId="164" fontId="26" fillId="0" borderId="0" xfId="0" applyNumberFormat="1" applyFont="1" applyFill="1" applyBorder="1" applyAlignment="1">
      <alignment wrapText="1"/>
    </xf>
    <xf numFmtId="0" fontId="1" fillId="0" borderId="0" xfId="0" applyFont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10" borderId="0" xfId="0" applyFont="1" applyFill="1"/>
    <xf numFmtId="164" fontId="24" fillId="10" borderId="0" xfId="1" applyNumberFormat="1" applyFont="1" applyFill="1"/>
    <xf numFmtId="164" fontId="24" fillId="12" borderId="0" xfId="1" applyNumberFormat="1" applyFont="1" applyFill="1"/>
    <xf numFmtId="14" fontId="0" fillId="12" borderId="0" xfId="0" applyNumberFormat="1" applyFill="1"/>
    <xf numFmtId="0" fontId="1" fillId="12" borderId="0" xfId="0" applyFont="1" applyFill="1"/>
    <xf numFmtId="9" fontId="24" fillId="12" borderId="0" xfId="3" applyNumberFormat="1" applyFont="1" applyFill="1"/>
    <xf numFmtId="165" fontId="0" fillId="0" borderId="0" xfId="3" applyNumberFormat="1" applyFont="1"/>
    <xf numFmtId="0" fontId="1" fillId="0" borderId="11" xfId="0" applyFont="1" applyBorder="1"/>
    <xf numFmtId="0" fontId="0" fillId="0" borderId="13" xfId="0" applyBorder="1"/>
    <xf numFmtId="0" fontId="0" fillId="0" borderId="12" xfId="0" applyBorder="1" applyAlignment="1">
      <alignment horizontal="right"/>
    </xf>
    <xf numFmtId="0" fontId="1" fillId="0" borderId="12" xfId="0" applyFont="1" applyBorder="1" applyAlignment="1">
      <alignment horizontal="right"/>
    </xf>
    <xf numFmtId="9" fontId="0" fillId="0" borderId="0" xfId="3" applyFont="1" applyFill="1"/>
    <xf numFmtId="0" fontId="27" fillId="16" borderId="27" xfId="0" applyFont="1" applyFill="1" applyBorder="1" applyAlignment="1">
      <alignment horizontal="center" vertical="center" wrapText="1"/>
    </xf>
    <xf numFmtId="0" fontId="27" fillId="16" borderId="28" xfId="0" applyFont="1" applyFill="1" applyBorder="1" applyAlignment="1">
      <alignment horizontal="center" vertical="center" wrapText="1"/>
    </xf>
    <xf numFmtId="0" fontId="27" fillId="16" borderId="29" xfId="0" applyFont="1" applyFill="1" applyBorder="1" applyAlignment="1">
      <alignment horizontal="center" vertical="center" wrapText="1"/>
    </xf>
    <xf numFmtId="0" fontId="27" fillId="16" borderId="0" xfId="0" applyFont="1" applyFill="1" applyAlignment="1">
      <alignment horizontal="center"/>
    </xf>
    <xf numFmtId="0" fontId="0" fillId="0" borderId="30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3" fontId="0" fillId="0" borderId="31" xfId="0" applyNumberFormat="1" applyBorder="1" applyAlignment="1">
      <alignment horizontal="right" wrapText="1"/>
    </xf>
    <xf numFmtId="3" fontId="0" fillId="0" borderId="32" xfId="0" applyNumberFormat="1" applyBorder="1" applyAlignment="1">
      <alignment horizontal="right" wrapText="1"/>
    </xf>
    <xf numFmtId="0" fontId="1" fillId="0" borderId="0" xfId="0" applyFont="1" applyAlignment="1">
      <alignment wrapText="1"/>
    </xf>
    <xf numFmtId="164" fontId="28" fillId="0" borderId="0" xfId="1" applyNumberFormat="1" applyFont="1"/>
    <xf numFmtId="15" fontId="0" fillId="0" borderId="0" xfId="0" applyNumberFormat="1" applyAlignment="1">
      <alignment horizontal="left"/>
    </xf>
    <xf numFmtId="0" fontId="29" fillId="0" borderId="0" xfId="0" applyFont="1" applyAlignment="1">
      <alignment vertical="center"/>
    </xf>
    <xf numFmtId="0" fontId="29" fillId="0" borderId="0" xfId="0" applyFont="1"/>
    <xf numFmtId="0" fontId="6" fillId="0" borderId="0" xfId="0" applyFont="1" applyAlignment="1">
      <alignment vertical="center"/>
    </xf>
    <xf numFmtId="0" fontId="21" fillId="0" borderId="0" xfId="0" applyFont="1" applyAlignment="1">
      <alignment vertical="top"/>
    </xf>
    <xf numFmtId="0" fontId="22" fillId="0" borderId="0" xfId="0" applyFont="1" applyAlignment="1">
      <alignment horizontal="left" vertical="top" wrapText="1"/>
    </xf>
    <xf numFmtId="171" fontId="22" fillId="0" borderId="0" xfId="0" applyNumberFormat="1" applyFont="1" applyAlignment="1">
      <alignment horizontal="left" vertical="top" wrapText="1"/>
    </xf>
    <xf numFmtId="3" fontId="22" fillId="0" borderId="0" xfId="0" applyNumberFormat="1" applyFont="1" applyAlignment="1">
      <alignment horizontal="right" vertical="top" wrapText="1"/>
    </xf>
    <xf numFmtId="0" fontId="22" fillId="0" borderId="0" xfId="0" applyFont="1" applyAlignment="1">
      <alignment horizontal="right" vertical="top" wrapText="1"/>
    </xf>
    <xf numFmtId="0" fontId="0" fillId="0" borderId="0" xfId="0" applyAlignment="1">
      <alignment vertical="top"/>
    </xf>
    <xf numFmtId="0" fontId="23" fillId="0" borderId="0" xfId="0" applyFont="1" applyAlignment="1">
      <alignment horizontal="right" vertical="top" wrapText="1" readingOrder="1"/>
    </xf>
    <xf numFmtId="0" fontId="23" fillId="0" borderId="0" xfId="0" applyFont="1" applyAlignment="1">
      <alignment horizontal="left" vertical="top" wrapText="1" readingOrder="1"/>
    </xf>
    <xf numFmtId="2" fontId="0" fillId="0" borderId="0" xfId="0" applyNumberFormat="1"/>
    <xf numFmtId="0" fontId="25" fillId="0" borderId="0" xfId="0" applyFont="1" applyAlignment="1">
      <alignment vertical="center"/>
    </xf>
    <xf numFmtId="0" fontId="0" fillId="10" borderId="12" xfId="0" applyFill="1" applyBorder="1"/>
    <xf numFmtId="2" fontId="0" fillId="10" borderId="0" xfId="0" applyNumberFormat="1" applyFill="1"/>
    <xf numFmtId="0" fontId="0" fillId="17" borderId="0" xfId="0" applyFill="1"/>
    <xf numFmtId="0" fontId="0" fillId="0" borderId="0" xfId="0" applyFill="1"/>
    <xf numFmtId="0" fontId="0" fillId="18" borderId="0" xfId="0" applyFill="1"/>
    <xf numFmtId="0" fontId="17" fillId="0" borderId="0" xfId="0" applyFont="1" applyFill="1" applyAlignment="1">
      <alignment vertical="center"/>
    </xf>
    <xf numFmtId="170" fontId="0" fillId="0" borderId="0" xfId="0" applyNumberFormat="1" applyFill="1"/>
    <xf numFmtId="0" fontId="0" fillId="0" borderId="0" xfId="0" applyFill="1" applyAlignment="1">
      <alignment vertical="center"/>
    </xf>
    <xf numFmtId="0" fontId="17" fillId="0" borderId="0" xfId="0" applyFont="1" applyFill="1"/>
    <xf numFmtId="0" fontId="6" fillId="8" borderId="0" xfId="0" applyFont="1" applyFill="1" applyBorder="1" applyAlignment="1">
      <alignment horizontal="left" wrapText="1"/>
    </xf>
    <xf numFmtId="0" fontId="11" fillId="8" borderId="0" xfId="0" applyFont="1" applyFill="1" applyBorder="1" applyAlignment="1">
      <alignment horizontal="left" wrapText="1"/>
    </xf>
    <xf numFmtId="0" fontId="11" fillId="11" borderId="0" xfId="0" applyFont="1" applyFill="1" applyBorder="1" applyAlignment="1">
      <alignment horizontal="left" vertical="center" wrapText="1"/>
    </xf>
    <xf numFmtId="0" fontId="6" fillId="11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6" fillId="0" borderId="0" xfId="0" applyFont="1" applyFill="1" applyBorder="1" applyAlignment="1">
      <alignment horizontal="left" wrapText="1"/>
    </xf>
    <xf numFmtId="0" fontId="6" fillId="0" borderId="0" xfId="0" quotePrefix="1" applyFont="1" applyFill="1" applyBorder="1" applyAlignment="1">
      <alignment horizontal="left" wrapText="1"/>
    </xf>
    <xf numFmtId="0" fontId="4" fillId="0" borderId="11" xfId="0" applyFont="1" applyFill="1" applyBorder="1" applyAlignment="1">
      <alignment horizontal="left" wrapText="1"/>
    </xf>
    <xf numFmtId="0" fontId="4" fillId="0" borderId="6" xfId="0" applyFont="1" applyFill="1" applyBorder="1" applyAlignment="1">
      <alignment horizontal="left" wrapText="1"/>
    </xf>
    <xf numFmtId="0" fontId="11" fillId="0" borderId="18" xfId="2" applyFont="1" applyFill="1" applyAlignment="1">
      <alignment horizontal="left" wrapText="1"/>
    </xf>
    <xf numFmtId="0" fontId="11" fillId="0" borderId="33" xfId="2" applyFont="1" applyFill="1" applyBorder="1" applyAlignment="1">
      <alignment horizontal="left" wrapText="1"/>
    </xf>
    <xf numFmtId="0" fontId="1" fillId="0" borderId="14" xfId="0" applyFont="1" applyBorder="1" applyAlignment="1">
      <alignment horizontal="center"/>
    </xf>
    <xf numFmtId="0" fontId="1" fillId="15" borderId="14" xfId="0" applyFont="1" applyFill="1" applyBorder="1" applyAlignment="1">
      <alignment horizontal="center"/>
    </xf>
    <xf numFmtId="0" fontId="1" fillId="15" borderId="17" xfId="0" applyFont="1" applyFill="1" applyBorder="1" applyAlignment="1">
      <alignment horizontal="center"/>
    </xf>
    <xf numFmtId="0" fontId="0" fillId="15" borderId="17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1" fillId="13" borderId="12" xfId="0" applyFont="1" applyFill="1" applyBorder="1" applyAlignment="1">
      <alignment horizontal="center" wrapText="1"/>
    </xf>
    <xf numFmtId="0" fontId="1" fillId="14" borderId="12" xfId="0" applyFont="1" applyFill="1" applyBorder="1" applyAlignment="1">
      <alignment horizontal="center" wrapText="1"/>
    </xf>
    <xf numFmtId="171" fontId="23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horizontal="right" vertical="top" wrapText="1" readingOrder="1"/>
    </xf>
    <xf numFmtId="0" fontId="23" fillId="0" borderId="0" xfId="0" applyFont="1" applyAlignment="1">
      <alignment horizontal="left" vertical="top" wrapText="1" readingOrder="1"/>
    </xf>
    <xf numFmtId="0" fontId="5" fillId="4" borderId="0" xfId="0" applyFont="1" applyFill="1" applyBorder="1"/>
    <xf numFmtId="0" fontId="12" fillId="4" borderId="0" xfId="0" applyFont="1" applyFill="1" applyBorder="1"/>
    <xf numFmtId="0" fontId="15" fillId="2" borderId="0" xfId="0" applyFont="1" applyFill="1" applyBorder="1"/>
    <xf numFmtId="0" fontId="0" fillId="12" borderId="0" xfId="0" applyFill="1" applyBorder="1"/>
    <xf numFmtId="0" fontId="9" fillId="2" borderId="0" xfId="0" applyFont="1" applyFill="1" applyBorder="1"/>
    <xf numFmtId="15" fontId="5" fillId="2" borderId="0" xfId="0" applyNumberFormat="1" applyFont="1" applyFill="1" applyBorder="1"/>
    <xf numFmtId="168" fontId="4" fillId="3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center"/>
    </xf>
    <xf numFmtId="0" fontId="7" fillId="2" borderId="0" xfId="0" quotePrefix="1" applyFont="1" applyFill="1" applyBorder="1" applyAlignment="1">
      <alignment horizontal="right"/>
    </xf>
    <xf numFmtId="3" fontId="5" fillId="2" borderId="0" xfId="1" applyNumberFormat="1" applyFont="1" applyFill="1" applyBorder="1" applyAlignment="1">
      <alignment horizontal="right"/>
    </xf>
    <xf numFmtId="3" fontId="5" fillId="2" borderId="0" xfId="1" applyNumberFormat="1" applyFont="1" applyFill="1" applyBorder="1"/>
    <xf numFmtId="0" fontId="4" fillId="2" borderId="0" xfId="0" applyFont="1" applyFill="1" applyBorder="1"/>
    <xf numFmtId="3" fontId="4" fillId="2" borderId="0" xfId="0" applyNumberFormat="1" applyFont="1" applyFill="1" applyBorder="1"/>
    <xf numFmtId="3" fontId="15" fillId="2" borderId="0" xfId="0" applyNumberFormat="1" applyFont="1" applyFill="1" applyBorder="1"/>
    <xf numFmtId="9" fontId="12" fillId="2" borderId="0" xfId="3" applyFont="1" applyFill="1" applyBorder="1" applyAlignment="1">
      <alignment horizontal="right"/>
    </xf>
    <xf numFmtId="167" fontId="4" fillId="2" borderId="0" xfId="0" applyNumberFormat="1" applyFont="1" applyFill="1" applyBorder="1"/>
    <xf numFmtId="9" fontId="4" fillId="2" borderId="0" xfId="3" applyFont="1" applyFill="1" applyBorder="1" applyAlignment="1">
      <alignment horizontal="right"/>
    </xf>
    <xf numFmtId="43" fontId="15" fillId="2" borderId="0" xfId="0" applyNumberFormat="1" applyFont="1" applyFill="1" applyBorder="1"/>
    <xf numFmtId="0" fontId="5" fillId="2" borderId="0" xfId="0" applyFont="1" applyFill="1" applyBorder="1" applyAlignment="1">
      <alignment wrapText="1"/>
    </xf>
    <xf numFmtId="38" fontId="5" fillId="2" borderId="0" xfId="0" applyNumberFormat="1" applyFont="1" applyFill="1" applyBorder="1" applyAlignment="1">
      <alignment horizontal="right"/>
    </xf>
    <xf numFmtId="164" fontId="4" fillId="2" borderId="0" xfId="1" applyNumberFormat="1" applyFont="1" applyFill="1" applyBorder="1" applyAlignment="1">
      <alignment horizontal="right"/>
    </xf>
    <xf numFmtId="9" fontId="5" fillId="2" borderId="0" xfId="3" applyFont="1" applyFill="1" applyBorder="1" applyAlignment="1">
      <alignment wrapText="1"/>
    </xf>
    <xf numFmtId="9" fontId="5" fillId="2" borderId="0" xfId="3" applyFont="1" applyFill="1" applyBorder="1" applyAlignment="1">
      <alignment horizontal="right" wrapText="1"/>
    </xf>
    <xf numFmtId="0" fontId="4" fillId="12" borderId="0" xfId="0" applyFont="1" applyFill="1" applyBorder="1"/>
    <xf numFmtId="3" fontId="4" fillId="0" borderId="0" xfId="0" applyNumberFormat="1" applyFont="1" applyFill="1" applyBorder="1"/>
    <xf numFmtId="164" fontId="4" fillId="2" borderId="0" xfId="1" applyNumberFormat="1" applyFont="1" applyFill="1" applyBorder="1"/>
    <xf numFmtId="9" fontId="5" fillId="2" borderId="0" xfId="3" applyNumberFormat="1" applyFont="1" applyFill="1" applyBorder="1"/>
    <xf numFmtId="0" fontId="10" fillId="2" borderId="0" xfId="0" applyFont="1" applyFill="1" applyBorder="1" applyAlignment="1">
      <alignment shrinkToFit="1"/>
    </xf>
    <xf numFmtId="3" fontId="0" fillId="12" borderId="0" xfId="0" applyNumberFormat="1" applyFill="1" applyBorder="1"/>
    <xf numFmtId="0" fontId="0" fillId="4" borderId="0" xfId="0" applyFill="1" applyBorder="1" applyAlignment="1">
      <alignment horizontal="left" vertical="center"/>
    </xf>
    <xf numFmtId="0" fontId="0" fillId="11" borderId="0" xfId="0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te" xfId="2" builtinId="10"/>
    <cellStyle name="Per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2012-13 Soybean Exports Sales and Shipments vs. 3-yr Average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9.1551044499799783E-2"/>
          <c:y val="0.12258134698657995"/>
          <c:w val="0.8147565893690516"/>
          <c:h val="0.68765365363754527"/>
        </c:manualLayout>
      </c:layout>
      <c:lineChart>
        <c:grouping val="standard"/>
        <c:varyColors val="0"/>
        <c:ser>
          <c:idx val="0"/>
          <c:order val="0"/>
          <c:tx>
            <c:strRef>
              <c:f>'2012-13 weekly analysis'!$E$12</c:f>
              <c:strCache>
                <c:ptCount val="1"/>
                <c:pt idx="0">
                  <c:v>Sales Needed to Meet WASDE</c:v>
                </c:pt>
              </c:strCache>
            </c:strRef>
          </c:tx>
          <c:spPr>
            <a:ln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'2012-13 weekly analysis'!$D$13:$D$64</c:f>
              <c:numCache>
                <c:formatCode>d\-mmm\-yy</c:formatCode>
                <c:ptCount val="52"/>
                <c:pt idx="0">
                  <c:v>41158</c:v>
                </c:pt>
                <c:pt idx="1">
                  <c:v>41165</c:v>
                </c:pt>
                <c:pt idx="2">
                  <c:v>41172</c:v>
                </c:pt>
                <c:pt idx="3">
                  <c:v>41179</c:v>
                </c:pt>
                <c:pt idx="4">
                  <c:v>41186</c:v>
                </c:pt>
                <c:pt idx="5">
                  <c:v>41193</c:v>
                </c:pt>
                <c:pt idx="6">
                  <c:v>41200</c:v>
                </c:pt>
                <c:pt idx="7">
                  <c:v>41207</c:v>
                </c:pt>
                <c:pt idx="8">
                  <c:v>41214</c:v>
                </c:pt>
                <c:pt idx="9">
                  <c:v>41221</c:v>
                </c:pt>
                <c:pt idx="10">
                  <c:v>41228</c:v>
                </c:pt>
                <c:pt idx="11">
                  <c:v>41235</c:v>
                </c:pt>
                <c:pt idx="12">
                  <c:v>41242</c:v>
                </c:pt>
                <c:pt idx="13">
                  <c:v>41249</c:v>
                </c:pt>
                <c:pt idx="14">
                  <c:v>41256</c:v>
                </c:pt>
                <c:pt idx="15">
                  <c:v>41263</c:v>
                </c:pt>
                <c:pt idx="16">
                  <c:v>41270</c:v>
                </c:pt>
                <c:pt idx="17">
                  <c:v>41277</c:v>
                </c:pt>
                <c:pt idx="18">
                  <c:v>41284</c:v>
                </c:pt>
                <c:pt idx="19">
                  <c:v>41291</c:v>
                </c:pt>
                <c:pt idx="20">
                  <c:v>41298</c:v>
                </c:pt>
                <c:pt idx="21">
                  <c:v>41305</c:v>
                </c:pt>
                <c:pt idx="22">
                  <c:v>41312</c:v>
                </c:pt>
                <c:pt idx="23">
                  <c:v>41319</c:v>
                </c:pt>
                <c:pt idx="24">
                  <c:v>41326</c:v>
                </c:pt>
                <c:pt idx="25">
                  <c:v>41333</c:v>
                </c:pt>
                <c:pt idx="26">
                  <c:v>41340</c:v>
                </c:pt>
                <c:pt idx="27">
                  <c:v>41347</c:v>
                </c:pt>
                <c:pt idx="28">
                  <c:v>41354</c:v>
                </c:pt>
                <c:pt idx="29">
                  <c:v>41361</c:v>
                </c:pt>
                <c:pt idx="30">
                  <c:v>41368</c:v>
                </c:pt>
                <c:pt idx="31">
                  <c:v>41375</c:v>
                </c:pt>
                <c:pt idx="32">
                  <c:v>41382</c:v>
                </c:pt>
                <c:pt idx="33">
                  <c:v>41389</c:v>
                </c:pt>
                <c:pt idx="34">
                  <c:v>41396</c:v>
                </c:pt>
                <c:pt idx="35">
                  <c:v>41403</c:v>
                </c:pt>
                <c:pt idx="36">
                  <c:v>41410</c:v>
                </c:pt>
                <c:pt idx="37">
                  <c:v>41417</c:v>
                </c:pt>
                <c:pt idx="38">
                  <c:v>41424</c:v>
                </c:pt>
                <c:pt idx="39">
                  <c:v>41431</c:v>
                </c:pt>
                <c:pt idx="40">
                  <c:v>41438</c:v>
                </c:pt>
                <c:pt idx="41">
                  <c:v>41445</c:v>
                </c:pt>
                <c:pt idx="42">
                  <c:v>41452</c:v>
                </c:pt>
                <c:pt idx="43">
                  <c:v>41459</c:v>
                </c:pt>
                <c:pt idx="44">
                  <c:v>41466</c:v>
                </c:pt>
                <c:pt idx="45">
                  <c:v>41473</c:v>
                </c:pt>
                <c:pt idx="46">
                  <c:v>41480</c:v>
                </c:pt>
                <c:pt idx="47">
                  <c:v>41487</c:v>
                </c:pt>
                <c:pt idx="48">
                  <c:v>41494</c:v>
                </c:pt>
                <c:pt idx="49">
                  <c:v>41501</c:v>
                </c:pt>
                <c:pt idx="50">
                  <c:v>41508</c:v>
                </c:pt>
                <c:pt idx="51">
                  <c:v>41515</c:v>
                </c:pt>
              </c:numCache>
            </c:numRef>
          </c:cat>
          <c:val>
            <c:numRef>
              <c:f>'2012-13 weekly analysis'!$E$13:$E$64</c:f>
              <c:numCache>
                <c:formatCode>_(* #,##0_);_(* \(#,##0\);_(* "-"??_);_(@_)</c:formatCode>
                <c:ptCount val="52"/>
                <c:pt idx="0">
                  <c:v>20724.7</c:v>
                </c:pt>
                <c:pt idx="1">
                  <c:v>20318.333333333336</c:v>
                </c:pt>
                <c:pt idx="2">
                  <c:v>19911.966666666671</c:v>
                </c:pt>
                <c:pt idx="3">
                  <c:v>19505.600000000006</c:v>
                </c:pt>
                <c:pt idx="4">
                  <c:v>19099.233333333341</c:v>
                </c:pt>
                <c:pt idx="5">
                  <c:v>18692.866666666676</c:v>
                </c:pt>
                <c:pt idx="6">
                  <c:v>18286.500000000011</c:v>
                </c:pt>
                <c:pt idx="7">
                  <c:v>17880.133333333346</c:v>
                </c:pt>
                <c:pt idx="8">
                  <c:v>17473.766666666681</c:v>
                </c:pt>
                <c:pt idx="9">
                  <c:v>17067.400000000016</c:v>
                </c:pt>
                <c:pt idx="10">
                  <c:v>16661.033333333351</c:v>
                </c:pt>
                <c:pt idx="11">
                  <c:v>16254.666666666684</c:v>
                </c:pt>
                <c:pt idx="12">
                  <c:v>15848.300000000017</c:v>
                </c:pt>
                <c:pt idx="13">
                  <c:v>15441.933333333351</c:v>
                </c:pt>
                <c:pt idx="14">
                  <c:v>15035.566666666684</c:v>
                </c:pt>
                <c:pt idx="15">
                  <c:v>14629.200000000017</c:v>
                </c:pt>
                <c:pt idx="16">
                  <c:v>14222.83333333335</c:v>
                </c:pt>
                <c:pt idx="17">
                  <c:v>13816.466666666684</c:v>
                </c:pt>
                <c:pt idx="18">
                  <c:v>13410.100000000017</c:v>
                </c:pt>
                <c:pt idx="19">
                  <c:v>13003.73333333335</c:v>
                </c:pt>
                <c:pt idx="20">
                  <c:v>12597.366666666683</c:v>
                </c:pt>
                <c:pt idx="21">
                  <c:v>12191.000000000016</c:v>
                </c:pt>
                <c:pt idx="22">
                  <c:v>11784.63333333335</c:v>
                </c:pt>
                <c:pt idx="23">
                  <c:v>11378.266666666683</c:v>
                </c:pt>
                <c:pt idx="24">
                  <c:v>10971.900000000016</c:v>
                </c:pt>
                <c:pt idx="25">
                  <c:v>10565.533333333349</c:v>
                </c:pt>
                <c:pt idx="26">
                  <c:v>10159.166666666682</c:v>
                </c:pt>
                <c:pt idx="27">
                  <c:v>9752.8000000000156</c:v>
                </c:pt>
                <c:pt idx="28">
                  <c:v>9346.4333333333489</c:v>
                </c:pt>
                <c:pt idx="29">
                  <c:v>8940.0666666666821</c:v>
                </c:pt>
                <c:pt idx="30">
                  <c:v>8533.7000000000153</c:v>
                </c:pt>
                <c:pt idx="31">
                  <c:v>8127.3333333333485</c:v>
                </c:pt>
                <c:pt idx="32">
                  <c:v>7720.9666666666817</c:v>
                </c:pt>
                <c:pt idx="33">
                  <c:v>7314.6000000000149</c:v>
                </c:pt>
                <c:pt idx="34">
                  <c:v>6908.2333333333481</c:v>
                </c:pt>
                <c:pt idx="35">
                  <c:v>6501.8666666666813</c:v>
                </c:pt>
                <c:pt idx="36">
                  <c:v>6095.5000000000146</c:v>
                </c:pt>
                <c:pt idx="37">
                  <c:v>5689.1333333333478</c:v>
                </c:pt>
                <c:pt idx="38">
                  <c:v>5282.766666666681</c:v>
                </c:pt>
                <c:pt idx="39">
                  <c:v>4876.4000000000142</c:v>
                </c:pt>
                <c:pt idx="40">
                  <c:v>4470.0333333333474</c:v>
                </c:pt>
                <c:pt idx="41">
                  <c:v>4063.6666666666806</c:v>
                </c:pt>
                <c:pt idx="42">
                  <c:v>3657.3000000000138</c:v>
                </c:pt>
                <c:pt idx="43">
                  <c:v>3250.933333333347</c:v>
                </c:pt>
                <c:pt idx="44">
                  <c:v>2844.5666666666802</c:v>
                </c:pt>
                <c:pt idx="45">
                  <c:v>2438.2000000000135</c:v>
                </c:pt>
                <c:pt idx="46">
                  <c:v>2031.8333333333467</c:v>
                </c:pt>
                <c:pt idx="47">
                  <c:v>1625.4666666666799</c:v>
                </c:pt>
                <c:pt idx="48">
                  <c:v>1219.1000000000131</c:v>
                </c:pt>
                <c:pt idx="49">
                  <c:v>812.73333333334642</c:v>
                </c:pt>
                <c:pt idx="50">
                  <c:v>406.36666666667975</c:v>
                </c:pt>
                <c:pt idx="51">
                  <c:v>1.3073986337985843E-11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'2012-13 weekly analysis'!$F$12</c:f>
              <c:strCache>
                <c:ptCount val="1"/>
                <c:pt idx="0">
                  <c:v>Shipments Needed to Meet WASDE</c:v>
                </c:pt>
              </c:strCache>
            </c:strRef>
          </c:tx>
          <c:spPr>
            <a:ln>
              <a:solidFill>
                <a:srgbClr val="7030A0"/>
              </a:solidFill>
              <a:prstDash val="dash"/>
            </a:ln>
          </c:spPr>
          <c:marker>
            <c:symbol val="none"/>
          </c:marker>
          <c:cat>
            <c:numRef>
              <c:f>'2012-13 weekly analysis'!$D$13:$D$64</c:f>
              <c:numCache>
                <c:formatCode>d\-mmm\-yy</c:formatCode>
                <c:ptCount val="52"/>
                <c:pt idx="0">
                  <c:v>41158</c:v>
                </c:pt>
                <c:pt idx="1">
                  <c:v>41165</c:v>
                </c:pt>
                <c:pt idx="2">
                  <c:v>41172</c:v>
                </c:pt>
                <c:pt idx="3">
                  <c:v>41179</c:v>
                </c:pt>
                <c:pt idx="4">
                  <c:v>41186</c:v>
                </c:pt>
                <c:pt idx="5">
                  <c:v>41193</c:v>
                </c:pt>
                <c:pt idx="6">
                  <c:v>41200</c:v>
                </c:pt>
                <c:pt idx="7">
                  <c:v>41207</c:v>
                </c:pt>
                <c:pt idx="8">
                  <c:v>41214</c:v>
                </c:pt>
                <c:pt idx="9">
                  <c:v>41221</c:v>
                </c:pt>
                <c:pt idx="10">
                  <c:v>41228</c:v>
                </c:pt>
                <c:pt idx="11">
                  <c:v>41235</c:v>
                </c:pt>
                <c:pt idx="12">
                  <c:v>41242</c:v>
                </c:pt>
                <c:pt idx="13">
                  <c:v>41249</c:v>
                </c:pt>
                <c:pt idx="14">
                  <c:v>41256</c:v>
                </c:pt>
                <c:pt idx="15">
                  <c:v>41263</c:v>
                </c:pt>
                <c:pt idx="16">
                  <c:v>41270</c:v>
                </c:pt>
                <c:pt idx="17">
                  <c:v>41277</c:v>
                </c:pt>
                <c:pt idx="18">
                  <c:v>41284</c:v>
                </c:pt>
                <c:pt idx="19">
                  <c:v>41291</c:v>
                </c:pt>
                <c:pt idx="20">
                  <c:v>41298</c:v>
                </c:pt>
                <c:pt idx="21">
                  <c:v>41305</c:v>
                </c:pt>
                <c:pt idx="22">
                  <c:v>41312</c:v>
                </c:pt>
                <c:pt idx="23">
                  <c:v>41319</c:v>
                </c:pt>
                <c:pt idx="24">
                  <c:v>41326</c:v>
                </c:pt>
                <c:pt idx="25">
                  <c:v>41333</c:v>
                </c:pt>
                <c:pt idx="26">
                  <c:v>41340</c:v>
                </c:pt>
                <c:pt idx="27">
                  <c:v>41347</c:v>
                </c:pt>
                <c:pt idx="28">
                  <c:v>41354</c:v>
                </c:pt>
                <c:pt idx="29">
                  <c:v>41361</c:v>
                </c:pt>
                <c:pt idx="30">
                  <c:v>41368</c:v>
                </c:pt>
                <c:pt idx="31">
                  <c:v>41375</c:v>
                </c:pt>
                <c:pt idx="32">
                  <c:v>41382</c:v>
                </c:pt>
                <c:pt idx="33">
                  <c:v>41389</c:v>
                </c:pt>
                <c:pt idx="34">
                  <c:v>41396</c:v>
                </c:pt>
                <c:pt idx="35">
                  <c:v>41403</c:v>
                </c:pt>
                <c:pt idx="36">
                  <c:v>41410</c:v>
                </c:pt>
                <c:pt idx="37">
                  <c:v>41417</c:v>
                </c:pt>
                <c:pt idx="38">
                  <c:v>41424</c:v>
                </c:pt>
                <c:pt idx="39">
                  <c:v>41431</c:v>
                </c:pt>
                <c:pt idx="40">
                  <c:v>41438</c:v>
                </c:pt>
                <c:pt idx="41">
                  <c:v>41445</c:v>
                </c:pt>
                <c:pt idx="42">
                  <c:v>41452</c:v>
                </c:pt>
                <c:pt idx="43">
                  <c:v>41459</c:v>
                </c:pt>
                <c:pt idx="44">
                  <c:v>41466</c:v>
                </c:pt>
                <c:pt idx="45">
                  <c:v>41473</c:v>
                </c:pt>
                <c:pt idx="46">
                  <c:v>41480</c:v>
                </c:pt>
                <c:pt idx="47">
                  <c:v>41487</c:v>
                </c:pt>
                <c:pt idx="48">
                  <c:v>41494</c:v>
                </c:pt>
                <c:pt idx="49">
                  <c:v>41501</c:v>
                </c:pt>
                <c:pt idx="50">
                  <c:v>41508</c:v>
                </c:pt>
                <c:pt idx="51">
                  <c:v>41515</c:v>
                </c:pt>
              </c:numCache>
            </c:numRef>
          </c:cat>
          <c:val>
            <c:numRef>
              <c:f>'2012-13 weekly analysis'!$F$13:$F$64</c:f>
              <c:numCache>
                <c:formatCode>_(* #,##0_);_(* \(#,##0\);_(* "-"??_);_(@_)</c:formatCode>
                <c:ptCount val="52"/>
                <c:pt idx="0">
                  <c:v>339.4</c:v>
                </c:pt>
                <c:pt idx="1">
                  <c:v>332.74509803921569</c:v>
                </c:pt>
                <c:pt idx="2">
                  <c:v>326.0901960784314</c:v>
                </c:pt>
                <c:pt idx="3">
                  <c:v>319.43529411764712</c:v>
                </c:pt>
                <c:pt idx="4">
                  <c:v>312.78039215686283</c:v>
                </c:pt>
                <c:pt idx="5">
                  <c:v>306.12549019607854</c:v>
                </c:pt>
                <c:pt idx="6">
                  <c:v>299.47058823529426</c:v>
                </c:pt>
                <c:pt idx="7">
                  <c:v>292.81568627450997</c:v>
                </c:pt>
                <c:pt idx="8">
                  <c:v>286.16078431372569</c:v>
                </c:pt>
                <c:pt idx="9">
                  <c:v>279.5058823529414</c:v>
                </c:pt>
                <c:pt idx="10">
                  <c:v>272.85098039215711</c:v>
                </c:pt>
                <c:pt idx="11">
                  <c:v>266.19607843137283</c:v>
                </c:pt>
                <c:pt idx="12">
                  <c:v>259.54117647058854</c:v>
                </c:pt>
                <c:pt idx="13">
                  <c:v>252.88627450980422</c:v>
                </c:pt>
                <c:pt idx="14">
                  <c:v>246.23137254901991</c:v>
                </c:pt>
                <c:pt idx="15">
                  <c:v>239.57647058823559</c:v>
                </c:pt>
                <c:pt idx="16">
                  <c:v>232.92156862745128</c:v>
                </c:pt>
                <c:pt idx="17">
                  <c:v>226.26666666666696</c:v>
                </c:pt>
                <c:pt idx="18">
                  <c:v>219.61176470588265</c:v>
                </c:pt>
                <c:pt idx="19">
                  <c:v>212.95686274509833</c:v>
                </c:pt>
                <c:pt idx="20">
                  <c:v>206.30196078431402</c:v>
                </c:pt>
                <c:pt idx="21">
                  <c:v>199.6470588235297</c:v>
                </c:pt>
                <c:pt idx="22">
                  <c:v>192.99215686274539</c:v>
                </c:pt>
                <c:pt idx="23">
                  <c:v>186.33725490196107</c:v>
                </c:pt>
                <c:pt idx="24">
                  <c:v>179.68235294117676</c:v>
                </c:pt>
                <c:pt idx="25">
                  <c:v>173.02745098039244</c:v>
                </c:pt>
                <c:pt idx="26">
                  <c:v>166.37254901960813</c:v>
                </c:pt>
                <c:pt idx="27">
                  <c:v>159.71764705882381</c:v>
                </c:pt>
                <c:pt idx="28">
                  <c:v>153.0627450980395</c:v>
                </c:pt>
                <c:pt idx="29">
                  <c:v>146.40784313725518</c:v>
                </c:pt>
                <c:pt idx="30">
                  <c:v>139.75294117647087</c:v>
                </c:pt>
                <c:pt idx="31">
                  <c:v>133.09803921568655</c:v>
                </c:pt>
                <c:pt idx="32">
                  <c:v>126.44313725490224</c:v>
                </c:pt>
                <c:pt idx="33">
                  <c:v>119.78823529411792</c:v>
                </c:pt>
                <c:pt idx="34">
                  <c:v>113.13333333333361</c:v>
                </c:pt>
                <c:pt idx="35">
                  <c:v>106.4784313725493</c:v>
                </c:pt>
                <c:pt idx="36">
                  <c:v>99.82352941176498</c:v>
                </c:pt>
                <c:pt idx="37">
                  <c:v>93.168627450980665</c:v>
                </c:pt>
                <c:pt idx="38">
                  <c:v>86.51372549019635</c:v>
                </c:pt>
                <c:pt idx="39">
                  <c:v>79.858823529412035</c:v>
                </c:pt>
                <c:pt idx="40">
                  <c:v>73.20392156862772</c:v>
                </c:pt>
                <c:pt idx="41">
                  <c:v>66.549019607843405</c:v>
                </c:pt>
                <c:pt idx="42">
                  <c:v>59.89411764705909</c:v>
                </c:pt>
                <c:pt idx="43">
                  <c:v>53.239215686274775</c:v>
                </c:pt>
                <c:pt idx="44">
                  <c:v>46.58431372549046</c:v>
                </c:pt>
                <c:pt idx="45">
                  <c:v>39.929411764706146</c:v>
                </c:pt>
                <c:pt idx="46">
                  <c:v>33.274509803921831</c:v>
                </c:pt>
                <c:pt idx="47">
                  <c:v>26.619607843137516</c:v>
                </c:pt>
                <c:pt idx="48">
                  <c:v>19.964705882353201</c:v>
                </c:pt>
                <c:pt idx="49">
                  <c:v>13.309803921568887</c:v>
                </c:pt>
                <c:pt idx="50">
                  <c:v>6.6549019607845743</c:v>
                </c:pt>
                <c:pt idx="51">
                  <c:v>2.6112445539183682E-13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'2012-13 weekly analysis'!$G$12</c:f>
              <c:strCache>
                <c:ptCount val="1"/>
                <c:pt idx="0">
                  <c:v>Actual Export Sales</c:v>
                </c:pt>
              </c:strCache>
            </c:strRef>
          </c:tx>
          <c:marker>
            <c:symbol val="none"/>
          </c:marker>
          <c:cat>
            <c:numRef>
              <c:f>'2012-13 weekly analysis'!$D$13:$D$64</c:f>
              <c:numCache>
                <c:formatCode>d\-mmm\-yy</c:formatCode>
                <c:ptCount val="52"/>
                <c:pt idx="0">
                  <c:v>41158</c:v>
                </c:pt>
                <c:pt idx="1">
                  <c:v>41165</c:v>
                </c:pt>
                <c:pt idx="2">
                  <c:v>41172</c:v>
                </c:pt>
                <c:pt idx="3">
                  <c:v>41179</c:v>
                </c:pt>
                <c:pt idx="4">
                  <c:v>41186</c:v>
                </c:pt>
                <c:pt idx="5">
                  <c:v>41193</c:v>
                </c:pt>
                <c:pt idx="6">
                  <c:v>41200</c:v>
                </c:pt>
                <c:pt idx="7">
                  <c:v>41207</c:v>
                </c:pt>
                <c:pt idx="8">
                  <c:v>41214</c:v>
                </c:pt>
                <c:pt idx="9">
                  <c:v>41221</c:v>
                </c:pt>
                <c:pt idx="10">
                  <c:v>41228</c:v>
                </c:pt>
                <c:pt idx="11">
                  <c:v>41235</c:v>
                </c:pt>
                <c:pt idx="12">
                  <c:v>41242</c:v>
                </c:pt>
                <c:pt idx="13">
                  <c:v>41249</c:v>
                </c:pt>
                <c:pt idx="14">
                  <c:v>41256</c:v>
                </c:pt>
                <c:pt idx="15">
                  <c:v>41263</c:v>
                </c:pt>
                <c:pt idx="16">
                  <c:v>41270</c:v>
                </c:pt>
                <c:pt idx="17">
                  <c:v>41277</c:v>
                </c:pt>
                <c:pt idx="18">
                  <c:v>41284</c:v>
                </c:pt>
                <c:pt idx="19">
                  <c:v>41291</c:v>
                </c:pt>
                <c:pt idx="20">
                  <c:v>41298</c:v>
                </c:pt>
                <c:pt idx="21">
                  <c:v>41305</c:v>
                </c:pt>
                <c:pt idx="22">
                  <c:v>41312</c:v>
                </c:pt>
                <c:pt idx="23">
                  <c:v>41319</c:v>
                </c:pt>
                <c:pt idx="24">
                  <c:v>41326</c:v>
                </c:pt>
                <c:pt idx="25">
                  <c:v>41333</c:v>
                </c:pt>
                <c:pt idx="26">
                  <c:v>41340</c:v>
                </c:pt>
                <c:pt idx="27">
                  <c:v>41347</c:v>
                </c:pt>
                <c:pt idx="28">
                  <c:v>41354</c:v>
                </c:pt>
                <c:pt idx="29">
                  <c:v>41361</c:v>
                </c:pt>
                <c:pt idx="30">
                  <c:v>41368</c:v>
                </c:pt>
                <c:pt idx="31">
                  <c:v>41375</c:v>
                </c:pt>
                <c:pt idx="32">
                  <c:v>41382</c:v>
                </c:pt>
                <c:pt idx="33">
                  <c:v>41389</c:v>
                </c:pt>
                <c:pt idx="34">
                  <c:v>41396</c:v>
                </c:pt>
                <c:pt idx="35">
                  <c:v>41403</c:v>
                </c:pt>
                <c:pt idx="36">
                  <c:v>41410</c:v>
                </c:pt>
                <c:pt idx="37">
                  <c:v>41417</c:v>
                </c:pt>
                <c:pt idx="38">
                  <c:v>41424</c:v>
                </c:pt>
                <c:pt idx="39">
                  <c:v>41431</c:v>
                </c:pt>
                <c:pt idx="40">
                  <c:v>41438</c:v>
                </c:pt>
                <c:pt idx="41">
                  <c:v>41445</c:v>
                </c:pt>
                <c:pt idx="42">
                  <c:v>41452</c:v>
                </c:pt>
                <c:pt idx="43">
                  <c:v>41459</c:v>
                </c:pt>
                <c:pt idx="44">
                  <c:v>41466</c:v>
                </c:pt>
                <c:pt idx="45">
                  <c:v>41473</c:v>
                </c:pt>
                <c:pt idx="46">
                  <c:v>41480</c:v>
                </c:pt>
                <c:pt idx="47">
                  <c:v>41487</c:v>
                </c:pt>
                <c:pt idx="48">
                  <c:v>41494</c:v>
                </c:pt>
                <c:pt idx="49">
                  <c:v>41501</c:v>
                </c:pt>
                <c:pt idx="50">
                  <c:v>41508</c:v>
                </c:pt>
                <c:pt idx="51">
                  <c:v>41515</c:v>
                </c:pt>
              </c:numCache>
            </c:numRef>
          </c:cat>
          <c:val>
            <c:numRef>
              <c:f>'2012-13 weekly analysis'!$G$13:$G$64</c:f>
              <c:numCache>
                <c:formatCode>_(* #,##0_);_(* \(#,##0\);_(* "-"??_);_(@_)</c:formatCode>
                <c:ptCount val="52"/>
                <c:pt idx="0">
                  <c:v>20724.7</c:v>
                </c:pt>
                <c:pt idx="1">
                  <c:v>21437</c:v>
                </c:pt>
                <c:pt idx="2">
                  <c:v>22236.5</c:v>
                </c:pt>
                <c:pt idx="3">
                  <c:v>23467.899999999998</c:v>
                </c:pt>
                <c:pt idx="4">
                  <c:v>23968.5</c:v>
                </c:pt>
                <c:pt idx="5">
                  <c:v>24491.800000000003</c:v>
                </c:pt>
                <c:pt idx="6">
                  <c:v>25014.1</c:v>
                </c:pt>
                <c:pt idx="7">
                  <c:v>25755.200000000001</c:v>
                </c:pt>
                <c:pt idx="8">
                  <c:v>25941.599999999999</c:v>
                </c:pt>
                <c:pt idx="9">
                  <c:v>26501.3</c:v>
                </c:pt>
                <c:pt idx="10">
                  <c:v>27044.9</c:v>
                </c:pt>
                <c:pt idx="11">
                  <c:v>27360</c:v>
                </c:pt>
                <c:pt idx="12">
                  <c:v>28404.2</c:v>
                </c:pt>
                <c:pt idx="13">
                  <c:v>29723.599999999999</c:v>
                </c:pt>
                <c:pt idx="14">
                  <c:v>30343.1</c:v>
                </c:pt>
                <c:pt idx="15">
                  <c:v>30430.100000000002</c:v>
                </c:pt>
                <c:pt idx="16">
                  <c:v>30769.4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'2012-13 weekly analysis'!$T$12</c:f>
              <c:strCache>
                <c:ptCount val="1"/>
                <c:pt idx="0">
                  <c:v>Cumulative Weekly Inspections</c:v>
                </c:pt>
              </c:strCache>
            </c:strRef>
          </c:tx>
          <c:marker>
            <c:symbol val="none"/>
          </c:marker>
          <c:cat>
            <c:numRef>
              <c:f>'2012-13 weekly analysis'!$D$13:$D$64</c:f>
              <c:numCache>
                <c:formatCode>d\-mmm\-yy</c:formatCode>
                <c:ptCount val="52"/>
                <c:pt idx="0">
                  <c:v>41158</c:v>
                </c:pt>
                <c:pt idx="1">
                  <c:v>41165</c:v>
                </c:pt>
                <c:pt idx="2">
                  <c:v>41172</c:v>
                </c:pt>
                <c:pt idx="3">
                  <c:v>41179</c:v>
                </c:pt>
                <c:pt idx="4">
                  <c:v>41186</c:v>
                </c:pt>
                <c:pt idx="5">
                  <c:v>41193</c:v>
                </c:pt>
                <c:pt idx="6">
                  <c:v>41200</c:v>
                </c:pt>
                <c:pt idx="7">
                  <c:v>41207</c:v>
                </c:pt>
                <c:pt idx="8">
                  <c:v>41214</c:v>
                </c:pt>
                <c:pt idx="9">
                  <c:v>41221</c:v>
                </c:pt>
                <c:pt idx="10">
                  <c:v>41228</c:v>
                </c:pt>
                <c:pt idx="11">
                  <c:v>41235</c:v>
                </c:pt>
                <c:pt idx="12">
                  <c:v>41242</c:v>
                </c:pt>
                <c:pt idx="13">
                  <c:v>41249</c:v>
                </c:pt>
                <c:pt idx="14">
                  <c:v>41256</c:v>
                </c:pt>
                <c:pt idx="15">
                  <c:v>41263</c:v>
                </c:pt>
                <c:pt idx="16">
                  <c:v>41270</c:v>
                </c:pt>
                <c:pt idx="17">
                  <c:v>41277</c:v>
                </c:pt>
                <c:pt idx="18">
                  <c:v>41284</c:v>
                </c:pt>
                <c:pt idx="19">
                  <c:v>41291</c:v>
                </c:pt>
                <c:pt idx="20">
                  <c:v>41298</c:v>
                </c:pt>
                <c:pt idx="21">
                  <c:v>41305</c:v>
                </c:pt>
                <c:pt idx="22">
                  <c:v>41312</c:v>
                </c:pt>
                <c:pt idx="23">
                  <c:v>41319</c:v>
                </c:pt>
                <c:pt idx="24">
                  <c:v>41326</c:v>
                </c:pt>
                <c:pt idx="25">
                  <c:v>41333</c:v>
                </c:pt>
                <c:pt idx="26">
                  <c:v>41340</c:v>
                </c:pt>
                <c:pt idx="27">
                  <c:v>41347</c:v>
                </c:pt>
                <c:pt idx="28">
                  <c:v>41354</c:v>
                </c:pt>
                <c:pt idx="29">
                  <c:v>41361</c:v>
                </c:pt>
                <c:pt idx="30">
                  <c:v>41368</c:v>
                </c:pt>
                <c:pt idx="31">
                  <c:v>41375</c:v>
                </c:pt>
                <c:pt idx="32">
                  <c:v>41382</c:v>
                </c:pt>
                <c:pt idx="33">
                  <c:v>41389</c:v>
                </c:pt>
                <c:pt idx="34">
                  <c:v>41396</c:v>
                </c:pt>
                <c:pt idx="35">
                  <c:v>41403</c:v>
                </c:pt>
                <c:pt idx="36">
                  <c:v>41410</c:v>
                </c:pt>
                <c:pt idx="37">
                  <c:v>41417</c:v>
                </c:pt>
                <c:pt idx="38">
                  <c:v>41424</c:v>
                </c:pt>
                <c:pt idx="39">
                  <c:v>41431</c:v>
                </c:pt>
                <c:pt idx="40">
                  <c:v>41438</c:v>
                </c:pt>
                <c:pt idx="41">
                  <c:v>41445</c:v>
                </c:pt>
                <c:pt idx="42">
                  <c:v>41452</c:v>
                </c:pt>
                <c:pt idx="43">
                  <c:v>41459</c:v>
                </c:pt>
                <c:pt idx="44">
                  <c:v>41466</c:v>
                </c:pt>
                <c:pt idx="45">
                  <c:v>41473</c:v>
                </c:pt>
                <c:pt idx="46">
                  <c:v>41480</c:v>
                </c:pt>
                <c:pt idx="47">
                  <c:v>41487</c:v>
                </c:pt>
                <c:pt idx="48">
                  <c:v>41494</c:v>
                </c:pt>
                <c:pt idx="49">
                  <c:v>41501</c:v>
                </c:pt>
                <c:pt idx="50">
                  <c:v>41508</c:v>
                </c:pt>
                <c:pt idx="51">
                  <c:v>41515</c:v>
                </c:pt>
              </c:numCache>
            </c:numRef>
          </c:cat>
          <c:val>
            <c:numRef>
              <c:f>'2012-13 weekly analysis'!$T$13:$T$64</c:f>
              <c:numCache>
                <c:formatCode>#,##0_);\(#,##0\)</c:formatCode>
                <c:ptCount val="52"/>
                <c:pt idx="0">
                  <c:v>353.35149863760216</c:v>
                </c:pt>
                <c:pt idx="1">
                  <c:v>626.73024523160757</c:v>
                </c:pt>
                <c:pt idx="2">
                  <c:v>968.69209809264294</c:v>
                </c:pt>
                <c:pt idx="3">
                  <c:v>2109.4005449591277</c:v>
                </c:pt>
                <c:pt idx="4">
                  <c:v>3355.8583106267024</c:v>
                </c:pt>
                <c:pt idx="5">
                  <c:v>4938.1743869209804</c:v>
                </c:pt>
                <c:pt idx="6">
                  <c:v>6667.4114441416887</c:v>
                </c:pt>
                <c:pt idx="7">
                  <c:v>8408.4741144414165</c:v>
                </c:pt>
                <c:pt idx="8">
                  <c:v>9983.5967302452318</c:v>
                </c:pt>
                <c:pt idx="9">
                  <c:v>11686.158038147139</c:v>
                </c:pt>
                <c:pt idx="10">
                  <c:v>13451.062670299729</c:v>
                </c:pt>
                <c:pt idx="11">
                  <c:v>14722.997275204361</c:v>
                </c:pt>
                <c:pt idx="12">
                  <c:v>16088.174386920982</c:v>
                </c:pt>
                <c:pt idx="13">
                  <c:v>17379.237057220711</c:v>
                </c:pt>
                <c:pt idx="14">
                  <c:v>18443.160762942782</c:v>
                </c:pt>
                <c:pt idx="15">
                  <c:v>19680.108991825615</c:v>
                </c:pt>
                <c:pt idx="16">
                  <c:v>20658.065395095371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US!$M$1:$M$2</c:f>
              <c:strCache>
                <c:ptCount val="1"/>
                <c:pt idx="0">
                  <c:v>3-year average Total Sales</c:v>
                </c:pt>
              </c:strCache>
            </c:strRef>
          </c:tx>
          <c:marker>
            <c:symbol val="none"/>
          </c:marker>
          <c:val>
            <c:numRef>
              <c:f>US!$M$331:$M$382</c:f>
              <c:numCache>
                <c:formatCode>_(* #,##0_);_(* \(#,##0\);_(* "-"??_);_(@_)</c:formatCode>
                <c:ptCount val="52"/>
                <c:pt idx="0">
                  <c:v>16419.899999999998</c:v>
                </c:pt>
                <c:pt idx="1">
                  <c:v>16856.533333333336</c:v>
                </c:pt>
                <c:pt idx="2">
                  <c:v>17801.233333333334</c:v>
                </c:pt>
                <c:pt idx="3">
                  <c:v>19186.5</c:v>
                </c:pt>
                <c:pt idx="4">
                  <c:v>19886.633333333335</c:v>
                </c:pt>
                <c:pt idx="5">
                  <c:v>20698.633333333331</c:v>
                </c:pt>
                <c:pt idx="6">
                  <c:v>21891.300000000003</c:v>
                </c:pt>
                <c:pt idx="7">
                  <c:v>22872.733333333334</c:v>
                </c:pt>
                <c:pt idx="8">
                  <c:v>23118.833333333332</c:v>
                </c:pt>
                <c:pt idx="9">
                  <c:v>24516.233333333337</c:v>
                </c:pt>
                <c:pt idx="10">
                  <c:v>25525.3</c:v>
                </c:pt>
                <c:pt idx="11">
                  <c:v>26435.566666666666</c:v>
                </c:pt>
                <c:pt idx="12">
                  <c:v>27286.833333333332</c:v>
                </c:pt>
                <c:pt idx="13">
                  <c:v>28024.533333333336</c:v>
                </c:pt>
                <c:pt idx="14">
                  <c:v>28520.5</c:v>
                </c:pt>
                <c:pt idx="15">
                  <c:v>29412.766666666663</c:v>
                </c:pt>
                <c:pt idx="16">
                  <c:v>30121.066666666666</c:v>
                </c:pt>
                <c:pt idx="17">
                  <c:v>30595.266666666663</c:v>
                </c:pt>
                <c:pt idx="18">
                  <c:v>31137.033333333336</c:v>
                </c:pt>
                <c:pt idx="19">
                  <c:v>32021.399999999998</c:v>
                </c:pt>
                <c:pt idx="20">
                  <c:v>32636.566666666666</c:v>
                </c:pt>
                <c:pt idx="21">
                  <c:v>33210.666666666664</c:v>
                </c:pt>
                <c:pt idx="22">
                  <c:v>33523</c:v>
                </c:pt>
                <c:pt idx="23">
                  <c:v>33863.833333333336</c:v>
                </c:pt>
                <c:pt idx="24">
                  <c:v>34374.9</c:v>
                </c:pt>
                <c:pt idx="25">
                  <c:v>34739.26666666667</c:v>
                </c:pt>
                <c:pt idx="26">
                  <c:v>35151.166666666672</c:v>
                </c:pt>
                <c:pt idx="27">
                  <c:v>35474.700000000004</c:v>
                </c:pt>
                <c:pt idx="28">
                  <c:v>35753.73333333333</c:v>
                </c:pt>
                <c:pt idx="29">
                  <c:v>36018.800000000003</c:v>
                </c:pt>
                <c:pt idx="30">
                  <c:v>36248.366666666669</c:v>
                </c:pt>
                <c:pt idx="31">
                  <c:v>36497.833333333328</c:v>
                </c:pt>
                <c:pt idx="32">
                  <c:v>36841.766666666663</c:v>
                </c:pt>
                <c:pt idx="33">
                  <c:v>37211.666666666664</c:v>
                </c:pt>
                <c:pt idx="34">
                  <c:v>37512.333333333336</c:v>
                </c:pt>
                <c:pt idx="35">
                  <c:v>37756.703333333331</c:v>
                </c:pt>
                <c:pt idx="36">
                  <c:v>38176.966666666667</c:v>
                </c:pt>
                <c:pt idx="37">
                  <c:v>38556.566666666673</c:v>
                </c:pt>
                <c:pt idx="38">
                  <c:v>38709.26666666667</c:v>
                </c:pt>
                <c:pt idx="39">
                  <c:v>38963.1</c:v>
                </c:pt>
                <c:pt idx="40">
                  <c:v>39119.133333333331</c:v>
                </c:pt>
                <c:pt idx="41">
                  <c:v>39265.76666666667</c:v>
                </c:pt>
                <c:pt idx="42">
                  <c:v>39368.666666666664</c:v>
                </c:pt>
                <c:pt idx="43">
                  <c:v>39657.599999999999</c:v>
                </c:pt>
                <c:pt idx="44">
                  <c:v>39991.9</c:v>
                </c:pt>
                <c:pt idx="45">
                  <c:v>40159.9</c:v>
                </c:pt>
                <c:pt idx="46">
                  <c:v>40340.866666666669</c:v>
                </c:pt>
                <c:pt idx="47">
                  <c:v>40272.400000000001</c:v>
                </c:pt>
                <c:pt idx="48">
                  <c:v>40475.566666666658</c:v>
                </c:pt>
                <c:pt idx="49">
                  <c:v>40643.26666666667</c:v>
                </c:pt>
                <c:pt idx="50">
                  <c:v>40779.366666666669</c:v>
                </c:pt>
                <c:pt idx="51">
                  <c:v>40776.299999999996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US!$N$1:$N$2</c:f>
              <c:strCache>
                <c:ptCount val="1"/>
                <c:pt idx="0">
                  <c:v>3-year average Total Shipped</c:v>
                </c:pt>
              </c:strCache>
            </c:strRef>
          </c:tx>
          <c:marker>
            <c:symbol val="none"/>
          </c:marker>
          <c:val>
            <c:numRef>
              <c:f>US!$N$331:$N$382</c:f>
              <c:numCache>
                <c:formatCode>_(* #,##0_);_(* \(#,##0\);_(* "-"??_);_(@_)</c:formatCode>
                <c:ptCount val="52"/>
                <c:pt idx="0">
                  <c:v>107.76666666666665</c:v>
                </c:pt>
                <c:pt idx="1">
                  <c:v>288</c:v>
                </c:pt>
                <c:pt idx="2">
                  <c:v>574</c:v>
                </c:pt>
                <c:pt idx="3">
                  <c:v>924.66666666666663</c:v>
                </c:pt>
                <c:pt idx="4">
                  <c:v>1364.9666666666665</c:v>
                </c:pt>
                <c:pt idx="5">
                  <c:v>2164.2000000000003</c:v>
                </c:pt>
                <c:pt idx="6">
                  <c:v>3373.7999999999997</c:v>
                </c:pt>
                <c:pt idx="7">
                  <c:v>4876.7333333333336</c:v>
                </c:pt>
                <c:pt idx="8">
                  <c:v>6492.5999999999995</c:v>
                </c:pt>
                <c:pt idx="9">
                  <c:v>7984.4000000000015</c:v>
                </c:pt>
                <c:pt idx="10">
                  <c:v>9599.3000000000011</c:v>
                </c:pt>
                <c:pt idx="11">
                  <c:v>11285.233333333332</c:v>
                </c:pt>
                <c:pt idx="12">
                  <c:v>12688.233333333332</c:v>
                </c:pt>
                <c:pt idx="13">
                  <c:v>14116.866666666667</c:v>
                </c:pt>
                <c:pt idx="14">
                  <c:v>15456.799999999997</c:v>
                </c:pt>
                <c:pt idx="15">
                  <c:v>16543.3</c:v>
                </c:pt>
                <c:pt idx="16">
                  <c:v>17664.166666666668</c:v>
                </c:pt>
                <c:pt idx="17">
                  <c:v>18702.666666666668</c:v>
                </c:pt>
                <c:pt idx="18">
                  <c:v>19803.433333333334</c:v>
                </c:pt>
                <c:pt idx="19">
                  <c:v>21126.766666666666</c:v>
                </c:pt>
                <c:pt idx="20">
                  <c:v>22387.033333333336</c:v>
                </c:pt>
                <c:pt idx="21">
                  <c:v>23574.966666666664</c:v>
                </c:pt>
                <c:pt idx="22">
                  <c:v>24727.266666666666</c:v>
                </c:pt>
                <c:pt idx="23">
                  <c:v>25731.199999999997</c:v>
                </c:pt>
                <c:pt idx="24">
                  <c:v>26898.366666666665</c:v>
                </c:pt>
                <c:pt idx="25">
                  <c:v>28155.333333333332</c:v>
                </c:pt>
                <c:pt idx="26">
                  <c:v>29043.966666666664</c:v>
                </c:pt>
                <c:pt idx="27">
                  <c:v>29864.699999999997</c:v>
                </c:pt>
                <c:pt idx="28">
                  <c:v>30586.233333333334</c:v>
                </c:pt>
                <c:pt idx="29">
                  <c:v>31394.100000000002</c:v>
                </c:pt>
                <c:pt idx="30">
                  <c:v>32042.399999999998</c:v>
                </c:pt>
                <c:pt idx="31">
                  <c:v>32631.666666666668</c:v>
                </c:pt>
                <c:pt idx="32">
                  <c:v>33086.133333333331</c:v>
                </c:pt>
                <c:pt idx="33">
                  <c:v>33363.966666666667</c:v>
                </c:pt>
                <c:pt idx="34">
                  <c:v>33672.466666666667</c:v>
                </c:pt>
                <c:pt idx="35">
                  <c:v>33881.1</c:v>
                </c:pt>
                <c:pt idx="36">
                  <c:v>34200.1</c:v>
                </c:pt>
                <c:pt idx="37">
                  <c:v>34519.333333333336</c:v>
                </c:pt>
                <c:pt idx="38">
                  <c:v>34760.1</c:v>
                </c:pt>
                <c:pt idx="39">
                  <c:v>35020.433333333327</c:v>
                </c:pt>
                <c:pt idx="40">
                  <c:v>35263.799999999996</c:v>
                </c:pt>
                <c:pt idx="41">
                  <c:v>35549.433333333334</c:v>
                </c:pt>
                <c:pt idx="42">
                  <c:v>35724.133333333331</c:v>
                </c:pt>
                <c:pt idx="43">
                  <c:v>35932.26666666667</c:v>
                </c:pt>
                <c:pt idx="44">
                  <c:v>36225.733333333337</c:v>
                </c:pt>
                <c:pt idx="45">
                  <c:v>36501.933333333327</c:v>
                </c:pt>
                <c:pt idx="46">
                  <c:v>36785.100000000006</c:v>
                </c:pt>
                <c:pt idx="47">
                  <c:v>37088.23333333333</c:v>
                </c:pt>
                <c:pt idx="48">
                  <c:v>37328.5</c:v>
                </c:pt>
                <c:pt idx="49">
                  <c:v>37714.466666666667</c:v>
                </c:pt>
                <c:pt idx="50">
                  <c:v>38114.966666666667</c:v>
                </c:pt>
                <c:pt idx="51">
                  <c:v>38450.266666666663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67008"/>
        <c:axId val="157468544"/>
      </c:lineChart>
      <c:dateAx>
        <c:axId val="157467008"/>
        <c:scaling>
          <c:orientation val="minMax"/>
        </c:scaling>
        <c:delete val="0"/>
        <c:axPos val="b"/>
        <c:numFmt formatCode="d\-mmm\-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68544"/>
        <c:crosses val="autoZero"/>
        <c:auto val="1"/>
        <c:lblOffset val="100"/>
        <c:baseTimeUnit val="days"/>
      </c:dateAx>
      <c:valAx>
        <c:axId val="15746854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670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526467607390654"/>
          <c:y val="0.5140444515418412"/>
          <c:w val="0.30066305449442576"/>
          <c:h val="0.28228612609071291"/>
        </c:manualLayout>
      </c:layout>
      <c:overlay val="0"/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7620</xdr:colOff>
      <xdr:row>23</xdr:row>
      <xdr:rowOff>45720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25440" cy="441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70</xdr:row>
      <xdr:rowOff>0</xdr:rowOff>
    </xdr:from>
    <xdr:to>
      <xdr:col>11</xdr:col>
      <xdr:colOff>236220</xdr:colOff>
      <xdr:row>99</xdr:row>
      <xdr:rowOff>22860</xdr:rowOff>
    </xdr:to>
    <xdr:graphicFrame macro="">
      <xdr:nvGraphicFramePr>
        <xdr:cNvPr id="119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0.1377</cdr:x>
      <cdr:y>0.13269</cdr:y>
    </cdr:from>
    <cdr:to>
      <cdr:x>0.51911</cdr:x>
      <cdr:y>0.26694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59180" y="647700"/>
          <a:ext cx="2933700" cy="655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0.09369</cdr:x>
      <cdr:y>0.11656</cdr:y>
    </cdr:from>
    <cdr:to>
      <cdr:x>0.41369</cdr:x>
      <cdr:y>0.2966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721360" y="568960"/>
          <a:ext cx="2463800" cy="87884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100"/>
            </a:lnSpc>
          </a:pPr>
          <a:r>
            <a:rPr lang="en-US" sz="1100" b="1"/>
            <a:t>Week ending 1/03/13:</a:t>
          </a:r>
          <a:r>
            <a:rPr lang="en-US" sz="1100"/>
            <a:t> </a:t>
          </a:r>
          <a:r>
            <a:rPr lang="en-US" sz="1100" b="1" u="sng">
              <a:solidFill>
                <a:srgbClr val="FF0000"/>
              </a:solidFill>
            </a:rPr>
            <a:t>Total</a:t>
          </a:r>
          <a:r>
            <a:rPr lang="en-US" sz="1100" b="1" u="sng" baseline="0">
              <a:solidFill>
                <a:srgbClr val="FF0000"/>
              </a:solidFill>
            </a:rPr>
            <a:t> export sales:</a:t>
          </a:r>
          <a:r>
            <a:rPr lang="en-US" sz="1100" baseline="0"/>
            <a:t> up 27% from last year, up 2% from 3-yr ave.  </a:t>
          </a:r>
          <a:r>
            <a:rPr lang="en-US" sz="1100" b="1" u="sng" baseline="0">
              <a:solidFill>
                <a:srgbClr val="7030A0"/>
              </a:solidFill>
            </a:rPr>
            <a:t>Shipped exports</a:t>
          </a:r>
          <a:r>
            <a:rPr lang="en-US" sz="1100" baseline="0"/>
            <a:t>: up 40% from last year and 19% from 3-yr ave.</a:t>
          </a:r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River%20Analysis/New%20Table13_cor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Other/New%20Table16_crop%20year_weekly%20pace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Corn Table"/>
      <sheetName val="Total"/>
      <sheetName val="Japan"/>
      <sheetName val="Mexico"/>
      <sheetName val="Taiwan"/>
      <sheetName val="Korea"/>
      <sheetName val="China"/>
      <sheetName val="Venezuela"/>
      <sheetName val="Egypt"/>
      <sheetName val="DATA"/>
      <sheetName val="Summary"/>
      <sheetName val="Sheet1"/>
      <sheetName val="Sheet2"/>
      <sheetName val="River Analysis"/>
      <sheetName val="River Analysis Summary Table"/>
    </sheetNames>
    <sheetDataSet>
      <sheetData sheetId="0"/>
      <sheetData sheetId="1">
        <row r="360">
          <cell r="A360">
            <v>41158</v>
          </cell>
        </row>
        <row r="361">
          <cell r="A361">
            <v>41165</v>
          </cell>
        </row>
        <row r="362">
          <cell r="A362">
            <v>41172</v>
          </cell>
        </row>
        <row r="363">
          <cell r="A363">
            <v>41179</v>
          </cell>
        </row>
        <row r="364">
          <cell r="A364">
            <v>41186</v>
          </cell>
        </row>
        <row r="365">
          <cell r="A365">
            <v>41193</v>
          </cell>
        </row>
        <row r="366">
          <cell r="A366">
            <v>41200</v>
          </cell>
        </row>
        <row r="367">
          <cell r="A367">
            <v>41207</v>
          </cell>
        </row>
        <row r="368">
          <cell r="A368">
            <v>41214</v>
          </cell>
        </row>
        <row r="369">
          <cell r="A369">
            <v>41221</v>
          </cell>
        </row>
        <row r="370">
          <cell r="A370">
            <v>41228</v>
          </cell>
        </row>
        <row r="371">
          <cell r="A371">
            <v>41235</v>
          </cell>
        </row>
        <row r="372">
          <cell r="A372">
            <v>41242</v>
          </cell>
        </row>
        <row r="373">
          <cell r="A373">
            <v>41249</v>
          </cell>
        </row>
        <row r="374">
          <cell r="A374">
            <v>41256</v>
          </cell>
        </row>
        <row r="375">
          <cell r="A375">
            <v>41263</v>
          </cell>
        </row>
        <row r="376">
          <cell r="A376">
            <v>41270</v>
          </cell>
        </row>
        <row r="377">
          <cell r="A377">
            <v>41277</v>
          </cell>
        </row>
        <row r="378">
          <cell r="A378">
            <v>41284</v>
          </cell>
        </row>
        <row r="379">
          <cell r="A379">
            <v>41291</v>
          </cell>
        </row>
        <row r="380">
          <cell r="A380">
            <v>41298</v>
          </cell>
        </row>
        <row r="381">
          <cell r="A381">
            <v>41305</v>
          </cell>
        </row>
        <row r="382">
          <cell r="A382">
            <v>41312</v>
          </cell>
        </row>
        <row r="383">
          <cell r="A383">
            <v>41319</v>
          </cell>
        </row>
        <row r="384">
          <cell r="A384">
            <v>41326</v>
          </cell>
        </row>
        <row r="385">
          <cell r="A385">
            <v>41333</v>
          </cell>
        </row>
        <row r="386">
          <cell r="A386">
            <v>41340</v>
          </cell>
        </row>
        <row r="387">
          <cell r="A387">
            <v>41347</v>
          </cell>
        </row>
        <row r="388">
          <cell r="A388">
            <v>41354</v>
          </cell>
        </row>
        <row r="389">
          <cell r="A389">
            <v>41361</v>
          </cell>
        </row>
        <row r="390">
          <cell r="A390">
            <v>41368</v>
          </cell>
        </row>
        <row r="391">
          <cell r="A391">
            <v>41375</v>
          </cell>
        </row>
        <row r="392">
          <cell r="A392">
            <v>41382</v>
          </cell>
        </row>
        <row r="393">
          <cell r="A393">
            <v>41389</v>
          </cell>
        </row>
        <row r="394">
          <cell r="A394">
            <v>41396</v>
          </cell>
        </row>
        <row r="395">
          <cell r="A395">
            <v>41403</v>
          </cell>
        </row>
        <row r="396">
          <cell r="A396">
            <v>41410</v>
          </cell>
        </row>
        <row r="397">
          <cell r="A397">
            <v>41417</v>
          </cell>
        </row>
        <row r="398">
          <cell r="A398">
            <v>41424</v>
          </cell>
        </row>
        <row r="399">
          <cell r="A399">
            <v>41431</v>
          </cell>
        </row>
        <row r="400">
          <cell r="A400">
            <v>41438</v>
          </cell>
        </row>
        <row r="401">
          <cell r="A401">
            <v>41445</v>
          </cell>
        </row>
        <row r="402">
          <cell r="A402">
            <v>41452</v>
          </cell>
        </row>
        <row r="403">
          <cell r="A403">
            <v>41459</v>
          </cell>
        </row>
        <row r="404">
          <cell r="A404">
            <v>41466</v>
          </cell>
        </row>
        <row r="405">
          <cell r="A405">
            <v>41473</v>
          </cell>
        </row>
        <row r="406">
          <cell r="A406">
            <v>41480</v>
          </cell>
        </row>
        <row r="407">
          <cell r="A407">
            <v>41487</v>
          </cell>
        </row>
        <row r="408">
          <cell r="A408">
            <v>41494</v>
          </cell>
        </row>
        <row r="409">
          <cell r="A409">
            <v>41501</v>
          </cell>
        </row>
        <row r="410">
          <cell r="A410">
            <v>41508</v>
          </cell>
        </row>
        <row r="411">
          <cell r="A411">
            <v>41515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ata-Conv"/>
      <sheetName val="newsletter"/>
      <sheetName val="New Table 16"/>
      <sheetName val="Fig. 14"/>
      <sheetName val="Pie Charts"/>
      <sheetName val="4wk Fig"/>
      <sheetName val="Charts2"/>
      <sheetName val="Sheet1"/>
      <sheetName val="River Analysi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D6">
            <v>463</v>
          </cell>
          <cell r="G6">
            <v>10999</v>
          </cell>
          <cell r="J6">
            <v>12968</v>
          </cell>
          <cell r="M6">
            <v>2413</v>
          </cell>
          <cell r="P6">
            <v>7645.666666666667</v>
          </cell>
          <cell r="S6">
            <v>12510</v>
          </cell>
          <cell r="U6">
            <v>41.11959287531807</v>
          </cell>
          <cell r="X6">
            <v>152.64631043256998</v>
          </cell>
          <cell r="AB6">
            <v>353.35149863760216</v>
          </cell>
          <cell r="AJ6">
            <v>962.76505513146731</v>
          </cell>
        </row>
        <row r="7">
          <cell r="D7">
            <v>9</v>
          </cell>
          <cell r="G7">
            <v>8899</v>
          </cell>
          <cell r="J7">
            <v>10033</v>
          </cell>
          <cell r="M7">
            <v>2513.3333333333335</v>
          </cell>
          <cell r="P7">
            <v>5951</v>
          </cell>
          <cell r="S7">
            <v>9800.6666666666661</v>
          </cell>
          <cell r="U7">
            <v>0</v>
          </cell>
          <cell r="X7">
            <v>632.01017811704844</v>
          </cell>
          <cell r="AB7">
            <v>273.37874659400541</v>
          </cell>
          <cell r="AJ7">
            <v>889.42324003392719</v>
          </cell>
        </row>
        <row r="8">
          <cell r="D8">
            <v>0</v>
          </cell>
          <cell r="G8">
            <v>10974</v>
          </cell>
          <cell r="J8">
            <v>12550</v>
          </cell>
          <cell r="M8">
            <v>0</v>
          </cell>
          <cell r="P8">
            <v>6586.333333333333</v>
          </cell>
          <cell r="S8">
            <v>8262</v>
          </cell>
          <cell r="U8">
            <v>51.984732824427482</v>
          </cell>
          <cell r="X8">
            <v>508.37150127226465</v>
          </cell>
          <cell r="AB8">
            <v>341.96185286103537</v>
          </cell>
          <cell r="AJ8">
            <v>859.29601357082288</v>
          </cell>
        </row>
        <row r="9">
          <cell r="D9">
            <v>11552</v>
          </cell>
          <cell r="G9">
            <v>24541</v>
          </cell>
          <cell r="J9">
            <v>41864</v>
          </cell>
          <cell r="M9">
            <v>837.33333333333337</v>
          </cell>
          <cell r="P9">
            <v>10529.333333333334</v>
          </cell>
          <cell r="S9">
            <v>12294.333333333334</v>
          </cell>
          <cell r="U9">
            <v>0.33078880407124683</v>
          </cell>
          <cell r="X9">
            <v>404.55470737913487</v>
          </cell>
          <cell r="AB9">
            <v>1140.708446866485</v>
          </cell>
          <cell r="AJ9">
            <v>896.32739609838848</v>
          </cell>
        </row>
        <row r="10">
          <cell r="D10">
            <v>16954</v>
          </cell>
          <cell r="G10">
            <v>20349</v>
          </cell>
          <cell r="J10">
            <v>45745</v>
          </cell>
          <cell r="M10">
            <v>762</v>
          </cell>
          <cell r="P10">
            <v>12400.666666666666</v>
          </cell>
          <cell r="S10">
            <v>16387.333333333332</v>
          </cell>
          <cell r="U10">
            <v>0.5089058524173028</v>
          </cell>
          <cell r="X10">
            <v>363.6641221374046</v>
          </cell>
          <cell r="AB10">
            <v>1246.4577656675749</v>
          </cell>
          <cell r="AJ10">
            <v>961.94232400339286</v>
          </cell>
        </row>
        <row r="11">
          <cell r="D11">
            <v>20852</v>
          </cell>
          <cell r="G11">
            <v>24843</v>
          </cell>
          <cell r="J11">
            <v>58071</v>
          </cell>
          <cell r="M11">
            <v>9076.3333333333339</v>
          </cell>
          <cell r="P11">
            <v>15073.666666666666</v>
          </cell>
          <cell r="S11">
            <v>32723.333333333332</v>
          </cell>
          <cell r="U11">
            <v>0.63613231552162852</v>
          </cell>
          <cell r="X11">
            <v>371.95928753180664</v>
          </cell>
          <cell r="AB11">
            <v>1582.3160762942778</v>
          </cell>
          <cell r="AJ11">
            <v>759.34690415606451</v>
          </cell>
        </row>
        <row r="12">
          <cell r="D12">
            <v>15383</v>
          </cell>
          <cell r="G12">
            <v>36393</v>
          </cell>
          <cell r="J12">
            <v>63463</v>
          </cell>
          <cell r="M12">
            <v>19111.333333333332</v>
          </cell>
          <cell r="P12">
            <v>20924</v>
          </cell>
          <cell r="S12">
            <v>50075</v>
          </cell>
          <cell r="U12">
            <v>0.45801526717557256</v>
          </cell>
          <cell r="X12">
            <v>198.93129770992368</v>
          </cell>
          <cell r="AB12">
            <v>1729.2370572207083</v>
          </cell>
          <cell r="AJ12">
            <v>699.43172179813405</v>
          </cell>
        </row>
        <row r="13">
          <cell r="D13">
            <v>15980</v>
          </cell>
          <cell r="G13">
            <v>35477</v>
          </cell>
          <cell r="J13">
            <v>63897</v>
          </cell>
          <cell r="M13">
            <v>19814.666666666668</v>
          </cell>
          <cell r="P13">
            <v>22527.666666666668</v>
          </cell>
          <cell r="S13">
            <v>54867.333333333336</v>
          </cell>
          <cell r="U13">
            <v>0.43256997455470741</v>
          </cell>
          <cell r="X13">
            <v>343.56234096692117</v>
          </cell>
          <cell r="AB13">
            <v>1741.0626702997274</v>
          </cell>
          <cell r="AJ13">
            <v>678.10008481764214</v>
          </cell>
        </row>
        <row r="14">
          <cell r="D14">
            <v>11617</v>
          </cell>
          <cell r="G14">
            <v>38509</v>
          </cell>
          <cell r="J14">
            <v>57807</v>
          </cell>
          <cell r="M14">
            <v>19857.333333333332</v>
          </cell>
          <cell r="P14">
            <v>30117.666666666668</v>
          </cell>
          <cell r="S14">
            <v>62366.666666666664</v>
          </cell>
          <cell r="U14">
            <v>54.783715012722652</v>
          </cell>
          <cell r="X14">
            <v>203.0788804071247</v>
          </cell>
          <cell r="AB14">
            <v>1575.1226158038146</v>
          </cell>
          <cell r="AJ14">
            <v>743.2909245122986</v>
          </cell>
        </row>
        <row r="15">
          <cell r="D15">
            <v>16282</v>
          </cell>
          <cell r="G15">
            <v>38222</v>
          </cell>
          <cell r="J15">
            <v>62484</v>
          </cell>
          <cell r="M15">
            <v>15805.333333333334</v>
          </cell>
          <cell r="P15">
            <v>29714.666666666668</v>
          </cell>
          <cell r="S15">
            <v>57457</v>
          </cell>
          <cell r="U15">
            <v>54.860050890585242</v>
          </cell>
          <cell r="X15">
            <v>145.16539440203564</v>
          </cell>
          <cell r="AB15">
            <v>1702.5613079019072</v>
          </cell>
          <cell r="AJ15">
            <v>712.7735368956744</v>
          </cell>
        </row>
        <row r="16">
          <cell r="D16">
            <v>14029</v>
          </cell>
          <cell r="G16">
            <v>39827</v>
          </cell>
          <cell r="J16">
            <v>64772</v>
          </cell>
          <cell r="M16">
            <v>14045.333333333334</v>
          </cell>
          <cell r="P16">
            <v>37244.333333333336</v>
          </cell>
          <cell r="S16">
            <v>64455</v>
          </cell>
          <cell r="U16">
            <v>65.725190839694662</v>
          </cell>
          <cell r="X16">
            <v>236.33587786259542</v>
          </cell>
          <cell r="AB16">
            <v>1764.9046321525884</v>
          </cell>
          <cell r="AJ16">
            <v>775.67430025445299</v>
          </cell>
        </row>
        <row r="17">
          <cell r="D17">
            <v>9730</v>
          </cell>
          <cell r="G17">
            <v>32678</v>
          </cell>
          <cell r="J17">
            <v>46680</v>
          </cell>
          <cell r="M17">
            <v>11970.666666666666</v>
          </cell>
          <cell r="P17">
            <v>34447</v>
          </cell>
          <cell r="S17">
            <v>59128.666666666664</v>
          </cell>
          <cell r="U17">
            <v>54.656488549618324</v>
          </cell>
          <cell r="X17">
            <v>285.52162849872775</v>
          </cell>
          <cell r="AB17">
            <v>1271.9346049046321</v>
          </cell>
          <cell r="AJ17">
            <v>810.2290076335878</v>
          </cell>
        </row>
        <row r="18">
          <cell r="D18">
            <v>9557</v>
          </cell>
          <cell r="G18">
            <v>34435</v>
          </cell>
          <cell r="J18">
            <v>50102</v>
          </cell>
          <cell r="M18">
            <v>9332.3333333333339</v>
          </cell>
          <cell r="P18">
            <v>30960</v>
          </cell>
          <cell r="S18">
            <v>50319</v>
          </cell>
          <cell r="U18">
            <v>54.885496183206108</v>
          </cell>
          <cell r="X18">
            <v>172.87531806615777</v>
          </cell>
          <cell r="AB18">
            <v>1365.1771117166211</v>
          </cell>
          <cell r="AJ18">
            <v>834.11365564037317</v>
          </cell>
        </row>
        <row r="19">
          <cell r="D19">
            <v>9418</v>
          </cell>
          <cell r="G19">
            <v>29058</v>
          </cell>
          <cell r="J19">
            <v>47382</v>
          </cell>
          <cell r="M19">
            <v>12639.666666666666</v>
          </cell>
          <cell r="P19">
            <v>25396</v>
          </cell>
          <cell r="S19">
            <v>47108</v>
          </cell>
          <cell r="U19">
            <v>0.2544529262086514</v>
          </cell>
          <cell r="X19">
            <v>167.20101781170484</v>
          </cell>
          <cell r="AB19">
            <v>1291.0626702997274</v>
          </cell>
          <cell r="AJ19">
            <v>809.00763358778636</v>
          </cell>
        </row>
        <row r="20">
          <cell r="D20">
            <v>2838</v>
          </cell>
          <cell r="G20">
            <v>26407</v>
          </cell>
          <cell r="J20">
            <v>39046</v>
          </cell>
          <cell r="M20">
            <v>11791.333333333334</v>
          </cell>
          <cell r="P20">
            <v>25837.333333333332</v>
          </cell>
          <cell r="S20">
            <v>46597</v>
          </cell>
          <cell r="U20">
            <v>54.809160305343518</v>
          </cell>
          <cell r="X20">
            <v>326.97201017811705</v>
          </cell>
          <cell r="AB20">
            <v>1063.9237057220707</v>
          </cell>
          <cell r="AJ20">
            <v>855.95419847328253</v>
          </cell>
        </row>
        <row r="21">
          <cell r="D21">
            <v>4788</v>
          </cell>
          <cell r="G21">
            <v>30494</v>
          </cell>
          <cell r="J21">
            <v>45396</v>
          </cell>
          <cell r="M21">
            <v>10064.666666666666</v>
          </cell>
          <cell r="P21">
            <v>20369</v>
          </cell>
          <cell r="S21">
            <v>38796</v>
          </cell>
          <cell r="U21">
            <v>109.89821882951655</v>
          </cell>
          <cell r="X21">
            <v>205.85241730279898</v>
          </cell>
          <cell r="AB21">
            <v>1236.9482288828337</v>
          </cell>
          <cell r="AJ21">
            <v>810.80576759966084</v>
          </cell>
        </row>
        <row r="22">
          <cell r="D22">
            <v>11958</v>
          </cell>
          <cell r="G22">
            <v>19928</v>
          </cell>
          <cell r="J22">
            <v>35891</v>
          </cell>
          <cell r="M22">
            <v>8601.3333333333339</v>
          </cell>
          <cell r="P22">
            <v>26358</v>
          </cell>
          <cell r="S22">
            <v>45525.333333333336</v>
          </cell>
          <cell r="U22">
            <v>56.844783715012724</v>
          </cell>
          <cell r="X22">
            <v>119.4910941475827</v>
          </cell>
          <cell r="AB22">
            <v>977.95640326975467</v>
          </cell>
          <cell r="AJ22">
            <v>983.80831212892281</v>
          </cell>
        </row>
        <row r="23">
          <cell r="M23">
            <v>5456.666666666667</v>
          </cell>
          <cell r="P23">
            <v>21980.333333333332</v>
          </cell>
          <cell r="S23">
            <v>31675.666666666668</v>
          </cell>
          <cell r="AJ23">
            <v>654.91094147582703</v>
          </cell>
        </row>
        <row r="24">
          <cell r="M24">
            <v>7527.666666666667</v>
          </cell>
          <cell r="P24">
            <v>22302.333333333332</v>
          </cell>
          <cell r="S24">
            <v>34118.333333333336</v>
          </cell>
          <cell r="AJ24">
            <v>458.24427480916034</v>
          </cell>
        </row>
        <row r="25">
          <cell r="M25">
            <v>6966</v>
          </cell>
          <cell r="P25">
            <v>30938</v>
          </cell>
          <cell r="S25">
            <v>45214.333333333336</v>
          </cell>
          <cell r="AJ25">
            <v>732.34944868532659</v>
          </cell>
        </row>
        <row r="26">
          <cell r="M26">
            <v>10847.333333333334</v>
          </cell>
          <cell r="P26">
            <v>24351</v>
          </cell>
          <cell r="S26">
            <v>43241</v>
          </cell>
          <cell r="AJ26">
            <v>759.23664122137416</v>
          </cell>
        </row>
        <row r="27">
          <cell r="M27">
            <v>9410</v>
          </cell>
          <cell r="P27">
            <v>25291</v>
          </cell>
          <cell r="S27">
            <v>42628.333333333336</v>
          </cell>
          <cell r="AJ27">
            <v>795.31806615776088</v>
          </cell>
        </row>
        <row r="28">
          <cell r="M28">
            <v>9949</v>
          </cell>
          <cell r="P28">
            <v>25624.666666666668</v>
          </cell>
          <cell r="S28">
            <v>40898</v>
          </cell>
          <cell r="AJ28">
            <v>858.49872773536902</v>
          </cell>
        </row>
        <row r="29">
          <cell r="M29">
            <v>8281</v>
          </cell>
          <cell r="P29">
            <v>23492.333333333332</v>
          </cell>
          <cell r="S29">
            <v>37251.666666666664</v>
          </cell>
          <cell r="AJ29">
            <v>693.72349448685327</v>
          </cell>
        </row>
        <row r="30">
          <cell r="M30">
            <v>9188.3333333333339</v>
          </cell>
          <cell r="P30">
            <v>25008.333333333332</v>
          </cell>
          <cell r="S30">
            <v>40528.333333333336</v>
          </cell>
          <cell r="AJ30">
            <v>991.6284987277354</v>
          </cell>
        </row>
        <row r="31">
          <cell r="M31">
            <v>13871</v>
          </cell>
          <cell r="P31">
            <v>22505</v>
          </cell>
          <cell r="S31">
            <v>42637.333333333336</v>
          </cell>
          <cell r="AJ31">
            <v>817.9474130619169</v>
          </cell>
        </row>
        <row r="32">
          <cell r="M32">
            <v>7927.333333333333</v>
          </cell>
          <cell r="P32">
            <v>18885.666666666668</v>
          </cell>
          <cell r="S32">
            <v>31357.666666666668</v>
          </cell>
          <cell r="AJ32">
            <v>980.91603053435119</v>
          </cell>
        </row>
        <row r="33">
          <cell r="M33">
            <v>6614.333333333333</v>
          </cell>
          <cell r="P33">
            <v>17088</v>
          </cell>
          <cell r="S33">
            <v>28867.666666666668</v>
          </cell>
          <cell r="AJ33">
            <v>994.45292620865143</v>
          </cell>
        </row>
        <row r="34">
          <cell r="M34">
            <v>8891</v>
          </cell>
          <cell r="P34">
            <v>15343.333333333334</v>
          </cell>
          <cell r="S34">
            <v>28906.333333333332</v>
          </cell>
          <cell r="AJ34">
            <v>844.2663273960984</v>
          </cell>
        </row>
        <row r="35">
          <cell r="M35">
            <v>9670.6666666666661</v>
          </cell>
          <cell r="P35">
            <v>14627.333333333334</v>
          </cell>
          <cell r="S35">
            <v>28418.333333333332</v>
          </cell>
          <cell r="AJ35">
            <v>918.8634435962681</v>
          </cell>
        </row>
        <row r="36">
          <cell r="M36">
            <v>7795.333333333333</v>
          </cell>
          <cell r="P36">
            <v>10446</v>
          </cell>
          <cell r="S36">
            <v>23179</v>
          </cell>
          <cell r="AJ36">
            <v>971.91687871077193</v>
          </cell>
        </row>
        <row r="37">
          <cell r="M37">
            <v>6583</v>
          </cell>
          <cell r="P37">
            <v>11211.666666666666</v>
          </cell>
          <cell r="S37">
            <v>21285</v>
          </cell>
          <cell r="AJ37">
            <v>890.11874469889733</v>
          </cell>
        </row>
        <row r="38">
          <cell r="M38">
            <v>6131.333333333333</v>
          </cell>
          <cell r="P38">
            <v>7713.333333333333</v>
          </cell>
          <cell r="S38">
            <v>17128.333333333332</v>
          </cell>
          <cell r="AJ38">
            <v>1027.2434266327396</v>
          </cell>
        </row>
        <row r="39">
          <cell r="M39">
            <v>4540.333333333333</v>
          </cell>
          <cell r="P39">
            <v>3041.6666666666665</v>
          </cell>
          <cell r="S39">
            <v>11560</v>
          </cell>
          <cell r="AJ39">
            <v>893.64715860899082</v>
          </cell>
        </row>
        <row r="40">
          <cell r="M40">
            <v>816</v>
          </cell>
          <cell r="P40">
            <v>6785.666666666667</v>
          </cell>
          <cell r="S40">
            <v>10914.333333333334</v>
          </cell>
          <cell r="AJ40">
            <v>800.93299406276515</v>
          </cell>
        </row>
        <row r="41">
          <cell r="M41">
            <v>2098</v>
          </cell>
          <cell r="P41">
            <v>3139.3333333333335</v>
          </cell>
          <cell r="S41">
            <v>9242.3333333333339</v>
          </cell>
          <cell r="AJ41">
            <v>842.97709923664127</v>
          </cell>
        </row>
        <row r="42">
          <cell r="M42">
            <v>2777.6666666666665</v>
          </cell>
          <cell r="P42">
            <v>6326.666666666667</v>
          </cell>
          <cell r="S42">
            <v>12073.666666666666</v>
          </cell>
          <cell r="AJ42">
            <v>885.58948261238334</v>
          </cell>
        </row>
        <row r="43">
          <cell r="M43">
            <v>2569.3333333333335</v>
          </cell>
          <cell r="P43">
            <v>3659.3333333333335</v>
          </cell>
          <cell r="S43">
            <v>9034.6666666666661</v>
          </cell>
          <cell r="AJ43">
            <v>910.18659881255314</v>
          </cell>
        </row>
        <row r="44">
          <cell r="M44">
            <v>2597</v>
          </cell>
          <cell r="P44">
            <v>4435.333333333333</v>
          </cell>
          <cell r="S44">
            <v>9853</v>
          </cell>
          <cell r="AJ44">
            <v>981.45038167938935</v>
          </cell>
        </row>
        <row r="45">
          <cell r="M45">
            <v>772.66666666666663</v>
          </cell>
          <cell r="P45">
            <v>5368</v>
          </cell>
          <cell r="S45">
            <v>8660.3333333333339</v>
          </cell>
          <cell r="AJ45">
            <v>865.51314673452077</v>
          </cell>
        </row>
        <row r="46">
          <cell r="M46">
            <v>3981.6666666666665</v>
          </cell>
          <cell r="P46">
            <v>3391.6666666666665</v>
          </cell>
          <cell r="S46">
            <v>10060</v>
          </cell>
          <cell r="AJ46">
            <v>793.84223918575071</v>
          </cell>
        </row>
        <row r="47">
          <cell r="M47">
            <v>2480.3333333333335</v>
          </cell>
          <cell r="P47">
            <v>3270.6666666666665</v>
          </cell>
          <cell r="S47">
            <v>8557.3333333333339</v>
          </cell>
          <cell r="AJ47">
            <v>853.01102629346917</v>
          </cell>
        </row>
        <row r="48">
          <cell r="M48">
            <v>1040</v>
          </cell>
          <cell r="P48">
            <v>3986.6666666666665</v>
          </cell>
          <cell r="S48">
            <v>7061</v>
          </cell>
          <cell r="AJ48">
            <v>851.66242578456331</v>
          </cell>
        </row>
        <row r="49">
          <cell r="M49">
            <v>1867.3333333333333</v>
          </cell>
          <cell r="P49">
            <v>3271.6666666666665</v>
          </cell>
          <cell r="S49">
            <v>7843.666666666667</v>
          </cell>
          <cell r="AJ49">
            <v>856.72603901611546</v>
          </cell>
        </row>
        <row r="50">
          <cell r="M50">
            <v>1928</v>
          </cell>
          <cell r="P50">
            <v>6356.666666666667</v>
          </cell>
          <cell r="S50">
            <v>10958</v>
          </cell>
          <cell r="AJ50">
            <v>830.55131467345223</v>
          </cell>
        </row>
        <row r="51">
          <cell r="M51">
            <v>2704</v>
          </cell>
          <cell r="P51">
            <v>4671</v>
          </cell>
          <cell r="S51">
            <v>9591</v>
          </cell>
          <cell r="AJ51">
            <v>839.30449533502974</v>
          </cell>
        </row>
        <row r="52">
          <cell r="M52">
            <v>786</v>
          </cell>
          <cell r="P52">
            <v>6709.333333333333</v>
          </cell>
          <cell r="S52">
            <v>9832.6666666666661</v>
          </cell>
          <cell r="AJ52">
            <v>859.15182357930451</v>
          </cell>
        </row>
        <row r="53">
          <cell r="M53">
            <v>3051.3333333333335</v>
          </cell>
          <cell r="P53">
            <v>5160.333333333333</v>
          </cell>
          <cell r="S53">
            <v>11240.333333333334</v>
          </cell>
          <cell r="AJ53">
            <v>774.58015267175574</v>
          </cell>
        </row>
        <row r="54">
          <cell r="M54">
            <v>1807</v>
          </cell>
          <cell r="P54">
            <v>5119.333333333333</v>
          </cell>
          <cell r="S54">
            <v>8847</v>
          </cell>
          <cell r="AJ54">
            <v>860.33078880407129</v>
          </cell>
        </row>
        <row r="55">
          <cell r="M55">
            <v>2333.6666666666665</v>
          </cell>
          <cell r="P55">
            <v>8335</v>
          </cell>
          <cell r="S55">
            <v>13264.666666666666</v>
          </cell>
          <cell r="AJ55">
            <v>813.40966921119593</v>
          </cell>
        </row>
        <row r="56">
          <cell r="M56">
            <v>2373</v>
          </cell>
          <cell r="P56">
            <v>10766.333333333334</v>
          </cell>
          <cell r="S56">
            <v>14998.666666666666</v>
          </cell>
          <cell r="AJ56">
            <v>832.28159457167101</v>
          </cell>
        </row>
        <row r="57">
          <cell r="M57">
            <v>2485</v>
          </cell>
          <cell r="P57">
            <v>7013</v>
          </cell>
          <cell r="S57">
            <v>11502.333333333334</v>
          </cell>
          <cell r="AJ57">
            <v>835.6997455470738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1:M30"/>
  <sheetViews>
    <sheetView tabSelected="1" zoomScale="125" zoomScaleNormal="125" workbookViewId="0"/>
  </sheetViews>
  <sheetFormatPr defaultRowHeight="13.2" x14ac:dyDescent="0.25"/>
  <cols>
    <col min="1" max="1" width="25.6640625" customWidth="1"/>
    <col min="2" max="2" width="4.5546875" customWidth="1"/>
    <col min="3" max="3" width="11.6640625" customWidth="1"/>
    <col min="4" max="4" width="9" customWidth="1"/>
    <col min="5" max="5" width="1.33203125" customWidth="1"/>
    <col min="6" max="6" width="12.33203125" customWidth="1"/>
    <col min="7" max="7" width="0.88671875" customWidth="1"/>
    <col min="8" max="8" width="10" customWidth="1"/>
    <col min="9" max="9" width="1.6640625" customWidth="1"/>
    <col min="10" max="10" width="1.88671875" customWidth="1"/>
    <col min="11" max="11" width="9.44140625" bestFit="1" customWidth="1"/>
    <col min="12" max="12" width="12" bestFit="1" customWidth="1"/>
    <col min="13" max="13" width="11" bestFit="1" customWidth="1"/>
  </cols>
  <sheetData>
    <row r="1" spans="1:11" x14ac:dyDescent="0.25">
      <c r="A1" s="228"/>
      <c r="B1" s="229"/>
      <c r="C1" s="54"/>
      <c r="D1" s="54"/>
      <c r="E1" s="54"/>
      <c r="F1" s="54"/>
      <c r="G1" s="54"/>
      <c r="H1" s="54"/>
      <c r="I1" s="54"/>
      <c r="J1" s="230"/>
      <c r="K1" s="231"/>
    </row>
    <row r="2" spans="1:11" ht="13.8" x14ac:dyDescent="0.25">
      <c r="A2" s="232"/>
      <c r="B2" s="232"/>
      <c r="C2" s="40"/>
      <c r="D2" s="40"/>
      <c r="E2" s="40"/>
      <c r="F2" s="40"/>
      <c r="G2" s="40"/>
      <c r="H2" s="233"/>
      <c r="I2" s="54"/>
      <c r="J2" s="230"/>
      <c r="K2" s="231"/>
    </row>
    <row r="3" spans="1:11" ht="15.75" customHeight="1" x14ac:dyDescent="0.25">
      <c r="A3" s="234"/>
      <c r="B3" s="235"/>
      <c r="C3" s="235"/>
      <c r="D3" s="235"/>
      <c r="E3" s="236"/>
      <c r="F3" s="237"/>
      <c r="G3" s="237"/>
      <c r="H3" s="238"/>
      <c r="I3" s="50"/>
      <c r="J3" s="230"/>
      <c r="K3" s="231"/>
    </row>
    <row r="4" spans="1:11" ht="15.75" customHeight="1" x14ac:dyDescent="0.25">
      <c r="A4" s="52"/>
      <c r="B4" s="39"/>
      <c r="C4" s="39"/>
      <c r="D4" s="39"/>
      <c r="E4" s="39"/>
      <c r="F4" s="53"/>
      <c r="G4" s="53"/>
      <c r="H4" s="238"/>
      <c r="I4" s="50"/>
      <c r="J4" s="230"/>
      <c r="K4" s="231"/>
    </row>
    <row r="5" spans="1:11" ht="15.75" customHeight="1" x14ac:dyDescent="0.25">
      <c r="A5" s="239"/>
      <c r="B5" s="39"/>
      <c r="C5" s="39"/>
      <c r="D5" s="39"/>
      <c r="E5" s="39"/>
      <c r="F5" s="53"/>
      <c r="G5" s="53"/>
      <c r="H5" s="39"/>
      <c r="I5" s="50"/>
      <c r="J5" s="230"/>
      <c r="K5" s="231"/>
    </row>
    <row r="6" spans="1:11" x14ac:dyDescent="0.25">
      <c r="A6" s="40"/>
      <c r="B6" s="240"/>
      <c r="C6" s="240"/>
      <c r="D6" s="240"/>
      <c r="E6" s="51"/>
      <c r="F6" s="44"/>
      <c r="G6" s="44"/>
      <c r="H6" s="241"/>
      <c r="I6" s="54"/>
      <c r="J6" s="230"/>
      <c r="K6" s="231"/>
    </row>
    <row r="7" spans="1:11" ht="14.4" customHeight="1" x14ac:dyDescent="0.25">
      <c r="A7" s="40"/>
      <c r="B7" s="55"/>
      <c r="C7" s="56"/>
      <c r="D7" s="56"/>
      <c r="E7" s="36"/>
      <c r="F7" s="45"/>
      <c r="G7" s="45"/>
      <c r="H7" s="242"/>
      <c r="I7" s="54"/>
      <c r="J7" s="230"/>
      <c r="K7" s="231"/>
    </row>
    <row r="8" spans="1:11" x14ac:dyDescent="0.25">
      <c r="A8" s="40"/>
      <c r="B8" s="55"/>
      <c r="C8" s="56"/>
      <c r="D8" s="56"/>
      <c r="E8" s="36"/>
      <c r="F8" s="45"/>
      <c r="G8" s="45"/>
      <c r="H8" s="242"/>
      <c r="I8" s="54"/>
      <c r="J8" s="230"/>
      <c r="K8" s="231"/>
    </row>
    <row r="9" spans="1:11" x14ac:dyDescent="0.25">
      <c r="A9" s="40"/>
      <c r="B9" s="55"/>
      <c r="C9" s="56"/>
      <c r="D9" s="56"/>
      <c r="E9" s="36"/>
      <c r="F9" s="45"/>
      <c r="G9" s="49"/>
      <c r="H9" s="242"/>
      <c r="I9" s="54"/>
      <c r="J9" s="230"/>
      <c r="K9" s="231"/>
    </row>
    <row r="10" spans="1:11" x14ac:dyDescent="0.25">
      <c r="A10" s="40"/>
      <c r="B10" s="56"/>
      <c r="C10" s="56"/>
      <c r="D10" s="56"/>
      <c r="E10" s="36"/>
      <c r="F10" s="45"/>
      <c r="G10" s="49"/>
      <c r="H10" s="242"/>
      <c r="I10" s="54"/>
      <c r="J10" s="230"/>
      <c r="K10" s="231"/>
    </row>
    <row r="11" spans="1:11" x14ac:dyDescent="0.25">
      <c r="A11" s="40"/>
      <c r="B11" s="55"/>
      <c r="C11" s="56"/>
      <c r="D11" s="56"/>
      <c r="E11" s="36"/>
      <c r="F11" s="45"/>
      <c r="G11" s="49"/>
      <c r="H11" s="243"/>
      <c r="I11" s="54"/>
      <c r="J11" s="230"/>
      <c r="K11" s="231"/>
    </row>
    <row r="12" spans="1:11" ht="12.75" customHeight="1" x14ac:dyDescent="0.25">
      <c r="A12" s="244"/>
      <c r="B12" s="59"/>
      <c r="C12" s="59"/>
      <c r="D12" s="59"/>
      <c r="E12" s="43"/>
      <c r="F12" s="47"/>
      <c r="G12" s="47"/>
      <c r="H12" s="245"/>
      <c r="I12" s="54"/>
      <c r="J12" s="230"/>
      <c r="K12" s="231"/>
    </row>
    <row r="13" spans="1:11" ht="14.4" customHeight="1" x14ac:dyDescent="0.25">
      <c r="A13" s="38"/>
      <c r="B13" s="59"/>
      <c r="C13" s="59"/>
      <c r="D13" s="59"/>
      <c r="E13" s="43"/>
      <c r="F13" s="47"/>
      <c r="G13" s="47"/>
      <c r="H13" s="59"/>
      <c r="I13" s="54"/>
      <c r="J13" s="246"/>
      <c r="K13" s="128"/>
    </row>
    <row r="14" spans="1:11" x14ac:dyDescent="0.25">
      <c r="A14" s="72"/>
      <c r="B14" s="247"/>
      <c r="C14" s="247"/>
      <c r="D14" s="247"/>
      <c r="E14" s="43"/>
      <c r="F14" s="248"/>
      <c r="G14" s="47"/>
      <c r="H14" s="249"/>
      <c r="I14" s="54"/>
      <c r="J14" s="250"/>
      <c r="K14" s="128"/>
    </row>
    <row r="15" spans="1:11" x14ac:dyDescent="0.25">
      <c r="A15" s="251"/>
      <c r="B15" s="252"/>
      <c r="C15" s="252"/>
      <c r="D15" s="252"/>
      <c r="E15" s="43"/>
      <c r="F15" s="47"/>
      <c r="G15" s="47"/>
      <c r="H15" s="253"/>
      <c r="I15" s="54"/>
      <c r="J15" s="230"/>
      <c r="K15" s="128"/>
    </row>
    <row r="16" spans="1:11" ht="25.5" customHeight="1" x14ac:dyDescent="0.25">
      <c r="A16" s="38"/>
      <c r="B16" s="254"/>
      <c r="C16" s="254"/>
      <c r="D16" s="254"/>
      <c r="E16" s="254"/>
      <c r="F16" s="254"/>
      <c r="G16" s="254"/>
      <c r="H16" s="255"/>
      <c r="I16" s="54"/>
      <c r="J16" s="230"/>
      <c r="K16" s="231"/>
    </row>
    <row r="17" spans="1:13" ht="15" customHeight="1" x14ac:dyDescent="0.25">
      <c r="A17" s="256"/>
      <c r="B17" s="129"/>
      <c r="C17" s="257"/>
      <c r="D17" s="129"/>
      <c r="E17" s="258"/>
      <c r="F17" s="47"/>
      <c r="G17" s="47"/>
      <c r="H17" s="259"/>
      <c r="I17" s="40"/>
      <c r="J17" s="250"/>
      <c r="K17" s="129"/>
    </row>
    <row r="18" spans="1:13" x14ac:dyDescent="0.25">
      <c r="A18" s="260"/>
      <c r="B18" s="260"/>
      <c r="C18" s="260"/>
      <c r="D18" s="260"/>
      <c r="E18" s="260"/>
      <c r="F18" s="260"/>
      <c r="G18" s="260"/>
      <c r="H18" s="260"/>
      <c r="I18" s="54"/>
      <c r="J18" s="230"/>
      <c r="K18" s="261"/>
      <c r="L18" s="73"/>
      <c r="M18" s="73"/>
    </row>
    <row r="19" spans="1:13" x14ac:dyDescent="0.25">
      <c r="A19" s="97"/>
      <c r="B19" s="97"/>
      <c r="C19" s="98"/>
      <c r="D19" s="98"/>
      <c r="E19" s="98"/>
      <c r="F19" s="98"/>
      <c r="G19" s="98"/>
      <c r="H19" s="98"/>
      <c r="I19" s="262"/>
      <c r="J19" s="230"/>
      <c r="K19" s="261"/>
    </row>
    <row r="20" spans="1:13" ht="23.4" customHeight="1" x14ac:dyDescent="0.25">
      <c r="A20" s="207"/>
      <c r="B20" s="207"/>
      <c r="C20" s="207"/>
      <c r="D20" s="207"/>
      <c r="E20" s="207"/>
      <c r="F20" s="207"/>
      <c r="G20" s="207"/>
      <c r="H20" s="207"/>
      <c r="I20" s="207"/>
      <c r="J20" s="207"/>
      <c r="K20" s="231"/>
    </row>
    <row r="21" spans="1:13" ht="20.25" customHeight="1" x14ac:dyDescent="0.25">
      <c r="A21" s="205"/>
      <c r="B21" s="205"/>
      <c r="C21" s="206"/>
      <c r="D21" s="206"/>
      <c r="E21" s="206"/>
      <c r="F21" s="206"/>
      <c r="G21" s="206"/>
      <c r="H21" s="206"/>
      <c r="I21" s="136"/>
      <c r="J21" s="136"/>
      <c r="K21" s="231"/>
    </row>
    <row r="22" spans="1:13" ht="13.2" customHeight="1" x14ac:dyDescent="0.25">
      <c r="A22" s="203"/>
      <c r="B22" s="204"/>
      <c r="C22" s="203"/>
      <c r="D22" s="203"/>
      <c r="E22" s="203"/>
      <c r="F22" s="203"/>
      <c r="G22" s="203"/>
      <c r="H22" s="203"/>
      <c r="I22" s="263"/>
      <c r="J22" s="230"/>
      <c r="K22" s="261"/>
      <c r="L22" s="94"/>
    </row>
    <row r="23" spans="1:13" x14ac:dyDescent="0.25">
      <c r="A23" s="135"/>
      <c r="B23" s="135"/>
      <c r="C23" s="135"/>
      <c r="D23" s="135"/>
      <c r="E23" s="135"/>
      <c r="F23" s="135"/>
      <c r="G23" s="135"/>
      <c r="H23" s="135"/>
      <c r="I23" s="135"/>
      <c r="J23" s="133"/>
      <c r="K23" s="231"/>
      <c r="L23" s="84"/>
    </row>
    <row r="24" spans="1:13" ht="16.2" customHeight="1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101"/>
      <c r="K24" s="126"/>
      <c r="L24" s="84"/>
    </row>
    <row r="25" spans="1:13" ht="25.5" customHeight="1" x14ac:dyDescent="0.25">
      <c r="A25" s="126"/>
      <c r="B25" s="126"/>
      <c r="C25" s="126"/>
      <c r="D25" s="126"/>
      <c r="E25" s="126"/>
      <c r="F25" s="126"/>
      <c r="G25" s="126"/>
      <c r="H25" s="126"/>
      <c r="I25" s="126"/>
      <c r="J25" s="127"/>
      <c r="K25" s="126"/>
      <c r="L25" s="84"/>
    </row>
    <row r="26" spans="1:13" x14ac:dyDescent="0.25">
      <c r="A26" s="99"/>
      <c r="B26" s="99"/>
      <c r="C26" s="99"/>
      <c r="D26" s="99"/>
      <c r="E26" s="99"/>
      <c r="F26" s="100"/>
      <c r="G26" s="100"/>
      <c r="H26" s="99"/>
      <c r="I26" s="99"/>
      <c r="J26" s="75"/>
      <c r="K26" s="126"/>
      <c r="L26" s="84"/>
    </row>
    <row r="27" spans="1:13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75"/>
      <c r="K27" s="126"/>
      <c r="L27" s="84"/>
    </row>
    <row r="28" spans="1:13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75"/>
      <c r="K28" s="126"/>
    </row>
    <row r="29" spans="1:13" x14ac:dyDescent="0.25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</row>
    <row r="30" spans="1:13" x14ac:dyDescent="0.25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</row>
  </sheetData>
  <mergeCells count="6">
    <mergeCell ref="A22:H22"/>
    <mergeCell ref="B3:D3"/>
    <mergeCell ref="B6:D6"/>
    <mergeCell ref="A21:H21"/>
    <mergeCell ref="A18:H18"/>
    <mergeCell ref="A20:J20"/>
  </mergeCells>
  <phoneticPr fontId="2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AF830"/>
  <sheetViews>
    <sheetView workbookViewId="0">
      <pane xSplit="1" ySplit="2" topLeftCell="B392" activePane="bottomRight" state="frozen"/>
      <selection pane="topRight" activeCell="B1" sqref="B1"/>
      <selection pane="bottomLeft" activeCell="A3" sqref="A3"/>
      <selection pane="bottomRight" activeCell="G407" sqref="G407"/>
    </sheetView>
  </sheetViews>
  <sheetFormatPr defaultRowHeight="13.2" x14ac:dyDescent="0.25"/>
  <cols>
    <col min="1" max="1" width="11.88671875" customWidth="1"/>
    <col min="2" max="2" width="9.6640625" bestFit="1" customWidth="1"/>
    <col min="3" max="3" width="11.44140625" customWidth="1"/>
    <col min="4" max="4" width="10.6640625" customWidth="1"/>
    <col min="5" max="5" width="12.88671875" customWidth="1"/>
    <col min="6" max="6" width="11.33203125" customWidth="1"/>
    <col min="9" max="9" width="9.77734375" customWidth="1"/>
    <col min="10" max="10" width="7.33203125" customWidth="1"/>
    <col min="13" max="13" width="10.44140625" bestFit="1" customWidth="1"/>
    <col min="14" max="14" width="9" bestFit="1" customWidth="1"/>
    <col min="15" max="15" width="6.6640625" customWidth="1"/>
    <col min="16" max="16" width="7.5546875" customWidth="1"/>
    <col min="17" max="17" width="8" customWidth="1"/>
    <col min="18" max="18" width="20.44140625" bestFit="1" customWidth="1"/>
    <col min="19" max="19" width="14.44140625" customWidth="1"/>
    <col min="20" max="20" width="10.33203125" customWidth="1"/>
    <col min="21" max="21" width="12.6640625" customWidth="1"/>
  </cols>
  <sheetData>
    <row r="1" spans="1:16" x14ac:dyDescent="0.25">
      <c r="A1" t="s">
        <v>30</v>
      </c>
      <c r="B1" t="s">
        <v>7</v>
      </c>
      <c r="D1" s="210" t="s">
        <v>1</v>
      </c>
      <c r="E1" s="211"/>
      <c r="F1" s="210" t="s">
        <v>2</v>
      </c>
      <c r="G1" s="211"/>
      <c r="H1" s="63" t="s">
        <v>36</v>
      </c>
      <c r="I1" s="194" t="s">
        <v>35</v>
      </c>
      <c r="J1" s="63" t="s">
        <v>36</v>
      </c>
      <c r="K1" s="63" t="s">
        <v>35</v>
      </c>
      <c r="L1" s="15"/>
      <c r="M1" s="155" t="s">
        <v>275</v>
      </c>
      <c r="N1" s="155" t="s">
        <v>275</v>
      </c>
      <c r="O1" s="156" t="s">
        <v>278</v>
      </c>
      <c r="P1" s="156" t="s">
        <v>278</v>
      </c>
    </row>
    <row r="2" spans="1:16" x14ac:dyDescent="0.25">
      <c r="B2" s="6" t="s">
        <v>32</v>
      </c>
      <c r="C2" s="6" t="s">
        <v>33</v>
      </c>
      <c r="D2" s="8" t="s">
        <v>32</v>
      </c>
      <c r="E2" s="7" t="s">
        <v>33</v>
      </c>
      <c r="F2" s="8" t="s">
        <v>32</v>
      </c>
      <c r="G2" s="7" t="s">
        <v>33</v>
      </c>
      <c r="H2" s="208" t="s">
        <v>37</v>
      </c>
      <c r="I2" s="209"/>
      <c r="J2" s="208" t="s">
        <v>38</v>
      </c>
      <c r="K2" s="209"/>
      <c r="L2" s="15"/>
      <c r="M2" s="154" t="s">
        <v>276</v>
      </c>
      <c r="N2" s="154" t="s">
        <v>277</v>
      </c>
      <c r="O2" s="157" t="s">
        <v>279</v>
      </c>
      <c r="P2" s="157" t="s">
        <v>280</v>
      </c>
    </row>
    <row r="3" spans="1:16" x14ac:dyDescent="0.25">
      <c r="A3" s="35">
        <v>38862</v>
      </c>
      <c r="B3">
        <v>1808.5</v>
      </c>
      <c r="C3">
        <v>1561.9</v>
      </c>
      <c r="D3">
        <v>21621.7</v>
      </c>
      <c r="E3">
        <v>27677.200000000001</v>
      </c>
      <c r="F3">
        <f t="shared" ref="F3:F17" si="0">+B3+D3</f>
        <v>23430.2</v>
      </c>
      <c r="G3">
        <f t="shared" ref="G3:G17" si="1">+C3+E3</f>
        <v>29239.100000000002</v>
      </c>
      <c r="H3" s="1">
        <f t="shared" ref="H3:H37" si="2">+F3/G3-1</f>
        <v>-0.19866890567767137</v>
      </c>
      <c r="I3" s="1"/>
      <c r="J3" s="1"/>
      <c r="K3" s="1"/>
      <c r="L3" s="1"/>
      <c r="M3" s="1"/>
    </row>
    <row r="4" spans="1:16" x14ac:dyDescent="0.25">
      <c r="A4" s="35">
        <v>38869</v>
      </c>
      <c r="B4">
        <v>1733</v>
      </c>
      <c r="C4">
        <v>1522.3</v>
      </c>
      <c r="D4">
        <v>21877.9</v>
      </c>
      <c r="E4">
        <v>27792.7</v>
      </c>
      <c r="F4">
        <f t="shared" si="0"/>
        <v>23610.9</v>
      </c>
      <c r="G4">
        <f t="shared" si="1"/>
        <v>29315</v>
      </c>
      <c r="H4" s="1">
        <f t="shared" si="2"/>
        <v>-0.19457956677468868</v>
      </c>
      <c r="I4" s="1"/>
      <c r="J4" s="1"/>
      <c r="K4" s="1"/>
      <c r="L4" s="1"/>
      <c r="M4" s="1"/>
    </row>
    <row r="5" spans="1:16" x14ac:dyDescent="0.25">
      <c r="A5" s="35">
        <v>38876</v>
      </c>
      <c r="B5">
        <v>1900.8</v>
      </c>
      <c r="C5">
        <v>1481.2</v>
      </c>
      <c r="D5">
        <v>22093.599999999999</v>
      </c>
      <c r="E5">
        <v>28016.5</v>
      </c>
      <c r="F5">
        <f t="shared" si="0"/>
        <v>23994.399999999998</v>
      </c>
      <c r="G5">
        <f t="shared" si="1"/>
        <v>29497.7</v>
      </c>
      <c r="H5" s="1">
        <f t="shared" si="2"/>
        <v>-0.18656708828145929</v>
      </c>
      <c r="I5" s="1"/>
      <c r="J5" s="1"/>
      <c r="K5" s="1"/>
      <c r="L5" s="1"/>
      <c r="M5" s="1"/>
    </row>
    <row r="6" spans="1:16" x14ac:dyDescent="0.25">
      <c r="A6" s="35">
        <v>38883</v>
      </c>
      <c r="B6">
        <v>1892.6</v>
      </c>
      <c r="C6">
        <v>1344.4</v>
      </c>
      <c r="D6">
        <v>22301.9</v>
      </c>
      <c r="E6">
        <v>28299.9</v>
      </c>
      <c r="F6">
        <f t="shared" si="0"/>
        <v>24194.5</v>
      </c>
      <c r="G6">
        <f t="shared" si="1"/>
        <v>29644.300000000003</v>
      </c>
      <c r="H6" s="1">
        <f t="shared" si="2"/>
        <v>-0.18383972635548829</v>
      </c>
      <c r="I6" s="1"/>
      <c r="J6" s="1"/>
      <c r="K6" s="1"/>
      <c r="L6" s="1"/>
      <c r="M6" s="1"/>
    </row>
    <row r="7" spans="1:16" x14ac:dyDescent="0.25">
      <c r="A7" s="35">
        <v>38890</v>
      </c>
      <c r="B7">
        <v>1954.1</v>
      </c>
      <c r="C7">
        <v>1338.9</v>
      </c>
      <c r="D7">
        <v>22609.200000000001</v>
      </c>
      <c r="E7">
        <v>28475.599999999999</v>
      </c>
      <c r="F7">
        <f t="shared" si="0"/>
        <v>24563.3</v>
      </c>
      <c r="G7">
        <f t="shared" si="1"/>
        <v>29814.5</v>
      </c>
      <c r="H7" s="1">
        <f t="shared" si="2"/>
        <v>-0.17612906471683243</v>
      </c>
      <c r="I7" s="1"/>
      <c r="J7" s="1"/>
      <c r="K7" s="1"/>
      <c r="L7" s="1"/>
      <c r="M7" s="1"/>
    </row>
    <row r="8" spans="1:16" x14ac:dyDescent="0.25">
      <c r="A8" s="35">
        <v>38897</v>
      </c>
      <c r="B8">
        <v>1943.1</v>
      </c>
      <c r="C8">
        <v>1333.5</v>
      </c>
      <c r="D8">
        <v>22834.7</v>
      </c>
      <c r="E8">
        <v>28643.200000000001</v>
      </c>
      <c r="F8">
        <f t="shared" si="0"/>
        <v>24777.8</v>
      </c>
      <c r="G8">
        <f t="shared" si="1"/>
        <v>29976.7</v>
      </c>
      <c r="H8" s="1">
        <f t="shared" si="2"/>
        <v>-0.17343136502683754</v>
      </c>
      <c r="I8" s="1"/>
      <c r="J8" s="1"/>
      <c r="K8" s="1"/>
      <c r="L8" s="1"/>
      <c r="M8" s="1"/>
    </row>
    <row r="9" spans="1:16" x14ac:dyDescent="0.25">
      <c r="A9" s="35">
        <v>38904</v>
      </c>
      <c r="B9">
        <v>2118.6</v>
      </c>
      <c r="C9">
        <v>1296.9000000000001</v>
      </c>
      <c r="D9">
        <v>22975.599999999999</v>
      </c>
      <c r="E9">
        <v>28799.3</v>
      </c>
      <c r="F9">
        <f t="shared" si="0"/>
        <v>25094.199999999997</v>
      </c>
      <c r="G9">
        <f t="shared" si="1"/>
        <v>30096.2</v>
      </c>
      <c r="H9" s="1">
        <f t="shared" si="2"/>
        <v>-0.1662003841016475</v>
      </c>
      <c r="I9" s="1"/>
      <c r="J9" s="1"/>
      <c r="K9" s="1"/>
      <c r="L9" s="1"/>
      <c r="M9" s="1"/>
    </row>
    <row r="10" spans="1:16" x14ac:dyDescent="0.25">
      <c r="A10" s="35">
        <v>38911</v>
      </c>
      <c r="B10">
        <v>1999.8</v>
      </c>
      <c r="C10">
        <v>1267.0999999999999</v>
      </c>
      <c r="D10">
        <v>23330.400000000001</v>
      </c>
      <c r="E10">
        <v>28894.9</v>
      </c>
      <c r="F10">
        <f t="shared" si="0"/>
        <v>25330.2</v>
      </c>
      <c r="G10">
        <f t="shared" si="1"/>
        <v>30162</v>
      </c>
      <c r="H10" s="37">
        <f t="shared" si="2"/>
        <v>-0.16019494728466277</v>
      </c>
      <c r="I10" s="37"/>
      <c r="J10" s="37"/>
      <c r="K10" s="37"/>
      <c r="L10" s="37"/>
      <c r="M10" s="37"/>
    </row>
    <row r="11" spans="1:16" x14ac:dyDescent="0.25">
      <c r="A11" s="35">
        <v>38918</v>
      </c>
      <c r="B11">
        <v>1901.4</v>
      </c>
      <c r="C11">
        <v>1007.5</v>
      </c>
      <c r="D11">
        <v>23618.6</v>
      </c>
      <c r="E11">
        <v>29091.599999999999</v>
      </c>
      <c r="F11">
        <f t="shared" si="0"/>
        <v>25520</v>
      </c>
      <c r="G11">
        <f t="shared" si="1"/>
        <v>30099.1</v>
      </c>
      <c r="H11" s="37">
        <f t="shared" si="2"/>
        <v>-0.15213411696695245</v>
      </c>
      <c r="I11" s="37"/>
      <c r="J11" s="37"/>
      <c r="K11" s="37"/>
      <c r="L11" s="37"/>
      <c r="M11" s="37"/>
    </row>
    <row r="12" spans="1:16" x14ac:dyDescent="0.25">
      <c r="A12" s="35">
        <v>38925</v>
      </c>
      <c r="B12">
        <v>1841.7</v>
      </c>
      <c r="C12">
        <v>999.2</v>
      </c>
      <c r="D12">
        <v>23855.599999999999</v>
      </c>
      <c r="E12">
        <v>29195.9</v>
      </c>
      <c r="F12">
        <f t="shared" si="0"/>
        <v>25697.3</v>
      </c>
      <c r="G12">
        <f t="shared" si="1"/>
        <v>30195.100000000002</v>
      </c>
      <c r="H12" s="37">
        <f t="shared" si="2"/>
        <v>-0.14895794350739033</v>
      </c>
      <c r="I12" s="37"/>
      <c r="J12" s="37"/>
      <c r="K12" s="37"/>
      <c r="L12" s="37"/>
      <c r="M12" s="37"/>
    </row>
    <row r="13" spans="1:16" x14ac:dyDescent="0.25">
      <c r="A13" s="35">
        <v>38932</v>
      </c>
      <c r="B13">
        <v>1662.4</v>
      </c>
      <c r="C13">
        <v>957.9</v>
      </c>
      <c r="D13">
        <v>24309.5</v>
      </c>
      <c r="E13">
        <v>29329.7</v>
      </c>
      <c r="F13">
        <f t="shared" si="0"/>
        <v>25971.9</v>
      </c>
      <c r="G13">
        <f t="shared" si="1"/>
        <v>30287.600000000002</v>
      </c>
      <c r="H13" s="37">
        <f t="shared" si="2"/>
        <v>-0.14249065624215851</v>
      </c>
      <c r="I13" s="37"/>
      <c r="J13" s="37"/>
      <c r="K13" s="37"/>
      <c r="L13" s="37"/>
      <c r="M13" s="37"/>
    </row>
    <row r="14" spans="1:16" x14ac:dyDescent="0.25">
      <c r="A14" s="35">
        <v>38939</v>
      </c>
      <c r="B14">
        <v>1732.7</v>
      </c>
      <c r="C14">
        <v>900.8</v>
      </c>
      <c r="D14">
        <v>24496.7</v>
      </c>
      <c r="E14">
        <v>29537.7</v>
      </c>
      <c r="F14">
        <f t="shared" si="0"/>
        <v>26229.4</v>
      </c>
      <c r="G14">
        <f t="shared" si="1"/>
        <v>30438.5</v>
      </c>
      <c r="H14" s="37">
        <f t="shared" si="2"/>
        <v>-0.13828210982801381</v>
      </c>
      <c r="I14" s="37"/>
      <c r="J14" s="37"/>
      <c r="K14" s="37"/>
      <c r="L14" s="37"/>
      <c r="M14" s="37"/>
    </row>
    <row r="15" spans="1:16" x14ac:dyDescent="0.25">
      <c r="A15" s="35">
        <v>38946</v>
      </c>
      <c r="B15">
        <v>1451.1</v>
      </c>
      <c r="C15">
        <v>853.1</v>
      </c>
      <c r="D15">
        <v>24825.5</v>
      </c>
      <c r="E15">
        <v>29686.400000000001</v>
      </c>
      <c r="F15">
        <f t="shared" si="0"/>
        <v>26276.6</v>
      </c>
      <c r="G15">
        <f t="shared" si="1"/>
        <v>30539.5</v>
      </c>
      <c r="H15" s="37">
        <f t="shared" si="2"/>
        <v>-0.13958643723702091</v>
      </c>
      <c r="I15" s="37"/>
      <c r="J15" s="37"/>
      <c r="K15" s="37"/>
      <c r="L15" s="37"/>
      <c r="M15" s="37"/>
    </row>
    <row r="16" spans="1:16" x14ac:dyDescent="0.25">
      <c r="A16" s="35">
        <v>38953</v>
      </c>
      <c r="B16">
        <v>1103.2</v>
      </c>
      <c r="C16">
        <v>699.2</v>
      </c>
      <c r="D16">
        <v>25203</v>
      </c>
      <c r="E16">
        <v>29878.2</v>
      </c>
      <c r="F16">
        <f t="shared" si="0"/>
        <v>26306.2</v>
      </c>
      <c r="G16">
        <f t="shared" si="1"/>
        <v>30577.4</v>
      </c>
      <c r="H16" s="37">
        <f t="shared" si="2"/>
        <v>-0.1396848652926671</v>
      </c>
      <c r="I16" s="37"/>
      <c r="J16" s="37"/>
      <c r="K16" s="37"/>
      <c r="L16" s="37"/>
      <c r="M16" s="37"/>
    </row>
    <row r="17" spans="1:14" x14ac:dyDescent="0.25">
      <c r="A17" s="35">
        <v>38960</v>
      </c>
      <c r="B17">
        <v>813.8</v>
      </c>
      <c r="C17">
        <v>624.70000000000005</v>
      </c>
      <c r="D17">
        <v>25510.3</v>
      </c>
      <c r="E17">
        <v>29966</v>
      </c>
      <c r="F17">
        <f t="shared" si="0"/>
        <v>26324.1</v>
      </c>
      <c r="G17">
        <f t="shared" si="1"/>
        <v>30590.7</v>
      </c>
      <c r="H17" s="37">
        <f t="shared" si="2"/>
        <v>-0.13947376163343772</v>
      </c>
      <c r="I17" s="37"/>
      <c r="J17" s="37"/>
      <c r="K17" s="37"/>
      <c r="L17" s="37"/>
      <c r="M17" s="37"/>
    </row>
    <row r="18" spans="1:14" x14ac:dyDescent="0.25">
      <c r="A18" s="61">
        <f t="shared" ref="A18:A251" si="3">+A17+7</f>
        <v>38967</v>
      </c>
      <c r="B18" s="60">
        <v>7003.7</v>
      </c>
      <c r="C18" s="60">
        <v>4421.7</v>
      </c>
      <c r="D18" s="60">
        <v>212.4</v>
      </c>
      <c r="E18" s="60">
        <v>154.5</v>
      </c>
      <c r="F18" s="60">
        <f t="shared" ref="F18:G37" si="4">+B18+D18</f>
        <v>7216.0999999999995</v>
      </c>
      <c r="G18" s="60">
        <f t="shared" si="4"/>
        <v>4576.2</v>
      </c>
      <c r="H18" s="37">
        <f t="shared" si="2"/>
        <v>0.57687601066386951</v>
      </c>
      <c r="I18" s="37"/>
      <c r="J18" s="37">
        <f>+D18/E18-1</f>
        <v>0.37475728155339816</v>
      </c>
      <c r="K18" s="37"/>
      <c r="L18" s="37"/>
      <c r="M18" s="37"/>
      <c r="N18" s="60"/>
    </row>
    <row r="19" spans="1:14" x14ac:dyDescent="0.25">
      <c r="A19" s="62">
        <f t="shared" si="3"/>
        <v>38974</v>
      </c>
      <c r="B19">
        <v>7408.7</v>
      </c>
      <c r="C19">
        <v>5016.6000000000004</v>
      </c>
      <c r="D19">
        <v>558.9</v>
      </c>
      <c r="E19">
        <v>311.60000000000002</v>
      </c>
      <c r="F19">
        <f t="shared" si="4"/>
        <v>7967.5999999999995</v>
      </c>
      <c r="G19">
        <f t="shared" si="4"/>
        <v>5328.2000000000007</v>
      </c>
      <c r="H19" s="37">
        <f t="shared" si="2"/>
        <v>0.49536428812732214</v>
      </c>
      <c r="I19" s="37">
        <f>+F19/F18-1</f>
        <v>0.10414212663350009</v>
      </c>
      <c r="J19" s="37">
        <f>+D19/E19-1</f>
        <v>0.79364569961489062</v>
      </c>
      <c r="K19" s="37">
        <f>D19/D18-1</f>
        <v>1.6313559322033897</v>
      </c>
      <c r="L19" s="37"/>
      <c r="M19" s="37"/>
    </row>
    <row r="20" spans="1:14" x14ac:dyDescent="0.25">
      <c r="A20" s="62">
        <f t="shared" si="3"/>
        <v>38981</v>
      </c>
      <c r="B20">
        <v>7970.7</v>
      </c>
      <c r="C20">
        <v>5473.3</v>
      </c>
      <c r="D20">
        <v>863.5</v>
      </c>
      <c r="E20">
        <v>530.5</v>
      </c>
      <c r="F20">
        <f t="shared" si="4"/>
        <v>8834.2000000000007</v>
      </c>
      <c r="G20">
        <f t="shared" si="4"/>
        <v>6003.8</v>
      </c>
      <c r="H20" s="37">
        <f t="shared" si="2"/>
        <v>0.4714347579866085</v>
      </c>
      <c r="I20" s="37">
        <f>+F20/F19-1</f>
        <v>0.10876550027611853</v>
      </c>
      <c r="J20" s="37">
        <f>+D20/E20-1</f>
        <v>0.62770970782280866</v>
      </c>
      <c r="K20" s="37">
        <f>D20/D19-1</f>
        <v>0.54499910538557894</v>
      </c>
      <c r="L20" s="37"/>
      <c r="M20" s="37"/>
    </row>
    <row r="21" spans="1:14" x14ac:dyDescent="0.25">
      <c r="A21" s="62">
        <f t="shared" si="3"/>
        <v>38988</v>
      </c>
      <c r="B21">
        <v>8592.1</v>
      </c>
      <c r="C21">
        <v>5808.5</v>
      </c>
      <c r="D21">
        <v>1437</v>
      </c>
      <c r="E21">
        <v>736.6</v>
      </c>
      <c r="F21">
        <f t="shared" si="4"/>
        <v>10029.1</v>
      </c>
      <c r="G21">
        <f t="shared" si="4"/>
        <v>6545.1</v>
      </c>
      <c r="H21" s="37">
        <f t="shared" si="2"/>
        <v>0.53230661105254318</v>
      </c>
    </row>
    <row r="22" spans="1:14" x14ac:dyDescent="0.25">
      <c r="A22" s="62">
        <f t="shared" si="3"/>
        <v>38995</v>
      </c>
      <c r="B22">
        <v>8954.1</v>
      </c>
      <c r="C22">
        <v>6095.5</v>
      </c>
      <c r="D22">
        <v>2161.1</v>
      </c>
      <c r="E22">
        <v>1134.4000000000001</v>
      </c>
      <c r="F22">
        <f t="shared" si="4"/>
        <v>11115.2</v>
      </c>
      <c r="G22">
        <f t="shared" si="4"/>
        <v>7229.9</v>
      </c>
      <c r="H22" s="37">
        <f t="shared" si="2"/>
        <v>0.53739332494225378</v>
      </c>
      <c r="I22">
        <f t="shared" ref="I22:I58" si="5">+F22-F21</f>
        <v>1086.1000000000004</v>
      </c>
      <c r="J22">
        <f t="shared" ref="J22:J28" si="6">+D22-D21</f>
        <v>724.09999999999991</v>
      </c>
    </row>
    <row r="23" spans="1:14" x14ac:dyDescent="0.25">
      <c r="A23" s="62">
        <f t="shared" si="3"/>
        <v>39002</v>
      </c>
      <c r="B23">
        <v>8995.7999999999993</v>
      </c>
      <c r="C23">
        <v>5986.8</v>
      </c>
      <c r="D23">
        <v>2987.8</v>
      </c>
      <c r="E23">
        <v>2131.9</v>
      </c>
      <c r="F23">
        <f t="shared" si="4"/>
        <v>11983.599999999999</v>
      </c>
      <c r="G23">
        <f t="shared" si="4"/>
        <v>8118.7000000000007</v>
      </c>
      <c r="H23" s="37">
        <f t="shared" si="2"/>
        <v>0.4760491211647182</v>
      </c>
      <c r="I23">
        <f t="shared" si="5"/>
        <v>868.39999999999782</v>
      </c>
      <c r="J23">
        <f t="shared" si="6"/>
        <v>826.70000000000027</v>
      </c>
    </row>
    <row r="24" spans="1:14" x14ac:dyDescent="0.25">
      <c r="A24" s="62">
        <f t="shared" si="3"/>
        <v>39009</v>
      </c>
      <c r="B24">
        <v>8438.7000000000007</v>
      </c>
      <c r="C24">
        <v>5922.7</v>
      </c>
      <c r="D24">
        <v>4168.8</v>
      </c>
      <c r="E24">
        <v>3037.9</v>
      </c>
      <c r="F24">
        <f t="shared" si="4"/>
        <v>12607.5</v>
      </c>
      <c r="G24">
        <f t="shared" si="4"/>
        <v>8960.6</v>
      </c>
      <c r="H24" s="37">
        <f t="shared" si="2"/>
        <v>0.40699283530120756</v>
      </c>
      <c r="I24">
        <f t="shared" si="5"/>
        <v>623.90000000000146</v>
      </c>
      <c r="J24">
        <f t="shared" si="6"/>
        <v>1181</v>
      </c>
    </row>
    <row r="25" spans="1:14" x14ac:dyDescent="0.25">
      <c r="A25" s="62">
        <f t="shared" si="3"/>
        <v>39016</v>
      </c>
      <c r="B25">
        <v>7852.8</v>
      </c>
      <c r="C25">
        <v>5672.5</v>
      </c>
      <c r="D25">
        <v>5394.9</v>
      </c>
      <c r="E25">
        <v>4049.4</v>
      </c>
      <c r="F25">
        <f t="shared" si="4"/>
        <v>13247.7</v>
      </c>
      <c r="G25">
        <f t="shared" si="4"/>
        <v>9721.9</v>
      </c>
      <c r="H25" s="37">
        <f t="shared" si="2"/>
        <v>0.36266573406432911</v>
      </c>
      <c r="I25">
        <f t="shared" si="5"/>
        <v>640.20000000000073</v>
      </c>
      <c r="J25">
        <f t="shared" si="6"/>
        <v>1226.0999999999995</v>
      </c>
    </row>
    <row r="26" spans="1:14" x14ac:dyDescent="0.25">
      <c r="A26" s="62">
        <f t="shared" si="3"/>
        <v>39023</v>
      </c>
      <c r="B26">
        <v>7496.7</v>
      </c>
      <c r="C26">
        <v>5241.8</v>
      </c>
      <c r="D26">
        <v>6460.1</v>
      </c>
      <c r="E26">
        <v>5060.3</v>
      </c>
      <c r="F26">
        <f t="shared" si="4"/>
        <v>13956.8</v>
      </c>
      <c r="G26">
        <f t="shared" si="4"/>
        <v>10302.1</v>
      </c>
      <c r="H26" s="37">
        <f t="shared" si="2"/>
        <v>0.35475291445433443</v>
      </c>
      <c r="I26">
        <f t="shared" si="5"/>
        <v>709.09999999999854</v>
      </c>
      <c r="J26">
        <f t="shared" si="6"/>
        <v>1065.2000000000007</v>
      </c>
      <c r="L26">
        <v>31160</v>
      </c>
    </row>
    <row r="27" spans="1:14" x14ac:dyDescent="0.25">
      <c r="A27" s="62">
        <f t="shared" si="3"/>
        <v>39030</v>
      </c>
      <c r="B27">
        <v>7080.1</v>
      </c>
      <c r="C27">
        <v>5146.8</v>
      </c>
      <c r="D27">
        <v>7632.3</v>
      </c>
      <c r="E27">
        <v>5753.7</v>
      </c>
      <c r="F27">
        <f t="shared" si="4"/>
        <v>14712.400000000001</v>
      </c>
      <c r="G27">
        <f t="shared" si="4"/>
        <v>10900.5</v>
      </c>
      <c r="H27" s="37">
        <f t="shared" si="2"/>
        <v>0.34969955506628159</v>
      </c>
      <c r="I27">
        <f t="shared" si="5"/>
        <v>755.60000000000218</v>
      </c>
      <c r="J27">
        <f t="shared" si="6"/>
        <v>1172.1999999999998</v>
      </c>
      <c r="L27">
        <v>31160</v>
      </c>
    </row>
    <row r="28" spans="1:14" x14ac:dyDescent="0.25">
      <c r="A28" s="62">
        <f t="shared" si="3"/>
        <v>39037</v>
      </c>
      <c r="B28">
        <v>7272.5</v>
      </c>
      <c r="C28">
        <v>4383.5</v>
      </c>
      <c r="D28">
        <v>8241.9</v>
      </c>
      <c r="E28">
        <v>6726.4</v>
      </c>
      <c r="F28">
        <f t="shared" si="4"/>
        <v>15514.4</v>
      </c>
      <c r="G28">
        <f t="shared" si="4"/>
        <v>11109.9</v>
      </c>
      <c r="H28" s="37">
        <f t="shared" si="2"/>
        <v>0.39644821285520115</v>
      </c>
      <c r="I28">
        <f t="shared" si="5"/>
        <v>801.99999999999818</v>
      </c>
      <c r="J28">
        <f t="shared" si="6"/>
        <v>609.59999999999945</v>
      </c>
    </row>
    <row r="29" spans="1:14" x14ac:dyDescent="0.25">
      <c r="A29" s="62">
        <f t="shared" si="3"/>
        <v>39044</v>
      </c>
      <c r="B29">
        <v>7331.3</v>
      </c>
      <c r="C29">
        <v>3926</v>
      </c>
      <c r="D29">
        <v>8912.4</v>
      </c>
      <c r="E29">
        <v>7515</v>
      </c>
      <c r="F29">
        <f t="shared" si="4"/>
        <v>16243.7</v>
      </c>
      <c r="G29">
        <f t="shared" si="4"/>
        <v>11441</v>
      </c>
      <c r="H29" s="37">
        <f t="shared" si="2"/>
        <v>0.41977973953325765</v>
      </c>
      <c r="I29">
        <f t="shared" si="5"/>
        <v>729.30000000000109</v>
      </c>
    </row>
    <row r="30" spans="1:14" x14ac:dyDescent="0.25">
      <c r="A30" s="62">
        <f t="shared" si="3"/>
        <v>39051</v>
      </c>
      <c r="B30">
        <v>7068.1</v>
      </c>
      <c r="C30">
        <v>4079.4</v>
      </c>
      <c r="D30">
        <v>9842.5</v>
      </c>
      <c r="E30">
        <v>8313.7000000000007</v>
      </c>
      <c r="F30">
        <f t="shared" si="4"/>
        <v>16910.599999999999</v>
      </c>
      <c r="G30">
        <f t="shared" si="4"/>
        <v>12393.1</v>
      </c>
      <c r="H30" s="37">
        <f t="shared" si="2"/>
        <v>0.364517352397705</v>
      </c>
      <c r="I30">
        <f t="shared" si="5"/>
        <v>666.89999999999782</v>
      </c>
      <c r="L30">
        <f>+F30/L27</f>
        <v>0.54270218228498068</v>
      </c>
    </row>
    <row r="31" spans="1:14" x14ac:dyDescent="0.25">
      <c r="A31" s="62">
        <f t="shared" si="3"/>
        <v>39058</v>
      </c>
      <c r="B31">
        <v>6897.6</v>
      </c>
      <c r="C31">
        <v>3944.3</v>
      </c>
      <c r="D31">
        <v>10916.4</v>
      </c>
      <c r="E31">
        <v>8861.9</v>
      </c>
      <c r="F31">
        <f t="shared" si="4"/>
        <v>17814</v>
      </c>
      <c r="G31">
        <f t="shared" si="4"/>
        <v>12806.2</v>
      </c>
      <c r="H31" s="37">
        <f t="shared" si="2"/>
        <v>0.39104496259624244</v>
      </c>
      <c r="I31">
        <f t="shared" si="5"/>
        <v>903.40000000000146</v>
      </c>
    </row>
    <row r="32" spans="1:14" x14ac:dyDescent="0.25">
      <c r="A32" s="62">
        <f t="shared" si="3"/>
        <v>39065</v>
      </c>
      <c r="B32">
        <v>7010.6</v>
      </c>
      <c r="C32">
        <v>4003.6</v>
      </c>
      <c r="D32">
        <v>11545.3</v>
      </c>
      <c r="E32">
        <v>9632.2000000000007</v>
      </c>
      <c r="F32">
        <f t="shared" si="4"/>
        <v>18555.900000000001</v>
      </c>
      <c r="G32">
        <f t="shared" si="4"/>
        <v>13635.800000000001</v>
      </c>
      <c r="H32" s="37">
        <f t="shared" si="2"/>
        <v>0.36082224731955592</v>
      </c>
      <c r="I32">
        <f t="shared" si="5"/>
        <v>741.90000000000146</v>
      </c>
    </row>
    <row r="33" spans="1:11" x14ac:dyDescent="0.25">
      <c r="A33" s="62">
        <f t="shared" si="3"/>
        <v>39072</v>
      </c>
      <c r="B33">
        <v>7375.7</v>
      </c>
      <c r="C33">
        <v>4286.2</v>
      </c>
      <c r="D33">
        <v>12217.7</v>
      </c>
      <c r="E33">
        <v>10239.9</v>
      </c>
      <c r="F33">
        <f t="shared" si="4"/>
        <v>19593.400000000001</v>
      </c>
      <c r="G33">
        <f t="shared" si="4"/>
        <v>14526.099999999999</v>
      </c>
      <c r="H33" s="37">
        <f t="shared" si="2"/>
        <v>0.34884105162431789</v>
      </c>
      <c r="I33">
        <f t="shared" si="5"/>
        <v>1037.5</v>
      </c>
    </row>
    <row r="34" spans="1:11" x14ac:dyDescent="0.25">
      <c r="A34" s="62">
        <f t="shared" si="3"/>
        <v>39079</v>
      </c>
      <c r="B34">
        <v>6886.2</v>
      </c>
      <c r="C34">
        <v>4375.1000000000004</v>
      </c>
      <c r="D34">
        <v>13033.4</v>
      </c>
      <c r="E34">
        <v>10612.5</v>
      </c>
      <c r="F34">
        <f t="shared" si="4"/>
        <v>19919.599999999999</v>
      </c>
      <c r="G34">
        <f t="shared" si="4"/>
        <v>14987.6</v>
      </c>
      <c r="H34" s="37">
        <f t="shared" si="2"/>
        <v>0.32907203288051434</v>
      </c>
      <c r="I34">
        <f t="shared" si="5"/>
        <v>326.19999999999709</v>
      </c>
    </row>
    <row r="35" spans="1:11" x14ac:dyDescent="0.25">
      <c r="A35" s="62">
        <f t="shared" si="3"/>
        <v>39086</v>
      </c>
      <c r="B35">
        <v>6917.8</v>
      </c>
      <c r="C35">
        <v>4148.8</v>
      </c>
      <c r="D35">
        <v>13591.4</v>
      </c>
      <c r="E35">
        <v>11286.9</v>
      </c>
      <c r="F35">
        <f t="shared" si="4"/>
        <v>20509.2</v>
      </c>
      <c r="G35">
        <f t="shared" si="4"/>
        <v>15435.7</v>
      </c>
      <c r="H35" s="37">
        <f t="shared" si="2"/>
        <v>0.32868609781221458</v>
      </c>
      <c r="I35">
        <f t="shared" si="5"/>
        <v>589.60000000000218</v>
      </c>
    </row>
    <row r="36" spans="1:11" x14ac:dyDescent="0.25">
      <c r="A36" s="62">
        <f t="shared" si="3"/>
        <v>39093</v>
      </c>
      <c r="B36">
        <v>7138.7</v>
      </c>
      <c r="C36">
        <v>4870.1000000000004</v>
      </c>
      <c r="D36">
        <v>14466.3</v>
      </c>
      <c r="E36">
        <v>11844.2</v>
      </c>
      <c r="F36">
        <f t="shared" si="4"/>
        <v>21605</v>
      </c>
      <c r="G36">
        <f t="shared" si="4"/>
        <v>16714.300000000003</v>
      </c>
      <c r="H36" s="37">
        <f t="shared" si="2"/>
        <v>0.29260573281561286</v>
      </c>
      <c r="I36">
        <f t="shared" si="5"/>
        <v>1095.7999999999993</v>
      </c>
      <c r="J36">
        <v>30480</v>
      </c>
    </row>
    <row r="37" spans="1:11" x14ac:dyDescent="0.25">
      <c r="A37" s="62">
        <f t="shared" si="3"/>
        <v>39100</v>
      </c>
      <c r="B37">
        <v>7124.4</v>
      </c>
      <c r="C37">
        <v>4523.8</v>
      </c>
      <c r="D37">
        <v>15096.2</v>
      </c>
      <c r="E37">
        <v>12712.5</v>
      </c>
      <c r="F37">
        <f t="shared" si="4"/>
        <v>22220.6</v>
      </c>
      <c r="G37">
        <f t="shared" si="4"/>
        <v>17236.3</v>
      </c>
      <c r="H37" s="37">
        <f t="shared" si="2"/>
        <v>0.28917459083445984</v>
      </c>
      <c r="I37">
        <f t="shared" si="5"/>
        <v>615.59999999999854</v>
      </c>
      <c r="J37">
        <v>30480</v>
      </c>
    </row>
    <row r="38" spans="1:11" x14ac:dyDescent="0.25">
      <c r="A38" s="62">
        <f t="shared" si="3"/>
        <v>39107</v>
      </c>
      <c r="B38">
        <v>6778</v>
      </c>
      <c r="C38">
        <v>4402.6000000000004</v>
      </c>
      <c r="D38">
        <v>16120.2</v>
      </c>
      <c r="E38">
        <v>13280.3</v>
      </c>
      <c r="F38">
        <f t="shared" ref="F38:G47" si="7">+B38+D38</f>
        <v>22898.2</v>
      </c>
      <c r="G38">
        <f t="shared" si="7"/>
        <v>17682.900000000001</v>
      </c>
      <c r="H38" s="37">
        <f t="shared" ref="H38:H47" si="8">+F38/G38-1</f>
        <v>0.29493465438361355</v>
      </c>
      <c r="I38">
        <f t="shared" si="5"/>
        <v>677.60000000000218</v>
      </c>
    </row>
    <row r="39" spans="1:11" x14ac:dyDescent="0.25">
      <c r="A39" s="62">
        <f t="shared" si="3"/>
        <v>39114</v>
      </c>
      <c r="B39">
        <v>6685.8</v>
      </c>
      <c r="C39">
        <v>4247</v>
      </c>
      <c r="D39">
        <v>17015.7</v>
      </c>
      <c r="E39">
        <v>13954.1</v>
      </c>
      <c r="F39">
        <f t="shared" si="7"/>
        <v>23701.5</v>
      </c>
      <c r="G39">
        <f t="shared" si="7"/>
        <v>18201.099999999999</v>
      </c>
      <c r="H39" s="37">
        <f t="shared" si="8"/>
        <v>0.30220151529303174</v>
      </c>
      <c r="I39">
        <f t="shared" si="5"/>
        <v>803.29999999999927</v>
      </c>
      <c r="J39">
        <v>1120</v>
      </c>
      <c r="K39">
        <v>36.743333</v>
      </c>
    </row>
    <row r="40" spans="1:11" x14ac:dyDescent="0.25">
      <c r="A40" s="62">
        <f t="shared" si="3"/>
        <v>39121</v>
      </c>
      <c r="B40" s="69">
        <v>5862.6</v>
      </c>
      <c r="C40">
        <v>3788.4</v>
      </c>
      <c r="D40">
        <v>18219.5</v>
      </c>
      <c r="E40">
        <v>14942.3</v>
      </c>
      <c r="F40">
        <f t="shared" si="7"/>
        <v>24082.1</v>
      </c>
      <c r="G40">
        <f t="shared" si="7"/>
        <v>18730.7</v>
      </c>
      <c r="H40" s="37">
        <f t="shared" si="8"/>
        <v>0.28570208267710218</v>
      </c>
      <c r="I40">
        <f t="shared" si="5"/>
        <v>380.59999999999854</v>
      </c>
      <c r="K40">
        <f>+J39/K39</f>
        <v>30.481720316444893</v>
      </c>
    </row>
    <row r="41" spans="1:11" x14ac:dyDescent="0.25">
      <c r="A41" s="62">
        <f t="shared" si="3"/>
        <v>39128</v>
      </c>
      <c r="B41" s="69">
        <v>5735.7</v>
      </c>
      <c r="C41">
        <v>3543.9</v>
      </c>
      <c r="D41">
        <v>18951.3</v>
      </c>
      <c r="E41">
        <v>15690.6</v>
      </c>
      <c r="F41">
        <f t="shared" si="7"/>
        <v>24687</v>
      </c>
      <c r="G41">
        <f t="shared" si="7"/>
        <v>19234.5</v>
      </c>
      <c r="H41" s="37">
        <f t="shared" si="8"/>
        <v>0.28347500584886531</v>
      </c>
      <c r="I41">
        <f t="shared" si="5"/>
        <v>604.90000000000146</v>
      </c>
      <c r="J41">
        <v>1100</v>
      </c>
      <c r="K41">
        <f>+J41/K39</f>
        <v>29.937403882222661</v>
      </c>
    </row>
    <row r="42" spans="1:11" x14ac:dyDescent="0.25">
      <c r="A42" s="62">
        <f t="shared" si="3"/>
        <v>39135</v>
      </c>
      <c r="B42" s="69">
        <v>5217.1000000000004</v>
      </c>
      <c r="C42">
        <v>3406.2</v>
      </c>
      <c r="D42">
        <v>19885.5</v>
      </c>
      <c r="E42">
        <v>16195.8</v>
      </c>
      <c r="F42">
        <f t="shared" si="7"/>
        <v>25102.6</v>
      </c>
      <c r="G42">
        <f t="shared" si="7"/>
        <v>19602</v>
      </c>
      <c r="H42" s="37">
        <f t="shared" si="8"/>
        <v>0.28061422303846539</v>
      </c>
      <c r="I42">
        <f t="shared" si="5"/>
        <v>415.59999999999854</v>
      </c>
    </row>
    <row r="43" spans="1:11" x14ac:dyDescent="0.25">
      <c r="A43" s="62">
        <f t="shared" si="3"/>
        <v>39142</v>
      </c>
      <c r="B43" s="69">
        <v>4919.8</v>
      </c>
      <c r="C43">
        <v>3133.7</v>
      </c>
      <c r="D43">
        <v>20748.8</v>
      </c>
      <c r="E43">
        <v>16972.900000000001</v>
      </c>
      <c r="F43">
        <f t="shared" si="7"/>
        <v>25668.6</v>
      </c>
      <c r="G43">
        <f t="shared" si="7"/>
        <v>20106.600000000002</v>
      </c>
      <c r="H43" s="37">
        <f t="shared" si="8"/>
        <v>0.27662558562859929</v>
      </c>
      <c r="I43">
        <f t="shared" si="5"/>
        <v>566</v>
      </c>
    </row>
    <row r="44" spans="1:11" x14ac:dyDescent="0.25">
      <c r="A44" s="62">
        <f t="shared" si="3"/>
        <v>39149</v>
      </c>
      <c r="B44" s="69">
        <v>4587.1000000000004</v>
      </c>
      <c r="C44">
        <v>2675</v>
      </c>
      <c r="D44">
        <v>21525.1</v>
      </c>
      <c r="E44">
        <v>17813</v>
      </c>
      <c r="F44">
        <f t="shared" si="7"/>
        <v>26112.199999999997</v>
      </c>
      <c r="G44">
        <f t="shared" si="7"/>
        <v>20488</v>
      </c>
      <c r="H44" s="37">
        <f t="shared" si="8"/>
        <v>0.2745119094103865</v>
      </c>
      <c r="I44">
        <f t="shared" si="5"/>
        <v>443.59999999999854</v>
      </c>
    </row>
    <row r="45" spans="1:11" x14ac:dyDescent="0.25">
      <c r="A45" s="62">
        <f t="shared" si="3"/>
        <v>39156</v>
      </c>
      <c r="B45" s="69">
        <v>4602.1000000000004</v>
      </c>
      <c r="C45">
        <v>2367.9</v>
      </c>
      <c r="D45">
        <v>22033.3</v>
      </c>
      <c r="E45">
        <v>18353.2</v>
      </c>
      <c r="F45">
        <f t="shared" si="7"/>
        <v>26635.4</v>
      </c>
      <c r="G45">
        <f t="shared" si="7"/>
        <v>20721.100000000002</v>
      </c>
      <c r="H45" s="37">
        <f t="shared" si="8"/>
        <v>0.28542403636872549</v>
      </c>
      <c r="I45">
        <f t="shared" si="5"/>
        <v>523.20000000000437</v>
      </c>
    </row>
    <row r="46" spans="1:11" x14ac:dyDescent="0.25">
      <c r="A46" s="62">
        <f t="shared" si="3"/>
        <v>39163</v>
      </c>
      <c r="B46" s="69">
        <v>4315.8</v>
      </c>
      <c r="C46">
        <v>1897.7</v>
      </c>
      <c r="D46">
        <v>22589.8</v>
      </c>
      <c r="E46">
        <v>19044</v>
      </c>
      <c r="F46">
        <f t="shared" si="7"/>
        <v>26905.599999999999</v>
      </c>
      <c r="G46">
        <f t="shared" si="7"/>
        <v>20941.7</v>
      </c>
      <c r="H46" s="37">
        <f t="shared" si="8"/>
        <v>0.28478585788164268</v>
      </c>
      <c r="I46">
        <f t="shared" si="5"/>
        <v>270.19999999999709</v>
      </c>
    </row>
    <row r="47" spans="1:11" x14ac:dyDescent="0.25">
      <c r="A47" s="62">
        <f t="shared" si="3"/>
        <v>39170</v>
      </c>
      <c r="B47" s="69">
        <v>3789.4</v>
      </c>
      <c r="C47">
        <v>1785.5</v>
      </c>
      <c r="D47">
        <v>23375.200000000001</v>
      </c>
      <c r="E47">
        <v>19510.5</v>
      </c>
      <c r="F47">
        <f t="shared" si="7"/>
        <v>27164.600000000002</v>
      </c>
      <c r="G47">
        <f t="shared" si="7"/>
        <v>21296</v>
      </c>
      <c r="H47" s="37">
        <f t="shared" si="8"/>
        <v>0.2755728775356876</v>
      </c>
      <c r="I47">
        <f t="shared" si="5"/>
        <v>259.00000000000364</v>
      </c>
    </row>
    <row r="48" spans="1:11" x14ac:dyDescent="0.25">
      <c r="A48" s="62">
        <f t="shared" si="3"/>
        <v>39177</v>
      </c>
      <c r="B48">
        <v>3393.8</v>
      </c>
      <c r="C48">
        <v>1942.1</v>
      </c>
      <c r="D48">
        <v>23907.8</v>
      </c>
      <c r="E48">
        <v>19698.099999999999</v>
      </c>
      <c r="F48">
        <f t="shared" ref="F48:G69" si="9">+B48+D48</f>
        <v>27301.599999999999</v>
      </c>
      <c r="G48">
        <f t="shared" si="9"/>
        <v>21640.199999999997</v>
      </c>
      <c r="H48" s="37">
        <f t="shared" ref="H48:H170" si="10">+F48/G48-1</f>
        <v>0.26161495734789897</v>
      </c>
      <c r="I48">
        <f t="shared" si="5"/>
        <v>136.99999999999636</v>
      </c>
      <c r="J48">
        <f>AVERAGE(I51:I65)</f>
        <v>196.64666666666648</v>
      </c>
    </row>
    <row r="49" spans="1:11" x14ac:dyDescent="0.25">
      <c r="A49" s="62">
        <f t="shared" si="3"/>
        <v>39184</v>
      </c>
      <c r="B49">
        <v>3200.5</v>
      </c>
      <c r="C49">
        <v>1848</v>
      </c>
      <c r="D49">
        <v>24384.6</v>
      </c>
      <c r="E49">
        <v>19986.8</v>
      </c>
      <c r="F49">
        <f t="shared" si="9"/>
        <v>27585.1</v>
      </c>
      <c r="G49">
        <f t="shared" si="9"/>
        <v>21834.799999999999</v>
      </c>
      <c r="H49" s="37">
        <f t="shared" si="10"/>
        <v>0.2633548280726179</v>
      </c>
      <c r="I49">
        <f t="shared" si="5"/>
        <v>283.5</v>
      </c>
    </row>
    <row r="50" spans="1:11" x14ac:dyDescent="0.25">
      <c r="A50" s="62">
        <f t="shared" si="3"/>
        <v>39191</v>
      </c>
      <c r="B50">
        <v>3168.5</v>
      </c>
      <c r="C50">
        <v>1686.7</v>
      </c>
      <c r="D50">
        <v>24839</v>
      </c>
      <c r="E50">
        <v>20259.5</v>
      </c>
      <c r="F50">
        <f t="shared" si="9"/>
        <v>28007.5</v>
      </c>
      <c r="G50">
        <f t="shared" si="9"/>
        <v>21946.2</v>
      </c>
      <c r="H50" s="37">
        <f t="shared" si="10"/>
        <v>0.27618904411697698</v>
      </c>
      <c r="I50">
        <f t="shared" si="5"/>
        <v>422.40000000000146</v>
      </c>
    </row>
    <row r="51" spans="1:11" x14ac:dyDescent="0.25">
      <c r="A51" s="62">
        <f t="shared" si="3"/>
        <v>39198</v>
      </c>
      <c r="B51">
        <v>2666.6</v>
      </c>
      <c r="C51">
        <v>1508.9</v>
      </c>
      <c r="D51">
        <v>25270.3</v>
      </c>
      <c r="E51">
        <v>20619.8</v>
      </c>
      <c r="F51">
        <f t="shared" si="9"/>
        <v>27936.899999999998</v>
      </c>
      <c r="G51">
        <f t="shared" si="9"/>
        <v>22128.7</v>
      </c>
      <c r="H51" s="37">
        <f t="shared" si="10"/>
        <v>0.26247362023074094</v>
      </c>
      <c r="I51">
        <f t="shared" si="5"/>
        <v>-70.600000000002183</v>
      </c>
      <c r="J51" s="70" t="s">
        <v>45</v>
      </c>
      <c r="K51" t="s">
        <v>100</v>
      </c>
    </row>
    <row r="52" spans="1:11" x14ac:dyDescent="0.25">
      <c r="A52" s="62">
        <f t="shared" si="3"/>
        <v>39205</v>
      </c>
      <c r="B52">
        <v>2474.6999999999998</v>
      </c>
      <c r="C52">
        <v>1634</v>
      </c>
      <c r="D52">
        <v>25666</v>
      </c>
      <c r="E52">
        <v>20883</v>
      </c>
      <c r="F52">
        <f t="shared" si="9"/>
        <v>28140.7</v>
      </c>
      <c r="G52">
        <f t="shared" si="9"/>
        <v>22517</v>
      </c>
      <c r="H52" s="37">
        <f t="shared" si="10"/>
        <v>0.24975351956299696</v>
      </c>
      <c r="I52">
        <f t="shared" si="5"/>
        <v>203.80000000000291</v>
      </c>
      <c r="J52">
        <v>958.8</v>
      </c>
    </row>
    <row r="53" spans="1:11" x14ac:dyDescent="0.25">
      <c r="A53" s="62">
        <f t="shared" si="3"/>
        <v>39212</v>
      </c>
      <c r="B53">
        <v>2453.6</v>
      </c>
      <c r="C53">
        <v>1763.8</v>
      </c>
      <c r="D53">
        <v>25910.3</v>
      </c>
      <c r="E53">
        <v>21086</v>
      </c>
      <c r="F53">
        <f t="shared" si="9"/>
        <v>28363.899999999998</v>
      </c>
      <c r="G53">
        <f t="shared" si="9"/>
        <v>22849.8</v>
      </c>
      <c r="H53" s="37">
        <f t="shared" si="10"/>
        <v>0.24131939885688269</v>
      </c>
      <c r="I53">
        <f t="shared" si="5"/>
        <v>223.19999999999709</v>
      </c>
      <c r="J53">
        <v>1094.8</v>
      </c>
    </row>
    <row r="54" spans="1:11" x14ac:dyDescent="0.25">
      <c r="A54" s="62">
        <f t="shared" si="3"/>
        <v>39219</v>
      </c>
      <c r="B54">
        <v>2207</v>
      </c>
      <c r="C54">
        <v>1817.9</v>
      </c>
      <c r="D54">
        <v>26240.1</v>
      </c>
      <c r="E54">
        <v>21266.3</v>
      </c>
      <c r="F54">
        <f t="shared" si="9"/>
        <v>28447.1</v>
      </c>
      <c r="G54">
        <f t="shared" si="9"/>
        <v>23084.2</v>
      </c>
      <c r="H54" s="37">
        <f t="shared" si="10"/>
        <v>0.23231907538489516</v>
      </c>
      <c r="I54">
        <f t="shared" si="5"/>
        <v>83.200000000000728</v>
      </c>
      <c r="J54">
        <v>3352.8</v>
      </c>
    </row>
    <row r="55" spans="1:11" x14ac:dyDescent="0.25">
      <c r="A55" s="62">
        <f t="shared" si="3"/>
        <v>39226</v>
      </c>
      <c r="B55">
        <v>2331.6</v>
      </c>
      <c r="C55">
        <v>1808.5</v>
      </c>
      <c r="D55">
        <v>26460.799999999999</v>
      </c>
      <c r="E55">
        <v>21621.7</v>
      </c>
      <c r="F55">
        <f t="shared" si="9"/>
        <v>28792.399999999998</v>
      </c>
      <c r="G55">
        <f t="shared" si="9"/>
        <v>23430.2</v>
      </c>
      <c r="H55" s="37">
        <f t="shared" si="10"/>
        <v>0.22885848178846091</v>
      </c>
      <c r="I55">
        <f t="shared" si="5"/>
        <v>345.29999999999927</v>
      </c>
      <c r="J55">
        <v>3883.4</v>
      </c>
    </row>
    <row r="56" spans="1:11" x14ac:dyDescent="0.25">
      <c r="A56" s="62">
        <f t="shared" si="3"/>
        <v>39233</v>
      </c>
      <c r="B56">
        <v>2391.8000000000002</v>
      </c>
      <c r="C56">
        <v>1733</v>
      </c>
      <c r="D56">
        <v>26600.7</v>
      </c>
      <c r="E56">
        <v>21877.9</v>
      </c>
      <c r="F56">
        <f t="shared" si="9"/>
        <v>28992.5</v>
      </c>
      <c r="G56">
        <f t="shared" si="9"/>
        <v>23610.9</v>
      </c>
      <c r="H56" s="37">
        <f t="shared" si="10"/>
        <v>0.22792862618536347</v>
      </c>
      <c r="I56">
        <f t="shared" si="5"/>
        <v>200.10000000000218</v>
      </c>
      <c r="J56">
        <v>3908.4</v>
      </c>
    </row>
    <row r="57" spans="1:11" x14ac:dyDescent="0.25">
      <c r="A57" s="62">
        <f t="shared" si="3"/>
        <v>39240</v>
      </c>
      <c r="B57">
        <v>2262</v>
      </c>
      <c r="C57">
        <v>1900.8</v>
      </c>
      <c r="D57">
        <v>26951.7</v>
      </c>
      <c r="E57">
        <v>22093.599999999999</v>
      </c>
      <c r="F57">
        <f t="shared" si="9"/>
        <v>29213.7</v>
      </c>
      <c r="G57">
        <f t="shared" si="9"/>
        <v>23994.399999999998</v>
      </c>
      <c r="H57" s="37">
        <f t="shared" si="10"/>
        <v>0.21752158837061986</v>
      </c>
      <c r="I57">
        <f t="shared" si="5"/>
        <v>221.20000000000073</v>
      </c>
      <c r="J57">
        <v>3908.4</v>
      </c>
    </row>
    <row r="58" spans="1:11" x14ac:dyDescent="0.25">
      <c r="A58" s="62">
        <f t="shared" si="3"/>
        <v>39247</v>
      </c>
      <c r="B58">
        <v>2453.9</v>
      </c>
      <c r="C58">
        <v>1892.6</v>
      </c>
      <c r="D58">
        <v>27119.1</v>
      </c>
      <c r="E58">
        <v>22301.9</v>
      </c>
      <c r="F58">
        <f t="shared" si="9"/>
        <v>29573</v>
      </c>
      <c r="G58">
        <f t="shared" si="9"/>
        <v>24194.5</v>
      </c>
      <c r="H58" s="37">
        <f t="shared" si="10"/>
        <v>0.22230258943148229</v>
      </c>
      <c r="I58">
        <f t="shared" si="5"/>
        <v>359.29999999999927</v>
      </c>
      <c r="J58">
        <v>3939.9</v>
      </c>
    </row>
    <row r="59" spans="1:11" x14ac:dyDescent="0.25">
      <c r="A59" s="62">
        <f t="shared" si="3"/>
        <v>39254</v>
      </c>
      <c r="B59">
        <v>2282.1</v>
      </c>
      <c r="C59">
        <v>1954.1</v>
      </c>
      <c r="D59">
        <v>27530.6</v>
      </c>
      <c r="E59">
        <v>22600.400000000001</v>
      </c>
      <c r="F59">
        <f t="shared" si="9"/>
        <v>29812.699999999997</v>
      </c>
      <c r="G59">
        <f t="shared" si="9"/>
        <v>24554.5</v>
      </c>
      <c r="H59" s="37">
        <f t="shared" si="10"/>
        <v>0.21414404691604383</v>
      </c>
      <c r="I59">
        <f t="shared" ref="I59:I66" si="11">+F59-F58</f>
        <v>239.69999999999709</v>
      </c>
      <c r="J59">
        <v>3947.9</v>
      </c>
    </row>
    <row r="60" spans="1:11" x14ac:dyDescent="0.25">
      <c r="A60" s="62">
        <f t="shared" si="3"/>
        <v>39261</v>
      </c>
      <c r="B60">
        <v>2189.9</v>
      </c>
      <c r="C60">
        <v>1943.1</v>
      </c>
      <c r="D60">
        <v>27814.6</v>
      </c>
      <c r="E60">
        <v>22826.9</v>
      </c>
      <c r="F60">
        <f t="shared" si="9"/>
        <v>30004.5</v>
      </c>
      <c r="G60">
        <f t="shared" si="9"/>
        <v>24770</v>
      </c>
      <c r="H60" s="37">
        <f t="shared" si="10"/>
        <v>0.21132418247880502</v>
      </c>
      <c r="I60">
        <f t="shared" si="11"/>
        <v>191.80000000000291</v>
      </c>
      <c r="J60">
        <v>4084.3</v>
      </c>
    </row>
    <row r="61" spans="1:11" x14ac:dyDescent="0.25">
      <c r="A61" s="62">
        <f t="shared" si="3"/>
        <v>39268</v>
      </c>
      <c r="B61">
        <v>2147.4</v>
      </c>
      <c r="C61">
        <v>2118.6</v>
      </c>
      <c r="D61">
        <v>28002.1</v>
      </c>
      <c r="E61">
        <v>22966.7</v>
      </c>
      <c r="F61">
        <f t="shared" si="9"/>
        <v>30149.5</v>
      </c>
      <c r="G61">
        <f t="shared" si="9"/>
        <v>25085.3</v>
      </c>
      <c r="H61" s="37">
        <f t="shared" si="10"/>
        <v>0.20187918820982809</v>
      </c>
      <c r="I61">
        <f t="shared" si="11"/>
        <v>145</v>
      </c>
      <c r="J61">
        <v>4123.3</v>
      </c>
    </row>
    <row r="62" spans="1:11" x14ac:dyDescent="0.25">
      <c r="A62" s="62">
        <f t="shared" si="3"/>
        <v>39275</v>
      </c>
      <c r="B62">
        <v>2005.1</v>
      </c>
      <c r="C62">
        <v>1999.8</v>
      </c>
      <c r="D62">
        <v>28325.3</v>
      </c>
      <c r="E62">
        <v>23321.599999999999</v>
      </c>
      <c r="F62">
        <f t="shared" si="9"/>
        <v>30330.399999999998</v>
      </c>
      <c r="G62">
        <f t="shared" si="9"/>
        <v>25321.399999999998</v>
      </c>
      <c r="H62" s="37">
        <f t="shared" si="10"/>
        <v>0.19781686636599871</v>
      </c>
      <c r="I62">
        <f t="shared" si="11"/>
        <v>180.89999999999782</v>
      </c>
      <c r="J62">
        <v>4288.2</v>
      </c>
    </row>
    <row r="63" spans="1:11" x14ac:dyDescent="0.25">
      <c r="A63" s="62">
        <f t="shared" si="3"/>
        <v>39282</v>
      </c>
      <c r="B63">
        <v>2119.1</v>
      </c>
      <c r="C63">
        <v>1901.4</v>
      </c>
      <c r="D63">
        <v>28499.7</v>
      </c>
      <c r="E63">
        <v>23618.6</v>
      </c>
      <c r="F63">
        <f t="shared" si="9"/>
        <v>30618.799999999999</v>
      </c>
      <c r="G63">
        <f t="shared" si="9"/>
        <v>25520</v>
      </c>
      <c r="H63" s="37">
        <f t="shared" si="10"/>
        <v>0.19979623824451398</v>
      </c>
      <c r="I63">
        <f t="shared" si="11"/>
        <v>288.40000000000146</v>
      </c>
      <c r="J63">
        <v>4316.5</v>
      </c>
    </row>
    <row r="64" spans="1:11" x14ac:dyDescent="0.25">
      <c r="A64" s="62">
        <f t="shared" si="3"/>
        <v>39289</v>
      </c>
      <c r="B64">
        <v>2149</v>
      </c>
      <c r="C64">
        <v>1841.7</v>
      </c>
      <c r="D64">
        <v>28654.9</v>
      </c>
      <c r="E64">
        <v>23855.599999999999</v>
      </c>
      <c r="F64">
        <f t="shared" si="9"/>
        <v>30803.9</v>
      </c>
      <c r="G64">
        <f t="shared" si="9"/>
        <v>25697.3</v>
      </c>
      <c r="H64" s="37">
        <f t="shared" si="10"/>
        <v>0.19872126643655186</v>
      </c>
      <c r="I64">
        <f t="shared" si="11"/>
        <v>185.10000000000218</v>
      </c>
      <c r="J64">
        <v>4571.7</v>
      </c>
    </row>
    <row r="65" spans="1:12" x14ac:dyDescent="0.25">
      <c r="A65" s="62">
        <f t="shared" si="3"/>
        <v>39296</v>
      </c>
      <c r="B65">
        <v>1852.6</v>
      </c>
      <c r="C65">
        <v>1662.4</v>
      </c>
      <c r="D65">
        <v>29104.6</v>
      </c>
      <c r="E65">
        <v>24309.5</v>
      </c>
      <c r="F65">
        <f t="shared" si="9"/>
        <v>30957.199999999997</v>
      </c>
      <c r="G65">
        <f t="shared" si="9"/>
        <v>25971.9</v>
      </c>
      <c r="H65" s="37">
        <f t="shared" si="10"/>
        <v>0.19194976108794481</v>
      </c>
      <c r="I65">
        <f t="shared" si="11"/>
        <v>153.29999999999563</v>
      </c>
      <c r="J65">
        <v>4948.8</v>
      </c>
    </row>
    <row r="66" spans="1:12" x14ac:dyDescent="0.25">
      <c r="A66" s="62">
        <f t="shared" si="3"/>
        <v>39303</v>
      </c>
      <c r="B66">
        <v>1914.6</v>
      </c>
      <c r="C66">
        <v>1732.7</v>
      </c>
      <c r="D66">
        <v>29278.799999999999</v>
      </c>
      <c r="E66">
        <v>24496.7</v>
      </c>
      <c r="F66">
        <f t="shared" si="9"/>
        <v>31193.399999999998</v>
      </c>
      <c r="G66">
        <f t="shared" si="9"/>
        <v>26229.4</v>
      </c>
      <c r="H66" s="37">
        <f t="shared" si="10"/>
        <v>0.18925328066978264</v>
      </c>
      <c r="I66">
        <f t="shared" si="11"/>
        <v>236.20000000000073</v>
      </c>
      <c r="J66">
        <v>5026.1000000000004</v>
      </c>
    </row>
    <row r="67" spans="1:12" x14ac:dyDescent="0.25">
      <c r="A67" s="62">
        <f t="shared" si="3"/>
        <v>39310</v>
      </c>
      <c r="B67">
        <v>1649.7</v>
      </c>
      <c r="C67">
        <v>1451.1</v>
      </c>
      <c r="D67">
        <v>29549.3</v>
      </c>
      <c r="E67">
        <v>24825.5</v>
      </c>
      <c r="F67">
        <f t="shared" si="9"/>
        <v>31199</v>
      </c>
      <c r="G67">
        <f t="shared" si="9"/>
        <v>26276.6</v>
      </c>
      <c r="H67" s="37">
        <f t="shared" si="10"/>
        <v>0.18733017209227998</v>
      </c>
      <c r="I67">
        <f>+F67-F66</f>
        <v>5.6000000000021828</v>
      </c>
      <c r="J67">
        <v>5978.1</v>
      </c>
    </row>
    <row r="68" spans="1:12" x14ac:dyDescent="0.25">
      <c r="A68" s="62">
        <f t="shared" si="3"/>
        <v>39317</v>
      </c>
      <c r="B68">
        <v>1245.8</v>
      </c>
      <c r="C68">
        <v>1103.2</v>
      </c>
      <c r="D68">
        <v>29870.7</v>
      </c>
      <c r="E68">
        <v>25203</v>
      </c>
      <c r="F68">
        <f t="shared" si="9"/>
        <v>31116.5</v>
      </c>
      <c r="G68">
        <f t="shared" si="9"/>
        <v>26306.2</v>
      </c>
      <c r="H68" s="37">
        <f t="shared" si="10"/>
        <v>0.18285803346739549</v>
      </c>
      <c r="I68">
        <f>+F68-F67</f>
        <v>-82.5</v>
      </c>
      <c r="J68">
        <v>6382.2</v>
      </c>
    </row>
    <row r="69" spans="1:12" x14ac:dyDescent="0.25">
      <c r="A69" s="62">
        <f t="shared" si="3"/>
        <v>39324</v>
      </c>
      <c r="B69">
        <v>990.1</v>
      </c>
      <c r="C69">
        <v>813.8</v>
      </c>
      <c r="D69">
        <v>30261</v>
      </c>
      <c r="E69">
        <v>25510.3</v>
      </c>
      <c r="F69">
        <f t="shared" si="9"/>
        <v>31251.1</v>
      </c>
      <c r="G69">
        <f t="shared" si="9"/>
        <v>26324.1</v>
      </c>
      <c r="H69" s="37">
        <f t="shared" si="10"/>
        <v>0.18716689269528675</v>
      </c>
      <c r="I69">
        <f>+F69-F68</f>
        <v>134.59999999999854</v>
      </c>
      <c r="J69">
        <v>6814.2</v>
      </c>
    </row>
    <row r="70" spans="1:12" x14ac:dyDescent="0.25">
      <c r="A70" s="64">
        <f t="shared" si="3"/>
        <v>39331</v>
      </c>
      <c r="B70">
        <v>7996.5</v>
      </c>
      <c r="C70">
        <v>7003.7</v>
      </c>
      <c r="F70">
        <v>8107</v>
      </c>
      <c r="G70">
        <v>7210.8</v>
      </c>
      <c r="H70" s="37">
        <f t="shared" si="10"/>
        <v>0.12428579353192437</v>
      </c>
      <c r="I70">
        <f t="shared" ref="I70:I90" si="12">+F70-F69</f>
        <v>-23144.1</v>
      </c>
    </row>
    <row r="71" spans="1:12" x14ac:dyDescent="0.25">
      <c r="A71" s="62">
        <f t="shared" si="3"/>
        <v>39338</v>
      </c>
      <c r="B71">
        <v>8105.6</v>
      </c>
      <c r="C71">
        <v>7408.7</v>
      </c>
      <c r="D71">
        <v>515</v>
      </c>
      <c r="E71">
        <v>558.9</v>
      </c>
      <c r="F71">
        <f t="shared" ref="F71:G170" si="13">+B71+D71</f>
        <v>8620.6</v>
      </c>
      <c r="G71">
        <f t="shared" si="13"/>
        <v>7967.5999999999995</v>
      </c>
      <c r="H71" s="37">
        <f t="shared" si="10"/>
        <v>8.1956925548471338E-2</v>
      </c>
      <c r="I71">
        <f t="shared" si="12"/>
        <v>513.60000000000036</v>
      </c>
    </row>
    <row r="72" spans="1:12" x14ac:dyDescent="0.25">
      <c r="A72" s="62">
        <f t="shared" si="3"/>
        <v>39345</v>
      </c>
      <c r="B72">
        <v>8366.4</v>
      </c>
      <c r="C72">
        <v>7970.7</v>
      </c>
      <c r="D72">
        <v>999.9</v>
      </c>
      <c r="E72">
        <v>863.5</v>
      </c>
      <c r="F72">
        <f t="shared" si="13"/>
        <v>9366.2999999999993</v>
      </c>
      <c r="G72">
        <f t="shared" si="13"/>
        <v>8834.2000000000007</v>
      </c>
      <c r="H72" s="37">
        <f t="shared" si="10"/>
        <v>6.0231826311380576E-2</v>
      </c>
      <c r="I72">
        <f t="shared" si="12"/>
        <v>745.69999999999891</v>
      </c>
      <c r="K72">
        <f>+F72-F71</f>
        <v>745.69999999999891</v>
      </c>
      <c r="L72">
        <f>+G72-G71</f>
        <v>866.60000000000127</v>
      </c>
    </row>
    <row r="73" spans="1:12" x14ac:dyDescent="0.25">
      <c r="A73" s="62">
        <f t="shared" si="3"/>
        <v>39352</v>
      </c>
      <c r="B73">
        <v>8752.9</v>
      </c>
      <c r="C73">
        <v>8592.1</v>
      </c>
      <c r="D73">
        <v>1279.3</v>
      </c>
      <c r="E73">
        <v>1437</v>
      </c>
      <c r="F73">
        <f t="shared" si="13"/>
        <v>10032.199999999999</v>
      </c>
      <c r="G73">
        <f t="shared" si="13"/>
        <v>10029.1</v>
      </c>
      <c r="H73" s="37">
        <f t="shared" si="10"/>
        <v>3.0910051749399869E-4</v>
      </c>
      <c r="I73">
        <f t="shared" si="12"/>
        <v>665.89999999999964</v>
      </c>
    </row>
    <row r="74" spans="1:12" x14ac:dyDescent="0.25">
      <c r="A74" s="62">
        <f t="shared" si="3"/>
        <v>39359</v>
      </c>
      <c r="B74">
        <v>8771.5</v>
      </c>
      <c r="C74">
        <v>8954.1</v>
      </c>
      <c r="D74">
        <v>1810.9</v>
      </c>
      <c r="E74">
        <v>2161.1</v>
      </c>
      <c r="F74">
        <f t="shared" si="13"/>
        <v>10582.4</v>
      </c>
      <c r="G74">
        <f t="shared" si="13"/>
        <v>11115.2</v>
      </c>
      <c r="H74" s="37">
        <f t="shared" si="10"/>
        <v>-4.7934360155462929E-2</v>
      </c>
      <c r="I74">
        <f t="shared" si="12"/>
        <v>550.20000000000073</v>
      </c>
    </row>
    <row r="75" spans="1:12" x14ac:dyDescent="0.25">
      <c r="A75" s="62">
        <f t="shared" si="3"/>
        <v>39366</v>
      </c>
      <c r="B75">
        <v>8536.1</v>
      </c>
      <c r="C75">
        <v>8995.7999999999993</v>
      </c>
      <c r="D75">
        <v>2796.9</v>
      </c>
      <c r="E75">
        <v>2987.8</v>
      </c>
      <c r="F75">
        <f t="shared" si="13"/>
        <v>11333</v>
      </c>
      <c r="G75">
        <f t="shared" si="13"/>
        <v>11983.599999999999</v>
      </c>
      <c r="H75" s="37">
        <f t="shared" si="10"/>
        <v>-5.4290864181047338E-2</v>
      </c>
      <c r="I75">
        <f t="shared" si="12"/>
        <v>750.60000000000036</v>
      </c>
    </row>
    <row r="76" spans="1:12" x14ac:dyDescent="0.25">
      <c r="A76" s="62">
        <f t="shared" si="3"/>
        <v>39373</v>
      </c>
      <c r="B76">
        <v>8132.9</v>
      </c>
      <c r="C76">
        <v>8438.7000000000007</v>
      </c>
      <c r="D76">
        <v>3663.5</v>
      </c>
      <c r="E76">
        <v>4168.8</v>
      </c>
      <c r="F76">
        <f t="shared" si="13"/>
        <v>11796.4</v>
      </c>
      <c r="G76">
        <f t="shared" si="13"/>
        <v>12607.5</v>
      </c>
      <c r="H76" s="37">
        <f t="shared" si="10"/>
        <v>-6.4334721395994499E-2</v>
      </c>
      <c r="I76">
        <f t="shared" si="12"/>
        <v>463.39999999999964</v>
      </c>
    </row>
    <row r="77" spans="1:12" x14ac:dyDescent="0.25">
      <c r="A77" s="62">
        <f t="shared" si="3"/>
        <v>39380</v>
      </c>
      <c r="B77">
        <v>8069.3</v>
      </c>
      <c r="C77">
        <v>7852.8</v>
      </c>
      <c r="D77">
        <v>4467.7</v>
      </c>
      <c r="E77">
        <v>5394.9</v>
      </c>
      <c r="F77">
        <f t="shared" si="13"/>
        <v>12537</v>
      </c>
      <c r="G77">
        <f t="shared" si="13"/>
        <v>13247.7</v>
      </c>
      <c r="H77" s="37">
        <f t="shared" si="10"/>
        <v>-5.3647048166851619E-2</v>
      </c>
      <c r="I77">
        <f t="shared" si="12"/>
        <v>740.60000000000036</v>
      </c>
    </row>
    <row r="78" spans="1:12" x14ac:dyDescent="0.25">
      <c r="A78" s="62">
        <f t="shared" si="3"/>
        <v>39387</v>
      </c>
      <c r="B78">
        <v>7855.6</v>
      </c>
      <c r="C78">
        <v>7496.7</v>
      </c>
      <c r="D78">
        <v>5296</v>
      </c>
      <c r="E78">
        <v>6460.1</v>
      </c>
      <c r="F78">
        <f t="shared" si="13"/>
        <v>13151.6</v>
      </c>
      <c r="G78">
        <f t="shared" si="13"/>
        <v>13956.8</v>
      </c>
      <c r="H78" s="37">
        <f t="shared" si="10"/>
        <v>-5.7692307692307598E-2</v>
      </c>
      <c r="I78">
        <f t="shared" si="12"/>
        <v>614.60000000000036</v>
      </c>
    </row>
    <row r="79" spans="1:12" x14ac:dyDescent="0.25">
      <c r="A79" s="62">
        <f t="shared" si="3"/>
        <v>39394</v>
      </c>
      <c r="B79">
        <v>8440.1</v>
      </c>
      <c r="C79">
        <v>7080.1</v>
      </c>
      <c r="D79">
        <v>6007.8</v>
      </c>
      <c r="E79">
        <v>7624.1</v>
      </c>
      <c r="F79">
        <f t="shared" si="13"/>
        <v>14447.900000000001</v>
      </c>
      <c r="G79">
        <f t="shared" si="13"/>
        <v>14704.2</v>
      </c>
      <c r="H79" s="37">
        <f t="shared" si="10"/>
        <v>-1.7430394037077801E-2</v>
      </c>
      <c r="I79">
        <f t="shared" si="12"/>
        <v>1296.3000000000011</v>
      </c>
    </row>
    <row r="80" spans="1:12" x14ac:dyDescent="0.25">
      <c r="A80" s="62">
        <f t="shared" si="3"/>
        <v>39401</v>
      </c>
      <c r="B80">
        <v>9589.9</v>
      </c>
      <c r="C80">
        <v>7272.5</v>
      </c>
      <c r="D80">
        <v>6665.5</v>
      </c>
      <c r="E80">
        <v>8233.6</v>
      </c>
      <c r="F80">
        <f t="shared" si="13"/>
        <v>16255.4</v>
      </c>
      <c r="G80">
        <f t="shared" si="13"/>
        <v>15506.1</v>
      </c>
      <c r="H80" s="37">
        <f t="shared" si="10"/>
        <v>4.8322918077401855E-2</v>
      </c>
      <c r="I80">
        <f t="shared" si="12"/>
        <v>1807.4999999999982</v>
      </c>
    </row>
    <row r="81" spans="1:13" x14ac:dyDescent="0.25">
      <c r="A81" s="62">
        <f t="shared" si="3"/>
        <v>39408</v>
      </c>
      <c r="B81">
        <v>9732.6</v>
      </c>
      <c r="C81">
        <v>7331.3</v>
      </c>
      <c r="D81">
        <v>7640.7</v>
      </c>
      <c r="E81">
        <v>8904.2000000000007</v>
      </c>
      <c r="F81">
        <f t="shared" si="13"/>
        <v>17373.3</v>
      </c>
      <c r="G81">
        <f t="shared" si="13"/>
        <v>16235.5</v>
      </c>
      <c r="H81" s="37">
        <f t="shared" si="10"/>
        <v>7.0080995349696584E-2</v>
      </c>
      <c r="I81">
        <f t="shared" si="12"/>
        <v>1117.8999999999996</v>
      </c>
    </row>
    <row r="82" spans="1:13" x14ac:dyDescent="0.25">
      <c r="A82" s="62">
        <f t="shared" si="3"/>
        <v>39415</v>
      </c>
      <c r="B82">
        <v>9797.1</v>
      </c>
      <c r="C82">
        <v>7068.1</v>
      </c>
      <c r="D82">
        <v>8380</v>
      </c>
      <c r="E82">
        <v>9834.2999999999993</v>
      </c>
      <c r="F82">
        <f t="shared" si="13"/>
        <v>18177.099999999999</v>
      </c>
      <c r="G82">
        <f t="shared" si="13"/>
        <v>16902.400000000001</v>
      </c>
      <c r="H82" s="37">
        <f t="shared" si="10"/>
        <v>7.5415325634229369E-2</v>
      </c>
      <c r="I82">
        <f t="shared" si="12"/>
        <v>803.79999999999927</v>
      </c>
    </row>
    <row r="83" spans="1:13" x14ac:dyDescent="0.25">
      <c r="A83" s="62">
        <f t="shared" si="3"/>
        <v>39422</v>
      </c>
      <c r="B83">
        <v>9868.7000000000007</v>
      </c>
      <c r="C83">
        <v>6897.6</v>
      </c>
      <c r="D83">
        <v>9279.9</v>
      </c>
      <c r="E83">
        <v>10895.5</v>
      </c>
      <c r="F83">
        <f t="shared" si="13"/>
        <v>19148.599999999999</v>
      </c>
      <c r="G83">
        <f t="shared" si="13"/>
        <v>17793.099999999999</v>
      </c>
      <c r="H83" s="37">
        <f t="shared" si="10"/>
        <v>7.6181216314189282E-2</v>
      </c>
      <c r="I83">
        <f t="shared" si="12"/>
        <v>971.5</v>
      </c>
    </row>
    <row r="84" spans="1:13" x14ac:dyDescent="0.25">
      <c r="A84" s="62">
        <f t="shared" si="3"/>
        <v>39429</v>
      </c>
      <c r="B84">
        <v>9638</v>
      </c>
      <c r="C84">
        <v>7010.6</v>
      </c>
      <c r="D84">
        <v>10367.6</v>
      </c>
      <c r="E84">
        <v>11524.5</v>
      </c>
      <c r="F84">
        <f t="shared" si="13"/>
        <v>20005.599999999999</v>
      </c>
      <c r="G84">
        <f t="shared" si="13"/>
        <v>18535.099999999999</v>
      </c>
      <c r="H84" s="37">
        <f t="shared" si="10"/>
        <v>7.9335962579106578E-2</v>
      </c>
      <c r="I84">
        <f t="shared" si="12"/>
        <v>857</v>
      </c>
    </row>
    <row r="85" spans="1:13" x14ac:dyDescent="0.25">
      <c r="A85" s="62">
        <f t="shared" si="3"/>
        <v>39436</v>
      </c>
      <c r="B85">
        <v>9486.7999999999993</v>
      </c>
      <c r="C85">
        <v>7375.7</v>
      </c>
      <c r="D85">
        <v>11201.9</v>
      </c>
      <c r="E85">
        <v>12196.8</v>
      </c>
      <c r="F85">
        <f t="shared" si="13"/>
        <v>20688.699999999997</v>
      </c>
      <c r="G85">
        <f t="shared" si="13"/>
        <v>19572.5</v>
      </c>
      <c r="H85" s="37">
        <f t="shared" si="10"/>
        <v>5.7028994763060226E-2</v>
      </c>
      <c r="I85">
        <f t="shared" si="12"/>
        <v>683.09999999999854</v>
      </c>
      <c r="L85" t="s">
        <v>107</v>
      </c>
      <c r="M85" t="s">
        <v>106</v>
      </c>
    </row>
    <row r="86" spans="1:13" x14ac:dyDescent="0.25">
      <c r="A86" s="62">
        <f t="shared" si="3"/>
        <v>39443</v>
      </c>
      <c r="B86">
        <v>9040.6</v>
      </c>
      <c r="C86">
        <v>6886.2</v>
      </c>
      <c r="D86">
        <v>11788.6</v>
      </c>
      <c r="E86">
        <v>13025.2</v>
      </c>
      <c r="F86">
        <f t="shared" si="13"/>
        <v>20829.2</v>
      </c>
      <c r="G86">
        <f t="shared" si="13"/>
        <v>19911.400000000001</v>
      </c>
      <c r="H86" s="37">
        <f t="shared" si="10"/>
        <v>4.609419729401254E-2</v>
      </c>
      <c r="I86">
        <f t="shared" si="12"/>
        <v>140.50000000000364</v>
      </c>
      <c r="K86" s="58">
        <f t="shared" ref="K86:K91" si="14">+G86-G85</f>
        <v>338.90000000000146</v>
      </c>
      <c r="L86">
        <f t="shared" ref="L86:L91" si="15">+D86-D85</f>
        <v>586.70000000000073</v>
      </c>
      <c r="M86">
        <f t="shared" ref="M86:M91" si="16">+E86-E85</f>
        <v>828.40000000000146</v>
      </c>
    </row>
    <row r="87" spans="1:13" x14ac:dyDescent="0.25">
      <c r="A87" s="62">
        <f t="shared" si="3"/>
        <v>39450</v>
      </c>
      <c r="B87">
        <v>8218.2999999999993</v>
      </c>
      <c r="C87">
        <v>6917.8</v>
      </c>
      <c r="D87">
        <v>12729.2</v>
      </c>
      <c r="E87">
        <v>13583.2</v>
      </c>
      <c r="F87">
        <f t="shared" si="13"/>
        <v>20947.5</v>
      </c>
      <c r="G87">
        <f t="shared" si="13"/>
        <v>20501</v>
      </c>
      <c r="H87" s="37">
        <f t="shared" si="10"/>
        <v>2.1779425393883223E-2</v>
      </c>
      <c r="I87">
        <f t="shared" si="12"/>
        <v>118.29999999999927</v>
      </c>
      <c r="K87" s="58">
        <f t="shared" si="14"/>
        <v>589.59999999999854</v>
      </c>
      <c r="L87">
        <f t="shared" si="15"/>
        <v>940.60000000000036</v>
      </c>
      <c r="M87">
        <f t="shared" si="16"/>
        <v>558</v>
      </c>
    </row>
    <row r="88" spans="1:13" x14ac:dyDescent="0.25">
      <c r="A88" s="62">
        <f t="shared" si="3"/>
        <v>39457</v>
      </c>
      <c r="B88">
        <v>8428.4</v>
      </c>
      <c r="C88">
        <v>7138.7</v>
      </c>
      <c r="D88">
        <v>13484.3</v>
      </c>
      <c r="E88">
        <v>14458</v>
      </c>
      <c r="F88">
        <f t="shared" si="13"/>
        <v>21912.699999999997</v>
      </c>
      <c r="G88">
        <f t="shared" si="13"/>
        <v>21596.7</v>
      </c>
      <c r="H88" s="37">
        <f t="shared" si="10"/>
        <v>1.4631865053457149E-2</v>
      </c>
      <c r="I88">
        <f t="shared" si="12"/>
        <v>965.19999999999709</v>
      </c>
      <c r="K88" s="58">
        <f t="shared" si="14"/>
        <v>1095.7000000000007</v>
      </c>
      <c r="L88">
        <f t="shared" si="15"/>
        <v>755.09999999999854</v>
      </c>
      <c r="M88">
        <f t="shared" si="16"/>
        <v>874.79999999999927</v>
      </c>
    </row>
    <row r="89" spans="1:13" x14ac:dyDescent="0.25">
      <c r="A89" s="62">
        <f t="shared" si="3"/>
        <v>39464</v>
      </c>
      <c r="B89">
        <v>8085</v>
      </c>
      <c r="C89">
        <v>7124.4</v>
      </c>
      <c r="D89">
        <v>14490.8</v>
      </c>
      <c r="E89">
        <v>15088</v>
      </c>
      <c r="F89">
        <f t="shared" si="13"/>
        <v>22575.8</v>
      </c>
      <c r="G89">
        <f t="shared" si="13"/>
        <v>22212.400000000001</v>
      </c>
      <c r="H89" s="37">
        <f t="shared" si="10"/>
        <v>1.6360231222200206E-2</v>
      </c>
      <c r="I89">
        <f t="shared" si="12"/>
        <v>663.10000000000218</v>
      </c>
      <c r="K89" s="58">
        <f t="shared" si="14"/>
        <v>615.70000000000073</v>
      </c>
      <c r="L89">
        <f t="shared" si="15"/>
        <v>1006.5</v>
      </c>
      <c r="M89">
        <f t="shared" si="16"/>
        <v>630</v>
      </c>
    </row>
    <row r="90" spans="1:13" x14ac:dyDescent="0.25">
      <c r="A90" s="62">
        <f t="shared" si="3"/>
        <v>39471</v>
      </c>
      <c r="B90">
        <v>7840.7</v>
      </c>
      <c r="C90">
        <v>6778</v>
      </c>
      <c r="D90">
        <v>15223</v>
      </c>
      <c r="E90">
        <v>16112</v>
      </c>
      <c r="F90">
        <f t="shared" si="13"/>
        <v>23063.7</v>
      </c>
      <c r="G90">
        <f t="shared" si="13"/>
        <v>22890</v>
      </c>
      <c r="H90" s="37">
        <f t="shared" si="10"/>
        <v>7.5884665792922412E-3</v>
      </c>
      <c r="I90">
        <f t="shared" si="12"/>
        <v>487.90000000000146</v>
      </c>
      <c r="K90" s="58">
        <f t="shared" si="14"/>
        <v>677.59999999999854</v>
      </c>
      <c r="L90">
        <f t="shared" si="15"/>
        <v>732.20000000000073</v>
      </c>
      <c r="M90">
        <f t="shared" si="16"/>
        <v>1024</v>
      </c>
    </row>
    <row r="91" spans="1:13" x14ac:dyDescent="0.25">
      <c r="A91" s="62">
        <f t="shared" si="3"/>
        <v>39478</v>
      </c>
      <c r="B91">
        <v>7985.7</v>
      </c>
      <c r="C91">
        <v>6685.8</v>
      </c>
      <c r="D91">
        <v>16115.1</v>
      </c>
      <c r="E91">
        <v>16951.7</v>
      </c>
      <c r="F91">
        <f t="shared" si="13"/>
        <v>24100.799999999999</v>
      </c>
      <c r="G91">
        <f t="shared" si="13"/>
        <v>23637.5</v>
      </c>
      <c r="H91" s="37">
        <f t="shared" si="10"/>
        <v>1.9600211528291833E-2</v>
      </c>
      <c r="I91">
        <f t="shared" ref="I91:I96" si="17">+F91-F90</f>
        <v>1037.0999999999985</v>
      </c>
      <c r="K91" s="58">
        <f t="shared" si="14"/>
        <v>747.5</v>
      </c>
      <c r="L91">
        <f t="shared" si="15"/>
        <v>892.10000000000036</v>
      </c>
      <c r="M91">
        <f t="shared" si="16"/>
        <v>839.70000000000073</v>
      </c>
    </row>
    <row r="92" spans="1:13" s="88" customFormat="1" x14ac:dyDescent="0.25">
      <c r="A92" s="87">
        <f t="shared" si="3"/>
        <v>39485</v>
      </c>
      <c r="B92" s="88">
        <v>7288.9</v>
      </c>
      <c r="C92" s="88">
        <v>5862.6</v>
      </c>
      <c r="D92" s="88">
        <v>17140.3</v>
      </c>
      <c r="E92" s="88">
        <v>18148.099999999999</v>
      </c>
      <c r="F92" s="88">
        <f t="shared" si="13"/>
        <v>24429.199999999997</v>
      </c>
      <c r="G92" s="88">
        <f t="shared" si="13"/>
        <v>24010.699999999997</v>
      </c>
      <c r="H92" s="131">
        <f t="shared" si="10"/>
        <v>1.742972924571129E-2</v>
      </c>
      <c r="I92" s="88">
        <f t="shared" si="17"/>
        <v>328.39999999999782</v>
      </c>
      <c r="K92" s="88">
        <f t="shared" ref="K92:K97" si="18">+G92-G91</f>
        <v>373.19999999999709</v>
      </c>
      <c r="L92" s="88">
        <f t="shared" ref="L92:M94" si="19">+D92-D91</f>
        <v>1025.1999999999989</v>
      </c>
      <c r="M92" s="88">
        <f t="shared" si="19"/>
        <v>1196.3999999999978</v>
      </c>
    </row>
    <row r="93" spans="1:13" x14ac:dyDescent="0.25">
      <c r="A93" s="62">
        <f t="shared" si="3"/>
        <v>39492</v>
      </c>
      <c r="B93">
        <v>6977.2</v>
      </c>
      <c r="C93">
        <v>5735.7</v>
      </c>
      <c r="D93">
        <v>18082.7</v>
      </c>
      <c r="E93">
        <v>18943.099999999999</v>
      </c>
      <c r="F93">
        <f t="shared" si="13"/>
        <v>25059.9</v>
      </c>
      <c r="G93">
        <f t="shared" si="13"/>
        <v>24678.799999999999</v>
      </c>
      <c r="H93" s="37">
        <f t="shared" si="10"/>
        <v>1.5442404006677846E-2</v>
      </c>
      <c r="I93">
        <f t="shared" si="17"/>
        <v>630.70000000000437</v>
      </c>
      <c r="K93" s="58">
        <f t="shared" si="18"/>
        <v>668.10000000000218</v>
      </c>
      <c r="L93">
        <f t="shared" si="19"/>
        <v>942.40000000000146</v>
      </c>
      <c r="M93">
        <f t="shared" si="19"/>
        <v>795</v>
      </c>
    </row>
    <row r="94" spans="1:13" x14ac:dyDescent="0.25">
      <c r="A94" s="62">
        <f t="shared" si="3"/>
        <v>39499</v>
      </c>
      <c r="B94">
        <v>6893.4</v>
      </c>
      <c r="C94">
        <v>5217.1000000000004</v>
      </c>
      <c r="D94">
        <v>18750.099999999999</v>
      </c>
      <c r="E94">
        <v>19877.2</v>
      </c>
      <c r="F94">
        <f t="shared" si="13"/>
        <v>25643.5</v>
      </c>
      <c r="G94">
        <f t="shared" si="13"/>
        <v>25094.300000000003</v>
      </c>
      <c r="H94" s="37">
        <f t="shared" si="10"/>
        <v>2.1885448089805193E-2</v>
      </c>
      <c r="I94">
        <f t="shared" si="17"/>
        <v>583.59999999999854</v>
      </c>
      <c r="K94" s="58">
        <f t="shared" si="18"/>
        <v>415.50000000000364</v>
      </c>
      <c r="L94">
        <f t="shared" si="19"/>
        <v>667.39999999999782</v>
      </c>
      <c r="M94">
        <f t="shared" si="19"/>
        <v>934.10000000000218</v>
      </c>
    </row>
    <row r="95" spans="1:13" x14ac:dyDescent="0.25">
      <c r="A95" s="62">
        <f t="shared" si="3"/>
        <v>39506</v>
      </c>
      <c r="B95">
        <v>6137.7</v>
      </c>
      <c r="C95">
        <v>4919.8</v>
      </c>
      <c r="D95">
        <v>19708.5</v>
      </c>
      <c r="E95">
        <v>20740.5</v>
      </c>
      <c r="F95">
        <f t="shared" si="13"/>
        <v>25846.2</v>
      </c>
      <c r="G95">
        <f t="shared" si="13"/>
        <v>25660.3</v>
      </c>
      <c r="H95" s="37">
        <f t="shared" si="10"/>
        <v>7.2446541934427788E-3</v>
      </c>
      <c r="I95">
        <f t="shared" si="17"/>
        <v>202.70000000000073</v>
      </c>
      <c r="K95" s="58">
        <f t="shared" si="18"/>
        <v>565.99999999999636</v>
      </c>
      <c r="L95">
        <f t="shared" ref="L95:M97" si="20">+D95-D94</f>
        <v>958.40000000000146</v>
      </c>
      <c r="M95">
        <f t="shared" si="20"/>
        <v>863.29999999999927</v>
      </c>
    </row>
    <row r="96" spans="1:13" x14ac:dyDescent="0.25">
      <c r="A96" s="62">
        <f t="shared" si="3"/>
        <v>39513</v>
      </c>
      <c r="B96">
        <v>5508.7</v>
      </c>
      <c r="C96">
        <v>4587.1000000000004</v>
      </c>
      <c r="D96">
        <v>20595.099999999999</v>
      </c>
      <c r="E96">
        <v>21525.1</v>
      </c>
      <c r="F96">
        <f t="shared" si="13"/>
        <v>26103.8</v>
      </c>
      <c r="G96">
        <f t="shared" si="13"/>
        <v>26112.199999999997</v>
      </c>
      <c r="H96" s="37">
        <f t="shared" si="10"/>
        <v>-3.216887125557788E-4</v>
      </c>
      <c r="I96">
        <f t="shared" si="17"/>
        <v>257.59999999999854</v>
      </c>
      <c r="K96" s="58">
        <f t="shared" si="18"/>
        <v>451.89999999999782</v>
      </c>
      <c r="L96">
        <f t="shared" si="20"/>
        <v>886.59999999999854</v>
      </c>
      <c r="M96">
        <f t="shared" si="20"/>
        <v>784.59999999999854</v>
      </c>
    </row>
    <row r="97" spans="1:15" x14ac:dyDescent="0.25">
      <c r="A97" s="62">
        <f t="shared" si="3"/>
        <v>39520</v>
      </c>
      <c r="B97">
        <v>5191.1000000000004</v>
      </c>
      <c r="C97">
        <v>4602.1000000000004</v>
      </c>
      <c r="D97">
        <v>21351.200000000001</v>
      </c>
      <c r="E97">
        <v>22033.3</v>
      </c>
      <c r="F97">
        <f t="shared" si="13"/>
        <v>26542.300000000003</v>
      </c>
      <c r="G97">
        <f t="shared" si="13"/>
        <v>26635.4</v>
      </c>
      <c r="H97" s="37">
        <f t="shared" si="10"/>
        <v>-3.4953482958768323E-3</v>
      </c>
      <c r="I97">
        <f t="shared" ref="I97:I102" si="21">+F97-F96</f>
        <v>438.50000000000364</v>
      </c>
      <c r="K97" s="58">
        <f t="shared" si="18"/>
        <v>523.20000000000437</v>
      </c>
      <c r="L97">
        <f t="shared" si="20"/>
        <v>756.10000000000218</v>
      </c>
      <c r="M97">
        <f t="shared" si="20"/>
        <v>508.20000000000073</v>
      </c>
    </row>
    <row r="98" spans="1:15" x14ac:dyDescent="0.25">
      <c r="A98" s="62">
        <f t="shared" si="3"/>
        <v>39527</v>
      </c>
      <c r="B98">
        <v>4924.1000000000004</v>
      </c>
      <c r="C98">
        <v>4315.8</v>
      </c>
      <c r="D98">
        <v>21987.7</v>
      </c>
      <c r="E98">
        <v>22589.8</v>
      </c>
      <c r="F98">
        <f t="shared" si="13"/>
        <v>26911.800000000003</v>
      </c>
      <c r="G98">
        <f t="shared" si="13"/>
        <v>26905.599999999999</v>
      </c>
      <c r="H98" s="37">
        <f t="shared" si="10"/>
        <v>2.304352997146708E-4</v>
      </c>
      <c r="I98">
        <f t="shared" si="21"/>
        <v>369.5</v>
      </c>
      <c r="K98" s="58">
        <f t="shared" ref="K98:K103" si="22">+G98-G97</f>
        <v>270.19999999999709</v>
      </c>
      <c r="L98">
        <f t="shared" ref="L98:M100" si="23">+D98-D97</f>
        <v>636.5</v>
      </c>
      <c r="M98">
        <f t="shared" si="23"/>
        <v>556.5</v>
      </c>
    </row>
    <row r="99" spans="1:15" x14ac:dyDescent="0.25">
      <c r="A99" s="62">
        <f t="shared" si="3"/>
        <v>39534</v>
      </c>
      <c r="B99">
        <v>4380.6000000000004</v>
      </c>
      <c r="C99">
        <v>3789.4</v>
      </c>
      <c r="D99">
        <v>22716</v>
      </c>
      <c r="E99">
        <v>23375.200000000001</v>
      </c>
      <c r="F99">
        <f t="shared" si="13"/>
        <v>27096.6</v>
      </c>
      <c r="G99">
        <f t="shared" si="13"/>
        <v>27164.600000000002</v>
      </c>
      <c r="H99" s="37">
        <f t="shared" si="10"/>
        <v>-2.5032579165532587E-3</v>
      </c>
      <c r="I99">
        <f t="shared" si="21"/>
        <v>184.79999999999563</v>
      </c>
      <c r="K99" s="58">
        <f t="shared" si="22"/>
        <v>259.00000000000364</v>
      </c>
      <c r="L99">
        <f t="shared" si="23"/>
        <v>728.29999999999927</v>
      </c>
      <c r="M99">
        <f t="shared" si="23"/>
        <v>785.40000000000146</v>
      </c>
    </row>
    <row r="100" spans="1:15" x14ac:dyDescent="0.25">
      <c r="A100" s="62">
        <f t="shared" si="3"/>
        <v>39541</v>
      </c>
      <c r="B100">
        <v>4538.1000000000004</v>
      </c>
      <c r="C100">
        <v>3393.8</v>
      </c>
      <c r="D100">
        <v>23142.3</v>
      </c>
      <c r="E100">
        <v>23907.8</v>
      </c>
      <c r="F100">
        <f t="shared" si="13"/>
        <v>27680.400000000001</v>
      </c>
      <c r="G100">
        <f t="shared" si="13"/>
        <v>27301.599999999999</v>
      </c>
      <c r="H100" s="37">
        <f t="shared" si="10"/>
        <v>1.3874644709467754E-2</v>
      </c>
      <c r="I100">
        <f t="shared" si="21"/>
        <v>583.80000000000291</v>
      </c>
      <c r="K100" s="58">
        <f t="shared" si="22"/>
        <v>136.99999999999636</v>
      </c>
      <c r="L100">
        <f t="shared" si="23"/>
        <v>426.29999999999927</v>
      </c>
      <c r="M100">
        <f t="shared" si="23"/>
        <v>532.59999999999854</v>
      </c>
    </row>
    <row r="101" spans="1:15" x14ac:dyDescent="0.25">
      <c r="A101" s="62">
        <f t="shared" si="3"/>
        <v>39548</v>
      </c>
      <c r="B101">
        <v>4606.8999999999996</v>
      </c>
      <c r="C101">
        <v>3200.5</v>
      </c>
      <c r="D101">
        <v>23550.400000000001</v>
      </c>
      <c r="E101">
        <v>24384.6</v>
      </c>
      <c r="F101">
        <f t="shared" si="13"/>
        <v>28157.300000000003</v>
      </c>
      <c r="G101">
        <f t="shared" si="13"/>
        <v>27585.1</v>
      </c>
      <c r="H101" s="37">
        <f t="shared" si="10"/>
        <v>2.0743082316178052E-2</v>
      </c>
      <c r="I101">
        <f t="shared" si="21"/>
        <v>476.90000000000146</v>
      </c>
      <c r="K101" s="58">
        <f t="shared" si="22"/>
        <v>283.5</v>
      </c>
      <c r="L101">
        <f t="shared" ref="L101:M103" si="24">+D101-D100</f>
        <v>408.10000000000218</v>
      </c>
      <c r="M101">
        <f t="shared" si="24"/>
        <v>476.79999999999927</v>
      </c>
    </row>
    <row r="102" spans="1:15" x14ac:dyDescent="0.25">
      <c r="A102" s="62">
        <f t="shared" si="3"/>
        <v>39555</v>
      </c>
      <c r="B102">
        <v>4444.2</v>
      </c>
      <c r="C102">
        <v>3168.5</v>
      </c>
      <c r="D102">
        <v>24089.8</v>
      </c>
      <c r="E102">
        <v>24839</v>
      </c>
      <c r="F102">
        <f t="shared" si="13"/>
        <v>28534</v>
      </c>
      <c r="G102">
        <f t="shared" si="13"/>
        <v>28007.5</v>
      </c>
      <c r="H102" s="37">
        <f t="shared" si="10"/>
        <v>1.8798536106400032E-2</v>
      </c>
      <c r="I102">
        <f t="shared" si="21"/>
        <v>376.69999999999709</v>
      </c>
      <c r="K102" s="58">
        <f t="shared" si="22"/>
        <v>422.40000000000146</v>
      </c>
      <c r="L102">
        <f t="shared" si="24"/>
        <v>539.39999999999782</v>
      </c>
      <c r="M102">
        <f t="shared" si="24"/>
        <v>454.40000000000146</v>
      </c>
    </row>
    <row r="103" spans="1:15" x14ac:dyDescent="0.25">
      <c r="A103" s="62">
        <f t="shared" si="3"/>
        <v>39562</v>
      </c>
      <c r="B103">
        <v>4210.2</v>
      </c>
      <c r="C103">
        <v>2666.6</v>
      </c>
      <c r="D103">
        <v>24634.7</v>
      </c>
      <c r="E103">
        <v>25270.3</v>
      </c>
      <c r="F103">
        <f t="shared" si="13"/>
        <v>28844.9</v>
      </c>
      <c r="G103">
        <f t="shared" si="13"/>
        <v>27936.899999999998</v>
      </c>
      <c r="H103" s="37">
        <f t="shared" si="10"/>
        <v>3.2501816593824007E-2</v>
      </c>
      <c r="I103">
        <f t="shared" ref="I103:I109" si="25">+F103-F102</f>
        <v>310.90000000000146</v>
      </c>
      <c r="J103">
        <v>1278.2</v>
      </c>
      <c r="K103" s="58">
        <f t="shared" si="22"/>
        <v>-70.600000000002183</v>
      </c>
      <c r="L103">
        <f t="shared" si="24"/>
        <v>544.90000000000146</v>
      </c>
      <c r="M103">
        <f t="shared" si="24"/>
        <v>431.29999999999927</v>
      </c>
      <c r="O103" s="69"/>
    </row>
    <row r="104" spans="1:15" x14ac:dyDescent="0.25">
      <c r="A104" s="62">
        <f t="shared" si="3"/>
        <v>39569</v>
      </c>
      <c r="B104">
        <v>3889.3</v>
      </c>
      <c r="C104">
        <v>2474.6999999999998</v>
      </c>
      <c r="D104">
        <v>24996.6</v>
      </c>
      <c r="E104">
        <v>25666.400000000001</v>
      </c>
      <c r="F104">
        <f t="shared" si="13"/>
        <v>28885.899999999998</v>
      </c>
      <c r="G104">
        <f t="shared" si="13"/>
        <v>28141.100000000002</v>
      </c>
      <c r="H104" s="37">
        <f t="shared" si="10"/>
        <v>2.6466627104128726E-2</v>
      </c>
      <c r="I104">
        <f t="shared" si="25"/>
        <v>40.999999999996362</v>
      </c>
      <c r="J104">
        <v>1517.8</v>
      </c>
      <c r="K104" s="58">
        <f t="shared" ref="K104:K109" si="26">+G104-G103</f>
        <v>204.20000000000437</v>
      </c>
      <c r="L104">
        <f t="shared" ref="L104:M106" si="27">+D104-D103</f>
        <v>361.89999999999782</v>
      </c>
      <c r="M104">
        <f t="shared" si="27"/>
        <v>396.10000000000218</v>
      </c>
      <c r="O104" s="69"/>
    </row>
    <row r="105" spans="1:15" x14ac:dyDescent="0.25">
      <c r="A105" s="62">
        <f t="shared" si="3"/>
        <v>39576</v>
      </c>
      <c r="B105">
        <v>3603</v>
      </c>
      <c r="C105">
        <v>2453.6</v>
      </c>
      <c r="D105">
        <v>25484.3</v>
      </c>
      <c r="E105">
        <v>25910.3</v>
      </c>
      <c r="F105">
        <f t="shared" si="13"/>
        <v>29087.3</v>
      </c>
      <c r="G105">
        <f t="shared" si="13"/>
        <v>28363.899999999998</v>
      </c>
      <c r="H105" s="37">
        <f t="shared" si="10"/>
        <v>2.5504250120752081E-2</v>
      </c>
      <c r="I105">
        <f t="shared" si="25"/>
        <v>201.40000000000146</v>
      </c>
      <c r="J105">
        <v>1517.8</v>
      </c>
      <c r="K105" s="58">
        <f t="shared" si="26"/>
        <v>222.79999999999563</v>
      </c>
      <c r="L105">
        <f t="shared" si="27"/>
        <v>487.70000000000073</v>
      </c>
      <c r="M105">
        <f t="shared" si="27"/>
        <v>243.89999999999782</v>
      </c>
    </row>
    <row r="106" spans="1:15" x14ac:dyDescent="0.25">
      <c r="A106" s="62">
        <f t="shared" si="3"/>
        <v>39583</v>
      </c>
      <c r="B106">
        <v>3714.2</v>
      </c>
      <c r="C106">
        <v>2207</v>
      </c>
      <c r="D106">
        <v>25755.9</v>
      </c>
      <c r="E106">
        <v>26239.7</v>
      </c>
      <c r="F106">
        <f t="shared" si="13"/>
        <v>29470.100000000002</v>
      </c>
      <c r="G106">
        <f t="shared" si="13"/>
        <v>28446.7</v>
      </c>
      <c r="H106" s="37">
        <f t="shared" si="10"/>
        <v>3.5976053461385771E-2</v>
      </c>
      <c r="I106">
        <f t="shared" si="25"/>
        <v>382.80000000000291</v>
      </c>
      <c r="J106" s="71">
        <v>2004.7</v>
      </c>
      <c r="K106" s="58">
        <f t="shared" si="26"/>
        <v>82.80000000000291</v>
      </c>
      <c r="L106">
        <f t="shared" si="27"/>
        <v>271.60000000000218</v>
      </c>
      <c r="M106">
        <f t="shared" si="27"/>
        <v>329.40000000000146</v>
      </c>
    </row>
    <row r="107" spans="1:15" x14ac:dyDescent="0.25">
      <c r="A107" s="62">
        <f t="shared" si="3"/>
        <v>39590</v>
      </c>
      <c r="B107">
        <v>3571.6</v>
      </c>
      <c r="C107">
        <v>2331.6</v>
      </c>
      <c r="D107">
        <v>26141.200000000001</v>
      </c>
      <c r="E107">
        <v>26460.400000000001</v>
      </c>
      <c r="F107">
        <f t="shared" si="13"/>
        <v>29712.799999999999</v>
      </c>
      <c r="G107">
        <f t="shared" si="13"/>
        <v>28792</v>
      </c>
      <c r="H107" s="37">
        <f t="shared" si="10"/>
        <v>3.1981105862739723E-2</v>
      </c>
      <c r="I107">
        <f t="shared" si="25"/>
        <v>242.69999999999709</v>
      </c>
      <c r="J107" s="71">
        <v>2267.3000000000002</v>
      </c>
      <c r="K107" s="58">
        <f t="shared" si="26"/>
        <v>345.29999999999927</v>
      </c>
      <c r="L107">
        <f t="shared" ref="L107:M109" si="28">+D107-D106</f>
        <v>385.29999999999927</v>
      </c>
      <c r="M107">
        <f t="shared" si="28"/>
        <v>220.70000000000073</v>
      </c>
    </row>
    <row r="108" spans="1:15" x14ac:dyDescent="0.25">
      <c r="A108" s="62">
        <f t="shared" si="3"/>
        <v>39597</v>
      </c>
      <c r="B108">
        <v>3590.8</v>
      </c>
      <c r="C108">
        <v>2391.8000000000002</v>
      </c>
      <c r="D108">
        <v>26423.599999999999</v>
      </c>
      <c r="E108">
        <v>26599.7</v>
      </c>
      <c r="F108">
        <f t="shared" si="13"/>
        <v>30014.399999999998</v>
      </c>
      <c r="G108">
        <f t="shared" si="13"/>
        <v>28991.5</v>
      </c>
      <c r="H108" s="37">
        <f t="shared" si="10"/>
        <v>3.5282755290343637E-2</v>
      </c>
      <c r="I108">
        <f t="shared" si="25"/>
        <v>301.59999999999854</v>
      </c>
      <c r="J108">
        <v>2550.3000000000002</v>
      </c>
      <c r="K108" s="58">
        <f t="shared" si="26"/>
        <v>199.5</v>
      </c>
      <c r="L108">
        <f t="shared" si="28"/>
        <v>282.39999999999782</v>
      </c>
      <c r="M108">
        <f t="shared" si="28"/>
        <v>139.29999999999927</v>
      </c>
    </row>
    <row r="109" spans="1:15" x14ac:dyDescent="0.25">
      <c r="A109" s="62">
        <f t="shared" si="3"/>
        <v>39604</v>
      </c>
      <c r="B109">
        <v>3657.7</v>
      </c>
      <c r="C109">
        <v>2262</v>
      </c>
      <c r="D109">
        <v>26628.7</v>
      </c>
      <c r="E109">
        <v>26951.3</v>
      </c>
      <c r="F109">
        <f t="shared" si="13"/>
        <v>30286.400000000001</v>
      </c>
      <c r="G109">
        <f t="shared" si="13"/>
        <v>29213.3</v>
      </c>
      <c r="H109" s="37">
        <f t="shared" si="10"/>
        <v>3.6733268750877235E-2</v>
      </c>
      <c r="I109">
        <f t="shared" si="25"/>
        <v>272.00000000000364</v>
      </c>
      <c r="J109">
        <v>2578.9</v>
      </c>
      <c r="K109" s="58">
        <f t="shared" si="26"/>
        <v>221.79999999999927</v>
      </c>
      <c r="L109">
        <f t="shared" si="28"/>
        <v>205.10000000000218</v>
      </c>
      <c r="M109">
        <f t="shared" si="28"/>
        <v>351.59999999999854</v>
      </c>
    </row>
    <row r="110" spans="1:15" x14ac:dyDescent="0.25">
      <c r="A110" s="62">
        <f t="shared" si="3"/>
        <v>39611</v>
      </c>
      <c r="B110">
        <v>3472.7</v>
      </c>
      <c r="C110">
        <v>2453.9</v>
      </c>
      <c r="D110">
        <v>26984.9</v>
      </c>
      <c r="E110">
        <v>27118.7</v>
      </c>
      <c r="F110">
        <f t="shared" si="13"/>
        <v>30457.600000000002</v>
      </c>
      <c r="G110">
        <f t="shared" si="13"/>
        <v>29572.600000000002</v>
      </c>
      <c r="H110" s="37">
        <f t="shared" si="10"/>
        <v>2.9926350743593622E-2</v>
      </c>
      <c r="I110">
        <f t="shared" ref="I110:I116" si="29">+F110-F109</f>
        <v>171.20000000000073</v>
      </c>
      <c r="J110">
        <v>2588.1</v>
      </c>
      <c r="K110" s="58">
        <f t="shared" ref="K110:K116" si="30">+G110-G109</f>
        <v>359.30000000000291</v>
      </c>
      <c r="L110">
        <f t="shared" ref="L110:M112" si="31">+D110-D109</f>
        <v>356.20000000000073</v>
      </c>
      <c r="M110">
        <f t="shared" si="31"/>
        <v>167.40000000000146</v>
      </c>
    </row>
    <row r="111" spans="1:15" x14ac:dyDescent="0.25">
      <c r="A111" s="62">
        <f t="shared" si="3"/>
        <v>39618</v>
      </c>
      <c r="B111">
        <v>2876.8</v>
      </c>
      <c r="C111">
        <v>2282.1</v>
      </c>
      <c r="D111">
        <v>27312.7</v>
      </c>
      <c r="E111">
        <v>27530.2</v>
      </c>
      <c r="F111">
        <f t="shared" si="13"/>
        <v>30189.5</v>
      </c>
      <c r="G111">
        <f t="shared" si="13"/>
        <v>29812.3</v>
      </c>
      <c r="H111" s="37">
        <f t="shared" si="10"/>
        <v>1.2652495781942275E-2</v>
      </c>
      <c r="I111">
        <f t="shared" si="29"/>
        <v>-268.10000000000218</v>
      </c>
      <c r="J111">
        <v>4877.3999999999996</v>
      </c>
      <c r="K111" s="58">
        <f t="shared" si="30"/>
        <v>239.69999999999709</v>
      </c>
      <c r="L111">
        <f t="shared" si="31"/>
        <v>327.79999999999927</v>
      </c>
      <c r="M111">
        <f t="shared" si="31"/>
        <v>411.5</v>
      </c>
    </row>
    <row r="112" spans="1:15" x14ac:dyDescent="0.25">
      <c r="A112" s="62">
        <f t="shared" si="3"/>
        <v>39625</v>
      </c>
      <c r="B112">
        <v>2786.9</v>
      </c>
      <c r="C112">
        <v>2189.9</v>
      </c>
      <c r="D112">
        <v>27868.5</v>
      </c>
      <c r="E112">
        <v>27814.6</v>
      </c>
      <c r="F112">
        <f t="shared" si="13"/>
        <v>30655.4</v>
      </c>
      <c r="G112">
        <f t="shared" si="13"/>
        <v>30004.5</v>
      </c>
      <c r="H112" s="37">
        <f t="shared" si="10"/>
        <v>2.169341265476854E-2</v>
      </c>
      <c r="I112">
        <f t="shared" si="29"/>
        <v>465.90000000000146</v>
      </c>
      <c r="J112">
        <v>5053.8999999999996</v>
      </c>
      <c r="K112" s="58">
        <f t="shared" si="30"/>
        <v>192.20000000000073</v>
      </c>
      <c r="L112">
        <f t="shared" si="31"/>
        <v>555.79999999999927</v>
      </c>
      <c r="M112">
        <f t="shared" si="31"/>
        <v>284.39999999999782</v>
      </c>
    </row>
    <row r="113" spans="1:16" x14ac:dyDescent="0.25">
      <c r="A113" s="62">
        <f t="shared" si="3"/>
        <v>39632</v>
      </c>
      <c r="B113">
        <v>2550</v>
      </c>
      <c r="C113">
        <v>2147.4</v>
      </c>
      <c r="D113">
        <v>28171.8</v>
      </c>
      <c r="E113">
        <v>28002.1</v>
      </c>
      <c r="F113">
        <f t="shared" si="13"/>
        <v>30721.8</v>
      </c>
      <c r="G113">
        <f t="shared" si="13"/>
        <v>30149.5</v>
      </c>
      <c r="H113" s="37">
        <f t="shared" si="10"/>
        <v>1.8982072671188455E-2</v>
      </c>
      <c r="I113">
        <f t="shared" si="29"/>
        <v>66.399999999997817</v>
      </c>
      <c r="J113" s="71">
        <v>5276.4</v>
      </c>
      <c r="K113" s="58">
        <f t="shared" si="30"/>
        <v>145</v>
      </c>
      <c r="L113">
        <f t="shared" ref="L113:M115" si="32">+D113-D112</f>
        <v>303.29999999999927</v>
      </c>
      <c r="M113">
        <f t="shared" si="32"/>
        <v>187.5</v>
      </c>
    </row>
    <row r="114" spans="1:16" x14ac:dyDescent="0.25">
      <c r="A114" s="62">
        <f t="shared" si="3"/>
        <v>39639</v>
      </c>
      <c r="B114">
        <v>2360</v>
      </c>
      <c r="C114">
        <v>2005.1</v>
      </c>
      <c r="D114">
        <v>28425.3</v>
      </c>
      <c r="E114">
        <v>28325.3</v>
      </c>
      <c r="F114">
        <f t="shared" si="13"/>
        <v>30785.3</v>
      </c>
      <c r="G114">
        <f t="shared" si="13"/>
        <v>30330.399999999998</v>
      </c>
      <c r="H114" s="37">
        <f t="shared" si="10"/>
        <v>1.4998153667607372E-2</v>
      </c>
      <c r="I114">
        <f t="shared" si="29"/>
        <v>63.5</v>
      </c>
      <c r="J114" s="71">
        <v>5315.4</v>
      </c>
      <c r="K114" s="58">
        <f t="shared" si="30"/>
        <v>180.89999999999782</v>
      </c>
      <c r="L114">
        <f t="shared" si="32"/>
        <v>253.5</v>
      </c>
      <c r="M114">
        <f t="shared" si="32"/>
        <v>323.20000000000073</v>
      </c>
    </row>
    <row r="115" spans="1:16" x14ac:dyDescent="0.25">
      <c r="A115" s="62">
        <f t="shared" si="3"/>
        <v>39646</v>
      </c>
      <c r="B115">
        <v>2343.1</v>
      </c>
      <c r="C115">
        <v>2119.1</v>
      </c>
      <c r="D115">
        <v>28625.3</v>
      </c>
      <c r="E115">
        <v>28499.7</v>
      </c>
      <c r="F115">
        <f t="shared" si="13"/>
        <v>30968.399999999998</v>
      </c>
      <c r="G115">
        <f t="shared" si="13"/>
        <v>30618.799999999999</v>
      </c>
      <c r="H115" s="37">
        <f t="shared" si="10"/>
        <v>1.1417821730440147E-2</v>
      </c>
      <c r="I115">
        <f t="shared" si="29"/>
        <v>183.09999999999854</v>
      </c>
      <c r="J115" s="71">
        <v>5867.9</v>
      </c>
      <c r="K115" s="58">
        <f t="shared" si="30"/>
        <v>288.40000000000146</v>
      </c>
      <c r="L115">
        <f t="shared" si="32"/>
        <v>200</v>
      </c>
      <c r="M115">
        <f t="shared" si="32"/>
        <v>174.40000000000146</v>
      </c>
      <c r="P115">
        <f>+F92/F121</f>
        <v>0.7796287785947712</v>
      </c>
    </row>
    <row r="116" spans="1:16" x14ac:dyDescent="0.25">
      <c r="A116" s="62">
        <f t="shared" si="3"/>
        <v>39653</v>
      </c>
      <c r="B116">
        <v>2233.1</v>
      </c>
      <c r="C116">
        <v>2149</v>
      </c>
      <c r="D116">
        <v>29006.799999999999</v>
      </c>
      <c r="E116">
        <v>28654.9</v>
      </c>
      <c r="F116">
        <f t="shared" si="13"/>
        <v>31239.899999999998</v>
      </c>
      <c r="G116">
        <f t="shared" si="13"/>
        <v>30803.9</v>
      </c>
      <c r="H116" s="37">
        <f t="shared" si="10"/>
        <v>1.4154051921996702E-2</v>
      </c>
      <c r="I116">
        <f t="shared" si="29"/>
        <v>271.5</v>
      </c>
      <c r="J116" s="71">
        <v>6303.9</v>
      </c>
      <c r="K116" s="58">
        <f t="shared" si="30"/>
        <v>185.10000000000218</v>
      </c>
      <c r="L116">
        <f t="shared" ref="L116:M118" si="33">+D116-D115</f>
        <v>381.5</v>
      </c>
      <c r="M116">
        <f t="shared" si="33"/>
        <v>155.20000000000073</v>
      </c>
    </row>
    <row r="117" spans="1:16" x14ac:dyDescent="0.25">
      <c r="A117" s="62">
        <f t="shared" si="3"/>
        <v>39660</v>
      </c>
      <c r="B117">
        <v>2223.1</v>
      </c>
      <c r="C117">
        <v>1852.6</v>
      </c>
      <c r="D117">
        <v>29391.200000000001</v>
      </c>
      <c r="E117">
        <v>29104.6</v>
      </c>
      <c r="F117">
        <f t="shared" si="13"/>
        <v>31614.3</v>
      </c>
      <c r="G117">
        <f t="shared" si="13"/>
        <v>30957.199999999997</v>
      </c>
      <c r="H117" s="37">
        <f t="shared" si="10"/>
        <v>2.1226079878025272E-2</v>
      </c>
      <c r="I117">
        <f>+F117-F116</f>
        <v>374.40000000000146</v>
      </c>
      <c r="J117" s="71">
        <v>6549.1</v>
      </c>
      <c r="K117" s="58">
        <f>+G117-G116</f>
        <v>153.29999999999563</v>
      </c>
      <c r="L117">
        <f t="shared" si="33"/>
        <v>384.40000000000146</v>
      </c>
      <c r="M117">
        <f t="shared" si="33"/>
        <v>449.69999999999709</v>
      </c>
    </row>
    <row r="118" spans="1:16" x14ac:dyDescent="0.25">
      <c r="A118" s="62">
        <f t="shared" si="3"/>
        <v>39667</v>
      </c>
      <c r="B118">
        <v>1889</v>
      </c>
      <c r="C118">
        <v>1914.5</v>
      </c>
      <c r="D118">
        <v>29675.599999999999</v>
      </c>
      <c r="E118">
        <v>29278.799999999999</v>
      </c>
      <c r="F118">
        <f t="shared" si="13"/>
        <v>31564.6</v>
      </c>
      <c r="G118">
        <f t="shared" si="13"/>
        <v>31193.3</v>
      </c>
      <c r="H118" s="37">
        <f t="shared" si="10"/>
        <v>1.1903197160928691E-2</v>
      </c>
      <c r="I118">
        <f>+F118-F117</f>
        <v>-49.700000000000728</v>
      </c>
      <c r="J118">
        <v>6668.3</v>
      </c>
      <c r="K118" s="58">
        <f>+G118-G117</f>
        <v>236.10000000000218</v>
      </c>
      <c r="L118">
        <f t="shared" si="33"/>
        <v>284.39999999999782</v>
      </c>
      <c r="M118">
        <f t="shared" si="33"/>
        <v>174.20000000000073</v>
      </c>
    </row>
    <row r="119" spans="1:16" x14ac:dyDescent="0.25">
      <c r="A119" s="62">
        <f t="shared" si="3"/>
        <v>39674</v>
      </c>
      <c r="B119">
        <v>1642.2</v>
      </c>
      <c r="C119">
        <v>1649.7</v>
      </c>
      <c r="D119">
        <v>29841.3</v>
      </c>
      <c r="E119">
        <v>29841.3</v>
      </c>
      <c r="F119">
        <f t="shared" si="13"/>
        <v>31483.5</v>
      </c>
      <c r="G119">
        <f t="shared" si="13"/>
        <v>31491</v>
      </c>
      <c r="H119" s="37">
        <f t="shared" si="10"/>
        <v>-2.381632847480164E-4</v>
      </c>
      <c r="I119">
        <f>+F119-F118</f>
        <v>-81.099999999998545</v>
      </c>
      <c r="J119">
        <v>7025.8</v>
      </c>
      <c r="K119" s="58">
        <f>+G119-G118</f>
        <v>297.70000000000073</v>
      </c>
      <c r="L119">
        <f t="shared" ref="L119:M134" si="34">+D119-D118</f>
        <v>165.70000000000073</v>
      </c>
      <c r="M119">
        <f t="shared" si="34"/>
        <v>562.5</v>
      </c>
      <c r="N119">
        <f>+N171+1006</f>
        <v>12026.7</v>
      </c>
      <c r="O119">
        <f>+N119/J119-1</f>
        <v>0.71179082809075123</v>
      </c>
    </row>
    <row r="120" spans="1:16" x14ac:dyDescent="0.25">
      <c r="A120" s="62">
        <f t="shared" si="3"/>
        <v>39681</v>
      </c>
      <c r="B120">
        <v>1225.3</v>
      </c>
      <c r="C120">
        <v>1245.8</v>
      </c>
      <c r="D120">
        <v>30064.9</v>
      </c>
      <c r="E120">
        <v>29870.7</v>
      </c>
      <c r="F120">
        <f t="shared" si="13"/>
        <v>31290.2</v>
      </c>
      <c r="G120">
        <f t="shared" si="13"/>
        <v>31116.5</v>
      </c>
      <c r="H120" s="37">
        <f t="shared" si="10"/>
        <v>5.5822473607249901E-3</v>
      </c>
      <c r="I120">
        <f>+F120-F119</f>
        <v>-193.29999999999927</v>
      </c>
      <c r="J120" s="69">
        <v>7362.3</v>
      </c>
      <c r="K120" s="58">
        <f>+G120-G119</f>
        <v>-374.5</v>
      </c>
      <c r="L120">
        <f t="shared" si="34"/>
        <v>223.60000000000218</v>
      </c>
      <c r="M120">
        <f t="shared" si="34"/>
        <v>29.400000000001455</v>
      </c>
    </row>
    <row r="121" spans="1:16" s="88" customFormat="1" x14ac:dyDescent="0.25">
      <c r="A121" s="87">
        <f t="shared" si="3"/>
        <v>39688</v>
      </c>
      <c r="B121" s="88">
        <v>923.1</v>
      </c>
      <c r="C121" s="88">
        <v>990.1</v>
      </c>
      <c r="D121" s="88">
        <v>30411.3</v>
      </c>
      <c r="E121" s="88">
        <v>30261</v>
      </c>
      <c r="F121" s="88">
        <f t="shared" si="13"/>
        <v>31334.399999999998</v>
      </c>
      <c r="G121" s="88">
        <f t="shared" si="13"/>
        <v>31251.1</v>
      </c>
      <c r="H121" s="131">
        <f t="shared" si="10"/>
        <v>2.665506174182708E-3</v>
      </c>
      <c r="I121" s="88">
        <f>+F121-F120</f>
        <v>44.19999999999709</v>
      </c>
      <c r="J121" s="132">
        <v>7598.5</v>
      </c>
      <c r="K121" s="88">
        <f>+G121-G120</f>
        <v>134.59999999999854</v>
      </c>
      <c r="L121" s="88">
        <f t="shared" si="34"/>
        <v>346.39999999999782</v>
      </c>
      <c r="M121" s="88">
        <f t="shared" si="34"/>
        <v>390.29999999999927</v>
      </c>
    </row>
    <row r="122" spans="1:16" x14ac:dyDescent="0.25">
      <c r="A122" s="74">
        <f t="shared" si="3"/>
        <v>39695</v>
      </c>
      <c r="B122">
        <v>8913.2999999999993</v>
      </c>
      <c r="C122">
        <v>7996.5</v>
      </c>
      <c r="D122">
        <v>33.1</v>
      </c>
      <c r="E122">
        <v>110.5</v>
      </c>
      <c r="F122">
        <f t="shared" si="13"/>
        <v>8946.4</v>
      </c>
      <c r="G122">
        <f t="shared" si="13"/>
        <v>8107</v>
      </c>
      <c r="H122" s="37">
        <f t="shared" si="10"/>
        <v>0.10354015048723331</v>
      </c>
      <c r="K122" s="58">
        <f t="shared" ref="K122:K144" si="35">+G122-G121</f>
        <v>-23144.1</v>
      </c>
      <c r="L122">
        <f t="shared" si="34"/>
        <v>-30378.2</v>
      </c>
      <c r="M122">
        <f t="shared" si="34"/>
        <v>-30150.5</v>
      </c>
    </row>
    <row r="123" spans="1:16" x14ac:dyDescent="0.25">
      <c r="A123" s="62">
        <f t="shared" si="3"/>
        <v>39702</v>
      </c>
      <c r="B123">
        <v>9103.2000000000007</v>
      </c>
      <c r="C123">
        <v>8105.6</v>
      </c>
      <c r="D123">
        <v>254.8</v>
      </c>
      <c r="E123">
        <v>515</v>
      </c>
      <c r="F123">
        <f t="shared" si="13"/>
        <v>9358</v>
      </c>
      <c r="G123">
        <f t="shared" si="13"/>
        <v>8620.6</v>
      </c>
      <c r="H123" s="37">
        <f t="shared" si="10"/>
        <v>8.553928960861179E-2</v>
      </c>
      <c r="I123">
        <f t="shared" ref="I123:I143" si="36">+F123-F122</f>
        <v>411.60000000000036</v>
      </c>
      <c r="K123" s="58">
        <f t="shared" si="35"/>
        <v>513.60000000000036</v>
      </c>
      <c r="L123">
        <f t="shared" si="34"/>
        <v>221.70000000000002</v>
      </c>
      <c r="M123">
        <f t="shared" si="34"/>
        <v>404.5</v>
      </c>
    </row>
    <row r="124" spans="1:16" x14ac:dyDescent="0.25">
      <c r="A124" s="62">
        <f t="shared" si="3"/>
        <v>39709</v>
      </c>
      <c r="B124">
        <v>9651.1</v>
      </c>
      <c r="C124">
        <v>8366.4</v>
      </c>
      <c r="D124">
        <v>319.39999999999998</v>
      </c>
      <c r="E124">
        <v>999.9</v>
      </c>
      <c r="F124">
        <f t="shared" si="13"/>
        <v>9970.5</v>
      </c>
      <c r="G124">
        <f t="shared" si="13"/>
        <v>9366.2999999999993</v>
      </c>
      <c r="H124" s="37">
        <f t="shared" si="10"/>
        <v>6.4507863297139867E-2</v>
      </c>
      <c r="I124">
        <f t="shared" si="36"/>
        <v>612.5</v>
      </c>
      <c r="K124" s="58">
        <f t="shared" si="35"/>
        <v>745.69999999999891</v>
      </c>
      <c r="L124">
        <f t="shared" si="34"/>
        <v>64.599999999999966</v>
      </c>
      <c r="M124">
        <f t="shared" si="34"/>
        <v>484.9</v>
      </c>
    </row>
    <row r="125" spans="1:16" x14ac:dyDescent="0.25">
      <c r="A125" s="62">
        <f t="shared" si="3"/>
        <v>39716</v>
      </c>
      <c r="B125">
        <v>9960.2000000000007</v>
      </c>
      <c r="C125">
        <v>8752.9</v>
      </c>
      <c r="D125">
        <v>481.3</v>
      </c>
      <c r="E125">
        <v>1279.3</v>
      </c>
      <c r="F125">
        <f t="shared" si="13"/>
        <v>10441.5</v>
      </c>
      <c r="G125">
        <f t="shared" si="13"/>
        <v>10032.199999999999</v>
      </c>
      <c r="H125" s="37">
        <f t="shared" si="10"/>
        <v>4.079862841649895E-2</v>
      </c>
      <c r="I125">
        <f t="shared" si="36"/>
        <v>471</v>
      </c>
      <c r="K125" s="58">
        <f t="shared" si="35"/>
        <v>665.89999999999964</v>
      </c>
      <c r="L125">
        <f t="shared" si="34"/>
        <v>161.90000000000003</v>
      </c>
      <c r="M125">
        <f t="shared" si="34"/>
        <v>279.39999999999998</v>
      </c>
    </row>
    <row r="126" spans="1:16" x14ac:dyDescent="0.25">
      <c r="A126" s="62">
        <f t="shared" si="3"/>
        <v>39723</v>
      </c>
      <c r="B126">
        <v>10163.9</v>
      </c>
      <c r="C126">
        <v>8771.5</v>
      </c>
      <c r="D126">
        <v>880</v>
      </c>
      <c r="E126">
        <v>1810.9</v>
      </c>
      <c r="F126">
        <f t="shared" si="13"/>
        <v>11043.9</v>
      </c>
      <c r="G126">
        <f t="shared" si="13"/>
        <v>10582.4</v>
      </c>
      <c r="H126" s="37">
        <f t="shared" si="10"/>
        <v>4.3610145146658619E-2</v>
      </c>
      <c r="I126">
        <f t="shared" si="36"/>
        <v>602.39999999999964</v>
      </c>
      <c r="K126" s="58">
        <f t="shared" si="35"/>
        <v>550.20000000000073</v>
      </c>
      <c r="L126">
        <f t="shared" si="34"/>
        <v>398.7</v>
      </c>
      <c r="M126">
        <f t="shared" si="34"/>
        <v>531.60000000000014</v>
      </c>
    </row>
    <row r="127" spans="1:16" x14ac:dyDescent="0.25">
      <c r="A127" s="62">
        <f t="shared" si="3"/>
        <v>39730</v>
      </c>
      <c r="B127">
        <v>10784.4</v>
      </c>
      <c r="C127">
        <v>8536.1</v>
      </c>
      <c r="D127">
        <v>1287.5</v>
      </c>
      <c r="E127">
        <v>2781.6</v>
      </c>
      <c r="F127">
        <f t="shared" si="13"/>
        <v>12071.9</v>
      </c>
      <c r="G127">
        <f t="shared" si="13"/>
        <v>11317.7</v>
      </c>
      <c r="H127" s="37">
        <f t="shared" si="10"/>
        <v>6.663898141848601E-2</v>
      </c>
      <c r="I127">
        <f t="shared" si="36"/>
        <v>1028</v>
      </c>
      <c r="K127" s="58">
        <f t="shared" si="35"/>
        <v>735.30000000000109</v>
      </c>
      <c r="L127">
        <f t="shared" si="34"/>
        <v>407.5</v>
      </c>
      <c r="M127">
        <f t="shared" si="34"/>
        <v>970.69999999999982</v>
      </c>
    </row>
    <row r="128" spans="1:16" x14ac:dyDescent="0.25">
      <c r="A128" s="62">
        <f t="shared" si="3"/>
        <v>39737</v>
      </c>
      <c r="B128">
        <v>10488.6</v>
      </c>
      <c r="C128">
        <v>8132.9</v>
      </c>
      <c r="D128">
        <v>2367.3000000000002</v>
      </c>
      <c r="E128">
        <v>3648.1</v>
      </c>
      <c r="F128">
        <f t="shared" si="13"/>
        <v>12855.900000000001</v>
      </c>
      <c r="G128">
        <f t="shared" si="13"/>
        <v>11781</v>
      </c>
      <c r="H128" s="37">
        <f t="shared" si="10"/>
        <v>9.1240132416603226E-2</v>
      </c>
      <c r="I128">
        <f t="shared" si="36"/>
        <v>784.00000000000182</v>
      </c>
      <c r="K128" s="58">
        <f t="shared" si="35"/>
        <v>463.29999999999927</v>
      </c>
      <c r="L128">
        <f t="shared" si="34"/>
        <v>1079.8000000000002</v>
      </c>
      <c r="M128">
        <f t="shared" si="34"/>
        <v>866.5</v>
      </c>
    </row>
    <row r="129" spans="1:13" x14ac:dyDescent="0.25">
      <c r="A129" s="62">
        <f t="shared" si="3"/>
        <v>39744</v>
      </c>
      <c r="B129">
        <v>10596.9</v>
      </c>
      <c r="C129">
        <v>8069.3</v>
      </c>
      <c r="D129">
        <v>3651.1</v>
      </c>
      <c r="E129">
        <v>4452.3999999999996</v>
      </c>
      <c r="F129">
        <f t="shared" si="13"/>
        <v>14248</v>
      </c>
      <c r="G129">
        <f t="shared" si="13"/>
        <v>12521.7</v>
      </c>
      <c r="H129" s="37">
        <f t="shared" si="10"/>
        <v>0.13786466693819532</v>
      </c>
      <c r="I129">
        <f t="shared" si="36"/>
        <v>1392.0999999999985</v>
      </c>
      <c r="K129" s="58">
        <f t="shared" si="35"/>
        <v>740.70000000000073</v>
      </c>
      <c r="L129">
        <f t="shared" si="34"/>
        <v>1283.7999999999997</v>
      </c>
      <c r="M129">
        <f t="shared" si="34"/>
        <v>804.29999999999973</v>
      </c>
    </row>
    <row r="130" spans="1:13" x14ac:dyDescent="0.25">
      <c r="A130" s="62">
        <f t="shared" si="3"/>
        <v>39751</v>
      </c>
      <c r="B130">
        <v>10002.9</v>
      </c>
      <c r="C130">
        <v>7855.6</v>
      </c>
      <c r="D130">
        <v>5139.7</v>
      </c>
      <c r="E130">
        <v>5280.6</v>
      </c>
      <c r="F130">
        <f t="shared" si="13"/>
        <v>15142.599999999999</v>
      </c>
      <c r="G130">
        <f t="shared" si="13"/>
        <v>13136.2</v>
      </c>
      <c r="H130" s="37">
        <f t="shared" si="10"/>
        <v>0.1527382348015407</v>
      </c>
      <c r="I130">
        <f t="shared" si="36"/>
        <v>894.59999999999854</v>
      </c>
      <c r="K130" s="58">
        <f t="shared" si="35"/>
        <v>614.5</v>
      </c>
      <c r="L130">
        <f t="shared" si="34"/>
        <v>1488.6</v>
      </c>
      <c r="M130">
        <f t="shared" si="34"/>
        <v>828.20000000000073</v>
      </c>
    </row>
    <row r="131" spans="1:13" x14ac:dyDescent="0.25">
      <c r="A131" s="62">
        <f t="shared" si="3"/>
        <v>39758</v>
      </c>
      <c r="B131">
        <v>9439.2000000000007</v>
      </c>
      <c r="C131">
        <v>8440.1</v>
      </c>
      <c r="D131">
        <v>6781.7</v>
      </c>
      <c r="E131">
        <v>5992.4</v>
      </c>
      <c r="F131">
        <f t="shared" si="13"/>
        <v>16220.900000000001</v>
      </c>
      <c r="G131">
        <f t="shared" si="13"/>
        <v>14432.5</v>
      </c>
      <c r="H131" s="37">
        <f t="shared" si="10"/>
        <v>0.12391477567988929</v>
      </c>
      <c r="I131">
        <f t="shared" si="36"/>
        <v>1078.3000000000029</v>
      </c>
      <c r="K131" s="58">
        <f t="shared" si="35"/>
        <v>1296.2999999999993</v>
      </c>
      <c r="L131">
        <f t="shared" si="34"/>
        <v>1642</v>
      </c>
      <c r="M131">
        <f t="shared" si="34"/>
        <v>711.79999999999927</v>
      </c>
    </row>
    <row r="132" spans="1:13" x14ac:dyDescent="0.25">
      <c r="A132" s="62">
        <f t="shared" si="3"/>
        <v>39765</v>
      </c>
      <c r="B132">
        <v>9162.6</v>
      </c>
      <c r="C132">
        <v>9589.9</v>
      </c>
      <c r="D132">
        <v>7249.2</v>
      </c>
      <c r="E132">
        <v>6650.2</v>
      </c>
      <c r="F132">
        <f t="shared" si="13"/>
        <v>16411.8</v>
      </c>
      <c r="G132">
        <f t="shared" si="13"/>
        <v>16240.099999999999</v>
      </c>
      <c r="H132" s="37">
        <f t="shared" si="10"/>
        <v>1.0572594996336226E-2</v>
      </c>
      <c r="I132">
        <f t="shared" si="36"/>
        <v>190.89999999999782</v>
      </c>
      <c r="K132" s="58">
        <f t="shared" si="35"/>
        <v>1807.5999999999985</v>
      </c>
      <c r="L132">
        <f t="shared" si="34"/>
        <v>467.5</v>
      </c>
      <c r="M132">
        <f t="shared" si="34"/>
        <v>657.80000000000018</v>
      </c>
    </row>
    <row r="133" spans="1:13" x14ac:dyDescent="0.25">
      <c r="A133" s="62">
        <f t="shared" si="3"/>
        <v>39772</v>
      </c>
      <c r="B133">
        <v>8928.7999999999993</v>
      </c>
      <c r="C133">
        <v>9733</v>
      </c>
      <c r="D133">
        <v>8264.6</v>
      </c>
      <c r="E133">
        <v>7625.4</v>
      </c>
      <c r="F133">
        <f t="shared" si="13"/>
        <v>17193.400000000001</v>
      </c>
      <c r="G133">
        <f t="shared" si="13"/>
        <v>17358.400000000001</v>
      </c>
      <c r="H133" s="37">
        <f t="shared" si="10"/>
        <v>-9.5054843764402763E-3</v>
      </c>
      <c r="I133">
        <f t="shared" si="36"/>
        <v>781.60000000000218</v>
      </c>
      <c r="K133" s="58">
        <f t="shared" si="35"/>
        <v>1118.3000000000029</v>
      </c>
      <c r="L133">
        <f t="shared" si="34"/>
        <v>1015.4000000000005</v>
      </c>
      <c r="M133">
        <f t="shared" si="34"/>
        <v>975.19999999999982</v>
      </c>
    </row>
    <row r="134" spans="1:13" x14ac:dyDescent="0.25">
      <c r="A134" s="62">
        <f t="shared" si="3"/>
        <v>39779</v>
      </c>
      <c r="B134">
        <v>8026.2</v>
      </c>
      <c r="C134">
        <v>9797.1</v>
      </c>
      <c r="D134">
        <v>9526.9</v>
      </c>
      <c r="E134">
        <v>8364.7000000000007</v>
      </c>
      <c r="F134">
        <f t="shared" si="13"/>
        <v>17553.099999999999</v>
      </c>
      <c r="G134">
        <f t="shared" si="13"/>
        <v>18161.800000000003</v>
      </c>
      <c r="H134" s="37">
        <f t="shared" si="10"/>
        <v>-3.3515400455902178E-2</v>
      </c>
      <c r="I134">
        <f t="shared" si="36"/>
        <v>359.69999999999709</v>
      </c>
      <c r="K134" s="58">
        <f t="shared" si="35"/>
        <v>803.40000000000146</v>
      </c>
      <c r="L134">
        <f t="shared" si="34"/>
        <v>1262.2999999999993</v>
      </c>
      <c r="M134">
        <f t="shared" si="34"/>
        <v>739.30000000000109</v>
      </c>
    </row>
    <row r="135" spans="1:13" x14ac:dyDescent="0.25">
      <c r="A135" s="62">
        <f t="shared" si="3"/>
        <v>39786</v>
      </c>
      <c r="B135">
        <v>7888.7</v>
      </c>
      <c r="C135">
        <v>9868.7000000000007</v>
      </c>
      <c r="D135">
        <v>10474.299999999999</v>
      </c>
      <c r="E135">
        <v>9264.5</v>
      </c>
      <c r="F135">
        <f t="shared" si="13"/>
        <v>18363</v>
      </c>
      <c r="G135">
        <f t="shared" si="13"/>
        <v>19133.2</v>
      </c>
      <c r="H135" s="37">
        <f t="shared" si="10"/>
        <v>-4.0254635920807802E-2</v>
      </c>
      <c r="I135">
        <f t="shared" si="36"/>
        <v>809.90000000000146</v>
      </c>
      <c r="K135" s="58">
        <f t="shared" si="35"/>
        <v>971.39999999999782</v>
      </c>
      <c r="L135">
        <f t="shared" ref="L135:M144" si="37">+D135-D134</f>
        <v>947.39999999999964</v>
      </c>
      <c r="M135">
        <f t="shared" si="37"/>
        <v>899.79999999999927</v>
      </c>
    </row>
    <row r="136" spans="1:13" x14ac:dyDescent="0.25">
      <c r="A136" s="62">
        <f t="shared" si="3"/>
        <v>39793</v>
      </c>
      <c r="B136">
        <v>7627.6</v>
      </c>
      <c r="C136">
        <v>9638</v>
      </c>
      <c r="D136">
        <v>11629</v>
      </c>
      <c r="E136">
        <v>10367.6</v>
      </c>
      <c r="F136">
        <f t="shared" si="13"/>
        <v>19256.599999999999</v>
      </c>
      <c r="G136">
        <f t="shared" si="13"/>
        <v>20005.599999999999</v>
      </c>
      <c r="H136" s="37">
        <f t="shared" si="10"/>
        <v>-3.7439516935258155E-2</v>
      </c>
      <c r="I136">
        <f t="shared" si="36"/>
        <v>893.59999999999854</v>
      </c>
      <c r="K136" s="58">
        <f t="shared" si="35"/>
        <v>872.39999999999782</v>
      </c>
      <c r="L136">
        <f t="shared" si="37"/>
        <v>1154.7000000000007</v>
      </c>
      <c r="M136">
        <f t="shared" si="37"/>
        <v>1103.1000000000004</v>
      </c>
    </row>
    <row r="137" spans="1:13" x14ac:dyDescent="0.25">
      <c r="A137" s="62">
        <f t="shared" si="3"/>
        <v>39800</v>
      </c>
      <c r="B137">
        <v>7260.9</v>
      </c>
      <c r="C137">
        <v>9486.7999999999993</v>
      </c>
      <c r="D137">
        <v>12580.5</v>
      </c>
      <c r="E137">
        <v>11201.9</v>
      </c>
      <c r="F137">
        <f t="shared" si="13"/>
        <v>19841.400000000001</v>
      </c>
      <c r="G137">
        <f t="shared" si="13"/>
        <v>20688.699999999997</v>
      </c>
      <c r="H137" s="37">
        <f t="shared" si="10"/>
        <v>-4.0954724076427973E-2</v>
      </c>
      <c r="I137">
        <f t="shared" si="36"/>
        <v>584.80000000000291</v>
      </c>
      <c r="K137" s="58">
        <f t="shared" si="35"/>
        <v>683.09999999999854</v>
      </c>
      <c r="L137">
        <f t="shared" si="37"/>
        <v>951.5</v>
      </c>
      <c r="M137">
        <f t="shared" si="37"/>
        <v>834.29999999999927</v>
      </c>
    </row>
    <row r="138" spans="1:13" x14ac:dyDescent="0.25">
      <c r="A138" s="62">
        <f t="shared" si="3"/>
        <v>39807</v>
      </c>
      <c r="B138">
        <v>6850</v>
      </c>
      <c r="C138">
        <v>9040.6</v>
      </c>
      <c r="D138">
        <v>13501.3</v>
      </c>
      <c r="E138">
        <v>11788.6</v>
      </c>
      <c r="F138">
        <f t="shared" si="13"/>
        <v>20351.3</v>
      </c>
      <c r="G138">
        <f t="shared" si="13"/>
        <v>20829.2</v>
      </c>
      <c r="H138" s="37">
        <f t="shared" si="10"/>
        <v>-2.2943752040404886E-2</v>
      </c>
      <c r="I138">
        <f t="shared" si="36"/>
        <v>509.89999999999782</v>
      </c>
      <c r="K138" s="58">
        <f t="shared" si="35"/>
        <v>140.50000000000364</v>
      </c>
      <c r="L138">
        <f t="shared" si="37"/>
        <v>920.79999999999927</v>
      </c>
      <c r="M138">
        <f t="shared" si="37"/>
        <v>586.70000000000073</v>
      </c>
    </row>
    <row r="139" spans="1:13" x14ac:dyDescent="0.25">
      <c r="A139" s="62">
        <f t="shared" si="3"/>
        <v>39814</v>
      </c>
      <c r="B139">
        <v>6576.2</v>
      </c>
      <c r="C139">
        <v>8218.2999999999993</v>
      </c>
      <c r="D139">
        <v>14305.6</v>
      </c>
      <c r="E139">
        <v>12729.2</v>
      </c>
      <c r="F139">
        <f t="shared" si="13"/>
        <v>20881.8</v>
      </c>
      <c r="G139">
        <f t="shared" si="13"/>
        <v>20947.5</v>
      </c>
      <c r="H139" s="37">
        <f t="shared" si="10"/>
        <v>-3.1364124597207388E-3</v>
      </c>
      <c r="I139">
        <f t="shared" si="36"/>
        <v>530.5</v>
      </c>
      <c r="K139" s="58">
        <f t="shared" si="35"/>
        <v>118.29999999999927</v>
      </c>
      <c r="L139">
        <f t="shared" si="37"/>
        <v>804.30000000000109</v>
      </c>
      <c r="M139">
        <f t="shared" si="37"/>
        <v>940.60000000000036</v>
      </c>
    </row>
    <row r="140" spans="1:13" x14ac:dyDescent="0.25">
      <c r="A140" s="62">
        <f t="shared" si="3"/>
        <v>39821</v>
      </c>
      <c r="B140">
        <v>7210.7</v>
      </c>
      <c r="C140">
        <v>8428.4</v>
      </c>
      <c r="D140">
        <v>15032.7</v>
      </c>
      <c r="E140">
        <v>13484.3</v>
      </c>
      <c r="F140">
        <f t="shared" si="13"/>
        <v>22243.4</v>
      </c>
      <c r="G140">
        <f t="shared" si="13"/>
        <v>21912.699999999997</v>
      </c>
      <c r="H140" s="37">
        <f t="shared" si="10"/>
        <v>1.5091704810452633E-2</v>
      </c>
      <c r="I140">
        <f t="shared" si="36"/>
        <v>1361.6000000000022</v>
      </c>
      <c r="K140" s="58">
        <f t="shared" si="35"/>
        <v>965.19999999999709</v>
      </c>
      <c r="L140">
        <f t="shared" si="37"/>
        <v>727.10000000000036</v>
      </c>
      <c r="M140">
        <f t="shared" si="37"/>
        <v>755.09999999999854</v>
      </c>
    </row>
    <row r="141" spans="1:13" x14ac:dyDescent="0.25">
      <c r="A141" s="62">
        <f t="shared" si="3"/>
        <v>39828</v>
      </c>
      <c r="B141">
        <v>7518.1</v>
      </c>
      <c r="C141">
        <v>8085</v>
      </c>
      <c r="D141">
        <v>16050.1</v>
      </c>
      <c r="E141">
        <v>14490.8</v>
      </c>
      <c r="F141">
        <f t="shared" si="13"/>
        <v>23568.2</v>
      </c>
      <c r="G141">
        <f t="shared" si="13"/>
        <v>22575.8</v>
      </c>
      <c r="H141" s="37">
        <f t="shared" si="10"/>
        <v>4.3958575111402443E-2</v>
      </c>
      <c r="I141">
        <f t="shared" si="36"/>
        <v>1324.7999999999993</v>
      </c>
      <c r="K141" s="58">
        <f t="shared" si="35"/>
        <v>663.10000000000218</v>
      </c>
      <c r="L141">
        <f t="shared" si="37"/>
        <v>1017.3999999999996</v>
      </c>
      <c r="M141">
        <f t="shared" si="37"/>
        <v>1006.5</v>
      </c>
    </row>
    <row r="142" spans="1:13" x14ac:dyDescent="0.25">
      <c r="A142" s="62">
        <f t="shared" si="3"/>
        <v>39835</v>
      </c>
      <c r="B142">
        <v>7086.2</v>
      </c>
      <c r="C142">
        <v>7840.7</v>
      </c>
      <c r="D142">
        <v>17008.099999999999</v>
      </c>
      <c r="E142">
        <v>15223.1</v>
      </c>
      <c r="F142">
        <f t="shared" si="13"/>
        <v>24094.3</v>
      </c>
      <c r="G142">
        <f t="shared" si="13"/>
        <v>23063.8</v>
      </c>
      <c r="H142" s="37">
        <f t="shared" si="10"/>
        <v>4.4680408258829907E-2</v>
      </c>
      <c r="I142">
        <f t="shared" si="36"/>
        <v>526.09999999999854</v>
      </c>
      <c r="K142" s="58">
        <f t="shared" si="35"/>
        <v>488</v>
      </c>
      <c r="L142">
        <f t="shared" si="37"/>
        <v>957.99999999999818</v>
      </c>
      <c r="M142">
        <f t="shared" si="37"/>
        <v>732.30000000000109</v>
      </c>
    </row>
    <row r="143" spans="1:13" x14ac:dyDescent="0.25">
      <c r="A143" s="62">
        <f t="shared" si="3"/>
        <v>39842</v>
      </c>
      <c r="B143">
        <v>6359.2</v>
      </c>
      <c r="C143">
        <v>7985.7</v>
      </c>
      <c r="D143">
        <v>18071.7</v>
      </c>
      <c r="E143">
        <v>16115.1</v>
      </c>
      <c r="F143">
        <f t="shared" si="13"/>
        <v>24430.9</v>
      </c>
      <c r="G143">
        <f t="shared" si="13"/>
        <v>24100.799999999999</v>
      </c>
      <c r="H143" s="37">
        <f t="shared" si="10"/>
        <v>1.3696640775409996E-2</v>
      </c>
      <c r="I143">
        <f t="shared" si="36"/>
        <v>336.60000000000218</v>
      </c>
      <c r="K143" s="58">
        <f t="shared" si="35"/>
        <v>1037</v>
      </c>
      <c r="L143">
        <f t="shared" si="37"/>
        <v>1063.6000000000022</v>
      </c>
      <c r="M143">
        <f t="shared" si="37"/>
        <v>892</v>
      </c>
    </row>
    <row r="144" spans="1:13" x14ac:dyDescent="0.25">
      <c r="A144" s="62">
        <f t="shared" si="3"/>
        <v>39849</v>
      </c>
      <c r="B144">
        <v>6035.1</v>
      </c>
      <c r="C144">
        <v>7288.9</v>
      </c>
      <c r="D144">
        <v>19464.5</v>
      </c>
      <c r="E144">
        <v>17140.3</v>
      </c>
      <c r="F144">
        <f t="shared" si="13"/>
        <v>25499.599999999999</v>
      </c>
      <c r="G144">
        <f t="shared" si="13"/>
        <v>24429.199999999997</v>
      </c>
      <c r="H144" s="37">
        <f t="shared" si="10"/>
        <v>4.3816416419694582E-2</v>
      </c>
      <c r="I144">
        <f t="shared" ref="I144:I151" si="38">+F144-F143</f>
        <v>1068.6999999999971</v>
      </c>
      <c r="K144" s="58">
        <f t="shared" si="35"/>
        <v>328.39999999999782</v>
      </c>
      <c r="L144">
        <f t="shared" si="37"/>
        <v>1392.7999999999993</v>
      </c>
      <c r="M144">
        <f t="shared" si="37"/>
        <v>1025.1999999999989</v>
      </c>
    </row>
    <row r="145" spans="1:16" s="88" customFormat="1" x14ac:dyDescent="0.25">
      <c r="A145" s="87">
        <f t="shared" si="3"/>
        <v>39856</v>
      </c>
      <c r="B145" s="88">
        <v>5870</v>
      </c>
      <c r="C145" s="88">
        <v>6977.2</v>
      </c>
      <c r="D145" s="88">
        <v>20723.900000000001</v>
      </c>
      <c r="E145" s="88">
        <v>18082.7</v>
      </c>
      <c r="F145" s="88">
        <f t="shared" si="13"/>
        <v>26593.9</v>
      </c>
      <c r="G145" s="88">
        <f t="shared" si="13"/>
        <v>25059.9</v>
      </c>
      <c r="H145" s="131">
        <f t="shared" si="10"/>
        <v>6.1213332854480607E-2</v>
      </c>
      <c r="I145" s="88">
        <f t="shared" si="38"/>
        <v>1094.3000000000029</v>
      </c>
      <c r="K145" s="88">
        <f t="shared" ref="K145:K150" si="39">+G145-G144</f>
        <v>630.70000000000437</v>
      </c>
      <c r="L145" s="88">
        <f t="shared" ref="L145:M147" si="40">+D145-D144</f>
        <v>1259.4000000000015</v>
      </c>
      <c r="M145" s="88">
        <f t="shared" si="40"/>
        <v>942.40000000000146</v>
      </c>
    </row>
    <row r="146" spans="1:16" x14ac:dyDescent="0.25">
      <c r="A146" s="62">
        <f t="shared" si="3"/>
        <v>39863</v>
      </c>
      <c r="B146">
        <v>5301.4</v>
      </c>
      <c r="C146">
        <v>6893.4</v>
      </c>
      <c r="D146">
        <v>21631.8</v>
      </c>
      <c r="E146">
        <v>18750.099999999999</v>
      </c>
      <c r="F146">
        <f t="shared" si="13"/>
        <v>26933.199999999997</v>
      </c>
      <c r="G146">
        <f t="shared" si="13"/>
        <v>25643.5</v>
      </c>
      <c r="H146" s="37">
        <f t="shared" si="10"/>
        <v>5.0293446682394993E-2</v>
      </c>
      <c r="I146">
        <f t="shared" si="38"/>
        <v>339.29999999999563</v>
      </c>
      <c r="K146" s="58">
        <f t="shared" si="39"/>
        <v>583.59999999999854</v>
      </c>
      <c r="L146">
        <f t="shared" si="40"/>
        <v>907.89999999999782</v>
      </c>
      <c r="M146">
        <f t="shared" si="40"/>
        <v>667.39999999999782</v>
      </c>
    </row>
    <row r="147" spans="1:16" x14ac:dyDescent="0.25">
      <c r="A147" s="62">
        <f t="shared" si="3"/>
        <v>39870</v>
      </c>
      <c r="B147">
        <v>4705.3</v>
      </c>
      <c r="C147">
        <v>6137.7</v>
      </c>
      <c r="D147">
        <v>22383.7</v>
      </c>
      <c r="E147">
        <v>19708.5</v>
      </c>
      <c r="F147">
        <f t="shared" si="13"/>
        <v>27089</v>
      </c>
      <c r="G147">
        <f t="shared" si="13"/>
        <v>25846.2</v>
      </c>
      <c r="H147" s="37">
        <f t="shared" si="10"/>
        <v>4.8084437944456049E-2</v>
      </c>
      <c r="I147">
        <f t="shared" si="38"/>
        <v>155.80000000000291</v>
      </c>
      <c r="K147" s="58">
        <f t="shared" si="39"/>
        <v>202.70000000000073</v>
      </c>
      <c r="L147">
        <f t="shared" si="40"/>
        <v>751.90000000000146</v>
      </c>
      <c r="M147">
        <f t="shared" si="40"/>
        <v>958.40000000000146</v>
      </c>
    </row>
    <row r="148" spans="1:16" x14ac:dyDescent="0.25">
      <c r="A148" s="62">
        <f t="shared" si="3"/>
        <v>39877</v>
      </c>
      <c r="B148">
        <v>4655.8</v>
      </c>
      <c r="C148">
        <v>5508.7</v>
      </c>
      <c r="D148">
        <v>23270.2</v>
      </c>
      <c r="E148">
        <v>20595.099999999999</v>
      </c>
      <c r="F148">
        <f t="shared" si="13"/>
        <v>27926</v>
      </c>
      <c r="G148">
        <f t="shared" si="13"/>
        <v>26103.8</v>
      </c>
      <c r="H148" s="37">
        <f t="shared" si="10"/>
        <v>6.9805928638742243E-2</v>
      </c>
      <c r="I148">
        <f t="shared" si="38"/>
        <v>837</v>
      </c>
      <c r="K148" s="58">
        <f t="shared" si="39"/>
        <v>257.59999999999854</v>
      </c>
      <c r="L148">
        <f t="shared" ref="L148:M150" si="41">+D148-D147</f>
        <v>886.5</v>
      </c>
      <c r="M148">
        <f t="shared" si="41"/>
        <v>886.59999999999854</v>
      </c>
    </row>
    <row r="149" spans="1:16" x14ac:dyDescent="0.25">
      <c r="A149" s="62">
        <f t="shared" si="3"/>
        <v>39884</v>
      </c>
      <c r="B149">
        <v>4170.3</v>
      </c>
      <c r="C149">
        <v>5191.1000000000004</v>
      </c>
      <c r="D149">
        <v>23899.1</v>
      </c>
      <c r="E149">
        <v>21351.200000000001</v>
      </c>
      <c r="F149">
        <f t="shared" si="13"/>
        <v>28069.399999999998</v>
      </c>
      <c r="G149">
        <f t="shared" si="13"/>
        <v>26542.300000000003</v>
      </c>
      <c r="H149" s="37">
        <f t="shared" si="10"/>
        <v>5.7534576882937616E-2</v>
      </c>
      <c r="I149">
        <f t="shared" si="38"/>
        <v>143.39999999999782</v>
      </c>
      <c r="K149" s="58">
        <f t="shared" si="39"/>
        <v>438.50000000000364</v>
      </c>
      <c r="L149">
        <f t="shared" si="41"/>
        <v>628.89999999999782</v>
      </c>
      <c r="M149">
        <f t="shared" si="41"/>
        <v>756.10000000000218</v>
      </c>
    </row>
    <row r="150" spans="1:16" x14ac:dyDescent="0.25">
      <c r="A150" s="62">
        <f t="shared" si="3"/>
        <v>39891</v>
      </c>
      <c r="B150">
        <v>4104.8</v>
      </c>
      <c r="C150">
        <v>4924.1000000000004</v>
      </c>
      <c r="D150">
        <v>24393.4</v>
      </c>
      <c r="E150">
        <v>21987.7</v>
      </c>
      <c r="F150">
        <f t="shared" si="13"/>
        <v>28498.2</v>
      </c>
      <c r="G150">
        <f t="shared" si="13"/>
        <v>26911.800000000003</v>
      </c>
      <c r="H150" s="37">
        <f t="shared" si="10"/>
        <v>5.8948119412302269E-2</v>
      </c>
      <c r="I150">
        <f t="shared" si="38"/>
        <v>428.80000000000291</v>
      </c>
      <c r="K150" s="58">
        <f t="shared" si="39"/>
        <v>369.5</v>
      </c>
      <c r="L150">
        <f t="shared" si="41"/>
        <v>494.30000000000291</v>
      </c>
      <c r="M150">
        <f t="shared" si="41"/>
        <v>636.5</v>
      </c>
    </row>
    <row r="151" spans="1:16" x14ac:dyDescent="0.25">
      <c r="A151" s="62">
        <f t="shared" si="3"/>
        <v>39898</v>
      </c>
      <c r="B151">
        <v>3954.5</v>
      </c>
      <c r="C151">
        <v>4380.6000000000004</v>
      </c>
      <c r="D151">
        <v>25143.5</v>
      </c>
      <c r="E151">
        <v>22716</v>
      </c>
      <c r="F151">
        <f t="shared" si="13"/>
        <v>29098</v>
      </c>
      <c r="G151">
        <f t="shared" si="13"/>
        <v>27096.6</v>
      </c>
      <c r="H151" s="37">
        <f t="shared" si="10"/>
        <v>7.3861665301181656E-2</v>
      </c>
      <c r="I151">
        <f t="shared" si="38"/>
        <v>599.79999999999927</v>
      </c>
      <c r="K151" s="58">
        <f t="shared" ref="K151:K172" si="42">+G151-G150</f>
        <v>184.79999999999563</v>
      </c>
      <c r="L151">
        <f t="shared" ref="L151:L172" si="43">+D151-D150</f>
        <v>750.09999999999854</v>
      </c>
      <c r="M151">
        <f t="shared" ref="M151:M172" si="44">+E151-E150</f>
        <v>728.29999999999927</v>
      </c>
    </row>
    <row r="152" spans="1:16" x14ac:dyDescent="0.25">
      <c r="A152" s="62">
        <f t="shared" si="3"/>
        <v>39905</v>
      </c>
      <c r="B152">
        <v>3801.7</v>
      </c>
      <c r="C152">
        <v>4538.1000000000004</v>
      </c>
      <c r="D152">
        <v>25727.8</v>
      </c>
      <c r="E152">
        <v>23142.3</v>
      </c>
      <c r="F152">
        <f t="shared" si="13"/>
        <v>29529.5</v>
      </c>
      <c r="G152">
        <f t="shared" si="13"/>
        <v>27680.400000000001</v>
      </c>
      <c r="H152" s="37">
        <f t="shared" si="10"/>
        <v>6.6801780321093629E-2</v>
      </c>
      <c r="I152">
        <f t="shared" ref="I152:I170" si="45">+F152-F151</f>
        <v>431.5</v>
      </c>
      <c r="K152" s="58">
        <f t="shared" si="42"/>
        <v>583.80000000000291</v>
      </c>
      <c r="L152">
        <f t="shared" si="43"/>
        <v>584.29999999999927</v>
      </c>
      <c r="M152">
        <f t="shared" si="44"/>
        <v>426.29999999999927</v>
      </c>
    </row>
    <row r="153" spans="1:16" x14ac:dyDescent="0.25">
      <c r="A153" s="62">
        <f t="shared" si="3"/>
        <v>39912</v>
      </c>
      <c r="B153">
        <v>4072.8</v>
      </c>
      <c r="C153">
        <v>4606.8999999999996</v>
      </c>
      <c r="D153">
        <v>26265</v>
      </c>
      <c r="E153">
        <v>23550.400000000001</v>
      </c>
      <c r="F153">
        <f t="shared" si="13"/>
        <v>30337.8</v>
      </c>
      <c r="G153">
        <f t="shared" si="13"/>
        <v>28157.300000000003</v>
      </c>
      <c r="H153" s="37">
        <f t="shared" si="10"/>
        <v>7.7439953404623285E-2</v>
      </c>
      <c r="I153">
        <f t="shared" si="45"/>
        <v>808.29999999999927</v>
      </c>
      <c r="K153" s="58">
        <f t="shared" si="42"/>
        <v>476.90000000000146</v>
      </c>
      <c r="L153">
        <f t="shared" si="43"/>
        <v>537.20000000000073</v>
      </c>
      <c r="M153">
        <f t="shared" si="44"/>
        <v>408.10000000000218</v>
      </c>
    </row>
    <row r="154" spans="1:16" x14ac:dyDescent="0.25">
      <c r="A154" s="62">
        <f t="shared" si="3"/>
        <v>39919</v>
      </c>
      <c r="B154">
        <v>4029.1</v>
      </c>
      <c r="C154">
        <v>4444.2</v>
      </c>
      <c r="D154">
        <v>26925.8</v>
      </c>
      <c r="E154">
        <v>24089.8</v>
      </c>
      <c r="F154">
        <f t="shared" si="13"/>
        <v>30954.899999999998</v>
      </c>
      <c r="G154">
        <f t="shared" si="13"/>
        <v>28534</v>
      </c>
      <c r="H154" s="37">
        <f t="shared" si="10"/>
        <v>8.4842643863461076E-2</v>
      </c>
      <c r="I154">
        <f t="shared" si="45"/>
        <v>617.09999999999854</v>
      </c>
      <c r="K154" s="58">
        <f t="shared" si="42"/>
        <v>376.69999999999709</v>
      </c>
      <c r="L154">
        <f t="shared" si="43"/>
        <v>660.79999999999927</v>
      </c>
      <c r="M154">
        <f t="shared" si="44"/>
        <v>539.39999999999782</v>
      </c>
    </row>
    <row r="155" spans="1:16" x14ac:dyDescent="0.25">
      <c r="A155" s="62">
        <f t="shared" si="3"/>
        <v>39926</v>
      </c>
      <c r="B155">
        <v>4583.3999999999996</v>
      </c>
      <c r="C155">
        <v>4210.2</v>
      </c>
      <c r="D155">
        <v>27206.2</v>
      </c>
      <c r="E155">
        <v>24634.7</v>
      </c>
      <c r="F155">
        <f t="shared" si="13"/>
        <v>31789.599999999999</v>
      </c>
      <c r="G155">
        <f t="shared" si="13"/>
        <v>28844.9</v>
      </c>
      <c r="H155" s="37">
        <f t="shared" si="10"/>
        <v>0.10208737073104768</v>
      </c>
      <c r="I155">
        <f t="shared" si="45"/>
        <v>834.70000000000073</v>
      </c>
      <c r="K155" s="58">
        <f t="shared" si="42"/>
        <v>310.90000000000146</v>
      </c>
      <c r="L155">
        <f t="shared" si="43"/>
        <v>280.40000000000146</v>
      </c>
      <c r="M155">
        <f t="shared" si="44"/>
        <v>544.90000000000146</v>
      </c>
      <c r="P155">
        <f>+F145/F173</f>
        <v>0.7369344255026713</v>
      </c>
    </row>
    <row r="156" spans="1:16" x14ac:dyDescent="0.25">
      <c r="A156" s="62">
        <f t="shared" si="3"/>
        <v>39933</v>
      </c>
      <c r="B156">
        <v>4851.3</v>
      </c>
      <c r="C156">
        <v>3889.3</v>
      </c>
      <c r="D156">
        <v>27592.7</v>
      </c>
      <c r="E156">
        <v>24996.6</v>
      </c>
      <c r="F156">
        <f t="shared" si="13"/>
        <v>32444</v>
      </c>
      <c r="G156">
        <f t="shared" si="13"/>
        <v>28885.899999999998</v>
      </c>
      <c r="H156" s="37">
        <f t="shared" si="10"/>
        <v>0.12317774415891503</v>
      </c>
      <c r="I156">
        <f t="shared" si="45"/>
        <v>654.40000000000146</v>
      </c>
      <c r="K156" s="58">
        <f t="shared" si="42"/>
        <v>40.999999999996362</v>
      </c>
      <c r="L156">
        <f t="shared" si="43"/>
        <v>386.5</v>
      </c>
      <c r="M156">
        <f t="shared" si="44"/>
        <v>361.89999999999782</v>
      </c>
      <c r="N156">
        <v>2520.6999999999998</v>
      </c>
    </row>
    <row r="157" spans="1:16" x14ac:dyDescent="0.25">
      <c r="A157" s="62">
        <f t="shared" si="3"/>
        <v>39940</v>
      </c>
      <c r="B157">
        <v>4810.8999999999996</v>
      </c>
      <c r="C157">
        <v>3603</v>
      </c>
      <c r="D157">
        <v>28034.9</v>
      </c>
      <c r="E157">
        <v>25484.3</v>
      </c>
      <c r="F157">
        <f t="shared" si="13"/>
        <v>32845.800000000003</v>
      </c>
      <c r="G157">
        <f t="shared" si="13"/>
        <v>29087.3</v>
      </c>
      <c r="H157" s="37">
        <f t="shared" si="10"/>
        <v>0.12921446816995741</v>
      </c>
      <c r="I157">
        <f t="shared" si="45"/>
        <v>401.80000000000291</v>
      </c>
      <c r="K157" s="58">
        <f t="shared" si="42"/>
        <v>201.40000000000146</v>
      </c>
      <c r="L157">
        <f t="shared" si="43"/>
        <v>442.20000000000073</v>
      </c>
      <c r="M157">
        <f t="shared" si="44"/>
        <v>487.70000000000073</v>
      </c>
      <c r="N157" s="69">
        <v>2873.7</v>
      </c>
    </row>
    <row r="158" spans="1:16" x14ac:dyDescent="0.25">
      <c r="A158" s="62">
        <f t="shared" si="3"/>
        <v>39947</v>
      </c>
      <c r="B158">
        <v>5098.1000000000004</v>
      </c>
      <c r="C158">
        <v>3714.2</v>
      </c>
      <c r="D158">
        <v>28424.799999999999</v>
      </c>
      <c r="E158">
        <v>25755.9</v>
      </c>
      <c r="F158">
        <f t="shared" si="13"/>
        <v>33522.9</v>
      </c>
      <c r="G158">
        <f t="shared" si="13"/>
        <v>29470.100000000002</v>
      </c>
      <c r="H158" s="37">
        <f t="shared" si="10"/>
        <v>0.13752243799647768</v>
      </c>
      <c r="I158">
        <f t="shared" si="45"/>
        <v>677.09999999999854</v>
      </c>
      <c r="K158" s="58">
        <f t="shared" si="42"/>
        <v>382.80000000000291</v>
      </c>
      <c r="L158">
        <f t="shared" si="43"/>
        <v>389.89999999999782</v>
      </c>
      <c r="M158">
        <f t="shared" si="44"/>
        <v>271.60000000000218</v>
      </c>
      <c r="N158" s="69">
        <v>3540.6</v>
      </c>
    </row>
    <row r="159" spans="1:16" x14ac:dyDescent="0.25">
      <c r="A159" s="62">
        <f t="shared" si="3"/>
        <v>39954</v>
      </c>
      <c r="B159">
        <v>4779.3999999999996</v>
      </c>
      <c r="C159">
        <v>3574.6</v>
      </c>
      <c r="D159">
        <v>28980.799999999999</v>
      </c>
      <c r="E159">
        <v>26141.200000000001</v>
      </c>
      <c r="F159">
        <f t="shared" si="13"/>
        <v>33760.199999999997</v>
      </c>
      <c r="G159">
        <f t="shared" si="13"/>
        <v>29715.8</v>
      </c>
      <c r="H159" s="37">
        <f t="shared" si="10"/>
        <v>0.13610267938268517</v>
      </c>
      <c r="I159">
        <f t="shared" si="45"/>
        <v>237.29999999999563</v>
      </c>
      <c r="K159" s="58">
        <f t="shared" si="42"/>
        <v>245.69999999999709</v>
      </c>
      <c r="L159">
        <f t="shared" si="43"/>
        <v>556</v>
      </c>
      <c r="M159">
        <f t="shared" si="44"/>
        <v>385.29999999999927</v>
      </c>
      <c r="N159" s="69">
        <v>3767.6</v>
      </c>
    </row>
    <row r="160" spans="1:16" x14ac:dyDescent="0.25">
      <c r="A160" s="62">
        <f t="shared" si="3"/>
        <v>39961</v>
      </c>
      <c r="B160">
        <v>4442.8999999999996</v>
      </c>
      <c r="C160">
        <v>3590.8</v>
      </c>
      <c r="D160">
        <v>29293.4</v>
      </c>
      <c r="E160">
        <v>26423.599999999999</v>
      </c>
      <c r="F160">
        <f t="shared" si="13"/>
        <v>33736.300000000003</v>
      </c>
      <c r="G160">
        <f t="shared" si="13"/>
        <v>30014.399999999998</v>
      </c>
      <c r="H160" s="37">
        <f t="shared" si="10"/>
        <v>0.12400381150381179</v>
      </c>
      <c r="I160">
        <f t="shared" si="45"/>
        <v>-23.899999999994179</v>
      </c>
      <c r="K160" s="58">
        <f t="shared" si="42"/>
        <v>298.59999999999854</v>
      </c>
      <c r="L160">
        <f t="shared" si="43"/>
        <v>312.60000000000218</v>
      </c>
      <c r="M160">
        <f t="shared" si="44"/>
        <v>282.39999999999782</v>
      </c>
      <c r="N160" s="69">
        <v>3828.2</v>
      </c>
    </row>
    <row r="161" spans="1:14" x14ac:dyDescent="0.25">
      <c r="A161" s="62">
        <f t="shared" si="3"/>
        <v>39968</v>
      </c>
      <c r="B161">
        <v>4080.8</v>
      </c>
      <c r="C161">
        <v>3657.7</v>
      </c>
      <c r="D161">
        <v>29594.5</v>
      </c>
      <c r="E161">
        <v>26628.7</v>
      </c>
      <c r="F161">
        <f t="shared" si="13"/>
        <v>33675.300000000003</v>
      </c>
      <c r="G161">
        <f t="shared" si="13"/>
        <v>30286.400000000001</v>
      </c>
      <c r="H161" s="37">
        <f t="shared" si="10"/>
        <v>0.1118951080352899</v>
      </c>
      <c r="I161">
        <f t="shared" si="45"/>
        <v>-61</v>
      </c>
      <c r="K161" s="58">
        <f t="shared" si="42"/>
        <v>272.00000000000364</v>
      </c>
      <c r="L161">
        <f t="shared" si="43"/>
        <v>301.09999999999854</v>
      </c>
      <c r="M161">
        <f t="shared" si="44"/>
        <v>205.10000000000218</v>
      </c>
      <c r="N161" s="69">
        <v>4108.3</v>
      </c>
    </row>
    <row r="162" spans="1:14" x14ac:dyDescent="0.25">
      <c r="A162" s="62">
        <f t="shared" si="3"/>
        <v>39975</v>
      </c>
      <c r="B162">
        <v>3877.1</v>
      </c>
      <c r="C162">
        <v>3472.7</v>
      </c>
      <c r="D162">
        <v>29943.8</v>
      </c>
      <c r="E162">
        <v>26984.9</v>
      </c>
      <c r="F162">
        <f t="shared" si="13"/>
        <v>33820.9</v>
      </c>
      <c r="G162">
        <f t="shared" si="13"/>
        <v>30457.600000000002</v>
      </c>
      <c r="H162" s="37">
        <f t="shared" si="10"/>
        <v>0.11042564089094342</v>
      </c>
      <c r="I162">
        <f t="shared" si="45"/>
        <v>145.59999999999854</v>
      </c>
      <c r="K162" s="58">
        <f t="shared" si="42"/>
        <v>171.20000000000073</v>
      </c>
      <c r="L162">
        <f t="shared" si="43"/>
        <v>349.29999999999927</v>
      </c>
      <c r="M162">
        <f t="shared" si="44"/>
        <v>356.20000000000073</v>
      </c>
      <c r="N162" s="69">
        <v>4213.3999999999996</v>
      </c>
    </row>
    <row r="163" spans="1:14" x14ac:dyDescent="0.25">
      <c r="A163" s="62">
        <f t="shared" si="3"/>
        <v>39982</v>
      </c>
      <c r="B163">
        <v>3526.9</v>
      </c>
      <c r="C163">
        <v>2876.8</v>
      </c>
      <c r="D163">
        <v>30322.1</v>
      </c>
      <c r="E163">
        <v>27312.7</v>
      </c>
      <c r="F163">
        <f t="shared" si="13"/>
        <v>33849</v>
      </c>
      <c r="G163">
        <f t="shared" si="13"/>
        <v>30189.5</v>
      </c>
      <c r="H163" s="37">
        <f t="shared" si="10"/>
        <v>0.12121764189536099</v>
      </c>
      <c r="I163">
        <f t="shared" si="45"/>
        <v>28.099999999998545</v>
      </c>
      <c r="K163" s="58">
        <f t="shared" si="42"/>
        <v>-268.10000000000218</v>
      </c>
      <c r="L163">
        <f t="shared" si="43"/>
        <v>378.29999999999927</v>
      </c>
      <c r="M163">
        <f t="shared" si="44"/>
        <v>327.79999999999927</v>
      </c>
      <c r="N163" s="69">
        <v>4428.7</v>
      </c>
    </row>
    <row r="164" spans="1:14" x14ac:dyDescent="0.25">
      <c r="A164" s="62">
        <f t="shared" si="3"/>
        <v>39989</v>
      </c>
      <c r="B164">
        <v>3333.2</v>
      </c>
      <c r="C164">
        <v>2786.9</v>
      </c>
      <c r="D164">
        <v>30709.200000000001</v>
      </c>
      <c r="E164">
        <v>27868.5</v>
      </c>
      <c r="F164">
        <f t="shared" si="13"/>
        <v>34042.400000000001</v>
      </c>
      <c r="G164">
        <f t="shared" si="13"/>
        <v>30655.4</v>
      </c>
      <c r="H164" s="37">
        <f t="shared" si="10"/>
        <v>0.11048624385915695</v>
      </c>
      <c r="I164">
        <f t="shared" si="45"/>
        <v>193.40000000000146</v>
      </c>
      <c r="K164" s="58">
        <f t="shared" si="42"/>
        <v>465.90000000000146</v>
      </c>
      <c r="L164">
        <f t="shared" si="43"/>
        <v>387.10000000000218</v>
      </c>
      <c r="M164">
        <f t="shared" si="44"/>
        <v>555.79999999999927</v>
      </c>
      <c r="N164" s="69">
        <v>4678.8</v>
      </c>
    </row>
    <row r="165" spans="1:14" x14ac:dyDescent="0.25">
      <c r="A165" s="62">
        <f t="shared" si="3"/>
        <v>39996</v>
      </c>
      <c r="B165">
        <v>3202.3</v>
      </c>
      <c r="C165">
        <v>2550</v>
      </c>
      <c r="D165">
        <v>31127.1</v>
      </c>
      <c r="E165">
        <v>28171.8</v>
      </c>
      <c r="F165">
        <f t="shared" si="13"/>
        <v>34329.4</v>
      </c>
      <c r="G165">
        <f t="shared" si="13"/>
        <v>30721.8</v>
      </c>
      <c r="H165" s="37">
        <f t="shared" si="10"/>
        <v>0.11742801528556268</v>
      </c>
      <c r="I165">
        <f t="shared" si="45"/>
        <v>287</v>
      </c>
      <c r="K165" s="58">
        <f t="shared" si="42"/>
        <v>66.399999999997817</v>
      </c>
      <c r="L165">
        <f t="shared" si="43"/>
        <v>417.89999999999782</v>
      </c>
      <c r="M165">
        <f t="shared" si="44"/>
        <v>303.29999999999927</v>
      </c>
      <c r="N165" s="69">
        <v>5620.4</v>
      </c>
    </row>
    <row r="166" spans="1:14" x14ac:dyDescent="0.25">
      <c r="A166" s="62">
        <f t="shared" si="3"/>
        <v>40003</v>
      </c>
      <c r="B166">
        <v>2947</v>
      </c>
      <c r="C166">
        <v>2360</v>
      </c>
      <c r="D166">
        <v>31516.7</v>
      </c>
      <c r="E166">
        <v>28425.3</v>
      </c>
      <c r="F166">
        <f t="shared" si="13"/>
        <v>34463.699999999997</v>
      </c>
      <c r="G166">
        <f t="shared" si="13"/>
        <v>30785.3</v>
      </c>
      <c r="H166" s="37">
        <f t="shared" si="10"/>
        <v>0.11948559864610697</v>
      </c>
      <c r="I166">
        <f t="shared" si="45"/>
        <v>134.29999999999563</v>
      </c>
      <c r="K166" s="58">
        <f t="shared" si="42"/>
        <v>63.5</v>
      </c>
      <c r="L166">
        <f t="shared" si="43"/>
        <v>389.60000000000218</v>
      </c>
      <c r="M166">
        <f t="shared" si="44"/>
        <v>253.5</v>
      </c>
      <c r="N166" s="69">
        <v>6170.9</v>
      </c>
    </row>
    <row r="167" spans="1:14" x14ac:dyDescent="0.25">
      <c r="A167" s="62">
        <f t="shared" si="3"/>
        <v>40010</v>
      </c>
      <c r="B167">
        <v>2983.9</v>
      </c>
      <c r="C167">
        <v>2343.1</v>
      </c>
      <c r="D167">
        <v>31799.7</v>
      </c>
      <c r="E167">
        <v>28625.3</v>
      </c>
      <c r="F167">
        <f t="shared" si="13"/>
        <v>34783.599999999999</v>
      </c>
      <c r="G167">
        <f t="shared" si="13"/>
        <v>30968.399999999998</v>
      </c>
      <c r="H167" s="37">
        <f t="shared" si="10"/>
        <v>0.12319654874000596</v>
      </c>
      <c r="I167">
        <f t="shared" si="45"/>
        <v>319.90000000000146</v>
      </c>
      <c r="K167" s="58">
        <f t="shared" si="42"/>
        <v>183.09999999999854</v>
      </c>
      <c r="L167">
        <f t="shared" si="43"/>
        <v>283</v>
      </c>
      <c r="M167">
        <f t="shared" si="44"/>
        <v>200</v>
      </c>
      <c r="N167" s="69">
        <v>6552.9</v>
      </c>
    </row>
    <row r="168" spans="1:14" x14ac:dyDescent="0.25">
      <c r="A168" s="62">
        <f t="shared" si="3"/>
        <v>40017</v>
      </c>
      <c r="B168">
        <v>2886.9</v>
      </c>
      <c r="C168">
        <v>2233.1</v>
      </c>
      <c r="D168">
        <v>32142.3</v>
      </c>
      <c r="E168">
        <v>29006.799999999999</v>
      </c>
      <c r="F168">
        <f t="shared" si="13"/>
        <v>35029.199999999997</v>
      </c>
      <c r="G168">
        <f t="shared" si="13"/>
        <v>31239.899999999998</v>
      </c>
      <c r="H168" s="37">
        <f t="shared" si="10"/>
        <v>0.12129680312677049</v>
      </c>
      <c r="I168">
        <f t="shared" si="45"/>
        <v>245.59999999999854</v>
      </c>
      <c r="K168" s="58">
        <f t="shared" si="42"/>
        <v>271.5</v>
      </c>
      <c r="L168">
        <f t="shared" si="43"/>
        <v>342.59999999999854</v>
      </c>
      <c r="M168">
        <f t="shared" si="44"/>
        <v>381.5</v>
      </c>
      <c r="N168" s="69">
        <v>7261.9</v>
      </c>
    </row>
    <row r="169" spans="1:14" x14ac:dyDescent="0.25">
      <c r="A169" s="62">
        <f t="shared" si="3"/>
        <v>40024</v>
      </c>
      <c r="B169">
        <v>3163.5</v>
      </c>
      <c r="C169">
        <v>2223.1</v>
      </c>
      <c r="D169">
        <v>32360.2</v>
      </c>
      <c r="E169">
        <v>29391.200000000001</v>
      </c>
      <c r="F169">
        <f t="shared" si="13"/>
        <v>35523.699999999997</v>
      </c>
      <c r="G169">
        <f t="shared" si="13"/>
        <v>31614.3</v>
      </c>
      <c r="H169" s="37">
        <f t="shared" si="10"/>
        <v>0.12365923015850422</v>
      </c>
      <c r="I169">
        <f t="shared" si="45"/>
        <v>494.5</v>
      </c>
      <c r="K169" s="58">
        <f t="shared" si="42"/>
        <v>374.40000000000146</v>
      </c>
      <c r="L169">
        <f t="shared" si="43"/>
        <v>217.90000000000146</v>
      </c>
      <c r="M169">
        <f t="shared" si="44"/>
        <v>384.40000000000146</v>
      </c>
      <c r="N169" s="69">
        <v>9675.2000000000007</v>
      </c>
    </row>
    <row r="170" spans="1:14" x14ac:dyDescent="0.25">
      <c r="A170" s="62">
        <f t="shared" si="3"/>
        <v>40031</v>
      </c>
      <c r="B170">
        <v>3153.3</v>
      </c>
      <c r="C170">
        <v>1889</v>
      </c>
      <c r="D170">
        <v>32629.9</v>
      </c>
      <c r="E170">
        <v>29675.599999999999</v>
      </c>
      <c r="F170">
        <f t="shared" si="13"/>
        <v>35783.200000000004</v>
      </c>
      <c r="G170">
        <f t="shared" si="13"/>
        <v>31564.6</v>
      </c>
      <c r="H170" s="37">
        <f t="shared" si="10"/>
        <v>0.13364972152347909</v>
      </c>
      <c r="I170">
        <f t="shared" si="45"/>
        <v>259.50000000000728</v>
      </c>
      <c r="K170" s="58">
        <f t="shared" si="42"/>
        <v>-49.700000000000728</v>
      </c>
      <c r="L170">
        <f t="shared" si="43"/>
        <v>269.70000000000073</v>
      </c>
      <c r="M170">
        <f t="shared" si="44"/>
        <v>284.39999999999782</v>
      </c>
      <c r="N170" s="69">
        <v>10437.6</v>
      </c>
    </row>
    <row r="171" spans="1:14" x14ac:dyDescent="0.25">
      <c r="A171" s="62">
        <f t="shared" si="3"/>
        <v>40038</v>
      </c>
      <c r="B171">
        <v>3272.6</v>
      </c>
      <c r="C171">
        <v>1642.2</v>
      </c>
      <c r="D171" s="84">
        <v>32785.5</v>
      </c>
      <c r="E171" s="84">
        <v>29841.3</v>
      </c>
      <c r="F171">
        <f>+B171+D171</f>
        <v>36058.1</v>
      </c>
      <c r="G171">
        <f>+C171+E171</f>
        <v>31483.5</v>
      </c>
      <c r="H171" s="37">
        <f>+F171/G171-1</f>
        <v>0.14530150713865986</v>
      </c>
      <c r="I171">
        <f t="shared" ref="I171:I266" si="46">+F171-F170</f>
        <v>274.89999999999418</v>
      </c>
      <c r="K171" s="58">
        <f t="shared" si="42"/>
        <v>-81.099999999998545</v>
      </c>
      <c r="L171">
        <f t="shared" si="43"/>
        <v>155.59999999999854</v>
      </c>
      <c r="M171">
        <f t="shared" si="44"/>
        <v>165.70000000000073</v>
      </c>
      <c r="N171" s="69">
        <v>11020.7</v>
      </c>
    </row>
    <row r="172" spans="1:14" x14ac:dyDescent="0.25">
      <c r="A172" s="62">
        <f t="shared" si="3"/>
        <v>40045</v>
      </c>
      <c r="B172">
        <v>3049</v>
      </c>
      <c r="C172">
        <v>1225.3</v>
      </c>
      <c r="D172" s="84">
        <v>33097</v>
      </c>
      <c r="E172" s="84">
        <v>29842.3</v>
      </c>
      <c r="F172">
        <f t="shared" ref="F172:F266" si="47">+B172+D172</f>
        <v>36146</v>
      </c>
      <c r="G172">
        <f t="shared" ref="G172:G266" si="48">+C172+E172</f>
        <v>31067.599999999999</v>
      </c>
      <c r="H172" s="37">
        <f t="shared" ref="H172:H266" si="49">+F172/G172-1</f>
        <v>0.16346290025621557</v>
      </c>
      <c r="I172">
        <f t="shared" si="46"/>
        <v>87.900000000001455</v>
      </c>
      <c r="K172" s="58">
        <f t="shared" si="42"/>
        <v>-415.90000000000146</v>
      </c>
      <c r="L172">
        <f t="shared" si="43"/>
        <v>311.5</v>
      </c>
      <c r="M172">
        <f t="shared" si="44"/>
        <v>1</v>
      </c>
      <c r="N172" s="69">
        <v>12986.9</v>
      </c>
    </row>
    <row r="173" spans="1:14" x14ac:dyDescent="0.25">
      <c r="A173" s="62">
        <f t="shared" si="3"/>
        <v>40052</v>
      </c>
      <c r="B173">
        <v>2381.8000000000002</v>
      </c>
      <c r="C173">
        <v>923.1</v>
      </c>
      <c r="D173" s="84">
        <v>33705.4</v>
      </c>
      <c r="E173" s="84">
        <v>30411.3</v>
      </c>
      <c r="F173">
        <f t="shared" si="47"/>
        <v>36087.200000000004</v>
      </c>
      <c r="G173">
        <f t="shared" si="48"/>
        <v>31334.399999999998</v>
      </c>
      <c r="H173" s="37">
        <f t="shared" si="49"/>
        <v>0.15167994281045782</v>
      </c>
      <c r="I173">
        <f t="shared" si="46"/>
        <v>-58.799999999995634</v>
      </c>
      <c r="N173">
        <v>14094.637000000001</v>
      </c>
    </row>
    <row r="174" spans="1:14" x14ac:dyDescent="0.25">
      <c r="A174" s="62">
        <f t="shared" si="3"/>
        <v>40059</v>
      </c>
      <c r="B174">
        <v>16947.400000000001</v>
      </c>
      <c r="C174">
        <v>8913.2999999999993</v>
      </c>
      <c r="D174" s="84">
        <v>193.8</v>
      </c>
      <c r="E174" s="84">
        <v>33.1</v>
      </c>
      <c r="F174">
        <f t="shared" si="47"/>
        <v>17141.2</v>
      </c>
      <c r="G174">
        <f t="shared" si="48"/>
        <v>8946.4</v>
      </c>
      <c r="H174" s="37">
        <f t="shared" si="49"/>
        <v>0.91598855405526258</v>
      </c>
    </row>
    <row r="175" spans="1:14" x14ac:dyDescent="0.25">
      <c r="A175" s="62">
        <f t="shared" si="3"/>
        <v>40066</v>
      </c>
      <c r="B175">
        <v>17172.900000000001</v>
      </c>
      <c r="C175">
        <v>9103.2000000000007</v>
      </c>
      <c r="D175" s="84">
        <v>263.8</v>
      </c>
      <c r="E175" s="84">
        <v>221.7</v>
      </c>
      <c r="F175">
        <f t="shared" si="47"/>
        <v>17436.7</v>
      </c>
      <c r="G175">
        <f t="shared" si="48"/>
        <v>9324.9000000000015</v>
      </c>
      <c r="H175" s="37">
        <f t="shared" si="49"/>
        <v>0.86990745209063891</v>
      </c>
      <c r="I175">
        <f t="shared" si="46"/>
        <v>295.5</v>
      </c>
    </row>
    <row r="176" spans="1:14" x14ac:dyDescent="0.25">
      <c r="A176" s="62">
        <f t="shared" si="3"/>
        <v>40073</v>
      </c>
      <c r="B176">
        <v>18241.7</v>
      </c>
      <c r="C176">
        <v>9651.1</v>
      </c>
      <c r="D176" s="84">
        <v>540.9</v>
      </c>
      <c r="E176" s="84">
        <v>319.39999999999998</v>
      </c>
      <c r="F176">
        <f t="shared" si="47"/>
        <v>18782.600000000002</v>
      </c>
      <c r="G176">
        <f t="shared" si="48"/>
        <v>9970.5</v>
      </c>
      <c r="H176" s="37">
        <f t="shared" si="49"/>
        <v>0.88381726091971347</v>
      </c>
      <c r="I176">
        <f t="shared" si="46"/>
        <v>1345.9000000000015</v>
      </c>
    </row>
    <row r="177" spans="1:11" x14ac:dyDescent="0.25">
      <c r="A177" s="62">
        <f t="shared" si="3"/>
        <v>40080</v>
      </c>
      <c r="B177">
        <v>19417.5</v>
      </c>
      <c r="C177">
        <v>9960.2000000000007</v>
      </c>
      <c r="D177" s="84">
        <v>749.9</v>
      </c>
      <c r="E177" s="84">
        <v>481.3</v>
      </c>
      <c r="F177">
        <f t="shared" si="47"/>
        <v>20167.400000000001</v>
      </c>
      <c r="G177">
        <f t="shared" si="48"/>
        <v>10441.5</v>
      </c>
      <c r="H177" s="37">
        <f t="shared" si="49"/>
        <v>0.93146578556720794</v>
      </c>
      <c r="I177">
        <f t="shared" si="46"/>
        <v>1384.7999999999993</v>
      </c>
    </row>
    <row r="178" spans="1:11" x14ac:dyDescent="0.25">
      <c r="A178" s="62">
        <f t="shared" si="3"/>
        <v>40087</v>
      </c>
      <c r="B178">
        <v>19527.7</v>
      </c>
      <c r="C178">
        <v>10163.9</v>
      </c>
      <c r="D178" s="84">
        <v>1090.7</v>
      </c>
      <c r="E178" s="84">
        <v>880</v>
      </c>
      <c r="F178">
        <f t="shared" si="47"/>
        <v>20618.400000000001</v>
      </c>
      <c r="G178">
        <f t="shared" si="48"/>
        <v>11043.9</v>
      </c>
      <c r="H178" s="37">
        <f t="shared" si="49"/>
        <v>0.86694917556298057</v>
      </c>
      <c r="I178">
        <f t="shared" si="46"/>
        <v>451</v>
      </c>
    </row>
    <row r="179" spans="1:11" x14ac:dyDescent="0.25">
      <c r="A179" s="62">
        <f t="shared" si="3"/>
        <v>40094</v>
      </c>
      <c r="B179">
        <v>19577</v>
      </c>
      <c r="C179">
        <v>10784.4</v>
      </c>
      <c r="D179" s="84">
        <v>1696</v>
      </c>
      <c r="E179" s="84">
        <v>1287.5</v>
      </c>
      <c r="F179">
        <f t="shared" si="47"/>
        <v>21273</v>
      </c>
      <c r="G179">
        <f t="shared" si="48"/>
        <v>12071.9</v>
      </c>
      <c r="H179" s="37">
        <f t="shared" si="49"/>
        <v>0.7621915357151734</v>
      </c>
      <c r="I179">
        <f t="shared" si="46"/>
        <v>654.59999999999854</v>
      </c>
    </row>
    <row r="180" spans="1:11" x14ac:dyDescent="0.25">
      <c r="A180" s="62">
        <f t="shared" si="3"/>
        <v>40101</v>
      </c>
      <c r="B180">
        <v>19707.900000000001</v>
      </c>
      <c r="C180">
        <v>10488.6</v>
      </c>
      <c r="D180" s="84">
        <v>2552.4</v>
      </c>
      <c r="E180" s="84">
        <v>2302.1</v>
      </c>
      <c r="F180">
        <f t="shared" si="47"/>
        <v>22260.300000000003</v>
      </c>
      <c r="G180">
        <f t="shared" si="48"/>
        <v>12790.7</v>
      </c>
      <c r="H180" s="37">
        <f t="shared" si="49"/>
        <v>0.74035041084538</v>
      </c>
      <c r="I180">
        <f t="shared" si="46"/>
        <v>987.30000000000291</v>
      </c>
      <c r="J180">
        <f>AVERAGE(I176:I179)</f>
        <v>959.07499999999982</v>
      </c>
      <c r="K180" s="1">
        <f>+I180/J180-1</f>
        <v>2.9429398117981398E-2</v>
      </c>
    </row>
    <row r="181" spans="1:11" x14ac:dyDescent="0.25">
      <c r="A181" s="62">
        <f t="shared" si="3"/>
        <v>40108</v>
      </c>
      <c r="B181">
        <v>18965.2</v>
      </c>
      <c r="C181">
        <v>10596.9</v>
      </c>
      <c r="D181" s="84">
        <v>3986</v>
      </c>
      <c r="E181" s="84">
        <v>3651.1</v>
      </c>
      <c r="F181">
        <f t="shared" si="47"/>
        <v>22951.200000000001</v>
      </c>
      <c r="G181">
        <f t="shared" si="48"/>
        <v>14248</v>
      </c>
      <c r="H181" s="37">
        <f t="shared" si="49"/>
        <v>0.61083660864682776</v>
      </c>
      <c r="I181">
        <f t="shared" si="46"/>
        <v>690.89999999999782</v>
      </c>
    </row>
    <row r="182" spans="1:11" x14ac:dyDescent="0.25">
      <c r="A182" s="62">
        <f t="shared" si="3"/>
        <v>40115</v>
      </c>
      <c r="B182">
        <v>17794.900000000001</v>
      </c>
      <c r="C182">
        <v>10002.9</v>
      </c>
      <c r="D182" s="84">
        <v>5678.5</v>
      </c>
      <c r="E182" s="84">
        <v>5139.7</v>
      </c>
      <c r="F182">
        <f t="shared" si="47"/>
        <v>23473.4</v>
      </c>
      <c r="G182">
        <f t="shared" si="48"/>
        <v>15142.599999999999</v>
      </c>
      <c r="H182" s="37">
        <f t="shared" si="49"/>
        <v>0.5501565120917149</v>
      </c>
      <c r="I182">
        <f t="shared" si="46"/>
        <v>522.20000000000073</v>
      </c>
    </row>
    <row r="183" spans="1:11" x14ac:dyDescent="0.25">
      <c r="A183" s="62">
        <f t="shared" si="3"/>
        <v>40122</v>
      </c>
      <c r="B183">
        <v>17431.2</v>
      </c>
      <c r="C183">
        <v>9439.2000000000007</v>
      </c>
      <c r="D183" s="84">
        <v>7250.6</v>
      </c>
      <c r="E183" s="84">
        <v>6181.7</v>
      </c>
      <c r="F183">
        <f t="shared" si="47"/>
        <v>24681.800000000003</v>
      </c>
      <c r="G183">
        <f t="shared" si="48"/>
        <v>15620.900000000001</v>
      </c>
      <c r="H183" s="37">
        <f t="shared" si="49"/>
        <v>0.58004980506885007</v>
      </c>
      <c r="I183">
        <f t="shared" si="46"/>
        <v>1208.4000000000015</v>
      </c>
    </row>
    <row r="184" spans="1:11" x14ac:dyDescent="0.25">
      <c r="A184" s="62">
        <f t="shared" si="3"/>
        <v>40129</v>
      </c>
      <c r="B184">
        <v>17056.599999999999</v>
      </c>
      <c r="C184">
        <v>9162.6</v>
      </c>
      <c r="D184" s="84">
        <v>8899.6</v>
      </c>
      <c r="E184" s="84">
        <v>7249.2</v>
      </c>
      <c r="F184">
        <f t="shared" si="47"/>
        <v>25956.199999999997</v>
      </c>
      <c r="G184">
        <f t="shared" si="48"/>
        <v>16411.8</v>
      </c>
      <c r="H184" s="37">
        <f t="shared" si="49"/>
        <v>0.58155717227848247</v>
      </c>
      <c r="I184">
        <f t="shared" si="46"/>
        <v>1274.3999999999942</v>
      </c>
    </row>
    <row r="185" spans="1:11" x14ac:dyDescent="0.25">
      <c r="A185" s="62">
        <f t="shared" si="3"/>
        <v>40136</v>
      </c>
      <c r="B185">
        <v>15757.5</v>
      </c>
      <c r="C185">
        <v>8928.7999999999993</v>
      </c>
      <c r="D185" s="84">
        <v>11334</v>
      </c>
      <c r="E185" s="84">
        <v>8264.4</v>
      </c>
      <c r="F185">
        <f t="shared" si="47"/>
        <v>27091.5</v>
      </c>
      <c r="G185">
        <f t="shared" si="48"/>
        <v>17193.199999999997</v>
      </c>
      <c r="H185" s="37">
        <f t="shared" si="49"/>
        <v>0.57571016448363332</v>
      </c>
      <c r="I185">
        <f t="shared" si="46"/>
        <v>1135.3000000000029</v>
      </c>
    </row>
    <row r="186" spans="1:11" x14ac:dyDescent="0.25">
      <c r="A186" s="62">
        <f t="shared" si="3"/>
        <v>40143</v>
      </c>
      <c r="B186">
        <v>15116.3</v>
      </c>
      <c r="C186">
        <v>8026.2</v>
      </c>
      <c r="D186" s="84">
        <v>12697.8</v>
      </c>
      <c r="E186" s="84">
        <v>9526.9</v>
      </c>
      <c r="F186">
        <f t="shared" si="47"/>
        <v>27814.1</v>
      </c>
      <c r="G186">
        <f t="shared" si="48"/>
        <v>17553.099999999999</v>
      </c>
      <c r="H186" s="37">
        <f t="shared" si="49"/>
        <v>0.58456910745110546</v>
      </c>
      <c r="I186">
        <f t="shared" si="46"/>
        <v>722.59999999999854</v>
      </c>
    </row>
    <row r="187" spans="1:11" x14ac:dyDescent="0.25">
      <c r="A187" s="62">
        <f t="shared" si="3"/>
        <v>40150</v>
      </c>
      <c r="B187">
        <v>13976.7</v>
      </c>
      <c r="C187">
        <v>7888.7</v>
      </c>
      <c r="D187" s="84">
        <v>14642.3</v>
      </c>
      <c r="E187" s="84">
        <v>10474.299999999999</v>
      </c>
      <c r="F187">
        <f t="shared" si="47"/>
        <v>28619</v>
      </c>
      <c r="G187">
        <f t="shared" si="48"/>
        <v>18363</v>
      </c>
      <c r="H187" s="37">
        <f t="shared" si="49"/>
        <v>0.55851440396449381</v>
      </c>
      <c r="I187">
        <f t="shared" si="46"/>
        <v>804.90000000000146</v>
      </c>
    </row>
    <row r="188" spans="1:11" x14ac:dyDescent="0.25">
      <c r="A188" s="62">
        <f t="shared" si="3"/>
        <v>40157</v>
      </c>
      <c r="B188">
        <v>13248.2</v>
      </c>
      <c r="C188">
        <v>7627.6</v>
      </c>
      <c r="D188" s="84">
        <v>16305.4</v>
      </c>
      <c r="E188" s="84">
        <v>11629</v>
      </c>
      <c r="F188">
        <f t="shared" si="47"/>
        <v>29553.599999999999</v>
      </c>
      <c r="G188">
        <f t="shared" si="48"/>
        <v>19256.599999999999</v>
      </c>
      <c r="H188" s="37">
        <f t="shared" si="49"/>
        <v>0.53472575636405195</v>
      </c>
      <c r="I188">
        <f t="shared" si="46"/>
        <v>934.59999999999854</v>
      </c>
    </row>
    <row r="189" spans="1:11" x14ac:dyDescent="0.25">
      <c r="A189" s="62">
        <f t="shared" si="3"/>
        <v>40164</v>
      </c>
      <c r="B189">
        <v>13550.7</v>
      </c>
      <c r="C189">
        <v>7260.9</v>
      </c>
      <c r="D189" s="84">
        <v>17198.599999999999</v>
      </c>
      <c r="E189" s="84">
        <v>12580.5</v>
      </c>
      <c r="F189">
        <f t="shared" si="47"/>
        <v>30749.3</v>
      </c>
      <c r="G189">
        <f t="shared" si="48"/>
        <v>19841.400000000001</v>
      </c>
      <c r="H189" s="37">
        <f t="shared" si="49"/>
        <v>0.54975455361012826</v>
      </c>
      <c r="I189">
        <f t="shared" si="46"/>
        <v>1195.7000000000007</v>
      </c>
    </row>
    <row r="190" spans="1:11" x14ac:dyDescent="0.25">
      <c r="A190" s="62">
        <f t="shared" si="3"/>
        <v>40171</v>
      </c>
      <c r="B190">
        <v>12969.5</v>
      </c>
      <c r="C190">
        <v>6850.8</v>
      </c>
      <c r="D190" s="84">
        <v>18578.7</v>
      </c>
      <c r="E190" s="84">
        <v>13501.3</v>
      </c>
      <c r="F190">
        <f t="shared" si="47"/>
        <v>31548.2</v>
      </c>
      <c r="G190">
        <f t="shared" si="48"/>
        <v>20352.099999999999</v>
      </c>
      <c r="H190" s="37">
        <f t="shared" si="49"/>
        <v>0.55012013502292167</v>
      </c>
      <c r="I190">
        <f t="shared" si="46"/>
        <v>798.90000000000146</v>
      </c>
    </row>
    <row r="191" spans="1:11" x14ac:dyDescent="0.25">
      <c r="A191" s="62">
        <f t="shared" si="3"/>
        <v>40178</v>
      </c>
      <c r="B191">
        <v>12516.5</v>
      </c>
      <c r="C191">
        <v>6576.2</v>
      </c>
      <c r="D191" s="84">
        <v>19748.5</v>
      </c>
      <c r="E191" s="84">
        <v>14305.6</v>
      </c>
      <c r="F191">
        <f t="shared" si="47"/>
        <v>32265</v>
      </c>
      <c r="G191">
        <f t="shared" si="48"/>
        <v>20881.8</v>
      </c>
      <c r="H191" s="37">
        <f t="shared" si="49"/>
        <v>0.54512542022239474</v>
      </c>
      <c r="I191">
        <f t="shared" si="46"/>
        <v>716.79999999999927</v>
      </c>
    </row>
    <row r="192" spans="1:11" x14ac:dyDescent="0.25">
      <c r="A192" s="62">
        <f t="shared" si="3"/>
        <v>40185</v>
      </c>
      <c r="B192">
        <v>11647.6</v>
      </c>
      <c r="C192">
        <v>7210.7</v>
      </c>
      <c r="D192" s="84">
        <v>21313.7</v>
      </c>
      <c r="E192" s="84">
        <v>15032.7</v>
      </c>
      <c r="F192">
        <f t="shared" si="47"/>
        <v>32961.300000000003</v>
      </c>
      <c r="G192">
        <f t="shared" si="48"/>
        <v>22243.4</v>
      </c>
      <c r="H192" s="37">
        <f t="shared" si="49"/>
        <v>0.4818463004756468</v>
      </c>
      <c r="I192">
        <f t="shared" si="46"/>
        <v>696.30000000000291</v>
      </c>
    </row>
    <row r="193" spans="1:12" x14ac:dyDescent="0.25">
      <c r="A193" s="62">
        <f t="shared" si="3"/>
        <v>40192</v>
      </c>
      <c r="B193">
        <v>11030.6</v>
      </c>
      <c r="C193">
        <v>7518.1</v>
      </c>
      <c r="D193" s="84">
        <v>22860.400000000001</v>
      </c>
      <c r="E193" s="84">
        <v>16050.1</v>
      </c>
      <c r="F193">
        <f t="shared" si="47"/>
        <v>33891</v>
      </c>
      <c r="G193">
        <f t="shared" si="48"/>
        <v>23568.2</v>
      </c>
      <c r="H193" s="37">
        <f t="shared" si="49"/>
        <v>0.43799696200812965</v>
      </c>
      <c r="I193">
        <f t="shared" si="46"/>
        <v>929.69999999999709</v>
      </c>
    </row>
    <row r="194" spans="1:12" x14ac:dyDescent="0.25">
      <c r="A194" s="62">
        <f t="shared" si="3"/>
        <v>40199</v>
      </c>
      <c r="B194">
        <v>10310</v>
      </c>
      <c r="C194">
        <v>7086.2</v>
      </c>
      <c r="D194" s="84">
        <v>24254.400000000001</v>
      </c>
      <c r="E194" s="84">
        <v>17008.099999999999</v>
      </c>
      <c r="F194">
        <f t="shared" si="47"/>
        <v>34564.400000000001</v>
      </c>
      <c r="G194">
        <f t="shared" si="48"/>
        <v>24094.3</v>
      </c>
      <c r="H194" s="37">
        <f t="shared" si="49"/>
        <v>0.43454676002208004</v>
      </c>
      <c r="I194">
        <f t="shared" si="46"/>
        <v>673.40000000000146</v>
      </c>
    </row>
    <row r="195" spans="1:12" x14ac:dyDescent="0.25">
      <c r="A195" s="62">
        <f t="shared" si="3"/>
        <v>40206</v>
      </c>
      <c r="B195">
        <v>9416.6</v>
      </c>
      <c r="C195">
        <v>6359.2</v>
      </c>
      <c r="D195" s="84">
        <v>25529.4</v>
      </c>
      <c r="E195" s="84">
        <v>18071.7</v>
      </c>
      <c r="F195">
        <f t="shared" si="47"/>
        <v>34946</v>
      </c>
      <c r="G195">
        <f t="shared" si="48"/>
        <v>24430.9</v>
      </c>
      <c r="H195" s="37">
        <f t="shared" si="49"/>
        <v>0.43040166346716657</v>
      </c>
      <c r="I195">
        <f t="shared" si="46"/>
        <v>381.59999999999854</v>
      </c>
    </row>
    <row r="196" spans="1:12" x14ac:dyDescent="0.25">
      <c r="A196" s="62">
        <f t="shared" si="3"/>
        <v>40213</v>
      </c>
      <c r="B196">
        <v>8530.5</v>
      </c>
      <c r="C196">
        <v>6035.1</v>
      </c>
      <c r="D196" s="84">
        <v>26728.3</v>
      </c>
      <c r="E196" s="84">
        <v>19464.5</v>
      </c>
      <c r="F196">
        <f t="shared" si="47"/>
        <v>35258.800000000003</v>
      </c>
      <c r="G196">
        <f t="shared" si="48"/>
        <v>25499.599999999999</v>
      </c>
      <c r="H196" s="37">
        <f t="shared" si="49"/>
        <v>0.38271972893692463</v>
      </c>
      <c r="I196">
        <f t="shared" si="46"/>
        <v>312.80000000000291</v>
      </c>
    </row>
    <row r="197" spans="1:12" x14ac:dyDescent="0.25">
      <c r="A197" s="62">
        <f t="shared" si="3"/>
        <v>40220</v>
      </c>
      <c r="B197">
        <v>7615.1</v>
      </c>
      <c r="C197">
        <v>5870</v>
      </c>
      <c r="D197" s="84">
        <v>27847.3</v>
      </c>
      <c r="E197" s="84">
        <v>20723.900000000001</v>
      </c>
      <c r="F197">
        <f t="shared" si="47"/>
        <v>35462.400000000001</v>
      </c>
      <c r="G197">
        <f t="shared" si="48"/>
        <v>26593.9</v>
      </c>
      <c r="H197" s="37">
        <f t="shared" si="49"/>
        <v>0.33347873008471862</v>
      </c>
      <c r="I197">
        <f t="shared" si="46"/>
        <v>203.59999999999854</v>
      </c>
    </row>
    <row r="198" spans="1:12" x14ac:dyDescent="0.25">
      <c r="A198" s="62">
        <f t="shared" si="3"/>
        <v>40227</v>
      </c>
      <c r="B198">
        <v>6732.2</v>
      </c>
      <c r="C198">
        <v>5301.4</v>
      </c>
      <c r="D198" s="84">
        <v>28969.3</v>
      </c>
      <c r="E198" s="84">
        <v>21631.8</v>
      </c>
      <c r="F198">
        <f t="shared" si="47"/>
        <v>35701.5</v>
      </c>
      <c r="G198">
        <f t="shared" si="48"/>
        <v>26933.199999999997</v>
      </c>
      <c r="H198" s="37">
        <f t="shared" si="49"/>
        <v>0.32555730473913247</v>
      </c>
      <c r="I198">
        <f t="shared" si="46"/>
        <v>239.09999999999854</v>
      </c>
    </row>
    <row r="199" spans="1:12" x14ac:dyDescent="0.25">
      <c r="A199" s="62">
        <f t="shared" si="3"/>
        <v>40234</v>
      </c>
      <c r="B199">
        <v>5817.1</v>
      </c>
      <c r="C199">
        <v>4705.3</v>
      </c>
      <c r="D199" s="84">
        <v>30066.9</v>
      </c>
      <c r="E199" s="84">
        <v>22383.7</v>
      </c>
      <c r="F199">
        <f t="shared" si="47"/>
        <v>35884</v>
      </c>
      <c r="G199">
        <f t="shared" si="48"/>
        <v>27089</v>
      </c>
      <c r="H199" s="37">
        <f t="shared" si="49"/>
        <v>0.32467053047362393</v>
      </c>
      <c r="I199">
        <f t="shared" si="46"/>
        <v>182.5</v>
      </c>
    </row>
    <row r="200" spans="1:12" x14ac:dyDescent="0.25">
      <c r="A200" s="62">
        <f t="shared" si="3"/>
        <v>40241</v>
      </c>
      <c r="B200">
        <v>4768.3</v>
      </c>
      <c r="C200">
        <v>4655.8</v>
      </c>
      <c r="D200" s="84">
        <v>30999.9</v>
      </c>
      <c r="E200" s="84">
        <v>23270.2</v>
      </c>
      <c r="F200">
        <f t="shared" si="47"/>
        <v>35768.200000000004</v>
      </c>
      <c r="G200">
        <f t="shared" si="48"/>
        <v>27926</v>
      </c>
      <c r="H200" s="37">
        <f t="shared" si="49"/>
        <v>0.28082074052853989</v>
      </c>
      <c r="I200">
        <f t="shared" si="46"/>
        <v>-115.79999999999563</v>
      </c>
    </row>
    <row r="201" spans="1:12" x14ac:dyDescent="0.25">
      <c r="A201" s="62">
        <f t="shared" si="3"/>
        <v>40248</v>
      </c>
      <c r="B201">
        <v>4068.9</v>
      </c>
      <c r="C201">
        <v>4170.3</v>
      </c>
      <c r="D201" s="84">
        <v>31913.3</v>
      </c>
      <c r="E201" s="84">
        <v>23899.1</v>
      </c>
      <c r="F201">
        <f t="shared" si="47"/>
        <v>35982.199999999997</v>
      </c>
      <c r="G201">
        <f t="shared" si="48"/>
        <v>28069.399999999998</v>
      </c>
      <c r="H201" s="37">
        <f t="shared" si="49"/>
        <v>0.28190128752306776</v>
      </c>
      <c r="I201">
        <f t="shared" si="46"/>
        <v>213.99999999999272</v>
      </c>
    </row>
    <row r="202" spans="1:12" x14ac:dyDescent="0.25">
      <c r="A202" s="62">
        <f t="shared" si="3"/>
        <v>40255</v>
      </c>
      <c r="B202">
        <v>3546.2</v>
      </c>
      <c r="C202">
        <v>4104.8</v>
      </c>
      <c r="D202" s="84">
        <v>32652.1</v>
      </c>
      <c r="E202" s="84">
        <v>24393.4</v>
      </c>
      <c r="F202">
        <f t="shared" si="47"/>
        <v>36198.299999999996</v>
      </c>
      <c r="G202">
        <f t="shared" si="48"/>
        <v>28498.2</v>
      </c>
      <c r="H202" s="37">
        <f t="shared" si="49"/>
        <v>0.27019601237972912</v>
      </c>
      <c r="I202">
        <f t="shared" si="46"/>
        <v>216.09999999999854</v>
      </c>
    </row>
    <row r="203" spans="1:12" x14ac:dyDescent="0.25">
      <c r="A203" s="62">
        <f t="shared" si="3"/>
        <v>40262</v>
      </c>
      <c r="B203">
        <v>2690.9</v>
      </c>
      <c r="C203">
        <v>3954.5</v>
      </c>
      <c r="D203" s="84">
        <v>33685.800000000003</v>
      </c>
      <c r="E203" s="84">
        <v>25143.5</v>
      </c>
      <c r="F203">
        <f t="shared" si="47"/>
        <v>36376.700000000004</v>
      </c>
      <c r="G203">
        <f t="shared" si="48"/>
        <v>29098</v>
      </c>
      <c r="H203" s="37">
        <f t="shared" si="49"/>
        <v>0.25014433981716966</v>
      </c>
      <c r="I203">
        <f t="shared" si="46"/>
        <v>178.40000000000873</v>
      </c>
    </row>
    <row r="204" spans="1:12" x14ac:dyDescent="0.25">
      <c r="A204" s="62">
        <f t="shared" si="3"/>
        <v>40269</v>
      </c>
      <c r="B204">
        <v>2455.6999999999998</v>
      </c>
      <c r="C204">
        <v>3801.7</v>
      </c>
      <c r="D204" s="84">
        <v>34126.699999999997</v>
      </c>
      <c r="E204" s="84">
        <v>25727.8</v>
      </c>
      <c r="F204">
        <f t="shared" si="47"/>
        <v>36582.399999999994</v>
      </c>
      <c r="G204">
        <f t="shared" si="48"/>
        <v>29529.5</v>
      </c>
      <c r="H204" s="37">
        <f t="shared" si="49"/>
        <v>0.23884251341878437</v>
      </c>
      <c r="I204">
        <f t="shared" si="46"/>
        <v>205.69999999998981</v>
      </c>
      <c r="L204" s="69"/>
    </row>
    <row r="205" spans="1:12" x14ac:dyDescent="0.25">
      <c r="A205" s="62">
        <f t="shared" si="3"/>
        <v>40276</v>
      </c>
      <c r="B205">
        <v>2174.6999999999998</v>
      </c>
      <c r="C205">
        <v>4072.8</v>
      </c>
      <c r="D205" s="84">
        <v>34565.699999999997</v>
      </c>
      <c r="E205" s="84">
        <v>26265</v>
      </c>
      <c r="F205">
        <f t="shared" si="47"/>
        <v>36740.399999999994</v>
      </c>
      <c r="G205">
        <f t="shared" si="48"/>
        <v>30337.8</v>
      </c>
      <c r="H205" s="37">
        <f t="shared" si="49"/>
        <v>0.21104364851769053</v>
      </c>
      <c r="I205">
        <f t="shared" si="46"/>
        <v>158</v>
      </c>
      <c r="L205" s="69"/>
    </row>
    <row r="206" spans="1:12" x14ac:dyDescent="0.25">
      <c r="A206" s="62">
        <f t="shared" si="3"/>
        <v>40283</v>
      </c>
      <c r="B206">
        <v>2056.5</v>
      </c>
      <c r="C206">
        <v>4029.1</v>
      </c>
      <c r="D206" s="84">
        <v>34992.6</v>
      </c>
      <c r="E206" s="84">
        <v>26925.8</v>
      </c>
      <c r="F206">
        <f t="shared" si="47"/>
        <v>37049.1</v>
      </c>
      <c r="G206">
        <f t="shared" si="48"/>
        <v>30954.899999999998</v>
      </c>
      <c r="H206" s="37">
        <f t="shared" si="49"/>
        <v>0.19687351598616054</v>
      </c>
      <c r="I206">
        <f t="shared" si="46"/>
        <v>308.70000000000437</v>
      </c>
    </row>
    <row r="207" spans="1:12" x14ac:dyDescent="0.25">
      <c r="A207" s="62">
        <f t="shared" si="3"/>
        <v>40290</v>
      </c>
      <c r="B207">
        <v>1879.8</v>
      </c>
      <c r="C207">
        <v>4583.3999999999996</v>
      </c>
      <c r="D207" s="84">
        <v>35270.300000000003</v>
      </c>
      <c r="E207" s="84">
        <v>27206.2</v>
      </c>
      <c r="F207">
        <f t="shared" si="47"/>
        <v>37150.100000000006</v>
      </c>
      <c r="G207">
        <f t="shared" si="48"/>
        <v>31789.599999999999</v>
      </c>
      <c r="H207" s="37">
        <f t="shared" si="49"/>
        <v>0.16862432996955001</v>
      </c>
      <c r="I207">
        <f t="shared" si="46"/>
        <v>101.00000000000728</v>
      </c>
      <c r="J207">
        <v>2992.8</v>
      </c>
    </row>
    <row r="208" spans="1:12" x14ac:dyDescent="0.25">
      <c r="A208" s="62">
        <f t="shared" si="3"/>
        <v>40297</v>
      </c>
      <c r="B208">
        <v>1873.6</v>
      </c>
      <c r="C208">
        <v>4851.3</v>
      </c>
      <c r="D208" s="84">
        <v>35559.699999999997</v>
      </c>
      <c r="E208" s="84">
        <v>27592.7</v>
      </c>
      <c r="F208">
        <f t="shared" si="47"/>
        <v>37433.299999999996</v>
      </c>
      <c r="G208">
        <f t="shared" si="48"/>
        <v>32444</v>
      </c>
      <c r="H208" s="37">
        <f t="shared" si="49"/>
        <v>0.15378190112193302</v>
      </c>
      <c r="I208">
        <f t="shared" si="46"/>
        <v>283.19999999998981</v>
      </c>
      <c r="J208">
        <v>3201.9</v>
      </c>
    </row>
    <row r="209" spans="1:10" x14ac:dyDescent="0.25">
      <c r="A209" s="62">
        <f t="shared" si="3"/>
        <v>40304</v>
      </c>
      <c r="B209">
        <v>1941.6</v>
      </c>
      <c r="C209">
        <v>4810.8999999999996</v>
      </c>
      <c r="D209" s="84">
        <v>35699.199999999997</v>
      </c>
      <c r="E209" s="84">
        <v>28034.9</v>
      </c>
      <c r="F209">
        <f t="shared" si="47"/>
        <v>37640.799999999996</v>
      </c>
      <c r="G209">
        <f t="shared" si="48"/>
        <v>32845.800000000003</v>
      </c>
      <c r="H209" s="37">
        <f t="shared" si="49"/>
        <v>0.14598517923143883</v>
      </c>
      <c r="I209">
        <f t="shared" si="46"/>
        <v>207.5</v>
      </c>
      <c r="J209" s="69">
        <v>3413.2</v>
      </c>
    </row>
    <row r="210" spans="1:10" x14ac:dyDescent="0.25">
      <c r="A210" s="62">
        <f t="shared" si="3"/>
        <v>40311</v>
      </c>
      <c r="B210">
        <v>2149</v>
      </c>
      <c r="C210">
        <v>5098.1000000000004</v>
      </c>
      <c r="D210" s="84">
        <v>35970.300000000003</v>
      </c>
      <c r="E210" s="84">
        <v>28424.799999999999</v>
      </c>
      <c r="F210">
        <f t="shared" si="47"/>
        <v>38119.300000000003</v>
      </c>
      <c r="G210">
        <f t="shared" si="48"/>
        <v>33522.9</v>
      </c>
      <c r="H210" s="37">
        <f t="shared" si="49"/>
        <v>0.13711224267590216</v>
      </c>
      <c r="I210">
        <f t="shared" si="46"/>
        <v>478.50000000000728</v>
      </c>
      <c r="J210" s="69">
        <v>3499.2</v>
      </c>
    </row>
    <row r="211" spans="1:10" x14ac:dyDescent="0.25">
      <c r="A211" s="62">
        <f t="shared" si="3"/>
        <v>40318</v>
      </c>
      <c r="B211">
        <v>2180</v>
      </c>
      <c r="C211">
        <v>4779.3999999999996</v>
      </c>
      <c r="D211" s="84">
        <v>36114.800000000003</v>
      </c>
      <c r="E211" s="84">
        <v>28980.799999999999</v>
      </c>
      <c r="F211">
        <f t="shared" si="47"/>
        <v>38294.800000000003</v>
      </c>
      <c r="G211">
        <f t="shared" si="48"/>
        <v>33760.199999999997</v>
      </c>
      <c r="H211" s="37">
        <f t="shared" si="49"/>
        <v>0.13431792465684467</v>
      </c>
      <c r="I211">
        <f t="shared" si="46"/>
        <v>175.5</v>
      </c>
      <c r="J211" s="69">
        <v>3619.2</v>
      </c>
    </row>
    <row r="212" spans="1:10" x14ac:dyDescent="0.25">
      <c r="A212" s="62">
        <f t="shared" si="3"/>
        <v>40325</v>
      </c>
      <c r="B212">
        <v>2165.9</v>
      </c>
      <c r="C212">
        <v>4442.8999999999996</v>
      </c>
      <c r="D212" s="84">
        <v>36263.800000000003</v>
      </c>
      <c r="E212" s="84">
        <v>29293.4</v>
      </c>
      <c r="F212">
        <f t="shared" si="47"/>
        <v>38429.700000000004</v>
      </c>
      <c r="G212">
        <f t="shared" si="48"/>
        <v>33736.300000000003</v>
      </c>
      <c r="H212" s="37">
        <f t="shared" si="49"/>
        <v>0.13912017619003869</v>
      </c>
      <c r="I212">
        <f t="shared" si="46"/>
        <v>134.90000000000146</v>
      </c>
      <c r="J212" s="69">
        <v>3632.3</v>
      </c>
    </row>
    <row r="213" spans="1:10" x14ac:dyDescent="0.25">
      <c r="A213" s="62">
        <f t="shared" si="3"/>
        <v>40332</v>
      </c>
      <c r="B213">
        <v>2418.6</v>
      </c>
      <c r="C213">
        <v>4080.8</v>
      </c>
      <c r="D213" s="84">
        <v>36431.800000000003</v>
      </c>
      <c r="E213" s="84">
        <v>29594.5</v>
      </c>
      <c r="F213">
        <f t="shared" si="47"/>
        <v>38850.400000000001</v>
      </c>
      <c r="G213">
        <f t="shared" si="48"/>
        <v>33675.300000000003</v>
      </c>
      <c r="H213" s="37">
        <f t="shared" si="49"/>
        <v>0.15367643346904103</v>
      </c>
      <c r="I213">
        <f t="shared" si="46"/>
        <v>420.69999999999709</v>
      </c>
      <c r="J213" s="69">
        <v>3762.3</v>
      </c>
    </row>
    <row r="214" spans="1:10" x14ac:dyDescent="0.25">
      <c r="A214" s="62">
        <f t="shared" si="3"/>
        <v>40339</v>
      </c>
      <c r="B214">
        <v>2071.1</v>
      </c>
      <c r="C214">
        <v>3877.1</v>
      </c>
      <c r="D214" s="84">
        <v>36643</v>
      </c>
      <c r="E214" s="84">
        <v>29943.8</v>
      </c>
      <c r="F214">
        <f t="shared" si="47"/>
        <v>38714.1</v>
      </c>
      <c r="G214">
        <f t="shared" si="48"/>
        <v>33820.9</v>
      </c>
      <c r="H214" s="37">
        <f t="shared" si="49"/>
        <v>0.14467976901856527</v>
      </c>
      <c r="I214">
        <f t="shared" si="46"/>
        <v>-136.30000000000291</v>
      </c>
      <c r="J214" s="69">
        <v>4214.5</v>
      </c>
    </row>
    <row r="215" spans="1:10" x14ac:dyDescent="0.25">
      <c r="A215" s="62">
        <f t="shared" si="3"/>
        <v>40346</v>
      </c>
      <c r="B215">
        <v>2140.1</v>
      </c>
      <c r="C215">
        <v>3526.9</v>
      </c>
      <c r="D215" s="84">
        <v>36882.199999999997</v>
      </c>
      <c r="E215" s="84">
        <v>30322.1</v>
      </c>
      <c r="F215">
        <f t="shared" si="47"/>
        <v>39022.299999999996</v>
      </c>
      <c r="G215">
        <f t="shared" si="48"/>
        <v>33849</v>
      </c>
      <c r="H215" s="37">
        <f t="shared" si="49"/>
        <v>0.15283464799550939</v>
      </c>
      <c r="I215">
        <f t="shared" si="46"/>
        <v>308.19999999999709</v>
      </c>
      <c r="J215" s="69">
        <v>4447.5</v>
      </c>
    </row>
    <row r="216" spans="1:10" x14ac:dyDescent="0.25">
      <c r="A216" s="62">
        <f t="shared" si="3"/>
        <v>40353</v>
      </c>
      <c r="B216">
        <v>2265.6999999999998</v>
      </c>
      <c r="C216">
        <v>3333.2</v>
      </c>
      <c r="D216" s="84">
        <v>37020.5</v>
      </c>
      <c r="E216" s="84">
        <v>30709.200000000001</v>
      </c>
      <c r="F216">
        <f t="shared" si="47"/>
        <v>39286.199999999997</v>
      </c>
      <c r="G216">
        <f t="shared" si="48"/>
        <v>34042.400000000001</v>
      </c>
      <c r="H216" s="37">
        <f t="shared" si="49"/>
        <v>0.15403731816793154</v>
      </c>
      <c r="I216">
        <f t="shared" si="46"/>
        <v>263.90000000000146</v>
      </c>
      <c r="J216" s="69">
        <v>4898.5</v>
      </c>
    </row>
    <row r="217" spans="1:10" x14ac:dyDescent="0.25">
      <c r="A217" s="62">
        <f t="shared" si="3"/>
        <v>40360</v>
      </c>
      <c r="B217">
        <v>2452.3000000000002</v>
      </c>
      <c r="C217">
        <v>3202.3</v>
      </c>
      <c r="D217" s="84">
        <v>37096.5</v>
      </c>
      <c r="E217" s="84">
        <v>31127.1</v>
      </c>
      <c r="F217">
        <f t="shared" si="47"/>
        <v>39548.800000000003</v>
      </c>
      <c r="G217">
        <f t="shared" si="48"/>
        <v>34329.4</v>
      </c>
      <c r="H217" s="37">
        <f t="shared" si="49"/>
        <v>0.15203877725797721</v>
      </c>
      <c r="I217">
        <f t="shared" si="46"/>
        <v>262.60000000000582</v>
      </c>
      <c r="J217" s="69">
        <v>5500.8</v>
      </c>
    </row>
    <row r="218" spans="1:10" x14ac:dyDescent="0.25">
      <c r="A218" s="62">
        <f t="shared" si="3"/>
        <v>40367</v>
      </c>
      <c r="B218">
        <v>2912.3</v>
      </c>
      <c r="C218">
        <v>2947</v>
      </c>
      <c r="D218" s="84">
        <v>37303</v>
      </c>
      <c r="E218" s="84">
        <v>31516.7</v>
      </c>
      <c r="F218">
        <f t="shared" si="47"/>
        <v>40215.300000000003</v>
      </c>
      <c r="G218">
        <f t="shared" si="48"/>
        <v>34463.699999999997</v>
      </c>
      <c r="H218" s="37">
        <f t="shared" si="49"/>
        <v>0.16688863935096943</v>
      </c>
      <c r="I218">
        <f t="shared" si="46"/>
        <v>666.5</v>
      </c>
      <c r="J218" s="69">
        <v>6059.3</v>
      </c>
    </row>
    <row r="219" spans="1:10" x14ac:dyDescent="0.25">
      <c r="A219" s="62">
        <f t="shared" si="3"/>
        <v>40374</v>
      </c>
      <c r="B219">
        <v>2749.3</v>
      </c>
      <c r="C219">
        <v>2983.9</v>
      </c>
      <c r="D219" s="84">
        <v>37577.800000000003</v>
      </c>
      <c r="E219" s="84">
        <v>31799.7</v>
      </c>
      <c r="F219">
        <f t="shared" si="47"/>
        <v>40327.100000000006</v>
      </c>
      <c r="G219">
        <f t="shared" si="48"/>
        <v>34783.599999999999</v>
      </c>
      <c r="H219" s="37">
        <f t="shared" si="49"/>
        <v>0.15937108292413682</v>
      </c>
      <c r="I219">
        <f t="shared" si="46"/>
        <v>111.80000000000291</v>
      </c>
      <c r="J219" s="69">
        <v>7174.7</v>
      </c>
    </row>
    <row r="220" spans="1:10" x14ac:dyDescent="0.25">
      <c r="A220" s="62">
        <f t="shared" si="3"/>
        <v>40381</v>
      </c>
      <c r="B220">
        <v>2909.7</v>
      </c>
      <c r="C220">
        <v>2886.9</v>
      </c>
      <c r="D220" s="84">
        <v>37756.400000000001</v>
      </c>
      <c r="E220" s="84">
        <v>32142.3</v>
      </c>
      <c r="F220">
        <f t="shared" si="47"/>
        <v>40666.1</v>
      </c>
      <c r="G220">
        <f t="shared" si="48"/>
        <v>35029.199999999997</v>
      </c>
      <c r="H220" s="37">
        <f t="shared" si="49"/>
        <v>0.16092003243008701</v>
      </c>
      <c r="I220">
        <f t="shared" si="46"/>
        <v>338.99999999999272</v>
      </c>
      <c r="J220" s="69">
        <v>8318.9</v>
      </c>
    </row>
    <row r="221" spans="1:10" x14ac:dyDescent="0.25">
      <c r="A221" s="62">
        <f t="shared" si="3"/>
        <v>40388</v>
      </c>
      <c r="B221">
        <v>2656.1</v>
      </c>
      <c r="C221">
        <v>3163.5</v>
      </c>
      <c r="D221" s="84">
        <v>38016.1</v>
      </c>
      <c r="E221" s="84">
        <v>32360.2</v>
      </c>
      <c r="F221">
        <f t="shared" si="47"/>
        <v>40672.199999999997</v>
      </c>
      <c r="G221">
        <f t="shared" si="48"/>
        <v>35523.699999999997</v>
      </c>
      <c r="H221" s="37">
        <f t="shared" si="49"/>
        <v>0.14493141198692694</v>
      </c>
      <c r="I221">
        <f t="shared" si="46"/>
        <v>6.0999999999985448</v>
      </c>
      <c r="J221" s="69">
        <v>9486.9</v>
      </c>
    </row>
    <row r="222" spans="1:10" x14ac:dyDescent="0.25">
      <c r="A222" s="62">
        <f t="shared" si="3"/>
        <v>40395</v>
      </c>
      <c r="B222">
        <v>2706.6</v>
      </c>
      <c r="C222">
        <v>3153.3</v>
      </c>
      <c r="D222" s="84">
        <v>38231.699999999997</v>
      </c>
      <c r="E222" s="84">
        <v>32629.9</v>
      </c>
      <c r="F222">
        <f t="shared" si="47"/>
        <v>40938.299999999996</v>
      </c>
      <c r="G222">
        <f t="shared" si="48"/>
        <v>35783.200000000004</v>
      </c>
      <c r="H222" s="37">
        <f t="shared" si="49"/>
        <v>0.14406481253772685</v>
      </c>
      <c r="I222">
        <f t="shared" si="46"/>
        <v>266.09999999999854</v>
      </c>
      <c r="J222" s="69">
        <v>11828.6</v>
      </c>
    </row>
    <row r="223" spans="1:10" x14ac:dyDescent="0.25">
      <c r="A223" s="62">
        <f t="shared" si="3"/>
        <v>40402</v>
      </c>
      <c r="B223">
        <v>2391.1999999999998</v>
      </c>
      <c r="C223">
        <v>3272.6</v>
      </c>
      <c r="D223" s="84">
        <v>38728.699999999997</v>
      </c>
      <c r="E223" s="84">
        <v>32785.5</v>
      </c>
      <c r="F223">
        <f t="shared" si="47"/>
        <v>41119.899999999994</v>
      </c>
      <c r="G223">
        <f t="shared" si="48"/>
        <v>36058.1</v>
      </c>
      <c r="H223" s="37">
        <f t="shared" si="49"/>
        <v>0.14037899944811283</v>
      </c>
      <c r="I223">
        <f t="shared" si="46"/>
        <v>181.59999999999854</v>
      </c>
      <c r="J223" s="69">
        <v>13878.1</v>
      </c>
    </row>
    <row r="224" spans="1:10" x14ac:dyDescent="0.25">
      <c r="A224" s="62">
        <f t="shared" si="3"/>
        <v>40409</v>
      </c>
      <c r="B224">
        <v>2237.3000000000002</v>
      </c>
      <c r="C224">
        <v>3049</v>
      </c>
      <c r="D224" s="84">
        <v>39050.400000000001</v>
      </c>
      <c r="E224" s="84">
        <v>33097</v>
      </c>
      <c r="F224">
        <f t="shared" si="47"/>
        <v>41287.700000000004</v>
      </c>
      <c r="G224">
        <f t="shared" si="48"/>
        <v>36146</v>
      </c>
      <c r="H224" s="37">
        <f t="shared" si="49"/>
        <v>0.14224810490787365</v>
      </c>
      <c r="I224">
        <f t="shared" si="46"/>
        <v>167.80000000001019</v>
      </c>
      <c r="J224" s="69">
        <v>14702.2</v>
      </c>
    </row>
    <row r="225" spans="1:11" x14ac:dyDescent="0.25">
      <c r="A225" s="62">
        <f t="shared" si="3"/>
        <v>40416</v>
      </c>
      <c r="B225">
        <v>2003.6</v>
      </c>
      <c r="C225">
        <v>2381.8000000000002</v>
      </c>
      <c r="D225" s="84">
        <v>39285</v>
      </c>
      <c r="E225" s="84">
        <v>33705.4</v>
      </c>
      <c r="F225">
        <f t="shared" si="47"/>
        <v>41288.6</v>
      </c>
      <c r="G225">
        <f t="shared" si="48"/>
        <v>36087.200000000004</v>
      </c>
      <c r="H225" s="37">
        <f t="shared" si="49"/>
        <v>0.14413420825112477</v>
      </c>
      <c r="I225">
        <f t="shared" si="46"/>
        <v>0.89999999999417923</v>
      </c>
      <c r="J225" s="93">
        <v>15315.2</v>
      </c>
      <c r="K225">
        <f>+J225-J224</f>
        <v>613</v>
      </c>
    </row>
    <row r="226" spans="1:11" x14ac:dyDescent="0.25">
      <c r="A226" s="62">
        <f t="shared" si="3"/>
        <v>40423</v>
      </c>
      <c r="B226">
        <v>17705.400000000001</v>
      </c>
      <c r="C226">
        <v>16947.400000000001</v>
      </c>
      <c r="D226" s="84">
        <v>87.1</v>
      </c>
      <c r="E226" s="84">
        <v>193.8</v>
      </c>
      <c r="F226">
        <f t="shared" si="47"/>
        <v>17792.5</v>
      </c>
      <c r="G226">
        <f t="shared" si="48"/>
        <v>17141.2</v>
      </c>
      <c r="H226" s="37">
        <f t="shared" si="49"/>
        <v>3.7996172963386421E-2</v>
      </c>
    </row>
    <row r="227" spans="1:11" x14ac:dyDescent="0.25">
      <c r="A227" s="62">
        <f t="shared" si="3"/>
        <v>40430</v>
      </c>
      <c r="B227">
        <v>18200.7</v>
      </c>
      <c r="C227">
        <v>17172.900000000001</v>
      </c>
      <c r="D227" s="84">
        <v>254.4</v>
      </c>
      <c r="E227" s="84">
        <v>457.6</v>
      </c>
      <c r="F227">
        <f t="shared" si="47"/>
        <v>18455.100000000002</v>
      </c>
      <c r="G227">
        <f t="shared" si="48"/>
        <v>17630.5</v>
      </c>
      <c r="H227" s="37">
        <f t="shared" si="49"/>
        <v>4.6771220328408303E-2</v>
      </c>
      <c r="I227">
        <f t="shared" si="46"/>
        <v>662.60000000000218</v>
      </c>
    </row>
    <row r="228" spans="1:11" x14ac:dyDescent="0.25">
      <c r="A228" s="62">
        <f t="shared" si="3"/>
        <v>40437</v>
      </c>
      <c r="B228">
        <v>18938.900000000001</v>
      </c>
      <c r="C228">
        <v>18241.7</v>
      </c>
      <c r="D228" s="84">
        <v>600</v>
      </c>
      <c r="E228" s="84">
        <v>540.9</v>
      </c>
      <c r="F228">
        <f t="shared" si="47"/>
        <v>19538.900000000001</v>
      </c>
      <c r="G228">
        <f t="shared" si="48"/>
        <v>18782.600000000002</v>
      </c>
      <c r="H228" s="37">
        <f t="shared" si="49"/>
        <v>4.0265990863884715E-2</v>
      </c>
      <c r="I228">
        <f t="shared" si="46"/>
        <v>1083.7999999999993</v>
      </c>
    </row>
    <row r="229" spans="1:11" x14ac:dyDescent="0.25">
      <c r="A229" s="62">
        <f t="shared" si="3"/>
        <v>40444</v>
      </c>
      <c r="B229">
        <v>20155.400000000001</v>
      </c>
      <c r="C229">
        <v>19417.5</v>
      </c>
      <c r="D229" s="84">
        <v>1121.0999999999999</v>
      </c>
      <c r="E229" s="84">
        <v>749.9</v>
      </c>
      <c r="F229">
        <f t="shared" si="47"/>
        <v>21276.5</v>
      </c>
      <c r="G229">
        <f t="shared" si="48"/>
        <v>20167.400000000001</v>
      </c>
      <c r="H229" s="37">
        <f t="shared" si="49"/>
        <v>5.4994694407806577E-2</v>
      </c>
      <c r="I229">
        <f t="shared" si="46"/>
        <v>1737.5999999999985</v>
      </c>
    </row>
    <row r="230" spans="1:11" x14ac:dyDescent="0.25">
      <c r="A230" s="62">
        <f t="shared" si="3"/>
        <v>40451</v>
      </c>
      <c r="B230">
        <v>20448.5</v>
      </c>
      <c r="C230">
        <v>19527.7</v>
      </c>
      <c r="D230" s="84">
        <v>1775.5</v>
      </c>
      <c r="E230" s="84">
        <v>1090.7</v>
      </c>
      <c r="F230">
        <f t="shared" si="47"/>
        <v>22224</v>
      </c>
      <c r="G230">
        <f t="shared" si="48"/>
        <v>20618.400000000001</v>
      </c>
      <c r="H230" s="37">
        <f t="shared" si="49"/>
        <v>7.7872191828657789E-2</v>
      </c>
      <c r="I230">
        <f t="shared" si="46"/>
        <v>947.5</v>
      </c>
    </row>
    <row r="231" spans="1:11" x14ac:dyDescent="0.25">
      <c r="A231" s="62">
        <f t="shared" si="3"/>
        <v>40458</v>
      </c>
      <c r="B231">
        <v>20368</v>
      </c>
      <c r="C231">
        <v>19577</v>
      </c>
      <c r="D231" s="84">
        <v>2965.1</v>
      </c>
      <c r="E231" s="84">
        <v>1696</v>
      </c>
      <c r="F231">
        <f t="shared" si="47"/>
        <v>23333.1</v>
      </c>
      <c r="G231">
        <f t="shared" si="48"/>
        <v>21273</v>
      </c>
      <c r="H231" s="37">
        <f t="shared" si="49"/>
        <v>9.6841066140177512E-2</v>
      </c>
      <c r="I231">
        <f t="shared" si="46"/>
        <v>1109.0999999999985</v>
      </c>
    </row>
    <row r="232" spans="1:11" x14ac:dyDescent="0.25">
      <c r="A232" s="62">
        <f t="shared" si="3"/>
        <v>40465</v>
      </c>
      <c r="B232">
        <v>20760.400000000001</v>
      </c>
      <c r="C232">
        <v>19707.900000000001</v>
      </c>
      <c r="D232" s="84">
        <v>4568.6000000000004</v>
      </c>
      <c r="E232" s="84">
        <v>2552.4</v>
      </c>
      <c r="F232">
        <f t="shared" si="47"/>
        <v>25329</v>
      </c>
      <c r="G232">
        <f t="shared" si="48"/>
        <v>22260.300000000003</v>
      </c>
      <c r="H232" s="37">
        <f t="shared" si="49"/>
        <v>0.13785528496920518</v>
      </c>
      <c r="I232">
        <f t="shared" si="46"/>
        <v>1995.9000000000015</v>
      </c>
    </row>
    <row r="233" spans="1:11" x14ac:dyDescent="0.25">
      <c r="A233" s="62">
        <f t="shared" si="3"/>
        <v>40472</v>
      </c>
      <c r="B233">
        <v>20852.099999999999</v>
      </c>
      <c r="C233">
        <v>18965.2</v>
      </c>
      <c r="D233" s="84">
        <v>6502.7</v>
      </c>
      <c r="E233" s="84">
        <v>3986</v>
      </c>
      <c r="F233">
        <f t="shared" si="47"/>
        <v>27354.799999999999</v>
      </c>
      <c r="G233">
        <f t="shared" si="48"/>
        <v>22951.200000000001</v>
      </c>
      <c r="H233" s="37">
        <f t="shared" si="49"/>
        <v>0.19186796333089329</v>
      </c>
      <c r="I233">
        <f t="shared" si="46"/>
        <v>2025.7999999999993</v>
      </c>
    </row>
    <row r="234" spans="1:11" x14ac:dyDescent="0.25">
      <c r="A234" s="62">
        <f t="shared" si="3"/>
        <v>40479</v>
      </c>
      <c r="B234">
        <v>20472.7</v>
      </c>
      <c r="C234">
        <v>17794.900000000001</v>
      </c>
      <c r="D234" s="84">
        <v>8458.5</v>
      </c>
      <c r="E234" s="84">
        <v>5539.2</v>
      </c>
      <c r="F234">
        <f t="shared" si="47"/>
        <v>28931.200000000001</v>
      </c>
      <c r="G234">
        <f t="shared" si="48"/>
        <v>23334.100000000002</v>
      </c>
      <c r="H234" s="37">
        <f t="shared" si="49"/>
        <v>0.23986783291406133</v>
      </c>
      <c r="I234">
        <f t="shared" si="46"/>
        <v>1576.4000000000015</v>
      </c>
    </row>
    <row r="235" spans="1:11" x14ac:dyDescent="0.25">
      <c r="A235" s="62">
        <f t="shared" si="3"/>
        <v>40486</v>
      </c>
      <c r="B235">
        <v>19603.3</v>
      </c>
      <c r="C235">
        <v>17431.2</v>
      </c>
      <c r="D235" s="84">
        <v>10137.700000000001</v>
      </c>
      <c r="E235" s="84">
        <v>7059.8</v>
      </c>
      <c r="F235">
        <f t="shared" si="47"/>
        <v>29741</v>
      </c>
      <c r="G235">
        <f t="shared" si="48"/>
        <v>24491</v>
      </c>
      <c r="H235" s="37">
        <f t="shared" si="49"/>
        <v>0.21436446041402957</v>
      </c>
      <c r="I235">
        <f t="shared" si="46"/>
        <v>809.79999999999927</v>
      </c>
    </row>
    <row r="236" spans="1:11" x14ac:dyDescent="0.25">
      <c r="A236" s="62">
        <f t="shared" si="3"/>
        <v>40493</v>
      </c>
      <c r="B236">
        <v>18842.900000000001</v>
      </c>
      <c r="C236">
        <v>17056.599999999999</v>
      </c>
      <c r="D236" s="84">
        <v>11904.8</v>
      </c>
      <c r="E236" s="84">
        <v>8784</v>
      </c>
      <c r="F236">
        <f t="shared" si="47"/>
        <v>30747.7</v>
      </c>
      <c r="G236">
        <f t="shared" si="48"/>
        <v>25840.6</v>
      </c>
      <c r="H236" s="37">
        <f t="shared" si="49"/>
        <v>0.18989884135817281</v>
      </c>
      <c r="I236">
        <f t="shared" si="46"/>
        <v>1006.7000000000007</v>
      </c>
    </row>
    <row r="237" spans="1:11" x14ac:dyDescent="0.25">
      <c r="A237" s="62">
        <f t="shared" si="3"/>
        <v>40500</v>
      </c>
      <c r="B237">
        <v>17885</v>
      </c>
      <c r="C237">
        <v>15757.5</v>
      </c>
      <c r="D237" s="84">
        <v>13536.6</v>
      </c>
      <c r="E237" s="84">
        <v>11218.5</v>
      </c>
      <c r="F237">
        <f t="shared" si="47"/>
        <v>31421.599999999999</v>
      </c>
      <c r="G237">
        <f t="shared" si="48"/>
        <v>26976</v>
      </c>
      <c r="H237" s="37">
        <f t="shared" si="49"/>
        <v>0.16479833926453136</v>
      </c>
      <c r="I237">
        <f t="shared" si="46"/>
        <v>673.89999999999782</v>
      </c>
    </row>
    <row r="238" spans="1:11" x14ac:dyDescent="0.25">
      <c r="A238" s="62">
        <f t="shared" si="3"/>
        <v>40507</v>
      </c>
      <c r="B238">
        <v>17598.5</v>
      </c>
      <c r="C238">
        <v>15116.3</v>
      </c>
      <c r="D238" s="84">
        <v>15164.6</v>
      </c>
      <c r="E238" s="84">
        <v>12517.1</v>
      </c>
      <c r="F238">
        <f t="shared" si="47"/>
        <v>32763.1</v>
      </c>
      <c r="G238">
        <f t="shared" si="48"/>
        <v>27633.4</v>
      </c>
      <c r="H238" s="37">
        <f t="shared" si="49"/>
        <v>0.18563405154631707</v>
      </c>
      <c r="I238">
        <f t="shared" si="46"/>
        <v>1341.5</v>
      </c>
    </row>
    <row r="239" spans="1:11" x14ac:dyDescent="0.25">
      <c r="A239" s="62">
        <f t="shared" si="3"/>
        <v>40514</v>
      </c>
      <c r="B239">
        <v>16741.5</v>
      </c>
      <c r="C239">
        <v>13976.7</v>
      </c>
      <c r="D239" s="84">
        <v>16659.400000000001</v>
      </c>
      <c r="E239" s="84">
        <v>14584.4</v>
      </c>
      <c r="F239">
        <f t="shared" si="47"/>
        <v>33400.9</v>
      </c>
      <c r="G239">
        <f t="shared" si="48"/>
        <v>28561.1</v>
      </c>
      <c r="H239" s="37">
        <f t="shared" si="49"/>
        <v>0.16945425771416378</v>
      </c>
      <c r="I239">
        <f t="shared" si="46"/>
        <v>637.80000000000291</v>
      </c>
    </row>
    <row r="240" spans="1:11" x14ac:dyDescent="0.25">
      <c r="A240" s="62">
        <f t="shared" si="3"/>
        <v>40521</v>
      </c>
      <c r="B240">
        <v>15477.8</v>
      </c>
      <c r="C240">
        <v>13248.2</v>
      </c>
      <c r="D240" s="84">
        <v>18007.8</v>
      </c>
      <c r="E240" s="84">
        <v>16247.6</v>
      </c>
      <c r="F240">
        <f t="shared" si="47"/>
        <v>33485.599999999999</v>
      </c>
      <c r="G240">
        <f t="shared" si="48"/>
        <v>29495.800000000003</v>
      </c>
      <c r="H240" s="37">
        <f t="shared" si="49"/>
        <v>0.13526671593921824</v>
      </c>
      <c r="I240">
        <f t="shared" si="46"/>
        <v>84.69999999999709</v>
      </c>
    </row>
    <row r="241" spans="1:9" x14ac:dyDescent="0.25">
      <c r="A241" s="62">
        <f t="shared" si="3"/>
        <v>40528</v>
      </c>
      <c r="B241">
        <v>14873.4</v>
      </c>
      <c r="C241">
        <v>13550.7</v>
      </c>
      <c r="D241" s="84">
        <v>19440</v>
      </c>
      <c r="E241" s="84">
        <v>17140.7</v>
      </c>
      <c r="F241">
        <f t="shared" si="47"/>
        <v>34313.4</v>
      </c>
      <c r="G241">
        <f t="shared" si="48"/>
        <v>30691.4</v>
      </c>
      <c r="H241" s="37">
        <f t="shared" si="49"/>
        <v>0.11801351518666459</v>
      </c>
      <c r="I241">
        <f t="shared" si="46"/>
        <v>827.80000000000291</v>
      </c>
    </row>
    <row r="242" spans="1:9" x14ac:dyDescent="0.25">
      <c r="A242" s="62">
        <f t="shared" si="3"/>
        <v>40535</v>
      </c>
      <c r="B242">
        <v>14622.7</v>
      </c>
      <c r="C242">
        <v>12969.5</v>
      </c>
      <c r="D242" s="84">
        <v>20354</v>
      </c>
      <c r="E242" s="84">
        <v>18511.7</v>
      </c>
      <c r="F242">
        <f t="shared" si="47"/>
        <v>34976.699999999997</v>
      </c>
      <c r="G242">
        <f t="shared" si="48"/>
        <v>31481.200000000001</v>
      </c>
      <c r="H242" s="37">
        <f t="shared" si="49"/>
        <v>0.11103452219102183</v>
      </c>
      <c r="I242">
        <f t="shared" si="46"/>
        <v>663.29999999999563</v>
      </c>
    </row>
    <row r="243" spans="1:9" x14ac:dyDescent="0.25">
      <c r="A243" s="62">
        <f t="shared" si="3"/>
        <v>40542</v>
      </c>
      <c r="B243">
        <v>14129.2</v>
      </c>
      <c r="C243">
        <v>12516.5</v>
      </c>
      <c r="D243" s="84">
        <v>21272</v>
      </c>
      <c r="E243" s="84">
        <v>19690.7</v>
      </c>
      <c r="F243">
        <f t="shared" si="47"/>
        <v>35401.199999999997</v>
      </c>
      <c r="G243">
        <f t="shared" si="48"/>
        <v>32207.200000000001</v>
      </c>
      <c r="H243" s="37">
        <f t="shared" si="49"/>
        <v>9.9170371842320915E-2</v>
      </c>
      <c r="I243">
        <f t="shared" si="46"/>
        <v>424.5</v>
      </c>
    </row>
    <row r="244" spans="1:9" x14ac:dyDescent="0.25">
      <c r="A244" s="62">
        <f t="shared" si="3"/>
        <v>40549</v>
      </c>
      <c r="B244">
        <v>13674.1</v>
      </c>
      <c r="C244">
        <v>11647.6</v>
      </c>
      <c r="D244" s="84">
        <v>22222.2</v>
      </c>
      <c r="E244" s="84">
        <v>21313.7</v>
      </c>
      <c r="F244">
        <f t="shared" si="47"/>
        <v>35896.300000000003</v>
      </c>
      <c r="G244">
        <f t="shared" si="48"/>
        <v>32961.300000000003</v>
      </c>
      <c r="H244" s="37">
        <f t="shared" si="49"/>
        <v>8.9043818053292867E-2</v>
      </c>
      <c r="I244">
        <f t="shared" si="46"/>
        <v>495.10000000000582</v>
      </c>
    </row>
    <row r="245" spans="1:9" x14ac:dyDescent="0.25">
      <c r="A245" s="62">
        <f t="shared" si="3"/>
        <v>40556</v>
      </c>
      <c r="B245">
        <v>13061.7</v>
      </c>
      <c r="C245">
        <v>11030.6</v>
      </c>
      <c r="D245" s="84">
        <v>23567</v>
      </c>
      <c r="E245" s="84">
        <v>22860.400000000001</v>
      </c>
      <c r="F245">
        <f t="shared" si="47"/>
        <v>36628.699999999997</v>
      </c>
      <c r="G245">
        <f t="shared" si="48"/>
        <v>33891</v>
      </c>
      <c r="H245" s="37">
        <f t="shared" si="49"/>
        <v>8.0779557994747675E-2</v>
      </c>
      <c r="I245">
        <f t="shared" si="46"/>
        <v>732.39999999999418</v>
      </c>
    </row>
    <row r="246" spans="1:9" x14ac:dyDescent="0.25">
      <c r="A246" s="62">
        <f t="shared" si="3"/>
        <v>40563</v>
      </c>
      <c r="B246">
        <v>12565.2</v>
      </c>
      <c r="C246">
        <v>10310</v>
      </c>
      <c r="D246" s="84">
        <v>24769.3</v>
      </c>
      <c r="E246" s="84">
        <v>24254.400000000001</v>
      </c>
      <c r="F246">
        <f t="shared" si="47"/>
        <v>37334.5</v>
      </c>
      <c r="G246">
        <f t="shared" si="48"/>
        <v>34564.400000000001</v>
      </c>
      <c r="H246" s="37">
        <f t="shared" si="49"/>
        <v>8.0143153070789452E-2</v>
      </c>
      <c r="I246">
        <f t="shared" si="46"/>
        <v>705.80000000000291</v>
      </c>
    </row>
    <row r="247" spans="1:9" x14ac:dyDescent="0.25">
      <c r="A247" s="62">
        <f t="shared" si="3"/>
        <v>40570</v>
      </c>
      <c r="B247">
        <v>12478.3</v>
      </c>
      <c r="C247">
        <v>9416.6</v>
      </c>
      <c r="D247" s="84">
        <v>25888.5</v>
      </c>
      <c r="E247" s="84">
        <v>25529.4</v>
      </c>
      <c r="F247">
        <f t="shared" si="47"/>
        <v>38366.800000000003</v>
      </c>
      <c r="G247">
        <f t="shared" si="48"/>
        <v>34946</v>
      </c>
      <c r="H247" s="37">
        <f t="shared" si="49"/>
        <v>9.7888170319922141E-2</v>
      </c>
      <c r="I247">
        <f t="shared" si="46"/>
        <v>1032.3000000000029</v>
      </c>
    </row>
    <row r="248" spans="1:9" x14ac:dyDescent="0.25">
      <c r="A248" s="62">
        <f t="shared" si="3"/>
        <v>40577</v>
      </c>
      <c r="B248">
        <v>11264.5</v>
      </c>
      <c r="C248">
        <v>8530.5</v>
      </c>
      <c r="D248" s="84">
        <v>27123.200000000001</v>
      </c>
      <c r="E248" s="84">
        <v>26670.9</v>
      </c>
      <c r="F248">
        <f t="shared" si="47"/>
        <v>38387.699999999997</v>
      </c>
      <c r="G248">
        <f t="shared" si="48"/>
        <v>35201.4</v>
      </c>
      <c r="H248" s="37">
        <f t="shared" si="49"/>
        <v>9.0516286284068048E-2</v>
      </c>
      <c r="I248">
        <f t="shared" si="46"/>
        <v>20.899999999994179</v>
      </c>
    </row>
    <row r="249" spans="1:9" x14ac:dyDescent="0.25">
      <c r="A249" s="62">
        <f t="shared" si="3"/>
        <v>40584</v>
      </c>
      <c r="B249">
        <v>10756</v>
      </c>
      <c r="C249">
        <v>7615.1</v>
      </c>
      <c r="D249" s="84">
        <v>28146.1</v>
      </c>
      <c r="E249" s="84">
        <v>27789.9</v>
      </c>
      <c r="F249">
        <f t="shared" si="47"/>
        <v>38902.1</v>
      </c>
      <c r="G249">
        <f t="shared" si="48"/>
        <v>35405</v>
      </c>
      <c r="H249" s="37">
        <f t="shared" si="49"/>
        <v>9.8774184437226298E-2</v>
      </c>
      <c r="I249">
        <f t="shared" si="46"/>
        <v>514.40000000000146</v>
      </c>
    </row>
    <row r="250" spans="1:9" x14ac:dyDescent="0.25">
      <c r="A250" s="62">
        <f t="shared" si="3"/>
        <v>40591</v>
      </c>
      <c r="B250">
        <v>9718.6</v>
      </c>
      <c r="C250">
        <v>6732.2</v>
      </c>
      <c r="D250" s="84">
        <v>29318.1</v>
      </c>
      <c r="E250" s="84">
        <v>28911.8</v>
      </c>
      <c r="F250">
        <f t="shared" si="47"/>
        <v>39036.699999999997</v>
      </c>
      <c r="G250">
        <f t="shared" si="48"/>
        <v>35644</v>
      </c>
      <c r="H250" s="37">
        <f t="shared" si="49"/>
        <v>9.5182919986533499E-2</v>
      </c>
      <c r="I250">
        <f t="shared" si="46"/>
        <v>134.59999999999854</v>
      </c>
    </row>
    <row r="251" spans="1:9" x14ac:dyDescent="0.25">
      <c r="A251" s="62">
        <f t="shared" si="3"/>
        <v>40598</v>
      </c>
      <c r="B251">
        <v>8386.7000000000007</v>
      </c>
      <c r="C251">
        <v>5817.1</v>
      </c>
      <c r="D251" s="84">
        <v>31011.599999999999</v>
      </c>
      <c r="E251" s="84">
        <v>30009.4</v>
      </c>
      <c r="F251">
        <f t="shared" si="47"/>
        <v>39398.300000000003</v>
      </c>
      <c r="G251">
        <f t="shared" si="48"/>
        <v>35826.5</v>
      </c>
      <c r="H251" s="37">
        <f t="shared" si="49"/>
        <v>9.9697151549830609E-2</v>
      </c>
      <c r="I251">
        <f t="shared" si="46"/>
        <v>361.60000000000582</v>
      </c>
    </row>
    <row r="252" spans="1:9" x14ac:dyDescent="0.25">
      <c r="A252" s="62">
        <f t="shared" ref="A252:A315" si="50">+A251+7</f>
        <v>40605</v>
      </c>
      <c r="B252">
        <v>8066.1</v>
      </c>
      <c r="C252">
        <v>4768.3</v>
      </c>
      <c r="D252" s="84">
        <v>31744.400000000001</v>
      </c>
      <c r="E252" s="84">
        <v>30942.400000000001</v>
      </c>
      <c r="F252">
        <f t="shared" si="47"/>
        <v>39810.5</v>
      </c>
      <c r="G252">
        <f t="shared" si="48"/>
        <v>35710.700000000004</v>
      </c>
      <c r="H252" s="37">
        <f t="shared" si="49"/>
        <v>0.11480592651502186</v>
      </c>
      <c r="I252">
        <f t="shared" si="46"/>
        <v>412.19999999999709</v>
      </c>
    </row>
    <row r="253" spans="1:9" x14ac:dyDescent="0.25">
      <c r="A253" s="62">
        <f t="shared" si="50"/>
        <v>40612</v>
      </c>
      <c r="B253">
        <v>7374.2</v>
      </c>
      <c r="C253">
        <v>4068.9</v>
      </c>
      <c r="D253" s="84">
        <v>32583.1</v>
      </c>
      <c r="E253" s="84">
        <v>31855.9</v>
      </c>
      <c r="F253">
        <f t="shared" si="47"/>
        <v>39957.299999999996</v>
      </c>
      <c r="G253">
        <f t="shared" si="48"/>
        <v>35924.800000000003</v>
      </c>
      <c r="H253" s="37">
        <f t="shared" si="49"/>
        <v>0.11224836324767273</v>
      </c>
      <c r="I253">
        <f t="shared" si="46"/>
        <v>146.79999999999563</v>
      </c>
    </row>
    <row r="254" spans="1:9" x14ac:dyDescent="0.25">
      <c r="A254" s="62">
        <f t="shared" si="50"/>
        <v>40619</v>
      </c>
      <c r="B254">
        <v>6822.9</v>
      </c>
      <c r="C254">
        <v>3546.2</v>
      </c>
      <c r="D254" s="84">
        <v>33398.800000000003</v>
      </c>
      <c r="E254" s="84">
        <v>32652.1</v>
      </c>
      <c r="F254">
        <f t="shared" si="47"/>
        <v>40221.700000000004</v>
      </c>
      <c r="G254">
        <f t="shared" si="48"/>
        <v>36198.299999999996</v>
      </c>
      <c r="H254" s="37">
        <f t="shared" si="49"/>
        <v>0.11114886610697217</v>
      </c>
      <c r="I254">
        <f t="shared" si="46"/>
        <v>264.40000000000873</v>
      </c>
    </row>
    <row r="255" spans="1:9" x14ac:dyDescent="0.25">
      <c r="A255" s="62">
        <f t="shared" si="50"/>
        <v>40626</v>
      </c>
      <c r="B255">
        <v>6139.2</v>
      </c>
      <c r="C255">
        <v>2690.9</v>
      </c>
      <c r="D255" s="84">
        <v>34227.300000000003</v>
      </c>
      <c r="E255" s="84">
        <v>33630</v>
      </c>
      <c r="F255">
        <f t="shared" si="47"/>
        <v>40366.5</v>
      </c>
      <c r="G255">
        <f t="shared" si="48"/>
        <v>36320.9</v>
      </c>
      <c r="H255" s="37">
        <f t="shared" si="49"/>
        <v>0.1113849051097302</v>
      </c>
      <c r="I255">
        <f t="shared" si="46"/>
        <v>144.79999999999563</v>
      </c>
    </row>
    <row r="256" spans="1:9" x14ac:dyDescent="0.25">
      <c r="A256" s="62">
        <f t="shared" si="50"/>
        <v>40633</v>
      </c>
      <c r="B256">
        <v>5566.9</v>
      </c>
      <c r="C256">
        <v>2455.6999999999998</v>
      </c>
      <c r="D256" s="84">
        <v>34875.800000000003</v>
      </c>
      <c r="E256" s="84">
        <v>34070.9</v>
      </c>
      <c r="F256">
        <f t="shared" si="47"/>
        <v>40442.700000000004</v>
      </c>
      <c r="G256">
        <f t="shared" si="48"/>
        <v>36526.6</v>
      </c>
      <c r="H256" s="37">
        <f t="shared" si="49"/>
        <v>0.10721227817535728</v>
      </c>
      <c r="I256">
        <f t="shared" si="46"/>
        <v>76.200000000004366</v>
      </c>
    </row>
    <row r="257" spans="1:10" x14ac:dyDescent="0.25">
      <c r="A257" s="62">
        <f t="shared" si="50"/>
        <v>40640</v>
      </c>
      <c r="B257">
        <v>5142.2</v>
      </c>
      <c r="C257">
        <v>2174.6999999999998</v>
      </c>
      <c r="D257" s="84">
        <v>35430.699999999997</v>
      </c>
      <c r="E257" s="84">
        <v>34509.9</v>
      </c>
      <c r="F257">
        <f t="shared" si="47"/>
        <v>40572.899999999994</v>
      </c>
      <c r="G257">
        <f t="shared" si="48"/>
        <v>36684.6</v>
      </c>
      <c r="H257" s="37">
        <f t="shared" si="49"/>
        <v>0.1059927053859111</v>
      </c>
      <c r="I257">
        <f t="shared" si="46"/>
        <v>130.19999999998981</v>
      </c>
    </row>
    <row r="258" spans="1:10" x14ac:dyDescent="0.25">
      <c r="A258" s="62">
        <f t="shared" si="50"/>
        <v>40647</v>
      </c>
      <c r="B258">
        <v>5048.1000000000004</v>
      </c>
      <c r="C258">
        <v>2056.5</v>
      </c>
      <c r="D258" s="84">
        <v>35873.699999999997</v>
      </c>
      <c r="E258" s="84">
        <v>34936.800000000003</v>
      </c>
      <c r="F258">
        <f t="shared" si="47"/>
        <v>40921.799999999996</v>
      </c>
      <c r="G258">
        <f t="shared" si="48"/>
        <v>36993.300000000003</v>
      </c>
      <c r="H258" s="37">
        <f t="shared" si="49"/>
        <v>0.10619490556398037</v>
      </c>
      <c r="I258">
        <f t="shared" si="46"/>
        <v>348.90000000000146</v>
      </c>
    </row>
    <row r="259" spans="1:10" x14ac:dyDescent="0.25">
      <c r="A259" s="62">
        <f t="shared" si="50"/>
        <v>40654</v>
      </c>
      <c r="B259">
        <v>4921.3</v>
      </c>
      <c r="C259">
        <v>1879.8</v>
      </c>
      <c r="D259" s="84">
        <v>36144</v>
      </c>
      <c r="E259" s="84">
        <v>35214.5</v>
      </c>
      <c r="F259">
        <f t="shared" si="47"/>
        <v>41065.300000000003</v>
      </c>
      <c r="G259">
        <f t="shared" si="48"/>
        <v>37094.300000000003</v>
      </c>
      <c r="H259" s="37">
        <f t="shared" si="49"/>
        <v>0.10705148769487494</v>
      </c>
      <c r="I259">
        <f t="shared" si="46"/>
        <v>143.50000000000728</v>
      </c>
    </row>
    <row r="260" spans="1:10" x14ac:dyDescent="0.25">
      <c r="A260" s="62">
        <f t="shared" si="50"/>
        <v>40661</v>
      </c>
      <c r="B260">
        <v>4742.2</v>
      </c>
      <c r="C260">
        <v>1873.6</v>
      </c>
      <c r="D260" s="84">
        <v>36344</v>
      </c>
      <c r="E260" s="84">
        <v>35503.9</v>
      </c>
      <c r="F260">
        <f t="shared" si="47"/>
        <v>41086.199999999997</v>
      </c>
      <c r="G260">
        <f t="shared" si="48"/>
        <v>37377.5</v>
      </c>
      <c r="H260" s="37">
        <f t="shared" si="49"/>
        <v>9.9222794461908848E-2</v>
      </c>
      <c r="I260">
        <f t="shared" si="46"/>
        <v>20.899999999994179</v>
      </c>
      <c r="J260">
        <v>6719.6</v>
      </c>
    </row>
    <row r="261" spans="1:10" x14ac:dyDescent="0.25">
      <c r="A261" s="62">
        <f t="shared" si="50"/>
        <v>40668</v>
      </c>
      <c r="B261">
        <v>4620.6099999999997</v>
      </c>
      <c r="C261">
        <v>1941.6</v>
      </c>
      <c r="D261" s="84">
        <v>36524.699999999997</v>
      </c>
      <c r="E261" s="84">
        <v>35699.199999999997</v>
      </c>
      <c r="F261">
        <f t="shared" si="47"/>
        <v>41145.31</v>
      </c>
      <c r="G261">
        <f t="shared" si="48"/>
        <v>37640.799999999996</v>
      </c>
      <c r="H261" s="37">
        <f t="shared" si="49"/>
        <v>9.3104025419225911E-2</v>
      </c>
      <c r="I261">
        <f t="shared" si="46"/>
        <v>59.110000000000582</v>
      </c>
      <c r="J261">
        <v>6722.9</v>
      </c>
    </row>
    <row r="262" spans="1:10" x14ac:dyDescent="0.25">
      <c r="A262" s="62">
        <f t="shared" si="50"/>
        <v>40675</v>
      </c>
      <c r="B262">
        <v>4670.6000000000004</v>
      </c>
      <c r="C262">
        <v>2149</v>
      </c>
      <c r="D262" s="84">
        <v>36640.800000000003</v>
      </c>
      <c r="E262" s="84">
        <v>35970.300000000003</v>
      </c>
      <c r="F262">
        <f t="shared" si="47"/>
        <v>41311.4</v>
      </c>
      <c r="G262">
        <f t="shared" si="48"/>
        <v>38119.300000000003</v>
      </c>
      <c r="H262" s="37">
        <f t="shared" si="49"/>
        <v>8.3739732891212615E-2</v>
      </c>
      <c r="I262">
        <f t="shared" si="46"/>
        <v>166.09000000000378</v>
      </c>
      <c r="J262">
        <v>6723</v>
      </c>
    </row>
    <row r="263" spans="1:10" x14ac:dyDescent="0.25">
      <c r="A263" s="62">
        <f t="shared" si="50"/>
        <v>40682</v>
      </c>
      <c r="B263">
        <v>4421.8999999999996</v>
      </c>
      <c r="C263">
        <v>2280</v>
      </c>
      <c r="D263" s="84">
        <v>37052.6</v>
      </c>
      <c r="E263" s="84">
        <v>36114.800000000003</v>
      </c>
      <c r="F263">
        <f t="shared" si="47"/>
        <v>41474.5</v>
      </c>
      <c r="G263">
        <f t="shared" si="48"/>
        <v>38394.800000000003</v>
      </c>
      <c r="H263" s="37">
        <f t="shared" si="49"/>
        <v>8.0211382791419483E-2</v>
      </c>
      <c r="I263">
        <f t="shared" si="46"/>
        <v>163.09999999999854</v>
      </c>
      <c r="J263">
        <v>6716.9</v>
      </c>
    </row>
    <row r="264" spans="1:10" x14ac:dyDescent="0.25">
      <c r="A264" s="62">
        <f t="shared" si="50"/>
        <v>40689</v>
      </c>
      <c r="B264">
        <v>4239.5</v>
      </c>
      <c r="C264">
        <v>2165.9</v>
      </c>
      <c r="D264" s="84">
        <v>37317.5</v>
      </c>
      <c r="E264" s="84">
        <v>36263.800000000003</v>
      </c>
      <c r="F264">
        <f t="shared" si="47"/>
        <v>41557</v>
      </c>
      <c r="G264">
        <f t="shared" si="48"/>
        <v>38429.700000000004</v>
      </c>
      <c r="H264" s="37">
        <f t="shared" si="49"/>
        <v>8.1377164016372738E-2</v>
      </c>
      <c r="I264">
        <f t="shared" si="46"/>
        <v>82.5</v>
      </c>
      <c r="J264">
        <v>6789.9</v>
      </c>
    </row>
    <row r="265" spans="1:10" x14ac:dyDescent="0.25">
      <c r="A265" s="62">
        <f t="shared" si="50"/>
        <v>40696</v>
      </c>
      <c r="B265">
        <v>4186.8999999999996</v>
      </c>
      <c r="C265">
        <v>2418.6</v>
      </c>
      <c r="D265" s="84">
        <v>37490.6</v>
      </c>
      <c r="E265" s="84">
        <v>36431.800000000003</v>
      </c>
      <c r="F265">
        <f t="shared" si="47"/>
        <v>41677.5</v>
      </c>
      <c r="G265">
        <f t="shared" si="48"/>
        <v>38850.400000000001</v>
      </c>
      <c r="H265" s="37">
        <f t="shared" si="49"/>
        <v>7.2768877540514421E-2</v>
      </c>
      <c r="I265">
        <f t="shared" si="46"/>
        <v>120.5</v>
      </c>
      <c r="J265">
        <v>6790</v>
      </c>
    </row>
    <row r="266" spans="1:10" x14ac:dyDescent="0.25">
      <c r="A266" s="62">
        <f t="shared" si="50"/>
        <v>40703</v>
      </c>
      <c r="B266">
        <v>4223.2</v>
      </c>
      <c r="C266">
        <v>2071.1</v>
      </c>
      <c r="D266" s="84">
        <v>37633.699999999997</v>
      </c>
      <c r="E266" s="84">
        <v>36643</v>
      </c>
      <c r="F266">
        <f t="shared" si="47"/>
        <v>41856.899999999994</v>
      </c>
      <c r="G266">
        <f t="shared" si="48"/>
        <v>38714.1</v>
      </c>
      <c r="H266" s="37">
        <f t="shared" si="49"/>
        <v>8.1179725216393939E-2</v>
      </c>
      <c r="I266">
        <f t="shared" si="46"/>
        <v>179.39999999999418</v>
      </c>
      <c r="J266">
        <v>6796</v>
      </c>
    </row>
    <row r="267" spans="1:10" x14ac:dyDescent="0.25">
      <c r="A267" s="62">
        <f t="shared" si="50"/>
        <v>40710</v>
      </c>
      <c r="B267">
        <v>4007</v>
      </c>
      <c r="C267">
        <v>2140.1</v>
      </c>
      <c r="D267" s="84">
        <v>37817.800000000003</v>
      </c>
      <c r="E267" s="84">
        <v>36882.199999999997</v>
      </c>
      <c r="F267">
        <f t="shared" ref="F267:F330" si="51">+B267+D267</f>
        <v>41824.800000000003</v>
      </c>
      <c r="G267">
        <f t="shared" ref="G267:G330" si="52">+C267+E267</f>
        <v>39022.299999999996</v>
      </c>
      <c r="H267" s="37">
        <f t="shared" ref="H267:H273" si="53">+F267/G267-1</f>
        <v>7.1817909246764122E-2</v>
      </c>
      <c r="I267">
        <f t="shared" ref="I267:I272" si="54">+F267-F266</f>
        <v>-32.099999999991269</v>
      </c>
      <c r="J267">
        <v>7032.1</v>
      </c>
    </row>
    <row r="268" spans="1:10" x14ac:dyDescent="0.25">
      <c r="A268" s="62">
        <f t="shared" si="50"/>
        <v>40717</v>
      </c>
      <c r="B268">
        <v>3516.7</v>
      </c>
      <c r="C268">
        <v>2265.6999999999998</v>
      </c>
      <c r="D268" s="84">
        <v>37972.5</v>
      </c>
      <c r="E268" s="84">
        <v>37020.5</v>
      </c>
      <c r="F268">
        <f t="shared" si="51"/>
        <v>41489.199999999997</v>
      </c>
      <c r="G268">
        <f t="shared" si="52"/>
        <v>39286.199999999997</v>
      </c>
      <c r="H268" s="37">
        <f t="shared" si="53"/>
        <v>5.6075670337166761E-2</v>
      </c>
      <c r="I268">
        <f t="shared" si="54"/>
        <v>-335.60000000000582</v>
      </c>
      <c r="J268">
        <v>7490.1</v>
      </c>
    </row>
    <row r="269" spans="1:10" x14ac:dyDescent="0.25">
      <c r="A269" s="62">
        <f t="shared" si="50"/>
        <v>40724</v>
      </c>
      <c r="B269">
        <v>3671.2</v>
      </c>
      <c r="C269">
        <v>2452.3000000000002</v>
      </c>
      <c r="D269" s="84">
        <v>38123.599999999999</v>
      </c>
      <c r="E269" s="84">
        <v>37096.5</v>
      </c>
      <c r="F269">
        <f t="shared" si="51"/>
        <v>41794.799999999996</v>
      </c>
      <c r="G269">
        <f t="shared" si="52"/>
        <v>39548.800000000003</v>
      </c>
      <c r="H269" s="37">
        <f t="shared" si="53"/>
        <v>5.6790597944817334E-2</v>
      </c>
      <c r="I269">
        <f t="shared" si="54"/>
        <v>305.59999999999854</v>
      </c>
      <c r="J269">
        <v>7619.1</v>
      </c>
    </row>
    <row r="270" spans="1:10" x14ac:dyDescent="0.25">
      <c r="A270" s="62">
        <f t="shared" si="50"/>
        <v>40731</v>
      </c>
      <c r="B270">
        <v>3434.8</v>
      </c>
      <c r="C270">
        <v>2912.3</v>
      </c>
      <c r="D270" s="84">
        <v>38364.300000000003</v>
      </c>
      <c r="E270" s="84">
        <v>37303</v>
      </c>
      <c r="F270">
        <f t="shared" si="51"/>
        <v>41799.100000000006</v>
      </c>
      <c r="G270">
        <f t="shared" si="52"/>
        <v>40215.300000000003</v>
      </c>
      <c r="H270" s="37">
        <f t="shared" si="53"/>
        <v>3.9383020890059406E-2</v>
      </c>
      <c r="I270">
        <f t="shared" si="54"/>
        <v>4.3000000000101863</v>
      </c>
      <c r="J270">
        <v>8271</v>
      </c>
    </row>
    <row r="271" spans="1:10" x14ac:dyDescent="0.25">
      <c r="A271" s="62">
        <f t="shared" si="50"/>
        <v>40738</v>
      </c>
      <c r="B271">
        <v>3555.9</v>
      </c>
      <c r="C271">
        <v>2749.3</v>
      </c>
      <c r="D271" s="84">
        <v>38500.1</v>
      </c>
      <c r="E271" s="84">
        <v>37577.800000000003</v>
      </c>
      <c r="F271">
        <f t="shared" si="51"/>
        <v>42056</v>
      </c>
      <c r="G271">
        <f t="shared" si="52"/>
        <v>40327.100000000006</v>
      </c>
      <c r="H271" s="37">
        <f t="shared" si="53"/>
        <v>4.2871914915776133E-2</v>
      </c>
      <c r="I271">
        <f t="shared" si="54"/>
        <v>256.89999999999418</v>
      </c>
      <c r="J271">
        <v>8460</v>
      </c>
    </row>
    <row r="272" spans="1:10" x14ac:dyDescent="0.25">
      <c r="A272" s="62">
        <f t="shared" si="50"/>
        <v>40745</v>
      </c>
      <c r="B272">
        <v>3371.3</v>
      </c>
      <c r="C272">
        <v>2909.7</v>
      </c>
      <c r="D272" s="84">
        <v>38695.300000000003</v>
      </c>
      <c r="E272" s="84">
        <v>37756.400000000001</v>
      </c>
      <c r="F272">
        <f t="shared" si="51"/>
        <v>42066.600000000006</v>
      </c>
      <c r="G272">
        <f t="shared" si="52"/>
        <v>40666.1</v>
      </c>
      <c r="H272" s="37">
        <f t="shared" si="53"/>
        <v>3.4439004477931467E-2</v>
      </c>
      <c r="I272">
        <f t="shared" si="54"/>
        <v>10.600000000005821</v>
      </c>
      <c r="J272">
        <v>8822.1</v>
      </c>
    </row>
    <row r="273" spans="1:10" x14ac:dyDescent="0.25">
      <c r="A273" s="62">
        <f t="shared" si="50"/>
        <v>40752</v>
      </c>
      <c r="B273">
        <v>2761.1</v>
      </c>
      <c r="C273">
        <v>2656.1</v>
      </c>
      <c r="D273" s="84">
        <v>38899.9</v>
      </c>
      <c r="E273" s="84">
        <v>38016.1</v>
      </c>
      <c r="F273">
        <f t="shared" si="51"/>
        <v>41661</v>
      </c>
      <c r="G273">
        <f t="shared" si="52"/>
        <v>40672.199999999997</v>
      </c>
      <c r="H273" s="37">
        <f t="shared" si="53"/>
        <v>2.4311446147491589E-2</v>
      </c>
      <c r="I273">
        <f t="shared" ref="I273:I279" si="55">+F273-F272</f>
        <v>-405.60000000000582</v>
      </c>
      <c r="J273">
        <v>9908</v>
      </c>
    </row>
    <row r="274" spans="1:10" x14ac:dyDescent="0.25">
      <c r="A274" s="62">
        <f t="shared" si="50"/>
        <v>40759</v>
      </c>
      <c r="B274">
        <v>2854.6</v>
      </c>
      <c r="C274">
        <v>2706.6</v>
      </c>
      <c r="D274" s="84">
        <v>39044.699999999997</v>
      </c>
      <c r="E274" s="84">
        <v>38241.699999999997</v>
      </c>
      <c r="F274">
        <f t="shared" si="51"/>
        <v>41899.299999999996</v>
      </c>
      <c r="G274">
        <f t="shared" si="52"/>
        <v>40948.299999999996</v>
      </c>
      <c r="H274" s="37">
        <f t="shared" ref="H274:H337" si="56">+F274/G274-1</f>
        <v>2.3224407362454569E-2</v>
      </c>
      <c r="I274">
        <f t="shared" si="55"/>
        <v>238.29999999999563</v>
      </c>
      <c r="J274">
        <v>10258.200000000001</v>
      </c>
    </row>
    <row r="275" spans="1:10" x14ac:dyDescent="0.25">
      <c r="A275" s="62">
        <f t="shared" si="50"/>
        <v>40766</v>
      </c>
      <c r="B275">
        <v>2888.3</v>
      </c>
      <c r="C275">
        <v>2391.1999999999998</v>
      </c>
      <c r="D275" s="84">
        <v>39235.300000000003</v>
      </c>
      <c r="E275" s="84">
        <v>38728.699999999997</v>
      </c>
      <c r="F275">
        <f t="shared" si="51"/>
        <v>42123.600000000006</v>
      </c>
      <c r="G275">
        <f t="shared" si="52"/>
        <v>41119.899999999994</v>
      </c>
      <c r="H275" s="37">
        <f t="shared" si="56"/>
        <v>2.4409106053273844E-2</v>
      </c>
      <c r="I275">
        <f t="shared" si="55"/>
        <v>224.30000000001019</v>
      </c>
      <c r="J275">
        <v>10455.299999999999</v>
      </c>
    </row>
    <row r="276" spans="1:10" x14ac:dyDescent="0.25">
      <c r="A276" s="62">
        <f t="shared" si="50"/>
        <v>40773</v>
      </c>
      <c r="B276">
        <v>2713.3</v>
      </c>
      <c r="C276">
        <v>2237.3000000000002</v>
      </c>
      <c r="D276" s="84">
        <v>39517.9</v>
      </c>
      <c r="E276" s="84">
        <v>39050.400000000001</v>
      </c>
      <c r="F276">
        <f t="shared" si="51"/>
        <v>42231.200000000004</v>
      </c>
      <c r="G276">
        <f t="shared" si="52"/>
        <v>41287.700000000004</v>
      </c>
      <c r="H276" s="37">
        <f t="shared" si="56"/>
        <v>2.2851842074031792E-2</v>
      </c>
      <c r="I276">
        <f t="shared" si="55"/>
        <v>107.59999999999854</v>
      </c>
      <c r="J276">
        <v>11005.4</v>
      </c>
    </row>
    <row r="277" spans="1:10" x14ac:dyDescent="0.25">
      <c r="A277" s="62">
        <f t="shared" si="50"/>
        <v>40780</v>
      </c>
      <c r="B277">
        <v>2477.6999999999998</v>
      </c>
      <c r="C277">
        <v>2003.6</v>
      </c>
      <c r="D277" s="84">
        <v>39753.4</v>
      </c>
      <c r="E277" s="84">
        <v>39285</v>
      </c>
      <c r="F277">
        <f t="shared" si="51"/>
        <v>42231.1</v>
      </c>
      <c r="G277">
        <f t="shared" si="52"/>
        <v>41288.6</v>
      </c>
      <c r="H277" s="37">
        <f t="shared" si="56"/>
        <v>2.2827124194087389E-2</v>
      </c>
      <c r="I277">
        <f t="shared" si="55"/>
        <v>-0.10000000000582077</v>
      </c>
      <c r="J277">
        <v>11599.2</v>
      </c>
    </row>
    <row r="278" spans="1:10" x14ac:dyDescent="0.25">
      <c r="A278" s="62">
        <f t="shared" si="50"/>
        <v>40787</v>
      </c>
      <c r="B278">
        <v>14283.6</v>
      </c>
      <c r="C278">
        <v>17705.400000000001</v>
      </c>
      <c r="D278" s="84">
        <v>42.4</v>
      </c>
      <c r="E278" s="84">
        <v>81.099999999999994</v>
      </c>
      <c r="F278">
        <f t="shared" si="51"/>
        <v>14326</v>
      </c>
      <c r="G278">
        <f t="shared" si="52"/>
        <v>17786.5</v>
      </c>
      <c r="H278" s="37">
        <f t="shared" si="56"/>
        <v>-0.194557670143086</v>
      </c>
      <c r="I278">
        <f t="shared" si="55"/>
        <v>-27905.1</v>
      </c>
    </row>
    <row r="279" spans="1:10" x14ac:dyDescent="0.25">
      <c r="A279" s="62">
        <f t="shared" si="50"/>
        <v>40794</v>
      </c>
      <c r="B279" s="84">
        <v>14332</v>
      </c>
      <c r="C279" s="84">
        <v>18200.7</v>
      </c>
      <c r="D279" s="84">
        <v>345.8</v>
      </c>
      <c r="E279" s="84">
        <v>254.4</v>
      </c>
      <c r="F279" s="84">
        <f t="shared" si="51"/>
        <v>14677.8</v>
      </c>
      <c r="G279">
        <f t="shared" si="52"/>
        <v>18455.100000000002</v>
      </c>
      <c r="H279" s="37">
        <f t="shared" si="56"/>
        <v>-0.20467513045174512</v>
      </c>
      <c r="I279">
        <f t="shared" si="55"/>
        <v>351.79999999999927</v>
      </c>
    </row>
    <row r="280" spans="1:10" x14ac:dyDescent="0.25">
      <c r="A280" s="62">
        <f t="shared" si="50"/>
        <v>40801</v>
      </c>
      <c r="B280" s="84">
        <v>14501.1</v>
      </c>
      <c r="C280" s="84">
        <v>18938.900000000001</v>
      </c>
      <c r="D280" s="84">
        <v>581.1</v>
      </c>
      <c r="E280" s="84">
        <v>600</v>
      </c>
      <c r="F280">
        <f t="shared" si="51"/>
        <v>15082.2</v>
      </c>
      <c r="G280">
        <f t="shared" si="52"/>
        <v>19538.900000000001</v>
      </c>
      <c r="H280" s="37">
        <f t="shared" si="56"/>
        <v>-0.22809370025948239</v>
      </c>
    </row>
    <row r="281" spans="1:10" x14ac:dyDescent="0.25">
      <c r="A281" s="62">
        <f t="shared" si="50"/>
        <v>40808</v>
      </c>
      <c r="B281" s="84">
        <v>15212.6</v>
      </c>
      <c r="C281" s="84">
        <v>20155.400000000001</v>
      </c>
      <c r="D281" s="84">
        <v>903</v>
      </c>
      <c r="E281" s="84">
        <v>1121.0999999999999</v>
      </c>
      <c r="F281">
        <f t="shared" si="51"/>
        <v>16115.6</v>
      </c>
      <c r="G281">
        <f t="shared" si="52"/>
        <v>21276.5</v>
      </c>
      <c r="H281" s="37">
        <f t="shared" si="56"/>
        <v>-0.24256339153526185</v>
      </c>
    </row>
    <row r="282" spans="1:10" x14ac:dyDescent="0.25">
      <c r="A282" s="62">
        <f t="shared" si="50"/>
        <v>40815</v>
      </c>
      <c r="B282" s="84">
        <v>15588.8</v>
      </c>
      <c r="C282" s="84">
        <v>20448.5</v>
      </c>
      <c r="D282" s="84">
        <v>1228.7</v>
      </c>
      <c r="E282" s="84">
        <v>1775.5</v>
      </c>
      <c r="F282">
        <f t="shared" si="51"/>
        <v>16817.5</v>
      </c>
      <c r="G282" s="123">
        <f t="shared" si="52"/>
        <v>22224</v>
      </c>
      <c r="H282" s="37">
        <f t="shared" si="56"/>
        <v>-0.24327303815694745</v>
      </c>
    </row>
    <row r="283" spans="1:10" ht="15" x14ac:dyDescent="0.35">
      <c r="A283" s="62">
        <f t="shared" si="50"/>
        <v>40822</v>
      </c>
      <c r="B283" s="85">
        <v>15658.3</v>
      </c>
      <c r="C283" s="84">
        <v>20368</v>
      </c>
      <c r="D283" s="84">
        <v>1831.5</v>
      </c>
      <c r="E283" s="84">
        <v>2933.9</v>
      </c>
      <c r="F283">
        <f t="shared" si="51"/>
        <v>17489.8</v>
      </c>
      <c r="G283">
        <f t="shared" si="52"/>
        <v>23301.9</v>
      </c>
      <c r="H283" s="37">
        <f t="shared" si="56"/>
        <v>-0.24942601247108609</v>
      </c>
    </row>
    <row r="284" spans="1:10" x14ac:dyDescent="0.25">
      <c r="A284" s="62">
        <f t="shared" si="50"/>
        <v>40829</v>
      </c>
      <c r="B284" s="84">
        <v>15084.2</v>
      </c>
      <c r="C284" s="84">
        <v>20760.400000000001</v>
      </c>
      <c r="D284" s="84">
        <v>3000.4</v>
      </c>
      <c r="E284" s="84">
        <v>4558.7</v>
      </c>
      <c r="F284">
        <f t="shared" si="51"/>
        <v>18084.600000000002</v>
      </c>
      <c r="G284">
        <f t="shared" si="52"/>
        <v>25319.100000000002</v>
      </c>
      <c r="H284" s="37">
        <f t="shared" si="56"/>
        <v>-0.28573290519805206</v>
      </c>
    </row>
    <row r="285" spans="1:10" x14ac:dyDescent="0.25">
      <c r="A285" s="62">
        <f t="shared" si="50"/>
        <v>40836</v>
      </c>
      <c r="B285" s="84">
        <v>14170.7</v>
      </c>
      <c r="C285" s="84">
        <v>20852.099999999999</v>
      </c>
      <c r="D285" s="84">
        <v>4141.5</v>
      </c>
      <c r="E285" s="84">
        <v>6492.8</v>
      </c>
      <c r="F285">
        <f t="shared" si="51"/>
        <v>18312.2</v>
      </c>
      <c r="G285">
        <f t="shared" si="52"/>
        <v>27344.899999999998</v>
      </c>
      <c r="H285" s="37">
        <f t="shared" si="56"/>
        <v>-0.33032485033772285</v>
      </c>
    </row>
    <row r="286" spans="1:10" x14ac:dyDescent="0.25">
      <c r="A286" s="62">
        <f t="shared" si="50"/>
        <v>40843</v>
      </c>
      <c r="B286" s="84">
        <v>11611.1</v>
      </c>
      <c r="C286" s="84">
        <v>15468.2</v>
      </c>
      <c r="D286" s="84">
        <v>5340.8</v>
      </c>
      <c r="E286" s="84">
        <v>8458.5</v>
      </c>
      <c r="F286">
        <f t="shared" si="51"/>
        <v>16951.900000000001</v>
      </c>
      <c r="G286">
        <f t="shared" si="52"/>
        <v>23926.7</v>
      </c>
      <c r="H286" s="37">
        <f t="shared" si="56"/>
        <v>-0.29150697756063304</v>
      </c>
    </row>
    <row r="287" spans="1:10" x14ac:dyDescent="0.25">
      <c r="A287" s="62">
        <f t="shared" si="50"/>
        <v>40850</v>
      </c>
      <c r="B287" s="84">
        <v>12561</v>
      </c>
      <c r="C287" s="84">
        <v>19603.3</v>
      </c>
      <c r="D287" s="84">
        <v>6564.9</v>
      </c>
      <c r="E287" s="84">
        <v>10136.9</v>
      </c>
      <c r="F287">
        <f t="shared" si="51"/>
        <v>19125.900000000001</v>
      </c>
      <c r="G287">
        <f t="shared" si="52"/>
        <v>29740.199999999997</v>
      </c>
      <c r="H287" s="37">
        <f t="shared" si="56"/>
        <v>-0.35690076058668052</v>
      </c>
    </row>
    <row r="288" spans="1:10" x14ac:dyDescent="0.25">
      <c r="A288" s="62">
        <f t="shared" si="50"/>
        <v>40857</v>
      </c>
      <c r="B288" s="84">
        <v>11878.5</v>
      </c>
      <c r="C288" s="84">
        <v>18842.900000000001</v>
      </c>
      <c r="D288" s="84">
        <v>7993.5</v>
      </c>
      <c r="E288" s="84">
        <v>11904.8</v>
      </c>
      <c r="F288" s="123">
        <f t="shared" si="51"/>
        <v>19872</v>
      </c>
      <c r="G288">
        <f t="shared" si="52"/>
        <v>30747.7</v>
      </c>
      <c r="H288" s="37">
        <f t="shared" si="56"/>
        <v>-0.35370775700296286</v>
      </c>
    </row>
    <row r="289" spans="1:9" x14ac:dyDescent="0.25">
      <c r="A289" s="62">
        <f t="shared" si="50"/>
        <v>40864</v>
      </c>
      <c r="B289" s="84">
        <v>11808.5</v>
      </c>
      <c r="C289" s="84">
        <v>17885</v>
      </c>
      <c r="D289" s="84">
        <v>8985.1</v>
      </c>
      <c r="E289" s="84">
        <v>13536.6</v>
      </c>
      <c r="F289">
        <f t="shared" si="51"/>
        <v>20793.599999999999</v>
      </c>
      <c r="G289">
        <f t="shared" si="52"/>
        <v>31421.599999999999</v>
      </c>
      <c r="H289" s="37">
        <f t="shared" si="56"/>
        <v>-0.33823866384907197</v>
      </c>
    </row>
    <row r="290" spans="1:9" x14ac:dyDescent="0.25">
      <c r="A290" s="62">
        <f t="shared" si="50"/>
        <v>40871</v>
      </c>
      <c r="B290" s="84">
        <v>11081</v>
      </c>
      <c r="C290" s="84">
        <v>17598.5</v>
      </c>
      <c r="D290" s="84">
        <v>10202.299999999999</v>
      </c>
      <c r="E290" s="84">
        <v>15164.6</v>
      </c>
      <c r="F290">
        <f t="shared" si="51"/>
        <v>21283.3</v>
      </c>
      <c r="G290">
        <f t="shared" si="52"/>
        <v>32763.1</v>
      </c>
      <c r="H290" s="37">
        <f t="shared" si="56"/>
        <v>-0.3503880890391935</v>
      </c>
    </row>
    <row r="291" spans="1:9" x14ac:dyDescent="0.25">
      <c r="A291" s="62">
        <f t="shared" si="50"/>
        <v>40878</v>
      </c>
      <c r="B291" s="84">
        <v>11004.8</v>
      </c>
      <c r="C291" s="84">
        <v>16741.5</v>
      </c>
      <c r="D291" s="84">
        <v>11048.9</v>
      </c>
      <c r="E291" s="84">
        <v>16659.400000000001</v>
      </c>
      <c r="F291">
        <f t="shared" si="51"/>
        <v>22053.699999999997</v>
      </c>
      <c r="G291">
        <f t="shared" si="52"/>
        <v>33400.9</v>
      </c>
      <c r="H291" s="37">
        <f t="shared" si="56"/>
        <v>-0.33972737261570807</v>
      </c>
    </row>
    <row r="292" spans="1:9" x14ac:dyDescent="0.25">
      <c r="A292" s="62">
        <f t="shared" si="50"/>
        <v>40885</v>
      </c>
      <c r="B292" s="84">
        <v>10465.1</v>
      </c>
      <c r="C292" s="84">
        <v>15477.8</v>
      </c>
      <c r="D292" s="84">
        <v>12057.2</v>
      </c>
      <c r="E292" s="84">
        <v>18007.8</v>
      </c>
      <c r="F292">
        <f t="shared" si="51"/>
        <v>22522.300000000003</v>
      </c>
      <c r="G292">
        <f t="shared" si="52"/>
        <v>33485.599999999999</v>
      </c>
      <c r="H292" s="37">
        <f t="shared" si="56"/>
        <v>-0.32740342117208576</v>
      </c>
    </row>
    <row r="293" spans="1:9" x14ac:dyDescent="0.25">
      <c r="A293" s="62">
        <f t="shared" si="50"/>
        <v>40892</v>
      </c>
      <c r="B293" s="84">
        <v>10184.299999999999</v>
      </c>
      <c r="C293" s="84">
        <v>14873.4</v>
      </c>
      <c r="D293" s="84">
        <v>12991.3</v>
      </c>
      <c r="E293" s="84">
        <v>19375.900000000001</v>
      </c>
      <c r="F293">
        <f t="shared" si="51"/>
        <v>23175.599999999999</v>
      </c>
      <c r="G293">
        <f t="shared" si="52"/>
        <v>34249.300000000003</v>
      </c>
      <c r="H293" s="37">
        <f t="shared" si="56"/>
        <v>-0.32332631615828655</v>
      </c>
    </row>
    <row r="294" spans="1:9" x14ac:dyDescent="0.25">
      <c r="A294" s="62">
        <f t="shared" si="50"/>
        <v>40899</v>
      </c>
      <c r="B294" s="84">
        <v>9778.5</v>
      </c>
      <c r="C294" s="84">
        <v>14622.7</v>
      </c>
      <c r="D294" s="84">
        <v>14059.8</v>
      </c>
      <c r="E294" s="84">
        <v>20289.400000000001</v>
      </c>
      <c r="F294">
        <f t="shared" si="51"/>
        <v>23838.3</v>
      </c>
      <c r="G294">
        <f t="shared" si="52"/>
        <v>34912.100000000006</v>
      </c>
      <c r="H294" s="37">
        <f t="shared" si="56"/>
        <v>-0.31719088797293793</v>
      </c>
    </row>
    <row r="295" spans="1:9" x14ac:dyDescent="0.25">
      <c r="A295" s="62">
        <f t="shared" si="50"/>
        <v>40906</v>
      </c>
      <c r="B295" s="84">
        <v>9032.1</v>
      </c>
      <c r="C295" s="84">
        <v>14129.3</v>
      </c>
      <c r="D295" s="84">
        <v>15087.5</v>
      </c>
      <c r="E295" s="84">
        <v>21272.1</v>
      </c>
      <c r="F295">
        <f t="shared" si="51"/>
        <v>24119.599999999999</v>
      </c>
      <c r="G295">
        <f t="shared" si="52"/>
        <v>35401.399999999994</v>
      </c>
      <c r="H295" s="37">
        <f t="shared" si="56"/>
        <v>-0.31868231199896047</v>
      </c>
    </row>
    <row r="296" spans="1:9" x14ac:dyDescent="0.25">
      <c r="A296" s="62">
        <f t="shared" si="50"/>
        <v>40913</v>
      </c>
      <c r="B296" s="84">
        <v>8679.1</v>
      </c>
      <c r="C296" s="84">
        <v>13674.1</v>
      </c>
      <c r="D296" s="84">
        <v>15874.4</v>
      </c>
      <c r="E296" s="84">
        <v>22147</v>
      </c>
      <c r="F296">
        <f t="shared" si="51"/>
        <v>24553.5</v>
      </c>
      <c r="G296">
        <f t="shared" si="52"/>
        <v>35821.1</v>
      </c>
      <c r="H296" s="37">
        <f t="shared" si="56"/>
        <v>-0.31455203776545104</v>
      </c>
      <c r="I296">
        <f t="shared" ref="I296:I365" si="57">+F296-F295</f>
        <v>433.90000000000146</v>
      </c>
    </row>
    <row r="297" spans="1:9" x14ac:dyDescent="0.25">
      <c r="A297" s="62">
        <f t="shared" si="50"/>
        <v>40920</v>
      </c>
      <c r="B297" s="84">
        <v>8591.6</v>
      </c>
      <c r="C297" s="84">
        <v>13061.7</v>
      </c>
      <c r="D297" s="84">
        <v>16952.900000000001</v>
      </c>
      <c r="E297" s="84">
        <v>23491.8</v>
      </c>
      <c r="F297">
        <f t="shared" si="51"/>
        <v>25544.5</v>
      </c>
      <c r="G297">
        <f t="shared" si="52"/>
        <v>36553.5</v>
      </c>
      <c r="H297" s="37">
        <f t="shared" si="56"/>
        <v>-0.30117499008302895</v>
      </c>
      <c r="I297">
        <f t="shared" si="57"/>
        <v>991</v>
      </c>
    </row>
    <row r="298" spans="1:9" x14ac:dyDescent="0.25">
      <c r="A298" s="62">
        <f t="shared" si="50"/>
        <v>40927</v>
      </c>
      <c r="B298" s="84">
        <v>7873.4</v>
      </c>
      <c r="C298" s="84">
        <v>12565.2</v>
      </c>
      <c r="D298" s="84">
        <v>18137.400000000001</v>
      </c>
      <c r="E298" s="84">
        <v>24769.3</v>
      </c>
      <c r="F298">
        <f t="shared" si="51"/>
        <v>26010.800000000003</v>
      </c>
      <c r="G298">
        <f t="shared" si="52"/>
        <v>37334.5</v>
      </c>
      <c r="H298" s="37">
        <f t="shared" si="56"/>
        <v>-0.30330391460981121</v>
      </c>
      <c r="I298">
        <f t="shared" si="57"/>
        <v>466.30000000000291</v>
      </c>
    </row>
    <row r="299" spans="1:9" x14ac:dyDescent="0.25">
      <c r="A299" s="62">
        <f t="shared" si="50"/>
        <v>40934</v>
      </c>
      <c r="B299" s="84">
        <v>7012.2</v>
      </c>
      <c r="C299" s="84">
        <v>12478.3</v>
      </c>
      <c r="D299" s="84">
        <v>19307</v>
      </c>
      <c r="E299" s="84">
        <v>25888.5</v>
      </c>
      <c r="F299">
        <f t="shared" si="51"/>
        <v>26319.200000000001</v>
      </c>
      <c r="G299">
        <f t="shared" si="52"/>
        <v>38366.800000000003</v>
      </c>
      <c r="H299" s="37">
        <f t="shared" si="56"/>
        <v>-0.3140110720727296</v>
      </c>
      <c r="I299">
        <f t="shared" si="57"/>
        <v>308.39999999999782</v>
      </c>
    </row>
    <row r="300" spans="1:9" x14ac:dyDescent="0.25">
      <c r="A300" s="62">
        <f t="shared" si="50"/>
        <v>40941</v>
      </c>
      <c r="B300" s="84">
        <v>6592.2</v>
      </c>
      <c r="C300" s="84">
        <v>11264.5</v>
      </c>
      <c r="D300" s="84">
        <v>20330.3</v>
      </c>
      <c r="E300" s="84">
        <v>27423.200000000001</v>
      </c>
      <c r="F300">
        <f t="shared" si="51"/>
        <v>26922.5</v>
      </c>
      <c r="G300">
        <f t="shared" si="52"/>
        <v>38687.699999999997</v>
      </c>
      <c r="H300" s="37">
        <f t="shared" si="56"/>
        <v>-0.30410699007694952</v>
      </c>
      <c r="I300">
        <f t="shared" si="57"/>
        <v>603.29999999999927</v>
      </c>
    </row>
    <row r="301" spans="1:9" x14ac:dyDescent="0.25">
      <c r="A301" s="62">
        <f t="shared" si="50"/>
        <v>40948</v>
      </c>
      <c r="B301" s="84">
        <v>6026.8</v>
      </c>
      <c r="C301" s="84">
        <v>10756</v>
      </c>
      <c r="D301" s="84">
        <v>21200.2</v>
      </c>
      <c r="E301" s="84">
        <v>28146.1</v>
      </c>
      <c r="F301">
        <f t="shared" si="51"/>
        <v>27227</v>
      </c>
      <c r="G301">
        <f t="shared" si="52"/>
        <v>38902.1</v>
      </c>
      <c r="H301" s="37">
        <f t="shared" si="56"/>
        <v>-0.30011490382267281</v>
      </c>
      <c r="I301">
        <f t="shared" si="57"/>
        <v>304.5</v>
      </c>
    </row>
    <row r="302" spans="1:9" x14ac:dyDescent="0.25">
      <c r="A302" s="62">
        <f t="shared" si="50"/>
        <v>40955</v>
      </c>
      <c r="B302" s="84">
        <v>5978.8</v>
      </c>
      <c r="C302" s="84">
        <v>9718.6</v>
      </c>
      <c r="D302" s="84">
        <v>22407.7</v>
      </c>
      <c r="E302" s="84">
        <v>29318.1</v>
      </c>
      <c r="F302">
        <f t="shared" si="51"/>
        <v>28386.5</v>
      </c>
      <c r="G302">
        <f t="shared" si="52"/>
        <v>39036.699999999997</v>
      </c>
      <c r="H302" s="37">
        <f t="shared" si="56"/>
        <v>-0.27282531566448998</v>
      </c>
      <c r="I302">
        <f t="shared" si="57"/>
        <v>1159.5</v>
      </c>
    </row>
    <row r="303" spans="1:9" x14ac:dyDescent="0.25">
      <c r="A303" s="62">
        <f t="shared" si="50"/>
        <v>40962</v>
      </c>
      <c r="B303" s="84">
        <v>5548</v>
      </c>
      <c r="C303" s="84">
        <v>8386.7000000000007</v>
      </c>
      <c r="D303" s="84">
        <v>23387.5</v>
      </c>
      <c r="E303" s="84">
        <v>31011.599999999999</v>
      </c>
      <c r="F303">
        <f t="shared" si="51"/>
        <v>28935.5</v>
      </c>
      <c r="G303">
        <f t="shared" si="52"/>
        <v>39398.300000000003</v>
      </c>
      <c r="H303" s="37">
        <f t="shared" si="56"/>
        <v>-0.26556475787026346</v>
      </c>
      <c r="I303">
        <f t="shared" si="57"/>
        <v>549</v>
      </c>
    </row>
    <row r="304" spans="1:9" x14ac:dyDescent="0.25">
      <c r="A304" s="62">
        <f t="shared" si="50"/>
        <v>40969</v>
      </c>
      <c r="B304" s="84">
        <v>5487.2</v>
      </c>
      <c r="C304" s="84">
        <v>8066.1</v>
      </c>
      <c r="D304" s="84">
        <v>24387.599999999999</v>
      </c>
      <c r="E304" s="84">
        <v>31744.400000000001</v>
      </c>
      <c r="F304">
        <f t="shared" si="51"/>
        <v>29874.799999999999</v>
      </c>
      <c r="G304">
        <f t="shared" si="52"/>
        <v>39810.5</v>
      </c>
      <c r="H304" s="37">
        <f t="shared" si="56"/>
        <v>-0.24957486090353054</v>
      </c>
      <c r="I304">
        <f t="shared" si="57"/>
        <v>939.29999999999927</v>
      </c>
    </row>
    <row r="305" spans="1:11" x14ac:dyDescent="0.25">
      <c r="A305" s="62">
        <f t="shared" si="50"/>
        <v>40976</v>
      </c>
      <c r="B305" s="84">
        <v>5386.9</v>
      </c>
      <c r="C305" s="84">
        <v>7374.2</v>
      </c>
      <c r="D305" s="84">
        <v>25097.7</v>
      </c>
      <c r="E305" s="84">
        <v>32583.1</v>
      </c>
      <c r="F305">
        <f t="shared" si="51"/>
        <v>30484.6</v>
      </c>
      <c r="G305">
        <f t="shared" si="52"/>
        <v>39957.299999999996</v>
      </c>
      <c r="H305" s="37">
        <f t="shared" si="56"/>
        <v>-0.2370705728365029</v>
      </c>
      <c r="I305">
        <f t="shared" si="57"/>
        <v>609.79999999999927</v>
      </c>
    </row>
    <row r="306" spans="1:11" x14ac:dyDescent="0.25">
      <c r="A306" s="62">
        <f t="shared" si="50"/>
        <v>40983</v>
      </c>
      <c r="B306" s="84">
        <v>5133.3999999999996</v>
      </c>
      <c r="C306" s="84">
        <v>6822.9</v>
      </c>
      <c r="D306" s="84">
        <v>25707.8</v>
      </c>
      <c r="E306" s="84">
        <v>33398.800000000003</v>
      </c>
      <c r="F306">
        <f t="shared" si="51"/>
        <v>30841.199999999997</v>
      </c>
      <c r="G306">
        <f t="shared" si="52"/>
        <v>40221.700000000004</v>
      </c>
      <c r="H306" s="37">
        <f t="shared" si="56"/>
        <v>-0.23321987882163131</v>
      </c>
      <c r="I306">
        <f t="shared" si="57"/>
        <v>356.59999999999854</v>
      </c>
    </row>
    <row r="307" spans="1:11" x14ac:dyDescent="0.25">
      <c r="A307" s="62">
        <f t="shared" si="50"/>
        <v>40990</v>
      </c>
      <c r="B307" s="84">
        <v>5044</v>
      </c>
      <c r="C307" s="84">
        <v>6139.2</v>
      </c>
      <c r="D307" s="84">
        <v>26269.200000000001</v>
      </c>
      <c r="E307" s="84">
        <v>34227.300000000003</v>
      </c>
      <c r="F307">
        <f t="shared" si="51"/>
        <v>31313.200000000001</v>
      </c>
      <c r="G307">
        <f t="shared" si="52"/>
        <v>40366.5</v>
      </c>
      <c r="H307" s="37">
        <f t="shared" si="56"/>
        <v>-0.22427755688504081</v>
      </c>
      <c r="I307">
        <f t="shared" si="57"/>
        <v>472.00000000000364</v>
      </c>
    </row>
    <row r="308" spans="1:11" x14ac:dyDescent="0.25">
      <c r="A308" s="62">
        <f t="shared" si="50"/>
        <v>40997</v>
      </c>
      <c r="B308" s="84">
        <v>4595.3</v>
      </c>
      <c r="C308" s="84">
        <v>5566.9</v>
      </c>
      <c r="D308" s="84">
        <v>27124.7</v>
      </c>
      <c r="E308" s="84">
        <v>34875.800000000003</v>
      </c>
      <c r="F308">
        <f t="shared" si="51"/>
        <v>31720</v>
      </c>
      <c r="G308">
        <f t="shared" si="52"/>
        <v>40442.700000000004</v>
      </c>
      <c r="H308" s="37">
        <f t="shared" si="56"/>
        <v>-0.21568045654716439</v>
      </c>
      <c r="I308">
        <f t="shared" si="57"/>
        <v>406.79999999999927</v>
      </c>
    </row>
    <row r="309" spans="1:11" x14ac:dyDescent="0.25">
      <c r="A309" s="62">
        <f t="shared" si="50"/>
        <v>41004</v>
      </c>
      <c r="B309" s="84">
        <v>4281.6000000000004</v>
      </c>
      <c r="C309" s="84">
        <v>5142.2</v>
      </c>
      <c r="D309" s="84">
        <v>27898.6</v>
      </c>
      <c r="E309" s="84">
        <v>35430.699999999997</v>
      </c>
      <c r="F309">
        <f t="shared" si="51"/>
        <v>32180.199999999997</v>
      </c>
      <c r="G309">
        <f t="shared" si="52"/>
        <v>40572.899999999994</v>
      </c>
      <c r="H309" s="37">
        <f t="shared" si="56"/>
        <v>-0.20685482181456094</v>
      </c>
      <c r="I309">
        <f t="shared" si="57"/>
        <v>460.19999999999709</v>
      </c>
    </row>
    <row r="310" spans="1:11" x14ac:dyDescent="0.25">
      <c r="A310" s="62">
        <f t="shared" si="50"/>
        <v>41011</v>
      </c>
      <c r="B310" s="84">
        <v>4162.3</v>
      </c>
      <c r="C310" s="84">
        <v>5048.1000000000004</v>
      </c>
      <c r="D310" s="84">
        <v>28392.1</v>
      </c>
      <c r="E310" s="84">
        <v>35873.699999999997</v>
      </c>
      <c r="F310">
        <f t="shared" si="51"/>
        <v>32554.399999999998</v>
      </c>
      <c r="G310">
        <f t="shared" si="52"/>
        <v>40921.799999999996</v>
      </c>
      <c r="H310" s="37">
        <f t="shared" si="56"/>
        <v>-0.20447292152349117</v>
      </c>
      <c r="I310">
        <f t="shared" si="57"/>
        <v>374.20000000000073</v>
      </c>
    </row>
    <row r="311" spans="1:11" x14ac:dyDescent="0.25">
      <c r="A311" s="62">
        <f t="shared" si="50"/>
        <v>41018</v>
      </c>
      <c r="B311" s="84">
        <v>4742</v>
      </c>
      <c r="C311" s="84">
        <v>4921.3</v>
      </c>
      <c r="D311" s="84">
        <v>28677.599999999999</v>
      </c>
      <c r="E311" s="84">
        <v>36144</v>
      </c>
      <c r="F311">
        <f t="shared" si="51"/>
        <v>33419.599999999999</v>
      </c>
      <c r="G311">
        <f t="shared" si="52"/>
        <v>41065.300000000003</v>
      </c>
      <c r="H311" s="37">
        <f t="shared" si="56"/>
        <v>-0.18618395579723035</v>
      </c>
      <c r="I311">
        <f t="shared" si="57"/>
        <v>865.20000000000073</v>
      </c>
    </row>
    <row r="312" spans="1:11" x14ac:dyDescent="0.25">
      <c r="A312" s="62">
        <f t="shared" si="50"/>
        <v>41025</v>
      </c>
      <c r="B312" s="84">
        <v>4903.8</v>
      </c>
      <c r="C312" s="84">
        <v>4742.2</v>
      </c>
      <c r="D312" s="84">
        <v>29113.7</v>
      </c>
      <c r="E312" s="84">
        <v>36344.1</v>
      </c>
      <c r="F312">
        <f t="shared" si="51"/>
        <v>34017.5</v>
      </c>
      <c r="G312">
        <f t="shared" si="52"/>
        <v>41086.299999999996</v>
      </c>
      <c r="H312" s="37">
        <f t="shared" si="56"/>
        <v>-0.17204761684551773</v>
      </c>
      <c r="I312">
        <f t="shared" si="57"/>
        <v>597.90000000000146</v>
      </c>
    </row>
    <row r="313" spans="1:11" x14ac:dyDescent="0.25">
      <c r="A313" s="62">
        <f t="shared" si="50"/>
        <v>41032</v>
      </c>
      <c r="B313" s="84">
        <v>5064.6000000000004</v>
      </c>
      <c r="C313" s="84">
        <v>4620.6000000000004</v>
      </c>
      <c r="D313" s="84">
        <v>29419.4</v>
      </c>
      <c r="E313" s="84">
        <v>36524.699999999997</v>
      </c>
      <c r="F313">
        <f t="shared" si="51"/>
        <v>34484</v>
      </c>
      <c r="G313">
        <f t="shared" si="52"/>
        <v>41145.299999999996</v>
      </c>
      <c r="H313" s="37">
        <f t="shared" si="56"/>
        <v>-0.16189698458876223</v>
      </c>
      <c r="I313">
        <f t="shared" si="57"/>
        <v>466.5</v>
      </c>
      <c r="J313">
        <v>10311.299999999999</v>
      </c>
    </row>
    <row r="314" spans="1:11" x14ac:dyDescent="0.25">
      <c r="A314" s="62">
        <f t="shared" si="50"/>
        <v>41039</v>
      </c>
      <c r="B314" s="84">
        <v>5111</v>
      </c>
      <c r="C314" s="84">
        <v>4670.6000000000004</v>
      </c>
      <c r="D314" s="84">
        <v>29989.200000000001</v>
      </c>
      <c r="E314" s="84">
        <v>36640.800000000003</v>
      </c>
      <c r="F314">
        <f t="shared" si="51"/>
        <v>35100.199999999997</v>
      </c>
      <c r="G314">
        <f t="shared" si="52"/>
        <v>41311.4</v>
      </c>
      <c r="H314" s="37">
        <f t="shared" si="56"/>
        <v>-0.15035075064025916</v>
      </c>
      <c r="I314">
        <f t="shared" si="57"/>
        <v>616.19999999999709</v>
      </c>
      <c r="J314">
        <v>10368.4</v>
      </c>
    </row>
    <row r="315" spans="1:11" x14ac:dyDescent="0.25">
      <c r="A315" s="62">
        <f t="shared" si="50"/>
        <v>41046</v>
      </c>
      <c r="B315" s="84">
        <v>5509.8</v>
      </c>
      <c r="C315" s="84">
        <v>4421.8999999999996</v>
      </c>
      <c r="D315" s="84">
        <v>30390.6</v>
      </c>
      <c r="E315" s="84">
        <v>37052.6</v>
      </c>
      <c r="F315">
        <f t="shared" si="51"/>
        <v>35900.400000000001</v>
      </c>
      <c r="G315">
        <f t="shared" si="52"/>
        <v>41474.5</v>
      </c>
      <c r="H315" s="37">
        <f t="shared" si="56"/>
        <v>-0.13439824470457751</v>
      </c>
      <c r="I315">
        <f t="shared" si="57"/>
        <v>800.20000000000437</v>
      </c>
      <c r="J315">
        <v>10521.9</v>
      </c>
    </row>
    <row r="316" spans="1:11" x14ac:dyDescent="0.25">
      <c r="A316" s="62">
        <f t="shared" ref="A316:A379" si="58">+A315+7</f>
        <v>41053</v>
      </c>
      <c r="B316" s="84">
        <v>5442.1</v>
      </c>
      <c r="C316" s="84">
        <v>4239.5</v>
      </c>
      <c r="D316" s="84">
        <v>30699</v>
      </c>
      <c r="E316" s="84">
        <v>37317.5</v>
      </c>
      <c r="F316">
        <f t="shared" si="51"/>
        <v>36141.1</v>
      </c>
      <c r="G316">
        <f t="shared" si="52"/>
        <v>41557</v>
      </c>
      <c r="H316" s="37">
        <f t="shared" si="56"/>
        <v>-0.13032461438506149</v>
      </c>
      <c r="I316">
        <f t="shared" si="57"/>
        <v>240.69999999999709</v>
      </c>
      <c r="J316">
        <v>10699.9</v>
      </c>
    </row>
    <row r="317" spans="1:11" x14ac:dyDescent="0.25">
      <c r="A317" s="62">
        <f t="shared" si="58"/>
        <v>41060</v>
      </c>
      <c r="B317" s="84">
        <v>5222.5</v>
      </c>
      <c r="C317" s="84">
        <v>4186.8999999999996</v>
      </c>
      <c r="D317" s="84">
        <v>31138.9</v>
      </c>
      <c r="E317" s="84">
        <v>37490.6</v>
      </c>
      <c r="F317">
        <f t="shared" si="51"/>
        <v>36361.4</v>
      </c>
      <c r="G317">
        <f t="shared" si="52"/>
        <v>41677.5</v>
      </c>
      <c r="H317" s="37">
        <f t="shared" si="56"/>
        <v>-0.1275532361585987</v>
      </c>
      <c r="I317">
        <f t="shared" si="57"/>
        <v>220.30000000000291</v>
      </c>
      <c r="J317">
        <v>10974.9</v>
      </c>
    </row>
    <row r="318" spans="1:11" s="126" customFormat="1" x14ac:dyDescent="0.25">
      <c r="A318" s="161">
        <f t="shared" si="58"/>
        <v>41067</v>
      </c>
      <c r="B318" s="162">
        <v>5271.7</v>
      </c>
      <c r="C318" s="162">
        <v>4223.2</v>
      </c>
      <c r="D318" s="162">
        <v>31514.7</v>
      </c>
      <c r="E318" s="162">
        <v>37633.699999999997</v>
      </c>
      <c r="F318" s="126">
        <f t="shared" si="51"/>
        <v>36786.400000000001</v>
      </c>
      <c r="G318" s="126">
        <f t="shared" si="52"/>
        <v>41856.899999999994</v>
      </c>
      <c r="H318" s="163">
        <f t="shared" si="56"/>
        <v>-0.12113892810982163</v>
      </c>
      <c r="I318" s="126">
        <f t="shared" si="57"/>
        <v>425</v>
      </c>
      <c r="J318" s="126">
        <v>11555</v>
      </c>
    </row>
    <row r="319" spans="1:11" x14ac:dyDescent="0.25">
      <c r="A319" s="62">
        <f t="shared" si="58"/>
        <v>41074</v>
      </c>
      <c r="B319" s="84">
        <v>5001.8999999999996</v>
      </c>
      <c r="C319" s="84">
        <v>4007</v>
      </c>
      <c r="D319" s="84">
        <v>31948.3</v>
      </c>
      <c r="E319" s="84">
        <v>37817.800000000003</v>
      </c>
      <c r="F319">
        <f t="shared" si="51"/>
        <v>36950.199999999997</v>
      </c>
      <c r="G319">
        <f t="shared" si="52"/>
        <v>41824.800000000003</v>
      </c>
      <c r="H319" s="37">
        <f t="shared" si="56"/>
        <v>-0.11654807673915968</v>
      </c>
      <c r="I319">
        <f t="shared" si="57"/>
        <v>163.79999999999563</v>
      </c>
      <c r="J319">
        <v>11999.1</v>
      </c>
    </row>
    <row r="320" spans="1:11" x14ac:dyDescent="0.25">
      <c r="A320" s="62">
        <f t="shared" si="58"/>
        <v>41081</v>
      </c>
      <c r="B320" s="84">
        <v>5151.2</v>
      </c>
      <c r="C320" s="84">
        <v>3516.7</v>
      </c>
      <c r="D320" s="84">
        <v>32179.4</v>
      </c>
      <c r="E320" s="84">
        <v>37972.5</v>
      </c>
      <c r="F320">
        <f t="shared" si="51"/>
        <v>37330.6</v>
      </c>
      <c r="G320">
        <f t="shared" si="52"/>
        <v>41489.199999999997</v>
      </c>
      <c r="H320" s="37">
        <f t="shared" si="56"/>
        <v>-0.10023331372983812</v>
      </c>
      <c r="I320">
        <f t="shared" si="57"/>
        <v>380.40000000000146</v>
      </c>
      <c r="J320">
        <v>12388.3</v>
      </c>
      <c r="K320">
        <f>+G320-G319</f>
        <v>-335.60000000000582</v>
      </c>
    </row>
    <row r="321" spans="1:14" x14ac:dyDescent="0.25">
      <c r="A321" s="62">
        <f t="shared" si="58"/>
        <v>41088</v>
      </c>
      <c r="B321" s="84">
        <v>5052.5</v>
      </c>
      <c r="C321" s="84">
        <v>3671.2</v>
      </c>
      <c r="D321" s="84">
        <v>32576.7</v>
      </c>
      <c r="E321">
        <v>38123.599999999999</v>
      </c>
      <c r="F321">
        <f t="shared" si="51"/>
        <v>37629.199999999997</v>
      </c>
      <c r="G321">
        <f t="shared" si="52"/>
        <v>41794.799999999996</v>
      </c>
      <c r="H321" s="37">
        <f t="shared" si="56"/>
        <v>-9.9667901270014458E-2</v>
      </c>
      <c r="I321">
        <f t="shared" si="57"/>
        <v>298.59999999999854</v>
      </c>
      <c r="J321">
        <v>13853</v>
      </c>
    </row>
    <row r="322" spans="1:14" x14ac:dyDescent="0.25">
      <c r="A322" s="62">
        <f t="shared" si="58"/>
        <v>41095</v>
      </c>
      <c r="B322" s="84">
        <v>4951.3999999999996</v>
      </c>
      <c r="C322" s="84">
        <v>3434.8</v>
      </c>
      <c r="D322" s="84">
        <v>33009.9</v>
      </c>
      <c r="E322" s="84">
        <v>38364.300000000003</v>
      </c>
      <c r="F322">
        <f t="shared" si="51"/>
        <v>37961.300000000003</v>
      </c>
      <c r="G322">
        <f t="shared" si="52"/>
        <v>41799.100000000006</v>
      </c>
      <c r="H322" s="37">
        <f t="shared" si="56"/>
        <v>-9.18153740152301E-2</v>
      </c>
      <c r="I322">
        <f t="shared" si="57"/>
        <v>332.10000000000582</v>
      </c>
      <c r="J322">
        <v>14280.1</v>
      </c>
    </row>
    <row r="323" spans="1:14" ht="13.8" x14ac:dyDescent="0.3">
      <c r="A323" s="62">
        <f t="shared" si="58"/>
        <v>41102</v>
      </c>
      <c r="B323" s="84">
        <v>4668.7</v>
      </c>
      <c r="C323" s="84">
        <v>3555.9</v>
      </c>
      <c r="D323" s="84">
        <v>33427.9</v>
      </c>
      <c r="E323" s="84">
        <v>38500.1</v>
      </c>
      <c r="F323">
        <f t="shared" si="51"/>
        <v>38096.6</v>
      </c>
      <c r="G323">
        <f t="shared" si="52"/>
        <v>42056</v>
      </c>
      <c r="H323" s="37">
        <f t="shared" si="56"/>
        <v>-9.414590070382356E-2</v>
      </c>
      <c r="I323">
        <f t="shared" si="57"/>
        <v>135.29999999999563</v>
      </c>
      <c r="J323" s="134">
        <v>14552.4</v>
      </c>
    </row>
    <row r="324" spans="1:14" x14ac:dyDescent="0.25">
      <c r="A324" s="62">
        <f t="shared" si="58"/>
        <v>41109</v>
      </c>
      <c r="B324" s="84">
        <v>4386.3</v>
      </c>
      <c r="C324" s="84">
        <v>3371.3</v>
      </c>
      <c r="D324" s="84">
        <v>33903.599999999999</v>
      </c>
      <c r="E324" s="84">
        <v>38695.300000000003</v>
      </c>
      <c r="F324">
        <f t="shared" si="51"/>
        <v>38289.9</v>
      </c>
      <c r="G324">
        <f t="shared" si="52"/>
        <v>42066.600000000006</v>
      </c>
      <c r="H324" s="37">
        <f t="shared" si="56"/>
        <v>-8.9779064626092975E-2</v>
      </c>
      <c r="I324">
        <f t="shared" si="57"/>
        <v>193.30000000000291</v>
      </c>
      <c r="J324">
        <v>15069.7</v>
      </c>
    </row>
    <row r="325" spans="1:14" x14ac:dyDescent="0.25">
      <c r="A325" s="62">
        <f t="shared" si="58"/>
        <v>41116</v>
      </c>
      <c r="B325" s="84">
        <v>4135.3</v>
      </c>
      <c r="C325" s="84">
        <v>2761.1</v>
      </c>
      <c r="D325" s="84">
        <v>34348.699999999997</v>
      </c>
      <c r="E325" s="84">
        <v>38899.9</v>
      </c>
      <c r="F325">
        <f t="shared" si="51"/>
        <v>38484</v>
      </c>
      <c r="G325">
        <f t="shared" si="52"/>
        <v>41661</v>
      </c>
      <c r="H325" s="37">
        <f t="shared" si="56"/>
        <v>-7.6258371138474779E-2</v>
      </c>
      <c r="I325">
        <f t="shared" si="57"/>
        <v>194.09999999999854</v>
      </c>
      <c r="J325">
        <v>15122.1</v>
      </c>
    </row>
    <row r="326" spans="1:14" x14ac:dyDescent="0.25">
      <c r="A326" s="62">
        <f t="shared" si="58"/>
        <v>41123</v>
      </c>
      <c r="B326" s="84">
        <v>3880</v>
      </c>
      <c r="C326" s="84">
        <v>2854.6</v>
      </c>
      <c r="D326" s="84">
        <v>34709.1</v>
      </c>
      <c r="E326" s="84">
        <v>39044.699999999997</v>
      </c>
      <c r="F326">
        <f t="shared" si="51"/>
        <v>38589.1</v>
      </c>
      <c r="G326">
        <f t="shared" si="52"/>
        <v>41899.299999999996</v>
      </c>
      <c r="H326" s="37">
        <f t="shared" si="56"/>
        <v>-7.9003706505836546E-2</v>
      </c>
      <c r="I326">
        <f t="shared" si="57"/>
        <v>105.09999999999854</v>
      </c>
      <c r="J326">
        <v>15317.3</v>
      </c>
    </row>
    <row r="327" spans="1:14" x14ac:dyDescent="0.25">
      <c r="A327" s="62">
        <f t="shared" si="58"/>
        <v>41130</v>
      </c>
      <c r="B327" s="84">
        <v>3506.9</v>
      </c>
      <c r="C327" s="84">
        <v>2888.3</v>
      </c>
      <c r="D327" s="84">
        <v>35179.4</v>
      </c>
      <c r="E327" s="84">
        <v>39235.300000000003</v>
      </c>
      <c r="F327">
        <f t="shared" si="51"/>
        <v>38686.300000000003</v>
      </c>
      <c r="G327">
        <f t="shared" si="52"/>
        <v>42123.600000000006</v>
      </c>
      <c r="H327" s="37">
        <f t="shared" si="56"/>
        <v>-8.160033805277811E-2</v>
      </c>
      <c r="I327">
        <f t="shared" si="57"/>
        <v>97.200000000004366</v>
      </c>
      <c r="J327">
        <v>16241.9</v>
      </c>
    </row>
    <row r="328" spans="1:14" x14ac:dyDescent="0.25">
      <c r="A328" s="62">
        <f t="shared" si="58"/>
        <v>41137</v>
      </c>
      <c r="B328" s="84">
        <v>3042.6</v>
      </c>
      <c r="C328" s="84">
        <v>2713.3</v>
      </c>
      <c r="D328" s="84">
        <v>35776.6</v>
      </c>
      <c r="E328" s="84">
        <v>39517.9</v>
      </c>
      <c r="F328">
        <f t="shared" si="51"/>
        <v>38819.199999999997</v>
      </c>
      <c r="G328">
        <f t="shared" si="52"/>
        <v>42231.200000000004</v>
      </c>
      <c r="H328" s="37">
        <f t="shared" si="56"/>
        <v>-8.0793347098827573E-2</v>
      </c>
      <c r="I328">
        <f t="shared" si="57"/>
        <v>132.89999999999418</v>
      </c>
      <c r="J328">
        <v>16827.7</v>
      </c>
      <c r="K328">
        <f>16.82/30.21</f>
        <v>0.556769281694803</v>
      </c>
    </row>
    <row r="329" spans="1:14" x14ac:dyDescent="0.25">
      <c r="A329" s="62">
        <f t="shared" si="58"/>
        <v>41144</v>
      </c>
      <c r="B329" s="84">
        <v>2496.8000000000002</v>
      </c>
      <c r="C329" s="84">
        <v>2477.6999999999998</v>
      </c>
      <c r="D329" s="84">
        <v>36312.400000000001</v>
      </c>
      <c r="E329" s="84">
        <v>39753.4</v>
      </c>
      <c r="F329">
        <f t="shared" si="51"/>
        <v>38809.200000000004</v>
      </c>
      <c r="G329">
        <f t="shared" si="52"/>
        <v>42231.1</v>
      </c>
      <c r="H329" s="37">
        <f t="shared" si="56"/>
        <v>-8.1027962804662734E-2</v>
      </c>
      <c r="I329">
        <f t="shared" si="57"/>
        <v>-9.999999999992724</v>
      </c>
      <c r="J329">
        <v>17559.099999999999</v>
      </c>
    </row>
    <row r="330" spans="1:14" x14ac:dyDescent="0.25">
      <c r="A330" s="62">
        <f t="shared" si="58"/>
        <v>41151</v>
      </c>
      <c r="B330" s="84">
        <v>2087.6</v>
      </c>
      <c r="C330" s="84">
        <v>14283.6</v>
      </c>
      <c r="D330" s="84">
        <v>36726.6</v>
      </c>
      <c r="E330" s="84">
        <v>42.4</v>
      </c>
      <c r="F330">
        <f t="shared" si="51"/>
        <v>38814.199999999997</v>
      </c>
      <c r="G330">
        <f t="shared" si="52"/>
        <v>14326</v>
      </c>
      <c r="H330" s="37">
        <f t="shared" si="56"/>
        <v>1.7093536227837496</v>
      </c>
      <c r="I330">
        <f t="shared" si="57"/>
        <v>4.999999999992724</v>
      </c>
      <c r="J330">
        <v>18079.7</v>
      </c>
    </row>
    <row r="331" spans="1:14" s="88" customFormat="1" x14ac:dyDescent="0.25">
      <c r="A331" s="87">
        <f t="shared" si="58"/>
        <v>41158</v>
      </c>
      <c r="B331" s="158">
        <v>20385.3</v>
      </c>
      <c r="C331" s="158">
        <v>14283.6</v>
      </c>
      <c r="D331" s="158">
        <v>339.4</v>
      </c>
      <c r="E331" s="158">
        <v>42.4</v>
      </c>
      <c r="F331" s="88">
        <f t="shared" ref="F331:F394" si="59">+B331+D331</f>
        <v>20724.7</v>
      </c>
      <c r="G331" s="88">
        <f t="shared" ref="G331:G394" si="60">+C331+E331</f>
        <v>14326</v>
      </c>
      <c r="H331" s="131">
        <f t="shared" si="56"/>
        <v>0.44664944855507471</v>
      </c>
      <c r="M331" s="159">
        <f t="shared" ref="M331:M362" si="61">AVERAGE(F174,F226,F278)</f>
        <v>16419.899999999998</v>
      </c>
      <c r="N331" s="159">
        <f t="shared" ref="N331:N362" si="62">AVERAGE(D174,D226,D278)</f>
        <v>107.76666666666665</v>
      </c>
    </row>
    <row r="332" spans="1:14" x14ac:dyDescent="0.25">
      <c r="A332" s="62">
        <f t="shared" si="58"/>
        <v>41165</v>
      </c>
      <c r="B332" s="84">
        <v>20825</v>
      </c>
      <c r="C332" s="84">
        <v>14507.1</v>
      </c>
      <c r="D332" s="84">
        <v>612</v>
      </c>
      <c r="E332" s="84">
        <v>581.1</v>
      </c>
      <c r="F332">
        <f t="shared" si="59"/>
        <v>21437</v>
      </c>
      <c r="G332">
        <f t="shared" si="60"/>
        <v>15088.2</v>
      </c>
      <c r="H332" s="37">
        <f t="shared" si="56"/>
        <v>0.42077915192004345</v>
      </c>
      <c r="I332">
        <f t="shared" si="57"/>
        <v>712.29999999999927</v>
      </c>
      <c r="M332" s="160">
        <f t="shared" si="61"/>
        <v>16856.533333333336</v>
      </c>
      <c r="N332" s="160">
        <f t="shared" si="62"/>
        <v>288</v>
      </c>
    </row>
    <row r="333" spans="1:14" x14ac:dyDescent="0.25">
      <c r="A333" s="62">
        <f t="shared" si="58"/>
        <v>41172</v>
      </c>
      <c r="B333" s="84">
        <v>21295.599999999999</v>
      </c>
      <c r="C333" s="84">
        <v>15212.6</v>
      </c>
      <c r="D333" s="84">
        <v>940.9</v>
      </c>
      <c r="E333" s="84">
        <v>903</v>
      </c>
      <c r="F333">
        <f t="shared" si="59"/>
        <v>22236.5</v>
      </c>
      <c r="G333">
        <f t="shared" si="60"/>
        <v>16115.6</v>
      </c>
      <c r="H333" s="37">
        <f t="shared" si="56"/>
        <v>0.37981210752314531</v>
      </c>
      <c r="I333">
        <f t="shared" si="57"/>
        <v>799.5</v>
      </c>
      <c r="M333" s="160">
        <f t="shared" si="61"/>
        <v>17801.233333333334</v>
      </c>
      <c r="N333" s="160">
        <f t="shared" si="62"/>
        <v>574</v>
      </c>
    </row>
    <row r="334" spans="1:14" x14ac:dyDescent="0.25">
      <c r="A334" s="62">
        <f t="shared" si="58"/>
        <v>41179</v>
      </c>
      <c r="B334" s="84">
        <v>21415.3</v>
      </c>
      <c r="C334" s="84">
        <v>15588.8</v>
      </c>
      <c r="D334" s="84">
        <v>2052.6</v>
      </c>
      <c r="E334" s="84">
        <v>1128.7</v>
      </c>
      <c r="F334">
        <f t="shared" si="59"/>
        <v>23467.899999999998</v>
      </c>
      <c r="G334">
        <f t="shared" si="60"/>
        <v>16717.5</v>
      </c>
      <c r="H334" s="37">
        <f t="shared" si="56"/>
        <v>0.4037924330791085</v>
      </c>
      <c r="I334">
        <f t="shared" si="57"/>
        <v>1231.3999999999978</v>
      </c>
      <c r="M334" s="160">
        <f t="shared" si="61"/>
        <v>19186.5</v>
      </c>
      <c r="N334" s="160">
        <f t="shared" si="62"/>
        <v>924.66666666666663</v>
      </c>
    </row>
    <row r="335" spans="1:14" x14ac:dyDescent="0.25">
      <c r="A335" s="62">
        <f t="shared" si="58"/>
        <v>41186</v>
      </c>
      <c r="B335" s="84">
        <v>20736.900000000001</v>
      </c>
      <c r="C335" s="84">
        <v>15658.3</v>
      </c>
      <c r="D335" s="84">
        <v>3231.6</v>
      </c>
      <c r="E335" s="84">
        <v>1831.5</v>
      </c>
      <c r="F335">
        <f t="shared" si="59"/>
        <v>23968.5</v>
      </c>
      <c r="G335">
        <f t="shared" si="60"/>
        <v>17489.8</v>
      </c>
      <c r="H335" s="37">
        <f t="shared" si="56"/>
        <v>0.37042733478942025</v>
      </c>
      <c r="I335">
        <f t="shared" si="57"/>
        <v>500.60000000000218</v>
      </c>
      <c r="M335" s="160">
        <f t="shared" si="61"/>
        <v>19886.633333333335</v>
      </c>
      <c r="N335" s="160">
        <f t="shared" si="62"/>
        <v>1364.9666666666665</v>
      </c>
    </row>
    <row r="336" spans="1:14" x14ac:dyDescent="0.25">
      <c r="A336" s="62">
        <f t="shared" si="58"/>
        <v>41193</v>
      </c>
      <c r="B336" s="84">
        <v>19790.400000000001</v>
      </c>
      <c r="C336" s="84">
        <v>15084.2</v>
      </c>
      <c r="D336" s="84">
        <v>4701.3999999999996</v>
      </c>
      <c r="E336" s="84">
        <v>3000.4</v>
      </c>
      <c r="F336">
        <f t="shared" si="59"/>
        <v>24491.800000000003</v>
      </c>
      <c r="G336">
        <f t="shared" si="60"/>
        <v>18084.600000000002</v>
      </c>
      <c r="H336" s="37">
        <f t="shared" si="56"/>
        <v>0.35429039071917545</v>
      </c>
      <c r="I336">
        <f t="shared" si="57"/>
        <v>523.30000000000291</v>
      </c>
      <c r="M336" s="159">
        <f t="shared" si="61"/>
        <v>20698.633333333331</v>
      </c>
      <c r="N336" s="159">
        <f t="shared" si="62"/>
        <v>2164.2000000000003</v>
      </c>
    </row>
    <row r="337" spans="1:32" x14ac:dyDescent="0.25">
      <c r="A337" s="62">
        <f t="shared" si="58"/>
        <v>41200</v>
      </c>
      <c r="B337" s="84">
        <v>18671</v>
      </c>
      <c r="C337" s="84">
        <v>14170.7</v>
      </c>
      <c r="D337" s="84">
        <v>6343.1</v>
      </c>
      <c r="E337" s="84">
        <v>4141.3999999999996</v>
      </c>
      <c r="F337">
        <f t="shared" si="59"/>
        <v>25014.1</v>
      </c>
      <c r="G337">
        <f t="shared" si="60"/>
        <v>18312.099999999999</v>
      </c>
      <c r="H337" s="37">
        <f t="shared" si="56"/>
        <v>0.36598751645087124</v>
      </c>
      <c r="I337">
        <f t="shared" si="57"/>
        <v>522.29999999999563</v>
      </c>
      <c r="M337" s="160">
        <f t="shared" si="61"/>
        <v>21891.300000000003</v>
      </c>
      <c r="N337" s="160">
        <f t="shared" si="62"/>
        <v>3373.7999999999997</v>
      </c>
    </row>
    <row r="338" spans="1:32" x14ac:dyDescent="0.25">
      <c r="A338" s="62">
        <f t="shared" si="58"/>
        <v>41207</v>
      </c>
      <c r="B338" s="84">
        <v>17698.7</v>
      </c>
      <c r="C338" s="84">
        <v>13181.1</v>
      </c>
      <c r="D338" s="84">
        <v>8056.5</v>
      </c>
      <c r="E338" s="84">
        <v>5340.8</v>
      </c>
      <c r="F338">
        <f t="shared" si="59"/>
        <v>25755.200000000001</v>
      </c>
      <c r="G338">
        <f t="shared" si="60"/>
        <v>18521.900000000001</v>
      </c>
      <c r="H338" s="37">
        <f t="shared" ref="H338:H401" si="63">+F338/G338-1</f>
        <v>0.39052688978992434</v>
      </c>
      <c r="I338">
        <f t="shared" si="57"/>
        <v>741.10000000000218</v>
      </c>
      <c r="M338" s="160">
        <f t="shared" si="61"/>
        <v>22872.733333333334</v>
      </c>
      <c r="N338" s="160">
        <f t="shared" si="62"/>
        <v>4876.7333333333336</v>
      </c>
    </row>
    <row r="339" spans="1:32" x14ac:dyDescent="0.25">
      <c r="A339" s="62">
        <f t="shared" si="58"/>
        <v>41214</v>
      </c>
      <c r="B339" s="84">
        <v>16136.5</v>
      </c>
      <c r="C339" s="84">
        <v>12560.9</v>
      </c>
      <c r="D339" s="84">
        <v>9805.1</v>
      </c>
      <c r="E339" s="84">
        <v>6564.9</v>
      </c>
      <c r="F339">
        <f t="shared" si="59"/>
        <v>25941.599999999999</v>
      </c>
      <c r="G339">
        <f t="shared" si="60"/>
        <v>19125.8</v>
      </c>
      <c r="H339" s="37">
        <f t="shared" si="63"/>
        <v>0.35636679250018299</v>
      </c>
      <c r="I339">
        <f t="shared" si="57"/>
        <v>186.39999999999782</v>
      </c>
      <c r="M339" s="160">
        <f t="shared" si="61"/>
        <v>23118.833333333332</v>
      </c>
      <c r="N339" s="160">
        <f t="shared" si="62"/>
        <v>6492.5999999999995</v>
      </c>
    </row>
    <row r="340" spans="1:32" x14ac:dyDescent="0.25">
      <c r="A340" s="62">
        <f t="shared" si="58"/>
        <v>41221</v>
      </c>
      <c r="B340" s="84">
        <v>14881.8</v>
      </c>
      <c r="C340" s="84">
        <v>11878.5</v>
      </c>
      <c r="D340" s="84">
        <v>11619.5</v>
      </c>
      <c r="E340" s="84">
        <v>7993.5</v>
      </c>
      <c r="F340">
        <f t="shared" si="59"/>
        <v>26501.3</v>
      </c>
      <c r="G340">
        <f t="shared" si="60"/>
        <v>19872</v>
      </c>
      <c r="H340" s="37">
        <f t="shared" si="63"/>
        <v>0.33360004025764889</v>
      </c>
      <c r="I340">
        <f t="shared" si="57"/>
        <v>559.70000000000073</v>
      </c>
      <c r="M340" s="160">
        <f t="shared" si="61"/>
        <v>24516.233333333337</v>
      </c>
      <c r="N340" s="160">
        <f t="shared" si="62"/>
        <v>7984.4000000000015</v>
      </c>
    </row>
    <row r="341" spans="1:32" x14ac:dyDescent="0.25">
      <c r="A341" s="62">
        <f t="shared" si="58"/>
        <v>41228</v>
      </c>
      <c r="B341" s="84">
        <v>13449</v>
      </c>
      <c r="C341" s="84">
        <v>11808.5</v>
      </c>
      <c r="D341" s="84">
        <v>13595.9</v>
      </c>
      <c r="E341" s="84">
        <v>8985.1</v>
      </c>
      <c r="F341">
        <f t="shared" si="59"/>
        <v>27044.9</v>
      </c>
      <c r="G341">
        <f t="shared" si="60"/>
        <v>20793.599999999999</v>
      </c>
      <c r="H341" s="37">
        <f t="shared" si="63"/>
        <v>0.30063577254539875</v>
      </c>
      <c r="I341">
        <f t="shared" si="57"/>
        <v>543.60000000000218</v>
      </c>
      <c r="M341" s="160">
        <f t="shared" si="61"/>
        <v>25525.3</v>
      </c>
      <c r="N341" s="160">
        <f t="shared" si="62"/>
        <v>9599.3000000000011</v>
      </c>
    </row>
    <row r="342" spans="1:32" ht="13.8" thickBot="1" x14ac:dyDescent="0.3">
      <c r="A342" s="62">
        <f t="shared" si="58"/>
        <v>41235</v>
      </c>
      <c r="B342" s="84">
        <v>12414.1</v>
      </c>
      <c r="C342" s="84">
        <v>11081</v>
      </c>
      <c r="D342" s="84">
        <v>14945.9</v>
      </c>
      <c r="E342" s="84">
        <v>10202.299999999999</v>
      </c>
      <c r="F342">
        <f t="shared" si="59"/>
        <v>27360</v>
      </c>
      <c r="G342">
        <f t="shared" si="60"/>
        <v>21283.3</v>
      </c>
      <c r="H342" s="37">
        <f t="shared" si="63"/>
        <v>0.28551493424421959</v>
      </c>
      <c r="I342">
        <f t="shared" si="57"/>
        <v>315.09999999999854</v>
      </c>
      <c r="M342" s="160">
        <f t="shared" si="61"/>
        <v>26435.566666666666</v>
      </c>
      <c r="N342" s="160">
        <f t="shared" si="62"/>
        <v>11285.233333333332</v>
      </c>
    </row>
    <row r="343" spans="1:32" x14ac:dyDescent="0.25">
      <c r="A343" s="161">
        <f t="shared" si="58"/>
        <v>41242</v>
      </c>
      <c r="B343" s="84">
        <v>12004</v>
      </c>
      <c r="C343" s="84">
        <v>11004.8</v>
      </c>
      <c r="D343" s="84">
        <v>16400.2</v>
      </c>
      <c r="E343" s="84">
        <v>11048.9</v>
      </c>
      <c r="F343">
        <f t="shared" si="59"/>
        <v>28404.2</v>
      </c>
      <c r="G343">
        <f t="shared" si="60"/>
        <v>22053.699999999997</v>
      </c>
      <c r="H343" s="37">
        <f t="shared" si="63"/>
        <v>0.28795621596376142</v>
      </c>
      <c r="I343">
        <f t="shared" si="57"/>
        <v>1044.2000000000007</v>
      </c>
      <c r="M343" s="160">
        <f t="shared" si="61"/>
        <v>27286.833333333332</v>
      </c>
      <c r="N343" s="160">
        <f t="shared" si="62"/>
        <v>12688.233333333332</v>
      </c>
      <c r="Y343" s="170" t="s">
        <v>291</v>
      </c>
      <c r="Z343" s="171" t="s">
        <v>292</v>
      </c>
      <c r="AA343" s="171" t="s">
        <v>293</v>
      </c>
      <c r="AB343" s="171" t="s">
        <v>294</v>
      </c>
      <c r="AC343" s="171" t="s">
        <v>295</v>
      </c>
      <c r="AD343" s="171" t="s">
        <v>296</v>
      </c>
      <c r="AE343" s="172" t="s">
        <v>297</v>
      </c>
      <c r="AF343" s="173"/>
    </row>
    <row r="344" spans="1:32" ht="53.4" thickBot="1" x14ac:dyDescent="0.3">
      <c r="A344" s="87">
        <f t="shared" si="58"/>
        <v>41249</v>
      </c>
      <c r="B344" s="84">
        <v>12164.3</v>
      </c>
      <c r="C344" s="84">
        <v>10465.1</v>
      </c>
      <c r="D344" s="84">
        <v>17559.3</v>
      </c>
      <c r="E344" s="84">
        <v>12057.2</v>
      </c>
      <c r="F344">
        <f t="shared" si="59"/>
        <v>29723.599999999999</v>
      </c>
      <c r="G344">
        <f t="shared" si="60"/>
        <v>22522.300000000003</v>
      </c>
      <c r="H344" s="37">
        <f t="shared" si="63"/>
        <v>0.31974087903988457</v>
      </c>
      <c r="I344">
        <f t="shared" si="57"/>
        <v>1319.3999999999978</v>
      </c>
      <c r="M344" s="160">
        <f t="shared" si="61"/>
        <v>28024.533333333336</v>
      </c>
      <c r="N344" s="160">
        <f t="shared" si="62"/>
        <v>14116.866666666667</v>
      </c>
      <c r="Y344" s="174" t="s">
        <v>298</v>
      </c>
      <c r="Z344" s="175" t="s">
        <v>299</v>
      </c>
      <c r="AA344" s="175" t="s">
        <v>300</v>
      </c>
      <c r="AB344" s="176">
        <v>40798</v>
      </c>
      <c r="AC344" s="176">
        <v>40849</v>
      </c>
      <c r="AD344" s="176">
        <v>37063</v>
      </c>
      <c r="AE344" s="177">
        <v>36605</v>
      </c>
      <c r="AF344" s="73">
        <f>AVERAGE(AB344:AD344)</f>
        <v>39570</v>
      </c>
    </row>
    <row r="345" spans="1:32" x14ac:dyDescent="0.25">
      <c r="A345" s="87">
        <f t="shared" si="58"/>
        <v>41256</v>
      </c>
      <c r="B345" s="84">
        <v>11435</v>
      </c>
      <c r="C345" s="84">
        <v>10184.299999999999</v>
      </c>
      <c r="D345" s="84">
        <v>18908.099999999999</v>
      </c>
      <c r="E345" s="84">
        <v>12991.3</v>
      </c>
      <c r="F345">
        <f t="shared" si="59"/>
        <v>30343.1</v>
      </c>
      <c r="G345">
        <f t="shared" si="60"/>
        <v>23175.599999999999</v>
      </c>
      <c r="H345" s="37">
        <f t="shared" si="63"/>
        <v>0.30926923143305896</v>
      </c>
      <c r="I345">
        <f t="shared" si="57"/>
        <v>619.5</v>
      </c>
      <c r="M345" s="160">
        <f t="shared" si="61"/>
        <v>28520.5</v>
      </c>
      <c r="N345" s="160">
        <f t="shared" si="62"/>
        <v>15456.799999999997</v>
      </c>
    </row>
    <row r="346" spans="1:32" x14ac:dyDescent="0.25">
      <c r="A346" s="87">
        <f t="shared" si="58"/>
        <v>41263</v>
      </c>
      <c r="B346" s="84">
        <v>10368.200000000001</v>
      </c>
      <c r="C346" s="84">
        <v>9778.5</v>
      </c>
      <c r="D346" s="84">
        <v>20061.900000000001</v>
      </c>
      <c r="E346" s="84">
        <v>14059.8</v>
      </c>
      <c r="F346">
        <f t="shared" si="59"/>
        <v>30430.100000000002</v>
      </c>
      <c r="G346">
        <f t="shared" si="60"/>
        <v>23838.3</v>
      </c>
      <c r="H346" s="37">
        <f t="shared" si="63"/>
        <v>0.27652139624050376</v>
      </c>
      <c r="I346">
        <f t="shared" si="57"/>
        <v>87.000000000003638</v>
      </c>
      <c r="J346" s="84" t="s">
        <v>281</v>
      </c>
      <c r="K346" s="84" t="s">
        <v>282</v>
      </c>
      <c r="L346" s="84" t="s">
        <v>283</v>
      </c>
      <c r="M346" s="160">
        <f t="shared" si="61"/>
        <v>29412.766666666663</v>
      </c>
      <c r="N346" s="160">
        <f t="shared" si="62"/>
        <v>16543.3</v>
      </c>
      <c r="R346" s="84" t="s">
        <v>288</v>
      </c>
    </row>
    <row r="347" spans="1:32" x14ac:dyDescent="0.25">
      <c r="A347" s="87">
        <f t="shared" si="58"/>
        <v>41270</v>
      </c>
      <c r="B347" s="84">
        <v>9767.4</v>
      </c>
      <c r="C347" s="84">
        <v>9032.1</v>
      </c>
      <c r="D347" s="84">
        <v>21002</v>
      </c>
      <c r="E347" s="84">
        <v>15087.5</v>
      </c>
      <c r="F347">
        <f t="shared" si="59"/>
        <v>30769.4</v>
      </c>
      <c r="G347">
        <f t="shared" si="60"/>
        <v>24119.599999999999</v>
      </c>
      <c r="H347" s="37">
        <f t="shared" si="63"/>
        <v>0.27570108957030803</v>
      </c>
      <c r="I347">
        <f t="shared" si="57"/>
        <v>339.29999999999927</v>
      </c>
      <c r="M347" s="160">
        <f t="shared" si="61"/>
        <v>30121.066666666666</v>
      </c>
      <c r="N347" s="160">
        <f t="shared" si="62"/>
        <v>17664.166666666668</v>
      </c>
      <c r="O347" s="1">
        <f>+F347/M347-1</f>
        <v>2.1524248809249968E-2</v>
      </c>
      <c r="P347" s="1">
        <f>+G347/N347-1</f>
        <v>0.36545360192480048</v>
      </c>
      <c r="R347" s="84"/>
    </row>
    <row r="348" spans="1:32" x14ac:dyDescent="0.25">
      <c r="A348" s="87">
        <f t="shared" si="58"/>
        <v>41277</v>
      </c>
      <c r="B348" s="84">
        <v>8911.9</v>
      </c>
      <c r="C348" s="84">
        <v>8679.1</v>
      </c>
      <c r="D348" s="84">
        <v>22179.3</v>
      </c>
      <c r="E348" s="84">
        <v>15874.4</v>
      </c>
      <c r="F348">
        <f t="shared" si="59"/>
        <v>31091.199999999997</v>
      </c>
      <c r="G348">
        <f t="shared" si="60"/>
        <v>24553.5</v>
      </c>
      <c r="H348" s="37">
        <f t="shared" si="63"/>
        <v>0.26626346549371771</v>
      </c>
      <c r="I348">
        <f t="shared" si="57"/>
        <v>321.79999999999563</v>
      </c>
      <c r="J348" s="164">
        <f>+F348/M348-1</f>
        <v>1.6209479026167539E-2</v>
      </c>
      <c r="K348" s="1">
        <f>+D348/N348-1</f>
        <v>0.18588971269694143</v>
      </c>
      <c r="L348" s="1">
        <f>+D348/E348-1</f>
        <v>0.39717406642140807</v>
      </c>
      <c r="M348" s="160">
        <f>AVERAGE(F191,F243,F295)</f>
        <v>30595.266666666663</v>
      </c>
      <c r="N348" s="160">
        <f t="shared" si="62"/>
        <v>18702.666666666668</v>
      </c>
      <c r="R348" s="63"/>
      <c r="S348" s="165" t="s">
        <v>284</v>
      </c>
      <c r="T348" s="166"/>
      <c r="U348" s="63"/>
    </row>
    <row r="349" spans="1:32" x14ac:dyDescent="0.25">
      <c r="A349" s="62">
        <f t="shared" si="58"/>
        <v>41284</v>
      </c>
      <c r="B349">
        <v>9240.4</v>
      </c>
      <c r="C349">
        <v>8591.6</v>
      </c>
      <c r="D349">
        <v>23392.7</v>
      </c>
      <c r="E349">
        <v>16952.900000000001</v>
      </c>
      <c r="F349">
        <f t="shared" si="59"/>
        <v>32633.1</v>
      </c>
      <c r="G349">
        <f t="shared" si="60"/>
        <v>25544.5</v>
      </c>
      <c r="H349" s="37">
        <f t="shared" si="63"/>
        <v>0.27750004893421276</v>
      </c>
      <c r="I349">
        <f t="shared" si="57"/>
        <v>1541.9000000000015</v>
      </c>
      <c r="M349" s="160">
        <f t="shared" si="61"/>
        <v>31137.033333333336</v>
      </c>
      <c r="N349" s="160">
        <f t="shared" si="62"/>
        <v>19803.433333333334</v>
      </c>
      <c r="R349" s="167"/>
      <c r="S349" s="168" t="s">
        <v>285</v>
      </c>
      <c r="T349" s="168" t="s">
        <v>206</v>
      </c>
      <c r="U349" s="168" t="s">
        <v>212</v>
      </c>
    </row>
    <row r="350" spans="1:32" x14ac:dyDescent="0.25">
      <c r="A350" s="62">
        <f t="shared" si="58"/>
        <v>41291</v>
      </c>
      <c r="B350">
        <v>8351.6</v>
      </c>
      <c r="C350">
        <v>7873.4</v>
      </c>
      <c r="D350">
        <v>24664.9</v>
      </c>
      <c r="E350">
        <v>18137.400000000001</v>
      </c>
      <c r="F350">
        <f t="shared" si="59"/>
        <v>33016.5</v>
      </c>
      <c r="G350">
        <f t="shared" si="60"/>
        <v>26010.800000000003</v>
      </c>
      <c r="H350" s="37">
        <f t="shared" si="63"/>
        <v>0.26933812108816313</v>
      </c>
      <c r="I350">
        <f t="shared" si="57"/>
        <v>383.40000000000146</v>
      </c>
      <c r="M350" s="160">
        <f t="shared" si="61"/>
        <v>32021.399999999998</v>
      </c>
      <c r="N350" s="160">
        <f t="shared" si="62"/>
        <v>21126.766666666666</v>
      </c>
      <c r="R350" s="84" t="s">
        <v>286</v>
      </c>
      <c r="S350" s="2">
        <f>N348-N344</f>
        <v>4585.8000000000011</v>
      </c>
      <c r="T350" s="2">
        <f>+D296-D292</f>
        <v>3817.1999999999989</v>
      </c>
      <c r="U350" s="2">
        <f>+D348-D344</f>
        <v>4620</v>
      </c>
    </row>
    <row r="351" spans="1:32" x14ac:dyDescent="0.25">
      <c r="A351" s="62">
        <f t="shared" si="58"/>
        <v>41298</v>
      </c>
      <c r="B351">
        <v>7602.8</v>
      </c>
      <c r="C351">
        <v>7012.2</v>
      </c>
      <c r="D351">
        <v>25799.599999999999</v>
      </c>
      <c r="E351">
        <v>19243.3</v>
      </c>
      <c r="F351">
        <f t="shared" si="59"/>
        <v>33402.400000000001</v>
      </c>
      <c r="G351">
        <f t="shared" si="60"/>
        <v>26255.5</v>
      </c>
      <c r="H351" s="37">
        <f t="shared" si="63"/>
        <v>0.27220582354173417</v>
      </c>
      <c r="I351">
        <f t="shared" si="57"/>
        <v>385.90000000000146</v>
      </c>
      <c r="M351" s="160">
        <f t="shared" si="61"/>
        <v>32636.566666666666</v>
      </c>
      <c r="N351" s="160">
        <f t="shared" si="62"/>
        <v>22387.033333333336</v>
      </c>
      <c r="Q351" s="84"/>
      <c r="R351" s="84" t="s">
        <v>290</v>
      </c>
      <c r="S351" s="2">
        <v>39570</v>
      </c>
      <c r="T351" s="2">
        <v>37063</v>
      </c>
      <c r="U351" s="179">
        <f>+'GTR Soybean Table'!C17</f>
        <v>0</v>
      </c>
    </row>
    <row r="352" spans="1:32" x14ac:dyDescent="0.25">
      <c r="A352" s="62">
        <f t="shared" si="58"/>
        <v>41305</v>
      </c>
      <c r="B352">
        <v>6944.3</v>
      </c>
      <c r="C352">
        <v>6592.2</v>
      </c>
      <c r="D352">
        <v>27278.3</v>
      </c>
      <c r="E352">
        <v>20266.599999999999</v>
      </c>
      <c r="F352">
        <f t="shared" si="59"/>
        <v>34222.6</v>
      </c>
      <c r="G352">
        <f t="shared" si="60"/>
        <v>26858.799999999999</v>
      </c>
      <c r="H352" s="37">
        <f t="shared" si="63"/>
        <v>0.2741671258581917</v>
      </c>
      <c r="I352">
        <f t="shared" si="57"/>
        <v>820.19999999999709</v>
      </c>
      <c r="M352" s="160">
        <f t="shared" si="61"/>
        <v>33210.666666666664</v>
      </c>
      <c r="N352" s="160">
        <f t="shared" si="62"/>
        <v>23574.966666666664</v>
      </c>
      <c r="R352" s="84" t="s">
        <v>301</v>
      </c>
      <c r="S352" s="169">
        <f>+S350/S351</f>
        <v>0.11589082638362398</v>
      </c>
      <c r="T352" s="169">
        <f>+T350/T351</f>
        <v>0.10299220246607126</v>
      </c>
      <c r="U352" s="169" t="e">
        <f>+U350/U351</f>
        <v>#DIV/0!</v>
      </c>
    </row>
    <row r="353" spans="1:21" x14ac:dyDescent="0.25">
      <c r="A353" s="62">
        <f t="shared" si="58"/>
        <v>41312</v>
      </c>
      <c r="B353">
        <v>5844.5</v>
      </c>
      <c r="C353">
        <v>6026.8</v>
      </c>
      <c r="D353">
        <v>28185.200000000001</v>
      </c>
      <c r="E353">
        <v>21200.2</v>
      </c>
      <c r="F353">
        <f t="shared" si="59"/>
        <v>34029.699999999997</v>
      </c>
      <c r="G353">
        <f t="shared" si="60"/>
        <v>27227</v>
      </c>
      <c r="H353" s="37">
        <f t="shared" si="63"/>
        <v>0.249851250596834</v>
      </c>
      <c r="I353">
        <f t="shared" si="57"/>
        <v>-192.90000000000146</v>
      </c>
      <c r="M353" s="160">
        <f t="shared" si="61"/>
        <v>33523</v>
      </c>
      <c r="N353" s="160">
        <f t="shared" si="62"/>
        <v>24727.266666666666</v>
      </c>
    </row>
    <row r="354" spans="1:21" x14ac:dyDescent="0.25">
      <c r="A354" s="62">
        <f t="shared" si="58"/>
        <v>41319</v>
      </c>
      <c r="B354">
        <v>4768.8999999999996</v>
      </c>
      <c r="C354">
        <v>5978.8</v>
      </c>
      <c r="D354">
        <v>29141.3</v>
      </c>
      <c r="E354">
        <v>22331.8</v>
      </c>
      <c r="F354">
        <f t="shared" si="59"/>
        <v>33910.199999999997</v>
      </c>
      <c r="G354">
        <f t="shared" si="60"/>
        <v>28310.6</v>
      </c>
      <c r="H354" s="37">
        <f t="shared" si="63"/>
        <v>0.19779163988046866</v>
      </c>
      <c r="I354">
        <f t="shared" si="57"/>
        <v>-119.5</v>
      </c>
      <c r="M354" s="160">
        <f t="shared" si="61"/>
        <v>33863.833333333336</v>
      </c>
      <c r="N354" s="160">
        <f t="shared" si="62"/>
        <v>25731.199999999997</v>
      </c>
      <c r="R354" s="84" t="s">
        <v>287</v>
      </c>
      <c r="S354" s="2">
        <f>+S350*1.102311</f>
        <v>5054.9777838000018</v>
      </c>
      <c r="T354" s="2">
        <f>+T350*1.102311</f>
        <v>4207.7415491999991</v>
      </c>
      <c r="U354" s="2">
        <f>+U350*1.102311</f>
        <v>5092.6768200000006</v>
      </c>
    </row>
    <row r="355" spans="1:21" ht="39.6" x14ac:dyDescent="0.25">
      <c r="A355" s="62">
        <f t="shared" si="58"/>
        <v>41326</v>
      </c>
      <c r="B355">
        <v>4635.7</v>
      </c>
      <c r="C355">
        <v>5548</v>
      </c>
      <c r="D355">
        <v>29963.599999999999</v>
      </c>
      <c r="E355">
        <v>23311.599999999999</v>
      </c>
      <c r="F355">
        <f t="shared" si="59"/>
        <v>34599.299999999996</v>
      </c>
      <c r="G355">
        <f t="shared" si="60"/>
        <v>28859.599999999999</v>
      </c>
      <c r="H355" s="37">
        <f t="shared" si="63"/>
        <v>0.19888356040970767</v>
      </c>
      <c r="I355">
        <f t="shared" si="57"/>
        <v>689.09999999999854</v>
      </c>
      <c r="M355" s="160">
        <f t="shared" si="61"/>
        <v>34374.9</v>
      </c>
      <c r="N355" s="160">
        <f t="shared" si="62"/>
        <v>26898.366666666665</v>
      </c>
      <c r="R355" s="178" t="s">
        <v>302</v>
      </c>
      <c r="U355" s="179">
        <f>+U351*S352+T361</f>
        <v>0</v>
      </c>
    </row>
    <row r="356" spans="1:21" x14ac:dyDescent="0.25">
      <c r="A356" s="62">
        <f t="shared" si="58"/>
        <v>41333</v>
      </c>
      <c r="B356">
        <v>3932.7</v>
      </c>
      <c r="C356">
        <v>5487.2</v>
      </c>
      <c r="D356">
        <v>31058.5</v>
      </c>
      <c r="E356">
        <v>24387.7</v>
      </c>
      <c r="F356">
        <f t="shared" si="59"/>
        <v>34991.199999999997</v>
      </c>
      <c r="G356">
        <f t="shared" si="60"/>
        <v>29874.9</v>
      </c>
      <c r="H356" s="37">
        <f t="shared" si="63"/>
        <v>0.17125747701247529</v>
      </c>
      <c r="I356">
        <f t="shared" si="57"/>
        <v>391.90000000000146</v>
      </c>
      <c r="M356" s="160">
        <f t="shared" si="61"/>
        <v>34739.26666666667</v>
      </c>
      <c r="N356" s="160">
        <f t="shared" si="62"/>
        <v>28155.333333333332</v>
      </c>
    </row>
    <row r="357" spans="1:21" x14ac:dyDescent="0.25">
      <c r="A357" s="62">
        <f t="shared" si="58"/>
        <v>41340</v>
      </c>
      <c r="B357">
        <v>3825.5</v>
      </c>
      <c r="C357">
        <v>5386.9</v>
      </c>
      <c r="D357">
        <v>31671.9</v>
      </c>
      <c r="E357">
        <v>25097.7</v>
      </c>
      <c r="F357">
        <f t="shared" si="59"/>
        <v>35497.4</v>
      </c>
      <c r="G357">
        <f t="shared" si="60"/>
        <v>30484.6</v>
      </c>
      <c r="H357" s="37">
        <f t="shared" si="63"/>
        <v>0.1644371256306465</v>
      </c>
      <c r="I357">
        <f t="shared" si="57"/>
        <v>506.20000000000437</v>
      </c>
      <c r="M357" s="160">
        <f t="shared" si="61"/>
        <v>35151.166666666672</v>
      </c>
      <c r="N357" s="160">
        <f t="shared" si="62"/>
        <v>29043.966666666664</v>
      </c>
      <c r="R357" s="84" t="s">
        <v>289</v>
      </c>
      <c r="U357" s="179">
        <f>+U355*0.47*0.93</f>
        <v>0</v>
      </c>
    </row>
    <row r="358" spans="1:21" ht="19.95" customHeight="1" x14ac:dyDescent="0.25">
      <c r="A358" s="62">
        <f t="shared" si="58"/>
        <v>41347</v>
      </c>
      <c r="B358">
        <v>3706.5</v>
      </c>
      <c r="C358">
        <v>5133.3999999999996</v>
      </c>
      <c r="D358">
        <v>31898.6</v>
      </c>
      <c r="E358">
        <v>25707.8</v>
      </c>
      <c r="F358">
        <f t="shared" si="59"/>
        <v>35605.1</v>
      </c>
      <c r="G358">
        <f t="shared" si="60"/>
        <v>30841.199999999997</v>
      </c>
      <c r="H358" s="37">
        <f t="shared" si="63"/>
        <v>0.15446545530005329</v>
      </c>
      <c r="I358">
        <f t="shared" si="57"/>
        <v>107.69999999999709</v>
      </c>
      <c r="M358" s="160">
        <f t="shared" si="61"/>
        <v>35474.700000000004</v>
      </c>
      <c r="N358" s="160">
        <f t="shared" si="62"/>
        <v>29864.699999999997</v>
      </c>
      <c r="R358" s="84"/>
      <c r="U358" s="14"/>
    </row>
    <row r="359" spans="1:21" x14ac:dyDescent="0.25">
      <c r="A359" s="62">
        <f t="shared" si="58"/>
        <v>41354</v>
      </c>
      <c r="B359">
        <v>3203</v>
      </c>
      <c r="C359">
        <v>5044</v>
      </c>
      <c r="D359">
        <v>32468.5</v>
      </c>
      <c r="E359">
        <v>26269.200000000001</v>
      </c>
      <c r="F359">
        <f t="shared" si="59"/>
        <v>35671.5</v>
      </c>
      <c r="G359">
        <f t="shared" si="60"/>
        <v>31313.200000000001</v>
      </c>
      <c r="H359" s="37">
        <f t="shared" si="63"/>
        <v>0.13918411404774989</v>
      </c>
      <c r="I359">
        <f t="shared" si="57"/>
        <v>66.400000000001455</v>
      </c>
      <c r="M359" s="160">
        <f t="shared" si="61"/>
        <v>35753.73333333333</v>
      </c>
      <c r="N359" s="160">
        <f t="shared" si="62"/>
        <v>30586.233333333334</v>
      </c>
      <c r="R359" s="84"/>
      <c r="U359" s="14"/>
    </row>
    <row r="360" spans="1:21" x14ac:dyDescent="0.25">
      <c r="A360" s="62">
        <f t="shared" si="58"/>
        <v>41361</v>
      </c>
      <c r="B360">
        <v>3122.1</v>
      </c>
      <c r="C360">
        <v>4595.3</v>
      </c>
      <c r="D360">
        <v>32942.1</v>
      </c>
      <c r="E360">
        <v>27124.7</v>
      </c>
      <c r="F360">
        <f t="shared" si="59"/>
        <v>36064.199999999997</v>
      </c>
      <c r="G360">
        <f t="shared" si="60"/>
        <v>31720</v>
      </c>
      <c r="H360" s="37">
        <f t="shared" si="63"/>
        <v>0.13695460277427474</v>
      </c>
      <c r="I360">
        <f t="shared" si="57"/>
        <v>392.69999999999709</v>
      </c>
      <c r="M360" s="160">
        <f t="shared" si="61"/>
        <v>36018.800000000003</v>
      </c>
      <c r="N360" s="160">
        <f t="shared" si="62"/>
        <v>31394.100000000002</v>
      </c>
      <c r="R360" s="84" t="s">
        <v>303</v>
      </c>
      <c r="S360" t="s">
        <v>304</v>
      </c>
      <c r="T360" t="s">
        <v>306</v>
      </c>
      <c r="U360" s="14"/>
    </row>
    <row r="361" spans="1:21" x14ac:dyDescent="0.25">
      <c r="A361" s="62">
        <f t="shared" si="58"/>
        <v>41368</v>
      </c>
      <c r="B361">
        <v>2795.7</v>
      </c>
      <c r="C361">
        <v>4281.6000000000004</v>
      </c>
      <c r="D361">
        <v>33533.300000000003</v>
      </c>
      <c r="E361">
        <v>27898.6</v>
      </c>
      <c r="F361">
        <f t="shared" si="59"/>
        <v>36329</v>
      </c>
      <c r="G361">
        <f t="shared" si="60"/>
        <v>32180.199999999997</v>
      </c>
      <c r="H361" s="37">
        <f t="shared" si="63"/>
        <v>0.1289239967433391</v>
      </c>
      <c r="I361">
        <f t="shared" si="57"/>
        <v>264.80000000000291</v>
      </c>
      <c r="M361" s="160">
        <f t="shared" si="61"/>
        <v>36248.366666666669</v>
      </c>
      <c r="N361" s="160">
        <f t="shared" si="62"/>
        <v>32042.399999999998</v>
      </c>
      <c r="R361" s="180">
        <v>41277</v>
      </c>
      <c r="S361" s="2">
        <f>+F348</f>
        <v>31091.199999999997</v>
      </c>
      <c r="T361" s="5">
        <f>+S363*U351</f>
        <v>0</v>
      </c>
      <c r="U361" t="s">
        <v>307</v>
      </c>
    </row>
    <row r="362" spans="1:21" x14ac:dyDescent="0.25">
      <c r="A362" s="62">
        <f t="shared" si="58"/>
        <v>41375</v>
      </c>
      <c r="B362">
        <v>2954</v>
      </c>
      <c r="C362">
        <v>4162.3</v>
      </c>
      <c r="D362">
        <v>33682.699999999997</v>
      </c>
      <c r="E362">
        <v>28331</v>
      </c>
      <c r="F362">
        <f t="shared" si="59"/>
        <v>36636.699999999997</v>
      </c>
      <c r="G362">
        <f t="shared" si="60"/>
        <v>32493.3</v>
      </c>
      <c r="H362" s="37">
        <f t="shared" si="63"/>
        <v>0.12751551858383103</v>
      </c>
      <c r="I362">
        <f t="shared" si="57"/>
        <v>307.69999999999709</v>
      </c>
      <c r="M362" s="160">
        <f t="shared" si="61"/>
        <v>36497.833333333328</v>
      </c>
      <c r="N362" s="160">
        <f t="shared" si="62"/>
        <v>32631.666666666668</v>
      </c>
      <c r="R362" t="s">
        <v>305</v>
      </c>
      <c r="S362" s="4">
        <f>+M348</f>
        <v>30595.266666666663</v>
      </c>
    </row>
    <row r="363" spans="1:21" x14ac:dyDescent="0.25">
      <c r="A363" s="62">
        <f t="shared" si="58"/>
        <v>41382</v>
      </c>
      <c r="B363">
        <v>2556.1</v>
      </c>
      <c r="C363">
        <v>4742</v>
      </c>
      <c r="D363">
        <v>33874.400000000001</v>
      </c>
      <c r="E363">
        <v>28677.599999999999</v>
      </c>
      <c r="F363">
        <f t="shared" si="59"/>
        <v>36430.5</v>
      </c>
      <c r="G363">
        <f t="shared" si="60"/>
        <v>33419.599999999999</v>
      </c>
      <c r="H363" s="37">
        <f t="shared" si="63"/>
        <v>9.009383714945729E-2</v>
      </c>
      <c r="I363">
        <f t="shared" si="57"/>
        <v>-206.19999999999709</v>
      </c>
      <c r="M363" s="160">
        <f t="shared" ref="M363:M382" si="64">AVERAGE(F206,F258,F310)</f>
        <v>36841.766666666663</v>
      </c>
      <c r="N363" s="160">
        <f t="shared" ref="N363:N382" si="65">AVERAGE(D206,D258,D310)</f>
        <v>33086.133333333331</v>
      </c>
      <c r="S363" s="1">
        <f>+S361/S362-1</f>
        <v>1.6209479026167539E-2</v>
      </c>
    </row>
    <row r="364" spans="1:21" x14ac:dyDescent="0.25">
      <c r="A364" s="62">
        <f t="shared" si="58"/>
        <v>41389</v>
      </c>
      <c r="B364">
        <v>2089.5</v>
      </c>
      <c r="C364">
        <v>4903.8</v>
      </c>
      <c r="D364">
        <v>34199.5</v>
      </c>
      <c r="E364">
        <v>29113.7</v>
      </c>
      <c r="F364">
        <f t="shared" si="59"/>
        <v>36289</v>
      </c>
      <c r="G364">
        <f t="shared" si="60"/>
        <v>34017.5</v>
      </c>
      <c r="H364" s="37">
        <f t="shared" si="63"/>
        <v>6.6774454324979748E-2</v>
      </c>
      <c r="I364">
        <f t="shared" si="57"/>
        <v>-141.5</v>
      </c>
      <c r="J364">
        <v>8121.8</v>
      </c>
      <c r="M364" s="160">
        <f t="shared" si="64"/>
        <v>37211.666666666664</v>
      </c>
      <c r="N364" s="160">
        <f t="shared" si="65"/>
        <v>33363.966666666667</v>
      </c>
    </row>
    <row r="365" spans="1:21" x14ac:dyDescent="0.25">
      <c r="A365" s="62">
        <f t="shared" si="58"/>
        <v>41396</v>
      </c>
      <c r="B365">
        <v>2111.4</v>
      </c>
      <c r="C365">
        <v>5064.6000000000004</v>
      </c>
      <c r="D365">
        <v>34371.300000000003</v>
      </c>
      <c r="E365">
        <v>29419.4</v>
      </c>
      <c r="F365">
        <f t="shared" si="59"/>
        <v>36482.700000000004</v>
      </c>
      <c r="G365">
        <f t="shared" si="60"/>
        <v>34484</v>
      </c>
      <c r="H365" s="37">
        <f t="shared" si="63"/>
        <v>5.7960213432316499E-2</v>
      </c>
      <c r="I365">
        <f t="shared" si="57"/>
        <v>193.70000000000437</v>
      </c>
      <c r="J365">
        <v>8513.6</v>
      </c>
      <c r="M365" s="160">
        <f t="shared" si="64"/>
        <v>37512.333333333336</v>
      </c>
      <c r="N365" s="160">
        <f t="shared" si="65"/>
        <v>33672.466666666667</v>
      </c>
    </row>
    <row r="366" spans="1:21" x14ac:dyDescent="0.25">
      <c r="A366" s="62">
        <f t="shared" si="58"/>
        <v>41403</v>
      </c>
      <c r="B366">
        <v>1959.1</v>
      </c>
      <c r="C366">
        <v>5111</v>
      </c>
      <c r="D366">
        <v>34538.9</v>
      </c>
      <c r="E366">
        <v>29989.200000000001</v>
      </c>
      <c r="F366">
        <f t="shared" si="59"/>
        <v>36498</v>
      </c>
      <c r="G366">
        <f t="shared" si="60"/>
        <v>35100.199999999997</v>
      </c>
      <c r="H366" s="37">
        <f t="shared" si="63"/>
        <v>3.9823134910912383E-2</v>
      </c>
      <c r="I366">
        <f t="shared" ref="I366:I382" si="66">+F366-F365</f>
        <v>15.299999999995634</v>
      </c>
      <c r="J366">
        <v>8860.2000000000007</v>
      </c>
      <c r="M366" s="160">
        <f t="shared" si="64"/>
        <v>37756.703333333331</v>
      </c>
      <c r="N366" s="160">
        <f t="shared" si="65"/>
        <v>33881.1</v>
      </c>
    </row>
    <row r="367" spans="1:21" x14ac:dyDescent="0.25">
      <c r="A367" s="62">
        <f t="shared" si="58"/>
        <v>41410</v>
      </c>
      <c r="B367">
        <v>2041.9</v>
      </c>
      <c r="C367">
        <v>5509.8</v>
      </c>
      <c r="D367">
        <v>34639.699999999997</v>
      </c>
      <c r="E367">
        <v>30390.400000000001</v>
      </c>
      <c r="F367">
        <f t="shared" si="59"/>
        <v>36681.599999999999</v>
      </c>
      <c r="G367">
        <f t="shared" si="60"/>
        <v>35900.200000000004</v>
      </c>
      <c r="H367" s="37">
        <f t="shared" si="63"/>
        <v>2.1765895454621154E-2</v>
      </c>
      <c r="I367">
        <f t="shared" si="66"/>
        <v>183.59999999999854</v>
      </c>
      <c r="J367">
        <v>9699.1</v>
      </c>
      <c r="M367" s="160">
        <f t="shared" si="64"/>
        <v>38176.966666666667</v>
      </c>
      <c r="N367" s="160">
        <f t="shared" si="65"/>
        <v>34200.1</v>
      </c>
    </row>
    <row r="368" spans="1:21" x14ac:dyDescent="0.25">
      <c r="A368" s="62">
        <f t="shared" si="58"/>
        <v>41417</v>
      </c>
      <c r="B368">
        <v>1821.3</v>
      </c>
      <c r="C368">
        <v>5442.1</v>
      </c>
      <c r="D368">
        <v>34752.199999999997</v>
      </c>
      <c r="E368">
        <v>30699</v>
      </c>
      <c r="F368">
        <f t="shared" si="59"/>
        <v>36573.5</v>
      </c>
      <c r="G368">
        <f t="shared" si="60"/>
        <v>36141.1</v>
      </c>
      <c r="H368" s="37">
        <f t="shared" si="63"/>
        <v>1.1964218023247764E-2</v>
      </c>
      <c r="I368">
        <f t="shared" si="66"/>
        <v>-108.09999999999854</v>
      </c>
      <c r="J368">
        <v>10455.700000000001</v>
      </c>
      <c r="M368" s="160">
        <f t="shared" si="64"/>
        <v>38556.566666666673</v>
      </c>
      <c r="N368" s="160">
        <f t="shared" si="65"/>
        <v>34519.333333333336</v>
      </c>
    </row>
    <row r="369" spans="1:14" x14ac:dyDescent="0.25">
      <c r="A369" s="62">
        <f t="shared" si="58"/>
        <v>41424</v>
      </c>
      <c r="B369">
        <v>1747.1</v>
      </c>
      <c r="C369">
        <v>5222.5</v>
      </c>
      <c r="D369">
        <v>34874.9</v>
      </c>
      <c r="E369">
        <v>31138.9</v>
      </c>
      <c r="F369">
        <f t="shared" si="59"/>
        <v>36622</v>
      </c>
      <c r="G369">
        <f t="shared" si="60"/>
        <v>36361.4</v>
      </c>
      <c r="H369" s="37">
        <f t="shared" si="63"/>
        <v>7.1669407668570884E-3</v>
      </c>
      <c r="I369">
        <f t="shared" si="66"/>
        <v>48.5</v>
      </c>
      <c r="J369">
        <v>11045.6</v>
      </c>
      <c r="M369" s="160">
        <f t="shared" si="64"/>
        <v>38709.26666666667</v>
      </c>
      <c r="N369" s="160">
        <f t="shared" si="65"/>
        <v>34760.1</v>
      </c>
    </row>
    <row r="370" spans="1:14" x14ac:dyDescent="0.25">
      <c r="A370" s="62">
        <f t="shared" si="58"/>
        <v>41431</v>
      </c>
      <c r="B370">
        <v>1651.8</v>
      </c>
      <c r="C370">
        <v>5271.7</v>
      </c>
      <c r="D370">
        <v>35003.699999999997</v>
      </c>
      <c r="E370">
        <v>31514.7</v>
      </c>
      <c r="F370">
        <f t="shared" si="59"/>
        <v>36655.5</v>
      </c>
      <c r="G370">
        <f t="shared" si="60"/>
        <v>36786.400000000001</v>
      </c>
      <c r="H370" s="37">
        <f t="shared" si="63"/>
        <v>-3.5583802709697743E-3</v>
      </c>
      <c r="I370">
        <f t="shared" si="66"/>
        <v>33.5</v>
      </c>
      <c r="J370">
        <v>11492.7</v>
      </c>
      <c r="M370" s="160">
        <f t="shared" si="64"/>
        <v>38963.1</v>
      </c>
      <c r="N370" s="160">
        <f t="shared" si="65"/>
        <v>35020.433333333327</v>
      </c>
    </row>
    <row r="371" spans="1:14" x14ac:dyDescent="0.25">
      <c r="A371" s="62">
        <f t="shared" si="58"/>
        <v>41438</v>
      </c>
      <c r="B371">
        <v>1611.8</v>
      </c>
      <c r="C371">
        <v>5001.8999999999996</v>
      </c>
      <c r="D371">
        <v>35196.400000000001</v>
      </c>
      <c r="E371">
        <v>31924.799999999999</v>
      </c>
      <c r="F371">
        <f t="shared" si="59"/>
        <v>36808.200000000004</v>
      </c>
      <c r="G371">
        <f t="shared" si="60"/>
        <v>36926.699999999997</v>
      </c>
      <c r="H371" s="37">
        <f t="shared" si="63"/>
        <v>-3.2090601109764361E-3</v>
      </c>
      <c r="I371">
        <f t="shared" si="66"/>
        <v>152.70000000000437</v>
      </c>
      <c r="J371">
        <v>11601.2</v>
      </c>
      <c r="M371" s="160">
        <f t="shared" si="64"/>
        <v>39119.133333333331</v>
      </c>
      <c r="N371" s="160">
        <f t="shared" si="65"/>
        <v>35263.799999999996</v>
      </c>
    </row>
    <row r="372" spans="1:14" x14ac:dyDescent="0.25">
      <c r="A372" s="62">
        <f t="shared" si="58"/>
        <v>41445</v>
      </c>
      <c r="B372">
        <v>1403.2</v>
      </c>
      <c r="C372">
        <v>5151.2</v>
      </c>
      <c r="D372">
        <v>35319.4</v>
      </c>
      <c r="E372">
        <v>32179.4</v>
      </c>
      <c r="F372">
        <f t="shared" si="59"/>
        <v>36722.6</v>
      </c>
      <c r="G372">
        <f t="shared" si="60"/>
        <v>37330.6</v>
      </c>
      <c r="H372" s="37">
        <f t="shared" si="63"/>
        <v>-1.6286906719956251E-2</v>
      </c>
      <c r="I372">
        <f t="shared" si="66"/>
        <v>-85.600000000005821</v>
      </c>
      <c r="J372">
        <v>1297.8</v>
      </c>
      <c r="M372" s="160">
        <f t="shared" si="64"/>
        <v>39265.76666666667</v>
      </c>
      <c r="N372" s="160">
        <f t="shared" si="65"/>
        <v>35549.433333333334</v>
      </c>
    </row>
    <row r="373" spans="1:14" x14ac:dyDescent="0.25">
      <c r="A373" s="62">
        <f t="shared" si="58"/>
        <v>41452</v>
      </c>
      <c r="B373">
        <v>1407.9</v>
      </c>
      <c r="C373">
        <v>5052.5</v>
      </c>
      <c r="D373">
        <v>35435.300000000003</v>
      </c>
      <c r="E373">
        <v>32576.7</v>
      </c>
      <c r="F373">
        <f t="shared" si="59"/>
        <v>36843.200000000004</v>
      </c>
      <c r="G373">
        <f t="shared" si="60"/>
        <v>37629.199999999997</v>
      </c>
      <c r="H373" s="37">
        <f t="shared" si="63"/>
        <v>-2.0888033761015223E-2</v>
      </c>
      <c r="I373">
        <f t="shared" si="66"/>
        <v>120.60000000000582</v>
      </c>
      <c r="J373">
        <v>12301.4</v>
      </c>
      <c r="M373" s="160">
        <f t="shared" si="64"/>
        <v>39368.666666666664</v>
      </c>
      <c r="N373" s="160">
        <f t="shared" si="65"/>
        <v>35724.133333333331</v>
      </c>
    </row>
    <row r="374" spans="1:14" x14ac:dyDescent="0.25">
      <c r="A374" s="62">
        <f t="shared" si="58"/>
        <v>41459</v>
      </c>
      <c r="B374">
        <v>1259.5999999999999</v>
      </c>
      <c r="C374">
        <v>4951.3999999999996</v>
      </c>
      <c r="D374">
        <v>35512.699999999997</v>
      </c>
      <c r="E374">
        <v>33009.9</v>
      </c>
      <c r="F374">
        <f t="shared" si="59"/>
        <v>36772.299999999996</v>
      </c>
      <c r="G374">
        <f t="shared" si="60"/>
        <v>37961.300000000003</v>
      </c>
      <c r="H374" s="37">
        <f t="shared" si="63"/>
        <v>-3.1321372028882188E-2</v>
      </c>
      <c r="I374">
        <f t="shared" si="66"/>
        <v>-70.900000000008731</v>
      </c>
      <c r="J374">
        <v>12712.3</v>
      </c>
      <c r="M374" s="160">
        <f t="shared" si="64"/>
        <v>39657.599999999999</v>
      </c>
      <c r="N374" s="160">
        <f t="shared" si="65"/>
        <v>35932.26666666667</v>
      </c>
    </row>
    <row r="375" spans="1:14" x14ac:dyDescent="0.25">
      <c r="A375" s="62">
        <f t="shared" si="58"/>
        <v>41466</v>
      </c>
      <c r="B375">
        <v>1248.9000000000001</v>
      </c>
      <c r="C375">
        <v>4668.7</v>
      </c>
      <c r="D375">
        <v>35634</v>
      </c>
      <c r="E375">
        <v>33427.9</v>
      </c>
      <c r="F375">
        <f t="shared" si="59"/>
        <v>36882.9</v>
      </c>
      <c r="G375">
        <f t="shared" si="60"/>
        <v>38096.6</v>
      </c>
      <c r="H375" s="37">
        <f t="shared" si="63"/>
        <v>-3.1858486059123337E-2</v>
      </c>
      <c r="I375">
        <f t="shared" si="66"/>
        <v>110.60000000000582</v>
      </c>
      <c r="J375">
        <v>13303.9</v>
      </c>
      <c r="M375" s="160">
        <f t="shared" si="64"/>
        <v>39991.9</v>
      </c>
      <c r="N375" s="160">
        <f t="shared" si="65"/>
        <v>36225.733333333337</v>
      </c>
    </row>
    <row r="376" spans="1:14" x14ac:dyDescent="0.25">
      <c r="A376" s="62">
        <f t="shared" si="58"/>
        <v>41473</v>
      </c>
      <c r="B376">
        <v>1295</v>
      </c>
      <c r="C376">
        <v>4386.3</v>
      </c>
      <c r="D376">
        <v>35716.300000000003</v>
      </c>
      <c r="E376">
        <v>33903.599999999999</v>
      </c>
      <c r="F376">
        <f t="shared" si="59"/>
        <v>37011.300000000003</v>
      </c>
      <c r="G376">
        <f t="shared" si="60"/>
        <v>38289.9</v>
      </c>
      <c r="H376" s="37">
        <f t="shared" si="63"/>
        <v>-3.3392617896625398E-2</v>
      </c>
      <c r="I376">
        <f t="shared" si="66"/>
        <v>128.40000000000146</v>
      </c>
      <c r="J376">
        <v>13969.2</v>
      </c>
      <c r="M376" s="160">
        <f t="shared" si="64"/>
        <v>40159.9</v>
      </c>
      <c r="N376" s="160">
        <f t="shared" si="65"/>
        <v>36501.933333333327</v>
      </c>
    </row>
    <row r="377" spans="1:14" x14ac:dyDescent="0.25">
      <c r="A377" s="62">
        <f t="shared" si="58"/>
        <v>41480</v>
      </c>
      <c r="B377">
        <v>1296</v>
      </c>
      <c r="C377">
        <v>4135.3</v>
      </c>
      <c r="D377">
        <v>35793.800000000003</v>
      </c>
      <c r="E377">
        <v>34348.699999999997</v>
      </c>
      <c r="F377">
        <f t="shared" si="59"/>
        <v>37089.800000000003</v>
      </c>
      <c r="G377">
        <f t="shared" si="60"/>
        <v>38484</v>
      </c>
      <c r="H377" s="37">
        <f t="shared" si="63"/>
        <v>-3.6228042822991302E-2</v>
      </c>
      <c r="I377">
        <f t="shared" si="66"/>
        <v>78.5</v>
      </c>
      <c r="J377">
        <v>15000</v>
      </c>
      <c r="M377" s="160">
        <f t="shared" si="64"/>
        <v>40340.866666666669</v>
      </c>
      <c r="N377" s="160">
        <f t="shared" si="65"/>
        <v>36785.100000000006</v>
      </c>
    </row>
    <row r="378" spans="1:14" x14ac:dyDescent="0.25">
      <c r="A378" s="62">
        <f t="shared" si="58"/>
        <v>41487</v>
      </c>
      <c r="B378">
        <v>1325.9</v>
      </c>
      <c r="C378">
        <v>3880</v>
      </c>
      <c r="D378">
        <v>35843.300000000003</v>
      </c>
      <c r="E378">
        <v>34709.1</v>
      </c>
      <c r="F378">
        <f t="shared" si="59"/>
        <v>37169.200000000004</v>
      </c>
      <c r="G378">
        <f t="shared" si="60"/>
        <v>38589.1</v>
      </c>
      <c r="H378" s="37">
        <f t="shared" si="63"/>
        <v>-3.6795364494118687E-2</v>
      </c>
      <c r="I378">
        <f t="shared" si="66"/>
        <v>79.400000000001455</v>
      </c>
      <c r="J378">
        <v>16017.7</v>
      </c>
      <c r="M378" s="160">
        <f t="shared" si="64"/>
        <v>40272.400000000001</v>
      </c>
      <c r="N378" s="160">
        <f t="shared" si="65"/>
        <v>37088.23333333333</v>
      </c>
    </row>
    <row r="379" spans="1:14" x14ac:dyDescent="0.25">
      <c r="A379" s="62">
        <f t="shared" si="58"/>
        <v>41494</v>
      </c>
      <c r="B379">
        <v>1221.3</v>
      </c>
      <c r="C379">
        <v>3506.9</v>
      </c>
      <c r="D379">
        <v>35179.4</v>
      </c>
      <c r="E379">
        <v>35179.4</v>
      </c>
      <c r="F379">
        <f t="shared" si="59"/>
        <v>36400.700000000004</v>
      </c>
      <c r="G379">
        <f t="shared" si="60"/>
        <v>38686.300000000003</v>
      </c>
      <c r="H379" s="37">
        <f t="shared" si="63"/>
        <v>-5.9080346272452955E-2</v>
      </c>
      <c r="I379">
        <f t="shared" si="66"/>
        <v>-768.5</v>
      </c>
      <c r="J379">
        <v>17911.099999999999</v>
      </c>
      <c r="M379" s="160">
        <f t="shared" si="64"/>
        <v>40475.566666666658</v>
      </c>
      <c r="N379" s="160">
        <f t="shared" si="65"/>
        <v>37328.5</v>
      </c>
    </row>
    <row r="380" spans="1:14" x14ac:dyDescent="0.25">
      <c r="A380" s="62">
        <f t="shared" ref="A380:A443" si="67">+A379+7</f>
        <v>41501</v>
      </c>
      <c r="B380">
        <v>1095.2</v>
      </c>
      <c r="C380">
        <v>3042.6</v>
      </c>
      <c r="D380">
        <v>36084.300000000003</v>
      </c>
      <c r="E380">
        <v>35776.6</v>
      </c>
      <c r="F380">
        <f t="shared" si="59"/>
        <v>37179.5</v>
      </c>
      <c r="G380">
        <f t="shared" si="60"/>
        <v>38819.199999999997</v>
      </c>
      <c r="H380" s="37">
        <f t="shared" si="63"/>
        <v>-4.2239407303602317E-2</v>
      </c>
      <c r="I380">
        <f t="shared" si="66"/>
        <v>778.79999999999563</v>
      </c>
      <c r="J380">
        <v>18837</v>
      </c>
      <c r="M380" s="160">
        <f t="shared" si="64"/>
        <v>40643.26666666667</v>
      </c>
      <c r="N380" s="160">
        <f t="shared" si="65"/>
        <v>37714.466666666667</v>
      </c>
    </row>
    <row r="381" spans="1:14" x14ac:dyDescent="0.25">
      <c r="A381" s="62">
        <f t="shared" si="67"/>
        <v>41508</v>
      </c>
      <c r="B381">
        <v>1016</v>
      </c>
      <c r="C381">
        <v>2496.8000000000002</v>
      </c>
      <c r="D381">
        <v>36160.400000000001</v>
      </c>
      <c r="E381">
        <v>36312.400000000001</v>
      </c>
      <c r="F381">
        <f t="shared" si="59"/>
        <v>37176.400000000001</v>
      </c>
      <c r="G381">
        <f t="shared" si="60"/>
        <v>38809.200000000004</v>
      </c>
      <c r="H381" s="37">
        <f t="shared" si="63"/>
        <v>-4.2072498273605263E-2</v>
      </c>
      <c r="I381">
        <f t="shared" si="66"/>
        <v>-3.0999999999985448</v>
      </c>
      <c r="J381">
        <v>19705.7</v>
      </c>
      <c r="M381" s="160">
        <f t="shared" si="64"/>
        <v>40779.366666666669</v>
      </c>
      <c r="N381" s="160">
        <f t="shared" si="65"/>
        <v>38114.966666666667</v>
      </c>
    </row>
    <row r="382" spans="1:14" x14ac:dyDescent="0.25">
      <c r="A382" s="62">
        <f t="shared" si="67"/>
        <v>41515</v>
      </c>
      <c r="B382">
        <v>961.3</v>
      </c>
      <c r="C382">
        <v>2087.6</v>
      </c>
      <c r="D382">
        <v>36220.199999999997</v>
      </c>
      <c r="E382">
        <v>36726.6</v>
      </c>
      <c r="F382">
        <f t="shared" si="59"/>
        <v>37181.5</v>
      </c>
      <c r="G382">
        <f t="shared" si="60"/>
        <v>38814.199999999997</v>
      </c>
      <c r="H382" s="37">
        <f t="shared" si="63"/>
        <v>-4.2064502166732742E-2</v>
      </c>
      <c r="I382" s="192">
        <f t="shared" si="66"/>
        <v>5.0999999999985448</v>
      </c>
      <c r="J382">
        <v>20549.900000000001</v>
      </c>
      <c r="K382" s="192"/>
      <c r="M382" s="160">
        <f t="shared" si="64"/>
        <v>40776.299999999996</v>
      </c>
      <c r="N382" s="160">
        <f t="shared" si="65"/>
        <v>38450.266666666663</v>
      </c>
    </row>
    <row r="383" spans="1:14" x14ac:dyDescent="0.25">
      <c r="A383" s="62">
        <f t="shared" si="67"/>
        <v>41522</v>
      </c>
      <c r="B383">
        <v>21896.3</v>
      </c>
      <c r="C383">
        <v>20385.3</v>
      </c>
      <c r="D383">
        <v>60.1</v>
      </c>
      <c r="E383">
        <v>339.4</v>
      </c>
      <c r="F383">
        <f t="shared" si="59"/>
        <v>21956.399999999998</v>
      </c>
      <c r="G383">
        <f t="shared" si="60"/>
        <v>20724.7</v>
      </c>
      <c r="H383" s="37">
        <f t="shared" si="63"/>
        <v>5.9431499611574345E-2</v>
      </c>
      <c r="I383" s="192">
        <f>+B383-J382</f>
        <v>1346.3999999999978</v>
      </c>
      <c r="M383" s="160"/>
      <c r="N383" s="160"/>
    </row>
    <row r="384" spans="1:14" x14ac:dyDescent="0.25">
      <c r="A384" s="62">
        <f t="shared" si="67"/>
        <v>41529</v>
      </c>
      <c r="B384">
        <v>22745.4</v>
      </c>
      <c r="C384">
        <v>20825</v>
      </c>
      <c r="D384">
        <v>134.30000000000001</v>
      </c>
      <c r="E384">
        <v>546.70000000000005</v>
      </c>
      <c r="F384">
        <f t="shared" si="59"/>
        <v>22879.7</v>
      </c>
      <c r="G384">
        <f t="shared" si="60"/>
        <v>21371.7</v>
      </c>
      <c r="H384" s="37">
        <f t="shared" si="63"/>
        <v>7.0560601168835335E-2</v>
      </c>
      <c r="I384" s="192">
        <f>+F384-F383</f>
        <v>923.30000000000291</v>
      </c>
      <c r="M384" s="160"/>
      <c r="N384" s="160"/>
    </row>
    <row r="385" spans="1:14" x14ac:dyDescent="0.25">
      <c r="A385" s="62">
        <f t="shared" si="67"/>
        <v>41536</v>
      </c>
      <c r="B385">
        <v>25119.8</v>
      </c>
      <c r="C385">
        <v>21295.599999999999</v>
      </c>
      <c r="D385">
        <v>576.79999999999995</v>
      </c>
      <c r="E385">
        <v>875.6</v>
      </c>
      <c r="F385">
        <f t="shared" si="59"/>
        <v>25696.6</v>
      </c>
      <c r="G385">
        <f t="shared" si="60"/>
        <v>22171.199999999997</v>
      </c>
      <c r="H385" s="37">
        <f t="shared" si="63"/>
        <v>0.15900808255755217</v>
      </c>
      <c r="I385" s="192">
        <f>+F385-F384</f>
        <v>2816.8999999999978</v>
      </c>
      <c r="M385" s="160"/>
      <c r="N385" s="160"/>
    </row>
    <row r="386" spans="1:14" x14ac:dyDescent="0.25">
      <c r="A386" s="62">
        <f t="shared" si="67"/>
        <v>41543</v>
      </c>
      <c r="B386">
        <v>25590.2</v>
      </c>
      <c r="C386">
        <v>21415.3</v>
      </c>
      <c r="D386">
        <v>967.1</v>
      </c>
      <c r="E386">
        <v>2052.6</v>
      </c>
      <c r="F386">
        <f t="shared" si="59"/>
        <v>26557.3</v>
      </c>
      <c r="G386">
        <f t="shared" si="60"/>
        <v>23467.899999999998</v>
      </c>
      <c r="H386" s="37">
        <f t="shared" si="63"/>
        <v>0.13164364941047135</v>
      </c>
      <c r="I386" s="192">
        <f>+F386-F385</f>
        <v>860.70000000000073</v>
      </c>
      <c r="M386" s="160"/>
      <c r="N386" s="160"/>
    </row>
    <row r="387" spans="1:14" x14ac:dyDescent="0.25">
      <c r="A387" s="62">
        <f t="shared" si="67"/>
        <v>41550</v>
      </c>
      <c r="B387">
        <v>25668.2</v>
      </c>
      <c r="C387">
        <v>20736.900000000001</v>
      </c>
      <c r="D387">
        <v>1818.9</v>
      </c>
      <c r="E387">
        <v>3231.6</v>
      </c>
      <c r="F387">
        <f t="shared" si="59"/>
        <v>27487.100000000002</v>
      </c>
      <c r="G387">
        <f t="shared" si="60"/>
        <v>23968.5</v>
      </c>
      <c r="H387" s="37">
        <f t="shared" si="63"/>
        <v>0.14680100965851017</v>
      </c>
      <c r="I387" s="195">
        <f>+F387-F386</f>
        <v>929.80000000000291</v>
      </c>
      <c r="M387" s="160"/>
      <c r="N387" s="160"/>
    </row>
    <row r="388" spans="1:14" x14ac:dyDescent="0.25">
      <c r="A388" s="62">
        <f t="shared" si="67"/>
        <v>41557</v>
      </c>
      <c r="F388">
        <f t="shared" si="59"/>
        <v>0</v>
      </c>
      <c r="G388">
        <f t="shared" si="60"/>
        <v>0</v>
      </c>
      <c r="H388" s="37" t="e">
        <f t="shared" si="63"/>
        <v>#DIV/0!</v>
      </c>
      <c r="M388" s="160"/>
      <c r="N388" s="160"/>
    </row>
    <row r="389" spans="1:14" x14ac:dyDescent="0.25">
      <c r="A389" s="62">
        <f t="shared" si="67"/>
        <v>41564</v>
      </c>
      <c r="F389">
        <f t="shared" si="59"/>
        <v>0</v>
      </c>
      <c r="G389">
        <f t="shared" si="60"/>
        <v>0</v>
      </c>
      <c r="H389" s="37" t="e">
        <f t="shared" si="63"/>
        <v>#DIV/0!</v>
      </c>
      <c r="M389" s="160"/>
      <c r="N389" s="160"/>
    </row>
    <row r="390" spans="1:14" x14ac:dyDescent="0.25">
      <c r="A390" s="62">
        <f t="shared" si="67"/>
        <v>41571</v>
      </c>
      <c r="B390">
        <v>25287</v>
      </c>
      <c r="C390">
        <v>17698.7</v>
      </c>
      <c r="D390">
        <v>6942.1</v>
      </c>
      <c r="E390">
        <v>8056.5</v>
      </c>
      <c r="F390">
        <f t="shared" si="59"/>
        <v>32229.1</v>
      </c>
      <c r="G390">
        <f t="shared" si="60"/>
        <v>25755.200000000001</v>
      </c>
      <c r="H390" s="37">
        <f t="shared" si="63"/>
        <v>0.25136283158352479</v>
      </c>
      <c r="M390" s="160"/>
      <c r="N390" s="160"/>
    </row>
    <row r="391" spans="1:14" ht="15" x14ac:dyDescent="0.25">
      <c r="A391" s="62">
        <f t="shared" si="67"/>
        <v>41578</v>
      </c>
      <c r="B391">
        <v>24145.599999999999</v>
      </c>
      <c r="C391">
        <v>16136.5</v>
      </c>
      <c r="D391">
        <v>9101.7999999999993</v>
      </c>
      <c r="E391">
        <v>9805.1</v>
      </c>
      <c r="F391" s="123">
        <f t="shared" si="59"/>
        <v>33247.399999999994</v>
      </c>
      <c r="G391">
        <f t="shared" si="60"/>
        <v>25941.599999999999</v>
      </c>
      <c r="H391" s="37">
        <f t="shared" si="63"/>
        <v>0.28162488050081702</v>
      </c>
      <c r="L391" s="96"/>
      <c r="M391" s="160"/>
      <c r="N391" s="160"/>
    </row>
    <row r="392" spans="1:14" ht="15" x14ac:dyDescent="0.25">
      <c r="A392" s="62">
        <f t="shared" si="67"/>
        <v>41585</v>
      </c>
      <c r="B392">
        <v>22928.9</v>
      </c>
      <c r="C392">
        <v>14881.8</v>
      </c>
      <c r="D392">
        <v>11167.1</v>
      </c>
      <c r="E392">
        <v>11619.5</v>
      </c>
      <c r="F392" s="123">
        <f t="shared" si="59"/>
        <v>34096</v>
      </c>
      <c r="G392">
        <f t="shared" si="60"/>
        <v>26501.3</v>
      </c>
      <c r="H392" s="37">
        <f t="shared" si="63"/>
        <v>0.28657839426745113</v>
      </c>
      <c r="L392" s="96"/>
    </row>
    <row r="393" spans="1:14" x14ac:dyDescent="0.25">
      <c r="A393" s="62">
        <f t="shared" si="67"/>
        <v>41592</v>
      </c>
      <c r="B393">
        <v>21816.6</v>
      </c>
      <c r="C393" s="123">
        <v>13449</v>
      </c>
      <c r="D393">
        <v>13655.7</v>
      </c>
      <c r="E393">
        <v>13493.4</v>
      </c>
      <c r="F393">
        <f t="shared" si="59"/>
        <v>35472.300000000003</v>
      </c>
      <c r="G393">
        <f t="shared" si="60"/>
        <v>26942.400000000001</v>
      </c>
      <c r="H393" s="37">
        <f t="shared" si="63"/>
        <v>0.31659763050062351</v>
      </c>
      <c r="M393" s="160"/>
      <c r="N393" s="160"/>
    </row>
    <row r="394" spans="1:14" x14ac:dyDescent="0.25">
      <c r="A394" s="62">
        <f t="shared" si="67"/>
        <v>41599</v>
      </c>
      <c r="B394">
        <v>21378.799999999999</v>
      </c>
      <c r="C394">
        <v>12414.1</v>
      </c>
      <c r="D394">
        <v>15408.2</v>
      </c>
      <c r="E394">
        <v>14847.5</v>
      </c>
      <c r="F394" s="123">
        <f t="shared" si="59"/>
        <v>36787</v>
      </c>
      <c r="G394">
        <f t="shared" si="60"/>
        <v>27261.599999999999</v>
      </c>
      <c r="H394" s="37">
        <f t="shared" si="63"/>
        <v>0.3494072248143909</v>
      </c>
      <c r="M394" s="160"/>
      <c r="N394" s="160"/>
    </row>
    <row r="395" spans="1:14" x14ac:dyDescent="0.25">
      <c r="A395" s="62">
        <f t="shared" si="67"/>
        <v>41606</v>
      </c>
      <c r="B395">
        <v>20305.900000000001</v>
      </c>
      <c r="C395">
        <v>12004</v>
      </c>
      <c r="D395">
        <v>17286.400000000001</v>
      </c>
      <c r="E395">
        <v>16400.2</v>
      </c>
      <c r="F395">
        <f t="shared" ref="F395:F458" si="68">+B395+D395</f>
        <v>37592.300000000003</v>
      </c>
      <c r="G395">
        <f t="shared" ref="G395:G458" si="69">+C395+E395</f>
        <v>28404.2</v>
      </c>
      <c r="H395" s="37">
        <f t="shared" si="63"/>
        <v>0.32347680976756976</v>
      </c>
      <c r="M395" s="160"/>
      <c r="N395" s="160"/>
    </row>
    <row r="396" spans="1:14" x14ac:dyDescent="0.25">
      <c r="A396" s="62">
        <f t="shared" si="67"/>
        <v>41613</v>
      </c>
      <c r="B396">
        <v>19703.2</v>
      </c>
      <c r="C396">
        <v>12164.3</v>
      </c>
      <c r="D396">
        <v>18997.599999999999</v>
      </c>
      <c r="E396">
        <v>17559.3</v>
      </c>
      <c r="F396">
        <f t="shared" si="68"/>
        <v>38700.800000000003</v>
      </c>
      <c r="G396">
        <f t="shared" si="69"/>
        <v>29723.599999999999</v>
      </c>
      <c r="H396" s="37">
        <f t="shared" si="63"/>
        <v>0.30202263521242401</v>
      </c>
    </row>
    <row r="397" spans="1:14" x14ac:dyDescent="0.25">
      <c r="A397" s="62">
        <f t="shared" si="67"/>
        <v>41620</v>
      </c>
      <c r="B397">
        <v>18549.5</v>
      </c>
      <c r="C397" s="123">
        <v>11435</v>
      </c>
      <c r="D397">
        <v>20492.099999999999</v>
      </c>
      <c r="E397">
        <v>18908.099999999999</v>
      </c>
      <c r="F397">
        <f t="shared" si="68"/>
        <v>39041.599999999999</v>
      </c>
      <c r="G397">
        <f t="shared" si="69"/>
        <v>30343.1</v>
      </c>
      <c r="H397" s="37">
        <f t="shared" si="63"/>
        <v>0.28667143436234266</v>
      </c>
    </row>
    <row r="398" spans="1:14" x14ac:dyDescent="0.25">
      <c r="A398" s="62">
        <f t="shared" si="67"/>
        <v>41627</v>
      </c>
      <c r="B398">
        <v>17824.099999999999</v>
      </c>
      <c r="C398">
        <v>10368.200000000001</v>
      </c>
      <c r="D398">
        <v>21937.200000000001</v>
      </c>
      <c r="E398">
        <v>19966.400000000001</v>
      </c>
      <c r="F398">
        <f t="shared" si="68"/>
        <v>39761.300000000003</v>
      </c>
      <c r="G398">
        <f t="shared" si="69"/>
        <v>30334.600000000002</v>
      </c>
      <c r="H398" s="37">
        <f t="shared" si="63"/>
        <v>0.31075735298965546</v>
      </c>
    </row>
    <row r="399" spans="1:14" x14ac:dyDescent="0.25">
      <c r="A399" s="62">
        <f t="shared" si="67"/>
        <v>41634</v>
      </c>
      <c r="B399">
        <v>17239.5</v>
      </c>
      <c r="C399">
        <v>9767.4</v>
      </c>
      <c r="D399">
        <v>23388.400000000001</v>
      </c>
      <c r="E399" s="123">
        <v>21002</v>
      </c>
      <c r="F399">
        <f t="shared" si="68"/>
        <v>40627.9</v>
      </c>
      <c r="G399">
        <f t="shared" si="69"/>
        <v>30769.4</v>
      </c>
      <c r="H399" s="37">
        <f t="shared" si="63"/>
        <v>0.32039948780281713</v>
      </c>
    </row>
    <row r="400" spans="1:14" x14ac:dyDescent="0.25">
      <c r="A400" s="62">
        <f t="shared" si="67"/>
        <v>41641</v>
      </c>
      <c r="B400">
        <v>15719.6</v>
      </c>
      <c r="C400">
        <v>8911.9</v>
      </c>
      <c r="D400">
        <v>25063.7</v>
      </c>
      <c r="E400">
        <v>22179.3</v>
      </c>
      <c r="F400">
        <f t="shared" si="68"/>
        <v>40783.300000000003</v>
      </c>
      <c r="G400">
        <f t="shared" si="69"/>
        <v>31091.199999999997</v>
      </c>
      <c r="H400" s="37">
        <f t="shared" si="63"/>
        <v>0.31173129374228092</v>
      </c>
    </row>
    <row r="401" spans="1:20" ht="15" x14ac:dyDescent="0.25">
      <c r="A401" s="62">
        <f t="shared" si="67"/>
        <v>41648</v>
      </c>
      <c r="B401">
        <v>14857.9</v>
      </c>
      <c r="C401">
        <v>9240.4</v>
      </c>
      <c r="D401">
        <v>26594.7</v>
      </c>
      <c r="E401">
        <v>23392.7</v>
      </c>
      <c r="F401">
        <f t="shared" si="68"/>
        <v>41452.6</v>
      </c>
      <c r="G401">
        <f t="shared" si="69"/>
        <v>32633.1</v>
      </c>
      <c r="H401" s="37">
        <f t="shared" si="63"/>
        <v>0.27026240228479681</v>
      </c>
      <c r="J401" s="96"/>
    </row>
    <row r="402" spans="1:20" ht="15" x14ac:dyDescent="0.25">
      <c r="A402" s="62">
        <f t="shared" si="67"/>
        <v>41655</v>
      </c>
      <c r="B402">
        <v>13978.6</v>
      </c>
      <c r="C402">
        <v>8351.6</v>
      </c>
      <c r="D402">
        <v>28170.1</v>
      </c>
      <c r="E402">
        <v>24588.9</v>
      </c>
      <c r="F402">
        <f t="shared" si="68"/>
        <v>42148.7</v>
      </c>
      <c r="G402">
        <f t="shared" si="69"/>
        <v>32940.5</v>
      </c>
      <c r="H402" s="37">
        <f t="shared" ref="H402:H465" si="70">+F402/G402-1</f>
        <v>0.27954038341858789</v>
      </c>
      <c r="J402" s="197"/>
      <c r="K402" s="199"/>
      <c r="L402" s="197"/>
      <c r="M402" s="197"/>
      <c r="N402" s="197"/>
      <c r="O402" s="197"/>
      <c r="P402" s="197"/>
      <c r="Q402" s="197"/>
      <c r="R402" s="197"/>
      <c r="S402" s="197"/>
      <c r="T402" s="197"/>
    </row>
    <row r="403" spans="1:20" ht="15" x14ac:dyDescent="0.25">
      <c r="A403" s="62">
        <f t="shared" si="67"/>
        <v>41662</v>
      </c>
      <c r="B403">
        <v>12358.8</v>
      </c>
      <c r="C403">
        <v>7602.8</v>
      </c>
      <c r="D403">
        <v>30218.7</v>
      </c>
      <c r="E403">
        <v>25723.599999999999</v>
      </c>
      <c r="F403">
        <f t="shared" si="68"/>
        <v>42577.5</v>
      </c>
      <c r="G403">
        <f t="shared" si="69"/>
        <v>33326.400000000001</v>
      </c>
      <c r="H403" s="37">
        <f t="shared" si="70"/>
        <v>0.27759073887368557</v>
      </c>
      <c r="J403" s="197"/>
      <c r="K403" s="199"/>
      <c r="L403" s="197"/>
      <c r="M403" s="197"/>
      <c r="N403" s="197"/>
      <c r="O403" s="197"/>
      <c r="P403" s="197"/>
      <c r="Q403" s="197"/>
      <c r="R403" s="197"/>
      <c r="S403" s="197"/>
      <c r="T403" s="197"/>
    </row>
    <row r="404" spans="1:20" ht="15" x14ac:dyDescent="0.25">
      <c r="A404" s="62">
        <f t="shared" si="67"/>
        <v>41669</v>
      </c>
      <c r="B404">
        <v>11427.7</v>
      </c>
      <c r="C404">
        <v>6944.3</v>
      </c>
      <c r="D404">
        <v>31594.5</v>
      </c>
      <c r="E404">
        <v>27194.6</v>
      </c>
      <c r="F404">
        <f t="shared" si="68"/>
        <v>43022.2</v>
      </c>
      <c r="G404">
        <f t="shared" si="69"/>
        <v>34138.9</v>
      </c>
      <c r="H404" s="37">
        <f t="shared" si="70"/>
        <v>0.26021049301529908</v>
      </c>
      <c r="J404" s="199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</row>
    <row r="405" spans="1:20" ht="15" x14ac:dyDescent="0.25">
      <c r="A405" s="62">
        <f t="shared" si="67"/>
        <v>41676</v>
      </c>
      <c r="B405">
        <v>10107.299999999999</v>
      </c>
      <c r="C405">
        <v>5844.5</v>
      </c>
      <c r="D405">
        <v>33088.5</v>
      </c>
      <c r="E405">
        <v>28185.200000000001</v>
      </c>
      <c r="F405">
        <f t="shared" si="68"/>
        <v>43195.8</v>
      </c>
      <c r="G405">
        <f t="shared" si="69"/>
        <v>34029.699999999997</v>
      </c>
      <c r="H405" s="37">
        <f t="shared" si="70"/>
        <v>0.26935588618177664</v>
      </c>
      <c r="J405" s="197"/>
      <c r="K405" s="199"/>
      <c r="L405" s="197"/>
      <c r="M405" s="197"/>
      <c r="N405" s="197"/>
      <c r="O405" s="197"/>
      <c r="P405" s="197"/>
      <c r="Q405" s="197"/>
      <c r="R405" s="197"/>
      <c r="S405" s="197"/>
      <c r="T405" s="197"/>
    </row>
    <row r="406" spans="1:20" ht="15" x14ac:dyDescent="0.25">
      <c r="A406" s="62">
        <f t="shared" si="67"/>
        <v>41683</v>
      </c>
      <c r="B406" s="123">
        <v>8854</v>
      </c>
      <c r="C406">
        <v>4768.8999999999996</v>
      </c>
      <c r="D406" s="123">
        <v>34362</v>
      </c>
      <c r="E406">
        <v>29141.3</v>
      </c>
      <c r="F406" s="123">
        <f t="shared" si="68"/>
        <v>43216</v>
      </c>
      <c r="G406">
        <f t="shared" si="69"/>
        <v>33910.199999999997</v>
      </c>
      <c r="H406" s="37">
        <f t="shared" si="70"/>
        <v>0.27442480433615857</v>
      </c>
      <c r="J406" s="197"/>
      <c r="K406" s="199"/>
      <c r="L406" s="197"/>
      <c r="M406" s="197"/>
      <c r="N406" s="197"/>
      <c r="O406" s="197"/>
      <c r="P406" s="197"/>
      <c r="Q406" s="197"/>
      <c r="R406" s="197"/>
      <c r="S406" s="197"/>
      <c r="T406" s="197"/>
    </row>
    <row r="407" spans="1:20" ht="15" x14ac:dyDescent="0.25">
      <c r="A407" s="62">
        <f t="shared" si="67"/>
        <v>41690</v>
      </c>
      <c r="B407">
        <v>7374.8</v>
      </c>
      <c r="C407">
        <v>4635.7</v>
      </c>
      <c r="D407">
        <v>36083.300000000003</v>
      </c>
      <c r="E407">
        <v>29887.7</v>
      </c>
      <c r="F407">
        <f t="shared" si="68"/>
        <v>43458.100000000006</v>
      </c>
      <c r="G407">
        <f t="shared" si="69"/>
        <v>34523.4</v>
      </c>
      <c r="H407" s="37">
        <f t="shared" si="70"/>
        <v>0.25880127681514575</v>
      </c>
      <c r="J407" s="197"/>
      <c r="K407" s="199"/>
      <c r="L407" s="199"/>
      <c r="M407" s="197"/>
      <c r="N407" s="197"/>
      <c r="O407" s="197"/>
      <c r="P407" s="197"/>
      <c r="Q407" s="197"/>
      <c r="R407" s="197"/>
      <c r="S407" s="197"/>
      <c r="T407" s="197"/>
    </row>
    <row r="408" spans="1:20" ht="15" x14ac:dyDescent="0.25">
      <c r="A408" s="62">
        <f t="shared" si="67"/>
        <v>41697</v>
      </c>
      <c r="F408">
        <f t="shared" si="68"/>
        <v>0</v>
      </c>
      <c r="G408">
        <f t="shared" si="69"/>
        <v>0</v>
      </c>
      <c r="H408" s="37" t="e">
        <f t="shared" si="70"/>
        <v>#DIV/0!</v>
      </c>
      <c r="J408" s="197"/>
      <c r="K408" s="199"/>
      <c r="L408" s="199"/>
      <c r="M408" s="197"/>
      <c r="N408" s="197"/>
      <c r="O408" s="197"/>
      <c r="P408" s="197"/>
      <c r="Q408" s="197"/>
      <c r="R408" s="197"/>
      <c r="S408" s="197"/>
      <c r="T408" s="197"/>
    </row>
    <row r="409" spans="1:20" ht="15" x14ac:dyDescent="0.25">
      <c r="A409" s="62">
        <f t="shared" si="67"/>
        <v>41704</v>
      </c>
      <c r="F409">
        <f t="shared" si="68"/>
        <v>0</v>
      </c>
      <c r="G409">
        <f t="shared" si="69"/>
        <v>0</v>
      </c>
      <c r="H409" s="37" t="e">
        <f t="shared" si="70"/>
        <v>#DIV/0!</v>
      </c>
      <c r="J409" s="197"/>
      <c r="K409" s="199"/>
      <c r="L409" s="201"/>
      <c r="M409" s="197"/>
      <c r="N409" s="197"/>
      <c r="O409" s="197"/>
      <c r="P409" s="197"/>
      <c r="Q409" s="197"/>
      <c r="R409" s="197"/>
      <c r="S409" s="197"/>
      <c r="T409" s="197"/>
    </row>
    <row r="410" spans="1:20" ht="15" x14ac:dyDescent="0.25">
      <c r="A410" s="62">
        <f t="shared" si="67"/>
        <v>41711</v>
      </c>
      <c r="F410">
        <f t="shared" si="68"/>
        <v>0</v>
      </c>
      <c r="G410">
        <f t="shared" si="69"/>
        <v>0</v>
      </c>
      <c r="H410" s="37" t="e">
        <f t="shared" si="70"/>
        <v>#DIV/0!</v>
      </c>
      <c r="J410" s="197"/>
      <c r="K410" s="199"/>
      <c r="L410" s="201"/>
      <c r="M410" s="197"/>
      <c r="N410" s="197"/>
      <c r="O410" s="197"/>
      <c r="P410" s="197"/>
      <c r="Q410" s="197"/>
      <c r="R410" s="197"/>
      <c r="S410" s="197"/>
      <c r="T410" s="197"/>
    </row>
    <row r="411" spans="1:20" ht="15" x14ac:dyDescent="0.25">
      <c r="A411" s="62">
        <f t="shared" si="67"/>
        <v>41718</v>
      </c>
      <c r="F411">
        <f t="shared" si="68"/>
        <v>0</v>
      </c>
      <c r="G411">
        <f t="shared" si="69"/>
        <v>0</v>
      </c>
      <c r="H411" s="37" t="e">
        <f t="shared" si="70"/>
        <v>#DIV/0!</v>
      </c>
      <c r="J411" s="197"/>
      <c r="K411" s="199"/>
      <c r="L411" s="199"/>
      <c r="M411" s="197"/>
      <c r="N411" s="197"/>
      <c r="O411" s="197"/>
      <c r="P411" s="197"/>
      <c r="Q411" s="197"/>
      <c r="R411" s="197"/>
      <c r="S411" s="197"/>
      <c r="T411" s="197"/>
    </row>
    <row r="412" spans="1:20" ht="15" x14ac:dyDescent="0.25">
      <c r="A412" s="62">
        <f t="shared" si="67"/>
        <v>41725</v>
      </c>
      <c r="F412">
        <f t="shared" si="68"/>
        <v>0</v>
      </c>
      <c r="G412">
        <f t="shared" si="69"/>
        <v>0</v>
      </c>
      <c r="H412" s="37" t="e">
        <f t="shared" si="70"/>
        <v>#DIV/0!</v>
      </c>
      <c r="J412" s="197"/>
      <c r="K412" s="199"/>
      <c r="L412" s="199"/>
      <c r="M412" s="197"/>
      <c r="N412" s="197"/>
      <c r="O412" s="197"/>
      <c r="P412" s="197"/>
      <c r="Q412" s="197"/>
      <c r="R412" s="197"/>
      <c r="S412" s="197"/>
      <c r="T412" s="197"/>
    </row>
    <row r="413" spans="1:20" ht="15" x14ac:dyDescent="0.25">
      <c r="A413" s="62">
        <f t="shared" si="67"/>
        <v>41732</v>
      </c>
      <c r="F413">
        <f t="shared" si="68"/>
        <v>0</v>
      </c>
      <c r="G413">
        <f t="shared" si="69"/>
        <v>0</v>
      </c>
      <c r="H413" s="37" t="e">
        <f t="shared" si="70"/>
        <v>#DIV/0!</v>
      </c>
      <c r="J413" s="197"/>
      <c r="K413" s="199"/>
      <c r="L413" s="199"/>
      <c r="M413" s="197"/>
      <c r="N413" s="197"/>
      <c r="O413" s="197"/>
      <c r="P413" s="197"/>
      <c r="Q413" s="197"/>
      <c r="R413" s="197"/>
      <c r="S413" s="197"/>
      <c r="T413" s="197"/>
    </row>
    <row r="414" spans="1:20" ht="15" x14ac:dyDescent="0.25">
      <c r="A414" s="62">
        <f t="shared" si="67"/>
        <v>41739</v>
      </c>
      <c r="F414">
        <f t="shared" si="68"/>
        <v>0</v>
      </c>
      <c r="G414">
        <f t="shared" si="69"/>
        <v>0</v>
      </c>
      <c r="H414" s="37" t="e">
        <f t="shared" si="70"/>
        <v>#DIV/0!</v>
      </c>
      <c r="J414" s="197"/>
      <c r="K414" s="199"/>
      <c r="L414" s="199"/>
      <c r="M414" s="197"/>
      <c r="N414" s="197"/>
      <c r="O414" s="197"/>
      <c r="P414" s="197"/>
      <c r="Q414" s="197"/>
      <c r="R414" s="197"/>
      <c r="S414" s="197"/>
      <c r="T414" s="197"/>
    </row>
    <row r="415" spans="1:20" ht="15" x14ac:dyDescent="0.25">
      <c r="A415" s="62">
        <f t="shared" si="67"/>
        <v>41746</v>
      </c>
      <c r="F415">
        <f t="shared" si="68"/>
        <v>0</v>
      </c>
      <c r="G415">
        <f t="shared" si="69"/>
        <v>0</v>
      </c>
      <c r="H415" s="37" t="e">
        <f t="shared" si="70"/>
        <v>#DIV/0!</v>
      </c>
      <c r="J415" s="197"/>
      <c r="K415" s="199"/>
      <c r="L415" s="199"/>
      <c r="M415" s="197"/>
      <c r="N415" s="197"/>
      <c r="O415" s="197"/>
      <c r="P415" s="197"/>
      <c r="Q415" s="197"/>
      <c r="R415" s="197"/>
      <c r="S415" s="197"/>
      <c r="T415" s="197"/>
    </row>
    <row r="416" spans="1:20" ht="15" x14ac:dyDescent="0.25">
      <c r="A416" s="62">
        <f t="shared" si="67"/>
        <v>41753</v>
      </c>
      <c r="F416">
        <f t="shared" si="68"/>
        <v>0</v>
      </c>
      <c r="G416">
        <f t="shared" si="69"/>
        <v>0</v>
      </c>
      <c r="H416" s="37" t="e">
        <f t="shared" si="70"/>
        <v>#DIV/0!</v>
      </c>
      <c r="J416" s="197"/>
      <c r="K416" s="199"/>
      <c r="L416" s="199"/>
      <c r="M416" s="197"/>
      <c r="N416" s="197"/>
      <c r="O416" s="197"/>
      <c r="P416" s="197"/>
      <c r="Q416" s="197"/>
      <c r="R416" s="197"/>
      <c r="S416" s="197"/>
      <c r="T416" s="197"/>
    </row>
    <row r="417" spans="1:20" ht="15" x14ac:dyDescent="0.25">
      <c r="A417" s="62">
        <f t="shared" si="67"/>
        <v>41760</v>
      </c>
      <c r="F417">
        <f t="shared" si="68"/>
        <v>0</v>
      </c>
      <c r="G417">
        <f t="shared" si="69"/>
        <v>0</v>
      </c>
      <c r="H417" s="37" t="e">
        <f t="shared" si="70"/>
        <v>#DIV/0!</v>
      </c>
      <c r="J417" s="197"/>
      <c r="K417" s="199"/>
      <c r="L417" s="199"/>
      <c r="M417" s="197"/>
      <c r="N417" s="197"/>
      <c r="O417" s="197"/>
      <c r="P417" s="197"/>
      <c r="Q417" s="197"/>
      <c r="R417" s="197"/>
      <c r="S417" s="197"/>
      <c r="T417" s="197"/>
    </row>
    <row r="418" spans="1:20" ht="15" x14ac:dyDescent="0.25">
      <c r="A418" s="62">
        <f t="shared" si="67"/>
        <v>41767</v>
      </c>
      <c r="F418">
        <f t="shared" si="68"/>
        <v>0</v>
      </c>
      <c r="G418">
        <f t="shared" si="69"/>
        <v>0</v>
      </c>
      <c r="H418" s="37" t="e">
        <f t="shared" si="70"/>
        <v>#DIV/0!</v>
      </c>
      <c r="J418" s="197"/>
      <c r="K418" s="199"/>
      <c r="L418" s="199"/>
      <c r="M418" s="197"/>
      <c r="N418" s="197"/>
      <c r="O418" s="197"/>
      <c r="P418" s="197"/>
      <c r="Q418" s="197"/>
      <c r="R418" s="197"/>
      <c r="S418" s="197"/>
      <c r="T418" s="197"/>
    </row>
    <row r="419" spans="1:20" ht="15" x14ac:dyDescent="0.25">
      <c r="A419" s="62">
        <f t="shared" si="67"/>
        <v>41774</v>
      </c>
      <c r="F419">
        <f t="shared" si="68"/>
        <v>0</v>
      </c>
      <c r="G419">
        <f t="shared" si="69"/>
        <v>0</v>
      </c>
      <c r="H419" s="37" t="e">
        <f t="shared" si="70"/>
        <v>#DIV/0!</v>
      </c>
      <c r="J419" s="197"/>
      <c r="K419" s="199"/>
      <c r="L419" s="199"/>
      <c r="M419" s="197"/>
      <c r="N419" s="197"/>
      <c r="O419" s="197"/>
      <c r="P419" s="197"/>
      <c r="Q419" s="197"/>
      <c r="R419" s="197"/>
      <c r="S419" s="197"/>
      <c r="T419" s="197"/>
    </row>
    <row r="420" spans="1:20" ht="15" x14ac:dyDescent="0.25">
      <c r="A420" s="62">
        <f t="shared" si="67"/>
        <v>41781</v>
      </c>
      <c r="F420">
        <f t="shared" si="68"/>
        <v>0</v>
      </c>
      <c r="G420">
        <f t="shared" si="69"/>
        <v>0</v>
      </c>
      <c r="H420" s="37" t="e">
        <f t="shared" si="70"/>
        <v>#DIV/0!</v>
      </c>
      <c r="J420" s="197"/>
      <c r="K420" s="199"/>
      <c r="L420" s="199"/>
      <c r="M420" s="197"/>
      <c r="N420" s="197"/>
      <c r="O420" s="197"/>
      <c r="P420" s="197"/>
      <c r="Q420" s="197"/>
      <c r="R420" s="197"/>
      <c r="S420" s="197"/>
      <c r="T420" s="197"/>
    </row>
    <row r="421" spans="1:20" ht="15" x14ac:dyDescent="0.25">
      <c r="A421" s="62">
        <f t="shared" si="67"/>
        <v>41788</v>
      </c>
      <c r="F421">
        <f t="shared" si="68"/>
        <v>0</v>
      </c>
      <c r="G421">
        <f t="shared" si="69"/>
        <v>0</v>
      </c>
      <c r="H421" s="37" t="e">
        <f t="shared" si="70"/>
        <v>#DIV/0!</v>
      </c>
      <c r="J421" s="197"/>
      <c r="K421" s="199"/>
      <c r="L421" s="199"/>
      <c r="M421" s="197"/>
      <c r="N421" s="197"/>
      <c r="O421" s="197"/>
      <c r="P421" s="197"/>
      <c r="Q421" s="197"/>
      <c r="R421" s="197"/>
      <c r="S421" s="197"/>
      <c r="T421" s="197"/>
    </row>
    <row r="422" spans="1:20" ht="15" x14ac:dyDescent="0.25">
      <c r="A422" s="62">
        <f t="shared" si="67"/>
        <v>41795</v>
      </c>
      <c r="F422">
        <f t="shared" si="68"/>
        <v>0</v>
      </c>
      <c r="G422">
        <f t="shared" si="69"/>
        <v>0</v>
      </c>
      <c r="H422" s="37" t="e">
        <f t="shared" si="70"/>
        <v>#DIV/0!</v>
      </c>
      <c r="J422" s="197"/>
      <c r="K422" s="199"/>
      <c r="L422" s="199"/>
      <c r="M422" s="197"/>
      <c r="N422" s="197"/>
      <c r="O422" s="197"/>
      <c r="P422" s="197"/>
      <c r="Q422" s="197"/>
      <c r="R422" s="197"/>
      <c r="S422" s="197"/>
      <c r="T422" s="197"/>
    </row>
    <row r="423" spans="1:20" ht="15" x14ac:dyDescent="0.25">
      <c r="A423" s="62">
        <f t="shared" si="67"/>
        <v>41802</v>
      </c>
      <c r="F423">
        <f t="shared" si="68"/>
        <v>0</v>
      </c>
      <c r="G423">
        <f t="shared" si="69"/>
        <v>0</v>
      </c>
      <c r="H423" s="37" t="e">
        <f t="shared" si="70"/>
        <v>#DIV/0!</v>
      </c>
      <c r="J423" s="197"/>
      <c r="K423" s="199"/>
      <c r="L423" s="199"/>
      <c r="M423" s="197"/>
      <c r="N423" s="197"/>
      <c r="O423" s="197"/>
      <c r="P423" s="197"/>
      <c r="Q423" s="197"/>
      <c r="R423" s="197"/>
      <c r="S423" s="197"/>
      <c r="T423" s="197"/>
    </row>
    <row r="424" spans="1:20" ht="15" x14ac:dyDescent="0.25">
      <c r="A424" s="62">
        <f t="shared" si="67"/>
        <v>41809</v>
      </c>
      <c r="F424">
        <f t="shared" si="68"/>
        <v>0</v>
      </c>
      <c r="G424">
        <f t="shared" si="69"/>
        <v>0</v>
      </c>
      <c r="H424" s="37" t="e">
        <f t="shared" si="70"/>
        <v>#DIV/0!</v>
      </c>
      <c r="J424" s="197"/>
      <c r="K424" s="199"/>
      <c r="L424" s="199"/>
      <c r="M424" s="197"/>
      <c r="N424" s="197"/>
      <c r="O424" s="197"/>
      <c r="P424" s="197"/>
      <c r="Q424" s="197"/>
      <c r="R424" s="197"/>
      <c r="S424" s="197"/>
      <c r="T424" s="197"/>
    </row>
    <row r="425" spans="1:20" ht="15" x14ac:dyDescent="0.25">
      <c r="A425" s="62">
        <f t="shared" si="67"/>
        <v>41816</v>
      </c>
      <c r="F425">
        <f t="shared" si="68"/>
        <v>0</v>
      </c>
      <c r="G425">
        <f t="shared" si="69"/>
        <v>0</v>
      </c>
      <c r="H425" s="37" t="e">
        <f t="shared" si="70"/>
        <v>#DIV/0!</v>
      </c>
      <c r="J425" s="197"/>
      <c r="K425" s="199"/>
      <c r="L425" s="199"/>
      <c r="M425" s="197"/>
      <c r="N425" s="197"/>
      <c r="O425" s="197"/>
      <c r="P425" s="197"/>
      <c r="Q425" s="197"/>
      <c r="R425" s="197"/>
      <c r="S425" s="197"/>
      <c r="T425" s="197"/>
    </row>
    <row r="426" spans="1:20" ht="15" x14ac:dyDescent="0.25">
      <c r="A426" s="62">
        <f t="shared" si="67"/>
        <v>41823</v>
      </c>
      <c r="F426">
        <f t="shared" si="68"/>
        <v>0</v>
      </c>
      <c r="G426">
        <f t="shared" si="69"/>
        <v>0</v>
      </c>
      <c r="H426" s="37" t="e">
        <f t="shared" si="70"/>
        <v>#DIV/0!</v>
      </c>
      <c r="J426" s="197"/>
      <c r="K426" s="199"/>
      <c r="L426" s="199"/>
      <c r="M426" s="197"/>
      <c r="N426" s="197"/>
      <c r="O426" s="197"/>
      <c r="P426" s="197"/>
      <c r="Q426" s="197"/>
      <c r="R426" s="197"/>
      <c r="S426" s="197"/>
      <c r="T426" s="197"/>
    </row>
    <row r="427" spans="1:20" ht="15" x14ac:dyDescent="0.25">
      <c r="A427" s="62">
        <f t="shared" si="67"/>
        <v>41830</v>
      </c>
      <c r="F427">
        <f t="shared" si="68"/>
        <v>0</v>
      </c>
      <c r="G427">
        <f t="shared" si="69"/>
        <v>0</v>
      </c>
      <c r="H427" s="37" t="e">
        <f t="shared" si="70"/>
        <v>#DIV/0!</v>
      </c>
      <c r="J427" s="197"/>
      <c r="K427" s="199"/>
      <c r="L427" s="199"/>
      <c r="M427" s="197"/>
      <c r="N427" s="197"/>
      <c r="O427" s="197"/>
      <c r="P427" s="197"/>
      <c r="Q427" s="197"/>
      <c r="R427" s="197"/>
      <c r="S427" s="197"/>
      <c r="T427" s="197"/>
    </row>
    <row r="428" spans="1:20" ht="15" x14ac:dyDescent="0.25">
      <c r="A428" s="62">
        <f t="shared" si="67"/>
        <v>41837</v>
      </c>
      <c r="F428">
        <f t="shared" si="68"/>
        <v>0</v>
      </c>
      <c r="G428">
        <f t="shared" si="69"/>
        <v>0</v>
      </c>
      <c r="H428" s="37" t="e">
        <f t="shared" si="70"/>
        <v>#DIV/0!</v>
      </c>
      <c r="J428" s="197"/>
      <c r="K428" s="199"/>
      <c r="L428" s="199"/>
      <c r="M428" s="197"/>
      <c r="N428" s="197"/>
      <c r="O428" s="197"/>
      <c r="P428" s="197"/>
      <c r="Q428" s="197"/>
      <c r="R428" s="197"/>
      <c r="S428" s="197"/>
      <c r="T428" s="197"/>
    </row>
    <row r="429" spans="1:20" ht="15" x14ac:dyDescent="0.25">
      <c r="A429" s="62">
        <f t="shared" si="67"/>
        <v>41844</v>
      </c>
      <c r="F429">
        <f t="shared" si="68"/>
        <v>0</v>
      </c>
      <c r="G429">
        <f t="shared" si="69"/>
        <v>0</v>
      </c>
      <c r="H429" s="37" t="e">
        <f t="shared" si="70"/>
        <v>#DIV/0!</v>
      </c>
      <c r="J429" s="197"/>
      <c r="K429" s="199"/>
      <c r="L429" s="199"/>
      <c r="M429" s="197"/>
      <c r="N429" s="197"/>
      <c r="O429" s="197"/>
      <c r="P429" s="197"/>
      <c r="Q429" s="197"/>
      <c r="R429" s="197"/>
      <c r="S429" s="197"/>
      <c r="T429" s="197"/>
    </row>
    <row r="430" spans="1:20" ht="15" x14ac:dyDescent="0.25">
      <c r="A430" s="62">
        <f t="shared" si="67"/>
        <v>41851</v>
      </c>
      <c r="F430">
        <f t="shared" si="68"/>
        <v>0</v>
      </c>
      <c r="G430">
        <f t="shared" si="69"/>
        <v>0</v>
      </c>
      <c r="H430" s="37" t="e">
        <f t="shared" si="70"/>
        <v>#DIV/0!</v>
      </c>
      <c r="J430" s="197"/>
      <c r="K430" s="199"/>
      <c r="L430" s="199"/>
      <c r="M430" s="197"/>
      <c r="N430" s="197"/>
      <c r="O430" s="197"/>
      <c r="P430" s="197"/>
      <c r="Q430" s="197"/>
      <c r="R430" s="197"/>
      <c r="S430" s="197"/>
      <c r="T430" s="197"/>
    </row>
    <row r="431" spans="1:20" ht="15" x14ac:dyDescent="0.25">
      <c r="A431" s="62">
        <f t="shared" si="67"/>
        <v>41858</v>
      </c>
      <c r="F431">
        <f t="shared" si="68"/>
        <v>0</v>
      </c>
      <c r="G431">
        <f t="shared" si="69"/>
        <v>0</v>
      </c>
      <c r="H431" s="37" t="e">
        <f t="shared" si="70"/>
        <v>#DIV/0!</v>
      </c>
      <c r="J431" s="197"/>
      <c r="K431" s="199"/>
      <c r="L431" s="199"/>
      <c r="M431" s="197"/>
      <c r="N431" s="197"/>
      <c r="O431" s="197"/>
      <c r="P431" s="197"/>
      <c r="Q431" s="197"/>
      <c r="R431" s="197"/>
      <c r="S431" s="197"/>
      <c r="T431" s="197"/>
    </row>
    <row r="432" spans="1:20" ht="15" x14ac:dyDescent="0.25">
      <c r="A432" s="62">
        <f t="shared" si="67"/>
        <v>41865</v>
      </c>
      <c r="F432">
        <f t="shared" si="68"/>
        <v>0</v>
      </c>
      <c r="G432">
        <f t="shared" si="69"/>
        <v>0</v>
      </c>
      <c r="H432" s="37" t="e">
        <f t="shared" si="70"/>
        <v>#DIV/0!</v>
      </c>
      <c r="J432" s="197"/>
      <c r="K432" s="199"/>
      <c r="L432" s="199"/>
      <c r="M432" s="197"/>
      <c r="N432" s="197"/>
      <c r="O432" s="197"/>
      <c r="P432" s="197"/>
      <c r="Q432" s="197"/>
      <c r="R432" s="197"/>
      <c r="S432" s="197"/>
      <c r="T432" s="197"/>
    </row>
    <row r="433" spans="1:20" ht="15" x14ac:dyDescent="0.25">
      <c r="A433" s="62">
        <f t="shared" si="67"/>
        <v>41872</v>
      </c>
      <c r="F433">
        <f t="shared" si="68"/>
        <v>0</v>
      </c>
      <c r="G433">
        <f t="shared" si="69"/>
        <v>0</v>
      </c>
      <c r="H433" s="37" t="e">
        <f t="shared" si="70"/>
        <v>#DIV/0!</v>
      </c>
      <c r="J433" s="197"/>
      <c r="K433" s="199"/>
      <c r="L433" s="199"/>
      <c r="M433" s="197"/>
      <c r="N433" s="197"/>
      <c r="O433" s="197"/>
      <c r="P433" s="197"/>
      <c r="Q433" s="197"/>
      <c r="R433" s="197"/>
      <c r="S433" s="197"/>
      <c r="T433" s="197"/>
    </row>
    <row r="434" spans="1:20" ht="15" x14ac:dyDescent="0.25">
      <c r="A434" s="62">
        <f t="shared" si="67"/>
        <v>41879</v>
      </c>
      <c r="F434">
        <f t="shared" si="68"/>
        <v>0</v>
      </c>
      <c r="G434">
        <f t="shared" si="69"/>
        <v>0</v>
      </c>
      <c r="H434" s="37" t="e">
        <f t="shared" si="70"/>
        <v>#DIV/0!</v>
      </c>
      <c r="J434" s="197"/>
      <c r="K434" s="199"/>
      <c r="L434" s="199"/>
      <c r="M434" s="197"/>
      <c r="N434" s="197"/>
      <c r="O434" s="197"/>
      <c r="P434" s="197"/>
      <c r="Q434" s="197"/>
      <c r="R434" s="197"/>
      <c r="S434" s="197"/>
      <c r="T434" s="197"/>
    </row>
    <row r="435" spans="1:20" ht="15" x14ac:dyDescent="0.25">
      <c r="A435" s="62">
        <f t="shared" si="67"/>
        <v>41886</v>
      </c>
      <c r="F435">
        <f t="shared" si="68"/>
        <v>0</v>
      </c>
      <c r="G435">
        <f t="shared" si="69"/>
        <v>0</v>
      </c>
      <c r="H435" s="37" t="e">
        <f t="shared" si="70"/>
        <v>#DIV/0!</v>
      </c>
      <c r="J435" s="197"/>
      <c r="K435" s="199"/>
      <c r="L435" s="199"/>
      <c r="M435" s="197"/>
      <c r="N435" s="197"/>
      <c r="O435" s="197"/>
      <c r="P435" s="197"/>
      <c r="Q435" s="197"/>
      <c r="R435" s="197"/>
      <c r="S435" s="197"/>
      <c r="T435" s="197"/>
    </row>
    <row r="436" spans="1:20" ht="15" x14ac:dyDescent="0.25">
      <c r="A436" s="62">
        <f t="shared" si="67"/>
        <v>41893</v>
      </c>
      <c r="F436">
        <f t="shared" si="68"/>
        <v>0</v>
      </c>
      <c r="G436">
        <f t="shared" si="69"/>
        <v>0</v>
      </c>
      <c r="H436" s="37" t="e">
        <f t="shared" si="70"/>
        <v>#DIV/0!</v>
      </c>
      <c r="J436" s="197"/>
      <c r="K436" s="199"/>
      <c r="L436" s="199"/>
      <c r="M436" s="197"/>
      <c r="N436" s="197"/>
      <c r="O436" s="197"/>
      <c r="P436" s="197"/>
      <c r="Q436" s="197"/>
      <c r="R436" s="197"/>
      <c r="S436" s="197"/>
      <c r="T436" s="197"/>
    </row>
    <row r="437" spans="1:20" ht="15" x14ac:dyDescent="0.25">
      <c r="A437" s="62">
        <f t="shared" si="67"/>
        <v>41900</v>
      </c>
      <c r="F437">
        <f t="shared" si="68"/>
        <v>0</v>
      </c>
      <c r="G437">
        <f t="shared" si="69"/>
        <v>0</v>
      </c>
      <c r="H437" s="37" t="e">
        <f t="shared" si="70"/>
        <v>#DIV/0!</v>
      </c>
      <c r="J437" s="197"/>
      <c r="K437" s="199"/>
      <c r="L437" s="199"/>
      <c r="M437" s="197"/>
      <c r="N437" s="197"/>
      <c r="O437" s="197"/>
      <c r="P437" s="197"/>
      <c r="Q437" s="197"/>
      <c r="R437" s="197"/>
      <c r="S437" s="197"/>
      <c r="T437" s="197"/>
    </row>
    <row r="438" spans="1:20" ht="15" x14ac:dyDescent="0.25">
      <c r="A438" s="62">
        <f t="shared" si="67"/>
        <v>41907</v>
      </c>
      <c r="F438">
        <f t="shared" si="68"/>
        <v>0</v>
      </c>
      <c r="G438">
        <f t="shared" si="69"/>
        <v>0</v>
      </c>
      <c r="H438" s="37" t="e">
        <f t="shared" si="70"/>
        <v>#DIV/0!</v>
      </c>
      <c r="J438" s="197"/>
      <c r="K438" s="199"/>
      <c r="L438" s="199"/>
      <c r="M438" s="197"/>
      <c r="N438" s="197"/>
      <c r="O438" s="197"/>
      <c r="P438" s="197"/>
      <c r="Q438" s="197"/>
      <c r="R438" s="197"/>
      <c r="S438" s="197"/>
      <c r="T438" s="197"/>
    </row>
    <row r="439" spans="1:20" ht="15" x14ac:dyDescent="0.25">
      <c r="A439" s="62">
        <f t="shared" si="67"/>
        <v>41914</v>
      </c>
      <c r="F439">
        <f t="shared" si="68"/>
        <v>0</v>
      </c>
      <c r="G439">
        <f t="shared" si="69"/>
        <v>0</v>
      </c>
      <c r="H439" s="37" t="e">
        <f t="shared" si="70"/>
        <v>#DIV/0!</v>
      </c>
      <c r="J439" s="197"/>
      <c r="K439" s="199"/>
      <c r="L439" s="199"/>
      <c r="M439" s="197"/>
      <c r="N439" s="197"/>
      <c r="O439" s="197"/>
      <c r="P439" s="197"/>
      <c r="Q439" s="197"/>
      <c r="R439" s="197"/>
      <c r="S439" s="197"/>
      <c r="T439" s="197"/>
    </row>
    <row r="440" spans="1:20" ht="15" x14ac:dyDescent="0.25">
      <c r="A440" s="62">
        <f t="shared" si="67"/>
        <v>41921</v>
      </c>
      <c r="F440">
        <f t="shared" si="68"/>
        <v>0</v>
      </c>
      <c r="G440">
        <f t="shared" si="69"/>
        <v>0</v>
      </c>
      <c r="H440" s="37" t="e">
        <f t="shared" si="70"/>
        <v>#DIV/0!</v>
      </c>
      <c r="J440" s="197"/>
      <c r="K440" s="199"/>
      <c r="L440" s="199"/>
      <c r="M440" s="197"/>
      <c r="N440" s="197"/>
      <c r="O440" s="197"/>
      <c r="P440" s="197"/>
      <c r="Q440" s="197"/>
      <c r="R440" s="197"/>
      <c r="S440" s="197"/>
      <c r="T440" s="197"/>
    </row>
    <row r="441" spans="1:20" ht="15" x14ac:dyDescent="0.25">
      <c r="A441" s="62">
        <f t="shared" si="67"/>
        <v>41928</v>
      </c>
      <c r="F441">
        <f t="shared" si="68"/>
        <v>0</v>
      </c>
      <c r="G441">
        <f t="shared" si="69"/>
        <v>0</v>
      </c>
      <c r="H441" s="37" t="e">
        <f t="shared" si="70"/>
        <v>#DIV/0!</v>
      </c>
      <c r="J441" s="197"/>
      <c r="K441" s="199"/>
      <c r="L441" s="199"/>
      <c r="M441" s="197"/>
      <c r="N441" s="197"/>
      <c r="O441" s="197"/>
      <c r="P441" s="197"/>
      <c r="Q441" s="197"/>
      <c r="R441" s="197"/>
      <c r="S441" s="197"/>
      <c r="T441" s="197"/>
    </row>
    <row r="442" spans="1:20" ht="15" x14ac:dyDescent="0.25">
      <c r="A442" s="62">
        <f t="shared" si="67"/>
        <v>41935</v>
      </c>
      <c r="F442">
        <f t="shared" si="68"/>
        <v>0</v>
      </c>
      <c r="G442">
        <f t="shared" si="69"/>
        <v>0</v>
      </c>
      <c r="H442" s="37" t="e">
        <f t="shared" si="70"/>
        <v>#DIV/0!</v>
      </c>
      <c r="J442" s="197"/>
      <c r="K442" s="199"/>
      <c r="L442" s="199"/>
      <c r="M442" s="197"/>
      <c r="N442" s="197"/>
      <c r="O442" s="197"/>
      <c r="P442" s="197"/>
      <c r="Q442" s="197"/>
      <c r="R442" s="197"/>
      <c r="S442" s="197"/>
      <c r="T442" s="197"/>
    </row>
    <row r="443" spans="1:20" ht="15" x14ac:dyDescent="0.25">
      <c r="A443" s="62">
        <f t="shared" si="67"/>
        <v>41942</v>
      </c>
      <c r="F443">
        <f t="shared" si="68"/>
        <v>0</v>
      </c>
      <c r="G443">
        <f t="shared" si="69"/>
        <v>0</v>
      </c>
      <c r="H443" s="37" t="e">
        <f t="shared" si="70"/>
        <v>#DIV/0!</v>
      </c>
      <c r="J443" s="197"/>
      <c r="K443" s="199"/>
      <c r="L443" s="199"/>
      <c r="M443" s="197"/>
      <c r="N443" s="197"/>
      <c r="O443" s="197"/>
      <c r="P443" s="197"/>
      <c r="Q443" s="197"/>
      <c r="R443" s="197"/>
      <c r="S443" s="197"/>
      <c r="T443" s="197"/>
    </row>
    <row r="444" spans="1:20" ht="15" x14ac:dyDescent="0.25">
      <c r="A444" s="62">
        <f t="shared" ref="A444:A507" si="71">+A443+7</f>
        <v>41949</v>
      </c>
      <c r="F444">
        <f t="shared" si="68"/>
        <v>0</v>
      </c>
      <c r="G444">
        <f t="shared" si="69"/>
        <v>0</v>
      </c>
      <c r="H444" s="37" t="e">
        <f t="shared" si="70"/>
        <v>#DIV/0!</v>
      </c>
      <c r="J444" s="197"/>
      <c r="K444" s="199"/>
      <c r="L444" s="199"/>
      <c r="M444" s="197"/>
      <c r="N444" s="197"/>
      <c r="O444" s="197"/>
      <c r="P444" s="197"/>
      <c r="Q444" s="197"/>
      <c r="R444" s="197"/>
      <c r="S444" s="197"/>
      <c r="T444" s="197"/>
    </row>
    <row r="445" spans="1:20" ht="15" x14ac:dyDescent="0.25">
      <c r="A445" s="62">
        <f t="shared" si="71"/>
        <v>41956</v>
      </c>
      <c r="F445">
        <f t="shared" si="68"/>
        <v>0</v>
      </c>
      <c r="G445">
        <f t="shared" si="69"/>
        <v>0</v>
      </c>
      <c r="H445" s="37" t="e">
        <f t="shared" si="70"/>
        <v>#DIV/0!</v>
      </c>
      <c r="J445" s="197"/>
      <c r="K445" s="199"/>
      <c r="L445" s="199"/>
      <c r="M445" s="197"/>
      <c r="N445" s="197"/>
      <c r="O445" s="197"/>
      <c r="P445" s="197"/>
      <c r="Q445" s="197"/>
      <c r="R445" s="197"/>
      <c r="S445" s="197"/>
      <c r="T445" s="197"/>
    </row>
    <row r="446" spans="1:20" ht="15" x14ac:dyDescent="0.25">
      <c r="A446" s="62">
        <f t="shared" si="71"/>
        <v>41963</v>
      </c>
      <c r="F446">
        <f t="shared" si="68"/>
        <v>0</v>
      </c>
      <c r="G446">
        <f t="shared" si="69"/>
        <v>0</v>
      </c>
      <c r="H446" s="37" t="e">
        <f t="shared" si="70"/>
        <v>#DIV/0!</v>
      </c>
      <c r="J446" s="197"/>
      <c r="K446" s="199"/>
      <c r="L446" s="199"/>
      <c r="M446" s="197"/>
      <c r="N446" s="197"/>
      <c r="O446" s="197"/>
      <c r="P446" s="197"/>
      <c r="Q446" s="197"/>
      <c r="R446" s="197"/>
      <c r="S446" s="197"/>
      <c r="T446" s="197"/>
    </row>
    <row r="447" spans="1:20" ht="15" x14ac:dyDescent="0.25">
      <c r="A447" s="62">
        <f t="shared" si="71"/>
        <v>41970</v>
      </c>
      <c r="F447">
        <f t="shared" si="68"/>
        <v>0</v>
      </c>
      <c r="G447">
        <f t="shared" si="69"/>
        <v>0</v>
      </c>
      <c r="H447" s="37" t="e">
        <f t="shared" si="70"/>
        <v>#DIV/0!</v>
      </c>
      <c r="J447" s="197"/>
      <c r="K447" s="199"/>
      <c r="L447" s="199"/>
      <c r="M447" s="197"/>
      <c r="N447" s="197"/>
      <c r="O447" s="197"/>
      <c r="P447" s="197"/>
      <c r="Q447" s="197"/>
      <c r="R447" s="197"/>
      <c r="S447" s="197"/>
      <c r="T447" s="197"/>
    </row>
    <row r="448" spans="1:20" ht="15" x14ac:dyDescent="0.25">
      <c r="A448" s="62">
        <f t="shared" si="71"/>
        <v>41977</v>
      </c>
      <c r="F448">
        <f t="shared" si="68"/>
        <v>0</v>
      </c>
      <c r="G448">
        <f t="shared" si="69"/>
        <v>0</v>
      </c>
      <c r="H448" s="37" t="e">
        <f t="shared" si="70"/>
        <v>#DIV/0!</v>
      </c>
      <c r="J448" s="197"/>
      <c r="K448" s="199"/>
      <c r="L448" s="199"/>
      <c r="M448" s="197"/>
      <c r="N448" s="197"/>
      <c r="O448" s="197"/>
      <c r="P448" s="197"/>
      <c r="Q448" s="197"/>
      <c r="R448" s="197"/>
      <c r="S448" s="197"/>
      <c r="T448" s="197"/>
    </row>
    <row r="449" spans="1:20" ht="15" x14ac:dyDescent="0.25">
      <c r="A449" s="62">
        <f t="shared" si="71"/>
        <v>41984</v>
      </c>
      <c r="F449">
        <f t="shared" si="68"/>
        <v>0</v>
      </c>
      <c r="G449">
        <f t="shared" si="69"/>
        <v>0</v>
      </c>
      <c r="H449" s="37" t="e">
        <f t="shared" si="70"/>
        <v>#DIV/0!</v>
      </c>
      <c r="J449" s="197"/>
      <c r="K449" s="199"/>
      <c r="L449" s="199"/>
      <c r="M449" s="197"/>
      <c r="N449" s="197"/>
      <c r="O449" s="197"/>
      <c r="P449" s="197"/>
      <c r="Q449" s="197"/>
      <c r="R449" s="197"/>
      <c r="S449" s="197"/>
      <c r="T449" s="197"/>
    </row>
    <row r="450" spans="1:20" ht="15" x14ac:dyDescent="0.25">
      <c r="A450" s="62">
        <f t="shared" si="71"/>
        <v>41991</v>
      </c>
      <c r="F450">
        <f t="shared" si="68"/>
        <v>0</v>
      </c>
      <c r="G450">
        <f t="shared" si="69"/>
        <v>0</v>
      </c>
      <c r="H450" s="37" t="e">
        <f t="shared" si="70"/>
        <v>#DIV/0!</v>
      </c>
      <c r="J450" s="197"/>
      <c r="K450" s="199"/>
      <c r="L450" s="199"/>
      <c r="M450" s="197"/>
      <c r="N450" s="197"/>
      <c r="O450" s="197"/>
      <c r="P450" s="197"/>
      <c r="Q450" s="197"/>
      <c r="R450" s="197"/>
      <c r="S450" s="197"/>
      <c r="T450" s="197"/>
    </row>
    <row r="451" spans="1:20" ht="15" x14ac:dyDescent="0.25">
      <c r="A451" s="62">
        <f t="shared" si="71"/>
        <v>41998</v>
      </c>
      <c r="F451">
        <f t="shared" si="68"/>
        <v>0</v>
      </c>
      <c r="G451">
        <f t="shared" si="69"/>
        <v>0</v>
      </c>
      <c r="H451" s="37" t="e">
        <f t="shared" si="70"/>
        <v>#DIV/0!</v>
      </c>
      <c r="J451" s="197"/>
      <c r="K451" s="199"/>
      <c r="L451" s="199"/>
      <c r="M451" s="197"/>
      <c r="N451" s="197"/>
      <c r="O451" s="197"/>
      <c r="P451" s="197"/>
      <c r="Q451" s="197"/>
      <c r="R451" s="197"/>
      <c r="S451" s="197"/>
      <c r="T451" s="197"/>
    </row>
    <row r="452" spans="1:20" ht="15" x14ac:dyDescent="0.25">
      <c r="A452" s="62">
        <f t="shared" si="71"/>
        <v>42005</v>
      </c>
      <c r="F452">
        <f t="shared" si="68"/>
        <v>0</v>
      </c>
      <c r="G452">
        <f t="shared" si="69"/>
        <v>0</v>
      </c>
      <c r="H452" s="37" t="e">
        <f t="shared" si="70"/>
        <v>#DIV/0!</v>
      </c>
      <c r="J452" s="197"/>
      <c r="K452" s="199"/>
      <c r="L452" s="199"/>
      <c r="M452" s="197"/>
      <c r="N452" s="197"/>
      <c r="O452" s="197"/>
      <c r="P452" s="197"/>
      <c r="Q452" s="197"/>
      <c r="R452" s="197"/>
      <c r="S452" s="197"/>
      <c r="T452" s="197"/>
    </row>
    <row r="453" spans="1:20" ht="15" x14ac:dyDescent="0.25">
      <c r="A453" s="62">
        <f t="shared" si="71"/>
        <v>42012</v>
      </c>
      <c r="F453">
        <f t="shared" si="68"/>
        <v>0</v>
      </c>
      <c r="G453">
        <f t="shared" si="69"/>
        <v>0</v>
      </c>
      <c r="H453" s="37" t="e">
        <f t="shared" si="70"/>
        <v>#DIV/0!</v>
      </c>
      <c r="J453" s="197"/>
      <c r="K453" s="199"/>
      <c r="L453" s="199"/>
      <c r="M453" s="197"/>
      <c r="N453" s="197"/>
      <c r="O453" s="197"/>
      <c r="P453" s="197"/>
      <c r="Q453" s="197"/>
      <c r="R453" s="197"/>
      <c r="S453" s="197"/>
      <c r="T453" s="197"/>
    </row>
    <row r="454" spans="1:20" ht="15" x14ac:dyDescent="0.25">
      <c r="A454" s="62">
        <f t="shared" si="71"/>
        <v>42019</v>
      </c>
      <c r="F454">
        <f t="shared" si="68"/>
        <v>0</v>
      </c>
      <c r="G454">
        <f t="shared" si="69"/>
        <v>0</v>
      </c>
      <c r="H454" s="37" t="e">
        <f t="shared" si="70"/>
        <v>#DIV/0!</v>
      </c>
      <c r="J454" s="197"/>
      <c r="K454" s="199"/>
      <c r="L454" s="199"/>
      <c r="M454" s="197"/>
      <c r="N454" s="197"/>
      <c r="O454" s="197"/>
      <c r="P454" s="197"/>
      <c r="Q454" s="197"/>
      <c r="R454" s="197"/>
      <c r="S454" s="197"/>
      <c r="T454" s="197"/>
    </row>
    <row r="455" spans="1:20" ht="15" x14ac:dyDescent="0.25">
      <c r="A455" s="62">
        <f t="shared" si="71"/>
        <v>42026</v>
      </c>
      <c r="F455">
        <f t="shared" si="68"/>
        <v>0</v>
      </c>
      <c r="G455">
        <f t="shared" si="69"/>
        <v>0</v>
      </c>
      <c r="H455" s="37" t="e">
        <f t="shared" si="70"/>
        <v>#DIV/0!</v>
      </c>
      <c r="J455" s="197"/>
      <c r="K455" s="199"/>
      <c r="L455" s="199"/>
      <c r="M455" s="197"/>
      <c r="N455" s="197"/>
      <c r="O455" s="197"/>
      <c r="P455" s="197"/>
      <c r="Q455" s="197"/>
      <c r="R455" s="197"/>
      <c r="S455" s="197"/>
      <c r="T455" s="197"/>
    </row>
    <row r="456" spans="1:20" ht="15" x14ac:dyDescent="0.25">
      <c r="A456" s="62">
        <f t="shared" si="71"/>
        <v>42033</v>
      </c>
      <c r="F456">
        <f t="shared" si="68"/>
        <v>0</v>
      </c>
      <c r="G456">
        <f t="shared" si="69"/>
        <v>0</v>
      </c>
      <c r="H456" s="37" t="e">
        <f t="shared" si="70"/>
        <v>#DIV/0!</v>
      </c>
      <c r="J456" s="197"/>
      <c r="K456" s="199"/>
      <c r="L456" s="199"/>
      <c r="M456" s="197"/>
      <c r="N456" s="197"/>
      <c r="O456" s="197"/>
      <c r="P456" s="197"/>
      <c r="Q456" s="197"/>
      <c r="R456" s="197"/>
      <c r="S456" s="197"/>
      <c r="T456" s="197"/>
    </row>
    <row r="457" spans="1:20" ht="15" x14ac:dyDescent="0.25">
      <c r="A457" s="62">
        <f t="shared" si="71"/>
        <v>42040</v>
      </c>
      <c r="F457">
        <f t="shared" si="68"/>
        <v>0</v>
      </c>
      <c r="G457">
        <f t="shared" si="69"/>
        <v>0</v>
      </c>
      <c r="H457" s="37" t="e">
        <f t="shared" si="70"/>
        <v>#DIV/0!</v>
      </c>
      <c r="J457" s="197"/>
      <c r="K457" s="199"/>
      <c r="L457" s="199"/>
      <c r="M457" s="197"/>
      <c r="N457" s="197"/>
      <c r="O457" s="197"/>
      <c r="P457" s="197"/>
      <c r="Q457" s="197"/>
      <c r="R457" s="197"/>
      <c r="S457" s="197"/>
      <c r="T457" s="197"/>
    </row>
    <row r="458" spans="1:20" ht="15" x14ac:dyDescent="0.25">
      <c r="A458" s="62">
        <f t="shared" si="71"/>
        <v>42047</v>
      </c>
      <c r="F458">
        <f t="shared" si="68"/>
        <v>0</v>
      </c>
      <c r="G458">
        <f t="shared" si="69"/>
        <v>0</v>
      </c>
      <c r="H458" s="37" t="e">
        <f t="shared" si="70"/>
        <v>#DIV/0!</v>
      </c>
      <c r="J458" s="197"/>
      <c r="K458" s="199"/>
      <c r="L458" s="199"/>
      <c r="M458" s="197"/>
      <c r="N458" s="197"/>
      <c r="O458" s="197"/>
      <c r="P458" s="197"/>
      <c r="Q458" s="197"/>
      <c r="R458" s="197"/>
      <c r="S458" s="197"/>
      <c r="T458" s="197"/>
    </row>
    <row r="459" spans="1:20" ht="15" x14ac:dyDescent="0.25">
      <c r="A459" s="62">
        <f t="shared" si="71"/>
        <v>42054</v>
      </c>
      <c r="F459">
        <f t="shared" ref="F459:F522" si="72">+B459+D459</f>
        <v>0</v>
      </c>
      <c r="G459">
        <f t="shared" ref="G459:G522" si="73">+C459+E459</f>
        <v>0</v>
      </c>
      <c r="H459" s="37" t="e">
        <f t="shared" si="70"/>
        <v>#DIV/0!</v>
      </c>
      <c r="J459" s="197"/>
      <c r="K459" s="199"/>
      <c r="L459" s="199"/>
      <c r="M459" s="197"/>
      <c r="N459" s="197"/>
      <c r="O459" s="197"/>
      <c r="P459" s="197"/>
      <c r="Q459" s="197"/>
      <c r="R459" s="197"/>
      <c r="S459" s="197"/>
      <c r="T459" s="197"/>
    </row>
    <row r="460" spans="1:20" ht="15" x14ac:dyDescent="0.25">
      <c r="A460" s="62">
        <f t="shared" si="71"/>
        <v>42061</v>
      </c>
      <c r="F460">
        <f t="shared" si="72"/>
        <v>0</v>
      </c>
      <c r="G460">
        <f t="shared" si="73"/>
        <v>0</v>
      </c>
      <c r="H460" s="37" t="e">
        <f t="shared" si="70"/>
        <v>#DIV/0!</v>
      </c>
      <c r="J460" s="197"/>
      <c r="K460" s="199"/>
      <c r="L460" s="199"/>
      <c r="M460" s="197"/>
      <c r="N460" s="197"/>
      <c r="O460" s="197"/>
      <c r="P460" s="197"/>
      <c r="Q460" s="197"/>
      <c r="R460" s="197"/>
      <c r="S460" s="197"/>
      <c r="T460" s="197"/>
    </row>
    <row r="461" spans="1:20" ht="15" x14ac:dyDescent="0.25">
      <c r="A461" s="62">
        <f t="shared" si="71"/>
        <v>42068</v>
      </c>
      <c r="F461">
        <f t="shared" si="72"/>
        <v>0</v>
      </c>
      <c r="G461">
        <f t="shared" si="73"/>
        <v>0</v>
      </c>
      <c r="H461" s="37" t="e">
        <f t="shared" si="70"/>
        <v>#DIV/0!</v>
      </c>
      <c r="J461" s="197"/>
      <c r="K461" s="199"/>
      <c r="L461" s="199"/>
      <c r="M461" s="197"/>
      <c r="N461" s="197"/>
      <c r="O461" s="197"/>
      <c r="P461" s="197"/>
      <c r="Q461" s="197"/>
      <c r="R461" s="197"/>
      <c r="S461" s="197"/>
      <c r="T461" s="197"/>
    </row>
    <row r="462" spans="1:20" ht="15" x14ac:dyDescent="0.25">
      <c r="A462" s="62">
        <f t="shared" si="71"/>
        <v>42075</v>
      </c>
      <c r="F462">
        <f t="shared" si="72"/>
        <v>0</v>
      </c>
      <c r="G462">
        <f t="shared" si="73"/>
        <v>0</v>
      </c>
      <c r="H462" s="37" t="e">
        <f t="shared" si="70"/>
        <v>#DIV/0!</v>
      </c>
      <c r="J462" s="197"/>
      <c r="K462" s="199"/>
      <c r="L462" s="199"/>
      <c r="M462" s="197"/>
      <c r="N462" s="197"/>
      <c r="O462" s="197"/>
      <c r="P462" s="197"/>
      <c r="Q462" s="197"/>
      <c r="R462" s="197"/>
      <c r="S462" s="197"/>
      <c r="T462" s="197"/>
    </row>
    <row r="463" spans="1:20" ht="15" x14ac:dyDescent="0.25">
      <c r="A463" s="62">
        <f t="shared" si="71"/>
        <v>42082</v>
      </c>
      <c r="F463">
        <f t="shared" si="72"/>
        <v>0</v>
      </c>
      <c r="G463">
        <f t="shared" si="73"/>
        <v>0</v>
      </c>
      <c r="H463" s="37" t="e">
        <f t="shared" si="70"/>
        <v>#DIV/0!</v>
      </c>
      <c r="J463" s="197"/>
      <c r="K463" s="199"/>
      <c r="L463" s="199"/>
      <c r="M463" s="197"/>
      <c r="N463" s="197"/>
      <c r="O463" s="197"/>
      <c r="P463" s="197"/>
      <c r="Q463" s="197"/>
      <c r="R463" s="197"/>
      <c r="S463" s="197"/>
      <c r="T463" s="197"/>
    </row>
    <row r="464" spans="1:20" ht="15" x14ac:dyDescent="0.25">
      <c r="A464" s="62">
        <f t="shared" si="71"/>
        <v>42089</v>
      </c>
      <c r="F464">
        <f t="shared" si="72"/>
        <v>0</v>
      </c>
      <c r="G464">
        <f t="shared" si="73"/>
        <v>0</v>
      </c>
      <c r="H464" s="37" t="e">
        <f t="shared" si="70"/>
        <v>#DIV/0!</v>
      </c>
      <c r="J464" s="197"/>
      <c r="K464" s="199"/>
      <c r="L464" s="199"/>
      <c r="M464" s="197"/>
      <c r="N464" s="197"/>
      <c r="O464" s="197"/>
      <c r="P464" s="197"/>
      <c r="Q464" s="197"/>
      <c r="R464" s="197"/>
      <c r="S464" s="197"/>
      <c r="T464" s="197"/>
    </row>
    <row r="465" spans="1:20" ht="15" x14ac:dyDescent="0.25">
      <c r="A465" s="62">
        <f t="shared" si="71"/>
        <v>42096</v>
      </c>
      <c r="F465">
        <f t="shared" si="72"/>
        <v>0</v>
      </c>
      <c r="G465">
        <f t="shared" si="73"/>
        <v>0</v>
      </c>
      <c r="H465" s="37" t="e">
        <f t="shared" si="70"/>
        <v>#DIV/0!</v>
      </c>
      <c r="J465" s="197"/>
      <c r="K465" s="199"/>
      <c r="L465" s="199"/>
      <c r="M465" s="197"/>
      <c r="N465" s="197"/>
      <c r="O465" s="197"/>
      <c r="P465" s="197"/>
      <c r="Q465" s="197"/>
      <c r="R465" s="197"/>
      <c r="S465" s="197"/>
      <c r="T465" s="197"/>
    </row>
    <row r="466" spans="1:20" ht="15" x14ac:dyDescent="0.25">
      <c r="A466" s="62">
        <f t="shared" si="71"/>
        <v>42103</v>
      </c>
      <c r="F466">
        <f t="shared" si="72"/>
        <v>0</v>
      </c>
      <c r="G466">
        <f t="shared" si="73"/>
        <v>0</v>
      </c>
      <c r="H466" s="37" t="e">
        <f t="shared" ref="H466:H529" si="74">+F466/G466-1</f>
        <v>#DIV/0!</v>
      </c>
      <c r="J466" s="197"/>
      <c r="K466" s="199"/>
      <c r="L466" s="199"/>
      <c r="M466" s="197"/>
      <c r="N466" s="197"/>
      <c r="O466" s="197"/>
      <c r="P466" s="197"/>
      <c r="Q466" s="197"/>
      <c r="R466" s="197"/>
      <c r="S466" s="197"/>
      <c r="T466" s="197"/>
    </row>
    <row r="467" spans="1:20" ht="15" x14ac:dyDescent="0.25">
      <c r="A467" s="62">
        <f t="shared" si="71"/>
        <v>42110</v>
      </c>
      <c r="F467">
        <f t="shared" si="72"/>
        <v>0</v>
      </c>
      <c r="G467">
        <f t="shared" si="73"/>
        <v>0</v>
      </c>
      <c r="H467" s="37" t="e">
        <f t="shared" si="74"/>
        <v>#DIV/0!</v>
      </c>
      <c r="J467" s="197"/>
      <c r="K467" s="199"/>
      <c r="L467" s="199"/>
      <c r="M467" s="197"/>
      <c r="N467" s="197"/>
      <c r="O467" s="197"/>
      <c r="P467" s="197"/>
      <c r="Q467" s="197"/>
      <c r="R467" s="197"/>
      <c r="S467" s="197"/>
      <c r="T467" s="197"/>
    </row>
    <row r="468" spans="1:20" ht="15" x14ac:dyDescent="0.25">
      <c r="A468" s="62">
        <f t="shared" si="71"/>
        <v>42117</v>
      </c>
      <c r="F468">
        <f t="shared" si="72"/>
        <v>0</v>
      </c>
      <c r="G468">
        <f t="shared" si="73"/>
        <v>0</v>
      </c>
      <c r="H468" s="37" t="e">
        <f t="shared" si="74"/>
        <v>#DIV/0!</v>
      </c>
      <c r="J468" s="197"/>
      <c r="K468" s="197"/>
      <c r="L468" s="199"/>
      <c r="M468" s="197"/>
      <c r="N468" s="197"/>
      <c r="O468" s="197"/>
      <c r="P468" s="197"/>
      <c r="Q468" s="197"/>
      <c r="R468" s="197"/>
      <c r="S468" s="197"/>
      <c r="T468" s="197"/>
    </row>
    <row r="469" spans="1:20" ht="15" x14ac:dyDescent="0.25">
      <c r="A469" s="62">
        <f t="shared" si="71"/>
        <v>42124</v>
      </c>
      <c r="F469">
        <f t="shared" si="72"/>
        <v>0</v>
      </c>
      <c r="G469">
        <f t="shared" si="73"/>
        <v>0</v>
      </c>
      <c r="H469" s="37" t="e">
        <f t="shared" si="74"/>
        <v>#DIV/0!</v>
      </c>
      <c r="J469" s="197"/>
      <c r="K469" s="197"/>
      <c r="L469" s="199"/>
      <c r="M469" s="197"/>
      <c r="N469" s="197"/>
      <c r="O469" s="197"/>
      <c r="P469" s="197"/>
      <c r="Q469" s="197"/>
      <c r="R469" s="197"/>
      <c r="S469" s="197"/>
      <c r="T469" s="197"/>
    </row>
    <row r="470" spans="1:20" ht="15" x14ac:dyDescent="0.25">
      <c r="A470" s="62">
        <f t="shared" si="71"/>
        <v>42131</v>
      </c>
      <c r="F470">
        <f t="shared" si="72"/>
        <v>0</v>
      </c>
      <c r="G470">
        <f t="shared" si="73"/>
        <v>0</v>
      </c>
      <c r="H470" s="37" t="e">
        <f t="shared" si="74"/>
        <v>#DIV/0!</v>
      </c>
      <c r="J470" s="197"/>
      <c r="K470" s="197"/>
      <c r="L470" s="199"/>
      <c r="M470" s="197"/>
      <c r="N470" s="197"/>
      <c r="O470" s="197"/>
      <c r="P470" s="197"/>
      <c r="Q470" s="197"/>
      <c r="R470" s="197"/>
      <c r="S470" s="197"/>
      <c r="T470" s="197"/>
    </row>
    <row r="471" spans="1:20" ht="15" x14ac:dyDescent="0.25">
      <c r="A471" s="62">
        <f t="shared" si="71"/>
        <v>42138</v>
      </c>
      <c r="F471">
        <f t="shared" si="72"/>
        <v>0</v>
      </c>
      <c r="G471">
        <f t="shared" si="73"/>
        <v>0</v>
      </c>
      <c r="H471" s="37" t="e">
        <f t="shared" si="74"/>
        <v>#DIV/0!</v>
      </c>
      <c r="J471" s="197"/>
      <c r="K471" s="197"/>
      <c r="L471" s="199"/>
      <c r="M471" s="197"/>
      <c r="N471" s="197"/>
      <c r="O471" s="197"/>
      <c r="P471" s="197"/>
      <c r="Q471" s="197"/>
      <c r="R471" s="197"/>
      <c r="S471" s="197"/>
      <c r="T471" s="197"/>
    </row>
    <row r="472" spans="1:20" ht="15" x14ac:dyDescent="0.25">
      <c r="A472" s="62">
        <f t="shared" si="71"/>
        <v>42145</v>
      </c>
      <c r="F472">
        <f t="shared" si="72"/>
        <v>0</v>
      </c>
      <c r="G472">
        <f t="shared" si="73"/>
        <v>0</v>
      </c>
      <c r="H472" s="37" t="e">
        <f t="shared" si="74"/>
        <v>#DIV/0!</v>
      </c>
      <c r="J472" s="197"/>
      <c r="K472" s="197"/>
      <c r="L472" s="199"/>
      <c r="M472" s="197"/>
      <c r="N472" s="197"/>
      <c r="O472" s="197"/>
      <c r="P472" s="197"/>
      <c r="Q472" s="197"/>
      <c r="R472" s="197"/>
      <c r="S472" s="197"/>
      <c r="T472" s="197"/>
    </row>
    <row r="473" spans="1:20" ht="15" x14ac:dyDescent="0.25">
      <c r="A473" s="62">
        <f t="shared" si="71"/>
        <v>42152</v>
      </c>
      <c r="F473">
        <f t="shared" si="72"/>
        <v>0</v>
      </c>
      <c r="G473">
        <f t="shared" si="73"/>
        <v>0</v>
      </c>
      <c r="H473" s="37" t="e">
        <f t="shared" si="74"/>
        <v>#DIV/0!</v>
      </c>
      <c r="J473" s="197"/>
      <c r="K473" s="197"/>
      <c r="L473" s="199"/>
      <c r="M473" s="197"/>
      <c r="N473" s="197"/>
      <c r="O473" s="197"/>
      <c r="P473" s="197"/>
      <c r="Q473" s="197"/>
      <c r="R473" s="197"/>
      <c r="S473" s="197"/>
      <c r="T473" s="197"/>
    </row>
    <row r="474" spans="1:20" ht="15" x14ac:dyDescent="0.25">
      <c r="A474" s="62">
        <f t="shared" si="71"/>
        <v>42159</v>
      </c>
      <c r="F474">
        <f t="shared" si="72"/>
        <v>0</v>
      </c>
      <c r="G474">
        <f t="shared" si="73"/>
        <v>0</v>
      </c>
      <c r="H474" s="37" t="e">
        <f t="shared" si="74"/>
        <v>#DIV/0!</v>
      </c>
      <c r="J474" s="197"/>
      <c r="K474" s="197"/>
      <c r="L474" s="199"/>
      <c r="M474" s="197"/>
      <c r="N474" s="197"/>
      <c r="O474" s="197"/>
      <c r="P474" s="197"/>
      <c r="Q474" s="197"/>
      <c r="R474" s="197"/>
      <c r="S474" s="197"/>
      <c r="T474" s="197"/>
    </row>
    <row r="475" spans="1:20" ht="15" x14ac:dyDescent="0.25">
      <c r="A475" s="62">
        <f t="shared" si="71"/>
        <v>42166</v>
      </c>
      <c r="F475">
        <f t="shared" si="72"/>
        <v>0</v>
      </c>
      <c r="G475">
        <f t="shared" si="73"/>
        <v>0</v>
      </c>
      <c r="H475" s="37" t="e">
        <f t="shared" si="74"/>
        <v>#DIV/0!</v>
      </c>
      <c r="J475" s="197"/>
      <c r="K475" s="197"/>
      <c r="L475" s="199"/>
      <c r="M475" s="197"/>
      <c r="N475" s="197"/>
      <c r="O475" s="197"/>
      <c r="P475" s="197"/>
      <c r="Q475" s="197"/>
      <c r="R475" s="197"/>
      <c r="S475" s="197"/>
      <c r="T475" s="197"/>
    </row>
    <row r="476" spans="1:20" ht="15" x14ac:dyDescent="0.25">
      <c r="A476" s="62">
        <f t="shared" si="71"/>
        <v>42173</v>
      </c>
      <c r="F476">
        <f t="shared" si="72"/>
        <v>0</v>
      </c>
      <c r="G476">
        <f t="shared" si="73"/>
        <v>0</v>
      </c>
      <c r="H476" s="37" t="e">
        <f t="shared" si="74"/>
        <v>#DIV/0!</v>
      </c>
      <c r="J476" s="197"/>
      <c r="K476" s="197"/>
      <c r="L476" s="199"/>
      <c r="M476" s="197"/>
      <c r="N476" s="197"/>
      <c r="O476" s="197"/>
      <c r="P476" s="197"/>
      <c r="Q476" s="197"/>
      <c r="R476" s="197"/>
      <c r="S476" s="197"/>
      <c r="T476" s="197"/>
    </row>
    <row r="477" spans="1:20" ht="15" x14ac:dyDescent="0.25">
      <c r="A477" s="62">
        <f t="shared" si="71"/>
        <v>42180</v>
      </c>
      <c r="F477">
        <f t="shared" si="72"/>
        <v>0</v>
      </c>
      <c r="G477">
        <f t="shared" si="73"/>
        <v>0</v>
      </c>
      <c r="H477" s="37" t="e">
        <f t="shared" si="74"/>
        <v>#DIV/0!</v>
      </c>
      <c r="J477" s="197"/>
      <c r="K477" s="197"/>
      <c r="L477" s="199"/>
      <c r="M477" s="197"/>
      <c r="N477" s="197"/>
      <c r="O477" s="197"/>
      <c r="P477" s="197"/>
      <c r="Q477" s="197"/>
      <c r="R477" s="197"/>
      <c r="S477" s="197"/>
      <c r="T477" s="197"/>
    </row>
    <row r="478" spans="1:20" ht="15" x14ac:dyDescent="0.25">
      <c r="A478" s="62">
        <f t="shared" si="71"/>
        <v>42187</v>
      </c>
      <c r="F478">
        <f t="shared" si="72"/>
        <v>0</v>
      </c>
      <c r="G478">
        <f t="shared" si="73"/>
        <v>0</v>
      </c>
      <c r="H478" s="37" t="e">
        <f t="shared" si="74"/>
        <v>#DIV/0!</v>
      </c>
      <c r="J478" s="197"/>
      <c r="K478" s="197"/>
      <c r="L478" s="199"/>
      <c r="M478" s="197"/>
      <c r="N478" s="197"/>
      <c r="O478" s="197"/>
      <c r="P478" s="197"/>
      <c r="Q478" s="197"/>
      <c r="R478" s="197"/>
      <c r="S478" s="197"/>
      <c r="T478" s="197"/>
    </row>
    <row r="479" spans="1:20" ht="15" x14ac:dyDescent="0.25">
      <c r="A479" s="62">
        <f t="shared" si="71"/>
        <v>42194</v>
      </c>
      <c r="F479">
        <f t="shared" si="72"/>
        <v>0</v>
      </c>
      <c r="G479">
        <f t="shared" si="73"/>
        <v>0</v>
      </c>
      <c r="H479" s="37" t="e">
        <f t="shared" si="74"/>
        <v>#DIV/0!</v>
      </c>
      <c r="J479" s="197"/>
      <c r="K479" s="197"/>
      <c r="L479" s="199"/>
      <c r="M479" s="197"/>
      <c r="N479" s="197"/>
      <c r="O479" s="197"/>
      <c r="P479" s="197"/>
      <c r="Q479" s="197"/>
      <c r="R479" s="197"/>
      <c r="S479" s="197"/>
      <c r="T479" s="197"/>
    </row>
    <row r="480" spans="1:20" ht="15" x14ac:dyDescent="0.25">
      <c r="A480" s="62">
        <f t="shared" si="71"/>
        <v>42201</v>
      </c>
      <c r="F480">
        <f t="shared" si="72"/>
        <v>0</v>
      </c>
      <c r="G480">
        <f t="shared" si="73"/>
        <v>0</v>
      </c>
      <c r="H480" s="37" t="e">
        <f t="shared" si="74"/>
        <v>#DIV/0!</v>
      </c>
      <c r="J480" s="197"/>
      <c r="K480" s="197"/>
      <c r="L480" s="199"/>
      <c r="M480" s="197"/>
      <c r="N480" s="197"/>
      <c r="O480" s="197"/>
      <c r="P480" s="197"/>
      <c r="Q480" s="197"/>
      <c r="R480" s="197"/>
      <c r="S480" s="197"/>
      <c r="T480" s="197"/>
    </row>
    <row r="481" spans="1:20" ht="15" x14ac:dyDescent="0.25">
      <c r="A481" s="62">
        <f t="shared" si="71"/>
        <v>42208</v>
      </c>
      <c r="F481">
        <f t="shared" si="72"/>
        <v>0</v>
      </c>
      <c r="G481">
        <f t="shared" si="73"/>
        <v>0</v>
      </c>
      <c r="H481" s="37" t="e">
        <f t="shared" si="74"/>
        <v>#DIV/0!</v>
      </c>
      <c r="J481" s="197"/>
      <c r="K481" s="197"/>
      <c r="L481" s="199"/>
      <c r="M481" s="197"/>
      <c r="N481" s="197"/>
      <c r="O481" s="197"/>
      <c r="P481" s="197"/>
      <c r="Q481" s="197"/>
      <c r="R481" s="197"/>
      <c r="S481" s="197"/>
      <c r="T481" s="197"/>
    </row>
    <row r="482" spans="1:20" ht="15" x14ac:dyDescent="0.25">
      <c r="A482" s="62">
        <f t="shared" si="71"/>
        <v>42215</v>
      </c>
      <c r="F482">
        <f t="shared" si="72"/>
        <v>0</v>
      </c>
      <c r="G482">
        <f t="shared" si="73"/>
        <v>0</v>
      </c>
      <c r="H482" s="37" t="e">
        <f t="shared" si="74"/>
        <v>#DIV/0!</v>
      </c>
      <c r="J482" s="197"/>
      <c r="K482" s="197"/>
      <c r="L482" s="199"/>
      <c r="M482" s="197"/>
      <c r="N482" s="197"/>
      <c r="O482" s="197"/>
      <c r="P482" s="197"/>
      <c r="Q482" s="197"/>
      <c r="R482" s="197"/>
      <c r="S482" s="197"/>
      <c r="T482" s="197"/>
    </row>
    <row r="483" spans="1:20" ht="15" x14ac:dyDescent="0.25">
      <c r="A483" s="62">
        <f t="shared" si="71"/>
        <v>42222</v>
      </c>
      <c r="F483">
        <f t="shared" si="72"/>
        <v>0</v>
      </c>
      <c r="G483">
        <f t="shared" si="73"/>
        <v>0</v>
      </c>
      <c r="H483" s="37" t="e">
        <f t="shared" si="74"/>
        <v>#DIV/0!</v>
      </c>
      <c r="J483" s="197"/>
      <c r="K483" s="197"/>
      <c r="L483" s="199"/>
      <c r="M483" s="197"/>
      <c r="N483" s="197"/>
      <c r="O483" s="197"/>
      <c r="P483" s="197"/>
      <c r="Q483" s="197"/>
      <c r="R483" s="197"/>
      <c r="S483" s="197"/>
      <c r="T483" s="197"/>
    </row>
    <row r="484" spans="1:20" ht="15" x14ac:dyDescent="0.25">
      <c r="A484" s="62">
        <f t="shared" si="71"/>
        <v>42229</v>
      </c>
      <c r="F484">
        <f t="shared" si="72"/>
        <v>0</v>
      </c>
      <c r="G484">
        <f t="shared" si="73"/>
        <v>0</v>
      </c>
      <c r="H484" s="37" t="e">
        <f t="shared" si="74"/>
        <v>#DIV/0!</v>
      </c>
      <c r="J484" s="197"/>
      <c r="K484" s="197"/>
      <c r="L484" s="199"/>
      <c r="M484" s="197"/>
      <c r="N484" s="197"/>
      <c r="O484" s="197"/>
      <c r="P484" s="197"/>
      <c r="Q484" s="197"/>
      <c r="R484" s="197"/>
      <c r="S484" s="197"/>
      <c r="T484" s="197"/>
    </row>
    <row r="485" spans="1:20" ht="15" x14ac:dyDescent="0.25">
      <c r="A485" s="62">
        <f t="shared" si="71"/>
        <v>42236</v>
      </c>
      <c r="F485">
        <f t="shared" si="72"/>
        <v>0</v>
      </c>
      <c r="G485">
        <f t="shared" si="73"/>
        <v>0</v>
      </c>
      <c r="H485" s="37" t="e">
        <f t="shared" si="74"/>
        <v>#DIV/0!</v>
      </c>
      <c r="J485" s="197"/>
      <c r="K485" s="197"/>
      <c r="L485" s="199"/>
      <c r="M485" s="197"/>
      <c r="N485" s="197"/>
      <c r="O485" s="197"/>
      <c r="P485" s="197"/>
      <c r="Q485" s="197"/>
      <c r="R485" s="197"/>
      <c r="S485" s="197"/>
      <c r="T485" s="197"/>
    </row>
    <row r="486" spans="1:20" x14ac:dyDescent="0.25">
      <c r="A486" s="62">
        <f t="shared" si="71"/>
        <v>42243</v>
      </c>
      <c r="F486">
        <f t="shared" si="72"/>
        <v>0</v>
      </c>
      <c r="G486">
        <f t="shared" si="73"/>
        <v>0</v>
      </c>
      <c r="H486" s="37" t="e">
        <f t="shared" si="74"/>
        <v>#DIV/0!</v>
      </c>
      <c r="J486" s="197"/>
      <c r="K486" s="197"/>
      <c r="L486" s="201"/>
      <c r="M486" s="197"/>
      <c r="N486" s="197"/>
      <c r="O486" s="197"/>
      <c r="P486" s="197"/>
      <c r="Q486" s="197"/>
      <c r="R486" s="197"/>
      <c r="S486" s="197"/>
      <c r="T486" s="197"/>
    </row>
    <row r="487" spans="1:20" x14ac:dyDescent="0.25">
      <c r="A487" s="62">
        <f t="shared" si="71"/>
        <v>42250</v>
      </c>
      <c r="F487">
        <f t="shared" si="72"/>
        <v>0</v>
      </c>
      <c r="G487">
        <f t="shared" si="73"/>
        <v>0</v>
      </c>
      <c r="H487" s="37" t="e">
        <f t="shared" si="74"/>
        <v>#DIV/0!</v>
      </c>
      <c r="J487" s="197"/>
      <c r="K487" s="197"/>
      <c r="L487" s="201"/>
      <c r="M487" s="197"/>
      <c r="N487" s="197"/>
      <c r="O487" s="197"/>
      <c r="P487" s="197"/>
      <c r="Q487" s="197"/>
      <c r="R487" s="197"/>
      <c r="S487" s="197"/>
      <c r="T487" s="197"/>
    </row>
    <row r="488" spans="1:20" ht="15" x14ac:dyDescent="0.25">
      <c r="A488" s="62">
        <f t="shared" si="71"/>
        <v>42257</v>
      </c>
      <c r="F488">
        <f t="shared" si="72"/>
        <v>0</v>
      </c>
      <c r="G488">
        <f t="shared" si="73"/>
        <v>0</v>
      </c>
      <c r="H488" s="37" t="e">
        <f t="shared" si="74"/>
        <v>#DIV/0!</v>
      </c>
      <c r="J488" s="197"/>
      <c r="K488" s="197"/>
      <c r="L488" s="199"/>
      <c r="M488" s="197"/>
      <c r="N488" s="197"/>
      <c r="O488" s="197"/>
      <c r="P488" s="197"/>
      <c r="Q488" s="197"/>
      <c r="R488" s="197"/>
      <c r="S488" s="197"/>
      <c r="T488" s="197"/>
    </row>
    <row r="489" spans="1:20" ht="15" x14ac:dyDescent="0.25">
      <c r="A489" s="62">
        <f t="shared" si="71"/>
        <v>42264</v>
      </c>
      <c r="F489">
        <f t="shared" si="72"/>
        <v>0</v>
      </c>
      <c r="G489">
        <f t="shared" si="73"/>
        <v>0</v>
      </c>
      <c r="H489" s="37" t="e">
        <f t="shared" si="74"/>
        <v>#DIV/0!</v>
      </c>
      <c r="J489" s="197"/>
      <c r="K489" s="197"/>
      <c r="L489" s="199"/>
      <c r="M489" s="197"/>
      <c r="N489" s="197"/>
      <c r="O489" s="197"/>
      <c r="P489" s="197"/>
      <c r="Q489" s="197"/>
      <c r="R489" s="197"/>
      <c r="S489" s="197"/>
      <c r="T489" s="197"/>
    </row>
    <row r="490" spans="1:20" ht="15" x14ac:dyDescent="0.25">
      <c r="A490" s="62">
        <f t="shared" si="71"/>
        <v>42271</v>
      </c>
      <c r="F490">
        <f t="shared" si="72"/>
        <v>0</v>
      </c>
      <c r="G490">
        <f t="shared" si="73"/>
        <v>0</v>
      </c>
      <c r="H490" s="37" t="e">
        <f t="shared" si="74"/>
        <v>#DIV/0!</v>
      </c>
      <c r="J490" s="197"/>
      <c r="K490" s="197"/>
      <c r="L490" s="199"/>
      <c r="M490" s="197"/>
      <c r="N490" s="197"/>
      <c r="O490" s="197"/>
      <c r="P490" s="197"/>
      <c r="Q490" s="197"/>
      <c r="R490" s="197"/>
      <c r="S490" s="197"/>
      <c r="T490" s="197"/>
    </row>
    <row r="491" spans="1:20" ht="15" x14ac:dyDescent="0.25">
      <c r="A491" s="62">
        <f t="shared" si="71"/>
        <v>42278</v>
      </c>
      <c r="F491">
        <f t="shared" si="72"/>
        <v>0</v>
      </c>
      <c r="G491">
        <f t="shared" si="73"/>
        <v>0</v>
      </c>
      <c r="H491" s="37" t="e">
        <f t="shared" si="74"/>
        <v>#DIV/0!</v>
      </c>
      <c r="J491" s="197"/>
      <c r="K491" s="197"/>
      <c r="L491" s="199"/>
      <c r="M491" s="197"/>
      <c r="N491" s="197"/>
      <c r="O491" s="197"/>
      <c r="P491" s="197"/>
      <c r="Q491" s="197"/>
      <c r="R491" s="197"/>
      <c r="S491" s="197"/>
      <c r="T491" s="197"/>
    </row>
    <row r="492" spans="1:20" ht="15" x14ac:dyDescent="0.25">
      <c r="A492" s="62">
        <f t="shared" si="71"/>
        <v>42285</v>
      </c>
      <c r="F492">
        <f t="shared" si="72"/>
        <v>0</v>
      </c>
      <c r="G492">
        <f t="shared" si="73"/>
        <v>0</v>
      </c>
      <c r="H492" s="37" t="e">
        <f t="shared" si="74"/>
        <v>#DIV/0!</v>
      </c>
      <c r="J492" s="197"/>
      <c r="K492" s="197"/>
      <c r="L492" s="199"/>
      <c r="M492" s="197"/>
      <c r="N492" s="197"/>
      <c r="O492" s="197"/>
      <c r="P492" s="197"/>
      <c r="Q492" s="197"/>
      <c r="R492" s="197"/>
      <c r="S492" s="197"/>
      <c r="T492" s="197"/>
    </row>
    <row r="493" spans="1:20" x14ac:dyDescent="0.25">
      <c r="A493" s="62">
        <f t="shared" si="71"/>
        <v>42292</v>
      </c>
      <c r="F493">
        <f t="shared" si="72"/>
        <v>0</v>
      </c>
      <c r="G493">
        <f t="shared" si="73"/>
        <v>0</v>
      </c>
      <c r="H493" s="37" t="e">
        <f t="shared" si="74"/>
        <v>#DIV/0!</v>
      </c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</row>
    <row r="494" spans="1:20" x14ac:dyDescent="0.25">
      <c r="A494" s="62">
        <f t="shared" si="71"/>
        <v>42299</v>
      </c>
      <c r="F494">
        <f t="shared" si="72"/>
        <v>0</v>
      </c>
      <c r="G494">
        <f t="shared" si="73"/>
        <v>0</v>
      </c>
      <c r="H494" s="37" t="e">
        <f t="shared" si="74"/>
        <v>#DIV/0!</v>
      </c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</row>
    <row r="495" spans="1:20" x14ac:dyDescent="0.25">
      <c r="A495" s="62">
        <f t="shared" si="71"/>
        <v>42306</v>
      </c>
      <c r="F495">
        <f t="shared" si="72"/>
        <v>0</v>
      </c>
      <c r="G495">
        <f t="shared" si="73"/>
        <v>0</v>
      </c>
      <c r="H495" s="37" t="e">
        <f t="shared" si="74"/>
        <v>#DIV/0!</v>
      </c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</row>
    <row r="496" spans="1:20" x14ac:dyDescent="0.25">
      <c r="A496" s="62">
        <f t="shared" si="71"/>
        <v>42313</v>
      </c>
      <c r="F496">
        <f t="shared" si="72"/>
        <v>0</v>
      </c>
      <c r="G496">
        <f t="shared" si="73"/>
        <v>0</v>
      </c>
      <c r="H496" s="37" t="e">
        <f t="shared" si="74"/>
        <v>#DIV/0!</v>
      </c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</row>
    <row r="497" spans="1:20" x14ac:dyDescent="0.25">
      <c r="A497" s="62">
        <f t="shared" si="71"/>
        <v>42320</v>
      </c>
      <c r="F497">
        <f t="shared" si="72"/>
        <v>0</v>
      </c>
      <c r="G497">
        <f t="shared" si="73"/>
        <v>0</v>
      </c>
      <c r="H497" s="37" t="e">
        <f t="shared" si="74"/>
        <v>#DIV/0!</v>
      </c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</row>
    <row r="498" spans="1:20" x14ac:dyDescent="0.25">
      <c r="A498" s="62">
        <f t="shared" si="71"/>
        <v>42327</v>
      </c>
      <c r="F498">
        <f t="shared" si="72"/>
        <v>0</v>
      </c>
      <c r="G498">
        <f t="shared" si="73"/>
        <v>0</v>
      </c>
      <c r="H498" s="37" t="e">
        <f t="shared" si="74"/>
        <v>#DIV/0!</v>
      </c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</row>
    <row r="499" spans="1:20" x14ac:dyDescent="0.25">
      <c r="A499" s="62">
        <f t="shared" si="71"/>
        <v>42334</v>
      </c>
      <c r="F499">
        <f t="shared" si="72"/>
        <v>0</v>
      </c>
      <c r="G499">
        <f t="shared" si="73"/>
        <v>0</v>
      </c>
      <c r="H499" s="37" t="e">
        <f t="shared" si="74"/>
        <v>#DIV/0!</v>
      </c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</row>
    <row r="500" spans="1:20" x14ac:dyDescent="0.25">
      <c r="A500" s="62">
        <f t="shared" si="71"/>
        <v>42341</v>
      </c>
      <c r="F500">
        <f t="shared" si="72"/>
        <v>0</v>
      </c>
      <c r="G500">
        <f t="shared" si="73"/>
        <v>0</v>
      </c>
      <c r="H500" s="37" t="e">
        <f t="shared" si="74"/>
        <v>#DIV/0!</v>
      </c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</row>
    <row r="501" spans="1:20" x14ac:dyDescent="0.25">
      <c r="A501" s="62">
        <f t="shared" si="71"/>
        <v>42348</v>
      </c>
      <c r="F501">
        <f t="shared" si="72"/>
        <v>0</v>
      </c>
      <c r="G501">
        <f t="shared" si="73"/>
        <v>0</v>
      </c>
      <c r="H501" s="37" t="e">
        <f t="shared" si="74"/>
        <v>#DIV/0!</v>
      </c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</row>
    <row r="502" spans="1:20" x14ac:dyDescent="0.25">
      <c r="A502" s="62">
        <f t="shared" si="71"/>
        <v>42355</v>
      </c>
      <c r="F502">
        <f t="shared" si="72"/>
        <v>0</v>
      </c>
      <c r="G502">
        <f t="shared" si="73"/>
        <v>0</v>
      </c>
      <c r="H502" s="37" t="e">
        <f t="shared" si="74"/>
        <v>#DIV/0!</v>
      </c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</row>
    <row r="503" spans="1:20" x14ac:dyDescent="0.25">
      <c r="A503" s="62">
        <f t="shared" si="71"/>
        <v>42362</v>
      </c>
      <c r="F503">
        <f t="shared" si="72"/>
        <v>0</v>
      </c>
      <c r="G503">
        <f t="shared" si="73"/>
        <v>0</v>
      </c>
      <c r="H503" s="37" t="e">
        <f t="shared" si="74"/>
        <v>#DIV/0!</v>
      </c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</row>
    <row r="504" spans="1:20" x14ac:dyDescent="0.25">
      <c r="A504" s="62">
        <f t="shared" si="71"/>
        <v>42369</v>
      </c>
      <c r="F504">
        <f t="shared" si="72"/>
        <v>0</v>
      </c>
      <c r="G504">
        <f t="shared" si="73"/>
        <v>0</v>
      </c>
      <c r="H504" s="37" t="e">
        <f t="shared" si="74"/>
        <v>#DIV/0!</v>
      </c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</row>
    <row r="505" spans="1:20" x14ac:dyDescent="0.25">
      <c r="A505" s="62">
        <f t="shared" si="71"/>
        <v>42376</v>
      </c>
      <c r="F505">
        <f t="shared" si="72"/>
        <v>0</v>
      </c>
      <c r="G505">
        <f t="shared" si="73"/>
        <v>0</v>
      </c>
      <c r="H505" s="37" t="e">
        <f t="shared" si="74"/>
        <v>#DIV/0!</v>
      </c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</row>
    <row r="506" spans="1:20" x14ac:dyDescent="0.25">
      <c r="A506" s="62">
        <f t="shared" si="71"/>
        <v>42383</v>
      </c>
      <c r="F506">
        <f t="shared" si="72"/>
        <v>0</v>
      </c>
      <c r="G506">
        <f t="shared" si="73"/>
        <v>0</v>
      </c>
      <c r="H506" s="37" t="e">
        <f t="shared" si="74"/>
        <v>#DIV/0!</v>
      </c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</row>
    <row r="507" spans="1:20" x14ac:dyDescent="0.25">
      <c r="A507" s="62">
        <f t="shared" si="71"/>
        <v>42390</v>
      </c>
      <c r="F507">
        <f t="shared" si="72"/>
        <v>0</v>
      </c>
      <c r="G507">
        <f t="shared" si="73"/>
        <v>0</v>
      </c>
      <c r="H507" s="37" t="e">
        <f t="shared" si="74"/>
        <v>#DIV/0!</v>
      </c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</row>
    <row r="508" spans="1:20" x14ac:dyDescent="0.25">
      <c r="A508" s="62">
        <f t="shared" ref="A508:A571" si="75">+A507+7</f>
        <v>42397</v>
      </c>
      <c r="F508">
        <f t="shared" si="72"/>
        <v>0</v>
      </c>
      <c r="G508">
        <f t="shared" si="73"/>
        <v>0</v>
      </c>
      <c r="H508" s="37" t="e">
        <f t="shared" si="74"/>
        <v>#DIV/0!</v>
      </c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</row>
    <row r="509" spans="1:20" x14ac:dyDescent="0.25">
      <c r="A509" s="62">
        <f t="shared" si="75"/>
        <v>42404</v>
      </c>
      <c r="F509">
        <f t="shared" si="72"/>
        <v>0</v>
      </c>
      <c r="G509">
        <f t="shared" si="73"/>
        <v>0</v>
      </c>
      <c r="H509" s="37" t="e">
        <f t="shared" si="74"/>
        <v>#DIV/0!</v>
      </c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</row>
    <row r="510" spans="1:20" x14ac:dyDescent="0.25">
      <c r="A510" s="62">
        <f t="shared" si="75"/>
        <v>42411</v>
      </c>
      <c r="F510">
        <f t="shared" si="72"/>
        <v>0</v>
      </c>
      <c r="G510">
        <f t="shared" si="73"/>
        <v>0</v>
      </c>
      <c r="H510" s="37" t="e">
        <f t="shared" si="74"/>
        <v>#DIV/0!</v>
      </c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</row>
    <row r="511" spans="1:20" x14ac:dyDescent="0.25">
      <c r="A511" s="62">
        <f t="shared" si="75"/>
        <v>42418</v>
      </c>
      <c r="F511">
        <f t="shared" si="72"/>
        <v>0</v>
      </c>
      <c r="G511">
        <f t="shared" si="73"/>
        <v>0</v>
      </c>
      <c r="H511" s="37" t="e">
        <f t="shared" si="74"/>
        <v>#DIV/0!</v>
      </c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</row>
    <row r="512" spans="1:20" x14ac:dyDescent="0.25">
      <c r="A512" s="62">
        <f t="shared" si="75"/>
        <v>42425</v>
      </c>
      <c r="F512">
        <f t="shared" si="72"/>
        <v>0</v>
      </c>
      <c r="G512">
        <f t="shared" si="73"/>
        <v>0</v>
      </c>
      <c r="H512" s="37" t="e">
        <f t="shared" si="74"/>
        <v>#DIV/0!</v>
      </c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</row>
    <row r="513" spans="1:20" x14ac:dyDescent="0.25">
      <c r="A513" s="62">
        <f t="shared" si="75"/>
        <v>42432</v>
      </c>
      <c r="F513">
        <f t="shared" si="72"/>
        <v>0</v>
      </c>
      <c r="G513">
        <f t="shared" si="73"/>
        <v>0</v>
      </c>
      <c r="H513" s="37" t="e">
        <f t="shared" si="74"/>
        <v>#DIV/0!</v>
      </c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</row>
    <row r="514" spans="1:20" x14ac:dyDescent="0.25">
      <c r="A514" s="62">
        <f t="shared" si="75"/>
        <v>42439</v>
      </c>
      <c r="F514">
        <f t="shared" si="72"/>
        <v>0</v>
      </c>
      <c r="G514">
        <f t="shared" si="73"/>
        <v>0</v>
      </c>
      <c r="H514" s="37" t="e">
        <f t="shared" si="74"/>
        <v>#DIV/0!</v>
      </c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</row>
    <row r="515" spans="1:20" x14ac:dyDescent="0.25">
      <c r="A515" s="62">
        <f t="shared" si="75"/>
        <v>42446</v>
      </c>
      <c r="F515">
        <f t="shared" si="72"/>
        <v>0</v>
      </c>
      <c r="G515">
        <f t="shared" si="73"/>
        <v>0</v>
      </c>
      <c r="H515" s="37" t="e">
        <f t="shared" si="74"/>
        <v>#DIV/0!</v>
      </c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</row>
    <row r="516" spans="1:20" x14ac:dyDescent="0.25">
      <c r="A516" s="62">
        <f t="shared" si="75"/>
        <v>42453</v>
      </c>
      <c r="F516">
        <f t="shared" si="72"/>
        <v>0</v>
      </c>
      <c r="G516">
        <f t="shared" si="73"/>
        <v>0</v>
      </c>
      <c r="H516" s="37" t="e">
        <f t="shared" si="74"/>
        <v>#DIV/0!</v>
      </c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</row>
    <row r="517" spans="1:20" x14ac:dyDescent="0.25">
      <c r="A517" s="62">
        <f t="shared" si="75"/>
        <v>42460</v>
      </c>
      <c r="F517">
        <f t="shared" si="72"/>
        <v>0</v>
      </c>
      <c r="G517">
        <f t="shared" si="73"/>
        <v>0</v>
      </c>
      <c r="H517" s="37" t="e">
        <f t="shared" si="74"/>
        <v>#DIV/0!</v>
      </c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</row>
    <row r="518" spans="1:20" x14ac:dyDescent="0.25">
      <c r="A518" s="62">
        <f t="shared" si="75"/>
        <v>42467</v>
      </c>
      <c r="F518">
        <f t="shared" si="72"/>
        <v>0</v>
      </c>
      <c r="G518">
        <f t="shared" si="73"/>
        <v>0</v>
      </c>
      <c r="H518" s="37" t="e">
        <f t="shared" si="74"/>
        <v>#DIV/0!</v>
      </c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</row>
    <row r="519" spans="1:20" x14ac:dyDescent="0.25">
      <c r="A519" s="62">
        <f t="shared" si="75"/>
        <v>42474</v>
      </c>
      <c r="F519">
        <f t="shared" si="72"/>
        <v>0</v>
      </c>
      <c r="G519">
        <f t="shared" si="73"/>
        <v>0</v>
      </c>
      <c r="H519" s="37" t="e">
        <f t="shared" si="74"/>
        <v>#DIV/0!</v>
      </c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</row>
    <row r="520" spans="1:20" x14ac:dyDescent="0.25">
      <c r="A520" s="62">
        <f t="shared" si="75"/>
        <v>42481</v>
      </c>
      <c r="F520">
        <f t="shared" si="72"/>
        <v>0</v>
      </c>
      <c r="G520">
        <f t="shared" si="73"/>
        <v>0</v>
      </c>
      <c r="H520" s="37" t="e">
        <f t="shared" si="74"/>
        <v>#DIV/0!</v>
      </c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</row>
    <row r="521" spans="1:20" x14ac:dyDescent="0.25">
      <c r="A521" s="62">
        <f t="shared" si="75"/>
        <v>42488</v>
      </c>
      <c r="F521">
        <f t="shared" si="72"/>
        <v>0</v>
      </c>
      <c r="G521">
        <f t="shared" si="73"/>
        <v>0</v>
      </c>
      <c r="H521" s="37" t="e">
        <f t="shared" si="74"/>
        <v>#DIV/0!</v>
      </c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</row>
    <row r="522" spans="1:20" x14ac:dyDescent="0.25">
      <c r="A522" s="62">
        <f t="shared" si="75"/>
        <v>42495</v>
      </c>
      <c r="F522">
        <f t="shared" si="72"/>
        <v>0</v>
      </c>
      <c r="G522">
        <f t="shared" si="73"/>
        <v>0</v>
      </c>
      <c r="H522" s="37" t="e">
        <f t="shared" si="74"/>
        <v>#DIV/0!</v>
      </c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</row>
    <row r="523" spans="1:20" x14ac:dyDescent="0.25">
      <c r="A523" s="62">
        <f t="shared" si="75"/>
        <v>42502</v>
      </c>
      <c r="F523">
        <f t="shared" ref="F523:F586" si="76">+B523+D523</f>
        <v>0</v>
      </c>
      <c r="G523">
        <f t="shared" ref="G523:G586" si="77">+C523+E523</f>
        <v>0</v>
      </c>
      <c r="H523" s="37" t="e">
        <f t="shared" si="74"/>
        <v>#DIV/0!</v>
      </c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</row>
    <row r="524" spans="1:20" x14ac:dyDescent="0.25">
      <c r="A524" s="62">
        <f t="shared" si="75"/>
        <v>42509</v>
      </c>
      <c r="F524">
        <f t="shared" si="76"/>
        <v>0</v>
      </c>
      <c r="G524">
        <f t="shared" si="77"/>
        <v>0</v>
      </c>
      <c r="H524" s="37" t="e">
        <f t="shared" si="74"/>
        <v>#DIV/0!</v>
      </c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</row>
    <row r="525" spans="1:20" x14ac:dyDescent="0.25">
      <c r="A525" s="62">
        <f t="shared" si="75"/>
        <v>42516</v>
      </c>
      <c r="F525">
        <f t="shared" si="76"/>
        <v>0</v>
      </c>
      <c r="G525">
        <f t="shared" si="77"/>
        <v>0</v>
      </c>
      <c r="H525" s="37" t="e">
        <f t="shared" si="74"/>
        <v>#DIV/0!</v>
      </c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</row>
    <row r="526" spans="1:20" x14ac:dyDescent="0.25">
      <c r="A526" s="62">
        <f t="shared" si="75"/>
        <v>42523</v>
      </c>
      <c r="F526">
        <f t="shared" si="76"/>
        <v>0</v>
      </c>
      <c r="G526">
        <f t="shared" si="77"/>
        <v>0</v>
      </c>
      <c r="H526" s="37" t="e">
        <f t="shared" si="74"/>
        <v>#DIV/0!</v>
      </c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</row>
    <row r="527" spans="1:20" x14ac:dyDescent="0.25">
      <c r="A527" s="62">
        <f t="shared" si="75"/>
        <v>42530</v>
      </c>
      <c r="F527">
        <f t="shared" si="76"/>
        <v>0</v>
      </c>
      <c r="G527">
        <f t="shared" si="77"/>
        <v>0</v>
      </c>
      <c r="H527" s="37" t="e">
        <f t="shared" si="74"/>
        <v>#DIV/0!</v>
      </c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</row>
    <row r="528" spans="1:20" x14ac:dyDescent="0.25">
      <c r="A528" s="62">
        <f t="shared" si="75"/>
        <v>42537</v>
      </c>
      <c r="F528">
        <f t="shared" si="76"/>
        <v>0</v>
      </c>
      <c r="G528">
        <f t="shared" si="77"/>
        <v>0</v>
      </c>
      <c r="H528" s="37" t="e">
        <f t="shared" si="74"/>
        <v>#DIV/0!</v>
      </c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</row>
    <row r="529" spans="1:20" x14ac:dyDescent="0.25">
      <c r="A529" s="62">
        <f t="shared" si="75"/>
        <v>42544</v>
      </c>
      <c r="F529">
        <f t="shared" si="76"/>
        <v>0</v>
      </c>
      <c r="G529">
        <f t="shared" si="77"/>
        <v>0</v>
      </c>
      <c r="H529" s="37" t="e">
        <f t="shared" si="74"/>
        <v>#DIV/0!</v>
      </c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</row>
    <row r="530" spans="1:20" x14ac:dyDescent="0.25">
      <c r="A530" s="62">
        <f t="shared" si="75"/>
        <v>42551</v>
      </c>
      <c r="F530">
        <f t="shared" si="76"/>
        <v>0</v>
      </c>
      <c r="G530">
        <f t="shared" si="77"/>
        <v>0</v>
      </c>
      <c r="H530" s="37" t="e">
        <f t="shared" ref="H530:H593" si="78">+F530/G530-1</f>
        <v>#DIV/0!</v>
      </c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</row>
    <row r="531" spans="1:20" x14ac:dyDescent="0.25">
      <c r="A531" s="62">
        <f t="shared" si="75"/>
        <v>42558</v>
      </c>
      <c r="F531">
        <f t="shared" si="76"/>
        <v>0</v>
      </c>
      <c r="G531">
        <f t="shared" si="77"/>
        <v>0</v>
      </c>
      <c r="H531" s="37" t="e">
        <f t="shared" si="78"/>
        <v>#DIV/0!</v>
      </c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</row>
    <row r="532" spans="1:20" x14ac:dyDescent="0.25">
      <c r="A532" s="62">
        <f t="shared" si="75"/>
        <v>42565</v>
      </c>
      <c r="F532">
        <f t="shared" si="76"/>
        <v>0</v>
      </c>
      <c r="G532">
        <f t="shared" si="77"/>
        <v>0</v>
      </c>
      <c r="H532" s="37" t="e">
        <f t="shared" si="78"/>
        <v>#DIV/0!</v>
      </c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</row>
    <row r="533" spans="1:20" x14ac:dyDescent="0.25">
      <c r="A533" s="62">
        <f t="shared" si="75"/>
        <v>42572</v>
      </c>
      <c r="F533">
        <f t="shared" si="76"/>
        <v>0</v>
      </c>
      <c r="G533">
        <f t="shared" si="77"/>
        <v>0</v>
      </c>
      <c r="H533" s="37" t="e">
        <f t="shared" si="78"/>
        <v>#DIV/0!</v>
      </c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</row>
    <row r="534" spans="1:20" x14ac:dyDescent="0.25">
      <c r="A534" s="62">
        <f t="shared" si="75"/>
        <v>42579</v>
      </c>
      <c r="F534">
        <f t="shared" si="76"/>
        <v>0</v>
      </c>
      <c r="G534">
        <f t="shared" si="77"/>
        <v>0</v>
      </c>
      <c r="H534" s="37" t="e">
        <f t="shared" si="78"/>
        <v>#DIV/0!</v>
      </c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</row>
    <row r="535" spans="1:20" x14ac:dyDescent="0.25">
      <c r="A535" s="62">
        <f t="shared" si="75"/>
        <v>42586</v>
      </c>
      <c r="F535">
        <f t="shared" si="76"/>
        <v>0</v>
      </c>
      <c r="G535">
        <f t="shared" si="77"/>
        <v>0</v>
      </c>
      <c r="H535" s="37" t="e">
        <f t="shared" si="78"/>
        <v>#DIV/0!</v>
      </c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</row>
    <row r="536" spans="1:20" x14ac:dyDescent="0.25">
      <c r="A536" s="62">
        <f t="shared" si="75"/>
        <v>42593</v>
      </c>
      <c r="F536">
        <f t="shared" si="76"/>
        <v>0</v>
      </c>
      <c r="G536">
        <f t="shared" si="77"/>
        <v>0</v>
      </c>
      <c r="H536" s="37" t="e">
        <f t="shared" si="78"/>
        <v>#DIV/0!</v>
      </c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</row>
    <row r="537" spans="1:20" x14ac:dyDescent="0.25">
      <c r="A537" s="62">
        <f t="shared" si="75"/>
        <v>42600</v>
      </c>
      <c r="F537">
        <f t="shared" si="76"/>
        <v>0</v>
      </c>
      <c r="G537">
        <f t="shared" si="77"/>
        <v>0</v>
      </c>
      <c r="H537" s="37" t="e">
        <f t="shared" si="78"/>
        <v>#DIV/0!</v>
      </c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</row>
    <row r="538" spans="1:20" x14ac:dyDescent="0.25">
      <c r="A538" s="62">
        <f t="shared" si="75"/>
        <v>42607</v>
      </c>
      <c r="F538">
        <f t="shared" si="76"/>
        <v>0</v>
      </c>
      <c r="G538">
        <f t="shared" si="77"/>
        <v>0</v>
      </c>
      <c r="H538" s="37" t="e">
        <f t="shared" si="78"/>
        <v>#DIV/0!</v>
      </c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</row>
    <row r="539" spans="1:20" x14ac:dyDescent="0.25">
      <c r="A539" s="62">
        <f t="shared" si="75"/>
        <v>42614</v>
      </c>
      <c r="F539">
        <f t="shared" si="76"/>
        <v>0</v>
      </c>
      <c r="G539">
        <f t="shared" si="77"/>
        <v>0</v>
      </c>
      <c r="H539" s="37" t="e">
        <f t="shared" si="78"/>
        <v>#DIV/0!</v>
      </c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</row>
    <row r="540" spans="1:20" x14ac:dyDescent="0.25">
      <c r="A540" s="62">
        <f t="shared" si="75"/>
        <v>42621</v>
      </c>
      <c r="F540">
        <f t="shared" si="76"/>
        <v>0</v>
      </c>
      <c r="G540">
        <f t="shared" si="77"/>
        <v>0</v>
      </c>
      <c r="H540" s="37" t="e">
        <f t="shared" si="78"/>
        <v>#DIV/0!</v>
      </c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</row>
    <row r="541" spans="1:20" x14ac:dyDescent="0.25">
      <c r="A541" s="62">
        <f t="shared" si="75"/>
        <v>42628</v>
      </c>
      <c r="F541">
        <f t="shared" si="76"/>
        <v>0</v>
      </c>
      <c r="G541">
        <f t="shared" si="77"/>
        <v>0</v>
      </c>
      <c r="H541" s="37" t="e">
        <f t="shared" si="78"/>
        <v>#DIV/0!</v>
      </c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</row>
    <row r="542" spans="1:20" x14ac:dyDescent="0.25">
      <c r="A542" s="62">
        <f t="shared" si="75"/>
        <v>42635</v>
      </c>
      <c r="F542">
        <f t="shared" si="76"/>
        <v>0</v>
      </c>
      <c r="G542">
        <f t="shared" si="77"/>
        <v>0</v>
      </c>
      <c r="H542" s="37" t="e">
        <f t="shared" si="78"/>
        <v>#DIV/0!</v>
      </c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</row>
    <row r="543" spans="1:20" x14ac:dyDescent="0.25">
      <c r="A543" s="62">
        <f t="shared" si="75"/>
        <v>42642</v>
      </c>
      <c r="F543">
        <f t="shared" si="76"/>
        <v>0</v>
      </c>
      <c r="G543">
        <f t="shared" si="77"/>
        <v>0</v>
      </c>
      <c r="H543" s="37" t="e">
        <f t="shared" si="78"/>
        <v>#DIV/0!</v>
      </c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</row>
    <row r="544" spans="1:20" x14ac:dyDescent="0.25">
      <c r="A544" s="62">
        <f t="shared" si="75"/>
        <v>42649</v>
      </c>
      <c r="F544">
        <f t="shared" si="76"/>
        <v>0</v>
      </c>
      <c r="G544">
        <f t="shared" si="77"/>
        <v>0</v>
      </c>
      <c r="H544" s="37" t="e">
        <f t="shared" si="78"/>
        <v>#DIV/0!</v>
      </c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</row>
    <row r="545" spans="1:20" x14ac:dyDescent="0.25">
      <c r="A545" s="62">
        <f t="shared" si="75"/>
        <v>42656</v>
      </c>
      <c r="F545">
        <f t="shared" si="76"/>
        <v>0</v>
      </c>
      <c r="G545">
        <f t="shared" si="77"/>
        <v>0</v>
      </c>
      <c r="H545" s="37" t="e">
        <f t="shared" si="78"/>
        <v>#DIV/0!</v>
      </c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</row>
    <row r="546" spans="1:20" x14ac:dyDescent="0.25">
      <c r="A546" s="62">
        <f t="shared" si="75"/>
        <v>42663</v>
      </c>
      <c r="F546">
        <f t="shared" si="76"/>
        <v>0</v>
      </c>
      <c r="G546">
        <f t="shared" si="77"/>
        <v>0</v>
      </c>
      <c r="H546" s="37" t="e">
        <f t="shared" si="78"/>
        <v>#DIV/0!</v>
      </c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</row>
    <row r="547" spans="1:20" x14ac:dyDescent="0.25">
      <c r="A547" s="62">
        <f t="shared" si="75"/>
        <v>42670</v>
      </c>
      <c r="F547">
        <f t="shared" si="76"/>
        <v>0</v>
      </c>
      <c r="G547">
        <f t="shared" si="77"/>
        <v>0</v>
      </c>
      <c r="H547" s="37" t="e">
        <f t="shared" si="78"/>
        <v>#DIV/0!</v>
      </c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</row>
    <row r="548" spans="1:20" x14ac:dyDescent="0.25">
      <c r="A548" s="62">
        <f t="shared" si="75"/>
        <v>42677</v>
      </c>
      <c r="F548">
        <f t="shared" si="76"/>
        <v>0</v>
      </c>
      <c r="G548">
        <f t="shared" si="77"/>
        <v>0</v>
      </c>
      <c r="H548" s="37" t="e">
        <f t="shared" si="78"/>
        <v>#DIV/0!</v>
      </c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</row>
    <row r="549" spans="1:20" x14ac:dyDescent="0.25">
      <c r="A549" s="62">
        <f t="shared" si="75"/>
        <v>42684</v>
      </c>
      <c r="F549">
        <f t="shared" si="76"/>
        <v>0</v>
      </c>
      <c r="G549">
        <f t="shared" si="77"/>
        <v>0</v>
      </c>
      <c r="H549" s="37" t="e">
        <f t="shared" si="78"/>
        <v>#DIV/0!</v>
      </c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</row>
    <row r="550" spans="1:20" x14ac:dyDescent="0.25">
      <c r="A550" s="62">
        <f t="shared" si="75"/>
        <v>42691</v>
      </c>
      <c r="F550">
        <f t="shared" si="76"/>
        <v>0</v>
      </c>
      <c r="G550">
        <f t="shared" si="77"/>
        <v>0</v>
      </c>
      <c r="H550" s="37" t="e">
        <f t="shared" si="78"/>
        <v>#DIV/0!</v>
      </c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</row>
    <row r="551" spans="1:20" x14ac:dyDescent="0.25">
      <c r="A551" s="62">
        <f t="shared" si="75"/>
        <v>42698</v>
      </c>
      <c r="F551">
        <f t="shared" si="76"/>
        <v>0</v>
      </c>
      <c r="G551">
        <f t="shared" si="77"/>
        <v>0</v>
      </c>
      <c r="H551" s="37" t="e">
        <f t="shared" si="78"/>
        <v>#DIV/0!</v>
      </c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</row>
    <row r="552" spans="1:20" x14ac:dyDescent="0.25">
      <c r="A552" s="62">
        <f t="shared" si="75"/>
        <v>42705</v>
      </c>
      <c r="F552">
        <f t="shared" si="76"/>
        <v>0</v>
      </c>
      <c r="G552">
        <f t="shared" si="77"/>
        <v>0</v>
      </c>
      <c r="H552" s="37" t="e">
        <f t="shared" si="78"/>
        <v>#DIV/0!</v>
      </c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</row>
    <row r="553" spans="1:20" x14ac:dyDescent="0.25">
      <c r="A553" s="62">
        <f t="shared" si="75"/>
        <v>42712</v>
      </c>
      <c r="F553">
        <f t="shared" si="76"/>
        <v>0</v>
      </c>
      <c r="G553">
        <f t="shared" si="77"/>
        <v>0</v>
      </c>
      <c r="H553" s="37" t="e">
        <f t="shared" si="78"/>
        <v>#DIV/0!</v>
      </c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</row>
    <row r="554" spans="1:20" x14ac:dyDescent="0.25">
      <c r="A554" s="62">
        <f t="shared" si="75"/>
        <v>42719</v>
      </c>
      <c r="F554">
        <f t="shared" si="76"/>
        <v>0</v>
      </c>
      <c r="G554">
        <f t="shared" si="77"/>
        <v>0</v>
      </c>
      <c r="H554" s="37" t="e">
        <f t="shared" si="78"/>
        <v>#DIV/0!</v>
      </c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</row>
    <row r="555" spans="1:20" x14ac:dyDescent="0.25">
      <c r="A555" s="62">
        <f t="shared" si="75"/>
        <v>42726</v>
      </c>
      <c r="F555">
        <f t="shared" si="76"/>
        <v>0</v>
      </c>
      <c r="G555">
        <f t="shared" si="77"/>
        <v>0</v>
      </c>
      <c r="H555" s="37" t="e">
        <f t="shared" si="78"/>
        <v>#DIV/0!</v>
      </c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</row>
    <row r="556" spans="1:20" x14ac:dyDescent="0.25">
      <c r="A556" s="62">
        <f t="shared" si="75"/>
        <v>42733</v>
      </c>
      <c r="F556">
        <f t="shared" si="76"/>
        <v>0</v>
      </c>
      <c r="G556">
        <f t="shared" si="77"/>
        <v>0</v>
      </c>
      <c r="H556" s="37" t="e">
        <f t="shared" si="78"/>
        <v>#DIV/0!</v>
      </c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</row>
    <row r="557" spans="1:20" x14ac:dyDescent="0.25">
      <c r="A557" s="62">
        <f t="shared" si="75"/>
        <v>42740</v>
      </c>
      <c r="F557">
        <f t="shared" si="76"/>
        <v>0</v>
      </c>
      <c r="G557">
        <f t="shared" si="77"/>
        <v>0</v>
      </c>
      <c r="H557" s="37" t="e">
        <f t="shared" si="78"/>
        <v>#DIV/0!</v>
      </c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</row>
    <row r="558" spans="1:20" x14ac:dyDescent="0.25">
      <c r="A558" s="62">
        <f t="shared" si="75"/>
        <v>42747</v>
      </c>
      <c r="F558">
        <f t="shared" si="76"/>
        <v>0</v>
      </c>
      <c r="G558">
        <f t="shared" si="77"/>
        <v>0</v>
      </c>
      <c r="H558" s="37" t="e">
        <f t="shared" si="78"/>
        <v>#DIV/0!</v>
      </c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</row>
    <row r="559" spans="1:20" x14ac:dyDescent="0.25">
      <c r="A559" s="62">
        <f t="shared" si="75"/>
        <v>42754</v>
      </c>
      <c r="F559">
        <f t="shared" si="76"/>
        <v>0</v>
      </c>
      <c r="G559">
        <f t="shared" si="77"/>
        <v>0</v>
      </c>
      <c r="H559" s="37" t="e">
        <f t="shared" si="78"/>
        <v>#DIV/0!</v>
      </c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</row>
    <row r="560" spans="1:20" x14ac:dyDescent="0.25">
      <c r="A560" s="62">
        <f t="shared" si="75"/>
        <v>42761</v>
      </c>
      <c r="F560">
        <f t="shared" si="76"/>
        <v>0</v>
      </c>
      <c r="G560">
        <f t="shared" si="77"/>
        <v>0</v>
      </c>
      <c r="H560" s="37" t="e">
        <f t="shared" si="78"/>
        <v>#DIV/0!</v>
      </c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</row>
    <row r="561" spans="1:20" x14ac:dyDescent="0.25">
      <c r="A561" s="62">
        <f t="shared" si="75"/>
        <v>42768</v>
      </c>
      <c r="F561">
        <f t="shared" si="76"/>
        <v>0</v>
      </c>
      <c r="G561">
        <f t="shared" si="77"/>
        <v>0</v>
      </c>
      <c r="H561" s="37" t="e">
        <f t="shared" si="78"/>
        <v>#DIV/0!</v>
      </c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</row>
    <row r="562" spans="1:20" x14ac:dyDescent="0.25">
      <c r="A562" s="62">
        <f t="shared" si="75"/>
        <v>42775</v>
      </c>
      <c r="F562">
        <f t="shared" si="76"/>
        <v>0</v>
      </c>
      <c r="G562">
        <f t="shared" si="77"/>
        <v>0</v>
      </c>
      <c r="H562" s="37" t="e">
        <f t="shared" si="78"/>
        <v>#DIV/0!</v>
      </c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</row>
    <row r="563" spans="1:20" x14ac:dyDescent="0.25">
      <c r="A563" s="62">
        <f t="shared" si="75"/>
        <v>42782</v>
      </c>
      <c r="F563">
        <f t="shared" si="76"/>
        <v>0</v>
      </c>
      <c r="G563">
        <f t="shared" si="77"/>
        <v>0</v>
      </c>
      <c r="H563" s="37" t="e">
        <f t="shared" si="78"/>
        <v>#DIV/0!</v>
      </c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</row>
    <row r="564" spans="1:20" x14ac:dyDescent="0.25">
      <c r="A564" s="62">
        <f t="shared" si="75"/>
        <v>42789</v>
      </c>
      <c r="F564">
        <f t="shared" si="76"/>
        <v>0</v>
      </c>
      <c r="G564">
        <f t="shared" si="77"/>
        <v>0</v>
      </c>
      <c r="H564" s="37" t="e">
        <f t="shared" si="78"/>
        <v>#DIV/0!</v>
      </c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</row>
    <row r="565" spans="1:20" x14ac:dyDescent="0.25">
      <c r="A565" s="62">
        <f t="shared" si="75"/>
        <v>42796</v>
      </c>
      <c r="F565">
        <f t="shared" si="76"/>
        <v>0</v>
      </c>
      <c r="G565">
        <f t="shared" si="77"/>
        <v>0</v>
      </c>
      <c r="H565" s="37" t="e">
        <f t="shared" si="78"/>
        <v>#DIV/0!</v>
      </c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</row>
    <row r="566" spans="1:20" x14ac:dyDescent="0.25">
      <c r="A566" s="62">
        <f t="shared" si="75"/>
        <v>42803</v>
      </c>
      <c r="F566">
        <f t="shared" si="76"/>
        <v>0</v>
      </c>
      <c r="G566">
        <f t="shared" si="77"/>
        <v>0</v>
      </c>
      <c r="H566" s="37" t="e">
        <f t="shared" si="78"/>
        <v>#DIV/0!</v>
      </c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</row>
    <row r="567" spans="1:20" x14ac:dyDescent="0.25">
      <c r="A567" s="62">
        <f t="shared" si="75"/>
        <v>42810</v>
      </c>
      <c r="F567">
        <f t="shared" si="76"/>
        <v>0</v>
      </c>
      <c r="G567">
        <f t="shared" si="77"/>
        <v>0</v>
      </c>
      <c r="H567" s="37" t="e">
        <f t="shared" si="78"/>
        <v>#DIV/0!</v>
      </c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</row>
    <row r="568" spans="1:20" x14ac:dyDescent="0.25">
      <c r="A568" s="62">
        <f t="shared" si="75"/>
        <v>42817</v>
      </c>
      <c r="F568">
        <f t="shared" si="76"/>
        <v>0</v>
      </c>
      <c r="G568">
        <f t="shared" si="77"/>
        <v>0</v>
      </c>
      <c r="H568" s="37" t="e">
        <f t="shared" si="78"/>
        <v>#DIV/0!</v>
      </c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</row>
    <row r="569" spans="1:20" x14ac:dyDescent="0.25">
      <c r="A569" s="62">
        <f t="shared" si="75"/>
        <v>42824</v>
      </c>
      <c r="F569">
        <f t="shared" si="76"/>
        <v>0</v>
      </c>
      <c r="G569">
        <f t="shared" si="77"/>
        <v>0</v>
      </c>
      <c r="H569" s="37" t="e">
        <f t="shared" si="78"/>
        <v>#DIV/0!</v>
      </c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</row>
    <row r="570" spans="1:20" x14ac:dyDescent="0.25">
      <c r="A570" s="62">
        <f t="shared" si="75"/>
        <v>42831</v>
      </c>
      <c r="F570">
        <f t="shared" si="76"/>
        <v>0</v>
      </c>
      <c r="G570">
        <f t="shared" si="77"/>
        <v>0</v>
      </c>
      <c r="H570" s="37" t="e">
        <f t="shared" si="78"/>
        <v>#DIV/0!</v>
      </c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</row>
    <row r="571" spans="1:20" x14ac:dyDescent="0.25">
      <c r="A571" s="62">
        <f t="shared" si="75"/>
        <v>42838</v>
      </c>
      <c r="F571">
        <f t="shared" si="76"/>
        <v>0</v>
      </c>
      <c r="G571">
        <f t="shared" si="77"/>
        <v>0</v>
      </c>
      <c r="H571" s="37" t="e">
        <f t="shared" si="78"/>
        <v>#DIV/0!</v>
      </c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</row>
    <row r="572" spans="1:20" x14ac:dyDescent="0.25">
      <c r="A572" s="62">
        <f t="shared" ref="A572:A635" si="79">+A571+7</f>
        <v>42845</v>
      </c>
      <c r="F572">
        <f t="shared" si="76"/>
        <v>0</v>
      </c>
      <c r="G572">
        <f t="shared" si="77"/>
        <v>0</v>
      </c>
      <c r="H572" s="37" t="e">
        <f t="shared" si="78"/>
        <v>#DIV/0!</v>
      </c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</row>
    <row r="573" spans="1:20" x14ac:dyDescent="0.25">
      <c r="A573" s="62">
        <f t="shared" si="79"/>
        <v>42852</v>
      </c>
      <c r="F573">
        <f t="shared" si="76"/>
        <v>0</v>
      </c>
      <c r="G573">
        <f t="shared" si="77"/>
        <v>0</v>
      </c>
      <c r="H573" s="37" t="e">
        <f t="shared" si="78"/>
        <v>#DIV/0!</v>
      </c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</row>
    <row r="574" spans="1:20" x14ac:dyDescent="0.25">
      <c r="A574" s="62">
        <f t="shared" si="79"/>
        <v>42859</v>
      </c>
      <c r="F574">
        <f t="shared" si="76"/>
        <v>0</v>
      </c>
      <c r="G574">
        <f t="shared" si="77"/>
        <v>0</v>
      </c>
      <c r="H574" s="37" t="e">
        <f t="shared" si="78"/>
        <v>#DIV/0!</v>
      </c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</row>
    <row r="575" spans="1:20" x14ac:dyDescent="0.25">
      <c r="A575" s="62">
        <f t="shared" si="79"/>
        <v>42866</v>
      </c>
      <c r="F575">
        <f t="shared" si="76"/>
        <v>0</v>
      </c>
      <c r="G575">
        <f t="shared" si="77"/>
        <v>0</v>
      </c>
      <c r="H575" s="37" t="e">
        <f t="shared" si="78"/>
        <v>#DIV/0!</v>
      </c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</row>
    <row r="576" spans="1:20" x14ac:dyDescent="0.25">
      <c r="A576" s="62">
        <f t="shared" si="79"/>
        <v>42873</v>
      </c>
      <c r="F576">
        <f t="shared" si="76"/>
        <v>0</v>
      </c>
      <c r="G576">
        <f t="shared" si="77"/>
        <v>0</v>
      </c>
      <c r="H576" s="37" t="e">
        <f t="shared" si="78"/>
        <v>#DIV/0!</v>
      </c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</row>
    <row r="577" spans="1:20" x14ac:dyDescent="0.25">
      <c r="A577" s="62">
        <f t="shared" si="79"/>
        <v>42880</v>
      </c>
      <c r="F577">
        <f t="shared" si="76"/>
        <v>0</v>
      </c>
      <c r="G577">
        <f t="shared" si="77"/>
        <v>0</v>
      </c>
      <c r="H577" s="37" t="e">
        <f t="shared" si="78"/>
        <v>#DIV/0!</v>
      </c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</row>
    <row r="578" spans="1:20" x14ac:dyDescent="0.25">
      <c r="A578" s="62">
        <f t="shared" si="79"/>
        <v>42887</v>
      </c>
      <c r="F578">
        <f t="shared" si="76"/>
        <v>0</v>
      </c>
      <c r="G578">
        <f t="shared" si="77"/>
        <v>0</v>
      </c>
      <c r="H578" s="37" t="e">
        <f t="shared" si="78"/>
        <v>#DIV/0!</v>
      </c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</row>
    <row r="579" spans="1:20" x14ac:dyDescent="0.25">
      <c r="A579" s="62">
        <f t="shared" si="79"/>
        <v>42894</v>
      </c>
      <c r="F579">
        <f t="shared" si="76"/>
        <v>0</v>
      </c>
      <c r="G579">
        <f t="shared" si="77"/>
        <v>0</v>
      </c>
      <c r="H579" s="37" t="e">
        <f t="shared" si="78"/>
        <v>#DIV/0!</v>
      </c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</row>
    <row r="580" spans="1:20" x14ac:dyDescent="0.25">
      <c r="A580" s="62">
        <f t="shared" si="79"/>
        <v>42901</v>
      </c>
      <c r="F580">
        <f t="shared" si="76"/>
        <v>0</v>
      </c>
      <c r="G580">
        <f t="shared" si="77"/>
        <v>0</v>
      </c>
      <c r="H580" s="37" t="e">
        <f t="shared" si="78"/>
        <v>#DIV/0!</v>
      </c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</row>
    <row r="581" spans="1:20" x14ac:dyDescent="0.25">
      <c r="A581" s="62">
        <f t="shared" si="79"/>
        <v>42908</v>
      </c>
      <c r="F581">
        <f t="shared" si="76"/>
        <v>0</v>
      </c>
      <c r="G581">
        <f t="shared" si="77"/>
        <v>0</v>
      </c>
      <c r="H581" s="37" t="e">
        <f t="shared" si="78"/>
        <v>#DIV/0!</v>
      </c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</row>
    <row r="582" spans="1:20" x14ac:dyDescent="0.25">
      <c r="A582" s="62">
        <f t="shared" si="79"/>
        <v>42915</v>
      </c>
      <c r="F582">
        <f t="shared" si="76"/>
        <v>0</v>
      </c>
      <c r="G582">
        <f t="shared" si="77"/>
        <v>0</v>
      </c>
      <c r="H582" s="37" t="e">
        <f t="shared" si="78"/>
        <v>#DIV/0!</v>
      </c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</row>
    <row r="583" spans="1:20" x14ac:dyDescent="0.25">
      <c r="A583" s="62">
        <f t="shared" si="79"/>
        <v>42922</v>
      </c>
      <c r="F583">
        <f t="shared" si="76"/>
        <v>0</v>
      </c>
      <c r="G583">
        <f t="shared" si="77"/>
        <v>0</v>
      </c>
      <c r="H583" s="37" t="e">
        <f t="shared" si="78"/>
        <v>#DIV/0!</v>
      </c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</row>
    <row r="584" spans="1:20" x14ac:dyDescent="0.25">
      <c r="A584" s="62">
        <f t="shared" si="79"/>
        <v>42929</v>
      </c>
      <c r="F584">
        <f t="shared" si="76"/>
        <v>0</v>
      </c>
      <c r="G584">
        <f t="shared" si="77"/>
        <v>0</v>
      </c>
      <c r="H584" s="37" t="e">
        <f t="shared" si="78"/>
        <v>#DIV/0!</v>
      </c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</row>
    <row r="585" spans="1:20" x14ac:dyDescent="0.25">
      <c r="A585" s="62">
        <f t="shared" si="79"/>
        <v>42936</v>
      </c>
      <c r="F585">
        <f t="shared" si="76"/>
        <v>0</v>
      </c>
      <c r="G585">
        <f t="shared" si="77"/>
        <v>0</v>
      </c>
      <c r="H585" s="37" t="e">
        <f t="shared" si="78"/>
        <v>#DIV/0!</v>
      </c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</row>
    <row r="586" spans="1:20" x14ac:dyDescent="0.25">
      <c r="A586" s="62">
        <f t="shared" si="79"/>
        <v>42943</v>
      </c>
      <c r="F586">
        <f t="shared" si="76"/>
        <v>0</v>
      </c>
      <c r="G586">
        <f t="shared" si="77"/>
        <v>0</v>
      </c>
      <c r="H586" s="37" t="e">
        <f t="shared" si="78"/>
        <v>#DIV/0!</v>
      </c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</row>
    <row r="587" spans="1:20" x14ac:dyDescent="0.25">
      <c r="A587" s="62">
        <f t="shared" si="79"/>
        <v>42950</v>
      </c>
      <c r="F587">
        <f t="shared" ref="F587:F650" si="80">+B587+D587</f>
        <v>0</v>
      </c>
      <c r="G587">
        <f t="shared" ref="G587:G650" si="81">+C587+E587</f>
        <v>0</v>
      </c>
      <c r="H587" s="37" t="e">
        <f t="shared" si="78"/>
        <v>#DIV/0!</v>
      </c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</row>
    <row r="588" spans="1:20" x14ac:dyDescent="0.25">
      <c r="A588" s="62">
        <f t="shared" si="79"/>
        <v>42957</v>
      </c>
      <c r="F588">
        <f t="shared" si="80"/>
        <v>0</v>
      </c>
      <c r="G588">
        <f t="shared" si="81"/>
        <v>0</v>
      </c>
      <c r="H588" s="37" t="e">
        <f t="shared" si="78"/>
        <v>#DIV/0!</v>
      </c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</row>
    <row r="589" spans="1:20" x14ac:dyDescent="0.25">
      <c r="A589" s="62">
        <f t="shared" si="79"/>
        <v>42964</v>
      </c>
      <c r="F589">
        <f t="shared" si="80"/>
        <v>0</v>
      </c>
      <c r="G589">
        <f t="shared" si="81"/>
        <v>0</v>
      </c>
      <c r="H589" s="37" t="e">
        <f t="shared" si="78"/>
        <v>#DIV/0!</v>
      </c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</row>
    <row r="590" spans="1:20" x14ac:dyDescent="0.25">
      <c r="A590" s="62">
        <f t="shared" si="79"/>
        <v>42971</v>
      </c>
      <c r="F590">
        <f t="shared" si="80"/>
        <v>0</v>
      </c>
      <c r="G590">
        <f t="shared" si="81"/>
        <v>0</v>
      </c>
      <c r="H590" s="37" t="e">
        <f t="shared" si="78"/>
        <v>#DIV/0!</v>
      </c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</row>
    <row r="591" spans="1:20" x14ac:dyDescent="0.25">
      <c r="A591" s="62">
        <f t="shared" si="79"/>
        <v>42978</v>
      </c>
      <c r="F591">
        <f t="shared" si="80"/>
        <v>0</v>
      </c>
      <c r="G591">
        <f t="shared" si="81"/>
        <v>0</v>
      </c>
      <c r="H591" s="37" t="e">
        <f t="shared" si="78"/>
        <v>#DIV/0!</v>
      </c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</row>
    <row r="592" spans="1:20" x14ac:dyDescent="0.25">
      <c r="A592" s="62">
        <f t="shared" si="79"/>
        <v>42985</v>
      </c>
      <c r="F592">
        <f t="shared" si="80"/>
        <v>0</v>
      </c>
      <c r="G592">
        <f t="shared" si="81"/>
        <v>0</v>
      </c>
      <c r="H592" s="37" t="e">
        <f t="shared" si="78"/>
        <v>#DIV/0!</v>
      </c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</row>
    <row r="593" spans="1:20" x14ac:dyDescent="0.25">
      <c r="A593" s="62">
        <f t="shared" si="79"/>
        <v>42992</v>
      </c>
      <c r="F593">
        <f t="shared" si="80"/>
        <v>0</v>
      </c>
      <c r="G593">
        <f t="shared" si="81"/>
        <v>0</v>
      </c>
      <c r="H593" s="37" t="e">
        <f t="shared" si="78"/>
        <v>#DIV/0!</v>
      </c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</row>
    <row r="594" spans="1:20" x14ac:dyDescent="0.25">
      <c r="A594" s="62">
        <f t="shared" si="79"/>
        <v>42999</v>
      </c>
      <c r="F594">
        <f t="shared" si="80"/>
        <v>0</v>
      </c>
      <c r="G594">
        <f t="shared" si="81"/>
        <v>0</v>
      </c>
      <c r="H594" s="37" t="e">
        <f t="shared" ref="H594:H657" si="82">+F594/G594-1</f>
        <v>#DIV/0!</v>
      </c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</row>
    <row r="595" spans="1:20" x14ac:dyDescent="0.25">
      <c r="A595" s="62">
        <f t="shared" si="79"/>
        <v>43006</v>
      </c>
      <c r="F595">
        <f t="shared" si="80"/>
        <v>0</v>
      </c>
      <c r="G595">
        <f t="shared" si="81"/>
        <v>0</v>
      </c>
      <c r="H595" s="37" t="e">
        <f t="shared" si="82"/>
        <v>#DIV/0!</v>
      </c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</row>
    <row r="596" spans="1:20" x14ac:dyDescent="0.25">
      <c r="A596" s="62">
        <f t="shared" si="79"/>
        <v>43013</v>
      </c>
      <c r="F596">
        <f t="shared" si="80"/>
        <v>0</v>
      </c>
      <c r="G596">
        <f t="shared" si="81"/>
        <v>0</v>
      </c>
      <c r="H596" s="37" t="e">
        <f t="shared" si="82"/>
        <v>#DIV/0!</v>
      </c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</row>
    <row r="597" spans="1:20" x14ac:dyDescent="0.25">
      <c r="A597" s="62">
        <f t="shared" si="79"/>
        <v>43020</v>
      </c>
      <c r="F597">
        <f t="shared" si="80"/>
        <v>0</v>
      </c>
      <c r="G597">
        <f t="shared" si="81"/>
        <v>0</v>
      </c>
      <c r="H597" s="37" t="e">
        <f t="shared" si="82"/>
        <v>#DIV/0!</v>
      </c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</row>
    <row r="598" spans="1:20" x14ac:dyDescent="0.25">
      <c r="A598" s="62">
        <f t="shared" si="79"/>
        <v>43027</v>
      </c>
      <c r="F598">
        <f t="shared" si="80"/>
        <v>0</v>
      </c>
      <c r="G598">
        <f t="shared" si="81"/>
        <v>0</v>
      </c>
      <c r="H598" s="37" t="e">
        <f t="shared" si="82"/>
        <v>#DIV/0!</v>
      </c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</row>
    <row r="599" spans="1:20" x14ac:dyDescent="0.25">
      <c r="A599" s="62">
        <f t="shared" si="79"/>
        <v>43034</v>
      </c>
      <c r="F599">
        <f t="shared" si="80"/>
        <v>0</v>
      </c>
      <c r="G599">
        <f t="shared" si="81"/>
        <v>0</v>
      </c>
      <c r="H599" s="37" t="e">
        <f t="shared" si="82"/>
        <v>#DIV/0!</v>
      </c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</row>
    <row r="600" spans="1:20" x14ac:dyDescent="0.25">
      <c r="A600" s="62">
        <f t="shared" si="79"/>
        <v>43041</v>
      </c>
      <c r="F600">
        <f t="shared" si="80"/>
        <v>0</v>
      </c>
      <c r="G600">
        <f t="shared" si="81"/>
        <v>0</v>
      </c>
      <c r="H600" s="37" t="e">
        <f t="shared" si="82"/>
        <v>#DIV/0!</v>
      </c>
    </row>
    <row r="601" spans="1:20" x14ac:dyDescent="0.25">
      <c r="A601" s="62">
        <f t="shared" si="79"/>
        <v>43048</v>
      </c>
      <c r="F601">
        <f t="shared" si="80"/>
        <v>0</v>
      </c>
      <c r="G601">
        <f t="shared" si="81"/>
        <v>0</v>
      </c>
      <c r="H601" s="37" t="e">
        <f t="shared" si="82"/>
        <v>#DIV/0!</v>
      </c>
    </row>
    <row r="602" spans="1:20" x14ac:dyDescent="0.25">
      <c r="A602" s="62">
        <f t="shared" si="79"/>
        <v>43055</v>
      </c>
      <c r="F602">
        <f t="shared" si="80"/>
        <v>0</v>
      </c>
      <c r="G602">
        <f t="shared" si="81"/>
        <v>0</v>
      </c>
      <c r="H602" s="37" t="e">
        <f t="shared" si="82"/>
        <v>#DIV/0!</v>
      </c>
    </row>
    <row r="603" spans="1:20" x14ac:dyDescent="0.25">
      <c r="A603" s="62">
        <f t="shared" si="79"/>
        <v>43062</v>
      </c>
      <c r="F603">
        <f t="shared" si="80"/>
        <v>0</v>
      </c>
      <c r="G603">
        <f t="shared" si="81"/>
        <v>0</v>
      </c>
      <c r="H603" s="37" t="e">
        <f t="shared" si="82"/>
        <v>#DIV/0!</v>
      </c>
    </row>
    <row r="604" spans="1:20" x14ac:dyDescent="0.25">
      <c r="A604" s="62">
        <f t="shared" si="79"/>
        <v>43069</v>
      </c>
      <c r="F604">
        <f t="shared" si="80"/>
        <v>0</v>
      </c>
      <c r="G604">
        <f t="shared" si="81"/>
        <v>0</v>
      </c>
      <c r="H604" s="37" t="e">
        <f t="shared" si="82"/>
        <v>#DIV/0!</v>
      </c>
    </row>
    <row r="605" spans="1:20" x14ac:dyDescent="0.25">
      <c r="A605" s="62">
        <f t="shared" si="79"/>
        <v>43076</v>
      </c>
      <c r="F605">
        <f t="shared" si="80"/>
        <v>0</v>
      </c>
      <c r="G605">
        <f t="shared" si="81"/>
        <v>0</v>
      </c>
      <c r="H605" s="37" t="e">
        <f t="shared" si="82"/>
        <v>#DIV/0!</v>
      </c>
    </row>
    <row r="606" spans="1:20" x14ac:dyDescent="0.25">
      <c r="A606" s="62">
        <f t="shared" si="79"/>
        <v>43083</v>
      </c>
      <c r="F606">
        <f t="shared" si="80"/>
        <v>0</v>
      </c>
      <c r="G606">
        <f t="shared" si="81"/>
        <v>0</v>
      </c>
      <c r="H606" s="37" t="e">
        <f t="shared" si="82"/>
        <v>#DIV/0!</v>
      </c>
    </row>
    <row r="607" spans="1:20" x14ac:dyDescent="0.25">
      <c r="A607" s="62">
        <f t="shared" si="79"/>
        <v>43090</v>
      </c>
      <c r="F607">
        <f t="shared" si="80"/>
        <v>0</v>
      </c>
      <c r="G607">
        <f t="shared" si="81"/>
        <v>0</v>
      </c>
      <c r="H607" s="37" t="e">
        <f t="shared" si="82"/>
        <v>#DIV/0!</v>
      </c>
    </row>
    <row r="608" spans="1:20" x14ac:dyDescent="0.25">
      <c r="A608" s="62">
        <f t="shared" si="79"/>
        <v>43097</v>
      </c>
      <c r="F608">
        <f t="shared" si="80"/>
        <v>0</v>
      </c>
      <c r="G608">
        <f t="shared" si="81"/>
        <v>0</v>
      </c>
      <c r="H608" s="37" t="e">
        <f t="shared" si="82"/>
        <v>#DIV/0!</v>
      </c>
    </row>
    <row r="609" spans="1:8" x14ac:dyDescent="0.25">
      <c r="A609" s="62">
        <f t="shared" si="79"/>
        <v>43104</v>
      </c>
      <c r="F609">
        <f t="shared" si="80"/>
        <v>0</v>
      </c>
      <c r="G609">
        <f t="shared" si="81"/>
        <v>0</v>
      </c>
      <c r="H609" s="37" t="e">
        <f t="shared" si="82"/>
        <v>#DIV/0!</v>
      </c>
    </row>
    <row r="610" spans="1:8" x14ac:dyDescent="0.25">
      <c r="A610" s="62">
        <f t="shared" si="79"/>
        <v>43111</v>
      </c>
      <c r="F610">
        <f t="shared" si="80"/>
        <v>0</v>
      </c>
      <c r="G610">
        <f t="shared" si="81"/>
        <v>0</v>
      </c>
      <c r="H610" s="37" t="e">
        <f t="shared" si="82"/>
        <v>#DIV/0!</v>
      </c>
    </row>
    <row r="611" spans="1:8" x14ac:dyDescent="0.25">
      <c r="A611" s="62">
        <f t="shared" si="79"/>
        <v>43118</v>
      </c>
      <c r="F611">
        <f t="shared" si="80"/>
        <v>0</v>
      </c>
      <c r="G611">
        <f t="shared" si="81"/>
        <v>0</v>
      </c>
      <c r="H611" s="37" t="e">
        <f t="shared" si="82"/>
        <v>#DIV/0!</v>
      </c>
    </row>
    <row r="612" spans="1:8" x14ac:dyDescent="0.25">
      <c r="A612" s="62">
        <f t="shared" si="79"/>
        <v>43125</v>
      </c>
      <c r="F612">
        <f t="shared" si="80"/>
        <v>0</v>
      </c>
      <c r="G612">
        <f t="shared" si="81"/>
        <v>0</v>
      </c>
      <c r="H612" s="37" t="e">
        <f t="shared" si="82"/>
        <v>#DIV/0!</v>
      </c>
    </row>
    <row r="613" spans="1:8" x14ac:dyDescent="0.25">
      <c r="A613" s="62">
        <f t="shared" si="79"/>
        <v>43132</v>
      </c>
      <c r="F613">
        <f t="shared" si="80"/>
        <v>0</v>
      </c>
      <c r="G613">
        <f t="shared" si="81"/>
        <v>0</v>
      </c>
      <c r="H613" s="37" t="e">
        <f t="shared" si="82"/>
        <v>#DIV/0!</v>
      </c>
    </row>
    <row r="614" spans="1:8" x14ac:dyDescent="0.25">
      <c r="A614" s="62">
        <f t="shared" si="79"/>
        <v>43139</v>
      </c>
      <c r="F614">
        <f t="shared" si="80"/>
        <v>0</v>
      </c>
      <c r="G614">
        <f t="shared" si="81"/>
        <v>0</v>
      </c>
      <c r="H614" s="37" t="e">
        <f t="shared" si="82"/>
        <v>#DIV/0!</v>
      </c>
    </row>
    <row r="615" spans="1:8" x14ac:dyDescent="0.25">
      <c r="A615" s="62">
        <f t="shared" si="79"/>
        <v>43146</v>
      </c>
      <c r="F615">
        <f t="shared" si="80"/>
        <v>0</v>
      </c>
      <c r="G615">
        <f t="shared" si="81"/>
        <v>0</v>
      </c>
      <c r="H615" s="37" t="e">
        <f t="shared" si="82"/>
        <v>#DIV/0!</v>
      </c>
    </row>
    <row r="616" spans="1:8" x14ac:dyDescent="0.25">
      <c r="A616" s="62">
        <f t="shared" si="79"/>
        <v>43153</v>
      </c>
      <c r="F616">
        <f t="shared" si="80"/>
        <v>0</v>
      </c>
      <c r="G616">
        <f t="shared" si="81"/>
        <v>0</v>
      </c>
      <c r="H616" s="37" t="e">
        <f t="shared" si="82"/>
        <v>#DIV/0!</v>
      </c>
    </row>
    <row r="617" spans="1:8" x14ac:dyDescent="0.25">
      <c r="A617" s="62">
        <f t="shared" si="79"/>
        <v>43160</v>
      </c>
      <c r="F617">
        <f t="shared" si="80"/>
        <v>0</v>
      </c>
      <c r="G617">
        <f t="shared" si="81"/>
        <v>0</v>
      </c>
      <c r="H617" s="37" t="e">
        <f t="shared" si="82"/>
        <v>#DIV/0!</v>
      </c>
    </row>
    <row r="618" spans="1:8" x14ac:dyDescent="0.25">
      <c r="A618" s="62">
        <f t="shared" si="79"/>
        <v>43167</v>
      </c>
      <c r="F618">
        <f t="shared" si="80"/>
        <v>0</v>
      </c>
      <c r="G618">
        <f t="shared" si="81"/>
        <v>0</v>
      </c>
      <c r="H618" s="37" t="e">
        <f t="shared" si="82"/>
        <v>#DIV/0!</v>
      </c>
    </row>
    <row r="619" spans="1:8" x14ac:dyDescent="0.25">
      <c r="A619" s="62">
        <f t="shared" si="79"/>
        <v>43174</v>
      </c>
      <c r="F619">
        <f t="shared" si="80"/>
        <v>0</v>
      </c>
      <c r="G619">
        <f t="shared" si="81"/>
        <v>0</v>
      </c>
      <c r="H619" s="37" t="e">
        <f t="shared" si="82"/>
        <v>#DIV/0!</v>
      </c>
    </row>
    <row r="620" spans="1:8" x14ac:dyDescent="0.25">
      <c r="A620" s="62">
        <f t="shared" si="79"/>
        <v>43181</v>
      </c>
      <c r="F620">
        <f t="shared" si="80"/>
        <v>0</v>
      </c>
      <c r="G620">
        <f t="shared" si="81"/>
        <v>0</v>
      </c>
      <c r="H620" s="37" t="e">
        <f t="shared" si="82"/>
        <v>#DIV/0!</v>
      </c>
    </row>
    <row r="621" spans="1:8" x14ac:dyDescent="0.25">
      <c r="A621" s="62">
        <f t="shared" si="79"/>
        <v>43188</v>
      </c>
      <c r="F621">
        <f t="shared" si="80"/>
        <v>0</v>
      </c>
      <c r="G621">
        <f t="shared" si="81"/>
        <v>0</v>
      </c>
      <c r="H621" s="37" t="e">
        <f t="shared" si="82"/>
        <v>#DIV/0!</v>
      </c>
    </row>
    <row r="622" spans="1:8" x14ac:dyDescent="0.25">
      <c r="A622" s="62">
        <f t="shared" si="79"/>
        <v>43195</v>
      </c>
      <c r="F622">
        <f t="shared" si="80"/>
        <v>0</v>
      </c>
      <c r="G622">
        <f t="shared" si="81"/>
        <v>0</v>
      </c>
      <c r="H622" s="37" t="e">
        <f t="shared" si="82"/>
        <v>#DIV/0!</v>
      </c>
    </row>
    <row r="623" spans="1:8" x14ac:dyDescent="0.25">
      <c r="A623" s="62">
        <f t="shared" si="79"/>
        <v>43202</v>
      </c>
      <c r="F623">
        <f t="shared" si="80"/>
        <v>0</v>
      </c>
      <c r="G623">
        <f t="shared" si="81"/>
        <v>0</v>
      </c>
      <c r="H623" s="37" t="e">
        <f t="shared" si="82"/>
        <v>#DIV/0!</v>
      </c>
    </row>
    <row r="624" spans="1:8" x14ac:dyDescent="0.25">
      <c r="A624" s="62">
        <f t="shared" si="79"/>
        <v>43209</v>
      </c>
      <c r="F624">
        <f t="shared" si="80"/>
        <v>0</v>
      </c>
      <c r="G624">
        <f t="shared" si="81"/>
        <v>0</v>
      </c>
      <c r="H624" s="37" t="e">
        <f t="shared" si="82"/>
        <v>#DIV/0!</v>
      </c>
    </row>
    <row r="625" spans="1:8" x14ac:dyDescent="0.25">
      <c r="A625" s="62">
        <f t="shared" si="79"/>
        <v>43216</v>
      </c>
      <c r="F625">
        <f t="shared" si="80"/>
        <v>0</v>
      </c>
      <c r="G625">
        <f t="shared" si="81"/>
        <v>0</v>
      </c>
      <c r="H625" s="37" t="e">
        <f t="shared" si="82"/>
        <v>#DIV/0!</v>
      </c>
    </row>
    <row r="626" spans="1:8" x14ac:dyDescent="0.25">
      <c r="A626" s="62">
        <f t="shared" si="79"/>
        <v>43223</v>
      </c>
      <c r="F626">
        <f t="shared" si="80"/>
        <v>0</v>
      </c>
      <c r="G626">
        <f t="shared" si="81"/>
        <v>0</v>
      </c>
      <c r="H626" s="37" t="e">
        <f t="shared" si="82"/>
        <v>#DIV/0!</v>
      </c>
    </row>
    <row r="627" spans="1:8" x14ac:dyDescent="0.25">
      <c r="A627" s="62">
        <f t="shared" si="79"/>
        <v>43230</v>
      </c>
      <c r="F627">
        <f t="shared" si="80"/>
        <v>0</v>
      </c>
      <c r="G627">
        <f t="shared" si="81"/>
        <v>0</v>
      </c>
      <c r="H627" s="37" t="e">
        <f t="shared" si="82"/>
        <v>#DIV/0!</v>
      </c>
    </row>
    <row r="628" spans="1:8" x14ac:dyDescent="0.25">
      <c r="A628" s="62">
        <f t="shared" si="79"/>
        <v>43237</v>
      </c>
      <c r="F628">
        <f t="shared" si="80"/>
        <v>0</v>
      </c>
      <c r="G628">
        <f t="shared" si="81"/>
        <v>0</v>
      </c>
      <c r="H628" s="37" t="e">
        <f t="shared" si="82"/>
        <v>#DIV/0!</v>
      </c>
    </row>
    <row r="629" spans="1:8" x14ac:dyDescent="0.25">
      <c r="A629" s="62">
        <f t="shared" si="79"/>
        <v>43244</v>
      </c>
      <c r="F629">
        <f t="shared" si="80"/>
        <v>0</v>
      </c>
      <c r="G629">
        <f t="shared" si="81"/>
        <v>0</v>
      </c>
      <c r="H629" s="37" t="e">
        <f t="shared" si="82"/>
        <v>#DIV/0!</v>
      </c>
    </row>
    <row r="630" spans="1:8" x14ac:dyDescent="0.25">
      <c r="A630" s="62">
        <f t="shared" si="79"/>
        <v>43251</v>
      </c>
      <c r="F630">
        <f t="shared" si="80"/>
        <v>0</v>
      </c>
      <c r="G630">
        <f t="shared" si="81"/>
        <v>0</v>
      </c>
      <c r="H630" s="37" t="e">
        <f t="shared" si="82"/>
        <v>#DIV/0!</v>
      </c>
    </row>
    <row r="631" spans="1:8" x14ac:dyDescent="0.25">
      <c r="A631" s="62">
        <f t="shared" si="79"/>
        <v>43258</v>
      </c>
      <c r="F631">
        <f t="shared" si="80"/>
        <v>0</v>
      </c>
      <c r="G631">
        <f t="shared" si="81"/>
        <v>0</v>
      </c>
      <c r="H631" s="37" t="e">
        <f t="shared" si="82"/>
        <v>#DIV/0!</v>
      </c>
    </row>
    <row r="632" spans="1:8" x14ac:dyDescent="0.25">
      <c r="A632" s="62">
        <f t="shared" si="79"/>
        <v>43265</v>
      </c>
      <c r="F632">
        <f t="shared" si="80"/>
        <v>0</v>
      </c>
      <c r="G632">
        <f t="shared" si="81"/>
        <v>0</v>
      </c>
      <c r="H632" s="37" t="e">
        <f t="shared" si="82"/>
        <v>#DIV/0!</v>
      </c>
    </row>
    <row r="633" spans="1:8" x14ac:dyDescent="0.25">
      <c r="A633" s="62">
        <f t="shared" si="79"/>
        <v>43272</v>
      </c>
      <c r="F633">
        <f t="shared" si="80"/>
        <v>0</v>
      </c>
      <c r="G633">
        <f t="shared" si="81"/>
        <v>0</v>
      </c>
      <c r="H633" s="37" t="e">
        <f t="shared" si="82"/>
        <v>#DIV/0!</v>
      </c>
    </row>
    <row r="634" spans="1:8" x14ac:dyDescent="0.25">
      <c r="A634" s="62">
        <f t="shared" si="79"/>
        <v>43279</v>
      </c>
      <c r="F634">
        <f t="shared" si="80"/>
        <v>0</v>
      </c>
      <c r="G634">
        <f t="shared" si="81"/>
        <v>0</v>
      </c>
      <c r="H634" s="37" t="e">
        <f t="shared" si="82"/>
        <v>#DIV/0!</v>
      </c>
    </row>
    <row r="635" spans="1:8" x14ac:dyDescent="0.25">
      <c r="A635" s="62">
        <f t="shared" si="79"/>
        <v>43286</v>
      </c>
      <c r="F635">
        <f t="shared" si="80"/>
        <v>0</v>
      </c>
      <c r="G635">
        <f t="shared" si="81"/>
        <v>0</v>
      </c>
      <c r="H635" s="37" t="e">
        <f t="shared" si="82"/>
        <v>#DIV/0!</v>
      </c>
    </row>
    <row r="636" spans="1:8" x14ac:dyDescent="0.25">
      <c r="A636" s="62">
        <f t="shared" ref="A636:A699" si="83">+A635+7</f>
        <v>43293</v>
      </c>
      <c r="F636">
        <f t="shared" si="80"/>
        <v>0</v>
      </c>
      <c r="G636">
        <f t="shared" si="81"/>
        <v>0</v>
      </c>
      <c r="H636" s="37" t="e">
        <f t="shared" si="82"/>
        <v>#DIV/0!</v>
      </c>
    </row>
    <row r="637" spans="1:8" x14ac:dyDescent="0.25">
      <c r="A637" s="62">
        <f t="shared" si="83"/>
        <v>43300</v>
      </c>
      <c r="F637">
        <f t="shared" si="80"/>
        <v>0</v>
      </c>
      <c r="G637">
        <f t="shared" si="81"/>
        <v>0</v>
      </c>
      <c r="H637" s="37" t="e">
        <f t="shared" si="82"/>
        <v>#DIV/0!</v>
      </c>
    </row>
    <row r="638" spans="1:8" x14ac:dyDescent="0.25">
      <c r="A638" s="62">
        <f t="shared" si="83"/>
        <v>43307</v>
      </c>
      <c r="F638">
        <f t="shared" si="80"/>
        <v>0</v>
      </c>
      <c r="G638">
        <f t="shared" si="81"/>
        <v>0</v>
      </c>
      <c r="H638" s="37" t="e">
        <f t="shared" si="82"/>
        <v>#DIV/0!</v>
      </c>
    </row>
    <row r="639" spans="1:8" x14ac:dyDescent="0.25">
      <c r="A639" s="62">
        <f t="shared" si="83"/>
        <v>43314</v>
      </c>
      <c r="F639">
        <f t="shared" si="80"/>
        <v>0</v>
      </c>
      <c r="G639">
        <f t="shared" si="81"/>
        <v>0</v>
      </c>
      <c r="H639" s="37" t="e">
        <f t="shared" si="82"/>
        <v>#DIV/0!</v>
      </c>
    </row>
    <row r="640" spans="1:8" x14ac:dyDescent="0.25">
      <c r="A640" s="62">
        <f t="shared" si="83"/>
        <v>43321</v>
      </c>
      <c r="F640">
        <f t="shared" si="80"/>
        <v>0</v>
      </c>
      <c r="G640">
        <f t="shared" si="81"/>
        <v>0</v>
      </c>
      <c r="H640" s="37" t="e">
        <f t="shared" si="82"/>
        <v>#DIV/0!</v>
      </c>
    </row>
    <row r="641" spans="1:8" x14ac:dyDescent="0.25">
      <c r="A641" s="62">
        <f t="shared" si="83"/>
        <v>43328</v>
      </c>
      <c r="F641">
        <f t="shared" si="80"/>
        <v>0</v>
      </c>
      <c r="G641">
        <f t="shared" si="81"/>
        <v>0</v>
      </c>
      <c r="H641" s="37" t="e">
        <f t="shared" si="82"/>
        <v>#DIV/0!</v>
      </c>
    </row>
    <row r="642" spans="1:8" x14ac:dyDescent="0.25">
      <c r="A642" s="62">
        <f t="shared" si="83"/>
        <v>43335</v>
      </c>
      <c r="F642">
        <f t="shared" si="80"/>
        <v>0</v>
      </c>
      <c r="G642">
        <f t="shared" si="81"/>
        <v>0</v>
      </c>
      <c r="H642" s="37" t="e">
        <f t="shared" si="82"/>
        <v>#DIV/0!</v>
      </c>
    </row>
    <row r="643" spans="1:8" x14ac:dyDescent="0.25">
      <c r="A643" s="62">
        <f t="shared" si="83"/>
        <v>43342</v>
      </c>
      <c r="F643">
        <f t="shared" si="80"/>
        <v>0</v>
      </c>
      <c r="G643">
        <f t="shared" si="81"/>
        <v>0</v>
      </c>
      <c r="H643" s="37" t="e">
        <f t="shared" si="82"/>
        <v>#DIV/0!</v>
      </c>
    </row>
    <row r="644" spans="1:8" x14ac:dyDescent="0.25">
      <c r="A644" s="62">
        <f t="shared" si="83"/>
        <v>43349</v>
      </c>
      <c r="F644">
        <f t="shared" si="80"/>
        <v>0</v>
      </c>
      <c r="G644">
        <f t="shared" si="81"/>
        <v>0</v>
      </c>
      <c r="H644" s="37" t="e">
        <f t="shared" si="82"/>
        <v>#DIV/0!</v>
      </c>
    </row>
    <row r="645" spans="1:8" x14ac:dyDescent="0.25">
      <c r="A645" s="62">
        <f t="shared" si="83"/>
        <v>43356</v>
      </c>
      <c r="F645">
        <f t="shared" si="80"/>
        <v>0</v>
      </c>
      <c r="G645">
        <f t="shared" si="81"/>
        <v>0</v>
      </c>
      <c r="H645" s="37" t="e">
        <f t="shared" si="82"/>
        <v>#DIV/0!</v>
      </c>
    </row>
    <row r="646" spans="1:8" x14ac:dyDescent="0.25">
      <c r="A646" s="62">
        <f t="shared" si="83"/>
        <v>43363</v>
      </c>
      <c r="F646">
        <f t="shared" si="80"/>
        <v>0</v>
      </c>
      <c r="G646">
        <f t="shared" si="81"/>
        <v>0</v>
      </c>
      <c r="H646" s="37" t="e">
        <f t="shared" si="82"/>
        <v>#DIV/0!</v>
      </c>
    </row>
    <row r="647" spans="1:8" x14ac:dyDescent="0.25">
      <c r="A647" s="62">
        <f t="shared" si="83"/>
        <v>43370</v>
      </c>
      <c r="F647">
        <f t="shared" si="80"/>
        <v>0</v>
      </c>
      <c r="G647">
        <f t="shared" si="81"/>
        <v>0</v>
      </c>
      <c r="H647" s="37" t="e">
        <f t="shared" si="82"/>
        <v>#DIV/0!</v>
      </c>
    </row>
    <row r="648" spans="1:8" x14ac:dyDescent="0.25">
      <c r="A648" s="62">
        <f t="shared" si="83"/>
        <v>43377</v>
      </c>
      <c r="F648">
        <f t="shared" si="80"/>
        <v>0</v>
      </c>
      <c r="G648">
        <f t="shared" si="81"/>
        <v>0</v>
      </c>
      <c r="H648" s="37" t="e">
        <f t="shared" si="82"/>
        <v>#DIV/0!</v>
      </c>
    </row>
    <row r="649" spans="1:8" x14ac:dyDescent="0.25">
      <c r="A649" s="62">
        <f t="shared" si="83"/>
        <v>43384</v>
      </c>
      <c r="F649">
        <f t="shared" si="80"/>
        <v>0</v>
      </c>
      <c r="G649">
        <f t="shared" si="81"/>
        <v>0</v>
      </c>
      <c r="H649" s="37" t="e">
        <f t="shared" si="82"/>
        <v>#DIV/0!</v>
      </c>
    </row>
    <row r="650" spans="1:8" x14ac:dyDescent="0.25">
      <c r="A650" s="62">
        <f t="shared" si="83"/>
        <v>43391</v>
      </c>
      <c r="F650">
        <f t="shared" si="80"/>
        <v>0</v>
      </c>
      <c r="G650">
        <f t="shared" si="81"/>
        <v>0</v>
      </c>
      <c r="H650" s="37" t="e">
        <f t="shared" si="82"/>
        <v>#DIV/0!</v>
      </c>
    </row>
    <row r="651" spans="1:8" x14ac:dyDescent="0.25">
      <c r="A651" s="62">
        <f t="shared" si="83"/>
        <v>43398</v>
      </c>
      <c r="F651">
        <f t="shared" ref="F651:F714" si="84">+B651+D651</f>
        <v>0</v>
      </c>
      <c r="G651">
        <f t="shared" ref="G651:G714" si="85">+C651+E651</f>
        <v>0</v>
      </c>
      <c r="H651" s="37" t="e">
        <f t="shared" si="82"/>
        <v>#DIV/0!</v>
      </c>
    </row>
    <row r="652" spans="1:8" x14ac:dyDescent="0.25">
      <c r="A652" s="62">
        <f t="shared" si="83"/>
        <v>43405</v>
      </c>
      <c r="F652">
        <f t="shared" si="84"/>
        <v>0</v>
      </c>
      <c r="G652">
        <f t="shared" si="85"/>
        <v>0</v>
      </c>
      <c r="H652" s="37" t="e">
        <f t="shared" si="82"/>
        <v>#DIV/0!</v>
      </c>
    </row>
    <row r="653" spans="1:8" x14ac:dyDescent="0.25">
      <c r="A653" s="62">
        <f t="shared" si="83"/>
        <v>43412</v>
      </c>
      <c r="F653">
        <f t="shared" si="84"/>
        <v>0</v>
      </c>
      <c r="G653">
        <f t="shared" si="85"/>
        <v>0</v>
      </c>
      <c r="H653" s="37" t="e">
        <f t="shared" si="82"/>
        <v>#DIV/0!</v>
      </c>
    </row>
    <row r="654" spans="1:8" x14ac:dyDescent="0.25">
      <c r="A654" s="62">
        <f t="shared" si="83"/>
        <v>43419</v>
      </c>
      <c r="F654">
        <f t="shared" si="84"/>
        <v>0</v>
      </c>
      <c r="G654">
        <f t="shared" si="85"/>
        <v>0</v>
      </c>
      <c r="H654" s="37" t="e">
        <f t="shared" si="82"/>
        <v>#DIV/0!</v>
      </c>
    </row>
    <row r="655" spans="1:8" x14ac:dyDescent="0.25">
      <c r="A655" s="62">
        <f t="shared" si="83"/>
        <v>43426</v>
      </c>
      <c r="F655">
        <f t="shared" si="84"/>
        <v>0</v>
      </c>
      <c r="G655">
        <f t="shared" si="85"/>
        <v>0</v>
      </c>
      <c r="H655" s="37" t="e">
        <f t="shared" si="82"/>
        <v>#DIV/0!</v>
      </c>
    </row>
    <row r="656" spans="1:8" x14ac:dyDescent="0.25">
      <c r="A656" s="62">
        <f t="shared" si="83"/>
        <v>43433</v>
      </c>
      <c r="F656">
        <f t="shared" si="84"/>
        <v>0</v>
      </c>
      <c r="G656">
        <f t="shared" si="85"/>
        <v>0</v>
      </c>
      <c r="H656" s="37" t="e">
        <f t="shared" si="82"/>
        <v>#DIV/0!</v>
      </c>
    </row>
    <row r="657" spans="1:8" x14ac:dyDescent="0.25">
      <c r="A657" s="62">
        <f t="shared" si="83"/>
        <v>43440</v>
      </c>
      <c r="F657">
        <f t="shared" si="84"/>
        <v>0</v>
      </c>
      <c r="G657">
        <f t="shared" si="85"/>
        <v>0</v>
      </c>
      <c r="H657" s="37" t="e">
        <f t="shared" si="82"/>
        <v>#DIV/0!</v>
      </c>
    </row>
    <row r="658" spans="1:8" x14ac:dyDescent="0.25">
      <c r="A658" s="62">
        <f t="shared" si="83"/>
        <v>43447</v>
      </c>
      <c r="F658">
        <f t="shared" si="84"/>
        <v>0</v>
      </c>
      <c r="G658">
        <f t="shared" si="85"/>
        <v>0</v>
      </c>
      <c r="H658" s="37" t="e">
        <f t="shared" ref="H658:H721" si="86">+F658/G658-1</f>
        <v>#DIV/0!</v>
      </c>
    </row>
    <row r="659" spans="1:8" x14ac:dyDescent="0.25">
      <c r="A659" s="62">
        <f t="shared" si="83"/>
        <v>43454</v>
      </c>
      <c r="F659">
        <f t="shared" si="84"/>
        <v>0</v>
      </c>
      <c r="G659">
        <f t="shared" si="85"/>
        <v>0</v>
      </c>
      <c r="H659" s="37" t="e">
        <f t="shared" si="86"/>
        <v>#DIV/0!</v>
      </c>
    </row>
    <row r="660" spans="1:8" x14ac:dyDescent="0.25">
      <c r="A660" s="62">
        <f t="shared" si="83"/>
        <v>43461</v>
      </c>
      <c r="F660">
        <f t="shared" si="84"/>
        <v>0</v>
      </c>
      <c r="G660">
        <f t="shared" si="85"/>
        <v>0</v>
      </c>
      <c r="H660" s="37" t="e">
        <f t="shared" si="86"/>
        <v>#DIV/0!</v>
      </c>
    </row>
    <row r="661" spans="1:8" x14ac:dyDescent="0.25">
      <c r="A661" s="62">
        <f t="shared" si="83"/>
        <v>43468</v>
      </c>
      <c r="F661">
        <f t="shared" si="84"/>
        <v>0</v>
      </c>
      <c r="G661">
        <f t="shared" si="85"/>
        <v>0</v>
      </c>
      <c r="H661" s="37" t="e">
        <f t="shared" si="86"/>
        <v>#DIV/0!</v>
      </c>
    </row>
    <row r="662" spans="1:8" x14ac:dyDescent="0.25">
      <c r="A662" s="62">
        <f t="shared" si="83"/>
        <v>43475</v>
      </c>
      <c r="F662">
        <f t="shared" si="84"/>
        <v>0</v>
      </c>
      <c r="G662">
        <f t="shared" si="85"/>
        <v>0</v>
      </c>
      <c r="H662" s="37" t="e">
        <f t="shared" si="86"/>
        <v>#DIV/0!</v>
      </c>
    </row>
    <row r="663" spans="1:8" x14ac:dyDescent="0.25">
      <c r="A663" s="62">
        <f t="shared" si="83"/>
        <v>43482</v>
      </c>
      <c r="F663">
        <f t="shared" si="84"/>
        <v>0</v>
      </c>
      <c r="G663">
        <f t="shared" si="85"/>
        <v>0</v>
      </c>
      <c r="H663" s="37" t="e">
        <f t="shared" si="86"/>
        <v>#DIV/0!</v>
      </c>
    </row>
    <row r="664" spans="1:8" x14ac:dyDescent="0.25">
      <c r="A664" s="62">
        <f t="shared" si="83"/>
        <v>43489</v>
      </c>
      <c r="F664">
        <f t="shared" si="84"/>
        <v>0</v>
      </c>
      <c r="G664">
        <f t="shared" si="85"/>
        <v>0</v>
      </c>
      <c r="H664" s="37" t="e">
        <f t="shared" si="86"/>
        <v>#DIV/0!</v>
      </c>
    </row>
    <row r="665" spans="1:8" x14ac:dyDescent="0.25">
      <c r="A665" s="62">
        <f t="shared" si="83"/>
        <v>43496</v>
      </c>
      <c r="F665">
        <f t="shared" si="84"/>
        <v>0</v>
      </c>
      <c r="G665">
        <f t="shared" si="85"/>
        <v>0</v>
      </c>
      <c r="H665" s="37" t="e">
        <f t="shared" si="86"/>
        <v>#DIV/0!</v>
      </c>
    </row>
    <row r="666" spans="1:8" x14ac:dyDescent="0.25">
      <c r="A666" s="62">
        <f t="shared" si="83"/>
        <v>43503</v>
      </c>
      <c r="F666">
        <f t="shared" si="84"/>
        <v>0</v>
      </c>
      <c r="G666">
        <f t="shared" si="85"/>
        <v>0</v>
      </c>
      <c r="H666" s="37" t="e">
        <f t="shared" si="86"/>
        <v>#DIV/0!</v>
      </c>
    </row>
    <row r="667" spans="1:8" x14ac:dyDescent="0.25">
      <c r="A667" s="62">
        <f t="shared" si="83"/>
        <v>43510</v>
      </c>
      <c r="F667">
        <f t="shared" si="84"/>
        <v>0</v>
      </c>
      <c r="G667">
        <f t="shared" si="85"/>
        <v>0</v>
      </c>
      <c r="H667" s="37" t="e">
        <f t="shared" si="86"/>
        <v>#DIV/0!</v>
      </c>
    </row>
    <row r="668" spans="1:8" x14ac:dyDescent="0.25">
      <c r="A668" s="62">
        <f t="shared" si="83"/>
        <v>43517</v>
      </c>
      <c r="F668">
        <f t="shared" si="84"/>
        <v>0</v>
      </c>
      <c r="G668">
        <f t="shared" si="85"/>
        <v>0</v>
      </c>
      <c r="H668" s="37" t="e">
        <f t="shared" si="86"/>
        <v>#DIV/0!</v>
      </c>
    </row>
    <row r="669" spans="1:8" x14ac:dyDescent="0.25">
      <c r="A669" s="62">
        <f t="shared" si="83"/>
        <v>43524</v>
      </c>
      <c r="F669">
        <f t="shared" si="84"/>
        <v>0</v>
      </c>
      <c r="G669">
        <f t="shared" si="85"/>
        <v>0</v>
      </c>
      <c r="H669" s="37" t="e">
        <f t="shared" si="86"/>
        <v>#DIV/0!</v>
      </c>
    </row>
    <row r="670" spans="1:8" x14ac:dyDescent="0.25">
      <c r="A670" s="62">
        <f t="shared" si="83"/>
        <v>43531</v>
      </c>
      <c r="F670">
        <f t="shared" si="84"/>
        <v>0</v>
      </c>
      <c r="G670">
        <f t="shared" si="85"/>
        <v>0</v>
      </c>
      <c r="H670" s="37" t="e">
        <f t="shared" si="86"/>
        <v>#DIV/0!</v>
      </c>
    </row>
    <row r="671" spans="1:8" x14ac:dyDescent="0.25">
      <c r="A671" s="62">
        <f t="shared" si="83"/>
        <v>43538</v>
      </c>
      <c r="F671">
        <f t="shared" si="84"/>
        <v>0</v>
      </c>
      <c r="G671">
        <f t="shared" si="85"/>
        <v>0</v>
      </c>
      <c r="H671" s="37" t="e">
        <f t="shared" si="86"/>
        <v>#DIV/0!</v>
      </c>
    </row>
    <row r="672" spans="1:8" x14ac:dyDescent="0.25">
      <c r="A672" s="62">
        <f t="shared" si="83"/>
        <v>43545</v>
      </c>
      <c r="F672">
        <f t="shared" si="84"/>
        <v>0</v>
      </c>
      <c r="G672">
        <f t="shared" si="85"/>
        <v>0</v>
      </c>
      <c r="H672" s="37" t="e">
        <f t="shared" si="86"/>
        <v>#DIV/0!</v>
      </c>
    </row>
    <row r="673" spans="1:8" x14ac:dyDescent="0.25">
      <c r="A673" s="62">
        <f t="shared" si="83"/>
        <v>43552</v>
      </c>
      <c r="F673">
        <f t="shared" si="84"/>
        <v>0</v>
      </c>
      <c r="G673">
        <f t="shared" si="85"/>
        <v>0</v>
      </c>
      <c r="H673" s="37" t="e">
        <f t="shared" si="86"/>
        <v>#DIV/0!</v>
      </c>
    </row>
    <row r="674" spans="1:8" x14ac:dyDescent="0.25">
      <c r="A674" s="62">
        <f t="shared" si="83"/>
        <v>43559</v>
      </c>
      <c r="F674">
        <f t="shared" si="84"/>
        <v>0</v>
      </c>
      <c r="G674">
        <f t="shared" si="85"/>
        <v>0</v>
      </c>
      <c r="H674" s="37" t="e">
        <f t="shared" si="86"/>
        <v>#DIV/0!</v>
      </c>
    </row>
    <row r="675" spans="1:8" x14ac:dyDescent="0.25">
      <c r="A675" s="62">
        <f t="shared" si="83"/>
        <v>43566</v>
      </c>
      <c r="F675">
        <f t="shared" si="84"/>
        <v>0</v>
      </c>
      <c r="G675">
        <f t="shared" si="85"/>
        <v>0</v>
      </c>
      <c r="H675" s="37" t="e">
        <f t="shared" si="86"/>
        <v>#DIV/0!</v>
      </c>
    </row>
    <row r="676" spans="1:8" x14ac:dyDescent="0.25">
      <c r="A676" s="62">
        <f t="shared" si="83"/>
        <v>43573</v>
      </c>
      <c r="F676">
        <f t="shared" si="84"/>
        <v>0</v>
      </c>
      <c r="G676">
        <f t="shared" si="85"/>
        <v>0</v>
      </c>
      <c r="H676" s="37" t="e">
        <f t="shared" si="86"/>
        <v>#DIV/0!</v>
      </c>
    </row>
    <row r="677" spans="1:8" x14ac:dyDescent="0.25">
      <c r="A677" s="62">
        <f t="shared" si="83"/>
        <v>43580</v>
      </c>
      <c r="F677">
        <f t="shared" si="84"/>
        <v>0</v>
      </c>
      <c r="G677">
        <f t="shared" si="85"/>
        <v>0</v>
      </c>
      <c r="H677" s="37" t="e">
        <f t="shared" si="86"/>
        <v>#DIV/0!</v>
      </c>
    </row>
    <row r="678" spans="1:8" x14ac:dyDescent="0.25">
      <c r="A678" s="62">
        <f t="shared" si="83"/>
        <v>43587</v>
      </c>
      <c r="F678">
        <f t="shared" si="84"/>
        <v>0</v>
      </c>
      <c r="G678">
        <f t="shared" si="85"/>
        <v>0</v>
      </c>
      <c r="H678" s="37" t="e">
        <f t="shared" si="86"/>
        <v>#DIV/0!</v>
      </c>
    </row>
    <row r="679" spans="1:8" x14ac:dyDescent="0.25">
      <c r="A679" s="62">
        <f t="shared" si="83"/>
        <v>43594</v>
      </c>
      <c r="F679">
        <f t="shared" si="84"/>
        <v>0</v>
      </c>
      <c r="G679">
        <f t="shared" si="85"/>
        <v>0</v>
      </c>
      <c r="H679" s="37" t="e">
        <f t="shared" si="86"/>
        <v>#DIV/0!</v>
      </c>
    </row>
    <row r="680" spans="1:8" x14ac:dyDescent="0.25">
      <c r="A680" s="62">
        <f t="shared" si="83"/>
        <v>43601</v>
      </c>
      <c r="F680">
        <f t="shared" si="84"/>
        <v>0</v>
      </c>
      <c r="G680">
        <f t="shared" si="85"/>
        <v>0</v>
      </c>
      <c r="H680" s="37" t="e">
        <f t="shared" si="86"/>
        <v>#DIV/0!</v>
      </c>
    </row>
    <row r="681" spans="1:8" x14ac:dyDescent="0.25">
      <c r="A681" s="62">
        <f t="shared" si="83"/>
        <v>43608</v>
      </c>
      <c r="F681">
        <f t="shared" si="84"/>
        <v>0</v>
      </c>
      <c r="G681">
        <f t="shared" si="85"/>
        <v>0</v>
      </c>
      <c r="H681" s="37" t="e">
        <f t="shared" si="86"/>
        <v>#DIV/0!</v>
      </c>
    </row>
    <row r="682" spans="1:8" x14ac:dyDescent="0.25">
      <c r="A682" s="62">
        <f t="shared" si="83"/>
        <v>43615</v>
      </c>
      <c r="F682">
        <f t="shared" si="84"/>
        <v>0</v>
      </c>
      <c r="G682">
        <f t="shared" si="85"/>
        <v>0</v>
      </c>
      <c r="H682" s="37" t="e">
        <f t="shared" si="86"/>
        <v>#DIV/0!</v>
      </c>
    </row>
    <row r="683" spans="1:8" x14ac:dyDescent="0.25">
      <c r="A683" s="62">
        <f t="shared" si="83"/>
        <v>43622</v>
      </c>
      <c r="F683">
        <f t="shared" si="84"/>
        <v>0</v>
      </c>
      <c r="G683">
        <f t="shared" si="85"/>
        <v>0</v>
      </c>
      <c r="H683" s="37" t="e">
        <f t="shared" si="86"/>
        <v>#DIV/0!</v>
      </c>
    </row>
    <row r="684" spans="1:8" x14ac:dyDescent="0.25">
      <c r="A684" s="62">
        <f t="shared" si="83"/>
        <v>43629</v>
      </c>
      <c r="F684">
        <f t="shared" si="84"/>
        <v>0</v>
      </c>
      <c r="G684">
        <f t="shared" si="85"/>
        <v>0</v>
      </c>
      <c r="H684" s="37" t="e">
        <f t="shared" si="86"/>
        <v>#DIV/0!</v>
      </c>
    </row>
    <row r="685" spans="1:8" x14ac:dyDescent="0.25">
      <c r="A685" s="62">
        <f t="shared" si="83"/>
        <v>43636</v>
      </c>
      <c r="F685">
        <f t="shared" si="84"/>
        <v>0</v>
      </c>
      <c r="G685">
        <f t="shared" si="85"/>
        <v>0</v>
      </c>
      <c r="H685" s="37" t="e">
        <f t="shared" si="86"/>
        <v>#DIV/0!</v>
      </c>
    </row>
    <row r="686" spans="1:8" x14ac:dyDescent="0.25">
      <c r="A686" s="62">
        <f t="shared" si="83"/>
        <v>43643</v>
      </c>
      <c r="F686">
        <f t="shared" si="84"/>
        <v>0</v>
      </c>
      <c r="G686">
        <f t="shared" si="85"/>
        <v>0</v>
      </c>
      <c r="H686" s="37" t="e">
        <f t="shared" si="86"/>
        <v>#DIV/0!</v>
      </c>
    </row>
    <row r="687" spans="1:8" x14ac:dyDescent="0.25">
      <c r="A687" s="62">
        <f t="shared" si="83"/>
        <v>43650</v>
      </c>
      <c r="F687">
        <f t="shared" si="84"/>
        <v>0</v>
      </c>
      <c r="G687">
        <f t="shared" si="85"/>
        <v>0</v>
      </c>
      <c r="H687" s="37" t="e">
        <f t="shared" si="86"/>
        <v>#DIV/0!</v>
      </c>
    </row>
    <row r="688" spans="1:8" x14ac:dyDescent="0.25">
      <c r="A688" s="62">
        <f t="shared" si="83"/>
        <v>43657</v>
      </c>
      <c r="F688">
        <f t="shared" si="84"/>
        <v>0</v>
      </c>
      <c r="G688">
        <f t="shared" si="85"/>
        <v>0</v>
      </c>
      <c r="H688" s="37" t="e">
        <f t="shared" si="86"/>
        <v>#DIV/0!</v>
      </c>
    </row>
    <row r="689" spans="1:8" x14ac:dyDescent="0.25">
      <c r="A689" s="62">
        <f t="shared" si="83"/>
        <v>43664</v>
      </c>
      <c r="F689">
        <f t="shared" si="84"/>
        <v>0</v>
      </c>
      <c r="G689">
        <f t="shared" si="85"/>
        <v>0</v>
      </c>
      <c r="H689" s="37" t="e">
        <f t="shared" si="86"/>
        <v>#DIV/0!</v>
      </c>
    </row>
    <row r="690" spans="1:8" x14ac:dyDescent="0.25">
      <c r="A690" s="62">
        <f t="shared" si="83"/>
        <v>43671</v>
      </c>
      <c r="F690">
        <f t="shared" si="84"/>
        <v>0</v>
      </c>
      <c r="G690">
        <f t="shared" si="85"/>
        <v>0</v>
      </c>
      <c r="H690" s="37" t="e">
        <f t="shared" si="86"/>
        <v>#DIV/0!</v>
      </c>
    </row>
    <row r="691" spans="1:8" x14ac:dyDescent="0.25">
      <c r="A691" s="62">
        <f t="shared" si="83"/>
        <v>43678</v>
      </c>
      <c r="F691">
        <f t="shared" si="84"/>
        <v>0</v>
      </c>
      <c r="G691">
        <f t="shared" si="85"/>
        <v>0</v>
      </c>
      <c r="H691" s="37" t="e">
        <f t="shared" si="86"/>
        <v>#DIV/0!</v>
      </c>
    </row>
    <row r="692" spans="1:8" x14ac:dyDescent="0.25">
      <c r="A692" s="62">
        <f t="shared" si="83"/>
        <v>43685</v>
      </c>
      <c r="F692">
        <f t="shared" si="84"/>
        <v>0</v>
      </c>
      <c r="G692">
        <f t="shared" si="85"/>
        <v>0</v>
      </c>
      <c r="H692" s="37" t="e">
        <f t="shared" si="86"/>
        <v>#DIV/0!</v>
      </c>
    </row>
    <row r="693" spans="1:8" x14ac:dyDescent="0.25">
      <c r="A693" s="62">
        <f t="shared" si="83"/>
        <v>43692</v>
      </c>
      <c r="F693">
        <f t="shared" si="84"/>
        <v>0</v>
      </c>
      <c r="G693">
        <f t="shared" si="85"/>
        <v>0</v>
      </c>
      <c r="H693" s="37" t="e">
        <f t="shared" si="86"/>
        <v>#DIV/0!</v>
      </c>
    </row>
    <row r="694" spans="1:8" x14ac:dyDescent="0.25">
      <c r="A694" s="62">
        <f t="shared" si="83"/>
        <v>43699</v>
      </c>
      <c r="F694">
        <f t="shared" si="84"/>
        <v>0</v>
      </c>
      <c r="G694">
        <f t="shared" si="85"/>
        <v>0</v>
      </c>
      <c r="H694" s="37" t="e">
        <f t="shared" si="86"/>
        <v>#DIV/0!</v>
      </c>
    </row>
    <row r="695" spans="1:8" x14ac:dyDescent="0.25">
      <c r="A695" s="62">
        <f t="shared" si="83"/>
        <v>43706</v>
      </c>
      <c r="F695">
        <f t="shared" si="84"/>
        <v>0</v>
      </c>
      <c r="G695">
        <f t="shared" si="85"/>
        <v>0</v>
      </c>
      <c r="H695" s="37" t="e">
        <f t="shared" si="86"/>
        <v>#DIV/0!</v>
      </c>
    </row>
    <row r="696" spans="1:8" x14ac:dyDescent="0.25">
      <c r="A696" s="62">
        <f t="shared" si="83"/>
        <v>43713</v>
      </c>
      <c r="F696">
        <f t="shared" si="84"/>
        <v>0</v>
      </c>
      <c r="G696">
        <f t="shared" si="85"/>
        <v>0</v>
      </c>
      <c r="H696" s="37" t="e">
        <f t="shared" si="86"/>
        <v>#DIV/0!</v>
      </c>
    </row>
    <row r="697" spans="1:8" x14ac:dyDescent="0.25">
      <c r="A697" s="62">
        <f t="shared" si="83"/>
        <v>43720</v>
      </c>
      <c r="F697">
        <f t="shared" si="84"/>
        <v>0</v>
      </c>
      <c r="G697">
        <f t="shared" si="85"/>
        <v>0</v>
      </c>
      <c r="H697" s="37" t="e">
        <f t="shared" si="86"/>
        <v>#DIV/0!</v>
      </c>
    </row>
    <row r="698" spans="1:8" x14ac:dyDescent="0.25">
      <c r="A698" s="62">
        <f t="shared" si="83"/>
        <v>43727</v>
      </c>
      <c r="F698">
        <f t="shared" si="84"/>
        <v>0</v>
      </c>
      <c r="G698">
        <f t="shared" si="85"/>
        <v>0</v>
      </c>
      <c r="H698" s="37" t="e">
        <f t="shared" si="86"/>
        <v>#DIV/0!</v>
      </c>
    </row>
    <row r="699" spans="1:8" x14ac:dyDescent="0.25">
      <c r="A699" s="62">
        <f t="shared" si="83"/>
        <v>43734</v>
      </c>
      <c r="F699">
        <f t="shared" si="84"/>
        <v>0</v>
      </c>
      <c r="G699">
        <f t="shared" si="85"/>
        <v>0</v>
      </c>
      <c r="H699" s="37" t="e">
        <f t="shared" si="86"/>
        <v>#DIV/0!</v>
      </c>
    </row>
    <row r="700" spans="1:8" x14ac:dyDescent="0.25">
      <c r="A700" s="62">
        <f t="shared" ref="A700:A763" si="87">+A699+7</f>
        <v>43741</v>
      </c>
      <c r="F700">
        <f t="shared" si="84"/>
        <v>0</v>
      </c>
      <c r="G700">
        <f t="shared" si="85"/>
        <v>0</v>
      </c>
      <c r="H700" s="37" t="e">
        <f t="shared" si="86"/>
        <v>#DIV/0!</v>
      </c>
    </row>
    <row r="701" spans="1:8" x14ac:dyDescent="0.25">
      <c r="A701" s="62">
        <f t="shared" si="87"/>
        <v>43748</v>
      </c>
      <c r="F701">
        <f t="shared" si="84"/>
        <v>0</v>
      </c>
      <c r="G701">
        <f t="shared" si="85"/>
        <v>0</v>
      </c>
      <c r="H701" s="37" t="e">
        <f t="shared" si="86"/>
        <v>#DIV/0!</v>
      </c>
    </row>
    <row r="702" spans="1:8" x14ac:dyDescent="0.25">
      <c r="A702" s="62">
        <f t="shared" si="87"/>
        <v>43755</v>
      </c>
      <c r="F702">
        <f t="shared" si="84"/>
        <v>0</v>
      </c>
      <c r="G702">
        <f t="shared" si="85"/>
        <v>0</v>
      </c>
      <c r="H702" s="37" t="e">
        <f t="shared" si="86"/>
        <v>#DIV/0!</v>
      </c>
    </row>
    <row r="703" spans="1:8" x14ac:dyDescent="0.25">
      <c r="A703" s="62">
        <f t="shared" si="87"/>
        <v>43762</v>
      </c>
      <c r="F703">
        <f t="shared" si="84"/>
        <v>0</v>
      </c>
      <c r="G703">
        <f t="shared" si="85"/>
        <v>0</v>
      </c>
      <c r="H703" s="37" t="e">
        <f t="shared" si="86"/>
        <v>#DIV/0!</v>
      </c>
    </row>
    <row r="704" spans="1:8" x14ac:dyDescent="0.25">
      <c r="A704" s="62">
        <f t="shared" si="87"/>
        <v>43769</v>
      </c>
      <c r="F704">
        <f t="shared" si="84"/>
        <v>0</v>
      </c>
      <c r="G704">
        <f t="shared" si="85"/>
        <v>0</v>
      </c>
      <c r="H704" s="37" t="e">
        <f t="shared" si="86"/>
        <v>#DIV/0!</v>
      </c>
    </row>
    <row r="705" spans="1:8" x14ac:dyDescent="0.25">
      <c r="A705" s="62">
        <f t="shared" si="87"/>
        <v>43776</v>
      </c>
      <c r="F705">
        <f t="shared" si="84"/>
        <v>0</v>
      </c>
      <c r="G705">
        <f t="shared" si="85"/>
        <v>0</v>
      </c>
      <c r="H705" s="37" t="e">
        <f t="shared" si="86"/>
        <v>#DIV/0!</v>
      </c>
    </row>
    <row r="706" spans="1:8" x14ac:dyDescent="0.25">
      <c r="A706" s="62">
        <f t="shared" si="87"/>
        <v>43783</v>
      </c>
      <c r="F706">
        <f t="shared" si="84"/>
        <v>0</v>
      </c>
      <c r="G706">
        <f t="shared" si="85"/>
        <v>0</v>
      </c>
      <c r="H706" s="37" t="e">
        <f t="shared" si="86"/>
        <v>#DIV/0!</v>
      </c>
    </row>
    <row r="707" spans="1:8" x14ac:dyDescent="0.25">
      <c r="A707" s="62">
        <f t="shared" si="87"/>
        <v>43790</v>
      </c>
      <c r="F707">
        <f t="shared" si="84"/>
        <v>0</v>
      </c>
      <c r="G707">
        <f t="shared" si="85"/>
        <v>0</v>
      </c>
      <c r="H707" s="37" t="e">
        <f t="shared" si="86"/>
        <v>#DIV/0!</v>
      </c>
    </row>
    <row r="708" spans="1:8" x14ac:dyDescent="0.25">
      <c r="A708" s="62">
        <f t="shared" si="87"/>
        <v>43797</v>
      </c>
      <c r="F708">
        <f t="shared" si="84"/>
        <v>0</v>
      </c>
      <c r="G708">
        <f t="shared" si="85"/>
        <v>0</v>
      </c>
      <c r="H708" s="37" t="e">
        <f t="shared" si="86"/>
        <v>#DIV/0!</v>
      </c>
    </row>
    <row r="709" spans="1:8" x14ac:dyDescent="0.25">
      <c r="A709" s="62">
        <f t="shared" si="87"/>
        <v>43804</v>
      </c>
      <c r="F709">
        <f t="shared" si="84"/>
        <v>0</v>
      </c>
      <c r="G709">
        <f t="shared" si="85"/>
        <v>0</v>
      </c>
      <c r="H709" s="37" t="e">
        <f t="shared" si="86"/>
        <v>#DIV/0!</v>
      </c>
    </row>
    <row r="710" spans="1:8" x14ac:dyDescent="0.25">
      <c r="A710" s="62">
        <f t="shared" si="87"/>
        <v>43811</v>
      </c>
      <c r="F710">
        <f t="shared" si="84"/>
        <v>0</v>
      </c>
      <c r="G710">
        <f t="shared" si="85"/>
        <v>0</v>
      </c>
      <c r="H710" s="37" t="e">
        <f t="shared" si="86"/>
        <v>#DIV/0!</v>
      </c>
    </row>
    <row r="711" spans="1:8" x14ac:dyDescent="0.25">
      <c r="A711" s="62">
        <f t="shared" si="87"/>
        <v>43818</v>
      </c>
      <c r="F711">
        <f t="shared" si="84"/>
        <v>0</v>
      </c>
      <c r="G711">
        <f t="shared" si="85"/>
        <v>0</v>
      </c>
      <c r="H711" s="37" t="e">
        <f t="shared" si="86"/>
        <v>#DIV/0!</v>
      </c>
    </row>
    <row r="712" spans="1:8" x14ac:dyDescent="0.25">
      <c r="A712" s="62">
        <f t="shared" si="87"/>
        <v>43825</v>
      </c>
      <c r="F712">
        <f t="shared" si="84"/>
        <v>0</v>
      </c>
      <c r="G712">
        <f t="shared" si="85"/>
        <v>0</v>
      </c>
      <c r="H712" s="37" t="e">
        <f t="shared" si="86"/>
        <v>#DIV/0!</v>
      </c>
    </row>
    <row r="713" spans="1:8" x14ac:dyDescent="0.25">
      <c r="A713" s="62">
        <f t="shared" si="87"/>
        <v>43832</v>
      </c>
      <c r="F713">
        <f t="shared" si="84"/>
        <v>0</v>
      </c>
      <c r="G713">
        <f t="shared" si="85"/>
        <v>0</v>
      </c>
      <c r="H713" s="37" t="e">
        <f t="shared" si="86"/>
        <v>#DIV/0!</v>
      </c>
    </row>
    <row r="714" spans="1:8" x14ac:dyDescent="0.25">
      <c r="A714" s="62">
        <f t="shared" si="87"/>
        <v>43839</v>
      </c>
      <c r="F714">
        <f t="shared" si="84"/>
        <v>0</v>
      </c>
      <c r="G714">
        <f t="shared" si="85"/>
        <v>0</v>
      </c>
      <c r="H714" s="37" t="e">
        <f t="shared" si="86"/>
        <v>#DIV/0!</v>
      </c>
    </row>
    <row r="715" spans="1:8" x14ac:dyDescent="0.25">
      <c r="A715" s="62">
        <f t="shared" si="87"/>
        <v>43846</v>
      </c>
      <c r="F715">
        <f t="shared" ref="F715:F748" si="88">+B715+D715</f>
        <v>0</v>
      </c>
      <c r="G715">
        <f t="shared" ref="G715:G748" si="89">+C715+E715</f>
        <v>0</v>
      </c>
      <c r="H715" s="37" t="e">
        <f t="shared" si="86"/>
        <v>#DIV/0!</v>
      </c>
    </row>
    <row r="716" spans="1:8" x14ac:dyDescent="0.25">
      <c r="A716" s="62">
        <f t="shared" si="87"/>
        <v>43853</v>
      </c>
      <c r="F716">
        <f t="shared" si="88"/>
        <v>0</v>
      </c>
      <c r="G716">
        <f t="shared" si="89"/>
        <v>0</v>
      </c>
      <c r="H716" s="37" t="e">
        <f t="shared" si="86"/>
        <v>#DIV/0!</v>
      </c>
    </row>
    <row r="717" spans="1:8" x14ac:dyDescent="0.25">
      <c r="A717" s="62">
        <f t="shared" si="87"/>
        <v>43860</v>
      </c>
      <c r="F717">
        <f t="shared" si="88"/>
        <v>0</v>
      </c>
      <c r="G717">
        <f t="shared" si="89"/>
        <v>0</v>
      </c>
      <c r="H717" s="37" t="e">
        <f t="shared" si="86"/>
        <v>#DIV/0!</v>
      </c>
    </row>
    <row r="718" spans="1:8" x14ac:dyDescent="0.25">
      <c r="A718" s="62">
        <f t="shared" si="87"/>
        <v>43867</v>
      </c>
      <c r="F718">
        <f t="shared" si="88"/>
        <v>0</v>
      </c>
      <c r="G718">
        <f t="shared" si="89"/>
        <v>0</v>
      </c>
      <c r="H718" s="37" t="e">
        <f t="shared" si="86"/>
        <v>#DIV/0!</v>
      </c>
    </row>
    <row r="719" spans="1:8" x14ac:dyDescent="0.25">
      <c r="A719" s="62">
        <f t="shared" si="87"/>
        <v>43874</v>
      </c>
      <c r="F719">
        <f t="shared" si="88"/>
        <v>0</v>
      </c>
      <c r="G719">
        <f t="shared" si="89"/>
        <v>0</v>
      </c>
      <c r="H719" s="37" t="e">
        <f t="shared" si="86"/>
        <v>#DIV/0!</v>
      </c>
    </row>
    <row r="720" spans="1:8" x14ac:dyDescent="0.25">
      <c r="A720" s="62">
        <f t="shared" si="87"/>
        <v>43881</v>
      </c>
      <c r="F720">
        <f t="shared" si="88"/>
        <v>0</v>
      </c>
      <c r="G720">
        <f t="shared" si="89"/>
        <v>0</v>
      </c>
      <c r="H720" s="37" t="e">
        <f t="shared" si="86"/>
        <v>#DIV/0!</v>
      </c>
    </row>
    <row r="721" spans="1:8" x14ac:dyDescent="0.25">
      <c r="A721" s="62">
        <f t="shared" si="87"/>
        <v>43888</v>
      </c>
      <c r="F721">
        <f t="shared" si="88"/>
        <v>0</v>
      </c>
      <c r="G721">
        <f t="shared" si="89"/>
        <v>0</v>
      </c>
      <c r="H721" s="37" t="e">
        <f t="shared" si="86"/>
        <v>#DIV/0!</v>
      </c>
    </row>
    <row r="722" spans="1:8" x14ac:dyDescent="0.25">
      <c r="A722" s="62">
        <f t="shared" si="87"/>
        <v>43895</v>
      </c>
      <c r="F722">
        <f t="shared" si="88"/>
        <v>0</v>
      </c>
      <c r="G722">
        <f t="shared" si="89"/>
        <v>0</v>
      </c>
      <c r="H722" s="37" t="e">
        <f t="shared" ref="H722:H785" si="90">+F722/G722-1</f>
        <v>#DIV/0!</v>
      </c>
    </row>
    <row r="723" spans="1:8" x14ac:dyDescent="0.25">
      <c r="A723" s="62">
        <f t="shared" si="87"/>
        <v>43902</v>
      </c>
      <c r="F723">
        <f t="shared" si="88"/>
        <v>0</v>
      </c>
      <c r="G723">
        <f t="shared" si="89"/>
        <v>0</v>
      </c>
      <c r="H723" s="37" t="e">
        <f t="shared" si="90"/>
        <v>#DIV/0!</v>
      </c>
    </row>
    <row r="724" spans="1:8" x14ac:dyDescent="0.25">
      <c r="A724" s="62">
        <f t="shared" si="87"/>
        <v>43909</v>
      </c>
      <c r="F724">
        <f t="shared" si="88"/>
        <v>0</v>
      </c>
      <c r="G724">
        <f t="shared" si="89"/>
        <v>0</v>
      </c>
      <c r="H724" s="37" t="e">
        <f t="shared" si="90"/>
        <v>#DIV/0!</v>
      </c>
    </row>
    <row r="725" spans="1:8" x14ac:dyDescent="0.25">
      <c r="A725" s="62">
        <f t="shared" si="87"/>
        <v>43916</v>
      </c>
      <c r="F725">
        <f t="shared" si="88"/>
        <v>0</v>
      </c>
      <c r="G725">
        <f t="shared" si="89"/>
        <v>0</v>
      </c>
      <c r="H725" s="37" t="e">
        <f t="shared" si="90"/>
        <v>#DIV/0!</v>
      </c>
    </row>
    <row r="726" spans="1:8" x14ac:dyDescent="0.25">
      <c r="A726" s="62">
        <f t="shared" si="87"/>
        <v>43923</v>
      </c>
      <c r="F726">
        <f t="shared" si="88"/>
        <v>0</v>
      </c>
      <c r="G726">
        <f t="shared" si="89"/>
        <v>0</v>
      </c>
      <c r="H726" s="37" t="e">
        <f t="shared" si="90"/>
        <v>#DIV/0!</v>
      </c>
    </row>
    <row r="727" spans="1:8" x14ac:dyDescent="0.25">
      <c r="A727" s="62">
        <f t="shared" si="87"/>
        <v>43930</v>
      </c>
      <c r="F727">
        <f t="shared" si="88"/>
        <v>0</v>
      </c>
      <c r="G727">
        <f t="shared" si="89"/>
        <v>0</v>
      </c>
      <c r="H727" s="37" t="e">
        <f t="shared" si="90"/>
        <v>#DIV/0!</v>
      </c>
    </row>
    <row r="728" spans="1:8" x14ac:dyDescent="0.25">
      <c r="A728" s="62">
        <f t="shared" si="87"/>
        <v>43937</v>
      </c>
      <c r="F728">
        <f t="shared" si="88"/>
        <v>0</v>
      </c>
      <c r="G728">
        <f t="shared" si="89"/>
        <v>0</v>
      </c>
      <c r="H728" s="37" t="e">
        <f t="shared" si="90"/>
        <v>#DIV/0!</v>
      </c>
    </row>
    <row r="729" spans="1:8" x14ac:dyDescent="0.25">
      <c r="A729" s="62">
        <f t="shared" si="87"/>
        <v>43944</v>
      </c>
      <c r="F729">
        <f t="shared" si="88"/>
        <v>0</v>
      </c>
      <c r="G729">
        <f t="shared" si="89"/>
        <v>0</v>
      </c>
      <c r="H729" s="37" t="e">
        <f t="shared" si="90"/>
        <v>#DIV/0!</v>
      </c>
    </row>
    <row r="730" spans="1:8" x14ac:dyDescent="0.25">
      <c r="A730" s="62">
        <f t="shared" si="87"/>
        <v>43951</v>
      </c>
      <c r="F730">
        <f t="shared" si="88"/>
        <v>0</v>
      </c>
      <c r="G730">
        <f t="shared" si="89"/>
        <v>0</v>
      </c>
      <c r="H730" s="37" t="e">
        <f t="shared" si="90"/>
        <v>#DIV/0!</v>
      </c>
    </row>
    <row r="731" spans="1:8" x14ac:dyDescent="0.25">
      <c r="A731" s="62">
        <f t="shared" si="87"/>
        <v>43958</v>
      </c>
      <c r="F731">
        <f t="shared" si="88"/>
        <v>0</v>
      </c>
      <c r="G731">
        <f t="shared" si="89"/>
        <v>0</v>
      </c>
      <c r="H731" s="37" t="e">
        <f t="shared" si="90"/>
        <v>#DIV/0!</v>
      </c>
    </row>
    <row r="732" spans="1:8" x14ac:dyDescent="0.25">
      <c r="A732" s="62">
        <f t="shared" si="87"/>
        <v>43965</v>
      </c>
      <c r="F732">
        <f t="shared" si="88"/>
        <v>0</v>
      </c>
      <c r="G732">
        <f t="shared" si="89"/>
        <v>0</v>
      </c>
      <c r="H732" s="37" t="e">
        <f t="shared" si="90"/>
        <v>#DIV/0!</v>
      </c>
    </row>
    <row r="733" spans="1:8" x14ac:dyDescent="0.25">
      <c r="A733" s="62">
        <f t="shared" si="87"/>
        <v>43972</v>
      </c>
      <c r="F733">
        <f t="shared" si="88"/>
        <v>0</v>
      </c>
      <c r="G733">
        <f t="shared" si="89"/>
        <v>0</v>
      </c>
      <c r="H733" s="37" t="e">
        <f t="shared" si="90"/>
        <v>#DIV/0!</v>
      </c>
    </row>
    <row r="734" spans="1:8" x14ac:dyDescent="0.25">
      <c r="A734" s="62">
        <f t="shared" si="87"/>
        <v>43979</v>
      </c>
      <c r="F734">
        <f t="shared" si="88"/>
        <v>0</v>
      </c>
      <c r="G734">
        <f t="shared" si="89"/>
        <v>0</v>
      </c>
      <c r="H734" s="37" t="e">
        <f t="shared" si="90"/>
        <v>#DIV/0!</v>
      </c>
    </row>
    <row r="735" spans="1:8" x14ac:dyDescent="0.25">
      <c r="A735" s="62">
        <f t="shared" si="87"/>
        <v>43986</v>
      </c>
      <c r="F735">
        <f t="shared" si="88"/>
        <v>0</v>
      </c>
      <c r="G735">
        <f t="shared" si="89"/>
        <v>0</v>
      </c>
      <c r="H735" s="37" t="e">
        <f t="shared" si="90"/>
        <v>#DIV/0!</v>
      </c>
    </row>
    <row r="736" spans="1:8" x14ac:dyDescent="0.25">
      <c r="A736" s="62">
        <f t="shared" si="87"/>
        <v>43993</v>
      </c>
      <c r="F736">
        <f t="shared" si="88"/>
        <v>0</v>
      </c>
      <c r="G736">
        <f t="shared" si="89"/>
        <v>0</v>
      </c>
      <c r="H736" s="37" t="e">
        <f t="shared" si="90"/>
        <v>#DIV/0!</v>
      </c>
    </row>
    <row r="737" spans="1:8" x14ac:dyDescent="0.25">
      <c r="A737" s="62">
        <f t="shared" si="87"/>
        <v>44000</v>
      </c>
      <c r="F737">
        <f t="shared" si="88"/>
        <v>0</v>
      </c>
      <c r="G737">
        <f t="shared" si="89"/>
        <v>0</v>
      </c>
      <c r="H737" s="37" t="e">
        <f t="shared" si="90"/>
        <v>#DIV/0!</v>
      </c>
    </row>
    <row r="738" spans="1:8" x14ac:dyDescent="0.25">
      <c r="A738" s="62">
        <f t="shared" si="87"/>
        <v>44007</v>
      </c>
      <c r="F738">
        <f t="shared" si="88"/>
        <v>0</v>
      </c>
      <c r="G738">
        <f t="shared" si="89"/>
        <v>0</v>
      </c>
      <c r="H738" s="37" t="e">
        <f t="shared" si="90"/>
        <v>#DIV/0!</v>
      </c>
    </row>
    <row r="739" spans="1:8" x14ac:dyDescent="0.25">
      <c r="A739" s="62">
        <f t="shared" si="87"/>
        <v>44014</v>
      </c>
      <c r="F739">
        <f t="shared" si="88"/>
        <v>0</v>
      </c>
      <c r="G739">
        <f t="shared" si="89"/>
        <v>0</v>
      </c>
      <c r="H739" s="37" t="e">
        <f t="shared" si="90"/>
        <v>#DIV/0!</v>
      </c>
    </row>
    <row r="740" spans="1:8" x14ac:dyDescent="0.25">
      <c r="A740" s="62">
        <f t="shared" si="87"/>
        <v>44021</v>
      </c>
      <c r="F740">
        <f t="shared" si="88"/>
        <v>0</v>
      </c>
      <c r="G740">
        <f t="shared" si="89"/>
        <v>0</v>
      </c>
      <c r="H740" s="37" t="e">
        <f t="shared" si="90"/>
        <v>#DIV/0!</v>
      </c>
    </row>
    <row r="741" spans="1:8" x14ac:dyDescent="0.25">
      <c r="A741" s="62">
        <f t="shared" si="87"/>
        <v>44028</v>
      </c>
      <c r="F741">
        <f t="shared" si="88"/>
        <v>0</v>
      </c>
      <c r="G741">
        <f t="shared" si="89"/>
        <v>0</v>
      </c>
      <c r="H741" s="37" t="e">
        <f t="shared" si="90"/>
        <v>#DIV/0!</v>
      </c>
    </row>
    <row r="742" spans="1:8" x14ac:dyDescent="0.25">
      <c r="A742" s="62">
        <f t="shared" si="87"/>
        <v>44035</v>
      </c>
      <c r="F742">
        <f t="shared" si="88"/>
        <v>0</v>
      </c>
      <c r="G742">
        <f t="shared" si="89"/>
        <v>0</v>
      </c>
      <c r="H742" s="37" t="e">
        <f t="shared" si="90"/>
        <v>#DIV/0!</v>
      </c>
    </row>
    <row r="743" spans="1:8" x14ac:dyDescent="0.25">
      <c r="A743" s="62">
        <f t="shared" si="87"/>
        <v>44042</v>
      </c>
      <c r="F743">
        <f t="shared" si="88"/>
        <v>0</v>
      </c>
      <c r="G743">
        <f t="shared" si="89"/>
        <v>0</v>
      </c>
      <c r="H743" s="37" t="e">
        <f t="shared" si="90"/>
        <v>#DIV/0!</v>
      </c>
    </row>
    <row r="744" spans="1:8" x14ac:dyDescent="0.25">
      <c r="A744" s="62">
        <f t="shared" si="87"/>
        <v>44049</v>
      </c>
      <c r="F744">
        <f t="shared" si="88"/>
        <v>0</v>
      </c>
      <c r="G744">
        <f t="shared" si="89"/>
        <v>0</v>
      </c>
      <c r="H744" s="37" t="e">
        <f t="shared" si="90"/>
        <v>#DIV/0!</v>
      </c>
    </row>
    <row r="745" spans="1:8" x14ac:dyDescent="0.25">
      <c r="A745" s="62">
        <f t="shared" si="87"/>
        <v>44056</v>
      </c>
      <c r="F745">
        <f t="shared" si="88"/>
        <v>0</v>
      </c>
      <c r="G745">
        <f t="shared" si="89"/>
        <v>0</v>
      </c>
      <c r="H745" s="37" t="e">
        <f t="shared" si="90"/>
        <v>#DIV/0!</v>
      </c>
    </row>
    <row r="746" spans="1:8" x14ac:dyDescent="0.25">
      <c r="A746" s="62">
        <f t="shared" si="87"/>
        <v>44063</v>
      </c>
      <c r="F746">
        <f t="shared" si="88"/>
        <v>0</v>
      </c>
      <c r="G746">
        <f t="shared" si="89"/>
        <v>0</v>
      </c>
      <c r="H746" s="37" t="e">
        <f t="shared" si="90"/>
        <v>#DIV/0!</v>
      </c>
    </row>
    <row r="747" spans="1:8" x14ac:dyDescent="0.25">
      <c r="A747" s="62">
        <f t="shared" si="87"/>
        <v>44070</v>
      </c>
      <c r="F747">
        <f t="shared" si="88"/>
        <v>0</v>
      </c>
      <c r="G747">
        <f t="shared" si="89"/>
        <v>0</v>
      </c>
      <c r="H747" s="37" t="e">
        <f t="shared" si="90"/>
        <v>#DIV/0!</v>
      </c>
    </row>
    <row r="748" spans="1:8" x14ac:dyDescent="0.25">
      <c r="A748" s="62">
        <f t="shared" si="87"/>
        <v>44077</v>
      </c>
      <c r="F748">
        <f t="shared" si="88"/>
        <v>0</v>
      </c>
      <c r="G748">
        <f t="shared" si="89"/>
        <v>0</v>
      </c>
      <c r="H748" s="37" t="e">
        <f t="shared" si="90"/>
        <v>#DIV/0!</v>
      </c>
    </row>
    <row r="749" spans="1:8" x14ac:dyDescent="0.25">
      <c r="A749" s="62">
        <f t="shared" si="87"/>
        <v>44084</v>
      </c>
      <c r="H749" s="37" t="e">
        <f t="shared" si="90"/>
        <v>#DIV/0!</v>
      </c>
    </row>
    <row r="750" spans="1:8" x14ac:dyDescent="0.25">
      <c r="A750" s="62">
        <f t="shared" si="87"/>
        <v>44091</v>
      </c>
      <c r="H750" s="37" t="e">
        <f t="shared" si="90"/>
        <v>#DIV/0!</v>
      </c>
    </row>
    <row r="751" spans="1:8" x14ac:dyDescent="0.25">
      <c r="A751" s="62">
        <f t="shared" si="87"/>
        <v>44098</v>
      </c>
      <c r="H751" s="37" t="e">
        <f t="shared" si="90"/>
        <v>#DIV/0!</v>
      </c>
    </row>
    <row r="752" spans="1:8" x14ac:dyDescent="0.25">
      <c r="A752" s="62">
        <f t="shared" si="87"/>
        <v>44105</v>
      </c>
      <c r="H752" s="37" t="e">
        <f t="shared" si="90"/>
        <v>#DIV/0!</v>
      </c>
    </row>
    <row r="753" spans="1:8" x14ac:dyDescent="0.25">
      <c r="A753" s="62">
        <f t="shared" si="87"/>
        <v>44112</v>
      </c>
      <c r="H753" s="37" t="e">
        <f t="shared" si="90"/>
        <v>#DIV/0!</v>
      </c>
    </row>
    <row r="754" spans="1:8" x14ac:dyDescent="0.25">
      <c r="A754" s="62">
        <f t="shared" si="87"/>
        <v>44119</v>
      </c>
      <c r="H754" s="37" t="e">
        <f t="shared" si="90"/>
        <v>#DIV/0!</v>
      </c>
    </row>
    <row r="755" spans="1:8" x14ac:dyDescent="0.25">
      <c r="A755" s="62">
        <f t="shared" si="87"/>
        <v>44126</v>
      </c>
      <c r="H755" s="37" t="e">
        <f t="shared" si="90"/>
        <v>#DIV/0!</v>
      </c>
    </row>
    <row r="756" spans="1:8" x14ac:dyDescent="0.25">
      <c r="A756" s="62">
        <f t="shared" si="87"/>
        <v>44133</v>
      </c>
      <c r="H756" s="37" t="e">
        <f t="shared" si="90"/>
        <v>#DIV/0!</v>
      </c>
    </row>
    <row r="757" spans="1:8" x14ac:dyDescent="0.25">
      <c r="A757" s="62">
        <f t="shared" si="87"/>
        <v>44140</v>
      </c>
      <c r="H757" s="37" t="e">
        <f t="shared" si="90"/>
        <v>#DIV/0!</v>
      </c>
    </row>
    <row r="758" spans="1:8" x14ac:dyDescent="0.25">
      <c r="A758" s="62">
        <f t="shared" si="87"/>
        <v>44147</v>
      </c>
      <c r="H758" s="37" t="e">
        <f t="shared" si="90"/>
        <v>#DIV/0!</v>
      </c>
    </row>
    <row r="759" spans="1:8" x14ac:dyDescent="0.25">
      <c r="A759" s="62">
        <f t="shared" si="87"/>
        <v>44154</v>
      </c>
      <c r="H759" s="37" t="e">
        <f t="shared" si="90"/>
        <v>#DIV/0!</v>
      </c>
    </row>
    <row r="760" spans="1:8" x14ac:dyDescent="0.25">
      <c r="A760" s="62">
        <f t="shared" si="87"/>
        <v>44161</v>
      </c>
      <c r="H760" s="37" t="e">
        <f t="shared" si="90"/>
        <v>#DIV/0!</v>
      </c>
    </row>
    <row r="761" spans="1:8" x14ac:dyDescent="0.25">
      <c r="A761" s="62">
        <f t="shared" si="87"/>
        <v>44168</v>
      </c>
      <c r="H761" s="37" t="e">
        <f t="shared" si="90"/>
        <v>#DIV/0!</v>
      </c>
    </row>
    <row r="762" spans="1:8" x14ac:dyDescent="0.25">
      <c r="A762" s="62">
        <f t="shared" si="87"/>
        <v>44175</v>
      </c>
      <c r="H762" s="37" t="e">
        <f t="shared" si="90"/>
        <v>#DIV/0!</v>
      </c>
    </row>
    <row r="763" spans="1:8" x14ac:dyDescent="0.25">
      <c r="A763" s="62">
        <f t="shared" si="87"/>
        <v>44182</v>
      </c>
      <c r="H763" s="37" t="e">
        <f t="shared" si="90"/>
        <v>#DIV/0!</v>
      </c>
    </row>
    <row r="764" spans="1:8" x14ac:dyDescent="0.25">
      <c r="A764" s="62">
        <f t="shared" ref="A764:A814" si="91">+A763+7</f>
        <v>44189</v>
      </c>
      <c r="H764" s="37" t="e">
        <f t="shared" si="90"/>
        <v>#DIV/0!</v>
      </c>
    </row>
    <row r="765" spans="1:8" x14ac:dyDescent="0.25">
      <c r="A765" s="62">
        <f t="shared" si="91"/>
        <v>44196</v>
      </c>
      <c r="H765" s="37" t="e">
        <f t="shared" si="90"/>
        <v>#DIV/0!</v>
      </c>
    </row>
    <row r="766" spans="1:8" x14ac:dyDescent="0.25">
      <c r="A766" s="62">
        <f t="shared" si="91"/>
        <v>44203</v>
      </c>
      <c r="H766" s="37" t="e">
        <f t="shared" si="90"/>
        <v>#DIV/0!</v>
      </c>
    </row>
    <row r="767" spans="1:8" x14ac:dyDescent="0.25">
      <c r="A767" s="62">
        <f t="shared" si="91"/>
        <v>44210</v>
      </c>
      <c r="H767" s="37" t="e">
        <f t="shared" si="90"/>
        <v>#DIV/0!</v>
      </c>
    </row>
    <row r="768" spans="1:8" x14ac:dyDescent="0.25">
      <c r="A768" s="62">
        <f t="shared" si="91"/>
        <v>44217</v>
      </c>
      <c r="H768" s="37" t="e">
        <f t="shared" si="90"/>
        <v>#DIV/0!</v>
      </c>
    </row>
    <row r="769" spans="1:8" x14ac:dyDescent="0.25">
      <c r="A769" s="62">
        <f t="shared" si="91"/>
        <v>44224</v>
      </c>
      <c r="H769" s="37" t="e">
        <f t="shared" si="90"/>
        <v>#DIV/0!</v>
      </c>
    </row>
    <row r="770" spans="1:8" x14ac:dyDescent="0.25">
      <c r="A770" s="62">
        <f t="shared" si="91"/>
        <v>44231</v>
      </c>
      <c r="H770" s="37" t="e">
        <f t="shared" si="90"/>
        <v>#DIV/0!</v>
      </c>
    </row>
    <row r="771" spans="1:8" x14ac:dyDescent="0.25">
      <c r="A771" s="62">
        <f t="shared" si="91"/>
        <v>44238</v>
      </c>
      <c r="H771" s="37" t="e">
        <f t="shared" si="90"/>
        <v>#DIV/0!</v>
      </c>
    </row>
    <row r="772" spans="1:8" x14ac:dyDescent="0.25">
      <c r="A772" s="62">
        <f t="shared" si="91"/>
        <v>44245</v>
      </c>
      <c r="H772" s="37" t="e">
        <f t="shared" si="90"/>
        <v>#DIV/0!</v>
      </c>
    </row>
    <row r="773" spans="1:8" x14ac:dyDescent="0.25">
      <c r="A773" s="62">
        <f t="shared" si="91"/>
        <v>44252</v>
      </c>
      <c r="H773" s="37" t="e">
        <f t="shared" si="90"/>
        <v>#DIV/0!</v>
      </c>
    </row>
    <row r="774" spans="1:8" x14ac:dyDescent="0.25">
      <c r="A774" s="62">
        <f t="shared" si="91"/>
        <v>44259</v>
      </c>
      <c r="H774" s="37" t="e">
        <f t="shared" si="90"/>
        <v>#DIV/0!</v>
      </c>
    </row>
    <row r="775" spans="1:8" x14ac:dyDescent="0.25">
      <c r="A775" s="62">
        <f t="shared" si="91"/>
        <v>44266</v>
      </c>
      <c r="H775" s="37" t="e">
        <f t="shared" si="90"/>
        <v>#DIV/0!</v>
      </c>
    </row>
    <row r="776" spans="1:8" x14ac:dyDescent="0.25">
      <c r="A776" s="62">
        <f t="shared" si="91"/>
        <v>44273</v>
      </c>
      <c r="H776" s="37" t="e">
        <f t="shared" si="90"/>
        <v>#DIV/0!</v>
      </c>
    </row>
    <row r="777" spans="1:8" x14ac:dyDescent="0.25">
      <c r="A777" s="62">
        <f t="shared" si="91"/>
        <v>44280</v>
      </c>
      <c r="H777" s="37" t="e">
        <f t="shared" si="90"/>
        <v>#DIV/0!</v>
      </c>
    </row>
    <row r="778" spans="1:8" x14ac:dyDescent="0.25">
      <c r="A778" s="62">
        <f t="shared" si="91"/>
        <v>44287</v>
      </c>
      <c r="H778" s="37" t="e">
        <f t="shared" si="90"/>
        <v>#DIV/0!</v>
      </c>
    </row>
    <row r="779" spans="1:8" x14ac:dyDescent="0.25">
      <c r="A779" s="62">
        <f t="shared" si="91"/>
        <v>44294</v>
      </c>
      <c r="H779" s="37" t="e">
        <f t="shared" si="90"/>
        <v>#DIV/0!</v>
      </c>
    </row>
    <row r="780" spans="1:8" x14ac:dyDescent="0.25">
      <c r="A780" s="62">
        <f t="shared" si="91"/>
        <v>44301</v>
      </c>
      <c r="H780" s="37" t="e">
        <f t="shared" si="90"/>
        <v>#DIV/0!</v>
      </c>
    </row>
    <row r="781" spans="1:8" x14ac:dyDescent="0.25">
      <c r="A781" s="62">
        <f t="shared" si="91"/>
        <v>44308</v>
      </c>
      <c r="H781" s="37" t="e">
        <f t="shared" si="90"/>
        <v>#DIV/0!</v>
      </c>
    </row>
    <row r="782" spans="1:8" x14ac:dyDescent="0.25">
      <c r="A782" s="62">
        <f t="shared" si="91"/>
        <v>44315</v>
      </c>
      <c r="H782" s="37" t="e">
        <f t="shared" si="90"/>
        <v>#DIV/0!</v>
      </c>
    </row>
    <row r="783" spans="1:8" x14ac:dyDescent="0.25">
      <c r="A783" s="62">
        <f t="shared" si="91"/>
        <v>44322</v>
      </c>
      <c r="H783" s="37" t="e">
        <f t="shared" si="90"/>
        <v>#DIV/0!</v>
      </c>
    </row>
    <row r="784" spans="1:8" x14ac:dyDescent="0.25">
      <c r="A784" s="62">
        <f t="shared" si="91"/>
        <v>44329</v>
      </c>
      <c r="H784" s="37" t="e">
        <f t="shared" si="90"/>
        <v>#DIV/0!</v>
      </c>
    </row>
    <row r="785" spans="1:8" x14ac:dyDescent="0.25">
      <c r="A785" s="62">
        <f t="shared" si="91"/>
        <v>44336</v>
      </c>
      <c r="H785" s="37" t="e">
        <f t="shared" si="90"/>
        <v>#DIV/0!</v>
      </c>
    </row>
    <row r="786" spans="1:8" x14ac:dyDescent="0.25">
      <c r="A786" s="62">
        <f t="shared" si="91"/>
        <v>44343</v>
      </c>
      <c r="H786" s="37" t="e">
        <f t="shared" ref="H786:H830" si="92">+F786/G786-1</f>
        <v>#DIV/0!</v>
      </c>
    </row>
    <row r="787" spans="1:8" x14ac:dyDescent="0.25">
      <c r="A787" s="62">
        <f t="shared" si="91"/>
        <v>44350</v>
      </c>
      <c r="H787" s="37" t="e">
        <f t="shared" si="92"/>
        <v>#DIV/0!</v>
      </c>
    </row>
    <row r="788" spans="1:8" x14ac:dyDescent="0.25">
      <c r="A788" s="62">
        <f t="shared" si="91"/>
        <v>44357</v>
      </c>
      <c r="H788" s="37" t="e">
        <f t="shared" si="92"/>
        <v>#DIV/0!</v>
      </c>
    </row>
    <row r="789" spans="1:8" x14ac:dyDescent="0.25">
      <c r="A789" s="62">
        <f t="shared" si="91"/>
        <v>44364</v>
      </c>
      <c r="H789" s="37" t="e">
        <f t="shared" si="92"/>
        <v>#DIV/0!</v>
      </c>
    </row>
    <row r="790" spans="1:8" x14ac:dyDescent="0.25">
      <c r="A790" s="62">
        <f t="shared" si="91"/>
        <v>44371</v>
      </c>
      <c r="H790" s="37" t="e">
        <f t="shared" si="92"/>
        <v>#DIV/0!</v>
      </c>
    </row>
    <row r="791" spans="1:8" x14ac:dyDescent="0.25">
      <c r="A791" s="62">
        <f t="shared" si="91"/>
        <v>44378</v>
      </c>
      <c r="H791" s="37" t="e">
        <f t="shared" si="92"/>
        <v>#DIV/0!</v>
      </c>
    </row>
    <row r="792" spans="1:8" x14ac:dyDescent="0.25">
      <c r="A792" s="62">
        <f t="shared" si="91"/>
        <v>44385</v>
      </c>
      <c r="H792" s="37" t="e">
        <f t="shared" si="92"/>
        <v>#DIV/0!</v>
      </c>
    </row>
    <row r="793" spans="1:8" x14ac:dyDescent="0.25">
      <c r="A793" s="62">
        <f t="shared" si="91"/>
        <v>44392</v>
      </c>
      <c r="H793" s="37" t="e">
        <f t="shared" si="92"/>
        <v>#DIV/0!</v>
      </c>
    </row>
    <row r="794" spans="1:8" x14ac:dyDescent="0.25">
      <c r="A794" s="62">
        <f t="shared" si="91"/>
        <v>44399</v>
      </c>
      <c r="H794" s="37" t="e">
        <f t="shared" si="92"/>
        <v>#DIV/0!</v>
      </c>
    </row>
    <row r="795" spans="1:8" x14ac:dyDescent="0.25">
      <c r="A795" s="62">
        <f t="shared" si="91"/>
        <v>44406</v>
      </c>
      <c r="H795" s="37" t="e">
        <f t="shared" si="92"/>
        <v>#DIV/0!</v>
      </c>
    </row>
    <row r="796" spans="1:8" x14ac:dyDescent="0.25">
      <c r="A796" s="62">
        <f t="shared" si="91"/>
        <v>44413</v>
      </c>
      <c r="H796" s="37" t="e">
        <f t="shared" si="92"/>
        <v>#DIV/0!</v>
      </c>
    </row>
    <row r="797" spans="1:8" x14ac:dyDescent="0.25">
      <c r="A797" s="62">
        <f t="shared" si="91"/>
        <v>44420</v>
      </c>
      <c r="H797" s="37" t="e">
        <f t="shared" si="92"/>
        <v>#DIV/0!</v>
      </c>
    </row>
    <row r="798" spans="1:8" x14ac:dyDescent="0.25">
      <c r="A798" s="62">
        <f t="shared" si="91"/>
        <v>44427</v>
      </c>
      <c r="H798" s="37" t="e">
        <f t="shared" si="92"/>
        <v>#DIV/0!</v>
      </c>
    </row>
    <row r="799" spans="1:8" x14ac:dyDescent="0.25">
      <c r="A799" s="62">
        <f t="shared" si="91"/>
        <v>44434</v>
      </c>
      <c r="H799" s="37" t="e">
        <f t="shared" si="92"/>
        <v>#DIV/0!</v>
      </c>
    </row>
    <row r="800" spans="1:8" x14ac:dyDescent="0.25">
      <c r="A800" s="62">
        <f t="shared" si="91"/>
        <v>44441</v>
      </c>
      <c r="H800" s="37" t="e">
        <f t="shared" si="92"/>
        <v>#DIV/0!</v>
      </c>
    </row>
    <row r="801" spans="1:8" x14ac:dyDescent="0.25">
      <c r="A801" s="62">
        <f t="shared" si="91"/>
        <v>44448</v>
      </c>
      <c r="H801" s="37" t="e">
        <f t="shared" si="92"/>
        <v>#DIV/0!</v>
      </c>
    </row>
    <row r="802" spans="1:8" x14ac:dyDescent="0.25">
      <c r="A802" s="62">
        <f t="shared" si="91"/>
        <v>44455</v>
      </c>
      <c r="H802" s="37" t="e">
        <f t="shared" si="92"/>
        <v>#DIV/0!</v>
      </c>
    </row>
    <row r="803" spans="1:8" x14ac:dyDescent="0.25">
      <c r="A803" s="62">
        <f t="shared" si="91"/>
        <v>44462</v>
      </c>
      <c r="H803" s="37" t="e">
        <f t="shared" si="92"/>
        <v>#DIV/0!</v>
      </c>
    </row>
    <row r="804" spans="1:8" x14ac:dyDescent="0.25">
      <c r="A804" s="62">
        <f t="shared" si="91"/>
        <v>44469</v>
      </c>
      <c r="H804" s="37" t="e">
        <f t="shared" si="92"/>
        <v>#DIV/0!</v>
      </c>
    </row>
    <row r="805" spans="1:8" x14ac:dyDescent="0.25">
      <c r="A805" s="62">
        <f t="shared" si="91"/>
        <v>44476</v>
      </c>
      <c r="H805" s="37" t="e">
        <f t="shared" si="92"/>
        <v>#DIV/0!</v>
      </c>
    </row>
    <row r="806" spans="1:8" x14ac:dyDescent="0.25">
      <c r="A806" s="62">
        <f t="shared" si="91"/>
        <v>44483</v>
      </c>
      <c r="H806" s="37" t="e">
        <f t="shared" si="92"/>
        <v>#DIV/0!</v>
      </c>
    </row>
    <row r="807" spans="1:8" x14ac:dyDescent="0.25">
      <c r="A807" s="62">
        <f t="shared" si="91"/>
        <v>44490</v>
      </c>
      <c r="H807" s="37" t="e">
        <f t="shared" si="92"/>
        <v>#DIV/0!</v>
      </c>
    </row>
    <row r="808" spans="1:8" x14ac:dyDescent="0.25">
      <c r="A808" s="62">
        <f t="shared" si="91"/>
        <v>44497</v>
      </c>
      <c r="H808" s="37" t="e">
        <f t="shared" si="92"/>
        <v>#DIV/0!</v>
      </c>
    </row>
    <row r="809" spans="1:8" x14ac:dyDescent="0.25">
      <c r="A809" s="62">
        <f t="shared" si="91"/>
        <v>44504</v>
      </c>
      <c r="H809" s="37" t="e">
        <f t="shared" si="92"/>
        <v>#DIV/0!</v>
      </c>
    </row>
    <row r="810" spans="1:8" x14ac:dyDescent="0.25">
      <c r="A810" s="62">
        <f t="shared" si="91"/>
        <v>44511</v>
      </c>
      <c r="H810" s="37" t="e">
        <f t="shared" si="92"/>
        <v>#DIV/0!</v>
      </c>
    </row>
    <row r="811" spans="1:8" x14ac:dyDescent="0.25">
      <c r="A811" s="62">
        <f t="shared" si="91"/>
        <v>44518</v>
      </c>
      <c r="H811" s="37" t="e">
        <f t="shared" si="92"/>
        <v>#DIV/0!</v>
      </c>
    </row>
    <row r="812" spans="1:8" x14ac:dyDescent="0.25">
      <c r="A812" s="62">
        <f t="shared" si="91"/>
        <v>44525</v>
      </c>
      <c r="H812" s="37" t="e">
        <f t="shared" si="92"/>
        <v>#DIV/0!</v>
      </c>
    </row>
    <row r="813" spans="1:8" x14ac:dyDescent="0.25">
      <c r="A813" s="62">
        <f t="shared" si="91"/>
        <v>44532</v>
      </c>
      <c r="H813" s="37" t="e">
        <f t="shared" si="92"/>
        <v>#DIV/0!</v>
      </c>
    </row>
    <row r="814" spans="1:8" x14ac:dyDescent="0.25">
      <c r="A814" s="62">
        <f t="shared" si="91"/>
        <v>44539</v>
      </c>
      <c r="H814" s="37" t="e">
        <f t="shared" si="92"/>
        <v>#DIV/0!</v>
      </c>
    </row>
    <row r="815" spans="1:8" x14ac:dyDescent="0.25">
      <c r="H815" s="37" t="e">
        <f t="shared" si="92"/>
        <v>#DIV/0!</v>
      </c>
    </row>
    <row r="816" spans="1:8" x14ac:dyDescent="0.25">
      <c r="H816" s="37" t="e">
        <f t="shared" si="92"/>
        <v>#DIV/0!</v>
      </c>
    </row>
    <row r="817" spans="8:8" x14ac:dyDescent="0.25">
      <c r="H817" s="37" t="e">
        <f t="shared" si="92"/>
        <v>#DIV/0!</v>
      </c>
    </row>
    <row r="818" spans="8:8" x14ac:dyDescent="0.25">
      <c r="H818" s="37" t="e">
        <f t="shared" si="92"/>
        <v>#DIV/0!</v>
      </c>
    </row>
    <row r="819" spans="8:8" x14ac:dyDescent="0.25">
      <c r="H819" s="37" t="e">
        <f t="shared" si="92"/>
        <v>#DIV/0!</v>
      </c>
    </row>
    <row r="820" spans="8:8" x14ac:dyDescent="0.25">
      <c r="H820" s="37" t="e">
        <f t="shared" si="92"/>
        <v>#DIV/0!</v>
      </c>
    </row>
    <row r="821" spans="8:8" x14ac:dyDescent="0.25">
      <c r="H821" s="37" t="e">
        <f t="shared" si="92"/>
        <v>#DIV/0!</v>
      </c>
    </row>
    <row r="822" spans="8:8" x14ac:dyDescent="0.25">
      <c r="H822" s="37" t="e">
        <f t="shared" si="92"/>
        <v>#DIV/0!</v>
      </c>
    </row>
    <row r="823" spans="8:8" x14ac:dyDescent="0.25">
      <c r="H823" s="37" t="e">
        <f t="shared" si="92"/>
        <v>#DIV/0!</v>
      </c>
    </row>
    <row r="824" spans="8:8" x14ac:dyDescent="0.25">
      <c r="H824" s="37" t="e">
        <f t="shared" si="92"/>
        <v>#DIV/0!</v>
      </c>
    </row>
    <row r="825" spans="8:8" x14ac:dyDescent="0.25">
      <c r="H825" s="37" t="e">
        <f t="shared" si="92"/>
        <v>#DIV/0!</v>
      </c>
    </row>
    <row r="826" spans="8:8" x14ac:dyDescent="0.25">
      <c r="H826" s="37" t="e">
        <f t="shared" si="92"/>
        <v>#DIV/0!</v>
      </c>
    </row>
    <row r="827" spans="8:8" x14ac:dyDescent="0.25">
      <c r="H827" s="37" t="e">
        <f t="shared" si="92"/>
        <v>#DIV/0!</v>
      </c>
    </row>
    <row r="828" spans="8:8" x14ac:dyDescent="0.25">
      <c r="H828" s="37" t="e">
        <f t="shared" si="92"/>
        <v>#DIV/0!</v>
      </c>
    </row>
    <row r="829" spans="8:8" x14ac:dyDescent="0.25">
      <c r="H829" s="37" t="e">
        <f t="shared" si="92"/>
        <v>#DIV/0!</v>
      </c>
    </row>
    <row r="830" spans="8:8" x14ac:dyDescent="0.25">
      <c r="H830" s="37" t="e">
        <f t="shared" si="92"/>
        <v>#DIV/0!</v>
      </c>
    </row>
  </sheetData>
  <mergeCells count="4">
    <mergeCell ref="H2:I2"/>
    <mergeCell ref="J2:K2"/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  <ignoredErrors>
    <ignoredError sqref="H403:H42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BB65486"/>
  <sheetViews>
    <sheetView topLeftCell="A394" workbookViewId="0">
      <selection activeCell="G408" sqref="G408"/>
    </sheetView>
  </sheetViews>
  <sheetFormatPr defaultRowHeight="13.2" x14ac:dyDescent="0.25"/>
  <cols>
    <col min="1" max="1" width="11" customWidth="1"/>
    <col min="2" max="4" width="9.33203125" bestFit="1" customWidth="1"/>
    <col min="5" max="5" width="10.6640625" customWidth="1"/>
    <col min="6" max="9" width="9.33203125" bestFit="1" customWidth="1"/>
    <col min="10" max="10" width="12.33203125" customWidth="1"/>
    <col min="11" max="18" width="9.33203125" bestFit="1" customWidth="1"/>
    <col min="19" max="43" width="10.33203125" bestFit="1" customWidth="1"/>
    <col min="44" max="44" width="14.33203125" customWidth="1"/>
    <col min="45" max="45" width="10.44140625" bestFit="1" customWidth="1"/>
    <col min="46" max="46" width="7.88671875" customWidth="1"/>
    <col min="47" max="47" width="9.33203125" customWidth="1"/>
    <col min="48" max="48" width="16.44140625" customWidth="1"/>
    <col min="49" max="49" width="14.5546875" customWidth="1"/>
    <col min="50" max="50" width="11" customWidth="1"/>
    <col min="51" max="51" width="10.33203125" bestFit="1" customWidth="1"/>
    <col min="52" max="52" width="12.88671875" customWidth="1"/>
    <col min="56" max="56" width="9.33203125" bestFit="1" customWidth="1"/>
  </cols>
  <sheetData>
    <row r="1" spans="1:54" ht="13.8" thickBot="1" x14ac:dyDescent="0.3">
      <c r="C1" t="s">
        <v>7</v>
      </c>
      <c r="E1" s="210" t="s">
        <v>1</v>
      </c>
      <c r="F1" s="211"/>
      <c r="G1" s="210" t="s">
        <v>2</v>
      </c>
      <c r="H1" s="211"/>
      <c r="I1" s="9"/>
      <c r="J1" s="11" t="s">
        <v>6</v>
      </c>
      <c r="K1" s="11" t="s">
        <v>10</v>
      </c>
      <c r="L1" t="s">
        <v>22</v>
      </c>
      <c r="M1" t="s">
        <v>24</v>
      </c>
      <c r="N1" t="s">
        <v>26</v>
      </c>
      <c r="AQ1" s="12">
        <v>38652</v>
      </c>
      <c r="AR1" s="3" t="s">
        <v>0</v>
      </c>
      <c r="AS1" s="2">
        <v>2449.6999999999998</v>
      </c>
      <c r="AT1" s="2">
        <v>2936.5</v>
      </c>
      <c r="AU1" s="2">
        <v>2414.9</v>
      </c>
      <c r="AV1" s="2">
        <v>2427</v>
      </c>
      <c r="AW1" s="2">
        <f>+AS1+AU1</f>
        <v>4864.6000000000004</v>
      </c>
      <c r="AX1" s="2">
        <f>+AT1+AV1</f>
        <v>5363.5</v>
      </c>
      <c r="AY1" s="1">
        <f>+AW1/AX1-1</f>
        <v>-9.3017619092010784E-2</v>
      </c>
      <c r="AZ1" s="4" t="e">
        <f>+#REF!</f>
        <v>#REF!</v>
      </c>
      <c r="BA1" s="4" t="e">
        <f>+#REF!</f>
        <v>#REF!</v>
      </c>
      <c r="BB1" t="s">
        <v>3</v>
      </c>
    </row>
    <row r="2" spans="1:54" x14ac:dyDescent="0.25">
      <c r="A2" t="s">
        <v>16</v>
      </c>
      <c r="B2" s="6"/>
      <c r="C2" s="6" t="s">
        <v>137</v>
      </c>
      <c r="D2" s="6" t="s">
        <v>36</v>
      </c>
      <c r="E2" s="8" t="s">
        <v>137</v>
      </c>
      <c r="F2" s="7" t="s">
        <v>36</v>
      </c>
      <c r="G2" s="8" t="s">
        <v>138</v>
      </c>
      <c r="H2" s="7" t="s">
        <v>36</v>
      </c>
      <c r="I2" s="10" t="s">
        <v>4</v>
      </c>
      <c r="J2" s="8" t="s">
        <v>5</v>
      </c>
      <c r="K2" s="8" t="s">
        <v>5</v>
      </c>
      <c r="L2" s="13" t="s">
        <v>23</v>
      </c>
      <c r="M2" s="13" t="s">
        <v>25</v>
      </c>
      <c r="N2" t="s">
        <v>21</v>
      </c>
      <c r="AQ2" s="16">
        <f>+AQ1+7</f>
        <v>38659</v>
      </c>
      <c r="AR2" s="3" t="s">
        <v>0</v>
      </c>
      <c r="AS2" s="2">
        <v>2261.6</v>
      </c>
      <c r="AT2" s="2">
        <v>2616.8000000000002</v>
      </c>
      <c r="AU2" s="2">
        <v>2778.4</v>
      </c>
      <c r="AV2" s="2">
        <v>2952.9</v>
      </c>
      <c r="AW2" s="2">
        <f>+AS2+AU2</f>
        <v>5040</v>
      </c>
      <c r="AX2" s="2">
        <f>+AT2+AV2</f>
        <v>5569.7000000000007</v>
      </c>
      <c r="AY2" s="1">
        <f>+AW2/AX2-1</f>
        <v>-9.5103865558288758E-2</v>
      </c>
      <c r="AZ2" s="4"/>
    </row>
    <row r="3" spans="1:54" x14ac:dyDescent="0.25">
      <c r="A3" s="35">
        <v>38855</v>
      </c>
      <c r="C3">
        <v>60</v>
      </c>
      <c r="D3">
        <v>100.7</v>
      </c>
      <c r="E3">
        <v>9246.5</v>
      </c>
      <c r="F3">
        <v>11766.9</v>
      </c>
      <c r="G3" s="14">
        <f t="shared" ref="G3:H7" si="0">+C3+E3</f>
        <v>9306.5</v>
      </c>
      <c r="H3" s="2">
        <f t="shared" si="0"/>
        <v>11867.6</v>
      </c>
      <c r="I3" s="48">
        <f>+(G3/H3-1)*100</f>
        <v>-21.580606019751258</v>
      </c>
      <c r="AR3" s="20" t="s">
        <v>9</v>
      </c>
      <c r="AS3" s="21" t="e">
        <f>+#REF!</f>
        <v>#REF!</v>
      </c>
      <c r="AT3" s="21" t="e">
        <f>+#REF!</f>
        <v>#REF!</v>
      </c>
      <c r="AU3" s="30" t="e">
        <f>+AS3/AT3-1</f>
        <v>#REF!</v>
      </c>
      <c r="AV3" s="22" t="e">
        <f>+#REF!</f>
        <v>#REF!</v>
      </c>
      <c r="AW3" s="32">
        <v>2098.5</v>
      </c>
      <c r="AX3" s="33" t="e">
        <f>+(AV3/AW3)-1</f>
        <v>#REF!</v>
      </c>
      <c r="AZ3" s="18"/>
    </row>
    <row r="4" spans="1:54" x14ac:dyDescent="0.25">
      <c r="A4" s="35">
        <f t="shared" ref="A4:A253" si="1">+A3+7</f>
        <v>38862</v>
      </c>
      <c r="C4">
        <v>60</v>
      </c>
      <c r="D4">
        <v>100.7</v>
      </c>
      <c r="E4">
        <v>9301.2999999999993</v>
      </c>
      <c r="F4">
        <v>11791.6</v>
      </c>
      <c r="G4" s="14">
        <f t="shared" si="0"/>
        <v>9361.2999999999993</v>
      </c>
      <c r="H4" s="2">
        <f t="shared" si="0"/>
        <v>11892.300000000001</v>
      </c>
      <c r="I4" s="48">
        <f t="shared" ref="I4:I38" si="2">+(G4/H4-1)*100</f>
        <v>-21.282678708071622</v>
      </c>
      <c r="J4">
        <v>1752</v>
      </c>
      <c r="L4" s="14">
        <f>+G4-G3</f>
        <v>54.799999999999272</v>
      </c>
      <c r="AR4" s="23" t="s">
        <v>11</v>
      </c>
      <c r="AS4" s="24" t="e">
        <f>SUM(AS3:AS3)</f>
        <v>#REF!</v>
      </c>
      <c r="AT4" s="24" t="e">
        <f>SUM(AT3:AT3)</f>
        <v>#REF!</v>
      </c>
      <c r="AU4" s="31" t="e">
        <f>+AS4/AT4-1</f>
        <v>#REF!</v>
      </c>
      <c r="AV4" s="27" t="e">
        <f>SUM(AV3:AV3)</f>
        <v>#REF!</v>
      </c>
      <c r="AW4" s="24">
        <f>SUM(AW3:AW3)</f>
        <v>2098.5</v>
      </c>
      <c r="AX4" s="34" t="e">
        <f>+(AV4/AW4)-1</f>
        <v>#REF!</v>
      </c>
      <c r="AZ4" s="18"/>
    </row>
    <row r="5" spans="1:54" x14ac:dyDescent="0.25">
      <c r="A5" s="35">
        <f t="shared" si="1"/>
        <v>38869</v>
      </c>
      <c r="C5">
        <v>60</v>
      </c>
      <c r="D5">
        <v>100.7</v>
      </c>
      <c r="E5">
        <v>9301.2999999999993</v>
      </c>
      <c r="F5">
        <v>11791.6</v>
      </c>
      <c r="G5" s="14">
        <f t="shared" si="0"/>
        <v>9361.2999999999993</v>
      </c>
      <c r="H5" s="2">
        <f t="shared" si="0"/>
        <v>11892.300000000001</v>
      </c>
      <c r="I5" s="48">
        <f t="shared" si="2"/>
        <v>-21.282678708071622</v>
      </c>
      <c r="J5">
        <v>1752</v>
      </c>
      <c r="L5" s="14">
        <f t="shared" ref="L5:L14" si="3">+G5-G4</f>
        <v>0</v>
      </c>
      <c r="AR5" s="214" t="s">
        <v>13</v>
      </c>
      <c r="AS5" s="214"/>
      <c r="AT5" s="214"/>
      <c r="AU5" s="214"/>
      <c r="AV5" s="25" t="e">
        <f>+#REF!</f>
        <v>#REF!</v>
      </c>
      <c r="AW5" s="28">
        <v>45409.4</v>
      </c>
      <c r="AX5" s="18"/>
      <c r="AZ5" s="18"/>
    </row>
    <row r="6" spans="1:54" ht="16.5" customHeight="1" thickBot="1" x14ac:dyDescent="0.3">
      <c r="A6" s="35">
        <f t="shared" si="1"/>
        <v>38876</v>
      </c>
      <c r="C6">
        <v>173</v>
      </c>
      <c r="D6">
        <v>56</v>
      </c>
      <c r="E6">
        <v>9301.2999999999993</v>
      </c>
      <c r="F6">
        <v>11791.6</v>
      </c>
      <c r="G6" s="14">
        <f t="shared" si="0"/>
        <v>9474.2999999999993</v>
      </c>
      <c r="H6" s="2">
        <f t="shared" si="0"/>
        <v>11847.6</v>
      </c>
      <c r="I6" s="48">
        <f t="shared" si="2"/>
        <v>-20.031905195989076</v>
      </c>
      <c r="J6">
        <v>1807</v>
      </c>
      <c r="L6" s="14">
        <f t="shared" si="3"/>
        <v>113</v>
      </c>
      <c r="AR6" s="215" t="s">
        <v>12</v>
      </c>
      <c r="AS6" s="215"/>
      <c r="AT6" s="215"/>
      <c r="AU6" s="215"/>
      <c r="AV6" s="26" t="e">
        <f>+AV4/AV5</f>
        <v>#REF!</v>
      </c>
      <c r="AW6" s="29">
        <f>+AW4/AW5</f>
        <v>4.621289865094011E-2</v>
      </c>
      <c r="AX6" s="19"/>
      <c r="AZ6" s="18"/>
    </row>
    <row r="7" spans="1:54" ht="12" customHeight="1" x14ac:dyDescent="0.25">
      <c r="A7" s="35">
        <f t="shared" si="1"/>
        <v>38883</v>
      </c>
      <c r="C7">
        <v>173</v>
      </c>
      <c r="D7">
        <v>56</v>
      </c>
      <c r="E7">
        <v>9346.2000000000007</v>
      </c>
      <c r="F7">
        <v>11791.6</v>
      </c>
      <c r="G7" s="14">
        <f t="shared" si="0"/>
        <v>9519.2000000000007</v>
      </c>
      <c r="H7" s="2">
        <f t="shared" si="0"/>
        <v>11847.6</v>
      </c>
      <c r="I7" s="48">
        <f t="shared" si="2"/>
        <v>-19.652925487018468</v>
      </c>
      <c r="J7">
        <v>1807</v>
      </c>
      <c r="L7" s="14">
        <f t="shared" si="3"/>
        <v>44.900000000001455</v>
      </c>
      <c r="AR7" s="213" t="s">
        <v>14</v>
      </c>
      <c r="AS7" s="213"/>
      <c r="AT7" s="213"/>
      <c r="AU7" s="213"/>
      <c r="AV7" s="213"/>
      <c r="AW7" s="213"/>
      <c r="AX7" s="213"/>
      <c r="AY7" s="18"/>
      <c r="AZ7" s="18"/>
    </row>
    <row r="8" spans="1:54" x14ac:dyDescent="0.25">
      <c r="A8" s="35">
        <f t="shared" si="1"/>
        <v>38890</v>
      </c>
      <c r="C8">
        <v>289</v>
      </c>
      <c r="D8">
        <v>56</v>
      </c>
      <c r="E8">
        <v>9346.2000000000007</v>
      </c>
      <c r="F8">
        <v>11791.6</v>
      </c>
      <c r="G8" s="14">
        <f t="shared" ref="G8:H38" si="4">+C8+E8</f>
        <v>9635.2000000000007</v>
      </c>
      <c r="H8" s="2">
        <f t="shared" si="4"/>
        <v>11847.6</v>
      </c>
      <c r="I8" s="48">
        <f t="shared" si="2"/>
        <v>-18.673824234444105</v>
      </c>
      <c r="J8">
        <v>1867</v>
      </c>
      <c r="L8" s="14">
        <f t="shared" si="3"/>
        <v>116</v>
      </c>
      <c r="AR8" s="212" t="s">
        <v>15</v>
      </c>
      <c r="AS8" s="213"/>
      <c r="AT8" s="213"/>
      <c r="AU8" s="213"/>
      <c r="AV8" s="213"/>
      <c r="AW8" s="213"/>
      <c r="AX8" s="213"/>
      <c r="AY8" s="18"/>
      <c r="AZ8" s="18"/>
    </row>
    <row r="9" spans="1:54" x14ac:dyDescent="0.25">
      <c r="A9" s="35">
        <f t="shared" si="1"/>
        <v>38897</v>
      </c>
      <c r="C9">
        <v>367</v>
      </c>
      <c r="D9">
        <v>56</v>
      </c>
      <c r="E9">
        <v>9346.2000000000007</v>
      </c>
      <c r="F9">
        <v>11791.6</v>
      </c>
      <c r="G9" s="14">
        <f t="shared" si="4"/>
        <v>9713.2000000000007</v>
      </c>
      <c r="H9" s="2">
        <f t="shared" si="4"/>
        <v>11847.6</v>
      </c>
      <c r="I9" s="48">
        <f t="shared" si="2"/>
        <v>-18.01546304736824</v>
      </c>
      <c r="J9">
        <v>1867</v>
      </c>
      <c r="L9" s="14">
        <f t="shared" si="3"/>
        <v>78</v>
      </c>
      <c r="AR9" s="18"/>
      <c r="AS9" s="18"/>
      <c r="AT9" s="18"/>
      <c r="AU9" s="18"/>
      <c r="AV9" s="18"/>
      <c r="AW9" s="18"/>
      <c r="AX9" s="18"/>
      <c r="AY9" s="18"/>
      <c r="AZ9" s="18"/>
    </row>
    <row r="10" spans="1:54" x14ac:dyDescent="0.25">
      <c r="A10" s="35">
        <f t="shared" si="1"/>
        <v>38904</v>
      </c>
      <c r="C10">
        <v>482</v>
      </c>
      <c r="D10">
        <v>0</v>
      </c>
      <c r="E10">
        <v>9346.2000000000007</v>
      </c>
      <c r="F10">
        <v>11850.4</v>
      </c>
      <c r="G10" s="14">
        <f t="shared" si="4"/>
        <v>9828.2000000000007</v>
      </c>
      <c r="H10" s="2">
        <f t="shared" si="4"/>
        <v>11850.4</v>
      </c>
      <c r="I10" s="48">
        <f t="shared" si="2"/>
        <v>-17.064402889353936</v>
      </c>
      <c r="J10">
        <v>1867</v>
      </c>
      <c r="L10" s="14">
        <f t="shared" si="3"/>
        <v>115</v>
      </c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4" x14ac:dyDescent="0.25">
      <c r="A11" s="35">
        <f t="shared" si="1"/>
        <v>38911</v>
      </c>
      <c r="C11">
        <v>406</v>
      </c>
      <c r="D11">
        <v>0</v>
      </c>
      <c r="E11">
        <v>9408</v>
      </c>
      <c r="F11">
        <v>11850.4</v>
      </c>
      <c r="G11" s="14">
        <f t="shared" si="4"/>
        <v>9814</v>
      </c>
      <c r="H11" s="2">
        <f t="shared" si="4"/>
        <v>11850.4</v>
      </c>
      <c r="I11" s="48">
        <f t="shared" si="2"/>
        <v>-17.184230068183346</v>
      </c>
      <c r="J11">
        <v>1867</v>
      </c>
      <c r="L11" s="14">
        <f t="shared" si="3"/>
        <v>-14.200000000000728</v>
      </c>
    </row>
    <row r="12" spans="1:54" x14ac:dyDescent="0.25">
      <c r="A12" s="35">
        <f t="shared" si="1"/>
        <v>38918</v>
      </c>
      <c r="C12">
        <v>346</v>
      </c>
      <c r="D12">
        <v>0</v>
      </c>
      <c r="E12">
        <v>9408</v>
      </c>
      <c r="F12">
        <v>11850.5</v>
      </c>
      <c r="G12" s="14">
        <f t="shared" si="4"/>
        <v>9754</v>
      </c>
      <c r="H12" s="2">
        <f t="shared" si="4"/>
        <v>11850.5</v>
      </c>
      <c r="I12" s="48">
        <f t="shared" si="2"/>
        <v>-17.691236656681152</v>
      </c>
      <c r="J12">
        <v>1867</v>
      </c>
      <c r="L12" s="14">
        <f t="shared" si="3"/>
        <v>-60</v>
      </c>
    </row>
    <row r="13" spans="1:54" x14ac:dyDescent="0.25">
      <c r="A13" s="35">
        <f t="shared" si="1"/>
        <v>38925</v>
      </c>
      <c r="C13">
        <v>346</v>
      </c>
      <c r="D13">
        <v>0</v>
      </c>
      <c r="E13">
        <v>9408</v>
      </c>
      <c r="F13">
        <v>11850.5</v>
      </c>
      <c r="G13" s="14">
        <f t="shared" si="4"/>
        <v>9754</v>
      </c>
      <c r="H13" s="2">
        <f t="shared" si="4"/>
        <v>11850.5</v>
      </c>
      <c r="I13" s="48">
        <f t="shared" si="2"/>
        <v>-17.691236656681152</v>
      </c>
      <c r="J13">
        <v>1923</v>
      </c>
      <c r="L13" s="14">
        <f t="shared" si="3"/>
        <v>0</v>
      </c>
    </row>
    <row r="14" spans="1:54" x14ac:dyDescent="0.25">
      <c r="A14" s="35">
        <f t="shared" si="1"/>
        <v>38932</v>
      </c>
      <c r="C14">
        <v>280</v>
      </c>
      <c r="D14">
        <v>0</v>
      </c>
      <c r="E14">
        <v>9531.6</v>
      </c>
      <c r="F14">
        <v>11850.5</v>
      </c>
      <c r="G14" s="14">
        <f t="shared" si="4"/>
        <v>9811.6</v>
      </c>
      <c r="H14" s="2">
        <f t="shared" si="4"/>
        <v>11850.5</v>
      </c>
      <c r="I14" s="48">
        <f t="shared" si="2"/>
        <v>-17.205181215982446</v>
      </c>
      <c r="J14">
        <v>1923</v>
      </c>
      <c r="L14" s="14">
        <f t="shared" si="3"/>
        <v>57.600000000000364</v>
      </c>
    </row>
    <row r="15" spans="1:54" x14ac:dyDescent="0.25">
      <c r="A15" s="35">
        <f t="shared" si="1"/>
        <v>38939</v>
      </c>
      <c r="C15">
        <v>340</v>
      </c>
      <c r="D15">
        <v>0</v>
      </c>
      <c r="E15">
        <v>9531.6</v>
      </c>
      <c r="F15">
        <v>11850.5</v>
      </c>
      <c r="G15" s="14">
        <f t="shared" si="4"/>
        <v>9871.6</v>
      </c>
      <c r="H15" s="2">
        <f t="shared" si="4"/>
        <v>11850.5</v>
      </c>
      <c r="I15" s="48">
        <f t="shared" si="2"/>
        <v>-16.698873465254628</v>
      </c>
      <c r="J15">
        <v>2149</v>
      </c>
    </row>
    <row r="16" spans="1:54" x14ac:dyDescent="0.25">
      <c r="A16" s="35">
        <f t="shared" si="1"/>
        <v>38946</v>
      </c>
      <c r="C16">
        <v>225</v>
      </c>
      <c r="D16">
        <v>0</v>
      </c>
      <c r="E16">
        <v>9596.6</v>
      </c>
      <c r="F16">
        <v>11850.5</v>
      </c>
      <c r="G16" s="14">
        <f t="shared" si="4"/>
        <v>9821.6</v>
      </c>
      <c r="H16" s="2">
        <f t="shared" si="4"/>
        <v>11850.5</v>
      </c>
      <c r="I16" s="48">
        <f t="shared" si="2"/>
        <v>-17.120796590861143</v>
      </c>
      <c r="J16">
        <v>2250</v>
      </c>
    </row>
    <row r="17" spans="1:10" x14ac:dyDescent="0.25">
      <c r="A17" s="35">
        <f t="shared" si="1"/>
        <v>38953</v>
      </c>
      <c r="C17">
        <v>170</v>
      </c>
      <c r="D17">
        <v>0</v>
      </c>
      <c r="E17">
        <v>9596.6</v>
      </c>
      <c r="F17">
        <v>11850.5</v>
      </c>
      <c r="G17" s="14">
        <f t="shared" si="4"/>
        <v>9766.6</v>
      </c>
      <c r="H17" s="2">
        <f t="shared" si="4"/>
        <v>11850.5</v>
      </c>
      <c r="I17" s="48">
        <f t="shared" si="2"/>
        <v>-17.58491202902831</v>
      </c>
      <c r="J17">
        <v>2480</v>
      </c>
    </row>
    <row r="18" spans="1:10" x14ac:dyDescent="0.25">
      <c r="A18" s="35">
        <f t="shared" si="1"/>
        <v>38960</v>
      </c>
      <c r="C18">
        <v>60</v>
      </c>
      <c r="D18">
        <v>0</v>
      </c>
      <c r="E18">
        <v>9706.2999999999993</v>
      </c>
      <c r="F18">
        <v>11850.5</v>
      </c>
      <c r="G18" s="14">
        <f t="shared" si="4"/>
        <v>9766.2999999999993</v>
      </c>
      <c r="H18" s="2">
        <f t="shared" si="4"/>
        <v>11850.5</v>
      </c>
      <c r="I18" s="48">
        <f t="shared" si="2"/>
        <v>-17.587443567781957</v>
      </c>
      <c r="J18">
        <v>2770</v>
      </c>
    </row>
    <row r="19" spans="1:10" x14ac:dyDescent="0.25">
      <c r="A19" s="35">
        <f t="shared" si="1"/>
        <v>38967</v>
      </c>
      <c r="C19">
        <v>3081</v>
      </c>
      <c r="D19">
        <v>802</v>
      </c>
      <c r="E19">
        <v>0</v>
      </c>
      <c r="F19">
        <v>0</v>
      </c>
      <c r="G19" s="14">
        <f t="shared" si="4"/>
        <v>3081</v>
      </c>
      <c r="H19" s="2">
        <f t="shared" si="4"/>
        <v>802</v>
      </c>
      <c r="I19" s="48">
        <f t="shared" si="2"/>
        <v>284.16458852867834</v>
      </c>
    </row>
    <row r="20" spans="1:10" x14ac:dyDescent="0.25">
      <c r="A20" s="35">
        <f t="shared" si="1"/>
        <v>38974</v>
      </c>
      <c r="C20">
        <v>3295.4</v>
      </c>
      <c r="D20">
        <v>1025</v>
      </c>
      <c r="E20">
        <v>111.8</v>
      </c>
      <c r="F20">
        <v>0</v>
      </c>
      <c r="G20" s="14">
        <f t="shared" si="4"/>
        <v>3407.2000000000003</v>
      </c>
      <c r="H20" s="2">
        <f t="shared" si="4"/>
        <v>1025</v>
      </c>
      <c r="I20" s="48">
        <f t="shared" si="2"/>
        <v>232.409756097561</v>
      </c>
    </row>
    <row r="21" spans="1:10" x14ac:dyDescent="0.25">
      <c r="A21" s="35">
        <f t="shared" si="1"/>
        <v>38981</v>
      </c>
      <c r="C21">
        <v>3477</v>
      </c>
      <c r="D21">
        <v>1271</v>
      </c>
      <c r="E21">
        <v>171.5</v>
      </c>
      <c r="F21">
        <v>117.3</v>
      </c>
      <c r="G21" s="14">
        <f t="shared" si="4"/>
        <v>3648.5</v>
      </c>
      <c r="H21" s="2">
        <f t="shared" si="4"/>
        <v>1388.3</v>
      </c>
      <c r="I21" s="48">
        <f t="shared" si="2"/>
        <v>162.80342865374919</v>
      </c>
    </row>
    <row r="22" spans="1:10" x14ac:dyDescent="0.25">
      <c r="A22" s="35">
        <f t="shared" si="1"/>
        <v>38988</v>
      </c>
      <c r="C22">
        <v>3760</v>
      </c>
      <c r="D22">
        <v>1546</v>
      </c>
      <c r="E22">
        <v>459.3</v>
      </c>
      <c r="F22">
        <v>173.3</v>
      </c>
      <c r="G22" s="14">
        <f t="shared" si="4"/>
        <v>4219.3</v>
      </c>
      <c r="H22" s="2">
        <f t="shared" si="4"/>
        <v>1719.3</v>
      </c>
      <c r="I22" s="48">
        <f t="shared" si="2"/>
        <v>145.40801488978073</v>
      </c>
    </row>
    <row r="23" spans="1:10" x14ac:dyDescent="0.25">
      <c r="A23" s="35">
        <f t="shared" si="1"/>
        <v>38995</v>
      </c>
      <c r="C23">
        <v>4146.5</v>
      </c>
      <c r="D23">
        <v>1836</v>
      </c>
      <c r="E23">
        <v>573.6</v>
      </c>
      <c r="F23">
        <v>401.1</v>
      </c>
      <c r="G23" s="14">
        <f t="shared" si="4"/>
        <v>4720.1000000000004</v>
      </c>
      <c r="H23" s="2">
        <f t="shared" si="4"/>
        <v>2237.1</v>
      </c>
      <c r="I23" s="48">
        <f t="shared" si="2"/>
        <v>110.99190916811948</v>
      </c>
    </row>
    <row r="24" spans="1:10" x14ac:dyDescent="0.25">
      <c r="A24" s="35">
        <f t="shared" si="1"/>
        <v>39002</v>
      </c>
      <c r="C24">
        <v>4168.3999999999996</v>
      </c>
      <c r="D24">
        <v>1719</v>
      </c>
      <c r="E24">
        <v>940</v>
      </c>
      <c r="F24">
        <v>995.6</v>
      </c>
      <c r="G24" s="14">
        <f t="shared" si="4"/>
        <v>5108.3999999999996</v>
      </c>
      <c r="H24" s="2">
        <f t="shared" si="4"/>
        <v>2714.6</v>
      </c>
      <c r="I24" s="48">
        <f t="shared" si="2"/>
        <v>88.182420982833548</v>
      </c>
    </row>
    <row r="25" spans="1:10" x14ac:dyDescent="0.25">
      <c r="A25" s="35">
        <f t="shared" si="1"/>
        <v>39009</v>
      </c>
      <c r="C25">
        <v>3912.6</v>
      </c>
      <c r="D25">
        <v>1664</v>
      </c>
      <c r="E25">
        <v>1493.7</v>
      </c>
      <c r="F25">
        <v>1397.8</v>
      </c>
      <c r="G25" s="14">
        <f t="shared" si="4"/>
        <v>5406.3</v>
      </c>
      <c r="H25" s="2">
        <f t="shared" si="4"/>
        <v>3061.8</v>
      </c>
      <c r="I25" s="48">
        <f t="shared" si="2"/>
        <v>76.572604350382136</v>
      </c>
    </row>
    <row r="26" spans="1:10" x14ac:dyDescent="0.25">
      <c r="A26" s="35">
        <f t="shared" si="1"/>
        <v>39016</v>
      </c>
      <c r="C26">
        <v>3419.6</v>
      </c>
      <c r="D26">
        <v>1535</v>
      </c>
      <c r="E26">
        <v>2322.6</v>
      </c>
      <c r="F26">
        <v>1993.9</v>
      </c>
      <c r="G26" s="14">
        <f t="shared" si="4"/>
        <v>5742.2</v>
      </c>
      <c r="H26" s="2">
        <f t="shared" si="4"/>
        <v>3528.9</v>
      </c>
      <c r="I26" s="48">
        <f t="shared" si="2"/>
        <v>62.719260959505796</v>
      </c>
    </row>
    <row r="27" spans="1:10" x14ac:dyDescent="0.25">
      <c r="A27" s="35">
        <f t="shared" si="1"/>
        <v>39023</v>
      </c>
      <c r="C27">
        <v>3001.8</v>
      </c>
      <c r="D27">
        <v>1364</v>
      </c>
      <c r="E27">
        <v>2970.8</v>
      </c>
      <c r="F27">
        <v>2527.3000000000002</v>
      </c>
      <c r="G27" s="14">
        <f t="shared" si="4"/>
        <v>5972.6</v>
      </c>
      <c r="H27" s="2">
        <f t="shared" si="4"/>
        <v>3891.3</v>
      </c>
      <c r="I27" s="48">
        <f t="shared" si="2"/>
        <v>53.485981548582728</v>
      </c>
    </row>
    <row r="28" spans="1:10" x14ac:dyDescent="0.25">
      <c r="A28" s="35">
        <f t="shared" si="1"/>
        <v>39030</v>
      </c>
      <c r="C28">
        <v>2834.3</v>
      </c>
      <c r="D28">
        <v>1419</v>
      </c>
      <c r="E28">
        <v>3377.7</v>
      </c>
      <c r="F28">
        <v>2817.8</v>
      </c>
      <c r="G28" s="14">
        <f t="shared" si="4"/>
        <v>6212</v>
      </c>
      <c r="H28" s="2">
        <f t="shared" si="4"/>
        <v>4236.8</v>
      </c>
      <c r="I28" s="48">
        <f t="shared" si="2"/>
        <v>46.620090634441084</v>
      </c>
    </row>
    <row r="29" spans="1:10" x14ac:dyDescent="0.25">
      <c r="A29" s="35">
        <f t="shared" si="1"/>
        <v>39037</v>
      </c>
      <c r="C29">
        <v>2862.2</v>
      </c>
      <c r="D29">
        <v>1041</v>
      </c>
      <c r="E29">
        <v>3603.3</v>
      </c>
      <c r="F29">
        <v>3198.7</v>
      </c>
      <c r="G29" s="14">
        <f t="shared" si="4"/>
        <v>6465.5</v>
      </c>
      <c r="H29" s="2">
        <f t="shared" si="4"/>
        <v>4239.7</v>
      </c>
      <c r="I29" s="48">
        <f t="shared" si="2"/>
        <v>52.49899757058283</v>
      </c>
    </row>
    <row r="30" spans="1:10" x14ac:dyDescent="0.25">
      <c r="A30" s="35">
        <f t="shared" si="1"/>
        <v>39044</v>
      </c>
      <c r="C30">
        <v>2980.7</v>
      </c>
      <c r="D30">
        <v>973</v>
      </c>
      <c r="E30">
        <v>3835.7</v>
      </c>
      <c r="F30">
        <v>3559.5</v>
      </c>
      <c r="G30" s="14">
        <f t="shared" si="4"/>
        <v>6816.4</v>
      </c>
      <c r="H30" s="2">
        <f t="shared" si="4"/>
        <v>4532.5</v>
      </c>
      <c r="I30" s="48">
        <f t="shared" si="2"/>
        <v>50.389409817981232</v>
      </c>
    </row>
    <row r="31" spans="1:10" x14ac:dyDescent="0.25">
      <c r="A31" s="35">
        <f t="shared" si="1"/>
        <v>39051</v>
      </c>
      <c r="C31">
        <v>2706.5</v>
      </c>
      <c r="D31">
        <v>1028</v>
      </c>
      <c r="E31">
        <v>4236.7</v>
      </c>
      <c r="F31">
        <v>4027.6</v>
      </c>
      <c r="G31" s="14">
        <f t="shared" si="4"/>
        <v>6943.2</v>
      </c>
      <c r="H31" s="2">
        <f t="shared" si="4"/>
        <v>5055.6000000000004</v>
      </c>
      <c r="I31" s="48">
        <f t="shared" si="2"/>
        <v>37.3368146214099</v>
      </c>
    </row>
    <row r="32" spans="1:10" x14ac:dyDescent="0.25">
      <c r="A32" s="35">
        <f t="shared" si="1"/>
        <v>39058</v>
      </c>
      <c r="C32">
        <v>2780</v>
      </c>
      <c r="D32">
        <v>857</v>
      </c>
      <c r="E32">
        <v>4632.8999999999996</v>
      </c>
      <c r="F32">
        <v>4265.2</v>
      </c>
      <c r="G32" s="14">
        <f t="shared" si="4"/>
        <v>7412.9</v>
      </c>
      <c r="H32" s="2">
        <f t="shared" si="4"/>
        <v>5122.2</v>
      </c>
      <c r="I32" s="48">
        <f t="shared" si="2"/>
        <v>44.72101831244386</v>
      </c>
    </row>
    <row r="33" spans="1:12" x14ac:dyDescent="0.25">
      <c r="A33" s="35">
        <f t="shared" si="1"/>
        <v>39065</v>
      </c>
      <c r="C33">
        <v>2736.1</v>
      </c>
      <c r="D33">
        <v>910</v>
      </c>
      <c r="E33">
        <v>4912.1000000000004</v>
      </c>
      <c r="F33">
        <v>4507.2</v>
      </c>
      <c r="G33" s="14">
        <f t="shared" si="4"/>
        <v>7648.2000000000007</v>
      </c>
      <c r="H33" s="2">
        <f t="shared" si="4"/>
        <v>5417.2</v>
      </c>
      <c r="I33" s="48">
        <f t="shared" si="2"/>
        <v>41.183637303403998</v>
      </c>
    </row>
    <row r="34" spans="1:12" x14ac:dyDescent="0.25">
      <c r="A34" s="35">
        <f t="shared" si="1"/>
        <v>39072</v>
      </c>
      <c r="C34">
        <v>2814.9</v>
      </c>
      <c r="D34">
        <v>1096</v>
      </c>
      <c r="E34">
        <v>5292.1</v>
      </c>
      <c r="F34">
        <v>4798.2</v>
      </c>
      <c r="G34" s="14">
        <f t="shared" si="4"/>
        <v>8107</v>
      </c>
      <c r="H34" s="2">
        <f t="shared" si="4"/>
        <v>5894.2</v>
      </c>
      <c r="I34" s="48">
        <f t="shared" si="2"/>
        <v>37.541990431271422</v>
      </c>
    </row>
    <row r="35" spans="1:12" x14ac:dyDescent="0.25">
      <c r="A35" s="35">
        <f t="shared" si="1"/>
        <v>39079</v>
      </c>
      <c r="C35">
        <v>2827.8</v>
      </c>
      <c r="D35">
        <v>1158.5</v>
      </c>
      <c r="E35">
        <v>5509.7</v>
      </c>
      <c r="F35">
        <v>4854</v>
      </c>
      <c r="G35" s="14">
        <f t="shared" si="4"/>
        <v>8337.5</v>
      </c>
      <c r="H35" s="2">
        <f t="shared" si="4"/>
        <v>6012.5</v>
      </c>
      <c r="I35" s="48">
        <f t="shared" si="2"/>
        <v>38.669438669438662</v>
      </c>
    </row>
    <row r="36" spans="1:12" x14ac:dyDescent="0.25">
      <c r="A36" s="35">
        <f t="shared" si="1"/>
        <v>39086</v>
      </c>
      <c r="C36">
        <v>2840.8</v>
      </c>
      <c r="D36">
        <v>1144</v>
      </c>
      <c r="E36">
        <v>5748.7</v>
      </c>
      <c r="F36">
        <v>5136</v>
      </c>
      <c r="G36" s="14">
        <f t="shared" si="4"/>
        <v>8589.5</v>
      </c>
      <c r="H36" s="2">
        <f t="shared" si="4"/>
        <v>6280</v>
      </c>
      <c r="I36" s="48">
        <f t="shared" si="2"/>
        <v>36.775477707006374</v>
      </c>
    </row>
    <row r="37" spans="1:12" x14ac:dyDescent="0.25">
      <c r="A37" s="35">
        <f t="shared" si="1"/>
        <v>39093</v>
      </c>
      <c r="C37">
        <v>3071.8</v>
      </c>
      <c r="D37">
        <v>1643</v>
      </c>
      <c r="E37">
        <v>5971.9</v>
      </c>
      <c r="F37">
        <v>5136</v>
      </c>
      <c r="G37" s="14">
        <f t="shared" si="4"/>
        <v>9043.7000000000007</v>
      </c>
      <c r="H37" s="2">
        <f t="shared" si="4"/>
        <v>6779</v>
      </c>
      <c r="I37" s="48">
        <f t="shared" si="2"/>
        <v>33.407582239268343</v>
      </c>
    </row>
    <row r="38" spans="1:12" x14ac:dyDescent="0.25">
      <c r="A38" s="35">
        <f t="shared" si="1"/>
        <v>39100</v>
      </c>
      <c r="C38">
        <v>3084.8</v>
      </c>
      <c r="D38">
        <v>1458</v>
      </c>
      <c r="E38">
        <v>6219.1</v>
      </c>
      <c r="F38">
        <v>5538.4</v>
      </c>
      <c r="G38" s="14">
        <f t="shared" si="4"/>
        <v>9303.9000000000015</v>
      </c>
      <c r="H38" s="2">
        <f t="shared" si="4"/>
        <v>6996.4</v>
      </c>
      <c r="I38" s="48">
        <f t="shared" si="2"/>
        <v>32.98124749871365</v>
      </c>
    </row>
    <row r="39" spans="1:12" x14ac:dyDescent="0.25">
      <c r="A39" s="35">
        <f t="shared" si="1"/>
        <v>39107</v>
      </c>
      <c r="C39">
        <v>2792.8</v>
      </c>
      <c r="D39">
        <v>1352</v>
      </c>
      <c r="E39">
        <v>6688.3</v>
      </c>
      <c r="F39">
        <v>5715.2</v>
      </c>
      <c r="G39" s="14">
        <f t="shared" ref="G39:H41" si="5">+C39+E39</f>
        <v>9481.1</v>
      </c>
      <c r="H39" s="2">
        <f t="shared" si="5"/>
        <v>7067.2</v>
      </c>
      <c r="I39" s="48">
        <f t="shared" ref="I39:I44" si="6">+(G39/H39-1)*100</f>
        <v>34.156384423817073</v>
      </c>
    </row>
    <row r="40" spans="1:12" x14ac:dyDescent="0.25">
      <c r="A40" s="35">
        <f t="shared" si="1"/>
        <v>39114</v>
      </c>
      <c r="C40">
        <v>2655.2</v>
      </c>
      <c r="D40">
        <v>1189</v>
      </c>
      <c r="E40">
        <v>7159.1</v>
      </c>
      <c r="F40">
        <v>6129.6</v>
      </c>
      <c r="G40" s="14">
        <f t="shared" si="5"/>
        <v>9814.2999999999993</v>
      </c>
      <c r="H40" s="2">
        <f t="shared" si="5"/>
        <v>7318.6</v>
      </c>
      <c r="I40" s="48">
        <f t="shared" si="6"/>
        <v>34.100784303008759</v>
      </c>
    </row>
    <row r="41" spans="1:12" x14ac:dyDescent="0.25">
      <c r="A41" s="35">
        <f t="shared" si="1"/>
        <v>39121</v>
      </c>
      <c r="C41">
        <v>2266.5</v>
      </c>
      <c r="D41">
        <v>1018</v>
      </c>
      <c r="E41">
        <v>7799.9</v>
      </c>
      <c r="F41">
        <v>6660.9</v>
      </c>
      <c r="G41" s="14">
        <f t="shared" si="5"/>
        <v>10066.4</v>
      </c>
      <c r="H41" s="2">
        <f t="shared" si="5"/>
        <v>7678.9</v>
      </c>
      <c r="I41" s="48">
        <f t="shared" si="6"/>
        <v>31.091692820586282</v>
      </c>
      <c r="L41" s="14">
        <f t="shared" ref="L41:L56" si="7">+G41-G40</f>
        <v>252.10000000000036</v>
      </c>
    </row>
    <row r="42" spans="1:12" x14ac:dyDescent="0.25">
      <c r="A42" s="35">
        <f t="shared" si="1"/>
        <v>39128</v>
      </c>
      <c r="C42">
        <v>2158.6</v>
      </c>
      <c r="D42">
        <v>850</v>
      </c>
      <c r="E42">
        <v>8102.4</v>
      </c>
      <c r="F42">
        <v>7238.2</v>
      </c>
      <c r="G42" s="14">
        <f t="shared" ref="G42:H44" si="8">+C42+E42</f>
        <v>10261</v>
      </c>
      <c r="H42" s="2">
        <f t="shared" si="8"/>
        <v>8088.2</v>
      </c>
      <c r="I42" s="48">
        <f t="shared" si="6"/>
        <v>26.86382631487847</v>
      </c>
      <c r="L42" s="14">
        <f t="shared" si="7"/>
        <v>194.60000000000036</v>
      </c>
    </row>
    <row r="43" spans="1:12" x14ac:dyDescent="0.25">
      <c r="A43" s="35">
        <f t="shared" si="1"/>
        <v>39135</v>
      </c>
      <c r="C43">
        <v>1971.2</v>
      </c>
      <c r="D43">
        <v>865</v>
      </c>
      <c r="E43">
        <v>8534.4</v>
      </c>
      <c r="F43">
        <v>7473.7</v>
      </c>
      <c r="G43" s="14">
        <f t="shared" si="8"/>
        <v>10505.6</v>
      </c>
      <c r="H43" s="2">
        <f t="shared" si="8"/>
        <v>8338.7000000000007</v>
      </c>
      <c r="I43" s="48">
        <f t="shared" si="6"/>
        <v>25.98606497415663</v>
      </c>
      <c r="L43" s="14">
        <f t="shared" si="7"/>
        <v>244.60000000000036</v>
      </c>
    </row>
    <row r="44" spans="1:12" x14ac:dyDescent="0.25">
      <c r="A44" s="35">
        <f t="shared" si="1"/>
        <v>39142</v>
      </c>
      <c r="C44">
        <v>1884.8</v>
      </c>
      <c r="D44">
        <v>914</v>
      </c>
      <c r="E44">
        <v>8855.9</v>
      </c>
      <c r="F44">
        <v>7760.8</v>
      </c>
      <c r="G44" s="14">
        <f t="shared" si="8"/>
        <v>10740.699999999999</v>
      </c>
      <c r="H44" s="2">
        <f t="shared" si="8"/>
        <v>8674.7999999999993</v>
      </c>
      <c r="I44" s="48">
        <f t="shared" si="6"/>
        <v>23.814958269931296</v>
      </c>
      <c r="L44" s="14">
        <f t="shared" si="7"/>
        <v>235.09999999999854</v>
      </c>
    </row>
    <row r="45" spans="1:12" x14ac:dyDescent="0.25">
      <c r="A45" s="35">
        <f t="shared" si="1"/>
        <v>39149</v>
      </c>
      <c r="C45">
        <v>1705.4</v>
      </c>
      <c r="D45">
        <v>791</v>
      </c>
      <c r="E45">
        <v>9138.6</v>
      </c>
      <c r="F45">
        <v>8194.2000000000007</v>
      </c>
      <c r="G45" s="14">
        <f t="shared" ref="G45:H47" si="9">+C45+E45</f>
        <v>10844</v>
      </c>
      <c r="H45" s="2">
        <f t="shared" si="9"/>
        <v>8985.2000000000007</v>
      </c>
      <c r="I45" s="48">
        <f t="shared" ref="I45:I50" si="10">+(G45/H45-1)*100</f>
        <v>20.687352535280223</v>
      </c>
      <c r="L45" s="14">
        <f t="shared" si="7"/>
        <v>103.30000000000109</v>
      </c>
    </row>
    <row r="46" spans="1:12" x14ac:dyDescent="0.25">
      <c r="A46" s="35">
        <f t="shared" si="1"/>
        <v>39156</v>
      </c>
      <c r="C46">
        <v>1545.5</v>
      </c>
      <c r="D46">
        <v>633</v>
      </c>
      <c r="E46">
        <v>9426</v>
      </c>
      <c r="F46">
        <v>8417.2000000000007</v>
      </c>
      <c r="G46" s="14">
        <f t="shared" si="9"/>
        <v>10971.5</v>
      </c>
      <c r="H46" s="2">
        <f t="shared" si="9"/>
        <v>9050.2000000000007</v>
      </c>
      <c r="I46" s="48">
        <f t="shared" si="10"/>
        <v>21.229365096903919</v>
      </c>
      <c r="L46" s="14">
        <f t="shared" si="7"/>
        <v>127.5</v>
      </c>
    </row>
    <row r="47" spans="1:12" x14ac:dyDescent="0.25">
      <c r="A47" s="35">
        <f t="shared" si="1"/>
        <v>39163</v>
      </c>
      <c r="C47">
        <v>1467.8</v>
      </c>
      <c r="D47">
        <v>293</v>
      </c>
      <c r="E47">
        <v>9579.7999999999993</v>
      </c>
      <c r="F47">
        <v>8870</v>
      </c>
      <c r="G47" s="14">
        <f t="shared" si="9"/>
        <v>11047.599999999999</v>
      </c>
      <c r="H47" s="2">
        <f t="shared" si="9"/>
        <v>9163</v>
      </c>
      <c r="I47" s="48">
        <f t="shared" si="10"/>
        <v>20.567499727163586</v>
      </c>
      <c r="L47" s="14">
        <f t="shared" si="7"/>
        <v>76.099999999998545</v>
      </c>
    </row>
    <row r="48" spans="1:12" x14ac:dyDescent="0.25">
      <c r="A48" s="35">
        <f t="shared" si="1"/>
        <v>39170</v>
      </c>
      <c r="C48">
        <v>1186.0999999999999</v>
      </c>
      <c r="D48">
        <v>153</v>
      </c>
      <c r="E48">
        <v>9882.2000000000007</v>
      </c>
      <c r="F48">
        <v>9081.7000000000007</v>
      </c>
      <c r="G48" s="14">
        <f t="shared" ref="G48:H50" si="11">+C48+E48</f>
        <v>11068.300000000001</v>
      </c>
      <c r="H48" s="2">
        <f t="shared" si="11"/>
        <v>9234.7000000000007</v>
      </c>
      <c r="I48" s="48">
        <f t="shared" si="10"/>
        <v>19.855544847152593</v>
      </c>
      <c r="L48" s="14">
        <f t="shared" si="7"/>
        <v>20.700000000002547</v>
      </c>
    </row>
    <row r="49" spans="1:12" x14ac:dyDescent="0.25">
      <c r="A49" s="35">
        <f t="shared" si="1"/>
        <v>39177</v>
      </c>
      <c r="C49">
        <v>952.3</v>
      </c>
      <c r="D49">
        <v>153</v>
      </c>
      <c r="E49">
        <v>10131.1</v>
      </c>
      <c r="F49">
        <v>9081.7000000000007</v>
      </c>
      <c r="G49" s="14">
        <f t="shared" si="11"/>
        <v>11083.4</v>
      </c>
      <c r="H49" s="2">
        <f t="shared" si="11"/>
        <v>9234.7000000000007</v>
      </c>
      <c r="I49" s="48">
        <f t="shared" si="10"/>
        <v>20.019058550900404</v>
      </c>
      <c r="L49" s="14">
        <f t="shared" si="7"/>
        <v>15.099999999998545</v>
      </c>
    </row>
    <row r="50" spans="1:12" x14ac:dyDescent="0.25">
      <c r="A50" s="35">
        <f t="shared" si="1"/>
        <v>39184</v>
      </c>
      <c r="C50">
        <v>819.5</v>
      </c>
      <c r="D50">
        <v>60</v>
      </c>
      <c r="E50">
        <v>10280.9</v>
      </c>
      <c r="F50">
        <v>9180.5</v>
      </c>
      <c r="G50" s="14">
        <f t="shared" si="11"/>
        <v>11100.4</v>
      </c>
      <c r="H50" s="2">
        <f t="shared" si="11"/>
        <v>9240.5</v>
      </c>
      <c r="I50" s="48">
        <f t="shared" si="10"/>
        <v>20.127698717601849</v>
      </c>
      <c r="L50" s="14">
        <f t="shared" si="7"/>
        <v>17</v>
      </c>
    </row>
    <row r="51" spans="1:12" x14ac:dyDescent="0.25">
      <c r="A51" s="35">
        <f t="shared" si="1"/>
        <v>39191</v>
      </c>
      <c r="C51">
        <v>828.5</v>
      </c>
      <c r="D51">
        <v>60</v>
      </c>
      <c r="E51">
        <v>10336.200000000001</v>
      </c>
      <c r="F51">
        <v>9225.4</v>
      </c>
      <c r="G51" s="14">
        <f t="shared" ref="G51:H53" si="12">+C51+E51</f>
        <v>11164.7</v>
      </c>
      <c r="H51" s="2">
        <f t="shared" si="12"/>
        <v>9285.4</v>
      </c>
      <c r="I51" s="48">
        <f t="shared" ref="I51:I57" si="13">+(G51/H51-1)*100</f>
        <v>20.23930040709072</v>
      </c>
      <c r="L51" s="14">
        <f t="shared" si="7"/>
        <v>64.300000000001091</v>
      </c>
    </row>
    <row r="52" spans="1:12" x14ac:dyDescent="0.25">
      <c r="A52" s="35">
        <f t="shared" si="1"/>
        <v>39198</v>
      </c>
      <c r="C52">
        <v>340.8</v>
      </c>
      <c r="D52">
        <v>0</v>
      </c>
      <c r="E52">
        <v>10469.1</v>
      </c>
      <c r="F52">
        <v>9291.4</v>
      </c>
      <c r="G52" s="14">
        <f t="shared" si="12"/>
        <v>10809.9</v>
      </c>
      <c r="H52" s="2">
        <f t="shared" si="12"/>
        <v>9291.4</v>
      </c>
      <c r="I52" s="48">
        <f t="shared" si="13"/>
        <v>16.343069935639409</v>
      </c>
      <c r="L52" s="14"/>
    </row>
    <row r="53" spans="1:12" x14ac:dyDescent="0.25">
      <c r="A53" s="35">
        <f t="shared" si="1"/>
        <v>39205</v>
      </c>
      <c r="C53">
        <v>285.8</v>
      </c>
      <c r="D53">
        <v>0</v>
      </c>
      <c r="E53">
        <v>10640.2</v>
      </c>
      <c r="F53">
        <v>9291.4</v>
      </c>
      <c r="G53" s="14">
        <f t="shared" si="12"/>
        <v>10926</v>
      </c>
      <c r="H53" s="2">
        <f t="shared" si="12"/>
        <v>9291.4</v>
      </c>
      <c r="I53" s="48">
        <f t="shared" si="13"/>
        <v>17.592612523408757</v>
      </c>
      <c r="J53">
        <v>302</v>
      </c>
      <c r="L53" s="14">
        <f t="shared" si="7"/>
        <v>116.10000000000036</v>
      </c>
    </row>
    <row r="54" spans="1:12" x14ac:dyDescent="0.25">
      <c r="A54" s="35">
        <f t="shared" si="1"/>
        <v>39212</v>
      </c>
      <c r="C54">
        <v>225.8</v>
      </c>
      <c r="D54">
        <v>60</v>
      </c>
      <c r="E54">
        <v>10706.2</v>
      </c>
      <c r="F54">
        <v>9291.4</v>
      </c>
      <c r="G54" s="14">
        <f t="shared" ref="G54:H57" si="14">+C54+E54</f>
        <v>10932</v>
      </c>
      <c r="H54" s="2">
        <f t="shared" si="14"/>
        <v>9351.4</v>
      </c>
      <c r="I54" s="48">
        <f t="shared" si="13"/>
        <v>16.90228201124966</v>
      </c>
      <c r="J54">
        <v>362</v>
      </c>
      <c r="L54" s="14">
        <f t="shared" si="7"/>
        <v>6</v>
      </c>
    </row>
    <row r="55" spans="1:12" x14ac:dyDescent="0.25">
      <c r="A55" s="35">
        <f t="shared" si="1"/>
        <v>39219</v>
      </c>
      <c r="C55">
        <v>286.8</v>
      </c>
      <c r="D55">
        <v>60</v>
      </c>
      <c r="E55">
        <v>10706.9</v>
      </c>
      <c r="F55">
        <v>9291.4</v>
      </c>
      <c r="G55" s="14">
        <f t="shared" si="14"/>
        <v>10993.699999999999</v>
      </c>
      <c r="H55" s="2">
        <f t="shared" si="14"/>
        <v>9351.4</v>
      </c>
      <c r="I55" s="48">
        <f t="shared" si="13"/>
        <v>17.562076266655247</v>
      </c>
      <c r="J55">
        <v>2564</v>
      </c>
      <c r="L55" s="14">
        <f t="shared" si="7"/>
        <v>61.699999999998909</v>
      </c>
    </row>
    <row r="56" spans="1:12" x14ac:dyDescent="0.25">
      <c r="A56" s="35">
        <f t="shared" si="1"/>
        <v>39226</v>
      </c>
      <c r="C56">
        <v>291.10000000000002</v>
      </c>
      <c r="D56">
        <v>60</v>
      </c>
      <c r="E56">
        <v>10770.9</v>
      </c>
      <c r="F56">
        <v>9346.2000000000007</v>
      </c>
      <c r="G56" s="14">
        <f t="shared" si="14"/>
        <v>11062</v>
      </c>
      <c r="H56" s="2">
        <f t="shared" si="14"/>
        <v>9406.2000000000007</v>
      </c>
      <c r="I56" s="48">
        <f t="shared" si="13"/>
        <v>17.603282941038877</v>
      </c>
      <c r="J56">
        <v>3064</v>
      </c>
      <c r="L56" s="14">
        <f t="shared" si="7"/>
        <v>68.300000000001091</v>
      </c>
    </row>
    <row r="57" spans="1:12" x14ac:dyDescent="0.25">
      <c r="A57" s="35">
        <f t="shared" si="1"/>
        <v>39233</v>
      </c>
      <c r="C57">
        <v>292.89999999999998</v>
      </c>
      <c r="D57">
        <v>60</v>
      </c>
      <c r="E57">
        <v>10770.9</v>
      </c>
      <c r="F57">
        <v>9346.2000000000007</v>
      </c>
      <c r="G57" s="14">
        <f t="shared" si="14"/>
        <v>11063.8</v>
      </c>
      <c r="H57" s="2">
        <f t="shared" si="14"/>
        <v>9406.2000000000007</v>
      </c>
      <c r="I57" s="48">
        <f t="shared" si="13"/>
        <v>17.622419255384724</v>
      </c>
      <c r="J57">
        <v>3064</v>
      </c>
    </row>
    <row r="58" spans="1:12" x14ac:dyDescent="0.25">
      <c r="A58" s="35">
        <f t="shared" si="1"/>
        <v>39240</v>
      </c>
      <c r="C58">
        <v>290.60000000000002</v>
      </c>
      <c r="D58">
        <v>173</v>
      </c>
      <c r="E58">
        <v>10773.2</v>
      </c>
      <c r="F58">
        <v>9346.2000000000007</v>
      </c>
      <c r="G58" s="14">
        <f t="shared" ref="G58:H60" si="15">+C58+E58</f>
        <v>11063.800000000001</v>
      </c>
      <c r="H58" s="2">
        <f t="shared" si="15"/>
        <v>9519.2000000000007</v>
      </c>
      <c r="I58" s="48">
        <f t="shared" ref="I58:I63" si="16">+(G58/H58-1)*100</f>
        <v>16.226153458273807</v>
      </c>
      <c r="J58">
        <v>3064</v>
      </c>
    </row>
    <row r="59" spans="1:12" x14ac:dyDescent="0.25">
      <c r="A59" s="35">
        <f t="shared" si="1"/>
        <v>39247</v>
      </c>
      <c r="C59">
        <v>338.6</v>
      </c>
      <c r="D59">
        <v>173</v>
      </c>
      <c r="E59">
        <v>10775.7</v>
      </c>
      <c r="F59">
        <v>9346.2000000000007</v>
      </c>
      <c r="G59" s="14">
        <f t="shared" si="15"/>
        <v>11114.300000000001</v>
      </c>
      <c r="H59" s="2">
        <f t="shared" si="15"/>
        <v>9519.2000000000007</v>
      </c>
      <c r="I59" s="48">
        <f t="shared" si="16"/>
        <v>16.756660223548202</v>
      </c>
      <c r="J59">
        <v>3064</v>
      </c>
    </row>
    <row r="60" spans="1:12" x14ac:dyDescent="0.25">
      <c r="A60" s="35">
        <f t="shared" si="1"/>
        <v>39254</v>
      </c>
      <c r="C60">
        <v>228</v>
      </c>
      <c r="D60">
        <v>289</v>
      </c>
      <c r="E60">
        <v>10950.7</v>
      </c>
      <c r="F60">
        <v>9346.2000000000007</v>
      </c>
      <c r="G60" s="14">
        <f t="shared" si="15"/>
        <v>11178.7</v>
      </c>
      <c r="H60" s="2">
        <f t="shared" si="15"/>
        <v>9635.2000000000007</v>
      </c>
      <c r="I60" s="48">
        <f t="shared" si="16"/>
        <v>16.019387246761863</v>
      </c>
      <c r="J60">
        <v>3064</v>
      </c>
    </row>
    <row r="61" spans="1:12" x14ac:dyDescent="0.25">
      <c r="A61" s="35">
        <f t="shared" si="1"/>
        <v>39261</v>
      </c>
      <c r="C61">
        <v>228</v>
      </c>
      <c r="D61">
        <v>367</v>
      </c>
      <c r="E61">
        <v>10950.7</v>
      </c>
      <c r="F61">
        <v>9346.2000000000007</v>
      </c>
      <c r="G61" s="14">
        <f t="shared" ref="G61:H63" si="17">+C61+E61</f>
        <v>11178.7</v>
      </c>
      <c r="H61" s="2">
        <f t="shared" si="17"/>
        <v>9713.2000000000007</v>
      </c>
      <c r="I61" s="48">
        <f t="shared" si="16"/>
        <v>15.087715685870773</v>
      </c>
      <c r="J61">
        <v>3184</v>
      </c>
    </row>
    <row r="62" spans="1:12" x14ac:dyDescent="0.25">
      <c r="A62" s="35">
        <f t="shared" si="1"/>
        <v>39268</v>
      </c>
      <c r="C62">
        <v>228</v>
      </c>
      <c r="D62">
        <v>482</v>
      </c>
      <c r="E62">
        <v>11010.4</v>
      </c>
      <c r="F62">
        <v>9346.2000000000007</v>
      </c>
      <c r="G62" s="14">
        <f t="shared" si="17"/>
        <v>11238.4</v>
      </c>
      <c r="H62" s="2">
        <f t="shared" si="17"/>
        <v>9828.2000000000007</v>
      </c>
      <c r="I62" s="48">
        <f t="shared" si="16"/>
        <v>14.348507356382644</v>
      </c>
      <c r="J62">
        <v>3184</v>
      </c>
    </row>
    <row r="63" spans="1:12" x14ac:dyDescent="0.25">
      <c r="A63" s="35">
        <f t="shared" si="1"/>
        <v>39275</v>
      </c>
      <c r="C63">
        <v>233</v>
      </c>
      <c r="D63">
        <v>406</v>
      </c>
      <c r="E63">
        <v>11010.4</v>
      </c>
      <c r="F63">
        <v>9408</v>
      </c>
      <c r="G63" s="14">
        <f t="shared" si="17"/>
        <v>11243.4</v>
      </c>
      <c r="H63" s="2">
        <f t="shared" si="17"/>
        <v>9814</v>
      </c>
      <c r="I63" s="48">
        <f t="shared" si="16"/>
        <v>14.564907275320959</v>
      </c>
      <c r="J63">
        <v>3184</v>
      </c>
    </row>
    <row r="64" spans="1:12" x14ac:dyDescent="0.25">
      <c r="A64" s="35">
        <f t="shared" si="1"/>
        <v>39282</v>
      </c>
      <c r="C64">
        <v>293</v>
      </c>
      <c r="D64">
        <v>346</v>
      </c>
      <c r="E64">
        <v>11010.4</v>
      </c>
      <c r="F64">
        <v>9408</v>
      </c>
      <c r="G64" s="14">
        <f t="shared" ref="G64:H66" si="18">+C64+E64</f>
        <v>11303.4</v>
      </c>
      <c r="H64" s="2">
        <f t="shared" si="18"/>
        <v>9754</v>
      </c>
      <c r="I64" s="48">
        <f t="shared" ref="I64:I69" si="19">+(G64/H64-1)*100</f>
        <v>15.884765224523267</v>
      </c>
      <c r="J64">
        <v>3184</v>
      </c>
    </row>
    <row r="65" spans="1:10" x14ac:dyDescent="0.25">
      <c r="A65" s="35">
        <f t="shared" si="1"/>
        <v>39289</v>
      </c>
      <c r="C65">
        <v>292.60000000000002</v>
      </c>
      <c r="D65">
        <v>346</v>
      </c>
      <c r="E65">
        <v>11010.9</v>
      </c>
      <c r="F65">
        <v>9408</v>
      </c>
      <c r="G65" s="14">
        <f t="shared" si="18"/>
        <v>11303.5</v>
      </c>
      <c r="H65" s="2">
        <f t="shared" si="18"/>
        <v>9754</v>
      </c>
      <c r="I65" s="48">
        <f t="shared" si="19"/>
        <v>15.88579044494567</v>
      </c>
      <c r="J65">
        <v>3304</v>
      </c>
    </row>
    <row r="66" spans="1:10" x14ac:dyDescent="0.25">
      <c r="A66" s="35">
        <f t="shared" si="1"/>
        <v>39296</v>
      </c>
      <c r="C66">
        <v>279.60000000000002</v>
      </c>
      <c r="D66">
        <v>280</v>
      </c>
      <c r="E66">
        <v>11139.6</v>
      </c>
      <c r="F66">
        <v>9531.6</v>
      </c>
      <c r="G66" s="14">
        <f t="shared" si="18"/>
        <v>11419.2</v>
      </c>
      <c r="H66" s="2">
        <f t="shared" si="18"/>
        <v>9811.6</v>
      </c>
      <c r="I66" s="48">
        <f t="shared" si="19"/>
        <v>16.384687512740026</v>
      </c>
      <c r="J66">
        <v>3424</v>
      </c>
    </row>
    <row r="67" spans="1:10" x14ac:dyDescent="0.25">
      <c r="A67" s="35">
        <f t="shared" si="1"/>
        <v>39303</v>
      </c>
      <c r="C67">
        <v>388</v>
      </c>
      <c r="D67">
        <v>340</v>
      </c>
      <c r="E67">
        <v>11141.2</v>
      </c>
      <c r="F67">
        <v>9531.6</v>
      </c>
      <c r="G67" s="14">
        <f t="shared" ref="G67:H69" si="20">+C67+E67</f>
        <v>11529.2</v>
      </c>
      <c r="H67" s="2">
        <f t="shared" si="20"/>
        <v>9871.6</v>
      </c>
      <c r="I67" s="48">
        <f t="shared" si="19"/>
        <v>16.791604197901044</v>
      </c>
      <c r="J67">
        <v>3484</v>
      </c>
    </row>
    <row r="68" spans="1:10" x14ac:dyDescent="0.25">
      <c r="A68" s="35">
        <f t="shared" si="1"/>
        <v>39310</v>
      </c>
      <c r="C68">
        <v>302</v>
      </c>
      <c r="D68">
        <v>225</v>
      </c>
      <c r="E68">
        <v>11201.2</v>
      </c>
      <c r="F68">
        <v>9596.6</v>
      </c>
      <c r="G68" s="14">
        <f t="shared" si="20"/>
        <v>11503.2</v>
      </c>
      <c r="H68" s="2">
        <f t="shared" si="20"/>
        <v>9821.6</v>
      </c>
      <c r="I68" s="48">
        <f t="shared" si="19"/>
        <v>17.121446607477409</v>
      </c>
      <c r="J68">
        <v>4012</v>
      </c>
    </row>
    <row r="69" spans="1:10" x14ac:dyDescent="0.25">
      <c r="A69" s="35">
        <f t="shared" si="1"/>
        <v>39317</v>
      </c>
      <c r="C69">
        <v>185.6</v>
      </c>
      <c r="D69">
        <v>170</v>
      </c>
      <c r="E69">
        <v>11270.3</v>
      </c>
      <c r="F69">
        <v>9596.6</v>
      </c>
      <c r="G69" s="14">
        <f t="shared" si="20"/>
        <v>11455.9</v>
      </c>
      <c r="H69" s="2">
        <f t="shared" si="20"/>
        <v>9766.6</v>
      </c>
      <c r="I69" s="48">
        <f t="shared" si="19"/>
        <v>17.296705096963105</v>
      </c>
      <c r="J69">
        <v>4164</v>
      </c>
    </row>
    <row r="70" spans="1:10" x14ac:dyDescent="0.25">
      <c r="A70" s="35">
        <f t="shared" si="1"/>
        <v>39324</v>
      </c>
      <c r="C70">
        <v>75.599999999999994</v>
      </c>
      <c r="D70">
        <v>60</v>
      </c>
      <c r="E70">
        <v>11453.5</v>
      </c>
      <c r="F70">
        <v>9706.2999999999993</v>
      </c>
      <c r="G70" s="14">
        <f t="shared" ref="G70:H72" si="21">+C70+E70</f>
        <v>11529.1</v>
      </c>
      <c r="H70" s="2">
        <f t="shared" si="21"/>
        <v>9766.2999999999993</v>
      </c>
      <c r="I70" s="48">
        <f t="shared" ref="I70:I75" si="22">+(G70/H70-1)*100</f>
        <v>18.049824396137758</v>
      </c>
      <c r="J70">
        <v>4375</v>
      </c>
    </row>
    <row r="71" spans="1:10" x14ac:dyDescent="0.25">
      <c r="A71" s="64">
        <f t="shared" si="1"/>
        <v>39331</v>
      </c>
      <c r="C71">
        <v>4571.5</v>
      </c>
      <c r="D71">
        <v>3081</v>
      </c>
      <c r="E71">
        <v>20.5</v>
      </c>
      <c r="F71">
        <v>0</v>
      </c>
      <c r="G71" s="14">
        <f t="shared" si="21"/>
        <v>4592</v>
      </c>
      <c r="H71" s="2">
        <f t="shared" si="21"/>
        <v>3081</v>
      </c>
      <c r="I71" s="48">
        <f t="shared" si="22"/>
        <v>49.042518662771826</v>
      </c>
    </row>
    <row r="72" spans="1:10" x14ac:dyDescent="0.25">
      <c r="A72" s="35">
        <f t="shared" si="1"/>
        <v>39338</v>
      </c>
      <c r="C72">
        <v>4591.5</v>
      </c>
      <c r="D72">
        <v>3295.4</v>
      </c>
      <c r="E72">
        <v>141.6</v>
      </c>
      <c r="F72">
        <v>111.8</v>
      </c>
      <c r="G72" s="14">
        <f t="shared" si="21"/>
        <v>4733.1000000000004</v>
      </c>
      <c r="H72" s="2">
        <f t="shared" si="21"/>
        <v>3407.2000000000003</v>
      </c>
      <c r="I72" s="48">
        <f t="shared" si="22"/>
        <v>38.914651326602481</v>
      </c>
    </row>
    <row r="73" spans="1:10" x14ac:dyDescent="0.25">
      <c r="A73" s="35">
        <f t="shared" si="1"/>
        <v>39345</v>
      </c>
      <c r="C73">
        <v>4700.3</v>
      </c>
      <c r="D73">
        <v>3477</v>
      </c>
      <c r="E73">
        <v>272.89999999999998</v>
      </c>
      <c r="F73">
        <v>171.5</v>
      </c>
      <c r="G73" s="14">
        <f t="shared" ref="G73:H75" si="23">+C73+E73</f>
        <v>4973.2</v>
      </c>
      <c r="H73" s="2">
        <f t="shared" si="23"/>
        <v>3648.5</v>
      </c>
      <c r="I73" s="48">
        <f t="shared" si="22"/>
        <v>36.308071810332997</v>
      </c>
    </row>
    <row r="74" spans="1:10" x14ac:dyDescent="0.25">
      <c r="A74" s="35">
        <f t="shared" si="1"/>
        <v>39352</v>
      </c>
      <c r="C74">
        <v>4872.5</v>
      </c>
      <c r="D74">
        <v>3760</v>
      </c>
      <c r="E74">
        <v>391.2</v>
      </c>
      <c r="F74">
        <v>459.3</v>
      </c>
      <c r="G74" s="14">
        <f t="shared" si="23"/>
        <v>5263.7</v>
      </c>
      <c r="H74" s="2">
        <f t="shared" si="23"/>
        <v>4219.3</v>
      </c>
      <c r="I74" s="48">
        <f t="shared" si="22"/>
        <v>24.752921100656501</v>
      </c>
    </row>
    <row r="75" spans="1:10" x14ac:dyDescent="0.25">
      <c r="A75" s="35">
        <f t="shared" si="1"/>
        <v>39359</v>
      </c>
      <c r="C75">
        <v>4918.2</v>
      </c>
      <c r="D75">
        <v>4146.5</v>
      </c>
      <c r="E75">
        <v>563.79999999999995</v>
      </c>
      <c r="F75">
        <v>573.6</v>
      </c>
      <c r="G75" s="14">
        <f t="shared" si="23"/>
        <v>5482</v>
      </c>
      <c r="H75" s="2">
        <f t="shared" si="23"/>
        <v>4720.1000000000004</v>
      </c>
      <c r="I75" s="48">
        <f t="shared" si="22"/>
        <v>16.141607169339633</v>
      </c>
    </row>
    <row r="76" spans="1:10" x14ac:dyDescent="0.25">
      <c r="A76" s="35">
        <f t="shared" si="1"/>
        <v>39366</v>
      </c>
      <c r="C76">
        <v>4572.3</v>
      </c>
      <c r="D76">
        <v>4168.3999999999996</v>
      </c>
      <c r="E76">
        <v>1101.7</v>
      </c>
      <c r="F76">
        <v>940</v>
      </c>
      <c r="G76" s="14">
        <f t="shared" ref="G76:H78" si="24">+C76+E76</f>
        <v>5674</v>
      </c>
      <c r="H76" s="2">
        <f t="shared" si="24"/>
        <v>5108.3999999999996</v>
      </c>
      <c r="I76" s="48">
        <f t="shared" ref="I76:I81" si="25">+(G76/H76-1)*100</f>
        <v>11.071959909169227</v>
      </c>
    </row>
    <row r="77" spans="1:10" x14ac:dyDescent="0.25">
      <c r="A77" s="35">
        <f t="shared" si="1"/>
        <v>39373</v>
      </c>
      <c r="C77">
        <v>4246.1000000000004</v>
      </c>
      <c r="D77">
        <v>3912.6</v>
      </c>
      <c r="E77">
        <v>1499.6</v>
      </c>
      <c r="F77">
        <v>1493.7</v>
      </c>
      <c r="G77" s="14">
        <f t="shared" si="24"/>
        <v>5745.7000000000007</v>
      </c>
      <c r="H77" s="2">
        <f t="shared" si="24"/>
        <v>5406.3</v>
      </c>
      <c r="I77" s="48">
        <f t="shared" si="25"/>
        <v>6.277861014002184</v>
      </c>
    </row>
    <row r="78" spans="1:10" x14ac:dyDescent="0.25">
      <c r="A78" s="35">
        <f t="shared" si="1"/>
        <v>39380</v>
      </c>
      <c r="C78">
        <v>4279.2</v>
      </c>
      <c r="D78">
        <v>3419.6</v>
      </c>
      <c r="E78">
        <v>1746.8</v>
      </c>
      <c r="F78">
        <v>2322.6</v>
      </c>
      <c r="G78" s="14">
        <f t="shared" si="24"/>
        <v>6026</v>
      </c>
      <c r="H78" s="2">
        <f t="shared" si="24"/>
        <v>5742.2</v>
      </c>
      <c r="I78" s="48">
        <f t="shared" si="25"/>
        <v>4.9423565880672982</v>
      </c>
    </row>
    <row r="79" spans="1:10" x14ac:dyDescent="0.25">
      <c r="A79" s="35">
        <f t="shared" si="1"/>
        <v>39387</v>
      </c>
      <c r="C79">
        <v>4112.3999999999996</v>
      </c>
      <c r="D79">
        <v>3001.8</v>
      </c>
      <c r="E79">
        <v>2030.9</v>
      </c>
      <c r="F79">
        <v>2911.6</v>
      </c>
      <c r="G79" s="14">
        <f t="shared" ref="G79:H81" si="26">+C79+E79</f>
        <v>6143.2999999999993</v>
      </c>
      <c r="H79" s="2">
        <f t="shared" si="26"/>
        <v>5913.4</v>
      </c>
      <c r="I79" s="48">
        <f t="shared" si="25"/>
        <v>3.8877802955998186</v>
      </c>
    </row>
    <row r="80" spans="1:10" x14ac:dyDescent="0.25">
      <c r="A80" s="35">
        <f t="shared" si="1"/>
        <v>39394</v>
      </c>
      <c r="C80">
        <v>4806.5</v>
      </c>
      <c r="D80">
        <v>2834.3</v>
      </c>
      <c r="E80">
        <v>2253.3000000000002</v>
      </c>
      <c r="F80">
        <v>3377.7</v>
      </c>
      <c r="G80" s="14">
        <f t="shared" si="26"/>
        <v>7059.8</v>
      </c>
      <c r="H80" s="2">
        <f t="shared" si="26"/>
        <v>6212</v>
      </c>
      <c r="I80" s="48">
        <f t="shared" si="25"/>
        <v>13.647778493238905</v>
      </c>
    </row>
    <row r="81" spans="1:9" x14ac:dyDescent="0.25">
      <c r="A81" s="35">
        <f t="shared" si="1"/>
        <v>39401</v>
      </c>
      <c r="C81">
        <v>5632.8</v>
      </c>
      <c r="D81">
        <v>2862.2</v>
      </c>
      <c r="E81">
        <v>2623.1</v>
      </c>
      <c r="F81">
        <v>3603.3</v>
      </c>
      <c r="G81" s="14">
        <f t="shared" si="26"/>
        <v>8255.9</v>
      </c>
      <c r="H81" s="2">
        <f t="shared" si="26"/>
        <v>6465.5</v>
      </c>
      <c r="I81" s="48">
        <f t="shared" si="25"/>
        <v>27.691593844250239</v>
      </c>
    </row>
    <row r="82" spans="1:9" x14ac:dyDescent="0.25">
      <c r="A82" s="35">
        <f t="shared" si="1"/>
        <v>39408</v>
      </c>
      <c r="C82">
        <v>5706.4</v>
      </c>
      <c r="D82">
        <v>2980.7</v>
      </c>
      <c r="E82">
        <v>3110.7</v>
      </c>
      <c r="F82">
        <v>3835.7</v>
      </c>
      <c r="G82" s="14">
        <f t="shared" ref="G82:H84" si="27">+C82+E82</f>
        <v>8817.0999999999985</v>
      </c>
      <c r="H82" s="2">
        <f t="shared" si="27"/>
        <v>6816.4</v>
      </c>
      <c r="I82" s="48">
        <f t="shared" ref="I82:I87" si="28">+(G82/H82-1)*100</f>
        <v>29.351270465348268</v>
      </c>
    </row>
    <row r="83" spans="1:9" x14ac:dyDescent="0.25">
      <c r="A83" s="35">
        <f t="shared" si="1"/>
        <v>39415</v>
      </c>
      <c r="C83">
        <v>5641.5</v>
      </c>
      <c r="D83">
        <v>2706.5</v>
      </c>
      <c r="E83">
        <v>3527.3</v>
      </c>
      <c r="F83">
        <v>4236.7</v>
      </c>
      <c r="G83" s="14">
        <f t="shared" si="27"/>
        <v>9168.7999999999993</v>
      </c>
      <c r="H83" s="2">
        <f t="shared" si="27"/>
        <v>6943.2</v>
      </c>
      <c r="I83" s="48">
        <f t="shared" si="28"/>
        <v>32.054384145638878</v>
      </c>
    </row>
    <row r="84" spans="1:9" x14ac:dyDescent="0.25">
      <c r="A84" s="35">
        <f t="shared" si="1"/>
        <v>39422</v>
      </c>
      <c r="C84">
        <v>5463.6</v>
      </c>
      <c r="D84">
        <v>2780</v>
      </c>
      <c r="E84">
        <v>3945.6</v>
      </c>
      <c r="F84">
        <v>4632.8999999999996</v>
      </c>
      <c r="G84" s="14">
        <f t="shared" si="27"/>
        <v>9409.2000000000007</v>
      </c>
      <c r="H84" s="2">
        <f t="shared" si="27"/>
        <v>7412.9</v>
      </c>
      <c r="I84" s="48">
        <f t="shared" si="28"/>
        <v>26.930081344682932</v>
      </c>
    </row>
    <row r="85" spans="1:9" x14ac:dyDescent="0.25">
      <c r="A85" s="35">
        <f t="shared" si="1"/>
        <v>39429</v>
      </c>
      <c r="C85">
        <v>4862.1000000000004</v>
      </c>
      <c r="D85">
        <v>2736.1</v>
      </c>
      <c r="E85">
        <v>4792.3999999999996</v>
      </c>
      <c r="F85">
        <v>4912.1000000000004</v>
      </c>
      <c r="G85" s="14">
        <f t="shared" ref="G85:H87" si="29">+C85+E85</f>
        <v>9654.5</v>
      </c>
      <c r="H85" s="2">
        <f t="shared" si="29"/>
        <v>7648.2000000000007</v>
      </c>
      <c r="I85" s="48">
        <f t="shared" si="28"/>
        <v>26.232316100520372</v>
      </c>
    </row>
    <row r="86" spans="1:9" x14ac:dyDescent="0.25">
      <c r="A86" s="35">
        <f t="shared" si="1"/>
        <v>39436</v>
      </c>
      <c r="C86">
        <v>4493.3999999999996</v>
      </c>
      <c r="D86">
        <v>2814.9</v>
      </c>
      <c r="E86">
        <v>5298.8</v>
      </c>
      <c r="F86">
        <v>5292.1</v>
      </c>
      <c r="G86" s="14">
        <f t="shared" si="29"/>
        <v>9792.2000000000007</v>
      </c>
      <c r="H86" s="2">
        <f t="shared" si="29"/>
        <v>8107</v>
      </c>
      <c r="I86" s="48">
        <f t="shared" si="28"/>
        <v>20.786974219810041</v>
      </c>
    </row>
    <row r="87" spans="1:9" x14ac:dyDescent="0.25">
      <c r="A87" s="35">
        <f t="shared" si="1"/>
        <v>39443</v>
      </c>
      <c r="C87">
        <v>4276.1000000000004</v>
      </c>
      <c r="D87">
        <v>2827.8</v>
      </c>
      <c r="E87">
        <v>5524.8</v>
      </c>
      <c r="F87">
        <v>5509.7</v>
      </c>
      <c r="G87" s="14">
        <f t="shared" si="29"/>
        <v>9800.9000000000015</v>
      </c>
      <c r="H87" s="2">
        <f t="shared" si="29"/>
        <v>8337.5</v>
      </c>
      <c r="I87" s="48">
        <f t="shared" si="28"/>
        <v>17.552023988006017</v>
      </c>
    </row>
    <row r="88" spans="1:9" x14ac:dyDescent="0.25">
      <c r="A88" s="35">
        <f t="shared" si="1"/>
        <v>39450</v>
      </c>
      <c r="C88">
        <v>3843.2</v>
      </c>
      <c r="D88">
        <v>2840.8</v>
      </c>
      <c r="E88">
        <v>5974.9</v>
      </c>
      <c r="F88">
        <v>5748.7</v>
      </c>
      <c r="G88" s="14">
        <f t="shared" ref="G88:H90" si="30">+C88+E88</f>
        <v>9818.0999999999985</v>
      </c>
      <c r="H88" s="2">
        <f t="shared" si="30"/>
        <v>8589.5</v>
      </c>
      <c r="I88" s="48">
        <f t="shared" ref="I88:I93" si="31">+(G88/H88-1)*100</f>
        <v>14.303510099540118</v>
      </c>
    </row>
    <row r="89" spans="1:9" x14ac:dyDescent="0.25">
      <c r="A89" s="35">
        <f t="shared" si="1"/>
        <v>39457</v>
      </c>
      <c r="C89">
        <v>3691.4</v>
      </c>
      <c r="D89">
        <v>3071.8</v>
      </c>
      <c r="E89">
        <v>6390.5</v>
      </c>
      <c r="F89">
        <v>5971.9</v>
      </c>
      <c r="G89" s="14">
        <f t="shared" si="30"/>
        <v>10081.9</v>
      </c>
      <c r="H89" s="2">
        <f t="shared" si="30"/>
        <v>9043.7000000000007</v>
      </c>
      <c r="I89" s="48">
        <f t="shared" si="31"/>
        <v>11.479814677620869</v>
      </c>
    </row>
    <row r="90" spans="1:9" x14ac:dyDescent="0.25">
      <c r="A90" s="35">
        <f t="shared" si="1"/>
        <v>39464</v>
      </c>
      <c r="C90">
        <v>3421.2</v>
      </c>
      <c r="D90">
        <v>3084.8</v>
      </c>
      <c r="E90">
        <v>6865.1</v>
      </c>
      <c r="F90">
        <v>6219.1</v>
      </c>
      <c r="G90" s="14">
        <f t="shared" si="30"/>
        <v>10286.299999999999</v>
      </c>
      <c r="H90" s="2">
        <f t="shared" si="30"/>
        <v>9303.9000000000015</v>
      </c>
      <c r="I90" s="48">
        <f t="shared" si="31"/>
        <v>10.559012887068842</v>
      </c>
    </row>
    <row r="91" spans="1:9" x14ac:dyDescent="0.25">
      <c r="A91" s="35">
        <f t="shared" si="1"/>
        <v>39471</v>
      </c>
      <c r="C91">
        <v>3250</v>
      </c>
      <c r="D91">
        <v>2792.8</v>
      </c>
      <c r="E91">
        <v>7185.3</v>
      </c>
      <c r="F91">
        <v>6688.3</v>
      </c>
      <c r="G91" s="14">
        <f t="shared" ref="G91:H93" si="32">+C91+E91</f>
        <v>10435.299999999999</v>
      </c>
      <c r="H91" s="2">
        <f t="shared" si="32"/>
        <v>9481.1</v>
      </c>
      <c r="I91" s="48">
        <f t="shared" si="31"/>
        <v>10.064233053126737</v>
      </c>
    </row>
    <row r="92" spans="1:9" x14ac:dyDescent="0.25">
      <c r="A92" s="35">
        <f t="shared" si="1"/>
        <v>39478</v>
      </c>
      <c r="C92">
        <v>3397.6</v>
      </c>
      <c r="D92">
        <v>2655.2</v>
      </c>
      <c r="E92">
        <v>7541.4</v>
      </c>
      <c r="F92">
        <v>7103.4</v>
      </c>
      <c r="G92" s="14">
        <f t="shared" si="32"/>
        <v>10939</v>
      </c>
      <c r="H92" s="2">
        <f t="shared" si="32"/>
        <v>9758.5999999999985</v>
      </c>
      <c r="I92" s="48">
        <f t="shared" si="31"/>
        <v>12.095997376672907</v>
      </c>
    </row>
    <row r="93" spans="1:9" x14ac:dyDescent="0.25">
      <c r="A93" s="35">
        <f t="shared" si="1"/>
        <v>39485</v>
      </c>
      <c r="C93">
        <v>3013.4</v>
      </c>
      <c r="D93">
        <v>2266.5</v>
      </c>
      <c r="E93">
        <v>7957.7</v>
      </c>
      <c r="F93">
        <v>7744.1</v>
      </c>
      <c r="G93" s="14">
        <f t="shared" si="32"/>
        <v>10971.1</v>
      </c>
      <c r="H93" s="2">
        <f t="shared" si="32"/>
        <v>10010.6</v>
      </c>
      <c r="I93" s="48">
        <f t="shared" si="31"/>
        <v>9.5948294807504109</v>
      </c>
    </row>
    <row r="94" spans="1:9" x14ac:dyDescent="0.25">
      <c r="A94" s="35">
        <f t="shared" si="1"/>
        <v>39492</v>
      </c>
      <c r="C94">
        <v>2745.3</v>
      </c>
      <c r="D94">
        <v>2158.6</v>
      </c>
      <c r="E94">
        <v>8474.2999999999993</v>
      </c>
      <c r="F94">
        <v>8102.4</v>
      </c>
      <c r="G94" s="14">
        <f t="shared" ref="G94:H96" si="33">+C94+E94</f>
        <v>11219.599999999999</v>
      </c>
      <c r="H94" s="2">
        <f t="shared" si="33"/>
        <v>10261</v>
      </c>
      <c r="I94" s="48">
        <f t="shared" ref="I94:I99" si="34">+(G94/H94-1)*100</f>
        <v>9.3421693792028027</v>
      </c>
    </row>
    <row r="95" spans="1:9" x14ac:dyDescent="0.25">
      <c r="A95" s="35">
        <f t="shared" si="1"/>
        <v>39499</v>
      </c>
      <c r="C95">
        <v>2722.8</v>
      </c>
      <c r="D95">
        <v>1971.2</v>
      </c>
      <c r="E95">
        <v>8722.2999999999993</v>
      </c>
      <c r="F95">
        <v>8534.4</v>
      </c>
      <c r="G95" s="14">
        <f t="shared" si="33"/>
        <v>11445.099999999999</v>
      </c>
      <c r="H95" s="2">
        <f t="shared" si="33"/>
        <v>10505.6</v>
      </c>
      <c r="I95" s="48">
        <f t="shared" si="34"/>
        <v>8.942849527870834</v>
      </c>
    </row>
    <row r="96" spans="1:9" x14ac:dyDescent="0.25">
      <c r="A96" s="35">
        <f t="shared" si="1"/>
        <v>39506</v>
      </c>
      <c r="C96">
        <v>2319.8000000000002</v>
      </c>
      <c r="D96">
        <v>1884.8</v>
      </c>
      <c r="E96">
        <v>9140.7000000000007</v>
      </c>
      <c r="F96">
        <v>8855.9</v>
      </c>
      <c r="G96" s="14">
        <f t="shared" si="33"/>
        <v>11460.5</v>
      </c>
      <c r="H96" s="2">
        <f t="shared" si="33"/>
        <v>10740.699999999999</v>
      </c>
      <c r="I96" s="48">
        <f t="shared" si="34"/>
        <v>6.7016116268027393</v>
      </c>
    </row>
    <row r="97" spans="1:12" x14ac:dyDescent="0.25">
      <c r="A97" s="35">
        <f t="shared" si="1"/>
        <v>39513</v>
      </c>
      <c r="C97">
        <v>1916.2</v>
      </c>
      <c r="D97">
        <v>1705.4</v>
      </c>
      <c r="E97">
        <v>9615.4</v>
      </c>
      <c r="F97">
        <v>9138.6</v>
      </c>
      <c r="G97" s="14">
        <f t="shared" ref="G97:H99" si="35">+C97+E97</f>
        <v>11531.6</v>
      </c>
      <c r="H97" s="2">
        <f t="shared" si="35"/>
        <v>10844</v>
      </c>
      <c r="I97" s="48">
        <f t="shared" si="34"/>
        <v>6.340833640722976</v>
      </c>
    </row>
    <row r="98" spans="1:12" x14ac:dyDescent="0.25">
      <c r="A98" s="35">
        <f t="shared" si="1"/>
        <v>39520</v>
      </c>
      <c r="C98">
        <v>1690.9</v>
      </c>
      <c r="D98">
        <v>1545.5</v>
      </c>
      <c r="E98">
        <v>9919.6</v>
      </c>
      <c r="F98">
        <v>9426</v>
      </c>
      <c r="G98" s="14">
        <f t="shared" si="35"/>
        <v>11610.5</v>
      </c>
      <c r="H98" s="2">
        <f t="shared" si="35"/>
        <v>10971.5</v>
      </c>
      <c r="I98" s="48">
        <f t="shared" si="34"/>
        <v>5.824180832156034</v>
      </c>
    </row>
    <row r="99" spans="1:12" x14ac:dyDescent="0.25">
      <c r="A99" s="35">
        <f t="shared" si="1"/>
        <v>39527</v>
      </c>
      <c r="C99">
        <v>1627</v>
      </c>
      <c r="D99">
        <v>1467.8</v>
      </c>
      <c r="E99">
        <v>10223.4</v>
      </c>
      <c r="F99">
        <v>9579.7999999999993</v>
      </c>
      <c r="G99" s="14">
        <f t="shared" si="35"/>
        <v>11850.4</v>
      </c>
      <c r="H99" s="2">
        <f t="shared" si="35"/>
        <v>11047.599999999999</v>
      </c>
      <c r="I99" s="48">
        <f t="shared" si="34"/>
        <v>7.2667366667873656</v>
      </c>
    </row>
    <row r="100" spans="1:12" x14ac:dyDescent="0.25">
      <c r="A100" s="35">
        <f t="shared" si="1"/>
        <v>39534</v>
      </c>
      <c r="C100">
        <v>1562.5</v>
      </c>
      <c r="D100">
        <v>1186.0999999999999</v>
      </c>
      <c r="E100">
        <v>10528.8</v>
      </c>
      <c r="F100">
        <v>9882.2000000000007</v>
      </c>
      <c r="G100" s="14">
        <f t="shared" ref="G100:H102" si="36">+C100+E100</f>
        <v>12091.3</v>
      </c>
      <c r="H100" s="2">
        <f t="shared" si="36"/>
        <v>11068.300000000001</v>
      </c>
      <c r="I100" s="48">
        <f t="shared" ref="I100:I105" si="37">+(G100/H100-1)*100</f>
        <v>9.2426117832006494</v>
      </c>
    </row>
    <row r="101" spans="1:12" x14ac:dyDescent="0.25">
      <c r="A101" s="35">
        <f t="shared" si="1"/>
        <v>39541</v>
      </c>
      <c r="C101">
        <v>1702.3</v>
      </c>
      <c r="D101">
        <v>952.3</v>
      </c>
      <c r="E101">
        <v>10675</v>
      </c>
      <c r="F101">
        <v>10131.1</v>
      </c>
      <c r="G101" s="14">
        <f t="shared" si="36"/>
        <v>12377.3</v>
      </c>
      <c r="H101" s="2">
        <f t="shared" si="36"/>
        <v>11083.4</v>
      </c>
      <c r="I101" s="48">
        <f t="shared" si="37"/>
        <v>11.674215493440631</v>
      </c>
    </row>
    <row r="102" spans="1:12" x14ac:dyDescent="0.25">
      <c r="A102" s="35">
        <f t="shared" si="1"/>
        <v>39548</v>
      </c>
      <c r="C102">
        <v>1945.8</v>
      </c>
      <c r="D102">
        <v>819.5</v>
      </c>
      <c r="E102">
        <v>10804.1</v>
      </c>
      <c r="F102">
        <v>10280.9</v>
      </c>
      <c r="G102" s="14">
        <f t="shared" si="36"/>
        <v>12749.9</v>
      </c>
      <c r="H102" s="2">
        <f t="shared" si="36"/>
        <v>11100.4</v>
      </c>
      <c r="I102" s="48">
        <f t="shared" si="37"/>
        <v>14.859824871175809</v>
      </c>
    </row>
    <row r="103" spans="1:12" x14ac:dyDescent="0.25">
      <c r="A103" s="35">
        <f t="shared" si="1"/>
        <v>39555</v>
      </c>
      <c r="C103">
        <v>1824.4</v>
      </c>
      <c r="D103">
        <v>828.5</v>
      </c>
      <c r="E103">
        <v>10978</v>
      </c>
      <c r="F103">
        <v>10336.200000000001</v>
      </c>
      <c r="G103" s="14">
        <f t="shared" ref="G103:H105" si="38">+C103+E103</f>
        <v>12802.4</v>
      </c>
      <c r="H103" s="2">
        <f t="shared" si="38"/>
        <v>11164.7</v>
      </c>
      <c r="I103" s="48">
        <f t="shared" si="37"/>
        <v>14.668553566150443</v>
      </c>
    </row>
    <row r="104" spans="1:12" x14ac:dyDescent="0.25">
      <c r="A104" s="35">
        <f t="shared" si="1"/>
        <v>39562</v>
      </c>
      <c r="C104">
        <v>1657.9</v>
      </c>
      <c r="D104">
        <v>340.8</v>
      </c>
      <c r="E104">
        <v>11208</v>
      </c>
      <c r="F104">
        <v>10469.1</v>
      </c>
      <c r="G104" s="14">
        <f t="shared" si="38"/>
        <v>12865.9</v>
      </c>
      <c r="H104" s="2">
        <f t="shared" si="38"/>
        <v>10809.9</v>
      </c>
      <c r="I104" s="48">
        <f t="shared" si="37"/>
        <v>19.019602401502333</v>
      </c>
    </row>
    <row r="105" spans="1:12" x14ac:dyDescent="0.25">
      <c r="A105" s="35">
        <f t="shared" si="1"/>
        <v>39569</v>
      </c>
      <c r="C105">
        <v>1532.5</v>
      </c>
      <c r="D105">
        <v>285.8</v>
      </c>
      <c r="E105">
        <v>11335.6</v>
      </c>
      <c r="F105">
        <v>10640.2</v>
      </c>
      <c r="G105" s="14">
        <f t="shared" si="38"/>
        <v>12868.1</v>
      </c>
      <c r="H105" s="2">
        <f t="shared" si="38"/>
        <v>10926</v>
      </c>
      <c r="I105" s="48">
        <f t="shared" si="37"/>
        <v>17.775032033681136</v>
      </c>
      <c r="J105">
        <v>110</v>
      </c>
    </row>
    <row r="106" spans="1:12" x14ac:dyDescent="0.25">
      <c r="A106" s="35">
        <f t="shared" si="1"/>
        <v>39576</v>
      </c>
      <c r="C106">
        <v>1292.0999999999999</v>
      </c>
      <c r="D106">
        <v>225.8</v>
      </c>
      <c r="E106">
        <v>11641.8</v>
      </c>
      <c r="F106">
        <v>10706.2</v>
      </c>
      <c r="G106" s="14">
        <f t="shared" ref="G106:H108" si="39">+C106+E106</f>
        <v>12933.9</v>
      </c>
      <c r="H106" s="2">
        <f t="shared" si="39"/>
        <v>10932</v>
      </c>
      <c r="I106" s="48">
        <f t="shared" ref="I106:I111" si="40">+(G106/H106-1)*100</f>
        <v>18.312294182217336</v>
      </c>
      <c r="J106">
        <v>110</v>
      </c>
    </row>
    <row r="107" spans="1:12" x14ac:dyDescent="0.25">
      <c r="A107" s="35">
        <f t="shared" si="1"/>
        <v>39583</v>
      </c>
      <c r="C107">
        <v>1420.1</v>
      </c>
      <c r="D107">
        <v>286.8</v>
      </c>
      <c r="E107">
        <v>11707.8</v>
      </c>
      <c r="F107">
        <v>10706.9</v>
      </c>
      <c r="G107" s="14">
        <f t="shared" si="39"/>
        <v>13127.9</v>
      </c>
      <c r="H107" s="2">
        <f t="shared" si="39"/>
        <v>10993.699999999999</v>
      </c>
      <c r="I107" s="48">
        <f t="shared" si="40"/>
        <v>19.412936499995471</v>
      </c>
      <c r="J107">
        <v>539</v>
      </c>
    </row>
    <row r="108" spans="1:12" x14ac:dyDescent="0.25">
      <c r="A108" s="35">
        <f t="shared" si="1"/>
        <v>39590</v>
      </c>
      <c r="C108">
        <v>1322.1</v>
      </c>
      <c r="D108">
        <v>291.10000000000002</v>
      </c>
      <c r="E108">
        <v>11879.2</v>
      </c>
      <c r="F108">
        <v>10770.9</v>
      </c>
      <c r="G108" s="14">
        <f t="shared" si="39"/>
        <v>13201.300000000001</v>
      </c>
      <c r="H108" s="2">
        <f t="shared" si="39"/>
        <v>11062</v>
      </c>
      <c r="I108" s="48">
        <f t="shared" si="40"/>
        <v>19.339179171939989</v>
      </c>
      <c r="J108">
        <v>599</v>
      </c>
    </row>
    <row r="109" spans="1:12" x14ac:dyDescent="0.25">
      <c r="A109" s="35">
        <f t="shared" si="1"/>
        <v>39597</v>
      </c>
      <c r="C109">
        <v>1427.2</v>
      </c>
      <c r="D109">
        <v>292.89999999999998</v>
      </c>
      <c r="E109">
        <v>11999.5</v>
      </c>
      <c r="F109">
        <v>10770.9</v>
      </c>
      <c r="G109" s="14">
        <f t="shared" ref="G109:H111" si="41">+C109+E109</f>
        <v>13426.7</v>
      </c>
      <c r="H109" s="2">
        <f t="shared" si="41"/>
        <v>11063.8</v>
      </c>
      <c r="I109" s="48">
        <f t="shared" si="40"/>
        <v>21.357038268949189</v>
      </c>
      <c r="J109">
        <v>761</v>
      </c>
    </row>
    <row r="110" spans="1:12" x14ac:dyDescent="0.25">
      <c r="A110" s="35">
        <f t="shared" si="1"/>
        <v>39604</v>
      </c>
      <c r="C110">
        <v>1504.3</v>
      </c>
      <c r="D110">
        <v>290.60000000000002</v>
      </c>
      <c r="E110">
        <v>12002.5</v>
      </c>
      <c r="F110">
        <v>10773.2</v>
      </c>
      <c r="G110" s="14">
        <f t="shared" si="41"/>
        <v>13506.8</v>
      </c>
      <c r="H110" s="2">
        <f t="shared" si="41"/>
        <v>11063.800000000001</v>
      </c>
      <c r="I110" s="48">
        <f t="shared" si="40"/>
        <v>22.081020987364177</v>
      </c>
      <c r="J110">
        <v>761</v>
      </c>
      <c r="K110">
        <v>2240</v>
      </c>
      <c r="L110">
        <f>+K110+J110</f>
        <v>3001</v>
      </c>
    </row>
    <row r="111" spans="1:12" x14ac:dyDescent="0.25">
      <c r="A111" s="35">
        <f t="shared" si="1"/>
        <v>39611</v>
      </c>
      <c r="C111">
        <v>1504.3</v>
      </c>
      <c r="D111">
        <v>290.60000000000002</v>
      </c>
      <c r="E111">
        <v>12002.5</v>
      </c>
      <c r="F111">
        <v>10773.2</v>
      </c>
      <c r="G111" s="14">
        <f t="shared" si="41"/>
        <v>13506.8</v>
      </c>
      <c r="H111" s="2">
        <f t="shared" si="41"/>
        <v>11063.800000000001</v>
      </c>
      <c r="I111" s="48">
        <f t="shared" si="40"/>
        <v>22.081020987364177</v>
      </c>
      <c r="J111">
        <v>761</v>
      </c>
    </row>
    <row r="112" spans="1:12" x14ac:dyDescent="0.25">
      <c r="A112" s="35">
        <f t="shared" si="1"/>
        <v>39618</v>
      </c>
      <c r="C112">
        <v>1044.8</v>
      </c>
      <c r="D112">
        <v>228</v>
      </c>
      <c r="E112">
        <v>12188.6</v>
      </c>
      <c r="F112">
        <v>10950.7</v>
      </c>
      <c r="G112" s="14">
        <f t="shared" ref="G112:H114" si="42">+C112+E112</f>
        <v>13233.4</v>
      </c>
      <c r="H112" s="2">
        <f t="shared" si="42"/>
        <v>11178.7</v>
      </c>
      <c r="I112" s="48">
        <f t="shared" ref="I112:I117" si="43">+(G112/H112-1)*100</f>
        <v>18.380491470385628</v>
      </c>
      <c r="J112">
        <v>3001</v>
      </c>
    </row>
    <row r="113" spans="1:12" x14ac:dyDescent="0.25">
      <c r="A113" s="35">
        <f t="shared" si="1"/>
        <v>39625</v>
      </c>
      <c r="C113">
        <v>1003.9</v>
      </c>
      <c r="D113">
        <v>228</v>
      </c>
      <c r="E113">
        <v>12430.1</v>
      </c>
      <c r="F113">
        <v>10950.7</v>
      </c>
      <c r="G113" s="14">
        <f t="shared" si="42"/>
        <v>13434</v>
      </c>
      <c r="H113" s="2">
        <f t="shared" si="42"/>
        <v>11178.7</v>
      </c>
      <c r="I113" s="48">
        <f t="shared" si="43"/>
        <v>20.174975623283565</v>
      </c>
      <c r="J113">
        <v>3166</v>
      </c>
    </row>
    <row r="114" spans="1:12" x14ac:dyDescent="0.25">
      <c r="A114" s="35">
        <f t="shared" si="1"/>
        <v>39632</v>
      </c>
      <c r="C114">
        <v>897.6</v>
      </c>
      <c r="D114">
        <v>228</v>
      </c>
      <c r="E114">
        <v>12539.5</v>
      </c>
      <c r="F114">
        <v>11010.4</v>
      </c>
      <c r="G114" s="14">
        <f t="shared" si="42"/>
        <v>13437.1</v>
      </c>
      <c r="H114" s="2">
        <f t="shared" si="42"/>
        <v>11238.4</v>
      </c>
      <c r="I114" s="48">
        <f t="shared" si="43"/>
        <v>19.564172835990902</v>
      </c>
      <c r="J114">
        <v>3221</v>
      </c>
    </row>
    <row r="115" spans="1:12" x14ac:dyDescent="0.25">
      <c r="A115" s="35">
        <f t="shared" si="1"/>
        <v>39639</v>
      </c>
      <c r="C115">
        <v>820.4</v>
      </c>
      <c r="D115">
        <v>233</v>
      </c>
      <c r="E115">
        <v>12672.7</v>
      </c>
      <c r="F115">
        <v>11010.4</v>
      </c>
      <c r="G115" s="14">
        <f t="shared" ref="G115:H117" si="44">+C115+E115</f>
        <v>13493.1</v>
      </c>
      <c r="H115" s="2">
        <f t="shared" si="44"/>
        <v>11243.4</v>
      </c>
      <c r="I115" s="48">
        <f t="shared" si="43"/>
        <v>20.00907198890016</v>
      </c>
      <c r="J115">
        <v>3221</v>
      </c>
    </row>
    <row r="116" spans="1:12" x14ac:dyDescent="0.25">
      <c r="A116" s="35">
        <f t="shared" si="1"/>
        <v>39646</v>
      </c>
      <c r="C116">
        <v>702</v>
      </c>
      <c r="D116">
        <v>293</v>
      </c>
      <c r="E116">
        <v>12797.1</v>
      </c>
      <c r="F116">
        <v>11010.4</v>
      </c>
      <c r="G116" s="14">
        <f t="shared" si="44"/>
        <v>13499.1</v>
      </c>
      <c r="H116" s="2">
        <f t="shared" si="44"/>
        <v>11303.4</v>
      </c>
      <c r="I116" s="48">
        <f t="shared" si="43"/>
        <v>19.42512872233133</v>
      </c>
      <c r="J116">
        <v>3631</v>
      </c>
    </row>
    <row r="117" spans="1:12" x14ac:dyDescent="0.25">
      <c r="A117" s="35">
        <f t="shared" si="1"/>
        <v>39653</v>
      </c>
      <c r="C117">
        <v>651.9</v>
      </c>
      <c r="D117">
        <v>292.60000000000002</v>
      </c>
      <c r="E117">
        <v>12981.8</v>
      </c>
      <c r="F117">
        <v>11010.9</v>
      </c>
      <c r="G117" s="14">
        <f t="shared" si="44"/>
        <v>13633.699999999999</v>
      </c>
      <c r="H117" s="2">
        <f t="shared" si="44"/>
        <v>11303.5</v>
      </c>
      <c r="I117" s="48">
        <f t="shared" si="43"/>
        <v>20.614853806343159</v>
      </c>
      <c r="J117">
        <v>3811</v>
      </c>
    </row>
    <row r="118" spans="1:12" x14ac:dyDescent="0.25">
      <c r="A118" s="35">
        <f t="shared" si="1"/>
        <v>39660</v>
      </c>
      <c r="C118">
        <v>564.9</v>
      </c>
      <c r="D118">
        <v>279.60000000000002</v>
      </c>
      <c r="E118">
        <v>13225</v>
      </c>
      <c r="F118">
        <v>11139.6</v>
      </c>
      <c r="G118" s="14">
        <f t="shared" ref="G118:H120" si="45">+C118+E118</f>
        <v>13789.9</v>
      </c>
      <c r="H118" s="2">
        <f t="shared" si="45"/>
        <v>11419.2</v>
      </c>
      <c r="I118" s="48">
        <f t="shared" ref="I118:I123" si="46">+(G118/H118-1)*100</f>
        <v>20.760648731960195</v>
      </c>
      <c r="J118">
        <v>3986</v>
      </c>
    </row>
    <row r="119" spans="1:12" x14ac:dyDescent="0.25">
      <c r="A119" s="35">
        <f t="shared" si="1"/>
        <v>39667</v>
      </c>
      <c r="C119">
        <v>506.8</v>
      </c>
      <c r="D119">
        <v>388</v>
      </c>
      <c r="E119">
        <v>13226.9</v>
      </c>
      <c r="F119">
        <v>11141.2</v>
      </c>
      <c r="G119" s="14">
        <f t="shared" si="45"/>
        <v>13733.699999999999</v>
      </c>
      <c r="H119" s="2">
        <f t="shared" si="45"/>
        <v>11529.2</v>
      </c>
      <c r="I119" s="48">
        <f t="shared" si="46"/>
        <v>19.121014467612653</v>
      </c>
      <c r="J119">
        <v>4036</v>
      </c>
    </row>
    <row r="120" spans="1:12" x14ac:dyDescent="0.25">
      <c r="A120" s="35">
        <f t="shared" si="1"/>
        <v>39674</v>
      </c>
      <c r="C120">
        <v>474.4</v>
      </c>
      <c r="D120">
        <v>302</v>
      </c>
      <c r="E120">
        <v>13227.8</v>
      </c>
      <c r="F120">
        <v>11201.2</v>
      </c>
      <c r="G120" s="14">
        <f t="shared" si="45"/>
        <v>13702.199999999999</v>
      </c>
      <c r="H120" s="2">
        <f t="shared" si="45"/>
        <v>11503.2</v>
      </c>
      <c r="I120" s="48">
        <f t="shared" si="46"/>
        <v>19.116419778844129</v>
      </c>
      <c r="J120">
        <v>4071</v>
      </c>
    </row>
    <row r="121" spans="1:12" x14ac:dyDescent="0.25">
      <c r="A121" s="35">
        <f t="shared" si="1"/>
        <v>39681</v>
      </c>
      <c r="C121">
        <v>233.6</v>
      </c>
      <c r="D121">
        <v>185.6</v>
      </c>
      <c r="E121">
        <v>13228.7</v>
      </c>
      <c r="F121">
        <v>11270.3</v>
      </c>
      <c r="G121" s="14">
        <f t="shared" ref="G121:H123" si="47">+C121+E121</f>
        <v>13462.300000000001</v>
      </c>
      <c r="H121" s="2">
        <f t="shared" si="47"/>
        <v>11455.9</v>
      </c>
      <c r="I121" s="48">
        <f t="shared" si="46"/>
        <v>17.514119362075455</v>
      </c>
      <c r="J121">
        <v>4161</v>
      </c>
      <c r="L121">
        <f>+J172</f>
        <v>6866.8</v>
      </c>
    </row>
    <row r="122" spans="1:12" x14ac:dyDescent="0.25">
      <c r="A122" s="35">
        <f t="shared" si="1"/>
        <v>39688</v>
      </c>
      <c r="C122">
        <v>171.6</v>
      </c>
      <c r="D122">
        <v>75.599999999999994</v>
      </c>
      <c r="E122">
        <v>13353.3</v>
      </c>
      <c r="F122">
        <v>11453.5</v>
      </c>
      <c r="G122" s="14">
        <f t="shared" si="47"/>
        <v>13524.9</v>
      </c>
      <c r="H122" s="2">
        <f t="shared" si="47"/>
        <v>11529.1</v>
      </c>
      <c r="I122" s="48">
        <f t="shared" si="46"/>
        <v>17.310978307066449</v>
      </c>
      <c r="J122">
        <v>4221</v>
      </c>
      <c r="K122" s="14">
        <f>+G122-Data!N85</f>
        <v>13354.1</v>
      </c>
      <c r="L122">
        <f>+L121+1006</f>
        <v>7872.8</v>
      </c>
    </row>
    <row r="123" spans="1:12" x14ac:dyDescent="0.25">
      <c r="A123" s="35">
        <f t="shared" si="1"/>
        <v>39695</v>
      </c>
      <c r="C123">
        <v>4561.8</v>
      </c>
      <c r="D123">
        <v>4571.5</v>
      </c>
      <c r="E123">
        <v>0</v>
      </c>
      <c r="F123">
        <v>20.5</v>
      </c>
      <c r="G123" s="14">
        <f t="shared" si="47"/>
        <v>4561.8</v>
      </c>
      <c r="H123" s="2">
        <f t="shared" si="47"/>
        <v>4592</v>
      </c>
      <c r="I123" s="48">
        <f t="shared" si="46"/>
        <v>-0.65766550522647904</v>
      </c>
    </row>
    <row r="124" spans="1:12" x14ac:dyDescent="0.25">
      <c r="A124" s="35">
        <f t="shared" si="1"/>
        <v>39702</v>
      </c>
      <c r="C124">
        <v>4615.5</v>
      </c>
      <c r="D124">
        <v>4591.5</v>
      </c>
      <c r="E124">
        <v>61.2</v>
      </c>
      <c r="F124">
        <v>141.6</v>
      </c>
      <c r="G124" s="14">
        <f t="shared" ref="G124:H126" si="48">+C124+E124</f>
        <v>4676.7</v>
      </c>
      <c r="H124" s="2">
        <f t="shared" si="48"/>
        <v>4733.1000000000004</v>
      </c>
      <c r="I124" s="48">
        <f t="shared" ref="I124:I131" si="49">+(G124/H124-1)*100</f>
        <v>-1.1916080370159232</v>
      </c>
    </row>
    <row r="125" spans="1:12" x14ac:dyDescent="0.25">
      <c r="A125" s="35">
        <f t="shared" si="1"/>
        <v>39709</v>
      </c>
      <c r="C125">
        <v>5080.3999999999996</v>
      </c>
      <c r="D125">
        <v>4700.3</v>
      </c>
      <c r="E125">
        <v>61.3</v>
      </c>
      <c r="F125">
        <v>272.89999999999998</v>
      </c>
      <c r="G125" s="14">
        <f t="shared" si="48"/>
        <v>5141.7</v>
      </c>
      <c r="H125" s="2">
        <f t="shared" si="48"/>
        <v>4973.2</v>
      </c>
      <c r="I125" s="48">
        <f t="shared" si="49"/>
        <v>3.3881605404970649</v>
      </c>
    </row>
    <row r="126" spans="1:12" x14ac:dyDescent="0.25">
      <c r="A126" s="35">
        <f t="shared" si="1"/>
        <v>39716</v>
      </c>
      <c r="C126">
        <v>5398.5</v>
      </c>
      <c r="D126">
        <v>4872.5</v>
      </c>
      <c r="E126">
        <v>61.3</v>
      </c>
      <c r="F126">
        <v>391.2</v>
      </c>
      <c r="G126" s="14">
        <f t="shared" si="48"/>
        <v>5459.8</v>
      </c>
      <c r="H126" s="2">
        <f t="shared" si="48"/>
        <v>5263.7</v>
      </c>
      <c r="I126" s="48">
        <f t="shared" si="49"/>
        <v>3.7255162718240031</v>
      </c>
    </row>
    <row r="127" spans="1:12" x14ac:dyDescent="0.25">
      <c r="A127" s="35">
        <f t="shared" si="1"/>
        <v>39723</v>
      </c>
      <c r="C127">
        <v>5391.7</v>
      </c>
      <c r="D127">
        <v>4918.2</v>
      </c>
      <c r="E127">
        <v>236.9</v>
      </c>
      <c r="F127">
        <v>563.79999999999995</v>
      </c>
      <c r="G127" s="14">
        <f t="shared" ref="G127:H131" si="50">+C127+E127</f>
        <v>5628.5999999999995</v>
      </c>
      <c r="H127" s="2">
        <f t="shared" si="50"/>
        <v>5482</v>
      </c>
      <c r="I127" s="48">
        <f t="shared" si="49"/>
        <v>2.6742064939802912</v>
      </c>
    </row>
    <row r="128" spans="1:12" x14ac:dyDescent="0.25">
      <c r="A128" s="35">
        <f t="shared" si="1"/>
        <v>39730</v>
      </c>
      <c r="C128">
        <v>5338.2</v>
      </c>
      <c r="D128">
        <v>4572.3</v>
      </c>
      <c r="E128">
        <v>479.8</v>
      </c>
      <c r="F128">
        <v>1101.7</v>
      </c>
      <c r="G128" s="14">
        <f t="shared" si="50"/>
        <v>5818</v>
      </c>
      <c r="H128" s="2">
        <f t="shared" si="50"/>
        <v>5674</v>
      </c>
      <c r="I128" s="48">
        <f t="shared" si="49"/>
        <v>2.5378921395840637</v>
      </c>
    </row>
    <row r="129" spans="1:9" x14ac:dyDescent="0.25">
      <c r="A129" s="35">
        <f t="shared" si="1"/>
        <v>39737</v>
      </c>
      <c r="C129">
        <v>5203.8999999999996</v>
      </c>
      <c r="D129">
        <v>4246.1000000000004</v>
      </c>
      <c r="E129">
        <v>972</v>
      </c>
      <c r="F129">
        <v>1499.6</v>
      </c>
      <c r="G129" s="14">
        <f t="shared" si="50"/>
        <v>6175.9</v>
      </c>
      <c r="H129" s="2">
        <f t="shared" si="50"/>
        <v>5745.7000000000007</v>
      </c>
      <c r="I129" s="48">
        <f t="shared" si="49"/>
        <v>7.487338357380291</v>
      </c>
    </row>
    <row r="130" spans="1:9" x14ac:dyDescent="0.25">
      <c r="A130" s="35">
        <f t="shared" si="1"/>
        <v>39744</v>
      </c>
      <c r="C130">
        <v>5202.7</v>
      </c>
      <c r="D130">
        <v>4279.2</v>
      </c>
      <c r="E130">
        <v>1762</v>
      </c>
      <c r="F130">
        <v>1746.8</v>
      </c>
      <c r="G130" s="14">
        <f t="shared" si="50"/>
        <v>6964.7</v>
      </c>
      <c r="H130" s="2">
        <f t="shared" si="50"/>
        <v>6026</v>
      </c>
      <c r="I130" s="48">
        <f t="shared" si="49"/>
        <v>15.577497510786586</v>
      </c>
    </row>
    <row r="131" spans="1:9" x14ac:dyDescent="0.25">
      <c r="A131" s="35">
        <f t="shared" si="1"/>
        <v>39751</v>
      </c>
      <c r="C131">
        <v>5008.6000000000004</v>
      </c>
      <c r="D131">
        <v>4112.3999999999996</v>
      </c>
      <c r="E131">
        <v>2598.6</v>
      </c>
      <c r="F131">
        <v>2030.9</v>
      </c>
      <c r="G131" s="14">
        <f t="shared" si="50"/>
        <v>7607.2000000000007</v>
      </c>
      <c r="H131" s="2">
        <f t="shared" si="50"/>
        <v>6143.2999999999993</v>
      </c>
      <c r="I131" s="48">
        <f t="shared" si="49"/>
        <v>23.829212312600756</v>
      </c>
    </row>
    <row r="132" spans="1:9" x14ac:dyDescent="0.25">
      <c r="A132" s="35">
        <f t="shared" si="1"/>
        <v>39758</v>
      </c>
      <c r="C132">
        <v>4584.6000000000004</v>
      </c>
      <c r="D132">
        <v>4806.5</v>
      </c>
      <c r="E132">
        <v>3230.3</v>
      </c>
      <c r="F132">
        <v>2253.3000000000002</v>
      </c>
      <c r="G132" s="14">
        <f t="shared" ref="G132:H134" si="51">+C132+E132</f>
        <v>7814.9000000000005</v>
      </c>
      <c r="H132" s="2">
        <f t="shared" si="51"/>
        <v>7059.8</v>
      </c>
      <c r="I132" s="48">
        <f t="shared" ref="I132:I137" si="52">+(G132/H132-1)*100</f>
        <v>10.695770418425464</v>
      </c>
    </row>
    <row r="133" spans="1:9" x14ac:dyDescent="0.25">
      <c r="A133" s="35">
        <f t="shared" si="1"/>
        <v>39765</v>
      </c>
      <c r="C133">
        <v>4472.3</v>
      </c>
      <c r="D133">
        <v>5632.8</v>
      </c>
      <c r="E133">
        <v>3811.9</v>
      </c>
      <c r="F133">
        <v>2623.1</v>
      </c>
      <c r="G133" s="14">
        <f t="shared" si="51"/>
        <v>8284.2000000000007</v>
      </c>
      <c r="H133" s="2">
        <f t="shared" si="51"/>
        <v>8255.9</v>
      </c>
      <c r="I133" s="48">
        <f t="shared" si="52"/>
        <v>0.34278515970398438</v>
      </c>
    </row>
    <row r="134" spans="1:9" x14ac:dyDescent="0.25">
      <c r="A134" s="35">
        <f t="shared" si="1"/>
        <v>39772</v>
      </c>
      <c r="C134">
        <v>4402.8</v>
      </c>
      <c r="D134">
        <v>5706.4</v>
      </c>
      <c r="E134">
        <v>4535.3999999999996</v>
      </c>
      <c r="F134">
        <v>3110.7</v>
      </c>
      <c r="G134" s="14">
        <f t="shared" si="51"/>
        <v>8938.2000000000007</v>
      </c>
      <c r="H134" s="2">
        <f t="shared" si="51"/>
        <v>8817.0999999999985</v>
      </c>
      <c r="I134" s="48">
        <f t="shared" si="52"/>
        <v>1.373467466627365</v>
      </c>
    </row>
    <row r="135" spans="1:9" x14ac:dyDescent="0.25">
      <c r="A135" s="35">
        <f t="shared" si="1"/>
        <v>39779</v>
      </c>
      <c r="C135">
        <v>3793.7</v>
      </c>
      <c r="D135">
        <v>5641.5</v>
      </c>
      <c r="E135">
        <v>5442.6</v>
      </c>
      <c r="F135">
        <v>3527.3</v>
      </c>
      <c r="G135" s="14">
        <f t="shared" ref="G135:H137" si="53">+C135+E135</f>
        <v>9236.2999999999993</v>
      </c>
      <c r="H135" s="2">
        <f t="shared" si="53"/>
        <v>9168.7999999999993</v>
      </c>
      <c r="I135" s="48">
        <f t="shared" si="52"/>
        <v>0.73619230433643601</v>
      </c>
    </row>
    <row r="136" spans="1:9" x14ac:dyDescent="0.25">
      <c r="A136" s="35">
        <f t="shared" si="1"/>
        <v>39786</v>
      </c>
      <c r="C136">
        <v>3830.7</v>
      </c>
      <c r="D136">
        <v>5463.6</v>
      </c>
      <c r="E136">
        <v>6041.9</v>
      </c>
      <c r="F136">
        <v>3945.6</v>
      </c>
      <c r="G136" s="14">
        <f t="shared" si="53"/>
        <v>9872.5999999999985</v>
      </c>
      <c r="H136" s="2">
        <f t="shared" si="53"/>
        <v>9409.2000000000007</v>
      </c>
      <c r="I136" s="48">
        <f t="shared" si="52"/>
        <v>4.9249670535220558</v>
      </c>
    </row>
    <row r="137" spans="1:9" x14ac:dyDescent="0.25">
      <c r="A137" s="35">
        <f t="shared" si="1"/>
        <v>39793</v>
      </c>
      <c r="C137">
        <v>3681</v>
      </c>
      <c r="D137">
        <v>4862.1000000000004</v>
      </c>
      <c r="E137">
        <v>7014.6</v>
      </c>
      <c r="F137">
        <v>4792.3999999999996</v>
      </c>
      <c r="G137" s="14">
        <f t="shared" si="53"/>
        <v>10695.6</v>
      </c>
      <c r="H137" s="2">
        <f t="shared" si="53"/>
        <v>9654.5</v>
      </c>
      <c r="I137" s="48">
        <f t="shared" si="52"/>
        <v>10.783572427365474</v>
      </c>
    </row>
    <row r="138" spans="1:9" x14ac:dyDescent="0.25">
      <c r="A138" s="35">
        <f t="shared" si="1"/>
        <v>39800</v>
      </c>
      <c r="C138">
        <v>3446.1</v>
      </c>
      <c r="D138">
        <v>4493.3999999999996</v>
      </c>
      <c r="E138">
        <v>7623.8</v>
      </c>
      <c r="F138">
        <v>5298.8</v>
      </c>
      <c r="G138" s="14">
        <f t="shared" ref="G138:H140" si="54">+C138+E138</f>
        <v>11069.9</v>
      </c>
      <c r="H138" s="2">
        <f t="shared" si="54"/>
        <v>9792.2000000000007</v>
      </c>
      <c r="I138" s="48">
        <f t="shared" ref="I138:I143" si="55">+(G138/H138-1)*100</f>
        <v>13.04814035661035</v>
      </c>
    </row>
    <row r="139" spans="1:9" x14ac:dyDescent="0.25">
      <c r="A139" s="35">
        <f t="shared" si="1"/>
        <v>39807</v>
      </c>
      <c r="C139">
        <v>3286</v>
      </c>
      <c r="D139">
        <v>4276.1000000000004</v>
      </c>
      <c r="E139">
        <v>8140.5</v>
      </c>
      <c r="F139">
        <v>5524.8</v>
      </c>
      <c r="G139" s="14">
        <f t="shared" si="54"/>
        <v>11426.5</v>
      </c>
      <c r="H139" s="2">
        <f t="shared" si="54"/>
        <v>9800.9000000000015</v>
      </c>
      <c r="I139" s="48">
        <f t="shared" si="55"/>
        <v>16.586231876664371</v>
      </c>
    </row>
    <row r="140" spans="1:9" s="88" customFormat="1" x14ac:dyDescent="0.25">
      <c r="A140" s="87">
        <f t="shared" si="1"/>
        <v>39814</v>
      </c>
      <c r="C140" s="88">
        <v>3160.4</v>
      </c>
      <c r="D140" s="88">
        <v>3843.2</v>
      </c>
      <c r="E140" s="88">
        <v>8710.5</v>
      </c>
      <c r="F140" s="88">
        <v>5974.9</v>
      </c>
      <c r="G140" s="89">
        <f t="shared" si="54"/>
        <v>11870.9</v>
      </c>
      <c r="H140" s="90">
        <f t="shared" si="54"/>
        <v>9818.0999999999985</v>
      </c>
      <c r="I140" s="91">
        <f t="shared" si="55"/>
        <v>20.90832238416802</v>
      </c>
    </row>
    <row r="141" spans="1:9" x14ac:dyDescent="0.25">
      <c r="A141" s="35">
        <f t="shared" si="1"/>
        <v>39821</v>
      </c>
      <c r="C141">
        <v>3626.5</v>
      </c>
      <c r="D141">
        <v>3691.4</v>
      </c>
      <c r="E141">
        <v>9106.2000000000007</v>
      </c>
      <c r="F141">
        <v>6390.5</v>
      </c>
      <c r="G141" s="14">
        <f t="shared" ref="G141:H143" si="56">+C141+E141</f>
        <v>12732.7</v>
      </c>
      <c r="H141" s="2">
        <f t="shared" si="56"/>
        <v>10081.9</v>
      </c>
      <c r="I141" s="48">
        <f t="shared" si="55"/>
        <v>26.292663089298649</v>
      </c>
    </row>
    <row r="142" spans="1:9" x14ac:dyDescent="0.25">
      <c r="A142" s="35">
        <f t="shared" si="1"/>
        <v>39828</v>
      </c>
      <c r="C142">
        <v>3928.1</v>
      </c>
      <c r="D142">
        <v>3421.2</v>
      </c>
      <c r="E142">
        <v>9570.2999999999993</v>
      </c>
      <c r="F142">
        <v>6865.1</v>
      </c>
      <c r="G142" s="14">
        <f t="shared" si="56"/>
        <v>13498.4</v>
      </c>
      <c r="H142" s="2">
        <f t="shared" si="56"/>
        <v>10286.299999999999</v>
      </c>
      <c r="I142" s="48">
        <f t="shared" si="55"/>
        <v>31.226971797439319</v>
      </c>
    </row>
    <row r="143" spans="1:9" x14ac:dyDescent="0.25">
      <c r="A143" s="35">
        <f t="shared" si="1"/>
        <v>39835</v>
      </c>
      <c r="C143">
        <v>3464.1</v>
      </c>
      <c r="D143">
        <v>3250</v>
      </c>
      <c r="E143">
        <v>10285.5</v>
      </c>
      <c r="F143">
        <v>7185.3</v>
      </c>
      <c r="G143" s="14">
        <f t="shared" si="56"/>
        <v>13749.6</v>
      </c>
      <c r="H143" s="2">
        <f t="shared" si="56"/>
        <v>10435.299999999999</v>
      </c>
      <c r="I143" s="48">
        <f t="shared" si="55"/>
        <v>31.7604668768507</v>
      </c>
    </row>
    <row r="144" spans="1:9" x14ac:dyDescent="0.25">
      <c r="A144" s="35">
        <f t="shared" si="1"/>
        <v>39842</v>
      </c>
      <c r="C144">
        <v>2859.5</v>
      </c>
      <c r="D144">
        <v>3397.6</v>
      </c>
      <c r="E144">
        <v>11056.9</v>
      </c>
      <c r="F144">
        <v>7541.4</v>
      </c>
      <c r="G144" s="14">
        <f t="shared" ref="G144:H146" si="57">+C144+E144</f>
        <v>13916.4</v>
      </c>
      <c r="H144" s="2">
        <f t="shared" si="57"/>
        <v>10939</v>
      </c>
      <c r="I144" s="48">
        <f t="shared" ref="I144:I149" si="58">+(G144/H144-1)*100</f>
        <v>27.21821007404699</v>
      </c>
    </row>
    <row r="145" spans="1:14" x14ac:dyDescent="0.25">
      <c r="A145" s="35">
        <f t="shared" si="1"/>
        <v>39849</v>
      </c>
      <c r="C145">
        <v>2682.5</v>
      </c>
      <c r="D145">
        <v>3013.4</v>
      </c>
      <c r="E145">
        <v>11958.2</v>
      </c>
      <c r="F145">
        <v>7957.7</v>
      </c>
      <c r="G145" s="14">
        <f t="shared" si="57"/>
        <v>14640.7</v>
      </c>
      <c r="H145" s="2">
        <f t="shared" si="57"/>
        <v>10971.1</v>
      </c>
      <c r="I145" s="48">
        <f t="shared" si="58"/>
        <v>33.447876694223908</v>
      </c>
    </row>
    <row r="146" spans="1:14" x14ac:dyDescent="0.25">
      <c r="A146" s="35">
        <f t="shared" si="1"/>
        <v>39856</v>
      </c>
      <c r="C146">
        <v>2672</v>
      </c>
      <c r="D146">
        <v>2745.3</v>
      </c>
      <c r="E146">
        <v>12842.3</v>
      </c>
      <c r="F146">
        <v>8474.2999999999993</v>
      </c>
      <c r="G146" s="14">
        <f t="shared" si="57"/>
        <v>15514.3</v>
      </c>
      <c r="H146" s="2">
        <f t="shared" si="57"/>
        <v>11219.599999999999</v>
      </c>
      <c r="I146" s="48">
        <f t="shared" si="58"/>
        <v>38.278548254839762</v>
      </c>
    </row>
    <row r="147" spans="1:14" x14ac:dyDescent="0.25">
      <c r="A147" s="35">
        <f t="shared" si="1"/>
        <v>39863</v>
      </c>
      <c r="C147">
        <v>2373.5</v>
      </c>
      <c r="D147">
        <v>2722.8</v>
      </c>
      <c r="E147">
        <v>13480</v>
      </c>
      <c r="F147">
        <v>8722.2999999999993</v>
      </c>
      <c r="G147" s="14">
        <f t="shared" ref="G147:H149" si="59">+C147+E147</f>
        <v>15853.5</v>
      </c>
      <c r="H147" s="2">
        <f t="shared" si="59"/>
        <v>11445.099999999999</v>
      </c>
      <c r="I147" s="48">
        <f t="shared" si="58"/>
        <v>38.517793640946806</v>
      </c>
    </row>
    <row r="148" spans="1:14" x14ac:dyDescent="0.25">
      <c r="A148" s="35">
        <f t="shared" si="1"/>
        <v>39870</v>
      </c>
      <c r="C148">
        <v>2008</v>
      </c>
      <c r="D148">
        <v>2319.8000000000002</v>
      </c>
      <c r="E148">
        <v>13951.3</v>
      </c>
      <c r="F148">
        <v>9140.7000000000007</v>
      </c>
      <c r="G148" s="14">
        <f t="shared" si="59"/>
        <v>15959.3</v>
      </c>
      <c r="H148" s="2">
        <f t="shared" si="59"/>
        <v>11460.5</v>
      </c>
      <c r="I148" s="48">
        <f t="shared" si="58"/>
        <v>39.254831813620683</v>
      </c>
    </row>
    <row r="149" spans="1:14" x14ac:dyDescent="0.25">
      <c r="A149" s="35">
        <f t="shared" si="1"/>
        <v>39877</v>
      </c>
      <c r="C149">
        <v>1843</v>
      </c>
      <c r="D149">
        <v>1916.2</v>
      </c>
      <c r="E149">
        <v>14523.1</v>
      </c>
      <c r="F149">
        <v>9615.4</v>
      </c>
      <c r="G149" s="14">
        <f t="shared" si="59"/>
        <v>16366.1</v>
      </c>
      <c r="H149" s="2">
        <f t="shared" si="59"/>
        <v>11531.6</v>
      </c>
      <c r="I149" s="48">
        <f t="shared" si="58"/>
        <v>41.923930764161078</v>
      </c>
    </row>
    <row r="150" spans="1:14" x14ac:dyDescent="0.25">
      <c r="A150" s="35">
        <f t="shared" si="1"/>
        <v>39884</v>
      </c>
      <c r="C150">
        <v>1564</v>
      </c>
      <c r="D150">
        <v>1690.9</v>
      </c>
      <c r="E150">
        <v>14827.4</v>
      </c>
      <c r="F150">
        <v>9919.6</v>
      </c>
      <c r="G150" s="14">
        <f t="shared" ref="G150:H152" si="60">+C150+E150</f>
        <v>16391.400000000001</v>
      </c>
      <c r="H150" s="2">
        <f t="shared" si="60"/>
        <v>11610.5</v>
      </c>
      <c r="I150" s="48">
        <f t="shared" ref="I150:I155" si="61">+(G150/H150-1)*100</f>
        <v>41.177382541664876</v>
      </c>
    </row>
    <row r="151" spans="1:14" x14ac:dyDescent="0.25">
      <c r="A151" s="35">
        <f t="shared" si="1"/>
        <v>39891</v>
      </c>
      <c r="C151">
        <v>1633</v>
      </c>
      <c r="D151">
        <v>1627</v>
      </c>
      <c r="E151">
        <v>15009.7</v>
      </c>
      <c r="F151">
        <v>10223.4</v>
      </c>
      <c r="G151" s="14">
        <f t="shared" si="60"/>
        <v>16642.7</v>
      </c>
      <c r="H151" s="2">
        <f t="shared" si="60"/>
        <v>11850.4</v>
      </c>
      <c r="I151" s="48">
        <f t="shared" si="61"/>
        <v>40.439985148180654</v>
      </c>
      <c r="M151">
        <v>12.432</v>
      </c>
      <c r="N151">
        <f>+M151/M152</f>
        <v>1.1395050412465628</v>
      </c>
    </row>
    <row r="152" spans="1:14" x14ac:dyDescent="0.25">
      <c r="A152" s="35">
        <f t="shared" si="1"/>
        <v>39898</v>
      </c>
      <c r="C152">
        <v>1321</v>
      </c>
      <c r="D152">
        <v>1562.5</v>
      </c>
      <c r="E152">
        <v>15379.5</v>
      </c>
      <c r="F152">
        <v>10528.8</v>
      </c>
      <c r="G152" s="14">
        <f t="shared" si="60"/>
        <v>16700.5</v>
      </c>
      <c r="H152" s="2">
        <f t="shared" si="60"/>
        <v>12091.3</v>
      </c>
      <c r="I152" s="48">
        <f t="shared" si="61"/>
        <v>38.119970557342889</v>
      </c>
      <c r="M152">
        <v>10.91</v>
      </c>
    </row>
    <row r="153" spans="1:14" x14ac:dyDescent="0.25">
      <c r="A153" s="35">
        <f t="shared" si="1"/>
        <v>39905</v>
      </c>
      <c r="C153">
        <v>1228.0999999999999</v>
      </c>
      <c r="D153">
        <v>1702.3</v>
      </c>
      <c r="E153">
        <v>15711.1</v>
      </c>
      <c r="F153">
        <v>10675</v>
      </c>
      <c r="G153" s="14">
        <f t="shared" ref="G153:G184" si="62">+C153+E153</f>
        <v>16939.2</v>
      </c>
      <c r="H153" s="2">
        <f t="shared" ref="H153:H184" si="63">+D153+F153</f>
        <v>12377.3</v>
      </c>
      <c r="I153" s="48">
        <f t="shared" si="61"/>
        <v>36.856988196133258</v>
      </c>
    </row>
    <row r="154" spans="1:14" x14ac:dyDescent="0.25">
      <c r="A154" s="35">
        <f t="shared" si="1"/>
        <v>39912</v>
      </c>
      <c r="C154">
        <v>1349.8</v>
      </c>
      <c r="D154">
        <v>1945.8</v>
      </c>
      <c r="E154">
        <v>15995.1</v>
      </c>
      <c r="F154">
        <v>10804.1</v>
      </c>
      <c r="G154" s="14">
        <f t="shared" si="62"/>
        <v>17344.900000000001</v>
      </c>
      <c r="H154" s="2">
        <f t="shared" si="63"/>
        <v>12749.9</v>
      </c>
      <c r="I154" s="48">
        <f t="shared" si="61"/>
        <v>36.039498349006685</v>
      </c>
    </row>
    <row r="155" spans="1:14" x14ac:dyDescent="0.25">
      <c r="A155" s="35">
        <f t="shared" si="1"/>
        <v>39919</v>
      </c>
      <c r="C155">
        <v>1234.0999999999999</v>
      </c>
      <c r="D155">
        <v>1824.4</v>
      </c>
      <c r="E155">
        <v>16297.1</v>
      </c>
      <c r="F155">
        <v>10978</v>
      </c>
      <c r="G155" s="14">
        <f t="shared" si="62"/>
        <v>17531.2</v>
      </c>
      <c r="H155" s="2">
        <f t="shared" si="63"/>
        <v>12802.4</v>
      </c>
      <c r="I155" s="48">
        <f t="shared" si="61"/>
        <v>36.936824345435241</v>
      </c>
      <c r="J155">
        <v>1059.3</v>
      </c>
    </row>
    <row r="156" spans="1:14" x14ac:dyDescent="0.25">
      <c r="A156" s="35">
        <f t="shared" si="1"/>
        <v>39926</v>
      </c>
      <c r="C156">
        <v>1644.2</v>
      </c>
      <c r="D156">
        <v>1657.9</v>
      </c>
      <c r="E156">
        <v>16355.5</v>
      </c>
      <c r="F156">
        <v>11208</v>
      </c>
      <c r="G156" s="14">
        <f t="shared" si="62"/>
        <v>17999.7</v>
      </c>
      <c r="H156" s="2">
        <f t="shared" si="63"/>
        <v>12865.9</v>
      </c>
      <c r="I156" s="48">
        <f t="shared" ref="I156:I187" si="64">+(G156/H156-1)*100</f>
        <v>39.902377602810546</v>
      </c>
    </row>
    <row r="157" spans="1:14" x14ac:dyDescent="0.25">
      <c r="A157" s="35">
        <f t="shared" si="1"/>
        <v>39933</v>
      </c>
      <c r="C157">
        <v>1616.4</v>
      </c>
      <c r="D157">
        <v>1532.5</v>
      </c>
      <c r="E157">
        <v>16581.099999999999</v>
      </c>
      <c r="F157">
        <v>11335.6</v>
      </c>
      <c r="G157" s="14">
        <f t="shared" si="62"/>
        <v>18197.5</v>
      </c>
      <c r="H157" s="2">
        <f t="shared" si="63"/>
        <v>12868.1</v>
      </c>
      <c r="I157" s="48">
        <f t="shared" si="64"/>
        <v>41.415593599676725</v>
      </c>
      <c r="J157">
        <v>1174.8</v>
      </c>
    </row>
    <row r="158" spans="1:14" x14ac:dyDescent="0.25">
      <c r="A158" s="35">
        <f t="shared" si="1"/>
        <v>39940</v>
      </c>
      <c r="C158">
        <v>1572.7</v>
      </c>
      <c r="D158">
        <v>1292.0999999999999</v>
      </c>
      <c r="E158">
        <v>16757.099999999999</v>
      </c>
      <c r="F158">
        <v>11641.8</v>
      </c>
      <c r="G158" s="14">
        <f t="shared" si="62"/>
        <v>18329.8</v>
      </c>
      <c r="H158" s="2">
        <f t="shared" si="63"/>
        <v>12933.9</v>
      </c>
      <c r="I158" s="48">
        <f t="shared" si="64"/>
        <v>41.719048392209615</v>
      </c>
      <c r="J158">
        <v>1352.8</v>
      </c>
    </row>
    <row r="159" spans="1:14" x14ac:dyDescent="0.25">
      <c r="A159" s="35">
        <f t="shared" si="1"/>
        <v>39947</v>
      </c>
      <c r="C159">
        <v>1574.9</v>
      </c>
      <c r="D159">
        <v>1420.1</v>
      </c>
      <c r="E159">
        <v>16947.400000000001</v>
      </c>
      <c r="F159">
        <v>11707.8</v>
      </c>
      <c r="G159" s="14">
        <f t="shared" si="62"/>
        <v>18522.300000000003</v>
      </c>
      <c r="H159" s="2">
        <f t="shared" si="63"/>
        <v>13127.9</v>
      </c>
      <c r="I159" s="48">
        <f t="shared" si="64"/>
        <v>41.091111297313375</v>
      </c>
      <c r="J159">
        <v>1588.8</v>
      </c>
    </row>
    <row r="160" spans="1:14" x14ac:dyDescent="0.25">
      <c r="A160" s="35">
        <f t="shared" si="1"/>
        <v>39954</v>
      </c>
      <c r="C160">
        <v>1519.9</v>
      </c>
      <c r="D160">
        <v>1322.1</v>
      </c>
      <c r="E160">
        <v>17061.8</v>
      </c>
      <c r="F160">
        <v>11879.2</v>
      </c>
      <c r="G160" s="14">
        <f t="shared" si="62"/>
        <v>18581.7</v>
      </c>
      <c r="H160" s="2">
        <f t="shared" si="63"/>
        <v>13201.300000000001</v>
      </c>
      <c r="I160" s="48">
        <f t="shared" si="64"/>
        <v>40.756592153803027</v>
      </c>
      <c r="J160">
        <v>1706.8</v>
      </c>
    </row>
    <row r="161" spans="1:15" x14ac:dyDescent="0.25">
      <c r="A161" s="35">
        <f t="shared" si="1"/>
        <v>39961</v>
      </c>
      <c r="C161">
        <v>1344.9</v>
      </c>
      <c r="D161">
        <v>1427.2</v>
      </c>
      <c r="E161">
        <v>17124.2</v>
      </c>
      <c r="F161">
        <v>11999.5</v>
      </c>
      <c r="G161" s="14">
        <f t="shared" si="62"/>
        <v>18469.100000000002</v>
      </c>
      <c r="H161" s="2">
        <f t="shared" si="63"/>
        <v>13426.7</v>
      </c>
      <c r="I161" s="48">
        <f t="shared" si="64"/>
        <v>37.555020965687788</v>
      </c>
      <c r="J161">
        <v>1706.8</v>
      </c>
    </row>
    <row r="162" spans="1:15" x14ac:dyDescent="0.25">
      <c r="A162" s="35">
        <f t="shared" si="1"/>
        <v>39968</v>
      </c>
      <c r="C162">
        <v>1289.9000000000001</v>
      </c>
      <c r="D162">
        <v>1504.3</v>
      </c>
      <c r="E162">
        <v>17124.2</v>
      </c>
      <c r="F162">
        <v>12002.5</v>
      </c>
      <c r="G162" s="14">
        <f t="shared" si="62"/>
        <v>18414.100000000002</v>
      </c>
      <c r="H162" s="2">
        <f t="shared" si="63"/>
        <v>13506.8</v>
      </c>
      <c r="I162" s="48">
        <f t="shared" si="64"/>
        <v>36.332069772262884</v>
      </c>
      <c r="J162">
        <v>1698.8</v>
      </c>
    </row>
    <row r="163" spans="1:15" x14ac:dyDescent="0.25">
      <c r="A163" s="35">
        <f t="shared" si="1"/>
        <v>39975</v>
      </c>
      <c r="C163">
        <v>1174.9000000000001</v>
      </c>
      <c r="D163">
        <v>1449.9</v>
      </c>
      <c r="E163">
        <v>17288.599999999999</v>
      </c>
      <c r="F163">
        <v>12138.9</v>
      </c>
      <c r="G163" s="14">
        <f t="shared" si="62"/>
        <v>18463.5</v>
      </c>
      <c r="H163" s="2">
        <f t="shared" si="63"/>
        <v>13588.8</v>
      </c>
      <c r="I163" s="48">
        <f t="shared" si="64"/>
        <v>35.872924761568356</v>
      </c>
      <c r="J163">
        <v>1758.8</v>
      </c>
    </row>
    <row r="164" spans="1:15" x14ac:dyDescent="0.25">
      <c r="A164" s="35">
        <f t="shared" si="1"/>
        <v>39982</v>
      </c>
      <c r="C164">
        <v>1045</v>
      </c>
      <c r="D164">
        <v>1044.8</v>
      </c>
      <c r="E164">
        <v>17455.599999999999</v>
      </c>
      <c r="F164">
        <v>12188.6</v>
      </c>
      <c r="G164" s="14">
        <f t="shared" si="62"/>
        <v>18500.599999999999</v>
      </c>
      <c r="H164" s="2">
        <f t="shared" si="63"/>
        <v>13233.4</v>
      </c>
      <c r="I164" s="48">
        <f t="shared" si="64"/>
        <v>39.802318376229827</v>
      </c>
      <c r="J164">
        <v>1816.8</v>
      </c>
    </row>
    <row r="165" spans="1:15" x14ac:dyDescent="0.25">
      <c r="A165" s="35">
        <f t="shared" si="1"/>
        <v>39989</v>
      </c>
      <c r="C165">
        <v>925</v>
      </c>
      <c r="D165">
        <v>1003.9</v>
      </c>
      <c r="E165">
        <v>17644.2</v>
      </c>
      <c r="F165">
        <v>12430.1</v>
      </c>
      <c r="G165" s="14">
        <f t="shared" si="62"/>
        <v>18569.2</v>
      </c>
      <c r="H165" s="2">
        <f t="shared" si="63"/>
        <v>13434</v>
      </c>
      <c r="I165" s="48">
        <f t="shared" si="64"/>
        <v>38.225398243263363</v>
      </c>
      <c r="J165">
        <v>1936.8</v>
      </c>
      <c r="K165">
        <f>SUM(K166:K174)</f>
        <v>1228.0999999999985</v>
      </c>
      <c r="L165">
        <f>SUM(L166:L174)</f>
        <v>6907.4999999999991</v>
      </c>
    </row>
    <row r="166" spans="1:15" x14ac:dyDescent="0.25">
      <c r="A166" s="35">
        <f t="shared" si="1"/>
        <v>39996</v>
      </c>
      <c r="C166">
        <v>1093</v>
      </c>
      <c r="D166">
        <v>897.6</v>
      </c>
      <c r="E166">
        <v>17759.7</v>
      </c>
      <c r="F166">
        <v>12539.5</v>
      </c>
      <c r="G166" s="14">
        <f t="shared" si="62"/>
        <v>18852.7</v>
      </c>
      <c r="H166" s="2">
        <f t="shared" si="63"/>
        <v>13437.1</v>
      </c>
      <c r="I166" s="48">
        <f t="shared" si="64"/>
        <v>40.303339262191983</v>
      </c>
      <c r="J166">
        <v>2766.8</v>
      </c>
      <c r="K166" s="14">
        <f>+G166-G165</f>
        <v>283.5</v>
      </c>
      <c r="L166">
        <f>+J166-J165</f>
        <v>830.00000000000023</v>
      </c>
    </row>
    <row r="167" spans="1:15" x14ac:dyDescent="0.25">
      <c r="A167" s="35">
        <f t="shared" si="1"/>
        <v>40003</v>
      </c>
      <c r="C167">
        <v>1028</v>
      </c>
      <c r="D167">
        <v>820.4</v>
      </c>
      <c r="E167">
        <v>17935.900000000001</v>
      </c>
      <c r="F167">
        <v>12672.7</v>
      </c>
      <c r="G167" s="14">
        <f t="shared" si="62"/>
        <v>18963.900000000001</v>
      </c>
      <c r="H167" s="2">
        <f t="shared" si="63"/>
        <v>13493.1</v>
      </c>
      <c r="I167" s="48">
        <f t="shared" si="64"/>
        <v>40.545167530070934</v>
      </c>
      <c r="J167">
        <v>3291.8</v>
      </c>
      <c r="K167" s="14">
        <f t="shared" ref="K167:K174" si="65">+G167-G166</f>
        <v>111.20000000000073</v>
      </c>
      <c r="L167">
        <f t="shared" ref="L167:L174" si="66">+J167-J166</f>
        <v>525</v>
      </c>
    </row>
    <row r="168" spans="1:15" x14ac:dyDescent="0.25">
      <c r="A168" s="35">
        <f t="shared" si="1"/>
        <v>40010</v>
      </c>
      <c r="C168">
        <v>1131</v>
      </c>
      <c r="D168">
        <v>702</v>
      </c>
      <c r="E168">
        <v>17990.5</v>
      </c>
      <c r="F168">
        <v>12797.1</v>
      </c>
      <c r="G168" s="14">
        <f t="shared" si="62"/>
        <v>19121.5</v>
      </c>
      <c r="H168" s="2">
        <f t="shared" si="63"/>
        <v>13499.1</v>
      </c>
      <c r="I168" s="48">
        <f t="shared" si="64"/>
        <v>41.650184086346485</v>
      </c>
      <c r="J168">
        <v>3406.8</v>
      </c>
      <c r="K168" s="14">
        <f t="shared" si="65"/>
        <v>157.59999999999854</v>
      </c>
      <c r="L168">
        <f t="shared" si="66"/>
        <v>115</v>
      </c>
    </row>
    <row r="169" spans="1:15" x14ac:dyDescent="0.25">
      <c r="A169" s="35">
        <f t="shared" si="1"/>
        <v>40017</v>
      </c>
      <c r="C169">
        <v>945</v>
      </c>
      <c r="D169">
        <v>651.9</v>
      </c>
      <c r="E169">
        <v>18168.5</v>
      </c>
      <c r="F169">
        <v>12981.8</v>
      </c>
      <c r="G169" s="14">
        <f t="shared" si="62"/>
        <v>19113.5</v>
      </c>
      <c r="H169" s="2">
        <f t="shared" si="63"/>
        <v>13633.699999999999</v>
      </c>
      <c r="I169" s="48">
        <f t="shared" si="64"/>
        <v>40.193051042636995</v>
      </c>
      <c r="J169">
        <v>3866.8</v>
      </c>
      <c r="K169" s="14">
        <f t="shared" si="65"/>
        <v>-8</v>
      </c>
      <c r="L169">
        <f t="shared" si="66"/>
        <v>460</v>
      </c>
    </row>
    <row r="170" spans="1:15" x14ac:dyDescent="0.25">
      <c r="A170" s="35">
        <f t="shared" si="1"/>
        <v>40024</v>
      </c>
      <c r="C170">
        <v>1350</v>
      </c>
      <c r="D170">
        <v>564.9</v>
      </c>
      <c r="E170">
        <v>18168.5</v>
      </c>
      <c r="F170">
        <v>13225</v>
      </c>
      <c r="G170" s="14">
        <f t="shared" si="62"/>
        <v>19518.5</v>
      </c>
      <c r="H170" s="2">
        <f t="shared" si="63"/>
        <v>13789.9</v>
      </c>
      <c r="I170" s="48">
        <f t="shared" si="64"/>
        <v>41.541998129065469</v>
      </c>
      <c r="J170">
        <v>6183.8</v>
      </c>
      <c r="K170" s="14">
        <f t="shared" si="65"/>
        <v>405</v>
      </c>
      <c r="L170">
        <f t="shared" si="66"/>
        <v>2317</v>
      </c>
    </row>
    <row r="171" spans="1:15" x14ac:dyDescent="0.25">
      <c r="A171" s="35">
        <f t="shared" si="1"/>
        <v>40031</v>
      </c>
      <c r="C171">
        <v>1295</v>
      </c>
      <c r="D171">
        <v>506.8</v>
      </c>
      <c r="E171">
        <v>18284.400000000001</v>
      </c>
      <c r="F171">
        <v>13226.9</v>
      </c>
      <c r="G171" s="14">
        <f t="shared" si="62"/>
        <v>19579.400000000001</v>
      </c>
      <c r="H171" s="2">
        <f t="shared" si="63"/>
        <v>13733.699999999999</v>
      </c>
      <c r="I171" s="48">
        <f t="shared" si="64"/>
        <v>42.564640264458987</v>
      </c>
      <c r="J171" s="69">
        <v>6473.8</v>
      </c>
      <c r="K171" s="14">
        <f t="shared" si="65"/>
        <v>60.900000000001455</v>
      </c>
      <c r="L171">
        <f t="shared" si="66"/>
        <v>290</v>
      </c>
    </row>
    <row r="172" spans="1:15" x14ac:dyDescent="0.25">
      <c r="A172" s="35">
        <f t="shared" si="1"/>
        <v>40038</v>
      </c>
      <c r="C172">
        <v>1517</v>
      </c>
      <c r="D172">
        <v>474.4</v>
      </c>
      <c r="E172">
        <v>18284.400000000001</v>
      </c>
      <c r="F172">
        <v>13227.8</v>
      </c>
      <c r="G172" s="14">
        <f t="shared" si="62"/>
        <v>19801.400000000001</v>
      </c>
      <c r="H172" s="2">
        <f t="shared" si="63"/>
        <v>13702.199999999999</v>
      </c>
      <c r="I172" s="48">
        <f t="shared" si="64"/>
        <v>44.512560026857017</v>
      </c>
      <c r="J172" s="69">
        <v>6866.8</v>
      </c>
      <c r="K172" s="14">
        <f t="shared" si="65"/>
        <v>222</v>
      </c>
      <c r="L172">
        <f t="shared" si="66"/>
        <v>393</v>
      </c>
    </row>
    <row r="173" spans="1:15" x14ac:dyDescent="0.25">
      <c r="A173" s="35">
        <f t="shared" si="1"/>
        <v>40045</v>
      </c>
      <c r="C173">
        <v>1457</v>
      </c>
      <c r="D173">
        <v>233.6</v>
      </c>
      <c r="E173">
        <v>18348.599999999999</v>
      </c>
      <c r="F173">
        <v>13228.7</v>
      </c>
      <c r="G173" s="14">
        <f t="shared" si="62"/>
        <v>19805.599999999999</v>
      </c>
      <c r="H173" s="2">
        <f t="shared" si="63"/>
        <v>13462.300000000001</v>
      </c>
      <c r="I173" s="48">
        <f t="shared" si="64"/>
        <v>47.118991554192057</v>
      </c>
      <c r="J173">
        <v>8397.2999999999993</v>
      </c>
      <c r="K173" s="14">
        <f t="shared" si="65"/>
        <v>4.1999999999970896</v>
      </c>
      <c r="L173">
        <f t="shared" si="66"/>
        <v>1530.4999999999991</v>
      </c>
    </row>
    <row r="174" spans="1:15" x14ac:dyDescent="0.25">
      <c r="A174" s="35">
        <f t="shared" si="1"/>
        <v>40052</v>
      </c>
      <c r="C174">
        <v>1116</v>
      </c>
      <c r="D174">
        <v>171.6</v>
      </c>
      <c r="E174">
        <v>18681.3</v>
      </c>
      <c r="F174">
        <v>13353.3</v>
      </c>
      <c r="G174" s="14">
        <f t="shared" si="62"/>
        <v>19797.3</v>
      </c>
      <c r="H174" s="2">
        <f t="shared" si="63"/>
        <v>13524.9</v>
      </c>
      <c r="I174" s="48">
        <f t="shared" si="64"/>
        <v>46.376683006898389</v>
      </c>
      <c r="J174">
        <v>8844.2999999999993</v>
      </c>
      <c r="K174" s="14">
        <f t="shared" si="65"/>
        <v>-8.2999999999992724</v>
      </c>
      <c r="L174">
        <f t="shared" si="66"/>
        <v>447</v>
      </c>
      <c r="O174" s="14"/>
    </row>
    <row r="175" spans="1:15" s="88" customFormat="1" x14ac:dyDescent="0.25">
      <c r="A175" s="87">
        <f t="shared" si="1"/>
        <v>40059</v>
      </c>
      <c r="C175" s="88">
        <v>10174.299999999999</v>
      </c>
      <c r="D175" s="88">
        <v>4561.8</v>
      </c>
      <c r="E175" s="88">
        <v>183.9</v>
      </c>
      <c r="F175" s="88">
        <v>0</v>
      </c>
      <c r="G175" s="89">
        <f t="shared" si="62"/>
        <v>10358.199999999999</v>
      </c>
      <c r="H175" s="90">
        <f t="shared" si="63"/>
        <v>4561.8</v>
      </c>
      <c r="I175" s="91">
        <f t="shared" si="64"/>
        <v>127.06387829365599</v>
      </c>
      <c r="K175" s="89">
        <f>+G175-J174</f>
        <v>1513.8999999999996</v>
      </c>
    </row>
    <row r="176" spans="1:15" x14ac:dyDescent="0.25">
      <c r="A176" s="35">
        <f t="shared" si="1"/>
        <v>40066</v>
      </c>
      <c r="C176">
        <v>10473.299999999999</v>
      </c>
      <c r="D176">
        <v>4615.5</v>
      </c>
      <c r="E176">
        <v>348.3</v>
      </c>
      <c r="F176">
        <v>61.2</v>
      </c>
      <c r="G176" s="14">
        <f t="shared" si="62"/>
        <v>10821.599999999999</v>
      </c>
      <c r="H176" s="2">
        <f t="shared" si="63"/>
        <v>4676.7</v>
      </c>
      <c r="I176" s="48">
        <f t="shared" si="64"/>
        <v>131.39393161844887</v>
      </c>
      <c r="J176">
        <v>9</v>
      </c>
      <c r="K176" s="14">
        <f>+G176-G175</f>
        <v>463.39999999999964</v>
      </c>
    </row>
    <row r="177" spans="1:13" x14ac:dyDescent="0.25">
      <c r="A177" s="35">
        <f t="shared" si="1"/>
        <v>40073</v>
      </c>
      <c r="C177">
        <v>11127.8</v>
      </c>
      <c r="D177">
        <v>5080.3999999999996</v>
      </c>
      <c r="E177">
        <v>348.3</v>
      </c>
      <c r="F177">
        <v>61.3</v>
      </c>
      <c r="G177" s="14">
        <f t="shared" si="62"/>
        <v>11476.099999999999</v>
      </c>
      <c r="H177" s="2">
        <f t="shared" si="63"/>
        <v>5141.7</v>
      </c>
      <c r="I177" s="48">
        <f t="shared" si="64"/>
        <v>123.19660812571715</v>
      </c>
      <c r="J177">
        <v>9</v>
      </c>
      <c r="K177" s="14">
        <f t="shared" ref="K177:K184" si="67">+G177-G176</f>
        <v>654.5</v>
      </c>
    </row>
    <row r="178" spans="1:13" x14ac:dyDescent="0.25">
      <c r="A178" s="35">
        <f t="shared" si="1"/>
        <v>40080</v>
      </c>
      <c r="C178">
        <v>11818.3</v>
      </c>
      <c r="D178">
        <v>5398.5</v>
      </c>
      <c r="E178">
        <v>466.5</v>
      </c>
      <c r="F178">
        <v>61.3</v>
      </c>
      <c r="G178" s="14">
        <f t="shared" si="62"/>
        <v>12284.8</v>
      </c>
      <c r="H178" s="2">
        <f t="shared" si="63"/>
        <v>5459.8</v>
      </c>
      <c r="I178" s="48">
        <f t="shared" si="64"/>
        <v>125.00457892230483</v>
      </c>
      <c r="J178">
        <v>9</v>
      </c>
      <c r="K178" s="14">
        <f t="shared" si="67"/>
        <v>808.70000000000073</v>
      </c>
    </row>
    <row r="179" spans="1:13" x14ac:dyDescent="0.25">
      <c r="A179" s="35">
        <f t="shared" si="1"/>
        <v>40087</v>
      </c>
      <c r="C179">
        <v>11864.8</v>
      </c>
      <c r="D179">
        <v>5391.7</v>
      </c>
      <c r="E179">
        <v>639.70000000000005</v>
      </c>
      <c r="F179">
        <v>236.9</v>
      </c>
      <c r="G179" s="14">
        <f t="shared" si="62"/>
        <v>12504.5</v>
      </c>
      <c r="H179" s="2">
        <f t="shared" si="63"/>
        <v>5628.5999999999995</v>
      </c>
      <c r="I179" s="48">
        <f t="shared" si="64"/>
        <v>122.16003979675234</v>
      </c>
      <c r="J179">
        <v>9</v>
      </c>
      <c r="K179" s="14">
        <f t="shared" si="67"/>
        <v>219.70000000000073</v>
      </c>
      <c r="L179" s="14">
        <f>+G174-G166</f>
        <v>944.59999999999854</v>
      </c>
      <c r="M179" s="14">
        <f>+L179+K179</f>
        <v>1164.2999999999993</v>
      </c>
    </row>
    <row r="180" spans="1:13" x14ac:dyDescent="0.25">
      <c r="A180" s="35">
        <f t="shared" si="1"/>
        <v>40094</v>
      </c>
      <c r="C180">
        <v>11679.8</v>
      </c>
      <c r="D180">
        <v>5338.2</v>
      </c>
      <c r="E180">
        <v>1008.8</v>
      </c>
      <c r="F180">
        <v>479.8</v>
      </c>
      <c r="G180" s="14">
        <f t="shared" si="62"/>
        <v>12688.599999999999</v>
      </c>
      <c r="H180" s="2">
        <f t="shared" si="63"/>
        <v>5818</v>
      </c>
      <c r="I180" s="48">
        <f t="shared" si="64"/>
        <v>118.09212787899619</v>
      </c>
      <c r="K180" s="14">
        <f t="shared" si="67"/>
        <v>184.09999999999854</v>
      </c>
    </row>
    <row r="181" spans="1:13" x14ac:dyDescent="0.25">
      <c r="A181" s="35">
        <f t="shared" si="1"/>
        <v>40101</v>
      </c>
      <c r="C181">
        <v>11881</v>
      </c>
      <c r="D181">
        <v>5203.8999999999996</v>
      </c>
      <c r="E181">
        <v>1548.9</v>
      </c>
      <c r="F181">
        <v>972</v>
      </c>
      <c r="G181" s="14">
        <f t="shared" si="62"/>
        <v>13429.9</v>
      </c>
      <c r="H181" s="2">
        <f t="shared" si="63"/>
        <v>6175.9</v>
      </c>
      <c r="I181" s="48">
        <f t="shared" si="64"/>
        <v>117.45656503505563</v>
      </c>
      <c r="K181" s="14">
        <f t="shared" si="67"/>
        <v>741.30000000000109</v>
      </c>
    </row>
    <row r="182" spans="1:13" x14ac:dyDescent="0.25">
      <c r="A182" s="35">
        <f t="shared" si="1"/>
        <v>40108</v>
      </c>
      <c r="C182">
        <v>11299.5</v>
      </c>
      <c r="D182">
        <v>5202.7</v>
      </c>
      <c r="E182">
        <v>2567.4</v>
      </c>
      <c r="F182">
        <v>1762</v>
      </c>
      <c r="G182" s="14">
        <f t="shared" si="62"/>
        <v>13866.9</v>
      </c>
      <c r="H182" s="2">
        <f t="shared" si="63"/>
        <v>6964.7</v>
      </c>
      <c r="I182" s="48">
        <f t="shared" si="64"/>
        <v>99.102617485318817</v>
      </c>
      <c r="K182" s="14">
        <f t="shared" si="67"/>
        <v>437</v>
      </c>
    </row>
    <row r="183" spans="1:13" x14ac:dyDescent="0.25">
      <c r="A183" s="35">
        <f t="shared" si="1"/>
        <v>40115</v>
      </c>
      <c r="C183">
        <v>10561.7</v>
      </c>
      <c r="D183">
        <v>5008.6000000000004</v>
      </c>
      <c r="E183">
        <v>3596.1</v>
      </c>
      <c r="F183">
        <v>2598.6</v>
      </c>
      <c r="G183" s="14">
        <f t="shared" si="62"/>
        <v>14157.800000000001</v>
      </c>
      <c r="H183" s="2">
        <f t="shared" si="63"/>
        <v>7607.2000000000007</v>
      </c>
      <c r="I183" s="48">
        <f t="shared" si="64"/>
        <v>86.110526869281728</v>
      </c>
      <c r="K183" s="14">
        <f t="shared" si="67"/>
        <v>290.90000000000146</v>
      </c>
    </row>
    <row r="184" spans="1:13" x14ac:dyDescent="0.25">
      <c r="A184" s="35">
        <f t="shared" si="1"/>
        <v>40122</v>
      </c>
      <c r="C184">
        <v>10392.9</v>
      </c>
      <c r="D184">
        <v>4472.3</v>
      </c>
      <c r="E184">
        <v>4726.1000000000004</v>
      </c>
      <c r="F184">
        <v>3811.9</v>
      </c>
      <c r="G184" s="14">
        <f t="shared" si="62"/>
        <v>15119</v>
      </c>
      <c r="H184" s="2">
        <f t="shared" si="63"/>
        <v>8284.2000000000007</v>
      </c>
      <c r="I184" s="48">
        <f t="shared" si="64"/>
        <v>82.504043842495349</v>
      </c>
      <c r="K184" s="14">
        <f t="shared" si="67"/>
        <v>961.19999999999891</v>
      </c>
    </row>
    <row r="185" spans="1:13" x14ac:dyDescent="0.25">
      <c r="A185" s="35">
        <f t="shared" si="1"/>
        <v>40129</v>
      </c>
      <c r="C185">
        <v>10203.1</v>
      </c>
      <c r="D185">
        <v>4472.3</v>
      </c>
      <c r="E185">
        <v>5640.5</v>
      </c>
      <c r="F185">
        <v>3811.9</v>
      </c>
      <c r="G185" s="14">
        <f t="shared" ref="G185:G216" si="68">+C185+E185</f>
        <v>15843.6</v>
      </c>
      <c r="H185" s="2">
        <f t="shared" ref="H185:H216" si="69">+D185+F185</f>
        <v>8284.2000000000007</v>
      </c>
      <c r="I185" s="48">
        <f t="shared" si="64"/>
        <v>91.250814804084882</v>
      </c>
    </row>
    <row r="186" spans="1:13" x14ac:dyDescent="0.25">
      <c r="A186" s="35">
        <f t="shared" si="1"/>
        <v>40136</v>
      </c>
      <c r="C186">
        <v>9227.4</v>
      </c>
      <c r="D186">
        <v>4402.8</v>
      </c>
      <c r="E186">
        <v>7476</v>
      </c>
      <c r="F186">
        <v>4535.3999999999996</v>
      </c>
      <c r="G186" s="14">
        <f t="shared" si="68"/>
        <v>16703.400000000001</v>
      </c>
      <c r="H186" s="2">
        <f t="shared" si="69"/>
        <v>8938.2000000000007</v>
      </c>
      <c r="I186" s="48">
        <f t="shared" si="64"/>
        <v>86.876552325971673</v>
      </c>
    </row>
    <row r="187" spans="1:13" x14ac:dyDescent="0.25">
      <c r="A187" s="35">
        <f t="shared" si="1"/>
        <v>40143</v>
      </c>
      <c r="C187">
        <v>8816.1</v>
      </c>
      <c r="D187">
        <v>3793.7</v>
      </c>
      <c r="E187">
        <v>8199.7000000000007</v>
      </c>
      <c r="F187">
        <v>5442.6</v>
      </c>
      <c r="G187" s="14">
        <f t="shared" si="68"/>
        <v>17015.800000000003</v>
      </c>
      <c r="H187" s="2">
        <f t="shared" si="69"/>
        <v>9236.2999999999993</v>
      </c>
      <c r="I187" s="48">
        <f t="shared" si="64"/>
        <v>84.227450385977122</v>
      </c>
    </row>
    <row r="188" spans="1:13" x14ac:dyDescent="0.25">
      <c r="A188" s="35">
        <f t="shared" si="1"/>
        <v>40150</v>
      </c>
      <c r="C188">
        <v>7980</v>
      </c>
      <c r="D188">
        <v>3830.7</v>
      </c>
      <c r="E188">
        <v>9591.7000000000007</v>
      </c>
      <c r="F188">
        <v>6041.9</v>
      </c>
      <c r="G188" s="14">
        <f t="shared" si="68"/>
        <v>17571.7</v>
      </c>
      <c r="H188" s="2">
        <f t="shared" si="69"/>
        <v>9872.5999999999985</v>
      </c>
      <c r="I188" s="48">
        <f t="shared" ref="I188:I219" si="70">+(G188/H188-1)*100</f>
        <v>77.984522820736203</v>
      </c>
    </row>
    <row r="189" spans="1:13" x14ac:dyDescent="0.25">
      <c r="A189" s="35">
        <f t="shared" si="1"/>
        <v>40157</v>
      </c>
      <c r="C189">
        <v>7344.6</v>
      </c>
      <c r="D189">
        <v>3681</v>
      </c>
      <c r="E189">
        <v>10895.6</v>
      </c>
      <c r="F189">
        <v>7014.6</v>
      </c>
      <c r="G189" s="14">
        <f t="shared" si="68"/>
        <v>18240.2</v>
      </c>
      <c r="H189" s="2">
        <f t="shared" si="69"/>
        <v>10695.6</v>
      </c>
      <c r="I189" s="48">
        <f t="shared" si="70"/>
        <v>70.539287183514716</v>
      </c>
    </row>
    <row r="190" spans="1:13" x14ac:dyDescent="0.25">
      <c r="A190" s="35">
        <f t="shared" si="1"/>
        <v>40164</v>
      </c>
      <c r="C190">
        <v>7520</v>
      </c>
      <c r="D190">
        <v>3446.1</v>
      </c>
      <c r="E190">
        <v>11353.5</v>
      </c>
      <c r="F190">
        <v>7623.8</v>
      </c>
      <c r="G190" s="14">
        <f t="shared" si="68"/>
        <v>18873.5</v>
      </c>
      <c r="H190" s="2">
        <f t="shared" si="69"/>
        <v>11069.9</v>
      </c>
      <c r="I190" s="48">
        <f t="shared" si="70"/>
        <v>70.493861733168316</v>
      </c>
      <c r="L190">
        <v>182.5</v>
      </c>
    </row>
    <row r="191" spans="1:13" x14ac:dyDescent="0.25">
      <c r="A191" s="35">
        <f t="shared" si="1"/>
        <v>40171</v>
      </c>
      <c r="C191">
        <v>7035.5</v>
      </c>
      <c r="D191">
        <v>3286</v>
      </c>
      <c r="E191">
        <v>12268.6</v>
      </c>
      <c r="F191">
        <v>8140.5</v>
      </c>
      <c r="G191" s="14">
        <f t="shared" si="68"/>
        <v>19304.099999999999</v>
      </c>
      <c r="H191" s="2">
        <f t="shared" si="69"/>
        <v>11426.5</v>
      </c>
      <c r="I191" s="48">
        <f t="shared" si="70"/>
        <v>68.941495646085855</v>
      </c>
      <c r="J191">
        <v>283.5</v>
      </c>
    </row>
    <row r="192" spans="1:13" x14ac:dyDescent="0.25">
      <c r="A192" s="35">
        <f t="shared" si="1"/>
        <v>40178</v>
      </c>
      <c r="C192">
        <v>6847</v>
      </c>
      <c r="D192">
        <v>3160.4</v>
      </c>
      <c r="E192">
        <v>12909.7</v>
      </c>
      <c r="F192">
        <v>8710.5</v>
      </c>
      <c r="G192" s="14">
        <f t="shared" si="68"/>
        <v>19756.7</v>
      </c>
      <c r="H192" s="2">
        <f t="shared" si="69"/>
        <v>11870.9</v>
      </c>
      <c r="I192" s="48">
        <f t="shared" si="70"/>
        <v>66.429672560631474</v>
      </c>
      <c r="J192">
        <v>283.5</v>
      </c>
    </row>
    <row r="193" spans="1:10" x14ac:dyDescent="0.25">
      <c r="A193" s="35">
        <f t="shared" si="1"/>
        <v>40185</v>
      </c>
      <c r="C193">
        <v>6389.5</v>
      </c>
      <c r="D193">
        <v>3626.5</v>
      </c>
      <c r="E193">
        <v>13895.3</v>
      </c>
      <c r="F193">
        <v>9106.2000000000007</v>
      </c>
      <c r="G193" s="14">
        <f t="shared" si="68"/>
        <v>20284.8</v>
      </c>
      <c r="H193" s="2">
        <f t="shared" si="69"/>
        <v>12732.7</v>
      </c>
      <c r="I193" s="48">
        <f t="shared" si="70"/>
        <v>59.312635968804713</v>
      </c>
      <c r="J193">
        <v>283.5</v>
      </c>
    </row>
    <row r="194" spans="1:10" x14ac:dyDescent="0.25">
      <c r="A194" s="35">
        <f t="shared" si="1"/>
        <v>40192</v>
      </c>
      <c r="C194">
        <v>6230.4</v>
      </c>
      <c r="D194">
        <v>3928.1</v>
      </c>
      <c r="E194">
        <v>14754.8</v>
      </c>
      <c r="F194">
        <v>9570.2999999999993</v>
      </c>
      <c r="G194" s="14">
        <f t="shared" si="68"/>
        <v>20985.199999999997</v>
      </c>
      <c r="H194" s="2">
        <f t="shared" si="69"/>
        <v>13498.4</v>
      </c>
      <c r="I194" s="48">
        <f t="shared" si="70"/>
        <v>55.464351330528046</v>
      </c>
      <c r="J194">
        <v>283.5</v>
      </c>
    </row>
    <row r="195" spans="1:10" x14ac:dyDescent="0.25">
      <c r="A195" s="35">
        <f t="shared" si="1"/>
        <v>40199</v>
      </c>
      <c r="C195">
        <v>5635.8</v>
      </c>
      <c r="D195">
        <v>3464.1</v>
      </c>
      <c r="E195">
        <v>15630.2</v>
      </c>
      <c r="F195">
        <v>10285.5</v>
      </c>
      <c r="G195" s="14">
        <f t="shared" si="68"/>
        <v>21266</v>
      </c>
      <c r="H195" s="2">
        <f t="shared" si="69"/>
        <v>13749.6</v>
      </c>
      <c r="I195" s="48">
        <f t="shared" si="70"/>
        <v>54.666317565601894</v>
      </c>
      <c r="J195">
        <v>458.5</v>
      </c>
    </row>
    <row r="196" spans="1:10" x14ac:dyDescent="0.25">
      <c r="A196" s="35">
        <f t="shared" si="1"/>
        <v>40206</v>
      </c>
      <c r="C196">
        <v>5032.7</v>
      </c>
      <c r="D196">
        <v>2859.5</v>
      </c>
      <c r="E196">
        <v>16495.7</v>
      </c>
      <c r="F196">
        <v>11056.9</v>
      </c>
      <c r="G196" s="14">
        <f t="shared" si="68"/>
        <v>21528.400000000001</v>
      </c>
      <c r="H196" s="2">
        <f t="shared" si="69"/>
        <v>13916.4</v>
      </c>
      <c r="I196" s="48">
        <f t="shared" si="70"/>
        <v>54.698054094449724</v>
      </c>
      <c r="J196">
        <v>458.5</v>
      </c>
    </row>
    <row r="197" spans="1:10" x14ac:dyDescent="0.25">
      <c r="A197" s="35">
        <f t="shared" si="1"/>
        <v>40213</v>
      </c>
      <c r="C197">
        <v>4576.8</v>
      </c>
      <c r="D197">
        <v>2682.5</v>
      </c>
      <c r="E197">
        <v>17142.900000000001</v>
      </c>
      <c r="F197">
        <v>11958.2</v>
      </c>
      <c r="G197" s="14">
        <f t="shared" si="68"/>
        <v>21719.7</v>
      </c>
      <c r="H197" s="2">
        <f t="shared" si="69"/>
        <v>14640.7</v>
      </c>
      <c r="I197" s="48">
        <f t="shared" si="70"/>
        <v>48.351513247317413</v>
      </c>
      <c r="J197">
        <v>401</v>
      </c>
    </row>
    <row r="198" spans="1:10" x14ac:dyDescent="0.25">
      <c r="A198" s="35">
        <f t="shared" si="1"/>
        <v>40220</v>
      </c>
      <c r="C198">
        <v>4011</v>
      </c>
      <c r="D198">
        <v>2672</v>
      </c>
      <c r="E198">
        <v>17704</v>
      </c>
      <c r="F198">
        <v>12842.3</v>
      </c>
      <c r="G198" s="14">
        <f t="shared" si="68"/>
        <v>21715</v>
      </c>
      <c r="H198" s="2">
        <f t="shared" si="69"/>
        <v>15514.3</v>
      </c>
      <c r="I198" s="48">
        <f t="shared" si="70"/>
        <v>39.96764275539342</v>
      </c>
      <c r="J198">
        <v>401</v>
      </c>
    </row>
    <row r="199" spans="1:10" x14ac:dyDescent="0.25">
      <c r="A199" s="35">
        <f t="shared" si="1"/>
        <v>40227</v>
      </c>
      <c r="C199">
        <v>3522.3</v>
      </c>
      <c r="D199">
        <v>2373.5</v>
      </c>
      <c r="E199">
        <v>18370.400000000001</v>
      </c>
      <c r="F199">
        <v>13480</v>
      </c>
      <c r="G199" s="14">
        <f t="shared" si="68"/>
        <v>21892.7</v>
      </c>
      <c r="H199" s="2">
        <f t="shared" si="69"/>
        <v>15853.5</v>
      </c>
      <c r="I199" s="48">
        <f t="shared" si="70"/>
        <v>38.093796322578612</v>
      </c>
      <c r="J199">
        <v>401</v>
      </c>
    </row>
    <row r="200" spans="1:10" x14ac:dyDescent="0.25">
      <c r="A200" s="35">
        <f t="shared" si="1"/>
        <v>40234</v>
      </c>
      <c r="C200">
        <v>2875</v>
      </c>
      <c r="D200">
        <v>2008</v>
      </c>
      <c r="E200">
        <v>19017.3</v>
      </c>
      <c r="F200">
        <v>13951.3</v>
      </c>
      <c r="G200" s="14">
        <f t="shared" si="68"/>
        <v>21892.3</v>
      </c>
      <c r="H200" s="2">
        <f t="shared" si="69"/>
        <v>15959.3</v>
      </c>
      <c r="I200" s="48">
        <f t="shared" si="70"/>
        <v>37.175815981903959</v>
      </c>
      <c r="J200">
        <v>514</v>
      </c>
    </row>
    <row r="201" spans="1:10" x14ac:dyDescent="0.25">
      <c r="A201" s="35">
        <f t="shared" si="1"/>
        <v>40241</v>
      </c>
      <c r="C201">
        <v>2033.8</v>
      </c>
      <c r="D201">
        <v>1843</v>
      </c>
      <c r="E201">
        <v>19666.099999999999</v>
      </c>
      <c r="F201">
        <v>14523.1</v>
      </c>
      <c r="G201" s="14">
        <f t="shared" si="68"/>
        <v>21699.899999999998</v>
      </c>
      <c r="H201" s="2">
        <f t="shared" si="69"/>
        <v>16366.1</v>
      </c>
      <c r="I201" s="48">
        <f t="shared" si="70"/>
        <v>32.59053775792642</v>
      </c>
      <c r="J201">
        <v>579</v>
      </c>
    </row>
    <row r="202" spans="1:10" x14ac:dyDescent="0.25">
      <c r="A202" s="35">
        <f t="shared" si="1"/>
        <v>40248</v>
      </c>
      <c r="C202">
        <v>1590.3</v>
      </c>
      <c r="D202">
        <v>1564</v>
      </c>
      <c r="E202">
        <v>20118.599999999999</v>
      </c>
      <c r="F202">
        <v>14827.4</v>
      </c>
      <c r="G202" s="14">
        <f t="shared" si="68"/>
        <v>21708.899999999998</v>
      </c>
      <c r="H202" s="2">
        <f t="shared" si="69"/>
        <v>16391.400000000001</v>
      </c>
      <c r="I202" s="48">
        <f t="shared" si="70"/>
        <v>32.440792122698461</v>
      </c>
      <c r="J202">
        <v>969</v>
      </c>
    </row>
    <row r="203" spans="1:10" x14ac:dyDescent="0.25">
      <c r="A203" s="35">
        <f t="shared" si="1"/>
        <v>40255</v>
      </c>
      <c r="C203">
        <v>1304.7</v>
      </c>
      <c r="D203">
        <v>1633</v>
      </c>
      <c r="E203">
        <v>20345.099999999999</v>
      </c>
      <c r="F203">
        <v>15009.7</v>
      </c>
      <c r="G203" s="14">
        <f t="shared" si="68"/>
        <v>21649.8</v>
      </c>
      <c r="H203" s="2">
        <f t="shared" si="69"/>
        <v>16642.7</v>
      </c>
      <c r="I203" s="48">
        <f t="shared" si="70"/>
        <v>30.085863471672258</v>
      </c>
      <c r="J203">
        <v>904</v>
      </c>
    </row>
    <row r="204" spans="1:10" x14ac:dyDescent="0.25">
      <c r="A204" s="35">
        <f t="shared" si="1"/>
        <v>40262</v>
      </c>
      <c r="C204">
        <v>964.2</v>
      </c>
      <c r="D204">
        <v>1321</v>
      </c>
      <c r="E204">
        <v>20752.099999999999</v>
      </c>
      <c r="F204">
        <v>15379.5</v>
      </c>
      <c r="G204" s="14">
        <f t="shared" si="68"/>
        <v>21716.3</v>
      </c>
      <c r="H204" s="2">
        <f t="shared" si="69"/>
        <v>16700.5</v>
      </c>
      <c r="I204" s="48">
        <f t="shared" si="70"/>
        <v>30.033831322415484</v>
      </c>
      <c r="J204">
        <v>1125</v>
      </c>
    </row>
    <row r="205" spans="1:10" x14ac:dyDescent="0.25">
      <c r="A205" s="35">
        <f t="shared" si="1"/>
        <v>40269</v>
      </c>
      <c r="C205">
        <v>782.3</v>
      </c>
      <c r="D205">
        <v>1228.0999999999999</v>
      </c>
      <c r="E205">
        <v>20940.3</v>
      </c>
      <c r="F205">
        <v>15711.1</v>
      </c>
      <c r="G205" s="14">
        <f t="shared" si="68"/>
        <v>21722.6</v>
      </c>
      <c r="H205" s="2">
        <f t="shared" si="69"/>
        <v>16939.2</v>
      </c>
      <c r="I205" s="48">
        <f t="shared" si="70"/>
        <v>28.238641730424096</v>
      </c>
      <c r="J205">
        <v>1350</v>
      </c>
    </row>
    <row r="206" spans="1:10" x14ac:dyDescent="0.25">
      <c r="A206" s="35">
        <f t="shared" si="1"/>
        <v>40276</v>
      </c>
      <c r="C206">
        <v>672.3</v>
      </c>
      <c r="D206">
        <v>1349.8</v>
      </c>
      <c r="E206">
        <v>21116.5</v>
      </c>
      <c r="F206">
        <v>15995.1</v>
      </c>
      <c r="G206" s="14">
        <f t="shared" si="68"/>
        <v>21788.799999999999</v>
      </c>
      <c r="H206" s="2">
        <f t="shared" si="69"/>
        <v>17344.900000000001</v>
      </c>
      <c r="I206" s="48">
        <f t="shared" si="70"/>
        <v>25.620787666691626</v>
      </c>
    </row>
    <row r="207" spans="1:10" x14ac:dyDescent="0.25">
      <c r="A207" s="35">
        <f t="shared" si="1"/>
        <v>40283</v>
      </c>
      <c r="C207">
        <v>612.9</v>
      </c>
      <c r="D207">
        <v>1234.0999999999999</v>
      </c>
      <c r="E207">
        <v>21304.6</v>
      </c>
      <c r="F207">
        <v>16297.1</v>
      </c>
      <c r="G207" s="14">
        <f t="shared" si="68"/>
        <v>21917.5</v>
      </c>
      <c r="H207" s="2">
        <f t="shared" si="69"/>
        <v>17531.2</v>
      </c>
      <c r="I207" s="48">
        <f t="shared" si="70"/>
        <v>25.019964406315598</v>
      </c>
    </row>
    <row r="208" spans="1:10" x14ac:dyDescent="0.25">
      <c r="A208" s="35">
        <f t="shared" si="1"/>
        <v>40290</v>
      </c>
      <c r="C208">
        <v>336.9</v>
      </c>
      <c r="D208">
        <v>1644.2</v>
      </c>
      <c r="E208">
        <v>21422.7</v>
      </c>
      <c r="F208">
        <v>16355.5</v>
      </c>
      <c r="G208" s="14">
        <f t="shared" si="68"/>
        <v>21759.600000000002</v>
      </c>
      <c r="H208" s="2">
        <f t="shared" si="69"/>
        <v>17999.7</v>
      </c>
      <c r="I208" s="48">
        <f t="shared" si="70"/>
        <v>20.888681478024651</v>
      </c>
      <c r="J208">
        <v>2389.5</v>
      </c>
    </row>
    <row r="209" spans="1:13" x14ac:dyDescent="0.25">
      <c r="A209" s="35">
        <f t="shared" si="1"/>
        <v>40297</v>
      </c>
      <c r="C209">
        <v>516.9</v>
      </c>
      <c r="D209">
        <v>1616.4</v>
      </c>
      <c r="E209">
        <v>21422.7</v>
      </c>
      <c r="F209">
        <v>16581.099999999999</v>
      </c>
      <c r="G209" s="14">
        <f t="shared" si="68"/>
        <v>21939.600000000002</v>
      </c>
      <c r="H209" s="2">
        <f t="shared" si="69"/>
        <v>18197.5</v>
      </c>
      <c r="I209" s="48">
        <f t="shared" si="70"/>
        <v>20.563813710674552</v>
      </c>
      <c r="J209">
        <v>2557.5</v>
      </c>
    </row>
    <row r="210" spans="1:13" x14ac:dyDescent="0.25">
      <c r="A210" s="35">
        <f t="shared" si="1"/>
        <v>40304</v>
      </c>
      <c r="C210">
        <v>537.9</v>
      </c>
      <c r="D210">
        <v>1572.7</v>
      </c>
      <c r="E210">
        <v>21478.5</v>
      </c>
      <c r="F210">
        <v>16757.099999999999</v>
      </c>
      <c r="G210" s="14">
        <f t="shared" si="68"/>
        <v>22016.400000000001</v>
      </c>
      <c r="H210" s="2">
        <f t="shared" si="69"/>
        <v>18329.8</v>
      </c>
      <c r="I210" s="48">
        <f t="shared" si="70"/>
        <v>20.112603519951122</v>
      </c>
      <c r="J210">
        <v>2734</v>
      </c>
    </row>
    <row r="211" spans="1:13" x14ac:dyDescent="0.25">
      <c r="A211" s="35">
        <f t="shared" si="1"/>
        <v>40311</v>
      </c>
      <c r="C211">
        <v>597.4</v>
      </c>
      <c r="D211">
        <v>1574.9</v>
      </c>
      <c r="E211">
        <v>21479</v>
      </c>
      <c r="F211">
        <v>16947.400000000001</v>
      </c>
      <c r="G211" s="14">
        <f t="shared" si="68"/>
        <v>22076.400000000001</v>
      </c>
      <c r="H211" s="2">
        <f t="shared" si="69"/>
        <v>18522.300000000003</v>
      </c>
      <c r="I211" s="48">
        <f t="shared" si="70"/>
        <v>19.188221765115543</v>
      </c>
      <c r="J211">
        <v>2794</v>
      </c>
    </row>
    <row r="212" spans="1:13" x14ac:dyDescent="0.25">
      <c r="A212" s="35">
        <f t="shared" si="1"/>
        <v>40318</v>
      </c>
      <c r="C212">
        <v>597.4</v>
      </c>
      <c r="D212">
        <v>1574.9</v>
      </c>
      <c r="E212">
        <v>21479</v>
      </c>
      <c r="F212">
        <v>16947.400000000001</v>
      </c>
      <c r="G212" s="14">
        <f t="shared" si="68"/>
        <v>22076.400000000001</v>
      </c>
      <c r="H212" s="2">
        <f t="shared" si="69"/>
        <v>18522.300000000003</v>
      </c>
      <c r="I212" s="48">
        <f t="shared" si="70"/>
        <v>19.188221765115543</v>
      </c>
      <c r="J212">
        <v>2794</v>
      </c>
    </row>
    <row r="213" spans="1:13" x14ac:dyDescent="0.25">
      <c r="A213" s="35">
        <f t="shared" si="1"/>
        <v>40325</v>
      </c>
      <c r="C213">
        <v>657.4</v>
      </c>
      <c r="D213">
        <v>1344.9</v>
      </c>
      <c r="E213">
        <v>21479</v>
      </c>
      <c r="F213">
        <v>17124.2</v>
      </c>
      <c r="G213" s="14">
        <f t="shared" si="68"/>
        <v>22136.400000000001</v>
      </c>
      <c r="H213" s="2">
        <f t="shared" si="69"/>
        <v>18469.100000000002</v>
      </c>
      <c r="I213" s="48">
        <f t="shared" si="70"/>
        <v>19.856408812557191</v>
      </c>
      <c r="J213">
        <v>2914</v>
      </c>
    </row>
    <row r="214" spans="1:13" x14ac:dyDescent="0.25">
      <c r="A214" s="35">
        <f t="shared" si="1"/>
        <v>40332</v>
      </c>
      <c r="C214">
        <v>657.1</v>
      </c>
      <c r="D214">
        <v>1289.9000000000001</v>
      </c>
      <c r="E214">
        <v>21479.3</v>
      </c>
      <c r="F214">
        <v>17124.2</v>
      </c>
      <c r="G214" s="14">
        <f t="shared" si="68"/>
        <v>22136.399999999998</v>
      </c>
      <c r="H214" s="2">
        <f t="shared" si="69"/>
        <v>18414.100000000002</v>
      </c>
      <c r="I214" s="48">
        <f t="shared" si="70"/>
        <v>20.214400921033302</v>
      </c>
      <c r="J214">
        <v>2974</v>
      </c>
    </row>
    <row r="215" spans="1:13" x14ac:dyDescent="0.25">
      <c r="A215" s="35">
        <f t="shared" si="1"/>
        <v>40339</v>
      </c>
      <c r="C215">
        <v>591.1</v>
      </c>
      <c r="D215">
        <v>1174.9000000000001</v>
      </c>
      <c r="E215">
        <v>21543.8</v>
      </c>
      <c r="F215">
        <v>17288.599999999999</v>
      </c>
      <c r="G215" s="14">
        <f t="shared" si="68"/>
        <v>22134.899999999998</v>
      </c>
      <c r="H215" s="2">
        <f t="shared" si="69"/>
        <v>18463.5</v>
      </c>
      <c r="I215" s="48">
        <f t="shared" si="70"/>
        <v>19.884637257291395</v>
      </c>
      <c r="J215">
        <v>3324</v>
      </c>
    </row>
    <row r="216" spans="1:13" x14ac:dyDescent="0.25">
      <c r="A216" s="35">
        <f t="shared" si="1"/>
        <v>40346</v>
      </c>
      <c r="C216">
        <v>590</v>
      </c>
      <c r="D216">
        <v>1045</v>
      </c>
      <c r="E216">
        <v>21609</v>
      </c>
      <c r="F216">
        <v>17455.599999999999</v>
      </c>
      <c r="G216" s="14">
        <f t="shared" si="68"/>
        <v>22199</v>
      </c>
      <c r="H216" s="2">
        <f t="shared" si="69"/>
        <v>18500.599999999999</v>
      </c>
      <c r="I216" s="48">
        <f t="shared" si="70"/>
        <v>19.990703004226894</v>
      </c>
      <c r="J216">
        <v>3382</v>
      </c>
    </row>
    <row r="217" spans="1:13" x14ac:dyDescent="0.25">
      <c r="A217" s="35">
        <f t="shared" si="1"/>
        <v>40353</v>
      </c>
      <c r="C217">
        <v>650</v>
      </c>
      <c r="D217">
        <v>925</v>
      </c>
      <c r="E217">
        <v>21609</v>
      </c>
      <c r="F217">
        <v>17644.2</v>
      </c>
      <c r="G217" s="14">
        <f t="shared" ref="G217:G226" si="71">+C217+E217</f>
        <v>22259</v>
      </c>
      <c r="H217" s="2">
        <f t="shared" ref="H217:H225" si="72">+D217+F217</f>
        <v>18569.2</v>
      </c>
      <c r="I217" s="48">
        <f t="shared" si="70"/>
        <v>19.87053831075114</v>
      </c>
      <c r="J217">
        <v>3723</v>
      </c>
    </row>
    <row r="218" spans="1:13" x14ac:dyDescent="0.25">
      <c r="A218" s="35">
        <f t="shared" si="1"/>
        <v>40360</v>
      </c>
      <c r="C218">
        <v>890.5</v>
      </c>
      <c r="D218">
        <v>1093</v>
      </c>
      <c r="E218">
        <v>21609</v>
      </c>
      <c r="F218">
        <v>17759.7</v>
      </c>
      <c r="G218" s="14">
        <f t="shared" si="71"/>
        <v>22499.5</v>
      </c>
      <c r="H218" s="2">
        <f t="shared" si="72"/>
        <v>18852.7</v>
      </c>
      <c r="I218" s="48">
        <f t="shared" si="70"/>
        <v>19.343648389885804</v>
      </c>
      <c r="J218">
        <v>4083</v>
      </c>
    </row>
    <row r="219" spans="1:13" x14ac:dyDescent="0.25">
      <c r="A219" s="35">
        <f t="shared" si="1"/>
        <v>40367</v>
      </c>
      <c r="C219">
        <v>1124.5</v>
      </c>
      <c r="D219">
        <v>1028</v>
      </c>
      <c r="E219">
        <v>21609</v>
      </c>
      <c r="F219">
        <v>17935.900000000001</v>
      </c>
      <c r="G219" s="14">
        <f t="shared" si="71"/>
        <v>22733.5</v>
      </c>
      <c r="H219" s="2">
        <f t="shared" si="72"/>
        <v>18963.900000000001</v>
      </c>
      <c r="I219" s="48">
        <f t="shared" si="70"/>
        <v>19.877767758741594</v>
      </c>
      <c r="J219">
        <v>4309</v>
      </c>
      <c r="L219" s="14">
        <f>+G219-G218</f>
        <v>234</v>
      </c>
      <c r="M219">
        <f>+E219-E218</f>
        <v>0</v>
      </c>
    </row>
    <row r="220" spans="1:13" x14ac:dyDescent="0.25">
      <c r="A220" s="35">
        <f t="shared" si="1"/>
        <v>40374</v>
      </c>
      <c r="C220">
        <v>995.6</v>
      </c>
      <c r="D220">
        <v>1131</v>
      </c>
      <c r="E220">
        <v>21741</v>
      </c>
      <c r="F220">
        <v>17990.5</v>
      </c>
      <c r="G220" s="14">
        <f t="shared" si="71"/>
        <v>22736.6</v>
      </c>
      <c r="H220" s="2">
        <f t="shared" si="72"/>
        <v>19121.5</v>
      </c>
      <c r="I220" s="48">
        <f t="shared" ref="I220:I228" si="73">+(G220/H220-1)*100</f>
        <v>18.905943571372539</v>
      </c>
      <c r="J220">
        <v>4650</v>
      </c>
      <c r="L220" s="14">
        <f t="shared" ref="L220:L231" si="74">+G220-G219</f>
        <v>3.0999999999985448</v>
      </c>
      <c r="M220">
        <f t="shared" ref="M220:M231" si="75">+E220-E219</f>
        <v>132</v>
      </c>
    </row>
    <row r="221" spans="1:13" x14ac:dyDescent="0.25">
      <c r="A221" s="35">
        <f t="shared" si="1"/>
        <v>40381</v>
      </c>
      <c r="C221">
        <v>1166.5</v>
      </c>
      <c r="D221">
        <v>945</v>
      </c>
      <c r="E221">
        <v>21805.1</v>
      </c>
      <c r="F221">
        <v>18168.5</v>
      </c>
      <c r="G221" s="14">
        <f t="shared" si="71"/>
        <v>22971.599999999999</v>
      </c>
      <c r="H221" s="2">
        <f t="shared" si="72"/>
        <v>19113.5</v>
      </c>
      <c r="I221" s="48">
        <f t="shared" si="73"/>
        <v>20.185209406963665</v>
      </c>
      <c r="J221">
        <v>5109</v>
      </c>
      <c r="L221" s="14">
        <f t="shared" si="74"/>
        <v>235</v>
      </c>
      <c r="M221">
        <f t="shared" si="75"/>
        <v>64.099999999998545</v>
      </c>
    </row>
    <row r="222" spans="1:13" x14ac:dyDescent="0.25">
      <c r="A222" s="35">
        <f t="shared" si="1"/>
        <v>40388</v>
      </c>
      <c r="C222">
        <v>931.5</v>
      </c>
      <c r="D222">
        <v>1350</v>
      </c>
      <c r="E222">
        <v>21867.7</v>
      </c>
      <c r="F222">
        <v>18168.5</v>
      </c>
      <c r="G222" s="14">
        <f t="shared" si="71"/>
        <v>22799.200000000001</v>
      </c>
      <c r="H222" s="2">
        <f t="shared" si="72"/>
        <v>19518.5</v>
      </c>
      <c r="I222" s="48">
        <f t="shared" si="73"/>
        <v>16.808156364474726</v>
      </c>
      <c r="J222">
        <v>5908.5</v>
      </c>
      <c r="L222" s="14">
        <f t="shared" si="74"/>
        <v>-172.39999999999782</v>
      </c>
      <c r="M222">
        <f t="shared" si="75"/>
        <v>62.600000000002183</v>
      </c>
    </row>
    <row r="223" spans="1:13" x14ac:dyDescent="0.25">
      <c r="A223" s="35">
        <f t="shared" si="1"/>
        <v>40395</v>
      </c>
      <c r="C223">
        <v>996.5</v>
      </c>
      <c r="D223">
        <v>1295</v>
      </c>
      <c r="E223">
        <v>21867.7</v>
      </c>
      <c r="F223">
        <v>18284.400000000001</v>
      </c>
      <c r="G223" s="14">
        <f t="shared" si="71"/>
        <v>22864.2</v>
      </c>
      <c r="H223" s="2">
        <f t="shared" si="72"/>
        <v>19579.400000000001</v>
      </c>
      <c r="I223" s="48">
        <f t="shared" si="73"/>
        <v>16.776816449942288</v>
      </c>
      <c r="J223">
        <v>7671</v>
      </c>
      <c r="L223" s="14">
        <f t="shared" si="74"/>
        <v>65</v>
      </c>
      <c r="M223">
        <f t="shared" si="75"/>
        <v>0</v>
      </c>
    </row>
    <row r="224" spans="1:13" x14ac:dyDescent="0.25">
      <c r="A224" s="35">
        <f t="shared" si="1"/>
        <v>40402</v>
      </c>
      <c r="C224">
        <v>930.7</v>
      </c>
      <c r="D224">
        <v>1517</v>
      </c>
      <c r="E224">
        <v>22111.3</v>
      </c>
      <c r="F224">
        <v>18284.400000000001</v>
      </c>
      <c r="G224" s="14">
        <f t="shared" si="71"/>
        <v>23042</v>
      </c>
      <c r="H224" s="2">
        <f t="shared" si="72"/>
        <v>19801.400000000001</v>
      </c>
      <c r="I224" s="48">
        <f t="shared" si="73"/>
        <v>16.365509509428612</v>
      </c>
      <c r="J224">
        <v>8768.2999999999993</v>
      </c>
      <c r="L224" s="14">
        <f t="shared" si="74"/>
        <v>177.79999999999927</v>
      </c>
      <c r="M224">
        <f t="shared" si="75"/>
        <v>243.59999999999854</v>
      </c>
    </row>
    <row r="225" spans="1:14" x14ac:dyDescent="0.25">
      <c r="A225" s="35">
        <f t="shared" si="1"/>
        <v>40409</v>
      </c>
      <c r="C225">
        <v>927.7</v>
      </c>
      <c r="D225">
        <v>1457</v>
      </c>
      <c r="E225">
        <v>22229.1</v>
      </c>
      <c r="F225">
        <v>18348.599999999999</v>
      </c>
      <c r="G225" s="14">
        <f t="shared" si="71"/>
        <v>23156.799999999999</v>
      </c>
      <c r="H225" s="2">
        <f t="shared" si="72"/>
        <v>19805.599999999999</v>
      </c>
      <c r="I225" s="48">
        <f t="shared" si="73"/>
        <v>16.920466938643621</v>
      </c>
      <c r="J225">
        <v>8943.2999999999993</v>
      </c>
      <c r="L225" s="14">
        <f t="shared" si="74"/>
        <v>114.79999999999927</v>
      </c>
      <c r="M225">
        <f t="shared" si="75"/>
        <v>117.79999999999927</v>
      </c>
    </row>
    <row r="226" spans="1:14" x14ac:dyDescent="0.25">
      <c r="A226" s="35">
        <f t="shared" si="1"/>
        <v>40416</v>
      </c>
      <c r="C226">
        <v>867.7</v>
      </c>
      <c r="D226">
        <v>1116</v>
      </c>
      <c r="E226">
        <v>22292.1</v>
      </c>
      <c r="F226">
        <v>18681.3</v>
      </c>
      <c r="G226" s="14">
        <f t="shared" si="71"/>
        <v>23159.8</v>
      </c>
      <c r="H226" s="2">
        <f>+D226+F226</f>
        <v>19797.3</v>
      </c>
      <c r="I226" s="48">
        <f t="shared" si="73"/>
        <v>16.98463931950316</v>
      </c>
      <c r="J226">
        <v>9118.2999999999993</v>
      </c>
      <c r="K226" s="14">
        <f>+G226-G218</f>
        <v>660.29999999999927</v>
      </c>
      <c r="L226" s="14">
        <f t="shared" si="74"/>
        <v>3</v>
      </c>
      <c r="M226">
        <f t="shared" si="75"/>
        <v>63</v>
      </c>
    </row>
    <row r="227" spans="1:14" s="88" customFormat="1" x14ac:dyDescent="0.25">
      <c r="A227" s="87">
        <f t="shared" si="1"/>
        <v>40423</v>
      </c>
      <c r="C227" s="88">
        <v>10144.799999999999</v>
      </c>
      <c r="D227" s="88">
        <v>10174.299999999999</v>
      </c>
      <c r="E227" s="88">
        <v>54.8</v>
      </c>
      <c r="F227" s="88">
        <v>183.9</v>
      </c>
      <c r="G227" s="90">
        <f>+C227+E227</f>
        <v>10199.599999999999</v>
      </c>
      <c r="H227" s="90">
        <f>+D227+F227</f>
        <v>10358.199999999999</v>
      </c>
      <c r="I227" s="91">
        <f t="shared" si="73"/>
        <v>-1.531154061516482</v>
      </c>
      <c r="J227" s="102">
        <f t="shared" ref="J227:J233" si="76">+G227-G226</f>
        <v>-12960.2</v>
      </c>
      <c r="L227" s="14"/>
      <c r="M227"/>
      <c r="N227" s="89"/>
    </row>
    <row r="228" spans="1:14" x14ac:dyDescent="0.25">
      <c r="A228" s="35">
        <f t="shared" si="1"/>
        <v>40430</v>
      </c>
      <c r="C228">
        <v>10424.299999999999</v>
      </c>
      <c r="D228">
        <v>10473.299999999999</v>
      </c>
      <c r="E228">
        <v>115</v>
      </c>
      <c r="F228">
        <v>348.3</v>
      </c>
      <c r="G228" s="2">
        <f t="shared" ref="G228:G235" si="77">+C228+E228</f>
        <v>10539.3</v>
      </c>
      <c r="H228" s="2">
        <f t="shared" ref="H228:H235" si="78">+D228+F228</f>
        <v>10821.599999999999</v>
      </c>
      <c r="I228" s="48">
        <f t="shared" si="73"/>
        <v>-2.608671545797292</v>
      </c>
      <c r="J228" s="4">
        <f t="shared" si="76"/>
        <v>339.70000000000073</v>
      </c>
      <c r="L228" s="14">
        <f t="shared" si="74"/>
        <v>339.70000000000073</v>
      </c>
      <c r="M228">
        <f t="shared" si="75"/>
        <v>60.2</v>
      </c>
    </row>
    <row r="229" spans="1:14" x14ac:dyDescent="0.25">
      <c r="A229" s="35">
        <f t="shared" si="1"/>
        <v>40437</v>
      </c>
      <c r="C229">
        <v>11118.5</v>
      </c>
      <c r="D229">
        <v>11127.8</v>
      </c>
      <c r="E229">
        <v>231.3</v>
      </c>
      <c r="F229">
        <v>348.3</v>
      </c>
      <c r="G229" s="2">
        <f t="shared" si="77"/>
        <v>11349.8</v>
      </c>
      <c r="H229" s="2">
        <f t="shared" si="78"/>
        <v>11476.099999999999</v>
      </c>
      <c r="I229" s="48">
        <f t="shared" ref="I229:I264" si="79">+(G229/H229-1)*100</f>
        <v>-1.1005480956073899</v>
      </c>
      <c r="J229" s="4">
        <f t="shared" si="76"/>
        <v>810.5</v>
      </c>
      <c r="L229" s="14">
        <f t="shared" si="74"/>
        <v>810.5</v>
      </c>
      <c r="M229">
        <f t="shared" si="75"/>
        <v>116.30000000000001</v>
      </c>
    </row>
    <row r="230" spans="1:14" x14ac:dyDescent="0.25">
      <c r="A230" s="35">
        <f t="shared" si="1"/>
        <v>40444</v>
      </c>
      <c r="C230">
        <v>12186</v>
      </c>
      <c r="D230">
        <v>11818.3</v>
      </c>
      <c r="E230">
        <v>459</v>
      </c>
      <c r="F230">
        <v>466.5</v>
      </c>
      <c r="G230" s="2">
        <f t="shared" si="77"/>
        <v>12645</v>
      </c>
      <c r="H230" s="2">
        <f t="shared" si="78"/>
        <v>12284.8</v>
      </c>
      <c r="I230" s="48">
        <f t="shared" si="79"/>
        <v>2.932078666319371</v>
      </c>
      <c r="J230" s="4">
        <f t="shared" si="76"/>
        <v>1295.2000000000007</v>
      </c>
      <c r="L230" s="14">
        <f t="shared" si="74"/>
        <v>1295.2000000000007</v>
      </c>
      <c r="M230">
        <f t="shared" si="75"/>
        <v>227.7</v>
      </c>
    </row>
    <row r="231" spans="1:14" x14ac:dyDescent="0.25">
      <c r="A231" s="35">
        <f t="shared" si="1"/>
        <v>40451</v>
      </c>
      <c r="C231">
        <v>12474.5</v>
      </c>
      <c r="D231">
        <v>11864.8</v>
      </c>
      <c r="E231">
        <v>794.8</v>
      </c>
      <c r="F231">
        <v>639.70000000000005</v>
      </c>
      <c r="G231" s="2">
        <f t="shared" si="77"/>
        <v>13269.3</v>
      </c>
      <c r="H231" s="2">
        <f t="shared" si="78"/>
        <v>12504.5</v>
      </c>
      <c r="I231" s="48">
        <f t="shared" si="79"/>
        <v>6.1161981686592704</v>
      </c>
      <c r="J231" s="4">
        <f t="shared" si="76"/>
        <v>624.29999999999927</v>
      </c>
      <c r="K231" s="4">
        <f>+G231-G227</f>
        <v>3069.7000000000007</v>
      </c>
      <c r="L231" s="14">
        <f t="shared" si="74"/>
        <v>624.29999999999927</v>
      </c>
      <c r="M231">
        <f t="shared" si="75"/>
        <v>335.79999999999995</v>
      </c>
    </row>
    <row r="232" spans="1:14" x14ac:dyDescent="0.25">
      <c r="A232" s="35">
        <f t="shared" si="1"/>
        <v>40458</v>
      </c>
      <c r="C232">
        <v>12387.2</v>
      </c>
      <c r="D232">
        <v>11679.8</v>
      </c>
      <c r="E232">
        <v>1465.8</v>
      </c>
      <c r="F232">
        <v>1008.8</v>
      </c>
      <c r="G232" s="2">
        <f t="shared" si="77"/>
        <v>13853</v>
      </c>
      <c r="H232" s="2">
        <f t="shared" si="78"/>
        <v>12688.599999999999</v>
      </c>
      <c r="I232" s="48">
        <f t="shared" si="79"/>
        <v>9.1767413268603484</v>
      </c>
      <c r="J232" s="4">
        <f t="shared" si="76"/>
        <v>583.70000000000073</v>
      </c>
      <c r="L232" s="14">
        <f t="shared" ref="L232:L237" si="80">+G232-G231</f>
        <v>583.70000000000073</v>
      </c>
      <c r="M232">
        <f t="shared" ref="M232:M237" si="81">+E232-E231</f>
        <v>671</v>
      </c>
    </row>
    <row r="233" spans="1:14" x14ac:dyDescent="0.25">
      <c r="A233" s="35">
        <f t="shared" si="1"/>
        <v>40465</v>
      </c>
      <c r="C233">
        <v>12734.5</v>
      </c>
      <c r="D233">
        <v>11881</v>
      </c>
      <c r="E233">
        <v>2569.5</v>
      </c>
      <c r="F233">
        <v>1548.9</v>
      </c>
      <c r="G233" s="2">
        <f t="shared" si="77"/>
        <v>15304</v>
      </c>
      <c r="H233" s="2">
        <f t="shared" si="78"/>
        <v>13429.9</v>
      </c>
      <c r="I233" s="48">
        <f t="shared" si="79"/>
        <v>13.954683206874208</v>
      </c>
      <c r="J233" s="4">
        <f t="shared" si="76"/>
        <v>1451</v>
      </c>
      <c r="L233" s="14">
        <f t="shared" si="80"/>
        <v>1451</v>
      </c>
      <c r="M233">
        <f t="shared" si="81"/>
        <v>1103.7</v>
      </c>
    </row>
    <row r="234" spans="1:14" x14ac:dyDescent="0.25">
      <c r="A234" s="35">
        <f t="shared" si="1"/>
        <v>40472</v>
      </c>
      <c r="C234">
        <v>12627.5</v>
      </c>
      <c r="D234">
        <v>11299.5</v>
      </c>
      <c r="E234">
        <v>4046.1</v>
      </c>
      <c r="F234">
        <v>2567.4</v>
      </c>
      <c r="G234" s="2">
        <f t="shared" si="77"/>
        <v>16673.599999999999</v>
      </c>
      <c r="H234" s="2">
        <f t="shared" si="78"/>
        <v>13866.9</v>
      </c>
      <c r="I234" s="48">
        <f t="shared" si="79"/>
        <v>20.240284418291022</v>
      </c>
      <c r="J234" s="4">
        <f>+G234-G233</f>
        <v>1369.5999999999985</v>
      </c>
      <c r="L234" s="14">
        <f t="shared" si="80"/>
        <v>1369.5999999999985</v>
      </c>
      <c r="M234">
        <f t="shared" si="81"/>
        <v>1476.6</v>
      </c>
    </row>
    <row r="235" spans="1:14" x14ac:dyDescent="0.25">
      <c r="A235" s="35">
        <f t="shared" si="1"/>
        <v>40479</v>
      </c>
      <c r="C235">
        <v>11978.7</v>
      </c>
      <c r="D235">
        <v>10561.7</v>
      </c>
      <c r="E235">
        <v>5622</v>
      </c>
      <c r="F235">
        <v>3596.1</v>
      </c>
      <c r="G235" s="2">
        <f t="shared" si="77"/>
        <v>17600.7</v>
      </c>
      <c r="H235" s="2">
        <f t="shared" si="78"/>
        <v>14157.800000000001</v>
      </c>
      <c r="I235" s="48">
        <f t="shared" si="79"/>
        <v>24.318043763861617</v>
      </c>
      <c r="J235" s="4">
        <f>+G235-G234</f>
        <v>927.10000000000218</v>
      </c>
      <c r="L235" s="14">
        <f t="shared" si="80"/>
        <v>927.10000000000218</v>
      </c>
      <c r="M235">
        <f t="shared" si="81"/>
        <v>1575.9</v>
      </c>
    </row>
    <row r="236" spans="1:14" x14ac:dyDescent="0.25">
      <c r="A236" s="35">
        <f t="shared" si="1"/>
        <v>40486</v>
      </c>
      <c r="C236">
        <v>11284.9</v>
      </c>
      <c r="D236">
        <v>10392.9</v>
      </c>
      <c r="E236">
        <v>6936.7</v>
      </c>
      <c r="F236">
        <v>4668.3</v>
      </c>
      <c r="G236" s="2">
        <f t="shared" ref="G236:G264" si="82">+C236+E236</f>
        <v>18221.599999999999</v>
      </c>
      <c r="H236" s="2">
        <f t="shared" ref="H236:H264" si="83">+D236+F236</f>
        <v>15061.2</v>
      </c>
      <c r="I236" s="48">
        <f t="shared" si="79"/>
        <v>20.983719756725883</v>
      </c>
      <c r="J236" s="4">
        <f>+G236-G235</f>
        <v>620.89999999999782</v>
      </c>
      <c r="K236">
        <v>120</v>
      </c>
      <c r="L236" s="14">
        <f t="shared" si="80"/>
        <v>620.89999999999782</v>
      </c>
      <c r="M236">
        <f t="shared" si="81"/>
        <v>1314.6999999999998</v>
      </c>
    </row>
    <row r="237" spans="1:14" x14ac:dyDescent="0.25">
      <c r="A237" s="35">
        <f t="shared" si="1"/>
        <v>40493</v>
      </c>
      <c r="C237">
        <v>10814</v>
      </c>
      <c r="D237">
        <v>10203.1</v>
      </c>
      <c r="E237">
        <v>8236.6</v>
      </c>
      <c r="F237">
        <v>5582.8</v>
      </c>
      <c r="G237" s="2">
        <f t="shared" si="82"/>
        <v>19050.599999999999</v>
      </c>
      <c r="H237" s="2">
        <f t="shared" si="83"/>
        <v>15785.900000000001</v>
      </c>
      <c r="I237" s="48">
        <f t="shared" si="79"/>
        <v>20.681114158837932</v>
      </c>
      <c r="J237" s="4">
        <f>+G237-G236</f>
        <v>829</v>
      </c>
      <c r="L237" s="14">
        <f t="shared" si="80"/>
        <v>829</v>
      </c>
      <c r="M237">
        <f t="shared" si="81"/>
        <v>1299.9000000000005</v>
      </c>
    </row>
    <row r="238" spans="1:14" x14ac:dyDescent="0.25">
      <c r="A238" s="35">
        <f t="shared" si="1"/>
        <v>40500</v>
      </c>
      <c r="C238">
        <v>10148.799999999999</v>
      </c>
      <c r="D238">
        <v>9227.4</v>
      </c>
      <c r="E238">
        <v>9356.4</v>
      </c>
      <c r="F238">
        <v>7418.3</v>
      </c>
      <c r="G238" s="2">
        <f t="shared" si="82"/>
        <v>19505.199999999997</v>
      </c>
      <c r="H238" s="2">
        <f t="shared" si="83"/>
        <v>16645.7</v>
      </c>
      <c r="I238" s="48">
        <f t="shared" si="79"/>
        <v>17.178610692250839</v>
      </c>
      <c r="J238" s="4">
        <f t="shared" ref="J238:J246" si="84">+G238-G237</f>
        <v>454.59999999999854</v>
      </c>
    </row>
    <row r="239" spans="1:14" x14ac:dyDescent="0.25">
      <c r="A239" s="35">
        <f t="shared" si="1"/>
        <v>40507</v>
      </c>
      <c r="C239">
        <v>10252.5</v>
      </c>
      <c r="D239">
        <v>8816.1</v>
      </c>
      <c r="E239">
        <v>10736.5</v>
      </c>
      <c r="F239">
        <v>8142</v>
      </c>
      <c r="G239" s="2">
        <f t="shared" si="82"/>
        <v>20989</v>
      </c>
      <c r="H239" s="2">
        <f t="shared" si="83"/>
        <v>16958.099999999999</v>
      </c>
      <c r="I239" s="48">
        <f t="shared" si="79"/>
        <v>23.769761942670463</v>
      </c>
      <c r="J239" s="4">
        <f t="shared" si="84"/>
        <v>1483.8000000000029</v>
      </c>
    </row>
    <row r="240" spans="1:14" x14ac:dyDescent="0.25">
      <c r="A240" s="35">
        <f t="shared" si="1"/>
        <v>40514</v>
      </c>
      <c r="C240">
        <v>9578.1</v>
      </c>
      <c r="D240">
        <v>7980</v>
      </c>
      <c r="E240">
        <v>11677.1</v>
      </c>
      <c r="F240">
        <v>9591.7000000000007</v>
      </c>
      <c r="G240" s="2">
        <f t="shared" si="82"/>
        <v>21255.200000000001</v>
      </c>
      <c r="H240" s="2">
        <f t="shared" si="83"/>
        <v>17571.7</v>
      </c>
      <c r="I240" s="48">
        <f t="shared" si="79"/>
        <v>20.962684316258517</v>
      </c>
      <c r="J240" s="4">
        <f t="shared" si="84"/>
        <v>266.20000000000073</v>
      </c>
      <c r="K240">
        <v>353</v>
      </c>
    </row>
    <row r="241" spans="1:11" x14ac:dyDescent="0.25">
      <c r="A241" s="35">
        <f t="shared" si="1"/>
        <v>40521</v>
      </c>
      <c r="C241">
        <v>8777.9</v>
      </c>
      <c r="D241">
        <v>7344.6</v>
      </c>
      <c r="E241">
        <v>12603.9</v>
      </c>
      <c r="F241">
        <v>10895.6</v>
      </c>
      <c r="G241" s="2">
        <f t="shared" si="82"/>
        <v>21381.8</v>
      </c>
      <c r="H241" s="2">
        <f t="shared" si="83"/>
        <v>18240.2</v>
      </c>
      <c r="I241" s="48">
        <f t="shared" si="79"/>
        <v>17.223495356410567</v>
      </c>
      <c r="J241" s="4">
        <f t="shared" si="84"/>
        <v>126.59999999999854</v>
      </c>
    </row>
    <row r="242" spans="1:11" x14ac:dyDescent="0.25">
      <c r="A242" s="35">
        <f t="shared" si="1"/>
        <v>40528</v>
      </c>
      <c r="C242">
        <v>8493.7999999999993</v>
      </c>
      <c r="D242">
        <v>7520</v>
      </c>
      <c r="E242">
        <v>13525.3</v>
      </c>
      <c r="F242">
        <v>11353.5</v>
      </c>
      <c r="G242" s="2">
        <f t="shared" si="82"/>
        <v>22019.1</v>
      </c>
      <c r="H242" s="2">
        <f t="shared" si="83"/>
        <v>18873.5</v>
      </c>
      <c r="I242" s="48">
        <f t="shared" si="79"/>
        <v>16.666754973905196</v>
      </c>
      <c r="J242" s="4">
        <f t="shared" si="84"/>
        <v>637.29999999999927</v>
      </c>
    </row>
    <row r="243" spans="1:11" x14ac:dyDescent="0.25">
      <c r="A243" s="35">
        <f t="shared" si="1"/>
        <v>40535</v>
      </c>
      <c r="C243">
        <v>8092.7</v>
      </c>
      <c r="D243">
        <v>7035.5</v>
      </c>
      <c r="E243">
        <v>14040.2</v>
      </c>
      <c r="F243">
        <v>12268.6</v>
      </c>
      <c r="G243" s="2">
        <f t="shared" si="82"/>
        <v>22132.9</v>
      </c>
      <c r="H243" s="2">
        <f t="shared" si="83"/>
        <v>19304.099999999999</v>
      </c>
      <c r="I243" s="48">
        <f t="shared" si="79"/>
        <v>14.653881817852188</v>
      </c>
      <c r="J243" s="4">
        <f t="shared" si="84"/>
        <v>113.80000000000291</v>
      </c>
    </row>
    <row r="244" spans="1:11" x14ac:dyDescent="0.25">
      <c r="A244" s="35">
        <f t="shared" si="1"/>
        <v>40542</v>
      </c>
      <c r="C244">
        <v>7843.2</v>
      </c>
      <c r="D244">
        <v>6847</v>
      </c>
      <c r="E244">
        <v>14779.3</v>
      </c>
      <c r="F244">
        <v>12909.7</v>
      </c>
      <c r="G244" s="2">
        <f t="shared" si="82"/>
        <v>22622.5</v>
      </c>
      <c r="H244" s="2">
        <f t="shared" si="83"/>
        <v>19756.7</v>
      </c>
      <c r="I244" s="48">
        <f t="shared" si="79"/>
        <v>14.505458907611079</v>
      </c>
      <c r="J244" s="4">
        <f t="shared" si="84"/>
        <v>489.59999999999854</v>
      </c>
    </row>
    <row r="245" spans="1:11" x14ac:dyDescent="0.25">
      <c r="A245" s="35">
        <f t="shared" si="1"/>
        <v>40549</v>
      </c>
      <c r="C245">
        <v>7623.1</v>
      </c>
      <c r="D245">
        <v>6389.5</v>
      </c>
      <c r="E245">
        <v>15216.8</v>
      </c>
      <c r="F245">
        <v>13895.3</v>
      </c>
      <c r="G245" s="2">
        <f t="shared" si="82"/>
        <v>22839.9</v>
      </c>
      <c r="H245" s="2">
        <f t="shared" si="83"/>
        <v>20284.8</v>
      </c>
      <c r="I245" s="48">
        <f t="shared" si="79"/>
        <v>12.596131093232387</v>
      </c>
      <c r="J245" s="4">
        <f t="shared" si="84"/>
        <v>217.40000000000146</v>
      </c>
      <c r="K245">
        <v>813</v>
      </c>
    </row>
    <row r="246" spans="1:11" x14ac:dyDescent="0.25">
      <c r="A246" s="35">
        <f t="shared" si="1"/>
        <v>40556</v>
      </c>
      <c r="C246">
        <v>7405</v>
      </c>
      <c r="D246">
        <v>6230.4</v>
      </c>
      <c r="E246">
        <v>15927.9</v>
      </c>
      <c r="F246">
        <v>14754.8</v>
      </c>
      <c r="G246" s="2">
        <f t="shared" si="82"/>
        <v>23332.9</v>
      </c>
      <c r="H246" s="2">
        <f t="shared" si="83"/>
        <v>20985.199999999997</v>
      </c>
      <c r="I246" s="48">
        <f t="shared" si="79"/>
        <v>11.187408268684628</v>
      </c>
      <c r="J246" s="4">
        <f t="shared" si="84"/>
        <v>493</v>
      </c>
      <c r="K246">
        <v>933</v>
      </c>
    </row>
    <row r="247" spans="1:11" x14ac:dyDescent="0.25">
      <c r="A247" s="35">
        <f t="shared" si="1"/>
        <v>40563</v>
      </c>
      <c r="C247">
        <v>6963.4</v>
      </c>
      <c r="D247">
        <v>5635.8</v>
      </c>
      <c r="E247">
        <v>16764.8</v>
      </c>
      <c r="F247">
        <v>15630.2</v>
      </c>
      <c r="G247" s="2">
        <f t="shared" si="82"/>
        <v>23728.199999999997</v>
      </c>
      <c r="H247" s="2">
        <f t="shared" si="83"/>
        <v>21266</v>
      </c>
      <c r="I247" s="48">
        <f t="shared" si="79"/>
        <v>11.578105896736556</v>
      </c>
      <c r="J247" s="4">
        <f>+G247-G246</f>
        <v>395.29999999999563</v>
      </c>
    </row>
    <row r="248" spans="1:11" x14ac:dyDescent="0.25">
      <c r="A248" s="35">
        <f t="shared" si="1"/>
        <v>40570</v>
      </c>
      <c r="C248">
        <v>6610</v>
      </c>
      <c r="D248">
        <v>5032.7</v>
      </c>
      <c r="E248">
        <v>17472.2</v>
      </c>
      <c r="F248">
        <v>16495.7</v>
      </c>
      <c r="G248" s="2">
        <f t="shared" si="82"/>
        <v>24082.2</v>
      </c>
      <c r="H248" s="2">
        <f t="shared" si="83"/>
        <v>21528.400000000001</v>
      </c>
      <c r="I248" s="48">
        <f t="shared" si="79"/>
        <v>11.862470039575634</v>
      </c>
      <c r="J248" s="4">
        <f>+G248-G247</f>
        <v>354.00000000000364</v>
      </c>
      <c r="K248">
        <v>4124</v>
      </c>
    </row>
    <row r="249" spans="1:11" x14ac:dyDescent="0.25">
      <c r="A249" s="35">
        <f t="shared" si="1"/>
        <v>40577</v>
      </c>
      <c r="C249">
        <v>5699.6</v>
      </c>
      <c r="D249">
        <v>4576.8</v>
      </c>
      <c r="E249">
        <v>18121</v>
      </c>
      <c r="F249">
        <v>17085.400000000001</v>
      </c>
      <c r="G249" s="2">
        <f t="shared" si="82"/>
        <v>23820.6</v>
      </c>
      <c r="H249" s="2">
        <f t="shared" si="83"/>
        <v>21662.2</v>
      </c>
      <c r="I249" s="48">
        <f t="shared" si="79"/>
        <v>9.9639002502054161</v>
      </c>
      <c r="J249" s="4">
        <f>+G249-G248</f>
        <v>-261.60000000000218</v>
      </c>
      <c r="K249">
        <v>5072</v>
      </c>
    </row>
    <row r="250" spans="1:11" x14ac:dyDescent="0.25">
      <c r="A250" s="35">
        <f t="shared" si="1"/>
        <v>40584</v>
      </c>
      <c r="C250">
        <v>5236.8</v>
      </c>
      <c r="D250">
        <v>4011</v>
      </c>
      <c r="E250">
        <v>18663.3</v>
      </c>
      <c r="F250">
        <v>17646.599999999999</v>
      </c>
      <c r="G250" s="2">
        <f t="shared" si="82"/>
        <v>23900.1</v>
      </c>
      <c r="H250" s="2">
        <f t="shared" si="83"/>
        <v>21657.599999999999</v>
      </c>
      <c r="I250" s="48">
        <f t="shared" si="79"/>
        <v>10.354332890070928</v>
      </c>
      <c r="J250" s="4">
        <f>+G250-G249</f>
        <v>79.5</v>
      </c>
    </row>
    <row r="251" spans="1:11" x14ac:dyDescent="0.25">
      <c r="A251" s="35">
        <f t="shared" si="1"/>
        <v>40591</v>
      </c>
      <c r="C251">
        <v>4833.8</v>
      </c>
      <c r="D251">
        <v>3522.3</v>
      </c>
      <c r="E251">
        <v>19471.400000000001</v>
      </c>
      <c r="F251">
        <v>18312.900000000001</v>
      </c>
      <c r="G251" s="2">
        <f t="shared" si="82"/>
        <v>24305.200000000001</v>
      </c>
      <c r="H251" s="2">
        <f t="shared" si="83"/>
        <v>21835.200000000001</v>
      </c>
      <c r="I251" s="48">
        <f t="shared" si="79"/>
        <v>11.312009965560188</v>
      </c>
      <c r="J251" s="4">
        <f t="shared" ref="J251:J257" si="85">+G251-G250</f>
        <v>405.10000000000218</v>
      </c>
      <c r="K251">
        <v>5232.5</v>
      </c>
    </row>
    <row r="252" spans="1:11" x14ac:dyDescent="0.25">
      <c r="A252" s="35">
        <f t="shared" si="1"/>
        <v>40598</v>
      </c>
      <c r="C252">
        <v>3872.9</v>
      </c>
      <c r="D252">
        <v>2875</v>
      </c>
      <c r="E252">
        <v>20771.3</v>
      </c>
      <c r="F252">
        <v>18959.900000000001</v>
      </c>
      <c r="G252" s="2">
        <f t="shared" si="82"/>
        <v>24644.2</v>
      </c>
      <c r="H252" s="2">
        <f t="shared" si="83"/>
        <v>21834.9</v>
      </c>
      <c r="I252" s="48">
        <f t="shared" si="79"/>
        <v>12.866099684450116</v>
      </c>
      <c r="J252" s="4">
        <f t="shared" si="85"/>
        <v>339</v>
      </c>
    </row>
    <row r="253" spans="1:11" x14ac:dyDescent="0.25">
      <c r="A253" s="35">
        <f t="shared" si="1"/>
        <v>40605</v>
      </c>
      <c r="C253">
        <v>3715.5</v>
      </c>
      <c r="D253">
        <v>2033.8</v>
      </c>
      <c r="E253">
        <v>21231.9</v>
      </c>
      <c r="F253">
        <v>19608.599999999999</v>
      </c>
      <c r="G253" s="2">
        <f t="shared" si="82"/>
        <v>24947.4</v>
      </c>
      <c r="H253" s="2">
        <f t="shared" si="83"/>
        <v>21642.399999999998</v>
      </c>
      <c r="I253" s="48">
        <f t="shared" si="79"/>
        <v>15.270949617417685</v>
      </c>
      <c r="J253" s="4">
        <f t="shared" si="85"/>
        <v>303.20000000000073</v>
      </c>
    </row>
    <row r="254" spans="1:11" x14ac:dyDescent="0.25">
      <c r="A254" s="35">
        <f t="shared" ref="A254:A317" si="86">+A253+7</f>
        <v>40612</v>
      </c>
      <c r="C254">
        <v>3191</v>
      </c>
      <c r="D254">
        <v>1590.3</v>
      </c>
      <c r="E254">
        <v>21759.4</v>
      </c>
      <c r="F254">
        <v>20061.2</v>
      </c>
      <c r="G254" s="2">
        <f t="shared" si="82"/>
        <v>24950.400000000001</v>
      </c>
      <c r="H254" s="2">
        <f t="shared" si="83"/>
        <v>21651.5</v>
      </c>
      <c r="I254" s="48">
        <f t="shared" si="79"/>
        <v>15.236357758122999</v>
      </c>
      <c r="J254" s="4">
        <f t="shared" si="85"/>
        <v>3</v>
      </c>
      <c r="K254">
        <v>5624.5</v>
      </c>
    </row>
    <row r="255" spans="1:11" x14ac:dyDescent="0.25">
      <c r="A255" s="35">
        <f t="shared" si="86"/>
        <v>40619</v>
      </c>
      <c r="C255">
        <v>2678.4</v>
      </c>
      <c r="D255">
        <v>1304.7</v>
      </c>
      <c r="E255">
        <v>22292.7</v>
      </c>
      <c r="F255">
        <v>20345.099999999999</v>
      </c>
      <c r="G255" s="2">
        <f t="shared" si="82"/>
        <v>24971.100000000002</v>
      </c>
      <c r="H255" s="2">
        <f t="shared" si="83"/>
        <v>21649.8</v>
      </c>
      <c r="I255" s="48">
        <f t="shared" si="79"/>
        <v>15.341019316575677</v>
      </c>
      <c r="J255" s="4">
        <f t="shared" si="85"/>
        <v>20.700000000000728</v>
      </c>
      <c r="K255">
        <v>5624.5</v>
      </c>
    </row>
    <row r="256" spans="1:11" x14ac:dyDescent="0.25">
      <c r="A256" s="35">
        <f t="shared" si="86"/>
        <v>40626</v>
      </c>
      <c r="C256">
        <v>2410.5</v>
      </c>
      <c r="D256">
        <v>964.2</v>
      </c>
      <c r="E256">
        <v>22742</v>
      </c>
      <c r="F256">
        <v>20752</v>
      </c>
      <c r="G256" s="2">
        <f t="shared" si="82"/>
        <v>25152.5</v>
      </c>
      <c r="H256" s="2">
        <f t="shared" si="83"/>
        <v>21716.2</v>
      </c>
      <c r="I256" s="48">
        <f t="shared" si="79"/>
        <v>15.823670807968249</v>
      </c>
      <c r="J256" s="4">
        <f t="shared" si="85"/>
        <v>181.39999999999782</v>
      </c>
      <c r="K256">
        <v>5624.5</v>
      </c>
    </row>
    <row r="257" spans="1:11" x14ac:dyDescent="0.25">
      <c r="A257" s="35">
        <f t="shared" si="86"/>
        <v>40633</v>
      </c>
      <c r="C257">
        <v>2134.6</v>
      </c>
      <c r="D257">
        <v>782.3</v>
      </c>
      <c r="E257">
        <v>23096.1</v>
      </c>
      <c r="F257">
        <v>20940.3</v>
      </c>
      <c r="G257" s="2">
        <f t="shared" si="82"/>
        <v>25230.699999999997</v>
      </c>
      <c r="H257" s="2">
        <f t="shared" si="83"/>
        <v>21722.6</v>
      </c>
      <c r="I257" s="48">
        <f t="shared" si="79"/>
        <v>16.149540110299874</v>
      </c>
      <c r="J257" s="4">
        <f t="shared" si="85"/>
        <v>78.19999999999709</v>
      </c>
    </row>
    <row r="258" spans="1:11" x14ac:dyDescent="0.25">
      <c r="A258" s="35">
        <f t="shared" si="86"/>
        <v>40640</v>
      </c>
      <c r="C258">
        <v>1961.5</v>
      </c>
      <c r="D258">
        <v>672.3</v>
      </c>
      <c r="E258">
        <v>23451.5</v>
      </c>
      <c r="F258">
        <v>21116.5</v>
      </c>
      <c r="G258" s="2">
        <f t="shared" si="82"/>
        <v>25413</v>
      </c>
      <c r="H258" s="2">
        <f t="shared" si="83"/>
        <v>21788.799999999999</v>
      </c>
      <c r="I258" s="48">
        <f t="shared" si="79"/>
        <v>16.633316199148183</v>
      </c>
      <c r="J258" s="4">
        <f t="shared" ref="J258:J264" si="87">+G258-G257</f>
        <v>182.30000000000291</v>
      </c>
    </row>
    <row r="259" spans="1:11" x14ac:dyDescent="0.25">
      <c r="A259" s="35">
        <f t="shared" si="86"/>
        <v>40647</v>
      </c>
      <c r="C259">
        <v>2006.5</v>
      </c>
      <c r="D259">
        <v>612.9</v>
      </c>
      <c r="E259">
        <v>23583</v>
      </c>
      <c r="F259">
        <v>21304.6</v>
      </c>
      <c r="G259" s="2">
        <f t="shared" si="82"/>
        <v>25589.5</v>
      </c>
      <c r="H259" s="2">
        <f t="shared" si="83"/>
        <v>21917.5</v>
      </c>
      <c r="I259" s="48">
        <f t="shared" si="79"/>
        <v>16.753735599406873</v>
      </c>
      <c r="J259" s="4">
        <f t="shared" si="87"/>
        <v>176.5</v>
      </c>
    </row>
    <row r="260" spans="1:11" x14ac:dyDescent="0.25">
      <c r="A260" s="35">
        <f t="shared" si="86"/>
        <v>40654</v>
      </c>
      <c r="C260">
        <v>1946.5</v>
      </c>
      <c r="D260">
        <v>336.9</v>
      </c>
      <c r="E260">
        <v>23647.9</v>
      </c>
      <c r="F260">
        <v>21422.7</v>
      </c>
      <c r="G260" s="2">
        <f t="shared" si="82"/>
        <v>25594.400000000001</v>
      </c>
      <c r="H260" s="2">
        <f t="shared" si="83"/>
        <v>21759.600000000002</v>
      </c>
      <c r="I260" s="48">
        <f t="shared" si="79"/>
        <v>17.623485725840538</v>
      </c>
      <c r="J260" s="4">
        <f t="shared" si="87"/>
        <v>4.9000000000014552</v>
      </c>
    </row>
    <row r="261" spans="1:11" x14ac:dyDescent="0.25">
      <c r="A261" s="35">
        <f t="shared" si="86"/>
        <v>40661</v>
      </c>
      <c r="C261">
        <v>1946.5</v>
      </c>
      <c r="D261">
        <v>516.9</v>
      </c>
      <c r="E261">
        <v>23647.9</v>
      </c>
      <c r="F261">
        <v>21422.7</v>
      </c>
      <c r="G261" s="2">
        <f t="shared" si="82"/>
        <v>25594.400000000001</v>
      </c>
      <c r="H261" s="2">
        <f t="shared" si="83"/>
        <v>21939.600000000002</v>
      </c>
      <c r="I261" s="48">
        <f t="shared" si="79"/>
        <v>16.65846232383452</v>
      </c>
      <c r="J261" s="4">
        <f t="shared" si="87"/>
        <v>0</v>
      </c>
      <c r="K261">
        <v>5907</v>
      </c>
    </row>
    <row r="262" spans="1:11" x14ac:dyDescent="0.25">
      <c r="A262" s="35">
        <f t="shared" si="86"/>
        <v>40668</v>
      </c>
      <c r="C262">
        <v>1831.5</v>
      </c>
      <c r="D262">
        <v>537.9</v>
      </c>
      <c r="E262">
        <v>23713.9</v>
      </c>
      <c r="F262">
        <v>21478.5</v>
      </c>
      <c r="G262" s="2">
        <f t="shared" si="82"/>
        <v>25545.4</v>
      </c>
      <c r="H262" s="2">
        <f t="shared" si="83"/>
        <v>22016.400000000001</v>
      </c>
      <c r="I262" s="48">
        <f t="shared" si="79"/>
        <v>16.028960229646994</v>
      </c>
      <c r="J262" s="4">
        <f t="shared" si="87"/>
        <v>-49</v>
      </c>
      <c r="K262">
        <v>5907</v>
      </c>
    </row>
    <row r="263" spans="1:11" x14ac:dyDescent="0.25">
      <c r="A263" s="35">
        <f t="shared" si="86"/>
        <v>40675</v>
      </c>
      <c r="C263">
        <v>1831.5</v>
      </c>
      <c r="D263">
        <v>597.4</v>
      </c>
      <c r="E263">
        <v>23713.9</v>
      </c>
      <c r="F263">
        <v>21479</v>
      </c>
      <c r="G263" s="2">
        <f t="shared" si="82"/>
        <v>25545.4</v>
      </c>
      <c r="H263" s="2">
        <f t="shared" si="83"/>
        <v>22076.400000000001</v>
      </c>
      <c r="I263" s="48">
        <f t="shared" si="79"/>
        <v>15.713612726712679</v>
      </c>
      <c r="J263" s="4">
        <f t="shared" si="87"/>
        <v>0</v>
      </c>
      <c r="K263">
        <v>5907</v>
      </c>
    </row>
    <row r="264" spans="1:11" x14ac:dyDescent="0.25">
      <c r="A264" s="35">
        <f t="shared" si="86"/>
        <v>40682</v>
      </c>
      <c r="C264">
        <v>1778.3</v>
      </c>
      <c r="D264">
        <v>657.4</v>
      </c>
      <c r="E264">
        <v>23771.1</v>
      </c>
      <c r="F264">
        <v>21479</v>
      </c>
      <c r="G264" s="2">
        <f t="shared" si="82"/>
        <v>25549.399999999998</v>
      </c>
      <c r="H264" s="2">
        <f t="shared" si="83"/>
        <v>22136.400000000001</v>
      </c>
      <c r="I264" s="48">
        <f t="shared" si="79"/>
        <v>15.418044487811922</v>
      </c>
      <c r="J264" s="4">
        <f t="shared" si="87"/>
        <v>3.999999999996362</v>
      </c>
      <c r="K264">
        <v>5900</v>
      </c>
    </row>
    <row r="265" spans="1:11" x14ac:dyDescent="0.25">
      <c r="A265" s="35">
        <f t="shared" si="86"/>
        <v>40689</v>
      </c>
      <c r="C265">
        <v>1718</v>
      </c>
      <c r="D265">
        <v>657.4</v>
      </c>
      <c r="E265">
        <v>23837.5</v>
      </c>
      <c r="F265">
        <v>21479</v>
      </c>
      <c r="G265" s="2">
        <f t="shared" ref="G265:G274" si="88">+C265+E265</f>
        <v>25555.5</v>
      </c>
      <c r="H265" s="2">
        <f t="shared" ref="H265:H274" si="89">+D265+F265</f>
        <v>22136.400000000001</v>
      </c>
      <c r="I265" s="48">
        <f t="shared" ref="I265:I274" si="90">+(G265/H265-1)*100</f>
        <v>15.445600910717182</v>
      </c>
      <c r="J265" s="4">
        <f t="shared" ref="J265:J280" si="91">+G265-G264</f>
        <v>6.1000000000021828</v>
      </c>
      <c r="K265">
        <v>5958</v>
      </c>
    </row>
    <row r="266" spans="1:11" x14ac:dyDescent="0.25">
      <c r="A266" s="35">
        <f t="shared" si="86"/>
        <v>40696</v>
      </c>
      <c r="C266">
        <v>1705.8</v>
      </c>
      <c r="D266">
        <v>657.1</v>
      </c>
      <c r="E266">
        <v>23898.1</v>
      </c>
      <c r="F266">
        <v>21479.3</v>
      </c>
      <c r="G266" s="2">
        <f t="shared" si="88"/>
        <v>25603.899999999998</v>
      </c>
      <c r="H266" s="2">
        <f t="shared" si="89"/>
        <v>22136.399999999998</v>
      </c>
      <c r="I266" s="48">
        <f t="shared" si="90"/>
        <v>15.66424531540811</v>
      </c>
      <c r="J266" s="4">
        <f t="shared" si="91"/>
        <v>48.399999999997817</v>
      </c>
      <c r="K266">
        <v>5958</v>
      </c>
    </row>
    <row r="267" spans="1:11" x14ac:dyDescent="0.25">
      <c r="A267" s="35">
        <f t="shared" si="86"/>
        <v>40703</v>
      </c>
      <c r="C267">
        <v>1705.8</v>
      </c>
      <c r="D267">
        <v>591.1</v>
      </c>
      <c r="E267">
        <v>23898.1</v>
      </c>
      <c r="F267">
        <v>21543.9</v>
      </c>
      <c r="G267" s="2">
        <f t="shared" si="88"/>
        <v>25603.899999999998</v>
      </c>
      <c r="H267" s="2">
        <f t="shared" si="89"/>
        <v>22135</v>
      </c>
      <c r="I267" s="48">
        <f t="shared" si="90"/>
        <v>15.671560876440015</v>
      </c>
      <c r="J267" s="4">
        <f t="shared" si="91"/>
        <v>0</v>
      </c>
      <c r="K267">
        <v>5958</v>
      </c>
    </row>
    <row r="268" spans="1:11" x14ac:dyDescent="0.25">
      <c r="A268" s="35">
        <f t="shared" si="86"/>
        <v>40710</v>
      </c>
      <c r="C268">
        <v>1524.9</v>
      </c>
      <c r="D268">
        <v>590</v>
      </c>
      <c r="E268">
        <v>23965.1</v>
      </c>
      <c r="F268">
        <v>21609</v>
      </c>
      <c r="G268" s="2">
        <f t="shared" si="88"/>
        <v>25490</v>
      </c>
      <c r="H268" s="2">
        <f t="shared" si="89"/>
        <v>22199</v>
      </c>
      <c r="I268" s="48">
        <f t="shared" si="90"/>
        <v>14.824992116762026</v>
      </c>
      <c r="J268" s="4">
        <f t="shared" si="91"/>
        <v>-113.89999999999782</v>
      </c>
      <c r="K268">
        <v>6193</v>
      </c>
    </row>
    <row r="269" spans="1:11" x14ac:dyDescent="0.25">
      <c r="A269" s="35">
        <f t="shared" si="86"/>
        <v>40717</v>
      </c>
      <c r="C269">
        <v>1464.9</v>
      </c>
      <c r="D269">
        <v>650</v>
      </c>
      <c r="E269">
        <v>24029</v>
      </c>
      <c r="F269">
        <v>21609</v>
      </c>
      <c r="G269" s="2">
        <f t="shared" si="88"/>
        <v>25493.9</v>
      </c>
      <c r="H269" s="2">
        <f t="shared" si="89"/>
        <v>22259</v>
      </c>
      <c r="I269" s="48">
        <f t="shared" si="90"/>
        <v>14.53299788849456</v>
      </c>
      <c r="J269" s="4">
        <f t="shared" si="91"/>
        <v>3.9000000000014552</v>
      </c>
      <c r="K269">
        <v>6313</v>
      </c>
    </row>
    <row r="270" spans="1:11" x14ac:dyDescent="0.25">
      <c r="A270" s="35">
        <f t="shared" si="86"/>
        <v>40724</v>
      </c>
      <c r="C270">
        <v>1836.6</v>
      </c>
      <c r="D270">
        <v>890.5</v>
      </c>
      <c r="E270">
        <v>24029.200000000001</v>
      </c>
      <c r="F270">
        <v>21609</v>
      </c>
      <c r="G270" s="2">
        <f t="shared" si="88"/>
        <v>25865.8</v>
      </c>
      <c r="H270" s="2">
        <f t="shared" si="89"/>
        <v>22499.5</v>
      </c>
      <c r="I270" s="48">
        <f t="shared" si="90"/>
        <v>14.961665814795877</v>
      </c>
      <c r="J270" s="4">
        <f t="shared" si="91"/>
        <v>371.89999999999782</v>
      </c>
      <c r="K270">
        <v>6313</v>
      </c>
    </row>
    <row r="271" spans="1:11" x14ac:dyDescent="0.25">
      <c r="A271" s="35">
        <f t="shared" si="86"/>
        <v>40731</v>
      </c>
      <c r="C271">
        <v>1929.1</v>
      </c>
      <c r="D271">
        <v>1124.5</v>
      </c>
      <c r="E271">
        <v>24029.8</v>
      </c>
      <c r="F271">
        <v>21609</v>
      </c>
      <c r="G271" s="2">
        <f t="shared" si="88"/>
        <v>25958.899999999998</v>
      </c>
      <c r="H271" s="2">
        <f t="shared" si="89"/>
        <v>22733.5</v>
      </c>
      <c r="I271" s="48">
        <f t="shared" si="90"/>
        <v>14.187872522928702</v>
      </c>
      <c r="J271" s="4">
        <f t="shared" si="91"/>
        <v>93.099999999998545</v>
      </c>
      <c r="K271">
        <v>6708</v>
      </c>
    </row>
    <row r="272" spans="1:11" x14ac:dyDescent="0.25">
      <c r="A272" s="35">
        <f t="shared" si="86"/>
        <v>40738</v>
      </c>
      <c r="C272">
        <v>1984</v>
      </c>
      <c r="D272">
        <v>995.6</v>
      </c>
      <c r="E272">
        <v>24029.8</v>
      </c>
      <c r="F272">
        <v>21741</v>
      </c>
      <c r="G272" s="2">
        <f t="shared" si="88"/>
        <v>26013.8</v>
      </c>
      <c r="H272" s="2">
        <f t="shared" si="89"/>
        <v>22736.6</v>
      </c>
      <c r="I272" s="48">
        <f t="shared" si="90"/>
        <v>14.413764591011846</v>
      </c>
      <c r="J272" s="4">
        <f t="shared" si="91"/>
        <v>54.900000000001455</v>
      </c>
      <c r="K272">
        <v>6828</v>
      </c>
    </row>
    <row r="273" spans="1:11" x14ac:dyDescent="0.25">
      <c r="A273" s="35">
        <f t="shared" si="86"/>
        <v>40745</v>
      </c>
      <c r="C273">
        <v>1984</v>
      </c>
      <c r="D273">
        <v>1166.5</v>
      </c>
      <c r="E273">
        <v>24029.8</v>
      </c>
      <c r="F273">
        <v>21805.1</v>
      </c>
      <c r="G273" s="2">
        <f t="shared" si="88"/>
        <v>26013.8</v>
      </c>
      <c r="H273" s="2">
        <f t="shared" si="89"/>
        <v>22971.599999999999</v>
      </c>
      <c r="I273" s="48">
        <f t="shared" si="90"/>
        <v>13.243309129533865</v>
      </c>
      <c r="J273" s="4">
        <f t="shared" si="91"/>
        <v>0</v>
      </c>
      <c r="K273">
        <v>7052</v>
      </c>
    </row>
    <row r="274" spans="1:11" x14ac:dyDescent="0.25">
      <c r="A274" s="35">
        <f t="shared" si="86"/>
        <v>40752</v>
      </c>
      <c r="B274" s="84" t="s">
        <v>205</v>
      </c>
      <c r="C274">
        <v>1380</v>
      </c>
      <c r="D274">
        <v>931.5</v>
      </c>
      <c r="E274">
        <v>24095.8</v>
      </c>
      <c r="F274">
        <v>21867.7</v>
      </c>
      <c r="G274" s="2">
        <f t="shared" si="88"/>
        <v>25475.8</v>
      </c>
      <c r="H274" s="2">
        <f t="shared" si="89"/>
        <v>22799.200000000001</v>
      </c>
      <c r="I274" s="48">
        <f t="shared" si="90"/>
        <v>11.739885610021394</v>
      </c>
      <c r="J274" s="4">
        <f t="shared" si="91"/>
        <v>-538</v>
      </c>
      <c r="K274">
        <v>7992</v>
      </c>
    </row>
    <row r="275" spans="1:11" x14ac:dyDescent="0.25">
      <c r="A275" s="35">
        <f t="shared" si="86"/>
        <v>40759</v>
      </c>
      <c r="B275" s="84" t="s">
        <v>205</v>
      </c>
      <c r="C275">
        <v>1429</v>
      </c>
      <c r="D275">
        <v>996.5</v>
      </c>
      <c r="E275">
        <v>24161.8</v>
      </c>
      <c r="F275">
        <v>21867.7</v>
      </c>
      <c r="G275" s="2">
        <f t="shared" ref="G275:G338" si="92">+C275+E275</f>
        <v>25590.799999999999</v>
      </c>
      <c r="H275" s="2">
        <f t="shared" ref="H275:H338" si="93">+D275+F275</f>
        <v>22864.2</v>
      </c>
      <c r="I275" s="48">
        <f t="shared" ref="I275:I338" si="94">+(G275/H275-1)*100</f>
        <v>11.925193096631403</v>
      </c>
      <c r="J275" s="4">
        <f t="shared" si="91"/>
        <v>115</v>
      </c>
      <c r="K275">
        <v>8225.7999999999993</v>
      </c>
    </row>
    <row r="276" spans="1:11" x14ac:dyDescent="0.25">
      <c r="A276" s="35">
        <f t="shared" si="86"/>
        <v>40766</v>
      </c>
      <c r="B276" s="84" t="s">
        <v>205</v>
      </c>
      <c r="C276">
        <v>1489</v>
      </c>
      <c r="D276">
        <v>930.7</v>
      </c>
      <c r="E276">
        <v>24161.8</v>
      </c>
      <c r="F276">
        <v>22111.3</v>
      </c>
      <c r="G276" s="2">
        <f t="shared" si="92"/>
        <v>25650.799999999999</v>
      </c>
      <c r="H276" s="2">
        <f t="shared" si="93"/>
        <v>23042</v>
      </c>
      <c r="I276" s="48">
        <f t="shared" si="94"/>
        <v>11.321933859907984</v>
      </c>
      <c r="J276" s="4">
        <f t="shared" si="91"/>
        <v>60</v>
      </c>
      <c r="K276">
        <v>8355.2999999999993</v>
      </c>
    </row>
    <row r="277" spans="1:11" x14ac:dyDescent="0.25">
      <c r="A277" s="35">
        <f t="shared" si="86"/>
        <v>40773</v>
      </c>
      <c r="B277" s="84" t="s">
        <v>205</v>
      </c>
      <c r="C277">
        <v>1368</v>
      </c>
      <c r="D277">
        <v>927.7</v>
      </c>
      <c r="E277">
        <v>24226.799999999999</v>
      </c>
      <c r="F277">
        <v>22229.1</v>
      </c>
      <c r="G277" s="2">
        <f t="shared" si="92"/>
        <v>25594.799999999999</v>
      </c>
      <c r="H277" s="2">
        <f t="shared" si="93"/>
        <v>23156.799999999999</v>
      </c>
      <c r="I277" s="48">
        <f t="shared" si="94"/>
        <v>10.52822497063497</v>
      </c>
      <c r="J277" s="4">
        <f t="shared" si="91"/>
        <v>-56</v>
      </c>
      <c r="K277">
        <v>8648.2999999999993</v>
      </c>
    </row>
    <row r="278" spans="1:11" x14ac:dyDescent="0.25">
      <c r="A278" s="35">
        <f t="shared" si="86"/>
        <v>40780</v>
      </c>
      <c r="B278" s="84" t="s">
        <v>205</v>
      </c>
      <c r="C278">
        <v>1244</v>
      </c>
      <c r="D278">
        <v>867.7</v>
      </c>
      <c r="E278">
        <v>24351.3</v>
      </c>
      <c r="F278">
        <v>22292.1</v>
      </c>
      <c r="G278" s="2">
        <f t="shared" si="92"/>
        <v>25595.3</v>
      </c>
      <c r="H278" s="2">
        <f t="shared" si="93"/>
        <v>23159.8</v>
      </c>
      <c r="I278" s="48">
        <f t="shared" si="94"/>
        <v>10.516066632699772</v>
      </c>
      <c r="J278" s="4">
        <f t="shared" si="91"/>
        <v>0.5</v>
      </c>
      <c r="K278">
        <v>8905.2999999999993</v>
      </c>
    </row>
    <row r="279" spans="1:11" x14ac:dyDescent="0.25">
      <c r="A279" s="35">
        <f t="shared" si="86"/>
        <v>40787</v>
      </c>
      <c r="B279" s="84" t="s">
        <v>205</v>
      </c>
      <c r="C279">
        <v>10276.6</v>
      </c>
      <c r="D279">
        <v>10144.799999999999</v>
      </c>
      <c r="E279">
        <v>2.9</v>
      </c>
      <c r="F279">
        <v>54.8</v>
      </c>
      <c r="G279" s="2">
        <f t="shared" si="92"/>
        <v>10279.5</v>
      </c>
      <c r="H279" s="2">
        <f t="shared" si="93"/>
        <v>10199.599999999999</v>
      </c>
      <c r="I279" s="48">
        <f t="shared" si="94"/>
        <v>0.78336405349230809</v>
      </c>
      <c r="J279" s="4">
        <f t="shared" si="91"/>
        <v>-15315.8</v>
      </c>
    </row>
    <row r="280" spans="1:11" x14ac:dyDescent="0.25">
      <c r="A280" s="35">
        <f t="shared" si="86"/>
        <v>40794</v>
      </c>
      <c r="B280" s="84" t="s">
        <v>205</v>
      </c>
      <c r="C280">
        <v>10149.6</v>
      </c>
      <c r="D280">
        <v>10424.299999999999</v>
      </c>
      <c r="E280">
        <v>242.6</v>
      </c>
      <c r="F280">
        <v>155</v>
      </c>
      <c r="G280" s="2">
        <f t="shared" si="92"/>
        <v>10392.200000000001</v>
      </c>
      <c r="H280" s="2">
        <f t="shared" si="93"/>
        <v>10579.3</v>
      </c>
      <c r="I280" s="48">
        <f t="shared" si="94"/>
        <v>-1.7685480135736675</v>
      </c>
      <c r="J280" s="4">
        <f t="shared" si="91"/>
        <v>112.70000000000073</v>
      </c>
    </row>
    <row r="281" spans="1:11" x14ac:dyDescent="0.25">
      <c r="A281" s="35">
        <f t="shared" si="86"/>
        <v>40801</v>
      </c>
      <c r="B281" s="84" t="s">
        <v>205</v>
      </c>
      <c r="C281">
        <v>10206.1</v>
      </c>
      <c r="D281">
        <v>11118.5</v>
      </c>
      <c r="E281">
        <v>362.4</v>
      </c>
      <c r="F281">
        <v>231.3</v>
      </c>
      <c r="G281" s="2">
        <f t="shared" si="92"/>
        <v>10568.5</v>
      </c>
      <c r="H281" s="2">
        <f t="shared" si="93"/>
        <v>11349.8</v>
      </c>
      <c r="I281" s="48">
        <f t="shared" si="94"/>
        <v>-6.8838217413522695</v>
      </c>
    </row>
    <row r="282" spans="1:11" x14ac:dyDescent="0.25">
      <c r="A282" s="35">
        <f t="shared" si="86"/>
        <v>40808</v>
      </c>
      <c r="B282" s="84" t="s">
        <v>205</v>
      </c>
      <c r="C282">
        <v>10874.1</v>
      </c>
      <c r="D282">
        <v>12186</v>
      </c>
      <c r="E282">
        <v>539.9</v>
      </c>
      <c r="F282">
        <v>459</v>
      </c>
      <c r="G282" s="2">
        <f t="shared" si="92"/>
        <v>11414</v>
      </c>
      <c r="H282" s="2">
        <f t="shared" si="93"/>
        <v>12645</v>
      </c>
      <c r="I282" s="48">
        <f t="shared" si="94"/>
        <v>-9.7350731514432631</v>
      </c>
    </row>
    <row r="283" spans="1:11" x14ac:dyDescent="0.25">
      <c r="A283" s="35">
        <f t="shared" si="86"/>
        <v>40815</v>
      </c>
      <c r="B283" s="84" t="s">
        <v>205</v>
      </c>
      <c r="C283" s="123">
        <v>11107</v>
      </c>
      <c r="D283" s="123">
        <v>12474.5</v>
      </c>
      <c r="E283" s="123">
        <v>661.1</v>
      </c>
      <c r="F283" s="123">
        <v>794.9</v>
      </c>
      <c r="G283" s="2">
        <f t="shared" si="92"/>
        <v>11768.1</v>
      </c>
      <c r="H283" s="2">
        <f t="shared" si="93"/>
        <v>13269.4</v>
      </c>
      <c r="I283" s="48">
        <f t="shared" si="94"/>
        <v>-11.314000633035404</v>
      </c>
      <c r="J283" s="103"/>
    </row>
    <row r="284" spans="1:11" ht="15" x14ac:dyDescent="0.35">
      <c r="A284" s="35">
        <f t="shared" si="86"/>
        <v>40822</v>
      </c>
      <c r="B284" s="84" t="s">
        <v>205</v>
      </c>
      <c r="C284" s="124">
        <v>11245</v>
      </c>
      <c r="D284" s="123">
        <v>12387.2</v>
      </c>
      <c r="E284" s="123">
        <v>1083.0999999999999</v>
      </c>
      <c r="F284" s="123">
        <v>1465.8</v>
      </c>
      <c r="G284" s="125">
        <f t="shared" si="92"/>
        <v>12328.1</v>
      </c>
      <c r="H284" s="125">
        <f t="shared" si="93"/>
        <v>13853</v>
      </c>
      <c r="I284" s="48">
        <f t="shared" si="94"/>
        <v>-11.007723958709303</v>
      </c>
    </row>
    <row r="285" spans="1:11" x14ac:dyDescent="0.25">
      <c r="A285" s="35">
        <f t="shared" si="86"/>
        <v>40829</v>
      </c>
      <c r="B285" s="84" t="s">
        <v>205</v>
      </c>
      <c r="C285">
        <v>10778</v>
      </c>
      <c r="D285">
        <v>12734.5</v>
      </c>
      <c r="E285">
        <v>1881.1</v>
      </c>
      <c r="F285">
        <v>2569.5</v>
      </c>
      <c r="G285" s="2">
        <f t="shared" si="92"/>
        <v>12659.1</v>
      </c>
      <c r="H285" s="2">
        <f t="shared" si="93"/>
        <v>15304</v>
      </c>
      <c r="I285" s="48">
        <f t="shared" si="94"/>
        <v>-17.282409827496082</v>
      </c>
    </row>
    <row r="286" spans="1:11" x14ac:dyDescent="0.25">
      <c r="A286" s="35">
        <f t="shared" si="86"/>
        <v>40836</v>
      </c>
      <c r="B286" s="84" t="s">
        <v>205</v>
      </c>
      <c r="C286">
        <v>10038.4</v>
      </c>
      <c r="D286">
        <v>12627.5</v>
      </c>
      <c r="E286">
        <v>2712.4</v>
      </c>
      <c r="F286">
        <v>4046.1</v>
      </c>
      <c r="G286" s="2">
        <f t="shared" si="92"/>
        <v>12750.8</v>
      </c>
      <c r="H286" s="2">
        <f t="shared" si="93"/>
        <v>16673.599999999999</v>
      </c>
      <c r="I286" s="48">
        <f t="shared" si="94"/>
        <v>-23.527012762690713</v>
      </c>
    </row>
    <row r="287" spans="1:11" x14ac:dyDescent="0.25">
      <c r="A287" s="35">
        <f t="shared" si="86"/>
        <v>40843</v>
      </c>
      <c r="B287" s="84" t="s">
        <v>205</v>
      </c>
      <c r="C287">
        <v>9350.7000000000007</v>
      </c>
      <c r="D287">
        <v>11978.7</v>
      </c>
      <c r="E287">
        <v>3617.8</v>
      </c>
      <c r="F287">
        <v>5622</v>
      </c>
      <c r="G287" s="2">
        <f t="shared" si="92"/>
        <v>12968.5</v>
      </c>
      <c r="H287" s="2">
        <f t="shared" si="93"/>
        <v>17600.7</v>
      </c>
      <c r="I287" s="48">
        <f t="shared" si="94"/>
        <v>-26.318271432386219</v>
      </c>
    </row>
    <row r="288" spans="1:11" x14ac:dyDescent="0.25">
      <c r="A288" s="35">
        <f t="shared" si="86"/>
        <v>40850</v>
      </c>
      <c r="B288" s="84" t="s">
        <v>205</v>
      </c>
      <c r="C288">
        <v>8785.7000000000007</v>
      </c>
      <c r="D288">
        <v>11284.9</v>
      </c>
      <c r="E288">
        <v>4517.6000000000004</v>
      </c>
      <c r="F288">
        <v>6935.9</v>
      </c>
      <c r="G288" s="2">
        <f t="shared" si="92"/>
        <v>13303.300000000001</v>
      </c>
      <c r="H288" s="2">
        <f t="shared" si="93"/>
        <v>18220.8</v>
      </c>
      <c r="I288" s="48">
        <f t="shared" si="94"/>
        <v>-26.988386898489626</v>
      </c>
      <c r="J288" s="103"/>
    </row>
    <row r="289" spans="1:10" x14ac:dyDescent="0.25">
      <c r="A289" s="35">
        <f t="shared" si="86"/>
        <v>40857</v>
      </c>
      <c r="B289" s="84" t="s">
        <v>205</v>
      </c>
      <c r="C289">
        <v>8089.2</v>
      </c>
      <c r="D289">
        <v>10814</v>
      </c>
      <c r="E289">
        <v>5731.1</v>
      </c>
      <c r="F289">
        <v>8236.6</v>
      </c>
      <c r="G289" s="2">
        <f t="shared" si="92"/>
        <v>13820.3</v>
      </c>
      <c r="H289" s="2">
        <f t="shared" si="93"/>
        <v>19050.599999999999</v>
      </c>
      <c r="I289" s="48">
        <f t="shared" si="94"/>
        <v>-27.454778327191796</v>
      </c>
    </row>
    <row r="290" spans="1:10" x14ac:dyDescent="0.25">
      <c r="A290" s="35">
        <f t="shared" si="86"/>
        <v>40864</v>
      </c>
      <c r="B290" s="84" t="s">
        <v>205</v>
      </c>
      <c r="C290">
        <v>8205.4</v>
      </c>
      <c r="D290">
        <v>10148.799999999999</v>
      </c>
      <c r="E290">
        <v>6551.2</v>
      </c>
      <c r="F290">
        <v>9356.4</v>
      </c>
      <c r="G290" s="2">
        <f t="shared" si="92"/>
        <v>14756.599999999999</v>
      </c>
      <c r="H290" s="2">
        <f t="shared" si="93"/>
        <v>19505.199999999997</v>
      </c>
      <c r="I290" s="48">
        <f t="shared" si="94"/>
        <v>-24.345302791050582</v>
      </c>
    </row>
    <row r="291" spans="1:10" x14ac:dyDescent="0.25">
      <c r="A291" s="35">
        <f t="shared" si="86"/>
        <v>40871</v>
      </c>
      <c r="B291" s="84" t="s">
        <v>205</v>
      </c>
      <c r="C291">
        <v>7846.5</v>
      </c>
      <c r="D291">
        <v>10252.5</v>
      </c>
      <c r="E291">
        <v>7444.7</v>
      </c>
      <c r="F291">
        <v>10736.5</v>
      </c>
      <c r="G291" s="2">
        <f t="shared" si="92"/>
        <v>15291.2</v>
      </c>
      <c r="H291" s="2">
        <f t="shared" si="93"/>
        <v>20989</v>
      </c>
      <c r="I291" s="48">
        <f t="shared" si="94"/>
        <v>-27.146600600314454</v>
      </c>
    </row>
    <row r="292" spans="1:10" x14ac:dyDescent="0.25">
      <c r="A292" s="35">
        <f t="shared" si="86"/>
        <v>40878</v>
      </c>
      <c r="B292" s="84" t="s">
        <v>205</v>
      </c>
      <c r="C292">
        <v>7785.4</v>
      </c>
      <c r="D292">
        <v>9578.1</v>
      </c>
      <c r="E292">
        <v>8056.8</v>
      </c>
      <c r="F292">
        <v>11677.1</v>
      </c>
      <c r="G292" s="2">
        <f t="shared" si="92"/>
        <v>15842.2</v>
      </c>
      <c r="H292" s="2">
        <f t="shared" si="93"/>
        <v>21255.200000000001</v>
      </c>
      <c r="I292" s="48">
        <f t="shared" si="94"/>
        <v>-25.466709322895099</v>
      </c>
    </row>
    <row r="293" spans="1:10" x14ac:dyDescent="0.25">
      <c r="A293" s="35">
        <f t="shared" si="86"/>
        <v>40885</v>
      </c>
      <c r="B293" s="84" t="s">
        <v>205</v>
      </c>
      <c r="C293">
        <v>7367.5</v>
      </c>
      <c r="D293">
        <v>8777.9</v>
      </c>
      <c r="E293">
        <v>8828.7999999999993</v>
      </c>
      <c r="F293">
        <v>12603.9</v>
      </c>
      <c r="G293" s="2">
        <f t="shared" si="92"/>
        <v>16196.3</v>
      </c>
      <c r="H293" s="2">
        <f t="shared" si="93"/>
        <v>21381.8</v>
      </c>
      <c r="I293" s="48">
        <f t="shared" si="94"/>
        <v>-24.251933887698883</v>
      </c>
    </row>
    <row r="294" spans="1:10" x14ac:dyDescent="0.25">
      <c r="A294" s="35">
        <f t="shared" si="86"/>
        <v>40892</v>
      </c>
      <c r="B294" s="84" t="s">
        <v>205</v>
      </c>
      <c r="C294">
        <v>6957.2</v>
      </c>
      <c r="D294">
        <v>8493.7999999999993</v>
      </c>
      <c r="E294">
        <v>9428.2000000000007</v>
      </c>
      <c r="F294">
        <v>13525.3</v>
      </c>
      <c r="G294" s="2">
        <f t="shared" si="92"/>
        <v>16385.400000000001</v>
      </c>
      <c r="H294" s="2">
        <f t="shared" si="93"/>
        <v>22019.1</v>
      </c>
      <c r="I294" s="48">
        <f t="shared" si="94"/>
        <v>-25.585514394321287</v>
      </c>
    </row>
    <row r="295" spans="1:10" x14ac:dyDescent="0.25">
      <c r="A295" s="35">
        <f t="shared" si="86"/>
        <v>40899</v>
      </c>
      <c r="B295" s="84" t="s">
        <v>205</v>
      </c>
      <c r="C295">
        <v>6531.3</v>
      </c>
      <c r="D295">
        <v>8092.7</v>
      </c>
      <c r="E295">
        <v>10276.299999999999</v>
      </c>
      <c r="F295">
        <v>14040.2</v>
      </c>
      <c r="G295" s="2">
        <f t="shared" si="92"/>
        <v>16807.599999999999</v>
      </c>
      <c r="H295" s="2">
        <f t="shared" si="93"/>
        <v>22132.9</v>
      </c>
      <c r="I295" s="48">
        <f t="shared" si="94"/>
        <v>-24.060561426654449</v>
      </c>
    </row>
    <row r="296" spans="1:10" x14ac:dyDescent="0.25">
      <c r="A296" s="35">
        <f t="shared" si="86"/>
        <v>40906</v>
      </c>
      <c r="B296" s="84" t="s">
        <v>205</v>
      </c>
      <c r="C296">
        <v>5842.3</v>
      </c>
      <c r="D296">
        <v>7483.2</v>
      </c>
      <c r="E296">
        <v>11101.8</v>
      </c>
      <c r="F296">
        <v>14779.3</v>
      </c>
      <c r="G296" s="2">
        <f t="shared" si="92"/>
        <v>16944.099999999999</v>
      </c>
      <c r="H296" s="2">
        <f t="shared" si="93"/>
        <v>22262.5</v>
      </c>
      <c r="I296" s="48">
        <f t="shared" si="94"/>
        <v>-23.88950028074116</v>
      </c>
    </row>
    <row r="297" spans="1:10" x14ac:dyDescent="0.25">
      <c r="A297" s="35">
        <f t="shared" si="86"/>
        <v>40913</v>
      </c>
      <c r="B297" s="84" t="s">
        <v>205</v>
      </c>
      <c r="C297">
        <v>5572.5</v>
      </c>
      <c r="D297">
        <v>7623.1</v>
      </c>
      <c r="E297">
        <v>11628.6</v>
      </c>
      <c r="F297">
        <v>15216.8</v>
      </c>
      <c r="G297" s="2">
        <f t="shared" si="92"/>
        <v>17201.099999999999</v>
      </c>
      <c r="H297" s="2">
        <f t="shared" si="93"/>
        <v>22839.9</v>
      </c>
      <c r="I297" s="48">
        <f t="shared" si="94"/>
        <v>-24.688374292356809</v>
      </c>
    </row>
    <row r="298" spans="1:10" x14ac:dyDescent="0.25">
      <c r="A298" s="35">
        <f t="shared" si="86"/>
        <v>40920</v>
      </c>
      <c r="B298" s="84" t="s">
        <v>205</v>
      </c>
      <c r="C298">
        <v>5162.5</v>
      </c>
      <c r="D298">
        <v>7405</v>
      </c>
      <c r="E298">
        <v>12406.1</v>
      </c>
      <c r="F298">
        <v>15927.9</v>
      </c>
      <c r="G298" s="2">
        <f t="shared" si="92"/>
        <v>17568.599999999999</v>
      </c>
      <c r="H298" s="2">
        <f t="shared" si="93"/>
        <v>23332.9</v>
      </c>
      <c r="I298" s="48">
        <f t="shared" si="94"/>
        <v>-24.704601656887924</v>
      </c>
    </row>
    <row r="299" spans="1:10" x14ac:dyDescent="0.25">
      <c r="A299" s="35">
        <f t="shared" si="86"/>
        <v>40927</v>
      </c>
      <c r="B299" s="84" t="s">
        <v>205</v>
      </c>
      <c r="C299">
        <v>4632.8</v>
      </c>
      <c r="D299">
        <v>6963.4</v>
      </c>
      <c r="E299">
        <v>13296.7</v>
      </c>
      <c r="F299">
        <v>16764.8</v>
      </c>
      <c r="G299" s="2">
        <f t="shared" si="92"/>
        <v>17929.5</v>
      </c>
      <c r="H299" s="2">
        <f t="shared" si="93"/>
        <v>23728.199999999997</v>
      </c>
      <c r="I299" s="48">
        <f t="shared" si="94"/>
        <v>-24.438010468556392</v>
      </c>
    </row>
    <row r="300" spans="1:10" x14ac:dyDescent="0.25">
      <c r="A300" s="35">
        <f t="shared" si="86"/>
        <v>40934</v>
      </c>
      <c r="B300" s="84" t="s">
        <v>205</v>
      </c>
      <c r="C300">
        <v>4152.1000000000004</v>
      </c>
      <c r="D300">
        <v>6610</v>
      </c>
      <c r="E300">
        <v>14023.6</v>
      </c>
      <c r="F300">
        <v>17472.2</v>
      </c>
      <c r="G300" s="2">
        <f t="shared" si="92"/>
        <v>18175.7</v>
      </c>
      <c r="H300" s="2">
        <f t="shared" si="93"/>
        <v>24082.2</v>
      </c>
      <c r="I300" s="48">
        <f t="shared" si="94"/>
        <v>-24.526413699745042</v>
      </c>
      <c r="J300">
        <v>120</v>
      </c>
    </row>
    <row r="301" spans="1:10" x14ac:dyDescent="0.25">
      <c r="A301" s="35">
        <f t="shared" si="86"/>
        <v>40941</v>
      </c>
      <c r="B301" s="84" t="s">
        <v>205</v>
      </c>
      <c r="C301">
        <v>3704.6</v>
      </c>
      <c r="D301">
        <v>5699.6</v>
      </c>
      <c r="E301">
        <v>14809.1</v>
      </c>
      <c r="F301">
        <v>18121</v>
      </c>
      <c r="G301" s="2">
        <f t="shared" si="92"/>
        <v>18513.7</v>
      </c>
      <c r="H301" s="2">
        <f t="shared" si="93"/>
        <v>23820.6</v>
      </c>
      <c r="I301" s="48">
        <f t="shared" si="94"/>
        <v>-22.278615987842443</v>
      </c>
      <c r="J301">
        <v>175.5</v>
      </c>
    </row>
    <row r="302" spans="1:10" x14ac:dyDescent="0.25">
      <c r="A302" s="35">
        <f t="shared" si="86"/>
        <v>40948</v>
      </c>
      <c r="B302" s="84" t="s">
        <v>205</v>
      </c>
      <c r="C302">
        <v>3194.4</v>
      </c>
      <c r="D302">
        <v>5236.8</v>
      </c>
      <c r="E302">
        <v>15526.3</v>
      </c>
      <c r="F302">
        <v>18663.3</v>
      </c>
      <c r="G302" s="2">
        <f>+C302+E302</f>
        <v>18720.7</v>
      </c>
      <c r="H302" s="2">
        <f>+D302+F302</f>
        <v>23900.1</v>
      </c>
      <c r="I302" s="48">
        <f>+(G302/H302-1)*100</f>
        <v>-21.67103903330948</v>
      </c>
    </row>
    <row r="303" spans="1:10" x14ac:dyDescent="0.25">
      <c r="A303" s="35">
        <f t="shared" si="86"/>
        <v>40955</v>
      </c>
      <c r="B303" s="84" t="s">
        <v>205</v>
      </c>
      <c r="C303">
        <v>3038.8</v>
      </c>
      <c r="D303">
        <v>4833.8</v>
      </c>
      <c r="E303">
        <v>16203</v>
      </c>
      <c r="F303">
        <v>19471.400000000001</v>
      </c>
      <c r="G303" s="2">
        <f t="shared" si="92"/>
        <v>19241.8</v>
      </c>
      <c r="H303" s="2">
        <f t="shared" si="93"/>
        <v>24305.200000000001</v>
      </c>
      <c r="I303" s="48">
        <f t="shared" si="94"/>
        <v>-20.832579036584765</v>
      </c>
    </row>
    <row r="304" spans="1:10" x14ac:dyDescent="0.25">
      <c r="A304" s="35">
        <f t="shared" si="86"/>
        <v>40962</v>
      </c>
      <c r="B304" s="84" t="s">
        <v>205</v>
      </c>
      <c r="C304">
        <v>2611.5</v>
      </c>
      <c r="D304">
        <v>3872.9</v>
      </c>
      <c r="E304">
        <v>16878.400000000001</v>
      </c>
      <c r="F304">
        <v>20771.3</v>
      </c>
      <c r="G304" s="2">
        <f t="shared" si="92"/>
        <v>19489.900000000001</v>
      </c>
      <c r="H304" s="2">
        <f t="shared" si="93"/>
        <v>24644.2</v>
      </c>
      <c r="I304" s="48">
        <f t="shared" si="94"/>
        <v>-20.914860291671054</v>
      </c>
      <c r="J304">
        <v>3405.5</v>
      </c>
    </row>
    <row r="305" spans="1:10" x14ac:dyDescent="0.25">
      <c r="A305" s="35">
        <f t="shared" si="86"/>
        <v>40969</v>
      </c>
      <c r="B305" s="84" t="s">
        <v>205</v>
      </c>
      <c r="C305">
        <v>2496</v>
      </c>
      <c r="D305">
        <v>3715.5</v>
      </c>
      <c r="E305">
        <v>17483.5</v>
      </c>
      <c r="F305">
        <v>21231.9</v>
      </c>
      <c r="G305" s="2">
        <f t="shared" si="92"/>
        <v>19979.5</v>
      </c>
      <c r="H305" s="2">
        <f t="shared" si="93"/>
        <v>24947.4</v>
      </c>
      <c r="I305" s="48">
        <f t="shared" si="94"/>
        <v>-19.913497999791563</v>
      </c>
    </row>
    <row r="306" spans="1:10" x14ac:dyDescent="0.25">
      <c r="A306" s="35">
        <f t="shared" si="86"/>
        <v>40976</v>
      </c>
      <c r="B306" s="84" t="s">
        <v>205</v>
      </c>
      <c r="C306">
        <v>2458.9</v>
      </c>
      <c r="D306">
        <v>3191</v>
      </c>
      <c r="E306">
        <v>17888.8</v>
      </c>
      <c r="F306">
        <v>21759.4</v>
      </c>
      <c r="G306" s="2">
        <f t="shared" si="92"/>
        <v>20347.7</v>
      </c>
      <c r="H306" s="2">
        <f t="shared" si="93"/>
        <v>24950.400000000001</v>
      </c>
      <c r="I306" s="48">
        <f t="shared" si="94"/>
        <v>-18.447399640887518</v>
      </c>
      <c r="J306">
        <v>4539.5</v>
      </c>
    </row>
    <row r="307" spans="1:10" x14ac:dyDescent="0.25">
      <c r="A307" s="35">
        <f t="shared" si="86"/>
        <v>40983</v>
      </c>
      <c r="B307" s="84" t="s">
        <v>205</v>
      </c>
      <c r="C307">
        <v>2203.9</v>
      </c>
      <c r="D307">
        <v>2678.5</v>
      </c>
      <c r="E307">
        <v>18206.3</v>
      </c>
      <c r="F307">
        <v>22292.7</v>
      </c>
      <c r="G307" s="2">
        <f t="shared" si="92"/>
        <v>20410.2</v>
      </c>
      <c r="H307" s="2">
        <f t="shared" si="93"/>
        <v>24971.200000000001</v>
      </c>
      <c r="I307" s="48">
        <f t="shared" si="94"/>
        <v>-18.26504132760941</v>
      </c>
      <c r="J307">
        <v>4715.5</v>
      </c>
    </row>
    <row r="308" spans="1:10" x14ac:dyDescent="0.25">
      <c r="A308" s="35">
        <f t="shared" si="86"/>
        <v>40990</v>
      </c>
      <c r="B308" s="84" t="s">
        <v>205</v>
      </c>
      <c r="C308">
        <v>2041.6</v>
      </c>
      <c r="D308">
        <v>2410.5</v>
      </c>
      <c r="E308">
        <v>18578.400000000001</v>
      </c>
      <c r="F308">
        <v>22742</v>
      </c>
      <c r="G308" s="2">
        <f t="shared" si="92"/>
        <v>20620</v>
      </c>
      <c r="H308" s="2">
        <f t="shared" si="93"/>
        <v>25152.5</v>
      </c>
      <c r="I308" s="48">
        <f t="shared" si="94"/>
        <v>-18.020077527084787</v>
      </c>
    </row>
    <row r="309" spans="1:10" x14ac:dyDescent="0.25">
      <c r="A309" s="35">
        <f t="shared" si="86"/>
        <v>40997</v>
      </c>
      <c r="B309" s="84" t="s">
        <v>205</v>
      </c>
      <c r="C309">
        <v>1751.4</v>
      </c>
      <c r="D309">
        <v>2134.6</v>
      </c>
      <c r="E309">
        <v>19125.900000000001</v>
      </c>
      <c r="F309">
        <v>23096.1</v>
      </c>
      <c r="G309" s="2">
        <f t="shared" si="92"/>
        <v>20877.300000000003</v>
      </c>
      <c r="H309" s="2">
        <f t="shared" si="93"/>
        <v>25230.699999999997</v>
      </c>
      <c r="I309" s="48">
        <f t="shared" si="94"/>
        <v>-17.254376612618739</v>
      </c>
      <c r="J309">
        <v>5296</v>
      </c>
    </row>
    <row r="310" spans="1:10" x14ac:dyDescent="0.25">
      <c r="A310" s="35">
        <f t="shared" si="86"/>
        <v>41004</v>
      </c>
      <c r="B310" s="84" t="s">
        <v>205</v>
      </c>
      <c r="C310">
        <v>1625.4</v>
      </c>
      <c r="D310">
        <v>1961.5</v>
      </c>
      <c r="E310">
        <v>19386.400000000001</v>
      </c>
      <c r="F310">
        <v>23451.5</v>
      </c>
      <c r="G310" s="2">
        <f t="shared" si="92"/>
        <v>21011.800000000003</v>
      </c>
      <c r="H310" s="2">
        <f t="shared" si="93"/>
        <v>25413</v>
      </c>
      <c r="I310" s="48">
        <f t="shared" si="94"/>
        <v>-17.3186951560225</v>
      </c>
      <c r="J310">
        <v>5466</v>
      </c>
    </row>
    <row r="311" spans="1:10" x14ac:dyDescent="0.25">
      <c r="A311" s="35">
        <f t="shared" si="86"/>
        <v>41011</v>
      </c>
      <c r="B311" s="84" t="s">
        <v>205</v>
      </c>
      <c r="C311">
        <v>1569.2</v>
      </c>
      <c r="D311">
        <v>2006.5</v>
      </c>
      <c r="E311">
        <v>19569.8</v>
      </c>
      <c r="F311">
        <v>23583</v>
      </c>
      <c r="G311" s="2">
        <f t="shared" si="92"/>
        <v>21139</v>
      </c>
      <c r="H311" s="2">
        <f t="shared" si="93"/>
        <v>25589.5</v>
      </c>
      <c r="I311" s="48">
        <f t="shared" si="94"/>
        <v>-17.391899021082867</v>
      </c>
      <c r="J311">
        <v>6081</v>
      </c>
    </row>
    <row r="312" spans="1:10" x14ac:dyDescent="0.25">
      <c r="A312" s="35">
        <f t="shared" si="86"/>
        <v>41018</v>
      </c>
      <c r="B312" s="84" t="s">
        <v>205</v>
      </c>
      <c r="C312">
        <v>1987.3</v>
      </c>
      <c r="D312">
        <v>1946.5</v>
      </c>
      <c r="E312">
        <v>19694.400000000001</v>
      </c>
      <c r="F312">
        <v>23647.9</v>
      </c>
      <c r="G312" s="2">
        <f t="shared" si="92"/>
        <v>21681.7</v>
      </c>
      <c r="H312" s="2">
        <f t="shared" si="93"/>
        <v>25594.400000000001</v>
      </c>
      <c r="I312" s="48">
        <f t="shared" si="94"/>
        <v>-15.287328478104589</v>
      </c>
      <c r="J312">
        <v>6446</v>
      </c>
    </row>
    <row r="313" spans="1:10" x14ac:dyDescent="0.25">
      <c r="A313" s="35">
        <f t="shared" si="86"/>
        <v>41025</v>
      </c>
      <c r="B313" s="84" t="s">
        <v>205</v>
      </c>
      <c r="C313">
        <v>1925.9</v>
      </c>
      <c r="D313">
        <v>1947</v>
      </c>
      <c r="E313">
        <v>19873.099999999999</v>
      </c>
      <c r="F313">
        <v>23648</v>
      </c>
      <c r="G313" s="2">
        <f t="shared" si="92"/>
        <v>21799</v>
      </c>
      <c r="H313" s="2">
        <f t="shared" si="93"/>
        <v>25595</v>
      </c>
      <c r="I313" s="48">
        <f t="shared" si="94"/>
        <v>-14.831021683922641</v>
      </c>
      <c r="J313">
        <v>7121</v>
      </c>
    </row>
    <row r="314" spans="1:10" x14ac:dyDescent="0.25">
      <c r="A314" s="35">
        <f t="shared" si="86"/>
        <v>41032</v>
      </c>
      <c r="B314" s="84" t="s">
        <v>205</v>
      </c>
      <c r="C314">
        <v>2030.2</v>
      </c>
      <c r="D314">
        <v>1831.5</v>
      </c>
      <c r="E314">
        <v>19945.5</v>
      </c>
      <c r="F314">
        <v>23713.9</v>
      </c>
      <c r="G314" s="2">
        <f t="shared" si="92"/>
        <v>21975.7</v>
      </c>
      <c r="H314" s="2">
        <f t="shared" si="93"/>
        <v>25545.4</v>
      </c>
      <c r="I314" s="48">
        <f t="shared" si="94"/>
        <v>-13.973944428351093</v>
      </c>
      <c r="J314">
        <v>8032</v>
      </c>
    </row>
    <row r="315" spans="1:10" x14ac:dyDescent="0.25">
      <c r="A315" s="35">
        <f t="shared" si="86"/>
        <v>41039</v>
      </c>
      <c r="B315" s="84" t="s">
        <v>205</v>
      </c>
      <c r="C315">
        <v>1854.2</v>
      </c>
      <c r="D315">
        <v>1831.5</v>
      </c>
      <c r="E315">
        <v>20240.599999999999</v>
      </c>
      <c r="F315">
        <v>23713.9</v>
      </c>
      <c r="G315" s="2">
        <f t="shared" si="92"/>
        <v>22094.799999999999</v>
      </c>
      <c r="H315" s="2">
        <f t="shared" si="93"/>
        <v>25545.4</v>
      </c>
      <c r="I315" s="48">
        <f t="shared" si="94"/>
        <v>-13.507715674837751</v>
      </c>
      <c r="J315">
        <v>8027</v>
      </c>
    </row>
    <row r="316" spans="1:10" x14ac:dyDescent="0.25">
      <c r="A316" s="35">
        <f t="shared" si="86"/>
        <v>41046</v>
      </c>
      <c r="B316" s="84" t="s">
        <v>205</v>
      </c>
      <c r="C316">
        <v>2038.8</v>
      </c>
      <c r="D316">
        <v>1778.3</v>
      </c>
      <c r="E316">
        <v>20492.8</v>
      </c>
      <c r="F316">
        <v>23771.1</v>
      </c>
      <c r="G316" s="2">
        <f t="shared" si="92"/>
        <v>22531.599999999999</v>
      </c>
      <c r="H316" s="2">
        <f t="shared" si="93"/>
        <v>25549.399999999998</v>
      </c>
      <c r="I316" s="48">
        <f t="shared" si="94"/>
        <v>-11.811627670317105</v>
      </c>
      <c r="J316">
        <v>8145</v>
      </c>
    </row>
    <row r="317" spans="1:10" x14ac:dyDescent="0.25">
      <c r="A317" s="35">
        <f t="shared" si="86"/>
        <v>41053</v>
      </c>
      <c r="B317" s="84" t="s">
        <v>205</v>
      </c>
      <c r="C317">
        <v>2038.8</v>
      </c>
      <c r="D317">
        <v>1778.3</v>
      </c>
      <c r="E317">
        <v>20492.8</v>
      </c>
      <c r="F317">
        <v>23771.1</v>
      </c>
      <c r="G317" s="2">
        <f t="shared" si="92"/>
        <v>22531.599999999999</v>
      </c>
      <c r="H317" s="2">
        <f t="shared" si="93"/>
        <v>25549.399999999998</v>
      </c>
      <c r="I317" s="48">
        <f t="shared" si="94"/>
        <v>-11.811627670317105</v>
      </c>
      <c r="J317">
        <v>8145</v>
      </c>
    </row>
    <row r="318" spans="1:10" x14ac:dyDescent="0.25">
      <c r="A318" s="35">
        <f t="shared" ref="A318:A381" si="95">+A317+7</f>
        <v>41060</v>
      </c>
      <c r="B318" s="84" t="s">
        <v>205</v>
      </c>
      <c r="C318">
        <v>1959.5</v>
      </c>
      <c r="D318">
        <v>1705.8</v>
      </c>
      <c r="E318">
        <v>20689.8</v>
      </c>
      <c r="F318">
        <v>23898.1</v>
      </c>
      <c r="G318" s="2">
        <f t="shared" si="92"/>
        <v>22649.3</v>
      </c>
      <c r="H318" s="2">
        <f t="shared" si="93"/>
        <v>25603.899999999998</v>
      </c>
      <c r="I318" s="48">
        <f t="shared" si="94"/>
        <v>-11.539648256710889</v>
      </c>
      <c r="J318">
        <v>8438.5</v>
      </c>
    </row>
    <row r="319" spans="1:10" x14ac:dyDescent="0.25">
      <c r="A319" s="35">
        <f t="shared" si="95"/>
        <v>41067</v>
      </c>
      <c r="B319" s="84" t="s">
        <v>205</v>
      </c>
      <c r="C319">
        <v>2025.1</v>
      </c>
      <c r="D319">
        <v>1705.8</v>
      </c>
      <c r="E319">
        <v>20885.599999999999</v>
      </c>
      <c r="F319">
        <v>23898.1</v>
      </c>
      <c r="G319" s="2">
        <f t="shared" si="92"/>
        <v>22910.699999999997</v>
      </c>
      <c r="H319" s="2">
        <f t="shared" si="93"/>
        <v>25603.899999999998</v>
      </c>
      <c r="I319" s="48">
        <f t="shared" si="94"/>
        <v>-10.51871004026731</v>
      </c>
      <c r="J319">
        <v>8908.5</v>
      </c>
    </row>
    <row r="320" spans="1:10" x14ac:dyDescent="0.25">
      <c r="A320" s="35">
        <f t="shared" si="95"/>
        <v>41074</v>
      </c>
      <c r="B320" s="84" t="s">
        <v>205</v>
      </c>
      <c r="C320">
        <v>1691.5</v>
      </c>
      <c r="D320">
        <v>1524.9</v>
      </c>
      <c r="E320">
        <v>21136.2</v>
      </c>
      <c r="F320">
        <v>23965.1</v>
      </c>
      <c r="G320" s="2">
        <f t="shared" si="92"/>
        <v>22827.7</v>
      </c>
      <c r="H320" s="2">
        <f t="shared" si="93"/>
        <v>25490</v>
      </c>
      <c r="I320" s="48">
        <f t="shared" si="94"/>
        <v>-10.444488034523335</v>
      </c>
      <c r="J320">
        <v>9342.5</v>
      </c>
    </row>
    <row r="321" spans="1:10" x14ac:dyDescent="0.25">
      <c r="A321" s="35">
        <f t="shared" si="95"/>
        <v>41081</v>
      </c>
      <c r="B321" s="84" t="s">
        <v>205</v>
      </c>
      <c r="C321">
        <v>1752.8</v>
      </c>
      <c r="D321">
        <v>1464.9</v>
      </c>
      <c r="E321">
        <v>21190.9</v>
      </c>
      <c r="F321">
        <v>24029</v>
      </c>
      <c r="G321" s="2">
        <f t="shared" si="92"/>
        <v>22943.7</v>
      </c>
      <c r="H321" s="2">
        <f t="shared" si="93"/>
        <v>25493.9</v>
      </c>
      <c r="I321" s="48">
        <f t="shared" si="94"/>
        <v>-10.003177230631643</v>
      </c>
      <c r="J321">
        <v>9627.5</v>
      </c>
    </row>
    <row r="322" spans="1:10" x14ac:dyDescent="0.25">
      <c r="A322" s="35">
        <f t="shared" si="95"/>
        <v>41088</v>
      </c>
      <c r="B322" s="84" t="s">
        <v>205</v>
      </c>
      <c r="C322">
        <v>1929.6</v>
      </c>
      <c r="D322">
        <v>1836.6</v>
      </c>
      <c r="E322">
        <v>21327.7</v>
      </c>
      <c r="F322">
        <v>24029.200000000001</v>
      </c>
      <c r="G322" s="2">
        <f t="shared" si="92"/>
        <v>23257.3</v>
      </c>
      <c r="H322" s="2">
        <f t="shared" si="93"/>
        <v>25865.8</v>
      </c>
      <c r="I322" s="48">
        <f t="shared" si="94"/>
        <v>-10.084745107439163</v>
      </c>
      <c r="J322">
        <v>9791.5</v>
      </c>
    </row>
    <row r="323" spans="1:10" x14ac:dyDescent="0.25">
      <c r="A323" s="35">
        <f t="shared" si="95"/>
        <v>41095</v>
      </c>
      <c r="B323" s="84" t="s">
        <v>205</v>
      </c>
      <c r="C323">
        <v>1944.6</v>
      </c>
      <c r="D323">
        <v>1929.1</v>
      </c>
      <c r="E323">
        <v>21617.8</v>
      </c>
      <c r="F323">
        <v>24029.8</v>
      </c>
      <c r="G323" s="2">
        <f t="shared" si="92"/>
        <v>23562.399999999998</v>
      </c>
      <c r="H323" s="2">
        <f t="shared" si="93"/>
        <v>25958.899999999998</v>
      </c>
      <c r="I323" s="48">
        <f t="shared" si="94"/>
        <v>-9.231901197662463</v>
      </c>
      <c r="J323">
        <v>10023</v>
      </c>
    </row>
    <row r="324" spans="1:10" x14ac:dyDescent="0.25">
      <c r="A324" s="35">
        <f t="shared" si="95"/>
        <v>41102</v>
      </c>
      <c r="B324" s="84" t="s">
        <v>205</v>
      </c>
      <c r="C324">
        <v>1936.3</v>
      </c>
      <c r="D324">
        <v>1984</v>
      </c>
      <c r="E324">
        <v>21800.6</v>
      </c>
      <c r="F324">
        <v>24029.8</v>
      </c>
      <c r="G324" s="2">
        <f t="shared" si="92"/>
        <v>23736.899999999998</v>
      </c>
      <c r="H324" s="2">
        <f t="shared" si="93"/>
        <v>26013.8</v>
      </c>
      <c r="I324" s="48">
        <f t="shared" si="94"/>
        <v>-8.7526620486049751</v>
      </c>
      <c r="J324">
        <v>10028</v>
      </c>
    </row>
    <row r="325" spans="1:10" x14ac:dyDescent="0.25">
      <c r="A325" s="35">
        <f t="shared" si="95"/>
        <v>41109</v>
      </c>
      <c r="B325" s="84" t="s">
        <v>205</v>
      </c>
      <c r="C325">
        <v>1931</v>
      </c>
      <c r="D325">
        <v>1984</v>
      </c>
      <c r="E325">
        <v>22005.599999999999</v>
      </c>
      <c r="F325">
        <v>24029.8</v>
      </c>
      <c r="G325" s="2">
        <f t="shared" si="92"/>
        <v>23936.6</v>
      </c>
      <c r="H325" s="2">
        <f t="shared" si="93"/>
        <v>26013.8</v>
      </c>
      <c r="I325" s="48">
        <f t="shared" si="94"/>
        <v>-7.9849925808609274</v>
      </c>
      <c r="J325">
        <v>10139.299999999999</v>
      </c>
    </row>
    <row r="326" spans="1:10" x14ac:dyDescent="0.25">
      <c r="A326" s="35">
        <f t="shared" si="95"/>
        <v>41116</v>
      </c>
      <c r="B326" s="84" t="s">
        <v>205</v>
      </c>
      <c r="C326">
        <v>2032.1</v>
      </c>
      <c r="D326">
        <v>1380</v>
      </c>
      <c r="E326">
        <v>22119.4</v>
      </c>
      <c r="F326">
        <v>24095.8</v>
      </c>
      <c r="G326" s="2">
        <f t="shared" si="92"/>
        <v>24151.5</v>
      </c>
      <c r="H326" s="2">
        <f t="shared" si="93"/>
        <v>25475.8</v>
      </c>
      <c r="I326" s="48">
        <f t="shared" si="94"/>
        <v>-5.1982665902542742</v>
      </c>
      <c r="J326">
        <v>9975.7999999999993</v>
      </c>
    </row>
    <row r="327" spans="1:10" x14ac:dyDescent="0.25">
      <c r="A327" s="35">
        <f t="shared" si="95"/>
        <v>41123</v>
      </c>
      <c r="B327" s="84" t="s">
        <v>205</v>
      </c>
      <c r="C327">
        <v>1912.1</v>
      </c>
      <c r="D327">
        <v>1429</v>
      </c>
      <c r="E327">
        <v>22299</v>
      </c>
      <c r="F327">
        <v>24161.8</v>
      </c>
      <c r="G327" s="2">
        <f t="shared" si="92"/>
        <v>24211.1</v>
      </c>
      <c r="H327" s="2">
        <f t="shared" si="93"/>
        <v>25590.799999999999</v>
      </c>
      <c r="I327" s="48">
        <f t="shared" si="94"/>
        <v>-5.3913906560170144</v>
      </c>
      <c r="J327">
        <v>10081.799999999999</v>
      </c>
    </row>
    <row r="328" spans="1:10" x14ac:dyDescent="0.25">
      <c r="A328" s="35">
        <f t="shared" si="95"/>
        <v>41130</v>
      </c>
      <c r="B328" s="84" t="s">
        <v>205</v>
      </c>
      <c r="C328">
        <v>1791.4</v>
      </c>
      <c r="D328">
        <v>1489</v>
      </c>
      <c r="E328">
        <v>22540.7</v>
      </c>
      <c r="F328">
        <v>24161.8</v>
      </c>
      <c r="G328" s="2">
        <f t="shared" si="92"/>
        <v>24332.100000000002</v>
      </c>
      <c r="H328" s="2">
        <f t="shared" si="93"/>
        <v>25650.799999999999</v>
      </c>
      <c r="I328" s="48">
        <f t="shared" si="94"/>
        <v>-5.140970262136058</v>
      </c>
      <c r="J328">
        <v>10666.8</v>
      </c>
    </row>
    <row r="329" spans="1:10" x14ac:dyDescent="0.25">
      <c r="A329" s="35">
        <f t="shared" si="95"/>
        <v>41137</v>
      </c>
      <c r="B329" s="84" t="s">
        <v>205</v>
      </c>
      <c r="C329">
        <v>1731.4</v>
      </c>
      <c r="D329">
        <v>1368</v>
      </c>
      <c r="E329">
        <v>22843.200000000001</v>
      </c>
      <c r="F329">
        <v>24226.799999999999</v>
      </c>
      <c r="G329" s="2">
        <f t="shared" si="92"/>
        <v>24574.600000000002</v>
      </c>
      <c r="H329" s="2">
        <f t="shared" si="93"/>
        <v>25594.799999999999</v>
      </c>
      <c r="I329" s="48">
        <f t="shared" si="94"/>
        <v>-3.9859658993232849</v>
      </c>
      <c r="J329">
        <v>10999.8</v>
      </c>
    </row>
    <row r="330" spans="1:10" x14ac:dyDescent="0.25">
      <c r="A330" s="35">
        <f t="shared" si="95"/>
        <v>41144</v>
      </c>
      <c r="B330" s="84" t="s">
        <v>205</v>
      </c>
      <c r="C330">
        <v>1438.4</v>
      </c>
      <c r="D330">
        <v>1244</v>
      </c>
      <c r="E330">
        <v>23207.5</v>
      </c>
      <c r="F330">
        <v>24351.3</v>
      </c>
      <c r="G330" s="2">
        <f t="shared" si="92"/>
        <v>24645.9</v>
      </c>
      <c r="H330" s="2">
        <f t="shared" si="93"/>
        <v>25595.3</v>
      </c>
      <c r="I330" s="48">
        <f t="shared" si="94"/>
        <v>-3.7092747496610623</v>
      </c>
      <c r="J330">
        <v>11229.8</v>
      </c>
    </row>
    <row r="331" spans="1:10" x14ac:dyDescent="0.25">
      <c r="A331" s="35">
        <f t="shared" si="95"/>
        <v>41151</v>
      </c>
      <c r="B331" s="84" t="s">
        <v>205</v>
      </c>
      <c r="C331">
        <v>1155.4000000000001</v>
      </c>
      <c r="D331">
        <v>10276.6</v>
      </c>
      <c r="E331">
        <v>23506.9</v>
      </c>
      <c r="F331">
        <v>2.9</v>
      </c>
      <c r="G331" s="2">
        <f t="shared" si="92"/>
        <v>24662.300000000003</v>
      </c>
      <c r="H331" s="2">
        <f t="shared" si="93"/>
        <v>10279.5</v>
      </c>
      <c r="I331" s="48">
        <f t="shared" si="94"/>
        <v>139.91731115326624</v>
      </c>
      <c r="J331">
        <v>11682.8</v>
      </c>
    </row>
    <row r="332" spans="1:10" x14ac:dyDescent="0.25">
      <c r="A332" s="35">
        <f t="shared" si="95"/>
        <v>41158</v>
      </c>
      <c r="B332" s="84" t="s">
        <v>205</v>
      </c>
      <c r="C332">
        <v>12943.3</v>
      </c>
      <c r="D332">
        <v>10276.6</v>
      </c>
      <c r="E332">
        <v>175.8</v>
      </c>
      <c r="F332">
        <v>2.9</v>
      </c>
      <c r="G332" s="2">
        <f t="shared" si="92"/>
        <v>13119.099999999999</v>
      </c>
      <c r="H332" s="2">
        <f t="shared" si="93"/>
        <v>10279.5</v>
      </c>
      <c r="I332" s="48">
        <f t="shared" si="94"/>
        <v>27.62391166885547</v>
      </c>
    </row>
    <row r="333" spans="1:10" x14ac:dyDescent="0.25">
      <c r="A333" s="35">
        <f t="shared" si="95"/>
        <v>41165</v>
      </c>
      <c r="B333" s="84" t="s">
        <v>205</v>
      </c>
      <c r="C333">
        <v>13061.3</v>
      </c>
      <c r="D333">
        <v>10206.1</v>
      </c>
      <c r="E333">
        <v>295</v>
      </c>
      <c r="F333">
        <v>362.4</v>
      </c>
      <c r="G333" s="2">
        <f t="shared" si="92"/>
        <v>13356.3</v>
      </c>
      <c r="H333" s="2">
        <f t="shared" si="93"/>
        <v>10568.5</v>
      </c>
      <c r="I333" s="48">
        <f t="shared" si="94"/>
        <v>26.378388607654824</v>
      </c>
    </row>
    <row r="334" spans="1:10" x14ac:dyDescent="0.25">
      <c r="A334" s="35">
        <f t="shared" si="95"/>
        <v>41172</v>
      </c>
      <c r="B334" s="84" t="s">
        <v>205</v>
      </c>
      <c r="C334">
        <v>13192.3</v>
      </c>
      <c r="D334">
        <v>10874.1</v>
      </c>
      <c r="E334">
        <v>353.7</v>
      </c>
      <c r="F334">
        <v>539.9</v>
      </c>
      <c r="G334" s="2">
        <f t="shared" si="92"/>
        <v>13546</v>
      </c>
      <c r="H334" s="2">
        <f t="shared" si="93"/>
        <v>11414</v>
      </c>
      <c r="I334" s="48">
        <f t="shared" si="94"/>
        <v>18.678815489749432</v>
      </c>
    </row>
    <row r="335" spans="1:10" x14ac:dyDescent="0.25">
      <c r="A335" s="35">
        <f t="shared" si="95"/>
        <v>41179</v>
      </c>
      <c r="B335" s="84" t="s">
        <v>205</v>
      </c>
      <c r="C335">
        <v>13490.3</v>
      </c>
      <c r="D335">
        <v>11107</v>
      </c>
      <c r="E335">
        <v>1080.7</v>
      </c>
      <c r="F335">
        <v>661.1</v>
      </c>
      <c r="G335" s="2">
        <f t="shared" si="92"/>
        <v>14571</v>
      </c>
      <c r="H335" s="2">
        <f t="shared" si="93"/>
        <v>11768.1</v>
      </c>
      <c r="I335" s="48">
        <f t="shared" si="94"/>
        <v>23.817778570882297</v>
      </c>
    </row>
    <row r="336" spans="1:10" x14ac:dyDescent="0.25">
      <c r="A336" s="35">
        <f t="shared" si="95"/>
        <v>41186</v>
      </c>
      <c r="B336" s="84" t="s">
        <v>205</v>
      </c>
      <c r="C336">
        <v>12816.6</v>
      </c>
      <c r="D336">
        <v>12450</v>
      </c>
      <c r="E336">
        <v>1981.5</v>
      </c>
      <c r="F336">
        <v>1083.0999999999999</v>
      </c>
      <c r="G336" s="2">
        <f t="shared" si="92"/>
        <v>14798.1</v>
      </c>
      <c r="H336" s="2">
        <f t="shared" si="93"/>
        <v>13533.1</v>
      </c>
      <c r="I336" s="48">
        <f t="shared" si="94"/>
        <v>9.3474518033562113</v>
      </c>
    </row>
    <row r="337" spans="1:10" x14ac:dyDescent="0.25">
      <c r="A337" s="35">
        <f t="shared" si="95"/>
        <v>41193</v>
      </c>
      <c r="B337" s="84" t="s">
        <v>205</v>
      </c>
      <c r="C337">
        <v>12296.5</v>
      </c>
      <c r="D337">
        <v>10778</v>
      </c>
      <c r="E337">
        <v>2770</v>
      </c>
      <c r="F337">
        <v>1881.1</v>
      </c>
      <c r="G337" s="2">
        <f t="shared" si="92"/>
        <v>15066.5</v>
      </c>
      <c r="H337" s="2">
        <f t="shared" si="93"/>
        <v>12659.1</v>
      </c>
      <c r="I337" s="48">
        <f t="shared" si="94"/>
        <v>19.017149718384395</v>
      </c>
    </row>
    <row r="338" spans="1:10" x14ac:dyDescent="0.25">
      <c r="A338" s="35">
        <f t="shared" si="95"/>
        <v>41200</v>
      </c>
      <c r="B338" s="84" t="s">
        <v>205</v>
      </c>
      <c r="C338">
        <v>11435</v>
      </c>
      <c r="D338">
        <v>10038.4</v>
      </c>
      <c r="E338">
        <v>3905.9</v>
      </c>
      <c r="F338">
        <v>2712.4</v>
      </c>
      <c r="G338" s="2">
        <f t="shared" si="92"/>
        <v>15340.9</v>
      </c>
      <c r="H338" s="2">
        <f t="shared" si="93"/>
        <v>12750.8</v>
      </c>
      <c r="I338" s="48">
        <f t="shared" si="94"/>
        <v>20.313235247984451</v>
      </c>
    </row>
    <row r="339" spans="1:10" x14ac:dyDescent="0.25">
      <c r="A339" s="35">
        <f t="shared" si="95"/>
        <v>41207</v>
      </c>
      <c r="B339" s="84" t="s">
        <v>205</v>
      </c>
      <c r="C339">
        <v>10560.4</v>
      </c>
      <c r="D339">
        <v>9350.7000000000007</v>
      </c>
      <c r="E339">
        <v>5163.1000000000004</v>
      </c>
      <c r="F339">
        <v>3617.8</v>
      </c>
      <c r="G339" s="2">
        <f t="shared" ref="G339:G402" si="96">+C339+E339</f>
        <v>15723.5</v>
      </c>
      <c r="H339" s="2">
        <f t="shared" ref="H339:H402" si="97">+D339+F339</f>
        <v>12968.5</v>
      </c>
      <c r="I339" s="48">
        <f t="shared" ref="I339:I402" si="98">+(G339/H339-1)*100</f>
        <v>21.243783012684592</v>
      </c>
    </row>
    <row r="340" spans="1:10" x14ac:dyDescent="0.25">
      <c r="A340" s="35">
        <f t="shared" si="95"/>
        <v>41214</v>
      </c>
      <c r="B340" s="84" t="s">
        <v>205</v>
      </c>
      <c r="C340">
        <v>9537.2999999999993</v>
      </c>
      <c r="D340">
        <v>8785.7000000000007</v>
      </c>
      <c r="E340">
        <v>6461</v>
      </c>
      <c r="F340">
        <v>4517.6000000000004</v>
      </c>
      <c r="G340" s="2">
        <f t="shared" si="96"/>
        <v>15998.3</v>
      </c>
      <c r="H340" s="2">
        <f t="shared" si="97"/>
        <v>13303.300000000001</v>
      </c>
      <c r="I340" s="48">
        <f t="shared" si="98"/>
        <v>20.258131441071004</v>
      </c>
    </row>
    <row r="341" spans="1:10" x14ac:dyDescent="0.25">
      <c r="A341" s="35">
        <f t="shared" si="95"/>
        <v>41221</v>
      </c>
      <c r="B341" s="84" t="s">
        <v>205</v>
      </c>
      <c r="C341">
        <v>8628.7000000000007</v>
      </c>
      <c r="D341">
        <v>8089.2</v>
      </c>
      <c r="E341">
        <v>7741.1</v>
      </c>
      <c r="F341">
        <v>5731.1</v>
      </c>
      <c r="G341" s="2">
        <f t="shared" si="96"/>
        <v>16369.800000000001</v>
      </c>
      <c r="H341" s="2">
        <f t="shared" si="97"/>
        <v>13820.3</v>
      </c>
      <c r="I341" s="48">
        <f t="shared" si="98"/>
        <v>18.447501139627942</v>
      </c>
    </row>
    <row r="342" spans="1:10" x14ac:dyDescent="0.25">
      <c r="A342" s="35">
        <f t="shared" si="95"/>
        <v>41228</v>
      </c>
      <c r="B342" s="84" t="s">
        <v>205</v>
      </c>
      <c r="C342">
        <v>7684.4</v>
      </c>
      <c r="D342">
        <v>8205.4</v>
      </c>
      <c r="E342">
        <v>9080.1</v>
      </c>
      <c r="F342">
        <v>6551.2</v>
      </c>
      <c r="G342" s="2">
        <f t="shared" si="96"/>
        <v>16764.5</v>
      </c>
      <c r="H342" s="2">
        <f t="shared" si="97"/>
        <v>14756.599999999999</v>
      </c>
      <c r="I342" s="48">
        <f t="shared" si="98"/>
        <v>13.60679289267177</v>
      </c>
    </row>
    <row r="343" spans="1:10" x14ac:dyDescent="0.25">
      <c r="A343" s="35">
        <f t="shared" si="95"/>
        <v>41235</v>
      </c>
      <c r="B343" s="84" t="s">
        <v>205</v>
      </c>
      <c r="C343">
        <v>6931.7</v>
      </c>
      <c r="D343">
        <v>7846.5</v>
      </c>
      <c r="E343">
        <v>10041.1</v>
      </c>
      <c r="F343">
        <v>7444.7</v>
      </c>
      <c r="G343" s="2">
        <f t="shared" si="96"/>
        <v>16972.8</v>
      </c>
      <c r="H343" s="2">
        <f t="shared" si="97"/>
        <v>15291.2</v>
      </c>
      <c r="I343" s="48">
        <f t="shared" si="98"/>
        <v>10.997174845662849</v>
      </c>
      <c r="J343" s="4">
        <f t="shared" ref="J343:J350" si="99">+G343-G342</f>
        <v>208.29999999999927</v>
      </c>
    </row>
    <row r="344" spans="1:10" x14ac:dyDescent="0.25">
      <c r="A344" s="35">
        <f t="shared" si="95"/>
        <v>41242</v>
      </c>
      <c r="B344" s="84" t="s">
        <v>205</v>
      </c>
      <c r="C344">
        <v>6430.8</v>
      </c>
      <c r="D344">
        <v>7785.4</v>
      </c>
      <c r="E344">
        <v>11051.6</v>
      </c>
      <c r="F344">
        <v>8056.8</v>
      </c>
      <c r="G344" s="2">
        <f t="shared" si="96"/>
        <v>17482.400000000001</v>
      </c>
      <c r="H344" s="2">
        <f t="shared" si="97"/>
        <v>15842.2</v>
      </c>
      <c r="I344" s="48">
        <f t="shared" si="98"/>
        <v>10.353360013129498</v>
      </c>
      <c r="J344" s="4">
        <f t="shared" si="99"/>
        <v>509.60000000000218</v>
      </c>
    </row>
    <row r="345" spans="1:10" x14ac:dyDescent="0.25">
      <c r="A345" s="35">
        <f t="shared" si="95"/>
        <v>41249</v>
      </c>
      <c r="B345" s="84" t="s">
        <v>205</v>
      </c>
      <c r="C345">
        <v>6547.2</v>
      </c>
      <c r="D345">
        <v>7367.5</v>
      </c>
      <c r="E345">
        <v>11944</v>
      </c>
      <c r="F345">
        <v>8828.7999999999993</v>
      </c>
      <c r="G345" s="2">
        <f t="shared" si="96"/>
        <v>18491.2</v>
      </c>
      <c r="H345" s="2">
        <f t="shared" si="97"/>
        <v>16196.3</v>
      </c>
      <c r="I345" s="48">
        <f t="shared" si="98"/>
        <v>14.1692855775702</v>
      </c>
      <c r="J345" s="4">
        <f t="shared" si="99"/>
        <v>1008.7999999999993</v>
      </c>
    </row>
    <row r="346" spans="1:10" x14ac:dyDescent="0.25">
      <c r="A346" s="35">
        <f t="shared" si="95"/>
        <v>41256</v>
      </c>
      <c r="B346" s="84" t="s">
        <v>205</v>
      </c>
      <c r="C346">
        <v>6075.8</v>
      </c>
      <c r="D346">
        <v>6957.2</v>
      </c>
      <c r="E346">
        <v>12889.6</v>
      </c>
      <c r="F346">
        <v>9428.2000000000007</v>
      </c>
      <c r="G346" s="2">
        <f t="shared" si="96"/>
        <v>18965.400000000001</v>
      </c>
      <c r="H346" s="2">
        <f t="shared" si="97"/>
        <v>16385.400000000001</v>
      </c>
      <c r="I346" s="48">
        <f t="shared" si="98"/>
        <v>15.745724852612696</v>
      </c>
      <c r="J346" s="4">
        <f t="shared" si="99"/>
        <v>474.20000000000073</v>
      </c>
    </row>
    <row r="347" spans="1:10" x14ac:dyDescent="0.25">
      <c r="A347" s="35">
        <f t="shared" si="95"/>
        <v>41263</v>
      </c>
      <c r="B347" s="84" t="s">
        <v>205</v>
      </c>
      <c r="C347">
        <v>5153.3999999999996</v>
      </c>
      <c r="D347">
        <v>6531.3</v>
      </c>
      <c r="E347">
        <v>13539.7</v>
      </c>
      <c r="F347">
        <v>10276.299999999999</v>
      </c>
      <c r="G347" s="2">
        <f t="shared" si="96"/>
        <v>18693.099999999999</v>
      </c>
      <c r="H347" s="2">
        <f t="shared" si="97"/>
        <v>16807.599999999999</v>
      </c>
      <c r="I347" s="48">
        <f t="shared" si="98"/>
        <v>11.218139413122641</v>
      </c>
      <c r="J347" s="4">
        <f t="shared" si="99"/>
        <v>-272.30000000000291</v>
      </c>
    </row>
    <row r="348" spans="1:10" x14ac:dyDescent="0.25">
      <c r="A348" s="35">
        <f t="shared" si="95"/>
        <v>41270</v>
      </c>
      <c r="B348" s="84" t="s">
        <v>205</v>
      </c>
      <c r="C348">
        <v>4975.5</v>
      </c>
      <c r="D348">
        <v>5842.3</v>
      </c>
      <c r="E348">
        <v>14077.7</v>
      </c>
      <c r="F348">
        <v>11101.8</v>
      </c>
      <c r="G348" s="2">
        <f t="shared" si="96"/>
        <v>19053.2</v>
      </c>
      <c r="H348" s="2">
        <f t="shared" si="97"/>
        <v>16944.099999999999</v>
      </c>
      <c r="I348" s="48">
        <f t="shared" si="98"/>
        <v>12.447400570109956</v>
      </c>
      <c r="J348" s="4">
        <f t="shared" si="99"/>
        <v>360.10000000000218</v>
      </c>
    </row>
    <row r="349" spans="1:10" x14ac:dyDescent="0.25">
      <c r="A349" s="35">
        <f t="shared" si="95"/>
        <v>41277</v>
      </c>
      <c r="B349" s="84" t="s">
        <v>205</v>
      </c>
      <c r="C349">
        <v>3980.1</v>
      </c>
      <c r="D349">
        <v>5572.5</v>
      </c>
      <c r="E349">
        <v>14831.6</v>
      </c>
      <c r="F349">
        <v>11628.6</v>
      </c>
      <c r="G349" s="2">
        <f t="shared" si="96"/>
        <v>18811.7</v>
      </c>
      <c r="H349" s="2">
        <f t="shared" si="97"/>
        <v>17201.099999999999</v>
      </c>
      <c r="I349" s="48">
        <f t="shared" si="98"/>
        <v>9.3633546691781468</v>
      </c>
      <c r="J349" s="4">
        <f t="shared" si="99"/>
        <v>-241.5</v>
      </c>
    </row>
    <row r="350" spans="1:10" x14ac:dyDescent="0.25">
      <c r="A350" s="35">
        <f t="shared" si="95"/>
        <v>41284</v>
      </c>
      <c r="B350" s="84" t="s">
        <v>205</v>
      </c>
      <c r="C350">
        <v>4102.2</v>
      </c>
      <c r="D350">
        <v>5162.5</v>
      </c>
      <c r="E350">
        <v>15555.1</v>
      </c>
      <c r="F350">
        <v>12406.1</v>
      </c>
      <c r="G350" s="2">
        <f t="shared" si="96"/>
        <v>19657.3</v>
      </c>
      <c r="H350" s="2">
        <f t="shared" si="97"/>
        <v>17568.599999999999</v>
      </c>
      <c r="I350" s="48">
        <f t="shared" si="98"/>
        <v>11.888824379859519</v>
      </c>
      <c r="J350" s="4">
        <f t="shared" si="99"/>
        <v>845.59999999999854</v>
      </c>
    </row>
    <row r="351" spans="1:10" x14ac:dyDescent="0.25">
      <c r="A351" s="35">
        <f t="shared" si="95"/>
        <v>41291</v>
      </c>
      <c r="B351" s="84" t="s">
        <v>205</v>
      </c>
      <c r="C351">
        <v>3631.9</v>
      </c>
      <c r="D351">
        <v>4632.8</v>
      </c>
      <c r="E351">
        <v>16234.9</v>
      </c>
      <c r="F351">
        <v>13296.7</v>
      </c>
      <c r="G351" s="2">
        <f t="shared" si="96"/>
        <v>19866.8</v>
      </c>
      <c r="H351" s="2">
        <f t="shared" si="97"/>
        <v>17929.5</v>
      </c>
      <c r="I351" s="48">
        <f t="shared" si="98"/>
        <v>10.805097743941538</v>
      </c>
      <c r="J351">
        <v>655</v>
      </c>
    </row>
    <row r="352" spans="1:10" x14ac:dyDescent="0.25">
      <c r="A352" s="35">
        <f t="shared" si="95"/>
        <v>41298</v>
      </c>
      <c r="B352" s="84" t="s">
        <v>205</v>
      </c>
      <c r="C352">
        <v>3221</v>
      </c>
      <c r="D352">
        <v>4152.1000000000004</v>
      </c>
      <c r="E352">
        <v>16937.900000000001</v>
      </c>
      <c r="F352">
        <v>14023.6</v>
      </c>
      <c r="G352" s="2">
        <f t="shared" si="96"/>
        <v>20158.900000000001</v>
      </c>
      <c r="H352" s="2">
        <f t="shared" si="97"/>
        <v>18175.7</v>
      </c>
      <c r="I352" s="48">
        <f t="shared" si="98"/>
        <v>10.911271642907838</v>
      </c>
      <c r="J352">
        <v>1349</v>
      </c>
    </row>
    <row r="353" spans="1:10" x14ac:dyDescent="0.25">
      <c r="A353" s="35">
        <f t="shared" si="95"/>
        <v>41305</v>
      </c>
      <c r="B353" s="84" t="s">
        <v>205</v>
      </c>
      <c r="C353">
        <v>3089.3</v>
      </c>
      <c r="D353">
        <v>3704.6</v>
      </c>
      <c r="E353">
        <v>17766.2</v>
      </c>
      <c r="F353">
        <v>14809.1</v>
      </c>
      <c r="G353" s="2">
        <f t="shared" si="96"/>
        <v>20855.5</v>
      </c>
      <c r="H353" s="2">
        <f t="shared" si="97"/>
        <v>18513.7</v>
      </c>
      <c r="I353" s="48">
        <f t="shared" si="98"/>
        <v>12.649011272733169</v>
      </c>
      <c r="J353">
        <v>2040</v>
      </c>
    </row>
    <row r="354" spans="1:10" x14ac:dyDescent="0.25">
      <c r="A354" s="35">
        <f t="shared" si="95"/>
        <v>41312</v>
      </c>
      <c r="B354" s="84" t="s">
        <v>205</v>
      </c>
      <c r="C354">
        <v>2177.6999999999998</v>
      </c>
      <c r="D354">
        <v>3194.4</v>
      </c>
      <c r="E354">
        <v>18447.2</v>
      </c>
      <c r="F354">
        <v>15526.3</v>
      </c>
      <c r="G354" s="2">
        <f t="shared" si="96"/>
        <v>20624.900000000001</v>
      </c>
      <c r="H354" s="2">
        <f t="shared" si="97"/>
        <v>18720.7</v>
      </c>
      <c r="I354" s="48">
        <f t="shared" si="98"/>
        <v>10.171628197663551</v>
      </c>
      <c r="J354">
        <v>2375</v>
      </c>
    </row>
    <row r="355" spans="1:10" x14ac:dyDescent="0.25">
      <c r="A355" s="35">
        <f t="shared" si="95"/>
        <v>41319</v>
      </c>
      <c r="B355" s="84" t="s">
        <v>205</v>
      </c>
      <c r="C355">
        <v>1756.4</v>
      </c>
      <c r="D355">
        <v>3038.8</v>
      </c>
      <c r="E355">
        <v>18982.8</v>
      </c>
      <c r="F355">
        <v>16203</v>
      </c>
      <c r="G355" s="2">
        <f t="shared" si="96"/>
        <v>20739.2</v>
      </c>
      <c r="H355" s="2">
        <f t="shared" si="97"/>
        <v>19241.8</v>
      </c>
      <c r="I355" s="48">
        <f t="shared" si="98"/>
        <v>7.7820162354873323</v>
      </c>
      <c r="J355">
        <v>2437</v>
      </c>
    </row>
    <row r="356" spans="1:10" x14ac:dyDescent="0.25">
      <c r="A356" s="35">
        <f t="shared" si="95"/>
        <v>41326</v>
      </c>
      <c r="B356" s="84" t="s">
        <v>205</v>
      </c>
      <c r="C356">
        <v>1702.8</v>
      </c>
      <c r="D356">
        <v>2611.5</v>
      </c>
      <c r="E356">
        <v>19511.3</v>
      </c>
      <c r="F356">
        <v>16878.400000000001</v>
      </c>
      <c r="G356" s="2">
        <f t="shared" si="96"/>
        <v>21214.1</v>
      </c>
      <c r="H356" s="2">
        <f t="shared" si="97"/>
        <v>19489.900000000001</v>
      </c>
      <c r="I356" s="48">
        <f t="shared" si="98"/>
        <v>8.8466333844709144</v>
      </c>
      <c r="J356">
        <v>2787</v>
      </c>
    </row>
    <row r="357" spans="1:10" x14ac:dyDescent="0.25">
      <c r="A357" s="35">
        <f t="shared" si="95"/>
        <v>41333</v>
      </c>
      <c r="B357" s="84" t="s">
        <v>205</v>
      </c>
      <c r="C357">
        <v>1128</v>
      </c>
      <c r="D357">
        <v>2496</v>
      </c>
      <c r="E357">
        <v>20178</v>
      </c>
      <c r="F357">
        <v>17483.5</v>
      </c>
      <c r="G357" s="2">
        <f t="shared" si="96"/>
        <v>21306</v>
      </c>
      <c r="H357" s="2">
        <f t="shared" si="97"/>
        <v>19979.5</v>
      </c>
      <c r="I357" s="48">
        <f t="shared" si="98"/>
        <v>6.6393052879201164</v>
      </c>
      <c r="J357">
        <v>3721</v>
      </c>
    </row>
    <row r="358" spans="1:10" x14ac:dyDescent="0.25">
      <c r="A358" s="35">
        <f t="shared" si="95"/>
        <v>41340</v>
      </c>
      <c r="B358" s="84" t="s">
        <v>205</v>
      </c>
      <c r="C358">
        <v>1125.0999999999999</v>
      </c>
      <c r="D358">
        <v>2458.9</v>
      </c>
      <c r="E358">
        <v>20364.3</v>
      </c>
      <c r="F358">
        <v>17888.8</v>
      </c>
      <c r="G358" s="2">
        <f t="shared" si="96"/>
        <v>21489.399999999998</v>
      </c>
      <c r="H358" s="2">
        <f t="shared" si="97"/>
        <v>20347.7</v>
      </c>
      <c r="I358" s="48">
        <f t="shared" si="98"/>
        <v>5.6109535721481807</v>
      </c>
      <c r="J358">
        <v>3847</v>
      </c>
    </row>
    <row r="359" spans="1:10" x14ac:dyDescent="0.25">
      <c r="A359" s="35">
        <f t="shared" si="95"/>
        <v>41347</v>
      </c>
      <c r="B359" s="84" t="s">
        <v>205</v>
      </c>
      <c r="C359">
        <v>1175</v>
      </c>
      <c r="D359">
        <v>2203.9</v>
      </c>
      <c r="E359">
        <v>20441.7</v>
      </c>
      <c r="F359">
        <v>18206.3</v>
      </c>
      <c r="G359" s="2">
        <f t="shared" si="96"/>
        <v>21616.7</v>
      </c>
      <c r="H359" s="2">
        <f t="shared" si="97"/>
        <v>20410.2</v>
      </c>
      <c r="I359" s="48">
        <f t="shared" si="98"/>
        <v>5.9112600562463813</v>
      </c>
      <c r="J359">
        <v>4072</v>
      </c>
    </row>
    <row r="360" spans="1:10" x14ac:dyDescent="0.25">
      <c r="A360" s="35">
        <f t="shared" si="95"/>
        <v>41354</v>
      </c>
      <c r="B360" s="84" t="s">
        <v>205</v>
      </c>
      <c r="C360">
        <v>1050.3</v>
      </c>
      <c r="D360">
        <v>2041.6</v>
      </c>
      <c r="E360">
        <v>20573.599999999999</v>
      </c>
      <c r="F360">
        <v>18578.400000000001</v>
      </c>
      <c r="G360" s="2">
        <f t="shared" si="96"/>
        <v>21623.899999999998</v>
      </c>
      <c r="H360" s="2">
        <f t="shared" si="97"/>
        <v>20620</v>
      </c>
      <c r="I360" s="48">
        <f t="shared" si="98"/>
        <v>4.8685741998059973</v>
      </c>
      <c r="J360">
        <v>4673</v>
      </c>
    </row>
    <row r="361" spans="1:10" x14ac:dyDescent="0.25">
      <c r="A361" s="35">
        <f t="shared" si="95"/>
        <v>41361</v>
      </c>
      <c r="B361" s="84" t="s">
        <v>205</v>
      </c>
      <c r="C361">
        <v>928.3</v>
      </c>
      <c r="D361">
        <v>1751.4</v>
      </c>
      <c r="E361">
        <v>20834.099999999999</v>
      </c>
      <c r="F361">
        <v>19125.900000000001</v>
      </c>
      <c r="G361" s="2">
        <f t="shared" si="96"/>
        <v>21762.399999999998</v>
      </c>
      <c r="H361" s="2">
        <f t="shared" si="97"/>
        <v>20877.300000000003</v>
      </c>
      <c r="I361" s="48">
        <f t="shared" si="98"/>
        <v>4.2395328897893547</v>
      </c>
      <c r="J361">
        <v>5027</v>
      </c>
    </row>
    <row r="362" spans="1:10" x14ac:dyDescent="0.25">
      <c r="A362" s="35">
        <f t="shared" si="95"/>
        <v>41368</v>
      </c>
      <c r="B362" s="84" t="s">
        <v>205</v>
      </c>
      <c r="C362">
        <v>1034.2</v>
      </c>
      <c r="D362">
        <v>1625.4</v>
      </c>
      <c r="E362">
        <v>21254.1</v>
      </c>
      <c r="F362">
        <v>19386.400000000001</v>
      </c>
      <c r="G362" s="2">
        <f t="shared" si="96"/>
        <v>22288.3</v>
      </c>
      <c r="H362" s="2">
        <f t="shared" si="97"/>
        <v>21011.800000000003</v>
      </c>
      <c r="I362" s="48">
        <f t="shared" si="98"/>
        <v>6.0751577684919678</v>
      </c>
      <c r="J362">
        <v>5027</v>
      </c>
    </row>
    <row r="363" spans="1:10" x14ac:dyDescent="0.25">
      <c r="A363" s="35">
        <f t="shared" si="95"/>
        <v>41375</v>
      </c>
      <c r="B363" s="84" t="s">
        <v>205</v>
      </c>
      <c r="C363">
        <v>1096.7</v>
      </c>
      <c r="D363">
        <v>1569.2</v>
      </c>
      <c r="E363">
        <v>21255.599999999999</v>
      </c>
      <c r="F363">
        <v>19508.7</v>
      </c>
      <c r="G363" s="2">
        <f t="shared" si="96"/>
        <v>22352.3</v>
      </c>
      <c r="H363" s="2">
        <f t="shared" si="97"/>
        <v>21077.9</v>
      </c>
      <c r="I363" s="48">
        <f t="shared" si="98"/>
        <v>6.0461431167241342</v>
      </c>
      <c r="J363">
        <v>5087</v>
      </c>
    </row>
    <row r="364" spans="1:10" x14ac:dyDescent="0.25">
      <c r="A364" s="35">
        <f t="shared" si="95"/>
        <v>41382</v>
      </c>
      <c r="B364" s="84" t="s">
        <v>205</v>
      </c>
      <c r="C364">
        <v>814.1</v>
      </c>
      <c r="D364">
        <v>1987.3</v>
      </c>
      <c r="E364">
        <v>21256.7</v>
      </c>
      <c r="F364">
        <v>19694.400000000001</v>
      </c>
      <c r="G364" s="2">
        <f t="shared" si="96"/>
        <v>22070.799999999999</v>
      </c>
      <c r="H364" s="2">
        <f t="shared" si="97"/>
        <v>21681.7</v>
      </c>
      <c r="I364" s="48">
        <f t="shared" si="98"/>
        <v>1.7946009768606608</v>
      </c>
      <c r="J364">
        <v>5621</v>
      </c>
    </row>
    <row r="365" spans="1:10" x14ac:dyDescent="0.25">
      <c r="A365" s="35">
        <f t="shared" si="95"/>
        <v>41389</v>
      </c>
      <c r="B365" s="84" t="s">
        <v>205</v>
      </c>
      <c r="C365">
        <v>405.1</v>
      </c>
      <c r="D365">
        <v>1925.9</v>
      </c>
      <c r="E365">
        <v>21389.4</v>
      </c>
      <c r="F365">
        <v>19873.099999999999</v>
      </c>
      <c r="G365" s="2">
        <f t="shared" si="96"/>
        <v>21794.5</v>
      </c>
      <c r="H365" s="2">
        <f t="shared" si="97"/>
        <v>21799</v>
      </c>
      <c r="I365" s="48">
        <f t="shared" si="98"/>
        <v>-2.0643148768295649E-2</v>
      </c>
      <c r="J365">
        <v>6771</v>
      </c>
    </row>
    <row r="366" spans="1:10" x14ac:dyDescent="0.25">
      <c r="A366" s="35">
        <f t="shared" si="95"/>
        <v>41396</v>
      </c>
      <c r="B366" s="84" t="s">
        <v>205</v>
      </c>
      <c r="C366">
        <v>344.6</v>
      </c>
      <c r="D366">
        <v>2030.2</v>
      </c>
      <c r="E366">
        <v>21456.1</v>
      </c>
      <c r="F366">
        <v>19945.5</v>
      </c>
      <c r="G366" s="2">
        <f t="shared" si="96"/>
        <v>21800.699999999997</v>
      </c>
      <c r="H366" s="2">
        <f t="shared" si="97"/>
        <v>21975.7</v>
      </c>
      <c r="I366" s="48">
        <f t="shared" si="98"/>
        <v>-0.79633413270113751</v>
      </c>
      <c r="J366">
        <v>7131</v>
      </c>
    </row>
    <row r="367" spans="1:10" x14ac:dyDescent="0.25">
      <c r="A367" s="35">
        <f t="shared" si="95"/>
        <v>41403</v>
      </c>
      <c r="B367" s="84" t="s">
        <v>205</v>
      </c>
      <c r="C367">
        <v>277.89999999999998</v>
      </c>
      <c r="D367">
        <v>1854.2</v>
      </c>
      <c r="E367">
        <v>21522.400000000001</v>
      </c>
      <c r="F367">
        <v>20240.599999999999</v>
      </c>
      <c r="G367" s="2">
        <f t="shared" si="96"/>
        <v>21800.300000000003</v>
      </c>
      <c r="H367" s="2">
        <f t="shared" si="97"/>
        <v>22094.799999999999</v>
      </c>
      <c r="I367" s="48">
        <f t="shared" si="98"/>
        <v>-1.3328928073573665</v>
      </c>
      <c r="J367">
        <v>7406</v>
      </c>
    </row>
    <row r="368" spans="1:10" x14ac:dyDescent="0.25">
      <c r="A368" s="35">
        <f t="shared" si="95"/>
        <v>41410</v>
      </c>
      <c r="B368" s="84" t="s">
        <v>205</v>
      </c>
      <c r="C368">
        <v>281.89999999999998</v>
      </c>
      <c r="D368">
        <v>2038.8</v>
      </c>
      <c r="E368">
        <v>21522.400000000001</v>
      </c>
      <c r="F368">
        <v>20492.8</v>
      </c>
      <c r="G368" s="2">
        <f t="shared" si="96"/>
        <v>21804.300000000003</v>
      </c>
      <c r="H368" s="2">
        <f t="shared" si="97"/>
        <v>22531.599999999999</v>
      </c>
      <c r="I368" s="48">
        <f t="shared" si="98"/>
        <v>-3.2279110227413699</v>
      </c>
      <c r="J368">
        <v>7937</v>
      </c>
    </row>
    <row r="369" spans="1:12" x14ac:dyDescent="0.25">
      <c r="A369" s="35">
        <f t="shared" si="95"/>
        <v>41417</v>
      </c>
      <c r="B369" s="84" t="s">
        <v>205</v>
      </c>
      <c r="C369">
        <v>74.400000000000006</v>
      </c>
      <c r="D369">
        <v>1967.5</v>
      </c>
      <c r="E369">
        <v>21522.400000000001</v>
      </c>
      <c r="F369">
        <v>20621.7</v>
      </c>
      <c r="G369" s="2">
        <f t="shared" si="96"/>
        <v>21596.800000000003</v>
      </c>
      <c r="H369" s="2">
        <f t="shared" si="97"/>
        <v>22589.200000000001</v>
      </c>
      <c r="I369" s="48">
        <f t="shared" si="98"/>
        <v>-4.3932498716200534</v>
      </c>
      <c r="J369">
        <v>8524</v>
      </c>
    </row>
    <row r="370" spans="1:12" x14ac:dyDescent="0.25">
      <c r="A370" s="35">
        <f t="shared" si="95"/>
        <v>41424</v>
      </c>
      <c r="B370" s="84" t="s">
        <v>205</v>
      </c>
      <c r="C370">
        <v>74.400000000000006</v>
      </c>
      <c r="D370">
        <v>1959.5</v>
      </c>
      <c r="E370">
        <v>21522.400000000001</v>
      </c>
      <c r="F370">
        <v>20689.8</v>
      </c>
      <c r="G370" s="2">
        <f t="shared" si="96"/>
        <v>21596.800000000003</v>
      </c>
      <c r="H370" s="2">
        <f t="shared" si="97"/>
        <v>22649.3</v>
      </c>
      <c r="I370" s="48">
        <f t="shared" si="98"/>
        <v>-4.6469427311219169</v>
      </c>
      <c r="J370">
        <v>9010.2999999999993</v>
      </c>
    </row>
    <row r="371" spans="1:12" x14ac:dyDescent="0.25">
      <c r="A371" s="35">
        <f t="shared" si="95"/>
        <v>41431</v>
      </c>
      <c r="B371" s="84" t="s">
        <v>205</v>
      </c>
      <c r="C371">
        <v>74</v>
      </c>
      <c r="D371">
        <v>2025.1</v>
      </c>
      <c r="E371">
        <v>21522.400000000001</v>
      </c>
      <c r="F371">
        <v>20885.599999999999</v>
      </c>
      <c r="G371" s="2">
        <f t="shared" si="96"/>
        <v>21596.400000000001</v>
      </c>
      <c r="H371" s="2">
        <f t="shared" si="97"/>
        <v>22910.699999999997</v>
      </c>
      <c r="I371" s="48">
        <f t="shared" si="98"/>
        <v>-5.7366208802000607</v>
      </c>
      <c r="J371">
        <v>9417.5</v>
      </c>
    </row>
    <row r="372" spans="1:12" x14ac:dyDescent="0.25">
      <c r="A372" s="35">
        <f t="shared" si="95"/>
        <v>41438</v>
      </c>
      <c r="B372" s="84" t="s">
        <v>205</v>
      </c>
      <c r="C372">
        <v>74</v>
      </c>
      <c r="D372">
        <v>1691.5</v>
      </c>
      <c r="E372">
        <v>21522.400000000001</v>
      </c>
      <c r="F372">
        <v>21136.2</v>
      </c>
      <c r="G372" s="2">
        <f t="shared" si="96"/>
        <v>21596.400000000001</v>
      </c>
      <c r="H372" s="2">
        <f t="shared" si="97"/>
        <v>22827.7</v>
      </c>
      <c r="I372" s="48">
        <f t="shared" si="98"/>
        <v>-5.3938854987580882</v>
      </c>
      <c r="J372">
        <v>9472.5</v>
      </c>
    </row>
    <row r="373" spans="1:12" x14ac:dyDescent="0.25">
      <c r="A373" s="35">
        <f t="shared" si="95"/>
        <v>41445</v>
      </c>
      <c r="B373" s="84" t="s">
        <v>205</v>
      </c>
      <c r="C373">
        <v>74</v>
      </c>
      <c r="D373">
        <v>1752.8</v>
      </c>
      <c r="E373">
        <v>21522.400000000001</v>
      </c>
      <c r="F373">
        <v>21190.9</v>
      </c>
      <c r="G373" s="2">
        <f t="shared" si="96"/>
        <v>21596.400000000001</v>
      </c>
      <c r="H373" s="2">
        <f t="shared" si="97"/>
        <v>22943.7</v>
      </c>
      <c r="I373" s="48">
        <f t="shared" si="98"/>
        <v>-5.8722002118228538</v>
      </c>
      <c r="J373">
        <v>9832.5</v>
      </c>
    </row>
    <row r="374" spans="1:12" x14ac:dyDescent="0.25">
      <c r="A374" s="35">
        <f t="shared" si="95"/>
        <v>41452</v>
      </c>
      <c r="B374" s="84" t="s">
        <v>205</v>
      </c>
      <c r="C374">
        <v>74</v>
      </c>
      <c r="D374">
        <v>1929.6</v>
      </c>
      <c r="E374">
        <v>21522.400000000001</v>
      </c>
      <c r="F374">
        <v>21327.7</v>
      </c>
      <c r="G374" s="2">
        <f t="shared" si="96"/>
        <v>21596.400000000001</v>
      </c>
      <c r="H374" s="2">
        <f t="shared" si="97"/>
        <v>23257.3</v>
      </c>
      <c r="I374" s="48">
        <f t="shared" si="98"/>
        <v>-7.141413663666885</v>
      </c>
      <c r="J374">
        <v>9832.5</v>
      </c>
    </row>
    <row r="375" spans="1:12" x14ac:dyDescent="0.25">
      <c r="A375" s="35">
        <f t="shared" si="95"/>
        <v>41459</v>
      </c>
      <c r="B375" s="84" t="s">
        <v>205</v>
      </c>
      <c r="C375">
        <v>76.5</v>
      </c>
      <c r="D375">
        <v>1944.6</v>
      </c>
      <c r="E375">
        <v>21522.400000000001</v>
      </c>
      <c r="F375">
        <v>21617.8</v>
      </c>
      <c r="G375" s="2">
        <f t="shared" si="96"/>
        <v>21598.9</v>
      </c>
      <c r="H375" s="2">
        <f t="shared" si="97"/>
        <v>23562.399999999998</v>
      </c>
      <c r="I375" s="48">
        <f t="shared" si="98"/>
        <v>-8.3331918650052508</v>
      </c>
      <c r="J375">
        <v>10127.5</v>
      </c>
    </row>
    <row r="376" spans="1:12" x14ac:dyDescent="0.25">
      <c r="A376" s="35">
        <f t="shared" si="95"/>
        <v>41466</v>
      </c>
      <c r="B376" s="84" t="s">
        <v>205</v>
      </c>
      <c r="C376">
        <v>76.5</v>
      </c>
      <c r="D376">
        <v>1936.3</v>
      </c>
      <c r="E376">
        <v>21522.400000000001</v>
      </c>
      <c r="F376">
        <v>21800.6</v>
      </c>
      <c r="G376" s="2">
        <f t="shared" si="96"/>
        <v>21598.9</v>
      </c>
      <c r="H376" s="2">
        <f t="shared" si="97"/>
        <v>23736.899999999998</v>
      </c>
      <c r="I376" s="48">
        <f t="shared" si="98"/>
        <v>-9.0070733752090515</v>
      </c>
      <c r="J376">
        <v>10368</v>
      </c>
    </row>
    <row r="377" spans="1:12" x14ac:dyDescent="0.25">
      <c r="A377" s="35">
        <f t="shared" si="95"/>
        <v>41473</v>
      </c>
      <c r="B377" s="84" t="s">
        <v>205</v>
      </c>
      <c r="C377">
        <v>76.5</v>
      </c>
      <c r="D377">
        <v>1931</v>
      </c>
      <c r="E377">
        <v>21522.400000000001</v>
      </c>
      <c r="F377">
        <v>22005.599999999999</v>
      </c>
      <c r="G377" s="2">
        <f t="shared" si="96"/>
        <v>21598.9</v>
      </c>
      <c r="H377" s="2">
        <f t="shared" si="97"/>
        <v>23936.6</v>
      </c>
      <c r="I377" s="48">
        <f t="shared" si="98"/>
        <v>-9.7662157532815712</v>
      </c>
      <c r="J377">
        <v>10794</v>
      </c>
    </row>
    <row r="378" spans="1:12" x14ac:dyDescent="0.25">
      <c r="A378" s="35">
        <f t="shared" si="95"/>
        <v>41480</v>
      </c>
      <c r="B378" s="84" t="s">
        <v>205</v>
      </c>
      <c r="C378">
        <v>76.5</v>
      </c>
      <c r="D378">
        <v>2032.1</v>
      </c>
      <c r="E378">
        <v>21522.400000000001</v>
      </c>
      <c r="F378">
        <v>22119.4</v>
      </c>
      <c r="G378" s="2">
        <f t="shared" si="96"/>
        <v>21598.9</v>
      </c>
      <c r="H378" s="2">
        <f t="shared" si="97"/>
        <v>24151.5</v>
      </c>
      <c r="I378" s="48">
        <f t="shared" si="98"/>
        <v>-10.569115789909523</v>
      </c>
      <c r="J378">
        <v>11352</v>
      </c>
    </row>
    <row r="379" spans="1:12" x14ac:dyDescent="0.25">
      <c r="A379" s="35">
        <f t="shared" si="95"/>
        <v>41487</v>
      </c>
      <c r="B379" s="84" t="s">
        <v>205</v>
      </c>
      <c r="C379">
        <v>76.8</v>
      </c>
      <c r="D379">
        <v>1912.1</v>
      </c>
      <c r="E379">
        <v>21522.400000000001</v>
      </c>
      <c r="F379">
        <v>22299</v>
      </c>
      <c r="G379" s="2">
        <f t="shared" si="96"/>
        <v>21599.200000000001</v>
      </c>
      <c r="H379" s="2">
        <f t="shared" si="97"/>
        <v>24211.1</v>
      </c>
      <c r="I379" s="48">
        <f t="shared" si="98"/>
        <v>-10.788026979360698</v>
      </c>
      <c r="J379">
        <v>11733</v>
      </c>
    </row>
    <row r="380" spans="1:12" x14ac:dyDescent="0.25">
      <c r="A380" s="35">
        <f t="shared" si="95"/>
        <v>41494</v>
      </c>
      <c r="B380" s="84" t="s">
        <v>205</v>
      </c>
      <c r="C380">
        <v>124.6</v>
      </c>
      <c r="D380">
        <v>1791.4</v>
      </c>
      <c r="E380">
        <v>21522.400000000001</v>
      </c>
      <c r="F380">
        <v>22540.7</v>
      </c>
      <c r="G380" s="2">
        <f t="shared" si="96"/>
        <v>21647</v>
      </c>
      <c r="H380" s="2">
        <f t="shared" si="97"/>
        <v>24332.100000000002</v>
      </c>
      <c r="I380" s="48">
        <f t="shared" si="98"/>
        <v>-11.035216853456964</v>
      </c>
      <c r="J380">
        <v>13066</v>
      </c>
      <c r="K380" s="4">
        <f>+G379-G380</f>
        <v>-47.799999999999272</v>
      </c>
      <c r="L380" s="4">
        <f>+H379-H380</f>
        <v>-121.00000000000364</v>
      </c>
    </row>
    <row r="381" spans="1:12" x14ac:dyDescent="0.25">
      <c r="A381" s="35">
        <f t="shared" si="95"/>
        <v>41501</v>
      </c>
      <c r="B381" s="84" t="s">
        <v>205</v>
      </c>
      <c r="C381">
        <v>124.6</v>
      </c>
      <c r="D381">
        <v>1731.4</v>
      </c>
      <c r="E381">
        <v>21522.400000000001</v>
      </c>
      <c r="F381">
        <v>22843.200000000001</v>
      </c>
      <c r="G381" s="2">
        <f t="shared" si="96"/>
        <v>21647</v>
      </c>
      <c r="H381" s="2">
        <f t="shared" si="97"/>
        <v>24574.600000000002</v>
      </c>
      <c r="I381" s="48">
        <f t="shared" si="98"/>
        <v>-11.913113539996589</v>
      </c>
      <c r="J381">
        <v>13747</v>
      </c>
    </row>
    <row r="382" spans="1:12" x14ac:dyDescent="0.25">
      <c r="A382" s="35">
        <f t="shared" ref="A382:A445" si="100">+A381+7</f>
        <v>41508</v>
      </c>
      <c r="B382" s="84" t="s">
        <v>205</v>
      </c>
      <c r="C382">
        <v>124.6</v>
      </c>
      <c r="D382">
        <v>1438.4</v>
      </c>
      <c r="E382">
        <v>21522.400000000001</v>
      </c>
      <c r="F382">
        <v>23207.5</v>
      </c>
      <c r="G382" s="2">
        <f t="shared" si="96"/>
        <v>21647</v>
      </c>
      <c r="H382" s="2">
        <f t="shared" si="97"/>
        <v>24645.9</v>
      </c>
      <c r="I382" s="48">
        <f t="shared" si="98"/>
        <v>-12.167946798453301</v>
      </c>
      <c r="J382">
        <v>13976</v>
      </c>
    </row>
    <row r="383" spans="1:12" x14ac:dyDescent="0.25">
      <c r="A383" s="35">
        <f t="shared" si="100"/>
        <v>41515</v>
      </c>
      <c r="B383" s="84" t="s">
        <v>205</v>
      </c>
      <c r="C383">
        <v>124.6</v>
      </c>
      <c r="D383">
        <v>1155.4000000000001</v>
      </c>
      <c r="E383">
        <v>21522.400000000001</v>
      </c>
      <c r="F383">
        <v>23506.9</v>
      </c>
      <c r="G383" s="2">
        <f t="shared" si="96"/>
        <v>21647</v>
      </c>
      <c r="H383" s="2">
        <f t="shared" si="97"/>
        <v>24662.300000000003</v>
      </c>
      <c r="I383" s="48">
        <f t="shared" si="98"/>
        <v>-12.226353584215598</v>
      </c>
      <c r="J383">
        <v>14575.5</v>
      </c>
    </row>
    <row r="384" spans="1:12" x14ac:dyDescent="0.25">
      <c r="A384" s="35">
        <f t="shared" si="100"/>
        <v>41522</v>
      </c>
      <c r="B384" s="84" t="s">
        <v>205</v>
      </c>
      <c r="C384">
        <v>14904.8</v>
      </c>
      <c r="D384">
        <v>12943.3</v>
      </c>
      <c r="E384">
        <v>0.3</v>
      </c>
      <c r="F384">
        <v>175.8</v>
      </c>
      <c r="G384" s="2">
        <f t="shared" si="96"/>
        <v>14905.099999999999</v>
      </c>
      <c r="H384" s="2">
        <f t="shared" si="97"/>
        <v>13119.099999999999</v>
      </c>
      <c r="I384" s="48">
        <f t="shared" si="98"/>
        <v>13.613738747322612</v>
      </c>
    </row>
    <row r="385" spans="1:15" x14ac:dyDescent="0.25">
      <c r="A385" s="35">
        <f t="shared" si="100"/>
        <v>41529</v>
      </c>
      <c r="B385" s="84" t="s">
        <v>205</v>
      </c>
      <c r="C385">
        <v>15033.8</v>
      </c>
      <c r="D385">
        <v>13061.3</v>
      </c>
      <c r="E385">
        <v>0.3</v>
      </c>
      <c r="F385">
        <v>295</v>
      </c>
      <c r="G385" s="2">
        <f t="shared" si="96"/>
        <v>15034.099999999999</v>
      </c>
      <c r="H385" s="2">
        <f t="shared" si="97"/>
        <v>13356.3</v>
      </c>
      <c r="I385" s="48">
        <f t="shared" si="98"/>
        <v>12.56186219237363</v>
      </c>
    </row>
    <row r="386" spans="1:15" x14ac:dyDescent="0.25">
      <c r="A386" s="35">
        <f t="shared" si="100"/>
        <v>41536</v>
      </c>
      <c r="B386" s="84" t="s">
        <v>205</v>
      </c>
      <c r="C386">
        <v>17032.8</v>
      </c>
      <c r="D386">
        <v>13192.3</v>
      </c>
      <c r="E386">
        <v>295.39999999999998</v>
      </c>
      <c r="F386">
        <v>353.7</v>
      </c>
      <c r="G386" s="2">
        <f t="shared" si="96"/>
        <v>17328.2</v>
      </c>
      <c r="H386" s="2">
        <f t="shared" si="97"/>
        <v>13546</v>
      </c>
      <c r="I386" s="48">
        <f t="shared" si="98"/>
        <v>27.921157537280394</v>
      </c>
    </row>
    <row r="387" spans="1:15" ht="15" x14ac:dyDescent="0.25">
      <c r="A387" s="35">
        <f t="shared" si="100"/>
        <v>41543</v>
      </c>
      <c r="B387" s="84" t="s">
        <v>205</v>
      </c>
      <c r="C387">
        <v>17200</v>
      </c>
      <c r="D387">
        <v>13490.3</v>
      </c>
      <c r="E387">
        <v>535</v>
      </c>
      <c r="F387">
        <v>1080.7</v>
      </c>
      <c r="G387" s="2">
        <f t="shared" si="96"/>
        <v>17735</v>
      </c>
      <c r="H387" s="2">
        <f t="shared" si="97"/>
        <v>14571</v>
      </c>
      <c r="I387" s="48">
        <f t="shared" si="98"/>
        <v>21.714364147965128</v>
      </c>
      <c r="O387" s="96"/>
    </row>
    <row r="388" spans="1:15" ht="15" x14ac:dyDescent="0.25">
      <c r="A388" s="35">
        <f t="shared" si="100"/>
        <v>41550</v>
      </c>
      <c r="B388" s="84" t="s">
        <v>205</v>
      </c>
      <c r="C388">
        <v>17016.7</v>
      </c>
      <c r="D388">
        <v>12816.6</v>
      </c>
      <c r="E388">
        <v>960.8</v>
      </c>
      <c r="F388">
        <v>1981.5</v>
      </c>
      <c r="G388" s="2">
        <f t="shared" si="96"/>
        <v>17977.5</v>
      </c>
      <c r="H388" s="2">
        <f t="shared" si="97"/>
        <v>14798.1</v>
      </c>
      <c r="I388" s="48">
        <f t="shared" si="98"/>
        <v>21.485190666369334</v>
      </c>
      <c r="O388" s="96"/>
    </row>
    <row r="389" spans="1:15" ht="15" x14ac:dyDescent="0.25">
      <c r="A389" s="35">
        <f t="shared" si="100"/>
        <v>41557</v>
      </c>
      <c r="B389" s="84" t="s">
        <v>205</v>
      </c>
      <c r="G389" s="2">
        <f t="shared" si="96"/>
        <v>0</v>
      </c>
      <c r="H389" s="2">
        <f t="shared" si="97"/>
        <v>0</v>
      </c>
      <c r="I389" s="48" t="e">
        <f t="shared" si="98"/>
        <v>#DIV/0!</v>
      </c>
      <c r="O389" s="96"/>
    </row>
    <row r="390" spans="1:15" ht="15" x14ac:dyDescent="0.25">
      <c r="A390" s="35">
        <f t="shared" si="100"/>
        <v>41564</v>
      </c>
      <c r="B390" s="84" t="s">
        <v>205</v>
      </c>
      <c r="G390" s="2">
        <f t="shared" si="96"/>
        <v>0</v>
      </c>
      <c r="H390" s="2">
        <f t="shared" si="97"/>
        <v>0</v>
      </c>
      <c r="I390" s="48" t="e">
        <f t="shared" si="98"/>
        <v>#DIV/0!</v>
      </c>
      <c r="O390" s="96"/>
    </row>
    <row r="391" spans="1:15" ht="15" x14ac:dyDescent="0.25">
      <c r="A391" s="35">
        <f t="shared" si="100"/>
        <v>41571</v>
      </c>
      <c r="B391" s="84" t="s">
        <v>205</v>
      </c>
      <c r="C391">
        <v>15307.7</v>
      </c>
      <c r="D391">
        <v>10560.4</v>
      </c>
      <c r="E391">
        <v>4782.2</v>
      </c>
      <c r="F391">
        <v>5163.1000000000004</v>
      </c>
      <c r="G391" s="2">
        <f t="shared" si="96"/>
        <v>20089.900000000001</v>
      </c>
      <c r="H391" s="2">
        <f t="shared" si="97"/>
        <v>15723.5</v>
      </c>
      <c r="I391" s="48">
        <f t="shared" si="98"/>
        <v>27.769898559481042</v>
      </c>
      <c r="O391" s="96"/>
    </row>
    <row r="392" spans="1:15" ht="15" x14ac:dyDescent="0.25">
      <c r="A392" s="35">
        <f t="shared" si="100"/>
        <v>41578</v>
      </c>
      <c r="B392" s="84" t="s">
        <v>205</v>
      </c>
      <c r="C392">
        <v>14675.1</v>
      </c>
      <c r="D392">
        <v>9537.2999999999993</v>
      </c>
      <c r="E392">
        <v>6473.1</v>
      </c>
      <c r="F392">
        <v>6461</v>
      </c>
      <c r="G392" s="2">
        <f t="shared" si="96"/>
        <v>21148.2</v>
      </c>
      <c r="H392" s="2">
        <f t="shared" si="97"/>
        <v>15998.3</v>
      </c>
      <c r="I392" s="48">
        <f t="shared" si="98"/>
        <v>32.190295218867007</v>
      </c>
      <c r="L392" s="96"/>
      <c r="O392" s="96"/>
    </row>
    <row r="393" spans="1:15" ht="15" x14ac:dyDescent="0.25">
      <c r="A393" s="35">
        <f t="shared" si="100"/>
        <v>41585</v>
      </c>
      <c r="B393" s="84" t="s">
        <v>205</v>
      </c>
      <c r="C393">
        <v>13826.9</v>
      </c>
      <c r="D393">
        <v>8628.7000000000007</v>
      </c>
      <c r="E393">
        <v>7988.4</v>
      </c>
      <c r="F393">
        <v>7741.1</v>
      </c>
      <c r="G393" s="2">
        <f t="shared" si="96"/>
        <v>21815.3</v>
      </c>
      <c r="H393" s="2">
        <f t="shared" si="97"/>
        <v>16369.800000000001</v>
      </c>
      <c r="I393" s="48">
        <f t="shared" si="98"/>
        <v>33.265525540935116</v>
      </c>
      <c r="M393" s="84" t="s">
        <v>355</v>
      </c>
      <c r="O393" s="96"/>
    </row>
    <row r="394" spans="1:15" ht="15" x14ac:dyDescent="0.25">
      <c r="A394" s="35">
        <f t="shared" si="100"/>
        <v>41592</v>
      </c>
      <c r="B394" s="84" t="s">
        <v>205</v>
      </c>
      <c r="C394">
        <v>13052.9</v>
      </c>
      <c r="D394">
        <v>7684.4</v>
      </c>
      <c r="E394">
        <v>9914.5</v>
      </c>
      <c r="F394">
        <v>9075.9</v>
      </c>
      <c r="G394" s="2">
        <f t="shared" si="96"/>
        <v>22967.4</v>
      </c>
      <c r="H394" s="2">
        <f t="shared" si="97"/>
        <v>16760.3</v>
      </c>
      <c r="I394" s="48">
        <f t="shared" si="98"/>
        <v>37.034539954535425</v>
      </c>
      <c r="O394" s="96"/>
    </row>
    <row r="395" spans="1:15" ht="15" x14ac:dyDescent="0.25">
      <c r="A395" s="35">
        <f t="shared" si="100"/>
        <v>41599</v>
      </c>
      <c r="B395" s="84" t="s">
        <v>205</v>
      </c>
      <c r="C395">
        <v>12719.5</v>
      </c>
      <c r="D395">
        <v>6391.7</v>
      </c>
      <c r="E395">
        <v>11240.8</v>
      </c>
      <c r="F395">
        <v>10141.1</v>
      </c>
      <c r="G395" s="2">
        <f t="shared" si="96"/>
        <v>23960.3</v>
      </c>
      <c r="H395" s="2">
        <f t="shared" si="97"/>
        <v>16532.8</v>
      </c>
      <c r="I395" s="48">
        <f t="shared" si="98"/>
        <v>44.925844382076853</v>
      </c>
      <c r="O395" s="96"/>
    </row>
    <row r="396" spans="1:15" ht="15" x14ac:dyDescent="0.25">
      <c r="A396" s="35">
        <f t="shared" si="100"/>
        <v>41606</v>
      </c>
      <c r="B396" s="84" t="s">
        <v>205</v>
      </c>
      <c r="C396">
        <v>11305.9</v>
      </c>
      <c r="D396">
        <v>6430.8</v>
      </c>
      <c r="E396">
        <v>12660.9</v>
      </c>
      <c r="F396">
        <v>11051.6</v>
      </c>
      <c r="G396" s="2">
        <f t="shared" si="96"/>
        <v>23966.799999999999</v>
      </c>
      <c r="H396" s="2">
        <f t="shared" si="97"/>
        <v>17482.400000000001</v>
      </c>
      <c r="I396" s="48">
        <f t="shared" si="98"/>
        <v>37.091017251635904</v>
      </c>
      <c r="O396" s="96"/>
    </row>
    <row r="397" spans="1:15" ht="15" x14ac:dyDescent="0.25">
      <c r="A397" s="35">
        <f t="shared" si="100"/>
        <v>41613</v>
      </c>
      <c r="B397" s="84" t="s">
        <v>205</v>
      </c>
      <c r="C397">
        <v>10834.1</v>
      </c>
      <c r="D397">
        <v>6547.2</v>
      </c>
      <c r="E397">
        <v>13690.7</v>
      </c>
      <c r="F397">
        <v>11944</v>
      </c>
      <c r="G397" s="2">
        <f t="shared" si="96"/>
        <v>24524.800000000003</v>
      </c>
      <c r="H397" s="2">
        <f t="shared" si="97"/>
        <v>18491.2</v>
      </c>
      <c r="I397" s="48">
        <f t="shared" si="98"/>
        <v>32.629575149260191</v>
      </c>
      <c r="O397" s="96"/>
    </row>
    <row r="398" spans="1:15" ht="15" x14ac:dyDescent="0.25">
      <c r="A398" s="35">
        <f t="shared" si="100"/>
        <v>41620</v>
      </c>
      <c r="B398" s="84" t="s">
        <v>205</v>
      </c>
      <c r="C398">
        <v>10240.700000000001</v>
      </c>
      <c r="D398">
        <v>6075.8</v>
      </c>
      <c r="E398">
        <v>14590.6</v>
      </c>
      <c r="F398">
        <v>12889.6</v>
      </c>
      <c r="G398" s="2">
        <f t="shared" si="96"/>
        <v>24831.300000000003</v>
      </c>
      <c r="H398" s="2">
        <f t="shared" si="97"/>
        <v>18965.400000000001</v>
      </c>
      <c r="I398" s="48">
        <f t="shared" si="98"/>
        <v>30.929482109525775</v>
      </c>
      <c r="O398" s="96"/>
    </row>
    <row r="399" spans="1:15" ht="15" x14ac:dyDescent="0.25">
      <c r="A399" s="35">
        <f t="shared" si="100"/>
        <v>41627</v>
      </c>
      <c r="B399" s="84" t="s">
        <v>205</v>
      </c>
      <c r="C399">
        <v>9590.7999999999993</v>
      </c>
      <c r="D399">
        <v>5153.3999999999996</v>
      </c>
      <c r="E399">
        <v>15758.1</v>
      </c>
      <c r="F399">
        <v>13539.7</v>
      </c>
      <c r="G399" s="2">
        <f t="shared" si="96"/>
        <v>25348.9</v>
      </c>
      <c r="H399" s="2">
        <f t="shared" si="97"/>
        <v>18693.099999999999</v>
      </c>
      <c r="I399" s="48">
        <f t="shared" si="98"/>
        <v>35.605651283093785</v>
      </c>
      <c r="O399" s="96"/>
    </row>
    <row r="400" spans="1:15" ht="15" x14ac:dyDescent="0.25">
      <c r="A400" s="35">
        <f t="shared" si="100"/>
        <v>41634</v>
      </c>
      <c r="B400" s="84" t="s">
        <v>205</v>
      </c>
      <c r="C400">
        <v>9245.4</v>
      </c>
      <c r="D400">
        <v>4975.5</v>
      </c>
      <c r="E400">
        <v>16474.7</v>
      </c>
      <c r="F400">
        <v>14077.7</v>
      </c>
      <c r="G400" s="2">
        <f t="shared" si="96"/>
        <v>25720.1</v>
      </c>
      <c r="H400" s="2">
        <f t="shared" si="97"/>
        <v>19053.2</v>
      </c>
      <c r="I400" s="48">
        <f t="shared" si="98"/>
        <v>34.990972645015006</v>
      </c>
      <c r="L400" s="96"/>
      <c r="O400" s="96"/>
    </row>
    <row r="401" spans="1:19" ht="15" x14ac:dyDescent="0.25">
      <c r="A401" s="35">
        <f t="shared" si="100"/>
        <v>41641</v>
      </c>
      <c r="B401" s="84" t="s">
        <v>205</v>
      </c>
      <c r="C401">
        <v>8415.6</v>
      </c>
      <c r="D401">
        <v>3980.1</v>
      </c>
      <c r="E401">
        <v>17692.400000000001</v>
      </c>
      <c r="F401">
        <v>14831.6</v>
      </c>
      <c r="G401" s="2">
        <f t="shared" si="96"/>
        <v>26108</v>
      </c>
      <c r="H401" s="2">
        <f t="shared" si="97"/>
        <v>18811.7</v>
      </c>
      <c r="I401" s="48">
        <f t="shared" si="98"/>
        <v>38.785968306957905</v>
      </c>
      <c r="L401" s="96"/>
      <c r="O401" s="96"/>
    </row>
    <row r="402" spans="1:19" ht="15" x14ac:dyDescent="0.25">
      <c r="A402" s="35">
        <f t="shared" si="100"/>
        <v>41648</v>
      </c>
      <c r="B402" s="84" t="s">
        <v>205</v>
      </c>
      <c r="C402">
        <v>8007.2</v>
      </c>
      <c r="D402" s="196">
        <v>4102.2</v>
      </c>
      <c r="E402" s="123">
        <v>18779</v>
      </c>
      <c r="F402" s="198">
        <v>15555.1</v>
      </c>
      <c r="G402" s="2">
        <f t="shared" si="96"/>
        <v>26786.2</v>
      </c>
      <c r="H402" s="2">
        <f t="shared" si="97"/>
        <v>19657.3</v>
      </c>
      <c r="I402" s="48">
        <f t="shared" si="98"/>
        <v>36.265916478865364</v>
      </c>
      <c r="L402" s="96"/>
      <c r="O402" s="96"/>
    </row>
    <row r="403" spans="1:19" ht="15" x14ac:dyDescent="0.25">
      <c r="A403" s="35">
        <f t="shared" si="100"/>
        <v>41655</v>
      </c>
      <c r="B403" s="84" t="s">
        <v>205</v>
      </c>
      <c r="C403">
        <v>7356.8</v>
      </c>
      <c r="D403" s="197">
        <v>3631.9</v>
      </c>
      <c r="E403" s="197">
        <v>19725.099999999999</v>
      </c>
      <c r="F403" s="197">
        <v>16234.9</v>
      </c>
      <c r="G403" s="2">
        <f t="shared" ref="G403:G466" si="101">+C403+E403</f>
        <v>27081.899999999998</v>
      </c>
      <c r="H403" s="2">
        <f t="shared" ref="H403:H466" si="102">+D403+F403</f>
        <v>19866.8</v>
      </c>
      <c r="I403" s="48">
        <f t="shared" ref="I403:I466" si="103">+(G403/H403-1)*100</f>
        <v>36.317373708901272</v>
      </c>
      <c r="K403" s="96"/>
      <c r="L403" s="96"/>
    </row>
    <row r="404" spans="1:19" ht="15" x14ac:dyDescent="0.25">
      <c r="A404" s="35">
        <f t="shared" si="100"/>
        <v>41662</v>
      </c>
      <c r="B404" s="84" t="s">
        <v>205</v>
      </c>
      <c r="C404">
        <v>6295.4</v>
      </c>
      <c r="D404" s="200">
        <v>3221</v>
      </c>
      <c r="E404" s="200">
        <v>21037</v>
      </c>
      <c r="F404" s="197">
        <v>16937.900000000001</v>
      </c>
      <c r="G404" s="2">
        <f t="shared" si="101"/>
        <v>27332.400000000001</v>
      </c>
      <c r="H404" s="2">
        <f t="shared" si="102"/>
        <v>20158.900000000001</v>
      </c>
      <c r="I404" s="48">
        <f t="shared" si="103"/>
        <v>35.58477893139009</v>
      </c>
      <c r="L404" s="95"/>
      <c r="O404" s="96"/>
    </row>
    <row r="405" spans="1:19" ht="15" x14ac:dyDescent="0.25">
      <c r="A405" s="35">
        <f t="shared" si="100"/>
        <v>41669</v>
      </c>
      <c r="B405" s="84" t="s">
        <v>205</v>
      </c>
      <c r="C405">
        <v>5809.5</v>
      </c>
      <c r="D405" s="197">
        <v>3089.3</v>
      </c>
      <c r="E405" s="197">
        <v>21894.799999999999</v>
      </c>
      <c r="F405" s="197">
        <v>17766.2</v>
      </c>
      <c r="G405" s="2">
        <f t="shared" si="101"/>
        <v>27704.3</v>
      </c>
      <c r="H405" s="2">
        <f t="shared" si="102"/>
        <v>20855.5</v>
      </c>
      <c r="I405" s="48">
        <f t="shared" si="103"/>
        <v>32.839298985879026</v>
      </c>
      <c r="K405" s="96"/>
      <c r="L405" s="96"/>
      <c r="O405" s="96"/>
    </row>
    <row r="406" spans="1:19" ht="15" x14ac:dyDescent="0.25">
      <c r="A406" s="35">
        <f t="shared" si="100"/>
        <v>41676</v>
      </c>
      <c r="B406" s="84" t="s">
        <v>205</v>
      </c>
      <c r="C406">
        <v>5053.6000000000004</v>
      </c>
      <c r="D406" s="197">
        <v>2177.6999999999998</v>
      </c>
      <c r="E406" s="200">
        <v>22971.5</v>
      </c>
      <c r="F406" s="197">
        <v>18447.2</v>
      </c>
      <c r="G406" s="2">
        <f t="shared" si="101"/>
        <v>28025.1</v>
      </c>
      <c r="H406" s="2">
        <f t="shared" si="102"/>
        <v>20624.900000000001</v>
      </c>
      <c r="I406" s="48">
        <f t="shared" si="103"/>
        <v>35.879931539061992</v>
      </c>
      <c r="K406" s="96"/>
    </row>
    <row r="407" spans="1:19" ht="15" x14ac:dyDescent="0.25">
      <c r="A407" s="35">
        <f t="shared" si="100"/>
        <v>41683</v>
      </c>
      <c r="B407" s="84" t="s">
        <v>205</v>
      </c>
      <c r="C407">
        <v>4026.2</v>
      </c>
      <c r="D407" s="197">
        <v>1756.4</v>
      </c>
      <c r="E407" s="197">
        <v>23787.3</v>
      </c>
      <c r="F407" s="197">
        <v>18982.8</v>
      </c>
      <c r="G407" s="2">
        <f t="shared" si="101"/>
        <v>27813.5</v>
      </c>
      <c r="H407" s="2">
        <f t="shared" si="102"/>
        <v>20739.2</v>
      </c>
      <c r="I407" s="48">
        <f t="shared" si="103"/>
        <v>34.110766085480627</v>
      </c>
      <c r="L407" s="96"/>
      <c r="O407" s="96"/>
    </row>
    <row r="408" spans="1:19" ht="15" x14ac:dyDescent="0.25">
      <c r="A408" s="35">
        <f t="shared" si="100"/>
        <v>41690</v>
      </c>
      <c r="B408" s="84" t="s">
        <v>205</v>
      </c>
      <c r="C408">
        <v>3254.9</v>
      </c>
      <c r="D408" s="197">
        <v>1702.8</v>
      </c>
      <c r="E408" s="200">
        <v>24846.400000000001</v>
      </c>
      <c r="F408" s="197">
        <v>19511.3</v>
      </c>
      <c r="G408" s="2">
        <f t="shared" si="101"/>
        <v>28101.300000000003</v>
      </c>
      <c r="H408" s="2">
        <f t="shared" si="102"/>
        <v>21214.1</v>
      </c>
      <c r="I408" s="48">
        <f t="shared" si="103"/>
        <v>32.465200032054177</v>
      </c>
      <c r="K408" s="197"/>
      <c r="L408" s="199"/>
      <c r="M408" s="197"/>
      <c r="N408" s="197"/>
      <c r="O408" s="199"/>
      <c r="P408" s="197"/>
      <c r="Q408" s="197"/>
      <c r="R408" s="197"/>
      <c r="S408" s="197"/>
    </row>
    <row r="409" spans="1:19" ht="15" x14ac:dyDescent="0.25">
      <c r="A409" s="35">
        <f t="shared" si="100"/>
        <v>41697</v>
      </c>
      <c r="B409" s="84" t="s">
        <v>205</v>
      </c>
      <c r="D409" s="197"/>
      <c r="E409" s="197"/>
      <c r="F409" s="197"/>
      <c r="G409" s="2">
        <f t="shared" si="101"/>
        <v>0</v>
      </c>
      <c r="H409" s="2">
        <f t="shared" si="102"/>
        <v>0</v>
      </c>
      <c r="I409" s="48" t="e">
        <f t="shared" si="103"/>
        <v>#DIV/0!</v>
      </c>
      <c r="K409" s="199"/>
      <c r="L409" s="197"/>
      <c r="M409" s="199"/>
      <c r="N409" s="197"/>
      <c r="O409" s="197"/>
      <c r="P409" s="197"/>
      <c r="Q409" s="197"/>
      <c r="R409" s="197"/>
      <c r="S409" s="197"/>
    </row>
    <row r="410" spans="1:19" ht="15" x14ac:dyDescent="0.25">
      <c r="A410" s="35">
        <f t="shared" si="100"/>
        <v>41704</v>
      </c>
      <c r="B410" s="84" t="s">
        <v>205</v>
      </c>
      <c r="D410" s="197"/>
      <c r="E410" s="197"/>
      <c r="F410" s="197"/>
      <c r="G410" s="2">
        <f t="shared" si="101"/>
        <v>0</v>
      </c>
      <c r="H410" s="2">
        <f t="shared" si="102"/>
        <v>0</v>
      </c>
      <c r="I410" s="48" t="e">
        <f t="shared" si="103"/>
        <v>#DIV/0!</v>
      </c>
      <c r="K410" s="199"/>
      <c r="L410" s="199"/>
      <c r="M410" s="197"/>
      <c r="N410" s="197"/>
      <c r="O410" s="199"/>
      <c r="P410" s="197"/>
      <c r="Q410" s="197"/>
      <c r="R410" s="197"/>
      <c r="S410" s="197"/>
    </row>
    <row r="411" spans="1:19" ht="15" x14ac:dyDescent="0.25">
      <c r="A411" s="35">
        <f t="shared" si="100"/>
        <v>41711</v>
      </c>
      <c r="B411" s="84" t="s">
        <v>205</v>
      </c>
      <c r="D411" s="197"/>
      <c r="E411" s="197"/>
      <c r="F411" s="197"/>
      <c r="G411" s="2">
        <f t="shared" si="101"/>
        <v>0</v>
      </c>
      <c r="H411" s="2">
        <f t="shared" si="102"/>
        <v>0</v>
      </c>
      <c r="I411" s="48" t="e">
        <f t="shared" si="103"/>
        <v>#DIV/0!</v>
      </c>
      <c r="K411" s="199"/>
      <c r="L411" s="199"/>
      <c r="M411" s="197"/>
      <c r="N411" s="197"/>
      <c r="O411" s="199"/>
      <c r="P411" s="197"/>
      <c r="Q411" s="197"/>
      <c r="R411" s="197"/>
      <c r="S411" s="197"/>
    </row>
    <row r="412" spans="1:19" ht="15" x14ac:dyDescent="0.25">
      <c r="A412" s="35">
        <f t="shared" si="100"/>
        <v>41718</v>
      </c>
      <c r="B412" s="84" t="s">
        <v>205</v>
      </c>
      <c r="D412" s="197"/>
      <c r="E412" s="197"/>
      <c r="F412" s="197"/>
      <c r="G412" s="2">
        <f t="shared" si="101"/>
        <v>0</v>
      </c>
      <c r="H412" s="2">
        <f t="shared" si="102"/>
        <v>0</v>
      </c>
      <c r="I412" s="48" t="e">
        <f t="shared" si="103"/>
        <v>#DIV/0!</v>
      </c>
      <c r="K412" s="199"/>
      <c r="L412" s="199"/>
      <c r="M412" s="197"/>
      <c r="N412" s="197"/>
      <c r="O412" s="199"/>
      <c r="P412" s="197"/>
      <c r="Q412" s="197"/>
      <c r="R412" s="197"/>
      <c r="S412" s="197"/>
    </row>
    <row r="413" spans="1:19" ht="15" x14ac:dyDescent="0.25">
      <c r="A413" s="35">
        <f t="shared" si="100"/>
        <v>41725</v>
      </c>
      <c r="B413" s="84" t="s">
        <v>205</v>
      </c>
      <c r="D413" s="197"/>
      <c r="E413" s="197"/>
      <c r="F413" s="197"/>
      <c r="G413" s="2">
        <f t="shared" si="101"/>
        <v>0</v>
      </c>
      <c r="H413" s="2">
        <f t="shared" si="102"/>
        <v>0</v>
      </c>
      <c r="I413" s="48" t="e">
        <f t="shared" si="103"/>
        <v>#DIV/0!</v>
      </c>
      <c r="K413" s="199"/>
      <c r="L413" s="199"/>
      <c r="M413" s="197"/>
      <c r="N413" s="197"/>
      <c r="O413" s="199"/>
      <c r="P413" s="197"/>
      <c r="Q413" s="197"/>
      <c r="R413" s="197"/>
      <c r="S413" s="197"/>
    </row>
    <row r="414" spans="1:19" ht="15" x14ac:dyDescent="0.25">
      <c r="A414" s="35">
        <f t="shared" si="100"/>
        <v>41732</v>
      </c>
      <c r="B414" s="84" t="s">
        <v>205</v>
      </c>
      <c r="D414" s="197"/>
      <c r="E414" s="197"/>
      <c r="F414" s="197"/>
      <c r="G414" s="2">
        <f t="shared" si="101"/>
        <v>0</v>
      </c>
      <c r="H414" s="2">
        <f t="shared" si="102"/>
        <v>0</v>
      </c>
      <c r="I414" s="48" t="e">
        <f t="shared" si="103"/>
        <v>#DIV/0!</v>
      </c>
      <c r="K414" s="201"/>
      <c r="L414" s="199"/>
      <c r="M414" s="197"/>
      <c r="N414" s="197"/>
      <c r="O414" s="199"/>
      <c r="P414" s="197"/>
      <c r="Q414" s="197"/>
      <c r="R414" s="197"/>
      <c r="S414" s="197"/>
    </row>
    <row r="415" spans="1:19" ht="15" x14ac:dyDescent="0.25">
      <c r="A415" s="35">
        <f t="shared" si="100"/>
        <v>41739</v>
      </c>
      <c r="B415" s="84" t="s">
        <v>205</v>
      </c>
      <c r="D415" s="197"/>
      <c r="E415" s="197"/>
      <c r="F415" s="197"/>
      <c r="G415" s="2">
        <f t="shared" si="101"/>
        <v>0</v>
      </c>
      <c r="H415" s="2">
        <f t="shared" si="102"/>
        <v>0</v>
      </c>
      <c r="I415" s="48" t="e">
        <f t="shared" si="103"/>
        <v>#DIV/0!</v>
      </c>
      <c r="K415" s="201"/>
      <c r="L415" s="199"/>
      <c r="M415" s="197"/>
      <c r="N415" s="197"/>
      <c r="O415" s="199"/>
      <c r="P415" s="197"/>
      <c r="Q415" s="197"/>
      <c r="R415" s="197"/>
      <c r="S415" s="197"/>
    </row>
    <row r="416" spans="1:19" ht="15" x14ac:dyDescent="0.25">
      <c r="A416" s="35">
        <f t="shared" si="100"/>
        <v>41746</v>
      </c>
      <c r="B416" s="84" t="s">
        <v>205</v>
      </c>
      <c r="D416" s="197"/>
      <c r="E416" s="197"/>
      <c r="F416" s="197"/>
      <c r="G416" s="2">
        <f t="shared" si="101"/>
        <v>0</v>
      </c>
      <c r="H416" s="2">
        <f t="shared" si="102"/>
        <v>0</v>
      </c>
      <c r="I416" s="48" t="e">
        <f t="shared" si="103"/>
        <v>#DIV/0!</v>
      </c>
      <c r="K416" s="199"/>
      <c r="L416" s="199"/>
      <c r="M416" s="197"/>
      <c r="N416" s="197"/>
      <c r="O416" s="199"/>
      <c r="P416" s="197"/>
      <c r="Q416" s="197"/>
      <c r="R416" s="197"/>
      <c r="S416" s="197"/>
    </row>
    <row r="417" spans="1:19" ht="15" x14ac:dyDescent="0.25">
      <c r="A417" s="35">
        <f t="shared" si="100"/>
        <v>41753</v>
      </c>
      <c r="B417" s="84" t="s">
        <v>205</v>
      </c>
      <c r="D417" s="197"/>
      <c r="E417" s="197"/>
      <c r="F417" s="197"/>
      <c r="G417" s="2">
        <f t="shared" si="101"/>
        <v>0</v>
      </c>
      <c r="H417" s="2">
        <f t="shared" si="102"/>
        <v>0</v>
      </c>
      <c r="I417" s="48" t="e">
        <f t="shared" si="103"/>
        <v>#DIV/0!</v>
      </c>
      <c r="K417" s="199"/>
      <c r="L417" s="199"/>
      <c r="M417" s="197"/>
      <c r="N417" s="197"/>
      <c r="O417" s="199"/>
      <c r="P417" s="197"/>
      <c r="Q417" s="197"/>
      <c r="R417" s="197"/>
      <c r="S417" s="197"/>
    </row>
    <row r="418" spans="1:19" ht="15" x14ac:dyDescent="0.25">
      <c r="A418" s="35">
        <f t="shared" si="100"/>
        <v>41760</v>
      </c>
      <c r="B418" s="84" t="s">
        <v>205</v>
      </c>
      <c r="D418" s="197"/>
      <c r="E418" s="197"/>
      <c r="F418" s="197"/>
      <c r="G418" s="2">
        <f t="shared" si="101"/>
        <v>0</v>
      </c>
      <c r="H418" s="2">
        <f t="shared" si="102"/>
        <v>0</v>
      </c>
      <c r="I418" s="48" t="e">
        <f t="shared" si="103"/>
        <v>#DIV/0!</v>
      </c>
      <c r="K418" s="199"/>
      <c r="L418" s="199"/>
      <c r="M418" s="197"/>
      <c r="N418" s="197"/>
      <c r="O418" s="199"/>
      <c r="P418" s="197"/>
      <c r="Q418" s="197"/>
      <c r="R418" s="197"/>
      <c r="S418" s="197"/>
    </row>
    <row r="419" spans="1:19" ht="15" x14ac:dyDescent="0.25">
      <c r="A419" s="35">
        <f t="shared" si="100"/>
        <v>41767</v>
      </c>
      <c r="B419" s="84" t="s">
        <v>205</v>
      </c>
      <c r="D419" s="197"/>
      <c r="E419" s="197"/>
      <c r="F419" s="197"/>
      <c r="G419" s="2">
        <f t="shared" si="101"/>
        <v>0</v>
      </c>
      <c r="H419" s="2">
        <f t="shared" si="102"/>
        <v>0</v>
      </c>
      <c r="I419" s="48" t="e">
        <f t="shared" si="103"/>
        <v>#DIV/0!</v>
      </c>
      <c r="K419" s="199"/>
      <c r="L419" s="199"/>
      <c r="M419" s="197"/>
      <c r="N419" s="197"/>
      <c r="O419" s="199"/>
      <c r="P419" s="197"/>
      <c r="Q419" s="197"/>
      <c r="R419" s="197"/>
      <c r="S419" s="197"/>
    </row>
    <row r="420" spans="1:19" ht="15" x14ac:dyDescent="0.25">
      <c r="A420" s="35">
        <f t="shared" si="100"/>
        <v>41774</v>
      </c>
      <c r="B420" s="84" t="s">
        <v>205</v>
      </c>
      <c r="D420" s="197"/>
      <c r="E420" s="197"/>
      <c r="F420" s="197"/>
      <c r="G420" s="2">
        <f t="shared" si="101"/>
        <v>0</v>
      </c>
      <c r="H420" s="2">
        <f t="shared" si="102"/>
        <v>0</v>
      </c>
      <c r="I420" s="48" t="e">
        <f t="shared" si="103"/>
        <v>#DIV/0!</v>
      </c>
      <c r="K420" s="199"/>
      <c r="L420" s="199"/>
      <c r="M420" s="197"/>
      <c r="N420" s="197"/>
      <c r="O420" s="199"/>
      <c r="P420" s="197"/>
      <c r="Q420" s="197"/>
      <c r="R420" s="197"/>
      <c r="S420" s="197"/>
    </row>
    <row r="421" spans="1:19" ht="15" x14ac:dyDescent="0.25">
      <c r="A421" s="35">
        <f t="shared" si="100"/>
        <v>41781</v>
      </c>
      <c r="B421" s="84" t="s">
        <v>205</v>
      </c>
      <c r="D421" s="197"/>
      <c r="E421" s="197"/>
      <c r="F421" s="197"/>
      <c r="G421" s="2">
        <f t="shared" si="101"/>
        <v>0</v>
      </c>
      <c r="H421" s="2">
        <f t="shared" si="102"/>
        <v>0</v>
      </c>
      <c r="I421" s="48" t="e">
        <f t="shared" si="103"/>
        <v>#DIV/0!</v>
      </c>
      <c r="K421" s="199"/>
      <c r="L421" s="199"/>
      <c r="M421" s="197"/>
      <c r="N421" s="197"/>
      <c r="O421" s="199"/>
      <c r="P421" s="197"/>
      <c r="Q421" s="197"/>
      <c r="R421" s="197"/>
      <c r="S421" s="197"/>
    </row>
    <row r="422" spans="1:19" ht="15" x14ac:dyDescent="0.25">
      <c r="A422" s="35">
        <f t="shared" si="100"/>
        <v>41788</v>
      </c>
      <c r="B422" s="84" t="s">
        <v>205</v>
      </c>
      <c r="D422" s="197"/>
      <c r="E422" s="197"/>
      <c r="F422" s="197"/>
      <c r="G422" s="2">
        <f t="shared" si="101"/>
        <v>0</v>
      </c>
      <c r="H422" s="2">
        <f t="shared" si="102"/>
        <v>0</v>
      </c>
      <c r="I422" s="48" t="e">
        <f t="shared" si="103"/>
        <v>#DIV/0!</v>
      </c>
      <c r="K422" s="199"/>
      <c r="L422" s="199"/>
      <c r="M422" s="197"/>
      <c r="N422" s="197"/>
      <c r="O422" s="199"/>
      <c r="P422" s="197"/>
      <c r="Q422" s="197"/>
      <c r="R422" s="197"/>
      <c r="S422" s="197"/>
    </row>
    <row r="423" spans="1:19" ht="15" x14ac:dyDescent="0.25">
      <c r="A423" s="35">
        <f t="shared" si="100"/>
        <v>41795</v>
      </c>
      <c r="B423" s="84" t="s">
        <v>205</v>
      </c>
      <c r="D423" s="197"/>
      <c r="E423" s="197"/>
      <c r="F423" s="197"/>
      <c r="G423" s="2">
        <f t="shared" si="101"/>
        <v>0</v>
      </c>
      <c r="H423" s="2">
        <f t="shared" si="102"/>
        <v>0</v>
      </c>
      <c r="I423" s="48" t="e">
        <f t="shared" si="103"/>
        <v>#DIV/0!</v>
      </c>
      <c r="K423" s="199"/>
      <c r="L423" s="199"/>
      <c r="M423" s="197"/>
      <c r="N423" s="197"/>
      <c r="O423" s="199"/>
      <c r="P423" s="197"/>
      <c r="Q423" s="197"/>
      <c r="R423" s="197"/>
      <c r="S423" s="197"/>
    </row>
    <row r="424" spans="1:19" ht="15" x14ac:dyDescent="0.25">
      <c r="A424" s="35">
        <f t="shared" si="100"/>
        <v>41802</v>
      </c>
      <c r="B424" s="84" t="s">
        <v>205</v>
      </c>
      <c r="D424" s="197"/>
      <c r="E424" s="197"/>
      <c r="F424" s="197"/>
      <c r="G424" s="2">
        <f t="shared" si="101"/>
        <v>0</v>
      </c>
      <c r="H424" s="2">
        <f t="shared" si="102"/>
        <v>0</v>
      </c>
      <c r="I424" s="48" t="e">
        <f t="shared" si="103"/>
        <v>#DIV/0!</v>
      </c>
      <c r="K424" s="199"/>
      <c r="L424" s="199"/>
      <c r="M424" s="197"/>
      <c r="N424" s="197"/>
      <c r="O424" s="199"/>
      <c r="P424" s="197"/>
      <c r="Q424" s="197"/>
      <c r="R424" s="197"/>
      <c r="S424" s="197"/>
    </row>
    <row r="425" spans="1:19" ht="15" x14ac:dyDescent="0.25">
      <c r="A425" s="35">
        <f t="shared" si="100"/>
        <v>41809</v>
      </c>
      <c r="B425" s="84" t="s">
        <v>205</v>
      </c>
      <c r="D425" s="197"/>
      <c r="E425" s="197"/>
      <c r="F425" s="197"/>
      <c r="G425" s="2">
        <f t="shared" si="101"/>
        <v>0</v>
      </c>
      <c r="H425" s="2">
        <f t="shared" si="102"/>
        <v>0</v>
      </c>
      <c r="I425" s="48" t="e">
        <f t="shared" si="103"/>
        <v>#DIV/0!</v>
      </c>
      <c r="K425" s="199"/>
      <c r="L425" s="199"/>
      <c r="M425" s="197"/>
      <c r="N425" s="197"/>
      <c r="O425" s="199"/>
      <c r="P425" s="197"/>
      <c r="Q425" s="197"/>
      <c r="R425" s="197"/>
      <c r="S425" s="197"/>
    </row>
    <row r="426" spans="1:19" ht="15" x14ac:dyDescent="0.25">
      <c r="A426" s="35">
        <f t="shared" si="100"/>
        <v>41816</v>
      </c>
      <c r="B426" s="84" t="s">
        <v>205</v>
      </c>
      <c r="G426" s="2">
        <f t="shared" si="101"/>
        <v>0</v>
      </c>
      <c r="H426" s="2">
        <f t="shared" si="102"/>
        <v>0</v>
      </c>
      <c r="I426" s="48" t="e">
        <f t="shared" si="103"/>
        <v>#DIV/0!</v>
      </c>
      <c r="K426" s="199"/>
      <c r="L426" s="199"/>
      <c r="M426" s="197"/>
      <c r="N426" s="197"/>
      <c r="O426" s="199"/>
      <c r="P426" s="197"/>
      <c r="Q426" s="197"/>
      <c r="R426" s="197"/>
      <c r="S426" s="197"/>
    </row>
    <row r="427" spans="1:19" ht="15" x14ac:dyDescent="0.25">
      <c r="A427" s="35">
        <f t="shared" si="100"/>
        <v>41823</v>
      </c>
      <c r="B427" s="84" t="s">
        <v>205</v>
      </c>
      <c r="G427" s="2">
        <f t="shared" si="101"/>
        <v>0</v>
      </c>
      <c r="H427" s="2">
        <f t="shared" si="102"/>
        <v>0</v>
      </c>
      <c r="I427" s="48" t="e">
        <f t="shared" si="103"/>
        <v>#DIV/0!</v>
      </c>
      <c r="K427" s="199"/>
      <c r="L427" s="199"/>
      <c r="M427" s="197"/>
      <c r="N427" s="197"/>
      <c r="O427" s="199"/>
      <c r="P427" s="197"/>
      <c r="Q427" s="197"/>
      <c r="R427" s="197"/>
      <c r="S427" s="197"/>
    </row>
    <row r="428" spans="1:19" ht="15" x14ac:dyDescent="0.25">
      <c r="A428" s="35">
        <f t="shared" si="100"/>
        <v>41830</v>
      </c>
      <c r="B428" s="84" t="s">
        <v>205</v>
      </c>
      <c r="G428" s="2">
        <f t="shared" si="101"/>
        <v>0</v>
      </c>
      <c r="H428" s="2">
        <f t="shared" si="102"/>
        <v>0</v>
      </c>
      <c r="I428" s="48" t="e">
        <f t="shared" si="103"/>
        <v>#DIV/0!</v>
      </c>
      <c r="K428" s="199"/>
      <c r="L428" s="199"/>
      <c r="M428" s="197"/>
      <c r="N428" s="197"/>
      <c r="O428" s="199"/>
      <c r="P428" s="197"/>
      <c r="Q428" s="197"/>
      <c r="R428" s="197"/>
      <c r="S428" s="197"/>
    </row>
    <row r="429" spans="1:19" ht="15" x14ac:dyDescent="0.25">
      <c r="A429" s="35">
        <f t="shared" si="100"/>
        <v>41837</v>
      </c>
      <c r="B429" s="84" t="s">
        <v>205</v>
      </c>
      <c r="G429" s="2">
        <f t="shared" si="101"/>
        <v>0</v>
      </c>
      <c r="H429" s="2">
        <f t="shared" si="102"/>
        <v>0</v>
      </c>
      <c r="I429" s="48" t="e">
        <f t="shared" si="103"/>
        <v>#DIV/0!</v>
      </c>
      <c r="K429" s="199"/>
      <c r="L429" s="199"/>
      <c r="M429" s="197"/>
      <c r="N429" s="197"/>
      <c r="O429" s="199"/>
      <c r="P429" s="197"/>
      <c r="Q429" s="197"/>
      <c r="R429" s="197"/>
      <c r="S429" s="197"/>
    </row>
    <row r="430" spans="1:19" ht="15" x14ac:dyDescent="0.25">
      <c r="A430" s="35">
        <f t="shared" si="100"/>
        <v>41844</v>
      </c>
      <c r="B430" s="84" t="s">
        <v>205</v>
      </c>
      <c r="G430" s="2">
        <f t="shared" si="101"/>
        <v>0</v>
      </c>
      <c r="H430" s="2">
        <f t="shared" si="102"/>
        <v>0</v>
      </c>
      <c r="I430" s="48" t="e">
        <f t="shared" si="103"/>
        <v>#DIV/0!</v>
      </c>
      <c r="K430" s="199"/>
      <c r="L430" s="199"/>
      <c r="M430" s="197"/>
      <c r="N430" s="197"/>
      <c r="O430" s="199"/>
      <c r="P430" s="197"/>
      <c r="Q430" s="197"/>
      <c r="R430" s="197"/>
      <c r="S430" s="197"/>
    </row>
    <row r="431" spans="1:19" ht="15" x14ac:dyDescent="0.25">
      <c r="A431" s="35">
        <f t="shared" si="100"/>
        <v>41851</v>
      </c>
      <c r="B431" s="84" t="s">
        <v>205</v>
      </c>
      <c r="G431" s="2">
        <f t="shared" si="101"/>
        <v>0</v>
      </c>
      <c r="H431" s="2">
        <f t="shared" si="102"/>
        <v>0</v>
      </c>
      <c r="I431" s="48" t="e">
        <f t="shared" si="103"/>
        <v>#DIV/0!</v>
      </c>
      <c r="K431" s="199"/>
      <c r="L431" s="199"/>
      <c r="M431" s="197"/>
      <c r="N431" s="197"/>
      <c r="O431" s="199"/>
      <c r="P431" s="197"/>
      <c r="Q431" s="197"/>
      <c r="R431" s="197"/>
      <c r="S431" s="197"/>
    </row>
    <row r="432" spans="1:19" ht="15" x14ac:dyDescent="0.25">
      <c r="A432" s="35">
        <f t="shared" si="100"/>
        <v>41858</v>
      </c>
      <c r="B432" s="84" t="s">
        <v>205</v>
      </c>
      <c r="G432" s="2">
        <f t="shared" si="101"/>
        <v>0</v>
      </c>
      <c r="H432" s="2">
        <f t="shared" si="102"/>
        <v>0</v>
      </c>
      <c r="I432" s="48" t="e">
        <f t="shared" si="103"/>
        <v>#DIV/0!</v>
      </c>
      <c r="K432" s="199"/>
      <c r="L432" s="199"/>
      <c r="M432" s="197"/>
      <c r="N432" s="197"/>
      <c r="O432" s="199"/>
      <c r="P432" s="197"/>
      <c r="Q432" s="197"/>
      <c r="R432" s="197"/>
      <c r="S432" s="197"/>
    </row>
    <row r="433" spans="1:19" ht="15" x14ac:dyDescent="0.25">
      <c r="A433" s="35">
        <f t="shared" si="100"/>
        <v>41865</v>
      </c>
      <c r="B433" s="84" t="s">
        <v>205</v>
      </c>
      <c r="G433" s="2">
        <f t="shared" si="101"/>
        <v>0</v>
      </c>
      <c r="H433" s="2">
        <f t="shared" si="102"/>
        <v>0</v>
      </c>
      <c r="I433" s="48" t="e">
        <f t="shared" si="103"/>
        <v>#DIV/0!</v>
      </c>
      <c r="K433" s="199"/>
      <c r="L433" s="199"/>
      <c r="M433" s="197"/>
      <c r="N433" s="197"/>
      <c r="O433" s="199"/>
      <c r="P433" s="197"/>
      <c r="Q433" s="197"/>
      <c r="R433" s="197"/>
      <c r="S433" s="197"/>
    </row>
    <row r="434" spans="1:19" ht="15" x14ac:dyDescent="0.25">
      <c r="A434" s="35">
        <f t="shared" si="100"/>
        <v>41872</v>
      </c>
      <c r="B434" s="84" t="s">
        <v>205</v>
      </c>
      <c r="G434" s="2">
        <f t="shared" si="101"/>
        <v>0</v>
      </c>
      <c r="H434" s="2">
        <f t="shared" si="102"/>
        <v>0</v>
      </c>
      <c r="I434" s="48" t="e">
        <f t="shared" si="103"/>
        <v>#DIV/0!</v>
      </c>
      <c r="K434" s="199"/>
      <c r="L434" s="199"/>
      <c r="M434" s="197"/>
      <c r="N434" s="197"/>
      <c r="O434" s="199"/>
      <c r="P434" s="197"/>
      <c r="Q434" s="197"/>
      <c r="R434" s="197"/>
      <c r="S434" s="197"/>
    </row>
    <row r="435" spans="1:19" ht="15" x14ac:dyDescent="0.25">
      <c r="A435" s="35">
        <f t="shared" si="100"/>
        <v>41879</v>
      </c>
      <c r="B435" s="84" t="s">
        <v>205</v>
      </c>
      <c r="G435" s="2">
        <f t="shared" si="101"/>
        <v>0</v>
      </c>
      <c r="H435" s="2">
        <f t="shared" si="102"/>
        <v>0</v>
      </c>
      <c r="I435" s="48" t="e">
        <f t="shared" si="103"/>
        <v>#DIV/0!</v>
      </c>
      <c r="K435" s="199"/>
      <c r="L435" s="199"/>
      <c r="M435" s="197"/>
      <c r="N435" s="197"/>
      <c r="O435" s="199"/>
      <c r="P435" s="197"/>
      <c r="Q435" s="197"/>
      <c r="R435" s="197"/>
      <c r="S435" s="197"/>
    </row>
    <row r="436" spans="1:19" ht="15" x14ac:dyDescent="0.25">
      <c r="A436" s="35">
        <f t="shared" si="100"/>
        <v>41886</v>
      </c>
      <c r="B436" s="84" t="s">
        <v>205</v>
      </c>
      <c r="G436" s="2">
        <f t="shared" si="101"/>
        <v>0</v>
      </c>
      <c r="H436" s="2">
        <f t="shared" si="102"/>
        <v>0</v>
      </c>
      <c r="I436" s="48" t="e">
        <f t="shared" si="103"/>
        <v>#DIV/0!</v>
      </c>
      <c r="K436" s="199"/>
      <c r="L436" s="199"/>
      <c r="M436" s="197"/>
      <c r="N436" s="197"/>
      <c r="O436" s="199"/>
      <c r="P436" s="197"/>
      <c r="Q436" s="197"/>
      <c r="R436" s="197"/>
      <c r="S436" s="197"/>
    </row>
    <row r="437" spans="1:19" ht="15" x14ac:dyDescent="0.25">
      <c r="A437" s="35">
        <f t="shared" si="100"/>
        <v>41893</v>
      </c>
      <c r="B437" s="84" t="s">
        <v>205</v>
      </c>
      <c r="G437" s="2">
        <f t="shared" si="101"/>
        <v>0</v>
      </c>
      <c r="H437" s="2">
        <f t="shared" si="102"/>
        <v>0</v>
      </c>
      <c r="I437" s="48" t="e">
        <f t="shared" si="103"/>
        <v>#DIV/0!</v>
      </c>
      <c r="K437" s="199"/>
      <c r="L437" s="199"/>
      <c r="M437" s="197"/>
      <c r="N437" s="197"/>
      <c r="O437" s="199"/>
      <c r="P437" s="197"/>
      <c r="Q437" s="197"/>
      <c r="R437" s="197"/>
      <c r="S437" s="197"/>
    </row>
    <row r="438" spans="1:19" ht="15" x14ac:dyDescent="0.25">
      <c r="A438" s="35">
        <f t="shared" si="100"/>
        <v>41900</v>
      </c>
      <c r="B438" s="84" t="s">
        <v>205</v>
      </c>
      <c r="G438" s="2">
        <f t="shared" si="101"/>
        <v>0</v>
      </c>
      <c r="H438" s="2">
        <f t="shared" si="102"/>
        <v>0</v>
      </c>
      <c r="I438" s="48" t="e">
        <f t="shared" si="103"/>
        <v>#DIV/0!</v>
      </c>
      <c r="K438" s="199"/>
      <c r="L438" s="199"/>
      <c r="M438" s="197"/>
      <c r="N438" s="197"/>
      <c r="O438" s="199"/>
      <c r="P438" s="197"/>
      <c r="Q438" s="197"/>
      <c r="R438" s="197"/>
      <c r="S438" s="197"/>
    </row>
    <row r="439" spans="1:19" ht="15" x14ac:dyDescent="0.25">
      <c r="A439" s="35">
        <f t="shared" si="100"/>
        <v>41907</v>
      </c>
      <c r="B439" s="84" t="s">
        <v>205</v>
      </c>
      <c r="G439" s="2">
        <f t="shared" si="101"/>
        <v>0</v>
      </c>
      <c r="H439" s="2">
        <f t="shared" si="102"/>
        <v>0</v>
      </c>
      <c r="I439" s="48" t="e">
        <f t="shared" si="103"/>
        <v>#DIV/0!</v>
      </c>
      <c r="K439" s="199"/>
      <c r="L439" s="199"/>
      <c r="M439" s="197"/>
      <c r="N439" s="197"/>
      <c r="O439" s="199"/>
      <c r="P439" s="197"/>
      <c r="Q439" s="197"/>
      <c r="R439" s="197"/>
      <c r="S439" s="197"/>
    </row>
    <row r="440" spans="1:19" ht="15" x14ac:dyDescent="0.25">
      <c r="A440" s="35">
        <f t="shared" si="100"/>
        <v>41914</v>
      </c>
      <c r="B440" s="84" t="s">
        <v>205</v>
      </c>
      <c r="G440" s="2">
        <f t="shared" si="101"/>
        <v>0</v>
      </c>
      <c r="H440" s="2">
        <f t="shared" si="102"/>
        <v>0</v>
      </c>
      <c r="I440" s="48" t="e">
        <f t="shared" si="103"/>
        <v>#DIV/0!</v>
      </c>
      <c r="K440" s="199"/>
      <c r="L440" s="199"/>
      <c r="M440" s="197"/>
      <c r="N440" s="197"/>
      <c r="O440" s="199"/>
      <c r="P440" s="197"/>
      <c r="Q440" s="197"/>
      <c r="R440" s="197"/>
      <c r="S440" s="197"/>
    </row>
    <row r="441" spans="1:19" ht="15" x14ac:dyDescent="0.25">
      <c r="A441" s="35">
        <f t="shared" si="100"/>
        <v>41921</v>
      </c>
      <c r="B441" s="84" t="s">
        <v>205</v>
      </c>
      <c r="G441" s="2">
        <f t="shared" si="101"/>
        <v>0</v>
      </c>
      <c r="H441" s="2">
        <f t="shared" si="102"/>
        <v>0</v>
      </c>
      <c r="I441" s="48" t="e">
        <f t="shared" si="103"/>
        <v>#DIV/0!</v>
      </c>
      <c r="K441" s="199"/>
      <c r="L441" s="199"/>
      <c r="M441" s="197"/>
      <c r="N441" s="197"/>
      <c r="O441" s="199"/>
      <c r="P441" s="197"/>
      <c r="Q441" s="197"/>
      <c r="R441" s="197"/>
      <c r="S441" s="197"/>
    </row>
    <row r="442" spans="1:19" ht="15" x14ac:dyDescent="0.25">
      <c r="A442" s="35">
        <f t="shared" si="100"/>
        <v>41928</v>
      </c>
      <c r="B442" s="84" t="s">
        <v>205</v>
      </c>
      <c r="G442" s="2">
        <f t="shared" si="101"/>
        <v>0</v>
      </c>
      <c r="H442" s="2">
        <f t="shared" si="102"/>
        <v>0</v>
      </c>
      <c r="I442" s="48" t="e">
        <f t="shared" si="103"/>
        <v>#DIV/0!</v>
      </c>
      <c r="K442" s="199"/>
      <c r="L442" s="199"/>
      <c r="M442" s="197"/>
      <c r="N442" s="197"/>
      <c r="O442" s="199"/>
      <c r="P442" s="197"/>
      <c r="Q442" s="197"/>
      <c r="R442" s="197"/>
      <c r="S442" s="197"/>
    </row>
    <row r="443" spans="1:19" ht="15" x14ac:dyDescent="0.25">
      <c r="A443" s="35">
        <f t="shared" si="100"/>
        <v>41935</v>
      </c>
      <c r="B443" s="84" t="s">
        <v>205</v>
      </c>
      <c r="G443" s="2">
        <f t="shared" si="101"/>
        <v>0</v>
      </c>
      <c r="H443" s="2">
        <f t="shared" si="102"/>
        <v>0</v>
      </c>
      <c r="I443" s="48" t="e">
        <f t="shared" si="103"/>
        <v>#DIV/0!</v>
      </c>
      <c r="K443" s="199"/>
      <c r="L443" s="199"/>
      <c r="M443" s="197"/>
      <c r="N443" s="197"/>
      <c r="O443" s="199"/>
      <c r="P443" s="197"/>
      <c r="Q443" s="197"/>
      <c r="R443" s="197"/>
      <c r="S443" s="197"/>
    </row>
    <row r="444" spans="1:19" ht="15" x14ac:dyDescent="0.25">
      <c r="A444" s="35">
        <f t="shared" si="100"/>
        <v>41942</v>
      </c>
      <c r="B444" s="84" t="s">
        <v>205</v>
      </c>
      <c r="G444" s="2">
        <f t="shared" si="101"/>
        <v>0</v>
      </c>
      <c r="H444" s="2">
        <f t="shared" si="102"/>
        <v>0</v>
      </c>
      <c r="I444" s="48" t="e">
        <f t="shared" si="103"/>
        <v>#DIV/0!</v>
      </c>
      <c r="K444" s="199"/>
      <c r="L444" s="199"/>
      <c r="M444" s="197"/>
      <c r="N444" s="197"/>
      <c r="O444" s="199"/>
      <c r="P444" s="197"/>
      <c r="Q444" s="197"/>
      <c r="R444" s="197"/>
      <c r="S444" s="197"/>
    </row>
    <row r="445" spans="1:19" ht="15" x14ac:dyDescent="0.25">
      <c r="A445" s="35">
        <f t="shared" si="100"/>
        <v>41949</v>
      </c>
      <c r="B445" s="84" t="s">
        <v>205</v>
      </c>
      <c r="G445" s="2">
        <f t="shared" si="101"/>
        <v>0</v>
      </c>
      <c r="H445" s="2">
        <f t="shared" si="102"/>
        <v>0</v>
      </c>
      <c r="I445" s="48" t="e">
        <f t="shared" si="103"/>
        <v>#DIV/0!</v>
      </c>
      <c r="K445" s="199"/>
      <c r="L445" s="199"/>
      <c r="M445" s="197"/>
      <c r="N445" s="197"/>
      <c r="O445" s="199"/>
      <c r="P445" s="197"/>
      <c r="Q445" s="197"/>
      <c r="R445" s="197"/>
      <c r="S445" s="197"/>
    </row>
    <row r="446" spans="1:19" ht="15" x14ac:dyDescent="0.25">
      <c r="A446" s="35">
        <f t="shared" ref="A446:A509" si="104">+A445+7</f>
        <v>41956</v>
      </c>
      <c r="B446" s="84" t="s">
        <v>205</v>
      </c>
      <c r="G446" s="2">
        <f t="shared" si="101"/>
        <v>0</v>
      </c>
      <c r="H446" s="2">
        <f t="shared" si="102"/>
        <v>0</v>
      </c>
      <c r="I446" s="48" t="e">
        <f t="shared" si="103"/>
        <v>#DIV/0!</v>
      </c>
      <c r="K446" s="199"/>
      <c r="L446" s="199"/>
      <c r="M446" s="197"/>
      <c r="N446" s="197"/>
      <c r="O446" s="199"/>
      <c r="P446" s="197"/>
      <c r="Q446" s="197"/>
      <c r="R446" s="197"/>
      <c r="S446" s="197"/>
    </row>
    <row r="447" spans="1:19" ht="15" x14ac:dyDescent="0.25">
      <c r="A447" s="35">
        <f t="shared" si="104"/>
        <v>41963</v>
      </c>
      <c r="B447" s="84" t="s">
        <v>205</v>
      </c>
      <c r="G447" s="2">
        <f t="shared" si="101"/>
        <v>0</v>
      </c>
      <c r="H447" s="2">
        <f t="shared" si="102"/>
        <v>0</v>
      </c>
      <c r="I447" s="48" t="e">
        <f t="shared" si="103"/>
        <v>#DIV/0!</v>
      </c>
      <c r="K447" s="199"/>
      <c r="L447" s="199"/>
      <c r="M447" s="197"/>
      <c r="N447" s="197"/>
      <c r="O447" s="199"/>
      <c r="P447" s="197"/>
      <c r="Q447" s="197"/>
      <c r="R447" s="197"/>
      <c r="S447" s="197"/>
    </row>
    <row r="448" spans="1:19" ht="15" x14ac:dyDescent="0.25">
      <c r="A448" s="35">
        <f t="shared" si="104"/>
        <v>41970</v>
      </c>
      <c r="B448" s="84" t="s">
        <v>205</v>
      </c>
      <c r="G448" s="2">
        <f t="shared" si="101"/>
        <v>0</v>
      </c>
      <c r="H448" s="2">
        <f t="shared" si="102"/>
        <v>0</v>
      </c>
      <c r="I448" s="48" t="e">
        <f t="shared" si="103"/>
        <v>#DIV/0!</v>
      </c>
      <c r="K448" s="199"/>
      <c r="L448" s="199"/>
      <c r="M448" s="197"/>
      <c r="N448" s="197"/>
      <c r="O448" s="199"/>
      <c r="P448" s="197"/>
      <c r="Q448" s="197"/>
      <c r="R448" s="197"/>
      <c r="S448" s="197"/>
    </row>
    <row r="449" spans="1:19" ht="15" x14ac:dyDescent="0.25">
      <c r="A449" s="35">
        <f t="shared" si="104"/>
        <v>41977</v>
      </c>
      <c r="B449" s="84" t="s">
        <v>205</v>
      </c>
      <c r="G449" s="2">
        <f t="shared" si="101"/>
        <v>0</v>
      </c>
      <c r="H449" s="2">
        <f t="shared" si="102"/>
        <v>0</v>
      </c>
      <c r="I449" s="48" t="e">
        <f t="shared" si="103"/>
        <v>#DIV/0!</v>
      </c>
      <c r="K449" s="199"/>
      <c r="L449" s="199"/>
      <c r="M449" s="197"/>
      <c r="N449" s="197"/>
      <c r="O449" s="199"/>
      <c r="P449" s="197"/>
      <c r="Q449" s="197"/>
      <c r="R449" s="197"/>
      <c r="S449" s="197"/>
    </row>
    <row r="450" spans="1:19" ht="15" x14ac:dyDescent="0.25">
      <c r="A450" s="35">
        <f t="shared" si="104"/>
        <v>41984</v>
      </c>
      <c r="B450" s="84" t="s">
        <v>205</v>
      </c>
      <c r="G450" s="2">
        <f t="shared" si="101"/>
        <v>0</v>
      </c>
      <c r="H450" s="2">
        <f t="shared" si="102"/>
        <v>0</v>
      </c>
      <c r="I450" s="48" t="e">
        <f t="shared" si="103"/>
        <v>#DIV/0!</v>
      </c>
      <c r="K450" s="199"/>
      <c r="L450" s="199"/>
      <c r="M450" s="197"/>
      <c r="N450" s="197"/>
      <c r="O450" s="199"/>
      <c r="P450" s="197"/>
      <c r="Q450" s="197"/>
      <c r="R450" s="197"/>
      <c r="S450" s="197"/>
    </row>
    <row r="451" spans="1:19" ht="15" x14ac:dyDescent="0.25">
      <c r="A451" s="35">
        <f t="shared" si="104"/>
        <v>41991</v>
      </c>
      <c r="B451" s="84" t="s">
        <v>205</v>
      </c>
      <c r="G451" s="2">
        <f t="shared" si="101"/>
        <v>0</v>
      </c>
      <c r="H451" s="2">
        <f t="shared" si="102"/>
        <v>0</v>
      </c>
      <c r="I451" s="48" t="e">
        <f t="shared" si="103"/>
        <v>#DIV/0!</v>
      </c>
      <c r="K451" s="199"/>
      <c r="L451" s="199"/>
      <c r="M451" s="197"/>
      <c r="N451" s="197"/>
      <c r="O451" s="199"/>
      <c r="P451" s="197"/>
      <c r="Q451" s="197"/>
      <c r="R451" s="197"/>
      <c r="S451" s="197"/>
    </row>
    <row r="452" spans="1:19" ht="15" x14ac:dyDescent="0.25">
      <c r="A452" s="35">
        <f t="shared" si="104"/>
        <v>41998</v>
      </c>
      <c r="B452" s="84" t="s">
        <v>205</v>
      </c>
      <c r="G452" s="2">
        <f t="shared" si="101"/>
        <v>0</v>
      </c>
      <c r="H452" s="2">
        <f t="shared" si="102"/>
        <v>0</v>
      </c>
      <c r="I452" s="48" t="e">
        <f t="shared" si="103"/>
        <v>#DIV/0!</v>
      </c>
      <c r="K452" s="199"/>
      <c r="L452" s="199"/>
      <c r="M452" s="197"/>
      <c r="N452" s="197"/>
      <c r="O452" s="199"/>
      <c r="P452" s="197"/>
      <c r="Q452" s="197"/>
      <c r="R452" s="197"/>
      <c r="S452" s="197"/>
    </row>
    <row r="453" spans="1:19" ht="15" x14ac:dyDescent="0.25">
      <c r="A453" s="35">
        <f t="shared" si="104"/>
        <v>42005</v>
      </c>
      <c r="B453" s="84" t="s">
        <v>205</v>
      </c>
      <c r="G453" s="2">
        <f t="shared" si="101"/>
        <v>0</v>
      </c>
      <c r="H453" s="2">
        <f t="shared" si="102"/>
        <v>0</v>
      </c>
      <c r="I453" s="48" t="e">
        <f t="shared" si="103"/>
        <v>#DIV/0!</v>
      </c>
      <c r="K453" s="199"/>
      <c r="L453" s="199"/>
      <c r="M453" s="197"/>
      <c r="N453" s="197"/>
      <c r="O453" s="199"/>
      <c r="P453" s="197"/>
      <c r="Q453" s="197"/>
      <c r="R453" s="197"/>
      <c r="S453" s="197"/>
    </row>
    <row r="454" spans="1:19" ht="15" x14ac:dyDescent="0.25">
      <c r="A454" s="35">
        <f t="shared" si="104"/>
        <v>42012</v>
      </c>
      <c r="B454" s="84" t="s">
        <v>205</v>
      </c>
      <c r="G454" s="2">
        <f t="shared" si="101"/>
        <v>0</v>
      </c>
      <c r="H454" s="2">
        <f t="shared" si="102"/>
        <v>0</v>
      </c>
      <c r="I454" s="48" t="e">
        <f t="shared" si="103"/>
        <v>#DIV/0!</v>
      </c>
      <c r="K454" s="199"/>
      <c r="L454" s="199"/>
      <c r="M454" s="197"/>
      <c r="N454" s="197"/>
      <c r="O454" s="199"/>
      <c r="P454" s="197"/>
      <c r="Q454" s="197"/>
      <c r="R454" s="197"/>
      <c r="S454" s="197"/>
    </row>
    <row r="455" spans="1:19" ht="15" x14ac:dyDescent="0.25">
      <c r="A455" s="35">
        <f t="shared" si="104"/>
        <v>42019</v>
      </c>
      <c r="B455" s="84" t="s">
        <v>205</v>
      </c>
      <c r="G455" s="2">
        <f t="shared" si="101"/>
        <v>0</v>
      </c>
      <c r="H455" s="2">
        <f t="shared" si="102"/>
        <v>0</v>
      </c>
      <c r="I455" s="48" t="e">
        <f t="shared" si="103"/>
        <v>#DIV/0!</v>
      </c>
      <c r="K455" s="199"/>
      <c r="L455" s="199"/>
      <c r="M455" s="197"/>
      <c r="N455" s="197"/>
      <c r="O455" s="199"/>
      <c r="P455" s="197"/>
      <c r="Q455" s="197"/>
      <c r="R455" s="197"/>
      <c r="S455" s="197"/>
    </row>
    <row r="456" spans="1:19" ht="15" x14ac:dyDescent="0.25">
      <c r="A456" s="35">
        <f t="shared" si="104"/>
        <v>42026</v>
      </c>
      <c r="B456" s="84" t="s">
        <v>205</v>
      </c>
      <c r="G456" s="2">
        <f t="shared" si="101"/>
        <v>0</v>
      </c>
      <c r="H456" s="2">
        <f t="shared" si="102"/>
        <v>0</v>
      </c>
      <c r="I456" s="48" t="e">
        <f t="shared" si="103"/>
        <v>#DIV/0!</v>
      </c>
      <c r="K456" s="199"/>
      <c r="L456" s="199"/>
      <c r="M456" s="197"/>
      <c r="N456" s="197"/>
      <c r="O456" s="201"/>
      <c r="P456" s="197"/>
      <c r="Q456" s="197"/>
      <c r="R456" s="197"/>
      <c r="S456" s="197"/>
    </row>
    <row r="457" spans="1:19" ht="15" x14ac:dyDescent="0.25">
      <c r="A457" s="35">
        <f t="shared" si="104"/>
        <v>42033</v>
      </c>
      <c r="B457" s="84" t="s">
        <v>205</v>
      </c>
      <c r="G457" s="2">
        <f t="shared" si="101"/>
        <v>0</v>
      </c>
      <c r="H457" s="2">
        <f t="shared" si="102"/>
        <v>0</v>
      </c>
      <c r="I457" s="48" t="e">
        <f t="shared" si="103"/>
        <v>#DIV/0!</v>
      </c>
      <c r="K457" s="199"/>
      <c r="L457" s="199"/>
      <c r="M457" s="197"/>
      <c r="N457" s="197"/>
      <c r="O457" s="201"/>
      <c r="P457" s="197"/>
      <c r="Q457" s="197"/>
      <c r="R457" s="197"/>
      <c r="S457" s="197"/>
    </row>
    <row r="458" spans="1:19" ht="15" x14ac:dyDescent="0.25">
      <c r="A458" s="35">
        <f t="shared" si="104"/>
        <v>42040</v>
      </c>
      <c r="B458" s="84" t="s">
        <v>205</v>
      </c>
      <c r="G458" s="2">
        <f t="shared" si="101"/>
        <v>0</v>
      </c>
      <c r="H458" s="2">
        <f t="shared" si="102"/>
        <v>0</v>
      </c>
      <c r="I458" s="48" t="e">
        <f t="shared" si="103"/>
        <v>#DIV/0!</v>
      </c>
      <c r="K458" s="199"/>
      <c r="L458" s="199"/>
      <c r="M458" s="197"/>
      <c r="N458" s="197"/>
      <c r="O458" s="199"/>
      <c r="P458" s="197"/>
      <c r="Q458" s="197"/>
      <c r="R458" s="197"/>
      <c r="S458" s="197"/>
    </row>
    <row r="459" spans="1:19" ht="15" x14ac:dyDescent="0.25">
      <c r="A459" s="35">
        <f t="shared" si="104"/>
        <v>42047</v>
      </c>
      <c r="B459" s="84" t="s">
        <v>205</v>
      </c>
      <c r="G459" s="2">
        <f t="shared" si="101"/>
        <v>0</v>
      </c>
      <c r="H459" s="2">
        <f t="shared" si="102"/>
        <v>0</v>
      </c>
      <c r="I459" s="48" t="e">
        <f t="shared" si="103"/>
        <v>#DIV/0!</v>
      </c>
      <c r="K459" s="199"/>
      <c r="L459" s="199"/>
      <c r="M459" s="197"/>
      <c r="N459" s="197"/>
      <c r="O459" s="199"/>
      <c r="P459" s="197"/>
      <c r="Q459" s="197"/>
      <c r="R459" s="197"/>
      <c r="S459" s="197"/>
    </row>
    <row r="460" spans="1:19" ht="15" x14ac:dyDescent="0.25">
      <c r="A460" s="35">
        <f t="shared" si="104"/>
        <v>42054</v>
      </c>
      <c r="B460" s="84" t="s">
        <v>205</v>
      </c>
      <c r="G460" s="2">
        <f t="shared" si="101"/>
        <v>0</v>
      </c>
      <c r="H460" s="2">
        <f t="shared" si="102"/>
        <v>0</v>
      </c>
      <c r="I460" s="48" t="e">
        <f t="shared" si="103"/>
        <v>#DIV/0!</v>
      </c>
      <c r="K460" s="199"/>
      <c r="L460" s="199"/>
      <c r="M460" s="197"/>
      <c r="N460" s="197"/>
      <c r="O460" s="199"/>
      <c r="P460" s="197"/>
      <c r="Q460" s="197"/>
      <c r="R460" s="197"/>
      <c r="S460" s="197"/>
    </row>
    <row r="461" spans="1:19" ht="15" x14ac:dyDescent="0.25">
      <c r="A461" s="35">
        <f t="shared" si="104"/>
        <v>42061</v>
      </c>
      <c r="B461" s="84" t="s">
        <v>205</v>
      </c>
      <c r="G461" s="2">
        <f t="shared" si="101"/>
        <v>0</v>
      </c>
      <c r="H461" s="2">
        <f t="shared" si="102"/>
        <v>0</v>
      </c>
      <c r="I461" s="48" t="e">
        <f t="shared" si="103"/>
        <v>#DIV/0!</v>
      </c>
      <c r="K461" s="199"/>
      <c r="L461" s="199"/>
      <c r="M461" s="197"/>
      <c r="N461" s="197"/>
      <c r="O461" s="199"/>
      <c r="P461" s="197"/>
      <c r="Q461" s="197"/>
      <c r="R461" s="197"/>
      <c r="S461" s="197"/>
    </row>
    <row r="462" spans="1:19" ht="15" x14ac:dyDescent="0.25">
      <c r="A462" s="35">
        <f t="shared" si="104"/>
        <v>42068</v>
      </c>
      <c r="B462" s="84" t="s">
        <v>205</v>
      </c>
      <c r="G462" s="2">
        <f t="shared" si="101"/>
        <v>0</v>
      </c>
      <c r="H462" s="2">
        <f t="shared" si="102"/>
        <v>0</v>
      </c>
      <c r="I462" s="48" t="e">
        <f t="shared" si="103"/>
        <v>#DIV/0!</v>
      </c>
      <c r="K462" s="199"/>
      <c r="L462" s="199"/>
      <c r="M462" s="197"/>
      <c r="N462" s="197"/>
      <c r="O462" s="199"/>
      <c r="P462" s="197"/>
      <c r="Q462" s="197"/>
      <c r="R462" s="197"/>
      <c r="S462" s="197"/>
    </row>
    <row r="463" spans="1:19" ht="15" x14ac:dyDescent="0.25">
      <c r="A463" s="35">
        <f t="shared" si="104"/>
        <v>42075</v>
      </c>
      <c r="B463" s="84" t="s">
        <v>205</v>
      </c>
      <c r="G463" s="2">
        <f t="shared" si="101"/>
        <v>0</v>
      </c>
      <c r="H463" s="2">
        <f t="shared" si="102"/>
        <v>0</v>
      </c>
      <c r="I463" s="48" t="e">
        <f t="shared" si="103"/>
        <v>#DIV/0!</v>
      </c>
      <c r="K463" s="199"/>
      <c r="L463" s="199"/>
      <c r="M463" s="197"/>
      <c r="N463" s="197"/>
      <c r="O463" s="199"/>
      <c r="P463" s="197"/>
      <c r="Q463" s="197"/>
      <c r="R463" s="197"/>
      <c r="S463" s="197"/>
    </row>
    <row r="464" spans="1:19" ht="15" x14ac:dyDescent="0.25">
      <c r="A464" s="35">
        <f t="shared" si="104"/>
        <v>42082</v>
      </c>
      <c r="B464" s="84" t="s">
        <v>205</v>
      </c>
      <c r="G464" s="2">
        <f t="shared" si="101"/>
        <v>0</v>
      </c>
      <c r="H464" s="2">
        <f t="shared" si="102"/>
        <v>0</v>
      </c>
      <c r="I464" s="48" t="e">
        <f t="shared" si="103"/>
        <v>#DIV/0!</v>
      </c>
      <c r="K464" s="199"/>
      <c r="L464" s="199"/>
      <c r="M464" s="197"/>
      <c r="N464" s="197"/>
      <c r="O464" s="199"/>
      <c r="P464" s="197"/>
      <c r="Q464" s="197"/>
      <c r="R464" s="197"/>
      <c r="S464" s="197"/>
    </row>
    <row r="465" spans="1:19" ht="15" x14ac:dyDescent="0.25">
      <c r="A465" s="35">
        <f t="shared" si="104"/>
        <v>42089</v>
      </c>
      <c r="B465" s="84" t="s">
        <v>205</v>
      </c>
      <c r="G465" s="2">
        <f t="shared" si="101"/>
        <v>0</v>
      </c>
      <c r="H465" s="2">
        <f t="shared" si="102"/>
        <v>0</v>
      </c>
      <c r="I465" s="48" t="e">
        <f t="shared" si="103"/>
        <v>#DIV/0!</v>
      </c>
      <c r="K465" s="199"/>
      <c r="L465" s="199"/>
      <c r="M465" s="197"/>
      <c r="N465" s="197"/>
      <c r="O465" s="199"/>
      <c r="P465" s="197"/>
      <c r="Q465" s="197"/>
      <c r="R465" s="197"/>
      <c r="S465" s="197"/>
    </row>
    <row r="466" spans="1:19" ht="15" x14ac:dyDescent="0.25">
      <c r="A466" s="35">
        <f t="shared" si="104"/>
        <v>42096</v>
      </c>
      <c r="B466" s="84" t="s">
        <v>205</v>
      </c>
      <c r="G466" s="2">
        <f t="shared" si="101"/>
        <v>0</v>
      </c>
      <c r="H466" s="2">
        <f t="shared" si="102"/>
        <v>0</v>
      </c>
      <c r="I466" s="48" t="e">
        <f t="shared" si="103"/>
        <v>#DIV/0!</v>
      </c>
      <c r="K466" s="199"/>
      <c r="L466" s="199"/>
      <c r="M466" s="197"/>
      <c r="N466" s="197"/>
      <c r="O466" s="199"/>
      <c r="P466" s="197"/>
      <c r="Q466" s="197"/>
      <c r="R466" s="197"/>
      <c r="S466" s="197"/>
    </row>
    <row r="467" spans="1:19" ht="15" x14ac:dyDescent="0.35">
      <c r="A467" s="35">
        <f t="shared" si="104"/>
        <v>42103</v>
      </c>
      <c r="B467" s="84" t="s">
        <v>205</v>
      </c>
      <c r="K467" s="199"/>
      <c r="L467" s="199"/>
      <c r="M467" s="197"/>
      <c r="N467" s="197"/>
      <c r="O467" s="202"/>
      <c r="P467" s="197"/>
      <c r="Q467" s="197"/>
      <c r="R467" s="197"/>
      <c r="S467" s="197"/>
    </row>
    <row r="468" spans="1:19" ht="15" x14ac:dyDescent="0.25">
      <c r="A468" s="35">
        <f t="shared" si="104"/>
        <v>42110</v>
      </c>
      <c r="B468" s="84" t="s">
        <v>205</v>
      </c>
      <c r="K468" s="199"/>
      <c r="L468" s="199"/>
      <c r="M468" s="197"/>
      <c r="N468" s="197"/>
      <c r="O468" s="197"/>
      <c r="P468" s="197"/>
      <c r="Q468" s="197"/>
      <c r="R468" s="197"/>
      <c r="S468" s="197"/>
    </row>
    <row r="469" spans="1:19" ht="15" x14ac:dyDescent="0.25">
      <c r="A469" s="35">
        <f t="shared" si="104"/>
        <v>42117</v>
      </c>
      <c r="B469" s="84" t="s">
        <v>205</v>
      </c>
      <c r="K469" s="199"/>
      <c r="L469" s="199"/>
      <c r="M469" s="197"/>
      <c r="N469" s="197"/>
      <c r="O469" s="197"/>
      <c r="P469" s="197"/>
      <c r="Q469" s="197"/>
      <c r="R469" s="197"/>
      <c r="S469" s="197"/>
    </row>
    <row r="470" spans="1:19" ht="15" x14ac:dyDescent="0.25">
      <c r="A470" s="35">
        <f t="shared" si="104"/>
        <v>42124</v>
      </c>
      <c r="B470" s="84" t="s">
        <v>205</v>
      </c>
      <c r="K470" s="199"/>
      <c r="L470" s="199"/>
      <c r="M470" s="197"/>
      <c r="N470" s="197"/>
      <c r="O470" s="197"/>
      <c r="P470" s="197"/>
      <c r="Q470" s="197"/>
      <c r="R470" s="197"/>
      <c r="S470" s="197"/>
    </row>
    <row r="471" spans="1:19" ht="15" x14ac:dyDescent="0.25">
      <c r="A471" s="35">
        <f t="shared" si="104"/>
        <v>42131</v>
      </c>
      <c r="B471" s="84" t="s">
        <v>205</v>
      </c>
      <c r="K471" s="199"/>
      <c r="L471" s="199"/>
      <c r="M471" s="197"/>
      <c r="N471" s="197"/>
      <c r="O471" s="197"/>
      <c r="P471" s="197"/>
      <c r="Q471" s="197"/>
      <c r="R471" s="197"/>
      <c r="S471" s="197"/>
    </row>
    <row r="472" spans="1:19" ht="15" x14ac:dyDescent="0.25">
      <c r="A472" s="35">
        <f t="shared" si="104"/>
        <v>42138</v>
      </c>
      <c r="B472" s="84" t="s">
        <v>205</v>
      </c>
      <c r="K472" s="199"/>
      <c r="L472" s="199"/>
      <c r="M472" s="197"/>
      <c r="N472" s="197"/>
      <c r="O472" s="197"/>
      <c r="P472" s="197"/>
      <c r="Q472" s="197"/>
      <c r="R472" s="197"/>
      <c r="S472" s="197"/>
    </row>
    <row r="473" spans="1:19" ht="15" x14ac:dyDescent="0.25">
      <c r="A473" s="35">
        <f t="shared" si="104"/>
        <v>42145</v>
      </c>
      <c r="B473" s="84" t="s">
        <v>205</v>
      </c>
      <c r="K473" s="199"/>
      <c r="L473" s="199"/>
      <c r="M473" s="197"/>
      <c r="N473" s="197"/>
      <c r="O473" s="197"/>
      <c r="P473" s="197"/>
      <c r="Q473" s="197"/>
      <c r="R473" s="197"/>
      <c r="S473" s="197"/>
    </row>
    <row r="474" spans="1:19" ht="15" x14ac:dyDescent="0.25">
      <c r="A474" s="35">
        <f t="shared" si="104"/>
        <v>42152</v>
      </c>
      <c r="B474" s="84" t="s">
        <v>205</v>
      </c>
      <c r="K474" s="199"/>
      <c r="L474" s="199"/>
      <c r="M474" s="197"/>
      <c r="N474" s="197"/>
      <c r="O474" s="197"/>
      <c r="P474" s="197"/>
      <c r="Q474" s="197"/>
      <c r="R474" s="197"/>
      <c r="S474" s="197"/>
    </row>
    <row r="475" spans="1:19" ht="15" x14ac:dyDescent="0.25">
      <c r="A475" s="35">
        <f t="shared" si="104"/>
        <v>42159</v>
      </c>
      <c r="B475" s="84" t="s">
        <v>205</v>
      </c>
      <c r="K475" s="199"/>
      <c r="L475" s="199"/>
      <c r="M475" s="197"/>
      <c r="N475" s="197"/>
      <c r="O475" s="197"/>
      <c r="P475" s="197"/>
      <c r="Q475" s="197"/>
      <c r="R475" s="197"/>
      <c r="S475" s="197"/>
    </row>
    <row r="476" spans="1:19" ht="15" x14ac:dyDescent="0.25">
      <c r="A476" s="35">
        <f t="shared" si="104"/>
        <v>42166</v>
      </c>
      <c r="B476" s="84" t="s">
        <v>205</v>
      </c>
      <c r="K476" s="199"/>
      <c r="L476" s="199"/>
      <c r="M476" s="197"/>
      <c r="N476" s="197"/>
      <c r="O476" s="197"/>
      <c r="P476" s="197"/>
      <c r="Q476" s="197"/>
      <c r="R476" s="197"/>
      <c r="S476" s="197"/>
    </row>
    <row r="477" spans="1:19" ht="15" x14ac:dyDescent="0.25">
      <c r="A477" s="35">
        <f t="shared" si="104"/>
        <v>42173</v>
      </c>
      <c r="B477" s="84" t="s">
        <v>205</v>
      </c>
      <c r="K477" s="199"/>
      <c r="L477" s="197"/>
      <c r="M477" s="197"/>
      <c r="N477" s="197"/>
      <c r="O477" s="197"/>
      <c r="P477" s="197"/>
      <c r="Q477" s="197"/>
      <c r="R477" s="197"/>
      <c r="S477" s="197"/>
    </row>
    <row r="478" spans="1:19" ht="15" x14ac:dyDescent="0.25">
      <c r="A478" s="35">
        <f t="shared" si="104"/>
        <v>42180</v>
      </c>
      <c r="B478" s="84" t="s">
        <v>205</v>
      </c>
      <c r="K478" s="199"/>
      <c r="L478" s="197"/>
      <c r="M478" s="197"/>
      <c r="N478" s="197"/>
      <c r="O478" s="197"/>
      <c r="P478" s="197"/>
      <c r="Q478" s="197"/>
      <c r="R478" s="197"/>
      <c r="S478" s="197"/>
    </row>
    <row r="479" spans="1:19" ht="15" x14ac:dyDescent="0.25">
      <c r="A479" s="35">
        <f t="shared" si="104"/>
        <v>42187</v>
      </c>
      <c r="B479" s="84" t="s">
        <v>205</v>
      </c>
      <c r="K479" s="199"/>
      <c r="L479" s="197"/>
      <c r="M479" s="197"/>
      <c r="N479" s="197"/>
      <c r="O479" s="197"/>
      <c r="P479" s="197"/>
      <c r="Q479" s="197"/>
      <c r="R479" s="197"/>
      <c r="S479" s="197"/>
    </row>
    <row r="480" spans="1:19" ht="15" x14ac:dyDescent="0.25">
      <c r="A480" s="35">
        <f t="shared" si="104"/>
        <v>42194</v>
      </c>
      <c r="B480" s="84" t="s">
        <v>205</v>
      </c>
      <c r="K480" s="199"/>
      <c r="L480" s="197"/>
      <c r="M480" s="197"/>
      <c r="N480" s="197"/>
      <c r="O480" s="197"/>
      <c r="P480" s="197"/>
      <c r="Q480" s="197"/>
      <c r="R480" s="197"/>
      <c r="S480" s="197"/>
    </row>
    <row r="481" spans="1:19" ht="15" x14ac:dyDescent="0.25">
      <c r="A481" s="35">
        <f t="shared" si="104"/>
        <v>42201</v>
      </c>
      <c r="B481" s="84" t="s">
        <v>205</v>
      </c>
      <c r="K481" s="199"/>
      <c r="L481" s="197"/>
      <c r="M481" s="197"/>
      <c r="N481" s="197"/>
      <c r="O481" s="197"/>
      <c r="P481" s="197"/>
      <c r="Q481" s="197"/>
      <c r="R481" s="197"/>
      <c r="S481" s="197"/>
    </row>
    <row r="482" spans="1:19" ht="15" x14ac:dyDescent="0.25">
      <c r="A482" s="35">
        <f t="shared" si="104"/>
        <v>42208</v>
      </c>
      <c r="B482" s="84" t="s">
        <v>205</v>
      </c>
      <c r="K482" s="199"/>
      <c r="L482" s="197"/>
      <c r="M482" s="197"/>
      <c r="N482" s="197"/>
      <c r="O482" s="197"/>
      <c r="P482" s="197"/>
      <c r="Q482" s="197"/>
      <c r="R482" s="197"/>
      <c r="S482" s="197"/>
    </row>
    <row r="483" spans="1:19" ht="15" x14ac:dyDescent="0.25">
      <c r="A483" s="35">
        <f t="shared" si="104"/>
        <v>42215</v>
      </c>
      <c r="B483" s="84" t="s">
        <v>205</v>
      </c>
      <c r="K483" s="199"/>
      <c r="L483" s="197"/>
      <c r="M483" s="197"/>
      <c r="N483" s="197"/>
      <c r="O483" s="197"/>
      <c r="P483" s="197"/>
      <c r="Q483" s="197"/>
      <c r="R483" s="197"/>
      <c r="S483" s="197"/>
    </row>
    <row r="484" spans="1:19" ht="15" x14ac:dyDescent="0.25">
      <c r="A484" s="35">
        <f t="shared" si="104"/>
        <v>42222</v>
      </c>
      <c r="B484" s="84" t="s">
        <v>205</v>
      </c>
      <c r="K484" s="199"/>
      <c r="L484" s="197"/>
      <c r="M484" s="197"/>
      <c r="N484" s="197"/>
      <c r="O484" s="197"/>
      <c r="P484" s="197"/>
      <c r="Q484" s="197"/>
      <c r="R484" s="197"/>
      <c r="S484" s="197"/>
    </row>
    <row r="485" spans="1:19" ht="15" x14ac:dyDescent="0.25">
      <c r="A485" s="35">
        <f t="shared" si="104"/>
        <v>42229</v>
      </c>
      <c r="B485" s="84" t="s">
        <v>205</v>
      </c>
      <c r="K485" s="199"/>
      <c r="L485" s="197"/>
      <c r="M485" s="197"/>
      <c r="N485" s="197"/>
      <c r="O485" s="197"/>
      <c r="P485" s="197"/>
      <c r="Q485" s="197"/>
      <c r="R485" s="197"/>
      <c r="S485" s="197"/>
    </row>
    <row r="486" spans="1:19" ht="15" x14ac:dyDescent="0.25">
      <c r="A486" s="35">
        <f t="shared" si="104"/>
        <v>42236</v>
      </c>
      <c r="B486" s="84" t="s">
        <v>205</v>
      </c>
      <c r="K486" s="199"/>
      <c r="L486" s="197"/>
      <c r="M486" s="197"/>
      <c r="N486" s="197"/>
      <c r="O486" s="197"/>
      <c r="P486" s="197"/>
      <c r="Q486" s="197"/>
      <c r="R486" s="197"/>
      <c r="S486" s="197"/>
    </row>
    <row r="487" spans="1:19" ht="15" x14ac:dyDescent="0.25">
      <c r="A487" s="35">
        <f t="shared" si="104"/>
        <v>42243</v>
      </c>
      <c r="B487" s="84" t="s">
        <v>205</v>
      </c>
      <c r="K487" s="199"/>
      <c r="L487" s="197"/>
      <c r="M487" s="197"/>
      <c r="N487" s="197"/>
      <c r="O487" s="197"/>
      <c r="P487" s="197"/>
      <c r="Q487" s="197"/>
      <c r="R487" s="197"/>
      <c r="S487" s="197"/>
    </row>
    <row r="488" spans="1:19" ht="15" x14ac:dyDescent="0.25">
      <c r="A488" s="35">
        <f t="shared" si="104"/>
        <v>42250</v>
      </c>
      <c r="B488" s="84" t="s">
        <v>205</v>
      </c>
      <c r="K488" s="199"/>
      <c r="L488" s="197"/>
      <c r="M488" s="197"/>
      <c r="N488" s="197"/>
      <c r="O488" s="197"/>
      <c r="P488" s="197"/>
      <c r="Q488" s="197"/>
      <c r="R488" s="197"/>
      <c r="S488" s="197"/>
    </row>
    <row r="489" spans="1:19" ht="15" x14ac:dyDescent="0.25">
      <c r="A489" s="35">
        <f t="shared" si="104"/>
        <v>42257</v>
      </c>
      <c r="B489" s="84" t="s">
        <v>205</v>
      </c>
      <c r="K489" s="199"/>
      <c r="L489" s="197"/>
      <c r="M489" s="197"/>
      <c r="N489" s="197"/>
      <c r="O489" s="197"/>
      <c r="P489" s="197"/>
      <c r="Q489" s="197"/>
      <c r="R489" s="197"/>
      <c r="S489" s="197"/>
    </row>
    <row r="490" spans="1:19" ht="15" x14ac:dyDescent="0.25">
      <c r="A490" s="35">
        <f t="shared" si="104"/>
        <v>42264</v>
      </c>
      <c r="B490" s="84" t="s">
        <v>205</v>
      </c>
      <c r="K490" s="199"/>
      <c r="L490" s="197"/>
      <c r="M490" s="197"/>
      <c r="N490" s="197"/>
      <c r="O490" s="197"/>
      <c r="P490" s="197"/>
      <c r="Q490" s="197"/>
      <c r="R490" s="197"/>
      <c r="S490" s="197"/>
    </row>
    <row r="491" spans="1:19" x14ac:dyDescent="0.25">
      <c r="A491" s="35">
        <f t="shared" si="104"/>
        <v>42271</v>
      </c>
      <c r="B491" s="84" t="s">
        <v>205</v>
      </c>
      <c r="K491" s="201"/>
      <c r="L491" s="197"/>
      <c r="M491" s="197"/>
      <c r="N491" s="197"/>
      <c r="O491" s="197"/>
      <c r="P491" s="197"/>
      <c r="Q491" s="197"/>
      <c r="R491" s="197"/>
      <c r="S491" s="197"/>
    </row>
    <row r="492" spans="1:19" x14ac:dyDescent="0.25">
      <c r="A492" s="35">
        <f t="shared" si="104"/>
        <v>42278</v>
      </c>
      <c r="B492" s="84" t="s">
        <v>205</v>
      </c>
      <c r="K492" s="201"/>
      <c r="L492" s="197"/>
      <c r="M492" s="197"/>
      <c r="N492" s="197"/>
      <c r="O492" s="197"/>
      <c r="P492" s="197"/>
      <c r="Q492" s="197"/>
      <c r="R492" s="197"/>
      <c r="S492" s="197"/>
    </row>
    <row r="493" spans="1:19" ht="15" x14ac:dyDescent="0.25">
      <c r="A493" s="35">
        <f t="shared" si="104"/>
        <v>42285</v>
      </c>
      <c r="B493" s="84" t="s">
        <v>205</v>
      </c>
      <c r="K493" s="199"/>
      <c r="L493" s="197"/>
      <c r="M493" s="197"/>
      <c r="N493" s="197"/>
      <c r="O493" s="197"/>
      <c r="P493" s="197"/>
      <c r="Q493" s="197"/>
      <c r="R493" s="197"/>
      <c r="S493" s="197"/>
    </row>
    <row r="494" spans="1:19" ht="15" x14ac:dyDescent="0.25">
      <c r="A494" s="35">
        <f t="shared" si="104"/>
        <v>42292</v>
      </c>
      <c r="B494" s="84" t="s">
        <v>205</v>
      </c>
      <c r="K494" s="199"/>
      <c r="L494" s="197"/>
      <c r="M494" s="197"/>
      <c r="N494" s="197"/>
      <c r="O494" s="197"/>
      <c r="P494" s="197"/>
      <c r="Q494" s="197"/>
      <c r="R494" s="197"/>
      <c r="S494" s="197"/>
    </row>
    <row r="495" spans="1:19" ht="15" x14ac:dyDescent="0.25">
      <c r="A495" s="35">
        <f t="shared" si="104"/>
        <v>42299</v>
      </c>
      <c r="B495" s="84" t="s">
        <v>205</v>
      </c>
      <c r="K495" s="199"/>
      <c r="L495" s="197"/>
      <c r="M495" s="197"/>
      <c r="N495" s="197"/>
      <c r="O495" s="197"/>
      <c r="P495" s="197"/>
      <c r="Q495" s="197"/>
      <c r="R495" s="197"/>
      <c r="S495" s="197"/>
    </row>
    <row r="496" spans="1:19" x14ac:dyDescent="0.25">
      <c r="A496" s="35">
        <f t="shared" si="104"/>
        <v>42306</v>
      </c>
      <c r="B496" s="84" t="s">
        <v>205</v>
      </c>
      <c r="K496" s="197"/>
      <c r="L496" s="197"/>
      <c r="M496" s="197"/>
      <c r="N496" s="197"/>
      <c r="O496" s="197"/>
      <c r="P496" s="197"/>
      <c r="Q496" s="197"/>
      <c r="R496" s="197"/>
      <c r="S496" s="197"/>
    </row>
    <row r="497" spans="1:19" x14ac:dyDescent="0.25">
      <c r="A497" s="35">
        <f t="shared" si="104"/>
        <v>42313</v>
      </c>
      <c r="B497" s="84" t="s">
        <v>205</v>
      </c>
      <c r="K497" s="197"/>
      <c r="L497" s="197"/>
      <c r="M497" s="197"/>
      <c r="N497" s="197"/>
      <c r="O497" s="197"/>
      <c r="P497" s="197"/>
      <c r="Q497" s="197"/>
      <c r="R497" s="197"/>
      <c r="S497" s="197"/>
    </row>
    <row r="498" spans="1:19" x14ac:dyDescent="0.25">
      <c r="A498" s="35">
        <f t="shared" si="104"/>
        <v>42320</v>
      </c>
      <c r="B498" s="84" t="s">
        <v>205</v>
      </c>
      <c r="K498" s="197"/>
      <c r="L498" s="197"/>
      <c r="M498" s="197"/>
      <c r="N498" s="197"/>
      <c r="O498" s="197"/>
      <c r="P498" s="197"/>
      <c r="Q498" s="197"/>
      <c r="R498" s="197"/>
      <c r="S498" s="197"/>
    </row>
    <row r="499" spans="1:19" x14ac:dyDescent="0.25">
      <c r="A499" s="35">
        <f t="shared" si="104"/>
        <v>42327</v>
      </c>
      <c r="B499" s="84" t="s">
        <v>205</v>
      </c>
      <c r="K499" s="197"/>
      <c r="L499" s="197"/>
      <c r="M499" s="197"/>
      <c r="N499" s="197"/>
      <c r="O499" s="197"/>
      <c r="P499" s="197"/>
      <c r="Q499" s="197"/>
      <c r="R499" s="197"/>
      <c r="S499" s="197"/>
    </row>
    <row r="500" spans="1:19" x14ac:dyDescent="0.25">
      <c r="A500" s="35">
        <f t="shared" si="104"/>
        <v>42334</v>
      </c>
      <c r="B500" s="84" t="s">
        <v>205</v>
      </c>
      <c r="K500" s="197"/>
      <c r="L500" s="197"/>
      <c r="M500" s="197"/>
      <c r="N500" s="197"/>
      <c r="O500" s="197"/>
      <c r="P500" s="197"/>
      <c r="Q500" s="197"/>
      <c r="R500" s="197"/>
      <c r="S500" s="197"/>
    </row>
    <row r="501" spans="1:19" x14ac:dyDescent="0.25">
      <c r="A501" s="35">
        <f t="shared" si="104"/>
        <v>42341</v>
      </c>
      <c r="B501" s="84" t="s">
        <v>205</v>
      </c>
      <c r="K501" s="197"/>
      <c r="L501" s="197"/>
      <c r="M501" s="197"/>
      <c r="N501" s="197"/>
      <c r="O501" s="197"/>
      <c r="P501" s="197"/>
      <c r="Q501" s="197"/>
      <c r="R501" s="197"/>
      <c r="S501" s="197"/>
    </row>
    <row r="502" spans="1:19" x14ac:dyDescent="0.25">
      <c r="A502" s="35">
        <f t="shared" si="104"/>
        <v>42348</v>
      </c>
      <c r="B502" s="84" t="s">
        <v>205</v>
      </c>
      <c r="K502" s="197"/>
      <c r="L502" s="197"/>
      <c r="M502" s="197"/>
      <c r="N502" s="197"/>
      <c r="O502" s="197"/>
      <c r="P502" s="197"/>
      <c r="Q502" s="197"/>
      <c r="R502" s="197"/>
      <c r="S502" s="197"/>
    </row>
    <row r="503" spans="1:19" x14ac:dyDescent="0.25">
      <c r="A503" s="35">
        <f t="shared" si="104"/>
        <v>42355</v>
      </c>
      <c r="B503" s="84" t="s">
        <v>205</v>
      </c>
      <c r="K503" s="197"/>
      <c r="L503" s="197"/>
      <c r="M503" s="197"/>
      <c r="N503" s="197"/>
      <c r="O503" s="197"/>
      <c r="P503" s="197"/>
      <c r="Q503" s="197"/>
      <c r="R503" s="197"/>
      <c r="S503" s="197"/>
    </row>
    <row r="504" spans="1:19" x14ac:dyDescent="0.25">
      <c r="A504" s="35">
        <f t="shared" si="104"/>
        <v>42362</v>
      </c>
      <c r="B504" s="84" t="s">
        <v>205</v>
      </c>
      <c r="K504" s="197"/>
      <c r="L504" s="197"/>
      <c r="M504" s="197"/>
      <c r="N504" s="197"/>
      <c r="O504" s="197"/>
      <c r="P504" s="197"/>
      <c r="Q504" s="197"/>
      <c r="R504" s="197"/>
      <c r="S504" s="197"/>
    </row>
    <row r="505" spans="1:19" x14ac:dyDescent="0.25">
      <c r="A505" s="35">
        <f t="shared" si="104"/>
        <v>42369</v>
      </c>
      <c r="B505" s="84" t="s">
        <v>205</v>
      </c>
      <c r="K505" s="197"/>
      <c r="L505" s="197"/>
      <c r="M505" s="197"/>
      <c r="N505" s="197"/>
      <c r="O505" s="197"/>
      <c r="P505" s="197"/>
      <c r="Q505" s="197"/>
      <c r="R505" s="197"/>
      <c r="S505" s="197"/>
    </row>
    <row r="506" spans="1:19" x14ac:dyDescent="0.25">
      <c r="A506" s="35">
        <f t="shared" si="104"/>
        <v>42376</v>
      </c>
      <c r="B506" s="84" t="s">
        <v>205</v>
      </c>
      <c r="K506" s="197"/>
      <c r="L506" s="197"/>
      <c r="M506" s="197"/>
      <c r="N506" s="197"/>
      <c r="O506" s="197"/>
      <c r="P506" s="197"/>
      <c r="Q506" s="197"/>
      <c r="R506" s="197"/>
      <c r="S506" s="197"/>
    </row>
    <row r="507" spans="1:19" x14ac:dyDescent="0.25">
      <c r="A507" s="35">
        <f t="shared" si="104"/>
        <v>42383</v>
      </c>
      <c r="B507" s="84" t="s">
        <v>205</v>
      </c>
      <c r="K507" s="197"/>
      <c r="L507" s="197"/>
      <c r="M507" s="197"/>
      <c r="N507" s="197"/>
      <c r="O507" s="197"/>
      <c r="P507" s="197"/>
      <c r="Q507" s="197"/>
      <c r="R507" s="197"/>
      <c r="S507" s="197"/>
    </row>
    <row r="508" spans="1:19" x14ac:dyDescent="0.25">
      <c r="A508" s="35">
        <f t="shared" si="104"/>
        <v>42390</v>
      </c>
      <c r="B508" s="84" t="s">
        <v>205</v>
      </c>
      <c r="K508" s="197"/>
      <c r="L508" s="197"/>
      <c r="M508" s="197"/>
      <c r="N508" s="197"/>
      <c r="O508" s="197"/>
      <c r="P508" s="197"/>
      <c r="Q508" s="197"/>
      <c r="R508" s="197"/>
      <c r="S508" s="197"/>
    </row>
    <row r="509" spans="1:19" x14ac:dyDescent="0.25">
      <c r="A509" s="35">
        <f t="shared" si="104"/>
        <v>42397</v>
      </c>
      <c r="B509" s="84" t="s">
        <v>205</v>
      </c>
      <c r="K509" s="197"/>
      <c r="L509" s="197"/>
      <c r="M509" s="197"/>
      <c r="N509" s="197"/>
      <c r="O509" s="197"/>
      <c r="P509" s="197"/>
      <c r="Q509" s="197"/>
      <c r="R509" s="197"/>
      <c r="S509" s="197"/>
    </row>
    <row r="510" spans="1:19" x14ac:dyDescent="0.25">
      <c r="A510" s="35">
        <f t="shared" ref="A510:A573" si="105">+A509+7</f>
        <v>42404</v>
      </c>
      <c r="B510" s="84" t="s">
        <v>205</v>
      </c>
      <c r="K510" s="197"/>
      <c r="L510" s="197"/>
      <c r="M510" s="197"/>
      <c r="N510" s="197"/>
      <c r="O510" s="197"/>
      <c r="P510" s="197"/>
      <c r="Q510" s="197"/>
      <c r="R510" s="197"/>
      <c r="S510" s="197"/>
    </row>
    <row r="511" spans="1:19" x14ac:dyDescent="0.25">
      <c r="A511" s="35">
        <f t="shared" si="105"/>
        <v>42411</v>
      </c>
      <c r="B511" s="84" t="s">
        <v>205</v>
      </c>
      <c r="K511" s="197"/>
      <c r="L511" s="197"/>
      <c r="M511" s="197"/>
      <c r="N511" s="197"/>
      <c r="O511" s="197"/>
      <c r="P511" s="197"/>
      <c r="Q511" s="197"/>
      <c r="R511" s="197"/>
      <c r="S511" s="197"/>
    </row>
    <row r="512" spans="1:19" x14ac:dyDescent="0.25">
      <c r="A512" s="35">
        <f t="shared" si="105"/>
        <v>42418</v>
      </c>
      <c r="B512" s="84" t="s">
        <v>205</v>
      </c>
      <c r="K512" s="197"/>
      <c r="L512" s="197"/>
      <c r="M512" s="197"/>
      <c r="N512" s="197"/>
      <c r="O512" s="197"/>
      <c r="P512" s="197"/>
      <c r="Q512" s="197"/>
      <c r="R512" s="197"/>
      <c r="S512" s="197"/>
    </row>
    <row r="513" spans="1:19" x14ac:dyDescent="0.25">
      <c r="A513" s="35">
        <f t="shared" si="105"/>
        <v>42425</v>
      </c>
      <c r="B513" s="84" t="s">
        <v>205</v>
      </c>
      <c r="K513" s="197"/>
      <c r="L513" s="197"/>
      <c r="M513" s="197"/>
      <c r="N513" s="197"/>
      <c r="O513" s="197"/>
      <c r="P513" s="197"/>
      <c r="Q513" s="197"/>
      <c r="R513" s="197"/>
      <c r="S513" s="197"/>
    </row>
    <row r="514" spans="1:19" x14ac:dyDescent="0.25">
      <c r="A514" s="35">
        <f t="shared" si="105"/>
        <v>42432</v>
      </c>
      <c r="B514" s="84" t="s">
        <v>205</v>
      </c>
      <c r="K514" s="197"/>
      <c r="L514" s="197"/>
      <c r="M514" s="197"/>
      <c r="N514" s="197"/>
      <c r="O514" s="197"/>
      <c r="P514" s="197"/>
      <c r="Q514" s="197"/>
      <c r="R514" s="197"/>
      <c r="S514" s="197"/>
    </row>
    <row r="515" spans="1:19" x14ac:dyDescent="0.25">
      <c r="A515" s="35">
        <f t="shared" si="105"/>
        <v>42439</v>
      </c>
      <c r="B515" s="84" t="s">
        <v>205</v>
      </c>
      <c r="K515" s="197"/>
      <c r="L515" s="197"/>
      <c r="M515" s="197"/>
      <c r="N515" s="197"/>
      <c r="O515" s="197"/>
      <c r="P515" s="197"/>
      <c r="Q515" s="197"/>
      <c r="R515" s="197"/>
      <c r="S515" s="197"/>
    </row>
    <row r="516" spans="1:19" x14ac:dyDescent="0.25">
      <c r="A516" s="35">
        <f t="shared" si="105"/>
        <v>42446</v>
      </c>
      <c r="B516" s="84" t="s">
        <v>205</v>
      </c>
      <c r="K516" s="197"/>
      <c r="L516" s="197"/>
      <c r="M516" s="197"/>
      <c r="N516" s="197"/>
      <c r="O516" s="197"/>
      <c r="P516" s="197"/>
      <c r="Q516" s="197"/>
      <c r="R516" s="197"/>
      <c r="S516" s="197"/>
    </row>
    <row r="517" spans="1:19" x14ac:dyDescent="0.25">
      <c r="A517" s="35">
        <f t="shared" si="105"/>
        <v>42453</v>
      </c>
      <c r="B517" s="84" t="s">
        <v>205</v>
      </c>
      <c r="K517" s="197"/>
      <c r="L517" s="197"/>
      <c r="M517" s="197"/>
      <c r="N517" s="197"/>
      <c r="O517" s="197"/>
      <c r="P517" s="197"/>
      <c r="Q517" s="197"/>
      <c r="R517" s="197"/>
      <c r="S517" s="197"/>
    </row>
    <row r="518" spans="1:19" x14ac:dyDescent="0.25">
      <c r="A518" s="35">
        <f t="shared" si="105"/>
        <v>42460</v>
      </c>
      <c r="B518" s="84" t="s">
        <v>205</v>
      </c>
      <c r="K518" s="197"/>
      <c r="L518" s="197"/>
      <c r="M518" s="197"/>
      <c r="N518" s="197"/>
      <c r="O518" s="197"/>
      <c r="P518" s="197"/>
      <c r="Q518" s="197"/>
      <c r="R518" s="197"/>
      <c r="S518" s="197"/>
    </row>
    <row r="519" spans="1:19" x14ac:dyDescent="0.25">
      <c r="A519" s="35">
        <f t="shared" si="105"/>
        <v>42467</v>
      </c>
      <c r="B519" s="84" t="s">
        <v>205</v>
      </c>
      <c r="K519" s="197"/>
      <c r="L519" s="197"/>
      <c r="M519" s="197"/>
      <c r="N519" s="197"/>
      <c r="O519" s="197"/>
      <c r="P519" s="197"/>
      <c r="Q519" s="197"/>
      <c r="R519" s="197"/>
      <c r="S519" s="197"/>
    </row>
    <row r="520" spans="1:19" x14ac:dyDescent="0.25">
      <c r="A520" s="35">
        <f t="shared" si="105"/>
        <v>42474</v>
      </c>
      <c r="B520" s="84" t="s">
        <v>205</v>
      </c>
      <c r="K520" s="197"/>
      <c r="L520" s="197"/>
      <c r="M520" s="197"/>
      <c r="N520" s="197"/>
      <c r="O520" s="197"/>
      <c r="P520" s="197"/>
      <c r="Q520" s="197"/>
      <c r="R520" s="197"/>
      <c r="S520" s="197"/>
    </row>
    <row r="521" spans="1:19" x14ac:dyDescent="0.25">
      <c r="A521" s="35">
        <f t="shared" si="105"/>
        <v>42481</v>
      </c>
      <c r="B521" s="84" t="s">
        <v>205</v>
      </c>
      <c r="K521" s="197"/>
      <c r="L521" s="197"/>
      <c r="M521" s="197"/>
      <c r="N521" s="197"/>
      <c r="O521" s="197"/>
      <c r="P521" s="197"/>
      <c r="Q521" s="197"/>
      <c r="R521" s="197"/>
      <c r="S521" s="197"/>
    </row>
    <row r="522" spans="1:19" x14ac:dyDescent="0.25">
      <c r="A522" s="35">
        <f t="shared" si="105"/>
        <v>42488</v>
      </c>
      <c r="B522" s="84" t="s">
        <v>205</v>
      </c>
      <c r="K522" s="197"/>
      <c r="L522" s="197"/>
      <c r="M522" s="197"/>
      <c r="N522" s="197"/>
      <c r="O522" s="197"/>
      <c r="P522" s="197"/>
      <c r="Q522" s="197"/>
      <c r="R522" s="197"/>
      <c r="S522" s="197"/>
    </row>
    <row r="523" spans="1:19" x14ac:dyDescent="0.25">
      <c r="A523" s="35">
        <f t="shared" si="105"/>
        <v>42495</v>
      </c>
      <c r="B523" s="84" t="s">
        <v>205</v>
      </c>
      <c r="K523" s="197"/>
      <c r="L523" s="197"/>
      <c r="M523" s="197"/>
      <c r="N523" s="197"/>
      <c r="O523" s="197"/>
      <c r="P523" s="197"/>
      <c r="Q523" s="197"/>
      <c r="R523" s="197"/>
      <c r="S523" s="197"/>
    </row>
    <row r="524" spans="1:19" x14ac:dyDescent="0.25">
      <c r="A524" s="35">
        <f t="shared" si="105"/>
        <v>42502</v>
      </c>
      <c r="B524" s="84" t="s">
        <v>205</v>
      </c>
      <c r="K524" s="197"/>
      <c r="L524" s="197"/>
      <c r="M524" s="197"/>
      <c r="N524" s="197"/>
      <c r="O524" s="197"/>
      <c r="P524" s="197"/>
      <c r="Q524" s="197"/>
      <c r="R524" s="197"/>
      <c r="S524" s="197"/>
    </row>
    <row r="525" spans="1:19" x14ac:dyDescent="0.25">
      <c r="A525" s="35">
        <f t="shared" si="105"/>
        <v>42509</v>
      </c>
      <c r="B525" s="84" t="s">
        <v>205</v>
      </c>
      <c r="K525" s="197"/>
      <c r="L525" s="197"/>
      <c r="M525" s="197"/>
      <c r="N525" s="197"/>
      <c r="O525" s="197"/>
      <c r="P525" s="197"/>
      <c r="Q525" s="197"/>
      <c r="R525" s="197"/>
      <c r="S525" s="197"/>
    </row>
    <row r="526" spans="1:19" x14ac:dyDescent="0.25">
      <c r="A526" s="35">
        <f t="shared" si="105"/>
        <v>42516</v>
      </c>
      <c r="B526" s="84" t="s">
        <v>205</v>
      </c>
      <c r="K526" s="197"/>
      <c r="L526" s="197"/>
      <c r="M526" s="197"/>
      <c r="N526" s="197"/>
      <c r="O526" s="197"/>
      <c r="P526" s="197"/>
      <c r="Q526" s="197"/>
      <c r="R526" s="197"/>
      <c r="S526" s="197"/>
    </row>
    <row r="527" spans="1:19" x14ac:dyDescent="0.25">
      <c r="A527" s="35">
        <f t="shared" si="105"/>
        <v>42523</v>
      </c>
      <c r="B527" s="84" t="s">
        <v>205</v>
      </c>
      <c r="K527" s="197"/>
      <c r="L527" s="197"/>
      <c r="M527" s="197"/>
      <c r="N527" s="197"/>
      <c r="O527" s="197"/>
      <c r="P527" s="197"/>
      <c r="Q527" s="197"/>
      <c r="R527" s="197"/>
      <c r="S527" s="197"/>
    </row>
    <row r="528" spans="1:19" x14ac:dyDescent="0.25">
      <c r="A528" s="35">
        <f t="shared" si="105"/>
        <v>42530</v>
      </c>
      <c r="B528" s="84" t="s">
        <v>205</v>
      </c>
      <c r="K528" s="197"/>
      <c r="L528" s="197"/>
      <c r="M528" s="197"/>
      <c r="N528" s="197"/>
      <c r="O528" s="197"/>
      <c r="P528" s="197"/>
      <c r="Q528" s="197"/>
      <c r="R528" s="197"/>
      <c r="S528" s="197"/>
    </row>
    <row r="529" spans="1:19" x14ac:dyDescent="0.25">
      <c r="A529" s="35">
        <f t="shared" si="105"/>
        <v>42537</v>
      </c>
      <c r="B529" s="84" t="s">
        <v>205</v>
      </c>
      <c r="K529" s="197"/>
      <c r="L529" s="197"/>
      <c r="M529" s="197"/>
      <c r="N529" s="197"/>
      <c r="O529" s="197"/>
      <c r="P529" s="197"/>
      <c r="Q529" s="197"/>
      <c r="R529" s="197"/>
      <c r="S529" s="197"/>
    </row>
    <row r="530" spans="1:19" x14ac:dyDescent="0.25">
      <c r="A530" s="35">
        <f t="shared" si="105"/>
        <v>42544</v>
      </c>
      <c r="B530" s="84" t="s">
        <v>205</v>
      </c>
      <c r="K530" s="197"/>
      <c r="L530" s="197"/>
      <c r="M530" s="197"/>
      <c r="N530" s="197"/>
      <c r="O530" s="197"/>
      <c r="P530" s="197"/>
      <c r="Q530" s="197"/>
      <c r="R530" s="197"/>
      <c r="S530" s="197"/>
    </row>
    <row r="531" spans="1:19" x14ac:dyDescent="0.25">
      <c r="A531" s="35">
        <f t="shared" si="105"/>
        <v>42551</v>
      </c>
      <c r="B531" s="84" t="s">
        <v>205</v>
      </c>
      <c r="K531" s="197"/>
      <c r="L531" s="197"/>
      <c r="M531" s="197"/>
      <c r="N531" s="197"/>
      <c r="O531" s="197"/>
      <c r="P531" s="197"/>
      <c r="Q531" s="197"/>
      <c r="R531" s="197"/>
      <c r="S531" s="197"/>
    </row>
    <row r="532" spans="1:19" x14ac:dyDescent="0.25">
      <c r="A532" s="35">
        <f t="shared" si="105"/>
        <v>42558</v>
      </c>
      <c r="B532" s="84" t="s">
        <v>205</v>
      </c>
      <c r="K532" s="197"/>
      <c r="L532" s="197"/>
      <c r="M532" s="197"/>
      <c r="N532" s="197"/>
      <c r="O532" s="197"/>
      <c r="P532" s="197"/>
      <c r="Q532" s="197"/>
      <c r="R532" s="197"/>
      <c r="S532" s="197"/>
    </row>
    <row r="533" spans="1:19" x14ac:dyDescent="0.25">
      <c r="A533" s="35">
        <f t="shared" si="105"/>
        <v>42565</v>
      </c>
      <c r="B533" s="84" t="s">
        <v>205</v>
      </c>
      <c r="K533" s="197"/>
      <c r="L533" s="197"/>
      <c r="M533" s="197"/>
      <c r="N533" s="197"/>
      <c r="O533" s="197"/>
      <c r="P533" s="197"/>
      <c r="Q533" s="197"/>
      <c r="R533" s="197"/>
      <c r="S533" s="197"/>
    </row>
    <row r="534" spans="1:19" x14ac:dyDescent="0.25">
      <c r="A534" s="35">
        <f t="shared" si="105"/>
        <v>42572</v>
      </c>
      <c r="B534" s="84" t="s">
        <v>205</v>
      </c>
      <c r="K534" s="197"/>
      <c r="L534" s="197"/>
      <c r="M534" s="197"/>
      <c r="N534" s="197"/>
      <c r="O534" s="197"/>
      <c r="P534" s="197"/>
      <c r="Q534" s="197"/>
      <c r="R534" s="197"/>
      <c r="S534" s="197"/>
    </row>
    <row r="535" spans="1:19" x14ac:dyDescent="0.25">
      <c r="A535" s="35">
        <f t="shared" si="105"/>
        <v>42579</v>
      </c>
      <c r="B535" s="84" t="s">
        <v>205</v>
      </c>
      <c r="K535" s="197"/>
      <c r="L535" s="197"/>
      <c r="M535" s="197"/>
      <c r="N535" s="197"/>
      <c r="O535" s="197"/>
      <c r="P535" s="197"/>
      <c r="Q535" s="197"/>
      <c r="R535" s="197"/>
      <c r="S535" s="197"/>
    </row>
    <row r="536" spans="1:19" x14ac:dyDescent="0.25">
      <c r="A536" s="35">
        <f t="shared" si="105"/>
        <v>42586</v>
      </c>
      <c r="B536" s="84" t="s">
        <v>205</v>
      </c>
      <c r="K536" s="197"/>
      <c r="L536" s="197"/>
      <c r="M536" s="197"/>
      <c r="N536" s="197"/>
      <c r="O536" s="197"/>
      <c r="P536" s="197"/>
      <c r="Q536" s="197"/>
      <c r="R536" s="197"/>
      <c r="S536" s="197"/>
    </row>
    <row r="537" spans="1:19" x14ac:dyDescent="0.25">
      <c r="A537" s="35">
        <f t="shared" si="105"/>
        <v>42593</v>
      </c>
      <c r="B537" s="84" t="s">
        <v>205</v>
      </c>
      <c r="K537" s="197"/>
      <c r="L537" s="197"/>
      <c r="M537" s="197"/>
      <c r="N537" s="197"/>
      <c r="O537" s="197"/>
      <c r="P537" s="197"/>
      <c r="Q537" s="197"/>
      <c r="R537" s="197"/>
      <c r="S537" s="197"/>
    </row>
    <row r="538" spans="1:19" x14ac:dyDescent="0.25">
      <c r="A538" s="35">
        <f t="shared" si="105"/>
        <v>42600</v>
      </c>
      <c r="B538" s="84" t="s">
        <v>205</v>
      </c>
      <c r="K538" s="197"/>
      <c r="L538" s="197"/>
      <c r="M538" s="197"/>
      <c r="N538" s="197"/>
      <c r="O538" s="197"/>
      <c r="P538" s="197"/>
      <c r="Q538" s="197"/>
      <c r="R538" s="197"/>
      <c r="S538" s="197"/>
    </row>
    <row r="539" spans="1:19" x14ac:dyDescent="0.25">
      <c r="A539" s="35">
        <f t="shared" si="105"/>
        <v>42607</v>
      </c>
      <c r="B539" s="84" t="s">
        <v>205</v>
      </c>
      <c r="K539" s="197"/>
      <c r="L539" s="197"/>
      <c r="M539" s="197"/>
      <c r="N539" s="197"/>
      <c r="O539" s="197"/>
      <c r="P539" s="197"/>
      <c r="Q539" s="197"/>
      <c r="R539" s="197"/>
      <c r="S539" s="197"/>
    </row>
    <row r="540" spans="1:19" x14ac:dyDescent="0.25">
      <c r="A540" s="35">
        <f t="shared" si="105"/>
        <v>42614</v>
      </c>
      <c r="B540" s="84" t="s">
        <v>205</v>
      </c>
      <c r="K540" s="197"/>
      <c r="L540" s="197"/>
      <c r="M540" s="197"/>
      <c r="N540" s="197"/>
      <c r="O540" s="197"/>
      <c r="P540" s="197"/>
      <c r="Q540" s="197"/>
      <c r="R540" s="197"/>
      <c r="S540" s="197"/>
    </row>
    <row r="541" spans="1:19" x14ac:dyDescent="0.25">
      <c r="A541" s="35">
        <f t="shared" si="105"/>
        <v>42621</v>
      </c>
      <c r="B541" s="84" t="s">
        <v>205</v>
      </c>
      <c r="K541" s="197"/>
      <c r="L541" s="197"/>
      <c r="M541" s="197"/>
      <c r="N541" s="197"/>
      <c r="O541" s="197"/>
      <c r="P541" s="197"/>
      <c r="Q541" s="197"/>
      <c r="R541" s="197"/>
      <c r="S541" s="197"/>
    </row>
    <row r="542" spans="1:19" x14ac:dyDescent="0.25">
      <c r="A542" s="35">
        <f t="shared" si="105"/>
        <v>42628</v>
      </c>
      <c r="B542" s="84" t="s">
        <v>205</v>
      </c>
      <c r="K542" s="197"/>
      <c r="L542" s="197"/>
      <c r="M542" s="197"/>
      <c r="N542" s="197"/>
      <c r="O542" s="197"/>
      <c r="P542" s="197"/>
      <c r="Q542" s="197"/>
      <c r="R542" s="197"/>
      <c r="S542" s="197"/>
    </row>
    <row r="543" spans="1:19" x14ac:dyDescent="0.25">
      <c r="A543" s="35">
        <f t="shared" si="105"/>
        <v>42635</v>
      </c>
      <c r="B543" s="84" t="s">
        <v>205</v>
      </c>
      <c r="K543" s="197"/>
      <c r="L543" s="197"/>
      <c r="M543" s="197"/>
      <c r="N543" s="197"/>
      <c r="O543" s="197"/>
      <c r="P543" s="197"/>
      <c r="Q543" s="197"/>
      <c r="R543" s="197"/>
      <c r="S543" s="197"/>
    </row>
    <row r="544" spans="1:19" x14ac:dyDescent="0.25">
      <c r="A544" s="35">
        <f t="shared" si="105"/>
        <v>42642</v>
      </c>
      <c r="B544" s="84" t="s">
        <v>205</v>
      </c>
      <c r="K544" s="197"/>
      <c r="L544" s="197"/>
      <c r="M544" s="197"/>
      <c r="N544" s="197"/>
      <c r="O544" s="197"/>
      <c r="P544" s="197"/>
      <c r="Q544" s="197"/>
      <c r="R544" s="197"/>
      <c r="S544" s="197"/>
    </row>
    <row r="545" spans="1:19" x14ac:dyDescent="0.25">
      <c r="A545" s="35">
        <f t="shared" si="105"/>
        <v>42649</v>
      </c>
      <c r="B545" s="84" t="s">
        <v>205</v>
      </c>
      <c r="K545" s="197"/>
      <c r="L545" s="197"/>
      <c r="M545" s="197"/>
      <c r="N545" s="197"/>
      <c r="O545" s="197"/>
      <c r="P545" s="197"/>
      <c r="Q545" s="197"/>
      <c r="R545" s="197"/>
      <c r="S545" s="197"/>
    </row>
    <row r="546" spans="1:19" x14ac:dyDescent="0.25">
      <c r="A546" s="35">
        <f t="shared" si="105"/>
        <v>42656</v>
      </c>
      <c r="B546" s="84" t="s">
        <v>205</v>
      </c>
      <c r="K546" s="197"/>
      <c r="L546" s="197"/>
      <c r="M546" s="197"/>
      <c r="N546" s="197"/>
      <c r="O546" s="197"/>
      <c r="P546" s="197"/>
      <c r="Q546" s="197"/>
      <c r="R546" s="197"/>
      <c r="S546" s="197"/>
    </row>
    <row r="547" spans="1:19" x14ac:dyDescent="0.25">
      <c r="A547" s="35">
        <f t="shared" si="105"/>
        <v>42663</v>
      </c>
      <c r="B547" s="84" t="s">
        <v>205</v>
      </c>
      <c r="K547" s="197"/>
      <c r="L547" s="197"/>
      <c r="M547" s="197"/>
      <c r="N547" s="197"/>
      <c r="O547" s="197"/>
      <c r="P547" s="197"/>
      <c r="Q547" s="197"/>
      <c r="R547" s="197"/>
      <c r="S547" s="197"/>
    </row>
    <row r="548" spans="1:19" x14ac:dyDescent="0.25">
      <c r="A548" s="35">
        <f t="shared" si="105"/>
        <v>42670</v>
      </c>
      <c r="B548" s="84" t="s">
        <v>205</v>
      </c>
      <c r="K548" s="197"/>
      <c r="L548" s="197"/>
      <c r="M548" s="197"/>
      <c r="N548" s="197"/>
      <c r="O548" s="197"/>
      <c r="P548" s="197"/>
      <c r="Q548" s="197"/>
      <c r="R548" s="197"/>
      <c r="S548" s="197"/>
    </row>
    <row r="549" spans="1:19" x14ac:dyDescent="0.25">
      <c r="A549" s="35">
        <f t="shared" si="105"/>
        <v>42677</v>
      </c>
      <c r="B549" s="84" t="s">
        <v>205</v>
      </c>
      <c r="K549" s="197"/>
      <c r="L549" s="197"/>
      <c r="M549" s="197"/>
      <c r="N549" s="197"/>
      <c r="O549" s="197"/>
      <c r="P549" s="197"/>
      <c r="Q549" s="197"/>
      <c r="R549" s="197"/>
      <c r="S549" s="197"/>
    </row>
    <row r="550" spans="1:19" x14ac:dyDescent="0.25">
      <c r="A550" s="35">
        <f t="shared" si="105"/>
        <v>42684</v>
      </c>
      <c r="B550" s="84" t="s">
        <v>205</v>
      </c>
      <c r="K550" s="197"/>
      <c r="L550" s="197"/>
      <c r="M550" s="197"/>
      <c r="N550" s="197"/>
      <c r="O550" s="197"/>
      <c r="P550" s="197"/>
      <c r="Q550" s="197"/>
      <c r="R550" s="197"/>
      <c r="S550" s="197"/>
    </row>
    <row r="551" spans="1:19" x14ac:dyDescent="0.25">
      <c r="A551" s="35">
        <f t="shared" si="105"/>
        <v>42691</v>
      </c>
      <c r="B551" s="84" t="s">
        <v>205</v>
      </c>
      <c r="K551" s="197"/>
      <c r="L551" s="197"/>
      <c r="M551" s="197"/>
      <c r="N551" s="197"/>
      <c r="O551" s="197"/>
      <c r="P551" s="197"/>
      <c r="Q551" s="197"/>
      <c r="R551" s="197"/>
      <c r="S551" s="197"/>
    </row>
    <row r="552" spans="1:19" x14ac:dyDescent="0.25">
      <c r="A552" s="35">
        <f t="shared" si="105"/>
        <v>42698</v>
      </c>
      <c r="B552" s="84" t="s">
        <v>205</v>
      </c>
      <c r="K552" s="197"/>
      <c r="L552" s="197"/>
      <c r="M552" s="197"/>
      <c r="N552" s="197"/>
      <c r="O552" s="197"/>
      <c r="P552" s="197"/>
      <c r="Q552" s="197"/>
      <c r="R552" s="197"/>
      <c r="S552" s="197"/>
    </row>
    <row r="553" spans="1:19" x14ac:dyDescent="0.25">
      <c r="A553" s="35">
        <f t="shared" si="105"/>
        <v>42705</v>
      </c>
      <c r="B553" s="84" t="s">
        <v>205</v>
      </c>
      <c r="K553" s="197"/>
      <c r="L553" s="197"/>
      <c r="M553" s="197"/>
      <c r="N553" s="197"/>
      <c r="O553" s="197"/>
      <c r="P553" s="197"/>
      <c r="Q553" s="197"/>
      <c r="R553" s="197"/>
      <c r="S553" s="197"/>
    </row>
    <row r="554" spans="1:19" x14ac:dyDescent="0.25">
      <c r="A554" s="35">
        <f t="shared" si="105"/>
        <v>42712</v>
      </c>
      <c r="B554" s="84" t="s">
        <v>205</v>
      </c>
    </row>
    <row r="555" spans="1:19" x14ac:dyDescent="0.25">
      <c r="A555" s="35">
        <f t="shared" si="105"/>
        <v>42719</v>
      </c>
      <c r="B555" s="84" t="s">
        <v>205</v>
      </c>
    </row>
    <row r="556" spans="1:19" x14ac:dyDescent="0.25">
      <c r="A556" s="35">
        <f t="shared" si="105"/>
        <v>42726</v>
      </c>
      <c r="B556" s="84" t="s">
        <v>205</v>
      </c>
    </row>
    <row r="557" spans="1:19" x14ac:dyDescent="0.25">
      <c r="A557" s="35">
        <f t="shared" si="105"/>
        <v>42733</v>
      </c>
      <c r="B557" s="84" t="s">
        <v>205</v>
      </c>
    </row>
    <row r="558" spans="1:19" x14ac:dyDescent="0.25">
      <c r="A558" s="35">
        <f t="shared" si="105"/>
        <v>42740</v>
      </c>
      <c r="B558" s="84" t="s">
        <v>205</v>
      </c>
    </row>
    <row r="559" spans="1:19" x14ac:dyDescent="0.25">
      <c r="A559" s="35">
        <f t="shared" si="105"/>
        <v>42747</v>
      </c>
      <c r="B559" s="84" t="s">
        <v>205</v>
      </c>
    </row>
    <row r="560" spans="1:19" x14ac:dyDescent="0.25">
      <c r="A560" s="35">
        <f t="shared" si="105"/>
        <v>42754</v>
      </c>
      <c r="B560" s="84" t="s">
        <v>205</v>
      </c>
    </row>
    <row r="561" spans="1:2" x14ac:dyDescent="0.25">
      <c r="A561" s="35">
        <f t="shared" si="105"/>
        <v>42761</v>
      </c>
      <c r="B561" s="84" t="s">
        <v>205</v>
      </c>
    </row>
    <row r="562" spans="1:2" x14ac:dyDescent="0.25">
      <c r="A562" s="35">
        <f t="shared" si="105"/>
        <v>42768</v>
      </c>
      <c r="B562" s="84" t="s">
        <v>205</v>
      </c>
    </row>
    <row r="563" spans="1:2" x14ac:dyDescent="0.25">
      <c r="A563" s="35">
        <f t="shared" si="105"/>
        <v>42775</v>
      </c>
      <c r="B563" s="84" t="s">
        <v>205</v>
      </c>
    </row>
    <row r="564" spans="1:2" x14ac:dyDescent="0.25">
      <c r="A564" s="35">
        <f t="shared" si="105"/>
        <v>42782</v>
      </c>
      <c r="B564" s="84" t="s">
        <v>205</v>
      </c>
    </row>
    <row r="565" spans="1:2" x14ac:dyDescent="0.25">
      <c r="A565" s="35">
        <f t="shared" si="105"/>
        <v>42789</v>
      </c>
      <c r="B565" s="84" t="s">
        <v>205</v>
      </c>
    </row>
    <row r="566" spans="1:2" x14ac:dyDescent="0.25">
      <c r="A566" s="35">
        <f t="shared" si="105"/>
        <v>42796</v>
      </c>
      <c r="B566" s="84" t="s">
        <v>205</v>
      </c>
    </row>
    <row r="567" spans="1:2" x14ac:dyDescent="0.25">
      <c r="A567" s="35">
        <f t="shared" si="105"/>
        <v>42803</v>
      </c>
      <c r="B567" s="84" t="s">
        <v>205</v>
      </c>
    </row>
    <row r="568" spans="1:2" x14ac:dyDescent="0.25">
      <c r="A568" s="35">
        <f t="shared" si="105"/>
        <v>42810</v>
      </c>
      <c r="B568" s="84" t="s">
        <v>205</v>
      </c>
    </row>
    <row r="569" spans="1:2" x14ac:dyDescent="0.25">
      <c r="A569" s="35">
        <f t="shared" si="105"/>
        <v>42817</v>
      </c>
      <c r="B569" s="84" t="s">
        <v>205</v>
      </c>
    </row>
    <row r="570" spans="1:2" x14ac:dyDescent="0.25">
      <c r="A570" s="35">
        <f t="shared" si="105"/>
        <v>42824</v>
      </c>
      <c r="B570" s="84" t="s">
        <v>205</v>
      </c>
    </row>
    <row r="571" spans="1:2" x14ac:dyDescent="0.25">
      <c r="A571" s="35">
        <f t="shared" si="105"/>
        <v>42831</v>
      </c>
      <c r="B571" s="84" t="s">
        <v>205</v>
      </c>
    </row>
    <row r="572" spans="1:2" x14ac:dyDescent="0.25">
      <c r="A572" s="35">
        <f t="shared" si="105"/>
        <v>42838</v>
      </c>
      <c r="B572" s="84" t="s">
        <v>205</v>
      </c>
    </row>
    <row r="573" spans="1:2" x14ac:dyDescent="0.25">
      <c r="A573" s="35">
        <f t="shared" si="105"/>
        <v>42845</v>
      </c>
      <c r="B573" s="84" t="s">
        <v>205</v>
      </c>
    </row>
    <row r="574" spans="1:2" x14ac:dyDescent="0.25">
      <c r="A574" s="35">
        <f t="shared" ref="A574:A637" si="106">+A573+7</f>
        <v>42852</v>
      </c>
      <c r="B574" s="84" t="s">
        <v>205</v>
      </c>
    </row>
    <row r="575" spans="1:2" x14ac:dyDescent="0.25">
      <c r="A575" s="35">
        <f t="shared" si="106"/>
        <v>42859</v>
      </c>
      <c r="B575" s="84" t="s">
        <v>205</v>
      </c>
    </row>
    <row r="576" spans="1:2" x14ac:dyDescent="0.25">
      <c r="A576" s="35">
        <f t="shared" si="106"/>
        <v>42866</v>
      </c>
      <c r="B576" s="84" t="s">
        <v>205</v>
      </c>
    </row>
    <row r="577" spans="1:2" x14ac:dyDescent="0.25">
      <c r="A577" s="35">
        <f t="shared" si="106"/>
        <v>42873</v>
      </c>
      <c r="B577" s="84" t="s">
        <v>205</v>
      </c>
    </row>
    <row r="578" spans="1:2" x14ac:dyDescent="0.25">
      <c r="A578" s="35">
        <f t="shared" si="106"/>
        <v>42880</v>
      </c>
      <c r="B578" s="84" t="s">
        <v>205</v>
      </c>
    </row>
    <row r="579" spans="1:2" x14ac:dyDescent="0.25">
      <c r="A579" s="35">
        <f t="shared" si="106"/>
        <v>42887</v>
      </c>
      <c r="B579" s="84" t="s">
        <v>205</v>
      </c>
    </row>
    <row r="580" spans="1:2" x14ac:dyDescent="0.25">
      <c r="A580" s="35">
        <f t="shared" si="106"/>
        <v>42894</v>
      </c>
      <c r="B580" s="84" t="s">
        <v>205</v>
      </c>
    </row>
    <row r="581" spans="1:2" x14ac:dyDescent="0.25">
      <c r="A581" s="35">
        <f t="shared" si="106"/>
        <v>42901</v>
      </c>
      <c r="B581" s="84" t="s">
        <v>205</v>
      </c>
    </row>
    <row r="582" spans="1:2" x14ac:dyDescent="0.25">
      <c r="A582" s="35">
        <f t="shared" si="106"/>
        <v>42908</v>
      </c>
      <c r="B582" s="84" t="s">
        <v>205</v>
      </c>
    </row>
    <row r="583" spans="1:2" x14ac:dyDescent="0.25">
      <c r="A583" s="35">
        <f t="shared" si="106"/>
        <v>42915</v>
      </c>
      <c r="B583" s="84" t="s">
        <v>205</v>
      </c>
    </row>
    <row r="584" spans="1:2" x14ac:dyDescent="0.25">
      <c r="A584" s="35">
        <f t="shared" si="106"/>
        <v>42922</v>
      </c>
      <c r="B584" s="84" t="s">
        <v>205</v>
      </c>
    </row>
    <row r="585" spans="1:2" x14ac:dyDescent="0.25">
      <c r="A585" s="35">
        <f t="shared" si="106"/>
        <v>42929</v>
      </c>
      <c r="B585" s="84" t="s">
        <v>205</v>
      </c>
    </row>
    <row r="586" spans="1:2" x14ac:dyDescent="0.25">
      <c r="A586" s="35">
        <f t="shared" si="106"/>
        <v>42936</v>
      </c>
      <c r="B586" s="84" t="s">
        <v>205</v>
      </c>
    </row>
    <row r="587" spans="1:2" x14ac:dyDescent="0.25">
      <c r="A587" s="35">
        <f t="shared" si="106"/>
        <v>42943</v>
      </c>
      <c r="B587" s="84" t="s">
        <v>205</v>
      </c>
    </row>
    <row r="588" spans="1:2" x14ac:dyDescent="0.25">
      <c r="A588" s="35">
        <f t="shared" si="106"/>
        <v>42950</v>
      </c>
      <c r="B588" s="84" t="s">
        <v>205</v>
      </c>
    </row>
    <row r="589" spans="1:2" x14ac:dyDescent="0.25">
      <c r="A589" s="35">
        <f t="shared" si="106"/>
        <v>42957</v>
      </c>
      <c r="B589" s="84" t="s">
        <v>205</v>
      </c>
    </row>
    <row r="590" spans="1:2" x14ac:dyDescent="0.25">
      <c r="A590" s="35">
        <f t="shared" si="106"/>
        <v>42964</v>
      </c>
      <c r="B590" s="84" t="s">
        <v>205</v>
      </c>
    </row>
    <row r="591" spans="1:2" x14ac:dyDescent="0.25">
      <c r="A591" s="35">
        <f t="shared" si="106"/>
        <v>42971</v>
      </c>
      <c r="B591" s="84" t="s">
        <v>205</v>
      </c>
    </row>
    <row r="592" spans="1:2" x14ac:dyDescent="0.25">
      <c r="A592" s="35">
        <f t="shared" si="106"/>
        <v>42978</v>
      </c>
      <c r="B592" s="84" t="s">
        <v>205</v>
      </c>
    </row>
    <row r="593" spans="1:2" x14ac:dyDescent="0.25">
      <c r="A593" s="35">
        <f t="shared" si="106"/>
        <v>42985</v>
      </c>
      <c r="B593" s="84" t="s">
        <v>205</v>
      </c>
    </row>
    <row r="594" spans="1:2" x14ac:dyDescent="0.25">
      <c r="A594" s="35">
        <f t="shared" si="106"/>
        <v>42992</v>
      </c>
      <c r="B594" s="84" t="s">
        <v>205</v>
      </c>
    </row>
    <row r="595" spans="1:2" x14ac:dyDescent="0.25">
      <c r="A595" s="35">
        <f t="shared" si="106"/>
        <v>42999</v>
      </c>
      <c r="B595" s="84" t="s">
        <v>205</v>
      </c>
    </row>
    <row r="596" spans="1:2" x14ac:dyDescent="0.25">
      <c r="A596" s="35">
        <f t="shared" si="106"/>
        <v>43006</v>
      </c>
      <c r="B596" s="84" t="s">
        <v>205</v>
      </c>
    </row>
    <row r="597" spans="1:2" x14ac:dyDescent="0.25">
      <c r="A597" s="35">
        <f t="shared" si="106"/>
        <v>43013</v>
      </c>
      <c r="B597" s="84" t="s">
        <v>205</v>
      </c>
    </row>
    <row r="598" spans="1:2" x14ac:dyDescent="0.25">
      <c r="A598" s="35">
        <f t="shared" si="106"/>
        <v>43020</v>
      </c>
      <c r="B598" s="84" t="s">
        <v>205</v>
      </c>
    </row>
    <row r="599" spans="1:2" x14ac:dyDescent="0.25">
      <c r="A599" s="35">
        <f t="shared" si="106"/>
        <v>43027</v>
      </c>
      <c r="B599" s="84" t="s">
        <v>205</v>
      </c>
    </row>
    <row r="600" spans="1:2" x14ac:dyDescent="0.25">
      <c r="A600" s="35">
        <f t="shared" si="106"/>
        <v>43034</v>
      </c>
      <c r="B600" s="84" t="s">
        <v>205</v>
      </c>
    </row>
    <row r="601" spans="1:2" x14ac:dyDescent="0.25">
      <c r="A601" s="35">
        <f t="shared" si="106"/>
        <v>43041</v>
      </c>
      <c r="B601" s="84" t="s">
        <v>205</v>
      </c>
    </row>
    <row r="602" spans="1:2" x14ac:dyDescent="0.25">
      <c r="A602" s="35">
        <f t="shared" si="106"/>
        <v>43048</v>
      </c>
      <c r="B602" s="84" t="s">
        <v>205</v>
      </c>
    </row>
    <row r="603" spans="1:2" x14ac:dyDescent="0.25">
      <c r="A603" s="35">
        <f t="shared" si="106"/>
        <v>43055</v>
      </c>
      <c r="B603" s="84" t="s">
        <v>205</v>
      </c>
    </row>
    <row r="604" spans="1:2" x14ac:dyDescent="0.25">
      <c r="A604" s="35">
        <f t="shared" si="106"/>
        <v>43062</v>
      </c>
      <c r="B604" s="84" t="s">
        <v>205</v>
      </c>
    </row>
    <row r="605" spans="1:2" x14ac:dyDescent="0.25">
      <c r="A605" s="35">
        <f t="shared" si="106"/>
        <v>43069</v>
      </c>
      <c r="B605" s="84" t="s">
        <v>205</v>
      </c>
    </row>
    <row r="606" spans="1:2" x14ac:dyDescent="0.25">
      <c r="A606" s="35">
        <f t="shared" si="106"/>
        <v>43076</v>
      </c>
      <c r="B606" s="84" t="s">
        <v>205</v>
      </c>
    </row>
    <row r="607" spans="1:2" x14ac:dyDescent="0.25">
      <c r="A607" s="35">
        <f t="shared" si="106"/>
        <v>43083</v>
      </c>
      <c r="B607" s="84" t="s">
        <v>205</v>
      </c>
    </row>
    <row r="608" spans="1:2" x14ac:dyDescent="0.25">
      <c r="A608" s="35">
        <f t="shared" si="106"/>
        <v>43090</v>
      </c>
      <c r="B608" s="84" t="s">
        <v>205</v>
      </c>
    </row>
    <row r="609" spans="1:2" x14ac:dyDescent="0.25">
      <c r="A609" s="35">
        <f t="shared" si="106"/>
        <v>43097</v>
      </c>
      <c r="B609" s="84" t="s">
        <v>205</v>
      </c>
    </row>
    <row r="610" spans="1:2" x14ac:dyDescent="0.25">
      <c r="A610" s="35">
        <f t="shared" si="106"/>
        <v>43104</v>
      </c>
      <c r="B610" s="84" t="s">
        <v>205</v>
      </c>
    </row>
    <row r="611" spans="1:2" x14ac:dyDescent="0.25">
      <c r="A611" s="35">
        <f t="shared" si="106"/>
        <v>43111</v>
      </c>
      <c r="B611" s="84" t="s">
        <v>205</v>
      </c>
    </row>
    <row r="612" spans="1:2" x14ac:dyDescent="0.25">
      <c r="A612" s="35">
        <f t="shared" si="106"/>
        <v>43118</v>
      </c>
      <c r="B612" s="84" t="s">
        <v>205</v>
      </c>
    </row>
    <row r="613" spans="1:2" x14ac:dyDescent="0.25">
      <c r="A613" s="35">
        <f t="shared" si="106"/>
        <v>43125</v>
      </c>
      <c r="B613" s="84" t="s">
        <v>205</v>
      </c>
    </row>
    <row r="614" spans="1:2" x14ac:dyDescent="0.25">
      <c r="A614" s="35">
        <f t="shared" si="106"/>
        <v>43132</v>
      </c>
      <c r="B614" s="84" t="s">
        <v>205</v>
      </c>
    </row>
    <row r="615" spans="1:2" x14ac:dyDescent="0.25">
      <c r="A615" s="35">
        <f t="shared" si="106"/>
        <v>43139</v>
      </c>
      <c r="B615" s="84" t="s">
        <v>205</v>
      </c>
    </row>
    <row r="616" spans="1:2" x14ac:dyDescent="0.25">
      <c r="A616" s="35">
        <f t="shared" si="106"/>
        <v>43146</v>
      </c>
      <c r="B616" s="84" t="s">
        <v>205</v>
      </c>
    </row>
    <row r="617" spans="1:2" x14ac:dyDescent="0.25">
      <c r="A617" s="35">
        <f t="shared" si="106"/>
        <v>43153</v>
      </c>
      <c r="B617" s="84" t="s">
        <v>205</v>
      </c>
    </row>
    <row r="618" spans="1:2" x14ac:dyDescent="0.25">
      <c r="A618" s="35">
        <f t="shared" si="106"/>
        <v>43160</v>
      </c>
      <c r="B618" s="84" t="s">
        <v>205</v>
      </c>
    </row>
    <row r="619" spans="1:2" x14ac:dyDescent="0.25">
      <c r="A619" s="35">
        <f t="shared" si="106"/>
        <v>43167</v>
      </c>
      <c r="B619" s="84" t="s">
        <v>205</v>
      </c>
    </row>
    <row r="620" spans="1:2" x14ac:dyDescent="0.25">
      <c r="A620" s="35">
        <f t="shared" si="106"/>
        <v>43174</v>
      </c>
      <c r="B620" s="84" t="s">
        <v>205</v>
      </c>
    </row>
    <row r="621" spans="1:2" x14ac:dyDescent="0.25">
      <c r="A621" s="35">
        <f t="shared" si="106"/>
        <v>43181</v>
      </c>
      <c r="B621" s="84" t="s">
        <v>205</v>
      </c>
    </row>
    <row r="622" spans="1:2" x14ac:dyDescent="0.25">
      <c r="A622" s="35">
        <f t="shared" si="106"/>
        <v>43188</v>
      </c>
      <c r="B622" s="84" t="s">
        <v>205</v>
      </c>
    </row>
    <row r="623" spans="1:2" x14ac:dyDescent="0.25">
      <c r="A623" s="35">
        <f t="shared" si="106"/>
        <v>43195</v>
      </c>
      <c r="B623" s="84" t="s">
        <v>205</v>
      </c>
    </row>
    <row r="624" spans="1:2" x14ac:dyDescent="0.25">
      <c r="A624" s="35">
        <f t="shared" si="106"/>
        <v>43202</v>
      </c>
      <c r="B624" s="84" t="s">
        <v>205</v>
      </c>
    </row>
    <row r="625" spans="1:2" x14ac:dyDescent="0.25">
      <c r="A625" s="35">
        <f t="shared" si="106"/>
        <v>43209</v>
      </c>
      <c r="B625" s="84" t="s">
        <v>205</v>
      </c>
    </row>
    <row r="626" spans="1:2" x14ac:dyDescent="0.25">
      <c r="A626" s="35">
        <f t="shared" si="106"/>
        <v>43216</v>
      </c>
      <c r="B626" s="84" t="s">
        <v>205</v>
      </c>
    </row>
    <row r="627" spans="1:2" x14ac:dyDescent="0.25">
      <c r="A627" s="35">
        <f t="shared" si="106"/>
        <v>43223</v>
      </c>
      <c r="B627" s="84" t="s">
        <v>205</v>
      </c>
    </row>
    <row r="628" spans="1:2" x14ac:dyDescent="0.25">
      <c r="A628" s="35">
        <f t="shared" si="106"/>
        <v>43230</v>
      </c>
      <c r="B628" s="84" t="s">
        <v>205</v>
      </c>
    </row>
    <row r="629" spans="1:2" x14ac:dyDescent="0.25">
      <c r="A629" s="35">
        <f t="shared" si="106"/>
        <v>43237</v>
      </c>
      <c r="B629" s="84" t="s">
        <v>205</v>
      </c>
    </row>
    <row r="630" spans="1:2" x14ac:dyDescent="0.25">
      <c r="A630" s="35">
        <f t="shared" si="106"/>
        <v>43244</v>
      </c>
      <c r="B630" s="84" t="s">
        <v>205</v>
      </c>
    </row>
    <row r="631" spans="1:2" x14ac:dyDescent="0.25">
      <c r="A631" s="35">
        <f t="shared" si="106"/>
        <v>43251</v>
      </c>
      <c r="B631" s="84" t="s">
        <v>205</v>
      </c>
    </row>
    <row r="632" spans="1:2" x14ac:dyDescent="0.25">
      <c r="A632" s="35">
        <f t="shared" si="106"/>
        <v>43258</v>
      </c>
      <c r="B632" s="84" t="s">
        <v>205</v>
      </c>
    </row>
    <row r="633" spans="1:2" x14ac:dyDescent="0.25">
      <c r="A633" s="35">
        <f t="shared" si="106"/>
        <v>43265</v>
      </c>
      <c r="B633" s="84" t="s">
        <v>205</v>
      </c>
    </row>
    <row r="634" spans="1:2" x14ac:dyDescent="0.25">
      <c r="A634" s="35">
        <f t="shared" si="106"/>
        <v>43272</v>
      </c>
      <c r="B634" s="84" t="s">
        <v>205</v>
      </c>
    </row>
    <row r="635" spans="1:2" x14ac:dyDescent="0.25">
      <c r="A635" s="35">
        <f t="shared" si="106"/>
        <v>43279</v>
      </c>
      <c r="B635" s="84" t="s">
        <v>205</v>
      </c>
    </row>
    <row r="636" spans="1:2" x14ac:dyDescent="0.25">
      <c r="A636" s="35">
        <f t="shared" si="106"/>
        <v>43286</v>
      </c>
      <c r="B636" s="84" t="s">
        <v>205</v>
      </c>
    </row>
    <row r="637" spans="1:2" x14ac:dyDescent="0.25">
      <c r="A637" s="35">
        <f t="shared" si="106"/>
        <v>43293</v>
      </c>
      <c r="B637" s="84" t="s">
        <v>205</v>
      </c>
    </row>
    <row r="638" spans="1:2" x14ac:dyDescent="0.25">
      <c r="A638" s="35">
        <f t="shared" ref="A638:A701" si="107">+A637+7</f>
        <v>43300</v>
      </c>
      <c r="B638" s="84" t="s">
        <v>205</v>
      </c>
    </row>
    <row r="639" spans="1:2" x14ac:dyDescent="0.25">
      <c r="A639" s="35">
        <f t="shared" si="107"/>
        <v>43307</v>
      </c>
      <c r="B639" s="84" t="s">
        <v>205</v>
      </c>
    </row>
    <row r="640" spans="1:2" x14ac:dyDescent="0.25">
      <c r="A640" s="35">
        <f t="shared" si="107"/>
        <v>43314</v>
      </c>
      <c r="B640" s="84" t="s">
        <v>205</v>
      </c>
    </row>
    <row r="641" spans="1:2" x14ac:dyDescent="0.25">
      <c r="A641" s="35">
        <f t="shared" si="107"/>
        <v>43321</v>
      </c>
      <c r="B641" s="84" t="s">
        <v>205</v>
      </c>
    </row>
    <row r="642" spans="1:2" x14ac:dyDescent="0.25">
      <c r="A642" s="35">
        <f t="shared" si="107"/>
        <v>43328</v>
      </c>
      <c r="B642" s="84" t="s">
        <v>205</v>
      </c>
    </row>
    <row r="643" spans="1:2" x14ac:dyDescent="0.25">
      <c r="A643" s="35">
        <f t="shared" si="107"/>
        <v>43335</v>
      </c>
      <c r="B643" s="84" t="s">
        <v>205</v>
      </c>
    </row>
    <row r="644" spans="1:2" x14ac:dyDescent="0.25">
      <c r="A644" s="35">
        <f t="shared" si="107"/>
        <v>43342</v>
      </c>
      <c r="B644" s="84" t="s">
        <v>205</v>
      </c>
    </row>
    <row r="645" spans="1:2" x14ac:dyDescent="0.25">
      <c r="A645" s="35">
        <f t="shared" si="107"/>
        <v>43349</v>
      </c>
      <c r="B645" s="84" t="s">
        <v>205</v>
      </c>
    </row>
    <row r="646" spans="1:2" x14ac:dyDescent="0.25">
      <c r="A646" s="35">
        <f t="shared" si="107"/>
        <v>43356</v>
      </c>
      <c r="B646" s="84" t="s">
        <v>205</v>
      </c>
    </row>
    <row r="647" spans="1:2" x14ac:dyDescent="0.25">
      <c r="A647" s="35">
        <f t="shared" si="107"/>
        <v>43363</v>
      </c>
      <c r="B647" s="84" t="s">
        <v>205</v>
      </c>
    </row>
    <row r="648" spans="1:2" x14ac:dyDescent="0.25">
      <c r="A648" s="35">
        <f t="shared" si="107"/>
        <v>43370</v>
      </c>
      <c r="B648" s="84" t="s">
        <v>205</v>
      </c>
    </row>
    <row r="649" spans="1:2" x14ac:dyDescent="0.25">
      <c r="A649" s="35">
        <f t="shared" si="107"/>
        <v>43377</v>
      </c>
      <c r="B649" s="84" t="s">
        <v>205</v>
      </c>
    </row>
    <row r="650" spans="1:2" x14ac:dyDescent="0.25">
      <c r="A650" s="35">
        <f t="shared" si="107"/>
        <v>43384</v>
      </c>
      <c r="B650" s="84" t="s">
        <v>205</v>
      </c>
    </row>
    <row r="651" spans="1:2" x14ac:dyDescent="0.25">
      <c r="A651" s="35">
        <f t="shared" si="107"/>
        <v>43391</v>
      </c>
      <c r="B651" s="84" t="s">
        <v>205</v>
      </c>
    </row>
    <row r="652" spans="1:2" x14ac:dyDescent="0.25">
      <c r="A652" s="35">
        <f t="shared" si="107"/>
        <v>43398</v>
      </c>
      <c r="B652" s="84" t="s">
        <v>205</v>
      </c>
    </row>
    <row r="653" spans="1:2" x14ac:dyDescent="0.25">
      <c r="A653" s="35">
        <f t="shared" si="107"/>
        <v>43405</v>
      </c>
      <c r="B653" s="84" t="s">
        <v>205</v>
      </c>
    </row>
    <row r="654" spans="1:2" x14ac:dyDescent="0.25">
      <c r="A654" s="35">
        <f t="shared" si="107"/>
        <v>43412</v>
      </c>
      <c r="B654" s="84" t="s">
        <v>205</v>
      </c>
    </row>
    <row r="655" spans="1:2" x14ac:dyDescent="0.25">
      <c r="A655" s="35">
        <f t="shared" si="107"/>
        <v>43419</v>
      </c>
      <c r="B655" s="84" t="s">
        <v>205</v>
      </c>
    </row>
    <row r="656" spans="1:2" x14ac:dyDescent="0.25">
      <c r="A656" s="35">
        <f t="shared" si="107"/>
        <v>43426</v>
      </c>
      <c r="B656" s="84" t="s">
        <v>205</v>
      </c>
    </row>
    <row r="657" spans="1:2" x14ac:dyDescent="0.25">
      <c r="A657" s="35">
        <f t="shared" si="107"/>
        <v>43433</v>
      </c>
      <c r="B657" s="84" t="s">
        <v>205</v>
      </c>
    </row>
    <row r="658" spans="1:2" x14ac:dyDescent="0.25">
      <c r="A658" s="35">
        <f t="shared" si="107"/>
        <v>43440</v>
      </c>
      <c r="B658" s="84" t="s">
        <v>205</v>
      </c>
    </row>
    <row r="659" spans="1:2" x14ac:dyDescent="0.25">
      <c r="A659" s="35">
        <f t="shared" si="107"/>
        <v>43447</v>
      </c>
      <c r="B659" s="84" t="s">
        <v>205</v>
      </c>
    </row>
    <row r="660" spans="1:2" x14ac:dyDescent="0.25">
      <c r="A660" s="35">
        <f t="shared" si="107"/>
        <v>43454</v>
      </c>
      <c r="B660" s="84" t="s">
        <v>205</v>
      </c>
    </row>
    <row r="661" spans="1:2" x14ac:dyDescent="0.25">
      <c r="A661" s="35">
        <f t="shared" si="107"/>
        <v>43461</v>
      </c>
      <c r="B661" s="84" t="s">
        <v>205</v>
      </c>
    </row>
    <row r="662" spans="1:2" x14ac:dyDescent="0.25">
      <c r="A662" s="35">
        <f t="shared" si="107"/>
        <v>43468</v>
      </c>
      <c r="B662" s="84" t="s">
        <v>205</v>
      </c>
    </row>
    <row r="663" spans="1:2" x14ac:dyDescent="0.25">
      <c r="A663" s="35">
        <f t="shared" si="107"/>
        <v>43475</v>
      </c>
      <c r="B663" s="84" t="s">
        <v>205</v>
      </c>
    </row>
    <row r="664" spans="1:2" x14ac:dyDescent="0.25">
      <c r="A664" s="35">
        <f t="shared" si="107"/>
        <v>43482</v>
      </c>
      <c r="B664" s="84" t="s">
        <v>205</v>
      </c>
    </row>
    <row r="665" spans="1:2" x14ac:dyDescent="0.25">
      <c r="A665" s="35">
        <f t="shared" si="107"/>
        <v>43489</v>
      </c>
      <c r="B665" s="84" t="s">
        <v>205</v>
      </c>
    </row>
    <row r="666" spans="1:2" x14ac:dyDescent="0.25">
      <c r="A666" s="35">
        <f t="shared" si="107"/>
        <v>43496</v>
      </c>
      <c r="B666" s="84" t="s">
        <v>205</v>
      </c>
    </row>
    <row r="667" spans="1:2" x14ac:dyDescent="0.25">
      <c r="A667" s="35">
        <f t="shared" si="107"/>
        <v>43503</v>
      </c>
      <c r="B667" s="84" t="s">
        <v>205</v>
      </c>
    </row>
    <row r="668" spans="1:2" x14ac:dyDescent="0.25">
      <c r="A668" s="35">
        <f t="shared" si="107"/>
        <v>43510</v>
      </c>
      <c r="B668" s="84" t="s">
        <v>205</v>
      </c>
    </row>
    <row r="669" spans="1:2" x14ac:dyDescent="0.25">
      <c r="A669" s="35">
        <f t="shared" si="107"/>
        <v>43517</v>
      </c>
      <c r="B669" s="84" t="s">
        <v>205</v>
      </c>
    </row>
    <row r="670" spans="1:2" x14ac:dyDescent="0.25">
      <c r="A670" s="35">
        <f t="shared" si="107"/>
        <v>43524</v>
      </c>
      <c r="B670" s="84" t="s">
        <v>205</v>
      </c>
    </row>
    <row r="671" spans="1:2" x14ac:dyDescent="0.25">
      <c r="A671" s="35">
        <f t="shared" si="107"/>
        <v>43531</v>
      </c>
      <c r="B671" s="84" t="s">
        <v>205</v>
      </c>
    </row>
    <row r="672" spans="1:2" x14ac:dyDescent="0.25">
      <c r="A672" s="35">
        <f t="shared" si="107"/>
        <v>43538</v>
      </c>
      <c r="B672" s="84" t="s">
        <v>205</v>
      </c>
    </row>
    <row r="673" spans="1:2" x14ac:dyDescent="0.25">
      <c r="A673" s="35">
        <f t="shared" si="107"/>
        <v>43545</v>
      </c>
      <c r="B673" s="84" t="s">
        <v>205</v>
      </c>
    </row>
    <row r="674" spans="1:2" x14ac:dyDescent="0.25">
      <c r="A674" s="35">
        <f t="shared" si="107"/>
        <v>43552</v>
      </c>
      <c r="B674" s="84" t="s">
        <v>205</v>
      </c>
    </row>
    <row r="675" spans="1:2" x14ac:dyDescent="0.25">
      <c r="A675" s="35">
        <f t="shared" si="107"/>
        <v>43559</v>
      </c>
      <c r="B675" s="84" t="s">
        <v>205</v>
      </c>
    </row>
    <row r="676" spans="1:2" x14ac:dyDescent="0.25">
      <c r="A676" s="35">
        <f t="shared" si="107"/>
        <v>43566</v>
      </c>
      <c r="B676" s="84" t="s">
        <v>205</v>
      </c>
    </row>
    <row r="677" spans="1:2" x14ac:dyDescent="0.25">
      <c r="A677" s="35">
        <f t="shared" si="107"/>
        <v>43573</v>
      </c>
      <c r="B677" s="84" t="s">
        <v>205</v>
      </c>
    </row>
    <row r="678" spans="1:2" x14ac:dyDescent="0.25">
      <c r="A678" s="35">
        <f t="shared" si="107"/>
        <v>43580</v>
      </c>
      <c r="B678" s="84" t="s">
        <v>205</v>
      </c>
    </row>
    <row r="679" spans="1:2" x14ac:dyDescent="0.25">
      <c r="A679" s="35">
        <f t="shared" si="107"/>
        <v>43587</v>
      </c>
      <c r="B679" s="84" t="s">
        <v>205</v>
      </c>
    </row>
    <row r="680" spans="1:2" x14ac:dyDescent="0.25">
      <c r="A680" s="35">
        <f t="shared" si="107"/>
        <v>43594</v>
      </c>
      <c r="B680" s="84" t="s">
        <v>205</v>
      </c>
    </row>
    <row r="681" spans="1:2" x14ac:dyDescent="0.25">
      <c r="A681" s="35">
        <f t="shared" si="107"/>
        <v>43601</v>
      </c>
      <c r="B681" s="84" t="s">
        <v>205</v>
      </c>
    </row>
    <row r="682" spans="1:2" x14ac:dyDescent="0.25">
      <c r="A682" s="35">
        <f t="shared" si="107"/>
        <v>43608</v>
      </c>
      <c r="B682" s="84" t="s">
        <v>205</v>
      </c>
    </row>
    <row r="683" spans="1:2" x14ac:dyDescent="0.25">
      <c r="A683" s="35">
        <f t="shared" si="107"/>
        <v>43615</v>
      </c>
      <c r="B683" s="84" t="s">
        <v>205</v>
      </c>
    </row>
    <row r="684" spans="1:2" x14ac:dyDescent="0.25">
      <c r="A684" s="35">
        <f t="shared" si="107"/>
        <v>43622</v>
      </c>
      <c r="B684" s="84" t="s">
        <v>205</v>
      </c>
    </row>
    <row r="685" spans="1:2" x14ac:dyDescent="0.25">
      <c r="A685" s="35">
        <f t="shared" si="107"/>
        <v>43629</v>
      </c>
      <c r="B685" s="84" t="s">
        <v>205</v>
      </c>
    </row>
    <row r="686" spans="1:2" x14ac:dyDescent="0.25">
      <c r="A686" s="35">
        <f t="shared" si="107"/>
        <v>43636</v>
      </c>
      <c r="B686" s="84" t="s">
        <v>205</v>
      </c>
    </row>
    <row r="687" spans="1:2" x14ac:dyDescent="0.25">
      <c r="A687" s="35">
        <f t="shared" si="107"/>
        <v>43643</v>
      </c>
      <c r="B687" s="84" t="s">
        <v>205</v>
      </c>
    </row>
    <row r="688" spans="1:2" x14ac:dyDescent="0.25">
      <c r="A688" s="35">
        <f t="shared" si="107"/>
        <v>43650</v>
      </c>
      <c r="B688" s="84" t="s">
        <v>205</v>
      </c>
    </row>
    <row r="689" spans="1:2" x14ac:dyDescent="0.25">
      <c r="A689" s="35">
        <f t="shared" si="107"/>
        <v>43657</v>
      </c>
      <c r="B689" s="84" t="s">
        <v>205</v>
      </c>
    </row>
    <row r="690" spans="1:2" x14ac:dyDescent="0.25">
      <c r="A690" s="35">
        <f t="shared" si="107"/>
        <v>43664</v>
      </c>
      <c r="B690" s="84" t="s">
        <v>205</v>
      </c>
    </row>
    <row r="691" spans="1:2" x14ac:dyDescent="0.25">
      <c r="A691" s="35">
        <f t="shared" si="107"/>
        <v>43671</v>
      </c>
      <c r="B691" s="84" t="s">
        <v>205</v>
      </c>
    </row>
    <row r="692" spans="1:2" x14ac:dyDescent="0.25">
      <c r="A692" s="35">
        <f t="shared" si="107"/>
        <v>43678</v>
      </c>
      <c r="B692" s="84" t="s">
        <v>205</v>
      </c>
    </row>
    <row r="693" spans="1:2" x14ac:dyDescent="0.25">
      <c r="A693" s="35">
        <f t="shared" si="107"/>
        <v>43685</v>
      </c>
      <c r="B693" s="84" t="s">
        <v>205</v>
      </c>
    </row>
    <row r="694" spans="1:2" x14ac:dyDescent="0.25">
      <c r="A694" s="35">
        <f t="shared" si="107"/>
        <v>43692</v>
      </c>
      <c r="B694" s="84" t="s">
        <v>205</v>
      </c>
    </row>
    <row r="695" spans="1:2" x14ac:dyDescent="0.25">
      <c r="A695" s="35">
        <f t="shared" si="107"/>
        <v>43699</v>
      </c>
      <c r="B695" s="84" t="s">
        <v>205</v>
      </c>
    </row>
    <row r="696" spans="1:2" x14ac:dyDescent="0.25">
      <c r="A696" s="35">
        <f t="shared" si="107"/>
        <v>43706</v>
      </c>
      <c r="B696" s="84" t="s">
        <v>205</v>
      </c>
    </row>
    <row r="697" spans="1:2" x14ac:dyDescent="0.25">
      <c r="A697" s="35">
        <f t="shared" si="107"/>
        <v>43713</v>
      </c>
      <c r="B697" s="84" t="s">
        <v>205</v>
      </c>
    </row>
    <row r="698" spans="1:2" x14ac:dyDescent="0.25">
      <c r="A698" s="35">
        <f t="shared" si="107"/>
        <v>43720</v>
      </c>
      <c r="B698" s="84" t="s">
        <v>205</v>
      </c>
    </row>
    <row r="699" spans="1:2" x14ac:dyDescent="0.25">
      <c r="A699" s="35">
        <f t="shared" si="107"/>
        <v>43727</v>
      </c>
      <c r="B699" s="84" t="s">
        <v>205</v>
      </c>
    </row>
    <row r="700" spans="1:2" x14ac:dyDescent="0.25">
      <c r="A700" s="35">
        <f t="shared" si="107"/>
        <v>43734</v>
      </c>
      <c r="B700" s="84" t="s">
        <v>205</v>
      </c>
    </row>
    <row r="701" spans="1:2" x14ac:dyDescent="0.25">
      <c r="A701" s="35">
        <f t="shared" si="107"/>
        <v>43741</v>
      </c>
      <c r="B701" s="84" t="s">
        <v>205</v>
      </c>
    </row>
    <row r="702" spans="1:2" x14ac:dyDescent="0.25">
      <c r="A702" s="35">
        <f t="shared" ref="A702:A765" si="108">+A701+7</f>
        <v>43748</v>
      </c>
      <c r="B702" s="84" t="s">
        <v>205</v>
      </c>
    </row>
    <row r="703" spans="1:2" x14ac:dyDescent="0.25">
      <c r="A703" s="35">
        <f t="shared" si="108"/>
        <v>43755</v>
      </c>
      <c r="B703" s="84" t="s">
        <v>205</v>
      </c>
    </row>
    <row r="704" spans="1:2" x14ac:dyDescent="0.25">
      <c r="A704" s="35">
        <f t="shared" si="108"/>
        <v>43762</v>
      </c>
      <c r="B704" s="84" t="s">
        <v>205</v>
      </c>
    </row>
    <row r="705" spans="1:2" x14ac:dyDescent="0.25">
      <c r="A705" s="35">
        <f t="shared" si="108"/>
        <v>43769</v>
      </c>
      <c r="B705" s="84" t="s">
        <v>205</v>
      </c>
    </row>
    <row r="706" spans="1:2" x14ac:dyDescent="0.25">
      <c r="A706" s="35">
        <f t="shared" si="108"/>
        <v>43776</v>
      </c>
      <c r="B706" s="84" t="s">
        <v>205</v>
      </c>
    </row>
    <row r="707" spans="1:2" x14ac:dyDescent="0.25">
      <c r="A707" s="35">
        <f t="shared" si="108"/>
        <v>43783</v>
      </c>
      <c r="B707" s="84" t="s">
        <v>205</v>
      </c>
    </row>
    <row r="708" spans="1:2" x14ac:dyDescent="0.25">
      <c r="A708" s="35">
        <f t="shared" si="108"/>
        <v>43790</v>
      </c>
      <c r="B708" s="84" t="s">
        <v>205</v>
      </c>
    </row>
    <row r="709" spans="1:2" x14ac:dyDescent="0.25">
      <c r="A709" s="35">
        <f t="shared" si="108"/>
        <v>43797</v>
      </c>
      <c r="B709" s="84" t="s">
        <v>205</v>
      </c>
    </row>
    <row r="710" spans="1:2" x14ac:dyDescent="0.25">
      <c r="A710" s="35">
        <f t="shared" si="108"/>
        <v>43804</v>
      </c>
      <c r="B710" s="84" t="s">
        <v>205</v>
      </c>
    </row>
    <row r="711" spans="1:2" x14ac:dyDescent="0.25">
      <c r="A711" s="35">
        <f t="shared" si="108"/>
        <v>43811</v>
      </c>
      <c r="B711" s="84" t="s">
        <v>205</v>
      </c>
    </row>
    <row r="712" spans="1:2" x14ac:dyDescent="0.25">
      <c r="A712" s="35">
        <f t="shared" si="108"/>
        <v>43818</v>
      </c>
      <c r="B712" s="84" t="s">
        <v>205</v>
      </c>
    </row>
    <row r="713" spans="1:2" x14ac:dyDescent="0.25">
      <c r="A713" s="35">
        <f t="shared" si="108"/>
        <v>43825</v>
      </c>
      <c r="B713" s="84" t="s">
        <v>205</v>
      </c>
    </row>
    <row r="714" spans="1:2" x14ac:dyDescent="0.25">
      <c r="A714" s="35">
        <f t="shared" si="108"/>
        <v>43832</v>
      </c>
      <c r="B714" s="84" t="s">
        <v>205</v>
      </c>
    </row>
    <row r="715" spans="1:2" x14ac:dyDescent="0.25">
      <c r="A715" s="35">
        <f t="shared" si="108"/>
        <v>43839</v>
      </c>
      <c r="B715" s="84" t="s">
        <v>205</v>
      </c>
    </row>
    <row r="716" spans="1:2" x14ac:dyDescent="0.25">
      <c r="A716" s="35">
        <f t="shared" si="108"/>
        <v>43846</v>
      </c>
      <c r="B716" s="84" t="s">
        <v>205</v>
      </c>
    </row>
    <row r="717" spans="1:2" x14ac:dyDescent="0.25">
      <c r="A717" s="35">
        <f t="shared" si="108"/>
        <v>43853</v>
      </c>
      <c r="B717" s="84" t="s">
        <v>205</v>
      </c>
    </row>
    <row r="718" spans="1:2" x14ac:dyDescent="0.25">
      <c r="A718" s="35">
        <f t="shared" si="108"/>
        <v>43860</v>
      </c>
      <c r="B718" s="84" t="s">
        <v>205</v>
      </c>
    </row>
    <row r="719" spans="1:2" x14ac:dyDescent="0.25">
      <c r="A719" s="35">
        <f t="shared" si="108"/>
        <v>43867</v>
      </c>
      <c r="B719" s="84" t="s">
        <v>205</v>
      </c>
    </row>
    <row r="720" spans="1:2" x14ac:dyDescent="0.25">
      <c r="A720" s="35">
        <f t="shared" si="108"/>
        <v>43874</v>
      </c>
      <c r="B720" s="84" t="s">
        <v>205</v>
      </c>
    </row>
    <row r="721" spans="1:2" x14ac:dyDescent="0.25">
      <c r="A721" s="35">
        <f t="shared" si="108"/>
        <v>43881</v>
      </c>
      <c r="B721" s="84" t="s">
        <v>205</v>
      </c>
    </row>
    <row r="722" spans="1:2" x14ac:dyDescent="0.25">
      <c r="A722" s="35">
        <f t="shared" si="108"/>
        <v>43888</v>
      </c>
      <c r="B722" s="84" t="s">
        <v>205</v>
      </c>
    </row>
    <row r="723" spans="1:2" x14ac:dyDescent="0.25">
      <c r="A723" s="35">
        <f t="shared" si="108"/>
        <v>43895</v>
      </c>
      <c r="B723" s="84" t="s">
        <v>205</v>
      </c>
    </row>
    <row r="724" spans="1:2" x14ac:dyDescent="0.25">
      <c r="A724" s="35">
        <f t="shared" si="108"/>
        <v>43902</v>
      </c>
      <c r="B724" s="84" t="s">
        <v>205</v>
      </c>
    </row>
    <row r="725" spans="1:2" x14ac:dyDescent="0.25">
      <c r="A725" s="35">
        <f t="shared" si="108"/>
        <v>43909</v>
      </c>
      <c r="B725" s="84" t="s">
        <v>205</v>
      </c>
    </row>
    <row r="726" spans="1:2" x14ac:dyDescent="0.25">
      <c r="A726" s="35">
        <f t="shared" si="108"/>
        <v>43916</v>
      </c>
      <c r="B726" s="84" t="s">
        <v>205</v>
      </c>
    </row>
    <row r="727" spans="1:2" x14ac:dyDescent="0.25">
      <c r="A727" s="35">
        <f t="shared" si="108"/>
        <v>43923</v>
      </c>
      <c r="B727" s="84" t="s">
        <v>205</v>
      </c>
    </row>
    <row r="728" spans="1:2" x14ac:dyDescent="0.25">
      <c r="A728" s="35">
        <f t="shared" si="108"/>
        <v>43930</v>
      </c>
      <c r="B728" s="84" t="s">
        <v>205</v>
      </c>
    </row>
    <row r="729" spans="1:2" x14ac:dyDescent="0.25">
      <c r="A729" s="35">
        <f t="shared" si="108"/>
        <v>43937</v>
      </c>
      <c r="B729" s="84" t="s">
        <v>205</v>
      </c>
    </row>
    <row r="730" spans="1:2" x14ac:dyDescent="0.25">
      <c r="A730" s="35">
        <f t="shared" si="108"/>
        <v>43944</v>
      </c>
      <c r="B730" s="84" t="s">
        <v>205</v>
      </c>
    </row>
    <row r="731" spans="1:2" x14ac:dyDescent="0.25">
      <c r="A731" s="35">
        <f t="shared" si="108"/>
        <v>43951</v>
      </c>
      <c r="B731" s="84" t="s">
        <v>205</v>
      </c>
    </row>
    <row r="732" spans="1:2" x14ac:dyDescent="0.25">
      <c r="A732" s="35">
        <f t="shared" si="108"/>
        <v>43958</v>
      </c>
      <c r="B732" s="84" t="s">
        <v>205</v>
      </c>
    </row>
    <row r="733" spans="1:2" x14ac:dyDescent="0.25">
      <c r="A733" s="35">
        <f t="shared" si="108"/>
        <v>43965</v>
      </c>
      <c r="B733" s="84" t="s">
        <v>205</v>
      </c>
    </row>
    <row r="734" spans="1:2" x14ac:dyDescent="0.25">
      <c r="A734" s="35">
        <f t="shared" si="108"/>
        <v>43972</v>
      </c>
      <c r="B734" s="84" t="s">
        <v>205</v>
      </c>
    </row>
    <row r="735" spans="1:2" x14ac:dyDescent="0.25">
      <c r="A735" s="35">
        <f t="shared" si="108"/>
        <v>43979</v>
      </c>
      <c r="B735" s="84" t="s">
        <v>205</v>
      </c>
    </row>
    <row r="736" spans="1:2" x14ac:dyDescent="0.25">
      <c r="A736" s="35">
        <f t="shared" si="108"/>
        <v>43986</v>
      </c>
      <c r="B736" s="84" t="s">
        <v>205</v>
      </c>
    </row>
    <row r="737" spans="1:2" x14ac:dyDescent="0.25">
      <c r="A737" s="35">
        <f t="shared" si="108"/>
        <v>43993</v>
      </c>
      <c r="B737" s="84" t="s">
        <v>205</v>
      </c>
    </row>
    <row r="738" spans="1:2" x14ac:dyDescent="0.25">
      <c r="A738" s="35">
        <f t="shared" si="108"/>
        <v>44000</v>
      </c>
      <c r="B738" s="84" t="s">
        <v>205</v>
      </c>
    </row>
    <row r="739" spans="1:2" x14ac:dyDescent="0.25">
      <c r="A739" s="35">
        <f t="shared" si="108"/>
        <v>44007</v>
      </c>
      <c r="B739" s="84" t="s">
        <v>205</v>
      </c>
    </row>
    <row r="740" spans="1:2" x14ac:dyDescent="0.25">
      <c r="A740" s="35">
        <f t="shared" si="108"/>
        <v>44014</v>
      </c>
      <c r="B740" s="84" t="s">
        <v>205</v>
      </c>
    </row>
    <row r="741" spans="1:2" x14ac:dyDescent="0.25">
      <c r="A741" s="35">
        <f t="shared" si="108"/>
        <v>44021</v>
      </c>
      <c r="B741" s="84" t="s">
        <v>205</v>
      </c>
    </row>
    <row r="742" spans="1:2" x14ac:dyDescent="0.25">
      <c r="A742" s="35">
        <f t="shared" si="108"/>
        <v>44028</v>
      </c>
      <c r="B742" s="84" t="s">
        <v>205</v>
      </c>
    </row>
    <row r="743" spans="1:2" x14ac:dyDescent="0.25">
      <c r="A743" s="35">
        <f t="shared" si="108"/>
        <v>44035</v>
      </c>
      <c r="B743" s="84" t="s">
        <v>205</v>
      </c>
    </row>
    <row r="744" spans="1:2" x14ac:dyDescent="0.25">
      <c r="A744" s="35">
        <f t="shared" si="108"/>
        <v>44042</v>
      </c>
      <c r="B744" s="84" t="s">
        <v>205</v>
      </c>
    </row>
    <row r="745" spans="1:2" x14ac:dyDescent="0.25">
      <c r="A745" s="35">
        <f t="shared" si="108"/>
        <v>44049</v>
      </c>
      <c r="B745" s="84" t="s">
        <v>205</v>
      </c>
    </row>
    <row r="746" spans="1:2" x14ac:dyDescent="0.25">
      <c r="A746" s="35">
        <f t="shared" si="108"/>
        <v>44056</v>
      </c>
      <c r="B746" s="84" t="s">
        <v>205</v>
      </c>
    </row>
    <row r="747" spans="1:2" x14ac:dyDescent="0.25">
      <c r="A747" s="35">
        <f t="shared" si="108"/>
        <v>44063</v>
      </c>
      <c r="B747" s="84" t="s">
        <v>205</v>
      </c>
    </row>
    <row r="748" spans="1:2" x14ac:dyDescent="0.25">
      <c r="A748" s="35">
        <f t="shared" si="108"/>
        <v>44070</v>
      </c>
      <c r="B748" s="84" t="s">
        <v>205</v>
      </c>
    </row>
    <row r="749" spans="1:2" x14ac:dyDescent="0.25">
      <c r="A749" s="35">
        <f t="shared" si="108"/>
        <v>44077</v>
      </c>
      <c r="B749" s="84" t="s">
        <v>205</v>
      </c>
    </row>
    <row r="750" spans="1:2" x14ac:dyDescent="0.25">
      <c r="A750" s="35">
        <f t="shared" si="108"/>
        <v>44084</v>
      </c>
      <c r="B750" s="84" t="s">
        <v>205</v>
      </c>
    </row>
    <row r="751" spans="1:2" x14ac:dyDescent="0.25">
      <c r="A751" s="35">
        <f t="shared" si="108"/>
        <v>44091</v>
      </c>
      <c r="B751" s="84" t="s">
        <v>205</v>
      </c>
    </row>
    <row r="752" spans="1:2" x14ac:dyDescent="0.25">
      <c r="A752" s="35">
        <f t="shared" si="108"/>
        <v>44098</v>
      </c>
      <c r="B752" s="84" t="s">
        <v>205</v>
      </c>
    </row>
    <row r="753" spans="1:2" x14ac:dyDescent="0.25">
      <c r="A753" s="35">
        <f t="shared" si="108"/>
        <v>44105</v>
      </c>
      <c r="B753" s="84" t="s">
        <v>205</v>
      </c>
    </row>
    <row r="754" spans="1:2" x14ac:dyDescent="0.25">
      <c r="A754" s="35">
        <f t="shared" si="108"/>
        <v>44112</v>
      </c>
      <c r="B754" s="84" t="s">
        <v>205</v>
      </c>
    </row>
    <row r="755" spans="1:2" x14ac:dyDescent="0.25">
      <c r="A755" s="35">
        <f t="shared" si="108"/>
        <v>44119</v>
      </c>
      <c r="B755" s="84" t="s">
        <v>205</v>
      </c>
    </row>
    <row r="756" spans="1:2" x14ac:dyDescent="0.25">
      <c r="A756" s="35">
        <f t="shared" si="108"/>
        <v>44126</v>
      </c>
      <c r="B756" s="84" t="s">
        <v>205</v>
      </c>
    </row>
    <row r="757" spans="1:2" x14ac:dyDescent="0.25">
      <c r="A757" s="35">
        <f t="shared" si="108"/>
        <v>44133</v>
      </c>
      <c r="B757" s="84" t="s">
        <v>205</v>
      </c>
    </row>
    <row r="758" spans="1:2" x14ac:dyDescent="0.25">
      <c r="A758" s="35">
        <f t="shared" si="108"/>
        <v>44140</v>
      </c>
      <c r="B758" s="84" t="s">
        <v>205</v>
      </c>
    </row>
    <row r="759" spans="1:2" x14ac:dyDescent="0.25">
      <c r="A759" s="35">
        <f t="shared" si="108"/>
        <v>44147</v>
      </c>
      <c r="B759" s="84" t="s">
        <v>205</v>
      </c>
    </row>
    <row r="760" spans="1:2" x14ac:dyDescent="0.25">
      <c r="A760" s="35">
        <f t="shared" si="108"/>
        <v>44154</v>
      </c>
      <c r="B760" s="84" t="s">
        <v>205</v>
      </c>
    </row>
    <row r="761" spans="1:2" x14ac:dyDescent="0.25">
      <c r="A761" s="35">
        <f t="shared" si="108"/>
        <v>44161</v>
      </c>
      <c r="B761" s="84" t="s">
        <v>205</v>
      </c>
    </row>
    <row r="762" spans="1:2" x14ac:dyDescent="0.25">
      <c r="A762" s="35">
        <f t="shared" si="108"/>
        <v>44168</v>
      </c>
      <c r="B762" s="84" t="s">
        <v>205</v>
      </c>
    </row>
    <row r="763" spans="1:2" x14ac:dyDescent="0.25">
      <c r="A763" s="35">
        <f t="shared" si="108"/>
        <v>44175</v>
      </c>
      <c r="B763" s="84" t="s">
        <v>205</v>
      </c>
    </row>
    <row r="764" spans="1:2" x14ac:dyDescent="0.25">
      <c r="A764" s="35">
        <f t="shared" si="108"/>
        <v>44182</v>
      </c>
      <c r="B764" s="84" t="s">
        <v>205</v>
      </c>
    </row>
    <row r="765" spans="1:2" x14ac:dyDescent="0.25">
      <c r="A765" s="35">
        <f t="shared" si="108"/>
        <v>44189</v>
      </c>
      <c r="B765" s="84" t="s">
        <v>205</v>
      </c>
    </row>
    <row r="766" spans="1:2" x14ac:dyDescent="0.25">
      <c r="A766" s="35">
        <f t="shared" ref="A766:A829" si="109">+A765+7</f>
        <v>44196</v>
      </c>
      <c r="B766" s="84" t="s">
        <v>205</v>
      </c>
    </row>
    <row r="767" spans="1:2" x14ac:dyDescent="0.25">
      <c r="A767" s="35">
        <f t="shared" si="109"/>
        <v>44203</v>
      </c>
      <c r="B767" s="84" t="s">
        <v>205</v>
      </c>
    </row>
    <row r="768" spans="1:2" x14ac:dyDescent="0.25">
      <c r="A768" s="35">
        <f t="shared" si="109"/>
        <v>44210</v>
      </c>
      <c r="B768" s="84" t="s">
        <v>205</v>
      </c>
    </row>
    <row r="769" spans="1:2" x14ac:dyDescent="0.25">
      <c r="A769" s="35">
        <f t="shared" si="109"/>
        <v>44217</v>
      </c>
      <c r="B769" s="84" t="s">
        <v>205</v>
      </c>
    </row>
    <row r="770" spans="1:2" x14ac:dyDescent="0.25">
      <c r="A770" s="35">
        <f t="shared" si="109"/>
        <v>44224</v>
      </c>
      <c r="B770" s="84" t="s">
        <v>205</v>
      </c>
    </row>
    <row r="771" spans="1:2" x14ac:dyDescent="0.25">
      <c r="A771" s="35">
        <f t="shared" si="109"/>
        <v>44231</v>
      </c>
      <c r="B771" s="84" t="s">
        <v>205</v>
      </c>
    </row>
    <row r="772" spans="1:2" x14ac:dyDescent="0.25">
      <c r="A772" s="35">
        <f t="shared" si="109"/>
        <v>44238</v>
      </c>
      <c r="B772" s="84" t="s">
        <v>205</v>
      </c>
    </row>
    <row r="773" spans="1:2" x14ac:dyDescent="0.25">
      <c r="A773" s="35">
        <f t="shared" si="109"/>
        <v>44245</v>
      </c>
      <c r="B773" s="84" t="s">
        <v>205</v>
      </c>
    </row>
    <row r="774" spans="1:2" x14ac:dyDescent="0.25">
      <c r="A774" s="35">
        <f t="shared" si="109"/>
        <v>44252</v>
      </c>
      <c r="B774" s="84" t="s">
        <v>205</v>
      </c>
    </row>
    <row r="775" spans="1:2" x14ac:dyDescent="0.25">
      <c r="A775" s="35">
        <f t="shared" si="109"/>
        <v>44259</v>
      </c>
      <c r="B775" s="84" t="s">
        <v>205</v>
      </c>
    </row>
    <row r="776" spans="1:2" x14ac:dyDescent="0.25">
      <c r="A776" s="35">
        <f t="shared" si="109"/>
        <v>44266</v>
      </c>
      <c r="B776" s="84" t="s">
        <v>205</v>
      </c>
    </row>
    <row r="777" spans="1:2" x14ac:dyDescent="0.25">
      <c r="A777" s="35">
        <f t="shared" si="109"/>
        <v>44273</v>
      </c>
      <c r="B777" s="84" t="s">
        <v>205</v>
      </c>
    </row>
    <row r="778" spans="1:2" x14ac:dyDescent="0.25">
      <c r="A778" s="35">
        <f t="shared" si="109"/>
        <v>44280</v>
      </c>
      <c r="B778" s="84" t="s">
        <v>205</v>
      </c>
    </row>
    <row r="779" spans="1:2" x14ac:dyDescent="0.25">
      <c r="A779" s="35">
        <f t="shared" si="109"/>
        <v>44287</v>
      </c>
      <c r="B779" s="84" t="s">
        <v>205</v>
      </c>
    </row>
    <row r="780" spans="1:2" x14ac:dyDescent="0.25">
      <c r="A780" s="35">
        <f t="shared" si="109"/>
        <v>44294</v>
      </c>
      <c r="B780" s="84" t="s">
        <v>205</v>
      </c>
    </row>
    <row r="781" spans="1:2" x14ac:dyDescent="0.25">
      <c r="A781" s="35">
        <f t="shared" si="109"/>
        <v>44301</v>
      </c>
      <c r="B781" s="84" t="s">
        <v>205</v>
      </c>
    </row>
    <row r="782" spans="1:2" x14ac:dyDescent="0.25">
      <c r="A782" s="35">
        <f t="shared" si="109"/>
        <v>44308</v>
      </c>
      <c r="B782" s="84" t="s">
        <v>205</v>
      </c>
    </row>
    <row r="783" spans="1:2" x14ac:dyDescent="0.25">
      <c r="A783" s="35">
        <f t="shared" si="109"/>
        <v>44315</v>
      </c>
      <c r="B783" s="84" t="s">
        <v>205</v>
      </c>
    </row>
    <row r="784" spans="1:2" x14ac:dyDescent="0.25">
      <c r="A784" s="35">
        <f t="shared" si="109"/>
        <v>44322</v>
      </c>
      <c r="B784" s="84" t="s">
        <v>205</v>
      </c>
    </row>
    <row r="785" spans="1:2" x14ac:dyDescent="0.25">
      <c r="A785" s="35">
        <f t="shared" si="109"/>
        <v>44329</v>
      </c>
      <c r="B785" s="84" t="s">
        <v>205</v>
      </c>
    </row>
    <row r="786" spans="1:2" x14ac:dyDescent="0.25">
      <c r="A786" s="35">
        <f t="shared" si="109"/>
        <v>44336</v>
      </c>
      <c r="B786" s="84" t="s">
        <v>205</v>
      </c>
    </row>
    <row r="787" spans="1:2" x14ac:dyDescent="0.25">
      <c r="A787" s="35">
        <f t="shared" si="109"/>
        <v>44343</v>
      </c>
      <c r="B787" s="84" t="s">
        <v>205</v>
      </c>
    </row>
    <row r="788" spans="1:2" x14ac:dyDescent="0.25">
      <c r="A788" s="35">
        <f t="shared" si="109"/>
        <v>44350</v>
      </c>
      <c r="B788" s="84" t="s">
        <v>205</v>
      </c>
    </row>
    <row r="789" spans="1:2" x14ac:dyDescent="0.25">
      <c r="A789" s="35">
        <f t="shared" si="109"/>
        <v>44357</v>
      </c>
      <c r="B789" s="84" t="s">
        <v>205</v>
      </c>
    </row>
    <row r="790" spans="1:2" x14ac:dyDescent="0.25">
      <c r="A790" s="35">
        <f t="shared" si="109"/>
        <v>44364</v>
      </c>
      <c r="B790" s="84" t="s">
        <v>205</v>
      </c>
    </row>
    <row r="791" spans="1:2" x14ac:dyDescent="0.25">
      <c r="A791" s="35">
        <f t="shared" si="109"/>
        <v>44371</v>
      </c>
      <c r="B791" s="84" t="s">
        <v>205</v>
      </c>
    </row>
    <row r="792" spans="1:2" x14ac:dyDescent="0.25">
      <c r="A792" s="35">
        <f t="shared" si="109"/>
        <v>44378</v>
      </c>
      <c r="B792" s="84" t="s">
        <v>205</v>
      </c>
    </row>
    <row r="793" spans="1:2" x14ac:dyDescent="0.25">
      <c r="A793" s="35">
        <f t="shared" si="109"/>
        <v>44385</v>
      </c>
      <c r="B793" s="84" t="s">
        <v>205</v>
      </c>
    </row>
    <row r="794" spans="1:2" x14ac:dyDescent="0.25">
      <c r="A794" s="35">
        <f t="shared" si="109"/>
        <v>44392</v>
      </c>
      <c r="B794" s="84" t="s">
        <v>205</v>
      </c>
    </row>
    <row r="795" spans="1:2" x14ac:dyDescent="0.25">
      <c r="A795" s="35">
        <f t="shared" si="109"/>
        <v>44399</v>
      </c>
      <c r="B795" s="84" t="s">
        <v>205</v>
      </c>
    </row>
    <row r="796" spans="1:2" x14ac:dyDescent="0.25">
      <c r="A796" s="35">
        <f t="shared" si="109"/>
        <v>44406</v>
      </c>
      <c r="B796" s="84" t="s">
        <v>205</v>
      </c>
    </row>
    <row r="797" spans="1:2" x14ac:dyDescent="0.25">
      <c r="A797" s="35">
        <f t="shared" si="109"/>
        <v>44413</v>
      </c>
      <c r="B797" s="84" t="s">
        <v>205</v>
      </c>
    </row>
    <row r="798" spans="1:2" x14ac:dyDescent="0.25">
      <c r="A798" s="35">
        <f t="shared" si="109"/>
        <v>44420</v>
      </c>
      <c r="B798" s="84" t="s">
        <v>205</v>
      </c>
    </row>
    <row r="799" spans="1:2" x14ac:dyDescent="0.25">
      <c r="A799" s="35">
        <f t="shared" si="109"/>
        <v>44427</v>
      </c>
      <c r="B799" s="84" t="s">
        <v>205</v>
      </c>
    </row>
    <row r="800" spans="1:2" x14ac:dyDescent="0.25">
      <c r="A800" s="35">
        <f t="shared" si="109"/>
        <v>44434</v>
      </c>
      <c r="B800" s="84" t="s">
        <v>205</v>
      </c>
    </row>
    <row r="801" spans="1:2" x14ac:dyDescent="0.25">
      <c r="A801" s="35">
        <f t="shared" si="109"/>
        <v>44441</v>
      </c>
      <c r="B801" s="84" t="s">
        <v>205</v>
      </c>
    </row>
    <row r="802" spans="1:2" x14ac:dyDescent="0.25">
      <c r="A802" s="35">
        <f t="shared" si="109"/>
        <v>44448</v>
      </c>
      <c r="B802" s="84" t="s">
        <v>205</v>
      </c>
    </row>
    <row r="803" spans="1:2" x14ac:dyDescent="0.25">
      <c r="A803" s="35">
        <f t="shared" si="109"/>
        <v>44455</v>
      </c>
      <c r="B803" s="84" t="s">
        <v>205</v>
      </c>
    </row>
    <row r="804" spans="1:2" x14ac:dyDescent="0.25">
      <c r="A804" s="35">
        <f t="shared" si="109"/>
        <v>44462</v>
      </c>
      <c r="B804" s="84" t="s">
        <v>205</v>
      </c>
    </row>
    <row r="805" spans="1:2" x14ac:dyDescent="0.25">
      <c r="A805" s="35">
        <f t="shared" si="109"/>
        <v>44469</v>
      </c>
      <c r="B805" s="84" t="s">
        <v>205</v>
      </c>
    </row>
    <row r="806" spans="1:2" x14ac:dyDescent="0.25">
      <c r="A806" s="35">
        <f t="shared" si="109"/>
        <v>44476</v>
      </c>
      <c r="B806" s="84" t="s">
        <v>205</v>
      </c>
    </row>
    <row r="807" spans="1:2" x14ac:dyDescent="0.25">
      <c r="A807" s="35">
        <f t="shared" si="109"/>
        <v>44483</v>
      </c>
      <c r="B807" s="84" t="s">
        <v>205</v>
      </c>
    </row>
    <row r="808" spans="1:2" x14ac:dyDescent="0.25">
      <c r="A808" s="35">
        <f t="shared" si="109"/>
        <v>44490</v>
      </c>
      <c r="B808" s="84" t="s">
        <v>205</v>
      </c>
    </row>
    <row r="809" spans="1:2" x14ac:dyDescent="0.25">
      <c r="A809" s="35">
        <f t="shared" si="109"/>
        <v>44497</v>
      </c>
      <c r="B809" s="84" t="s">
        <v>205</v>
      </c>
    </row>
    <row r="810" spans="1:2" x14ac:dyDescent="0.25">
      <c r="A810" s="35">
        <f t="shared" si="109"/>
        <v>44504</v>
      </c>
      <c r="B810" s="84" t="s">
        <v>205</v>
      </c>
    </row>
    <row r="811" spans="1:2" x14ac:dyDescent="0.25">
      <c r="A811" s="35">
        <f t="shared" si="109"/>
        <v>44511</v>
      </c>
      <c r="B811" s="84" t="s">
        <v>205</v>
      </c>
    </row>
    <row r="812" spans="1:2" x14ac:dyDescent="0.25">
      <c r="A812" s="35">
        <f t="shared" si="109"/>
        <v>44518</v>
      </c>
      <c r="B812" s="84" t="s">
        <v>205</v>
      </c>
    </row>
    <row r="813" spans="1:2" x14ac:dyDescent="0.25">
      <c r="A813" s="35">
        <f t="shared" si="109"/>
        <v>44525</v>
      </c>
      <c r="B813" s="84" t="s">
        <v>205</v>
      </c>
    </row>
    <row r="814" spans="1:2" x14ac:dyDescent="0.25">
      <c r="A814" s="35">
        <f t="shared" si="109"/>
        <v>44532</v>
      </c>
      <c r="B814" s="84" t="s">
        <v>205</v>
      </c>
    </row>
    <row r="815" spans="1:2" x14ac:dyDescent="0.25">
      <c r="A815" s="35">
        <f t="shared" si="109"/>
        <v>44539</v>
      </c>
      <c r="B815" s="84" t="s">
        <v>205</v>
      </c>
    </row>
    <row r="816" spans="1:2" x14ac:dyDescent="0.25">
      <c r="A816" s="35">
        <f t="shared" si="109"/>
        <v>44546</v>
      </c>
      <c r="B816" s="84" t="s">
        <v>205</v>
      </c>
    </row>
    <row r="817" spans="1:2" x14ac:dyDescent="0.25">
      <c r="A817" s="35">
        <f t="shared" si="109"/>
        <v>44553</v>
      </c>
      <c r="B817" s="84" t="s">
        <v>205</v>
      </c>
    </row>
    <row r="818" spans="1:2" x14ac:dyDescent="0.25">
      <c r="A818" s="35">
        <f t="shared" si="109"/>
        <v>44560</v>
      </c>
      <c r="B818" s="84" t="s">
        <v>205</v>
      </c>
    </row>
    <row r="819" spans="1:2" x14ac:dyDescent="0.25">
      <c r="A819" s="35">
        <f t="shared" si="109"/>
        <v>44567</v>
      </c>
      <c r="B819" s="84" t="s">
        <v>205</v>
      </c>
    </row>
    <row r="820" spans="1:2" x14ac:dyDescent="0.25">
      <c r="A820" s="35">
        <f t="shared" si="109"/>
        <v>44574</v>
      </c>
      <c r="B820" s="84" t="s">
        <v>205</v>
      </c>
    </row>
    <row r="821" spans="1:2" x14ac:dyDescent="0.25">
      <c r="A821" s="35">
        <f t="shared" si="109"/>
        <v>44581</v>
      </c>
      <c r="B821" s="84" t="s">
        <v>205</v>
      </c>
    </row>
    <row r="822" spans="1:2" x14ac:dyDescent="0.25">
      <c r="A822" s="35">
        <f t="shared" si="109"/>
        <v>44588</v>
      </c>
      <c r="B822" s="84" t="s">
        <v>205</v>
      </c>
    </row>
    <row r="823" spans="1:2" x14ac:dyDescent="0.25">
      <c r="A823" s="35">
        <f t="shared" si="109"/>
        <v>44595</v>
      </c>
      <c r="B823" s="84" t="s">
        <v>205</v>
      </c>
    </row>
    <row r="824" spans="1:2" x14ac:dyDescent="0.25">
      <c r="A824" s="35">
        <f t="shared" si="109"/>
        <v>44602</v>
      </c>
      <c r="B824" s="84" t="s">
        <v>205</v>
      </c>
    </row>
    <row r="825" spans="1:2" x14ac:dyDescent="0.25">
      <c r="A825" s="35">
        <f t="shared" si="109"/>
        <v>44609</v>
      </c>
      <c r="B825" s="84" t="s">
        <v>205</v>
      </c>
    </row>
    <row r="826" spans="1:2" x14ac:dyDescent="0.25">
      <c r="A826" s="35">
        <f t="shared" si="109"/>
        <v>44616</v>
      </c>
      <c r="B826" s="84" t="s">
        <v>205</v>
      </c>
    </row>
    <row r="827" spans="1:2" x14ac:dyDescent="0.25">
      <c r="A827" s="35">
        <f t="shared" si="109"/>
        <v>44623</v>
      </c>
      <c r="B827" s="84" t="s">
        <v>205</v>
      </c>
    </row>
    <row r="828" spans="1:2" x14ac:dyDescent="0.25">
      <c r="A828" s="35">
        <f t="shared" si="109"/>
        <v>44630</v>
      </c>
      <c r="B828" s="84" t="s">
        <v>205</v>
      </c>
    </row>
    <row r="829" spans="1:2" x14ac:dyDescent="0.25">
      <c r="A829" s="35">
        <f t="shared" si="109"/>
        <v>44637</v>
      </c>
      <c r="B829" s="84" t="s">
        <v>205</v>
      </c>
    </row>
    <row r="830" spans="1:2" x14ac:dyDescent="0.25">
      <c r="A830" s="35">
        <f t="shared" ref="A830:A893" si="110">+A829+7</f>
        <v>44644</v>
      </c>
      <c r="B830" s="84" t="s">
        <v>205</v>
      </c>
    </row>
    <row r="831" spans="1:2" x14ac:dyDescent="0.25">
      <c r="A831" s="35">
        <f t="shared" si="110"/>
        <v>44651</v>
      </c>
      <c r="B831" s="84" t="s">
        <v>205</v>
      </c>
    </row>
    <row r="832" spans="1:2" x14ac:dyDescent="0.25">
      <c r="A832" s="35">
        <f t="shared" si="110"/>
        <v>44658</v>
      </c>
      <c r="B832" s="84" t="s">
        <v>205</v>
      </c>
    </row>
    <row r="833" spans="1:2" x14ac:dyDescent="0.25">
      <c r="A833" s="35">
        <f t="shared" si="110"/>
        <v>44665</v>
      </c>
      <c r="B833" s="84" t="s">
        <v>205</v>
      </c>
    </row>
    <row r="834" spans="1:2" x14ac:dyDescent="0.25">
      <c r="A834" s="35">
        <f t="shared" si="110"/>
        <v>44672</v>
      </c>
      <c r="B834" s="84" t="s">
        <v>205</v>
      </c>
    </row>
    <row r="835" spans="1:2" x14ac:dyDescent="0.25">
      <c r="A835" s="35">
        <f t="shared" si="110"/>
        <v>44679</v>
      </c>
      <c r="B835" s="84" t="s">
        <v>205</v>
      </c>
    </row>
    <row r="836" spans="1:2" x14ac:dyDescent="0.25">
      <c r="A836" s="35">
        <f t="shared" si="110"/>
        <v>44686</v>
      </c>
      <c r="B836" s="84" t="s">
        <v>205</v>
      </c>
    </row>
    <row r="837" spans="1:2" x14ac:dyDescent="0.25">
      <c r="A837" s="35">
        <f t="shared" si="110"/>
        <v>44693</v>
      </c>
      <c r="B837" s="84" t="s">
        <v>205</v>
      </c>
    </row>
    <row r="838" spans="1:2" x14ac:dyDescent="0.25">
      <c r="A838" s="35">
        <f t="shared" si="110"/>
        <v>44700</v>
      </c>
      <c r="B838" s="84" t="s">
        <v>205</v>
      </c>
    </row>
    <row r="839" spans="1:2" x14ac:dyDescent="0.25">
      <c r="A839" s="35">
        <f t="shared" si="110"/>
        <v>44707</v>
      </c>
      <c r="B839" s="84" t="s">
        <v>205</v>
      </c>
    </row>
    <row r="840" spans="1:2" x14ac:dyDescent="0.25">
      <c r="A840" s="35">
        <f t="shared" si="110"/>
        <v>44714</v>
      </c>
      <c r="B840" s="84" t="s">
        <v>205</v>
      </c>
    </row>
    <row r="841" spans="1:2" x14ac:dyDescent="0.25">
      <c r="A841" s="35">
        <f t="shared" si="110"/>
        <v>44721</v>
      </c>
      <c r="B841" s="84" t="s">
        <v>205</v>
      </c>
    </row>
    <row r="842" spans="1:2" x14ac:dyDescent="0.25">
      <c r="A842" s="35">
        <f t="shared" si="110"/>
        <v>44728</v>
      </c>
      <c r="B842" s="84" t="s">
        <v>205</v>
      </c>
    </row>
    <row r="843" spans="1:2" x14ac:dyDescent="0.25">
      <c r="A843" s="35">
        <f t="shared" si="110"/>
        <v>44735</v>
      </c>
      <c r="B843" s="84" t="s">
        <v>205</v>
      </c>
    </row>
    <row r="844" spans="1:2" x14ac:dyDescent="0.25">
      <c r="A844" s="35">
        <f t="shared" si="110"/>
        <v>44742</v>
      </c>
      <c r="B844" s="84" t="s">
        <v>205</v>
      </c>
    </row>
    <row r="845" spans="1:2" x14ac:dyDescent="0.25">
      <c r="A845" s="35">
        <f t="shared" si="110"/>
        <v>44749</v>
      </c>
      <c r="B845" s="84" t="s">
        <v>205</v>
      </c>
    </row>
    <row r="846" spans="1:2" x14ac:dyDescent="0.25">
      <c r="A846" s="35">
        <f t="shared" si="110"/>
        <v>44756</v>
      </c>
      <c r="B846" s="84" t="s">
        <v>205</v>
      </c>
    </row>
    <row r="847" spans="1:2" x14ac:dyDescent="0.25">
      <c r="A847" s="35">
        <f t="shared" si="110"/>
        <v>44763</v>
      </c>
      <c r="B847" s="84" t="s">
        <v>205</v>
      </c>
    </row>
    <row r="848" spans="1:2" x14ac:dyDescent="0.25">
      <c r="A848" s="35">
        <f t="shared" si="110"/>
        <v>44770</v>
      </c>
      <c r="B848" s="84" t="s">
        <v>205</v>
      </c>
    </row>
    <row r="849" spans="1:2" x14ac:dyDescent="0.25">
      <c r="A849" s="35">
        <f t="shared" si="110"/>
        <v>44777</v>
      </c>
      <c r="B849" s="84" t="s">
        <v>205</v>
      </c>
    </row>
    <row r="850" spans="1:2" x14ac:dyDescent="0.25">
      <c r="A850" s="35">
        <f t="shared" si="110"/>
        <v>44784</v>
      </c>
      <c r="B850" s="84" t="s">
        <v>205</v>
      </c>
    </row>
    <row r="851" spans="1:2" x14ac:dyDescent="0.25">
      <c r="A851" s="35">
        <f t="shared" si="110"/>
        <v>44791</v>
      </c>
      <c r="B851" s="84" t="s">
        <v>205</v>
      </c>
    </row>
    <row r="852" spans="1:2" x14ac:dyDescent="0.25">
      <c r="A852" s="35">
        <f t="shared" si="110"/>
        <v>44798</v>
      </c>
      <c r="B852" s="84" t="s">
        <v>205</v>
      </c>
    </row>
    <row r="853" spans="1:2" x14ac:dyDescent="0.25">
      <c r="A853" s="35">
        <f t="shared" si="110"/>
        <v>44805</v>
      </c>
      <c r="B853" s="84" t="s">
        <v>205</v>
      </c>
    </row>
    <row r="854" spans="1:2" x14ac:dyDescent="0.25">
      <c r="A854" s="35">
        <f t="shared" si="110"/>
        <v>44812</v>
      </c>
      <c r="B854" s="84" t="s">
        <v>205</v>
      </c>
    </row>
    <row r="855" spans="1:2" x14ac:dyDescent="0.25">
      <c r="A855" s="35">
        <f t="shared" si="110"/>
        <v>44819</v>
      </c>
      <c r="B855" s="84" t="s">
        <v>205</v>
      </c>
    </row>
    <row r="856" spans="1:2" x14ac:dyDescent="0.25">
      <c r="A856" s="35">
        <f t="shared" si="110"/>
        <v>44826</v>
      </c>
      <c r="B856" s="84" t="s">
        <v>205</v>
      </c>
    </row>
    <row r="857" spans="1:2" x14ac:dyDescent="0.25">
      <c r="A857" s="35">
        <f t="shared" si="110"/>
        <v>44833</v>
      </c>
      <c r="B857" s="84" t="s">
        <v>205</v>
      </c>
    </row>
    <row r="858" spans="1:2" x14ac:dyDescent="0.25">
      <c r="A858" s="35">
        <f t="shared" si="110"/>
        <v>44840</v>
      </c>
      <c r="B858" s="84" t="s">
        <v>205</v>
      </c>
    </row>
    <row r="859" spans="1:2" x14ac:dyDescent="0.25">
      <c r="A859" s="35">
        <f t="shared" si="110"/>
        <v>44847</v>
      </c>
      <c r="B859" s="84" t="s">
        <v>205</v>
      </c>
    </row>
    <row r="860" spans="1:2" x14ac:dyDescent="0.25">
      <c r="A860" s="35">
        <f t="shared" si="110"/>
        <v>44854</v>
      </c>
      <c r="B860" s="84" t="s">
        <v>205</v>
      </c>
    </row>
    <row r="861" spans="1:2" x14ac:dyDescent="0.25">
      <c r="A861" s="35">
        <f t="shared" si="110"/>
        <v>44861</v>
      </c>
      <c r="B861" s="84" t="s">
        <v>205</v>
      </c>
    </row>
    <row r="862" spans="1:2" x14ac:dyDescent="0.25">
      <c r="A862" s="35">
        <f t="shared" si="110"/>
        <v>44868</v>
      </c>
      <c r="B862" s="84" t="s">
        <v>205</v>
      </c>
    </row>
    <row r="863" spans="1:2" x14ac:dyDescent="0.25">
      <c r="A863" s="35">
        <f t="shared" si="110"/>
        <v>44875</v>
      </c>
      <c r="B863" s="84" t="s">
        <v>205</v>
      </c>
    </row>
    <row r="864" spans="1:2" x14ac:dyDescent="0.25">
      <c r="A864" s="35">
        <f t="shared" si="110"/>
        <v>44882</v>
      </c>
      <c r="B864" s="84" t="s">
        <v>205</v>
      </c>
    </row>
    <row r="865" spans="1:2" x14ac:dyDescent="0.25">
      <c r="A865" s="35">
        <f t="shared" si="110"/>
        <v>44889</v>
      </c>
      <c r="B865" s="84" t="s">
        <v>205</v>
      </c>
    </row>
    <row r="866" spans="1:2" x14ac:dyDescent="0.25">
      <c r="A866" s="35">
        <f t="shared" si="110"/>
        <v>44896</v>
      </c>
      <c r="B866" s="84" t="s">
        <v>205</v>
      </c>
    </row>
    <row r="867" spans="1:2" x14ac:dyDescent="0.25">
      <c r="A867" s="35">
        <f t="shared" si="110"/>
        <v>44903</v>
      </c>
      <c r="B867" s="84" t="s">
        <v>205</v>
      </c>
    </row>
    <row r="868" spans="1:2" x14ac:dyDescent="0.25">
      <c r="A868" s="35">
        <f t="shared" si="110"/>
        <v>44910</v>
      </c>
      <c r="B868" s="84" t="s">
        <v>205</v>
      </c>
    </row>
    <row r="869" spans="1:2" x14ac:dyDescent="0.25">
      <c r="A869" s="35">
        <f t="shared" si="110"/>
        <v>44917</v>
      </c>
      <c r="B869" s="84" t="s">
        <v>205</v>
      </c>
    </row>
    <row r="870" spans="1:2" x14ac:dyDescent="0.25">
      <c r="A870" s="35">
        <f t="shared" si="110"/>
        <v>44924</v>
      </c>
      <c r="B870" s="84" t="s">
        <v>205</v>
      </c>
    </row>
    <row r="871" spans="1:2" x14ac:dyDescent="0.25">
      <c r="A871" s="35">
        <f t="shared" si="110"/>
        <v>44931</v>
      </c>
      <c r="B871" s="84" t="s">
        <v>205</v>
      </c>
    </row>
    <row r="872" spans="1:2" x14ac:dyDescent="0.25">
      <c r="A872" s="35">
        <f t="shared" si="110"/>
        <v>44938</v>
      </c>
      <c r="B872" s="84" t="s">
        <v>205</v>
      </c>
    </row>
    <row r="873" spans="1:2" x14ac:dyDescent="0.25">
      <c r="A873" s="35">
        <f t="shared" si="110"/>
        <v>44945</v>
      </c>
      <c r="B873" s="84" t="s">
        <v>205</v>
      </c>
    </row>
    <row r="874" spans="1:2" x14ac:dyDescent="0.25">
      <c r="A874" s="35">
        <f t="shared" si="110"/>
        <v>44952</v>
      </c>
      <c r="B874" s="84" t="s">
        <v>205</v>
      </c>
    </row>
    <row r="875" spans="1:2" x14ac:dyDescent="0.25">
      <c r="A875" s="35">
        <f t="shared" si="110"/>
        <v>44959</v>
      </c>
      <c r="B875" s="84" t="s">
        <v>205</v>
      </c>
    </row>
    <row r="876" spans="1:2" x14ac:dyDescent="0.25">
      <c r="A876" s="35">
        <f t="shared" si="110"/>
        <v>44966</v>
      </c>
      <c r="B876" s="84" t="s">
        <v>205</v>
      </c>
    </row>
    <row r="877" spans="1:2" x14ac:dyDescent="0.25">
      <c r="A877" s="35">
        <f t="shared" si="110"/>
        <v>44973</v>
      </c>
      <c r="B877" s="84" t="s">
        <v>205</v>
      </c>
    </row>
    <row r="878" spans="1:2" x14ac:dyDescent="0.25">
      <c r="A878" s="35">
        <f t="shared" si="110"/>
        <v>44980</v>
      </c>
      <c r="B878" s="84" t="s">
        <v>205</v>
      </c>
    </row>
    <row r="879" spans="1:2" x14ac:dyDescent="0.25">
      <c r="A879" s="35">
        <f t="shared" si="110"/>
        <v>44987</v>
      </c>
      <c r="B879" s="84" t="s">
        <v>205</v>
      </c>
    </row>
    <row r="880" spans="1:2" x14ac:dyDescent="0.25">
      <c r="A880" s="35">
        <f t="shared" si="110"/>
        <v>44994</v>
      </c>
      <c r="B880" s="84" t="s">
        <v>205</v>
      </c>
    </row>
    <row r="881" spans="1:2" x14ac:dyDescent="0.25">
      <c r="A881" s="35">
        <f t="shared" si="110"/>
        <v>45001</v>
      </c>
      <c r="B881" s="84" t="s">
        <v>205</v>
      </c>
    </row>
    <row r="882" spans="1:2" x14ac:dyDescent="0.25">
      <c r="A882" s="35">
        <f t="shared" si="110"/>
        <v>45008</v>
      </c>
      <c r="B882" s="84" t="s">
        <v>205</v>
      </c>
    </row>
    <row r="883" spans="1:2" x14ac:dyDescent="0.25">
      <c r="A883" s="35">
        <f t="shared" si="110"/>
        <v>45015</v>
      </c>
      <c r="B883" s="84" t="s">
        <v>205</v>
      </c>
    </row>
    <row r="884" spans="1:2" x14ac:dyDescent="0.25">
      <c r="A884" s="35">
        <f t="shared" si="110"/>
        <v>45022</v>
      </c>
      <c r="B884" s="84" t="s">
        <v>205</v>
      </c>
    </row>
    <row r="885" spans="1:2" x14ac:dyDescent="0.25">
      <c r="A885" s="35">
        <f t="shared" si="110"/>
        <v>45029</v>
      </c>
      <c r="B885" s="84" t="s">
        <v>205</v>
      </c>
    </row>
    <row r="886" spans="1:2" x14ac:dyDescent="0.25">
      <c r="A886" s="35">
        <f t="shared" si="110"/>
        <v>45036</v>
      </c>
      <c r="B886" s="84" t="s">
        <v>205</v>
      </c>
    </row>
    <row r="887" spans="1:2" x14ac:dyDescent="0.25">
      <c r="A887" s="35">
        <f t="shared" si="110"/>
        <v>45043</v>
      </c>
      <c r="B887" s="84" t="s">
        <v>205</v>
      </c>
    </row>
    <row r="888" spans="1:2" x14ac:dyDescent="0.25">
      <c r="A888" s="35">
        <f t="shared" si="110"/>
        <v>45050</v>
      </c>
      <c r="B888" s="84" t="s">
        <v>205</v>
      </c>
    </row>
    <row r="889" spans="1:2" x14ac:dyDescent="0.25">
      <c r="A889" s="35">
        <f t="shared" si="110"/>
        <v>45057</v>
      </c>
      <c r="B889" s="84" t="s">
        <v>205</v>
      </c>
    </row>
    <row r="890" spans="1:2" x14ac:dyDescent="0.25">
      <c r="A890" s="35">
        <f t="shared" si="110"/>
        <v>45064</v>
      </c>
      <c r="B890" s="84" t="s">
        <v>205</v>
      </c>
    </row>
    <row r="891" spans="1:2" x14ac:dyDescent="0.25">
      <c r="A891" s="35">
        <f t="shared" si="110"/>
        <v>45071</v>
      </c>
      <c r="B891" s="84" t="s">
        <v>205</v>
      </c>
    </row>
    <row r="892" spans="1:2" x14ac:dyDescent="0.25">
      <c r="A892" s="35">
        <f t="shared" si="110"/>
        <v>45078</v>
      </c>
      <c r="B892" s="84" t="s">
        <v>205</v>
      </c>
    </row>
    <row r="893" spans="1:2" x14ac:dyDescent="0.25">
      <c r="A893" s="35">
        <f t="shared" si="110"/>
        <v>45085</v>
      </c>
      <c r="B893" s="84" t="s">
        <v>205</v>
      </c>
    </row>
    <row r="894" spans="1:2" x14ac:dyDescent="0.25">
      <c r="A894" s="35">
        <f t="shared" ref="A894:A928" si="111">+A893+7</f>
        <v>45092</v>
      </c>
      <c r="B894" s="84" t="s">
        <v>205</v>
      </c>
    </row>
    <row r="895" spans="1:2" x14ac:dyDescent="0.25">
      <c r="A895" s="35">
        <f t="shared" si="111"/>
        <v>45099</v>
      </c>
      <c r="B895" s="84" t="s">
        <v>205</v>
      </c>
    </row>
    <row r="896" spans="1:2" x14ac:dyDescent="0.25">
      <c r="A896" s="35">
        <f t="shared" si="111"/>
        <v>45106</v>
      </c>
      <c r="B896" s="84" t="s">
        <v>205</v>
      </c>
    </row>
    <row r="897" spans="1:2" x14ac:dyDescent="0.25">
      <c r="A897" s="35">
        <f t="shared" si="111"/>
        <v>45113</v>
      </c>
      <c r="B897" s="84" t="s">
        <v>205</v>
      </c>
    </row>
    <row r="898" spans="1:2" x14ac:dyDescent="0.25">
      <c r="A898" s="35">
        <f t="shared" si="111"/>
        <v>45120</v>
      </c>
      <c r="B898" s="84" t="s">
        <v>205</v>
      </c>
    </row>
    <row r="899" spans="1:2" x14ac:dyDescent="0.25">
      <c r="A899" s="35">
        <f t="shared" si="111"/>
        <v>45127</v>
      </c>
      <c r="B899" s="84" t="s">
        <v>205</v>
      </c>
    </row>
    <row r="900" spans="1:2" x14ac:dyDescent="0.25">
      <c r="A900" s="35">
        <f t="shared" si="111"/>
        <v>45134</v>
      </c>
      <c r="B900" s="84" t="s">
        <v>205</v>
      </c>
    </row>
    <row r="901" spans="1:2" x14ac:dyDescent="0.25">
      <c r="A901" s="35">
        <f t="shared" si="111"/>
        <v>45141</v>
      </c>
      <c r="B901" s="84" t="s">
        <v>205</v>
      </c>
    </row>
    <row r="902" spans="1:2" x14ac:dyDescent="0.25">
      <c r="A902" s="35">
        <f t="shared" si="111"/>
        <v>45148</v>
      </c>
      <c r="B902" s="84" t="s">
        <v>205</v>
      </c>
    </row>
    <row r="903" spans="1:2" x14ac:dyDescent="0.25">
      <c r="A903" s="35">
        <f t="shared" si="111"/>
        <v>45155</v>
      </c>
      <c r="B903" s="84" t="s">
        <v>205</v>
      </c>
    </row>
    <row r="904" spans="1:2" x14ac:dyDescent="0.25">
      <c r="A904" s="35">
        <f t="shared" si="111"/>
        <v>45162</v>
      </c>
      <c r="B904" s="84" t="s">
        <v>205</v>
      </c>
    </row>
    <row r="905" spans="1:2" x14ac:dyDescent="0.25">
      <c r="A905" s="35">
        <f t="shared" si="111"/>
        <v>45169</v>
      </c>
      <c r="B905" s="84" t="s">
        <v>205</v>
      </c>
    </row>
    <row r="906" spans="1:2" x14ac:dyDescent="0.25">
      <c r="A906" s="35">
        <f t="shared" si="111"/>
        <v>45176</v>
      </c>
      <c r="B906" s="84" t="s">
        <v>205</v>
      </c>
    </row>
    <row r="907" spans="1:2" x14ac:dyDescent="0.25">
      <c r="A907" s="35">
        <f t="shared" si="111"/>
        <v>45183</v>
      </c>
      <c r="B907" s="84" t="s">
        <v>205</v>
      </c>
    </row>
    <row r="908" spans="1:2" x14ac:dyDescent="0.25">
      <c r="A908" s="35">
        <f t="shared" si="111"/>
        <v>45190</v>
      </c>
      <c r="B908" s="84" t="s">
        <v>205</v>
      </c>
    </row>
    <row r="909" spans="1:2" x14ac:dyDescent="0.25">
      <c r="A909" s="35">
        <f t="shared" si="111"/>
        <v>45197</v>
      </c>
      <c r="B909" s="84" t="s">
        <v>205</v>
      </c>
    </row>
    <row r="910" spans="1:2" x14ac:dyDescent="0.25">
      <c r="A910" s="35">
        <f t="shared" si="111"/>
        <v>45204</v>
      </c>
      <c r="B910" s="84" t="s">
        <v>205</v>
      </c>
    </row>
    <row r="911" spans="1:2" x14ac:dyDescent="0.25">
      <c r="A911" s="35">
        <f t="shared" si="111"/>
        <v>45211</v>
      </c>
      <c r="B911" s="84" t="s">
        <v>205</v>
      </c>
    </row>
    <row r="912" spans="1:2" x14ac:dyDescent="0.25">
      <c r="A912" s="35">
        <f t="shared" si="111"/>
        <v>45218</v>
      </c>
      <c r="B912" s="84" t="s">
        <v>205</v>
      </c>
    </row>
    <row r="913" spans="1:2" x14ac:dyDescent="0.25">
      <c r="A913" s="35">
        <f t="shared" si="111"/>
        <v>45225</v>
      </c>
      <c r="B913" s="84" t="s">
        <v>205</v>
      </c>
    </row>
    <row r="914" spans="1:2" x14ac:dyDescent="0.25">
      <c r="A914" s="35">
        <f t="shared" si="111"/>
        <v>45232</v>
      </c>
      <c r="B914" s="84" t="s">
        <v>205</v>
      </c>
    </row>
    <row r="915" spans="1:2" x14ac:dyDescent="0.25">
      <c r="A915" s="35">
        <f t="shared" si="111"/>
        <v>45239</v>
      </c>
      <c r="B915" s="84" t="s">
        <v>205</v>
      </c>
    </row>
    <row r="916" spans="1:2" x14ac:dyDescent="0.25">
      <c r="A916" s="35">
        <f t="shared" si="111"/>
        <v>45246</v>
      </c>
      <c r="B916" s="84" t="s">
        <v>205</v>
      </c>
    </row>
    <row r="917" spans="1:2" x14ac:dyDescent="0.25">
      <c r="A917" s="35">
        <f t="shared" si="111"/>
        <v>45253</v>
      </c>
      <c r="B917" s="84" t="s">
        <v>205</v>
      </c>
    </row>
    <row r="918" spans="1:2" x14ac:dyDescent="0.25">
      <c r="A918" s="35">
        <f t="shared" si="111"/>
        <v>45260</v>
      </c>
      <c r="B918" s="84" t="s">
        <v>205</v>
      </c>
    </row>
    <row r="919" spans="1:2" x14ac:dyDescent="0.25">
      <c r="A919" s="35">
        <f t="shared" si="111"/>
        <v>45267</v>
      </c>
      <c r="B919" s="84" t="s">
        <v>205</v>
      </c>
    </row>
    <row r="920" spans="1:2" x14ac:dyDescent="0.25">
      <c r="A920" s="35">
        <f t="shared" si="111"/>
        <v>45274</v>
      </c>
      <c r="B920" s="84" t="s">
        <v>205</v>
      </c>
    </row>
    <row r="921" spans="1:2" x14ac:dyDescent="0.25">
      <c r="A921" s="35">
        <f t="shared" si="111"/>
        <v>45281</v>
      </c>
      <c r="B921" s="84" t="s">
        <v>205</v>
      </c>
    </row>
    <row r="922" spans="1:2" x14ac:dyDescent="0.25">
      <c r="A922" s="35">
        <f t="shared" si="111"/>
        <v>45288</v>
      </c>
      <c r="B922" s="84" t="s">
        <v>205</v>
      </c>
    </row>
    <row r="923" spans="1:2" x14ac:dyDescent="0.25">
      <c r="A923" s="35">
        <f t="shared" si="111"/>
        <v>45295</v>
      </c>
      <c r="B923" s="84" t="s">
        <v>205</v>
      </c>
    </row>
    <row r="924" spans="1:2" x14ac:dyDescent="0.25">
      <c r="A924" s="35">
        <f t="shared" si="111"/>
        <v>45302</v>
      </c>
      <c r="B924" s="84" t="s">
        <v>205</v>
      </c>
    </row>
    <row r="925" spans="1:2" x14ac:dyDescent="0.25">
      <c r="A925" s="35">
        <f t="shared" si="111"/>
        <v>45309</v>
      </c>
      <c r="B925" s="84" t="s">
        <v>205</v>
      </c>
    </row>
    <row r="926" spans="1:2" x14ac:dyDescent="0.25">
      <c r="A926" s="35">
        <f t="shared" si="111"/>
        <v>45316</v>
      </c>
      <c r="B926" s="84" t="s">
        <v>205</v>
      </c>
    </row>
    <row r="927" spans="1:2" x14ac:dyDescent="0.25">
      <c r="A927" s="35">
        <f t="shared" si="111"/>
        <v>45323</v>
      </c>
      <c r="B927" s="84" t="s">
        <v>205</v>
      </c>
    </row>
    <row r="928" spans="1:2" x14ac:dyDescent="0.25">
      <c r="A928" s="35">
        <f t="shared" si="111"/>
        <v>45330</v>
      </c>
      <c r="B928" s="84" t="s">
        <v>205</v>
      </c>
    </row>
    <row r="65486" spans="1:9" x14ac:dyDescent="0.25">
      <c r="A65486" s="35"/>
      <c r="G65486" s="14"/>
      <c r="H65486" s="2"/>
      <c r="I65486" s="48"/>
    </row>
  </sheetData>
  <mergeCells count="6">
    <mergeCell ref="AR8:AX8"/>
    <mergeCell ref="E1:F1"/>
    <mergeCell ref="G1:H1"/>
    <mergeCell ref="AR5:AU5"/>
    <mergeCell ref="AR6:AU6"/>
    <mergeCell ref="AR7:AX7"/>
  </mergeCells>
  <phoneticPr fontId="2" type="noConversion"/>
  <pageMargins left="0.75" right="0.75" top="1" bottom="1" header="0.5" footer="0.5"/>
  <pageSetup orientation="portrait" r:id="rId1"/>
  <headerFooter alignWithMargins="0"/>
  <ignoredErrors>
    <ignoredError sqref="AU3:AU4" formula="1"/>
    <ignoredError sqref="I405:I420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O65486"/>
  <sheetViews>
    <sheetView topLeftCell="A387" workbookViewId="0">
      <selection activeCell="G408" sqref="G408"/>
    </sheetView>
  </sheetViews>
  <sheetFormatPr defaultRowHeight="13.2" x14ac:dyDescent="0.25"/>
  <cols>
    <col min="1" max="1" width="14.6640625" customWidth="1"/>
    <col min="2" max="2" width="6.88671875" customWidth="1"/>
  </cols>
  <sheetData>
    <row r="1" spans="1:15" x14ac:dyDescent="0.25">
      <c r="C1" t="s">
        <v>28</v>
      </c>
      <c r="E1" s="210" t="s">
        <v>1</v>
      </c>
      <c r="F1" s="211"/>
      <c r="G1" s="210" t="s">
        <v>2</v>
      </c>
      <c r="H1" s="211"/>
      <c r="I1" s="9"/>
      <c r="J1" s="15"/>
      <c r="K1" s="11" t="s">
        <v>6</v>
      </c>
      <c r="L1" s="11" t="s">
        <v>10</v>
      </c>
      <c r="M1" t="s">
        <v>22</v>
      </c>
      <c r="N1" t="s">
        <v>24</v>
      </c>
      <c r="O1" t="s">
        <v>26</v>
      </c>
    </row>
    <row r="2" spans="1:15" x14ac:dyDescent="0.25">
      <c r="A2" t="s">
        <v>17</v>
      </c>
      <c r="B2" s="6"/>
      <c r="C2" s="6" t="s">
        <v>34</v>
      </c>
      <c r="D2" s="6" t="s">
        <v>33</v>
      </c>
      <c r="E2" s="6" t="s">
        <v>34</v>
      </c>
      <c r="F2" s="6" t="s">
        <v>33</v>
      </c>
      <c r="G2" s="6" t="s">
        <v>34</v>
      </c>
      <c r="H2" s="6" t="s">
        <v>33</v>
      </c>
      <c r="I2" s="10" t="s">
        <v>4</v>
      </c>
      <c r="J2" s="8"/>
      <c r="K2" s="8" t="s">
        <v>5</v>
      </c>
      <c r="L2" s="8" t="s">
        <v>5</v>
      </c>
      <c r="M2" s="13" t="s">
        <v>23</v>
      </c>
      <c r="N2" s="13" t="s">
        <v>25</v>
      </c>
      <c r="O2" t="s">
        <v>21</v>
      </c>
    </row>
    <row r="3" spans="1:15" x14ac:dyDescent="0.25">
      <c r="A3" s="35">
        <v>38855</v>
      </c>
      <c r="C3">
        <v>489.8</v>
      </c>
      <c r="D3">
        <v>352.9</v>
      </c>
      <c r="E3">
        <v>2635.8</v>
      </c>
      <c r="F3">
        <v>2513.8000000000002</v>
      </c>
      <c r="G3" s="14">
        <f t="shared" ref="G3:H7" si="0">+C3+E3</f>
        <v>3125.6000000000004</v>
      </c>
      <c r="H3" s="2">
        <f t="shared" si="0"/>
        <v>2866.7000000000003</v>
      </c>
      <c r="I3" s="48">
        <f>+(G3/H3-1)*100</f>
        <v>9.0312903338333186</v>
      </c>
    </row>
    <row r="4" spans="1:15" x14ac:dyDescent="0.25">
      <c r="A4" s="35">
        <v>38862</v>
      </c>
      <c r="C4">
        <v>475.1</v>
      </c>
      <c r="D4">
        <v>374.9</v>
      </c>
      <c r="E4">
        <v>2733.3</v>
      </c>
      <c r="F4">
        <v>2585.5</v>
      </c>
      <c r="G4" s="14">
        <f t="shared" si="0"/>
        <v>3208.4</v>
      </c>
      <c r="H4" s="2">
        <f t="shared" si="0"/>
        <v>2960.4</v>
      </c>
      <c r="I4" s="48">
        <f t="shared" ref="I4:I38" si="1">+(G4/H4-1)*100</f>
        <v>8.3772463180651346</v>
      </c>
      <c r="J4">
        <v>40</v>
      </c>
    </row>
    <row r="5" spans="1:15" x14ac:dyDescent="0.25">
      <c r="A5" s="35">
        <v>38869</v>
      </c>
      <c r="C5">
        <v>414.3</v>
      </c>
      <c r="D5">
        <v>397.7</v>
      </c>
      <c r="E5">
        <v>2805.5</v>
      </c>
      <c r="F5">
        <v>2643.2</v>
      </c>
      <c r="G5" s="14">
        <f t="shared" si="0"/>
        <v>3219.8</v>
      </c>
      <c r="H5" s="2">
        <f t="shared" si="0"/>
        <v>3040.8999999999996</v>
      </c>
      <c r="I5" s="48">
        <f t="shared" si="1"/>
        <v>5.8831267059094472</v>
      </c>
      <c r="J5">
        <v>40</v>
      </c>
    </row>
    <row r="6" spans="1:15" x14ac:dyDescent="0.25">
      <c r="A6" s="35">
        <v>38876</v>
      </c>
      <c r="C6">
        <v>345.7</v>
      </c>
      <c r="D6">
        <v>371.1</v>
      </c>
      <c r="E6">
        <v>2911.8</v>
      </c>
      <c r="F6">
        <v>2734.2</v>
      </c>
      <c r="G6" s="14">
        <f t="shared" si="0"/>
        <v>3257.5</v>
      </c>
      <c r="H6" s="2">
        <f t="shared" si="0"/>
        <v>3105.2999999999997</v>
      </c>
      <c r="I6" s="48">
        <f t="shared" si="1"/>
        <v>4.9012977812127767</v>
      </c>
      <c r="J6">
        <v>40</v>
      </c>
    </row>
    <row r="7" spans="1:15" x14ac:dyDescent="0.25">
      <c r="A7" s="35">
        <f t="shared" ref="A7:A108" si="2">+A6+7</f>
        <v>38883</v>
      </c>
      <c r="C7">
        <v>338.4</v>
      </c>
      <c r="D7">
        <v>359.5</v>
      </c>
      <c r="E7">
        <v>2971.9</v>
      </c>
      <c r="F7">
        <v>2834.1</v>
      </c>
      <c r="G7" s="14">
        <f t="shared" si="0"/>
        <v>3310.3</v>
      </c>
      <c r="H7" s="2">
        <f t="shared" si="0"/>
        <v>3193.6</v>
      </c>
      <c r="I7" s="48">
        <f t="shared" si="1"/>
        <v>3.6541833667334656</v>
      </c>
      <c r="J7">
        <v>40</v>
      </c>
    </row>
    <row r="8" spans="1:15" x14ac:dyDescent="0.25">
      <c r="A8" s="35">
        <f t="shared" si="2"/>
        <v>38890</v>
      </c>
      <c r="C8">
        <v>374.8</v>
      </c>
      <c r="D8">
        <v>338.8</v>
      </c>
      <c r="E8">
        <v>2993.4</v>
      </c>
      <c r="F8">
        <v>2923.9</v>
      </c>
      <c r="G8" s="14">
        <f t="shared" ref="G8:H38" si="3">+C8+E8</f>
        <v>3368.2000000000003</v>
      </c>
      <c r="H8" s="2">
        <f t="shared" si="3"/>
        <v>3262.7000000000003</v>
      </c>
      <c r="I8" s="48">
        <f t="shared" si="1"/>
        <v>3.2335182517546857</v>
      </c>
      <c r="J8">
        <v>40</v>
      </c>
    </row>
    <row r="9" spans="1:15" x14ac:dyDescent="0.25">
      <c r="A9" s="35">
        <f t="shared" si="2"/>
        <v>38897</v>
      </c>
      <c r="C9">
        <v>368.3</v>
      </c>
      <c r="D9">
        <v>378.5</v>
      </c>
      <c r="E9">
        <v>3025.4</v>
      </c>
      <c r="F9">
        <v>2956</v>
      </c>
      <c r="G9" s="14">
        <f t="shared" si="3"/>
        <v>3393.7000000000003</v>
      </c>
      <c r="H9" s="2">
        <f t="shared" si="3"/>
        <v>3334.5</v>
      </c>
      <c r="I9" s="48">
        <f t="shared" si="1"/>
        <v>1.7753786174838915</v>
      </c>
      <c r="J9">
        <v>40</v>
      </c>
    </row>
    <row r="10" spans="1:15" x14ac:dyDescent="0.25">
      <c r="A10" s="35">
        <f t="shared" si="2"/>
        <v>38904</v>
      </c>
      <c r="C10">
        <v>370.8</v>
      </c>
      <c r="D10">
        <v>327.2</v>
      </c>
      <c r="E10">
        <v>3072.2</v>
      </c>
      <c r="F10">
        <v>3019.5</v>
      </c>
      <c r="G10" s="14">
        <f t="shared" si="3"/>
        <v>3443</v>
      </c>
      <c r="H10" s="2">
        <f t="shared" si="3"/>
        <v>3346.7</v>
      </c>
      <c r="I10" s="48">
        <f t="shared" si="1"/>
        <v>2.8774613798667303</v>
      </c>
      <c r="J10">
        <v>71</v>
      </c>
    </row>
    <row r="11" spans="1:15" x14ac:dyDescent="0.25">
      <c r="A11" s="35">
        <f t="shared" si="2"/>
        <v>38911</v>
      </c>
      <c r="C11">
        <v>291.3</v>
      </c>
      <c r="D11">
        <v>322.39999999999998</v>
      </c>
      <c r="E11">
        <v>3154.6</v>
      </c>
      <c r="F11">
        <v>3060.8</v>
      </c>
      <c r="G11" s="14">
        <f t="shared" si="3"/>
        <v>3445.9</v>
      </c>
      <c r="H11" s="2">
        <f t="shared" si="3"/>
        <v>3383.2000000000003</v>
      </c>
      <c r="I11" s="48">
        <f t="shared" si="1"/>
        <v>1.8532750059115477</v>
      </c>
      <c r="J11">
        <v>71</v>
      </c>
    </row>
    <row r="12" spans="1:15" x14ac:dyDescent="0.25">
      <c r="A12" s="35">
        <f t="shared" si="2"/>
        <v>38918</v>
      </c>
      <c r="C12">
        <v>307.2</v>
      </c>
      <c r="D12">
        <v>295</v>
      </c>
      <c r="E12">
        <v>3203.2</v>
      </c>
      <c r="F12">
        <v>3142.5</v>
      </c>
      <c r="G12" s="14">
        <f t="shared" si="3"/>
        <v>3510.3999999999996</v>
      </c>
      <c r="H12" s="2">
        <f t="shared" si="3"/>
        <v>3437.5</v>
      </c>
      <c r="I12" s="48">
        <f t="shared" si="1"/>
        <v>2.1207272727272519</v>
      </c>
      <c r="J12">
        <v>101</v>
      </c>
    </row>
    <row r="13" spans="1:15" x14ac:dyDescent="0.25">
      <c r="A13" s="35">
        <f t="shared" si="2"/>
        <v>38925</v>
      </c>
      <c r="C13">
        <v>303.60000000000002</v>
      </c>
      <c r="D13">
        <v>258.8</v>
      </c>
      <c r="E13">
        <v>3288.1</v>
      </c>
      <c r="F13">
        <v>3198.4</v>
      </c>
      <c r="G13" s="14">
        <f t="shared" si="3"/>
        <v>3591.7</v>
      </c>
      <c r="H13" s="2">
        <f t="shared" si="3"/>
        <v>3457.2000000000003</v>
      </c>
      <c r="I13" s="48">
        <f t="shared" si="1"/>
        <v>3.890431563114638</v>
      </c>
      <c r="J13">
        <v>101</v>
      </c>
    </row>
    <row r="14" spans="1:15" x14ac:dyDescent="0.25">
      <c r="A14" s="35">
        <f t="shared" si="2"/>
        <v>38932</v>
      </c>
      <c r="C14">
        <v>253.1</v>
      </c>
      <c r="D14">
        <v>258.89999999999998</v>
      </c>
      <c r="E14">
        <v>3366.1</v>
      </c>
      <c r="F14">
        <v>3227</v>
      </c>
      <c r="G14" s="14">
        <f t="shared" si="3"/>
        <v>3619.2</v>
      </c>
      <c r="H14" s="2">
        <f t="shared" si="3"/>
        <v>3485.9</v>
      </c>
      <c r="I14" s="48">
        <f t="shared" si="1"/>
        <v>3.8239765914111157</v>
      </c>
      <c r="J14">
        <v>101</v>
      </c>
    </row>
    <row r="15" spans="1:15" x14ac:dyDescent="0.25">
      <c r="A15" s="35">
        <f t="shared" si="2"/>
        <v>38939</v>
      </c>
      <c r="C15">
        <v>283.2</v>
      </c>
      <c r="D15">
        <v>223.5</v>
      </c>
      <c r="E15">
        <v>3418.9</v>
      </c>
      <c r="F15">
        <v>3304.3</v>
      </c>
      <c r="G15" s="14">
        <f t="shared" si="3"/>
        <v>3702.1</v>
      </c>
      <c r="H15" s="2">
        <f t="shared" si="3"/>
        <v>3527.8</v>
      </c>
      <c r="I15" s="48">
        <f t="shared" si="1"/>
        <v>4.9407562787006087</v>
      </c>
      <c r="J15">
        <v>121</v>
      </c>
    </row>
    <row r="16" spans="1:15" x14ac:dyDescent="0.25">
      <c r="A16" s="35">
        <f t="shared" si="2"/>
        <v>38946</v>
      </c>
      <c r="C16">
        <v>240.4</v>
      </c>
      <c r="D16">
        <v>188.2</v>
      </c>
      <c r="E16">
        <v>3470</v>
      </c>
      <c r="F16">
        <v>3364.2</v>
      </c>
      <c r="G16" s="14">
        <f t="shared" si="3"/>
        <v>3710.4</v>
      </c>
      <c r="H16" s="2">
        <f t="shared" si="3"/>
        <v>3552.3999999999996</v>
      </c>
      <c r="I16" s="48">
        <f t="shared" si="1"/>
        <v>4.447697331381617</v>
      </c>
      <c r="J16">
        <v>134.5</v>
      </c>
    </row>
    <row r="17" spans="1:10" x14ac:dyDescent="0.25">
      <c r="A17" s="35">
        <f t="shared" si="2"/>
        <v>38953</v>
      </c>
      <c r="C17">
        <v>172.2</v>
      </c>
      <c r="D17">
        <v>151.30000000000001</v>
      </c>
      <c r="E17">
        <v>3563.2</v>
      </c>
      <c r="F17">
        <v>3421.3</v>
      </c>
      <c r="G17" s="14">
        <f t="shared" si="3"/>
        <v>3735.3999999999996</v>
      </c>
      <c r="H17" s="2">
        <f t="shared" si="3"/>
        <v>3572.6000000000004</v>
      </c>
      <c r="I17" s="48">
        <f t="shared" si="1"/>
        <v>4.5569053350500877</v>
      </c>
      <c r="J17">
        <v>171.1</v>
      </c>
    </row>
    <row r="18" spans="1:10" x14ac:dyDescent="0.25">
      <c r="A18" s="35">
        <f t="shared" si="2"/>
        <v>38960</v>
      </c>
      <c r="C18">
        <v>150.69999999999999</v>
      </c>
      <c r="D18">
        <v>122.2</v>
      </c>
      <c r="E18">
        <v>3594</v>
      </c>
      <c r="F18">
        <v>3456.3</v>
      </c>
      <c r="G18" s="14">
        <f t="shared" si="3"/>
        <v>3744.7</v>
      </c>
      <c r="H18" s="2">
        <f t="shared" si="3"/>
        <v>3578.5</v>
      </c>
      <c r="I18" s="48">
        <f t="shared" si="1"/>
        <v>4.644404079921749</v>
      </c>
      <c r="J18">
        <v>361.5</v>
      </c>
    </row>
    <row r="19" spans="1:10" x14ac:dyDescent="0.25">
      <c r="A19" s="61">
        <f t="shared" si="2"/>
        <v>38967</v>
      </c>
      <c r="C19">
        <v>365.3</v>
      </c>
      <c r="D19">
        <v>629.4</v>
      </c>
      <c r="E19">
        <v>128.1</v>
      </c>
      <c r="F19">
        <v>32.5</v>
      </c>
      <c r="G19" s="14">
        <f t="shared" si="3"/>
        <v>493.4</v>
      </c>
      <c r="H19" s="2">
        <f t="shared" si="3"/>
        <v>661.9</v>
      </c>
      <c r="I19" s="48">
        <f t="shared" si="1"/>
        <v>-25.457017676386162</v>
      </c>
    </row>
    <row r="20" spans="1:10" x14ac:dyDescent="0.25">
      <c r="A20" s="35">
        <f t="shared" si="2"/>
        <v>38974</v>
      </c>
      <c r="C20">
        <v>389.7</v>
      </c>
      <c r="D20">
        <v>692.3</v>
      </c>
      <c r="E20">
        <v>162.30000000000001</v>
      </c>
      <c r="F20">
        <v>108.7</v>
      </c>
      <c r="G20" s="14">
        <f t="shared" si="3"/>
        <v>552</v>
      </c>
      <c r="H20" s="2">
        <f t="shared" si="3"/>
        <v>801</v>
      </c>
      <c r="I20" s="48">
        <f t="shared" si="1"/>
        <v>-31.086142322097377</v>
      </c>
    </row>
    <row r="21" spans="1:10" x14ac:dyDescent="0.25">
      <c r="A21" s="35">
        <f t="shared" si="2"/>
        <v>38981</v>
      </c>
      <c r="C21">
        <v>411.8</v>
      </c>
      <c r="D21">
        <v>767.9</v>
      </c>
      <c r="E21">
        <v>238.4</v>
      </c>
      <c r="F21">
        <v>131.80000000000001</v>
      </c>
      <c r="G21" s="14">
        <f t="shared" si="3"/>
        <v>650.20000000000005</v>
      </c>
      <c r="H21" s="2">
        <f t="shared" si="3"/>
        <v>899.7</v>
      </c>
      <c r="I21" s="48">
        <f t="shared" si="1"/>
        <v>-27.731466044236964</v>
      </c>
    </row>
    <row r="22" spans="1:10" x14ac:dyDescent="0.25">
      <c r="A22" s="35">
        <f t="shared" si="2"/>
        <v>38988</v>
      </c>
      <c r="C22">
        <v>395.8</v>
      </c>
      <c r="D22">
        <v>753.1</v>
      </c>
      <c r="E22">
        <v>316</v>
      </c>
      <c r="F22">
        <v>188.5</v>
      </c>
      <c r="G22" s="14">
        <f t="shared" si="3"/>
        <v>711.8</v>
      </c>
      <c r="H22" s="2">
        <f t="shared" si="3"/>
        <v>941.6</v>
      </c>
      <c r="I22" s="48">
        <f t="shared" si="1"/>
        <v>-24.405267629566708</v>
      </c>
    </row>
    <row r="23" spans="1:10" x14ac:dyDescent="0.25">
      <c r="A23" s="35">
        <f t="shared" si="2"/>
        <v>38995</v>
      </c>
      <c r="C23">
        <v>408.6</v>
      </c>
      <c r="D23">
        <v>716.2</v>
      </c>
      <c r="E23">
        <v>397.1</v>
      </c>
      <c r="F23">
        <v>261.8</v>
      </c>
      <c r="G23" s="14">
        <f t="shared" si="3"/>
        <v>805.7</v>
      </c>
      <c r="H23" s="2">
        <f t="shared" si="3"/>
        <v>978</v>
      </c>
      <c r="I23" s="48">
        <f t="shared" si="1"/>
        <v>-17.61758691206543</v>
      </c>
    </row>
    <row r="24" spans="1:10" x14ac:dyDescent="0.25">
      <c r="A24" s="35">
        <f t="shared" si="2"/>
        <v>39002</v>
      </c>
      <c r="C24">
        <v>341.1</v>
      </c>
      <c r="D24">
        <v>712.7</v>
      </c>
      <c r="E24">
        <v>568.79999999999995</v>
      </c>
      <c r="F24">
        <v>341.8</v>
      </c>
      <c r="G24" s="14">
        <f t="shared" si="3"/>
        <v>909.9</v>
      </c>
      <c r="H24" s="2">
        <f t="shared" si="3"/>
        <v>1054.5</v>
      </c>
      <c r="I24" s="48">
        <f t="shared" si="1"/>
        <v>-13.712660028449509</v>
      </c>
    </row>
    <row r="25" spans="1:10" x14ac:dyDescent="0.25">
      <c r="A25" s="35">
        <f t="shared" si="2"/>
        <v>39009</v>
      </c>
      <c r="C25">
        <v>261.60000000000002</v>
      </c>
      <c r="D25">
        <v>606</v>
      </c>
      <c r="E25">
        <v>691.9</v>
      </c>
      <c r="F25">
        <v>512.9</v>
      </c>
      <c r="G25" s="14">
        <f t="shared" si="3"/>
        <v>953.5</v>
      </c>
      <c r="H25" s="2">
        <f t="shared" si="3"/>
        <v>1118.9000000000001</v>
      </c>
      <c r="I25" s="48">
        <f t="shared" si="1"/>
        <v>-14.782375547412641</v>
      </c>
    </row>
    <row r="26" spans="1:10" x14ac:dyDescent="0.25">
      <c r="A26" s="35">
        <f t="shared" si="2"/>
        <v>39016</v>
      </c>
      <c r="C26">
        <v>388.1</v>
      </c>
      <c r="D26">
        <v>638.6</v>
      </c>
      <c r="E26">
        <v>721.5</v>
      </c>
      <c r="F26">
        <v>607.1</v>
      </c>
      <c r="G26" s="14">
        <f t="shared" si="3"/>
        <v>1109.5999999999999</v>
      </c>
      <c r="H26" s="2">
        <f t="shared" si="3"/>
        <v>1245.7</v>
      </c>
      <c r="I26" s="48">
        <f t="shared" si="1"/>
        <v>-10.92558400899094</v>
      </c>
    </row>
    <row r="27" spans="1:10" x14ac:dyDescent="0.25">
      <c r="A27" s="35">
        <f t="shared" si="2"/>
        <v>39023</v>
      </c>
      <c r="C27">
        <v>394</v>
      </c>
      <c r="D27">
        <v>566.1</v>
      </c>
      <c r="E27">
        <v>803.3</v>
      </c>
      <c r="F27">
        <v>736.2</v>
      </c>
      <c r="G27" s="14">
        <f t="shared" si="3"/>
        <v>1197.3</v>
      </c>
      <c r="H27" s="2">
        <f t="shared" si="3"/>
        <v>1302.3000000000002</v>
      </c>
      <c r="I27" s="48">
        <f t="shared" si="1"/>
        <v>-8.0626583736466362</v>
      </c>
    </row>
    <row r="28" spans="1:10" x14ac:dyDescent="0.25">
      <c r="A28" s="35">
        <f t="shared" si="2"/>
        <v>39030</v>
      </c>
      <c r="C28">
        <v>356.3</v>
      </c>
      <c r="D28">
        <v>486.1</v>
      </c>
      <c r="E28">
        <v>905.3</v>
      </c>
      <c r="F28">
        <v>830.8</v>
      </c>
      <c r="G28" s="14">
        <f t="shared" si="3"/>
        <v>1261.5999999999999</v>
      </c>
      <c r="H28" s="2">
        <f t="shared" si="3"/>
        <v>1316.9</v>
      </c>
      <c r="I28" s="48">
        <f t="shared" si="1"/>
        <v>-4.1992558280811165</v>
      </c>
    </row>
    <row r="29" spans="1:10" x14ac:dyDescent="0.25">
      <c r="A29" s="35">
        <f t="shared" si="2"/>
        <v>39037</v>
      </c>
      <c r="C29">
        <v>415.8</v>
      </c>
      <c r="D29">
        <v>459.1</v>
      </c>
      <c r="E29">
        <v>922.4</v>
      </c>
      <c r="F29">
        <v>927.2</v>
      </c>
      <c r="G29" s="14">
        <f t="shared" si="3"/>
        <v>1338.2</v>
      </c>
      <c r="H29" s="2">
        <f t="shared" si="3"/>
        <v>1386.3000000000002</v>
      </c>
      <c r="I29" s="48">
        <f t="shared" si="1"/>
        <v>-3.46966746014572</v>
      </c>
    </row>
    <row r="30" spans="1:10" x14ac:dyDescent="0.25">
      <c r="A30" s="35">
        <f t="shared" si="2"/>
        <v>39044</v>
      </c>
      <c r="C30">
        <v>402.8</v>
      </c>
      <c r="D30">
        <v>443.7</v>
      </c>
      <c r="E30">
        <v>979</v>
      </c>
      <c r="F30">
        <v>951.7</v>
      </c>
      <c r="G30" s="14">
        <f t="shared" si="3"/>
        <v>1381.8</v>
      </c>
      <c r="H30" s="2">
        <f t="shared" si="3"/>
        <v>1395.4</v>
      </c>
      <c r="I30" s="48">
        <f t="shared" si="1"/>
        <v>-0.97463093019923841</v>
      </c>
    </row>
    <row r="31" spans="1:10" x14ac:dyDescent="0.25">
      <c r="A31" s="35">
        <f t="shared" si="2"/>
        <v>39051</v>
      </c>
      <c r="C31">
        <v>425</v>
      </c>
      <c r="D31">
        <v>477.1</v>
      </c>
      <c r="E31">
        <v>1044.4000000000001</v>
      </c>
      <c r="F31">
        <v>970.3</v>
      </c>
      <c r="G31" s="14">
        <f t="shared" si="3"/>
        <v>1469.4</v>
      </c>
      <c r="H31" s="2">
        <f t="shared" si="3"/>
        <v>1447.4</v>
      </c>
      <c r="I31" s="48">
        <f t="shared" si="1"/>
        <v>1.5199668370871944</v>
      </c>
    </row>
    <row r="32" spans="1:10" x14ac:dyDescent="0.25">
      <c r="A32" s="35">
        <f t="shared" si="2"/>
        <v>39058</v>
      </c>
      <c r="C32">
        <v>400.6</v>
      </c>
      <c r="D32">
        <v>467.2</v>
      </c>
      <c r="E32">
        <v>1120.5999999999999</v>
      </c>
      <c r="F32">
        <v>1009.4</v>
      </c>
      <c r="G32" s="14">
        <f t="shared" si="3"/>
        <v>1521.1999999999998</v>
      </c>
      <c r="H32" s="2">
        <f t="shared" si="3"/>
        <v>1476.6</v>
      </c>
      <c r="I32" s="48">
        <f t="shared" si="1"/>
        <v>3.0204523906271152</v>
      </c>
    </row>
    <row r="33" spans="1:9" x14ac:dyDescent="0.25">
      <c r="A33" s="35">
        <f t="shared" si="2"/>
        <v>39065</v>
      </c>
      <c r="C33">
        <v>406.6</v>
      </c>
      <c r="D33">
        <v>470.5</v>
      </c>
      <c r="E33">
        <v>1163.7</v>
      </c>
      <c r="F33">
        <v>1061.2</v>
      </c>
      <c r="G33" s="14">
        <f t="shared" si="3"/>
        <v>1570.3000000000002</v>
      </c>
      <c r="H33" s="2">
        <f t="shared" si="3"/>
        <v>1531.7</v>
      </c>
      <c r="I33" s="48">
        <f t="shared" si="1"/>
        <v>2.5200757328458723</v>
      </c>
    </row>
    <row r="34" spans="1:9" x14ac:dyDescent="0.25">
      <c r="A34" s="35">
        <f t="shared" si="2"/>
        <v>39072</v>
      </c>
      <c r="C34">
        <v>408</v>
      </c>
      <c r="D34">
        <v>570.70000000000005</v>
      </c>
      <c r="E34">
        <v>1210.5999999999999</v>
      </c>
      <c r="F34">
        <v>1099.2</v>
      </c>
      <c r="G34" s="14">
        <f t="shared" si="3"/>
        <v>1618.6</v>
      </c>
      <c r="H34" s="2">
        <f t="shared" si="3"/>
        <v>1669.9</v>
      </c>
      <c r="I34" s="48">
        <f t="shared" si="1"/>
        <v>-3.0720402419306625</v>
      </c>
    </row>
    <row r="35" spans="1:9" x14ac:dyDescent="0.25">
      <c r="A35" s="35">
        <f t="shared" si="2"/>
        <v>39079</v>
      </c>
      <c r="C35">
        <v>396.2</v>
      </c>
      <c r="D35">
        <v>579.9</v>
      </c>
      <c r="E35">
        <v>1241.9000000000001</v>
      </c>
      <c r="F35">
        <v>1138.5999999999999</v>
      </c>
      <c r="G35" s="14">
        <f t="shared" si="3"/>
        <v>1638.1000000000001</v>
      </c>
      <c r="H35" s="2">
        <f t="shared" si="3"/>
        <v>1718.5</v>
      </c>
      <c r="I35" s="48">
        <f t="shared" si="1"/>
        <v>-4.6784986907186461</v>
      </c>
    </row>
    <row r="36" spans="1:9" x14ac:dyDescent="0.25">
      <c r="A36" s="35">
        <f t="shared" si="2"/>
        <v>39086</v>
      </c>
      <c r="C36">
        <v>377.2</v>
      </c>
      <c r="D36">
        <v>516.6</v>
      </c>
      <c r="E36">
        <v>1343</v>
      </c>
      <c r="F36">
        <v>1223.7</v>
      </c>
      <c r="G36" s="14">
        <f t="shared" si="3"/>
        <v>1720.2</v>
      </c>
      <c r="H36" s="2">
        <f t="shared" si="3"/>
        <v>1740.3000000000002</v>
      </c>
      <c r="I36" s="48">
        <f t="shared" si="1"/>
        <v>-1.1549732804688961</v>
      </c>
    </row>
    <row r="37" spans="1:9" x14ac:dyDescent="0.25">
      <c r="A37" s="35">
        <f t="shared" si="2"/>
        <v>39093</v>
      </c>
      <c r="C37">
        <v>408.6</v>
      </c>
      <c r="D37">
        <v>458.4</v>
      </c>
      <c r="E37">
        <v>1417.1</v>
      </c>
      <c r="F37">
        <v>1285.7</v>
      </c>
      <c r="G37" s="14">
        <f t="shared" si="3"/>
        <v>1825.6999999999998</v>
      </c>
      <c r="H37" s="2">
        <f t="shared" si="3"/>
        <v>1744.1</v>
      </c>
      <c r="I37" s="48">
        <f t="shared" si="1"/>
        <v>4.6786308124534104</v>
      </c>
    </row>
    <row r="38" spans="1:9" x14ac:dyDescent="0.25">
      <c r="A38" s="35">
        <f t="shared" si="2"/>
        <v>39100</v>
      </c>
      <c r="C38">
        <v>470.1</v>
      </c>
      <c r="D38">
        <v>361.6</v>
      </c>
      <c r="E38">
        <v>1444.8</v>
      </c>
      <c r="F38">
        <v>1422</v>
      </c>
      <c r="G38" s="14">
        <f t="shared" si="3"/>
        <v>1914.9</v>
      </c>
      <c r="H38" s="2">
        <f t="shared" si="3"/>
        <v>1783.6</v>
      </c>
      <c r="I38" s="48">
        <f t="shared" si="1"/>
        <v>7.3615160349854269</v>
      </c>
    </row>
    <row r="39" spans="1:9" x14ac:dyDescent="0.25">
      <c r="A39" s="35">
        <f t="shared" si="2"/>
        <v>39107</v>
      </c>
      <c r="C39">
        <v>487.8</v>
      </c>
      <c r="D39">
        <v>394.6</v>
      </c>
      <c r="E39">
        <v>1563.1</v>
      </c>
      <c r="F39">
        <v>1484.7</v>
      </c>
      <c r="G39" s="14">
        <f t="shared" ref="G39:H41" si="4">+C39+E39</f>
        <v>2050.9</v>
      </c>
      <c r="H39" s="2">
        <f t="shared" si="4"/>
        <v>1879.3000000000002</v>
      </c>
      <c r="I39" s="48">
        <f t="shared" ref="I39:I44" si="5">+(G39/H39-1)*100</f>
        <v>9.1310594370244136</v>
      </c>
    </row>
    <row r="40" spans="1:9" x14ac:dyDescent="0.25">
      <c r="A40" s="35">
        <f t="shared" si="2"/>
        <v>39114</v>
      </c>
      <c r="C40">
        <v>605.1</v>
      </c>
      <c r="D40">
        <v>449.5</v>
      </c>
      <c r="E40">
        <v>1659.4</v>
      </c>
      <c r="F40">
        <v>1530.8</v>
      </c>
      <c r="G40" s="14">
        <f t="shared" si="4"/>
        <v>2264.5</v>
      </c>
      <c r="H40" s="2">
        <f t="shared" si="4"/>
        <v>1980.3</v>
      </c>
      <c r="I40" s="48">
        <f t="shared" si="5"/>
        <v>14.351360904913403</v>
      </c>
    </row>
    <row r="41" spans="1:9" x14ac:dyDescent="0.25">
      <c r="A41" s="35">
        <f t="shared" si="2"/>
        <v>39121</v>
      </c>
      <c r="C41">
        <v>607.9</v>
      </c>
      <c r="D41">
        <v>485</v>
      </c>
      <c r="E41">
        <v>1670.6</v>
      </c>
      <c r="F41">
        <v>1624.8</v>
      </c>
      <c r="G41" s="14">
        <f t="shared" si="4"/>
        <v>2278.5</v>
      </c>
      <c r="H41" s="2">
        <f t="shared" si="4"/>
        <v>2109.8000000000002</v>
      </c>
      <c r="I41" s="48">
        <f t="shared" si="5"/>
        <v>7.9960185799601735</v>
      </c>
    </row>
    <row r="42" spans="1:9" x14ac:dyDescent="0.25">
      <c r="A42" s="35">
        <f t="shared" si="2"/>
        <v>39128</v>
      </c>
      <c r="C42">
        <v>657.8</v>
      </c>
      <c r="D42">
        <v>463.6</v>
      </c>
      <c r="E42">
        <v>1697.3</v>
      </c>
      <c r="F42">
        <v>1653</v>
      </c>
      <c r="G42" s="14">
        <f t="shared" ref="G42:H44" si="6">+C42+E42</f>
        <v>2355.1</v>
      </c>
      <c r="H42" s="2">
        <f t="shared" si="6"/>
        <v>2116.6</v>
      </c>
      <c r="I42" s="48">
        <f t="shared" si="5"/>
        <v>11.268071435320802</v>
      </c>
    </row>
    <row r="43" spans="1:9" x14ac:dyDescent="0.25">
      <c r="A43" s="35">
        <f t="shared" si="2"/>
        <v>39135</v>
      </c>
      <c r="C43">
        <v>662.4</v>
      </c>
      <c r="D43">
        <v>410.5</v>
      </c>
      <c r="E43">
        <v>1816.6</v>
      </c>
      <c r="F43">
        <v>1731.5</v>
      </c>
      <c r="G43" s="14">
        <f t="shared" si="6"/>
        <v>2479</v>
      </c>
      <c r="H43" s="2">
        <f t="shared" si="6"/>
        <v>2142</v>
      </c>
      <c r="I43" s="48">
        <f t="shared" si="5"/>
        <v>15.732959850606921</v>
      </c>
    </row>
    <row r="44" spans="1:9" x14ac:dyDescent="0.25">
      <c r="A44" s="35">
        <f t="shared" si="2"/>
        <v>39142</v>
      </c>
      <c r="C44">
        <v>720.9</v>
      </c>
      <c r="D44">
        <v>370.1</v>
      </c>
      <c r="E44">
        <v>1873.3</v>
      </c>
      <c r="F44">
        <v>1811</v>
      </c>
      <c r="G44" s="14">
        <f t="shared" si="6"/>
        <v>2594.1999999999998</v>
      </c>
      <c r="H44" s="2">
        <f t="shared" si="6"/>
        <v>2181.1</v>
      </c>
      <c r="I44" s="48">
        <f t="shared" si="5"/>
        <v>18.939984411535459</v>
      </c>
    </row>
    <row r="45" spans="1:9" x14ac:dyDescent="0.25">
      <c r="A45" s="35">
        <f t="shared" si="2"/>
        <v>39149</v>
      </c>
      <c r="C45">
        <v>826.5</v>
      </c>
      <c r="D45">
        <v>422.7</v>
      </c>
      <c r="E45">
        <v>1958.3</v>
      </c>
      <c r="F45">
        <v>1895.1</v>
      </c>
      <c r="G45" s="14">
        <f t="shared" ref="G45:H47" si="7">+C45+E45</f>
        <v>2784.8</v>
      </c>
      <c r="H45" s="2">
        <f t="shared" si="7"/>
        <v>2317.7999999999997</v>
      </c>
      <c r="I45" s="48">
        <f t="shared" ref="I45:I50" si="8">+(G45/H45-1)*100</f>
        <v>20.148416601950146</v>
      </c>
    </row>
    <row r="46" spans="1:9" x14ac:dyDescent="0.25">
      <c r="A46" s="35">
        <f t="shared" si="2"/>
        <v>39156</v>
      </c>
      <c r="C46">
        <v>964.8</v>
      </c>
      <c r="D46">
        <v>383</v>
      </c>
      <c r="E46">
        <v>2053.5</v>
      </c>
      <c r="F46">
        <v>1978.4</v>
      </c>
      <c r="G46" s="14">
        <f t="shared" si="7"/>
        <v>3018.3</v>
      </c>
      <c r="H46" s="2">
        <f t="shared" si="7"/>
        <v>2361.4</v>
      </c>
      <c r="I46" s="48">
        <f t="shared" si="8"/>
        <v>27.818243414923359</v>
      </c>
    </row>
    <row r="47" spans="1:9" x14ac:dyDescent="0.25">
      <c r="A47" s="35">
        <f t="shared" si="2"/>
        <v>39163</v>
      </c>
      <c r="C47">
        <v>938.4</v>
      </c>
      <c r="D47">
        <v>482</v>
      </c>
      <c r="E47">
        <v>2124.1999999999998</v>
      </c>
      <c r="F47">
        <v>2012.8</v>
      </c>
      <c r="G47" s="14">
        <f t="shared" si="7"/>
        <v>3062.6</v>
      </c>
      <c r="H47" s="2">
        <f t="shared" si="7"/>
        <v>2494.8000000000002</v>
      </c>
      <c r="I47" s="48">
        <f t="shared" si="8"/>
        <v>22.759339426006076</v>
      </c>
    </row>
    <row r="48" spans="1:9" x14ac:dyDescent="0.25">
      <c r="A48" s="35">
        <f t="shared" si="2"/>
        <v>39170</v>
      </c>
      <c r="C48">
        <v>897.6</v>
      </c>
      <c r="D48">
        <v>487.6</v>
      </c>
      <c r="E48">
        <v>2208.1999999999998</v>
      </c>
      <c r="F48">
        <v>2051</v>
      </c>
      <c r="G48" s="14">
        <f t="shared" ref="G48:H50" si="9">+C48+E48</f>
        <v>3105.7999999999997</v>
      </c>
      <c r="H48" s="2">
        <f t="shared" si="9"/>
        <v>2538.6</v>
      </c>
      <c r="I48" s="48">
        <f t="shared" si="8"/>
        <v>22.343023713858035</v>
      </c>
    </row>
    <row r="49" spans="1:10" x14ac:dyDescent="0.25">
      <c r="A49" s="35">
        <f t="shared" si="2"/>
        <v>39177</v>
      </c>
      <c r="C49">
        <v>841.7</v>
      </c>
      <c r="D49">
        <v>490.9</v>
      </c>
      <c r="E49">
        <v>2302.3000000000002</v>
      </c>
      <c r="F49">
        <v>2157.1</v>
      </c>
      <c r="G49" s="14">
        <f t="shared" si="9"/>
        <v>3144</v>
      </c>
      <c r="H49" s="2">
        <f t="shared" si="9"/>
        <v>2648</v>
      </c>
      <c r="I49" s="48">
        <f t="shared" si="8"/>
        <v>18.731117824773413</v>
      </c>
    </row>
    <row r="50" spans="1:10" x14ac:dyDescent="0.25">
      <c r="A50" s="35">
        <f t="shared" si="2"/>
        <v>39184</v>
      </c>
      <c r="C50">
        <v>865.6</v>
      </c>
      <c r="D50">
        <v>508.6</v>
      </c>
      <c r="E50">
        <v>2400.5</v>
      </c>
      <c r="F50">
        <v>2221.3000000000002</v>
      </c>
      <c r="G50" s="14">
        <f t="shared" si="9"/>
        <v>3266.1</v>
      </c>
      <c r="H50" s="2">
        <f t="shared" si="9"/>
        <v>2729.9</v>
      </c>
      <c r="I50" s="48">
        <f t="shared" si="8"/>
        <v>19.641745118868826</v>
      </c>
    </row>
    <row r="51" spans="1:10" x14ac:dyDescent="0.25">
      <c r="A51" s="35">
        <f t="shared" si="2"/>
        <v>39191</v>
      </c>
      <c r="C51">
        <v>833.3</v>
      </c>
      <c r="D51">
        <v>426.3</v>
      </c>
      <c r="E51">
        <v>2476.5</v>
      </c>
      <c r="F51">
        <v>2330.6999999999998</v>
      </c>
      <c r="G51" s="14">
        <f t="shared" ref="G51:H53" si="10">+C51+E51</f>
        <v>3309.8</v>
      </c>
      <c r="H51" s="2">
        <f t="shared" si="10"/>
        <v>2757</v>
      </c>
      <c r="I51" s="48">
        <f t="shared" ref="I51:I56" si="11">+(G51/H51-1)*100</f>
        <v>20.050779833151978</v>
      </c>
    </row>
    <row r="52" spans="1:10" x14ac:dyDescent="0.25">
      <c r="A52" s="35">
        <f t="shared" si="2"/>
        <v>39198</v>
      </c>
      <c r="C52">
        <v>826.6</v>
      </c>
      <c r="D52">
        <v>422.6</v>
      </c>
      <c r="E52">
        <v>2583.8000000000002</v>
      </c>
      <c r="F52">
        <v>2403.6</v>
      </c>
      <c r="G52" s="14">
        <f t="shared" si="10"/>
        <v>3410.4</v>
      </c>
      <c r="H52" s="2">
        <f t="shared" si="10"/>
        <v>2826.2</v>
      </c>
      <c r="I52" s="48">
        <f t="shared" si="11"/>
        <v>20.670865473073398</v>
      </c>
    </row>
    <row r="53" spans="1:10" x14ac:dyDescent="0.25">
      <c r="A53" s="35">
        <f t="shared" si="2"/>
        <v>39205</v>
      </c>
      <c r="C53">
        <v>789.4</v>
      </c>
      <c r="D53">
        <v>447.1</v>
      </c>
      <c r="E53">
        <v>2639.3</v>
      </c>
      <c r="F53">
        <v>2460.5</v>
      </c>
      <c r="G53" s="14">
        <f t="shared" si="10"/>
        <v>3428.7000000000003</v>
      </c>
      <c r="H53" s="2">
        <f t="shared" si="10"/>
        <v>2907.6</v>
      </c>
      <c r="I53" s="48">
        <f t="shared" si="11"/>
        <v>17.921997523730916</v>
      </c>
      <c r="J53">
        <v>180</v>
      </c>
    </row>
    <row r="54" spans="1:10" x14ac:dyDescent="0.25">
      <c r="A54" s="35">
        <f t="shared" si="2"/>
        <v>39212</v>
      </c>
      <c r="C54">
        <v>759.6</v>
      </c>
      <c r="D54">
        <v>450.1</v>
      </c>
      <c r="E54">
        <v>2704.5</v>
      </c>
      <c r="F54">
        <v>2563.4</v>
      </c>
      <c r="G54" s="14">
        <f t="shared" ref="G54:H56" si="12">+C54+E54</f>
        <v>3464.1</v>
      </c>
      <c r="H54" s="2">
        <f t="shared" si="12"/>
        <v>3013.5</v>
      </c>
      <c r="I54" s="48">
        <f t="shared" si="11"/>
        <v>14.952712792434042</v>
      </c>
      <c r="J54">
        <v>180</v>
      </c>
    </row>
    <row r="55" spans="1:10" x14ac:dyDescent="0.25">
      <c r="A55" s="35">
        <f t="shared" si="2"/>
        <v>39219</v>
      </c>
      <c r="C55">
        <v>624.5</v>
      </c>
      <c r="D55">
        <v>489.8</v>
      </c>
      <c r="E55">
        <v>2839.5</v>
      </c>
      <c r="F55">
        <v>2635.8</v>
      </c>
      <c r="G55" s="14">
        <f t="shared" si="12"/>
        <v>3464</v>
      </c>
      <c r="H55" s="2">
        <f t="shared" si="12"/>
        <v>3125.6000000000004</v>
      </c>
      <c r="I55" s="48">
        <f t="shared" si="11"/>
        <v>10.826721269516248</v>
      </c>
      <c r="J55">
        <v>211</v>
      </c>
    </row>
    <row r="56" spans="1:10" x14ac:dyDescent="0.25">
      <c r="A56" s="35">
        <f t="shared" si="2"/>
        <v>39226</v>
      </c>
      <c r="C56">
        <v>683.7</v>
      </c>
      <c r="D56">
        <v>475.1</v>
      </c>
      <c r="E56">
        <v>2908.1</v>
      </c>
      <c r="F56">
        <v>2733.3</v>
      </c>
      <c r="G56" s="14">
        <f t="shared" si="12"/>
        <v>3591.8</v>
      </c>
      <c r="H56" s="2">
        <f t="shared" si="12"/>
        <v>3208.4</v>
      </c>
      <c r="I56" s="48">
        <f t="shared" si="11"/>
        <v>11.949881560902643</v>
      </c>
      <c r="J56">
        <v>241</v>
      </c>
    </row>
    <row r="57" spans="1:10" x14ac:dyDescent="0.25">
      <c r="A57" s="35">
        <f t="shared" si="2"/>
        <v>39233</v>
      </c>
      <c r="C57">
        <v>663</v>
      </c>
      <c r="D57">
        <v>414.3</v>
      </c>
      <c r="E57">
        <v>2943.7</v>
      </c>
      <c r="F57">
        <v>2805.5</v>
      </c>
      <c r="G57" s="14">
        <f t="shared" ref="G57:H59" si="13">+C57+E57</f>
        <v>3606.7</v>
      </c>
      <c r="H57" s="2">
        <f t="shared" si="13"/>
        <v>3219.8</v>
      </c>
      <c r="I57" s="48">
        <f t="shared" ref="I57:I62" si="14">+(G57/H57-1)*100</f>
        <v>12.016274302751718</v>
      </c>
      <c r="J57">
        <v>241</v>
      </c>
    </row>
    <row r="58" spans="1:10" x14ac:dyDescent="0.25">
      <c r="A58" s="35">
        <f t="shared" si="2"/>
        <v>39240</v>
      </c>
      <c r="C58">
        <v>682.9</v>
      </c>
      <c r="D58">
        <v>345.7</v>
      </c>
      <c r="E58">
        <v>2995</v>
      </c>
      <c r="F58">
        <v>2911.8</v>
      </c>
      <c r="G58" s="14">
        <f t="shared" si="13"/>
        <v>3677.9</v>
      </c>
      <c r="H58" s="2">
        <f t="shared" si="13"/>
        <v>3257.5</v>
      </c>
      <c r="I58" s="48">
        <f t="shared" si="14"/>
        <v>12.905602455871069</v>
      </c>
      <c r="J58">
        <v>241</v>
      </c>
    </row>
    <row r="59" spans="1:10" x14ac:dyDescent="0.25">
      <c r="A59" s="35">
        <f t="shared" si="2"/>
        <v>39247</v>
      </c>
      <c r="C59">
        <v>724.3</v>
      </c>
      <c r="D59">
        <v>338.4</v>
      </c>
      <c r="E59">
        <v>3061.3</v>
      </c>
      <c r="F59">
        <v>2971.9</v>
      </c>
      <c r="G59" s="14">
        <f t="shared" si="13"/>
        <v>3785.6000000000004</v>
      </c>
      <c r="H59" s="2">
        <f t="shared" si="13"/>
        <v>3310.3</v>
      </c>
      <c r="I59" s="48">
        <f t="shared" si="14"/>
        <v>14.358215267498409</v>
      </c>
      <c r="J59">
        <v>272</v>
      </c>
    </row>
    <row r="60" spans="1:10" x14ac:dyDescent="0.25">
      <c r="A60" s="35">
        <f t="shared" si="2"/>
        <v>39254</v>
      </c>
      <c r="C60">
        <v>658</v>
      </c>
      <c r="D60">
        <v>374.8</v>
      </c>
      <c r="E60">
        <v>3196.8</v>
      </c>
      <c r="F60">
        <v>2993.4</v>
      </c>
      <c r="G60" s="14">
        <f t="shared" ref="G60:H62" si="15">+C60+E60</f>
        <v>3854.8</v>
      </c>
      <c r="H60" s="2">
        <f t="shared" si="15"/>
        <v>3368.2000000000003</v>
      </c>
      <c r="I60" s="48">
        <f t="shared" si="14"/>
        <v>14.446885576865975</v>
      </c>
      <c r="J60">
        <v>272</v>
      </c>
    </row>
    <row r="61" spans="1:10" x14ac:dyDescent="0.25">
      <c r="A61" s="35">
        <f t="shared" si="2"/>
        <v>39261</v>
      </c>
      <c r="C61">
        <v>693.4</v>
      </c>
      <c r="D61">
        <v>368.3</v>
      </c>
      <c r="E61">
        <v>3252.4</v>
      </c>
      <c r="F61">
        <v>3025.4</v>
      </c>
      <c r="G61" s="14">
        <f t="shared" si="15"/>
        <v>3945.8</v>
      </c>
      <c r="H61" s="2">
        <f t="shared" si="15"/>
        <v>3393.7000000000003</v>
      </c>
      <c r="I61" s="48">
        <f t="shared" si="14"/>
        <v>16.268379644635655</v>
      </c>
      <c r="J61">
        <v>283</v>
      </c>
    </row>
    <row r="62" spans="1:10" x14ac:dyDescent="0.25">
      <c r="A62" s="35">
        <f t="shared" si="2"/>
        <v>39268</v>
      </c>
      <c r="C62">
        <v>685.3</v>
      </c>
      <c r="D62">
        <v>370.8</v>
      </c>
      <c r="E62">
        <v>3290.8</v>
      </c>
      <c r="F62">
        <v>3072.2</v>
      </c>
      <c r="G62" s="14">
        <f t="shared" si="15"/>
        <v>3976.1000000000004</v>
      </c>
      <c r="H62" s="2">
        <f t="shared" si="15"/>
        <v>3443</v>
      </c>
      <c r="I62" s="48">
        <f t="shared" si="14"/>
        <v>15.483589892535598</v>
      </c>
      <c r="J62">
        <v>302</v>
      </c>
    </row>
    <row r="63" spans="1:10" x14ac:dyDescent="0.25">
      <c r="A63" s="35">
        <f t="shared" si="2"/>
        <v>39275</v>
      </c>
      <c r="C63">
        <v>657.9</v>
      </c>
      <c r="D63">
        <v>291.3</v>
      </c>
      <c r="E63">
        <v>3341</v>
      </c>
      <c r="F63">
        <v>3154.6</v>
      </c>
      <c r="G63" s="14">
        <f t="shared" ref="G63:H65" si="16">+C63+E63</f>
        <v>3998.9</v>
      </c>
      <c r="H63" s="2">
        <f t="shared" si="16"/>
        <v>3445.9</v>
      </c>
      <c r="I63" s="48">
        <f t="shared" ref="I63:I68" si="17">+(G63/H63-1)*100</f>
        <v>16.048057111349713</v>
      </c>
      <c r="J63">
        <v>457.9</v>
      </c>
    </row>
    <row r="64" spans="1:10" x14ac:dyDescent="0.25">
      <c r="A64" s="35">
        <f t="shared" si="2"/>
        <v>39282</v>
      </c>
      <c r="C64">
        <v>633.5</v>
      </c>
      <c r="D64">
        <v>307.2</v>
      </c>
      <c r="E64">
        <v>3383.7</v>
      </c>
      <c r="F64">
        <v>3203.2</v>
      </c>
      <c r="G64" s="14">
        <f t="shared" si="16"/>
        <v>4017.2</v>
      </c>
      <c r="H64" s="2">
        <f t="shared" si="16"/>
        <v>3510.3999999999996</v>
      </c>
      <c r="I64" s="48">
        <f t="shared" si="17"/>
        <v>14.43710118505015</v>
      </c>
      <c r="J64">
        <v>467.7</v>
      </c>
    </row>
    <row r="65" spans="1:10" x14ac:dyDescent="0.25">
      <c r="A65" s="35">
        <f t="shared" si="2"/>
        <v>39289</v>
      </c>
      <c r="C65">
        <v>581.29999999999995</v>
      </c>
      <c r="D65">
        <v>303.60000000000002</v>
      </c>
      <c r="E65">
        <v>3451.1</v>
      </c>
      <c r="F65">
        <v>3288.1</v>
      </c>
      <c r="G65" s="14">
        <f t="shared" si="16"/>
        <v>4032.3999999999996</v>
      </c>
      <c r="H65" s="2">
        <f t="shared" si="16"/>
        <v>3591.7</v>
      </c>
      <c r="I65" s="48">
        <f t="shared" si="17"/>
        <v>12.269955731269322</v>
      </c>
      <c r="J65">
        <v>478.7</v>
      </c>
    </row>
    <row r="66" spans="1:10" x14ac:dyDescent="0.25">
      <c r="A66" s="35">
        <f t="shared" si="2"/>
        <v>39296</v>
      </c>
      <c r="C66">
        <v>470.5</v>
      </c>
      <c r="D66">
        <v>253.1</v>
      </c>
      <c r="E66">
        <v>3582.1</v>
      </c>
      <c r="F66">
        <v>3366.1</v>
      </c>
      <c r="G66" s="14">
        <f t="shared" ref="G66:H68" si="18">+C66+E66</f>
        <v>4052.6</v>
      </c>
      <c r="H66" s="2">
        <f t="shared" si="18"/>
        <v>3619.2</v>
      </c>
      <c r="I66" s="48">
        <f t="shared" si="17"/>
        <v>11.975022104332457</v>
      </c>
      <c r="J66">
        <v>521.1</v>
      </c>
    </row>
    <row r="67" spans="1:10" x14ac:dyDescent="0.25">
      <c r="A67" s="35">
        <f t="shared" si="2"/>
        <v>39303</v>
      </c>
      <c r="C67">
        <v>461.8</v>
      </c>
      <c r="D67">
        <v>283.2</v>
      </c>
      <c r="E67">
        <v>3618.1</v>
      </c>
      <c r="F67">
        <v>3418.9</v>
      </c>
      <c r="G67" s="14">
        <f t="shared" si="18"/>
        <v>4079.9</v>
      </c>
      <c r="H67" s="2">
        <f t="shared" si="18"/>
        <v>3702.1</v>
      </c>
      <c r="I67" s="48">
        <f t="shared" si="17"/>
        <v>10.20501877312876</v>
      </c>
      <c r="J67">
        <v>523.4</v>
      </c>
    </row>
    <row r="68" spans="1:10" x14ac:dyDescent="0.25">
      <c r="A68" s="35">
        <f t="shared" si="2"/>
        <v>39310</v>
      </c>
      <c r="C68">
        <v>407.5</v>
      </c>
      <c r="D68">
        <v>240.4</v>
      </c>
      <c r="E68">
        <v>3671.6</v>
      </c>
      <c r="F68">
        <v>3470</v>
      </c>
      <c r="G68" s="14">
        <f t="shared" si="18"/>
        <v>4079.1</v>
      </c>
      <c r="H68" s="2">
        <f t="shared" si="18"/>
        <v>3710.4</v>
      </c>
      <c r="I68" s="48">
        <f t="shared" si="17"/>
        <v>9.9369340232859038</v>
      </c>
      <c r="J68">
        <v>570.1</v>
      </c>
    </row>
    <row r="69" spans="1:10" x14ac:dyDescent="0.25">
      <c r="A69" s="35">
        <f t="shared" si="2"/>
        <v>39317</v>
      </c>
      <c r="C69">
        <v>257.5</v>
      </c>
      <c r="D69">
        <v>172.2</v>
      </c>
      <c r="E69">
        <v>3774.7</v>
      </c>
      <c r="F69">
        <v>3563.2</v>
      </c>
      <c r="G69" s="14">
        <f t="shared" ref="G69:H71" si="19">+C69+E69</f>
        <v>4032.2</v>
      </c>
      <c r="H69" s="2">
        <f t="shared" si="19"/>
        <v>3735.3999999999996</v>
      </c>
      <c r="I69" s="48">
        <f t="shared" ref="I69:I74" si="20">+(G69/H69-1)*100</f>
        <v>7.9456015420035442</v>
      </c>
      <c r="J69">
        <v>579.1</v>
      </c>
    </row>
    <row r="70" spans="1:10" x14ac:dyDescent="0.25">
      <c r="A70" s="35">
        <f t="shared" si="2"/>
        <v>39324</v>
      </c>
      <c r="C70">
        <v>200.8</v>
      </c>
      <c r="D70">
        <v>150.69999999999999</v>
      </c>
      <c r="E70">
        <v>3843.9</v>
      </c>
      <c r="F70">
        <v>3594</v>
      </c>
      <c r="G70" s="14">
        <f t="shared" si="19"/>
        <v>4044.7000000000003</v>
      </c>
      <c r="H70" s="2">
        <f t="shared" si="19"/>
        <v>3744.7</v>
      </c>
      <c r="I70" s="48">
        <f t="shared" si="20"/>
        <v>8.0113226693727224</v>
      </c>
      <c r="J70">
        <v>588.4</v>
      </c>
    </row>
    <row r="71" spans="1:10" x14ac:dyDescent="0.25">
      <c r="A71" s="64">
        <f t="shared" si="2"/>
        <v>39331</v>
      </c>
      <c r="C71">
        <v>770.4</v>
      </c>
      <c r="D71">
        <v>365.3</v>
      </c>
      <c r="E71">
        <v>17.399999999999999</v>
      </c>
      <c r="F71">
        <v>128.1</v>
      </c>
      <c r="G71" s="14">
        <f t="shared" si="19"/>
        <v>787.8</v>
      </c>
      <c r="H71" s="2">
        <f t="shared" si="19"/>
        <v>493.4</v>
      </c>
      <c r="I71" s="48">
        <f t="shared" si="20"/>
        <v>59.667612484799349</v>
      </c>
    </row>
    <row r="72" spans="1:10" x14ac:dyDescent="0.25">
      <c r="A72" s="35">
        <f t="shared" si="2"/>
        <v>39338</v>
      </c>
      <c r="C72">
        <v>776.7</v>
      </c>
      <c r="D72">
        <v>389.7</v>
      </c>
      <c r="E72">
        <v>69.900000000000006</v>
      </c>
      <c r="F72">
        <v>162.30000000000001</v>
      </c>
      <c r="G72" s="14">
        <f t="shared" ref="G72:H74" si="21">+C72+E72</f>
        <v>846.6</v>
      </c>
      <c r="H72" s="2">
        <f t="shared" si="21"/>
        <v>552</v>
      </c>
      <c r="I72" s="48">
        <f t="shared" si="20"/>
        <v>53.369565217391312</v>
      </c>
    </row>
    <row r="73" spans="1:10" x14ac:dyDescent="0.25">
      <c r="A73" s="35">
        <f t="shared" si="2"/>
        <v>39345</v>
      </c>
      <c r="C73">
        <v>695.6</v>
      </c>
      <c r="D73">
        <v>411.8</v>
      </c>
      <c r="E73">
        <v>206.4</v>
      </c>
      <c r="F73">
        <v>238.4</v>
      </c>
      <c r="G73" s="14">
        <f t="shared" si="21"/>
        <v>902</v>
      </c>
      <c r="H73" s="2">
        <f t="shared" si="21"/>
        <v>650.20000000000005</v>
      </c>
      <c r="I73" s="48">
        <f t="shared" si="20"/>
        <v>38.726545678252847</v>
      </c>
    </row>
    <row r="74" spans="1:10" x14ac:dyDescent="0.25">
      <c r="A74" s="35">
        <f t="shared" si="2"/>
        <v>39352</v>
      </c>
      <c r="C74">
        <v>728.9</v>
      </c>
      <c r="D74">
        <v>395.8</v>
      </c>
      <c r="E74">
        <v>249.2</v>
      </c>
      <c r="F74">
        <v>316</v>
      </c>
      <c r="G74" s="14">
        <f t="shared" si="21"/>
        <v>978.09999999999991</v>
      </c>
      <c r="H74" s="2">
        <f t="shared" si="21"/>
        <v>711.8</v>
      </c>
      <c r="I74" s="48">
        <f t="shared" si="20"/>
        <v>37.412194436639503</v>
      </c>
    </row>
    <row r="75" spans="1:10" x14ac:dyDescent="0.25">
      <c r="A75" s="35">
        <f t="shared" si="2"/>
        <v>39359</v>
      </c>
      <c r="C75">
        <v>705.1</v>
      </c>
      <c r="D75">
        <v>408.6</v>
      </c>
      <c r="E75">
        <v>361.2</v>
      </c>
      <c r="F75">
        <v>397.1</v>
      </c>
      <c r="G75" s="14">
        <f t="shared" ref="G75:H77" si="22">+C75+E75</f>
        <v>1066.3</v>
      </c>
      <c r="H75" s="2">
        <f t="shared" si="22"/>
        <v>805.7</v>
      </c>
      <c r="I75" s="48">
        <f t="shared" ref="I75:I80" si="23">+(G75/H75-1)*100</f>
        <v>32.344545116048138</v>
      </c>
    </row>
    <row r="76" spans="1:10" x14ac:dyDescent="0.25">
      <c r="A76" s="35">
        <f t="shared" si="2"/>
        <v>39366</v>
      </c>
      <c r="C76">
        <v>790.5</v>
      </c>
      <c r="D76">
        <v>341.1</v>
      </c>
      <c r="E76">
        <v>398.2</v>
      </c>
      <c r="F76">
        <v>568.79999999999995</v>
      </c>
      <c r="G76" s="14">
        <f t="shared" si="22"/>
        <v>1188.7</v>
      </c>
      <c r="H76" s="2">
        <f t="shared" si="22"/>
        <v>909.9</v>
      </c>
      <c r="I76" s="48">
        <f t="shared" si="23"/>
        <v>30.640729750522034</v>
      </c>
    </row>
    <row r="77" spans="1:10" x14ac:dyDescent="0.25">
      <c r="A77" s="35">
        <f t="shared" si="2"/>
        <v>39373</v>
      </c>
      <c r="C77">
        <v>745.9</v>
      </c>
      <c r="D77">
        <v>261.60000000000002</v>
      </c>
      <c r="E77">
        <v>484</v>
      </c>
      <c r="F77">
        <v>691.9</v>
      </c>
      <c r="G77" s="14">
        <f t="shared" si="22"/>
        <v>1229.9000000000001</v>
      </c>
      <c r="H77" s="2">
        <f t="shared" si="22"/>
        <v>953.5</v>
      </c>
      <c r="I77" s="48">
        <f t="shared" si="23"/>
        <v>28.987939171473531</v>
      </c>
    </row>
    <row r="78" spans="1:10" x14ac:dyDescent="0.25">
      <c r="A78" s="35">
        <f t="shared" si="2"/>
        <v>39380</v>
      </c>
      <c r="C78">
        <v>786</v>
      </c>
      <c r="D78">
        <v>388.1</v>
      </c>
      <c r="E78">
        <v>551.5</v>
      </c>
      <c r="F78">
        <v>721.5</v>
      </c>
      <c r="G78" s="14">
        <f t="shared" ref="G78:H80" si="24">+C78+E78</f>
        <v>1337.5</v>
      </c>
      <c r="H78" s="2">
        <f t="shared" si="24"/>
        <v>1109.5999999999999</v>
      </c>
      <c r="I78" s="48">
        <f t="shared" si="23"/>
        <v>20.538932948810395</v>
      </c>
    </row>
    <row r="79" spans="1:10" x14ac:dyDescent="0.25">
      <c r="A79" s="35">
        <f t="shared" si="2"/>
        <v>39387</v>
      </c>
      <c r="C79">
        <v>679.5</v>
      </c>
      <c r="D79">
        <v>394</v>
      </c>
      <c r="E79">
        <v>667.7</v>
      </c>
      <c r="F79">
        <v>803.3</v>
      </c>
      <c r="G79" s="14">
        <f t="shared" si="24"/>
        <v>1347.2</v>
      </c>
      <c r="H79" s="2">
        <f t="shared" si="24"/>
        <v>1197.3</v>
      </c>
      <c r="I79" s="48">
        <f t="shared" si="23"/>
        <v>12.519836298337928</v>
      </c>
    </row>
    <row r="80" spans="1:10" x14ac:dyDescent="0.25">
      <c r="A80" s="35">
        <f t="shared" si="2"/>
        <v>39394</v>
      </c>
      <c r="C80">
        <v>589.9</v>
      </c>
      <c r="D80">
        <v>356.3</v>
      </c>
      <c r="E80">
        <v>778</v>
      </c>
      <c r="F80">
        <v>905.3</v>
      </c>
      <c r="G80" s="14">
        <f t="shared" si="24"/>
        <v>1367.9</v>
      </c>
      <c r="H80" s="2">
        <f t="shared" si="24"/>
        <v>1261.5999999999999</v>
      </c>
      <c r="I80" s="48">
        <f t="shared" si="23"/>
        <v>8.425808497146491</v>
      </c>
    </row>
    <row r="81" spans="1:10" x14ac:dyDescent="0.25">
      <c r="A81" s="35">
        <f t="shared" si="2"/>
        <v>39401</v>
      </c>
      <c r="C81">
        <v>622.4</v>
      </c>
      <c r="D81">
        <v>415.8</v>
      </c>
      <c r="E81">
        <v>825.3</v>
      </c>
      <c r="F81">
        <v>922.4</v>
      </c>
      <c r="G81" s="14">
        <f t="shared" ref="G81:H83" si="25">+C81+E81</f>
        <v>1447.6999999999998</v>
      </c>
      <c r="H81" s="2">
        <f t="shared" si="25"/>
        <v>1338.2</v>
      </c>
      <c r="I81" s="48">
        <f t="shared" ref="I81:I86" si="26">+(G81/H81-1)*100</f>
        <v>8.1826333881332971</v>
      </c>
    </row>
    <row r="82" spans="1:10" x14ac:dyDescent="0.25">
      <c r="A82" s="35">
        <f t="shared" si="2"/>
        <v>39408</v>
      </c>
      <c r="C82">
        <v>643.29999999999995</v>
      </c>
      <c r="D82">
        <v>402.8</v>
      </c>
      <c r="E82">
        <v>908.5</v>
      </c>
      <c r="F82">
        <v>979</v>
      </c>
      <c r="G82" s="14">
        <f t="shared" si="25"/>
        <v>1551.8</v>
      </c>
      <c r="H82" s="2">
        <f t="shared" si="25"/>
        <v>1381.8</v>
      </c>
      <c r="I82" s="48">
        <f t="shared" si="26"/>
        <v>12.302793457808647</v>
      </c>
    </row>
    <row r="83" spans="1:10" x14ac:dyDescent="0.25">
      <c r="A83" s="35">
        <f t="shared" si="2"/>
        <v>39415</v>
      </c>
      <c r="C83">
        <v>565.29999999999995</v>
      </c>
      <c r="D83">
        <v>425</v>
      </c>
      <c r="E83">
        <v>925.3</v>
      </c>
      <c r="F83">
        <v>1044.4000000000001</v>
      </c>
      <c r="G83" s="14">
        <f t="shared" si="25"/>
        <v>1490.6</v>
      </c>
      <c r="H83" s="2">
        <f t="shared" si="25"/>
        <v>1469.4</v>
      </c>
      <c r="I83" s="48">
        <f t="shared" si="26"/>
        <v>1.4427657547298134</v>
      </c>
    </row>
    <row r="84" spans="1:10" x14ac:dyDescent="0.25">
      <c r="A84" s="35">
        <f t="shared" si="2"/>
        <v>39422</v>
      </c>
      <c r="C84">
        <v>522.70000000000005</v>
      </c>
      <c r="D84">
        <v>400.6</v>
      </c>
      <c r="E84">
        <v>998.7</v>
      </c>
      <c r="F84">
        <v>1120.5999999999999</v>
      </c>
      <c r="G84" s="14">
        <f t="shared" ref="G84:H86" si="27">+C84+E84</f>
        <v>1521.4</v>
      </c>
      <c r="H84" s="2">
        <f t="shared" si="27"/>
        <v>1521.1999999999998</v>
      </c>
      <c r="I84" s="48">
        <f t="shared" si="26"/>
        <v>1.3147515119671382E-2</v>
      </c>
    </row>
    <row r="85" spans="1:10" x14ac:dyDescent="0.25">
      <c r="A85" s="35">
        <f t="shared" si="2"/>
        <v>39429</v>
      </c>
      <c r="C85">
        <v>687.4</v>
      </c>
      <c r="D85">
        <v>406.6</v>
      </c>
      <c r="E85">
        <v>1023.6</v>
      </c>
      <c r="F85">
        <v>1163.7</v>
      </c>
      <c r="G85" s="14">
        <f t="shared" si="27"/>
        <v>1711</v>
      </c>
      <c r="H85" s="2">
        <f t="shared" si="27"/>
        <v>1570.3000000000002</v>
      </c>
      <c r="I85" s="48">
        <f t="shared" si="26"/>
        <v>8.9600713239508245</v>
      </c>
    </row>
    <row r="86" spans="1:10" x14ac:dyDescent="0.25">
      <c r="A86" s="35">
        <f t="shared" si="2"/>
        <v>39436</v>
      </c>
      <c r="C86">
        <v>717.9</v>
      </c>
      <c r="D86">
        <v>408</v>
      </c>
      <c r="E86">
        <v>1042.2</v>
      </c>
      <c r="F86">
        <v>1210.5999999999999</v>
      </c>
      <c r="G86" s="14">
        <f t="shared" si="27"/>
        <v>1760.1</v>
      </c>
      <c r="H86" s="2">
        <f t="shared" si="27"/>
        <v>1618.6</v>
      </c>
      <c r="I86" s="48">
        <f t="shared" si="26"/>
        <v>8.7421228221920231</v>
      </c>
    </row>
    <row r="87" spans="1:10" x14ac:dyDescent="0.25">
      <c r="A87" s="35">
        <f t="shared" si="2"/>
        <v>39443</v>
      </c>
      <c r="C87">
        <v>742.3</v>
      </c>
      <c r="D87">
        <v>396.2</v>
      </c>
      <c r="E87">
        <v>1067.4000000000001</v>
      </c>
      <c r="F87">
        <v>1241.9000000000001</v>
      </c>
      <c r="G87" s="14">
        <f t="shared" ref="G87:H89" si="28">+C87+E87</f>
        <v>1809.7</v>
      </c>
      <c r="H87" s="2">
        <f t="shared" si="28"/>
        <v>1638.1000000000001</v>
      </c>
      <c r="I87" s="48">
        <f t="shared" ref="I87:I92" si="29">+(G87/H87-1)*100</f>
        <v>10.475550943165857</v>
      </c>
    </row>
    <row r="88" spans="1:10" x14ac:dyDescent="0.25">
      <c r="A88" s="35">
        <f t="shared" si="2"/>
        <v>39450</v>
      </c>
      <c r="C88">
        <v>696.4</v>
      </c>
      <c r="D88">
        <v>377.2</v>
      </c>
      <c r="E88">
        <v>1144.8</v>
      </c>
      <c r="F88">
        <v>1343</v>
      </c>
      <c r="G88" s="14">
        <f t="shared" si="28"/>
        <v>1841.1999999999998</v>
      </c>
      <c r="H88" s="2">
        <f t="shared" si="28"/>
        <v>1720.2</v>
      </c>
      <c r="I88" s="48">
        <f t="shared" si="29"/>
        <v>7.0340658063015704</v>
      </c>
    </row>
    <row r="89" spans="1:10" x14ac:dyDescent="0.25">
      <c r="A89" s="35">
        <f t="shared" si="2"/>
        <v>39457</v>
      </c>
      <c r="C89">
        <v>792.8</v>
      </c>
      <c r="D89">
        <v>408.6</v>
      </c>
      <c r="E89">
        <v>1204.3</v>
      </c>
      <c r="F89">
        <v>1417.1</v>
      </c>
      <c r="G89" s="14">
        <f t="shared" si="28"/>
        <v>1997.1</v>
      </c>
      <c r="H89" s="2">
        <f t="shared" si="28"/>
        <v>1825.6999999999998</v>
      </c>
      <c r="I89" s="48">
        <f t="shared" si="29"/>
        <v>9.3881798762118773</v>
      </c>
    </row>
    <row r="90" spans="1:10" x14ac:dyDescent="0.25">
      <c r="A90" s="35">
        <f t="shared" si="2"/>
        <v>39464</v>
      </c>
      <c r="C90">
        <v>786.3</v>
      </c>
      <c r="D90">
        <v>470.1</v>
      </c>
      <c r="E90">
        <v>1322.4</v>
      </c>
      <c r="F90">
        <v>1444.8</v>
      </c>
      <c r="G90" s="14">
        <f t="shared" ref="G90:H92" si="30">+C90+E90</f>
        <v>2108.6999999999998</v>
      </c>
      <c r="H90" s="2">
        <f t="shared" si="30"/>
        <v>1914.9</v>
      </c>
      <c r="I90" s="48">
        <f t="shared" si="29"/>
        <v>10.12063293122354</v>
      </c>
    </row>
    <row r="91" spans="1:10" x14ac:dyDescent="0.25">
      <c r="A91" s="35">
        <f t="shared" si="2"/>
        <v>39471</v>
      </c>
      <c r="C91">
        <v>777.8</v>
      </c>
      <c r="D91">
        <v>487.8</v>
      </c>
      <c r="E91">
        <v>1399.5</v>
      </c>
      <c r="F91">
        <v>1563.1</v>
      </c>
      <c r="G91" s="14">
        <f t="shared" si="30"/>
        <v>2177.3000000000002</v>
      </c>
      <c r="H91" s="2">
        <f t="shared" si="30"/>
        <v>2050.9</v>
      </c>
      <c r="I91" s="48">
        <f t="shared" si="29"/>
        <v>6.1631478862938183</v>
      </c>
    </row>
    <row r="92" spans="1:10" x14ac:dyDescent="0.25">
      <c r="A92" s="35">
        <f t="shared" si="2"/>
        <v>39478</v>
      </c>
      <c r="C92">
        <v>826.4</v>
      </c>
      <c r="D92">
        <v>605.1</v>
      </c>
      <c r="E92">
        <v>1499.6</v>
      </c>
      <c r="F92">
        <v>1659.4</v>
      </c>
      <c r="G92" s="14">
        <f t="shared" si="30"/>
        <v>2326</v>
      </c>
      <c r="H92" s="2">
        <f t="shared" si="30"/>
        <v>2264.5</v>
      </c>
      <c r="I92" s="48">
        <f t="shared" si="29"/>
        <v>2.7158313093398112</v>
      </c>
    </row>
    <row r="93" spans="1:10" x14ac:dyDescent="0.25">
      <c r="A93" s="35">
        <f t="shared" si="2"/>
        <v>39485</v>
      </c>
      <c r="C93">
        <v>892.3</v>
      </c>
      <c r="D93">
        <v>607.9</v>
      </c>
      <c r="E93">
        <v>1577.3</v>
      </c>
      <c r="F93">
        <v>1670.6</v>
      </c>
      <c r="G93" s="14">
        <f t="shared" ref="G93:H95" si="31">+C93+E93</f>
        <v>2469.6</v>
      </c>
      <c r="H93" s="2">
        <f t="shared" si="31"/>
        <v>2278.5</v>
      </c>
      <c r="I93" s="48">
        <f t="shared" ref="I93:I98" si="32">+(G93/H93-1)*100</f>
        <v>8.3870967741935374</v>
      </c>
    </row>
    <row r="94" spans="1:10" x14ac:dyDescent="0.25">
      <c r="A94" s="35">
        <f t="shared" si="2"/>
        <v>39492</v>
      </c>
      <c r="C94">
        <v>993.6</v>
      </c>
      <c r="D94">
        <v>657.8</v>
      </c>
      <c r="E94">
        <v>1634.9</v>
      </c>
      <c r="F94">
        <v>1697.3</v>
      </c>
      <c r="G94" s="14">
        <f t="shared" si="31"/>
        <v>2628.5</v>
      </c>
      <c r="H94" s="2">
        <f t="shared" si="31"/>
        <v>2355.1</v>
      </c>
      <c r="I94" s="48">
        <f t="shared" si="32"/>
        <v>11.608848881151545</v>
      </c>
    </row>
    <row r="95" spans="1:10" x14ac:dyDescent="0.25">
      <c r="A95" s="35">
        <f t="shared" si="2"/>
        <v>39499</v>
      </c>
      <c r="C95">
        <v>954.7</v>
      </c>
      <c r="D95">
        <v>662.4</v>
      </c>
      <c r="E95">
        <v>1699.3</v>
      </c>
      <c r="F95">
        <v>1816.6</v>
      </c>
      <c r="G95" s="14">
        <f t="shared" si="31"/>
        <v>2654</v>
      </c>
      <c r="H95" s="2">
        <f t="shared" si="31"/>
        <v>2479</v>
      </c>
      <c r="I95" s="48">
        <f t="shared" si="32"/>
        <v>7.0592981040742186</v>
      </c>
    </row>
    <row r="96" spans="1:10" x14ac:dyDescent="0.25">
      <c r="A96" s="35">
        <f t="shared" si="2"/>
        <v>39506</v>
      </c>
      <c r="C96">
        <v>918.4</v>
      </c>
      <c r="D96">
        <v>720.9</v>
      </c>
      <c r="E96">
        <v>1797.2</v>
      </c>
      <c r="F96">
        <v>1873.3</v>
      </c>
      <c r="G96" s="14">
        <f t="shared" ref="G96:H98" si="33">+C96+E96</f>
        <v>2715.6</v>
      </c>
      <c r="H96" s="2">
        <f t="shared" si="33"/>
        <v>2594.1999999999998</v>
      </c>
      <c r="I96" s="48">
        <f t="shared" si="32"/>
        <v>4.6796700331508845</v>
      </c>
      <c r="J96">
        <v>30</v>
      </c>
    </row>
    <row r="97" spans="1:10" x14ac:dyDescent="0.25">
      <c r="A97" s="35">
        <f t="shared" si="2"/>
        <v>39513</v>
      </c>
      <c r="C97">
        <v>967.3</v>
      </c>
      <c r="D97">
        <v>826.5</v>
      </c>
      <c r="E97">
        <v>1890.5</v>
      </c>
      <c r="F97">
        <v>1958.3</v>
      </c>
      <c r="G97" s="14">
        <f t="shared" si="33"/>
        <v>2857.8</v>
      </c>
      <c r="H97" s="2">
        <f t="shared" si="33"/>
        <v>2784.8</v>
      </c>
      <c r="I97" s="48">
        <f t="shared" si="32"/>
        <v>2.6213731686297148</v>
      </c>
    </row>
    <row r="98" spans="1:10" x14ac:dyDescent="0.25">
      <c r="A98" s="35">
        <f t="shared" si="2"/>
        <v>39520</v>
      </c>
      <c r="C98">
        <v>982.7</v>
      </c>
      <c r="D98">
        <v>964.8</v>
      </c>
      <c r="E98">
        <v>1978.9</v>
      </c>
      <c r="F98">
        <v>2053.5</v>
      </c>
      <c r="G98" s="14">
        <f t="shared" si="33"/>
        <v>2961.6000000000004</v>
      </c>
      <c r="H98" s="2">
        <f t="shared" si="33"/>
        <v>3018.3</v>
      </c>
      <c r="I98" s="48">
        <f t="shared" si="32"/>
        <v>-1.8785409005068976</v>
      </c>
    </row>
    <row r="99" spans="1:10" x14ac:dyDescent="0.25">
      <c r="A99" s="35">
        <f t="shared" si="2"/>
        <v>39527</v>
      </c>
      <c r="C99">
        <v>983</v>
      </c>
      <c r="D99">
        <v>938.4</v>
      </c>
      <c r="E99">
        <v>2024.2</v>
      </c>
      <c r="F99">
        <v>2124.1999999999998</v>
      </c>
      <c r="G99" s="14">
        <f t="shared" ref="G99:H101" si="34">+C99+E99</f>
        <v>3007.2</v>
      </c>
      <c r="H99" s="2">
        <f t="shared" si="34"/>
        <v>3062.6</v>
      </c>
      <c r="I99" s="48">
        <f t="shared" ref="I99:I104" si="35">+(G99/H99-1)*100</f>
        <v>-1.8089205250440887</v>
      </c>
    </row>
    <row r="100" spans="1:10" x14ac:dyDescent="0.25">
      <c r="A100" s="35">
        <f t="shared" si="2"/>
        <v>39534</v>
      </c>
      <c r="C100">
        <v>917.4</v>
      </c>
      <c r="D100">
        <v>897.6</v>
      </c>
      <c r="E100">
        <v>2137.3000000000002</v>
      </c>
      <c r="F100">
        <v>2208.1999999999998</v>
      </c>
      <c r="G100" s="14">
        <f t="shared" si="34"/>
        <v>3054.7000000000003</v>
      </c>
      <c r="H100" s="2">
        <f t="shared" si="34"/>
        <v>3105.7999999999997</v>
      </c>
      <c r="I100" s="48">
        <f t="shared" si="35"/>
        <v>-1.6453087771266528</v>
      </c>
    </row>
    <row r="101" spans="1:10" x14ac:dyDescent="0.25">
      <c r="A101" s="35">
        <f t="shared" si="2"/>
        <v>39541</v>
      </c>
      <c r="C101">
        <v>866.3</v>
      </c>
      <c r="D101">
        <v>841.7</v>
      </c>
      <c r="E101">
        <v>2197.8000000000002</v>
      </c>
      <c r="F101">
        <v>2302.3000000000002</v>
      </c>
      <c r="G101" s="14">
        <f t="shared" si="34"/>
        <v>3064.1000000000004</v>
      </c>
      <c r="H101" s="2">
        <f t="shared" si="34"/>
        <v>3144</v>
      </c>
      <c r="I101" s="48">
        <f t="shared" si="35"/>
        <v>-2.541348600508897</v>
      </c>
    </row>
    <row r="102" spans="1:10" x14ac:dyDescent="0.25">
      <c r="A102" s="35">
        <f t="shared" si="2"/>
        <v>39548</v>
      </c>
      <c r="C102">
        <v>831.3</v>
      </c>
      <c r="D102">
        <v>865.6</v>
      </c>
      <c r="E102">
        <v>2232.9</v>
      </c>
      <c r="F102">
        <v>2400.5</v>
      </c>
      <c r="G102" s="14">
        <f t="shared" ref="G102:H104" si="36">+C102+E102</f>
        <v>3064.2</v>
      </c>
      <c r="H102" s="2">
        <f t="shared" si="36"/>
        <v>3266.1</v>
      </c>
      <c r="I102" s="48">
        <f t="shared" si="35"/>
        <v>-6.1816845779369967</v>
      </c>
    </row>
    <row r="103" spans="1:10" x14ac:dyDescent="0.25">
      <c r="A103" s="35">
        <f t="shared" si="2"/>
        <v>39555</v>
      </c>
      <c r="C103">
        <v>897.3</v>
      </c>
      <c r="D103">
        <v>833.3</v>
      </c>
      <c r="E103">
        <v>2337.3000000000002</v>
      </c>
      <c r="F103">
        <v>2476.5</v>
      </c>
      <c r="G103" s="14">
        <f t="shared" si="36"/>
        <v>3234.6000000000004</v>
      </c>
      <c r="H103" s="2">
        <f t="shared" si="36"/>
        <v>3309.8</v>
      </c>
      <c r="I103" s="48">
        <f t="shared" si="35"/>
        <v>-2.2720406066831789</v>
      </c>
    </row>
    <row r="104" spans="1:10" x14ac:dyDescent="0.25">
      <c r="A104" s="35">
        <f t="shared" si="2"/>
        <v>39562</v>
      </c>
      <c r="C104">
        <v>935.1</v>
      </c>
      <c r="D104">
        <v>826.6</v>
      </c>
      <c r="E104">
        <v>2388.6</v>
      </c>
      <c r="F104">
        <v>2583.8000000000002</v>
      </c>
      <c r="G104" s="14">
        <f t="shared" si="36"/>
        <v>3323.7</v>
      </c>
      <c r="H104" s="2">
        <f t="shared" si="36"/>
        <v>3410.4</v>
      </c>
      <c r="I104" s="48">
        <f t="shared" si="35"/>
        <v>-2.5422237860661556</v>
      </c>
    </row>
    <row r="105" spans="1:10" x14ac:dyDescent="0.25">
      <c r="A105" s="35">
        <f t="shared" si="2"/>
        <v>39569</v>
      </c>
      <c r="C105">
        <v>875.1</v>
      </c>
      <c r="D105">
        <v>789.4</v>
      </c>
      <c r="E105">
        <v>2461.1999999999998</v>
      </c>
      <c r="F105">
        <v>2639.3</v>
      </c>
      <c r="G105" s="14">
        <f t="shared" ref="G105:H107" si="37">+C105+E105</f>
        <v>3336.2999999999997</v>
      </c>
      <c r="H105" s="2">
        <f t="shared" si="37"/>
        <v>3428.7000000000003</v>
      </c>
      <c r="I105" s="48">
        <f t="shared" ref="I105:I110" si="38">+(G105/H105-1)*100</f>
        <v>-2.694898941289714</v>
      </c>
      <c r="J105">
        <v>122.1</v>
      </c>
    </row>
    <row r="106" spans="1:10" x14ac:dyDescent="0.25">
      <c r="A106" s="35">
        <f t="shared" si="2"/>
        <v>39576</v>
      </c>
      <c r="C106">
        <v>819.9</v>
      </c>
      <c r="D106">
        <v>759.6</v>
      </c>
      <c r="E106">
        <v>2545.6</v>
      </c>
      <c r="F106">
        <v>2704.5</v>
      </c>
      <c r="G106" s="14">
        <f t="shared" si="37"/>
        <v>3365.5</v>
      </c>
      <c r="H106" s="2">
        <f t="shared" si="37"/>
        <v>3464.1</v>
      </c>
      <c r="I106" s="48">
        <f t="shared" si="38"/>
        <v>-2.8463381542103261</v>
      </c>
      <c r="J106">
        <v>122.1</v>
      </c>
    </row>
    <row r="107" spans="1:10" x14ac:dyDescent="0.25">
      <c r="A107" s="35">
        <f t="shared" si="2"/>
        <v>39583</v>
      </c>
      <c r="C107">
        <v>803.7</v>
      </c>
      <c r="D107">
        <v>624.5</v>
      </c>
      <c r="E107">
        <v>2625.5</v>
      </c>
      <c r="F107">
        <v>2839.1</v>
      </c>
      <c r="G107" s="14">
        <f t="shared" si="37"/>
        <v>3429.2</v>
      </c>
      <c r="H107" s="2">
        <f t="shared" si="37"/>
        <v>3463.6</v>
      </c>
      <c r="I107" s="48">
        <f t="shared" si="38"/>
        <v>-0.99318628017092125</v>
      </c>
      <c r="J107">
        <v>122.1</v>
      </c>
    </row>
    <row r="108" spans="1:10" x14ac:dyDescent="0.25">
      <c r="A108" s="35">
        <f t="shared" si="2"/>
        <v>39590</v>
      </c>
      <c r="C108">
        <v>739.8</v>
      </c>
      <c r="D108">
        <v>683.7</v>
      </c>
      <c r="E108">
        <v>2723.9</v>
      </c>
      <c r="F108">
        <v>2907.7</v>
      </c>
      <c r="G108" s="14">
        <f t="shared" ref="G108:H110" si="39">+C108+E108</f>
        <v>3463.7</v>
      </c>
      <c r="H108" s="2">
        <f t="shared" si="39"/>
        <v>3591.3999999999996</v>
      </c>
      <c r="I108" s="48">
        <f t="shared" si="38"/>
        <v>-3.5557164337027269</v>
      </c>
      <c r="J108">
        <v>159.4</v>
      </c>
    </row>
    <row r="109" spans="1:10" x14ac:dyDescent="0.25">
      <c r="A109" s="35">
        <f t="shared" ref="A109:A252" si="40">+A108+7</f>
        <v>39597</v>
      </c>
      <c r="C109">
        <v>678.6</v>
      </c>
      <c r="D109">
        <v>663</v>
      </c>
      <c r="E109">
        <v>2792.7</v>
      </c>
      <c r="F109">
        <v>2943.3</v>
      </c>
      <c r="G109" s="14">
        <f t="shared" si="39"/>
        <v>3471.2999999999997</v>
      </c>
      <c r="H109" s="2">
        <f t="shared" si="39"/>
        <v>3606.3</v>
      </c>
      <c r="I109" s="48">
        <f t="shared" si="38"/>
        <v>-3.743448964312468</v>
      </c>
      <c r="J109">
        <v>159.4</v>
      </c>
    </row>
    <row r="110" spans="1:10" x14ac:dyDescent="0.25">
      <c r="A110" s="35">
        <f t="shared" si="40"/>
        <v>39604</v>
      </c>
      <c r="C110">
        <v>660.6</v>
      </c>
      <c r="D110">
        <v>682.9</v>
      </c>
      <c r="E110">
        <v>2830.4</v>
      </c>
      <c r="F110">
        <v>2994.6</v>
      </c>
      <c r="G110" s="14">
        <f t="shared" si="39"/>
        <v>3491</v>
      </c>
      <c r="H110" s="2">
        <f t="shared" si="39"/>
        <v>3677.5</v>
      </c>
      <c r="I110" s="48">
        <f t="shared" si="38"/>
        <v>-5.0713800135961939</v>
      </c>
      <c r="J110">
        <v>187</v>
      </c>
    </row>
    <row r="111" spans="1:10" x14ac:dyDescent="0.25">
      <c r="A111" s="35">
        <f t="shared" si="40"/>
        <v>39611</v>
      </c>
      <c r="C111">
        <v>660.6</v>
      </c>
      <c r="D111">
        <v>682.9</v>
      </c>
      <c r="E111">
        <v>2830.4</v>
      </c>
      <c r="F111">
        <v>2994.6</v>
      </c>
      <c r="G111" s="14">
        <f t="shared" ref="G111:H113" si="41">+C111+E111</f>
        <v>3491</v>
      </c>
      <c r="H111" s="2">
        <f t="shared" si="41"/>
        <v>3677.5</v>
      </c>
      <c r="I111" s="48">
        <f t="shared" ref="I111:I116" si="42">+(G111/H111-1)*100</f>
        <v>-5.0713800135961939</v>
      </c>
      <c r="J111">
        <v>187</v>
      </c>
    </row>
    <row r="112" spans="1:10" x14ac:dyDescent="0.25">
      <c r="A112" s="35">
        <f t="shared" si="40"/>
        <v>39618</v>
      </c>
      <c r="C112">
        <v>539.5</v>
      </c>
      <c r="D112">
        <v>658</v>
      </c>
      <c r="E112">
        <v>2980</v>
      </c>
      <c r="F112">
        <v>3196.4</v>
      </c>
      <c r="G112" s="14">
        <f t="shared" si="41"/>
        <v>3519.5</v>
      </c>
      <c r="H112" s="2">
        <f t="shared" si="41"/>
        <v>3854.4</v>
      </c>
      <c r="I112" s="48">
        <f t="shared" si="42"/>
        <v>-8.6887712743877188</v>
      </c>
      <c r="J112">
        <v>222.7</v>
      </c>
    </row>
    <row r="113" spans="1:11" x14ac:dyDescent="0.25">
      <c r="A113" s="35">
        <f t="shared" si="40"/>
        <v>39625</v>
      </c>
      <c r="C113">
        <v>483.6</v>
      </c>
      <c r="D113">
        <v>693.4</v>
      </c>
      <c r="E113">
        <v>3058.6</v>
      </c>
      <c r="F113">
        <v>3252.4</v>
      </c>
      <c r="G113" s="14">
        <f t="shared" si="41"/>
        <v>3542.2</v>
      </c>
      <c r="H113" s="2">
        <f t="shared" si="41"/>
        <v>3945.8</v>
      </c>
      <c r="I113" s="48">
        <f t="shared" si="42"/>
        <v>-10.228597496071778</v>
      </c>
      <c r="J113">
        <v>222.7</v>
      </c>
    </row>
    <row r="114" spans="1:11" x14ac:dyDescent="0.25">
      <c r="A114" s="35">
        <f t="shared" si="40"/>
        <v>39632</v>
      </c>
      <c r="C114">
        <v>489.7</v>
      </c>
      <c r="D114">
        <v>685.3</v>
      </c>
      <c r="E114">
        <v>3112.4</v>
      </c>
      <c r="F114">
        <v>3290.8</v>
      </c>
      <c r="G114" s="14">
        <f t="shared" ref="G114:H116" si="43">+C114+E114</f>
        <v>3602.1</v>
      </c>
      <c r="H114" s="2">
        <f t="shared" si="43"/>
        <v>3976.1000000000004</v>
      </c>
      <c r="I114" s="48">
        <f t="shared" si="42"/>
        <v>-9.4062020572923348</v>
      </c>
      <c r="J114">
        <v>222.7</v>
      </c>
    </row>
    <row r="115" spans="1:11" x14ac:dyDescent="0.25">
      <c r="A115" s="35">
        <f t="shared" si="40"/>
        <v>39639</v>
      </c>
      <c r="C115">
        <v>445.4</v>
      </c>
      <c r="D115">
        <v>657.9</v>
      </c>
      <c r="E115">
        <v>3150</v>
      </c>
      <c r="F115">
        <v>3341</v>
      </c>
      <c r="G115" s="14">
        <f t="shared" si="43"/>
        <v>3595.4</v>
      </c>
      <c r="H115" s="2">
        <f t="shared" si="43"/>
        <v>3998.9</v>
      </c>
      <c r="I115" s="48">
        <f t="shared" si="42"/>
        <v>-10.090274825577028</v>
      </c>
      <c r="J115">
        <v>241.3</v>
      </c>
    </row>
    <row r="116" spans="1:11" x14ac:dyDescent="0.25">
      <c r="A116" s="35">
        <f t="shared" si="40"/>
        <v>39646</v>
      </c>
      <c r="C116">
        <v>437.4</v>
      </c>
      <c r="D116">
        <v>633.5</v>
      </c>
      <c r="E116">
        <v>3189.1</v>
      </c>
      <c r="F116">
        <v>3383.7</v>
      </c>
      <c r="G116" s="14">
        <f t="shared" si="43"/>
        <v>3626.5</v>
      </c>
      <c r="H116" s="2">
        <f t="shared" si="43"/>
        <v>4017.2</v>
      </c>
      <c r="I116" s="48">
        <f t="shared" si="42"/>
        <v>-9.7256795778153933</v>
      </c>
      <c r="J116">
        <v>264.3</v>
      </c>
    </row>
    <row r="117" spans="1:11" x14ac:dyDescent="0.25">
      <c r="A117" s="35">
        <f t="shared" si="40"/>
        <v>39653</v>
      </c>
      <c r="C117">
        <v>367.6</v>
      </c>
      <c r="D117">
        <v>581.29999999999995</v>
      </c>
      <c r="E117">
        <v>3233.3</v>
      </c>
      <c r="F117">
        <v>3451.1</v>
      </c>
      <c r="G117" s="14">
        <f t="shared" ref="G117:H119" si="44">+C117+E117</f>
        <v>3600.9</v>
      </c>
      <c r="H117" s="2">
        <f t="shared" si="44"/>
        <v>4032.3999999999996</v>
      </c>
      <c r="I117" s="48">
        <f t="shared" ref="I117:I122" si="45">+(G117/H117-1)*100</f>
        <v>-10.700823331018739</v>
      </c>
      <c r="J117">
        <v>264.3</v>
      </c>
    </row>
    <row r="118" spans="1:11" x14ac:dyDescent="0.25">
      <c r="A118" s="35">
        <f t="shared" si="40"/>
        <v>39660</v>
      </c>
      <c r="C118">
        <v>335.8</v>
      </c>
      <c r="D118">
        <v>470.5</v>
      </c>
      <c r="E118">
        <v>3300.5</v>
      </c>
      <c r="F118">
        <v>3582.1</v>
      </c>
      <c r="G118" s="14">
        <f t="shared" si="44"/>
        <v>3636.3</v>
      </c>
      <c r="H118" s="2">
        <f t="shared" si="44"/>
        <v>4052.6</v>
      </c>
      <c r="I118" s="48">
        <f t="shared" si="45"/>
        <v>-10.272417707150961</v>
      </c>
      <c r="J118">
        <v>298</v>
      </c>
    </row>
    <row r="119" spans="1:11" x14ac:dyDescent="0.25">
      <c r="A119" s="35">
        <f t="shared" si="40"/>
        <v>39667</v>
      </c>
      <c r="C119">
        <v>306.7</v>
      </c>
      <c r="D119">
        <v>461.8</v>
      </c>
      <c r="E119">
        <v>3350.2</v>
      </c>
      <c r="F119">
        <v>3618.1</v>
      </c>
      <c r="G119" s="14">
        <f t="shared" si="44"/>
        <v>3656.8999999999996</v>
      </c>
      <c r="H119" s="2">
        <f t="shared" si="44"/>
        <v>4079.9</v>
      </c>
      <c r="I119" s="48">
        <f t="shared" si="45"/>
        <v>-10.367901174048399</v>
      </c>
      <c r="J119">
        <v>329</v>
      </c>
    </row>
    <row r="120" spans="1:11" x14ac:dyDescent="0.25">
      <c r="A120" s="35">
        <f t="shared" si="40"/>
        <v>39674</v>
      </c>
      <c r="C120">
        <v>242.3</v>
      </c>
      <c r="D120">
        <v>407.5</v>
      </c>
      <c r="E120">
        <v>3437.4</v>
      </c>
      <c r="F120">
        <v>3671.6</v>
      </c>
      <c r="G120" s="14">
        <f t="shared" ref="G120:H122" si="46">+C120+E120</f>
        <v>3679.7000000000003</v>
      </c>
      <c r="H120" s="2">
        <f t="shared" si="46"/>
        <v>4079.1</v>
      </c>
      <c r="I120" s="48">
        <f t="shared" si="45"/>
        <v>-9.7913755485278475</v>
      </c>
      <c r="J120">
        <v>444.5</v>
      </c>
    </row>
    <row r="121" spans="1:11" x14ac:dyDescent="0.25">
      <c r="A121" s="35">
        <f t="shared" si="40"/>
        <v>39681</v>
      </c>
      <c r="C121">
        <v>178.3</v>
      </c>
      <c r="D121">
        <v>257.5</v>
      </c>
      <c r="E121">
        <v>3503</v>
      </c>
      <c r="F121">
        <v>3774.7</v>
      </c>
      <c r="G121" s="14">
        <f t="shared" si="46"/>
        <v>3681.3</v>
      </c>
      <c r="H121" s="2">
        <f t="shared" si="46"/>
        <v>4032.2</v>
      </c>
      <c r="I121" s="48">
        <f t="shared" si="45"/>
        <v>-8.7024453152125254</v>
      </c>
      <c r="J121">
        <v>493.3</v>
      </c>
    </row>
    <row r="122" spans="1:11" x14ac:dyDescent="0.25">
      <c r="A122" s="35">
        <f t="shared" si="40"/>
        <v>39688</v>
      </c>
      <c r="C122">
        <v>116.4</v>
      </c>
      <c r="D122">
        <v>200.8</v>
      </c>
      <c r="E122">
        <v>3574.4</v>
      </c>
      <c r="F122">
        <v>3843.9</v>
      </c>
      <c r="G122" s="14">
        <f t="shared" si="46"/>
        <v>3690.8</v>
      </c>
      <c r="H122" s="2">
        <f t="shared" si="46"/>
        <v>4044.7000000000003</v>
      </c>
      <c r="I122" s="48">
        <f t="shared" si="45"/>
        <v>-8.7497218582342384</v>
      </c>
      <c r="J122">
        <v>488</v>
      </c>
      <c r="K122" s="14">
        <f>+G122-Data!N116</f>
        <v>3575</v>
      </c>
    </row>
    <row r="123" spans="1:11" x14ac:dyDescent="0.25">
      <c r="A123" s="35">
        <f t="shared" si="40"/>
        <v>39695</v>
      </c>
      <c r="C123">
        <v>590</v>
      </c>
      <c r="D123">
        <v>770.4</v>
      </c>
      <c r="E123">
        <v>14.9</v>
      </c>
      <c r="F123">
        <v>17.399999999999999</v>
      </c>
      <c r="G123" s="14">
        <f t="shared" ref="G123:H125" si="47">+C123+E123</f>
        <v>604.9</v>
      </c>
      <c r="H123" s="2">
        <f t="shared" si="47"/>
        <v>787.8</v>
      </c>
      <c r="I123" s="48">
        <f t="shared" ref="I123:I128" si="48">+(G123/H123-1)*100</f>
        <v>-23.216552424473214</v>
      </c>
    </row>
    <row r="124" spans="1:11" x14ac:dyDescent="0.25">
      <c r="A124" s="35">
        <f t="shared" si="40"/>
        <v>39702</v>
      </c>
      <c r="C124">
        <v>604.29999999999995</v>
      </c>
      <c r="D124">
        <v>776.7</v>
      </c>
      <c r="E124">
        <v>38.700000000000003</v>
      </c>
      <c r="F124">
        <v>69.900000000000006</v>
      </c>
      <c r="G124" s="14">
        <f t="shared" si="47"/>
        <v>643</v>
      </c>
      <c r="H124" s="2">
        <f t="shared" si="47"/>
        <v>846.6</v>
      </c>
      <c r="I124" s="48">
        <f t="shared" si="48"/>
        <v>-24.04913772738011</v>
      </c>
    </row>
    <row r="125" spans="1:11" x14ac:dyDescent="0.25">
      <c r="A125" s="35">
        <f t="shared" si="40"/>
        <v>39709</v>
      </c>
      <c r="C125">
        <v>652.79999999999995</v>
      </c>
      <c r="D125">
        <v>695.6</v>
      </c>
      <c r="E125">
        <v>48.2</v>
      </c>
      <c r="F125">
        <v>206.4</v>
      </c>
      <c r="G125" s="14">
        <f t="shared" si="47"/>
        <v>701</v>
      </c>
      <c r="H125" s="2">
        <f t="shared" si="47"/>
        <v>902</v>
      </c>
      <c r="I125" s="48">
        <f t="shared" si="48"/>
        <v>-22.283813747228375</v>
      </c>
    </row>
    <row r="126" spans="1:11" x14ac:dyDescent="0.25">
      <c r="A126" s="35">
        <f t="shared" si="40"/>
        <v>39716</v>
      </c>
      <c r="C126">
        <v>679.2</v>
      </c>
      <c r="D126">
        <v>728.9</v>
      </c>
      <c r="E126">
        <v>76.8</v>
      </c>
      <c r="F126">
        <v>249.2</v>
      </c>
      <c r="G126" s="14">
        <f t="shared" ref="G126:H128" si="49">+C126+E126</f>
        <v>756</v>
      </c>
      <c r="H126" s="2">
        <f t="shared" si="49"/>
        <v>978.09999999999991</v>
      </c>
      <c r="I126" s="48">
        <f t="shared" si="48"/>
        <v>-22.707289643185756</v>
      </c>
    </row>
    <row r="127" spans="1:11" x14ac:dyDescent="0.25">
      <c r="A127" s="35">
        <f t="shared" si="40"/>
        <v>39723</v>
      </c>
      <c r="C127">
        <v>621.9</v>
      </c>
      <c r="D127">
        <v>705.1</v>
      </c>
      <c r="E127">
        <v>148.4</v>
      </c>
      <c r="F127">
        <v>361.2</v>
      </c>
      <c r="G127" s="14">
        <f t="shared" si="49"/>
        <v>770.3</v>
      </c>
      <c r="H127" s="2">
        <f t="shared" si="49"/>
        <v>1066.3</v>
      </c>
      <c r="I127" s="48">
        <f t="shared" si="48"/>
        <v>-27.759542342680298</v>
      </c>
    </row>
    <row r="128" spans="1:11" x14ac:dyDescent="0.25">
      <c r="A128" s="35">
        <f t="shared" si="40"/>
        <v>39730</v>
      </c>
      <c r="C128">
        <v>700.1</v>
      </c>
      <c r="D128">
        <v>790.5</v>
      </c>
      <c r="E128">
        <v>178.6</v>
      </c>
      <c r="F128">
        <v>398.2</v>
      </c>
      <c r="G128" s="14">
        <f t="shared" si="49"/>
        <v>878.7</v>
      </c>
      <c r="H128" s="2">
        <f t="shared" si="49"/>
        <v>1188.7</v>
      </c>
      <c r="I128" s="48">
        <f t="shared" si="48"/>
        <v>-26.078909733322121</v>
      </c>
    </row>
    <row r="129" spans="1:9" x14ac:dyDescent="0.25">
      <c r="A129" s="35">
        <f t="shared" si="40"/>
        <v>39737</v>
      </c>
      <c r="C129">
        <v>553.20000000000005</v>
      </c>
      <c r="D129">
        <v>745.9</v>
      </c>
      <c r="E129">
        <v>351.1</v>
      </c>
      <c r="F129">
        <v>484</v>
      </c>
      <c r="G129" s="14">
        <f t="shared" ref="G129:H131" si="50">+C129+E129</f>
        <v>904.30000000000007</v>
      </c>
      <c r="H129" s="2">
        <f t="shared" si="50"/>
        <v>1229.9000000000001</v>
      </c>
      <c r="I129" s="48">
        <f t="shared" ref="I129:I134" si="51">+(G129/H129-1)*100</f>
        <v>-26.473697048540533</v>
      </c>
    </row>
    <row r="130" spans="1:9" x14ac:dyDescent="0.25">
      <c r="A130" s="35">
        <f t="shared" si="40"/>
        <v>39744</v>
      </c>
      <c r="C130">
        <v>473</v>
      </c>
      <c r="D130">
        <v>786</v>
      </c>
      <c r="E130">
        <v>481.9</v>
      </c>
      <c r="F130">
        <v>551.5</v>
      </c>
      <c r="G130" s="14">
        <f t="shared" si="50"/>
        <v>954.9</v>
      </c>
      <c r="H130" s="2">
        <f t="shared" si="50"/>
        <v>1337.5</v>
      </c>
      <c r="I130" s="48">
        <f t="shared" si="51"/>
        <v>-28.60560747663552</v>
      </c>
    </row>
    <row r="131" spans="1:9" x14ac:dyDescent="0.25">
      <c r="A131" s="35">
        <f t="shared" si="40"/>
        <v>39751</v>
      </c>
      <c r="C131">
        <v>443.1</v>
      </c>
      <c r="D131">
        <v>679.5</v>
      </c>
      <c r="E131">
        <v>522.9</v>
      </c>
      <c r="F131">
        <v>667.7</v>
      </c>
      <c r="G131" s="14">
        <f t="shared" si="50"/>
        <v>966</v>
      </c>
      <c r="H131" s="2">
        <f t="shared" si="50"/>
        <v>1347.2</v>
      </c>
      <c r="I131" s="48">
        <f t="shared" si="51"/>
        <v>-28.295724465558191</v>
      </c>
    </row>
    <row r="132" spans="1:9" x14ac:dyDescent="0.25">
      <c r="A132" s="35">
        <f t="shared" si="40"/>
        <v>39758</v>
      </c>
      <c r="C132">
        <v>413.4</v>
      </c>
      <c r="D132">
        <v>589.9</v>
      </c>
      <c r="E132">
        <v>634.6</v>
      </c>
      <c r="F132">
        <v>778</v>
      </c>
      <c r="G132" s="14">
        <f t="shared" ref="G132:H134" si="52">+C132+E132</f>
        <v>1048</v>
      </c>
      <c r="H132" s="2">
        <f t="shared" si="52"/>
        <v>1367.9</v>
      </c>
      <c r="I132" s="48">
        <f t="shared" si="51"/>
        <v>-23.386212442430011</v>
      </c>
    </row>
    <row r="133" spans="1:9" x14ac:dyDescent="0.25">
      <c r="A133" s="35">
        <f t="shared" si="40"/>
        <v>39765</v>
      </c>
      <c r="C133">
        <v>508.7</v>
      </c>
      <c r="D133">
        <v>622.4</v>
      </c>
      <c r="E133">
        <v>661.5</v>
      </c>
      <c r="F133">
        <v>825.3</v>
      </c>
      <c r="G133" s="14">
        <f t="shared" si="52"/>
        <v>1170.2</v>
      </c>
      <c r="H133" s="2">
        <f t="shared" si="52"/>
        <v>1447.6999999999998</v>
      </c>
      <c r="I133" s="48">
        <f t="shared" si="51"/>
        <v>-19.168335981211559</v>
      </c>
    </row>
    <row r="134" spans="1:9" x14ac:dyDescent="0.25">
      <c r="A134" s="35">
        <f t="shared" si="40"/>
        <v>39772</v>
      </c>
      <c r="C134">
        <v>523.9</v>
      </c>
      <c r="D134">
        <v>643.29999999999995</v>
      </c>
      <c r="E134">
        <v>699</v>
      </c>
      <c r="F134">
        <v>908.5</v>
      </c>
      <c r="G134" s="14">
        <f t="shared" si="52"/>
        <v>1222.9000000000001</v>
      </c>
      <c r="H134" s="2">
        <f t="shared" si="52"/>
        <v>1551.8</v>
      </c>
      <c r="I134" s="48">
        <f t="shared" si="51"/>
        <v>-21.194741590411127</v>
      </c>
    </row>
    <row r="135" spans="1:9" x14ac:dyDescent="0.25">
      <c r="A135" s="35">
        <f t="shared" si="40"/>
        <v>39779</v>
      </c>
      <c r="C135">
        <v>525.6</v>
      </c>
      <c r="D135">
        <v>565.29999999999995</v>
      </c>
      <c r="E135">
        <v>749.7</v>
      </c>
      <c r="F135">
        <v>925.3</v>
      </c>
      <c r="G135" s="14">
        <f t="shared" ref="G135:H137" si="53">+C135+E135</f>
        <v>1275.3000000000002</v>
      </c>
      <c r="H135" s="2">
        <f t="shared" si="53"/>
        <v>1490.6</v>
      </c>
      <c r="I135" s="48">
        <f t="shared" ref="I135:I140" si="54">+(G135/H135-1)*100</f>
        <v>-14.443848114853065</v>
      </c>
    </row>
    <row r="136" spans="1:9" x14ac:dyDescent="0.25">
      <c r="A136" s="35">
        <f t="shared" si="40"/>
        <v>39786</v>
      </c>
      <c r="C136">
        <v>480.6</v>
      </c>
      <c r="D136">
        <v>522.70000000000005</v>
      </c>
      <c r="E136">
        <v>794.5</v>
      </c>
      <c r="F136">
        <v>998.7</v>
      </c>
      <c r="G136" s="14">
        <f t="shared" si="53"/>
        <v>1275.0999999999999</v>
      </c>
      <c r="H136" s="2">
        <f t="shared" si="53"/>
        <v>1521.4</v>
      </c>
      <c r="I136" s="48">
        <f t="shared" si="54"/>
        <v>-16.189036413829385</v>
      </c>
    </row>
    <row r="137" spans="1:9" x14ac:dyDescent="0.25">
      <c r="A137" s="35">
        <f t="shared" si="40"/>
        <v>39793</v>
      </c>
      <c r="C137">
        <v>483.6</v>
      </c>
      <c r="D137">
        <v>687.4</v>
      </c>
      <c r="E137">
        <v>816.9</v>
      </c>
      <c r="F137">
        <v>1023.6</v>
      </c>
      <c r="G137" s="14">
        <f t="shared" si="53"/>
        <v>1300.5</v>
      </c>
      <c r="H137" s="2">
        <f t="shared" si="53"/>
        <v>1711</v>
      </c>
      <c r="I137" s="48">
        <f t="shared" si="54"/>
        <v>-23.991817650496785</v>
      </c>
    </row>
    <row r="138" spans="1:9" x14ac:dyDescent="0.25">
      <c r="A138" s="35">
        <f t="shared" si="40"/>
        <v>39800</v>
      </c>
      <c r="C138">
        <v>456.1</v>
      </c>
      <c r="D138">
        <v>717.9</v>
      </c>
      <c r="E138">
        <v>856.8</v>
      </c>
      <c r="F138">
        <v>1042.2</v>
      </c>
      <c r="G138" s="14">
        <f t="shared" ref="G138:H140" si="55">+C138+E138</f>
        <v>1312.9</v>
      </c>
      <c r="H138" s="2">
        <f t="shared" si="55"/>
        <v>1760.1</v>
      </c>
      <c r="I138" s="48">
        <f t="shared" si="54"/>
        <v>-25.407647292767443</v>
      </c>
    </row>
    <row r="139" spans="1:9" x14ac:dyDescent="0.25">
      <c r="A139" s="35">
        <f t="shared" si="40"/>
        <v>39807</v>
      </c>
      <c r="C139">
        <v>448.1</v>
      </c>
      <c r="D139">
        <v>742.3</v>
      </c>
      <c r="E139">
        <v>879.2</v>
      </c>
      <c r="F139">
        <v>1067.4000000000001</v>
      </c>
      <c r="G139" s="14">
        <f t="shared" si="55"/>
        <v>1327.3000000000002</v>
      </c>
      <c r="H139" s="2">
        <f t="shared" si="55"/>
        <v>1809.7</v>
      </c>
      <c r="I139" s="48">
        <f t="shared" si="54"/>
        <v>-26.656351881527318</v>
      </c>
    </row>
    <row r="140" spans="1:9" x14ac:dyDescent="0.25">
      <c r="A140" s="35">
        <f t="shared" si="40"/>
        <v>39814</v>
      </c>
      <c r="C140">
        <v>417.2</v>
      </c>
      <c r="D140">
        <v>696.4</v>
      </c>
      <c r="E140">
        <v>928.1</v>
      </c>
      <c r="F140">
        <v>1144.8</v>
      </c>
      <c r="G140" s="14">
        <f t="shared" si="55"/>
        <v>1345.3</v>
      </c>
      <c r="H140" s="2">
        <f t="shared" si="55"/>
        <v>1841.1999999999998</v>
      </c>
      <c r="I140" s="48">
        <f t="shared" si="54"/>
        <v>-26.933521616337163</v>
      </c>
    </row>
    <row r="141" spans="1:9" x14ac:dyDescent="0.25">
      <c r="A141" s="35">
        <f t="shared" si="40"/>
        <v>39821</v>
      </c>
      <c r="C141">
        <v>307</v>
      </c>
      <c r="D141">
        <v>792.8</v>
      </c>
      <c r="E141">
        <v>1083.5</v>
      </c>
      <c r="F141">
        <v>1204.3</v>
      </c>
      <c r="G141" s="14">
        <f t="shared" ref="G141:H143" si="56">+C141+E141</f>
        <v>1390.5</v>
      </c>
      <c r="H141" s="2">
        <f t="shared" si="56"/>
        <v>1997.1</v>
      </c>
      <c r="I141" s="48">
        <f t="shared" ref="I141:I146" si="57">+(G141/H141-1)*100</f>
        <v>-30.37404236142406</v>
      </c>
    </row>
    <row r="142" spans="1:9" x14ac:dyDescent="0.25">
      <c r="A142" s="35">
        <f t="shared" si="40"/>
        <v>39828</v>
      </c>
      <c r="C142">
        <v>304.2</v>
      </c>
      <c r="D142">
        <v>786.3</v>
      </c>
      <c r="E142">
        <v>1156.7</v>
      </c>
      <c r="F142">
        <v>1322.4</v>
      </c>
      <c r="G142" s="14">
        <f t="shared" si="56"/>
        <v>1460.9</v>
      </c>
      <c r="H142" s="2">
        <f t="shared" si="56"/>
        <v>2108.6999999999998</v>
      </c>
      <c r="I142" s="48">
        <f t="shared" si="57"/>
        <v>-30.720349030208173</v>
      </c>
    </row>
    <row r="143" spans="1:9" x14ac:dyDescent="0.25">
      <c r="A143" s="35">
        <f t="shared" si="40"/>
        <v>39835</v>
      </c>
      <c r="C143">
        <v>271.8</v>
      </c>
      <c r="D143">
        <v>777.8</v>
      </c>
      <c r="E143">
        <v>1224.9000000000001</v>
      </c>
      <c r="F143">
        <v>1399.5</v>
      </c>
      <c r="G143" s="14">
        <f t="shared" si="56"/>
        <v>1496.7</v>
      </c>
      <c r="H143" s="2">
        <f t="shared" si="56"/>
        <v>2177.3000000000002</v>
      </c>
      <c r="I143" s="48">
        <f t="shared" si="57"/>
        <v>-31.258898635925235</v>
      </c>
    </row>
    <row r="144" spans="1:9" x14ac:dyDescent="0.25">
      <c r="A144" s="35">
        <f t="shared" si="40"/>
        <v>39842</v>
      </c>
      <c r="C144">
        <v>268</v>
      </c>
      <c r="D144">
        <v>826.4</v>
      </c>
      <c r="E144">
        <v>1267.5999999999999</v>
      </c>
      <c r="F144">
        <v>1499.6</v>
      </c>
      <c r="G144" s="14">
        <f t="shared" ref="G144:H146" si="58">+C144+E144</f>
        <v>1535.6</v>
      </c>
      <c r="H144" s="2">
        <f t="shared" si="58"/>
        <v>2326</v>
      </c>
      <c r="I144" s="48">
        <f t="shared" si="57"/>
        <v>-33.98108340498711</v>
      </c>
    </row>
    <row r="145" spans="1:10" x14ac:dyDescent="0.25">
      <c r="A145" s="35">
        <f t="shared" si="40"/>
        <v>39849</v>
      </c>
      <c r="C145">
        <v>285.7</v>
      </c>
      <c r="D145">
        <v>892.3</v>
      </c>
      <c r="E145">
        <v>1346</v>
      </c>
      <c r="F145">
        <v>1577.3</v>
      </c>
      <c r="G145" s="14">
        <f t="shared" si="58"/>
        <v>1631.7</v>
      </c>
      <c r="H145" s="2">
        <f t="shared" si="58"/>
        <v>2469.6</v>
      </c>
      <c r="I145" s="48">
        <f t="shared" si="57"/>
        <v>-33.928571428571416</v>
      </c>
    </row>
    <row r="146" spans="1:10" x14ac:dyDescent="0.25">
      <c r="A146" s="35">
        <f t="shared" si="40"/>
        <v>39856</v>
      </c>
      <c r="C146">
        <v>294.39999999999998</v>
      </c>
      <c r="D146">
        <v>993.6</v>
      </c>
      <c r="E146">
        <v>1385.4</v>
      </c>
      <c r="F146">
        <v>1634.9</v>
      </c>
      <c r="G146" s="14">
        <f t="shared" si="58"/>
        <v>1679.8000000000002</v>
      </c>
      <c r="H146" s="2">
        <f t="shared" si="58"/>
        <v>2628.5</v>
      </c>
      <c r="I146" s="48">
        <f t="shared" si="57"/>
        <v>-36.092828609473081</v>
      </c>
    </row>
    <row r="147" spans="1:10" x14ac:dyDescent="0.25">
      <c r="A147" s="35">
        <f t="shared" si="40"/>
        <v>39863</v>
      </c>
      <c r="C147">
        <v>258</v>
      </c>
      <c r="D147">
        <v>954.7</v>
      </c>
      <c r="E147">
        <v>1440</v>
      </c>
      <c r="F147">
        <v>1699.3</v>
      </c>
      <c r="G147" s="14">
        <f t="shared" ref="G147:H149" si="59">+C147+E147</f>
        <v>1698</v>
      </c>
      <c r="H147" s="2">
        <f t="shared" si="59"/>
        <v>2654</v>
      </c>
      <c r="I147" s="48">
        <f t="shared" ref="I147:I152" si="60">+(G147/H147-1)*100</f>
        <v>-36.021100226073855</v>
      </c>
    </row>
    <row r="148" spans="1:10" x14ac:dyDescent="0.25">
      <c r="A148" s="35">
        <f t="shared" si="40"/>
        <v>39870</v>
      </c>
      <c r="C148">
        <v>252.4</v>
      </c>
      <c r="D148">
        <v>918.4</v>
      </c>
      <c r="E148">
        <v>1479.4</v>
      </c>
      <c r="F148">
        <v>1797.2</v>
      </c>
      <c r="G148" s="14">
        <f t="shared" si="59"/>
        <v>1731.8000000000002</v>
      </c>
      <c r="H148" s="2">
        <f t="shared" si="59"/>
        <v>2715.6</v>
      </c>
      <c r="I148" s="48">
        <f t="shared" si="60"/>
        <v>-36.227721313890108</v>
      </c>
    </row>
    <row r="149" spans="1:10" x14ac:dyDescent="0.25">
      <c r="A149" s="35">
        <f t="shared" si="40"/>
        <v>39877</v>
      </c>
      <c r="C149">
        <v>388.1</v>
      </c>
      <c r="D149">
        <v>967.3</v>
      </c>
      <c r="E149">
        <v>1530.9</v>
      </c>
      <c r="F149">
        <v>1890.5</v>
      </c>
      <c r="G149" s="14">
        <f t="shared" si="59"/>
        <v>1919</v>
      </c>
      <c r="H149" s="2">
        <f t="shared" si="59"/>
        <v>2857.8</v>
      </c>
      <c r="I149" s="48">
        <f t="shared" si="60"/>
        <v>-32.850444397788515</v>
      </c>
    </row>
    <row r="150" spans="1:10" x14ac:dyDescent="0.25">
      <c r="A150" s="35">
        <f t="shared" si="40"/>
        <v>39884</v>
      </c>
      <c r="C150">
        <v>426.1</v>
      </c>
      <c r="D150">
        <v>982.7</v>
      </c>
      <c r="E150">
        <v>1551.4</v>
      </c>
      <c r="F150">
        <v>1978.9</v>
      </c>
      <c r="G150" s="14">
        <f t="shared" ref="G150:H152" si="61">+C150+E150</f>
        <v>1977.5</v>
      </c>
      <c r="H150" s="2">
        <f t="shared" si="61"/>
        <v>2961.6000000000004</v>
      </c>
      <c r="I150" s="48">
        <f t="shared" si="60"/>
        <v>-33.228660183684497</v>
      </c>
    </row>
    <row r="151" spans="1:10" x14ac:dyDescent="0.25">
      <c r="A151" s="35">
        <f t="shared" si="40"/>
        <v>39891</v>
      </c>
      <c r="C151">
        <v>461.2</v>
      </c>
      <c r="D151">
        <v>983</v>
      </c>
      <c r="E151">
        <v>1617.1</v>
      </c>
      <c r="F151">
        <v>2024.2</v>
      </c>
      <c r="G151" s="14">
        <f t="shared" si="61"/>
        <v>2078.2999999999997</v>
      </c>
      <c r="H151" s="2">
        <f t="shared" si="61"/>
        <v>3007.2</v>
      </c>
      <c r="I151" s="48">
        <f t="shared" si="60"/>
        <v>-30.889199255121046</v>
      </c>
    </row>
    <row r="152" spans="1:10" x14ac:dyDescent="0.25">
      <c r="A152" s="35">
        <f t="shared" si="40"/>
        <v>39898</v>
      </c>
      <c r="C152">
        <v>524.70000000000005</v>
      </c>
      <c r="D152">
        <v>917.4</v>
      </c>
      <c r="E152">
        <v>1684.6</v>
      </c>
      <c r="F152">
        <v>2137.3000000000002</v>
      </c>
      <c r="G152" s="14">
        <f t="shared" si="61"/>
        <v>2209.3000000000002</v>
      </c>
      <c r="H152" s="2">
        <f t="shared" si="61"/>
        <v>3054.7000000000003</v>
      </c>
      <c r="I152" s="48">
        <f t="shared" si="60"/>
        <v>-27.675385471568404</v>
      </c>
    </row>
    <row r="153" spans="1:10" x14ac:dyDescent="0.25">
      <c r="A153" s="35">
        <f t="shared" si="40"/>
        <v>39905</v>
      </c>
      <c r="C153">
        <v>497.1</v>
      </c>
      <c r="D153">
        <v>866.3</v>
      </c>
      <c r="E153">
        <v>1784.8</v>
      </c>
      <c r="F153">
        <v>2197.8000000000002</v>
      </c>
      <c r="G153" s="14">
        <f t="shared" ref="G153:G184" si="62">+C153+E153</f>
        <v>2281.9</v>
      </c>
      <c r="H153" s="2">
        <f t="shared" ref="H153:H184" si="63">+D153+F153</f>
        <v>3064.1000000000004</v>
      </c>
      <c r="I153" s="48">
        <f t="shared" ref="I153:I184" si="64">+(G153/H153-1)*100</f>
        <v>-25.527887471035548</v>
      </c>
    </row>
    <row r="154" spans="1:10" x14ac:dyDescent="0.25">
      <c r="A154" s="35">
        <f t="shared" si="40"/>
        <v>39912</v>
      </c>
      <c r="C154">
        <v>448.9</v>
      </c>
      <c r="D154">
        <v>831.3</v>
      </c>
      <c r="E154">
        <v>1855.4</v>
      </c>
      <c r="F154">
        <v>2232.9</v>
      </c>
      <c r="G154" s="14">
        <f t="shared" si="62"/>
        <v>2304.3000000000002</v>
      </c>
      <c r="H154" s="2">
        <f t="shared" si="63"/>
        <v>3064.2</v>
      </c>
      <c r="I154" s="48">
        <f t="shared" si="64"/>
        <v>-24.799295085177199</v>
      </c>
    </row>
    <row r="155" spans="1:10" x14ac:dyDescent="0.25">
      <c r="A155" s="35">
        <f t="shared" si="40"/>
        <v>39919</v>
      </c>
      <c r="C155">
        <v>440.9</v>
      </c>
      <c r="D155">
        <v>897.3</v>
      </c>
      <c r="E155">
        <v>1951.7</v>
      </c>
      <c r="F155">
        <v>2337.3000000000002</v>
      </c>
      <c r="G155" s="14">
        <f t="shared" si="62"/>
        <v>2392.6</v>
      </c>
      <c r="H155" s="2">
        <f t="shared" si="63"/>
        <v>3234.6000000000004</v>
      </c>
      <c r="I155" s="48">
        <f t="shared" si="64"/>
        <v>-26.031039386632049</v>
      </c>
    </row>
    <row r="156" spans="1:10" x14ac:dyDescent="0.25">
      <c r="A156" s="35">
        <f t="shared" si="40"/>
        <v>39926</v>
      </c>
      <c r="C156">
        <v>517.70000000000005</v>
      </c>
      <c r="D156">
        <v>935.1</v>
      </c>
      <c r="E156">
        <v>1982.9</v>
      </c>
      <c r="F156">
        <v>2388.6</v>
      </c>
      <c r="G156" s="14">
        <f t="shared" si="62"/>
        <v>2500.6000000000004</v>
      </c>
      <c r="H156" s="2">
        <f t="shared" si="63"/>
        <v>3323.7</v>
      </c>
      <c r="I156" s="48">
        <f t="shared" si="64"/>
        <v>-24.764569606161789</v>
      </c>
    </row>
    <row r="157" spans="1:10" x14ac:dyDescent="0.25">
      <c r="A157" s="35">
        <f t="shared" si="40"/>
        <v>39933</v>
      </c>
      <c r="C157">
        <v>597</v>
      </c>
      <c r="D157">
        <v>875.1</v>
      </c>
      <c r="E157">
        <v>2008.8</v>
      </c>
      <c r="F157">
        <v>2461.1999999999998</v>
      </c>
      <c r="G157" s="14">
        <f t="shared" si="62"/>
        <v>2605.8000000000002</v>
      </c>
      <c r="H157" s="2">
        <f t="shared" si="63"/>
        <v>3336.2999999999997</v>
      </c>
      <c r="I157" s="48">
        <f t="shared" si="64"/>
        <v>-21.89551299343583</v>
      </c>
      <c r="J157">
        <v>109.5</v>
      </c>
    </row>
    <row r="158" spans="1:10" x14ac:dyDescent="0.25">
      <c r="A158" s="35">
        <f t="shared" si="40"/>
        <v>39940</v>
      </c>
      <c r="C158">
        <v>635.4</v>
      </c>
      <c r="D158">
        <v>819.9</v>
      </c>
      <c r="E158">
        <v>2124</v>
      </c>
      <c r="F158">
        <v>2545.6</v>
      </c>
      <c r="G158" s="14">
        <f t="shared" si="62"/>
        <v>2759.4</v>
      </c>
      <c r="H158" s="2">
        <f t="shared" si="63"/>
        <v>3365.5</v>
      </c>
      <c r="I158" s="48">
        <f t="shared" si="64"/>
        <v>-18.009211112761847</v>
      </c>
      <c r="J158">
        <v>109.5</v>
      </c>
    </row>
    <row r="159" spans="1:10" x14ac:dyDescent="0.25">
      <c r="A159" s="35">
        <f t="shared" si="40"/>
        <v>39947</v>
      </c>
      <c r="C159">
        <v>588.9</v>
      </c>
      <c r="D159">
        <v>803.7</v>
      </c>
      <c r="E159">
        <v>2148.4</v>
      </c>
      <c r="F159">
        <v>2625.5</v>
      </c>
      <c r="G159" s="14">
        <f t="shared" si="62"/>
        <v>2737.3</v>
      </c>
      <c r="H159" s="2">
        <f t="shared" si="63"/>
        <v>3429.2</v>
      </c>
      <c r="I159" s="48">
        <f t="shared" si="64"/>
        <v>-20.176717601772999</v>
      </c>
      <c r="J159">
        <v>128.6</v>
      </c>
    </row>
    <row r="160" spans="1:10" x14ac:dyDescent="0.25">
      <c r="A160" s="35">
        <f t="shared" si="40"/>
        <v>39954</v>
      </c>
      <c r="C160">
        <v>571.6</v>
      </c>
      <c r="D160">
        <v>739.8</v>
      </c>
      <c r="E160">
        <v>2227.4</v>
      </c>
      <c r="F160">
        <v>2723.9</v>
      </c>
      <c r="G160" s="14">
        <f t="shared" si="62"/>
        <v>2799</v>
      </c>
      <c r="H160" s="2">
        <f t="shared" si="63"/>
        <v>3463.7</v>
      </c>
      <c r="I160" s="48">
        <f t="shared" si="64"/>
        <v>-19.190461067644428</v>
      </c>
      <c r="J160">
        <v>128.6</v>
      </c>
    </row>
    <row r="161" spans="1:10" x14ac:dyDescent="0.25">
      <c r="A161" s="35">
        <f t="shared" si="40"/>
        <v>39961</v>
      </c>
      <c r="C161">
        <v>498.2</v>
      </c>
      <c r="D161">
        <v>678.6</v>
      </c>
      <c r="E161">
        <v>2347.9</v>
      </c>
      <c r="F161">
        <v>2792.7</v>
      </c>
      <c r="G161" s="14">
        <f t="shared" si="62"/>
        <v>2846.1</v>
      </c>
      <c r="H161" s="2">
        <f t="shared" si="63"/>
        <v>3471.2999999999997</v>
      </c>
      <c r="I161" s="48">
        <f t="shared" si="64"/>
        <v>-18.010543600380259</v>
      </c>
      <c r="J161">
        <v>128.6</v>
      </c>
    </row>
    <row r="162" spans="1:10" x14ac:dyDescent="0.25">
      <c r="A162" s="35">
        <f t="shared" si="40"/>
        <v>39968</v>
      </c>
      <c r="C162">
        <v>415.4</v>
      </c>
      <c r="D162">
        <v>660.6</v>
      </c>
      <c r="E162">
        <v>2443.1</v>
      </c>
      <c r="F162">
        <v>2830.4</v>
      </c>
      <c r="G162" s="14">
        <f t="shared" si="62"/>
        <v>2858.5</v>
      </c>
      <c r="H162" s="2">
        <f t="shared" si="63"/>
        <v>3491</v>
      </c>
      <c r="I162" s="48">
        <f t="shared" si="64"/>
        <v>-18.118017759954164</v>
      </c>
      <c r="J162">
        <v>182.2</v>
      </c>
    </row>
    <row r="163" spans="1:10" x14ac:dyDescent="0.25">
      <c r="A163" s="35">
        <f t="shared" si="40"/>
        <v>39975</v>
      </c>
      <c r="C163">
        <v>425.9</v>
      </c>
      <c r="D163">
        <v>680.7</v>
      </c>
      <c r="E163">
        <v>2483.6</v>
      </c>
      <c r="F163">
        <v>2842.6</v>
      </c>
      <c r="G163" s="14">
        <f t="shared" si="62"/>
        <v>2909.5</v>
      </c>
      <c r="H163" s="2">
        <f t="shared" si="63"/>
        <v>3523.3</v>
      </c>
      <c r="I163" s="48">
        <f t="shared" si="64"/>
        <v>-17.421167655323146</v>
      </c>
      <c r="J163">
        <v>182.2</v>
      </c>
    </row>
    <row r="164" spans="1:10" x14ac:dyDescent="0.25">
      <c r="A164" s="35">
        <f t="shared" si="40"/>
        <v>39982</v>
      </c>
      <c r="C164">
        <v>400.2</v>
      </c>
      <c r="D164">
        <v>539.5</v>
      </c>
      <c r="E164">
        <v>2530.6</v>
      </c>
      <c r="F164">
        <v>2980</v>
      </c>
      <c r="G164" s="14">
        <f t="shared" si="62"/>
        <v>2930.7999999999997</v>
      </c>
      <c r="H164" s="2">
        <f t="shared" si="63"/>
        <v>3519.5</v>
      </c>
      <c r="I164" s="48">
        <f t="shared" si="64"/>
        <v>-16.726807785196772</v>
      </c>
      <c r="J164">
        <v>249.6</v>
      </c>
    </row>
    <row r="165" spans="1:10" x14ac:dyDescent="0.25">
      <c r="A165" s="35">
        <f t="shared" si="40"/>
        <v>39989</v>
      </c>
      <c r="C165">
        <v>404.2</v>
      </c>
      <c r="D165">
        <v>483.6</v>
      </c>
      <c r="E165">
        <v>2570.1</v>
      </c>
      <c r="F165">
        <v>3058.6</v>
      </c>
      <c r="G165" s="14">
        <f t="shared" si="62"/>
        <v>2974.2999999999997</v>
      </c>
      <c r="H165" s="2">
        <f t="shared" si="63"/>
        <v>3542.2</v>
      </c>
      <c r="I165" s="48">
        <f t="shared" si="64"/>
        <v>-16.032409237197221</v>
      </c>
      <c r="J165">
        <v>249.6</v>
      </c>
    </row>
    <row r="166" spans="1:10" x14ac:dyDescent="0.25">
      <c r="A166" s="35">
        <f t="shared" si="40"/>
        <v>39996</v>
      </c>
      <c r="C166">
        <v>301.8</v>
      </c>
      <c r="D166">
        <v>489.7</v>
      </c>
      <c r="E166">
        <v>2697.4</v>
      </c>
      <c r="F166">
        <v>3112.4</v>
      </c>
      <c r="G166" s="14">
        <f t="shared" si="62"/>
        <v>2999.2000000000003</v>
      </c>
      <c r="H166" s="2">
        <f t="shared" si="63"/>
        <v>3602.1</v>
      </c>
      <c r="I166" s="48">
        <f t="shared" si="64"/>
        <v>-16.737458704644503</v>
      </c>
      <c r="J166">
        <v>249.6</v>
      </c>
    </row>
    <row r="167" spans="1:10" x14ac:dyDescent="0.25">
      <c r="A167" s="35">
        <f t="shared" si="40"/>
        <v>40003</v>
      </c>
      <c r="C167">
        <v>255.6</v>
      </c>
      <c r="D167">
        <v>445.4</v>
      </c>
      <c r="E167">
        <v>2756.8</v>
      </c>
      <c r="F167">
        <v>3150</v>
      </c>
      <c r="G167" s="14">
        <f t="shared" si="62"/>
        <v>3012.4</v>
      </c>
      <c r="H167" s="2">
        <f t="shared" si="63"/>
        <v>3595.4</v>
      </c>
      <c r="I167" s="48">
        <f t="shared" si="64"/>
        <v>-16.21516382043723</v>
      </c>
      <c r="J167">
        <v>249.6</v>
      </c>
    </row>
    <row r="168" spans="1:10" x14ac:dyDescent="0.25">
      <c r="A168" s="35">
        <f t="shared" si="40"/>
        <v>40010</v>
      </c>
      <c r="C168">
        <v>345.6</v>
      </c>
      <c r="D168">
        <v>437.4</v>
      </c>
      <c r="E168">
        <v>2782.1</v>
      </c>
      <c r="F168">
        <v>3189.1</v>
      </c>
      <c r="G168" s="14">
        <f t="shared" si="62"/>
        <v>3127.7</v>
      </c>
      <c r="H168" s="2">
        <f t="shared" si="63"/>
        <v>3626.5</v>
      </c>
      <c r="I168" s="48">
        <f t="shared" si="64"/>
        <v>-13.75430856197436</v>
      </c>
      <c r="J168">
        <v>249.6</v>
      </c>
    </row>
    <row r="169" spans="1:10" x14ac:dyDescent="0.25">
      <c r="A169" s="35">
        <f t="shared" si="40"/>
        <v>40017</v>
      </c>
      <c r="C169">
        <v>332.3</v>
      </c>
      <c r="D169">
        <v>367.6</v>
      </c>
      <c r="E169">
        <v>2807.5</v>
      </c>
      <c r="F169">
        <v>3233.3</v>
      </c>
      <c r="G169" s="14">
        <f t="shared" si="62"/>
        <v>3139.8</v>
      </c>
      <c r="H169" s="2">
        <f t="shared" si="63"/>
        <v>3600.9</v>
      </c>
      <c r="I169" s="48">
        <f t="shared" si="64"/>
        <v>-12.805132050320756</v>
      </c>
      <c r="J169">
        <v>289.60000000000002</v>
      </c>
    </row>
    <row r="170" spans="1:10" x14ac:dyDescent="0.25">
      <c r="A170" s="35">
        <f t="shared" si="40"/>
        <v>40024</v>
      </c>
      <c r="C170">
        <v>242.7</v>
      </c>
      <c r="D170">
        <v>335.8</v>
      </c>
      <c r="E170">
        <v>2923.4</v>
      </c>
      <c r="F170">
        <v>3300.5</v>
      </c>
      <c r="G170" s="14">
        <f t="shared" si="62"/>
        <v>3166.1</v>
      </c>
      <c r="H170" s="2">
        <f t="shared" si="63"/>
        <v>3636.3</v>
      </c>
      <c r="I170" s="48">
        <f t="shared" si="64"/>
        <v>-12.930726287710037</v>
      </c>
      <c r="J170">
        <v>311.7</v>
      </c>
    </row>
    <row r="171" spans="1:10" x14ac:dyDescent="0.25">
      <c r="A171" s="35">
        <f t="shared" si="40"/>
        <v>40031</v>
      </c>
      <c r="C171">
        <v>218.1</v>
      </c>
      <c r="D171">
        <v>306.7</v>
      </c>
      <c r="E171">
        <v>2949.5</v>
      </c>
      <c r="F171">
        <v>3350.2</v>
      </c>
      <c r="G171" s="14">
        <f t="shared" si="62"/>
        <v>3167.6</v>
      </c>
      <c r="H171" s="2">
        <f t="shared" si="63"/>
        <v>3656.8999999999996</v>
      </c>
      <c r="I171" s="48">
        <f t="shared" si="64"/>
        <v>-13.380185402936906</v>
      </c>
      <c r="J171">
        <v>311.7</v>
      </c>
    </row>
    <row r="172" spans="1:10" x14ac:dyDescent="0.25">
      <c r="A172" s="35">
        <f t="shared" si="40"/>
        <v>40038</v>
      </c>
      <c r="C172">
        <v>152.9</v>
      </c>
      <c r="D172">
        <v>242.3</v>
      </c>
      <c r="E172">
        <v>3017.2</v>
      </c>
      <c r="F172">
        <v>3437.4</v>
      </c>
      <c r="G172" s="14">
        <f t="shared" si="62"/>
        <v>3170.1</v>
      </c>
      <c r="H172" s="2">
        <f t="shared" si="63"/>
        <v>3679.7000000000003</v>
      </c>
      <c r="I172" s="48">
        <f t="shared" si="64"/>
        <v>-13.848955077859614</v>
      </c>
      <c r="J172">
        <v>324.8</v>
      </c>
    </row>
    <row r="173" spans="1:10" x14ac:dyDescent="0.25">
      <c r="A173" s="35">
        <f t="shared" si="40"/>
        <v>40045</v>
      </c>
      <c r="C173">
        <v>154.9</v>
      </c>
      <c r="D173">
        <v>178.3</v>
      </c>
      <c r="E173">
        <v>3017.2</v>
      </c>
      <c r="F173">
        <v>3503</v>
      </c>
      <c r="G173" s="14">
        <f t="shared" si="62"/>
        <v>3172.1</v>
      </c>
      <c r="H173" s="2">
        <f t="shared" si="63"/>
        <v>3681.3</v>
      </c>
      <c r="I173" s="48">
        <f t="shared" si="64"/>
        <v>-13.832070192595014</v>
      </c>
      <c r="J173">
        <v>406.3</v>
      </c>
    </row>
    <row r="174" spans="1:10" x14ac:dyDescent="0.25">
      <c r="A174" s="35">
        <f t="shared" si="40"/>
        <v>40052</v>
      </c>
      <c r="C174">
        <v>116.8</v>
      </c>
      <c r="D174">
        <v>116.4</v>
      </c>
      <c r="E174">
        <v>3056.7</v>
      </c>
      <c r="F174">
        <v>3574.4</v>
      </c>
      <c r="G174" s="14">
        <f t="shared" si="62"/>
        <v>3173.5</v>
      </c>
      <c r="H174" s="2">
        <f t="shared" si="63"/>
        <v>3690.8</v>
      </c>
      <c r="I174" s="48">
        <f t="shared" si="64"/>
        <v>-14.015931505364698</v>
      </c>
      <c r="J174">
        <v>546</v>
      </c>
    </row>
    <row r="175" spans="1:10" x14ac:dyDescent="0.25">
      <c r="A175" s="35">
        <f t="shared" si="40"/>
        <v>40059</v>
      </c>
      <c r="C175">
        <v>566.79999999999995</v>
      </c>
      <c r="D175">
        <v>590</v>
      </c>
      <c r="E175">
        <v>1.1000000000000001</v>
      </c>
      <c r="F175">
        <v>14.9</v>
      </c>
      <c r="G175" s="14">
        <f t="shared" si="62"/>
        <v>567.9</v>
      </c>
      <c r="H175" s="2">
        <f t="shared" si="63"/>
        <v>604.9</v>
      </c>
      <c r="I175" s="48">
        <f t="shared" si="64"/>
        <v>-6.1167135063646905</v>
      </c>
    </row>
    <row r="176" spans="1:10" x14ac:dyDescent="0.25">
      <c r="A176" s="35">
        <f t="shared" si="40"/>
        <v>40066</v>
      </c>
      <c r="C176">
        <v>571.9</v>
      </c>
      <c r="D176">
        <v>604.29999999999995</v>
      </c>
      <c r="E176">
        <v>30.2</v>
      </c>
      <c r="F176">
        <v>38.700000000000003</v>
      </c>
      <c r="G176" s="14">
        <f t="shared" si="62"/>
        <v>602.1</v>
      </c>
      <c r="H176" s="2">
        <f t="shared" si="63"/>
        <v>643</v>
      </c>
      <c r="I176" s="48">
        <f t="shared" si="64"/>
        <v>-6.3608087091757355</v>
      </c>
    </row>
    <row r="177" spans="1:10" x14ac:dyDescent="0.25">
      <c r="A177" s="35">
        <f t="shared" si="40"/>
        <v>40073</v>
      </c>
      <c r="C177">
        <v>595</v>
      </c>
      <c r="D177">
        <v>652.79999999999995</v>
      </c>
      <c r="E177">
        <v>32.799999999999997</v>
      </c>
      <c r="F177">
        <v>48.2</v>
      </c>
      <c r="G177" s="14">
        <f t="shared" si="62"/>
        <v>627.79999999999995</v>
      </c>
      <c r="H177" s="2">
        <f t="shared" si="63"/>
        <v>701</v>
      </c>
      <c r="I177" s="48">
        <f t="shared" si="64"/>
        <v>-10.442225392296722</v>
      </c>
    </row>
    <row r="178" spans="1:10" x14ac:dyDescent="0.25">
      <c r="A178" s="35">
        <f t="shared" si="40"/>
        <v>40080</v>
      </c>
      <c r="C178">
        <v>580.5</v>
      </c>
      <c r="D178">
        <v>679.2</v>
      </c>
      <c r="E178">
        <v>58.3</v>
      </c>
      <c r="F178">
        <v>76.8</v>
      </c>
      <c r="G178" s="14">
        <f t="shared" si="62"/>
        <v>638.79999999999995</v>
      </c>
      <c r="H178" s="2">
        <f t="shared" si="63"/>
        <v>756</v>
      </c>
      <c r="I178" s="48">
        <f t="shared" si="64"/>
        <v>-15.502645502645507</v>
      </c>
    </row>
    <row r="179" spans="1:10" x14ac:dyDescent="0.25">
      <c r="A179" s="35">
        <f t="shared" si="40"/>
        <v>40087</v>
      </c>
      <c r="C179">
        <v>570.9</v>
      </c>
      <c r="D179">
        <v>621.9</v>
      </c>
      <c r="E179">
        <v>79.099999999999994</v>
      </c>
      <c r="F179">
        <v>148.4</v>
      </c>
      <c r="G179" s="14">
        <f t="shared" si="62"/>
        <v>650</v>
      </c>
      <c r="H179" s="2">
        <f t="shared" si="63"/>
        <v>770.3</v>
      </c>
      <c r="I179" s="48">
        <f t="shared" si="64"/>
        <v>-15.6172919641698</v>
      </c>
    </row>
    <row r="180" spans="1:10" x14ac:dyDescent="0.25">
      <c r="A180" s="35">
        <f t="shared" si="40"/>
        <v>40094</v>
      </c>
      <c r="C180">
        <v>510.9</v>
      </c>
      <c r="D180">
        <v>700.1</v>
      </c>
      <c r="E180">
        <v>198.9</v>
      </c>
      <c r="F180">
        <v>178.6</v>
      </c>
      <c r="G180" s="14">
        <f t="shared" si="62"/>
        <v>709.8</v>
      </c>
      <c r="H180" s="2">
        <f t="shared" si="63"/>
        <v>878.7</v>
      </c>
      <c r="I180" s="48">
        <f t="shared" si="64"/>
        <v>-19.221577330146822</v>
      </c>
    </row>
    <row r="181" spans="1:10" x14ac:dyDescent="0.25">
      <c r="A181" s="35">
        <f t="shared" si="40"/>
        <v>40101</v>
      </c>
      <c r="C181">
        <v>564.4</v>
      </c>
      <c r="D181">
        <v>553.20000000000005</v>
      </c>
      <c r="E181">
        <v>238.3</v>
      </c>
      <c r="F181">
        <v>351.1</v>
      </c>
      <c r="G181" s="14">
        <f t="shared" si="62"/>
        <v>802.7</v>
      </c>
      <c r="H181" s="2">
        <f t="shared" si="63"/>
        <v>904.30000000000007</v>
      </c>
      <c r="I181" s="48">
        <f t="shared" si="64"/>
        <v>-11.235209554351433</v>
      </c>
    </row>
    <row r="182" spans="1:10" x14ac:dyDescent="0.25">
      <c r="A182" s="35">
        <f t="shared" si="40"/>
        <v>40108</v>
      </c>
      <c r="C182">
        <v>457</v>
      </c>
      <c r="D182">
        <v>473</v>
      </c>
      <c r="E182">
        <v>387.5</v>
      </c>
      <c r="F182">
        <v>481.9</v>
      </c>
      <c r="G182" s="14">
        <f t="shared" si="62"/>
        <v>844.5</v>
      </c>
      <c r="H182" s="2">
        <f t="shared" si="63"/>
        <v>954.9</v>
      </c>
      <c r="I182" s="48">
        <f t="shared" si="64"/>
        <v>-11.561420043983661</v>
      </c>
    </row>
    <row r="183" spans="1:10" x14ac:dyDescent="0.25">
      <c r="A183" s="35">
        <f t="shared" si="40"/>
        <v>40115</v>
      </c>
      <c r="C183">
        <v>491.7</v>
      </c>
      <c r="D183">
        <v>443.1</v>
      </c>
      <c r="E183">
        <v>422</v>
      </c>
      <c r="F183">
        <v>522.9</v>
      </c>
      <c r="G183" s="14">
        <f t="shared" si="62"/>
        <v>913.7</v>
      </c>
      <c r="H183" s="2">
        <f t="shared" si="63"/>
        <v>966</v>
      </c>
      <c r="I183" s="48">
        <f t="shared" si="64"/>
        <v>-5.4140786749482306</v>
      </c>
    </row>
    <row r="184" spans="1:10" x14ac:dyDescent="0.25">
      <c r="A184" s="35">
        <f t="shared" si="40"/>
        <v>40122</v>
      </c>
      <c r="C184">
        <v>515.29999999999995</v>
      </c>
      <c r="D184">
        <v>508.7</v>
      </c>
      <c r="E184">
        <v>484.1</v>
      </c>
      <c r="F184">
        <v>661.5</v>
      </c>
      <c r="G184" s="14">
        <f t="shared" si="62"/>
        <v>999.4</v>
      </c>
      <c r="H184" s="2">
        <f t="shared" si="63"/>
        <v>1170.2</v>
      </c>
      <c r="I184" s="48">
        <f t="shared" si="64"/>
        <v>-14.595795590497351</v>
      </c>
    </row>
    <row r="185" spans="1:10" x14ac:dyDescent="0.25">
      <c r="A185" s="35">
        <f t="shared" si="40"/>
        <v>40129</v>
      </c>
      <c r="C185">
        <v>525.1</v>
      </c>
      <c r="D185">
        <v>508.7</v>
      </c>
      <c r="E185">
        <v>616.5</v>
      </c>
      <c r="F185">
        <v>661.5</v>
      </c>
      <c r="G185" s="14">
        <f t="shared" ref="G185:G216" si="65">+C185+E185</f>
        <v>1141.5999999999999</v>
      </c>
      <c r="H185" s="2">
        <f t="shared" ref="H185:H216" si="66">+D185+F185</f>
        <v>1170.2</v>
      </c>
      <c r="I185" s="48">
        <f t="shared" ref="I185:I216" si="67">+(G185/H185-1)*100</f>
        <v>-2.4440266621090556</v>
      </c>
    </row>
    <row r="186" spans="1:10" x14ac:dyDescent="0.25">
      <c r="A186" s="35">
        <f t="shared" si="40"/>
        <v>40136</v>
      </c>
      <c r="C186">
        <v>501.5</v>
      </c>
      <c r="D186">
        <v>523.9</v>
      </c>
      <c r="E186">
        <v>658</v>
      </c>
      <c r="F186">
        <v>699</v>
      </c>
      <c r="G186" s="14">
        <f t="shared" si="65"/>
        <v>1159.5</v>
      </c>
      <c r="H186" s="2">
        <f t="shared" si="66"/>
        <v>1222.9000000000001</v>
      </c>
      <c r="I186" s="48">
        <f t="shared" si="67"/>
        <v>-5.1843977430697574</v>
      </c>
    </row>
    <row r="187" spans="1:10" x14ac:dyDescent="0.25">
      <c r="A187" s="35">
        <f t="shared" si="40"/>
        <v>40143</v>
      </c>
      <c r="C187">
        <v>468</v>
      </c>
      <c r="D187">
        <v>525.6</v>
      </c>
      <c r="E187">
        <v>718.9</v>
      </c>
      <c r="F187">
        <v>749.7</v>
      </c>
      <c r="G187" s="14">
        <f t="shared" si="65"/>
        <v>1186.9000000000001</v>
      </c>
      <c r="H187" s="2">
        <f t="shared" si="66"/>
        <v>1275.3000000000002</v>
      </c>
      <c r="I187" s="48">
        <f t="shared" si="67"/>
        <v>-6.9317023445463866</v>
      </c>
      <c r="J187">
        <v>7.6</v>
      </c>
    </row>
    <row r="188" spans="1:10" x14ac:dyDescent="0.25">
      <c r="A188" s="35">
        <f t="shared" si="40"/>
        <v>40150</v>
      </c>
      <c r="C188">
        <v>368.9</v>
      </c>
      <c r="D188">
        <v>480.6</v>
      </c>
      <c r="E188">
        <v>847.2</v>
      </c>
      <c r="F188">
        <v>794.5</v>
      </c>
      <c r="G188" s="14">
        <f t="shared" si="65"/>
        <v>1216.0999999999999</v>
      </c>
      <c r="H188" s="2">
        <f t="shared" si="66"/>
        <v>1275.0999999999999</v>
      </c>
      <c r="I188" s="48">
        <f t="shared" si="67"/>
        <v>-4.627088071523799</v>
      </c>
    </row>
    <row r="189" spans="1:10" x14ac:dyDescent="0.25">
      <c r="A189" s="35">
        <f t="shared" si="40"/>
        <v>40157</v>
      </c>
      <c r="C189">
        <v>417</v>
      </c>
      <c r="D189">
        <v>483.6</v>
      </c>
      <c r="E189">
        <v>890.8</v>
      </c>
      <c r="F189">
        <v>816.9</v>
      </c>
      <c r="G189" s="14">
        <f t="shared" si="65"/>
        <v>1307.8</v>
      </c>
      <c r="H189" s="2">
        <f t="shared" si="66"/>
        <v>1300.5</v>
      </c>
      <c r="I189" s="48">
        <f t="shared" si="67"/>
        <v>0.56132256824297233</v>
      </c>
    </row>
    <row r="190" spans="1:10" x14ac:dyDescent="0.25">
      <c r="A190" s="35">
        <f t="shared" si="40"/>
        <v>40164</v>
      </c>
      <c r="C190">
        <v>404.4</v>
      </c>
      <c r="D190">
        <v>456.1</v>
      </c>
      <c r="E190">
        <v>972.1</v>
      </c>
      <c r="F190">
        <v>856.8</v>
      </c>
      <c r="G190" s="14">
        <f t="shared" si="65"/>
        <v>1376.5</v>
      </c>
      <c r="H190" s="2">
        <f t="shared" si="66"/>
        <v>1312.9</v>
      </c>
      <c r="I190" s="48">
        <f t="shared" si="67"/>
        <v>4.8442379465305718</v>
      </c>
    </row>
    <row r="191" spans="1:10" x14ac:dyDescent="0.25">
      <c r="A191" s="35">
        <f t="shared" si="40"/>
        <v>40171</v>
      </c>
      <c r="C191">
        <v>398.6</v>
      </c>
      <c r="D191">
        <v>448.1</v>
      </c>
      <c r="E191">
        <v>1027.7</v>
      </c>
      <c r="F191">
        <v>879.2</v>
      </c>
      <c r="G191" s="14">
        <f t="shared" si="65"/>
        <v>1426.3000000000002</v>
      </c>
      <c r="H191" s="2">
        <f t="shared" si="66"/>
        <v>1327.3000000000002</v>
      </c>
      <c r="I191" s="48">
        <f t="shared" si="67"/>
        <v>7.4587508475853159</v>
      </c>
    </row>
    <row r="192" spans="1:10" x14ac:dyDescent="0.25">
      <c r="A192" s="35">
        <f t="shared" si="40"/>
        <v>40178</v>
      </c>
      <c r="C192">
        <v>419.9</v>
      </c>
      <c r="D192">
        <v>417.2</v>
      </c>
      <c r="E192">
        <v>1065.5999999999999</v>
      </c>
      <c r="F192">
        <v>928.1</v>
      </c>
      <c r="G192" s="14">
        <f t="shared" si="65"/>
        <v>1485.5</v>
      </c>
      <c r="H192" s="2">
        <f t="shared" si="66"/>
        <v>1345.3</v>
      </c>
      <c r="I192" s="48">
        <f t="shared" si="67"/>
        <v>10.421467330706902</v>
      </c>
    </row>
    <row r="193" spans="1:9" x14ac:dyDescent="0.25">
      <c r="A193" s="35">
        <f t="shared" si="40"/>
        <v>40185</v>
      </c>
      <c r="C193">
        <v>431.5</v>
      </c>
      <c r="D193">
        <v>307</v>
      </c>
      <c r="E193">
        <v>1114.2</v>
      </c>
      <c r="F193">
        <v>1083.5</v>
      </c>
      <c r="G193" s="14">
        <f t="shared" si="65"/>
        <v>1545.7</v>
      </c>
      <c r="H193" s="2">
        <f t="shared" si="66"/>
        <v>1390.5</v>
      </c>
      <c r="I193" s="48">
        <f t="shared" si="67"/>
        <v>11.161452714850784</v>
      </c>
    </row>
    <row r="194" spans="1:9" x14ac:dyDescent="0.25">
      <c r="A194" s="35">
        <f t="shared" si="40"/>
        <v>40192</v>
      </c>
      <c r="C194">
        <v>463.4</v>
      </c>
      <c r="D194">
        <v>304.2</v>
      </c>
      <c r="E194">
        <v>1195.4000000000001</v>
      </c>
      <c r="F194">
        <v>1156.7</v>
      </c>
      <c r="G194" s="14">
        <f t="shared" si="65"/>
        <v>1658.8000000000002</v>
      </c>
      <c r="H194" s="2">
        <f t="shared" si="66"/>
        <v>1460.9</v>
      </c>
      <c r="I194" s="48">
        <f t="shared" si="67"/>
        <v>13.546443972893417</v>
      </c>
    </row>
    <row r="195" spans="1:9" x14ac:dyDescent="0.25">
      <c r="A195" s="35">
        <f t="shared" si="40"/>
        <v>40199</v>
      </c>
      <c r="C195">
        <v>468.6</v>
      </c>
      <c r="D195">
        <v>271.8</v>
      </c>
      <c r="E195">
        <v>1250.4000000000001</v>
      </c>
      <c r="F195">
        <v>1224.9000000000001</v>
      </c>
      <c r="G195" s="14">
        <f t="shared" si="65"/>
        <v>1719</v>
      </c>
      <c r="H195" s="2">
        <f t="shared" si="66"/>
        <v>1496.7</v>
      </c>
      <c r="I195" s="48">
        <f t="shared" si="67"/>
        <v>14.852675886951294</v>
      </c>
    </row>
    <row r="196" spans="1:9" x14ac:dyDescent="0.25">
      <c r="A196" s="35">
        <f t="shared" si="40"/>
        <v>40206</v>
      </c>
      <c r="C196">
        <v>487</v>
      </c>
      <c r="D196">
        <v>268</v>
      </c>
      <c r="E196">
        <v>1297.5999999999999</v>
      </c>
      <c r="F196">
        <v>1267.5999999999999</v>
      </c>
      <c r="G196" s="14">
        <f t="shared" si="65"/>
        <v>1784.6</v>
      </c>
      <c r="H196" s="2">
        <f t="shared" si="66"/>
        <v>1535.6</v>
      </c>
      <c r="I196" s="48">
        <f t="shared" si="67"/>
        <v>16.215160197968224</v>
      </c>
    </row>
    <row r="197" spans="1:9" x14ac:dyDescent="0.25">
      <c r="A197" s="35">
        <f t="shared" si="40"/>
        <v>40213</v>
      </c>
      <c r="C197">
        <v>513.79999999999995</v>
      </c>
      <c r="D197">
        <v>285.7</v>
      </c>
      <c r="E197">
        <v>1379.6</v>
      </c>
      <c r="F197">
        <v>1346</v>
      </c>
      <c r="G197" s="14">
        <f t="shared" si="65"/>
        <v>1893.3999999999999</v>
      </c>
      <c r="H197" s="2">
        <f t="shared" si="66"/>
        <v>1631.7</v>
      </c>
      <c r="I197" s="48">
        <f t="shared" si="67"/>
        <v>16.038487467058893</v>
      </c>
    </row>
    <row r="198" spans="1:9" x14ac:dyDescent="0.25">
      <c r="A198" s="35">
        <f t="shared" si="40"/>
        <v>40220</v>
      </c>
      <c r="C198">
        <v>573.29999999999995</v>
      </c>
      <c r="D198">
        <v>294.39999999999998</v>
      </c>
      <c r="E198">
        <v>1437.8</v>
      </c>
      <c r="F198">
        <v>1385.4</v>
      </c>
      <c r="G198" s="14">
        <f t="shared" si="65"/>
        <v>2011.1</v>
      </c>
      <c r="H198" s="2">
        <f t="shared" si="66"/>
        <v>1679.8000000000002</v>
      </c>
      <c r="I198" s="48">
        <f t="shared" si="67"/>
        <v>19.722586022145471</v>
      </c>
    </row>
    <row r="199" spans="1:9" x14ac:dyDescent="0.25">
      <c r="A199" s="35">
        <f t="shared" si="40"/>
        <v>40227</v>
      </c>
      <c r="C199">
        <v>572</v>
      </c>
      <c r="D199">
        <v>258</v>
      </c>
      <c r="E199">
        <v>1497.5</v>
      </c>
      <c r="F199">
        <v>1440</v>
      </c>
      <c r="G199" s="14">
        <f t="shared" si="65"/>
        <v>2069.5</v>
      </c>
      <c r="H199" s="2">
        <f t="shared" si="66"/>
        <v>1698</v>
      </c>
      <c r="I199" s="48">
        <f t="shared" si="67"/>
        <v>21.878680800942284</v>
      </c>
    </row>
    <row r="200" spans="1:9" x14ac:dyDescent="0.25">
      <c r="A200" s="35">
        <f t="shared" si="40"/>
        <v>40234</v>
      </c>
      <c r="C200">
        <v>541.29999999999995</v>
      </c>
      <c r="D200">
        <v>252.4</v>
      </c>
      <c r="E200">
        <v>1541.8</v>
      </c>
      <c r="F200">
        <v>1479.4</v>
      </c>
      <c r="G200" s="14">
        <f t="shared" si="65"/>
        <v>2083.1</v>
      </c>
      <c r="H200" s="2">
        <f t="shared" si="66"/>
        <v>1731.8000000000002</v>
      </c>
      <c r="I200" s="48">
        <f t="shared" si="67"/>
        <v>20.285252338607208</v>
      </c>
    </row>
    <row r="201" spans="1:9" x14ac:dyDescent="0.25">
      <c r="A201" s="35">
        <f t="shared" si="40"/>
        <v>40241</v>
      </c>
      <c r="C201">
        <v>489.9</v>
      </c>
      <c r="D201">
        <v>388.1</v>
      </c>
      <c r="E201">
        <v>1651.2</v>
      </c>
      <c r="F201">
        <v>1530.9</v>
      </c>
      <c r="G201" s="14">
        <f t="shared" si="65"/>
        <v>2141.1</v>
      </c>
      <c r="H201" s="2">
        <f t="shared" si="66"/>
        <v>1919</v>
      </c>
      <c r="I201" s="48">
        <f t="shared" si="67"/>
        <v>11.573736321000517</v>
      </c>
    </row>
    <row r="202" spans="1:9" x14ac:dyDescent="0.25">
      <c r="A202" s="35">
        <f t="shared" si="40"/>
        <v>40248</v>
      </c>
      <c r="C202">
        <v>434.9</v>
      </c>
      <c r="D202">
        <v>426.1</v>
      </c>
      <c r="E202">
        <v>1730.8</v>
      </c>
      <c r="F202">
        <v>1551.4</v>
      </c>
      <c r="G202" s="14">
        <f t="shared" si="65"/>
        <v>2165.6999999999998</v>
      </c>
      <c r="H202" s="2">
        <f t="shared" si="66"/>
        <v>1977.5</v>
      </c>
      <c r="I202" s="48">
        <f t="shared" si="67"/>
        <v>9.5170670037926683</v>
      </c>
    </row>
    <row r="203" spans="1:9" x14ac:dyDescent="0.25">
      <c r="A203" s="35">
        <f t="shared" si="40"/>
        <v>40255</v>
      </c>
      <c r="C203">
        <v>523.6</v>
      </c>
      <c r="D203">
        <v>461.2</v>
      </c>
      <c r="E203">
        <v>1799.3</v>
      </c>
      <c r="F203">
        <v>1617.1</v>
      </c>
      <c r="G203" s="14">
        <f t="shared" si="65"/>
        <v>2322.9</v>
      </c>
      <c r="H203" s="2">
        <f t="shared" si="66"/>
        <v>2078.2999999999997</v>
      </c>
      <c r="I203" s="48">
        <f t="shared" si="67"/>
        <v>11.769234470480704</v>
      </c>
    </row>
    <row r="204" spans="1:9" x14ac:dyDescent="0.25">
      <c r="A204" s="35">
        <f t="shared" si="40"/>
        <v>40262</v>
      </c>
      <c r="C204">
        <v>487.1</v>
      </c>
      <c r="D204">
        <v>524.70000000000005</v>
      </c>
      <c r="E204">
        <v>1871.7</v>
      </c>
      <c r="F204">
        <v>1684.6</v>
      </c>
      <c r="G204" s="14">
        <f t="shared" si="65"/>
        <v>2358.8000000000002</v>
      </c>
      <c r="H204" s="2">
        <f t="shared" si="66"/>
        <v>2209.3000000000002</v>
      </c>
      <c r="I204" s="48">
        <f t="shared" si="67"/>
        <v>6.7668492282623394</v>
      </c>
    </row>
    <row r="205" spans="1:9" x14ac:dyDescent="0.25">
      <c r="A205" s="35">
        <f t="shared" si="40"/>
        <v>40269</v>
      </c>
      <c r="C205">
        <v>504.5</v>
      </c>
      <c r="D205">
        <v>497.1</v>
      </c>
      <c r="E205">
        <v>1943.6</v>
      </c>
      <c r="F205">
        <v>1784.8</v>
      </c>
      <c r="G205" s="14">
        <f t="shared" si="65"/>
        <v>2448.1</v>
      </c>
      <c r="H205" s="2">
        <f t="shared" si="66"/>
        <v>2281.9</v>
      </c>
      <c r="I205" s="48">
        <f t="shared" si="67"/>
        <v>7.2834041807265715</v>
      </c>
    </row>
    <row r="206" spans="1:9" x14ac:dyDescent="0.25">
      <c r="A206" s="35">
        <f t="shared" si="40"/>
        <v>40276</v>
      </c>
      <c r="C206">
        <v>441.7</v>
      </c>
      <c r="D206">
        <v>448.9</v>
      </c>
      <c r="E206">
        <v>2047</v>
      </c>
      <c r="F206">
        <v>1855.4</v>
      </c>
      <c r="G206" s="14">
        <f t="shared" si="65"/>
        <v>2488.6999999999998</v>
      </c>
      <c r="H206" s="2">
        <f t="shared" si="66"/>
        <v>2304.3000000000002</v>
      </c>
      <c r="I206" s="48">
        <f t="shared" si="67"/>
        <v>8.0024302391181514</v>
      </c>
    </row>
    <row r="207" spans="1:9" x14ac:dyDescent="0.25">
      <c r="A207" s="35">
        <f t="shared" si="40"/>
        <v>40283</v>
      </c>
      <c r="C207">
        <v>462.1</v>
      </c>
      <c r="D207">
        <v>440.9</v>
      </c>
      <c r="E207">
        <v>2102.9</v>
      </c>
      <c r="F207">
        <v>1951.7</v>
      </c>
      <c r="G207" s="14">
        <f t="shared" si="65"/>
        <v>2565</v>
      </c>
      <c r="H207" s="2">
        <f t="shared" si="66"/>
        <v>2392.6</v>
      </c>
      <c r="I207" s="48">
        <f t="shared" si="67"/>
        <v>7.20555044721225</v>
      </c>
    </row>
    <row r="208" spans="1:9" x14ac:dyDescent="0.25">
      <c r="A208" s="35">
        <f t="shared" si="40"/>
        <v>40290</v>
      </c>
      <c r="C208">
        <v>457.2</v>
      </c>
      <c r="D208">
        <v>517.70000000000005</v>
      </c>
      <c r="E208">
        <v>2184.4</v>
      </c>
      <c r="F208">
        <v>1982.9</v>
      </c>
      <c r="G208" s="14">
        <f t="shared" si="65"/>
        <v>2641.6</v>
      </c>
      <c r="H208" s="2">
        <f t="shared" si="66"/>
        <v>2500.6000000000004</v>
      </c>
      <c r="I208" s="48">
        <f t="shared" si="67"/>
        <v>5.6386467247860228</v>
      </c>
    </row>
    <row r="209" spans="1:10" x14ac:dyDescent="0.25">
      <c r="A209" s="35">
        <f t="shared" si="40"/>
        <v>40297</v>
      </c>
      <c r="C209">
        <v>432.2</v>
      </c>
      <c r="D209">
        <v>597</v>
      </c>
      <c r="E209">
        <v>2289.1</v>
      </c>
      <c r="F209">
        <v>2008.8</v>
      </c>
      <c r="G209" s="14">
        <f t="shared" si="65"/>
        <v>2721.2999999999997</v>
      </c>
      <c r="H209" s="2">
        <f t="shared" si="66"/>
        <v>2605.8000000000002</v>
      </c>
      <c r="I209" s="48">
        <f t="shared" si="67"/>
        <v>4.4324199861846436</v>
      </c>
      <c r="J209">
        <v>40</v>
      </c>
    </row>
    <row r="210" spans="1:10" x14ac:dyDescent="0.25">
      <c r="A210" s="35">
        <f t="shared" si="40"/>
        <v>40304</v>
      </c>
      <c r="C210">
        <v>399.1</v>
      </c>
      <c r="D210">
        <v>635.4</v>
      </c>
      <c r="E210">
        <v>2372.6</v>
      </c>
      <c r="F210">
        <v>2124</v>
      </c>
      <c r="G210" s="14">
        <f t="shared" si="65"/>
        <v>2771.7</v>
      </c>
      <c r="H210" s="2">
        <f t="shared" si="66"/>
        <v>2759.4</v>
      </c>
      <c r="I210" s="48">
        <f t="shared" si="67"/>
        <v>0.44574907588605939</v>
      </c>
      <c r="J210">
        <v>40</v>
      </c>
    </row>
    <row r="211" spans="1:10" x14ac:dyDescent="0.25">
      <c r="A211" s="35">
        <f t="shared" si="40"/>
        <v>40311</v>
      </c>
      <c r="C211">
        <v>417</v>
      </c>
      <c r="D211">
        <v>588.9</v>
      </c>
      <c r="E211">
        <v>2476.9</v>
      </c>
      <c r="F211">
        <v>2148.4</v>
      </c>
      <c r="G211" s="14">
        <f t="shared" si="65"/>
        <v>2893.9</v>
      </c>
      <c r="H211" s="2">
        <f t="shared" si="66"/>
        <v>2737.3</v>
      </c>
      <c r="I211" s="48">
        <f t="shared" si="67"/>
        <v>5.7209659153180104</v>
      </c>
      <c r="J211">
        <v>40</v>
      </c>
    </row>
    <row r="212" spans="1:10" x14ac:dyDescent="0.25">
      <c r="A212" s="35">
        <f t="shared" si="40"/>
        <v>40318</v>
      </c>
      <c r="C212">
        <v>417</v>
      </c>
      <c r="D212">
        <v>588.9</v>
      </c>
      <c r="E212">
        <v>2476.9</v>
      </c>
      <c r="F212">
        <v>2148.4</v>
      </c>
      <c r="G212" s="14">
        <f t="shared" si="65"/>
        <v>2893.9</v>
      </c>
      <c r="H212" s="2">
        <f t="shared" si="66"/>
        <v>2737.3</v>
      </c>
      <c r="I212" s="48">
        <f t="shared" si="67"/>
        <v>5.7209659153180104</v>
      </c>
      <c r="J212">
        <v>40</v>
      </c>
    </row>
    <row r="213" spans="1:10" x14ac:dyDescent="0.25">
      <c r="A213" s="35">
        <f t="shared" si="40"/>
        <v>40325</v>
      </c>
      <c r="C213">
        <v>392.2</v>
      </c>
      <c r="D213">
        <v>498.2</v>
      </c>
      <c r="E213">
        <v>2569.3000000000002</v>
      </c>
      <c r="F213">
        <v>2347.9</v>
      </c>
      <c r="G213" s="14">
        <f t="shared" si="65"/>
        <v>2961.5</v>
      </c>
      <c r="H213" s="2">
        <f t="shared" si="66"/>
        <v>2846.1</v>
      </c>
      <c r="I213" s="48">
        <f t="shared" si="67"/>
        <v>4.05467130459225</v>
      </c>
      <c r="J213">
        <v>50.3</v>
      </c>
    </row>
    <row r="214" spans="1:10" x14ac:dyDescent="0.25">
      <c r="A214" s="35">
        <f t="shared" si="40"/>
        <v>40332</v>
      </c>
      <c r="C214">
        <v>382</v>
      </c>
      <c r="D214">
        <v>415.4</v>
      </c>
      <c r="E214">
        <v>2613.5</v>
      </c>
      <c r="F214">
        <v>2443.1</v>
      </c>
      <c r="G214" s="14">
        <f t="shared" si="65"/>
        <v>2995.5</v>
      </c>
      <c r="H214" s="2">
        <f t="shared" si="66"/>
        <v>2858.5</v>
      </c>
      <c r="I214" s="48">
        <f t="shared" si="67"/>
        <v>4.7927234563582388</v>
      </c>
      <c r="J214">
        <v>50.3</v>
      </c>
    </row>
    <row r="215" spans="1:10" x14ac:dyDescent="0.25">
      <c r="A215" s="35">
        <f t="shared" si="40"/>
        <v>40339</v>
      </c>
      <c r="C215">
        <v>363.9</v>
      </c>
      <c r="D215">
        <v>425.9</v>
      </c>
      <c r="E215">
        <v>2666</v>
      </c>
      <c r="F215">
        <v>2483.6</v>
      </c>
      <c r="G215" s="14">
        <f t="shared" si="65"/>
        <v>3029.9</v>
      </c>
      <c r="H215" s="2">
        <f t="shared" si="66"/>
        <v>2909.5</v>
      </c>
      <c r="I215" s="48">
        <f t="shared" si="67"/>
        <v>4.1381680701151335</v>
      </c>
      <c r="J215">
        <v>50.3</v>
      </c>
    </row>
    <row r="216" spans="1:10" x14ac:dyDescent="0.25">
      <c r="A216" s="35">
        <f t="shared" si="40"/>
        <v>40346</v>
      </c>
      <c r="C216">
        <v>302.8</v>
      </c>
      <c r="D216">
        <v>400.2</v>
      </c>
      <c r="E216">
        <v>2751.3</v>
      </c>
      <c r="F216">
        <v>2530.6</v>
      </c>
      <c r="G216" s="14">
        <f t="shared" si="65"/>
        <v>3054.1000000000004</v>
      </c>
      <c r="H216" s="2">
        <f t="shared" si="66"/>
        <v>2930.7999999999997</v>
      </c>
      <c r="I216" s="48">
        <f t="shared" si="67"/>
        <v>4.2070424457486322</v>
      </c>
      <c r="J216">
        <v>50.3</v>
      </c>
    </row>
    <row r="217" spans="1:10" x14ac:dyDescent="0.25">
      <c r="A217" s="35">
        <f t="shared" si="40"/>
        <v>40353</v>
      </c>
      <c r="C217">
        <v>286.60000000000002</v>
      </c>
      <c r="D217">
        <v>404.2</v>
      </c>
      <c r="E217">
        <v>2796</v>
      </c>
      <c r="F217">
        <v>2570.1</v>
      </c>
      <c r="G217" s="14">
        <f t="shared" ref="G217:G227" si="68">+C217+E217</f>
        <v>3082.6</v>
      </c>
      <c r="H217" s="2">
        <f t="shared" ref="H217:H227" si="69">+D217+F217</f>
        <v>2974.2999999999997</v>
      </c>
      <c r="I217" s="48">
        <f t="shared" ref="I217:I227" si="70">+(G217/H217-1)*100</f>
        <v>3.641192885721023</v>
      </c>
      <c r="J217">
        <v>50.3</v>
      </c>
    </row>
    <row r="218" spans="1:10" x14ac:dyDescent="0.25">
      <c r="A218" s="35">
        <f t="shared" si="40"/>
        <v>40360</v>
      </c>
      <c r="C218">
        <v>305.5</v>
      </c>
      <c r="D218">
        <v>301.8</v>
      </c>
      <c r="E218">
        <v>2816.9</v>
      </c>
      <c r="F218">
        <v>2697.4</v>
      </c>
      <c r="G218" s="14">
        <f t="shared" si="68"/>
        <v>3122.4</v>
      </c>
      <c r="H218" s="2">
        <f t="shared" si="69"/>
        <v>2999.2000000000003</v>
      </c>
      <c r="I218" s="48">
        <f t="shared" si="70"/>
        <v>4.1077620698853012</v>
      </c>
      <c r="J218">
        <v>130.30000000000001</v>
      </c>
    </row>
    <row r="219" spans="1:10" x14ac:dyDescent="0.25">
      <c r="A219" s="35">
        <f t="shared" si="40"/>
        <v>40367</v>
      </c>
      <c r="C219">
        <v>299</v>
      </c>
      <c r="D219">
        <v>255.6</v>
      </c>
      <c r="E219">
        <v>2879.9</v>
      </c>
      <c r="F219">
        <v>2756.8</v>
      </c>
      <c r="G219" s="14">
        <f t="shared" si="68"/>
        <v>3178.9</v>
      </c>
      <c r="H219" s="2">
        <f t="shared" si="69"/>
        <v>3012.4</v>
      </c>
      <c r="I219" s="48">
        <f t="shared" si="70"/>
        <v>5.5271544283627572</v>
      </c>
      <c r="J219">
        <v>168.5</v>
      </c>
    </row>
    <row r="220" spans="1:10" x14ac:dyDescent="0.25">
      <c r="A220" s="35">
        <f t="shared" si="40"/>
        <v>40374</v>
      </c>
      <c r="C220">
        <v>259.10000000000002</v>
      </c>
      <c r="D220">
        <v>345.6</v>
      </c>
      <c r="E220">
        <v>2941.9</v>
      </c>
      <c r="F220">
        <v>2782.1</v>
      </c>
      <c r="G220" s="14">
        <f t="shared" si="68"/>
        <v>3201</v>
      </c>
      <c r="H220" s="2">
        <f t="shared" si="69"/>
        <v>3127.7</v>
      </c>
      <c r="I220" s="48">
        <f t="shared" si="70"/>
        <v>2.343575151069488</v>
      </c>
      <c r="J220">
        <v>223.6</v>
      </c>
    </row>
    <row r="221" spans="1:10" x14ac:dyDescent="0.25">
      <c r="A221" s="35">
        <f t="shared" si="40"/>
        <v>40381</v>
      </c>
      <c r="C221">
        <v>217.9</v>
      </c>
      <c r="D221">
        <v>332.3</v>
      </c>
      <c r="E221">
        <v>2994.7</v>
      </c>
      <c r="F221">
        <v>2807.5</v>
      </c>
      <c r="G221" s="14">
        <f t="shared" si="68"/>
        <v>3212.6</v>
      </c>
      <c r="H221" s="2">
        <f t="shared" si="69"/>
        <v>3139.8</v>
      </c>
      <c r="I221" s="48">
        <f t="shared" si="70"/>
        <v>2.3186190203197565</v>
      </c>
      <c r="J221">
        <v>244.6</v>
      </c>
    </row>
    <row r="222" spans="1:10" x14ac:dyDescent="0.25">
      <c r="A222" s="35">
        <f t="shared" si="40"/>
        <v>40388</v>
      </c>
      <c r="C222">
        <v>215.6</v>
      </c>
      <c r="D222">
        <v>242.7</v>
      </c>
      <c r="E222">
        <v>3033.6</v>
      </c>
      <c r="F222">
        <v>2923.4</v>
      </c>
      <c r="G222" s="14">
        <f t="shared" si="68"/>
        <v>3249.2</v>
      </c>
      <c r="H222" s="2">
        <f t="shared" si="69"/>
        <v>3166.1</v>
      </c>
      <c r="I222" s="48">
        <f t="shared" si="70"/>
        <v>2.6246802059315844</v>
      </c>
      <c r="J222">
        <v>247.8</v>
      </c>
    </row>
    <row r="223" spans="1:10" x14ac:dyDescent="0.25">
      <c r="A223" s="35">
        <f t="shared" si="40"/>
        <v>40395</v>
      </c>
      <c r="C223">
        <v>166.1</v>
      </c>
      <c r="D223">
        <v>218.1</v>
      </c>
      <c r="E223">
        <v>3114.1</v>
      </c>
      <c r="F223">
        <v>2949.5</v>
      </c>
      <c r="G223" s="14">
        <f t="shared" si="68"/>
        <v>3280.2</v>
      </c>
      <c r="H223" s="2">
        <f t="shared" si="69"/>
        <v>3167.6</v>
      </c>
      <c r="I223" s="48">
        <f t="shared" si="70"/>
        <v>3.5547417603232656</v>
      </c>
      <c r="J223">
        <v>321.89999999999998</v>
      </c>
    </row>
    <row r="224" spans="1:10" x14ac:dyDescent="0.25">
      <c r="A224" s="35">
        <f t="shared" si="40"/>
        <v>40402</v>
      </c>
      <c r="C224">
        <v>159.30000000000001</v>
      </c>
      <c r="D224">
        <v>152.9</v>
      </c>
      <c r="E224">
        <v>3163.3</v>
      </c>
      <c r="F224">
        <v>3017.2</v>
      </c>
      <c r="G224" s="14">
        <f t="shared" si="68"/>
        <v>3322.6000000000004</v>
      </c>
      <c r="H224" s="2">
        <f t="shared" si="69"/>
        <v>3170.1</v>
      </c>
      <c r="I224" s="48">
        <f t="shared" si="70"/>
        <v>4.8105737989337927</v>
      </c>
      <c r="J224">
        <v>395.9</v>
      </c>
    </row>
    <row r="225" spans="1:10" x14ac:dyDescent="0.25">
      <c r="A225" s="35">
        <f t="shared" si="40"/>
        <v>40409</v>
      </c>
      <c r="C225">
        <v>125.8</v>
      </c>
      <c r="D225">
        <v>154.9</v>
      </c>
      <c r="E225">
        <v>3210.6</v>
      </c>
      <c r="F225">
        <v>3017.2</v>
      </c>
      <c r="G225" s="14">
        <f t="shared" si="68"/>
        <v>3336.4</v>
      </c>
      <c r="H225" s="2">
        <f t="shared" si="69"/>
        <v>3172.1</v>
      </c>
      <c r="I225" s="48">
        <f t="shared" si="70"/>
        <v>5.1795340626083819</v>
      </c>
      <c r="J225">
        <v>572.4</v>
      </c>
    </row>
    <row r="226" spans="1:10" x14ac:dyDescent="0.25">
      <c r="A226" s="35">
        <f t="shared" si="40"/>
        <v>40416</v>
      </c>
      <c r="C226">
        <v>71.599999999999994</v>
      </c>
      <c r="D226">
        <v>116.8</v>
      </c>
      <c r="E226">
        <v>3256.3</v>
      </c>
      <c r="F226">
        <v>3056.7</v>
      </c>
      <c r="G226" s="14">
        <f t="shared" si="68"/>
        <v>3327.9</v>
      </c>
      <c r="H226" s="2">
        <f t="shared" si="69"/>
        <v>3173.5</v>
      </c>
      <c r="I226" s="48">
        <f t="shared" si="70"/>
        <v>4.8652906885142677</v>
      </c>
      <c r="J226">
        <v>632.79999999999995</v>
      </c>
    </row>
    <row r="227" spans="1:10" x14ac:dyDescent="0.25">
      <c r="A227" s="35">
        <f t="shared" si="40"/>
        <v>40423</v>
      </c>
      <c r="C227">
        <v>732</v>
      </c>
      <c r="D227">
        <v>566.79999999999995</v>
      </c>
      <c r="E227">
        <v>0.2</v>
      </c>
      <c r="F227">
        <v>1.1000000000000001</v>
      </c>
      <c r="G227" s="14">
        <f t="shared" si="68"/>
        <v>732.2</v>
      </c>
      <c r="H227" s="2">
        <f t="shared" si="69"/>
        <v>567.9</v>
      </c>
      <c r="I227" s="48">
        <f t="shared" si="70"/>
        <v>28.931149850325767</v>
      </c>
    </row>
    <row r="228" spans="1:10" x14ac:dyDescent="0.25">
      <c r="A228" s="35">
        <f t="shared" si="40"/>
        <v>40430</v>
      </c>
      <c r="C228">
        <v>730</v>
      </c>
      <c r="D228">
        <v>571.9</v>
      </c>
      <c r="E228">
        <v>33.6</v>
      </c>
      <c r="F228">
        <v>30.2</v>
      </c>
      <c r="G228" s="14">
        <f t="shared" ref="G228:G264" si="71">+C228+E228</f>
        <v>763.6</v>
      </c>
      <c r="H228" s="2">
        <f t="shared" ref="H228:H264" si="72">+D228+F228</f>
        <v>602.1</v>
      </c>
      <c r="I228" s="48">
        <f t="shared" ref="I228:I264" si="73">+(G228/H228-1)*100</f>
        <v>26.822786912473017</v>
      </c>
    </row>
    <row r="229" spans="1:10" x14ac:dyDescent="0.25">
      <c r="A229" s="35">
        <f t="shared" si="40"/>
        <v>40437</v>
      </c>
      <c r="C229">
        <v>735.7</v>
      </c>
      <c r="D229">
        <v>595</v>
      </c>
      <c r="E229">
        <v>70.7</v>
      </c>
      <c r="F229">
        <v>32.799999999999997</v>
      </c>
      <c r="G229" s="14">
        <f t="shared" si="71"/>
        <v>806.40000000000009</v>
      </c>
      <c r="H229" s="2">
        <f t="shared" si="72"/>
        <v>627.79999999999995</v>
      </c>
      <c r="I229" s="48">
        <f t="shared" si="73"/>
        <v>28.448550493787849</v>
      </c>
    </row>
    <row r="230" spans="1:10" x14ac:dyDescent="0.25">
      <c r="A230" s="35">
        <f t="shared" si="40"/>
        <v>40444</v>
      </c>
      <c r="C230">
        <v>764</v>
      </c>
      <c r="D230">
        <v>580.5</v>
      </c>
      <c r="E230">
        <v>89.3</v>
      </c>
      <c r="F230">
        <v>58.3</v>
      </c>
      <c r="G230" s="14">
        <f t="shared" si="71"/>
        <v>853.3</v>
      </c>
      <c r="H230" s="2">
        <f t="shared" si="72"/>
        <v>638.79999999999995</v>
      </c>
      <c r="I230" s="48">
        <f t="shared" si="73"/>
        <v>33.578584846587354</v>
      </c>
    </row>
    <row r="231" spans="1:10" x14ac:dyDescent="0.25">
      <c r="A231" s="35">
        <f t="shared" si="40"/>
        <v>40451</v>
      </c>
      <c r="C231">
        <v>688</v>
      </c>
      <c r="D231">
        <v>570.9</v>
      </c>
      <c r="E231">
        <v>241.1</v>
      </c>
      <c r="F231">
        <v>79.099999999999994</v>
      </c>
      <c r="G231" s="14">
        <f t="shared" si="71"/>
        <v>929.1</v>
      </c>
      <c r="H231" s="2">
        <f t="shared" si="72"/>
        <v>650</v>
      </c>
      <c r="I231" s="48">
        <f t="shared" si="73"/>
        <v>42.938461538461546</v>
      </c>
    </row>
    <row r="232" spans="1:10" x14ac:dyDescent="0.25">
      <c r="A232" s="35">
        <f t="shared" si="40"/>
        <v>40458</v>
      </c>
      <c r="C232">
        <v>620.9</v>
      </c>
      <c r="D232">
        <v>510.9</v>
      </c>
      <c r="E232">
        <v>404.7</v>
      </c>
      <c r="F232">
        <v>198.9</v>
      </c>
      <c r="G232" s="14">
        <f t="shared" si="71"/>
        <v>1025.5999999999999</v>
      </c>
      <c r="H232" s="2">
        <f t="shared" si="72"/>
        <v>709.8</v>
      </c>
      <c r="I232" s="48">
        <f t="shared" si="73"/>
        <v>44.491406029867562</v>
      </c>
    </row>
    <row r="233" spans="1:10" x14ac:dyDescent="0.25">
      <c r="A233" s="35">
        <f t="shared" si="40"/>
        <v>40465</v>
      </c>
      <c r="C233">
        <v>561.70000000000005</v>
      </c>
      <c r="D233">
        <v>564.4</v>
      </c>
      <c r="E233">
        <v>515.6</v>
      </c>
      <c r="F233">
        <v>238.3</v>
      </c>
      <c r="G233" s="14">
        <f t="shared" si="71"/>
        <v>1077.3000000000002</v>
      </c>
      <c r="H233" s="2">
        <f t="shared" si="72"/>
        <v>802.7</v>
      </c>
      <c r="I233" s="48">
        <f t="shared" si="73"/>
        <v>34.209542793073396</v>
      </c>
    </row>
    <row r="234" spans="1:10" x14ac:dyDescent="0.25">
      <c r="A234" s="35">
        <f t="shared" si="40"/>
        <v>40472</v>
      </c>
      <c r="C234">
        <v>469.3</v>
      </c>
      <c r="D234">
        <v>457</v>
      </c>
      <c r="E234">
        <v>626.5</v>
      </c>
      <c r="F234">
        <v>387.5</v>
      </c>
      <c r="G234" s="14">
        <f t="shared" si="71"/>
        <v>1095.8</v>
      </c>
      <c r="H234" s="2">
        <f t="shared" si="72"/>
        <v>844.5</v>
      </c>
      <c r="I234" s="48">
        <f t="shared" si="73"/>
        <v>29.757252812314981</v>
      </c>
    </row>
    <row r="235" spans="1:10" x14ac:dyDescent="0.25">
      <c r="A235" s="35">
        <f t="shared" si="40"/>
        <v>40479</v>
      </c>
      <c r="C235">
        <v>491.3</v>
      </c>
      <c r="D235">
        <v>491.7</v>
      </c>
      <c r="E235">
        <v>701.1</v>
      </c>
      <c r="F235">
        <v>422</v>
      </c>
      <c r="G235" s="14">
        <f t="shared" si="71"/>
        <v>1192.4000000000001</v>
      </c>
      <c r="H235" s="2">
        <f t="shared" si="72"/>
        <v>913.7</v>
      </c>
      <c r="I235" s="48">
        <f t="shared" si="73"/>
        <v>30.502353069935427</v>
      </c>
    </row>
    <row r="236" spans="1:10" x14ac:dyDescent="0.25">
      <c r="A236" s="35">
        <f t="shared" si="40"/>
        <v>40486</v>
      </c>
      <c r="C236">
        <v>473.3</v>
      </c>
      <c r="D236">
        <v>515.29999999999995</v>
      </c>
      <c r="E236">
        <v>786</v>
      </c>
      <c r="F236">
        <v>484.1</v>
      </c>
      <c r="G236" s="14">
        <f t="shared" si="71"/>
        <v>1259.3</v>
      </c>
      <c r="H236" s="2">
        <f t="shared" si="72"/>
        <v>999.4</v>
      </c>
      <c r="I236" s="48">
        <f t="shared" si="73"/>
        <v>26.005603362017204</v>
      </c>
    </row>
    <row r="237" spans="1:10" x14ac:dyDescent="0.25">
      <c r="A237" s="35">
        <f t="shared" si="40"/>
        <v>40493</v>
      </c>
      <c r="C237">
        <v>550.29999999999995</v>
      </c>
      <c r="D237">
        <v>525.1</v>
      </c>
      <c r="E237">
        <v>844.5</v>
      </c>
      <c r="F237">
        <v>616.5</v>
      </c>
      <c r="G237" s="14">
        <f t="shared" si="71"/>
        <v>1394.8</v>
      </c>
      <c r="H237" s="2">
        <f t="shared" si="72"/>
        <v>1141.5999999999999</v>
      </c>
      <c r="I237" s="48">
        <f t="shared" si="73"/>
        <v>22.179397337070796</v>
      </c>
    </row>
    <row r="238" spans="1:10" x14ac:dyDescent="0.25">
      <c r="A238" s="35">
        <f t="shared" si="40"/>
        <v>40500</v>
      </c>
      <c r="C238">
        <v>531.1</v>
      </c>
      <c r="D238">
        <v>501.5</v>
      </c>
      <c r="E238">
        <v>882.8</v>
      </c>
      <c r="F238">
        <v>658</v>
      </c>
      <c r="G238" s="14">
        <f t="shared" si="71"/>
        <v>1413.9</v>
      </c>
      <c r="H238" s="2">
        <f t="shared" si="72"/>
        <v>1159.5</v>
      </c>
      <c r="I238" s="48">
        <f t="shared" si="73"/>
        <v>21.940491591203106</v>
      </c>
    </row>
    <row r="239" spans="1:10" x14ac:dyDescent="0.25">
      <c r="A239" s="35">
        <f t="shared" si="40"/>
        <v>40507</v>
      </c>
      <c r="C239">
        <v>511.6</v>
      </c>
      <c r="D239">
        <v>468</v>
      </c>
      <c r="E239">
        <v>968.2</v>
      </c>
      <c r="F239">
        <v>718.9</v>
      </c>
      <c r="G239" s="14">
        <f t="shared" si="71"/>
        <v>1479.8000000000002</v>
      </c>
      <c r="H239" s="2">
        <f t="shared" si="72"/>
        <v>1186.9000000000001</v>
      </c>
      <c r="I239" s="48">
        <f t="shared" si="73"/>
        <v>24.677731906647573</v>
      </c>
    </row>
    <row r="240" spans="1:10" x14ac:dyDescent="0.25">
      <c r="A240" s="35">
        <f t="shared" si="40"/>
        <v>40514</v>
      </c>
      <c r="C240">
        <v>498.7</v>
      </c>
      <c r="D240">
        <v>368.9</v>
      </c>
      <c r="E240">
        <v>1017.3</v>
      </c>
      <c r="F240">
        <v>847.2</v>
      </c>
      <c r="G240" s="14">
        <f t="shared" si="71"/>
        <v>1516</v>
      </c>
      <c r="H240" s="2">
        <f t="shared" si="72"/>
        <v>1216.0999999999999</v>
      </c>
      <c r="I240" s="48">
        <f t="shared" si="73"/>
        <v>24.660800920976911</v>
      </c>
    </row>
    <row r="241" spans="1:10" x14ac:dyDescent="0.25">
      <c r="A241" s="35">
        <f t="shared" si="40"/>
        <v>40521</v>
      </c>
      <c r="C241">
        <v>472.1</v>
      </c>
      <c r="D241">
        <v>417</v>
      </c>
      <c r="E241">
        <v>1048.9000000000001</v>
      </c>
      <c r="F241">
        <v>890.8</v>
      </c>
      <c r="G241" s="14">
        <f t="shared" si="71"/>
        <v>1521</v>
      </c>
      <c r="H241" s="2">
        <f t="shared" si="72"/>
        <v>1307.8</v>
      </c>
      <c r="I241" s="48">
        <f t="shared" si="73"/>
        <v>16.302186878727642</v>
      </c>
    </row>
    <row r="242" spans="1:10" x14ac:dyDescent="0.25">
      <c r="A242" s="35">
        <f t="shared" si="40"/>
        <v>40528</v>
      </c>
      <c r="C242">
        <v>386.2</v>
      </c>
      <c r="D242">
        <v>404.4</v>
      </c>
      <c r="E242">
        <v>1150.5</v>
      </c>
      <c r="F242">
        <v>972.1</v>
      </c>
      <c r="G242" s="14">
        <f t="shared" si="71"/>
        <v>1536.7</v>
      </c>
      <c r="H242" s="2">
        <f t="shared" si="72"/>
        <v>1376.5</v>
      </c>
      <c r="I242" s="48">
        <f t="shared" si="73"/>
        <v>11.638212858699614</v>
      </c>
    </row>
    <row r="243" spans="1:10" x14ac:dyDescent="0.25">
      <c r="A243" s="35">
        <f t="shared" si="40"/>
        <v>40535</v>
      </c>
      <c r="C243">
        <v>419.4</v>
      </c>
      <c r="D243">
        <v>398.6</v>
      </c>
      <c r="E243">
        <v>1209.5</v>
      </c>
      <c r="F243">
        <v>1027.7</v>
      </c>
      <c r="G243" s="14">
        <f t="shared" si="71"/>
        <v>1628.9</v>
      </c>
      <c r="H243" s="2">
        <f t="shared" si="72"/>
        <v>1426.3000000000002</v>
      </c>
      <c r="I243" s="48">
        <f t="shared" si="73"/>
        <v>14.204585290612059</v>
      </c>
    </row>
    <row r="244" spans="1:10" x14ac:dyDescent="0.25">
      <c r="A244" s="35">
        <f t="shared" si="40"/>
        <v>40542</v>
      </c>
      <c r="C244">
        <v>486.6</v>
      </c>
      <c r="D244">
        <v>419.9</v>
      </c>
      <c r="E244">
        <v>1229.7</v>
      </c>
      <c r="F244">
        <v>1065.5999999999999</v>
      </c>
      <c r="G244" s="14">
        <f t="shared" si="71"/>
        <v>1716.3000000000002</v>
      </c>
      <c r="H244" s="2">
        <f t="shared" si="72"/>
        <v>1485.5</v>
      </c>
      <c r="I244" s="48">
        <f t="shared" si="73"/>
        <v>15.536856277347709</v>
      </c>
    </row>
    <row r="245" spans="1:10" x14ac:dyDescent="0.25">
      <c r="A245" s="35">
        <f t="shared" si="40"/>
        <v>40549</v>
      </c>
      <c r="C245">
        <v>579.4</v>
      </c>
      <c r="D245">
        <v>431.5</v>
      </c>
      <c r="E245">
        <v>1229.7</v>
      </c>
      <c r="F245">
        <v>1114.2</v>
      </c>
      <c r="G245" s="14">
        <f t="shared" si="71"/>
        <v>1809.1</v>
      </c>
      <c r="H245" s="2">
        <f t="shared" si="72"/>
        <v>1545.7</v>
      </c>
      <c r="I245" s="48">
        <f t="shared" si="73"/>
        <v>17.040822928123166</v>
      </c>
      <c r="J245">
        <v>34</v>
      </c>
    </row>
    <row r="246" spans="1:10" x14ac:dyDescent="0.25">
      <c r="A246" s="35">
        <f t="shared" si="40"/>
        <v>40556</v>
      </c>
      <c r="C246">
        <v>621.70000000000005</v>
      </c>
      <c r="D246">
        <v>463.4</v>
      </c>
      <c r="E246">
        <v>1289</v>
      </c>
      <c r="F246">
        <v>1195.4000000000001</v>
      </c>
      <c r="G246" s="14">
        <f t="shared" si="71"/>
        <v>1910.7</v>
      </c>
      <c r="H246" s="2">
        <f t="shared" si="72"/>
        <v>1658.8000000000002</v>
      </c>
      <c r="I246" s="48">
        <f t="shared" si="73"/>
        <v>15.185676392572933</v>
      </c>
      <c r="J246">
        <v>34</v>
      </c>
    </row>
    <row r="247" spans="1:10" x14ac:dyDescent="0.25">
      <c r="A247" s="35">
        <f t="shared" si="40"/>
        <v>40563</v>
      </c>
      <c r="C247">
        <v>645.79999999999995</v>
      </c>
      <c r="D247">
        <v>468.6</v>
      </c>
      <c r="E247">
        <v>1332.3</v>
      </c>
      <c r="F247">
        <v>1250.4000000000001</v>
      </c>
      <c r="G247" s="14">
        <f t="shared" si="71"/>
        <v>1978.1</v>
      </c>
      <c r="H247" s="2">
        <f t="shared" si="72"/>
        <v>1719</v>
      </c>
      <c r="I247" s="48">
        <f t="shared" si="73"/>
        <v>15.072716695753341</v>
      </c>
      <c r="J247">
        <v>34</v>
      </c>
    </row>
    <row r="248" spans="1:10" x14ac:dyDescent="0.25">
      <c r="A248" s="35">
        <f t="shared" si="40"/>
        <v>40570</v>
      </c>
      <c r="C248">
        <v>636.5</v>
      </c>
      <c r="D248">
        <v>487</v>
      </c>
      <c r="E248">
        <v>1369.8</v>
      </c>
      <c r="F248">
        <v>1297.5999999999999</v>
      </c>
      <c r="G248" s="14">
        <f t="shared" si="71"/>
        <v>2006.3</v>
      </c>
      <c r="H248" s="2">
        <f t="shared" si="72"/>
        <v>1784.6</v>
      </c>
      <c r="I248" s="48">
        <f t="shared" si="73"/>
        <v>12.422951921999337</v>
      </c>
      <c r="J248">
        <v>34</v>
      </c>
    </row>
    <row r="249" spans="1:10" x14ac:dyDescent="0.25">
      <c r="A249" s="35">
        <f t="shared" si="40"/>
        <v>40577</v>
      </c>
      <c r="C249">
        <v>648.6</v>
      </c>
      <c r="D249">
        <v>513.79999999999995</v>
      </c>
      <c r="E249">
        <v>1467.4</v>
      </c>
      <c r="F249">
        <v>1379.6</v>
      </c>
      <c r="G249" s="14">
        <f t="shared" si="71"/>
        <v>2116</v>
      </c>
      <c r="H249" s="2">
        <f t="shared" si="72"/>
        <v>1893.3999999999999</v>
      </c>
      <c r="I249" s="48">
        <f t="shared" si="73"/>
        <v>11.756628287736358</v>
      </c>
      <c r="J249">
        <v>34</v>
      </c>
    </row>
    <row r="250" spans="1:10" x14ac:dyDescent="0.25">
      <c r="A250" s="35">
        <f t="shared" si="40"/>
        <v>40584</v>
      </c>
      <c r="C250">
        <v>639.20000000000005</v>
      </c>
      <c r="D250">
        <v>573.29999999999995</v>
      </c>
      <c r="E250">
        <v>1529</v>
      </c>
      <c r="F250">
        <v>1437.8</v>
      </c>
      <c r="G250" s="14">
        <f t="shared" si="71"/>
        <v>2168.1999999999998</v>
      </c>
      <c r="H250" s="2">
        <f t="shared" si="72"/>
        <v>2011.1</v>
      </c>
      <c r="I250" s="48">
        <f t="shared" si="73"/>
        <v>7.8116453682064435</v>
      </c>
      <c r="J250">
        <v>34</v>
      </c>
    </row>
    <row r="251" spans="1:10" x14ac:dyDescent="0.25">
      <c r="A251" s="35">
        <f t="shared" si="40"/>
        <v>40591</v>
      </c>
      <c r="C251">
        <v>645.70000000000005</v>
      </c>
      <c r="D251">
        <v>572</v>
      </c>
      <c r="E251">
        <v>1573.5</v>
      </c>
      <c r="F251">
        <v>1497.5</v>
      </c>
      <c r="G251" s="14">
        <f t="shared" si="71"/>
        <v>2219.1999999999998</v>
      </c>
      <c r="H251" s="2">
        <f t="shared" si="72"/>
        <v>2069.5</v>
      </c>
      <c r="I251" s="48">
        <f t="shared" si="73"/>
        <v>7.2336313119110818</v>
      </c>
      <c r="J251">
        <v>34</v>
      </c>
    </row>
    <row r="252" spans="1:10" x14ac:dyDescent="0.25">
      <c r="A252" s="35">
        <f t="shared" si="40"/>
        <v>40598</v>
      </c>
      <c r="C252">
        <v>663.6</v>
      </c>
      <c r="D252">
        <v>541.29999999999995</v>
      </c>
      <c r="E252">
        <v>1601.6</v>
      </c>
      <c r="F252">
        <v>1541.8</v>
      </c>
      <c r="G252" s="14">
        <f t="shared" si="71"/>
        <v>2265.1999999999998</v>
      </c>
      <c r="H252" s="2">
        <f t="shared" si="72"/>
        <v>2083.1</v>
      </c>
      <c r="I252" s="48">
        <f t="shared" si="73"/>
        <v>8.7417790792568617</v>
      </c>
      <c r="J252">
        <v>34</v>
      </c>
    </row>
    <row r="253" spans="1:10" x14ac:dyDescent="0.25">
      <c r="A253" s="35">
        <f t="shared" ref="A253:A316" si="74">+A252+7</f>
        <v>40605</v>
      </c>
      <c r="C253">
        <v>652</v>
      </c>
      <c r="D253">
        <v>489.9</v>
      </c>
      <c r="E253">
        <v>1643.1</v>
      </c>
      <c r="F253">
        <v>1651.2</v>
      </c>
      <c r="G253" s="14">
        <f t="shared" si="71"/>
        <v>2295.1</v>
      </c>
      <c r="H253" s="2">
        <f t="shared" si="72"/>
        <v>2141.1</v>
      </c>
      <c r="I253" s="48">
        <f t="shared" si="73"/>
        <v>7.1925645696137464</v>
      </c>
      <c r="J253">
        <v>34</v>
      </c>
    </row>
    <row r="254" spans="1:10" x14ac:dyDescent="0.25">
      <c r="A254" s="35">
        <f t="shared" si="74"/>
        <v>40612</v>
      </c>
      <c r="C254">
        <v>613.70000000000005</v>
      </c>
      <c r="D254">
        <v>434.9</v>
      </c>
      <c r="E254">
        <v>1704.8</v>
      </c>
      <c r="F254">
        <v>1730.8</v>
      </c>
      <c r="G254" s="14">
        <f t="shared" si="71"/>
        <v>2318.5</v>
      </c>
      <c r="H254" s="2">
        <f t="shared" si="72"/>
        <v>2165.6999999999998</v>
      </c>
      <c r="I254" s="48">
        <f t="shared" si="73"/>
        <v>7.055455510920261</v>
      </c>
      <c r="J254">
        <v>34</v>
      </c>
    </row>
    <row r="255" spans="1:10" x14ac:dyDescent="0.25">
      <c r="A255" s="35">
        <f t="shared" si="74"/>
        <v>40619</v>
      </c>
      <c r="C255">
        <v>678.6</v>
      </c>
      <c r="D255">
        <v>523.6</v>
      </c>
      <c r="E255">
        <v>1784.9</v>
      </c>
      <c r="F255">
        <v>1799.3</v>
      </c>
      <c r="G255" s="14">
        <f t="shared" si="71"/>
        <v>2463.5</v>
      </c>
      <c r="H255" s="2">
        <f t="shared" si="72"/>
        <v>2322.9</v>
      </c>
      <c r="I255" s="48">
        <f t="shared" si="73"/>
        <v>6.05277885401867</v>
      </c>
      <c r="J255">
        <v>34</v>
      </c>
    </row>
    <row r="256" spans="1:10" x14ac:dyDescent="0.25">
      <c r="A256" s="35">
        <f t="shared" si="74"/>
        <v>40626</v>
      </c>
      <c r="C256">
        <v>635.70000000000005</v>
      </c>
      <c r="D256">
        <v>487.1</v>
      </c>
      <c r="E256">
        <v>1858.8</v>
      </c>
      <c r="F256">
        <v>1871.7</v>
      </c>
      <c r="G256" s="14">
        <f t="shared" si="71"/>
        <v>2494.5</v>
      </c>
      <c r="H256" s="2">
        <f t="shared" si="72"/>
        <v>2358.8000000000002</v>
      </c>
      <c r="I256" s="48">
        <f t="shared" si="73"/>
        <v>5.752925216211624</v>
      </c>
      <c r="J256">
        <v>34</v>
      </c>
    </row>
    <row r="257" spans="1:10" x14ac:dyDescent="0.25">
      <c r="A257" s="35">
        <f t="shared" si="74"/>
        <v>40633</v>
      </c>
      <c r="C257">
        <v>547.79999999999995</v>
      </c>
      <c r="D257">
        <v>504.5</v>
      </c>
      <c r="E257">
        <v>1969.9</v>
      </c>
      <c r="F257">
        <v>1943.6</v>
      </c>
      <c r="G257" s="14">
        <f t="shared" si="71"/>
        <v>2517.6999999999998</v>
      </c>
      <c r="H257" s="2">
        <f t="shared" si="72"/>
        <v>2448.1</v>
      </c>
      <c r="I257" s="48">
        <f t="shared" si="73"/>
        <v>2.8430211184183651</v>
      </c>
      <c r="J257">
        <v>34</v>
      </c>
    </row>
    <row r="258" spans="1:10" x14ac:dyDescent="0.25">
      <c r="A258" s="35">
        <f t="shared" si="74"/>
        <v>40640</v>
      </c>
      <c r="C258">
        <v>569.6</v>
      </c>
      <c r="D258">
        <v>441.7</v>
      </c>
      <c r="E258">
        <v>1992.2</v>
      </c>
      <c r="F258">
        <v>2047</v>
      </c>
      <c r="G258" s="14">
        <f t="shared" si="71"/>
        <v>2561.8000000000002</v>
      </c>
      <c r="H258" s="2">
        <f t="shared" si="72"/>
        <v>2488.6999999999998</v>
      </c>
      <c r="I258" s="48">
        <f t="shared" si="73"/>
        <v>2.937276489733609</v>
      </c>
      <c r="J258">
        <v>34</v>
      </c>
    </row>
    <row r="259" spans="1:10" x14ac:dyDescent="0.25">
      <c r="A259" s="35">
        <f t="shared" si="74"/>
        <v>40647</v>
      </c>
      <c r="C259">
        <v>553.6</v>
      </c>
      <c r="D259">
        <v>462.1</v>
      </c>
      <c r="E259">
        <v>2082</v>
      </c>
      <c r="F259">
        <v>2102.9</v>
      </c>
      <c r="G259" s="14">
        <f t="shared" si="71"/>
        <v>2635.6</v>
      </c>
      <c r="H259" s="2">
        <f t="shared" si="72"/>
        <v>2565</v>
      </c>
      <c r="I259" s="48">
        <f t="shared" si="73"/>
        <v>2.752436647173484</v>
      </c>
    </row>
    <row r="260" spans="1:10" x14ac:dyDescent="0.25">
      <c r="A260" s="35">
        <f t="shared" si="74"/>
        <v>40654</v>
      </c>
      <c r="C260">
        <v>571.29999999999995</v>
      </c>
      <c r="D260">
        <v>457.2</v>
      </c>
      <c r="E260">
        <v>2127.8000000000002</v>
      </c>
      <c r="F260">
        <v>2184.5</v>
      </c>
      <c r="G260" s="14">
        <f t="shared" si="71"/>
        <v>2699.1000000000004</v>
      </c>
      <c r="H260" s="2">
        <f t="shared" si="72"/>
        <v>2641.7</v>
      </c>
      <c r="I260" s="48">
        <f t="shared" si="73"/>
        <v>2.1728432448802071</v>
      </c>
    </row>
    <row r="261" spans="1:10" x14ac:dyDescent="0.25">
      <c r="A261" s="35">
        <f t="shared" si="74"/>
        <v>40661</v>
      </c>
      <c r="C261">
        <v>507.2</v>
      </c>
      <c r="D261">
        <v>432.2</v>
      </c>
      <c r="E261">
        <v>2223.6</v>
      </c>
      <c r="F261">
        <v>2289.1</v>
      </c>
      <c r="G261" s="14">
        <f t="shared" si="71"/>
        <v>2730.7999999999997</v>
      </c>
      <c r="H261" s="2">
        <f t="shared" si="72"/>
        <v>2721.2999999999997</v>
      </c>
      <c r="I261" s="48">
        <f t="shared" si="73"/>
        <v>0.34909785764156709</v>
      </c>
      <c r="J261">
        <v>74</v>
      </c>
    </row>
    <row r="262" spans="1:10" x14ac:dyDescent="0.25">
      <c r="A262" s="35">
        <f t="shared" si="74"/>
        <v>40668</v>
      </c>
      <c r="C262">
        <v>479.1</v>
      </c>
      <c r="D262">
        <v>399.1</v>
      </c>
      <c r="E262">
        <v>2270.5</v>
      </c>
      <c r="F262">
        <v>2372.6</v>
      </c>
      <c r="G262" s="14">
        <f t="shared" si="71"/>
        <v>2749.6</v>
      </c>
      <c r="H262" s="2">
        <f t="shared" si="72"/>
        <v>2771.7</v>
      </c>
      <c r="I262" s="48">
        <f t="shared" si="73"/>
        <v>-0.79734458996283397</v>
      </c>
      <c r="J262">
        <v>74</v>
      </c>
    </row>
    <row r="263" spans="1:10" x14ac:dyDescent="0.25">
      <c r="A263" s="35">
        <f t="shared" si="74"/>
        <v>40675</v>
      </c>
      <c r="C263">
        <v>492.1</v>
      </c>
      <c r="D263">
        <v>417</v>
      </c>
      <c r="E263">
        <v>2322.1999999999998</v>
      </c>
      <c r="F263">
        <v>2476.9</v>
      </c>
      <c r="G263" s="14">
        <f t="shared" si="71"/>
        <v>2814.2999999999997</v>
      </c>
      <c r="H263" s="2">
        <f t="shared" si="72"/>
        <v>2893.9</v>
      </c>
      <c r="I263" s="48">
        <f t="shared" si="73"/>
        <v>-2.7506133591347459</v>
      </c>
      <c r="J263">
        <v>74</v>
      </c>
    </row>
    <row r="264" spans="1:10" x14ac:dyDescent="0.25">
      <c r="A264" s="35">
        <f t="shared" si="74"/>
        <v>40682</v>
      </c>
      <c r="C264">
        <v>480.2</v>
      </c>
      <c r="D264">
        <v>410.1</v>
      </c>
      <c r="E264">
        <v>2438.6</v>
      </c>
      <c r="F264">
        <v>2494.1999999999998</v>
      </c>
      <c r="G264" s="14">
        <f t="shared" si="71"/>
        <v>2918.7999999999997</v>
      </c>
      <c r="H264" s="2">
        <f t="shared" si="72"/>
        <v>2904.2999999999997</v>
      </c>
      <c r="I264" s="48">
        <f t="shared" si="73"/>
        <v>0.49925971834865468</v>
      </c>
      <c r="J264">
        <v>74</v>
      </c>
    </row>
    <row r="265" spans="1:10" x14ac:dyDescent="0.25">
      <c r="A265" s="35">
        <f t="shared" si="74"/>
        <v>40689</v>
      </c>
      <c r="C265">
        <v>421.4</v>
      </c>
      <c r="D265">
        <v>392.2</v>
      </c>
      <c r="E265">
        <v>2495.8000000000002</v>
      </c>
      <c r="F265">
        <v>2569.3000000000002</v>
      </c>
      <c r="G265" s="14">
        <f t="shared" ref="G265:G274" si="75">+C265+E265</f>
        <v>2917.2000000000003</v>
      </c>
      <c r="H265" s="2">
        <f t="shared" ref="H265:H274" si="76">+D265+F265</f>
        <v>2961.5</v>
      </c>
      <c r="I265" s="48">
        <f t="shared" ref="I265:I274" si="77">+(G265/H265-1)*100</f>
        <v>-1.4958635826439193</v>
      </c>
      <c r="J265">
        <v>89</v>
      </c>
    </row>
    <row r="266" spans="1:10" x14ac:dyDescent="0.25">
      <c r="A266" s="35">
        <f t="shared" si="74"/>
        <v>40696</v>
      </c>
      <c r="C266">
        <v>452.1</v>
      </c>
      <c r="D266">
        <v>382</v>
      </c>
      <c r="E266">
        <v>2560.9</v>
      </c>
      <c r="F266">
        <v>2613.5</v>
      </c>
      <c r="G266" s="14">
        <f t="shared" si="75"/>
        <v>3013</v>
      </c>
      <c r="H266" s="2">
        <f t="shared" si="76"/>
        <v>2995.5</v>
      </c>
      <c r="I266" s="48">
        <f t="shared" si="77"/>
        <v>0.58420964780503404</v>
      </c>
      <c r="J266">
        <v>89</v>
      </c>
    </row>
    <row r="267" spans="1:10" x14ac:dyDescent="0.25">
      <c r="A267" s="35">
        <f t="shared" si="74"/>
        <v>40703</v>
      </c>
      <c r="C267">
        <v>429.6</v>
      </c>
      <c r="D267">
        <v>363.9</v>
      </c>
      <c r="E267">
        <v>2594.1</v>
      </c>
      <c r="F267">
        <v>2666</v>
      </c>
      <c r="G267" s="14">
        <f t="shared" si="75"/>
        <v>3023.7</v>
      </c>
      <c r="H267" s="2">
        <f t="shared" si="76"/>
        <v>3029.9</v>
      </c>
      <c r="I267" s="48">
        <f t="shared" si="77"/>
        <v>-0.20462721541966156</v>
      </c>
      <c r="J267">
        <v>89</v>
      </c>
    </row>
    <row r="268" spans="1:10" x14ac:dyDescent="0.25">
      <c r="A268" s="35">
        <f t="shared" si="74"/>
        <v>40710</v>
      </c>
      <c r="C268">
        <v>405.3</v>
      </c>
      <c r="D268">
        <v>302.8</v>
      </c>
      <c r="E268">
        <v>2650.9</v>
      </c>
      <c r="F268">
        <v>2751.3</v>
      </c>
      <c r="G268" s="14">
        <f t="shared" si="75"/>
        <v>3056.2000000000003</v>
      </c>
      <c r="H268" s="2">
        <f t="shared" si="76"/>
        <v>3054.1000000000004</v>
      </c>
      <c r="I268" s="48">
        <f t="shared" si="77"/>
        <v>6.8760027504000121E-2</v>
      </c>
      <c r="J268">
        <v>89</v>
      </c>
    </row>
    <row r="269" spans="1:10" x14ac:dyDescent="0.25">
      <c r="A269" s="35">
        <f t="shared" si="74"/>
        <v>40717</v>
      </c>
      <c r="C269">
        <v>387.5</v>
      </c>
      <c r="D269">
        <v>286.60000000000002</v>
      </c>
      <c r="E269">
        <v>2669</v>
      </c>
      <c r="F269">
        <v>2796</v>
      </c>
      <c r="G269" s="14">
        <f t="shared" si="75"/>
        <v>3056.5</v>
      </c>
      <c r="H269" s="2">
        <f t="shared" si="76"/>
        <v>3082.6</v>
      </c>
      <c r="I269" s="48">
        <f t="shared" si="77"/>
        <v>-0.84668786089664438</v>
      </c>
      <c r="J269">
        <v>131</v>
      </c>
    </row>
    <row r="270" spans="1:10" x14ac:dyDescent="0.25">
      <c r="A270" s="35">
        <f t="shared" si="74"/>
        <v>40724</v>
      </c>
      <c r="C270">
        <v>381.3</v>
      </c>
      <c r="D270">
        <v>305.5</v>
      </c>
      <c r="E270">
        <v>2706.7</v>
      </c>
      <c r="F270">
        <v>2816.9</v>
      </c>
      <c r="G270" s="14">
        <f t="shared" si="75"/>
        <v>3088</v>
      </c>
      <c r="H270" s="2">
        <f t="shared" si="76"/>
        <v>3122.4</v>
      </c>
      <c r="I270" s="48">
        <f t="shared" si="77"/>
        <v>-1.1017166282346946</v>
      </c>
      <c r="J270">
        <v>131</v>
      </c>
    </row>
    <row r="271" spans="1:10" x14ac:dyDescent="0.25">
      <c r="A271" s="35">
        <f t="shared" si="74"/>
        <v>40731</v>
      </c>
      <c r="C271">
        <v>345.8</v>
      </c>
      <c r="D271">
        <v>299</v>
      </c>
      <c r="E271">
        <v>2743.9</v>
      </c>
      <c r="F271">
        <v>2879.9</v>
      </c>
      <c r="G271" s="14">
        <f t="shared" si="75"/>
        <v>3089.7000000000003</v>
      </c>
      <c r="H271" s="2">
        <f t="shared" si="76"/>
        <v>3178.9</v>
      </c>
      <c r="I271" s="48">
        <f t="shared" si="77"/>
        <v>-2.806002076189873</v>
      </c>
      <c r="J271">
        <v>131</v>
      </c>
    </row>
    <row r="272" spans="1:10" x14ac:dyDescent="0.25">
      <c r="A272" s="35">
        <f t="shared" si="74"/>
        <v>40738</v>
      </c>
      <c r="C272">
        <v>299.3</v>
      </c>
      <c r="D272">
        <v>259.10000000000002</v>
      </c>
      <c r="E272">
        <v>2811.3</v>
      </c>
      <c r="F272">
        <v>2941.9</v>
      </c>
      <c r="G272" s="14">
        <f t="shared" si="75"/>
        <v>3110.6000000000004</v>
      </c>
      <c r="H272" s="2">
        <f t="shared" si="76"/>
        <v>3201</v>
      </c>
      <c r="I272" s="48">
        <f t="shared" si="77"/>
        <v>-2.824117463292708</v>
      </c>
      <c r="J272">
        <v>131</v>
      </c>
    </row>
    <row r="273" spans="1:10" x14ac:dyDescent="0.25">
      <c r="A273" s="35">
        <f t="shared" si="74"/>
        <v>40745</v>
      </c>
      <c r="C273">
        <v>247.4</v>
      </c>
      <c r="D273">
        <v>217.9</v>
      </c>
      <c r="E273">
        <v>2881.2</v>
      </c>
      <c r="F273">
        <v>2994.7</v>
      </c>
      <c r="G273" s="14">
        <f t="shared" si="75"/>
        <v>3128.6</v>
      </c>
      <c r="H273" s="2">
        <f t="shared" si="76"/>
        <v>3212.6</v>
      </c>
      <c r="I273" s="48">
        <f t="shared" si="77"/>
        <v>-2.6147046006349983</v>
      </c>
      <c r="J273">
        <v>141.1</v>
      </c>
    </row>
    <row r="274" spans="1:10" x14ac:dyDescent="0.25">
      <c r="A274" s="35">
        <f t="shared" si="74"/>
        <v>40752</v>
      </c>
      <c r="C274">
        <v>252.4</v>
      </c>
      <c r="D274">
        <v>215.6</v>
      </c>
      <c r="E274">
        <v>2955.3</v>
      </c>
      <c r="F274">
        <v>3033.6</v>
      </c>
      <c r="G274" s="14">
        <f t="shared" si="75"/>
        <v>3207.7000000000003</v>
      </c>
      <c r="H274" s="2">
        <f t="shared" si="76"/>
        <v>3249.2</v>
      </c>
      <c r="I274" s="48">
        <f t="shared" si="77"/>
        <v>-1.2772374738396985</v>
      </c>
      <c r="J274">
        <v>141.1</v>
      </c>
    </row>
    <row r="275" spans="1:10" x14ac:dyDescent="0.25">
      <c r="A275" s="35">
        <f t="shared" si="74"/>
        <v>40759</v>
      </c>
      <c r="C275">
        <v>256.5</v>
      </c>
      <c r="D275">
        <v>166.1</v>
      </c>
      <c r="E275">
        <v>2963.3</v>
      </c>
      <c r="F275">
        <v>3114.1</v>
      </c>
      <c r="G275" s="14">
        <f t="shared" ref="G275:H293" si="78">+C275+E275</f>
        <v>3219.8</v>
      </c>
      <c r="H275" s="2">
        <f t="shared" si="78"/>
        <v>3280.2</v>
      </c>
      <c r="I275" s="48">
        <f t="shared" ref="I275:I283" si="79">+(G275/H275-1)*100</f>
        <v>-1.8413511371257685</v>
      </c>
      <c r="J275">
        <v>176</v>
      </c>
    </row>
    <row r="276" spans="1:10" x14ac:dyDescent="0.25">
      <c r="A276" s="35">
        <f t="shared" si="74"/>
        <v>40766</v>
      </c>
      <c r="C276">
        <v>193.6</v>
      </c>
      <c r="D276">
        <v>159.30000000000001</v>
      </c>
      <c r="E276">
        <v>3042.3</v>
      </c>
      <c r="F276">
        <v>3163.3</v>
      </c>
      <c r="G276" s="14">
        <f t="shared" si="78"/>
        <v>3235.9</v>
      </c>
      <c r="H276" s="2">
        <f t="shared" si="78"/>
        <v>3322.6000000000004</v>
      </c>
      <c r="I276" s="48">
        <f t="shared" si="79"/>
        <v>-2.6094022753265556</v>
      </c>
      <c r="J276">
        <v>205.7</v>
      </c>
    </row>
    <row r="277" spans="1:10" x14ac:dyDescent="0.25">
      <c r="A277" s="35">
        <f t="shared" si="74"/>
        <v>40773</v>
      </c>
      <c r="C277">
        <v>152.9</v>
      </c>
      <c r="D277">
        <v>125.8</v>
      </c>
      <c r="E277">
        <v>3130.8</v>
      </c>
      <c r="F277">
        <v>3210.6</v>
      </c>
      <c r="G277" s="14">
        <f t="shared" si="78"/>
        <v>3283.7000000000003</v>
      </c>
      <c r="H277" s="2">
        <f t="shared" si="78"/>
        <v>3336.4</v>
      </c>
      <c r="I277" s="48">
        <f t="shared" si="79"/>
        <v>-1.5795468169284232</v>
      </c>
      <c r="J277">
        <v>215.7</v>
      </c>
    </row>
    <row r="278" spans="1:10" x14ac:dyDescent="0.25">
      <c r="A278" s="35">
        <f t="shared" si="74"/>
        <v>40780</v>
      </c>
      <c r="C278">
        <v>135.80000000000001</v>
      </c>
      <c r="D278">
        <v>71.599999999999994</v>
      </c>
      <c r="E278">
        <v>3148.4</v>
      </c>
      <c r="F278">
        <v>3256.3</v>
      </c>
      <c r="G278" s="14">
        <f t="shared" si="78"/>
        <v>3284.2000000000003</v>
      </c>
      <c r="H278" s="2">
        <f t="shared" si="78"/>
        <v>3327.9</v>
      </c>
      <c r="I278" s="48">
        <f t="shared" si="79"/>
        <v>-1.3131404188827744</v>
      </c>
      <c r="J278">
        <v>291.5</v>
      </c>
    </row>
    <row r="279" spans="1:10" x14ac:dyDescent="0.25">
      <c r="A279" s="35">
        <f t="shared" si="74"/>
        <v>40787</v>
      </c>
      <c r="C279">
        <v>384.9</v>
      </c>
      <c r="D279">
        <v>732</v>
      </c>
      <c r="E279">
        <v>23</v>
      </c>
      <c r="F279">
        <v>0.2</v>
      </c>
      <c r="G279" s="14">
        <f t="shared" si="78"/>
        <v>407.9</v>
      </c>
      <c r="H279" s="2">
        <f t="shared" si="78"/>
        <v>732.2</v>
      </c>
      <c r="I279" s="48">
        <f t="shared" si="79"/>
        <v>-44.291177273968863</v>
      </c>
    </row>
    <row r="280" spans="1:10" x14ac:dyDescent="0.25">
      <c r="A280" s="35">
        <f t="shared" si="74"/>
        <v>40794</v>
      </c>
      <c r="C280">
        <v>525.4</v>
      </c>
      <c r="D280">
        <v>730</v>
      </c>
      <c r="E280">
        <v>43.6</v>
      </c>
      <c r="F280">
        <v>33.6</v>
      </c>
      <c r="G280" s="14">
        <f t="shared" si="78"/>
        <v>569</v>
      </c>
      <c r="H280" s="2">
        <f t="shared" si="78"/>
        <v>763.6</v>
      </c>
      <c r="I280" s="48">
        <f t="shared" si="79"/>
        <v>-25.484546883184912</v>
      </c>
    </row>
    <row r="281" spans="1:10" x14ac:dyDescent="0.25">
      <c r="A281" s="35">
        <f t="shared" si="74"/>
        <v>40801</v>
      </c>
      <c r="C281">
        <v>554.1</v>
      </c>
      <c r="D281">
        <v>735.7</v>
      </c>
      <c r="E281">
        <v>74.599999999999994</v>
      </c>
      <c r="F281">
        <v>70.7</v>
      </c>
      <c r="G281" s="14">
        <f t="shared" si="78"/>
        <v>628.70000000000005</v>
      </c>
      <c r="H281" s="2">
        <f t="shared" si="78"/>
        <v>806.40000000000009</v>
      </c>
      <c r="I281" s="48">
        <f t="shared" si="79"/>
        <v>-22.036210317460323</v>
      </c>
    </row>
    <row r="282" spans="1:10" x14ac:dyDescent="0.25">
      <c r="A282" s="35">
        <f t="shared" si="74"/>
        <v>40808</v>
      </c>
      <c r="C282" s="123">
        <v>684</v>
      </c>
      <c r="D282" s="123">
        <v>764</v>
      </c>
      <c r="E282" s="123">
        <v>135.4</v>
      </c>
      <c r="F282" s="123">
        <v>89.3</v>
      </c>
      <c r="G282" s="123">
        <f t="shared" si="78"/>
        <v>819.4</v>
      </c>
      <c r="H282" s="2">
        <f t="shared" si="78"/>
        <v>853.3</v>
      </c>
      <c r="I282" s="48">
        <f t="shared" si="79"/>
        <v>-3.9728114379467883</v>
      </c>
    </row>
    <row r="283" spans="1:10" x14ac:dyDescent="0.25">
      <c r="A283" s="35">
        <f t="shared" si="74"/>
        <v>40815</v>
      </c>
      <c r="C283" s="123">
        <v>753.9</v>
      </c>
      <c r="D283" s="123">
        <v>688</v>
      </c>
      <c r="E283" s="123">
        <v>167.5</v>
      </c>
      <c r="F283" s="123">
        <v>241.1</v>
      </c>
      <c r="G283" s="123">
        <f t="shared" si="78"/>
        <v>921.4</v>
      </c>
      <c r="H283" s="2">
        <f t="shared" si="78"/>
        <v>929.1</v>
      </c>
      <c r="I283" s="48">
        <f t="shared" si="79"/>
        <v>-0.82875901409966701</v>
      </c>
      <c r="J283">
        <v>40</v>
      </c>
    </row>
    <row r="284" spans="1:10" ht="15" x14ac:dyDescent="0.35">
      <c r="A284" s="35">
        <f t="shared" si="74"/>
        <v>40822</v>
      </c>
      <c r="C284" s="85">
        <v>719.2</v>
      </c>
      <c r="D284">
        <v>620.9</v>
      </c>
      <c r="E284">
        <v>282.39999999999998</v>
      </c>
      <c r="F284">
        <v>394.8</v>
      </c>
      <c r="G284" s="123">
        <f t="shared" si="78"/>
        <v>1001.6</v>
      </c>
      <c r="H284" s="2">
        <f t="shared" si="78"/>
        <v>1015.7</v>
      </c>
      <c r="J284">
        <v>40</v>
      </c>
    </row>
    <row r="285" spans="1:10" ht="15" x14ac:dyDescent="0.35">
      <c r="A285" s="35">
        <f t="shared" si="74"/>
        <v>40829</v>
      </c>
      <c r="C285" s="85">
        <v>625.5</v>
      </c>
      <c r="D285">
        <v>561.70000000000005</v>
      </c>
      <c r="E285">
        <v>405</v>
      </c>
      <c r="F285">
        <v>505.7</v>
      </c>
      <c r="G285" s="123">
        <f t="shared" si="78"/>
        <v>1030.5</v>
      </c>
      <c r="H285" s="2">
        <f t="shared" si="78"/>
        <v>1067.4000000000001</v>
      </c>
    </row>
    <row r="286" spans="1:10" x14ac:dyDescent="0.25">
      <c r="A286" s="35">
        <f t="shared" si="74"/>
        <v>40836</v>
      </c>
      <c r="C286">
        <v>544.5</v>
      </c>
      <c r="D286">
        <v>4699.3</v>
      </c>
      <c r="E286">
        <v>581.79999999999995</v>
      </c>
      <c r="F286">
        <v>616.6</v>
      </c>
      <c r="G286" s="123">
        <f t="shared" si="78"/>
        <v>1126.3</v>
      </c>
      <c r="H286" s="2">
        <f t="shared" si="78"/>
        <v>5315.9000000000005</v>
      </c>
    </row>
    <row r="287" spans="1:10" x14ac:dyDescent="0.25">
      <c r="A287" s="35">
        <f t="shared" si="74"/>
        <v>40843</v>
      </c>
      <c r="C287">
        <v>519</v>
      </c>
      <c r="D287">
        <v>491.3</v>
      </c>
      <c r="E287">
        <v>636.6</v>
      </c>
      <c r="F287">
        <v>701.1</v>
      </c>
      <c r="G287" s="123">
        <f t="shared" si="78"/>
        <v>1155.5999999999999</v>
      </c>
      <c r="H287" s="2">
        <f t="shared" si="78"/>
        <v>1192.4000000000001</v>
      </c>
    </row>
    <row r="288" spans="1:10" x14ac:dyDescent="0.25">
      <c r="A288" s="35">
        <f t="shared" si="74"/>
        <v>40850</v>
      </c>
      <c r="C288" s="84">
        <v>529.9</v>
      </c>
      <c r="D288">
        <v>473.3</v>
      </c>
      <c r="E288">
        <v>673.2</v>
      </c>
      <c r="F288">
        <v>786</v>
      </c>
      <c r="G288" s="123">
        <f t="shared" si="78"/>
        <v>1203.0999999999999</v>
      </c>
      <c r="H288" s="2">
        <f t="shared" si="78"/>
        <v>1259.3</v>
      </c>
    </row>
    <row r="289" spans="1:10" x14ac:dyDescent="0.25">
      <c r="A289" s="35">
        <f t="shared" si="74"/>
        <v>40857</v>
      </c>
      <c r="C289" s="84">
        <v>470.7</v>
      </c>
      <c r="D289">
        <v>550.29999999999995</v>
      </c>
      <c r="E289">
        <v>786.8</v>
      </c>
      <c r="F289">
        <v>844.5</v>
      </c>
      <c r="G289" s="123">
        <f t="shared" si="78"/>
        <v>1257.5</v>
      </c>
      <c r="H289" s="2">
        <f t="shared" si="78"/>
        <v>1394.8</v>
      </c>
    </row>
    <row r="290" spans="1:10" x14ac:dyDescent="0.25">
      <c r="A290" s="35">
        <f t="shared" si="74"/>
        <v>40864</v>
      </c>
      <c r="C290" s="84">
        <v>451.4</v>
      </c>
      <c r="D290">
        <v>531.1</v>
      </c>
      <c r="E290">
        <v>805.2</v>
      </c>
      <c r="F290">
        <v>882.8</v>
      </c>
      <c r="G290" s="123">
        <f t="shared" si="78"/>
        <v>1256.5999999999999</v>
      </c>
      <c r="H290" s="2">
        <f t="shared" si="78"/>
        <v>1413.9</v>
      </c>
    </row>
    <row r="291" spans="1:10" x14ac:dyDescent="0.25">
      <c r="A291" s="35">
        <f t="shared" si="74"/>
        <v>40871</v>
      </c>
      <c r="C291" s="84">
        <v>437.5</v>
      </c>
      <c r="D291">
        <v>511.6</v>
      </c>
      <c r="E291">
        <v>829.8</v>
      </c>
      <c r="F291">
        <v>968.2</v>
      </c>
      <c r="G291" s="123">
        <f t="shared" si="78"/>
        <v>1267.3</v>
      </c>
      <c r="H291" s="2">
        <f t="shared" si="78"/>
        <v>1479.8000000000002</v>
      </c>
    </row>
    <row r="292" spans="1:10" x14ac:dyDescent="0.25">
      <c r="A292" s="35">
        <f t="shared" si="74"/>
        <v>40878</v>
      </c>
      <c r="C292" s="84">
        <v>480.2</v>
      </c>
      <c r="D292">
        <v>498.7</v>
      </c>
      <c r="E292">
        <v>863.4</v>
      </c>
      <c r="F292">
        <v>1017.3</v>
      </c>
      <c r="G292" s="123">
        <f t="shared" si="78"/>
        <v>1343.6</v>
      </c>
      <c r="H292" s="2">
        <f t="shared" si="78"/>
        <v>1516</v>
      </c>
    </row>
    <row r="293" spans="1:10" x14ac:dyDescent="0.25">
      <c r="A293" s="35">
        <f t="shared" si="74"/>
        <v>40885</v>
      </c>
      <c r="C293" s="84">
        <v>433.4</v>
      </c>
      <c r="D293">
        <v>472.1</v>
      </c>
      <c r="E293">
        <v>929</v>
      </c>
      <c r="F293">
        <v>1048.9000000000001</v>
      </c>
      <c r="G293" s="123">
        <f t="shared" si="78"/>
        <v>1362.4</v>
      </c>
      <c r="H293" s="2">
        <f t="shared" si="78"/>
        <v>1521</v>
      </c>
    </row>
    <row r="294" spans="1:10" x14ac:dyDescent="0.25">
      <c r="A294" s="35">
        <f t="shared" si="74"/>
        <v>40892</v>
      </c>
      <c r="C294">
        <v>446.7</v>
      </c>
      <c r="D294">
        <v>386.2</v>
      </c>
      <c r="E294">
        <v>958.9</v>
      </c>
      <c r="F294">
        <v>1150.5</v>
      </c>
      <c r="G294" s="123">
        <f t="shared" ref="G294:H296" si="80">+C294+E294</f>
        <v>1405.6</v>
      </c>
      <c r="H294" s="2">
        <f t="shared" si="80"/>
        <v>1536.7</v>
      </c>
      <c r="J294">
        <v>40</v>
      </c>
    </row>
    <row r="295" spans="1:10" x14ac:dyDescent="0.25">
      <c r="A295" s="35">
        <f t="shared" si="74"/>
        <v>40899</v>
      </c>
      <c r="C295">
        <v>413.3</v>
      </c>
      <c r="D295">
        <v>419.4</v>
      </c>
      <c r="E295">
        <v>993.7</v>
      </c>
      <c r="F295">
        <v>1209.5</v>
      </c>
      <c r="G295" s="123">
        <f t="shared" si="80"/>
        <v>1407</v>
      </c>
      <c r="H295" s="2">
        <f t="shared" si="80"/>
        <v>1628.9</v>
      </c>
    </row>
    <row r="296" spans="1:10" x14ac:dyDescent="0.25">
      <c r="A296" s="35">
        <f t="shared" si="74"/>
        <v>40906</v>
      </c>
      <c r="C296">
        <v>510.4</v>
      </c>
      <c r="D296">
        <v>486.6</v>
      </c>
      <c r="E296">
        <v>1014.9</v>
      </c>
      <c r="F296">
        <v>1229.7</v>
      </c>
      <c r="G296" s="123">
        <f t="shared" si="80"/>
        <v>1525.3</v>
      </c>
      <c r="H296" s="2">
        <f t="shared" si="80"/>
        <v>1716.3000000000002</v>
      </c>
    </row>
    <row r="297" spans="1:10" x14ac:dyDescent="0.25">
      <c r="A297" s="35">
        <f t="shared" si="74"/>
        <v>40913</v>
      </c>
      <c r="C297">
        <v>470</v>
      </c>
      <c r="D297">
        <v>579.4</v>
      </c>
      <c r="E297">
        <v>1119.8</v>
      </c>
      <c r="F297">
        <v>1229.7</v>
      </c>
      <c r="G297" s="123">
        <f t="shared" ref="G297:G328" si="81">+C297+E297</f>
        <v>1589.8</v>
      </c>
      <c r="H297" s="2">
        <f t="shared" ref="H297:H328" si="82">+D297+F297</f>
        <v>1809.1</v>
      </c>
    </row>
    <row r="298" spans="1:10" x14ac:dyDescent="0.25">
      <c r="A298" s="35">
        <f t="shared" si="74"/>
        <v>40920</v>
      </c>
      <c r="C298">
        <v>470.7</v>
      </c>
      <c r="D298">
        <v>621.70000000000005</v>
      </c>
      <c r="E298">
        <v>1177.2</v>
      </c>
      <c r="F298">
        <v>1289</v>
      </c>
      <c r="G298" s="123">
        <f t="shared" si="81"/>
        <v>1647.9</v>
      </c>
      <c r="H298" s="2">
        <f t="shared" si="82"/>
        <v>1910.7</v>
      </c>
      <c r="J298">
        <v>40</v>
      </c>
    </row>
    <row r="299" spans="1:10" x14ac:dyDescent="0.25">
      <c r="A299" s="35">
        <f t="shared" si="74"/>
        <v>40927</v>
      </c>
      <c r="C299">
        <v>493.1</v>
      </c>
      <c r="D299">
        <v>645.79999999999995</v>
      </c>
      <c r="E299">
        <v>1298.2</v>
      </c>
      <c r="F299">
        <v>1332.3</v>
      </c>
      <c r="G299" s="123">
        <f t="shared" si="81"/>
        <v>1791.3000000000002</v>
      </c>
      <c r="H299" s="2">
        <f t="shared" si="82"/>
        <v>1978.1</v>
      </c>
    </row>
    <row r="300" spans="1:10" x14ac:dyDescent="0.25">
      <c r="A300" s="35">
        <f t="shared" si="74"/>
        <v>40934</v>
      </c>
      <c r="C300">
        <v>465.4</v>
      </c>
      <c r="D300">
        <v>636.5</v>
      </c>
      <c r="E300">
        <v>1334.7</v>
      </c>
      <c r="F300">
        <v>1369.8</v>
      </c>
      <c r="G300" s="123">
        <f t="shared" si="81"/>
        <v>1800.1</v>
      </c>
      <c r="H300" s="2">
        <f t="shared" si="82"/>
        <v>2006.3</v>
      </c>
    </row>
    <row r="301" spans="1:10" x14ac:dyDescent="0.25">
      <c r="A301" s="35">
        <f t="shared" si="74"/>
        <v>40941</v>
      </c>
      <c r="C301">
        <v>438.4</v>
      </c>
      <c r="D301">
        <v>648.6</v>
      </c>
      <c r="E301">
        <v>1365.2</v>
      </c>
      <c r="F301">
        <v>1467.4</v>
      </c>
      <c r="G301" s="123">
        <f t="shared" si="81"/>
        <v>1803.6</v>
      </c>
      <c r="H301" s="2">
        <f t="shared" si="82"/>
        <v>2116</v>
      </c>
    </row>
    <row r="302" spans="1:10" x14ac:dyDescent="0.25">
      <c r="A302" s="35">
        <f t="shared" si="74"/>
        <v>40948</v>
      </c>
      <c r="C302">
        <v>435</v>
      </c>
      <c r="D302">
        <v>639.20000000000005</v>
      </c>
      <c r="E302">
        <v>1412.2</v>
      </c>
      <c r="F302">
        <v>1529</v>
      </c>
      <c r="G302" s="123">
        <f t="shared" si="81"/>
        <v>1847.2</v>
      </c>
      <c r="H302" s="2">
        <f t="shared" si="82"/>
        <v>2168.1999999999998</v>
      </c>
    </row>
    <row r="303" spans="1:10" x14ac:dyDescent="0.25">
      <c r="A303" s="35">
        <f t="shared" si="74"/>
        <v>40955</v>
      </c>
      <c r="C303">
        <v>402.2</v>
      </c>
      <c r="D303">
        <v>645.70000000000005</v>
      </c>
      <c r="E303">
        <v>1487.9</v>
      </c>
      <c r="F303">
        <v>1573.5</v>
      </c>
      <c r="G303" s="123">
        <f t="shared" si="81"/>
        <v>1890.1000000000001</v>
      </c>
      <c r="H303" s="2">
        <f t="shared" si="82"/>
        <v>2219.1999999999998</v>
      </c>
    </row>
    <row r="304" spans="1:10" x14ac:dyDescent="0.25">
      <c r="A304" s="35">
        <f t="shared" si="74"/>
        <v>40962</v>
      </c>
      <c r="C304">
        <v>435.1</v>
      </c>
      <c r="D304">
        <v>663.6</v>
      </c>
      <c r="E304">
        <v>1543</v>
      </c>
      <c r="F304">
        <v>1601.6</v>
      </c>
      <c r="G304" s="123">
        <f t="shared" si="81"/>
        <v>1978.1</v>
      </c>
      <c r="H304" s="2">
        <f t="shared" si="82"/>
        <v>2265.1999999999998</v>
      </c>
    </row>
    <row r="305" spans="1:9" x14ac:dyDescent="0.25">
      <c r="A305" s="35">
        <f t="shared" si="74"/>
        <v>40969</v>
      </c>
      <c r="C305">
        <v>470.1</v>
      </c>
      <c r="D305">
        <v>652</v>
      </c>
      <c r="E305">
        <v>1621</v>
      </c>
      <c r="F305">
        <v>1643.1</v>
      </c>
      <c r="G305" s="123">
        <f t="shared" si="81"/>
        <v>2091.1</v>
      </c>
      <c r="H305" s="2">
        <f t="shared" si="82"/>
        <v>2295.1</v>
      </c>
    </row>
    <row r="306" spans="1:9" x14ac:dyDescent="0.25">
      <c r="A306" s="35">
        <f t="shared" si="74"/>
        <v>40976</v>
      </c>
      <c r="C306">
        <v>532.4</v>
      </c>
      <c r="D306">
        <v>613.70000000000005</v>
      </c>
      <c r="E306">
        <v>1639</v>
      </c>
      <c r="F306">
        <v>1704.8</v>
      </c>
      <c r="G306" s="123">
        <f t="shared" si="81"/>
        <v>2171.4</v>
      </c>
      <c r="H306" s="2">
        <f t="shared" si="82"/>
        <v>2318.5</v>
      </c>
    </row>
    <row r="307" spans="1:9" x14ac:dyDescent="0.25">
      <c r="A307" s="35">
        <f t="shared" si="74"/>
        <v>40983</v>
      </c>
      <c r="C307">
        <v>588.29999999999995</v>
      </c>
      <c r="D307">
        <v>678.6</v>
      </c>
      <c r="E307">
        <v>1666.6</v>
      </c>
      <c r="F307">
        <v>1784.9</v>
      </c>
      <c r="G307" s="123">
        <f t="shared" si="81"/>
        <v>2254.8999999999996</v>
      </c>
      <c r="H307" s="2">
        <f t="shared" si="82"/>
        <v>2463.5</v>
      </c>
    </row>
    <row r="308" spans="1:9" x14ac:dyDescent="0.25">
      <c r="A308" s="35">
        <f t="shared" si="74"/>
        <v>40990</v>
      </c>
      <c r="C308">
        <v>665.6</v>
      </c>
      <c r="D308">
        <v>635.70000000000005</v>
      </c>
      <c r="E308">
        <v>1717.4</v>
      </c>
      <c r="F308">
        <v>1858.8</v>
      </c>
      <c r="G308" s="123">
        <f t="shared" si="81"/>
        <v>2383</v>
      </c>
      <c r="H308" s="2">
        <f t="shared" si="82"/>
        <v>2494.5</v>
      </c>
    </row>
    <row r="309" spans="1:9" x14ac:dyDescent="0.25">
      <c r="A309" s="35">
        <f t="shared" si="74"/>
        <v>40997</v>
      </c>
      <c r="C309">
        <v>619.70000000000005</v>
      </c>
      <c r="D309">
        <v>547.79999999999995</v>
      </c>
      <c r="E309">
        <v>1805.1</v>
      </c>
      <c r="F309">
        <v>1969.9</v>
      </c>
      <c r="G309" s="123">
        <f t="shared" si="81"/>
        <v>2424.8000000000002</v>
      </c>
      <c r="H309" s="2">
        <f t="shared" si="82"/>
        <v>2517.6999999999998</v>
      </c>
    </row>
    <row r="310" spans="1:9" x14ac:dyDescent="0.25">
      <c r="A310" s="35">
        <f t="shared" si="74"/>
        <v>41004</v>
      </c>
      <c r="C310">
        <v>502.8</v>
      </c>
      <c r="D310">
        <v>569.6</v>
      </c>
      <c r="E310">
        <v>1947.4</v>
      </c>
      <c r="F310">
        <v>1992.2</v>
      </c>
      <c r="G310" s="123">
        <f t="shared" si="81"/>
        <v>2450.2000000000003</v>
      </c>
      <c r="H310" s="2">
        <f t="shared" si="82"/>
        <v>2561.8000000000002</v>
      </c>
    </row>
    <row r="311" spans="1:9" x14ac:dyDescent="0.25">
      <c r="A311" s="35">
        <f t="shared" si="74"/>
        <v>41011</v>
      </c>
      <c r="C311">
        <v>498.5</v>
      </c>
      <c r="D311">
        <v>553.6</v>
      </c>
      <c r="E311">
        <v>1980.5</v>
      </c>
      <c r="F311">
        <v>2082</v>
      </c>
      <c r="G311" s="123">
        <f t="shared" si="81"/>
        <v>2479</v>
      </c>
      <c r="H311" s="2">
        <f t="shared" si="82"/>
        <v>2635.6</v>
      </c>
    </row>
    <row r="312" spans="1:9" x14ac:dyDescent="0.25">
      <c r="A312" s="35">
        <f t="shared" si="74"/>
        <v>41018</v>
      </c>
      <c r="C312">
        <v>548.29999999999995</v>
      </c>
      <c r="D312">
        <v>571.29999999999995</v>
      </c>
      <c r="E312">
        <v>2031.6</v>
      </c>
      <c r="F312">
        <v>2127.8000000000002</v>
      </c>
      <c r="G312" s="123">
        <f t="shared" si="81"/>
        <v>2579.8999999999996</v>
      </c>
      <c r="H312" s="2">
        <f t="shared" si="82"/>
        <v>2699.1000000000004</v>
      </c>
    </row>
    <row r="313" spans="1:9" x14ac:dyDescent="0.25">
      <c r="A313" s="35">
        <f t="shared" si="74"/>
        <v>41025</v>
      </c>
      <c r="C313">
        <v>578.9</v>
      </c>
      <c r="D313">
        <v>507.2</v>
      </c>
      <c r="E313">
        <v>2127.1</v>
      </c>
      <c r="F313">
        <v>2223.6</v>
      </c>
      <c r="G313" s="123">
        <f t="shared" si="81"/>
        <v>2706</v>
      </c>
      <c r="H313" s="2">
        <f t="shared" si="82"/>
        <v>2730.7999999999997</v>
      </c>
    </row>
    <row r="314" spans="1:9" x14ac:dyDescent="0.25">
      <c r="A314" s="35">
        <f t="shared" si="74"/>
        <v>41032</v>
      </c>
      <c r="C314">
        <v>653.79999999999995</v>
      </c>
      <c r="D314">
        <v>479.1</v>
      </c>
      <c r="E314">
        <v>2198.6999999999998</v>
      </c>
      <c r="F314">
        <v>2270.5</v>
      </c>
      <c r="G314" s="123">
        <f t="shared" si="81"/>
        <v>2852.5</v>
      </c>
      <c r="H314" s="2">
        <f t="shared" si="82"/>
        <v>2749.6</v>
      </c>
      <c r="I314">
        <v>40</v>
      </c>
    </row>
    <row r="315" spans="1:9" x14ac:dyDescent="0.25">
      <c r="A315" s="35">
        <f t="shared" si="74"/>
        <v>41039</v>
      </c>
      <c r="C315">
        <v>669.1</v>
      </c>
      <c r="D315">
        <v>492.1</v>
      </c>
      <c r="E315">
        <v>2265.3000000000002</v>
      </c>
      <c r="F315">
        <v>2322.1999999999998</v>
      </c>
      <c r="G315" s="123">
        <f t="shared" si="81"/>
        <v>2934.4</v>
      </c>
      <c r="H315" s="2">
        <f t="shared" si="82"/>
        <v>2814.2999999999997</v>
      </c>
      <c r="I315">
        <v>51</v>
      </c>
    </row>
    <row r="316" spans="1:9" x14ac:dyDescent="0.25">
      <c r="A316" s="35">
        <f t="shared" si="74"/>
        <v>41046</v>
      </c>
      <c r="C316">
        <v>647.79999999999995</v>
      </c>
      <c r="D316">
        <v>480.2</v>
      </c>
      <c r="E316">
        <v>2324.6999999999998</v>
      </c>
      <c r="F316">
        <v>2438.6</v>
      </c>
      <c r="G316" s="123">
        <f t="shared" si="81"/>
        <v>2972.5</v>
      </c>
      <c r="H316" s="2">
        <f t="shared" si="82"/>
        <v>2918.7999999999997</v>
      </c>
      <c r="I316">
        <v>96</v>
      </c>
    </row>
    <row r="317" spans="1:9" x14ac:dyDescent="0.25">
      <c r="A317" s="35">
        <f t="shared" ref="A317:A380" si="83">+A316+7</f>
        <v>41053</v>
      </c>
      <c r="C317">
        <v>647.79999999999995</v>
      </c>
      <c r="D317">
        <v>480.2</v>
      </c>
      <c r="E317">
        <v>2324.6999999999998</v>
      </c>
      <c r="F317">
        <v>2438.6</v>
      </c>
      <c r="G317" s="123">
        <f t="shared" si="81"/>
        <v>2972.5</v>
      </c>
      <c r="H317" s="2">
        <f t="shared" si="82"/>
        <v>2918.7999999999997</v>
      </c>
      <c r="I317">
        <v>96</v>
      </c>
    </row>
    <row r="318" spans="1:9" x14ac:dyDescent="0.25">
      <c r="A318" s="35">
        <f t="shared" si="83"/>
        <v>41060</v>
      </c>
      <c r="C318">
        <v>557.6</v>
      </c>
      <c r="D318">
        <v>452.1</v>
      </c>
      <c r="E318">
        <v>2471.3000000000002</v>
      </c>
      <c r="F318">
        <v>2560.9</v>
      </c>
      <c r="G318" s="123">
        <f t="shared" si="81"/>
        <v>3028.9</v>
      </c>
      <c r="H318" s="2">
        <f t="shared" si="82"/>
        <v>3013</v>
      </c>
      <c r="I318">
        <v>133.5</v>
      </c>
    </row>
    <row r="319" spans="1:9" x14ac:dyDescent="0.25">
      <c r="A319" s="35">
        <f t="shared" si="83"/>
        <v>41067</v>
      </c>
      <c r="C319">
        <v>578</v>
      </c>
      <c r="D319">
        <v>429.6</v>
      </c>
      <c r="E319">
        <v>2499.4</v>
      </c>
      <c r="F319">
        <v>2594.1</v>
      </c>
      <c r="G319" s="123">
        <f t="shared" si="81"/>
        <v>3077.4</v>
      </c>
      <c r="H319" s="2">
        <f t="shared" si="82"/>
        <v>3023.7</v>
      </c>
      <c r="I319">
        <v>133.5</v>
      </c>
    </row>
    <row r="320" spans="1:9" x14ac:dyDescent="0.25">
      <c r="A320" s="35">
        <f t="shared" si="83"/>
        <v>41074</v>
      </c>
      <c r="C320">
        <v>539.9</v>
      </c>
      <c r="D320">
        <v>405.3</v>
      </c>
      <c r="E320">
        <v>2558</v>
      </c>
      <c r="F320">
        <v>2650.9</v>
      </c>
      <c r="G320" s="123">
        <f t="shared" si="81"/>
        <v>3097.9</v>
      </c>
      <c r="H320" s="2">
        <f t="shared" si="82"/>
        <v>3056.2000000000003</v>
      </c>
      <c r="I320">
        <v>133.5</v>
      </c>
    </row>
    <row r="321" spans="1:9" x14ac:dyDescent="0.25">
      <c r="A321" s="35">
        <f t="shared" si="83"/>
        <v>41081</v>
      </c>
      <c r="C321">
        <v>527.29999999999995</v>
      </c>
      <c r="D321">
        <v>387.5</v>
      </c>
      <c r="E321">
        <v>2589.6999999999998</v>
      </c>
      <c r="F321">
        <v>2669</v>
      </c>
      <c r="G321" s="123">
        <f t="shared" si="81"/>
        <v>3117</v>
      </c>
      <c r="H321" s="2">
        <f t="shared" si="82"/>
        <v>3056.5</v>
      </c>
      <c r="I321">
        <v>143.69999999999999</v>
      </c>
    </row>
    <row r="322" spans="1:9" x14ac:dyDescent="0.25">
      <c r="A322" s="35">
        <f t="shared" si="83"/>
        <v>41088</v>
      </c>
      <c r="C322">
        <v>449.5</v>
      </c>
      <c r="D322">
        <v>381.3</v>
      </c>
      <c r="E322">
        <v>2693.4</v>
      </c>
      <c r="F322">
        <v>2706.7</v>
      </c>
      <c r="G322" s="123">
        <f t="shared" si="81"/>
        <v>3142.9</v>
      </c>
      <c r="H322" s="2">
        <f t="shared" si="82"/>
        <v>3088</v>
      </c>
      <c r="I322">
        <v>143.69999999999999</v>
      </c>
    </row>
    <row r="323" spans="1:9" x14ac:dyDescent="0.25">
      <c r="A323" s="35">
        <f t="shared" si="83"/>
        <v>41095</v>
      </c>
      <c r="C323">
        <v>425.7</v>
      </c>
      <c r="D323">
        <v>345.8</v>
      </c>
      <c r="E323">
        <v>2727.8</v>
      </c>
      <c r="F323">
        <v>2743.9</v>
      </c>
      <c r="G323" s="123">
        <f t="shared" si="81"/>
        <v>3153.5</v>
      </c>
      <c r="H323" s="2">
        <f t="shared" si="82"/>
        <v>3089.7000000000003</v>
      </c>
      <c r="I323">
        <v>143.69999999999999</v>
      </c>
    </row>
    <row r="324" spans="1:9" x14ac:dyDescent="0.25">
      <c r="A324" s="35">
        <f t="shared" si="83"/>
        <v>41102</v>
      </c>
      <c r="C324">
        <v>379.2</v>
      </c>
      <c r="D324">
        <v>299.3</v>
      </c>
      <c r="E324">
        <v>2780.2</v>
      </c>
      <c r="F324">
        <v>2811.3</v>
      </c>
      <c r="G324" s="123">
        <f t="shared" si="81"/>
        <v>3159.3999999999996</v>
      </c>
      <c r="H324" s="2">
        <f t="shared" si="82"/>
        <v>3110.6000000000004</v>
      </c>
      <c r="I324">
        <v>172.3</v>
      </c>
    </row>
    <row r="325" spans="1:9" x14ac:dyDescent="0.25">
      <c r="A325" s="35">
        <f t="shared" si="83"/>
        <v>41109</v>
      </c>
      <c r="C325">
        <v>324.8</v>
      </c>
      <c r="D325">
        <v>247.4</v>
      </c>
      <c r="E325">
        <v>2842.8</v>
      </c>
      <c r="F325">
        <v>2881.2</v>
      </c>
      <c r="G325" s="123">
        <f t="shared" si="81"/>
        <v>3167.6000000000004</v>
      </c>
      <c r="H325" s="2">
        <f t="shared" si="82"/>
        <v>3128.6</v>
      </c>
      <c r="I325">
        <v>253.5</v>
      </c>
    </row>
    <row r="326" spans="1:9" x14ac:dyDescent="0.25">
      <c r="A326" s="35">
        <f t="shared" si="83"/>
        <v>41116</v>
      </c>
      <c r="C326">
        <v>267.60000000000002</v>
      </c>
      <c r="D326">
        <v>252.4</v>
      </c>
      <c r="E326">
        <v>2908.7</v>
      </c>
      <c r="F326">
        <v>2955.3</v>
      </c>
      <c r="G326" s="123">
        <f t="shared" si="81"/>
        <v>3176.2999999999997</v>
      </c>
      <c r="H326" s="2">
        <f t="shared" si="82"/>
        <v>3207.7000000000003</v>
      </c>
      <c r="I326">
        <v>286.89999999999998</v>
      </c>
    </row>
    <row r="327" spans="1:9" x14ac:dyDescent="0.25">
      <c r="A327" s="35">
        <f t="shared" si="83"/>
        <v>41123</v>
      </c>
      <c r="C327">
        <v>181.1</v>
      </c>
      <c r="D327">
        <v>256.5</v>
      </c>
      <c r="E327">
        <v>2996.1</v>
      </c>
      <c r="F327">
        <v>2963.3</v>
      </c>
      <c r="G327" s="123">
        <f t="shared" si="81"/>
        <v>3177.2</v>
      </c>
      <c r="H327" s="2">
        <f t="shared" si="82"/>
        <v>3219.8</v>
      </c>
      <c r="I327">
        <v>300.89999999999998</v>
      </c>
    </row>
    <row r="328" spans="1:9" x14ac:dyDescent="0.25">
      <c r="A328" s="35">
        <f t="shared" si="83"/>
        <v>41130</v>
      </c>
      <c r="C328">
        <v>162.5</v>
      </c>
      <c r="D328">
        <v>193.6</v>
      </c>
      <c r="E328">
        <v>3015.8</v>
      </c>
      <c r="F328">
        <v>3042.3</v>
      </c>
      <c r="G328" s="123">
        <f t="shared" si="81"/>
        <v>3178.3</v>
      </c>
      <c r="H328" s="2">
        <f t="shared" si="82"/>
        <v>3235.9</v>
      </c>
      <c r="I328">
        <v>368.5</v>
      </c>
    </row>
    <row r="329" spans="1:9" x14ac:dyDescent="0.25">
      <c r="A329" s="35">
        <f t="shared" si="83"/>
        <v>41137</v>
      </c>
      <c r="C329">
        <v>83.4</v>
      </c>
      <c r="D329">
        <v>152.9</v>
      </c>
      <c r="E329">
        <v>3112</v>
      </c>
      <c r="F329">
        <v>3130.8</v>
      </c>
      <c r="G329" s="123">
        <f t="shared" ref="G329:G360" si="84">+C329+E329</f>
        <v>3195.4</v>
      </c>
      <c r="H329" s="2">
        <f t="shared" ref="H329:H360" si="85">+D329+F329</f>
        <v>3283.7000000000003</v>
      </c>
      <c r="I329">
        <v>419.9</v>
      </c>
    </row>
    <row r="330" spans="1:9" x14ac:dyDescent="0.25">
      <c r="A330" s="35">
        <f t="shared" si="83"/>
        <v>41144</v>
      </c>
      <c r="C330">
        <v>50.7</v>
      </c>
      <c r="D330">
        <v>135.80000000000001</v>
      </c>
      <c r="E330">
        <v>3146</v>
      </c>
      <c r="F330">
        <v>3148.4</v>
      </c>
      <c r="G330" s="123">
        <f t="shared" si="84"/>
        <v>3196.7</v>
      </c>
      <c r="H330" s="2">
        <f t="shared" si="85"/>
        <v>3284.2000000000003</v>
      </c>
      <c r="I330">
        <v>430.9</v>
      </c>
    </row>
    <row r="331" spans="1:9" x14ac:dyDescent="0.25">
      <c r="A331" s="35">
        <f t="shared" si="83"/>
        <v>41151</v>
      </c>
      <c r="C331">
        <v>26.7</v>
      </c>
      <c r="D331">
        <v>384.9</v>
      </c>
      <c r="E331">
        <v>3153.1</v>
      </c>
      <c r="F331">
        <v>23</v>
      </c>
      <c r="G331" s="123">
        <f t="shared" si="84"/>
        <v>3179.7999999999997</v>
      </c>
      <c r="H331" s="2">
        <f t="shared" si="85"/>
        <v>407.9</v>
      </c>
      <c r="I331">
        <v>457.4</v>
      </c>
    </row>
    <row r="332" spans="1:9" x14ac:dyDescent="0.25">
      <c r="A332" s="35">
        <f t="shared" si="83"/>
        <v>41158</v>
      </c>
      <c r="C332">
        <v>649.70000000000005</v>
      </c>
      <c r="D332">
        <v>384.9</v>
      </c>
      <c r="E332">
        <v>6.9</v>
      </c>
      <c r="F332">
        <v>23</v>
      </c>
      <c r="G332" s="123">
        <f t="shared" si="84"/>
        <v>656.6</v>
      </c>
      <c r="H332" s="2">
        <f t="shared" si="85"/>
        <v>407.9</v>
      </c>
    </row>
    <row r="333" spans="1:9" x14ac:dyDescent="0.25">
      <c r="A333" s="35">
        <f t="shared" si="83"/>
        <v>41165</v>
      </c>
      <c r="C333">
        <v>653.9</v>
      </c>
      <c r="D333">
        <v>554.1</v>
      </c>
      <c r="E333">
        <v>34.5</v>
      </c>
      <c r="F333">
        <v>74.599999999999994</v>
      </c>
      <c r="G333" s="123">
        <f t="shared" si="84"/>
        <v>688.4</v>
      </c>
      <c r="H333" s="2">
        <f t="shared" si="85"/>
        <v>628.70000000000005</v>
      </c>
    </row>
    <row r="334" spans="1:9" x14ac:dyDescent="0.25">
      <c r="A334" s="35">
        <f t="shared" si="83"/>
        <v>41172</v>
      </c>
      <c r="C334">
        <v>619.29999999999995</v>
      </c>
      <c r="D334">
        <v>684</v>
      </c>
      <c r="E334">
        <v>79.8</v>
      </c>
      <c r="F334">
        <v>135.4</v>
      </c>
      <c r="G334" s="123">
        <f t="shared" si="84"/>
        <v>699.09999999999991</v>
      </c>
      <c r="H334" s="2">
        <f t="shared" si="85"/>
        <v>819.4</v>
      </c>
    </row>
    <row r="335" spans="1:9" x14ac:dyDescent="0.25">
      <c r="A335" s="35">
        <f t="shared" si="83"/>
        <v>41179</v>
      </c>
      <c r="C335">
        <v>563.4</v>
      </c>
      <c r="D335">
        <v>753.9</v>
      </c>
      <c r="E335">
        <v>198.8</v>
      </c>
      <c r="F335">
        <v>167.5</v>
      </c>
      <c r="G335" s="123">
        <f t="shared" si="84"/>
        <v>762.2</v>
      </c>
      <c r="H335" s="2">
        <f t="shared" si="85"/>
        <v>921.4</v>
      </c>
    </row>
    <row r="336" spans="1:9" x14ac:dyDescent="0.25">
      <c r="A336" s="35">
        <f t="shared" si="83"/>
        <v>41186</v>
      </c>
      <c r="C336">
        <v>494.9</v>
      </c>
      <c r="D336">
        <v>719.2</v>
      </c>
      <c r="E336">
        <v>301.3</v>
      </c>
      <c r="F336">
        <v>282.39999999999998</v>
      </c>
      <c r="G336" s="123">
        <f t="shared" si="84"/>
        <v>796.2</v>
      </c>
      <c r="H336" s="2">
        <f t="shared" si="85"/>
        <v>1001.6</v>
      </c>
    </row>
    <row r="337" spans="1:9" x14ac:dyDescent="0.25">
      <c r="A337" s="35">
        <f t="shared" si="83"/>
        <v>41193</v>
      </c>
      <c r="C337">
        <v>419.6</v>
      </c>
      <c r="D337">
        <v>624.5</v>
      </c>
      <c r="E337">
        <v>427.2</v>
      </c>
      <c r="F337">
        <v>405</v>
      </c>
      <c r="G337" s="123">
        <f t="shared" si="84"/>
        <v>846.8</v>
      </c>
      <c r="H337" s="2">
        <f t="shared" si="85"/>
        <v>1029.5</v>
      </c>
    </row>
    <row r="338" spans="1:9" x14ac:dyDescent="0.25">
      <c r="A338" s="35">
        <f t="shared" si="83"/>
        <v>41200</v>
      </c>
      <c r="C338">
        <v>407.4</v>
      </c>
      <c r="D338">
        <v>544.5</v>
      </c>
      <c r="E338">
        <v>509.9</v>
      </c>
      <c r="F338">
        <v>581.79999999999995</v>
      </c>
      <c r="G338" s="123">
        <f t="shared" si="84"/>
        <v>917.3</v>
      </c>
      <c r="H338" s="2">
        <f t="shared" si="85"/>
        <v>1126.3</v>
      </c>
    </row>
    <row r="339" spans="1:9" x14ac:dyDescent="0.25">
      <c r="A339" s="35">
        <f t="shared" si="83"/>
        <v>41207</v>
      </c>
      <c r="C339">
        <v>378.9</v>
      </c>
      <c r="D339">
        <v>519</v>
      </c>
      <c r="E339">
        <v>583.20000000000005</v>
      </c>
      <c r="F339">
        <v>636.6</v>
      </c>
      <c r="G339" s="123">
        <f t="shared" si="84"/>
        <v>962.1</v>
      </c>
      <c r="H339" s="2">
        <f t="shared" si="85"/>
        <v>1155.5999999999999</v>
      </c>
    </row>
    <row r="340" spans="1:9" x14ac:dyDescent="0.25">
      <c r="A340" s="35">
        <f t="shared" si="83"/>
        <v>41214</v>
      </c>
      <c r="C340">
        <v>377.8</v>
      </c>
      <c r="D340">
        <v>529.9</v>
      </c>
      <c r="E340">
        <v>605.29999999999995</v>
      </c>
      <c r="F340">
        <v>673.2</v>
      </c>
      <c r="G340" s="123">
        <f t="shared" si="84"/>
        <v>983.09999999999991</v>
      </c>
      <c r="H340" s="2">
        <f t="shared" si="85"/>
        <v>1203.0999999999999</v>
      </c>
    </row>
    <row r="341" spans="1:9" x14ac:dyDescent="0.25">
      <c r="A341" s="35">
        <f t="shared" si="83"/>
        <v>41221</v>
      </c>
      <c r="C341">
        <v>397.4</v>
      </c>
      <c r="D341">
        <v>470.7</v>
      </c>
      <c r="E341">
        <v>648.20000000000005</v>
      </c>
      <c r="F341">
        <v>786.8</v>
      </c>
      <c r="G341" s="123">
        <f t="shared" si="84"/>
        <v>1045.5999999999999</v>
      </c>
      <c r="H341" s="2">
        <f t="shared" si="85"/>
        <v>1257.5</v>
      </c>
    </row>
    <row r="342" spans="1:9" x14ac:dyDescent="0.25">
      <c r="A342" s="35">
        <f t="shared" si="83"/>
        <v>41228</v>
      </c>
      <c r="C342">
        <v>346.4</v>
      </c>
      <c r="D342">
        <v>451.4</v>
      </c>
      <c r="E342">
        <v>735.9</v>
      </c>
      <c r="F342">
        <v>805.2</v>
      </c>
      <c r="G342" s="123">
        <f t="shared" si="84"/>
        <v>1082.3</v>
      </c>
      <c r="H342" s="2">
        <f t="shared" si="85"/>
        <v>1256.5999999999999</v>
      </c>
      <c r="I342" s="123">
        <f t="shared" ref="I342:I363" si="86">+G342-G341</f>
        <v>36.700000000000045</v>
      </c>
    </row>
    <row r="343" spans="1:9" x14ac:dyDescent="0.25">
      <c r="A343" s="35">
        <f t="shared" si="83"/>
        <v>41235</v>
      </c>
      <c r="C343">
        <v>359</v>
      </c>
      <c r="D343">
        <v>437.5</v>
      </c>
      <c r="E343">
        <v>746.1</v>
      </c>
      <c r="F343">
        <v>829.8</v>
      </c>
      <c r="G343" s="123">
        <f t="shared" si="84"/>
        <v>1105.0999999999999</v>
      </c>
      <c r="H343" s="2">
        <f t="shared" si="85"/>
        <v>1267.3</v>
      </c>
      <c r="I343" s="123">
        <f t="shared" si="86"/>
        <v>22.799999999999955</v>
      </c>
    </row>
    <row r="344" spans="1:9" x14ac:dyDescent="0.25">
      <c r="A344" s="35">
        <f t="shared" si="83"/>
        <v>41242</v>
      </c>
      <c r="C344">
        <v>397.6</v>
      </c>
      <c r="D344">
        <v>480.2</v>
      </c>
      <c r="E344">
        <v>782.7</v>
      </c>
      <c r="F344">
        <v>863.4</v>
      </c>
      <c r="G344" s="123">
        <f t="shared" si="84"/>
        <v>1180.3000000000002</v>
      </c>
      <c r="H344" s="2">
        <f t="shared" si="85"/>
        <v>1343.6</v>
      </c>
      <c r="I344" s="123">
        <f t="shared" si="86"/>
        <v>75.200000000000273</v>
      </c>
    </row>
    <row r="345" spans="1:9" x14ac:dyDescent="0.25">
      <c r="A345" s="35">
        <f t="shared" si="83"/>
        <v>41249</v>
      </c>
      <c r="C345">
        <v>395.6</v>
      </c>
      <c r="D345">
        <v>433.4</v>
      </c>
      <c r="E345">
        <v>875.1</v>
      </c>
      <c r="F345">
        <v>929</v>
      </c>
      <c r="G345" s="123">
        <f t="shared" si="84"/>
        <v>1270.7</v>
      </c>
      <c r="H345" s="2">
        <f t="shared" si="85"/>
        <v>1362.4</v>
      </c>
      <c r="I345" s="123">
        <f t="shared" si="86"/>
        <v>90.399999999999864</v>
      </c>
    </row>
    <row r="346" spans="1:9" x14ac:dyDescent="0.25">
      <c r="A346" s="35">
        <f t="shared" si="83"/>
        <v>41256</v>
      </c>
      <c r="C346">
        <v>394.2</v>
      </c>
      <c r="D346">
        <v>446.7</v>
      </c>
      <c r="E346">
        <v>896.6</v>
      </c>
      <c r="F346">
        <v>958.9</v>
      </c>
      <c r="G346" s="123">
        <f t="shared" si="84"/>
        <v>1290.8</v>
      </c>
      <c r="H346" s="2">
        <f t="shared" si="85"/>
        <v>1405.6</v>
      </c>
      <c r="I346" s="123">
        <f t="shared" si="86"/>
        <v>20.099999999999909</v>
      </c>
    </row>
    <row r="347" spans="1:9" x14ac:dyDescent="0.25">
      <c r="A347" s="35">
        <f t="shared" si="83"/>
        <v>41263</v>
      </c>
      <c r="C347">
        <v>332</v>
      </c>
      <c r="D347">
        <v>413.3</v>
      </c>
      <c r="E347">
        <v>949.2</v>
      </c>
      <c r="F347">
        <v>993.7</v>
      </c>
      <c r="G347" s="123">
        <f t="shared" si="84"/>
        <v>1281.2</v>
      </c>
      <c r="H347" s="2">
        <f t="shared" si="85"/>
        <v>1407</v>
      </c>
      <c r="I347" s="123">
        <f t="shared" si="86"/>
        <v>-9.5999999999999091</v>
      </c>
    </row>
    <row r="348" spans="1:9" x14ac:dyDescent="0.25">
      <c r="A348" s="35">
        <f t="shared" si="83"/>
        <v>41270</v>
      </c>
      <c r="C348">
        <v>322.7</v>
      </c>
      <c r="D348">
        <v>510.4</v>
      </c>
      <c r="E348">
        <v>979.5</v>
      </c>
      <c r="F348">
        <v>1014.9</v>
      </c>
      <c r="G348" s="123">
        <f t="shared" si="84"/>
        <v>1302.2</v>
      </c>
      <c r="H348" s="2">
        <f t="shared" si="85"/>
        <v>1525.3</v>
      </c>
      <c r="I348" s="123">
        <f t="shared" si="86"/>
        <v>21</v>
      </c>
    </row>
    <row r="349" spans="1:9" x14ac:dyDescent="0.25">
      <c r="A349" s="35">
        <f t="shared" si="83"/>
        <v>41277</v>
      </c>
      <c r="C349">
        <v>338.3</v>
      </c>
      <c r="D349">
        <v>470</v>
      </c>
      <c r="E349">
        <v>1032.9000000000001</v>
      </c>
      <c r="F349">
        <v>1119.8</v>
      </c>
      <c r="G349" s="123">
        <f t="shared" si="84"/>
        <v>1371.2</v>
      </c>
      <c r="H349" s="2">
        <f t="shared" si="85"/>
        <v>1589.8</v>
      </c>
      <c r="I349" s="123">
        <f t="shared" si="86"/>
        <v>69</v>
      </c>
    </row>
    <row r="350" spans="1:9" x14ac:dyDescent="0.25">
      <c r="A350" s="35">
        <f t="shared" si="83"/>
        <v>41284</v>
      </c>
      <c r="C350">
        <v>365.6</v>
      </c>
      <c r="D350">
        <v>470.7</v>
      </c>
      <c r="E350">
        <v>1110.4000000000001</v>
      </c>
      <c r="F350">
        <v>1177.2</v>
      </c>
      <c r="G350" s="123">
        <f t="shared" si="84"/>
        <v>1476</v>
      </c>
      <c r="H350" s="2">
        <f t="shared" si="85"/>
        <v>1647.9</v>
      </c>
      <c r="I350" s="123">
        <f t="shared" si="86"/>
        <v>104.79999999999995</v>
      </c>
    </row>
    <row r="351" spans="1:9" x14ac:dyDescent="0.25">
      <c r="A351" s="35">
        <f t="shared" si="83"/>
        <v>41291</v>
      </c>
      <c r="C351">
        <v>420.8</v>
      </c>
      <c r="D351">
        <v>493.1</v>
      </c>
      <c r="E351">
        <v>1132.0999999999999</v>
      </c>
      <c r="F351">
        <v>1298.2</v>
      </c>
      <c r="G351" s="123">
        <f t="shared" si="84"/>
        <v>1552.8999999999999</v>
      </c>
      <c r="H351" s="2">
        <f t="shared" si="85"/>
        <v>1791.3000000000002</v>
      </c>
      <c r="I351" s="123">
        <f t="shared" si="86"/>
        <v>76.899999999999864</v>
      </c>
    </row>
    <row r="352" spans="1:9" x14ac:dyDescent="0.25">
      <c r="A352" s="35">
        <f t="shared" si="83"/>
        <v>41298</v>
      </c>
      <c r="C352">
        <v>368.8</v>
      </c>
      <c r="D352">
        <v>465.4</v>
      </c>
      <c r="E352">
        <v>1214.5999999999999</v>
      </c>
      <c r="F352">
        <v>1334.7</v>
      </c>
      <c r="G352" s="123">
        <f t="shared" si="84"/>
        <v>1583.3999999999999</v>
      </c>
      <c r="H352" s="2">
        <f t="shared" si="85"/>
        <v>1800.1</v>
      </c>
      <c r="I352" s="123">
        <f t="shared" si="86"/>
        <v>30.5</v>
      </c>
    </row>
    <row r="353" spans="1:9" x14ac:dyDescent="0.25">
      <c r="A353" s="35">
        <f t="shared" si="83"/>
        <v>41305</v>
      </c>
      <c r="C353">
        <v>352.7</v>
      </c>
      <c r="D353">
        <v>438.4</v>
      </c>
      <c r="E353">
        <v>1263.9000000000001</v>
      </c>
      <c r="F353">
        <v>1365.2</v>
      </c>
      <c r="G353" s="123">
        <f t="shared" si="84"/>
        <v>1616.6000000000001</v>
      </c>
      <c r="H353" s="2">
        <f t="shared" si="85"/>
        <v>1803.6</v>
      </c>
      <c r="I353" s="123">
        <f t="shared" si="86"/>
        <v>33.200000000000273</v>
      </c>
    </row>
    <row r="354" spans="1:9" x14ac:dyDescent="0.25">
      <c r="A354" s="35">
        <f t="shared" si="83"/>
        <v>41312</v>
      </c>
      <c r="C354">
        <v>356.1</v>
      </c>
      <c r="D354">
        <v>435</v>
      </c>
      <c r="E354">
        <v>1323</v>
      </c>
      <c r="F354">
        <v>1412.2</v>
      </c>
      <c r="G354" s="123">
        <f t="shared" si="84"/>
        <v>1679.1</v>
      </c>
      <c r="H354" s="2">
        <f t="shared" si="85"/>
        <v>1847.2</v>
      </c>
      <c r="I354" s="123">
        <f t="shared" si="86"/>
        <v>62.499999999999773</v>
      </c>
    </row>
    <row r="355" spans="1:9" x14ac:dyDescent="0.25">
      <c r="A355" s="35">
        <f t="shared" si="83"/>
        <v>41319</v>
      </c>
      <c r="C355">
        <v>306.39999999999998</v>
      </c>
      <c r="D355">
        <v>402.2</v>
      </c>
      <c r="E355">
        <v>1397.9</v>
      </c>
      <c r="F355">
        <v>1487.9</v>
      </c>
      <c r="G355" s="123">
        <f t="shared" si="84"/>
        <v>1704.3000000000002</v>
      </c>
      <c r="H355" s="2">
        <f t="shared" si="85"/>
        <v>1890.1000000000001</v>
      </c>
      <c r="I355" s="123">
        <f t="shared" si="86"/>
        <v>25.200000000000273</v>
      </c>
    </row>
    <row r="356" spans="1:9" x14ac:dyDescent="0.25">
      <c r="A356" s="35">
        <f t="shared" si="83"/>
        <v>41326</v>
      </c>
      <c r="C356">
        <v>293.7</v>
      </c>
      <c r="D356">
        <v>435.1</v>
      </c>
      <c r="E356">
        <v>1449.3</v>
      </c>
      <c r="F356">
        <v>1543</v>
      </c>
      <c r="G356" s="123">
        <f t="shared" si="84"/>
        <v>1743</v>
      </c>
      <c r="H356" s="2">
        <f t="shared" si="85"/>
        <v>1978.1</v>
      </c>
      <c r="I356" s="123">
        <f t="shared" si="86"/>
        <v>38.699999999999818</v>
      </c>
    </row>
    <row r="357" spans="1:9" x14ac:dyDescent="0.25">
      <c r="A357" s="35">
        <f t="shared" si="83"/>
        <v>41333</v>
      </c>
      <c r="C357">
        <v>307.60000000000002</v>
      </c>
      <c r="D357">
        <v>470.1</v>
      </c>
      <c r="E357">
        <v>1550.4</v>
      </c>
      <c r="F357">
        <v>1621</v>
      </c>
      <c r="G357" s="123">
        <f t="shared" si="84"/>
        <v>1858</v>
      </c>
      <c r="H357" s="2">
        <f t="shared" si="85"/>
        <v>2091.1</v>
      </c>
      <c r="I357" s="123">
        <f t="shared" si="86"/>
        <v>115</v>
      </c>
    </row>
    <row r="358" spans="1:9" x14ac:dyDescent="0.25">
      <c r="A358" s="35">
        <f t="shared" si="83"/>
        <v>41340</v>
      </c>
      <c r="C358">
        <v>260</v>
      </c>
      <c r="D358">
        <v>532.4</v>
      </c>
      <c r="E358">
        <v>1612.9</v>
      </c>
      <c r="F358">
        <v>1639</v>
      </c>
      <c r="G358" s="123">
        <f t="shared" si="84"/>
        <v>1872.9</v>
      </c>
      <c r="H358" s="2">
        <f t="shared" si="85"/>
        <v>2171.4</v>
      </c>
      <c r="I358" s="123">
        <f t="shared" si="86"/>
        <v>14.900000000000091</v>
      </c>
    </row>
    <row r="359" spans="1:9" x14ac:dyDescent="0.25">
      <c r="A359" s="35">
        <f t="shared" si="83"/>
        <v>41347</v>
      </c>
      <c r="C359">
        <v>268.89999999999998</v>
      </c>
      <c r="D359">
        <v>588.29999999999995</v>
      </c>
      <c r="E359">
        <v>1642</v>
      </c>
      <c r="F359">
        <v>1666.6</v>
      </c>
      <c r="G359" s="123">
        <f t="shared" si="84"/>
        <v>1910.9</v>
      </c>
      <c r="H359" s="2">
        <f t="shared" si="85"/>
        <v>2254.8999999999996</v>
      </c>
      <c r="I359" s="123">
        <f t="shared" si="86"/>
        <v>38</v>
      </c>
    </row>
    <row r="360" spans="1:9" x14ac:dyDescent="0.25">
      <c r="A360" s="35">
        <f t="shared" si="83"/>
        <v>41354</v>
      </c>
      <c r="C360">
        <v>256.8</v>
      </c>
      <c r="D360">
        <v>665.6</v>
      </c>
      <c r="E360">
        <v>1724.1</v>
      </c>
      <c r="F360">
        <v>1717.4</v>
      </c>
      <c r="G360" s="123">
        <f t="shared" si="84"/>
        <v>1980.8999999999999</v>
      </c>
      <c r="H360" s="2">
        <f t="shared" si="85"/>
        <v>2383</v>
      </c>
      <c r="I360" s="123">
        <f t="shared" si="86"/>
        <v>69.999999999999773</v>
      </c>
    </row>
    <row r="361" spans="1:9" x14ac:dyDescent="0.25">
      <c r="A361" s="35">
        <f t="shared" si="83"/>
        <v>41361</v>
      </c>
      <c r="C361">
        <v>324.60000000000002</v>
      </c>
      <c r="D361">
        <v>619.70000000000005</v>
      </c>
      <c r="E361">
        <v>1788.5</v>
      </c>
      <c r="F361">
        <v>1805.1</v>
      </c>
      <c r="G361" s="123">
        <f t="shared" ref="G361:G373" si="87">+C361+E361</f>
        <v>2113.1</v>
      </c>
      <c r="H361" s="2">
        <f t="shared" ref="H361:H373" si="88">+D361+F361</f>
        <v>2424.8000000000002</v>
      </c>
      <c r="I361" s="123">
        <f t="shared" si="86"/>
        <v>132.20000000000005</v>
      </c>
    </row>
    <row r="362" spans="1:9" x14ac:dyDescent="0.25">
      <c r="A362" s="35">
        <f t="shared" si="83"/>
        <v>41368</v>
      </c>
      <c r="C362">
        <v>346.2</v>
      </c>
      <c r="D362">
        <v>502.8</v>
      </c>
      <c r="E362">
        <v>1830.9</v>
      </c>
      <c r="F362">
        <v>1947.4</v>
      </c>
      <c r="G362" s="123">
        <f t="shared" si="87"/>
        <v>2177.1</v>
      </c>
      <c r="H362" s="2">
        <f t="shared" si="88"/>
        <v>2450.2000000000003</v>
      </c>
      <c r="I362" s="123">
        <f t="shared" si="86"/>
        <v>64</v>
      </c>
    </row>
    <row r="363" spans="1:9" x14ac:dyDescent="0.25">
      <c r="A363" s="35">
        <f t="shared" si="83"/>
        <v>41375</v>
      </c>
      <c r="C363">
        <v>347.5</v>
      </c>
      <c r="D363">
        <v>498.5</v>
      </c>
      <c r="E363">
        <v>1862.4</v>
      </c>
      <c r="F363">
        <v>1980.5</v>
      </c>
      <c r="G363" s="123">
        <f t="shared" si="87"/>
        <v>2209.9</v>
      </c>
      <c r="H363" s="2">
        <f t="shared" si="88"/>
        <v>2479</v>
      </c>
      <c r="I363" s="123">
        <f t="shared" si="86"/>
        <v>32.800000000000182</v>
      </c>
    </row>
    <row r="364" spans="1:9" x14ac:dyDescent="0.25">
      <c r="A364" s="35">
        <f t="shared" si="83"/>
        <v>41382</v>
      </c>
      <c r="C364">
        <v>299.2</v>
      </c>
      <c r="D364">
        <v>548.29999999999995</v>
      </c>
      <c r="E364">
        <v>1953.6</v>
      </c>
      <c r="F364">
        <v>2031.6</v>
      </c>
      <c r="G364" s="123">
        <f t="shared" si="87"/>
        <v>2252.7999999999997</v>
      </c>
      <c r="H364" s="2">
        <f t="shared" si="88"/>
        <v>2579.8999999999996</v>
      </c>
      <c r="I364" s="123"/>
    </row>
    <row r="365" spans="1:9" x14ac:dyDescent="0.25">
      <c r="A365" s="35">
        <f t="shared" si="83"/>
        <v>41389</v>
      </c>
      <c r="C365">
        <v>314.5</v>
      </c>
      <c r="D365">
        <v>578.9</v>
      </c>
      <c r="E365">
        <v>2029.3</v>
      </c>
      <c r="F365">
        <v>2127.1</v>
      </c>
      <c r="G365" s="123">
        <f t="shared" si="87"/>
        <v>2343.8000000000002</v>
      </c>
      <c r="H365" s="2">
        <f t="shared" si="88"/>
        <v>2706</v>
      </c>
    </row>
    <row r="366" spans="1:9" x14ac:dyDescent="0.25">
      <c r="A366" s="35">
        <f t="shared" si="83"/>
        <v>41396</v>
      </c>
      <c r="C366">
        <v>388.1</v>
      </c>
      <c r="D366">
        <v>653.79999999999995</v>
      </c>
      <c r="E366">
        <v>2040</v>
      </c>
      <c r="F366">
        <v>2198.6999999999998</v>
      </c>
      <c r="G366" s="123">
        <f t="shared" si="87"/>
        <v>2428.1</v>
      </c>
      <c r="H366" s="2">
        <f t="shared" si="88"/>
        <v>2852.5</v>
      </c>
      <c r="I366">
        <v>10.6</v>
      </c>
    </row>
    <row r="367" spans="1:9" x14ac:dyDescent="0.25">
      <c r="A367" s="35">
        <f t="shared" si="83"/>
        <v>41403</v>
      </c>
      <c r="C367">
        <v>367.4</v>
      </c>
      <c r="D367">
        <v>669.1</v>
      </c>
      <c r="E367">
        <v>2071</v>
      </c>
      <c r="F367">
        <v>2265.3000000000002</v>
      </c>
      <c r="G367" s="123">
        <f t="shared" si="87"/>
        <v>2438.4</v>
      </c>
      <c r="H367" s="2">
        <f t="shared" si="88"/>
        <v>2934.4</v>
      </c>
      <c r="I367">
        <v>55.6</v>
      </c>
    </row>
    <row r="368" spans="1:9" x14ac:dyDescent="0.25">
      <c r="A368" s="35">
        <f t="shared" si="83"/>
        <v>41410</v>
      </c>
      <c r="C368">
        <v>373.7</v>
      </c>
      <c r="D368">
        <v>647.79999999999995</v>
      </c>
      <c r="E368">
        <v>2087.5</v>
      </c>
      <c r="F368">
        <v>2324.6999999999998</v>
      </c>
      <c r="G368" s="123">
        <f t="shared" si="87"/>
        <v>2461.1999999999998</v>
      </c>
      <c r="H368" s="2">
        <f t="shared" si="88"/>
        <v>2972.5</v>
      </c>
      <c r="I368">
        <v>66.5</v>
      </c>
    </row>
    <row r="369" spans="1:9" x14ac:dyDescent="0.25">
      <c r="A369" s="35">
        <f t="shared" si="83"/>
        <v>41417</v>
      </c>
      <c r="C369">
        <v>373.1</v>
      </c>
      <c r="D369">
        <v>617.6</v>
      </c>
      <c r="E369">
        <v>2099.1999999999998</v>
      </c>
      <c r="F369">
        <v>2378.6999999999998</v>
      </c>
      <c r="G369" s="123">
        <f t="shared" si="87"/>
        <v>2472.2999999999997</v>
      </c>
      <c r="H369" s="2">
        <f t="shared" si="88"/>
        <v>2996.2999999999997</v>
      </c>
      <c r="I369">
        <v>77.400000000000006</v>
      </c>
    </row>
    <row r="370" spans="1:9" x14ac:dyDescent="0.25">
      <c r="A370" s="35">
        <f t="shared" si="83"/>
        <v>41424</v>
      </c>
      <c r="C370">
        <v>383.5</v>
      </c>
      <c r="D370">
        <v>557.6</v>
      </c>
      <c r="E370">
        <v>2110.5</v>
      </c>
      <c r="F370">
        <v>2471.3000000000002</v>
      </c>
      <c r="G370" s="123">
        <f t="shared" si="87"/>
        <v>2494</v>
      </c>
      <c r="H370" s="2">
        <f t="shared" si="88"/>
        <v>3028.9</v>
      </c>
      <c r="I370">
        <v>104.3</v>
      </c>
    </row>
    <row r="371" spans="1:9" x14ac:dyDescent="0.25">
      <c r="A371" s="35">
        <f t="shared" si="83"/>
        <v>41431</v>
      </c>
      <c r="C371">
        <v>352.4</v>
      </c>
      <c r="D371">
        <v>578</v>
      </c>
      <c r="E371">
        <v>2151.1</v>
      </c>
      <c r="F371">
        <v>2499.4</v>
      </c>
      <c r="G371" s="123">
        <f t="shared" si="87"/>
        <v>2503.5</v>
      </c>
      <c r="H371" s="2">
        <f t="shared" si="88"/>
        <v>3077.4</v>
      </c>
      <c r="I371">
        <v>137.1</v>
      </c>
    </row>
    <row r="372" spans="1:9" x14ac:dyDescent="0.25">
      <c r="A372" s="35">
        <f t="shared" si="83"/>
        <v>41438</v>
      </c>
      <c r="C372">
        <v>343.9</v>
      </c>
      <c r="D372">
        <v>539.9</v>
      </c>
      <c r="E372">
        <v>2196.6</v>
      </c>
      <c r="F372">
        <v>2558</v>
      </c>
      <c r="G372" s="123">
        <f t="shared" si="87"/>
        <v>2540.5</v>
      </c>
      <c r="H372" s="2">
        <f t="shared" si="88"/>
        <v>3097.9</v>
      </c>
      <c r="I372">
        <v>167.1</v>
      </c>
    </row>
    <row r="373" spans="1:9" x14ac:dyDescent="0.25">
      <c r="A373" s="35">
        <f t="shared" si="83"/>
        <v>41445</v>
      </c>
      <c r="C373">
        <v>277.5</v>
      </c>
      <c r="D373">
        <v>527.29999999999995</v>
      </c>
      <c r="E373">
        <v>2258.5</v>
      </c>
      <c r="F373">
        <v>2589.6999999999998</v>
      </c>
      <c r="G373" s="123">
        <f t="shared" si="87"/>
        <v>2536</v>
      </c>
      <c r="H373" s="2">
        <f t="shared" si="88"/>
        <v>3117</v>
      </c>
      <c r="I373">
        <v>220.1</v>
      </c>
    </row>
    <row r="374" spans="1:9" x14ac:dyDescent="0.25">
      <c r="A374" s="35">
        <f t="shared" si="83"/>
        <v>41452</v>
      </c>
      <c r="C374">
        <v>287.8</v>
      </c>
      <c r="D374">
        <v>449.5</v>
      </c>
      <c r="E374">
        <v>2288</v>
      </c>
      <c r="F374">
        <v>2693.4</v>
      </c>
      <c r="G374" s="123">
        <f t="shared" ref="G374:G388" si="89">+C374+E374</f>
        <v>2575.8000000000002</v>
      </c>
      <c r="H374" s="2">
        <f t="shared" ref="H374:H388" si="90">+D374+F374</f>
        <v>3142.9</v>
      </c>
      <c r="I374">
        <v>272.7</v>
      </c>
    </row>
    <row r="375" spans="1:9" x14ac:dyDescent="0.25">
      <c r="A375" s="35">
        <f t="shared" si="83"/>
        <v>41459</v>
      </c>
      <c r="C375">
        <v>187.4</v>
      </c>
      <c r="D375">
        <v>425.7</v>
      </c>
      <c r="E375">
        <v>2330.4</v>
      </c>
      <c r="F375">
        <v>2727.8</v>
      </c>
      <c r="G375" s="123">
        <f t="shared" si="89"/>
        <v>2517.8000000000002</v>
      </c>
      <c r="H375" s="2">
        <f t="shared" si="90"/>
        <v>3153.5</v>
      </c>
      <c r="I375">
        <v>276.7</v>
      </c>
    </row>
    <row r="376" spans="1:9" x14ac:dyDescent="0.25">
      <c r="A376" s="35">
        <f t="shared" si="83"/>
        <v>41466</v>
      </c>
      <c r="C376">
        <v>181.2</v>
      </c>
      <c r="D376">
        <v>379.2</v>
      </c>
      <c r="E376">
        <v>2406.1</v>
      </c>
      <c r="F376">
        <v>2780.2</v>
      </c>
      <c r="G376" s="123">
        <f t="shared" si="89"/>
        <v>2587.2999999999997</v>
      </c>
      <c r="H376" s="2">
        <f t="shared" si="90"/>
        <v>3159.3999999999996</v>
      </c>
      <c r="I376">
        <v>318.7</v>
      </c>
    </row>
    <row r="377" spans="1:9" x14ac:dyDescent="0.25">
      <c r="A377" s="35">
        <f t="shared" si="83"/>
        <v>41473</v>
      </c>
      <c r="C377">
        <v>145.80000000000001</v>
      </c>
      <c r="D377">
        <v>324.8</v>
      </c>
      <c r="E377">
        <v>2440.1999999999998</v>
      </c>
      <c r="F377">
        <v>2842.8</v>
      </c>
      <c r="G377" s="123">
        <f t="shared" si="89"/>
        <v>2586</v>
      </c>
      <c r="H377" s="2">
        <f t="shared" si="90"/>
        <v>3167.6000000000004</v>
      </c>
      <c r="I377">
        <v>329.9</v>
      </c>
    </row>
    <row r="378" spans="1:9" x14ac:dyDescent="0.25">
      <c r="A378" s="35">
        <f t="shared" si="83"/>
        <v>41480</v>
      </c>
      <c r="C378">
        <v>130.9</v>
      </c>
      <c r="D378">
        <v>267.60000000000002</v>
      </c>
      <c r="E378">
        <v>2467.1</v>
      </c>
      <c r="F378">
        <v>2908.7</v>
      </c>
      <c r="G378" s="123">
        <f t="shared" si="89"/>
        <v>2598</v>
      </c>
      <c r="H378" s="2">
        <f t="shared" si="90"/>
        <v>3176.2999999999997</v>
      </c>
      <c r="I378">
        <v>375.9</v>
      </c>
    </row>
    <row r="379" spans="1:9" x14ac:dyDescent="0.25">
      <c r="A379" s="35">
        <f t="shared" si="83"/>
        <v>41487</v>
      </c>
      <c r="C379">
        <v>122.4</v>
      </c>
      <c r="D379">
        <v>181.1</v>
      </c>
      <c r="E379">
        <v>2477.6999999999998</v>
      </c>
      <c r="F379">
        <v>2996.1</v>
      </c>
      <c r="G379" s="123">
        <f t="shared" si="89"/>
        <v>2600.1</v>
      </c>
      <c r="H379" s="2">
        <f t="shared" si="90"/>
        <v>3177.2</v>
      </c>
      <c r="I379">
        <v>414.5</v>
      </c>
    </row>
    <row r="380" spans="1:9" x14ac:dyDescent="0.25">
      <c r="A380" s="35">
        <f t="shared" si="83"/>
        <v>41494</v>
      </c>
      <c r="C380">
        <v>93.9</v>
      </c>
      <c r="D380">
        <v>162.5</v>
      </c>
      <c r="E380">
        <v>2508.5</v>
      </c>
      <c r="F380">
        <v>3015.8</v>
      </c>
      <c r="G380" s="123">
        <f t="shared" si="89"/>
        <v>2602.4</v>
      </c>
      <c r="H380" s="2">
        <f t="shared" si="90"/>
        <v>3178.3</v>
      </c>
      <c r="I380">
        <v>425.4</v>
      </c>
    </row>
    <row r="381" spans="1:9" x14ac:dyDescent="0.25">
      <c r="A381" s="35">
        <f t="shared" ref="A381:A444" si="91">+A380+7</f>
        <v>41501</v>
      </c>
      <c r="C381">
        <v>93.6</v>
      </c>
      <c r="D381">
        <v>83.4</v>
      </c>
      <c r="E381">
        <v>2508.9</v>
      </c>
      <c r="F381">
        <v>3112</v>
      </c>
      <c r="G381" s="123">
        <f t="shared" si="89"/>
        <v>2602.5</v>
      </c>
      <c r="H381" s="2">
        <f t="shared" si="90"/>
        <v>3195.4</v>
      </c>
      <c r="I381">
        <v>493.6</v>
      </c>
    </row>
    <row r="382" spans="1:9" x14ac:dyDescent="0.25">
      <c r="A382" s="35">
        <f t="shared" si="91"/>
        <v>41508</v>
      </c>
      <c r="C382">
        <v>72</v>
      </c>
      <c r="D382">
        <v>50.7</v>
      </c>
      <c r="E382">
        <v>2531.8000000000002</v>
      </c>
      <c r="F382">
        <v>3146</v>
      </c>
      <c r="G382" s="123">
        <f t="shared" si="89"/>
        <v>2603.8000000000002</v>
      </c>
      <c r="H382" s="2">
        <f t="shared" si="90"/>
        <v>3196.7</v>
      </c>
      <c r="I382">
        <v>570</v>
      </c>
    </row>
    <row r="383" spans="1:9" x14ac:dyDescent="0.25">
      <c r="A383" s="35">
        <f t="shared" si="91"/>
        <v>41515</v>
      </c>
      <c r="C383">
        <v>45.7</v>
      </c>
      <c r="D383">
        <v>26.7</v>
      </c>
      <c r="E383">
        <v>2565.4</v>
      </c>
      <c r="F383">
        <v>3153.1</v>
      </c>
      <c r="G383" s="123">
        <f t="shared" si="89"/>
        <v>2611.1</v>
      </c>
      <c r="H383" s="2">
        <f t="shared" si="90"/>
        <v>3179.7999999999997</v>
      </c>
      <c r="I383">
        <v>558.4</v>
      </c>
    </row>
    <row r="384" spans="1:9" x14ac:dyDescent="0.25">
      <c r="A384" s="35">
        <f t="shared" si="91"/>
        <v>41522</v>
      </c>
      <c r="C384">
        <v>640.70000000000005</v>
      </c>
      <c r="D384">
        <v>649.70000000000005</v>
      </c>
      <c r="E384">
        <v>0.9</v>
      </c>
      <c r="F384">
        <v>6.9</v>
      </c>
      <c r="G384" s="123">
        <f t="shared" si="89"/>
        <v>641.6</v>
      </c>
      <c r="H384" s="2">
        <f t="shared" si="90"/>
        <v>656.6</v>
      </c>
    </row>
    <row r="385" spans="1:11" x14ac:dyDescent="0.25">
      <c r="A385" s="35">
        <f t="shared" si="91"/>
        <v>41529</v>
      </c>
      <c r="C385">
        <v>675.1</v>
      </c>
      <c r="D385">
        <v>653.9</v>
      </c>
      <c r="E385">
        <v>27.2</v>
      </c>
      <c r="F385">
        <v>34.5</v>
      </c>
      <c r="G385" s="123">
        <f t="shared" si="89"/>
        <v>702.30000000000007</v>
      </c>
      <c r="H385" s="2">
        <f t="shared" si="90"/>
        <v>688.4</v>
      </c>
    </row>
    <row r="386" spans="1:11" x14ac:dyDescent="0.25">
      <c r="A386" s="35">
        <f t="shared" si="91"/>
        <v>41536</v>
      </c>
      <c r="C386">
        <v>694</v>
      </c>
      <c r="D386">
        <v>619.29999999999995</v>
      </c>
      <c r="E386">
        <v>52.1</v>
      </c>
      <c r="F386">
        <v>79.8</v>
      </c>
      <c r="G386" s="123">
        <f t="shared" si="89"/>
        <v>746.1</v>
      </c>
      <c r="H386" s="2">
        <f t="shared" si="90"/>
        <v>699.09999999999991</v>
      </c>
    </row>
    <row r="387" spans="1:11" x14ac:dyDescent="0.25">
      <c r="A387" s="35">
        <f t="shared" si="91"/>
        <v>41543</v>
      </c>
      <c r="C387">
        <v>670.5</v>
      </c>
      <c r="D387">
        <v>563.4</v>
      </c>
      <c r="E387">
        <v>75.5</v>
      </c>
      <c r="F387">
        <v>198.8</v>
      </c>
      <c r="G387" s="123">
        <f t="shared" si="89"/>
        <v>746</v>
      </c>
      <c r="H387" s="2">
        <f t="shared" si="90"/>
        <v>762.2</v>
      </c>
    </row>
    <row r="388" spans="1:11" x14ac:dyDescent="0.25">
      <c r="A388" s="35">
        <f t="shared" si="91"/>
        <v>41550</v>
      </c>
      <c r="C388">
        <v>600.70000000000005</v>
      </c>
      <c r="D388">
        <v>494.9</v>
      </c>
      <c r="E388">
        <v>201.1</v>
      </c>
      <c r="F388">
        <v>301.3</v>
      </c>
      <c r="G388" s="123">
        <f t="shared" si="89"/>
        <v>801.80000000000007</v>
      </c>
      <c r="H388" s="2">
        <f t="shared" si="90"/>
        <v>796.2</v>
      </c>
    </row>
    <row r="389" spans="1:11" x14ac:dyDescent="0.25">
      <c r="A389" s="35">
        <f t="shared" si="91"/>
        <v>41557</v>
      </c>
    </row>
    <row r="390" spans="1:11" x14ac:dyDescent="0.25">
      <c r="A390" s="35">
        <f t="shared" si="91"/>
        <v>41564</v>
      </c>
    </row>
    <row r="391" spans="1:11" x14ac:dyDescent="0.25">
      <c r="A391" s="35">
        <f t="shared" si="91"/>
        <v>41571</v>
      </c>
      <c r="C391">
        <v>603.4</v>
      </c>
      <c r="D391">
        <v>378.9</v>
      </c>
      <c r="E391">
        <v>482.5</v>
      </c>
      <c r="F391">
        <v>583.20000000000005</v>
      </c>
      <c r="G391" s="123">
        <f t="shared" ref="G391:H393" si="92">+C391+E391</f>
        <v>1085.9000000000001</v>
      </c>
      <c r="H391" s="2">
        <f t="shared" si="92"/>
        <v>962.1</v>
      </c>
    </row>
    <row r="392" spans="1:11" ht="15" x14ac:dyDescent="0.25">
      <c r="A392" s="35">
        <f t="shared" si="91"/>
        <v>41578</v>
      </c>
      <c r="C392">
        <v>541.5</v>
      </c>
      <c r="D392">
        <v>377.8</v>
      </c>
      <c r="E392">
        <v>575.79999999999995</v>
      </c>
      <c r="F392">
        <v>605.29999999999995</v>
      </c>
      <c r="G392" s="123">
        <f t="shared" si="92"/>
        <v>1117.3</v>
      </c>
      <c r="H392" s="2">
        <f t="shared" si="92"/>
        <v>983.09999999999991</v>
      </c>
      <c r="K392" s="96"/>
    </row>
    <row r="393" spans="1:11" x14ac:dyDescent="0.25">
      <c r="A393" s="35">
        <f t="shared" si="91"/>
        <v>41585</v>
      </c>
      <c r="C393">
        <v>533.29999999999995</v>
      </c>
      <c r="D393">
        <v>397.4</v>
      </c>
      <c r="E393">
        <v>647.1</v>
      </c>
      <c r="F393">
        <v>648.20000000000005</v>
      </c>
      <c r="G393" s="123">
        <f t="shared" si="92"/>
        <v>1180.4000000000001</v>
      </c>
      <c r="H393" s="2">
        <f t="shared" si="92"/>
        <v>1045.5999999999999</v>
      </c>
    </row>
    <row r="394" spans="1:11" x14ac:dyDescent="0.25">
      <c r="A394" s="35">
        <f t="shared" si="91"/>
        <v>41592</v>
      </c>
      <c r="C394">
        <v>676.3</v>
      </c>
      <c r="D394">
        <v>346.4</v>
      </c>
      <c r="E394">
        <v>678.8</v>
      </c>
      <c r="F394">
        <v>735.9</v>
      </c>
      <c r="G394" s="123">
        <f t="shared" ref="G394:H408" si="93">+C394+E394</f>
        <v>1355.1</v>
      </c>
      <c r="H394" s="2">
        <f t="shared" si="93"/>
        <v>1082.3</v>
      </c>
    </row>
    <row r="395" spans="1:11" x14ac:dyDescent="0.25">
      <c r="A395" s="35">
        <f t="shared" si="91"/>
        <v>41599</v>
      </c>
      <c r="C395">
        <v>660.5</v>
      </c>
      <c r="D395" s="123">
        <v>359</v>
      </c>
      <c r="E395" s="123">
        <v>769.8</v>
      </c>
      <c r="F395" s="123">
        <v>746.1</v>
      </c>
      <c r="G395" s="123">
        <f t="shared" si="93"/>
        <v>1430.3</v>
      </c>
      <c r="H395" s="2">
        <f t="shared" si="93"/>
        <v>1105.0999999999999</v>
      </c>
    </row>
    <row r="396" spans="1:11" x14ac:dyDescent="0.25">
      <c r="A396" s="35">
        <f t="shared" si="91"/>
        <v>41606</v>
      </c>
      <c r="C396">
        <v>715.3</v>
      </c>
      <c r="D396">
        <v>397.6</v>
      </c>
      <c r="E396">
        <v>801.7</v>
      </c>
      <c r="F396">
        <v>782.7</v>
      </c>
      <c r="G396" s="123">
        <f t="shared" si="93"/>
        <v>1517</v>
      </c>
      <c r="H396" s="2">
        <f t="shared" si="93"/>
        <v>1180.3000000000002</v>
      </c>
    </row>
    <row r="397" spans="1:11" x14ac:dyDescent="0.25">
      <c r="A397" s="35">
        <f t="shared" si="91"/>
        <v>41613</v>
      </c>
      <c r="C397">
        <v>749.5</v>
      </c>
      <c r="D397">
        <v>395.6</v>
      </c>
      <c r="E397" s="123">
        <v>876</v>
      </c>
      <c r="F397">
        <v>875.1</v>
      </c>
      <c r="G397" s="123">
        <f t="shared" si="93"/>
        <v>1625.5</v>
      </c>
      <c r="H397" s="2">
        <f t="shared" si="93"/>
        <v>1270.7</v>
      </c>
    </row>
    <row r="398" spans="1:11" x14ac:dyDescent="0.25">
      <c r="A398" s="35">
        <f t="shared" si="91"/>
        <v>41620</v>
      </c>
      <c r="C398">
        <v>793.4</v>
      </c>
      <c r="D398">
        <v>394.2</v>
      </c>
      <c r="E398">
        <v>918.7</v>
      </c>
      <c r="F398">
        <v>896.6</v>
      </c>
      <c r="G398" s="123">
        <f t="shared" si="93"/>
        <v>1712.1</v>
      </c>
      <c r="H398" s="2">
        <f t="shared" si="93"/>
        <v>1290.8</v>
      </c>
    </row>
    <row r="399" spans="1:11" x14ac:dyDescent="0.25">
      <c r="A399" s="35">
        <f t="shared" si="91"/>
        <v>41627</v>
      </c>
      <c r="C399">
        <v>851.1</v>
      </c>
      <c r="D399">
        <v>332</v>
      </c>
      <c r="E399" s="123">
        <v>966.6</v>
      </c>
      <c r="F399">
        <v>949.2</v>
      </c>
      <c r="G399" s="123">
        <f t="shared" si="93"/>
        <v>1817.7</v>
      </c>
      <c r="H399" s="2">
        <f t="shared" si="93"/>
        <v>1281.2</v>
      </c>
    </row>
    <row r="400" spans="1:11" x14ac:dyDescent="0.25">
      <c r="A400" s="35">
        <f t="shared" si="91"/>
        <v>41634</v>
      </c>
      <c r="C400">
        <v>816.3</v>
      </c>
      <c r="D400">
        <v>322.7</v>
      </c>
      <c r="E400">
        <v>1013.3</v>
      </c>
      <c r="F400">
        <v>979.5</v>
      </c>
      <c r="G400" s="123">
        <f t="shared" si="93"/>
        <v>1829.6</v>
      </c>
      <c r="H400" s="2">
        <f t="shared" si="93"/>
        <v>1302.2</v>
      </c>
    </row>
    <row r="401" spans="1:10" x14ac:dyDescent="0.25">
      <c r="A401" s="35">
        <f t="shared" si="91"/>
        <v>41641</v>
      </c>
      <c r="C401" s="123">
        <v>760</v>
      </c>
      <c r="D401">
        <v>338.3</v>
      </c>
      <c r="E401" s="123">
        <v>1064.5999999999999</v>
      </c>
      <c r="F401">
        <v>1032.9000000000001</v>
      </c>
      <c r="G401" s="123">
        <f t="shared" si="93"/>
        <v>1824.6</v>
      </c>
      <c r="H401" s="2">
        <f t="shared" si="93"/>
        <v>1371.2</v>
      </c>
    </row>
    <row r="402" spans="1:10" ht="15" x14ac:dyDescent="0.25">
      <c r="A402" s="35">
        <f t="shared" si="91"/>
        <v>41648</v>
      </c>
      <c r="C402">
        <v>798.7</v>
      </c>
      <c r="D402">
        <v>365.6</v>
      </c>
      <c r="E402" s="123">
        <v>1110</v>
      </c>
      <c r="F402">
        <v>1110.4000000000001</v>
      </c>
      <c r="G402" s="123">
        <f t="shared" si="93"/>
        <v>1908.7</v>
      </c>
      <c r="H402" s="2">
        <f t="shared" si="93"/>
        <v>1476</v>
      </c>
      <c r="J402" s="96"/>
    </row>
    <row r="403" spans="1:10" ht="15" x14ac:dyDescent="0.25">
      <c r="A403" s="35">
        <f t="shared" si="91"/>
        <v>41655</v>
      </c>
      <c r="C403">
        <v>816.1</v>
      </c>
      <c r="D403">
        <v>420.8</v>
      </c>
      <c r="E403" s="123">
        <v>1187.2</v>
      </c>
      <c r="F403">
        <v>1132.0999999999999</v>
      </c>
      <c r="G403" s="123">
        <f t="shared" si="93"/>
        <v>2003.3000000000002</v>
      </c>
      <c r="H403" s="2">
        <f t="shared" si="93"/>
        <v>1552.8999999999999</v>
      </c>
      <c r="J403" s="96"/>
    </row>
    <row r="404" spans="1:10" x14ac:dyDescent="0.25">
      <c r="A404" s="35">
        <f t="shared" si="91"/>
        <v>41662</v>
      </c>
      <c r="C404" s="123">
        <v>929</v>
      </c>
      <c r="D404">
        <v>368.8</v>
      </c>
      <c r="E404" s="123">
        <v>1239.4000000000001</v>
      </c>
      <c r="F404">
        <v>1214.5999999999999</v>
      </c>
      <c r="G404" s="123">
        <f t="shared" si="93"/>
        <v>2168.4</v>
      </c>
      <c r="H404" s="2">
        <f t="shared" si="93"/>
        <v>1583.3999999999999</v>
      </c>
    </row>
    <row r="405" spans="1:10" ht="15" x14ac:dyDescent="0.25">
      <c r="A405" s="35">
        <f t="shared" si="91"/>
        <v>41669</v>
      </c>
      <c r="C405">
        <v>898.4</v>
      </c>
      <c r="D405">
        <v>352.7</v>
      </c>
      <c r="E405" s="123">
        <v>1322.2</v>
      </c>
      <c r="F405">
        <v>1263.9000000000001</v>
      </c>
      <c r="G405" s="123">
        <f t="shared" si="93"/>
        <v>2220.6</v>
      </c>
      <c r="H405" s="2">
        <f t="shared" si="93"/>
        <v>1616.6000000000001</v>
      </c>
      <c r="J405" s="96"/>
    </row>
    <row r="406" spans="1:10" ht="15" x14ac:dyDescent="0.25">
      <c r="A406" s="35">
        <f t="shared" si="91"/>
        <v>41676</v>
      </c>
      <c r="C406">
        <v>837.5</v>
      </c>
      <c r="D406">
        <v>356.1</v>
      </c>
      <c r="E406" s="123">
        <v>1447.9</v>
      </c>
      <c r="F406">
        <v>1323</v>
      </c>
      <c r="G406" s="123">
        <f t="shared" si="93"/>
        <v>2285.4</v>
      </c>
      <c r="H406" s="2">
        <f t="shared" si="93"/>
        <v>1679.1</v>
      </c>
      <c r="J406" s="96"/>
    </row>
    <row r="407" spans="1:10" x14ac:dyDescent="0.25">
      <c r="A407" s="35">
        <f t="shared" si="91"/>
        <v>41683</v>
      </c>
      <c r="C407">
        <v>915.6</v>
      </c>
      <c r="D407">
        <v>306.39999999999998</v>
      </c>
      <c r="E407" s="123">
        <v>1501.3</v>
      </c>
      <c r="F407">
        <v>1397.9</v>
      </c>
      <c r="G407" s="123">
        <f t="shared" si="93"/>
        <v>2416.9</v>
      </c>
      <c r="H407" s="2">
        <f t="shared" si="93"/>
        <v>1704.3000000000002</v>
      </c>
    </row>
    <row r="408" spans="1:10" x14ac:dyDescent="0.25">
      <c r="A408" s="35">
        <f t="shared" si="91"/>
        <v>41690</v>
      </c>
      <c r="C408">
        <v>942.3</v>
      </c>
      <c r="D408">
        <v>293.7</v>
      </c>
      <c r="E408" s="123">
        <v>1552.6</v>
      </c>
      <c r="F408">
        <v>1449.3</v>
      </c>
      <c r="G408" s="123">
        <f t="shared" si="93"/>
        <v>2494.8999999999996</v>
      </c>
      <c r="H408" s="2">
        <f t="shared" si="93"/>
        <v>1743</v>
      </c>
    </row>
    <row r="409" spans="1:10" x14ac:dyDescent="0.25">
      <c r="A409" s="35">
        <f t="shared" si="91"/>
        <v>41697</v>
      </c>
    </row>
    <row r="410" spans="1:10" x14ac:dyDescent="0.25">
      <c r="A410" s="35">
        <f t="shared" si="91"/>
        <v>41704</v>
      </c>
    </row>
    <row r="411" spans="1:10" x14ac:dyDescent="0.25">
      <c r="A411" s="35">
        <f t="shared" si="91"/>
        <v>41711</v>
      </c>
    </row>
    <row r="412" spans="1:10" x14ac:dyDescent="0.25">
      <c r="A412" s="35">
        <f t="shared" si="91"/>
        <v>41718</v>
      </c>
    </row>
    <row r="413" spans="1:10" x14ac:dyDescent="0.25">
      <c r="A413" s="35">
        <f t="shared" si="91"/>
        <v>41725</v>
      </c>
    </row>
    <row r="414" spans="1:10" x14ac:dyDescent="0.25">
      <c r="A414" s="35">
        <f t="shared" si="91"/>
        <v>41732</v>
      </c>
    </row>
    <row r="415" spans="1:10" x14ac:dyDescent="0.25">
      <c r="A415" s="35">
        <f t="shared" si="91"/>
        <v>41739</v>
      </c>
    </row>
    <row r="416" spans="1:10" x14ac:dyDescent="0.25">
      <c r="A416" s="35">
        <f t="shared" si="91"/>
        <v>41746</v>
      </c>
    </row>
    <row r="417" spans="1:1" x14ac:dyDescent="0.25">
      <c r="A417" s="35">
        <f t="shared" si="91"/>
        <v>41753</v>
      </c>
    </row>
    <row r="418" spans="1:1" x14ac:dyDescent="0.25">
      <c r="A418" s="35">
        <f t="shared" si="91"/>
        <v>41760</v>
      </c>
    </row>
    <row r="419" spans="1:1" x14ac:dyDescent="0.25">
      <c r="A419" s="35">
        <f t="shared" si="91"/>
        <v>41767</v>
      </c>
    </row>
    <row r="420" spans="1:1" x14ac:dyDescent="0.25">
      <c r="A420" s="35">
        <f t="shared" si="91"/>
        <v>41774</v>
      </c>
    </row>
    <row r="421" spans="1:1" x14ac:dyDescent="0.25">
      <c r="A421" s="35">
        <f t="shared" si="91"/>
        <v>41781</v>
      </c>
    </row>
    <row r="422" spans="1:1" x14ac:dyDescent="0.25">
      <c r="A422" s="35">
        <f t="shared" si="91"/>
        <v>41788</v>
      </c>
    </row>
    <row r="423" spans="1:1" x14ac:dyDescent="0.25">
      <c r="A423" s="35">
        <f t="shared" si="91"/>
        <v>41795</v>
      </c>
    </row>
    <row r="424" spans="1:1" x14ac:dyDescent="0.25">
      <c r="A424" s="35">
        <f t="shared" si="91"/>
        <v>41802</v>
      </c>
    </row>
    <row r="425" spans="1:1" x14ac:dyDescent="0.25">
      <c r="A425" s="35">
        <f t="shared" si="91"/>
        <v>41809</v>
      </c>
    </row>
    <row r="426" spans="1:1" x14ac:dyDescent="0.25">
      <c r="A426" s="35">
        <f t="shared" si="91"/>
        <v>41816</v>
      </c>
    </row>
    <row r="427" spans="1:1" x14ac:dyDescent="0.25">
      <c r="A427" s="35">
        <f t="shared" si="91"/>
        <v>41823</v>
      </c>
    </row>
    <row r="428" spans="1:1" x14ac:dyDescent="0.25">
      <c r="A428" s="35">
        <f t="shared" si="91"/>
        <v>41830</v>
      </c>
    </row>
    <row r="429" spans="1:1" x14ac:dyDescent="0.25">
      <c r="A429" s="35">
        <f t="shared" si="91"/>
        <v>41837</v>
      </c>
    </row>
    <row r="430" spans="1:1" x14ac:dyDescent="0.25">
      <c r="A430" s="35">
        <f t="shared" si="91"/>
        <v>41844</v>
      </c>
    </row>
    <row r="431" spans="1:1" x14ac:dyDescent="0.25">
      <c r="A431" s="35">
        <f t="shared" si="91"/>
        <v>41851</v>
      </c>
    </row>
    <row r="432" spans="1:1" x14ac:dyDescent="0.25">
      <c r="A432" s="35">
        <f t="shared" si="91"/>
        <v>41858</v>
      </c>
    </row>
    <row r="433" spans="1:1" x14ac:dyDescent="0.25">
      <c r="A433" s="35">
        <f t="shared" si="91"/>
        <v>41865</v>
      </c>
    </row>
    <row r="434" spans="1:1" x14ac:dyDescent="0.25">
      <c r="A434" s="35">
        <f t="shared" si="91"/>
        <v>41872</v>
      </c>
    </row>
    <row r="435" spans="1:1" x14ac:dyDescent="0.25">
      <c r="A435" s="35">
        <f t="shared" si="91"/>
        <v>41879</v>
      </c>
    </row>
    <row r="436" spans="1:1" x14ac:dyDescent="0.25">
      <c r="A436" s="35">
        <f t="shared" si="91"/>
        <v>41886</v>
      </c>
    </row>
    <row r="437" spans="1:1" x14ac:dyDescent="0.25">
      <c r="A437" s="35">
        <f t="shared" si="91"/>
        <v>41893</v>
      </c>
    </row>
    <row r="438" spans="1:1" x14ac:dyDescent="0.25">
      <c r="A438" s="35">
        <f t="shared" si="91"/>
        <v>41900</v>
      </c>
    </row>
    <row r="439" spans="1:1" x14ac:dyDescent="0.25">
      <c r="A439" s="35">
        <f t="shared" si="91"/>
        <v>41907</v>
      </c>
    </row>
    <row r="440" spans="1:1" x14ac:dyDescent="0.25">
      <c r="A440" s="35">
        <f t="shared" si="91"/>
        <v>41914</v>
      </c>
    </row>
    <row r="441" spans="1:1" x14ac:dyDescent="0.25">
      <c r="A441" s="35">
        <f t="shared" si="91"/>
        <v>41921</v>
      </c>
    </row>
    <row r="442" spans="1:1" x14ac:dyDescent="0.25">
      <c r="A442" s="35">
        <f t="shared" si="91"/>
        <v>41928</v>
      </c>
    </row>
    <row r="443" spans="1:1" x14ac:dyDescent="0.25">
      <c r="A443" s="35">
        <f t="shared" si="91"/>
        <v>41935</v>
      </c>
    </row>
    <row r="444" spans="1:1" x14ac:dyDescent="0.25">
      <c r="A444" s="35">
        <f t="shared" si="91"/>
        <v>41942</v>
      </c>
    </row>
    <row r="445" spans="1:1" x14ac:dyDescent="0.25">
      <c r="A445" s="35">
        <f t="shared" ref="A445:A501" si="94">+A444+7</f>
        <v>41949</v>
      </c>
    </row>
    <row r="446" spans="1:1" x14ac:dyDescent="0.25">
      <c r="A446" s="35">
        <f t="shared" si="94"/>
        <v>41956</v>
      </c>
    </row>
    <row r="447" spans="1:1" x14ac:dyDescent="0.25">
      <c r="A447" s="35">
        <f t="shared" si="94"/>
        <v>41963</v>
      </c>
    </row>
    <row r="448" spans="1:1" x14ac:dyDescent="0.25">
      <c r="A448" s="35">
        <f t="shared" si="94"/>
        <v>41970</v>
      </c>
    </row>
    <row r="449" spans="1:1" x14ac:dyDescent="0.25">
      <c r="A449" s="35">
        <f t="shared" si="94"/>
        <v>41977</v>
      </c>
    </row>
    <row r="450" spans="1:1" x14ac:dyDescent="0.25">
      <c r="A450" s="35">
        <f t="shared" si="94"/>
        <v>41984</v>
      </c>
    </row>
    <row r="451" spans="1:1" x14ac:dyDescent="0.25">
      <c r="A451" s="35">
        <f t="shared" si="94"/>
        <v>41991</v>
      </c>
    </row>
    <row r="452" spans="1:1" x14ac:dyDescent="0.25">
      <c r="A452" s="35">
        <f t="shared" si="94"/>
        <v>41998</v>
      </c>
    </row>
    <row r="453" spans="1:1" x14ac:dyDescent="0.25">
      <c r="A453" s="35">
        <f t="shared" si="94"/>
        <v>42005</v>
      </c>
    </row>
    <row r="454" spans="1:1" x14ac:dyDescent="0.25">
      <c r="A454" s="35">
        <f t="shared" si="94"/>
        <v>42012</v>
      </c>
    </row>
    <row r="455" spans="1:1" x14ac:dyDescent="0.25">
      <c r="A455" s="35">
        <f t="shared" si="94"/>
        <v>42019</v>
      </c>
    </row>
    <row r="456" spans="1:1" x14ac:dyDescent="0.25">
      <c r="A456" s="35">
        <f t="shared" si="94"/>
        <v>42026</v>
      </c>
    </row>
    <row r="457" spans="1:1" x14ac:dyDescent="0.25">
      <c r="A457" s="35">
        <f t="shared" si="94"/>
        <v>42033</v>
      </c>
    </row>
    <row r="458" spans="1:1" x14ac:dyDescent="0.25">
      <c r="A458" s="35">
        <f t="shared" si="94"/>
        <v>42040</v>
      </c>
    </row>
    <row r="459" spans="1:1" x14ac:dyDescent="0.25">
      <c r="A459" s="35">
        <f t="shared" si="94"/>
        <v>42047</v>
      </c>
    </row>
    <row r="460" spans="1:1" x14ac:dyDescent="0.25">
      <c r="A460" s="35">
        <f t="shared" si="94"/>
        <v>42054</v>
      </c>
    </row>
    <row r="461" spans="1:1" x14ac:dyDescent="0.25">
      <c r="A461" s="35">
        <f t="shared" si="94"/>
        <v>42061</v>
      </c>
    </row>
    <row r="462" spans="1:1" x14ac:dyDescent="0.25">
      <c r="A462" s="35">
        <f t="shared" si="94"/>
        <v>42068</v>
      </c>
    </row>
    <row r="463" spans="1:1" x14ac:dyDescent="0.25">
      <c r="A463" s="35">
        <f t="shared" si="94"/>
        <v>42075</v>
      </c>
    </row>
    <row r="464" spans="1:1" x14ac:dyDescent="0.25">
      <c r="A464" s="35">
        <f t="shared" si="94"/>
        <v>42082</v>
      </c>
    </row>
    <row r="465" spans="1:1" x14ac:dyDescent="0.25">
      <c r="A465" s="35">
        <f t="shared" si="94"/>
        <v>42089</v>
      </c>
    </row>
    <row r="466" spans="1:1" x14ac:dyDescent="0.25">
      <c r="A466" s="35">
        <f t="shared" si="94"/>
        <v>42096</v>
      </c>
    </row>
    <row r="467" spans="1:1" x14ac:dyDescent="0.25">
      <c r="A467" s="35">
        <f t="shared" si="94"/>
        <v>42103</v>
      </c>
    </row>
    <row r="468" spans="1:1" x14ac:dyDescent="0.25">
      <c r="A468" s="35">
        <f t="shared" si="94"/>
        <v>42110</v>
      </c>
    </row>
    <row r="469" spans="1:1" x14ac:dyDescent="0.25">
      <c r="A469" s="35">
        <f t="shared" si="94"/>
        <v>42117</v>
      </c>
    </row>
    <row r="470" spans="1:1" x14ac:dyDescent="0.25">
      <c r="A470" s="35">
        <f t="shared" si="94"/>
        <v>42124</v>
      </c>
    </row>
    <row r="471" spans="1:1" x14ac:dyDescent="0.25">
      <c r="A471" s="35">
        <f t="shared" si="94"/>
        <v>42131</v>
      </c>
    </row>
    <row r="472" spans="1:1" x14ac:dyDescent="0.25">
      <c r="A472" s="35">
        <f t="shared" si="94"/>
        <v>42138</v>
      </c>
    </row>
    <row r="473" spans="1:1" x14ac:dyDescent="0.25">
      <c r="A473" s="35">
        <f t="shared" si="94"/>
        <v>42145</v>
      </c>
    </row>
    <row r="474" spans="1:1" x14ac:dyDescent="0.25">
      <c r="A474" s="35">
        <f t="shared" si="94"/>
        <v>42152</v>
      </c>
    </row>
    <row r="475" spans="1:1" x14ac:dyDescent="0.25">
      <c r="A475" s="35">
        <f t="shared" si="94"/>
        <v>42159</v>
      </c>
    </row>
    <row r="476" spans="1:1" x14ac:dyDescent="0.25">
      <c r="A476" s="35">
        <f t="shared" si="94"/>
        <v>42166</v>
      </c>
    </row>
    <row r="477" spans="1:1" x14ac:dyDescent="0.25">
      <c r="A477" s="35">
        <f t="shared" si="94"/>
        <v>42173</v>
      </c>
    </row>
    <row r="478" spans="1:1" x14ac:dyDescent="0.25">
      <c r="A478" s="35">
        <f t="shared" si="94"/>
        <v>42180</v>
      </c>
    </row>
    <row r="479" spans="1:1" x14ac:dyDescent="0.25">
      <c r="A479" s="35">
        <f t="shared" si="94"/>
        <v>42187</v>
      </c>
    </row>
    <row r="480" spans="1:1" x14ac:dyDescent="0.25">
      <c r="A480" s="35">
        <f t="shared" si="94"/>
        <v>42194</v>
      </c>
    </row>
    <row r="481" spans="1:1" x14ac:dyDescent="0.25">
      <c r="A481" s="35">
        <f t="shared" si="94"/>
        <v>42201</v>
      </c>
    </row>
    <row r="482" spans="1:1" x14ac:dyDescent="0.25">
      <c r="A482" s="35">
        <f t="shared" si="94"/>
        <v>42208</v>
      </c>
    </row>
    <row r="483" spans="1:1" x14ac:dyDescent="0.25">
      <c r="A483" s="35">
        <f t="shared" si="94"/>
        <v>42215</v>
      </c>
    </row>
    <row r="484" spans="1:1" x14ac:dyDescent="0.25">
      <c r="A484" s="35">
        <f t="shared" si="94"/>
        <v>42222</v>
      </c>
    </row>
    <row r="485" spans="1:1" x14ac:dyDescent="0.25">
      <c r="A485" s="35">
        <f t="shared" si="94"/>
        <v>42229</v>
      </c>
    </row>
    <row r="486" spans="1:1" x14ac:dyDescent="0.25">
      <c r="A486" s="35">
        <f t="shared" si="94"/>
        <v>42236</v>
      </c>
    </row>
    <row r="487" spans="1:1" x14ac:dyDescent="0.25">
      <c r="A487" s="35">
        <f t="shared" si="94"/>
        <v>42243</v>
      </c>
    </row>
    <row r="488" spans="1:1" x14ac:dyDescent="0.25">
      <c r="A488" s="35">
        <f t="shared" si="94"/>
        <v>42250</v>
      </c>
    </row>
    <row r="489" spans="1:1" x14ac:dyDescent="0.25">
      <c r="A489" s="35">
        <f t="shared" si="94"/>
        <v>42257</v>
      </c>
    </row>
    <row r="490" spans="1:1" x14ac:dyDescent="0.25">
      <c r="A490" s="35">
        <f t="shared" si="94"/>
        <v>42264</v>
      </c>
    </row>
    <row r="491" spans="1:1" x14ac:dyDescent="0.25">
      <c r="A491" s="35">
        <f t="shared" si="94"/>
        <v>42271</v>
      </c>
    </row>
    <row r="492" spans="1:1" x14ac:dyDescent="0.25">
      <c r="A492" s="35">
        <f t="shared" si="94"/>
        <v>42278</v>
      </c>
    </row>
    <row r="493" spans="1:1" x14ac:dyDescent="0.25">
      <c r="A493" s="35">
        <f t="shared" si="94"/>
        <v>42285</v>
      </c>
    </row>
    <row r="494" spans="1:1" x14ac:dyDescent="0.25">
      <c r="A494" s="35">
        <f t="shared" si="94"/>
        <v>42292</v>
      </c>
    </row>
    <row r="495" spans="1:1" x14ac:dyDescent="0.25">
      <c r="A495" s="35">
        <f t="shared" si="94"/>
        <v>42299</v>
      </c>
    </row>
    <row r="496" spans="1:1" x14ac:dyDescent="0.25">
      <c r="A496" s="35">
        <f t="shared" si="94"/>
        <v>42306</v>
      </c>
    </row>
    <row r="497" spans="1:1" x14ac:dyDescent="0.25">
      <c r="A497" s="35">
        <f t="shared" si="94"/>
        <v>42313</v>
      </c>
    </row>
    <row r="498" spans="1:1" x14ac:dyDescent="0.25">
      <c r="A498" s="35">
        <f t="shared" si="94"/>
        <v>42320</v>
      </c>
    </row>
    <row r="499" spans="1:1" x14ac:dyDescent="0.25">
      <c r="A499" s="35">
        <f t="shared" si="94"/>
        <v>42327</v>
      </c>
    </row>
    <row r="500" spans="1:1" x14ac:dyDescent="0.25">
      <c r="A500" s="35">
        <f t="shared" si="94"/>
        <v>42334</v>
      </c>
    </row>
    <row r="501" spans="1:1" x14ac:dyDescent="0.25">
      <c r="A501" s="35">
        <f t="shared" si="94"/>
        <v>42341</v>
      </c>
    </row>
    <row r="65486" spans="1:1" x14ac:dyDescent="0.25">
      <c r="A65486" s="35"/>
    </row>
  </sheetData>
  <mergeCells count="2">
    <mergeCell ref="E1:F1"/>
    <mergeCell ref="G1:H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O421"/>
  <sheetViews>
    <sheetView topLeftCell="A388" workbookViewId="0">
      <selection activeCell="F412" sqref="F412"/>
    </sheetView>
  </sheetViews>
  <sheetFormatPr defaultRowHeight="13.2" x14ac:dyDescent="0.25"/>
  <cols>
    <col min="1" max="1" width="10.44140625" customWidth="1"/>
    <col min="2" max="2" width="6" customWidth="1"/>
    <col min="3" max="3" width="14.88671875" customWidth="1"/>
    <col min="4" max="4" width="10.88671875" customWidth="1"/>
    <col min="5" max="5" width="10.33203125" customWidth="1"/>
    <col min="6" max="6" width="14.44140625" customWidth="1"/>
    <col min="7" max="7" width="10.5546875" customWidth="1"/>
    <col min="8" max="8" width="9.88671875" customWidth="1"/>
  </cols>
  <sheetData>
    <row r="1" spans="1:12" x14ac:dyDescent="0.25">
      <c r="C1" t="s">
        <v>7</v>
      </c>
      <c r="E1" s="210" t="s">
        <v>1</v>
      </c>
      <c r="F1" s="211"/>
      <c r="G1" s="210" t="s">
        <v>2</v>
      </c>
      <c r="H1" s="211"/>
      <c r="I1" s="9"/>
      <c r="J1" s="15"/>
      <c r="K1" s="11" t="s">
        <v>6</v>
      </c>
      <c r="L1" s="11" t="s">
        <v>10</v>
      </c>
    </row>
    <row r="2" spans="1:12" x14ac:dyDescent="0.25">
      <c r="A2" t="s">
        <v>18</v>
      </c>
      <c r="B2" s="6"/>
      <c r="C2" s="6">
        <v>2011</v>
      </c>
      <c r="D2" s="6">
        <v>2010</v>
      </c>
      <c r="E2" s="6">
        <v>2011</v>
      </c>
      <c r="F2" s="6">
        <v>2010</v>
      </c>
      <c r="G2" s="6">
        <v>2011</v>
      </c>
      <c r="H2" s="6">
        <v>2010</v>
      </c>
      <c r="I2" s="10" t="s">
        <v>4</v>
      </c>
      <c r="J2" s="8"/>
      <c r="K2" s="8" t="s">
        <v>5</v>
      </c>
      <c r="L2" s="8" t="s">
        <v>5</v>
      </c>
    </row>
    <row r="3" spans="1:12" x14ac:dyDescent="0.25">
      <c r="A3" s="35">
        <v>38855</v>
      </c>
      <c r="C3">
        <v>370</v>
      </c>
      <c r="D3">
        <v>438.6</v>
      </c>
      <c r="E3">
        <v>2197.5</v>
      </c>
      <c r="F3">
        <v>2358.1999999999998</v>
      </c>
      <c r="G3" s="14">
        <f t="shared" ref="G3:H7" si="0">+C3+E3</f>
        <v>2567.5</v>
      </c>
      <c r="H3" s="2">
        <f t="shared" si="0"/>
        <v>2796.7999999999997</v>
      </c>
      <c r="I3" s="48">
        <f t="shared" ref="I3:I38" si="1">+(G3/H3-1)*100</f>
        <v>-8.1986556064073124</v>
      </c>
    </row>
    <row r="4" spans="1:12" x14ac:dyDescent="0.25">
      <c r="A4" s="35">
        <f t="shared" ref="A4:A252" si="2">+A3+7</f>
        <v>38862</v>
      </c>
      <c r="C4">
        <v>365.1</v>
      </c>
      <c r="D4">
        <v>411</v>
      </c>
      <c r="E4">
        <v>2254.9</v>
      </c>
      <c r="F4">
        <v>2431.1999999999998</v>
      </c>
      <c r="G4" s="14">
        <f t="shared" si="0"/>
        <v>2620</v>
      </c>
      <c r="H4" s="2">
        <f t="shared" si="0"/>
        <v>2842.2</v>
      </c>
      <c r="I4" s="48">
        <f t="shared" si="1"/>
        <v>-7.8178875518964075</v>
      </c>
      <c r="J4">
        <v>393.2</v>
      </c>
    </row>
    <row r="5" spans="1:12" x14ac:dyDescent="0.25">
      <c r="A5" s="35">
        <f t="shared" si="2"/>
        <v>38869</v>
      </c>
      <c r="C5">
        <v>370.9</v>
      </c>
      <c r="D5">
        <v>385.2</v>
      </c>
      <c r="E5">
        <v>2347.3000000000002</v>
      </c>
      <c r="F5">
        <v>2450.1</v>
      </c>
      <c r="G5" s="14">
        <f t="shared" si="0"/>
        <v>2718.2000000000003</v>
      </c>
      <c r="H5" s="2">
        <f t="shared" si="0"/>
        <v>2835.2999999999997</v>
      </c>
      <c r="I5" s="48">
        <f t="shared" si="1"/>
        <v>-4.1300744189327165</v>
      </c>
      <c r="J5">
        <v>393.2</v>
      </c>
    </row>
    <row r="6" spans="1:12" x14ac:dyDescent="0.25">
      <c r="A6" s="35">
        <f t="shared" si="2"/>
        <v>38876</v>
      </c>
      <c r="C6">
        <v>436.7</v>
      </c>
      <c r="D6">
        <v>428.9</v>
      </c>
      <c r="E6">
        <v>2353.1</v>
      </c>
      <c r="F6">
        <v>2509.6</v>
      </c>
      <c r="G6" s="14">
        <f t="shared" si="0"/>
        <v>2789.7999999999997</v>
      </c>
      <c r="H6" s="2">
        <f t="shared" si="0"/>
        <v>2938.5</v>
      </c>
      <c r="I6" s="48">
        <f t="shared" si="1"/>
        <v>-5.0604049685213592</v>
      </c>
      <c r="J6">
        <v>393.4</v>
      </c>
    </row>
    <row r="7" spans="1:12" x14ac:dyDescent="0.25">
      <c r="A7" s="35">
        <f t="shared" si="2"/>
        <v>38883</v>
      </c>
      <c r="C7">
        <v>366.6</v>
      </c>
      <c r="D7">
        <v>356</v>
      </c>
      <c r="E7">
        <v>2416</v>
      </c>
      <c r="F7">
        <v>2610.6999999999998</v>
      </c>
      <c r="G7" s="14">
        <f t="shared" si="0"/>
        <v>2782.6</v>
      </c>
      <c r="H7" s="2">
        <f t="shared" si="0"/>
        <v>2966.7</v>
      </c>
      <c r="I7" s="48">
        <f t="shared" si="1"/>
        <v>-6.2055482522668237</v>
      </c>
      <c r="J7">
        <v>393.4</v>
      </c>
    </row>
    <row r="8" spans="1:12" x14ac:dyDescent="0.25">
      <c r="A8" s="35">
        <f t="shared" si="2"/>
        <v>38890</v>
      </c>
      <c r="C8">
        <v>417.1</v>
      </c>
      <c r="D8">
        <v>357.5</v>
      </c>
      <c r="E8">
        <v>2451.1</v>
      </c>
      <c r="F8">
        <v>2647.5</v>
      </c>
      <c r="G8" s="14">
        <f t="shared" ref="G8:H38" si="3">+C8+E8</f>
        <v>2868.2</v>
      </c>
      <c r="H8" s="2">
        <f t="shared" si="3"/>
        <v>3005</v>
      </c>
      <c r="I8" s="48">
        <f t="shared" si="1"/>
        <v>-4.552412645590687</v>
      </c>
      <c r="J8">
        <v>393.4</v>
      </c>
    </row>
    <row r="9" spans="1:12" x14ac:dyDescent="0.25">
      <c r="A9" s="35">
        <f t="shared" si="2"/>
        <v>38897</v>
      </c>
      <c r="C9">
        <v>458.1</v>
      </c>
      <c r="D9">
        <v>371</v>
      </c>
      <c r="E9">
        <v>2477.8000000000002</v>
      </c>
      <c r="F9">
        <v>2660.1</v>
      </c>
      <c r="G9" s="14">
        <f t="shared" si="3"/>
        <v>2935.9</v>
      </c>
      <c r="H9" s="2">
        <f t="shared" si="3"/>
        <v>3031.1</v>
      </c>
      <c r="I9" s="48">
        <f t="shared" si="1"/>
        <v>-3.1407739764441889</v>
      </c>
      <c r="J9">
        <v>393.4</v>
      </c>
    </row>
    <row r="10" spans="1:12" x14ac:dyDescent="0.25">
      <c r="A10" s="35">
        <f t="shared" si="2"/>
        <v>38904</v>
      </c>
      <c r="C10">
        <v>435.4</v>
      </c>
      <c r="D10">
        <v>393.4</v>
      </c>
      <c r="E10">
        <v>2517.6</v>
      </c>
      <c r="F10">
        <v>2684</v>
      </c>
      <c r="G10" s="14">
        <f t="shared" si="3"/>
        <v>2953</v>
      </c>
      <c r="H10" s="2">
        <f t="shared" si="3"/>
        <v>3077.4</v>
      </c>
      <c r="I10" s="48">
        <f t="shared" si="1"/>
        <v>-4.0423734321180298</v>
      </c>
      <c r="J10">
        <v>393.6</v>
      </c>
    </row>
    <row r="11" spans="1:12" x14ac:dyDescent="0.25">
      <c r="A11" s="35">
        <f t="shared" si="2"/>
        <v>38911</v>
      </c>
      <c r="C11">
        <v>494.8</v>
      </c>
      <c r="D11">
        <v>365.3</v>
      </c>
      <c r="E11">
        <v>2541.1</v>
      </c>
      <c r="F11">
        <v>2729.4</v>
      </c>
      <c r="G11" s="14">
        <f t="shared" si="3"/>
        <v>3035.9</v>
      </c>
      <c r="H11" s="2">
        <f t="shared" si="3"/>
        <v>3094.7000000000003</v>
      </c>
      <c r="I11" s="48">
        <f t="shared" si="1"/>
        <v>-1.900022619316899</v>
      </c>
      <c r="J11">
        <v>393.6</v>
      </c>
    </row>
    <row r="12" spans="1:12" x14ac:dyDescent="0.25">
      <c r="A12" s="35">
        <f t="shared" si="2"/>
        <v>38918</v>
      </c>
      <c r="C12">
        <v>448.3</v>
      </c>
      <c r="D12">
        <v>326.39999999999998</v>
      </c>
      <c r="E12">
        <v>2614.4</v>
      </c>
      <c r="F12">
        <v>2804</v>
      </c>
      <c r="G12" s="14">
        <f t="shared" si="3"/>
        <v>3062.7000000000003</v>
      </c>
      <c r="H12" s="2">
        <f t="shared" si="3"/>
        <v>3130.4</v>
      </c>
      <c r="I12" s="48">
        <f t="shared" si="1"/>
        <v>-2.1626629184768653</v>
      </c>
      <c r="J12">
        <v>410.2</v>
      </c>
    </row>
    <row r="13" spans="1:12" x14ac:dyDescent="0.25">
      <c r="A13" s="35">
        <f t="shared" si="2"/>
        <v>38925</v>
      </c>
      <c r="C13">
        <v>381.1</v>
      </c>
      <c r="D13">
        <v>373.5</v>
      </c>
      <c r="E13">
        <v>2700.7</v>
      </c>
      <c r="F13">
        <v>2810.7</v>
      </c>
      <c r="G13" s="14">
        <f t="shared" si="3"/>
        <v>3081.7999999999997</v>
      </c>
      <c r="H13" s="2">
        <f t="shared" si="3"/>
        <v>3184.2</v>
      </c>
      <c r="I13" s="48">
        <f t="shared" si="1"/>
        <v>-3.2158783995980156</v>
      </c>
      <c r="J13">
        <v>410.2</v>
      </c>
    </row>
    <row r="14" spans="1:12" x14ac:dyDescent="0.25">
      <c r="A14" s="35">
        <f t="shared" si="2"/>
        <v>38932</v>
      </c>
      <c r="C14">
        <v>354.1</v>
      </c>
      <c r="D14">
        <v>331.9</v>
      </c>
      <c r="E14">
        <v>2744.8</v>
      </c>
      <c r="F14">
        <v>2851.9</v>
      </c>
      <c r="G14" s="14">
        <f t="shared" si="3"/>
        <v>3098.9</v>
      </c>
      <c r="H14" s="2">
        <f t="shared" si="3"/>
        <v>3183.8</v>
      </c>
      <c r="I14" s="48">
        <f t="shared" si="1"/>
        <v>-2.6666247879892024</v>
      </c>
      <c r="J14">
        <v>444.2</v>
      </c>
    </row>
    <row r="15" spans="1:12" x14ac:dyDescent="0.25">
      <c r="A15" s="35">
        <f t="shared" si="2"/>
        <v>38939</v>
      </c>
      <c r="C15">
        <v>329.9</v>
      </c>
      <c r="D15">
        <v>256</v>
      </c>
      <c r="E15">
        <v>2757.7</v>
      </c>
      <c r="F15">
        <v>2966.1</v>
      </c>
      <c r="G15" s="14">
        <f t="shared" si="3"/>
        <v>3087.6</v>
      </c>
      <c r="H15" s="2">
        <f t="shared" si="3"/>
        <v>3222.1</v>
      </c>
      <c r="I15" s="48">
        <f t="shared" si="1"/>
        <v>-4.1742962664101046</v>
      </c>
      <c r="J15">
        <v>498</v>
      </c>
    </row>
    <row r="16" spans="1:12" x14ac:dyDescent="0.25">
      <c r="A16" s="35">
        <f t="shared" si="2"/>
        <v>38946</v>
      </c>
      <c r="C16">
        <v>262.89999999999998</v>
      </c>
      <c r="D16">
        <v>267.3</v>
      </c>
      <c r="E16">
        <v>2910.7</v>
      </c>
      <c r="F16">
        <v>3000.6</v>
      </c>
      <c r="G16" s="14">
        <f t="shared" si="3"/>
        <v>3173.6</v>
      </c>
      <c r="H16" s="2">
        <f t="shared" si="3"/>
        <v>3267.9</v>
      </c>
      <c r="I16" s="48">
        <f t="shared" si="1"/>
        <v>-2.8856452155818779</v>
      </c>
      <c r="J16">
        <v>524.4</v>
      </c>
    </row>
    <row r="17" spans="1:10" x14ac:dyDescent="0.25">
      <c r="A17" s="35">
        <f t="shared" si="2"/>
        <v>38953</v>
      </c>
      <c r="C17">
        <v>279.39999999999998</v>
      </c>
      <c r="D17">
        <v>173.9</v>
      </c>
      <c r="E17">
        <v>2950.9</v>
      </c>
      <c r="F17">
        <v>3110.3</v>
      </c>
      <c r="G17" s="14">
        <f t="shared" si="3"/>
        <v>3230.3</v>
      </c>
      <c r="H17" s="2">
        <f t="shared" si="3"/>
        <v>3284.2000000000003</v>
      </c>
      <c r="I17" s="48">
        <f t="shared" si="1"/>
        <v>-1.6411911576639682</v>
      </c>
      <c r="J17">
        <v>534</v>
      </c>
    </row>
    <row r="18" spans="1:10" x14ac:dyDescent="0.25">
      <c r="A18" s="35">
        <f t="shared" si="2"/>
        <v>38960</v>
      </c>
      <c r="C18">
        <v>209</v>
      </c>
      <c r="D18">
        <v>167.6</v>
      </c>
      <c r="E18">
        <v>3018.8</v>
      </c>
      <c r="F18">
        <v>3121.6</v>
      </c>
      <c r="G18" s="14">
        <f t="shared" si="3"/>
        <v>3227.8</v>
      </c>
      <c r="H18" s="2">
        <f t="shared" si="3"/>
        <v>3289.2</v>
      </c>
      <c r="I18" s="48">
        <f t="shared" si="1"/>
        <v>-1.8667153107138401</v>
      </c>
      <c r="J18">
        <v>776</v>
      </c>
    </row>
    <row r="19" spans="1:10" x14ac:dyDescent="0.25">
      <c r="A19" s="61">
        <f t="shared" si="2"/>
        <v>38967</v>
      </c>
      <c r="C19">
        <v>739</v>
      </c>
      <c r="D19">
        <v>656</v>
      </c>
      <c r="E19">
        <v>40.6</v>
      </c>
      <c r="F19">
        <v>1.4</v>
      </c>
      <c r="G19" s="14">
        <f t="shared" si="3"/>
        <v>779.6</v>
      </c>
      <c r="H19" s="2">
        <f t="shared" si="3"/>
        <v>657.4</v>
      </c>
      <c r="I19" s="48">
        <f t="shared" si="1"/>
        <v>18.588378460602371</v>
      </c>
    </row>
    <row r="20" spans="1:10" x14ac:dyDescent="0.25">
      <c r="A20" s="62">
        <f t="shared" si="2"/>
        <v>38974</v>
      </c>
      <c r="C20">
        <v>777.8</v>
      </c>
      <c r="D20">
        <v>626.20000000000005</v>
      </c>
      <c r="E20">
        <v>95.9</v>
      </c>
      <c r="F20">
        <v>46.6</v>
      </c>
      <c r="G20" s="14">
        <f t="shared" si="3"/>
        <v>873.69999999999993</v>
      </c>
      <c r="H20" s="2">
        <f t="shared" si="3"/>
        <v>672.80000000000007</v>
      </c>
      <c r="I20" s="48">
        <f t="shared" si="1"/>
        <v>29.860285374554074</v>
      </c>
    </row>
    <row r="21" spans="1:10" x14ac:dyDescent="0.25">
      <c r="A21" s="62">
        <f t="shared" si="2"/>
        <v>38981</v>
      </c>
      <c r="C21">
        <v>871.3</v>
      </c>
      <c r="D21">
        <v>672.1</v>
      </c>
      <c r="E21">
        <v>105.6</v>
      </c>
      <c r="F21">
        <v>47.3</v>
      </c>
      <c r="G21" s="14">
        <f t="shared" si="3"/>
        <v>976.9</v>
      </c>
      <c r="H21" s="2">
        <f t="shared" si="3"/>
        <v>719.4</v>
      </c>
      <c r="I21" s="48">
        <f t="shared" si="1"/>
        <v>35.793716986377547</v>
      </c>
    </row>
    <row r="22" spans="1:10" x14ac:dyDescent="0.25">
      <c r="A22" s="62">
        <f t="shared" si="2"/>
        <v>38988</v>
      </c>
      <c r="C22">
        <v>859.6</v>
      </c>
      <c r="D22">
        <v>680</v>
      </c>
      <c r="E22">
        <v>142.80000000000001</v>
      </c>
      <c r="F22">
        <v>64.400000000000006</v>
      </c>
      <c r="G22" s="14">
        <f t="shared" si="3"/>
        <v>1002.4000000000001</v>
      </c>
      <c r="H22" s="2">
        <f t="shared" si="3"/>
        <v>744.4</v>
      </c>
      <c r="I22" s="48">
        <f t="shared" si="1"/>
        <v>34.658785599140259</v>
      </c>
    </row>
    <row r="23" spans="1:10" x14ac:dyDescent="0.25">
      <c r="A23" s="62">
        <f t="shared" si="2"/>
        <v>38995</v>
      </c>
      <c r="C23">
        <v>888.7</v>
      </c>
      <c r="D23">
        <v>783.4</v>
      </c>
      <c r="E23">
        <v>199.4</v>
      </c>
      <c r="F23">
        <v>82.1</v>
      </c>
      <c r="G23" s="14">
        <f t="shared" si="3"/>
        <v>1088.1000000000001</v>
      </c>
      <c r="H23" s="2">
        <f t="shared" si="3"/>
        <v>865.5</v>
      </c>
      <c r="I23" s="48">
        <f t="shared" si="1"/>
        <v>25.719237435008679</v>
      </c>
    </row>
    <row r="24" spans="1:10" x14ac:dyDescent="0.25">
      <c r="A24" s="62">
        <f t="shared" si="2"/>
        <v>39002</v>
      </c>
      <c r="C24">
        <v>865.8</v>
      </c>
      <c r="D24">
        <v>800.7</v>
      </c>
      <c r="E24">
        <v>271.7</v>
      </c>
      <c r="F24">
        <v>155.9</v>
      </c>
      <c r="G24" s="14">
        <f t="shared" si="3"/>
        <v>1137.5</v>
      </c>
      <c r="H24" s="2">
        <f t="shared" si="3"/>
        <v>956.6</v>
      </c>
      <c r="I24" s="48">
        <f t="shared" si="1"/>
        <v>18.910725486096581</v>
      </c>
    </row>
    <row r="25" spans="1:10" x14ac:dyDescent="0.25">
      <c r="A25" s="62">
        <f t="shared" si="2"/>
        <v>39009</v>
      </c>
      <c r="C25">
        <v>775.1</v>
      </c>
      <c r="D25">
        <v>798.4</v>
      </c>
      <c r="E25">
        <v>363.7</v>
      </c>
      <c r="F25">
        <v>243.9</v>
      </c>
      <c r="G25" s="14">
        <f t="shared" si="3"/>
        <v>1138.8</v>
      </c>
      <c r="H25" s="2">
        <f t="shared" si="3"/>
        <v>1042.3</v>
      </c>
      <c r="I25" s="48">
        <f t="shared" si="1"/>
        <v>9.2583709104864234</v>
      </c>
    </row>
    <row r="26" spans="1:10" x14ac:dyDescent="0.25">
      <c r="A26" s="62">
        <f t="shared" si="2"/>
        <v>39016</v>
      </c>
      <c r="C26">
        <v>775.8</v>
      </c>
      <c r="D26">
        <v>792.9</v>
      </c>
      <c r="E26">
        <v>397.4</v>
      </c>
      <c r="F26">
        <v>311.89999999999998</v>
      </c>
      <c r="G26" s="14">
        <f t="shared" si="3"/>
        <v>1173.1999999999998</v>
      </c>
      <c r="H26" s="2">
        <f t="shared" si="3"/>
        <v>1104.8</v>
      </c>
      <c r="I26" s="48">
        <f t="shared" si="1"/>
        <v>6.1911658218682053</v>
      </c>
    </row>
    <row r="27" spans="1:10" x14ac:dyDescent="0.25">
      <c r="A27" s="62">
        <f t="shared" si="2"/>
        <v>39023</v>
      </c>
      <c r="C27">
        <v>838.6</v>
      </c>
      <c r="D27">
        <v>802.3</v>
      </c>
      <c r="E27">
        <v>410.4</v>
      </c>
      <c r="F27">
        <v>346.8</v>
      </c>
      <c r="G27" s="14">
        <f t="shared" si="3"/>
        <v>1249</v>
      </c>
      <c r="H27" s="2">
        <f t="shared" si="3"/>
        <v>1149.0999999999999</v>
      </c>
      <c r="I27" s="48">
        <f t="shared" si="1"/>
        <v>8.6937603341745717</v>
      </c>
    </row>
    <row r="28" spans="1:10" x14ac:dyDescent="0.25">
      <c r="A28" s="62">
        <f t="shared" si="2"/>
        <v>39030</v>
      </c>
      <c r="C28">
        <v>740.6</v>
      </c>
      <c r="D28">
        <v>882.6</v>
      </c>
      <c r="E28">
        <v>538.79999999999995</v>
      </c>
      <c r="F28">
        <v>362.3</v>
      </c>
      <c r="G28" s="14">
        <f t="shared" si="3"/>
        <v>1279.4000000000001</v>
      </c>
      <c r="H28" s="2">
        <f t="shared" si="3"/>
        <v>1244.9000000000001</v>
      </c>
      <c r="I28" s="48">
        <f t="shared" si="1"/>
        <v>2.7713069322837125</v>
      </c>
    </row>
    <row r="29" spans="1:10" x14ac:dyDescent="0.25">
      <c r="A29" s="62">
        <f t="shared" si="2"/>
        <v>39037</v>
      </c>
      <c r="C29">
        <v>783.4</v>
      </c>
      <c r="D29">
        <v>815.8</v>
      </c>
      <c r="E29">
        <v>600.79999999999995</v>
      </c>
      <c r="F29">
        <v>451</v>
      </c>
      <c r="G29" s="14">
        <f t="shared" si="3"/>
        <v>1384.1999999999998</v>
      </c>
      <c r="H29" s="2">
        <f t="shared" si="3"/>
        <v>1266.8</v>
      </c>
      <c r="I29" s="48">
        <f t="shared" si="1"/>
        <v>9.2674455320492566</v>
      </c>
    </row>
    <row r="30" spans="1:10" x14ac:dyDescent="0.25">
      <c r="A30" s="62">
        <f t="shared" si="2"/>
        <v>39044</v>
      </c>
      <c r="C30">
        <v>747.8</v>
      </c>
      <c r="D30">
        <v>674.2</v>
      </c>
      <c r="E30">
        <v>675.6</v>
      </c>
      <c r="F30">
        <v>565.20000000000005</v>
      </c>
      <c r="G30" s="14">
        <f t="shared" si="3"/>
        <v>1423.4</v>
      </c>
      <c r="H30" s="2">
        <f t="shared" si="3"/>
        <v>1239.4000000000001</v>
      </c>
      <c r="I30" s="48">
        <f t="shared" si="1"/>
        <v>14.845893174116508</v>
      </c>
    </row>
    <row r="31" spans="1:10" x14ac:dyDescent="0.25">
      <c r="A31" s="62">
        <f t="shared" si="2"/>
        <v>39051</v>
      </c>
      <c r="C31">
        <v>821.5</v>
      </c>
      <c r="D31">
        <v>603.4</v>
      </c>
      <c r="E31">
        <v>731.9</v>
      </c>
      <c r="F31">
        <v>666.2</v>
      </c>
      <c r="G31" s="14">
        <f t="shared" si="3"/>
        <v>1553.4</v>
      </c>
      <c r="H31" s="2">
        <f t="shared" si="3"/>
        <v>1269.5999999999999</v>
      </c>
      <c r="I31" s="48">
        <f t="shared" si="1"/>
        <v>22.353497164461267</v>
      </c>
    </row>
    <row r="32" spans="1:10" x14ac:dyDescent="0.25">
      <c r="A32" s="62">
        <f t="shared" si="2"/>
        <v>39058</v>
      </c>
      <c r="C32">
        <v>777.9</v>
      </c>
      <c r="D32">
        <v>621.4</v>
      </c>
      <c r="E32">
        <v>833.5</v>
      </c>
      <c r="F32">
        <v>761.5</v>
      </c>
      <c r="G32" s="14">
        <f t="shared" si="3"/>
        <v>1611.4</v>
      </c>
      <c r="H32" s="2">
        <f t="shared" si="3"/>
        <v>1382.9</v>
      </c>
      <c r="I32" s="48">
        <f t="shared" si="1"/>
        <v>16.523248246438648</v>
      </c>
    </row>
    <row r="33" spans="1:10" x14ac:dyDescent="0.25">
      <c r="A33" s="62">
        <f t="shared" si="2"/>
        <v>39065</v>
      </c>
      <c r="C33">
        <v>701.3</v>
      </c>
      <c r="D33">
        <v>652.1</v>
      </c>
      <c r="E33">
        <v>948.6</v>
      </c>
      <c r="F33">
        <v>802.6</v>
      </c>
      <c r="G33" s="14">
        <f t="shared" si="3"/>
        <v>1649.9</v>
      </c>
      <c r="H33" s="2">
        <f t="shared" si="3"/>
        <v>1454.7</v>
      </c>
      <c r="I33" s="48">
        <f t="shared" si="1"/>
        <v>13.41857427648312</v>
      </c>
    </row>
    <row r="34" spans="1:10" x14ac:dyDescent="0.25">
      <c r="A34" s="62">
        <f t="shared" si="2"/>
        <v>39072</v>
      </c>
      <c r="C34">
        <v>766.7</v>
      </c>
      <c r="D34">
        <v>665.8</v>
      </c>
      <c r="E34">
        <v>964.3</v>
      </c>
      <c r="F34">
        <v>852.8</v>
      </c>
      <c r="G34" s="14">
        <f t="shared" si="3"/>
        <v>1731</v>
      </c>
      <c r="H34" s="2">
        <f t="shared" si="3"/>
        <v>1518.6</v>
      </c>
      <c r="I34" s="48">
        <f t="shared" si="1"/>
        <v>13.9865665744765</v>
      </c>
    </row>
    <row r="35" spans="1:10" x14ac:dyDescent="0.25">
      <c r="A35" s="62">
        <f t="shared" si="2"/>
        <v>39079</v>
      </c>
      <c r="C35">
        <v>749.8</v>
      </c>
      <c r="D35">
        <v>650.5</v>
      </c>
      <c r="E35">
        <v>996.8</v>
      </c>
      <c r="F35">
        <v>903.3</v>
      </c>
      <c r="G35" s="14">
        <f t="shared" si="3"/>
        <v>1746.6</v>
      </c>
      <c r="H35" s="2">
        <f t="shared" si="3"/>
        <v>1553.8</v>
      </c>
      <c r="I35" s="48">
        <f t="shared" si="1"/>
        <v>12.408289355129366</v>
      </c>
      <c r="J35">
        <v>13.6</v>
      </c>
    </row>
    <row r="36" spans="1:10" x14ac:dyDescent="0.25">
      <c r="A36" s="62">
        <f t="shared" si="2"/>
        <v>39086</v>
      </c>
      <c r="C36">
        <v>724.1</v>
      </c>
      <c r="D36">
        <v>624.9</v>
      </c>
      <c r="E36">
        <v>1051.5</v>
      </c>
      <c r="F36">
        <v>994.1</v>
      </c>
      <c r="G36" s="14">
        <f t="shared" si="3"/>
        <v>1775.6</v>
      </c>
      <c r="H36" s="2">
        <f t="shared" si="3"/>
        <v>1619</v>
      </c>
      <c r="I36" s="48">
        <f t="shared" si="1"/>
        <v>9.6726374305126548</v>
      </c>
    </row>
    <row r="37" spans="1:10" x14ac:dyDescent="0.25">
      <c r="A37" s="62">
        <f t="shared" si="2"/>
        <v>39093</v>
      </c>
      <c r="C37">
        <v>761</v>
      </c>
      <c r="D37">
        <v>619.70000000000005</v>
      </c>
      <c r="E37">
        <v>1080.9000000000001</v>
      </c>
      <c r="F37">
        <v>1092</v>
      </c>
      <c r="G37" s="14">
        <f t="shared" si="3"/>
        <v>1841.9</v>
      </c>
      <c r="H37" s="2">
        <f t="shared" si="3"/>
        <v>1711.7</v>
      </c>
      <c r="I37" s="48">
        <f t="shared" si="1"/>
        <v>7.6064730969211958</v>
      </c>
    </row>
    <row r="38" spans="1:10" x14ac:dyDescent="0.25">
      <c r="A38" s="62">
        <f t="shared" si="2"/>
        <v>39100</v>
      </c>
      <c r="C38">
        <v>755</v>
      </c>
      <c r="D38">
        <v>594</v>
      </c>
      <c r="E38">
        <v>1139.0999999999999</v>
      </c>
      <c r="F38">
        <v>1200.2</v>
      </c>
      <c r="G38" s="14">
        <f t="shared" si="3"/>
        <v>1894.1</v>
      </c>
      <c r="H38" s="2">
        <f t="shared" si="3"/>
        <v>1794.2</v>
      </c>
      <c r="I38" s="48">
        <f t="shared" si="1"/>
        <v>5.5679411436851955</v>
      </c>
      <c r="J38">
        <v>16.3</v>
      </c>
    </row>
    <row r="39" spans="1:10" x14ac:dyDescent="0.25">
      <c r="A39" s="62">
        <f t="shared" si="2"/>
        <v>39107</v>
      </c>
      <c r="C39">
        <v>782.6</v>
      </c>
      <c r="D39">
        <v>581.29999999999995</v>
      </c>
      <c r="E39">
        <v>1186.0999999999999</v>
      </c>
      <c r="F39">
        <v>1286.8</v>
      </c>
      <c r="G39" s="14">
        <f t="shared" ref="G39:H41" si="4">+C39+E39</f>
        <v>1968.6999999999998</v>
      </c>
      <c r="H39" s="2">
        <f t="shared" si="4"/>
        <v>1868.1</v>
      </c>
      <c r="I39" s="48">
        <f t="shared" ref="I39:I44" si="5">+(G39/H39-1)*100</f>
        <v>5.3851506878646704</v>
      </c>
    </row>
    <row r="40" spans="1:10" x14ac:dyDescent="0.25">
      <c r="A40" s="62">
        <f t="shared" si="2"/>
        <v>39114</v>
      </c>
      <c r="C40">
        <v>689.3</v>
      </c>
      <c r="D40">
        <v>554.79999999999995</v>
      </c>
      <c r="E40">
        <v>1291.4000000000001</v>
      </c>
      <c r="F40">
        <v>1318.3</v>
      </c>
      <c r="G40" s="14">
        <f t="shared" si="4"/>
        <v>1980.7</v>
      </c>
      <c r="H40" s="2">
        <f t="shared" si="4"/>
        <v>1873.1</v>
      </c>
      <c r="I40" s="48">
        <f t="shared" si="5"/>
        <v>5.744487747584226</v>
      </c>
    </row>
    <row r="41" spans="1:10" x14ac:dyDescent="0.25">
      <c r="A41" s="62">
        <f t="shared" si="2"/>
        <v>39121</v>
      </c>
      <c r="C41">
        <v>730.6</v>
      </c>
      <c r="D41">
        <v>464</v>
      </c>
      <c r="E41">
        <v>1363.1</v>
      </c>
      <c r="F41">
        <v>1418.6</v>
      </c>
      <c r="G41" s="14">
        <f t="shared" si="4"/>
        <v>2093.6999999999998</v>
      </c>
      <c r="H41" s="2">
        <f t="shared" si="4"/>
        <v>1882.6</v>
      </c>
      <c r="I41" s="48">
        <f t="shared" si="5"/>
        <v>11.213215765430773</v>
      </c>
    </row>
    <row r="42" spans="1:10" x14ac:dyDescent="0.25">
      <c r="A42" s="62">
        <f t="shared" si="2"/>
        <v>39128</v>
      </c>
      <c r="C42">
        <v>704.3</v>
      </c>
      <c r="D42">
        <v>484</v>
      </c>
      <c r="E42">
        <v>1432.8</v>
      </c>
      <c r="F42">
        <v>1441.4</v>
      </c>
      <c r="G42" s="14">
        <f t="shared" ref="G42:H44" si="6">+C42+E42</f>
        <v>2137.1</v>
      </c>
      <c r="H42" s="2">
        <f t="shared" si="6"/>
        <v>1925.4</v>
      </c>
      <c r="I42" s="48">
        <f t="shared" si="5"/>
        <v>10.995117897579721</v>
      </c>
    </row>
    <row r="43" spans="1:10" x14ac:dyDescent="0.25">
      <c r="A43" s="62">
        <f t="shared" si="2"/>
        <v>39135</v>
      </c>
      <c r="C43">
        <v>622.79999999999995</v>
      </c>
      <c r="D43">
        <v>507.9</v>
      </c>
      <c r="E43">
        <v>1556.8</v>
      </c>
      <c r="F43">
        <v>1456.4</v>
      </c>
      <c r="G43" s="14">
        <f t="shared" si="6"/>
        <v>2179.6</v>
      </c>
      <c r="H43" s="2">
        <f t="shared" si="6"/>
        <v>1964.3000000000002</v>
      </c>
      <c r="I43" s="48">
        <f t="shared" si="5"/>
        <v>10.960647558926828</v>
      </c>
    </row>
    <row r="44" spans="1:10" x14ac:dyDescent="0.25">
      <c r="A44" s="62">
        <f t="shared" si="2"/>
        <v>39142</v>
      </c>
      <c r="C44">
        <v>654.1</v>
      </c>
      <c r="D44">
        <v>500</v>
      </c>
      <c r="E44">
        <v>1642.8</v>
      </c>
      <c r="F44">
        <v>1594.5</v>
      </c>
      <c r="G44" s="14">
        <f t="shared" si="6"/>
        <v>2296.9</v>
      </c>
      <c r="H44" s="2">
        <f t="shared" si="6"/>
        <v>2094.5</v>
      </c>
      <c r="I44" s="48">
        <f t="shared" si="5"/>
        <v>9.6634041537359892</v>
      </c>
    </row>
    <row r="45" spans="1:10" x14ac:dyDescent="0.25">
      <c r="A45" s="62">
        <f t="shared" si="2"/>
        <v>39149</v>
      </c>
      <c r="C45">
        <v>602.5</v>
      </c>
      <c r="D45">
        <v>434.9</v>
      </c>
      <c r="E45">
        <v>1726.8</v>
      </c>
      <c r="F45">
        <v>1671</v>
      </c>
      <c r="G45" s="14">
        <f t="shared" ref="G45:H47" si="7">+C45+E45</f>
        <v>2329.3000000000002</v>
      </c>
      <c r="H45" s="2">
        <f t="shared" si="7"/>
        <v>2105.9</v>
      </c>
      <c r="I45" s="48">
        <f t="shared" ref="I45:I50" si="8">+(G45/H45-1)*100</f>
        <v>10.608290991974933</v>
      </c>
    </row>
    <row r="46" spans="1:10" x14ac:dyDescent="0.25">
      <c r="A46" s="62">
        <f t="shared" si="2"/>
        <v>39156</v>
      </c>
      <c r="C46">
        <v>558.9</v>
      </c>
      <c r="D46">
        <v>432.9</v>
      </c>
      <c r="E46">
        <v>1782.8</v>
      </c>
      <c r="F46">
        <v>1692.8</v>
      </c>
      <c r="G46" s="14">
        <f t="shared" si="7"/>
        <v>2341.6999999999998</v>
      </c>
      <c r="H46" s="2">
        <f t="shared" si="7"/>
        <v>2125.6999999999998</v>
      </c>
      <c r="I46" s="48">
        <f t="shared" si="8"/>
        <v>10.161358611281003</v>
      </c>
    </row>
    <row r="47" spans="1:10" x14ac:dyDescent="0.25">
      <c r="A47" s="62">
        <f t="shared" si="2"/>
        <v>39163</v>
      </c>
      <c r="C47">
        <v>514.5</v>
      </c>
      <c r="D47">
        <v>413.6</v>
      </c>
      <c r="E47">
        <v>1832.3</v>
      </c>
      <c r="F47">
        <v>1731.1</v>
      </c>
      <c r="G47" s="14">
        <f t="shared" si="7"/>
        <v>2346.8000000000002</v>
      </c>
      <c r="H47" s="2">
        <f t="shared" si="7"/>
        <v>2144.6999999999998</v>
      </c>
      <c r="I47" s="48">
        <f t="shared" si="8"/>
        <v>9.423229356087127</v>
      </c>
    </row>
    <row r="48" spans="1:10" x14ac:dyDescent="0.25">
      <c r="A48" s="62">
        <f t="shared" si="2"/>
        <v>39170</v>
      </c>
      <c r="C48">
        <v>636.20000000000005</v>
      </c>
      <c r="D48">
        <v>431.4</v>
      </c>
      <c r="E48">
        <v>1901.8</v>
      </c>
      <c r="F48">
        <v>1806.3</v>
      </c>
      <c r="G48" s="14">
        <f t="shared" ref="G48:H50" si="9">+C48+E48</f>
        <v>2538</v>
      </c>
      <c r="H48" s="2">
        <f t="shared" si="9"/>
        <v>2237.6999999999998</v>
      </c>
      <c r="I48" s="48">
        <f t="shared" si="8"/>
        <v>13.420029494570329</v>
      </c>
    </row>
    <row r="49" spans="1:10" x14ac:dyDescent="0.25">
      <c r="A49" s="35">
        <f t="shared" si="2"/>
        <v>39177</v>
      </c>
      <c r="C49">
        <v>635.29999999999995</v>
      </c>
      <c r="D49">
        <v>444.4</v>
      </c>
      <c r="E49">
        <v>1946.5</v>
      </c>
      <c r="F49">
        <v>1835.5</v>
      </c>
      <c r="G49" s="14">
        <f t="shared" si="9"/>
        <v>2581.8000000000002</v>
      </c>
      <c r="H49" s="2">
        <f t="shared" si="9"/>
        <v>2279.9</v>
      </c>
      <c r="I49" s="48">
        <f t="shared" si="8"/>
        <v>13.241808851265402</v>
      </c>
    </row>
    <row r="50" spans="1:10" x14ac:dyDescent="0.25">
      <c r="A50" s="35">
        <f t="shared" si="2"/>
        <v>39184</v>
      </c>
      <c r="C50">
        <v>620.6</v>
      </c>
      <c r="D50">
        <v>382.7</v>
      </c>
      <c r="E50">
        <v>2021.7</v>
      </c>
      <c r="F50">
        <v>1918.7</v>
      </c>
      <c r="G50" s="14">
        <f t="shared" si="9"/>
        <v>2642.3</v>
      </c>
      <c r="H50" s="2">
        <f t="shared" si="9"/>
        <v>2301.4</v>
      </c>
      <c r="I50" s="48">
        <f t="shared" si="8"/>
        <v>14.812722690536194</v>
      </c>
    </row>
    <row r="51" spans="1:10" x14ac:dyDescent="0.25">
      <c r="A51" s="35">
        <f t="shared" si="2"/>
        <v>39191</v>
      </c>
      <c r="C51">
        <v>576.29999999999995</v>
      </c>
      <c r="D51">
        <v>354.4</v>
      </c>
      <c r="E51">
        <v>2131.4</v>
      </c>
      <c r="F51">
        <v>1954.5</v>
      </c>
      <c r="G51" s="14">
        <f t="shared" ref="G51:H53" si="10">+C51+E51</f>
        <v>2707.7</v>
      </c>
      <c r="H51" s="2">
        <f t="shared" si="10"/>
        <v>2308.9</v>
      </c>
      <c r="I51" s="48">
        <f t="shared" ref="I51:I56" si="11">+(G51/H51-1)*100</f>
        <v>17.272294166053094</v>
      </c>
    </row>
    <row r="52" spans="1:10" x14ac:dyDescent="0.25">
      <c r="A52" s="35">
        <f t="shared" si="2"/>
        <v>39198</v>
      </c>
      <c r="C52">
        <v>610.6</v>
      </c>
      <c r="D52">
        <v>366.6</v>
      </c>
      <c r="E52">
        <v>2152.3000000000002</v>
      </c>
      <c r="F52">
        <v>2000.4</v>
      </c>
      <c r="G52" s="14">
        <f t="shared" si="10"/>
        <v>2762.9</v>
      </c>
      <c r="H52" s="2">
        <f t="shared" si="10"/>
        <v>2367</v>
      </c>
      <c r="I52" s="48">
        <f t="shared" si="11"/>
        <v>16.725813265737234</v>
      </c>
    </row>
    <row r="53" spans="1:10" x14ac:dyDescent="0.25">
      <c r="A53" s="35">
        <f t="shared" si="2"/>
        <v>39205</v>
      </c>
      <c r="C53">
        <v>560.70000000000005</v>
      </c>
      <c r="D53">
        <v>410.3</v>
      </c>
      <c r="E53">
        <v>2196.9</v>
      </c>
      <c r="F53">
        <v>2031.4</v>
      </c>
      <c r="G53" s="14">
        <f t="shared" si="10"/>
        <v>2757.6000000000004</v>
      </c>
      <c r="H53" s="2">
        <f t="shared" si="10"/>
        <v>2441.7000000000003</v>
      </c>
      <c r="I53" s="48">
        <f t="shared" si="11"/>
        <v>12.937707335053439</v>
      </c>
      <c r="J53">
        <v>166.8</v>
      </c>
    </row>
    <row r="54" spans="1:10" x14ac:dyDescent="0.25">
      <c r="A54" s="35">
        <f t="shared" si="2"/>
        <v>39212</v>
      </c>
      <c r="C54">
        <v>550</v>
      </c>
      <c r="D54">
        <v>420.6</v>
      </c>
      <c r="E54">
        <v>2226.6999999999998</v>
      </c>
      <c r="F54">
        <v>2075.4</v>
      </c>
      <c r="G54" s="14">
        <f t="shared" ref="G54:H56" si="12">+C54+E54</f>
        <v>2776.7</v>
      </c>
      <c r="H54" s="2">
        <f t="shared" si="12"/>
        <v>2496</v>
      </c>
      <c r="I54" s="48">
        <f t="shared" si="11"/>
        <v>11.245993589743586</v>
      </c>
      <c r="J54">
        <v>242.8</v>
      </c>
    </row>
    <row r="55" spans="1:10" x14ac:dyDescent="0.25">
      <c r="A55" s="35">
        <f t="shared" si="2"/>
        <v>39219</v>
      </c>
      <c r="C55">
        <v>409.2</v>
      </c>
      <c r="D55">
        <v>370</v>
      </c>
      <c r="E55">
        <v>2345.6</v>
      </c>
      <c r="F55">
        <v>2152.6</v>
      </c>
      <c r="G55" s="14">
        <f t="shared" si="12"/>
        <v>2754.7999999999997</v>
      </c>
      <c r="H55" s="2">
        <f t="shared" si="12"/>
        <v>2522.6</v>
      </c>
      <c r="I55" s="48">
        <f t="shared" si="11"/>
        <v>9.2047887100610524</v>
      </c>
      <c r="J55">
        <v>267.8</v>
      </c>
    </row>
    <row r="56" spans="1:10" x14ac:dyDescent="0.25">
      <c r="A56" s="35">
        <f t="shared" si="2"/>
        <v>39226</v>
      </c>
      <c r="C56">
        <v>395.2</v>
      </c>
      <c r="D56">
        <v>365.1</v>
      </c>
      <c r="E56">
        <v>2377</v>
      </c>
      <c r="F56">
        <v>2210</v>
      </c>
      <c r="G56" s="14">
        <f t="shared" si="12"/>
        <v>2772.2</v>
      </c>
      <c r="H56" s="2">
        <f t="shared" si="12"/>
        <v>2575.1</v>
      </c>
      <c r="I56" s="48">
        <f t="shared" si="11"/>
        <v>7.6540716865364455</v>
      </c>
      <c r="J56">
        <v>268.39999999999998</v>
      </c>
    </row>
    <row r="57" spans="1:10" x14ac:dyDescent="0.25">
      <c r="A57" s="35">
        <f t="shared" si="2"/>
        <v>39233</v>
      </c>
      <c r="C57">
        <v>382.9</v>
      </c>
      <c r="D57">
        <v>370.9</v>
      </c>
      <c r="E57">
        <v>2418.9</v>
      </c>
      <c r="F57">
        <v>2302.4</v>
      </c>
      <c r="G57" s="14">
        <f t="shared" ref="G57:H59" si="13">+C57+E57</f>
        <v>2801.8</v>
      </c>
      <c r="H57" s="2">
        <f t="shared" si="13"/>
        <v>2673.3</v>
      </c>
      <c r="I57" s="48">
        <f t="shared" ref="I57:I62" si="14">+(G57/H57-1)*100</f>
        <v>4.806793102158391</v>
      </c>
      <c r="J57">
        <v>268.39999999999998</v>
      </c>
    </row>
    <row r="58" spans="1:10" x14ac:dyDescent="0.25">
      <c r="A58" s="35">
        <f t="shared" si="2"/>
        <v>39240</v>
      </c>
      <c r="C58">
        <v>385</v>
      </c>
      <c r="D58">
        <v>436.7</v>
      </c>
      <c r="E58">
        <v>2462.5</v>
      </c>
      <c r="F58">
        <v>2308.1</v>
      </c>
      <c r="G58" s="14">
        <f t="shared" si="13"/>
        <v>2847.5</v>
      </c>
      <c r="H58" s="2">
        <f t="shared" si="13"/>
        <v>2744.7999999999997</v>
      </c>
      <c r="I58" s="48">
        <f t="shared" si="14"/>
        <v>3.7416205187992047</v>
      </c>
      <c r="J58">
        <v>268.39999999999998</v>
      </c>
    </row>
    <row r="59" spans="1:10" x14ac:dyDescent="0.25">
      <c r="A59" s="35">
        <f t="shared" si="2"/>
        <v>39247</v>
      </c>
      <c r="C59">
        <v>432.1</v>
      </c>
      <c r="D59">
        <v>366.6</v>
      </c>
      <c r="E59">
        <v>2492.9</v>
      </c>
      <c r="F59">
        <v>2416</v>
      </c>
      <c r="G59" s="14">
        <f t="shared" si="13"/>
        <v>2925</v>
      </c>
      <c r="H59" s="2">
        <f t="shared" si="13"/>
        <v>2782.6</v>
      </c>
      <c r="I59" s="48">
        <f t="shared" si="14"/>
        <v>5.1175159922374869</v>
      </c>
      <c r="J59">
        <v>268.89999999999998</v>
      </c>
    </row>
    <row r="60" spans="1:10" x14ac:dyDescent="0.25">
      <c r="A60" s="35">
        <f t="shared" si="2"/>
        <v>39254</v>
      </c>
      <c r="C60">
        <v>467.4</v>
      </c>
      <c r="D60">
        <v>417.1</v>
      </c>
      <c r="E60">
        <v>2532.8000000000002</v>
      </c>
      <c r="F60">
        <v>2451.1</v>
      </c>
      <c r="G60" s="14">
        <f t="shared" ref="G60:H62" si="15">+C60+E60</f>
        <v>3000.2000000000003</v>
      </c>
      <c r="H60" s="2">
        <f t="shared" si="15"/>
        <v>2868.2</v>
      </c>
      <c r="I60" s="48">
        <f t="shared" si="14"/>
        <v>4.6021895265323298</v>
      </c>
      <c r="J60">
        <v>277</v>
      </c>
    </row>
    <row r="61" spans="1:10" x14ac:dyDescent="0.25">
      <c r="A61" s="35">
        <f t="shared" si="2"/>
        <v>39261</v>
      </c>
      <c r="C61">
        <v>378.4</v>
      </c>
      <c r="D61">
        <v>458.1</v>
      </c>
      <c r="E61">
        <v>2644.3</v>
      </c>
      <c r="F61">
        <v>2477.8000000000002</v>
      </c>
      <c r="G61" s="14">
        <f t="shared" si="15"/>
        <v>3022.7000000000003</v>
      </c>
      <c r="H61" s="2">
        <f t="shared" si="15"/>
        <v>2935.9</v>
      </c>
      <c r="I61" s="48">
        <f t="shared" si="14"/>
        <v>2.9565039681188177</v>
      </c>
      <c r="J61">
        <v>278.3</v>
      </c>
    </row>
    <row r="62" spans="1:10" x14ac:dyDescent="0.25">
      <c r="A62" s="35">
        <f t="shared" si="2"/>
        <v>39268</v>
      </c>
      <c r="C62">
        <v>425.2</v>
      </c>
      <c r="D62">
        <v>435.4</v>
      </c>
      <c r="E62">
        <v>2648.8</v>
      </c>
      <c r="F62">
        <v>2517.6</v>
      </c>
      <c r="G62" s="14">
        <f t="shared" si="15"/>
        <v>3074</v>
      </c>
      <c r="H62" s="2">
        <f t="shared" si="15"/>
        <v>2953</v>
      </c>
      <c r="I62" s="48">
        <f t="shared" si="14"/>
        <v>4.0975279376904927</v>
      </c>
      <c r="J62">
        <v>278.3</v>
      </c>
    </row>
    <row r="63" spans="1:10" x14ac:dyDescent="0.25">
      <c r="A63" s="35">
        <f t="shared" si="2"/>
        <v>39275</v>
      </c>
      <c r="C63">
        <v>419.8</v>
      </c>
      <c r="D63">
        <v>494.8</v>
      </c>
      <c r="E63">
        <v>2757</v>
      </c>
      <c r="F63">
        <v>2541.1</v>
      </c>
      <c r="G63" s="14">
        <f t="shared" ref="G63:H65" si="16">+C63+E63</f>
        <v>3176.8</v>
      </c>
      <c r="H63" s="2">
        <f t="shared" si="16"/>
        <v>3035.9</v>
      </c>
      <c r="I63" s="48">
        <f t="shared" ref="I63:I68" si="17">+(G63/H63-1)*100</f>
        <v>4.6411278368852837</v>
      </c>
      <c r="J63">
        <v>278.3</v>
      </c>
    </row>
    <row r="64" spans="1:10" x14ac:dyDescent="0.25">
      <c r="A64" s="35">
        <f t="shared" si="2"/>
        <v>39282</v>
      </c>
      <c r="C64">
        <v>487.2</v>
      </c>
      <c r="D64">
        <v>448.3</v>
      </c>
      <c r="E64">
        <v>2803.6</v>
      </c>
      <c r="F64">
        <v>2614.4</v>
      </c>
      <c r="G64" s="14">
        <f t="shared" si="16"/>
        <v>3290.7999999999997</v>
      </c>
      <c r="H64" s="2">
        <f t="shared" si="16"/>
        <v>3062.7000000000003</v>
      </c>
      <c r="I64" s="48">
        <f t="shared" si="17"/>
        <v>7.447676886407395</v>
      </c>
      <c r="J64">
        <v>279.8</v>
      </c>
    </row>
    <row r="65" spans="1:11" x14ac:dyDescent="0.25">
      <c r="A65" s="35">
        <f t="shared" si="2"/>
        <v>39289</v>
      </c>
      <c r="C65">
        <v>494.8</v>
      </c>
      <c r="D65">
        <v>381.1</v>
      </c>
      <c r="E65">
        <v>2812.2</v>
      </c>
      <c r="F65">
        <v>2700.7</v>
      </c>
      <c r="G65" s="14">
        <f t="shared" si="16"/>
        <v>3307</v>
      </c>
      <c r="H65" s="2">
        <f t="shared" si="16"/>
        <v>3081.7999999999997</v>
      </c>
      <c r="I65" s="48">
        <f t="shared" si="17"/>
        <v>7.3074177428775533</v>
      </c>
      <c r="J65">
        <v>307.39999999999998</v>
      </c>
    </row>
    <row r="66" spans="1:11" x14ac:dyDescent="0.25">
      <c r="A66" s="35">
        <f t="shared" si="2"/>
        <v>39296</v>
      </c>
      <c r="C66">
        <v>380.8</v>
      </c>
      <c r="D66">
        <v>354.1</v>
      </c>
      <c r="E66">
        <v>2927.4</v>
      </c>
      <c r="F66">
        <v>2744.8</v>
      </c>
      <c r="G66" s="14">
        <f t="shared" ref="G66:H68" si="18">+C66+E66</f>
        <v>3308.2000000000003</v>
      </c>
      <c r="H66" s="2">
        <f t="shared" si="18"/>
        <v>3098.9</v>
      </c>
      <c r="I66" s="48">
        <f t="shared" si="17"/>
        <v>6.7540094872374112</v>
      </c>
      <c r="J66">
        <v>307.60000000000002</v>
      </c>
    </row>
    <row r="67" spans="1:11" x14ac:dyDescent="0.25">
      <c r="A67" s="35">
        <f t="shared" si="2"/>
        <v>39303</v>
      </c>
      <c r="C67">
        <v>365.6</v>
      </c>
      <c r="D67">
        <v>329.9</v>
      </c>
      <c r="E67">
        <v>2944.4</v>
      </c>
      <c r="F67">
        <v>2757.7</v>
      </c>
      <c r="G67" s="14">
        <f t="shared" si="18"/>
        <v>3310</v>
      </c>
      <c r="H67" s="2">
        <f t="shared" si="18"/>
        <v>3087.6</v>
      </c>
      <c r="I67" s="48">
        <f t="shared" si="17"/>
        <v>7.2030055706697738</v>
      </c>
      <c r="J67">
        <v>307.60000000000002</v>
      </c>
    </row>
    <row r="68" spans="1:11" x14ac:dyDescent="0.25">
      <c r="A68" s="35">
        <f t="shared" si="2"/>
        <v>39310</v>
      </c>
      <c r="C68">
        <v>259.60000000000002</v>
      </c>
      <c r="D68">
        <v>262.89999999999998</v>
      </c>
      <c r="E68">
        <v>3032</v>
      </c>
      <c r="F68">
        <v>2910.7</v>
      </c>
      <c r="G68" s="14">
        <f t="shared" si="18"/>
        <v>3291.6</v>
      </c>
      <c r="H68" s="2">
        <f t="shared" si="18"/>
        <v>3173.6</v>
      </c>
      <c r="I68" s="48">
        <f t="shared" si="17"/>
        <v>3.7181749432820821</v>
      </c>
      <c r="J68">
        <v>411.2</v>
      </c>
    </row>
    <row r="69" spans="1:11" x14ac:dyDescent="0.25">
      <c r="A69" s="35">
        <f t="shared" si="2"/>
        <v>39317</v>
      </c>
      <c r="C69">
        <v>198.1</v>
      </c>
      <c r="D69">
        <v>279.39999999999998</v>
      </c>
      <c r="E69">
        <v>3114.5</v>
      </c>
      <c r="F69">
        <v>2950.9</v>
      </c>
      <c r="G69" s="14">
        <f t="shared" ref="G69:H71" si="19">+C69+E69</f>
        <v>3312.6</v>
      </c>
      <c r="H69" s="2">
        <f t="shared" si="19"/>
        <v>3230.3</v>
      </c>
      <c r="I69" s="48">
        <f t="shared" ref="I69:I74" si="20">+(G69/H69-1)*100</f>
        <v>2.5477509828808476</v>
      </c>
      <c r="J69">
        <v>413.9</v>
      </c>
    </row>
    <row r="70" spans="1:11" x14ac:dyDescent="0.25">
      <c r="A70" s="35">
        <f t="shared" si="2"/>
        <v>39324</v>
      </c>
      <c r="C70">
        <v>175.2</v>
      </c>
      <c r="D70">
        <v>209</v>
      </c>
      <c r="E70">
        <v>3158.5</v>
      </c>
      <c r="F70">
        <v>3018.8</v>
      </c>
      <c r="G70" s="14">
        <f t="shared" si="19"/>
        <v>3333.7</v>
      </c>
      <c r="H70" s="2">
        <f t="shared" si="19"/>
        <v>3227.8</v>
      </c>
      <c r="I70" s="48">
        <f t="shared" si="20"/>
        <v>3.2808724208439166</v>
      </c>
      <c r="J70">
        <v>445.8</v>
      </c>
    </row>
    <row r="71" spans="1:11" x14ac:dyDescent="0.25">
      <c r="A71" s="64">
        <f t="shared" si="2"/>
        <v>39331</v>
      </c>
      <c r="C71">
        <v>694.7</v>
      </c>
      <c r="D71">
        <v>739</v>
      </c>
      <c r="E71">
        <v>1</v>
      </c>
      <c r="F71">
        <v>35.299999999999997</v>
      </c>
      <c r="G71" s="14">
        <f t="shared" si="19"/>
        <v>695.7</v>
      </c>
      <c r="H71" s="2">
        <f t="shared" si="19"/>
        <v>774.3</v>
      </c>
      <c r="I71" s="48">
        <f t="shared" si="20"/>
        <v>-10.151104223169305</v>
      </c>
    </row>
    <row r="72" spans="1:11" x14ac:dyDescent="0.25">
      <c r="A72" s="35">
        <f t="shared" si="2"/>
        <v>39338</v>
      </c>
      <c r="C72">
        <v>771.3</v>
      </c>
      <c r="D72">
        <v>777.8</v>
      </c>
      <c r="E72">
        <v>78.099999999999994</v>
      </c>
      <c r="F72">
        <v>85.4</v>
      </c>
      <c r="G72" s="14">
        <f t="shared" ref="G72:H74" si="21">+C72+E72</f>
        <v>849.4</v>
      </c>
      <c r="H72" s="2">
        <f t="shared" si="21"/>
        <v>863.19999999999993</v>
      </c>
      <c r="I72" s="48">
        <f t="shared" si="20"/>
        <v>-1.598702502316951</v>
      </c>
    </row>
    <row r="73" spans="1:11" x14ac:dyDescent="0.25">
      <c r="A73" s="35">
        <f t="shared" si="2"/>
        <v>39345</v>
      </c>
      <c r="C73">
        <v>736.5</v>
      </c>
      <c r="D73">
        <v>871.3</v>
      </c>
      <c r="E73">
        <v>133</v>
      </c>
      <c r="F73">
        <v>105.6</v>
      </c>
      <c r="G73" s="14">
        <f t="shared" si="21"/>
        <v>869.5</v>
      </c>
      <c r="H73" s="2">
        <f t="shared" si="21"/>
        <v>976.9</v>
      </c>
      <c r="I73" s="48">
        <f t="shared" si="20"/>
        <v>-10.993960487255606</v>
      </c>
    </row>
    <row r="74" spans="1:11" x14ac:dyDescent="0.25">
      <c r="A74" s="35">
        <f t="shared" si="2"/>
        <v>39352</v>
      </c>
      <c r="C74">
        <v>704.7</v>
      </c>
      <c r="D74">
        <v>859.6</v>
      </c>
      <c r="E74">
        <v>188.5</v>
      </c>
      <c r="F74">
        <v>142.80000000000001</v>
      </c>
      <c r="G74" s="14">
        <f t="shared" si="21"/>
        <v>893.2</v>
      </c>
      <c r="H74" s="2">
        <f t="shared" si="21"/>
        <v>1002.4000000000001</v>
      </c>
      <c r="I74" s="48">
        <f t="shared" si="20"/>
        <v>-10.89385474860336</v>
      </c>
    </row>
    <row r="75" spans="1:11" x14ac:dyDescent="0.25">
      <c r="A75" s="35">
        <f t="shared" si="2"/>
        <v>39359</v>
      </c>
      <c r="C75">
        <v>708.6</v>
      </c>
      <c r="D75">
        <v>888.7</v>
      </c>
      <c r="E75">
        <v>207.7</v>
      </c>
      <c r="F75">
        <v>199.4</v>
      </c>
      <c r="G75" s="14">
        <f t="shared" ref="G75:H77" si="22">+C75+E75</f>
        <v>916.3</v>
      </c>
      <c r="H75" s="2">
        <f t="shared" si="22"/>
        <v>1088.1000000000001</v>
      </c>
      <c r="I75" s="48">
        <f t="shared" ref="I75:I80" si="23">+(G75/H75-1)*100</f>
        <v>-15.788989982538382</v>
      </c>
    </row>
    <row r="76" spans="1:11" x14ac:dyDescent="0.25">
      <c r="A76" s="35">
        <f t="shared" si="2"/>
        <v>39366</v>
      </c>
      <c r="C76">
        <v>681.6</v>
      </c>
      <c r="D76">
        <v>865.8</v>
      </c>
      <c r="E76">
        <v>326.8</v>
      </c>
      <c r="F76">
        <v>271.7</v>
      </c>
      <c r="G76" s="14">
        <f t="shared" si="22"/>
        <v>1008.4000000000001</v>
      </c>
      <c r="H76" s="2">
        <f t="shared" si="22"/>
        <v>1137.5</v>
      </c>
      <c r="I76" s="48">
        <f t="shared" si="23"/>
        <v>-11.349450549450546</v>
      </c>
    </row>
    <row r="77" spans="1:11" x14ac:dyDescent="0.25">
      <c r="A77" s="35">
        <f t="shared" si="2"/>
        <v>39373</v>
      </c>
      <c r="C77">
        <v>633.70000000000005</v>
      </c>
      <c r="D77">
        <v>775.1</v>
      </c>
      <c r="E77">
        <v>395.7</v>
      </c>
      <c r="F77">
        <v>360.5</v>
      </c>
      <c r="G77" s="14">
        <f t="shared" si="22"/>
        <v>1029.4000000000001</v>
      </c>
      <c r="H77" s="2">
        <f t="shared" si="22"/>
        <v>1135.5999999999999</v>
      </c>
      <c r="I77" s="48">
        <f t="shared" si="23"/>
        <v>-9.3518844663613816</v>
      </c>
    </row>
    <row r="78" spans="1:11" x14ac:dyDescent="0.25">
      <c r="A78" s="35">
        <f t="shared" si="2"/>
        <v>39380</v>
      </c>
      <c r="C78">
        <v>660.3</v>
      </c>
      <c r="D78">
        <v>775.8</v>
      </c>
      <c r="E78">
        <v>447.6</v>
      </c>
      <c r="F78">
        <v>397.4</v>
      </c>
      <c r="G78" s="14">
        <f t="shared" ref="G78:H80" si="24">+C78+E78</f>
        <v>1107.9000000000001</v>
      </c>
      <c r="H78" s="2">
        <f t="shared" si="24"/>
        <v>1173.1999999999998</v>
      </c>
      <c r="I78" s="48">
        <f t="shared" si="23"/>
        <v>-5.5659734060688475</v>
      </c>
    </row>
    <row r="79" spans="1:11" x14ac:dyDescent="0.25">
      <c r="A79" s="35">
        <f t="shared" si="2"/>
        <v>39387</v>
      </c>
      <c r="C79">
        <v>750.9</v>
      </c>
      <c r="D79">
        <v>838.6</v>
      </c>
      <c r="E79">
        <v>456</v>
      </c>
      <c r="F79">
        <v>410.4</v>
      </c>
      <c r="G79" s="14">
        <f t="shared" si="24"/>
        <v>1206.9000000000001</v>
      </c>
      <c r="H79" s="2">
        <f t="shared" si="24"/>
        <v>1249</v>
      </c>
      <c r="I79" s="48">
        <f t="shared" si="23"/>
        <v>-3.3706965572457892</v>
      </c>
      <c r="K79">
        <v>19.5</v>
      </c>
    </row>
    <row r="80" spans="1:11" x14ac:dyDescent="0.25">
      <c r="A80" s="35">
        <f t="shared" si="2"/>
        <v>39394</v>
      </c>
      <c r="C80">
        <v>792.3</v>
      </c>
      <c r="D80">
        <v>740.6</v>
      </c>
      <c r="E80">
        <v>600.70000000000005</v>
      </c>
      <c r="F80">
        <v>538.79999999999995</v>
      </c>
      <c r="G80" s="14">
        <f t="shared" si="24"/>
        <v>1393</v>
      </c>
      <c r="H80" s="2">
        <f t="shared" si="24"/>
        <v>1279.4000000000001</v>
      </c>
      <c r="I80" s="48">
        <f t="shared" si="23"/>
        <v>8.8791621072377591</v>
      </c>
      <c r="K80">
        <v>19.5</v>
      </c>
    </row>
    <row r="81" spans="1:11" x14ac:dyDescent="0.25">
      <c r="A81" s="35">
        <f t="shared" si="2"/>
        <v>39401</v>
      </c>
      <c r="C81">
        <v>750.3</v>
      </c>
      <c r="D81">
        <v>783.4</v>
      </c>
      <c r="E81">
        <v>656</v>
      </c>
      <c r="F81">
        <v>600.79999999999995</v>
      </c>
      <c r="G81" s="14">
        <f t="shared" ref="G81:H83" si="25">+C81+E81</f>
        <v>1406.3</v>
      </c>
      <c r="H81" s="2">
        <f t="shared" si="25"/>
        <v>1384.1999999999998</v>
      </c>
      <c r="I81" s="48">
        <f t="shared" ref="I81:I86" si="26">+(G81/H81-1)*100</f>
        <v>1.5965900881375727</v>
      </c>
    </row>
    <row r="82" spans="1:11" x14ac:dyDescent="0.25">
      <c r="A82" s="35">
        <f t="shared" si="2"/>
        <v>39408</v>
      </c>
      <c r="C82">
        <v>786.8</v>
      </c>
      <c r="D82">
        <v>747.8</v>
      </c>
      <c r="E82">
        <v>752.3</v>
      </c>
      <c r="F82">
        <v>675.6</v>
      </c>
      <c r="G82" s="14">
        <f t="shared" si="25"/>
        <v>1539.1</v>
      </c>
      <c r="H82" s="2">
        <f t="shared" si="25"/>
        <v>1423.4</v>
      </c>
      <c r="I82" s="48">
        <f t="shared" si="26"/>
        <v>8.1284248981312146</v>
      </c>
    </row>
    <row r="83" spans="1:11" x14ac:dyDescent="0.25">
      <c r="A83" s="35">
        <f t="shared" si="2"/>
        <v>39415</v>
      </c>
      <c r="C83">
        <v>815.8</v>
      </c>
      <c r="D83">
        <v>821.5</v>
      </c>
      <c r="E83">
        <v>777.3</v>
      </c>
      <c r="F83">
        <v>731.9</v>
      </c>
      <c r="G83" s="14">
        <f t="shared" si="25"/>
        <v>1593.1</v>
      </c>
      <c r="H83" s="2">
        <f t="shared" si="25"/>
        <v>1553.4</v>
      </c>
      <c r="I83" s="48">
        <f t="shared" si="26"/>
        <v>2.5556843053946121</v>
      </c>
    </row>
    <row r="84" spans="1:11" x14ac:dyDescent="0.25">
      <c r="A84" s="35">
        <f t="shared" si="2"/>
        <v>39422</v>
      </c>
      <c r="C84">
        <v>868</v>
      </c>
      <c r="D84">
        <v>777.9</v>
      </c>
      <c r="E84">
        <v>784.4</v>
      </c>
      <c r="F84">
        <v>833.5</v>
      </c>
      <c r="G84" s="14">
        <f t="shared" ref="G84:H86" si="27">+C84+E84</f>
        <v>1652.4</v>
      </c>
      <c r="H84" s="2">
        <f t="shared" si="27"/>
        <v>1611.4</v>
      </c>
      <c r="I84" s="48">
        <f t="shared" si="26"/>
        <v>2.5443713541020152</v>
      </c>
    </row>
    <row r="85" spans="1:11" x14ac:dyDescent="0.25">
      <c r="A85" s="35">
        <f t="shared" si="2"/>
        <v>39429</v>
      </c>
      <c r="C85">
        <v>837.7</v>
      </c>
      <c r="D85">
        <v>701.3</v>
      </c>
      <c r="E85">
        <v>855.8</v>
      </c>
      <c r="F85">
        <v>948.6</v>
      </c>
      <c r="G85" s="14">
        <f t="shared" si="27"/>
        <v>1693.5</v>
      </c>
      <c r="H85" s="2">
        <f t="shared" si="27"/>
        <v>1649.9</v>
      </c>
      <c r="I85" s="48">
        <f t="shared" si="26"/>
        <v>2.6425843990544928</v>
      </c>
    </row>
    <row r="86" spans="1:11" x14ac:dyDescent="0.25">
      <c r="A86" s="35">
        <f t="shared" si="2"/>
        <v>39436</v>
      </c>
      <c r="C86">
        <v>793.2</v>
      </c>
      <c r="D86">
        <v>766.7</v>
      </c>
      <c r="E86">
        <v>905.4</v>
      </c>
      <c r="F86">
        <v>964.3</v>
      </c>
      <c r="G86" s="14">
        <f t="shared" si="27"/>
        <v>1698.6</v>
      </c>
      <c r="H86" s="2">
        <f t="shared" si="27"/>
        <v>1731</v>
      </c>
      <c r="I86" s="48">
        <f t="shared" si="26"/>
        <v>-1.8717504332755652</v>
      </c>
    </row>
    <row r="87" spans="1:11" x14ac:dyDescent="0.25">
      <c r="A87" s="35">
        <f t="shared" si="2"/>
        <v>39443</v>
      </c>
      <c r="C87">
        <v>787</v>
      </c>
      <c r="D87">
        <v>749.8</v>
      </c>
      <c r="E87">
        <v>927.7</v>
      </c>
      <c r="F87">
        <v>996.8</v>
      </c>
      <c r="G87" s="14">
        <f t="shared" ref="G87:H89" si="28">+C87+E87</f>
        <v>1714.7</v>
      </c>
      <c r="H87" s="2">
        <f t="shared" si="28"/>
        <v>1746.6</v>
      </c>
      <c r="I87" s="48">
        <f t="shared" ref="I87:I92" si="29">+(G87/H87-1)*100</f>
        <v>-1.8264055879995356</v>
      </c>
    </row>
    <row r="88" spans="1:11" x14ac:dyDescent="0.25">
      <c r="A88" s="35">
        <f t="shared" si="2"/>
        <v>39450</v>
      </c>
      <c r="C88">
        <v>724.2</v>
      </c>
      <c r="D88">
        <v>724.1</v>
      </c>
      <c r="E88">
        <v>1014.4</v>
      </c>
      <c r="F88">
        <v>1051.5</v>
      </c>
      <c r="G88" s="14">
        <f t="shared" si="28"/>
        <v>1738.6</v>
      </c>
      <c r="H88" s="2">
        <f t="shared" si="28"/>
        <v>1775.6</v>
      </c>
      <c r="I88" s="48">
        <f t="shared" si="29"/>
        <v>-2.0838026582563618</v>
      </c>
      <c r="K88">
        <v>345.5</v>
      </c>
    </row>
    <row r="89" spans="1:11" x14ac:dyDescent="0.25">
      <c r="A89" s="35">
        <f t="shared" si="2"/>
        <v>39457</v>
      </c>
      <c r="C89">
        <v>845.6</v>
      </c>
      <c r="D89">
        <v>761</v>
      </c>
      <c r="E89">
        <v>1077.3</v>
      </c>
      <c r="F89">
        <v>1080.9000000000001</v>
      </c>
      <c r="G89" s="14">
        <f t="shared" si="28"/>
        <v>1922.9</v>
      </c>
      <c r="H89" s="2">
        <f t="shared" si="28"/>
        <v>1841.9</v>
      </c>
      <c r="I89" s="48">
        <f t="shared" si="29"/>
        <v>4.3976328790922503</v>
      </c>
    </row>
    <row r="90" spans="1:11" x14ac:dyDescent="0.25">
      <c r="A90" s="35">
        <f t="shared" si="2"/>
        <v>39464</v>
      </c>
      <c r="C90">
        <v>866.7</v>
      </c>
      <c r="D90">
        <v>755</v>
      </c>
      <c r="E90">
        <v>1130.5999999999999</v>
      </c>
      <c r="F90">
        <v>1139.0999999999999</v>
      </c>
      <c r="G90" s="14">
        <f t="shared" ref="G90:H92" si="30">+C90+E90</f>
        <v>1997.3</v>
      </c>
      <c r="H90" s="2">
        <f t="shared" si="30"/>
        <v>1894.1</v>
      </c>
      <c r="I90" s="48">
        <f t="shared" si="29"/>
        <v>5.4484979673723677</v>
      </c>
      <c r="K90">
        <v>354</v>
      </c>
    </row>
    <row r="91" spans="1:11" x14ac:dyDescent="0.25">
      <c r="A91" s="35">
        <f t="shared" si="2"/>
        <v>39471</v>
      </c>
      <c r="C91">
        <v>821.5</v>
      </c>
      <c r="D91">
        <v>782.6</v>
      </c>
      <c r="E91">
        <v>1183.8</v>
      </c>
      <c r="F91">
        <v>1186.0999999999999</v>
      </c>
      <c r="G91" s="14">
        <f t="shared" si="30"/>
        <v>2005.3</v>
      </c>
      <c r="H91" s="2">
        <f t="shared" si="30"/>
        <v>1968.6999999999998</v>
      </c>
      <c r="I91" s="48">
        <f t="shared" si="29"/>
        <v>1.8590948341545177</v>
      </c>
      <c r="K91">
        <v>360.3</v>
      </c>
    </row>
    <row r="92" spans="1:11" x14ac:dyDescent="0.25">
      <c r="A92" s="35">
        <f t="shared" si="2"/>
        <v>39478</v>
      </c>
      <c r="C92">
        <v>783.2</v>
      </c>
      <c r="D92">
        <v>689.3</v>
      </c>
      <c r="E92">
        <v>1280.7</v>
      </c>
      <c r="F92">
        <v>1291.4000000000001</v>
      </c>
      <c r="G92" s="14">
        <f t="shared" si="30"/>
        <v>2063.9</v>
      </c>
      <c r="H92" s="2">
        <f t="shared" si="30"/>
        <v>1980.7</v>
      </c>
      <c r="I92" s="48">
        <f t="shared" si="29"/>
        <v>4.2005351643358502</v>
      </c>
    </row>
    <row r="93" spans="1:11" x14ac:dyDescent="0.25">
      <c r="A93" s="35">
        <f t="shared" si="2"/>
        <v>39485</v>
      </c>
      <c r="C93">
        <v>744.1</v>
      </c>
      <c r="D93">
        <v>730.6</v>
      </c>
      <c r="E93">
        <v>1356.4</v>
      </c>
      <c r="F93">
        <v>1363.1</v>
      </c>
      <c r="G93" s="14">
        <f t="shared" ref="G93:H95" si="31">+C93+E93</f>
        <v>2100.5</v>
      </c>
      <c r="H93" s="2">
        <f t="shared" si="31"/>
        <v>2093.6999999999998</v>
      </c>
      <c r="I93" s="48">
        <f t="shared" ref="I93:I98" si="32">+(G93/H93-1)*100</f>
        <v>0.3247838754358412</v>
      </c>
    </row>
    <row r="94" spans="1:11" x14ac:dyDescent="0.25">
      <c r="A94" s="35">
        <f t="shared" si="2"/>
        <v>39492</v>
      </c>
      <c r="C94">
        <v>725.4</v>
      </c>
      <c r="D94">
        <v>704.3</v>
      </c>
      <c r="E94">
        <v>1411.7</v>
      </c>
      <c r="F94">
        <v>1432.8</v>
      </c>
      <c r="G94" s="14">
        <f t="shared" si="31"/>
        <v>2137.1</v>
      </c>
      <c r="H94" s="2">
        <f t="shared" si="31"/>
        <v>2137.1</v>
      </c>
      <c r="I94" s="48">
        <f t="shared" si="32"/>
        <v>0</v>
      </c>
    </row>
    <row r="95" spans="1:11" x14ac:dyDescent="0.25">
      <c r="A95" s="35">
        <f t="shared" si="2"/>
        <v>39499</v>
      </c>
      <c r="C95">
        <v>802.7</v>
      </c>
      <c r="D95">
        <v>622.79999999999995</v>
      </c>
      <c r="E95">
        <v>1434.9</v>
      </c>
      <c r="F95">
        <v>1556.8</v>
      </c>
      <c r="G95" s="14">
        <f t="shared" si="31"/>
        <v>2237.6000000000004</v>
      </c>
      <c r="H95" s="2">
        <f t="shared" si="31"/>
        <v>2179.6</v>
      </c>
      <c r="I95" s="48">
        <f t="shared" si="32"/>
        <v>2.6610387227014254</v>
      </c>
    </row>
    <row r="96" spans="1:11" x14ac:dyDescent="0.25">
      <c r="A96" s="35">
        <f t="shared" si="2"/>
        <v>39506</v>
      </c>
      <c r="C96">
        <v>788.9</v>
      </c>
      <c r="D96">
        <v>654.1</v>
      </c>
      <c r="E96">
        <v>1464.3</v>
      </c>
      <c r="F96">
        <v>1642.8</v>
      </c>
      <c r="G96" s="14">
        <f t="shared" ref="G96:H98" si="33">+C96+E96</f>
        <v>2253.1999999999998</v>
      </c>
      <c r="H96" s="2">
        <f t="shared" si="33"/>
        <v>2296.9</v>
      </c>
      <c r="I96" s="48">
        <f t="shared" si="32"/>
        <v>-1.9025643258304803</v>
      </c>
      <c r="K96">
        <v>398.2</v>
      </c>
    </row>
    <row r="97" spans="1:11" x14ac:dyDescent="0.25">
      <c r="A97" s="35">
        <f t="shared" si="2"/>
        <v>39513</v>
      </c>
      <c r="C97">
        <v>766</v>
      </c>
      <c r="D97">
        <v>602.5</v>
      </c>
      <c r="E97">
        <v>1523.3</v>
      </c>
      <c r="F97">
        <v>1726.8</v>
      </c>
      <c r="G97" s="14">
        <f t="shared" si="33"/>
        <v>2289.3000000000002</v>
      </c>
      <c r="H97" s="2">
        <f t="shared" si="33"/>
        <v>2329.3000000000002</v>
      </c>
      <c r="I97" s="48">
        <f t="shared" si="32"/>
        <v>-1.7172541106770245</v>
      </c>
      <c r="K97">
        <v>398.2</v>
      </c>
    </row>
    <row r="98" spans="1:11" x14ac:dyDescent="0.25">
      <c r="A98" s="35">
        <f t="shared" si="2"/>
        <v>39520</v>
      </c>
      <c r="C98">
        <v>737.5</v>
      </c>
      <c r="D98">
        <v>558.9</v>
      </c>
      <c r="E98">
        <v>1600</v>
      </c>
      <c r="F98">
        <v>1782.8</v>
      </c>
      <c r="G98" s="14">
        <f t="shared" si="33"/>
        <v>2337.5</v>
      </c>
      <c r="H98" s="2">
        <f t="shared" si="33"/>
        <v>2341.6999999999998</v>
      </c>
      <c r="I98" s="48">
        <f t="shared" si="32"/>
        <v>-0.17935687748216189</v>
      </c>
      <c r="K98">
        <v>472.1</v>
      </c>
    </row>
    <row r="99" spans="1:11" x14ac:dyDescent="0.25">
      <c r="A99" s="35">
        <f t="shared" si="2"/>
        <v>39527</v>
      </c>
      <c r="C99">
        <v>633.70000000000005</v>
      </c>
      <c r="D99">
        <v>514.5</v>
      </c>
      <c r="E99">
        <v>1709.1</v>
      </c>
      <c r="F99">
        <v>1832.3</v>
      </c>
      <c r="G99" s="14">
        <f t="shared" ref="G99:H101" si="34">+C99+E99</f>
        <v>2342.8000000000002</v>
      </c>
      <c r="H99" s="2">
        <f t="shared" si="34"/>
        <v>2346.8000000000002</v>
      </c>
      <c r="I99" s="48">
        <f t="shared" ref="I99:I104" si="35">+(G99/H99-1)*100</f>
        <v>-0.17044486108743762</v>
      </c>
    </row>
    <row r="100" spans="1:11" x14ac:dyDescent="0.25">
      <c r="A100" s="35">
        <f t="shared" si="2"/>
        <v>39534</v>
      </c>
      <c r="C100">
        <v>686.1</v>
      </c>
      <c r="D100">
        <v>636.20000000000005</v>
      </c>
      <c r="E100">
        <v>1715.7</v>
      </c>
      <c r="F100">
        <v>1901.8</v>
      </c>
      <c r="G100" s="14">
        <f t="shared" si="34"/>
        <v>2401.8000000000002</v>
      </c>
      <c r="H100" s="2">
        <f t="shared" si="34"/>
        <v>2538</v>
      </c>
      <c r="I100" s="48">
        <f t="shared" si="35"/>
        <v>-5.366430260047272</v>
      </c>
    </row>
    <row r="101" spans="1:11" x14ac:dyDescent="0.25">
      <c r="A101" s="35">
        <f t="shared" si="2"/>
        <v>39541</v>
      </c>
      <c r="C101">
        <v>703.4</v>
      </c>
      <c r="D101">
        <v>635.29999999999995</v>
      </c>
      <c r="E101">
        <v>1767.8</v>
      </c>
      <c r="F101">
        <v>1946.5</v>
      </c>
      <c r="G101" s="14">
        <f t="shared" si="34"/>
        <v>2471.1999999999998</v>
      </c>
      <c r="H101" s="2">
        <f t="shared" si="34"/>
        <v>2581.8000000000002</v>
      </c>
      <c r="I101" s="48">
        <f t="shared" si="35"/>
        <v>-4.2838329847393446</v>
      </c>
    </row>
    <row r="102" spans="1:11" x14ac:dyDescent="0.25">
      <c r="A102" s="35">
        <f t="shared" si="2"/>
        <v>39548</v>
      </c>
      <c r="C102">
        <v>655.20000000000005</v>
      </c>
      <c r="D102">
        <v>620.6</v>
      </c>
      <c r="E102">
        <v>1846.2</v>
      </c>
      <c r="F102">
        <v>2021.7</v>
      </c>
      <c r="G102" s="14">
        <f t="shared" ref="G102:H104" si="36">+C102+E102</f>
        <v>2501.4</v>
      </c>
      <c r="H102" s="2">
        <f t="shared" si="36"/>
        <v>2642.3</v>
      </c>
      <c r="I102" s="48">
        <f t="shared" si="35"/>
        <v>-5.3324754948340551</v>
      </c>
    </row>
    <row r="103" spans="1:11" x14ac:dyDescent="0.25">
      <c r="A103" s="35">
        <f t="shared" si="2"/>
        <v>39555</v>
      </c>
      <c r="C103">
        <v>639.79999999999995</v>
      </c>
      <c r="D103">
        <v>576.29999999999995</v>
      </c>
      <c r="E103">
        <v>1897.5</v>
      </c>
      <c r="F103">
        <v>2131.4</v>
      </c>
      <c r="G103" s="14">
        <f t="shared" si="36"/>
        <v>2537.3000000000002</v>
      </c>
      <c r="H103" s="2">
        <f t="shared" si="36"/>
        <v>2707.7</v>
      </c>
      <c r="I103" s="48">
        <f t="shared" si="35"/>
        <v>-6.2931639398751571</v>
      </c>
    </row>
    <row r="104" spans="1:11" x14ac:dyDescent="0.25">
      <c r="A104" s="35">
        <f t="shared" si="2"/>
        <v>39562</v>
      </c>
      <c r="C104">
        <v>601.6</v>
      </c>
      <c r="D104">
        <v>610.6</v>
      </c>
      <c r="E104">
        <v>1961</v>
      </c>
      <c r="F104">
        <v>2152.3000000000002</v>
      </c>
      <c r="G104" s="14">
        <f t="shared" si="36"/>
        <v>2562.6</v>
      </c>
      <c r="H104" s="2">
        <f t="shared" si="36"/>
        <v>2762.9</v>
      </c>
      <c r="I104" s="48">
        <f t="shared" si="35"/>
        <v>-7.249629012993597</v>
      </c>
    </row>
    <row r="105" spans="1:11" x14ac:dyDescent="0.25">
      <c r="A105" s="35">
        <f t="shared" si="2"/>
        <v>39569</v>
      </c>
      <c r="C105">
        <v>573</v>
      </c>
      <c r="D105">
        <v>560.70000000000005</v>
      </c>
      <c r="E105">
        <v>1990.2</v>
      </c>
      <c r="F105">
        <v>2196.9</v>
      </c>
      <c r="G105" s="14">
        <f t="shared" ref="G105:H107" si="37">+C105+E105</f>
        <v>2563.1999999999998</v>
      </c>
      <c r="H105" s="2">
        <f t="shared" si="37"/>
        <v>2757.6000000000004</v>
      </c>
      <c r="I105" s="48">
        <f t="shared" ref="I105:I110" si="38">+(G105/H105-1)*100</f>
        <v>-7.0496083550914079</v>
      </c>
      <c r="J105">
        <v>646.70000000000005</v>
      </c>
    </row>
    <row r="106" spans="1:11" x14ac:dyDescent="0.25">
      <c r="A106" s="35">
        <f t="shared" si="2"/>
        <v>39576</v>
      </c>
      <c r="C106">
        <v>541.20000000000005</v>
      </c>
      <c r="D106">
        <v>550</v>
      </c>
      <c r="E106">
        <v>2025.4</v>
      </c>
      <c r="F106">
        <v>2226.6999999999998</v>
      </c>
      <c r="G106" s="14">
        <f t="shared" si="37"/>
        <v>2566.6000000000004</v>
      </c>
      <c r="H106" s="2">
        <f t="shared" si="37"/>
        <v>2776.7</v>
      </c>
      <c r="I106" s="48">
        <f t="shared" si="38"/>
        <v>-7.5665358158965468</v>
      </c>
      <c r="J106">
        <v>647</v>
      </c>
    </row>
    <row r="107" spans="1:11" x14ac:dyDescent="0.25">
      <c r="A107" s="35">
        <f t="shared" si="2"/>
        <v>39583</v>
      </c>
      <c r="C107">
        <v>579.4</v>
      </c>
      <c r="D107">
        <v>409.2</v>
      </c>
      <c r="E107">
        <v>2088.9</v>
      </c>
      <c r="F107">
        <v>2345.6</v>
      </c>
      <c r="G107" s="14">
        <f t="shared" si="37"/>
        <v>2668.3</v>
      </c>
      <c r="H107" s="2">
        <f t="shared" si="37"/>
        <v>2754.7999999999997</v>
      </c>
      <c r="I107" s="48">
        <f t="shared" si="38"/>
        <v>-3.1399738638013486</v>
      </c>
      <c r="J107">
        <v>647</v>
      </c>
    </row>
    <row r="108" spans="1:11" x14ac:dyDescent="0.25">
      <c r="A108" s="35">
        <f t="shared" si="2"/>
        <v>39590</v>
      </c>
      <c r="C108">
        <v>610.9</v>
      </c>
      <c r="D108">
        <v>395.2</v>
      </c>
      <c r="E108">
        <v>2134.5</v>
      </c>
      <c r="F108">
        <v>2377</v>
      </c>
      <c r="G108" s="14">
        <f t="shared" ref="G108:H110" si="39">+C108+E108</f>
        <v>2745.4</v>
      </c>
      <c r="H108" s="2">
        <f t="shared" si="39"/>
        <v>2772.2</v>
      </c>
      <c r="I108" s="48">
        <f t="shared" si="38"/>
        <v>-0.96674121636244337</v>
      </c>
      <c r="J108">
        <v>647.4</v>
      </c>
    </row>
    <row r="109" spans="1:11" x14ac:dyDescent="0.25">
      <c r="A109" s="35">
        <f t="shared" si="2"/>
        <v>39597</v>
      </c>
      <c r="C109">
        <v>601.1</v>
      </c>
      <c r="D109">
        <v>382.9</v>
      </c>
      <c r="E109">
        <v>2165.1999999999998</v>
      </c>
      <c r="F109">
        <v>2418.9</v>
      </c>
      <c r="G109" s="14">
        <f t="shared" si="39"/>
        <v>2766.2999999999997</v>
      </c>
      <c r="H109" s="2">
        <f t="shared" si="39"/>
        <v>2801.8</v>
      </c>
      <c r="I109" s="48">
        <f t="shared" si="38"/>
        <v>-1.2670426154615</v>
      </c>
      <c r="J109">
        <v>648.4</v>
      </c>
    </row>
    <row r="110" spans="1:11" x14ac:dyDescent="0.25">
      <c r="A110" s="35">
        <f t="shared" si="2"/>
        <v>39604</v>
      </c>
      <c r="C110">
        <v>601.1</v>
      </c>
      <c r="D110">
        <v>385</v>
      </c>
      <c r="E110">
        <v>2196</v>
      </c>
      <c r="F110">
        <v>2462.5</v>
      </c>
      <c r="G110" s="14">
        <f t="shared" si="39"/>
        <v>2797.1</v>
      </c>
      <c r="H110" s="2">
        <f t="shared" si="39"/>
        <v>2847.5</v>
      </c>
      <c r="I110" s="48">
        <f t="shared" si="38"/>
        <v>-1.7699736611062389</v>
      </c>
      <c r="J110">
        <v>649.4</v>
      </c>
    </row>
    <row r="111" spans="1:11" x14ac:dyDescent="0.25">
      <c r="A111" s="35">
        <f t="shared" si="2"/>
        <v>39611</v>
      </c>
      <c r="C111">
        <v>601.1</v>
      </c>
      <c r="D111">
        <v>385</v>
      </c>
      <c r="E111">
        <v>2196</v>
      </c>
      <c r="F111">
        <v>2462.5</v>
      </c>
      <c r="G111" s="14">
        <f t="shared" ref="G111:H113" si="40">+C111+E111</f>
        <v>2797.1</v>
      </c>
      <c r="H111" s="2">
        <f t="shared" si="40"/>
        <v>2847.5</v>
      </c>
      <c r="I111" s="48">
        <f t="shared" ref="I111:I116" si="41">+(G111/H111-1)*100</f>
        <v>-1.7699736611062389</v>
      </c>
      <c r="J111">
        <v>649.4</v>
      </c>
    </row>
    <row r="112" spans="1:11" x14ac:dyDescent="0.25">
      <c r="A112" s="35">
        <f t="shared" si="2"/>
        <v>39618</v>
      </c>
      <c r="C112">
        <v>509.4</v>
      </c>
      <c r="D112">
        <v>467.4</v>
      </c>
      <c r="E112">
        <v>2337.5</v>
      </c>
      <c r="F112">
        <v>2532.8000000000002</v>
      </c>
      <c r="G112" s="14">
        <f t="shared" si="40"/>
        <v>2846.9</v>
      </c>
      <c r="H112" s="2">
        <f t="shared" si="40"/>
        <v>3000.2000000000003</v>
      </c>
      <c r="I112" s="48">
        <f t="shared" si="41"/>
        <v>-5.1096593560429397</v>
      </c>
      <c r="J112">
        <v>672.2</v>
      </c>
    </row>
    <row r="113" spans="1:11" x14ac:dyDescent="0.25">
      <c r="A113" s="35">
        <f t="shared" si="2"/>
        <v>39625</v>
      </c>
      <c r="C113">
        <v>531.6</v>
      </c>
      <c r="D113">
        <v>378.4</v>
      </c>
      <c r="E113">
        <v>2371.8000000000002</v>
      </c>
      <c r="F113">
        <v>2644.3</v>
      </c>
      <c r="G113" s="14">
        <f t="shared" si="40"/>
        <v>2903.4</v>
      </c>
      <c r="H113" s="2">
        <f t="shared" si="40"/>
        <v>3022.7000000000003</v>
      </c>
      <c r="I113" s="48">
        <f t="shared" si="41"/>
        <v>-3.9468025275416041</v>
      </c>
      <c r="J113">
        <v>683.7</v>
      </c>
    </row>
    <row r="114" spans="1:11" x14ac:dyDescent="0.25">
      <c r="A114" s="35">
        <f t="shared" si="2"/>
        <v>39632</v>
      </c>
      <c r="C114">
        <v>513.29999999999995</v>
      </c>
      <c r="D114">
        <v>425.2</v>
      </c>
      <c r="E114">
        <v>2404.6</v>
      </c>
      <c r="F114">
        <v>2648.8</v>
      </c>
      <c r="G114" s="14">
        <f t="shared" ref="G114:H116" si="42">+C114+E114</f>
        <v>2917.8999999999996</v>
      </c>
      <c r="H114" s="2">
        <f t="shared" si="42"/>
        <v>3074</v>
      </c>
      <c r="I114" s="48">
        <f t="shared" si="41"/>
        <v>-5.0780741704619548</v>
      </c>
      <c r="J114">
        <v>738.7</v>
      </c>
    </row>
    <row r="115" spans="1:11" x14ac:dyDescent="0.25">
      <c r="A115" s="35">
        <f t="shared" si="2"/>
        <v>39639</v>
      </c>
      <c r="C115">
        <v>507.2</v>
      </c>
      <c r="D115">
        <v>419.8</v>
      </c>
      <c r="E115">
        <v>2431.1999999999998</v>
      </c>
      <c r="F115">
        <v>2757</v>
      </c>
      <c r="G115" s="14">
        <f t="shared" si="42"/>
        <v>2938.3999999999996</v>
      </c>
      <c r="H115" s="2">
        <f t="shared" si="42"/>
        <v>3176.8</v>
      </c>
      <c r="I115" s="48">
        <f t="shared" si="41"/>
        <v>-7.5044069503903525</v>
      </c>
      <c r="J115">
        <v>759.1</v>
      </c>
    </row>
    <row r="116" spans="1:11" x14ac:dyDescent="0.25">
      <c r="A116" s="35">
        <f t="shared" si="2"/>
        <v>39646</v>
      </c>
      <c r="C116">
        <v>512.5</v>
      </c>
      <c r="D116">
        <v>487.2</v>
      </c>
      <c r="E116">
        <v>2436.3000000000002</v>
      </c>
      <c r="F116">
        <v>2803.6</v>
      </c>
      <c r="G116" s="14">
        <f t="shared" si="42"/>
        <v>2948.8</v>
      </c>
      <c r="H116" s="2">
        <f t="shared" si="42"/>
        <v>3290.7999999999997</v>
      </c>
      <c r="I116" s="48">
        <f t="shared" si="41"/>
        <v>-10.392609699769039</v>
      </c>
      <c r="J116">
        <v>761.6</v>
      </c>
    </row>
    <row r="117" spans="1:11" x14ac:dyDescent="0.25">
      <c r="A117" s="35">
        <f t="shared" si="2"/>
        <v>39653</v>
      </c>
      <c r="C117">
        <v>475.4</v>
      </c>
      <c r="D117">
        <v>494.8</v>
      </c>
      <c r="E117">
        <v>2538</v>
      </c>
      <c r="F117">
        <v>2812.2</v>
      </c>
      <c r="G117" s="14">
        <f t="shared" ref="G117:H119" si="43">+C117+E117</f>
        <v>3013.4</v>
      </c>
      <c r="H117" s="2">
        <f t="shared" si="43"/>
        <v>3307</v>
      </c>
      <c r="I117" s="48">
        <f t="shared" ref="I117:I122" si="44">+(G117/H117-1)*100</f>
        <v>-8.8781372845479272</v>
      </c>
      <c r="J117">
        <v>787.6</v>
      </c>
    </row>
    <row r="118" spans="1:11" x14ac:dyDescent="0.25">
      <c r="A118" s="35">
        <f t="shared" si="2"/>
        <v>39660</v>
      </c>
      <c r="C118">
        <v>468.6</v>
      </c>
      <c r="D118">
        <v>380.8</v>
      </c>
      <c r="E118">
        <v>2553.1999999999998</v>
      </c>
      <c r="F118">
        <v>2927.4</v>
      </c>
      <c r="G118" s="14">
        <f t="shared" si="43"/>
        <v>3021.7999999999997</v>
      </c>
      <c r="H118" s="2">
        <f t="shared" si="43"/>
        <v>3308.2000000000003</v>
      </c>
      <c r="I118" s="48">
        <f t="shared" si="44"/>
        <v>-8.6572758599842921</v>
      </c>
      <c r="J118">
        <v>796.6</v>
      </c>
    </row>
    <row r="119" spans="1:11" x14ac:dyDescent="0.25">
      <c r="A119" s="35">
        <f t="shared" si="2"/>
        <v>39667</v>
      </c>
      <c r="C119">
        <v>430.6</v>
      </c>
      <c r="D119">
        <v>365.6</v>
      </c>
      <c r="E119">
        <v>2592.1</v>
      </c>
      <c r="F119">
        <v>2944.4</v>
      </c>
      <c r="G119" s="14">
        <f t="shared" si="43"/>
        <v>3022.7</v>
      </c>
      <c r="H119" s="2">
        <f t="shared" si="43"/>
        <v>3310</v>
      </c>
      <c r="I119" s="48">
        <f t="shared" si="44"/>
        <v>-8.6797583081571048</v>
      </c>
      <c r="J119">
        <v>824.6</v>
      </c>
    </row>
    <row r="120" spans="1:11" x14ac:dyDescent="0.25">
      <c r="A120" s="35">
        <f t="shared" si="2"/>
        <v>39674</v>
      </c>
      <c r="C120">
        <v>350</v>
      </c>
      <c r="D120">
        <v>259.60000000000002</v>
      </c>
      <c r="E120">
        <v>2599.9</v>
      </c>
      <c r="F120">
        <v>3032</v>
      </c>
      <c r="G120" s="14">
        <f t="shared" ref="G120:H122" si="45">+C120+E120</f>
        <v>2949.9</v>
      </c>
      <c r="H120" s="2">
        <f t="shared" si="45"/>
        <v>3291.6</v>
      </c>
      <c r="I120" s="48">
        <f t="shared" si="44"/>
        <v>-10.380969741159307</v>
      </c>
      <c r="J120">
        <v>911</v>
      </c>
    </row>
    <row r="121" spans="1:11" x14ac:dyDescent="0.25">
      <c r="A121" s="35">
        <f t="shared" si="2"/>
        <v>39681</v>
      </c>
      <c r="C121">
        <v>274.10000000000002</v>
      </c>
      <c r="D121">
        <v>198.1</v>
      </c>
      <c r="E121">
        <v>2679.7</v>
      </c>
      <c r="F121">
        <v>3114.5</v>
      </c>
      <c r="G121" s="14">
        <f t="shared" si="45"/>
        <v>2953.7999999999997</v>
      </c>
      <c r="H121" s="2">
        <f t="shared" si="45"/>
        <v>3312.6</v>
      </c>
      <c r="I121" s="48">
        <f t="shared" si="44"/>
        <v>-10.831371128418766</v>
      </c>
      <c r="J121">
        <v>937.2</v>
      </c>
    </row>
    <row r="122" spans="1:11" x14ac:dyDescent="0.25">
      <c r="A122" s="35">
        <f t="shared" si="2"/>
        <v>39688</v>
      </c>
      <c r="C122">
        <v>270.60000000000002</v>
      </c>
      <c r="D122">
        <v>175.2</v>
      </c>
      <c r="E122">
        <v>2683.2</v>
      </c>
      <c r="F122">
        <v>3158.5</v>
      </c>
      <c r="G122" s="14">
        <f t="shared" si="45"/>
        <v>2953.7999999999997</v>
      </c>
      <c r="H122" s="2">
        <f t="shared" si="45"/>
        <v>3333.7</v>
      </c>
      <c r="I122" s="48">
        <f t="shared" si="44"/>
        <v>-11.395746467888534</v>
      </c>
      <c r="J122">
        <v>921</v>
      </c>
      <c r="K122" s="14">
        <f>+G122-Data!N81</f>
        <v>2709.7999999999997</v>
      </c>
    </row>
    <row r="123" spans="1:11" x14ac:dyDescent="0.25">
      <c r="A123" s="35">
        <f t="shared" si="2"/>
        <v>39695</v>
      </c>
      <c r="C123">
        <v>1204.3</v>
      </c>
      <c r="D123">
        <v>694.7</v>
      </c>
      <c r="E123">
        <v>1.6</v>
      </c>
      <c r="F123">
        <v>1</v>
      </c>
      <c r="G123" s="14">
        <f t="shared" ref="G123:H125" si="46">+C123+E123</f>
        <v>1205.8999999999999</v>
      </c>
      <c r="H123" s="2">
        <f t="shared" si="46"/>
        <v>695.7</v>
      </c>
      <c r="I123" s="48">
        <f t="shared" ref="I123:I128" si="47">+(G123/H123-1)*100</f>
        <v>73.33620813569064</v>
      </c>
    </row>
    <row r="124" spans="1:11" x14ac:dyDescent="0.25">
      <c r="A124" s="35">
        <f t="shared" si="2"/>
        <v>39702</v>
      </c>
      <c r="C124">
        <v>1178.3</v>
      </c>
      <c r="D124">
        <v>771.3</v>
      </c>
      <c r="E124">
        <v>109</v>
      </c>
      <c r="F124">
        <v>78.099999999999994</v>
      </c>
      <c r="G124" s="14">
        <f t="shared" si="46"/>
        <v>1287.3</v>
      </c>
      <c r="H124" s="2">
        <f t="shared" si="46"/>
        <v>849.4</v>
      </c>
      <c r="I124" s="48">
        <f t="shared" si="47"/>
        <v>51.554038144572644</v>
      </c>
    </row>
    <row r="125" spans="1:11" x14ac:dyDescent="0.25">
      <c r="A125" s="35">
        <f t="shared" si="2"/>
        <v>39709</v>
      </c>
      <c r="C125">
        <v>1188.5999999999999</v>
      </c>
      <c r="D125">
        <v>736.5</v>
      </c>
      <c r="E125">
        <v>121</v>
      </c>
      <c r="F125">
        <v>133</v>
      </c>
      <c r="G125" s="14">
        <f t="shared" si="46"/>
        <v>1309.5999999999999</v>
      </c>
      <c r="H125" s="2">
        <f t="shared" si="46"/>
        <v>869.5</v>
      </c>
      <c r="I125" s="48">
        <f t="shared" si="47"/>
        <v>50.615296147211033</v>
      </c>
    </row>
    <row r="126" spans="1:11" x14ac:dyDescent="0.25">
      <c r="A126" s="35">
        <f t="shared" si="2"/>
        <v>39716</v>
      </c>
      <c r="C126">
        <v>1170.3</v>
      </c>
      <c r="D126">
        <v>704.7</v>
      </c>
      <c r="E126">
        <v>132.4</v>
      </c>
      <c r="F126">
        <v>188.5</v>
      </c>
      <c r="G126" s="14">
        <f t="shared" ref="G126:H128" si="48">+C126+E126</f>
        <v>1302.7</v>
      </c>
      <c r="H126" s="2">
        <f t="shared" si="48"/>
        <v>893.2</v>
      </c>
      <c r="I126" s="48">
        <f t="shared" si="47"/>
        <v>45.846394984326011</v>
      </c>
    </row>
    <row r="127" spans="1:11" x14ac:dyDescent="0.25">
      <c r="A127" s="35">
        <f t="shared" si="2"/>
        <v>39723</v>
      </c>
      <c r="C127">
        <v>1221.0999999999999</v>
      </c>
      <c r="D127">
        <v>708.6</v>
      </c>
      <c r="E127">
        <v>175.7</v>
      </c>
      <c r="F127">
        <v>207.7</v>
      </c>
      <c r="G127" s="14">
        <f t="shared" si="48"/>
        <v>1396.8</v>
      </c>
      <c r="H127" s="2">
        <f t="shared" si="48"/>
        <v>916.3</v>
      </c>
      <c r="I127" s="48">
        <f t="shared" si="47"/>
        <v>52.439157481174291</v>
      </c>
    </row>
    <row r="128" spans="1:11" x14ac:dyDescent="0.25">
      <c r="A128" s="35">
        <f t="shared" si="2"/>
        <v>39730</v>
      </c>
      <c r="C128">
        <v>1238.0999999999999</v>
      </c>
      <c r="D128">
        <v>681.6</v>
      </c>
      <c r="E128">
        <v>180.1</v>
      </c>
      <c r="F128">
        <v>326.8</v>
      </c>
      <c r="G128" s="14">
        <f t="shared" si="48"/>
        <v>1418.1999999999998</v>
      </c>
      <c r="H128" s="2">
        <f t="shared" si="48"/>
        <v>1008.4000000000001</v>
      </c>
      <c r="I128" s="48">
        <f t="shared" si="47"/>
        <v>40.638635462118167</v>
      </c>
    </row>
    <row r="129" spans="1:9" x14ac:dyDescent="0.25">
      <c r="A129" s="35">
        <f t="shared" si="2"/>
        <v>39737</v>
      </c>
      <c r="C129">
        <v>1047.3</v>
      </c>
      <c r="D129">
        <v>633.70000000000005</v>
      </c>
      <c r="E129">
        <v>339.1</v>
      </c>
      <c r="F129">
        <v>395.7</v>
      </c>
      <c r="G129" s="14">
        <f t="shared" ref="G129:H131" si="49">+C129+E129</f>
        <v>1386.4</v>
      </c>
      <c r="H129" s="2">
        <f t="shared" si="49"/>
        <v>1029.4000000000001</v>
      </c>
      <c r="I129" s="48">
        <f t="shared" ref="I129:I134" si="50">+(G129/H129-1)*100</f>
        <v>34.680396347386818</v>
      </c>
    </row>
    <row r="130" spans="1:9" x14ac:dyDescent="0.25">
      <c r="A130" s="35">
        <f t="shared" si="2"/>
        <v>39744</v>
      </c>
      <c r="C130">
        <v>1094.0999999999999</v>
      </c>
      <c r="D130">
        <v>660.3</v>
      </c>
      <c r="E130">
        <v>369.6</v>
      </c>
      <c r="F130">
        <v>447.6</v>
      </c>
      <c r="G130" s="14">
        <f t="shared" si="49"/>
        <v>1463.6999999999998</v>
      </c>
      <c r="H130" s="2">
        <f t="shared" si="49"/>
        <v>1107.9000000000001</v>
      </c>
      <c r="I130" s="48">
        <f t="shared" si="50"/>
        <v>32.114811806119661</v>
      </c>
    </row>
    <row r="131" spans="1:9" x14ac:dyDescent="0.25">
      <c r="A131" s="35">
        <f t="shared" si="2"/>
        <v>39751</v>
      </c>
      <c r="C131">
        <v>1168.2</v>
      </c>
      <c r="D131">
        <v>750.9</v>
      </c>
      <c r="E131">
        <v>393</v>
      </c>
      <c r="F131">
        <v>456</v>
      </c>
      <c r="G131" s="14">
        <f t="shared" si="49"/>
        <v>1561.2</v>
      </c>
      <c r="H131" s="2">
        <f t="shared" si="49"/>
        <v>1206.9000000000001</v>
      </c>
      <c r="I131" s="48">
        <f t="shared" si="50"/>
        <v>29.356201839423314</v>
      </c>
    </row>
    <row r="132" spans="1:9" x14ac:dyDescent="0.25">
      <c r="A132" s="35">
        <f t="shared" si="2"/>
        <v>39758</v>
      </c>
      <c r="C132">
        <v>1164.2</v>
      </c>
      <c r="D132">
        <v>792.3</v>
      </c>
      <c r="E132">
        <v>415.8</v>
      </c>
      <c r="F132">
        <v>600.70000000000005</v>
      </c>
      <c r="G132" s="14">
        <f t="shared" ref="G132:H134" si="51">+C132+E132</f>
        <v>1580</v>
      </c>
      <c r="H132" s="2">
        <f t="shared" si="51"/>
        <v>1393</v>
      </c>
      <c r="I132" s="48">
        <f t="shared" si="50"/>
        <v>13.424264178033019</v>
      </c>
    </row>
    <row r="133" spans="1:9" x14ac:dyDescent="0.25">
      <c r="A133" s="35">
        <f t="shared" si="2"/>
        <v>39765</v>
      </c>
      <c r="C133">
        <v>1123.9000000000001</v>
      </c>
      <c r="D133">
        <v>750.3</v>
      </c>
      <c r="E133">
        <v>481.9</v>
      </c>
      <c r="F133">
        <v>656</v>
      </c>
      <c r="G133" s="14">
        <f t="shared" si="51"/>
        <v>1605.8000000000002</v>
      </c>
      <c r="H133" s="2">
        <f t="shared" si="51"/>
        <v>1406.3</v>
      </c>
      <c r="I133" s="48">
        <f t="shared" si="50"/>
        <v>14.186162269785974</v>
      </c>
    </row>
    <row r="134" spans="1:9" x14ac:dyDescent="0.25">
      <c r="A134" s="35">
        <f t="shared" si="2"/>
        <v>39772</v>
      </c>
      <c r="C134">
        <v>1160.5</v>
      </c>
      <c r="D134">
        <v>786.8</v>
      </c>
      <c r="E134">
        <v>542.20000000000005</v>
      </c>
      <c r="F134">
        <v>752.3</v>
      </c>
      <c r="G134" s="14">
        <f t="shared" si="51"/>
        <v>1702.7</v>
      </c>
      <c r="H134" s="2">
        <f t="shared" si="51"/>
        <v>1539.1</v>
      </c>
      <c r="I134" s="48">
        <f t="shared" si="50"/>
        <v>10.629588720680916</v>
      </c>
    </row>
    <row r="135" spans="1:9" x14ac:dyDescent="0.25">
      <c r="A135" s="35">
        <f t="shared" si="2"/>
        <v>39779</v>
      </c>
      <c r="C135">
        <v>1101</v>
      </c>
      <c r="D135">
        <v>815.8</v>
      </c>
      <c r="E135">
        <v>610.4</v>
      </c>
      <c r="F135">
        <v>777.3</v>
      </c>
      <c r="G135" s="14">
        <f t="shared" ref="G135:H137" si="52">+C135+E135</f>
        <v>1711.4</v>
      </c>
      <c r="H135" s="2">
        <f t="shared" si="52"/>
        <v>1593.1</v>
      </c>
      <c r="I135" s="48">
        <f t="shared" ref="I135:I140" si="53">+(G135/H135-1)*100</f>
        <v>7.4257736488607229</v>
      </c>
    </row>
    <row r="136" spans="1:9" x14ac:dyDescent="0.25">
      <c r="A136" s="35">
        <f t="shared" si="2"/>
        <v>39786</v>
      </c>
      <c r="C136">
        <v>1082.5999999999999</v>
      </c>
      <c r="D136">
        <v>868</v>
      </c>
      <c r="E136">
        <v>631.6</v>
      </c>
      <c r="F136">
        <v>784.4</v>
      </c>
      <c r="G136" s="14">
        <f t="shared" si="52"/>
        <v>1714.1999999999998</v>
      </c>
      <c r="H136" s="2">
        <f t="shared" si="52"/>
        <v>1652.4</v>
      </c>
      <c r="I136" s="48">
        <f t="shared" si="53"/>
        <v>3.740014524328239</v>
      </c>
    </row>
    <row r="137" spans="1:9" x14ac:dyDescent="0.25">
      <c r="A137" s="35">
        <f t="shared" si="2"/>
        <v>39793</v>
      </c>
      <c r="C137">
        <v>1042.5</v>
      </c>
      <c r="D137">
        <v>837.7</v>
      </c>
      <c r="E137">
        <v>653.4</v>
      </c>
      <c r="F137">
        <v>855.8</v>
      </c>
      <c r="G137" s="14">
        <f t="shared" si="52"/>
        <v>1695.9</v>
      </c>
      <c r="H137" s="2">
        <f t="shared" si="52"/>
        <v>1693.5</v>
      </c>
      <c r="I137" s="48">
        <f t="shared" si="53"/>
        <v>0.14171833480958185</v>
      </c>
    </row>
    <row r="138" spans="1:9" x14ac:dyDescent="0.25">
      <c r="A138" s="35">
        <f t="shared" si="2"/>
        <v>39800</v>
      </c>
      <c r="C138">
        <v>984</v>
      </c>
      <c r="D138">
        <v>793.2</v>
      </c>
      <c r="E138">
        <v>710.5</v>
      </c>
      <c r="F138">
        <v>905.4</v>
      </c>
      <c r="G138" s="14">
        <f t="shared" ref="G138:H140" si="54">+C138+E138</f>
        <v>1694.5</v>
      </c>
      <c r="H138" s="2">
        <f t="shared" si="54"/>
        <v>1698.6</v>
      </c>
      <c r="I138" s="48">
        <f t="shared" si="53"/>
        <v>-0.241375250206044</v>
      </c>
    </row>
    <row r="139" spans="1:9" x14ac:dyDescent="0.25">
      <c r="A139" s="35">
        <f t="shared" si="2"/>
        <v>39807</v>
      </c>
      <c r="C139">
        <v>993.8</v>
      </c>
      <c r="D139">
        <v>787</v>
      </c>
      <c r="E139">
        <v>788.6</v>
      </c>
      <c r="F139">
        <v>927.7</v>
      </c>
      <c r="G139" s="14">
        <f t="shared" si="54"/>
        <v>1782.4</v>
      </c>
      <c r="H139" s="2">
        <f t="shared" si="54"/>
        <v>1714.7</v>
      </c>
      <c r="I139" s="48">
        <f t="shared" si="53"/>
        <v>3.9482125153088132</v>
      </c>
    </row>
    <row r="140" spans="1:9" x14ac:dyDescent="0.25">
      <c r="A140" s="35">
        <f t="shared" si="2"/>
        <v>39814</v>
      </c>
      <c r="C140">
        <v>1036.0999999999999</v>
      </c>
      <c r="D140">
        <v>724.2</v>
      </c>
      <c r="E140">
        <v>803.8</v>
      </c>
      <c r="F140">
        <v>1014.4</v>
      </c>
      <c r="G140" s="14">
        <f t="shared" si="54"/>
        <v>1839.8999999999999</v>
      </c>
      <c r="H140" s="2">
        <f t="shared" si="54"/>
        <v>1738.6</v>
      </c>
      <c r="I140" s="48">
        <f t="shared" si="53"/>
        <v>5.8265270907626787</v>
      </c>
    </row>
    <row r="141" spans="1:9" x14ac:dyDescent="0.25">
      <c r="A141" s="35">
        <f t="shared" si="2"/>
        <v>39821</v>
      </c>
      <c r="C141">
        <v>987.7</v>
      </c>
      <c r="D141">
        <v>845.6</v>
      </c>
      <c r="E141">
        <v>886.9</v>
      </c>
      <c r="F141">
        <v>1077.3</v>
      </c>
      <c r="G141" s="14">
        <f t="shared" ref="G141:H143" si="55">+C141+E141</f>
        <v>1874.6</v>
      </c>
      <c r="H141" s="2">
        <f t="shared" si="55"/>
        <v>1922.9</v>
      </c>
      <c r="I141" s="48">
        <f t="shared" ref="I141:I146" si="56">+(G141/H141-1)*100</f>
        <v>-2.511831088460148</v>
      </c>
    </row>
    <row r="142" spans="1:9" x14ac:dyDescent="0.25">
      <c r="A142" s="35">
        <f t="shared" si="2"/>
        <v>39828</v>
      </c>
      <c r="C142">
        <v>930</v>
      </c>
      <c r="D142">
        <v>866.7</v>
      </c>
      <c r="E142">
        <v>967</v>
      </c>
      <c r="F142">
        <v>1130.5999999999999</v>
      </c>
      <c r="G142" s="14">
        <f t="shared" si="55"/>
        <v>1897</v>
      </c>
      <c r="H142" s="2">
        <f t="shared" si="55"/>
        <v>1997.3</v>
      </c>
      <c r="I142" s="48">
        <f t="shared" si="56"/>
        <v>-5.0217794021929603</v>
      </c>
    </row>
    <row r="143" spans="1:9" x14ac:dyDescent="0.25">
      <c r="A143" s="35">
        <f t="shared" si="2"/>
        <v>39835</v>
      </c>
      <c r="C143">
        <v>881.3</v>
      </c>
      <c r="D143">
        <v>821.5</v>
      </c>
      <c r="E143">
        <v>1018.1</v>
      </c>
      <c r="F143">
        <v>1183.8</v>
      </c>
      <c r="G143" s="14">
        <f t="shared" si="55"/>
        <v>1899.4</v>
      </c>
      <c r="H143" s="2">
        <f t="shared" si="55"/>
        <v>2005.3</v>
      </c>
      <c r="I143" s="48">
        <f t="shared" si="56"/>
        <v>-5.2810053358599678</v>
      </c>
    </row>
    <row r="144" spans="1:9" x14ac:dyDescent="0.25">
      <c r="A144" s="35">
        <f t="shared" si="2"/>
        <v>39842</v>
      </c>
      <c r="C144">
        <v>926.7</v>
      </c>
      <c r="D144">
        <v>783.2</v>
      </c>
      <c r="E144">
        <v>1055.5999999999999</v>
      </c>
      <c r="F144">
        <v>1280.7</v>
      </c>
      <c r="G144" s="14">
        <f t="shared" ref="G144:H146" si="57">+C144+E144</f>
        <v>1982.3</v>
      </c>
      <c r="H144" s="2">
        <f t="shared" si="57"/>
        <v>2063.9</v>
      </c>
      <c r="I144" s="48">
        <f t="shared" si="56"/>
        <v>-3.9536799263530265</v>
      </c>
    </row>
    <row r="145" spans="1:10" x14ac:dyDescent="0.25">
      <c r="A145" s="35">
        <f t="shared" si="2"/>
        <v>39849</v>
      </c>
      <c r="C145">
        <v>873.2</v>
      </c>
      <c r="D145">
        <v>744.1</v>
      </c>
      <c r="E145">
        <v>1113.5999999999999</v>
      </c>
      <c r="F145">
        <v>1356.4</v>
      </c>
      <c r="G145" s="14">
        <f t="shared" si="57"/>
        <v>1986.8</v>
      </c>
      <c r="H145" s="2">
        <f t="shared" si="57"/>
        <v>2100.5</v>
      </c>
      <c r="I145" s="48">
        <f t="shared" si="56"/>
        <v>-5.4129969054986908</v>
      </c>
    </row>
    <row r="146" spans="1:10" x14ac:dyDescent="0.25">
      <c r="A146" s="35">
        <f t="shared" si="2"/>
        <v>39856</v>
      </c>
      <c r="C146">
        <v>837.5</v>
      </c>
      <c r="D146">
        <v>725.4</v>
      </c>
      <c r="E146">
        <v>1165.2</v>
      </c>
      <c r="F146">
        <v>1411.7</v>
      </c>
      <c r="G146" s="14">
        <f t="shared" si="57"/>
        <v>2002.7</v>
      </c>
      <c r="H146" s="2">
        <f t="shared" si="57"/>
        <v>2137.1</v>
      </c>
      <c r="I146" s="48">
        <f t="shared" si="56"/>
        <v>-6.2888961677038946</v>
      </c>
    </row>
    <row r="147" spans="1:10" x14ac:dyDescent="0.25">
      <c r="A147" s="35">
        <f t="shared" si="2"/>
        <v>39863</v>
      </c>
      <c r="C147">
        <v>809.4</v>
      </c>
      <c r="D147">
        <v>802.7</v>
      </c>
      <c r="E147">
        <v>1211.8</v>
      </c>
      <c r="F147">
        <v>1434.9</v>
      </c>
      <c r="G147" s="14">
        <f t="shared" ref="G147:H149" si="58">+C147+E147</f>
        <v>2021.1999999999998</v>
      </c>
      <c r="H147" s="2">
        <f t="shared" si="58"/>
        <v>2237.6000000000004</v>
      </c>
      <c r="I147" s="48">
        <f t="shared" ref="I147:I152" si="59">+(G147/H147-1)*100</f>
        <v>-9.6710761530211187</v>
      </c>
    </row>
    <row r="148" spans="1:10" x14ac:dyDescent="0.25">
      <c r="A148" s="35">
        <f t="shared" si="2"/>
        <v>39870</v>
      </c>
      <c r="C148">
        <v>819.2</v>
      </c>
      <c r="D148">
        <v>788.9</v>
      </c>
      <c r="E148">
        <v>1252.5</v>
      </c>
      <c r="F148">
        <v>1464.3</v>
      </c>
      <c r="G148" s="14">
        <f t="shared" si="58"/>
        <v>2071.6999999999998</v>
      </c>
      <c r="H148" s="2">
        <f t="shared" si="58"/>
        <v>2253.1999999999998</v>
      </c>
      <c r="I148" s="48">
        <f t="shared" si="59"/>
        <v>-8.0552103674773612</v>
      </c>
    </row>
    <row r="149" spans="1:10" x14ac:dyDescent="0.25">
      <c r="A149" s="35">
        <f t="shared" si="2"/>
        <v>39877</v>
      </c>
      <c r="C149">
        <v>745.9</v>
      </c>
      <c r="D149">
        <v>766</v>
      </c>
      <c r="E149">
        <v>1327.3</v>
      </c>
      <c r="F149">
        <v>1523.3</v>
      </c>
      <c r="G149" s="14">
        <f t="shared" si="58"/>
        <v>2073.1999999999998</v>
      </c>
      <c r="H149" s="2">
        <f t="shared" si="58"/>
        <v>2289.3000000000002</v>
      </c>
      <c r="I149" s="48">
        <f t="shared" si="59"/>
        <v>-9.4395666797711275</v>
      </c>
    </row>
    <row r="150" spans="1:10" x14ac:dyDescent="0.25">
      <c r="A150" s="35">
        <f t="shared" si="2"/>
        <v>39884</v>
      </c>
      <c r="C150">
        <v>709</v>
      </c>
      <c r="D150">
        <v>737.5</v>
      </c>
      <c r="E150">
        <v>1380.3</v>
      </c>
      <c r="F150">
        <v>1600</v>
      </c>
      <c r="G150" s="14">
        <f t="shared" ref="G150:H152" si="60">+C150+E150</f>
        <v>2089.3000000000002</v>
      </c>
      <c r="H150" s="2">
        <f t="shared" si="60"/>
        <v>2337.5</v>
      </c>
      <c r="I150" s="48">
        <f t="shared" si="59"/>
        <v>-10.618181818181816</v>
      </c>
    </row>
    <row r="151" spans="1:10" x14ac:dyDescent="0.25">
      <c r="A151" s="35">
        <f t="shared" si="2"/>
        <v>39891</v>
      </c>
      <c r="C151">
        <v>699.7</v>
      </c>
      <c r="D151">
        <v>633.70000000000005</v>
      </c>
      <c r="E151">
        <v>1390.9</v>
      </c>
      <c r="F151">
        <v>1709.1</v>
      </c>
      <c r="G151" s="14">
        <f t="shared" si="60"/>
        <v>2090.6000000000004</v>
      </c>
      <c r="H151" s="2">
        <f t="shared" si="60"/>
        <v>2342.8000000000002</v>
      </c>
      <c r="I151" s="48">
        <f t="shared" si="59"/>
        <v>-10.764896704797666</v>
      </c>
    </row>
    <row r="152" spans="1:10" x14ac:dyDescent="0.25">
      <c r="A152" s="35">
        <f t="shared" si="2"/>
        <v>39898</v>
      </c>
      <c r="C152">
        <v>691.9</v>
      </c>
      <c r="D152">
        <v>686.1</v>
      </c>
      <c r="E152">
        <v>1515</v>
      </c>
      <c r="F152">
        <v>1715.7</v>
      </c>
      <c r="G152" s="14">
        <f t="shared" si="60"/>
        <v>2206.9</v>
      </c>
      <c r="H152" s="2">
        <f t="shared" si="60"/>
        <v>2401.8000000000002</v>
      </c>
      <c r="I152" s="48">
        <f t="shared" si="59"/>
        <v>-8.1147472728786756</v>
      </c>
    </row>
    <row r="153" spans="1:10" x14ac:dyDescent="0.25">
      <c r="A153" s="35">
        <f t="shared" si="2"/>
        <v>39905</v>
      </c>
      <c r="C153">
        <v>689.1</v>
      </c>
      <c r="D153">
        <v>703.4</v>
      </c>
      <c r="E153">
        <v>1540</v>
      </c>
      <c r="F153">
        <v>1767.8</v>
      </c>
      <c r="G153" s="14">
        <f t="shared" ref="G153:G184" si="61">+C153+E153</f>
        <v>2229.1</v>
      </c>
      <c r="H153" s="2">
        <f t="shared" ref="H153:H184" si="62">+D153+F153</f>
        <v>2471.1999999999998</v>
      </c>
      <c r="I153" s="48">
        <f t="shared" ref="I153:I184" si="63">+(G153/H153-1)*100</f>
        <v>-9.796859825186143</v>
      </c>
    </row>
    <row r="154" spans="1:10" x14ac:dyDescent="0.25">
      <c r="A154" s="35">
        <f t="shared" si="2"/>
        <v>39912</v>
      </c>
      <c r="C154">
        <v>671.6</v>
      </c>
      <c r="D154">
        <v>655.20000000000005</v>
      </c>
      <c r="E154">
        <v>1558.2</v>
      </c>
      <c r="F154">
        <v>1846.2</v>
      </c>
      <c r="G154" s="14">
        <f t="shared" si="61"/>
        <v>2229.8000000000002</v>
      </c>
      <c r="H154" s="2">
        <f t="shared" si="62"/>
        <v>2501.4</v>
      </c>
      <c r="I154" s="48">
        <f t="shared" si="63"/>
        <v>-10.857919565043572</v>
      </c>
    </row>
    <row r="155" spans="1:10" x14ac:dyDescent="0.25">
      <c r="A155" s="35">
        <f t="shared" si="2"/>
        <v>39919</v>
      </c>
      <c r="C155">
        <v>610.1</v>
      </c>
      <c r="D155">
        <v>639.79999999999995</v>
      </c>
      <c r="E155">
        <v>1634.1</v>
      </c>
      <c r="F155">
        <v>1897.5</v>
      </c>
      <c r="G155" s="14">
        <f t="shared" si="61"/>
        <v>2244.1999999999998</v>
      </c>
      <c r="H155" s="2">
        <f t="shared" si="62"/>
        <v>2537.3000000000002</v>
      </c>
      <c r="I155" s="48">
        <f t="shared" si="63"/>
        <v>-11.551649391085029</v>
      </c>
    </row>
    <row r="156" spans="1:10" x14ac:dyDescent="0.25">
      <c r="A156" s="35">
        <f t="shared" si="2"/>
        <v>39926</v>
      </c>
      <c r="C156">
        <v>574.1</v>
      </c>
      <c r="D156">
        <v>601.6</v>
      </c>
      <c r="E156">
        <v>1697</v>
      </c>
      <c r="F156">
        <v>1961</v>
      </c>
      <c r="G156" s="14">
        <f t="shared" si="61"/>
        <v>2271.1</v>
      </c>
      <c r="H156" s="2">
        <f t="shared" si="62"/>
        <v>2562.6</v>
      </c>
      <c r="I156" s="48">
        <f t="shared" si="63"/>
        <v>-11.375165847186452</v>
      </c>
    </row>
    <row r="157" spans="1:10" x14ac:dyDescent="0.25">
      <c r="A157" s="35">
        <f t="shared" si="2"/>
        <v>39933</v>
      </c>
      <c r="C157">
        <v>589.20000000000005</v>
      </c>
      <c r="D157">
        <v>573</v>
      </c>
      <c r="E157">
        <v>1700.3</v>
      </c>
      <c r="F157">
        <v>1990.2</v>
      </c>
      <c r="G157" s="14">
        <f t="shared" si="61"/>
        <v>2289.5</v>
      </c>
      <c r="H157" s="2">
        <f t="shared" si="62"/>
        <v>2563.1999999999998</v>
      </c>
      <c r="I157" s="48">
        <f t="shared" si="63"/>
        <v>-10.678058676654178</v>
      </c>
      <c r="J157">
        <v>80.400000000000006</v>
      </c>
    </row>
    <row r="158" spans="1:10" x14ac:dyDescent="0.25">
      <c r="A158" s="35">
        <f t="shared" si="2"/>
        <v>39940</v>
      </c>
      <c r="C158">
        <v>557</v>
      </c>
      <c r="D158">
        <v>541.20000000000005</v>
      </c>
      <c r="E158">
        <v>1741.6</v>
      </c>
      <c r="F158">
        <v>2025.4</v>
      </c>
      <c r="G158" s="14">
        <f t="shared" si="61"/>
        <v>2298.6</v>
      </c>
      <c r="H158" s="2">
        <f t="shared" si="62"/>
        <v>2566.6000000000004</v>
      </c>
      <c r="I158" s="48">
        <f t="shared" si="63"/>
        <v>-10.441829657913203</v>
      </c>
      <c r="J158">
        <v>80.400000000000006</v>
      </c>
    </row>
    <row r="159" spans="1:10" x14ac:dyDescent="0.25">
      <c r="A159" s="35">
        <f t="shared" si="2"/>
        <v>39947</v>
      </c>
      <c r="C159">
        <v>552.29999999999995</v>
      </c>
      <c r="D159">
        <v>579.4</v>
      </c>
      <c r="E159">
        <v>1798.3</v>
      </c>
      <c r="F159">
        <v>2088.9</v>
      </c>
      <c r="G159" s="14">
        <f t="shared" si="61"/>
        <v>2350.6</v>
      </c>
      <c r="H159" s="2">
        <f t="shared" si="62"/>
        <v>2668.3</v>
      </c>
      <c r="I159" s="48">
        <f t="shared" si="63"/>
        <v>-11.906457294906881</v>
      </c>
      <c r="J159">
        <v>80.8</v>
      </c>
    </row>
    <row r="160" spans="1:10" x14ac:dyDescent="0.25">
      <c r="A160" s="35">
        <f t="shared" si="2"/>
        <v>39954</v>
      </c>
      <c r="C160">
        <v>553.20000000000005</v>
      </c>
      <c r="D160">
        <v>610.9</v>
      </c>
      <c r="E160">
        <v>1850.2</v>
      </c>
      <c r="F160">
        <v>2134.5</v>
      </c>
      <c r="G160" s="14">
        <f t="shared" si="61"/>
        <v>2403.4</v>
      </c>
      <c r="H160" s="2">
        <f t="shared" si="62"/>
        <v>2745.4</v>
      </c>
      <c r="I160" s="48">
        <f t="shared" si="63"/>
        <v>-12.457201136446416</v>
      </c>
      <c r="J160">
        <v>80.8</v>
      </c>
    </row>
    <row r="161" spans="1:10" x14ac:dyDescent="0.25">
      <c r="A161" s="35">
        <f t="shared" si="2"/>
        <v>39961</v>
      </c>
      <c r="C161">
        <v>523.4</v>
      </c>
      <c r="D161">
        <v>601.1</v>
      </c>
      <c r="E161">
        <v>1864.4</v>
      </c>
      <c r="F161">
        <v>2165.1999999999998</v>
      </c>
      <c r="G161" s="14">
        <f t="shared" si="61"/>
        <v>2387.8000000000002</v>
      </c>
      <c r="H161" s="2">
        <f t="shared" si="62"/>
        <v>2766.2999999999997</v>
      </c>
      <c r="I161" s="48">
        <f t="shared" si="63"/>
        <v>-13.682536239742603</v>
      </c>
      <c r="J161">
        <v>80.8</v>
      </c>
    </row>
    <row r="162" spans="1:10" x14ac:dyDescent="0.25">
      <c r="A162" s="35">
        <f t="shared" si="2"/>
        <v>39968</v>
      </c>
      <c r="C162">
        <v>526.79999999999995</v>
      </c>
      <c r="D162">
        <v>601.1</v>
      </c>
      <c r="E162">
        <v>1872.2</v>
      </c>
      <c r="F162">
        <v>2196</v>
      </c>
      <c r="G162" s="14">
        <f t="shared" si="61"/>
        <v>2399</v>
      </c>
      <c r="H162" s="2">
        <f t="shared" si="62"/>
        <v>2797.1</v>
      </c>
      <c r="I162" s="48">
        <f t="shared" si="63"/>
        <v>-14.232598047978263</v>
      </c>
      <c r="J162">
        <v>80.8</v>
      </c>
    </row>
    <row r="163" spans="1:10" x14ac:dyDescent="0.25">
      <c r="A163" s="35">
        <f t="shared" si="2"/>
        <v>39975</v>
      </c>
      <c r="C163">
        <v>528.5</v>
      </c>
      <c r="D163">
        <v>554</v>
      </c>
      <c r="E163">
        <v>1875.8</v>
      </c>
      <c r="F163">
        <v>2270.3000000000002</v>
      </c>
      <c r="G163" s="14">
        <f t="shared" si="61"/>
        <v>2404.3000000000002</v>
      </c>
      <c r="H163" s="2">
        <f t="shared" si="62"/>
        <v>2824.3</v>
      </c>
      <c r="I163" s="48">
        <f t="shared" si="63"/>
        <v>-14.870941472223208</v>
      </c>
      <c r="J163">
        <v>80.8</v>
      </c>
    </row>
    <row r="164" spans="1:10" x14ac:dyDescent="0.25">
      <c r="A164" s="35">
        <f t="shared" si="2"/>
        <v>39982</v>
      </c>
      <c r="C164">
        <v>481.4</v>
      </c>
      <c r="D164">
        <v>509.4</v>
      </c>
      <c r="E164">
        <v>1952.2</v>
      </c>
      <c r="F164">
        <v>2337.5</v>
      </c>
      <c r="G164" s="14">
        <f t="shared" si="61"/>
        <v>2433.6</v>
      </c>
      <c r="H164" s="2">
        <f t="shared" si="62"/>
        <v>2846.9</v>
      </c>
      <c r="I164" s="48">
        <f t="shared" si="63"/>
        <v>-14.517545400259934</v>
      </c>
      <c r="J164">
        <v>80.8</v>
      </c>
    </row>
    <row r="165" spans="1:10" x14ac:dyDescent="0.25">
      <c r="A165" s="35">
        <f t="shared" si="2"/>
        <v>39989</v>
      </c>
      <c r="C165">
        <v>502.4</v>
      </c>
      <c r="D165">
        <v>531.6</v>
      </c>
      <c r="E165">
        <v>1998.4</v>
      </c>
      <c r="F165">
        <v>2371.8000000000002</v>
      </c>
      <c r="G165" s="14">
        <f t="shared" si="61"/>
        <v>2500.8000000000002</v>
      </c>
      <c r="H165" s="2">
        <f t="shared" si="62"/>
        <v>2903.4</v>
      </c>
      <c r="I165" s="48">
        <f t="shared" si="63"/>
        <v>-13.866501343252736</v>
      </c>
      <c r="J165">
        <v>80.8</v>
      </c>
    </row>
    <row r="166" spans="1:10" x14ac:dyDescent="0.25">
      <c r="A166" s="35">
        <f t="shared" si="2"/>
        <v>39996</v>
      </c>
      <c r="C166">
        <v>510.4</v>
      </c>
      <c r="D166">
        <v>513.29999999999995</v>
      </c>
      <c r="E166">
        <v>2001.7</v>
      </c>
      <c r="F166">
        <v>2404.6</v>
      </c>
      <c r="G166" s="14">
        <f t="shared" si="61"/>
        <v>2512.1</v>
      </c>
      <c r="H166" s="2">
        <f t="shared" si="62"/>
        <v>2917.8999999999996</v>
      </c>
      <c r="I166" s="48">
        <f t="shared" si="63"/>
        <v>-13.907262072038106</v>
      </c>
      <c r="J166">
        <v>80.900000000000006</v>
      </c>
    </row>
    <row r="167" spans="1:10" x14ac:dyDescent="0.25">
      <c r="A167" s="35">
        <f t="shared" si="2"/>
        <v>40003</v>
      </c>
      <c r="C167">
        <v>489</v>
      </c>
      <c r="D167">
        <v>507.2</v>
      </c>
      <c r="E167">
        <v>2064.5</v>
      </c>
      <c r="F167">
        <v>2431.1999999999998</v>
      </c>
      <c r="G167" s="14">
        <f t="shared" si="61"/>
        <v>2553.5</v>
      </c>
      <c r="H167" s="2">
        <f t="shared" si="62"/>
        <v>2938.3999999999996</v>
      </c>
      <c r="I167" s="48">
        <f t="shared" si="63"/>
        <v>-13.098965423359644</v>
      </c>
      <c r="J167">
        <v>80.900000000000006</v>
      </c>
    </row>
    <row r="168" spans="1:10" x14ac:dyDescent="0.25">
      <c r="A168" s="35">
        <f t="shared" si="2"/>
        <v>40010</v>
      </c>
      <c r="C168">
        <v>445.7</v>
      </c>
      <c r="D168">
        <v>512.5</v>
      </c>
      <c r="E168">
        <v>2129.6</v>
      </c>
      <c r="F168">
        <v>2436.3000000000002</v>
      </c>
      <c r="G168" s="14">
        <f t="shared" si="61"/>
        <v>2575.2999999999997</v>
      </c>
      <c r="H168" s="2">
        <f t="shared" si="62"/>
        <v>2948.8</v>
      </c>
      <c r="I168" s="48">
        <f t="shared" si="63"/>
        <v>-12.666169289202401</v>
      </c>
      <c r="J168">
        <v>80.900000000000006</v>
      </c>
    </row>
    <row r="169" spans="1:10" x14ac:dyDescent="0.25">
      <c r="A169" s="35">
        <f t="shared" si="2"/>
        <v>40017</v>
      </c>
      <c r="C169">
        <v>486.5</v>
      </c>
      <c r="D169">
        <v>475.4</v>
      </c>
      <c r="E169">
        <v>2141.3000000000002</v>
      </c>
      <c r="F169">
        <v>2538</v>
      </c>
      <c r="G169" s="14">
        <f t="shared" si="61"/>
        <v>2627.8</v>
      </c>
      <c r="H169" s="2">
        <f t="shared" si="62"/>
        <v>3013.4</v>
      </c>
      <c r="I169" s="48">
        <f t="shared" si="63"/>
        <v>-12.79617707572841</v>
      </c>
      <c r="J169">
        <v>161.9</v>
      </c>
    </row>
    <row r="170" spans="1:10" x14ac:dyDescent="0.25">
      <c r="A170" s="35">
        <f t="shared" si="2"/>
        <v>40024</v>
      </c>
      <c r="C170">
        <v>422.9</v>
      </c>
      <c r="D170">
        <v>468.6</v>
      </c>
      <c r="E170">
        <v>2204.9</v>
      </c>
      <c r="F170">
        <v>2553.1999999999998</v>
      </c>
      <c r="G170" s="14">
        <f t="shared" si="61"/>
        <v>2627.8</v>
      </c>
      <c r="H170" s="2">
        <f t="shared" si="62"/>
        <v>3021.7999999999997</v>
      </c>
      <c r="I170" s="48">
        <f t="shared" si="63"/>
        <v>-13.038586273082252</v>
      </c>
      <c r="J170">
        <v>162.1</v>
      </c>
    </row>
    <row r="171" spans="1:10" x14ac:dyDescent="0.25">
      <c r="A171" s="35">
        <f t="shared" si="2"/>
        <v>40031</v>
      </c>
      <c r="C171">
        <v>454.5</v>
      </c>
      <c r="D171">
        <v>430.6</v>
      </c>
      <c r="E171">
        <v>2206.9</v>
      </c>
      <c r="F171">
        <v>2592.1</v>
      </c>
      <c r="G171" s="14">
        <f t="shared" si="61"/>
        <v>2661.4</v>
      </c>
      <c r="H171" s="2">
        <f t="shared" si="62"/>
        <v>3022.7</v>
      </c>
      <c r="I171" s="48">
        <f t="shared" si="63"/>
        <v>-11.952889800509469</v>
      </c>
      <c r="J171">
        <v>196.5</v>
      </c>
    </row>
    <row r="172" spans="1:10" x14ac:dyDescent="0.25">
      <c r="A172" s="35">
        <f t="shared" si="2"/>
        <v>40038</v>
      </c>
      <c r="C172">
        <v>413.9</v>
      </c>
      <c r="D172">
        <v>350</v>
      </c>
      <c r="E172">
        <v>2253.4</v>
      </c>
      <c r="F172">
        <v>2599.9</v>
      </c>
      <c r="G172" s="14">
        <f t="shared" si="61"/>
        <v>2667.3</v>
      </c>
      <c r="H172" s="2">
        <f t="shared" si="62"/>
        <v>2949.9</v>
      </c>
      <c r="I172" s="48">
        <f t="shared" si="63"/>
        <v>-9.5799857622292262</v>
      </c>
      <c r="J172">
        <v>196.5</v>
      </c>
    </row>
    <row r="173" spans="1:10" x14ac:dyDescent="0.25">
      <c r="A173" s="35">
        <f t="shared" si="2"/>
        <v>40045</v>
      </c>
      <c r="C173">
        <v>409.3</v>
      </c>
      <c r="D173">
        <v>274.10000000000002</v>
      </c>
      <c r="E173">
        <v>2394.5</v>
      </c>
      <c r="F173">
        <v>2679.7</v>
      </c>
      <c r="G173" s="14">
        <f t="shared" si="61"/>
        <v>2803.8</v>
      </c>
      <c r="H173" s="2">
        <f t="shared" si="62"/>
        <v>2953.7999999999997</v>
      </c>
      <c r="I173" s="48">
        <f t="shared" si="63"/>
        <v>-5.078204346942905</v>
      </c>
      <c r="J173">
        <v>196.5</v>
      </c>
    </row>
    <row r="174" spans="1:10" x14ac:dyDescent="0.25">
      <c r="A174" s="35">
        <f t="shared" si="2"/>
        <v>40052</v>
      </c>
      <c r="C174">
        <v>384.1</v>
      </c>
      <c r="D174">
        <v>270.60000000000002</v>
      </c>
      <c r="E174">
        <v>2408</v>
      </c>
      <c r="F174">
        <v>2683.2</v>
      </c>
      <c r="G174" s="14">
        <f t="shared" si="61"/>
        <v>2792.1</v>
      </c>
      <c r="H174" s="2">
        <f t="shared" si="62"/>
        <v>2953.7999999999997</v>
      </c>
      <c r="I174" s="48">
        <f t="shared" si="63"/>
        <v>-5.4743042860044611</v>
      </c>
      <c r="J174">
        <v>247.2</v>
      </c>
    </row>
    <row r="175" spans="1:10" x14ac:dyDescent="0.25">
      <c r="A175" s="35">
        <f t="shared" si="2"/>
        <v>40059</v>
      </c>
      <c r="C175">
        <v>706.3</v>
      </c>
      <c r="D175">
        <v>1204.3</v>
      </c>
      <c r="E175">
        <v>1.2</v>
      </c>
      <c r="F175">
        <v>1.6</v>
      </c>
      <c r="G175" s="14">
        <f t="shared" si="61"/>
        <v>707.5</v>
      </c>
      <c r="H175" s="2">
        <f t="shared" si="62"/>
        <v>1205.8999999999999</v>
      </c>
      <c r="I175" s="48">
        <f t="shared" si="63"/>
        <v>-41.330126876192054</v>
      </c>
    </row>
    <row r="176" spans="1:10" x14ac:dyDescent="0.25">
      <c r="A176" s="35">
        <f t="shared" si="2"/>
        <v>40066</v>
      </c>
      <c r="C176">
        <v>693.1</v>
      </c>
      <c r="D176">
        <v>1178.3</v>
      </c>
      <c r="E176">
        <v>24.1</v>
      </c>
      <c r="F176">
        <v>109</v>
      </c>
      <c r="G176" s="14">
        <f t="shared" si="61"/>
        <v>717.2</v>
      </c>
      <c r="H176" s="2">
        <f t="shared" si="62"/>
        <v>1287.3</v>
      </c>
      <c r="I176" s="48">
        <f t="shared" si="63"/>
        <v>-44.286491105414427</v>
      </c>
    </row>
    <row r="177" spans="1:10" x14ac:dyDescent="0.25">
      <c r="A177" s="35">
        <f t="shared" si="2"/>
        <v>40073</v>
      </c>
      <c r="C177">
        <v>707.8</v>
      </c>
      <c r="D177">
        <v>1188.5999999999999</v>
      </c>
      <c r="E177">
        <v>65.400000000000006</v>
      </c>
      <c r="F177">
        <v>121</v>
      </c>
      <c r="G177" s="14">
        <f t="shared" si="61"/>
        <v>773.19999999999993</v>
      </c>
      <c r="H177" s="2">
        <f t="shared" si="62"/>
        <v>1309.5999999999999</v>
      </c>
      <c r="I177" s="48">
        <f t="shared" si="63"/>
        <v>-40.959071472205252</v>
      </c>
    </row>
    <row r="178" spans="1:10" x14ac:dyDescent="0.25">
      <c r="A178" s="35">
        <f t="shared" si="2"/>
        <v>40080</v>
      </c>
      <c r="C178">
        <v>736</v>
      </c>
      <c r="D178">
        <v>1170.3</v>
      </c>
      <c r="E178">
        <v>103.9</v>
      </c>
      <c r="F178">
        <v>132.4</v>
      </c>
      <c r="G178" s="14">
        <f t="shared" si="61"/>
        <v>839.9</v>
      </c>
      <c r="H178" s="2">
        <f t="shared" si="62"/>
        <v>1302.7</v>
      </c>
      <c r="I178" s="48">
        <f t="shared" si="63"/>
        <v>-35.526214784677975</v>
      </c>
    </row>
    <row r="179" spans="1:10" x14ac:dyDescent="0.25">
      <c r="A179" s="35">
        <f t="shared" si="2"/>
        <v>40087</v>
      </c>
      <c r="C179">
        <v>763.1</v>
      </c>
      <c r="D179">
        <v>1221.0999999999999</v>
      </c>
      <c r="E179">
        <v>164.9</v>
      </c>
      <c r="F179">
        <v>175.7</v>
      </c>
      <c r="G179" s="14">
        <f t="shared" si="61"/>
        <v>928</v>
      </c>
      <c r="H179" s="2">
        <f t="shared" si="62"/>
        <v>1396.8</v>
      </c>
      <c r="I179" s="48">
        <f t="shared" si="63"/>
        <v>-33.562428407789234</v>
      </c>
    </row>
    <row r="180" spans="1:10" x14ac:dyDescent="0.25">
      <c r="A180" s="35">
        <f t="shared" si="2"/>
        <v>40094</v>
      </c>
      <c r="C180">
        <v>778.7</v>
      </c>
      <c r="D180">
        <v>1238.0999999999999</v>
      </c>
      <c r="E180">
        <v>167.6</v>
      </c>
      <c r="F180">
        <v>180.1</v>
      </c>
      <c r="G180" s="14">
        <f t="shared" si="61"/>
        <v>946.30000000000007</v>
      </c>
      <c r="H180" s="2">
        <f t="shared" si="62"/>
        <v>1418.1999999999998</v>
      </c>
      <c r="I180" s="48">
        <f t="shared" si="63"/>
        <v>-33.274573402905069</v>
      </c>
    </row>
    <row r="181" spans="1:10" x14ac:dyDescent="0.25">
      <c r="A181" s="35">
        <f t="shared" si="2"/>
        <v>40101</v>
      </c>
      <c r="C181">
        <v>772</v>
      </c>
      <c r="D181">
        <v>1047.3</v>
      </c>
      <c r="E181">
        <v>217.4</v>
      </c>
      <c r="F181">
        <v>339.1</v>
      </c>
      <c r="G181" s="14">
        <f t="shared" si="61"/>
        <v>989.4</v>
      </c>
      <c r="H181" s="2">
        <f t="shared" si="62"/>
        <v>1386.4</v>
      </c>
      <c r="I181" s="48">
        <f t="shared" si="63"/>
        <v>-28.635314483554541</v>
      </c>
    </row>
    <row r="182" spans="1:10" x14ac:dyDescent="0.25">
      <c r="A182" s="35">
        <f t="shared" si="2"/>
        <v>40108</v>
      </c>
      <c r="C182">
        <v>771.2</v>
      </c>
      <c r="D182">
        <v>1094.0999999999999</v>
      </c>
      <c r="E182">
        <v>239.2</v>
      </c>
      <c r="F182">
        <v>369.6</v>
      </c>
      <c r="G182" s="14">
        <f t="shared" si="61"/>
        <v>1010.4000000000001</v>
      </c>
      <c r="H182" s="2">
        <f t="shared" si="62"/>
        <v>1463.6999999999998</v>
      </c>
      <c r="I182" s="48">
        <f t="shared" si="63"/>
        <v>-30.969460955113735</v>
      </c>
    </row>
    <row r="183" spans="1:10" x14ac:dyDescent="0.25">
      <c r="A183" s="35">
        <f t="shared" si="2"/>
        <v>40115</v>
      </c>
      <c r="C183">
        <v>770.3</v>
      </c>
      <c r="D183">
        <v>1168.2</v>
      </c>
      <c r="E183">
        <v>286.10000000000002</v>
      </c>
      <c r="F183">
        <v>393</v>
      </c>
      <c r="G183" s="14">
        <f t="shared" si="61"/>
        <v>1056.4000000000001</v>
      </c>
      <c r="H183" s="2">
        <f t="shared" si="62"/>
        <v>1561.2</v>
      </c>
      <c r="I183" s="48">
        <f t="shared" si="63"/>
        <v>-32.334101972841403</v>
      </c>
    </row>
    <row r="184" spans="1:10" x14ac:dyDescent="0.25">
      <c r="A184" s="35">
        <f t="shared" si="2"/>
        <v>40122</v>
      </c>
      <c r="C184">
        <v>756.9</v>
      </c>
      <c r="D184">
        <v>1123.9000000000001</v>
      </c>
      <c r="E184">
        <v>426.2</v>
      </c>
      <c r="F184">
        <v>481.9</v>
      </c>
      <c r="G184" s="14">
        <f t="shared" si="61"/>
        <v>1183.0999999999999</v>
      </c>
      <c r="H184" s="2">
        <f t="shared" si="62"/>
        <v>1605.8000000000002</v>
      </c>
      <c r="I184" s="48">
        <f t="shared" si="63"/>
        <v>-26.323327936231177</v>
      </c>
    </row>
    <row r="185" spans="1:10" x14ac:dyDescent="0.25">
      <c r="A185" s="35">
        <f t="shared" si="2"/>
        <v>40129</v>
      </c>
      <c r="C185">
        <v>721.1</v>
      </c>
      <c r="D185">
        <v>1123.9000000000001</v>
      </c>
      <c r="E185">
        <v>467.6</v>
      </c>
      <c r="F185">
        <v>481.9</v>
      </c>
      <c r="G185" s="14">
        <f t="shared" ref="G185:G216" si="64">+C185+E185</f>
        <v>1188.7</v>
      </c>
      <c r="H185" s="2">
        <f t="shared" ref="H185:H216" si="65">+D185+F185</f>
        <v>1605.8000000000002</v>
      </c>
      <c r="I185" s="48">
        <f t="shared" ref="I185:I216" si="66">+(G185/H185-1)*100</f>
        <v>-25.974592103624371</v>
      </c>
    </row>
    <row r="186" spans="1:10" x14ac:dyDescent="0.25">
      <c r="A186" s="35">
        <f t="shared" si="2"/>
        <v>40136</v>
      </c>
      <c r="C186">
        <v>636.29999999999995</v>
      </c>
      <c r="D186">
        <v>1160.5</v>
      </c>
      <c r="E186">
        <v>538.29999999999995</v>
      </c>
      <c r="F186">
        <v>542.20000000000005</v>
      </c>
      <c r="G186" s="14">
        <f t="shared" si="64"/>
        <v>1174.5999999999999</v>
      </c>
      <c r="H186" s="2">
        <f t="shared" si="65"/>
        <v>1702.7</v>
      </c>
      <c r="I186" s="48">
        <f t="shared" si="66"/>
        <v>-31.015446056263585</v>
      </c>
    </row>
    <row r="187" spans="1:10" x14ac:dyDescent="0.25">
      <c r="A187" s="35">
        <f t="shared" si="2"/>
        <v>40143</v>
      </c>
      <c r="C187">
        <v>636.4</v>
      </c>
      <c r="D187">
        <v>1101</v>
      </c>
      <c r="E187">
        <v>566.6</v>
      </c>
      <c r="F187">
        <v>610.4</v>
      </c>
      <c r="G187" s="14">
        <f t="shared" si="64"/>
        <v>1203</v>
      </c>
      <c r="H187" s="2">
        <f t="shared" si="65"/>
        <v>1711.4</v>
      </c>
      <c r="I187" s="48">
        <f t="shared" si="66"/>
        <v>-29.706672899380628</v>
      </c>
    </row>
    <row r="188" spans="1:10" x14ac:dyDescent="0.25">
      <c r="A188" s="35">
        <f t="shared" si="2"/>
        <v>40150</v>
      </c>
      <c r="C188">
        <v>675.5</v>
      </c>
      <c r="D188">
        <v>1082.5999999999999</v>
      </c>
      <c r="E188">
        <v>640.79999999999995</v>
      </c>
      <c r="F188">
        <v>631.6</v>
      </c>
      <c r="G188" s="14">
        <f t="shared" si="64"/>
        <v>1316.3</v>
      </c>
      <c r="H188" s="2">
        <f t="shared" si="65"/>
        <v>1714.1999999999998</v>
      </c>
      <c r="I188" s="48">
        <f t="shared" si="66"/>
        <v>-23.211993933029984</v>
      </c>
      <c r="J188">
        <v>2.8</v>
      </c>
    </row>
    <row r="189" spans="1:10" x14ac:dyDescent="0.25">
      <c r="A189" s="35">
        <f t="shared" si="2"/>
        <v>40157</v>
      </c>
      <c r="C189">
        <v>641.70000000000005</v>
      </c>
      <c r="D189">
        <v>1042.5</v>
      </c>
      <c r="E189">
        <v>651.4</v>
      </c>
      <c r="F189">
        <v>653.4</v>
      </c>
      <c r="G189" s="14">
        <f t="shared" si="64"/>
        <v>1293.0999999999999</v>
      </c>
      <c r="H189" s="2">
        <f t="shared" si="65"/>
        <v>1695.9</v>
      </c>
      <c r="I189" s="48">
        <f t="shared" si="66"/>
        <v>-23.751400436346493</v>
      </c>
      <c r="J189">
        <v>2.8</v>
      </c>
    </row>
    <row r="190" spans="1:10" x14ac:dyDescent="0.25">
      <c r="A190" s="35">
        <f t="shared" si="2"/>
        <v>40164</v>
      </c>
      <c r="C190">
        <v>648.20000000000005</v>
      </c>
      <c r="D190">
        <v>984</v>
      </c>
      <c r="E190">
        <v>673.8</v>
      </c>
      <c r="F190">
        <v>710.5</v>
      </c>
      <c r="G190" s="14">
        <f t="shared" si="64"/>
        <v>1322</v>
      </c>
      <c r="H190" s="2">
        <f t="shared" si="65"/>
        <v>1694.5</v>
      </c>
      <c r="I190" s="48">
        <f t="shared" si="66"/>
        <v>-21.982885807022722</v>
      </c>
      <c r="J190">
        <v>2.8</v>
      </c>
    </row>
    <row r="191" spans="1:10" x14ac:dyDescent="0.25">
      <c r="A191" s="35">
        <f t="shared" si="2"/>
        <v>40171</v>
      </c>
      <c r="C191">
        <v>671.8</v>
      </c>
      <c r="D191">
        <v>993.8</v>
      </c>
      <c r="E191">
        <v>723.2</v>
      </c>
      <c r="F191">
        <v>788.6</v>
      </c>
      <c r="G191" s="14">
        <f t="shared" si="64"/>
        <v>1395</v>
      </c>
      <c r="H191" s="2">
        <f t="shared" si="65"/>
        <v>1782.4</v>
      </c>
      <c r="I191" s="48">
        <f t="shared" si="66"/>
        <v>-21.734739676840221</v>
      </c>
      <c r="J191">
        <v>2.8</v>
      </c>
    </row>
    <row r="192" spans="1:10" x14ac:dyDescent="0.25">
      <c r="A192" s="35">
        <f t="shared" si="2"/>
        <v>40178</v>
      </c>
      <c r="C192">
        <v>692.2</v>
      </c>
      <c r="D192">
        <v>1036.0999999999999</v>
      </c>
      <c r="E192">
        <v>789.7</v>
      </c>
      <c r="F192">
        <v>803.8</v>
      </c>
      <c r="G192" s="14">
        <f t="shared" si="64"/>
        <v>1481.9</v>
      </c>
      <c r="H192" s="2">
        <f t="shared" si="65"/>
        <v>1839.8999999999999</v>
      </c>
      <c r="I192" s="48">
        <f t="shared" si="66"/>
        <v>-19.457579216261745</v>
      </c>
      <c r="J192">
        <v>2.8</v>
      </c>
    </row>
    <row r="193" spans="1:10" x14ac:dyDescent="0.25">
      <c r="A193" s="35">
        <f t="shared" si="2"/>
        <v>40185</v>
      </c>
      <c r="C193">
        <v>672.1</v>
      </c>
      <c r="D193">
        <v>987.7</v>
      </c>
      <c r="E193">
        <v>841.9</v>
      </c>
      <c r="F193">
        <v>886.9</v>
      </c>
      <c r="G193" s="14">
        <f t="shared" si="64"/>
        <v>1514</v>
      </c>
      <c r="H193" s="2">
        <f t="shared" si="65"/>
        <v>1874.6</v>
      </c>
      <c r="I193" s="48">
        <f t="shared" si="66"/>
        <v>-19.23610370212312</v>
      </c>
      <c r="J193">
        <v>2.8</v>
      </c>
    </row>
    <row r="194" spans="1:10" x14ac:dyDescent="0.25">
      <c r="A194" s="35">
        <f t="shared" si="2"/>
        <v>40192</v>
      </c>
      <c r="C194">
        <v>612.6</v>
      </c>
      <c r="D194">
        <v>930</v>
      </c>
      <c r="E194">
        <v>902.1</v>
      </c>
      <c r="F194">
        <v>967</v>
      </c>
      <c r="G194" s="14">
        <f t="shared" si="64"/>
        <v>1514.7</v>
      </c>
      <c r="H194" s="2">
        <f t="shared" si="65"/>
        <v>1897</v>
      </c>
      <c r="I194" s="48">
        <f t="shared" si="66"/>
        <v>-20.152872957301003</v>
      </c>
      <c r="J194">
        <v>8.8000000000000007</v>
      </c>
    </row>
    <row r="195" spans="1:10" x14ac:dyDescent="0.25">
      <c r="A195" s="35">
        <f t="shared" si="2"/>
        <v>40199</v>
      </c>
      <c r="C195">
        <v>610</v>
      </c>
      <c r="D195">
        <v>881.3</v>
      </c>
      <c r="E195">
        <v>978.4</v>
      </c>
      <c r="F195">
        <v>1018.1</v>
      </c>
      <c r="G195" s="14">
        <f t="shared" si="64"/>
        <v>1588.4</v>
      </c>
      <c r="H195" s="2">
        <f t="shared" si="65"/>
        <v>1899.4</v>
      </c>
      <c r="I195" s="48">
        <f t="shared" si="66"/>
        <v>-16.373591660524379</v>
      </c>
      <c r="J195">
        <v>17.399999999999999</v>
      </c>
    </row>
    <row r="196" spans="1:10" x14ac:dyDescent="0.25">
      <c r="A196" s="35">
        <f t="shared" si="2"/>
        <v>40206</v>
      </c>
      <c r="C196">
        <v>566.70000000000005</v>
      </c>
      <c r="D196">
        <v>926.7</v>
      </c>
      <c r="E196">
        <v>1042.2</v>
      </c>
      <c r="F196">
        <v>1055.5999999999999</v>
      </c>
      <c r="G196" s="14">
        <f t="shared" si="64"/>
        <v>1608.9</v>
      </c>
      <c r="H196" s="2">
        <f t="shared" si="65"/>
        <v>1982.3</v>
      </c>
      <c r="I196" s="48">
        <f t="shared" si="66"/>
        <v>-18.836704837814654</v>
      </c>
      <c r="J196">
        <v>20.5</v>
      </c>
    </row>
    <row r="197" spans="1:10" x14ac:dyDescent="0.25">
      <c r="A197" s="35">
        <f t="shared" si="2"/>
        <v>40213</v>
      </c>
      <c r="C197">
        <v>575.79999999999995</v>
      </c>
      <c r="D197">
        <v>873.2</v>
      </c>
      <c r="E197">
        <v>1056.5</v>
      </c>
      <c r="F197">
        <v>1113.5999999999999</v>
      </c>
      <c r="G197" s="14">
        <f t="shared" si="64"/>
        <v>1632.3</v>
      </c>
      <c r="H197" s="2">
        <f t="shared" si="65"/>
        <v>1986.8</v>
      </c>
      <c r="I197" s="48">
        <f t="shared" si="66"/>
        <v>-17.842762230722776</v>
      </c>
      <c r="J197">
        <v>31.8</v>
      </c>
    </row>
    <row r="198" spans="1:10" x14ac:dyDescent="0.25">
      <c r="A198" s="35">
        <f t="shared" si="2"/>
        <v>40220</v>
      </c>
      <c r="C198">
        <v>573.79999999999995</v>
      </c>
      <c r="D198">
        <v>837.5</v>
      </c>
      <c r="E198">
        <v>1082.5999999999999</v>
      </c>
      <c r="F198">
        <v>1165.2</v>
      </c>
      <c r="G198" s="14">
        <f t="shared" si="64"/>
        <v>1656.3999999999999</v>
      </c>
      <c r="H198" s="2">
        <f t="shared" si="65"/>
        <v>2002.7</v>
      </c>
      <c r="I198" s="48">
        <f t="shared" si="66"/>
        <v>-17.291656264043553</v>
      </c>
      <c r="J198">
        <v>32</v>
      </c>
    </row>
    <row r="199" spans="1:10" x14ac:dyDescent="0.25">
      <c r="A199" s="35">
        <f t="shared" si="2"/>
        <v>40227</v>
      </c>
      <c r="C199">
        <v>548.5</v>
      </c>
      <c r="D199">
        <v>809.4</v>
      </c>
      <c r="E199">
        <v>1154.5999999999999</v>
      </c>
      <c r="F199">
        <v>1211.8</v>
      </c>
      <c r="G199" s="14">
        <f t="shared" si="64"/>
        <v>1703.1</v>
      </c>
      <c r="H199" s="2">
        <f t="shared" si="65"/>
        <v>2021.1999999999998</v>
      </c>
      <c r="I199" s="48">
        <f t="shared" si="66"/>
        <v>-15.738175341381355</v>
      </c>
      <c r="J199">
        <v>34.9</v>
      </c>
    </row>
    <row r="200" spans="1:10" x14ac:dyDescent="0.25">
      <c r="A200" s="35">
        <f t="shared" si="2"/>
        <v>40234</v>
      </c>
      <c r="C200">
        <v>552.9</v>
      </c>
      <c r="D200">
        <v>819.2</v>
      </c>
      <c r="E200">
        <v>1225.5999999999999</v>
      </c>
      <c r="F200">
        <v>1252.5</v>
      </c>
      <c r="G200" s="14">
        <f t="shared" si="64"/>
        <v>1778.5</v>
      </c>
      <c r="H200" s="2">
        <f t="shared" si="65"/>
        <v>2071.6999999999998</v>
      </c>
      <c r="I200" s="48">
        <f t="shared" si="66"/>
        <v>-14.15262827629482</v>
      </c>
    </row>
    <row r="201" spans="1:10" x14ac:dyDescent="0.25">
      <c r="A201" s="35">
        <f t="shared" si="2"/>
        <v>40241</v>
      </c>
      <c r="C201">
        <v>552.29999999999995</v>
      </c>
      <c r="D201">
        <v>745.9</v>
      </c>
      <c r="E201">
        <v>1259</v>
      </c>
      <c r="F201">
        <v>1327.3</v>
      </c>
      <c r="G201" s="14">
        <f t="shared" si="64"/>
        <v>1811.3</v>
      </c>
      <c r="H201" s="2">
        <f t="shared" si="65"/>
        <v>2073.1999999999998</v>
      </c>
      <c r="I201" s="48">
        <f t="shared" si="66"/>
        <v>-12.632645186185599</v>
      </c>
      <c r="J201">
        <v>37</v>
      </c>
    </row>
    <row r="202" spans="1:10" x14ac:dyDescent="0.25">
      <c r="A202" s="35">
        <f t="shared" si="2"/>
        <v>40248</v>
      </c>
      <c r="C202">
        <v>553.1</v>
      </c>
      <c r="D202">
        <v>709</v>
      </c>
      <c r="E202">
        <v>1300.5999999999999</v>
      </c>
      <c r="F202">
        <v>1380.3</v>
      </c>
      <c r="G202" s="14">
        <f t="shared" si="64"/>
        <v>1853.6999999999998</v>
      </c>
      <c r="H202" s="2">
        <f t="shared" si="65"/>
        <v>2089.3000000000002</v>
      </c>
      <c r="I202" s="48">
        <f t="shared" si="66"/>
        <v>-11.276504092279726</v>
      </c>
    </row>
    <row r="203" spans="1:10" x14ac:dyDescent="0.25">
      <c r="A203" s="35">
        <f t="shared" si="2"/>
        <v>40255</v>
      </c>
      <c r="C203">
        <v>524.20000000000005</v>
      </c>
      <c r="D203">
        <v>699.7</v>
      </c>
      <c r="E203">
        <v>1384.4</v>
      </c>
      <c r="F203">
        <v>1390.9</v>
      </c>
      <c r="G203" s="14">
        <f t="shared" si="64"/>
        <v>1908.6000000000001</v>
      </c>
      <c r="H203" s="2">
        <f t="shared" si="65"/>
        <v>2090.6000000000004</v>
      </c>
      <c r="I203" s="48">
        <f t="shared" si="66"/>
        <v>-8.7056347460059413</v>
      </c>
      <c r="J203">
        <v>42.3</v>
      </c>
    </row>
    <row r="204" spans="1:10" x14ac:dyDescent="0.25">
      <c r="A204" s="35">
        <f t="shared" si="2"/>
        <v>40262</v>
      </c>
      <c r="C204">
        <v>368.3</v>
      </c>
      <c r="D204">
        <v>691.9</v>
      </c>
      <c r="E204">
        <v>1583.7</v>
      </c>
      <c r="F204">
        <v>1515</v>
      </c>
      <c r="G204" s="14">
        <f t="shared" si="64"/>
        <v>1952</v>
      </c>
      <c r="H204" s="2">
        <f t="shared" si="65"/>
        <v>2206.9</v>
      </c>
      <c r="I204" s="48">
        <f t="shared" si="66"/>
        <v>-11.550138202909066</v>
      </c>
    </row>
    <row r="205" spans="1:10" x14ac:dyDescent="0.25">
      <c r="A205" s="35">
        <f t="shared" si="2"/>
        <v>40269</v>
      </c>
      <c r="C205">
        <v>399.7</v>
      </c>
      <c r="D205">
        <v>689.1</v>
      </c>
      <c r="E205">
        <v>1597.5</v>
      </c>
      <c r="F205">
        <v>1540</v>
      </c>
      <c r="G205" s="14">
        <f t="shared" si="64"/>
        <v>1997.2</v>
      </c>
      <c r="H205" s="2">
        <f t="shared" si="65"/>
        <v>2229.1</v>
      </c>
      <c r="I205" s="48">
        <f t="shared" si="66"/>
        <v>-10.403301780987839</v>
      </c>
      <c r="J205">
        <v>45.3</v>
      </c>
    </row>
    <row r="206" spans="1:10" x14ac:dyDescent="0.25">
      <c r="A206" s="35">
        <f t="shared" si="2"/>
        <v>40276</v>
      </c>
      <c r="C206">
        <v>386.2</v>
      </c>
      <c r="D206">
        <v>671.6</v>
      </c>
      <c r="E206">
        <v>1659.4</v>
      </c>
      <c r="F206">
        <v>1558.2</v>
      </c>
      <c r="G206" s="14">
        <f t="shared" si="64"/>
        <v>2045.6000000000001</v>
      </c>
      <c r="H206" s="2">
        <f t="shared" si="65"/>
        <v>2229.8000000000002</v>
      </c>
      <c r="I206" s="48">
        <f t="shared" si="66"/>
        <v>-8.2608305677639216</v>
      </c>
      <c r="J206">
        <v>50</v>
      </c>
    </row>
    <row r="207" spans="1:10" x14ac:dyDescent="0.25">
      <c r="A207" s="35">
        <f t="shared" si="2"/>
        <v>40283</v>
      </c>
      <c r="C207">
        <v>349.3</v>
      </c>
      <c r="D207">
        <v>610.1</v>
      </c>
      <c r="E207">
        <v>1726.1</v>
      </c>
      <c r="F207">
        <v>1634.1</v>
      </c>
      <c r="G207" s="14">
        <f t="shared" si="64"/>
        <v>2075.4</v>
      </c>
      <c r="H207" s="2">
        <f t="shared" si="65"/>
        <v>2244.1999999999998</v>
      </c>
      <c r="I207" s="48">
        <f t="shared" si="66"/>
        <v>-7.5216112645931643</v>
      </c>
      <c r="J207">
        <v>50</v>
      </c>
    </row>
    <row r="208" spans="1:10" x14ac:dyDescent="0.25">
      <c r="A208" s="35">
        <f t="shared" si="2"/>
        <v>40290</v>
      </c>
      <c r="C208">
        <v>345.6</v>
      </c>
      <c r="D208">
        <v>574.1</v>
      </c>
      <c r="E208">
        <v>1754.1</v>
      </c>
      <c r="F208">
        <v>1697</v>
      </c>
      <c r="G208" s="14">
        <f t="shared" si="64"/>
        <v>2099.6999999999998</v>
      </c>
      <c r="H208" s="2">
        <f t="shared" si="65"/>
        <v>2271.1</v>
      </c>
      <c r="I208" s="48">
        <f t="shared" si="66"/>
        <v>-7.547003654616713</v>
      </c>
      <c r="J208">
        <v>50</v>
      </c>
    </row>
    <row r="209" spans="1:10" x14ac:dyDescent="0.25">
      <c r="A209" s="35">
        <f t="shared" si="2"/>
        <v>40297</v>
      </c>
      <c r="C209">
        <v>347.7</v>
      </c>
      <c r="D209">
        <v>589.20000000000005</v>
      </c>
      <c r="E209">
        <v>1803.7</v>
      </c>
      <c r="F209">
        <v>1700.3</v>
      </c>
      <c r="G209" s="14">
        <f t="shared" si="64"/>
        <v>2151.4</v>
      </c>
      <c r="H209" s="2">
        <f t="shared" si="65"/>
        <v>2289.5</v>
      </c>
      <c r="I209" s="48">
        <f t="shared" si="66"/>
        <v>-6.0318846909805597</v>
      </c>
      <c r="J209">
        <v>51.2</v>
      </c>
    </row>
    <row r="210" spans="1:10" x14ac:dyDescent="0.25">
      <c r="A210" s="35">
        <f t="shared" si="2"/>
        <v>40304</v>
      </c>
      <c r="C210">
        <v>333.1</v>
      </c>
      <c r="D210">
        <v>557</v>
      </c>
      <c r="E210">
        <v>1771.7</v>
      </c>
      <c r="F210">
        <v>1741.6</v>
      </c>
      <c r="G210" s="14">
        <f t="shared" si="64"/>
        <v>2104.8000000000002</v>
      </c>
      <c r="H210" s="2">
        <f t="shared" si="65"/>
        <v>2298.6</v>
      </c>
      <c r="I210" s="48">
        <f t="shared" si="66"/>
        <v>-8.4312190028713037</v>
      </c>
      <c r="J210">
        <v>52</v>
      </c>
    </row>
    <row r="211" spans="1:10" x14ac:dyDescent="0.25">
      <c r="A211" s="35">
        <f t="shared" si="2"/>
        <v>40311</v>
      </c>
      <c r="C211">
        <v>344.2</v>
      </c>
      <c r="D211">
        <v>552.29999999999995</v>
      </c>
      <c r="E211">
        <v>1814.8</v>
      </c>
      <c r="F211">
        <v>1798.3</v>
      </c>
      <c r="G211" s="14">
        <f t="shared" si="64"/>
        <v>2159</v>
      </c>
      <c r="H211" s="2">
        <f t="shared" si="65"/>
        <v>2350.6</v>
      </c>
      <c r="I211" s="48">
        <f t="shared" si="66"/>
        <v>-8.151110354803027</v>
      </c>
      <c r="J211">
        <v>52.9</v>
      </c>
    </row>
    <row r="212" spans="1:10" x14ac:dyDescent="0.25">
      <c r="A212" s="35">
        <f t="shared" si="2"/>
        <v>40318</v>
      </c>
      <c r="C212">
        <v>344.2</v>
      </c>
      <c r="D212">
        <v>552.29999999999995</v>
      </c>
      <c r="E212">
        <v>1814.8</v>
      </c>
      <c r="F212">
        <v>1798.3</v>
      </c>
      <c r="G212" s="14">
        <f t="shared" si="64"/>
        <v>2159</v>
      </c>
      <c r="H212" s="2">
        <f t="shared" si="65"/>
        <v>2350.6</v>
      </c>
      <c r="I212" s="48">
        <f t="shared" si="66"/>
        <v>-8.151110354803027</v>
      </c>
      <c r="J212">
        <v>52.9</v>
      </c>
    </row>
    <row r="213" spans="1:10" x14ac:dyDescent="0.25">
      <c r="A213" s="35">
        <f t="shared" si="2"/>
        <v>40325</v>
      </c>
      <c r="C213">
        <v>272.8</v>
      </c>
      <c r="D213">
        <v>523.4</v>
      </c>
      <c r="E213">
        <v>1904.1</v>
      </c>
      <c r="F213">
        <v>1864.4</v>
      </c>
      <c r="G213" s="14">
        <f t="shared" si="64"/>
        <v>2176.9</v>
      </c>
      <c r="H213" s="2">
        <f t="shared" si="65"/>
        <v>2387.8000000000002</v>
      </c>
      <c r="I213" s="48">
        <f t="shared" si="66"/>
        <v>-8.8323980232850374</v>
      </c>
      <c r="J213">
        <v>55.7</v>
      </c>
    </row>
    <row r="214" spans="1:10" x14ac:dyDescent="0.25">
      <c r="A214" s="35">
        <f t="shared" si="2"/>
        <v>40332</v>
      </c>
      <c r="C214">
        <v>605.79999999999995</v>
      </c>
      <c r="D214">
        <v>526.79999999999995</v>
      </c>
      <c r="E214">
        <v>1907.1</v>
      </c>
      <c r="F214">
        <v>1872.2</v>
      </c>
      <c r="G214" s="14">
        <f t="shared" si="64"/>
        <v>2512.8999999999996</v>
      </c>
      <c r="H214" s="2">
        <f t="shared" si="65"/>
        <v>2399</v>
      </c>
      <c r="I214" s="48">
        <f t="shared" si="66"/>
        <v>4.74781158816171</v>
      </c>
      <c r="J214">
        <v>55.7</v>
      </c>
    </row>
    <row r="215" spans="1:10" x14ac:dyDescent="0.25">
      <c r="A215" s="35">
        <f t="shared" si="2"/>
        <v>40339</v>
      </c>
      <c r="C215">
        <v>320.10000000000002</v>
      </c>
      <c r="D215">
        <v>528.5</v>
      </c>
      <c r="E215">
        <v>1922.6</v>
      </c>
      <c r="F215">
        <v>1875.8</v>
      </c>
      <c r="G215" s="14">
        <f t="shared" si="64"/>
        <v>2242.6999999999998</v>
      </c>
      <c r="H215" s="2">
        <f t="shared" si="65"/>
        <v>2404.3000000000002</v>
      </c>
      <c r="I215" s="48">
        <f t="shared" si="66"/>
        <v>-6.7212910202553928</v>
      </c>
      <c r="J215">
        <v>55.8</v>
      </c>
    </row>
    <row r="216" spans="1:10" x14ac:dyDescent="0.25">
      <c r="A216" s="35">
        <f t="shared" si="2"/>
        <v>40346</v>
      </c>
      <c r="C216">
        <v>426.5</v>
      </c>
      <c r="D216">
        <v>481.4</v>
      </c>
      <c r="E216">
        <v>1962.8</v>
      </c>
      <c r="F216">
        <v>1952.2</v>
      </c>
      <c r="G216" s="14">
        <f t="shared" si="64"/>
        <v>2389.3000000000002</v>
      </c>
      <c r="H216" s="2">
        <f t="shared" si="65"/>
        <v>2433.6</v>
      </c>
      <c r="I216" s="48">
        <f t="shared" si="66"/>
        <v>-1.8203484549638271</v>
      </c>
      <c r="J216">
        <v>55.8</v>
      </c>
    </row>
    <row r="217" spans="1:10" x14ac:dyDescent="0.25">
      <c r="A217" s="35">
        <f t="shared" si="2"/>
        <v>40353</v>
      </c>
      <c r="C217">
        <v>417.7</v>
      </c>
      <c r="D217">
        <v>502.4</v>
      </c>
      <c r="E217">
        <v>1999.4</v>
      </c>
      <c r="F217">
        <v>1998.4</v>
      </c>
      <c r="G217" s="14">
        <f t="shared" ref="G217:G227" si="67">+C217+E217</f>
        <v>2417.1</v>
      </c>
      <c r="H217" s="2">
        <f t="shared" ref="H217:H227" si="68">+D217+F217</f>
        <v>2500.8000000000002</v>
      </c>
      <c r="I217" s="48">
        <f t="shared" ref="I217:I227" si="69">+(G217/H217-1)*100</f>
        <v>-3.3469289827255388</v>
      </c>
      <c r="J217">
        <v>55.8</v>
      </c>
    </row>
    <row r="218" spans="1:10" x14ac:dyDescent="0.25">
      <c r="A218" s="35">
        <f t="shared" si="2"/>
        <v>40360</v>
      </c>
      <c r="C218">
        <v>340.1</v>
      </c>
      <c r="D218">
        <v>510.4</v>
      </c>
      <c r="E218">
        <v>2028.7</v>
      </c>
      <c r="F218">
        <v>2001.7</v>
      </c>
      <c r="G218" s="14">
        <f t="shared" si="67"/>
        <v>2368.8000000000002</v>
      </c>
      <c r="H218" s="2">
        <f t="shared" si="68"/>
        <v>2512.1</v>
      </c>
      <c r="I218" s="48">
        <f t="shared" si="69"/>
        <v>-5.7043907487759116</v>
      </c>
      <c r="J218">
        <v>56.5</v>
      </c>
    </row>
    <row r="219" spans="1:10" x14ac:dyDescent="0.25">
      <c r="A219" s="35">
        <f t="shared" si="2"/>
        <v>40367</v>
      </c>
      <c r="C219">
        <v>364.6</v>
      </c>
      <c r="D219">
        <v>489</v>
      </c>
      <c r="E219">
        <v>2046.1</v>
      </c>
      <c r="F219">
        <v>2064.5</v>
      </c>
      <c r="G219" s="14">
        <f t="shared" si="67"/>
        <v>2410.6999999999998</v>
      </c>
      <c r="H219" s="2">
        <f t="shared" si="68"/>
        <v>2553.5</v>
      </c>
      <c r="I219" s="48">
        <f t="shared" si="69"/>
        <v>-5.5923242608184935</v>
      </c>
      <c r="J219">
        <v>56.9</v>
      </c>
    </row>
    <row r="220" spans="1:10" x14ac:dyDescent="0.25">
      <c r="A220" s="35">
        <f t="shared" si="2"/>
        <v>40374</v>
      </c>
      <c r="C220">
        <v>332.9</v>
      </c>
      <c r="D220">
        <v>445.7</v>
      </c>
      <c r="E220">
        <v>2083.1999999999998</v>
      </c>
      <c r="F220">
        <v>2129.6</v>
      </c>
      <c r="G220" s="14">
        <f t="shared" si="67"/>
        <v>2416.1</v>
      </c>
      <c r="H220" s="2">
        <f t="shared" si="68"/>
        <v>2575.2999999999997</v>
      </c>
      <c r="I220" s="48">
        <f t="shared" si="69"/>
        <v>-6.1818040616627101</v>
      </c>
      <c r="J220">
        <v>132.19999999999999</v>
      </c>
    </row>
    <row r="221" spans="1:10" x14ac:dyDescent="0.25">
      <c r="A221" s="35">
        <f t="shared" si="2"/>
        <v>40381</v>
      </c>
      <c r="C221">
        <v>329.5</v>
      </c>
      <c r="D221">
        <v>486.5</v>
      </c>
      <c r="E221">
        <v>2096.6</v>
      </c>
      <c r="F221">
        <v>2141.3000000000002</v>
      </c>
      <c r="G221" s="14">
        <f t="shared" si="67"/>
        <v>2426.1</v>
      </c>
      <c r="H221" s="2">
        <f t="shared" si="68"/>
        <v>2627.8</v>
      </c>
      <c r="I221" s="48">
        <f t="shared" si="69"/>
        <v>-7.6756221934698328</v>
      </c>
      <c r="J221">
        <v>181.1</v>
      </c>
    </row>
    <row r="222" spans="1:10" x14ac:dyDescent="0.25">
      <c r="A222" s="35">
        <f t="shared" si="2"/>
        <v>40388</v>
      </c>
      <c r="C222">
        <v>361.6</v>
      </c>
      <c r="D222">
        <v>422.9</v>
      </c>
      <c r="E222">
        <v>2119.6999999999998</v>
      </c>
      <c r="F222">
        <v>2204.9</v>
      </c>
      <c r="G222" s="14">
        <f t="shared" si="67"/>
        <v>2481.2999999999997</v>
      </c>
      <c r="H222" s="2">
        <f t="shared" si="68"/>
        <v>2627.8</v>
      </c>
      <c r="I222" s="48">
        <f t="shared" si="69"/>
        <v>-5.5750057081969899</v>
      </c>
      <c r="J222">
        <v>190.6</v>
      </c>
    </row>
    <row r="223" spans="1:10" x14ac:dyDescent="0.25">
      <c r="A223" s="35">
        <f t="shared" si="2"/>
        <v>40395</v>
      </c>
      <c r="C223">
        <v>342.6</v>
      </c>
      <c r="D223">
        <v>454.5</v>
      </c>
      <c r="E223">
        <v>2207.1999999999998</v>
      </c>
      <c r="F223">
        <v>2206.9</v>
      </c>
      <c r="G223" s="14">
        <f t="shared" si="67"/>
        <v>2549.7999999999997</v>
      </c>
      <c r="H223" s="2">
        <f t="shared" si="68"/>
        <v>2661.4</v>
      </c>
      <c r="I223" s="48">
        <f t="shared" si="69"/>
        <v>-4.1932817314195621</v>
      </c>
      <c r="J223">
        <v>191.6</v>
      </c>
    </row>
    <row r="224" spans="1:10" x14ac:dyDescent="0.25">
      <c r="A224" s="35">
        <f t="shared" si="2"/>
        <v>40402</v>
      </c>
      <c r="C224">
        <v>322.10000000000002</v>
      </c>
      <c r="D224">
        <v>413.9</v>
      </c>
      <c r="E224">
        <v>2253.9</v>
      </c>
      <c r="F224">
        <v>2253.4</v>
      </c>
      <c r="G224" s="14">
        <f t="shared" si="67"/>
        <v>2576</v>
      </c>
      <c r="H224" s="2">
        <f t="shared" si="68"/>
        <v>2667.3</v>
      </c>
      <c r="I224" s="48">
        <f t="shared" si="69"/>
        <v>-3.422937052450048</v>
      </c>
      <c r="J224">
        <v>217.1</v>
      </c>
    </row>
    <row r="225" spans="1:11" x14ac:dyDescent="0.25">
      <c r="A225" s="35">
        <f t="shared" si="2"/>
        <v>40409</v>
      </c>
      <c r="C225">
        <v>281.39999999999998</v>
      </c>
      <c r="D225">
        <v>409.3</v>
      </c>
      <c r="E225">
        <v>2327.3000000000002</v>
      </c>
      <c r="F225">
        <v>2394.5</v>
      </c>
      <c r="G225" s="14">
        <f t="shared" si="67"/>
        <v>2608.7000000000003</v>
      </c>
      <c r="H225" s="2">
        <f t="shared" si="68"/>
        <v>2803.8</v>
      </c>
      <c r="I225" s="48">
        <f t="shared" si="69"/>
        <v>-6.9584135815678678</v>
      </c>
      <c r="J225">
        <v>253.7</v>
      </c>
    </row>
    <row r="226" spans="1:11" x14ac:dyDescent="0.25">
      <c r="A226" s="35">
        <f t="shared" si="2"/>
        <v>40416</v>
      </c>
      <c r="C226">
        <v>279.3</v>
      </c>
      <c r="D226">
        <v>384.1</v>
      </c>
      <c r="E226">
        <v>2341.6</v>
      </c>
      <c r="F226">
        <v>2408</v>
      </c>
      <c r="G226" s="14">
        <f t="shared" si="67"/>
        <v>2620.9</v>
      </c>
      <c r="H226" s="2">
        <f t="shared" si="68"/>
        <v>2792.1</v>
      </c>
      <c r="I226" s="48">
        <f t="shared" si="69"/>
        <v>-6.1315855449303296</v>
      </c>
      <c r="J226">
        <v>290.3</v>
      </c>
    </row>
    <row r="227" spans="1:11" x14ac:dyDescent="0.25">
      <c r="A227" s="35">
        <f t="shared" si="2"/>
        <v>40423</v>
      </c>
      <c r="C227">
        <v>627.1</v>
      </c>
      <c r="D227">
        <v>706.3</v>
      </c>
      <c r="E227">
        <v>0.6</v>
      </c>
      <c r="F227">
        <v>1.2</v>
      </c>
      <c r="G227" s="14">
        <f t="shared" si="67"/>
        <v>627.70000000000005</v>
      </c>
      <c r="H227" s="2">
        <f t="shared" si="68"/>
        <v>707.5</v>
      </c>
      <c r="I227" s="48">
        <f t="shared" si="69"/>
        <v>-11.279151943462896</v>
      </c>
    </row>
    <row r="228" spans="1:11" x14ac:dyDescent="0.25">
      <c r="A228" s="35">
        <f t="shared" si="2"/>
        <v>40430</v>
      </c>
      <c r="C228">
        <v>602.29999999999995</v>
      </c>
      <c r="D228">
        <v>693.1</v>
      </c>
      <c r="E228">
        <v>24.7</v>
      </c>
      <c r="F228">
        <v>24.1</v>
      </c>
      <c r="G228" s="14">
        <f t="shared" ref="G228:G264" si="70">+C228+E228</f>
        <v>627</v>
      </c>
      <c r="H228" s="2">
        <f t="shared" ref="H228:H264" si="71">+D228+F228</f>
        <v>717.2</v>
      </c>
      <c r="I228" s="48">
        <f t="shared" ref="I228:I264" si="72">+(G228/H228-1)*100</f>
        <v>-12.576687116564422</v>
      </c>
    </row>
    <row r="229" spans="1:11" x14ac:dyDescent="0.25">
      <c r="A229" s="35">
        <f t="shared" si="2"/>
        <v>40437</v>
      </c>
      <c r="C229">
        <v>599.9</v>
      </c>
      <c r="D229">
        <v>707.8</v>
      </c>
      <c r="E229">
        <v>47.6</v>
      </c>
      <c r="F229">
        <v>65.400000000000006</v>
      </c>
      <c r="G229" s="14">
        <f t="shared" si="70"/>
        <v>647.5</v>
      </c>
      <c r="H229" s="2">
        <f t="shared" si="71"/>
        <v>773.19999999999993</v>
      </c>
      <c r="I229" s="48">
        <f t="shared" si="72"/>
        <v>-16.257113295395754</v>
      </c>
    </row>
    <row r="230" spans="1:11" x14ac:dyDescent="0.25">
      <c r="A230" s="35">
        <f t="shared" si="2"/>
        <v>40444</v>
      </c>
      <c r="C230">
        <v>657.5</v>
      </c>
      <c r="D230">
        <v>736</v>
      </c>
      <c r="E230">
        <v>60.4</v>
      </c>
      <c r="F230">
        <v>103.9</v>
      </c>
      <c r="G230" s="14">
        <f t="shared" si="70"/>
        <v>717.9</v>
      </c>
      <c r="H230" s="2">
        <f t="shared" si="71"/>
        <v>839.9</v>
      </c>
      <c r="I230" s="48">
        <f t="shared" si="72"/>
        <v>-14.525538754613642</v>
      </c>
    </row>
    <row r="231" spans="1:11" x14ac:dyDescent="0.25">
      <c r="A231" s="35">
        <f t="shared" si="2"/>
        <v>40451</v>
      </c>
      <c r="C231">
        <v>655</v>
      </c>
      <c r="D231">
        <v>763.1</v>
      </c>
      <c r="E231">
        <v>73.3</v>
      </c>
      <c r="F231">
        <v>164.9</v>
      </c>
      <c r="G231" s="14">
        <f t="shared" si="70"/>
        <v>728.3</v>
      </c>
      <c r="H231" s="2">
        <f t="shared" si="71"/>
        <v>928</v>
      </c>
      <c r="I231" s="48">
        <f t="shared" si="72"/>
        <v>-21.519396551724146</v>
      </c>
    </row>
    <row r="232" spans="1:11" x14ac:dyDescent="0.25">
      <c r="A232" s="35">
        <f t="shared" si="2"/>
        <v>40458</v>
      </c>
      <c r="C232">
        <v>682</v>
      </c>
      <c r="D232">
        <v>778.7</v>
      </c>
      <c r="E232">
        <v>125.1</v>
      </c>
      <c r="F232">
        <v>167.6</v>
      </c>
      <c r="G232" s="14">
        <f t="shared" si="70"/>
        <v>807.1</v>
      </c>
      <c r="H232" s="2">
        <f t="shared" si="71"/>
        <v>946.30000000000007</v>
      </c>
      <c r="I232" s="48">
        <f t="shared" si="72"/>
        <v>-14.709922857444791</v>
      </c>
    </row>
    <row r="233" spans="1:11" x14ac:dyDescent="0.25">
      <c r="A233" s="35">
        <f t="shared" si="2"/>
        <v>40465</v>
      </c>
      <c r="C233">
        <v>716.7</v>
      </c>
      <c r="D233">
        <v>772</v>
      </c>
      <c r="E233">
        <v>205.5</v>
      </c>
      <c r="F233">
        <v>217.4</v>
      </c>
      <c r="G233" s="14">
        <f t="shared" si="70"/>
        <v>922.2</v>
      </c>
      <c r="H233" s="2">
        <f t="shared" si="71"/>
        <v>989.4</v>
      </c>
      <c r="I233" s="48">
        <f t="shared" si="72"/>
        <v>-6.7919951485748919</v>
      </c>
    </row>
    <row r="234" spans="1:11" x14ac:dyDescent="0.25">
      <c r="A234" s="35">
        <f t="shared" si="2"/>
        <v>40472</v>
      </c>
      <c r="C234">
        <v>712.2</v>
      </c>
      <c r="D234">
        <v>771.2</v>
      </c>
      <c r="E234">
        <v>256</v>
      </c>
      <c r="F234">
        <v>239.2</v>
      </c>
      <c r="G234" s="14">
        <f t="shared" si="70"/>
        <v>968.2</v>
      </c>
      <c r="H234" s="2">
        <f t="shared" si="71"/>
        <v>1010.4000000000001</v>
      </c>
      <c r="I234" s="48">
        <f t="shared" si="72"/>
        <v>-4.1765637371338098</v>
      </c>
    </row>
    <row r="235" spans="1:11" x14ac:dyDescent="0.25">
      <c r="A235" s="35">
        <f t="shared" si="2"/>
        <v>40479</v>
      </c>
      <c r="C235">
        <v>786.9</v>
      </c>
      <c r="D235">
        <v>770.3</v>
      </c>
      <c r="E235">
        <v>270.10000000000002</v>
      </c>
      <c r="F235">
        <v>286.10000000000002</v>
      </c>
      <c r="G235" s="14">
        <f t="shared" si="70"/>
        <v>1057</v>
      </c>
      <c r="H235" s="2">
        <f t="shared" si="71"/>
        <v>1056.4000000000001</v>
      </c>
      <c r="I235" s="48">
        <f t="shared" si="72"/>
        <v>5.6796667928815658E-2</v>
      </c>
    </row>
    <row r="236" spans="1:11" x14ac:dyDescent="0.25">
      <c r="A236" s="35">
        <f t="shared" si="2"/>
        <v>40486</v>
      </c>
      <c r="C236">
        <v>777.6</v>
      </c>
      <c r="D236">
        <v>756.9</v>
      </c>
      <c r="E236">
        <v>364.5</v>
      </c>
      <c r="F236">
        <v>426.2</v>
      </c>
      <c r="G236" s="14">
        <f t="shared" si="70"/>
        <v>1142.0999999999999</v>
      </c>
      <c r="H236" s="2">
        <f t="shared" si="71"/>
        <v>1183.0999999999999</v>
      </c>
      <c r="I236" s="48">
        <f t="shared" si="72"/>
        <v>-3.4654720649142101</v>
      </c>
      <c r="K236">
        <v>30</v>
      </c>
    </row>
    <row r="237" spans="1:11" x14ac:dyDescent="0.25">
      <c r="A237" s="35">
        <f t="shared" si="2"/>
        <v>40493</v>
      </c>
      <c r="C237">
        <v>762.2</v>
      </c>
      <c r="D237">
        <v>721.1</v>
      </c>
      <c r="E237">
        <v>430.3</v>
      </c>
      <c r="F237">
        <v>467.6</v>
      </c>
      <c r="G237" s="14">
        <f t="shared" si="70"/>
        <v>1192.5</v>
      </c>
      <c r="H237" s="2">
        <f t="shared" si="71"/>
        <v>1188.7</v>
      </c>
      <c r="I237" s="48">
        <f t="shared" si="72"/>
        <v>0.31967695802135321</v>
      </c>
    </row>
    <row r="238" spans="1:11" x14ac:dyDescent="0.25">
      <c r="A238" s="35">
        <f t="shared" si="2"/>
        <v>40500</v>
      </c>
      <c r="C238">
        <v>782.2</v>
      </c>
      <c r="D238">
        <v>636.29999999999995</v>
      </c>
      <c r="E238">
        <v>478.6</v>
      </c>
      <c r="F238">
        <v>538.29999999999995</v>
      </c>
      <c r="G238" s="14">
        <f t="shared" si="70"/>
        <v>1260.8000000000002</v>
      </c>
      <c r="H238" s="2">
        <f t="shared" si="71"/>
        <v>1174.5999999999999</v>
      </c>
      <c r="I238" s="48">
        <f t="shared" si="72"/>
        <v>7.3386684828878224</v>
      </c>
    </row>
    <row r="239" spans="1:11" x14ac:dyDescent="0.25">
      <c r="A239" s="35">
        <f t="shared" si="2"/>
        <v>40507</v>
      </c>
      <c r="C239">
        <v>578.6</v>
      </c>
      <c r="D239">
        <v>636.4</v>
      </c>
      <c r="E239">
        <v>509.8</v>
      </c>
      <c r="F239">
        <v>566.6</v>
      </c>
      <c r="G239" s="14">
        <f t="shared" si="70"/>
        <v>1088.4000000000001</v>
      </c>
      <c r="H239" s="2">
        <f t="shared" si="71"/>
        <v>1203</v>
      </c>
      <c r="I239" s="48">
        <f t="shared" si="72"/>
        <v>-9.526184538653359</v>
      </c>
    </row>
    <row r="240" spans="1:11" x14ac:dyDescent="0.25">
      <c r="A240" s="35">
        <f t="shared" si="2"/>
        <v>40514</v>
      </c>
      <c r="C240">
        <v>503.5</v>
      </c>
      <c r="D240">
        <v>675.5</v>
      </c>
      <c r="E240">
        <v>590.6</v>
      </c>
      <c r="F240">
        <v>640.79999999999995</v>
      </c>
      <c r="G240" s="14">
        <f t="shared" si="70"/>
        <v>1094.0999999999999</v>
      </c>
      <c r="H240" s="2">
        <f t="shared" si="71"/>
        <v>1316.3</v>
      </c>
      <c r="I240" s="48">
        <f t="shared" si="72"/>
        <v>-16.880650307680622</v>
      </c>
      <c r="K240">
        <v>78</v>
      </c>
    </row>
    <row r="241" spans="1:11" x14ac:dyDescent="0.25">
      <c r="A241" s="35">
        <f t="shared" si="2"/>
        <v>40521</v>
      </c>
      <c r="C241">
        <v>516.5</v>
      </c>
      <c r="D241">
        <v>641.70000000000005</v>
      </c>
      <c r="E241">
        <v>625.20000000000005</v>
      </c>
      <c r="F241">
        <v>651.4</v>
      </c>
      <c r="G241" s="14">
        <f t="shared" si="70"/>
        <v>1141.7</v>
      </c>
      <c r="H241" s="2">
        <f t="shared" si="71"/>
        <v>1293.0999999999999</v>
      </c>
      <c r="I241" s="48">
        <f t="shared" si="72"/>
        <v>-11.708297888794361</v>
      </c>
    </row>
    <row r="242" spans="1:11" x14ac:dyDescent="0.25">
      <c r="A242" s="35">
        <f t="shared" si="2"/>
        <v>40528</v>
      </c>
      <c r="C242">
        <v>500</v>
      </c>
      <c r="D242">
        <v>648.20000000000005</v>
      </c>
      <c r="E242">
        <v>680.6</v>
      </c>
      <c r="F242">
        <v>673.8</v>
      </c>
      <c r="G242" s="14">
        <f t="shared" si="70"/>
        <v>1180.5999999999999</v>
      </c>
      <c r="H242" s="2">
        <f t="shared" si="71"/>
        <v>1322</v>
      </c>
      <c r="I242" s="48">
        <f t="shared" si="72"/>
        <v>-10.695915279878976</v>
      </c>
      <c r="K242">
        <v>78</v>
      </c>
    </row>
    <row r="243" spans="1:11" x14ac:dyDescent="0.25">
      <c r="A243" s="35">
        <f t="shared" si="2"/>
        <v>40535</v>
      </c>
      <c r="C243">
        <v>471.4</v>
      </c>
      <c r="D243">
        <v>671.8</v>
      </c>
      <c r="E243">
        <v>723.6</v>
      </c>
      <c r="F243">
        <v>714</v>
      </c>
      <c r="G243" s="14">
        <f t="shared" si="70"/>
        <v>1195</v>
      </c>
      <c r="H243" s="2">
        <f t="shared" si="71"/>
        <v>1385.8</v>
      </c>
      <c r="I243" s="48">
        <f t="shared" si="72"/>
        <v>-13.76822052244191</v>
      </c>
    </row>
    <row r="244" spans="1:11" x14ac:dyDescent="0.25">
      <c r="A244" s="35">
        <f t="shared" si="2"/>
        <v>40542</v>
      </c>
      <c r="C244">
        <v>451.6</v>
      </c>
      <c r="D244">
        <v>692.2</v>
      </c>
      <c r="E244">
        <v>773.4</v>
      </c>
      <c r="F244">
        <v>789.7</v>
      </c>
      <c r="G244" s="14">
        <f t="shared" si="70"/>
        <v>1225</v>
      </c>
      <c r="H244" s="2">
        <f t="shared" si="71"/>
        <v>1481.9</v>
      </c>
      <c r="I244" s="48">
        <f t="shared" si="72"/>
        <v>-17.335852621634395</v>
      </c>
    </row>
    <row r="245" spans="1:11" x14ac:dyDescent="0.25">
      <c r="A245" s="35">
        <f t="shared" si="2"/>
        <v>40549</v>
      </c>
      <c r="C245">
        <v>450.1</v>
      </c>
      <c r="D245">
        <v>672.1</v>
      </c>
      <c r="E245">
        <v>775.2</v>
      </c>
      <c r="F245">
        <v>841.9</v>
      </c>
      <c r="G245" s="14">
        <f t="shared" si="70"/>
        <v>1225.3000000000002</v>
      </c>
      <c r="H245" s="2">
        <f t="shared" si="71"/>
        <v>1514</v>
      </c>
      <c r="I245" s="48">
        <f t="shared" si="72"/>
        <v>-19.068692206076609</v>
      </c>
      <c r="J245">
        <v>81.400000000000006</v>
      </c>
    </row>
    <row r="246" spans="1:11" x14ac:dyDescent="0.25">
      <c r="A246" s="35">
        <f t="shared" si="2"/>
        <v>40556</v>
      </c>
      <c r="C246">
        <v>525.70000000000005</v>
      </c>
      <c r="D246">
        <v>612.6</v>
      </c>
      <c r="E246">
        <v>830.3</v>
      </c>
      <c r="F246">
        <v>902.1</v>
      </c>
      <c r="G246" s="14">
        <f t="shared" si="70"/>
        <v>1356</v>
      </c>
      <c r="H246" s="2">
        <f t="shared" si="71"/>
        <v>1514.7</v>
      </c>
      <c r="I246" s="48">
        <f t="shared" si="72"/>
        <v>-10.47732224202813</v>
      </c>
      <c r="J246">
        <v>84.2</v>
      </c>
    </row>
    <row r="247" spans="1:11" x14ac:dyDescent="0.25">
      <c r="A247" s="35">
        <f t="shared" si="2"/>
        <v>40563</v>
      </c>
      <c r="C247">
        <v>525.70000000000005</v>
      </c>
      <c r="D247">
        <v>610</v>
      </c>
      <c r="E247">
        <v>842.5</v>
      </c>
      <c r="F247">
        <v>978.4</v>
      </c>
      <c r="G247" s="14">
        <f t="shared" si="70"/>
        <v>1368.2</v>
      </c>
      <c r="H247" s="2">
        <f t="shared" si="71"/>
        <v>1588.4</v>
      </c>
      <c r="I247" s="48">
        <f t="shared" si="72"/>
        <v>-13.863006799294887</v>
      </c>
      <c r="J247">
        <v>84.5</v>
      </c>
    </row>
    <row r="248" spans="1:11" x14ac:dyDescent="0.25">
      <c r="A248" s="35">
        <f t="shared" si="2"/>
        <v>40570</v>
      </c>
      <c r="C248">
        <v>584.9</v>
      </c>
      <c r="D248">
        <v>566.70000000000005</v>
      </c>
      <c r="E248">
        <v>887.3</v>
      </c>
      <c r="F248">
        <v>1042.2</v>
      </c>
      <c r="G248" s="14">
        <f t="shared" si="70"/>
        <v>1472.1999999999998</v>
      </c>
      <c r="H248" s="2">
        <f t="shared" si="71"/>
        <v>1608.9</v>
      </c>
      <c r="I248" s="48">
        <f t="shared" si="72"/>
        <v>-8.4964882839207121</v>
      </c>
      <c r="J248">
        <v>84.5</v>
      </c>
    </row>
    <row r="249" spans="1:11" x14ac:dyDescent="0.25">
      <c r="A249" s="35">
        <f t="shared" si="2"/>
        <v>40577</v>
      </c>
      <c r="C249">
        <v>645.4</v>
      </c>
      <c r="D249">
        <v>575.79999999999995</v>
      </c>
      <c r="E249">
        <v>961.8</v>
      </c>
      <c r="F249">
        <v>1056.5</v>
      </c>
      <c r="G249" s="14">
        <f t="shared" si="70"/>
        <v>1607.1999999999998</v>
      </c>
      <c r="H249" s="2">
        <f t="shared" si="71"/>
        <v>1632.3</v>
      </c>
      <c r="I249" s="48">
        <f t="shared" si="72"/>
        <v>-1.5377075292532072</v>
      </c>
      <c r="J249">
        <v>86.5</v>
      </c>
    </row>
    <row r="250" spans="1:11" x14ac:dyDescent="0.25">
      <c r="A250" s="35">
        <f t="shared" si="2"/>
        <v>40584</v>
      </c>
      <c r="C250">
        <v>643.5</v>
      </c>
      <c r="D250">
        <v>573.79999999999995</v>
      </c>
      <c r="E250">
        <v>986.1</v>
      </c>
      <c r="F250">
        <v>1082.5999999999999</v>
      </c>
      <c r="G250" s="14">
        <f t="shared" si="70"/>
        <v>1629.6</v>
      </c>
      <c r="H250" s="2">
        <f t="shared" si="71"/>
        <v>1656.3999999999999</v>
      </c>
      <c r="I250" s="48">
        <f t="shared" si="72"/>
        <v>-1.6179666747162536</v>
      </c>
      <c r="J250">
        <v>88.2</v>
      </c>
    </row>
    <row r="251" spans="1:11" x14ac:dyDescent="0.25">
      <c r="A251" s="35">
        <f t="shared" si="2"/>
        <v>40591</v>
      </c>
      <c r="C251">
        <v>653.4</v>
      </c>
      <c r="D251">
        <v>548.5</v>
      </c>
      <c r="E251">
        <v>1017.4</v>
      </c>
      <c r="F251">
        <v>1154.5999999999999</v>
      </c>
      <c r="G251" s="14">
        <f t="shared" si="70"/>
        <v>1670.8</v>
      </c>
      <c r="H251" s="2">
        <f t="shared" si="71"/>
        <v>1703.1</v>
      </c>
      <c r="I251" s="48">
        <f t="shared" si="72"/>
        <v>-1.8965416006106461</v>
      </c>
      <c r="J251">
        <v>88.2</v>
      </c>
    </row>
    <row r="252" spans="1:11" x14ac:dyDescent="0.25">
      <c r="A252" s="35">
        <f t="shared" si="2"/>
        <v>40598</v>
      </c>
      <c r="C252">
        <v>727</v>
      </c>
      <c r="D252">
        <v>552.9</v>
      </c>
      <c r="E252">
        <v>1079.9000000000001</v>
      </c>
      <c r="F252">
        <v>1225.5999999999999</v>
      </c>
      <c r="G252" s="14">
        <f t="shared" si="70"/>
        <v>1806.9</v>
      </c>
      <c r="H252" s="2">
        <f t="shared" si="71"/>
        <v>1778.5</v>
      </c>
      <c r="I252" s="48">
        <f t="shared" si="72"/>
        <v>1.5968512791678435</v>
      </c>
    </row>
    <row r="253" spans="1:11" x14ac:dyDescent="0.25">
      <c r="A253" s="35">
        <f t="shared" ref="A253:A316" si="73">+A252+7</f>
        <v>40605</v>
      </c>
      <c r="C253">
        <v>722</v>
      </c>
      <c r="D253">
        <v>552.29999999999995</v>
      </c>
      <c r="E253">
        <v>1109.7</v>
      </c>
      <c r="F253">
        <v>1259</v>
      </c>
      <c r="G253" s="14">
        <f t="shared" si="70"/>
        <v>1831.7</v>
      </c>
      <c r="H253" s="2">
        <f t="shared" si="71"/>
        <v>1811.3</v>
      </c>
      <c r="I253" s="48">
        <f t="shared" si="72"/>
        <v>1.1262629050957873</v>
      </c>
    </row>
    <row r="254" spans="1:11" x14ac:dyDescent="0.25">
      <c r="A254" s="35">
        <f t="shared" si="73"/>
        <v>40612</v>
      </c>
      <c r="C254">
        <v>738.2</v>
      </c>
      <c r="D254">
        <v>553.1</v>
      </c>
      <c r="E254">
        <v>1119.9000000000001</v>
      </c>
      <c r="F254">
        <v>1300.5999999999999</v>
      </c>
      <c r="G254" s="14">
        <f t="shared" si="70"/>
        <v>1858.1000000000001</v>
      </c>
      <c r="H254" s="2">
        <f t="shared" si="71"/>
        <v>1853.6999999999998</v>
      </c>
      <c r="I254" s="48">
        <f t="shared" si="72"/>
        <v>0.23736311161461909</v>
      </c>
      <c r="J254">
        <v>104.8</v>
      </c>
    </row>
    <row r="255" spans="1:11" x14ac:dyDescent="0.25">
      <c r="A255" s="35">
        <f t="shared" si="73"/>
        <v>40619</v>
      </c>
      <c r="C255">
        <v>729</v>
      </c>
      <c r="D255">
        <v>524.20000000000005</v>
      </c>
      <c r="E255">
        <v>1161.5</v>
      </c>
      <c r="F255">
        <v>1384.4</v>
      </c>
      <c r="G255" s="14">
        <f t="shared" si="70"/>
        <v>1890.5</v>
      </c>
      <c r="H255" s="2">
        <f t="shared" si="71"/>
        <v>1908.6000000000001</v>
      </c>
      <c r="I255" s="48">
        <f t="shared" si="72"/>
        <v>-0.94833909672011885</v>
      </c>
      <c r="J255">
        <v>104.8</v>
      </c>
    </row>
    <row r="256" spans="1:11" x14ac:dyDescent="0.25">
      <c r="A256" s="35">
        <f t="shared" si="73"/>
        <v>40626</v>
      </c>
      <c r="C256">
        <v>615.6</v>
      </c>
      <c r="D256">
        <v>368.3</v>
      </c>
      <c r="E256">
        <v>1276.5</v>
      </c>
      <c r="F256">
        <v>1527.9</v>
      </c>
      <c r="G256" s="14">
        <f t="shared" si="70"/>
        <v>1892.1</v>
      </c>
      <c r="H256" s="2">
        <f t="shared" si="71"/>
        <v>1896.2</v>
      </c>
      <c r="I256" s="48">
        <f t="shared" si="72"/>
        <v>-0.21622191751925479</v>
      </c>
    </row>
    <row r="257" spans="1:10" x14ac:dyDescent="0.25">
      <c r="A257" s="35">
        <f t="shared" si="73"/>
        <v>40633</v>
      </c>
      <c r="C257">
        <v>614.1</v>
      </c>
      <c r="D257">
        <v>399.7</v>
      </c>
      <c r="E257">
        <v>1309.0999999999999</v>
      </c>
      <c r="F257">
        <v>1541.8</v>
      </c>
      <c r="G257" s="14">
        <f t="shared" si="70"/>
        <v>1923.1999999999998</v>
      </c>
      <c r="H257" s="2">
        <f t="shared" si="71"/>
        <v>1941.5</v>
      </c>
      <c r="I257" s="48">
        <f t="shared" si="72"/>
        <v>-0.94257017769766582</v>
      </c>
      <c r="J257">
        <v>113.5</v>
      </c>
    </row>
    <row r="258" spans="1:10" x14ac:dyDescent="0.25">
      <c r="A258" s="35">
        <f t="shared" si="73"/>
        <v>40640</v>
      </c>
      <c r="C258">
        <v>634.79999999999995</v>
      </c>
      <c r="D258">
        <v>386.2</v>
      </c>
      <c r="E258">
        <v>1315.4</v>
      </c>
      <c r="F258">
        <v>1603.7</v>
      </c>
      <c r="G258" s="14">
        <f t="shared" si="70"/>
        <v>1950.2</v>
      </c>
      <c r="H258" s="2">
        <f t="shared" si="71"/>
        <v>1989.9</v>
      </c>
      <c r="I258" s="48">
        <f t="shared" si="72"/>
        <v>-1.9950751294034896</v>
      </c>
      <c r="J258">
        <v>114.1</v>
      </c>
    </row>
    <row r="259" spans="1:10" x14ac:dyDescent="0.25">
      <c r="A259" s="35">
        <f t="shared" si="73"/>
        <v>40647</v>
      </c>
      <c r="C259">
        <v>566.5</v>
      </c>
      <c r="D259">
        <v>349.3</v>
      </c>
      <c r="E259">
        <v>1387.4</v>
      </c>
      <c r="F259">
        <v>1670.4</v>
      </c>
      <c r="G259" s="14">
        <f t="shared" si="70"/>
        <v>1953.9</v>
      </c>
      <c r="H259" s="2">
        <f t="shared" si="71"/>
        <v>2019.7</v>
      </c>
      <c r="I259" s="48">
        <f t="shared" si="72"/>
        <v>-3.2579095905332478</v>
      </c>
    </row>
    <row r="260" spans="1:10" x14ac:dyDescent="0.25">
      <c r="A260" s="35">
        <f t="shared" si="73"/>
        <v>40654</v>
      </c>
      <c r="C260">
        <v>521.6</v>
      </c>
      <c r="D260">
        <v>345.6</v>
      </c>
      <c r="E260">
        <v>1438.1</v>
      </c>
      <c r="F260">
        <v>1698.4</v>
      </c>
      <c r="G260" s="14">
        <f t="shared" si="70"/>
        <v>1959.6999999999998</v>
      </c>
      <c r="H260" s="2">
        <f t="shared" si="71"/>
        <v>2044</v>
      </c>
      <c r="I260" s="48">
        <f t="shared" si="72"/>
        <v>-4.1242661448141043</v>
      </c>
    </row>
    <row r="261" spans="1:10" x14ac:dyDescent="0.25">
      <c r="A261" s="35">
        <f t="shared" si="73"/>
        <v>40661</v>
      </c>
      <c r="C261">
        <v>519.20000000000005</v>
      </c>
      <c r="D261">
        <v>347.7</v>
      </c>
      <c r="E261">
        <v>1442</v>
      </c>
      <c r="F261">
        <v>1748</v>
      </c>
      <c r="G261" s="14">
        <f t="shared" si="70"/>
        <v>1961.2</v>
      </c>
      <c r="H261" s="2">
        <f t="shared" si="71"/>
        <v>2095.6999999999998</v>
      </c>
      <c r="I261" s="48">
        <f t="shared" si="72"/>
        <v>-6.417903325857699</v>
      </c>
      <c r="J261">
        <v>114.4</v>
      </c>
    </row>
    <row r="262" spans="1:10" x14ac:dyDescent="0.25">
      <c r="A262" s="35">
        <f t="shared" si="73"/>
        <v>40668</v>
      </c>
      <c r="C262">
        <v>532.79999999999995</v>
      </c>
      <c r="D262">
        <v>333.1</v>
      </c>
      <c r="E262">
        <v>1455.4</v>
      </c>
      <c r="F262">
        <v>1771.7</v>
      </c>
      <c r="G262" s="14">
        <f t="shared" si="70"/>
        <v>1988.2</v>
      </c>
      <c r="H262" s="2">
        <f t="shared" si="71"/>
        <v>2104.8000000000002</v>
      </c>
      <c r="I262" s="48">
        <f t="shared" si="72"/>
        <v>-5.5397187381223905</v>
      </c>
      <c r="J262">
        <v>117.7</v>
      </c>
    </row>
    <row r="263" spans="1:10" x14ac:dyDescent="0.25">
      <c r="A263" s="35">
        <f t="shared" si="73"/>
        <v>40675</v>
      </c>
      <c r="C263">
        <v>526.29999999999995</v>
      </c>
      <c r="D263">
        <v>344.2</v>
      </c>
      <c r="E263">
        <v>1484.4</v>
      </c>
      <c r="F263">
        <v>1814.8</v>
      </c>
      <c r="G263" s="14">
        <f t="shared" si="70"/>
        <v>2010.7</v>
      </c>
      <c r="H263" s="2">
        <f t="shared" si="71"/>
        <v>2159</v>
      </c>
      <c r="I263" s="48">
        <f t="shared" si="72"/>
        <v>-6.8689207966651233</v>
      </c>
    </row>
    <row r="264" spans="1:10" x14ac:dyDescent="0.25">
      <c r="A264" s="35">
        <f t="shared" si="73"/>
        <v>40682</v>
      </c>
      <c r="C264">
        <v>503.8</v>
      </c>
      <c r="D264">
        <v>325.3</v>
      </c>
      <c r="E264">
        <v>1510.2</v>
      </c>
      <c r="F264">
        <v>1852</v>
      </c>
      <c r="G264" s="14">
        <f t="shared" si="70"/>
        <v>2014</v>
      </c>
      <c r="H264" s="2">
        <f t="shared" si="71"/>
        <v>2177.3000000000002</v>
      </c>
      <c r="I264" s="48">
        <f t="shared" si="72"/>
        <v>-7.500114821108717</v>
      </c>
      <c r="J264">
        <v>118.5</v>
      </c>
    </row>
    <row r="265" spans="1:10" x14ac:dyDescent="0.25">
      <c r="A265" s="35">
        <f t="shared" si="73"/>
        <v>40689</v>
      </c>
      <c r="C265">
        <v>510.4</v>
      </c>
      <c r="D265">
        <v>272.8</v>
      </c>
      <c r="E265">
        <v>1536.4</v>
      </c>
      <c r="F265">
        <v>1904.1</v>
      </c>
      <c r="G265" s="14">
        <f t="shared" ref="G265:G274" si="74">+C265+E265</f>
        <v>2046.8000000000002</v>
      </c>
      <c r="H265" s="2">
        <f t="shared" ref="H265:H274" si="75">+D265+F265</f>
        <v>2176.9</v>
      </c>
      <c r="I265" s="48">
        <f t="shared" ref="I265:I274" si="76">+(G265/H265-1)*100</f>
        <v>-5.9763884422803004</v>
      </c>
      <c r="J265">
        <v>118.5</v>
      </c>
    </row>
    <row r="266" spans="1:10" x14ac:dyDescent="0.25">
      <c r="A266" s="35">
        <f t="shared" si="73"/>
        <v>40696</v>
      </c>
      <c r="C266">
        <v>528.4</v>
      </c>
      <c r="D266">
        <v>605.79999999999995</v>
      </c>
      <c r="E266">
        <v>1543.3</v>
      </c>
      <c r="F266">
        <v>1907.1</v>
      </c>
      <c r="G266" s="14">
        <f t="shared" si="74"/>
        <v>2071.6999999999998</v>
      </c>
      <c r="H266" s="2">
        <f t="shared" si="75"/>
        <v>2512.8999999999996</v>
      </c>
      <c r="I266" s="48">
        <f t="shared" si="76"/>
        <v>-17.557403796410519</v>
      </c>
      <c r="J266">
        <v>118.5</v>
      </c>
    </row>
    <row r="267" spans="1:10" x14ac:dyDescent="0.25">
      <c r="A267" s="35">
        <f t="shared" si="73"/>
        <v>40703</v>
      </c>
      <c r="C267">
        <v>575.1</v>
      </c>
      <c r="D267">
        <v>320.10000000000002</v>
      </c>
      <c r="E267">
        <v>1586.6</v>
      </c>
      <c r="F267">
        <v>1922.6</v>
      </c>
      <c r="G267" s="14">
        <f t="shared" si="74"/>
        <v>2161.6999999999998</v>
      </c>
      <c r="H267" s="2">
        <f t="shared" si="75"/>
        <v>2242.6999999999998</v>
      </c>
      <c r="I267" s="48">
        <f t="shared" si="76"/>
        <v>-3.6117180184598974</v>
      </c>
      <c r="J267">
        <v>119.5</v>
      </c>
    </row>
    <row r="268" spans="1:10" x14ac:dyDescent="0.25">
      <c r="A268" s="35">
        <f t="shared" si="73"/>
        <v>40710</v>
      </c>
      <c r="C268">
        <v>641</v>
      </c>
      <c r="D268">
        <v>426.5</v>
      </c>
      <c r="E268">
        <v>1591.8</v>
      </c>
      <c r="F268">
        <v>1962.8</v>
      </c>
      <c r="G268" s="14">
        <f t="shared" si="74"/>
        <v>2232.8000000000002</v>
      </c>
      <c r="H268" s="2">
        <f t="shared" si="75"/>
        <v>2389.3000000000002</v>
      </c>
      <c r="I268" s="48">
        <f t="shared" si="76"/>
        <v>-6.5500355752730943</v>
      </c>
      <c r="J268">
        <v>119.5</v>
      </c>
    </row>
    <row r="269" spans="1:10" x14ac:dyDescent="0.25">
      <c r="A269" s="35">
        <f t="shared" si="73"/>
        <v>40717</v>
      </c>
      <c r="C269">
        <v>698.8</v>
      </c>
      <c r="D269">
        <v>417.7</v>
      </c>
      <c r="E269">
        <v>1618.1</v>
      </c>
      <c r="F269">
        <v>1999.4</v>
      </c>
      <c r="G269" s="14">
        <f t="shared" si="74"/>
        <v>2316.8999999999996</v>
      </c>
      <c r="H269" s="2">
        <f t="shared" si="75"/>
        <v>2417.1</v>
      </c>
      <c r="I269" s="48">
        <f t="shared" si="76"/>
        <v>-4.1454635720491577</v>
      </c>
      <c r="J269">
        <v>122.4</v>
      </c>
    </row>
    <row r="270" spans="1:10" x14ac:dyDescent="0.25">
      <c r="A270" s="35">
        <f t="shared" si="73"/>
        <v>40724</v>
      </c>
      <c r="C270">
        <v>626.29999999999995</v>
      </c>
      <c r="D270">
        <v>340.1</v>
      </c>
      <c r="E270">
        <v>1648.1</v>
      </c>
      <c r="F270">
        <v>2028.7</v>
      </c>
      <c r="G270" s="14">
        <f t="shared" si="74"/>
        <v>2274.3999999999996</v>
      </c>
      <c r="H270" s="2">
        <f t="shared" si="75"/>
        <v>2368.8000000000002</v>
      </c>
      <c r="I270" s="48">
        <f t="shared" si="76"/>
        <v>-3.9851401553529398</v>
      </c>
      <c r="J270">
        <v>119.7</v>
      </c>
    </row>
    <row r="271" spans="1:10" x14ac:dyDescent="0.25">
      <c r="A271" s="35">
        <f t="shared" si="73"/>
        <v>40731</v>
      </c>
      <c r="C271">
        <v>562.79999999999995</v>
      </c>
      <c r="D271">
        <v>364.6</v>
      </c>
      <c r="E271">
        <v>1662.2</v>
      </c>
      <c r="F271">
        <v>2046.1</v>
      </c>
      <c r="G271" s="14">
        <f t="shared" si="74"/>
        <v>2225</v>
      </c>
      <c r="H271" s="2">
        <f t="shared" si="75"/>
        <v>2410.6999999999998</v>
      </c>
      <c r="I271" s="48">
        <f t="shared" si="76"/>
        <v>-7.7031567594474604</v>
      </c>
      <c r="J271">
        <v>119.7</v>
      </c>
    </row>
    <row r="272" spans="1:10" x14ac:dyDescent="0.25">
      <c r="A272" s="35">
        <f t="shared" si="73"/>
        <v>40738</v>
      </c>
      <c r="C272">
        <v>547.1</v>
      </c>
      <c r="D272">
        <v>332.9</v>
      </c>
      <c r="E272">
        <v>1685.4</v>
      </c>
      <c r="F272">
        <v>2083.1999999999998</v>
      </c>
      <c r="G272" s="14">
        <f t="shared" si="74"/>
        <v>2232.5</v>
      </c>
      <c r="H272" s="2">
        <f t="shared" si="75"/>
        <v>2416.1</v>
      </c>
      <c r="I272" s="48">
        <f t="shared" si="76"/>
        <v>-7.5990232192376101</v>
      </c>
      <c r="J272">
        <v>122.5</v>
      </c>
    </row>
    <row r="273" spans="1:10" x14ac:dyDescent="0.25">
      <c r="A273" s="35">
        <f t="shared" si="73"/>
        <v>40745</v>
      </c>
      <c r="C273">
        <v>446.5</v>
      </c>
      <c r="D273">
        <v>329.5</v>
      </c>
      <c r="E273">
        <v>1745.4</v>
      </c>
      <c r="F273">
        <v>2096.6999999999998</v>
      </c>
      <c r="G273" s="14">
        <f t="shared" si="74"/>
        <v>2191.9</v>
      </c>
      <c r="H273" s="2">
        <f t="shared" si="75"/>
        <v>2426.1999999999998</v>
      </c>
      <c r="I273" s="48">
        <f t="shared" si="76"/>
        <v>-9.6570769103948457</v>
      </c>
      <c r="J273">
        <v>122.6</v>
      </c>
    </row>
    <row r="274" spans="1:10" x14ac:dyDescent="0.25">
      <c r="A274" s="35">
        <f t="shared" si="73"/>
        <v>40752</v>
      </c>
      <c r="C274">
        <v>425.1</v>
      </c>
      <c r="D274">
        <v>361.6</v>
      </c>
      <c r="E274">
        <v>1777.6</v>
      </c>
      <c r="F274">
        <v>2119.6999999999998</v>
      </c>
      <c r="G274" s="14">
        <f t="shared" si="74"/>
        <v>2202.6999999999998</v>
      </c>
      <c r="H274" s="2">
        <f t="shared" si="75"/>
        <v>2481.2999999999997</v>
      </c>
      <c r="I274" s="48">
        <f t="shared" si="76"/>
        <v>-11.227985330270418</v>
      </c>
      <c r="J274">
        <v>123.2</v>
      </c>
    </row>
    <row r="275" spans="1:10" x14ac:dyDescent="0.25">
      <c r="A275" s="35">
        <f t="shared" si="73"/>
        <v>40759</v>
      </c>
      <c r="C275">
        <v>401.2</v>
      </c>
      <c r="D275">
        <v>342.6</v>
      </c>
      <c r="E275">
        <v>1791.8</v>
      </c>
      <c r="F275">
        <v>2207.1999999999998</v>
      </c>
      <c r="G275" s="14">
        <f t="shared" ref="G275:H293" si="77">+C275+E275</f>
        <v>2193</v>
      </c>
      <c r="H275" s="2">
        <f t="shared" si="77"/>
        <v>2549.7999999999997</v>
      </c>
      <c r="I275" s="48">
        <f t="shared" ref="I275:I296" si="78">+(G275/H275-1)*100</f>
        <v>-13.993254372891982</v>
      </c>
      <c r="J275">
        <v>123.4</v>
      </c>
    </row>
    <row r="276" spans="1:10" x14ac:dyDescent="0.25">
      <c r="A276" s="35">
        <f t="shared" si="73"/>
        <v>40766</v>
      </c>
      <c r="C276">
        <v>416.7</v>
      </c>
      <c r="D276">
        <v>322.10000000000002</v>
      </c>
      <c r="E276">
        <v>1816.1</v>
      </c>
      <c r="F276">
        <v>2253.9</v>
      </c>
      <c r="G276" s="14">
        <f t="shared" si="77"/>
        <v>2232.7999999999997</v>
      </c>
      <c r="H276" s="2">
        <f t="shared" si="77"/>
        <v>2576</v>
      </c>
      <c r="I276" s="48">
        <f t="shared" si="78"/>
        <v>-13.32298136645964</v>
      </c>
      <c r="J276">
        <v>123.5</v>
      </c>
    </row>
    <row r="277" spans="1:10" x14ac:dyDescent="0.25">
      <c r="A277" s="35">
        <f t="shared" si="73"/>
        <v>40773</v>
      </c>
      <c r="C277">
        <v>413.8</v>
      </c>
      <c r="D277">
        <v>281.39999999999998</v>
      </c>
      <c r="E277">
        <v>1839</v>
      </c>
      <c r="F277">
        <v>2327.3000000000002</v>
      </c>
      <c r="G277" s="14">
        <f t="shared" si="77"/>
        <v>2252.8000000000002</v>
      </c>
      <c r="H277" s="2">
        <f t="shared" si="77"/>
        <v>2608.7000000000003</v>
      </c>
      <c r="I277" s="48">
        <f t="shared" si="78"/>
        <v>-13.64281059531568</v>
      </c>
      <c r="J277">
        <v>123.5</v>
      </c>
    </row>
    <row r="278" spans="1:10" x14ac:dyDescent="0.25">
      <c r="A278" s="35">
        <f t="shared" si="73"/>
        <v>40780</v>
      </c>
      <c r="C278">
        <v>337</v>
      </c>
      <c r="D278">
        <v>279.3</v>
      </c>
      <c r="E278">
        <v>1876.9</v>
      </c>
      <c r="F278">
        <v>2341.6</v>
      </c>
      <c r="G278" s="14">
        <f t="shared" si="77"/>
        <v>2213.9</v>
      </c>
      <c r="H278" s="2">
        <f t="shared" si="77"/>
        <v>2620.9</v>
      </c>
      <c r="I278" s="48">
        <f t="shared" si="78"/>
        <v>-15.52901674997138</v>
      </c>
      <c r="J278">
        <v>124.4</v>
      </c>
    </row>
    <row r="279" spans="1:10" x14ac:dyDescent="0.25">
      <c r="A279" s="35">
        <f t="shared" si="73"/>
        <v>40787</v>
      </c>
      <c r="C279">
        <v>509.8</v>
      </c>
      <c r="D279">
        <v>627.1</v>
      </c>
      <c r="E279">
        <v>0.1</v>
      </c>
      <c r="F279">
        <v>0.6</v>
      </c>
      <c r="G279" s="14">
        <f t="shared" si="77"/>
        <v>509.90000000000003</v>
      </c>
      <c r="H279" s="2">
        <f t="shared" si="77"/>
        <v>627.70000000000005</v>
      </c>
      <c r="I279" s="48">
        <f t="shared" si="78"/>
        <v>-18.766926875896129</v>
      </c>
    </row>
    <row r="280" spans="1:10" x14ac:dyDescent="0.25">
      <c r="A280" s="35">
        <f t="shared" si="73"/>
        <v>40794</v>
      </c>
      <c r="C280">
        <v>507.5</v>
      </c>
      <c r="D280">
        <v>602.4</v>
      </c>
      <c r="E280">
        <v>3.5</v>
      </c>
      <c r="F280">
        <v>24.7</v>
      </c>
      <c r="G280" s="14">
        <f t="shared" si="77"/>
        <v>511</v>
      </c>
      <c r="H280" s="2">
        <f t="shared" si="77"/>
        <v>627.1</v>
      </c>
      <c r="I280" s="48">
        <f t="shared" si="78"/>
        <v>-18.513793653324829</v>
      </c>
    </row>
    <row r="281" spans="1:10" x14ac:dyDescent="0.25">
      <c r="A281" s="35">
        <f t="shared" si="73"/>
        <v>40801</v>
      </c>
      <c r="C281" s="84">
        <v>532.1</v>
      </c>
      <c r="D281" s="84">
        <v>599.9</v>
      </c>
      <c r="E281" s="84">
        <v>49.4</v>
      </c>
      <c r="F281" s="84">
        <v>47.6</v>
      </c>
      <c r="G281" s="119">
        <f t="shared" si="77"/>
        <v>581.5</v>
      </c>
      <c r="H281" s="2">
        <f t="shared" si="77"/>
        <v>647.5</v>
      </c>
      <c r="I281" s="48">
        <f t="shared" si="78"/>
        <v>-10.19305019305019</v>
      </c>
      <c r="J281" s="84"/>
    </row>
    <row r="282" spans="1:10" x14ac:dyDescent="0.25">
      <c r="A282" s="35">
        <f t="shared" si="73"/>
        <v>40808</v>
      </c>
      <c r="C282" s="84">
        <v>533</v>
      </c>
      <c r="D282" s="84">
        <v>657.5</v>
      </c>
      <c r="E282" s="84">
        <v>69.900000000000006</v>
      </c>
      <c r="F282" s="84">
        <v>60.4</v>
      </c>
      <c r="G282" s="119">
        <f t="shared" si="77"/>
        <v>602.9</v>
      </c>
      <c r="H282" s="2">
        <f t="shared" si="77"/>
        <v>717.9</v>
      </c>
      <c r="I282" s="48">
        <f t="shared" si="78"/>
        <v>-16.018944142638247</v>
      </c>
      <c r="J282" s="84"/>
    </row>
    <row r="283" spans="1:10" x14ac:dyDescent="0.25">
      <c r="A283" s="35">
        <f t="shared" si="73"/>
        <v>40815</v>
      </c>
      <c r="C283" s="84">
        <v>545.70000000000005</v>
      </c>
      <c r="D283" s="84">
        <v>655</v>
      </c>
      <c r="E283" s="84">
        <v>110.1</v>
      </c>
      <c r="F283" s="84">
        <v>73.3</v>
      </c>
      <c r="G283" s="119">
        <f t="shared" si="77"/>
        <v>655.80000000000007</v>
      </c>
      <c r="H283" s="2">
        <f t="shared" si="77"/>
        <v>728.3</v>
      </c>
      <c r="I283" s="48">
        <f t="shared" si="78"/>
        <v>-9.954689001784967</v>
      </c>
      <c r="J283" s="84"/>
    </row>
    <row r="284" spans="1:10" ht="15" x14ac:dyDescent="0.35">
      <c r="A284" s="35">
        <f t="shared" si="73"/>
        <v>40822</v>
      </c>
      <c r="C284" s="85">
        <v>490.5</v>
      </c>
      <c r="D284" s="84">
        <v>682</v>
      </c>
      <c r="E284" s="84">
        <v>116.8</v>
      </c>
      <c r="F284" s="84">
        <v>125.1</v>
      </c>
      <c r="G284" s="119">
        <f t="shared" si="77"/>
        <v>607.29999999999995</v>
      </c>
      <c r="H284" s="2">
        <f t="shared" si="77"/>
        <v>807.1</v>
      </c>
      <c r="I284" s="48">
        <f t="shared" si="78"/>
        <v>-24.755296741419908</v>
      </c>
      <c r="J284" s="84"/>
    </row>
    <row r="285" spans="1:10" x14ac:dyDescent="0.25">
      <c r="A285" s="35">
        <f t="shared" si="73"/>
        <v>40829</v>
      </c>
      <c r="C285" s="84">
        <v>489</v>
      </c>
      <c r="D285" s="84">
        <v>716.7</v>
      </c>
      <c r="E285" s="84">
        <v>157.69999999999999</v>
      </c>
      <c r="F285" s="84">
        <v>205.5</v>
      </c>
      <c r="G285" s="119">
        <f t="shared" si="77"/>
        <v>646.70000000000005</v>
      </c>
      <c r="H285" s="2">
        <f t="shared" si="77"/>
        <v>922.2</v>
      </c>
      <c r="I285" s="48">
        <f t="shared" si="78"/>
        <v>-29.874213836477981</v>
      </c>
      <c r="J285" s="84"/>
    </row>
    <row r="286" spans="1:10" x14ac:dyDescent="0.25">
      <c r="A286" s="35">
        <f t="shared" si="73"/>
        <v>40836</v>
      </c>
      <c r="C286" s="84">
        <v>497.8</v>
      </c>
      <c r="D286" s="84">
        <v>712.2</v>
      </c>
      <c r="E286" s="84">
        <v>172.4</v>
      </c>
      <c r="F286" s="84">
        <v>256</v>
      </c>
      <c r="G286" s="119">
        <f t="shared" si="77"/>
        <v>670.2</v>
      </c>
      <c r="H286" s="2">
        <f t="shared" si="77"/>
        <v>968.2</v>
      </c>
      <c r="I286" s="48">
        <f t="shared" si="78"/>
        <v>-30.778764718033457</v>
      </c>
      <c r="J286" s="84"/>
    </row>
    <row r="287" spans="1:10" x14ac:dyDescent="0.25">
      <c r="A287" s="35">
        <f t="shared" si="73"/>
        <v>40843</v>
      </c>
      <c r="C287" s="84">
        <v>498</v>
      </c>
      <c r="D287" s="84">
        <v>786.9</v>
      </c>
      <c r="E287" s="84">
        <v>220.7</v>
      </c>
      <c r="F287" s="84">
        <v>270.10000000000002</v>
      </c>
      <c r="G287" s="119">
        <f t="shared" si="77"/>
        <v>718.7</v>
      </c>
      <c r="H287" s="2">
        <f t="shared" si="77"/>
        <v>1057</v>
      </c>
      <c r="I287" s="48">
        <f t="shared" si="78"/>
        <v>-32.005676442762535</v>
      </c>
      <c r="J287" s="84">
        <v>27</v>
      </c>
    </row>
    <row r="288" spans="1:10" x14ac:dyDescent="0.25">
      <c r="A288" s="35">
        <f t="shared" si="73"/>
        <v>40850</v>
      </c>
      <c r="C288" s="84">
        <v>498</v>
      </c>
      <c r="D288" s="84">
        <v>776.6</v>
      </c>
      <c r="E288" s="84">
        <v>267.89999999999998</v>
      </c>
      <c r="F288" s="84">
        <v>364.5</v>
      </c>
      <c r="G288" s="119">
        <f t="shared" si="77"/>
        <v>765.9</v>
      </c>
      <c r="H288" s="2">
        <f t="shared" si="77"/>
        <v>1141.0999999999999</v>
      </c>
      <c r="I288" s="48">
        <f t="shared" si="78"/>
        <v>-32.880553851546743</v>
      </c>
      <c r="J288" s="84">
        <v>29.8</v>
      </c>
    </row>
    <row r="289" spans="1:10" x14ac:dyDescent="0.25">
      <c r="A289" s="35">
        <f t="shared" si="73"/>
        <v>40857</v>
      </c>
      <c r="C289" s="84">
        <v>489</v>
      </c>
      <c r="D289" s="84">
        <v>762.2</v>
      </c>
      <c r="E289" s="84">
        <v>293.8</v>
      </c>
      <c r="F289" s="84">
        <v>430.3</v>
      </c>
      <c r="G289" s="119">
        <f t="shared" si="77"/>
        <v>782.8</v>
      </c>
      <c r="H289" s="119">
        <f t="shared" si="77"/>
        <v>1192.5</v>
      </c>
      <c r="I289" s="48">
        <f t="shared" si="78"/>
        <v>-34.356394129979037</v>
      </c>
      <c r="J289" s="84"/>
    </row>
    <row r="290" spans="1:10" x14ac:dyDescent="0.25">
      <c r="A290" s="35">
        <f t="shared" si="73"/>
        <v>40864</v>
      </c>
      <c r="C290" s="84">
        <v>485.3</v>
      </c>
      <c r="D290" s="84">
        <v>782.2</v>
      </c>
      <c r="E290" s="84">
        <v>329.1</v>
      </c>
      <c r="F290" s="84">
        <v>478.6</v>
      </c>
      <c r="G290" s="119">
        <f t="shared" si="77"/>
        <v>814.40000000000009</v>
      </c>
      <c r="H290" s="119">
        <f t="shared" si="77"/>
        <v>1260.8000000000002</v>
      </c>
      <c r="I290" s="48">
        <f t="shared" si="78"/>
        <v>-35.406091370558379</v>
      </c>
      <c r="J290" s="84"/>
    </row>
    <row r="291" spans="1:10" x14ac:dyDescent="0.25">
      <c r="A291" s="35">
        <f t="shared" si="73"/>
        <v>40871</v>
      </c>
      <c r="C291" s="84">
        <v>477.9</v>
      </c>
      <c r="D291" s="84">
        <v>578.6</v>
      </c>
      <c r="E291" s="84">
        <v>385.5</v>
      </c>
      <c r="F291" s="84">
        <v>509.8</v>
      </c>
      <c r="G291" s="119">
        <f t="shared" si="77"/>
        <v>863.4</v>
      </c>
      <c r="H291" s="119">
        <f t="shared" si="77"/>
        <v>1088.4000000000001</v>
      </c>
      <c r="I291" s="48">
        <f t="shared" si="78"/>
        <v>-20.67254685777289</v>
      </c>
      <c r="J291" s="84"/>
    </row>
    <row r="292" spans="1:10" x14ac:dyDescent="0.25">
      <c r="A292" s="35">
        <f t="shared" si="73"/>
        <v>40878</v>
      </c>
      <c r="C292" s="84">
        <v>507.4</v>
      </c>
      <c r="D292" s="84">
        <v>503.5</v>
      </c>
      <c r="E292" s="84">
        <v>396.5</v>
      </c>
      <c r="F292" s="84">
        <v>590.6</v>
      </c>
      <c r="G292" s="119">
        <f t="shared" si="77"/>
        <v>903.9</v>
      </c>
      <c r="H292" s="119">
        <f t="shared" si="77"/>
        <v>1094.0999999999999</v>
      </c>
      <c r="I292" s="48">
        <f t="shared" si="78"/>
        <v>-17.384151357279954</v>
      </c>
      <c r="J292" s="84"/>
    </row>
    <row r="293" spans="1:10" x14ac:dyDescent="0.25">
      <c r="A293" s="35">
        <f t="shared" si="73"/>
        <v>40885</v>
      </c>
      <c r="C293" s="130">
        <v>475</v>
      </c>
      <c r="D293" s="84">
        <v>516.5</v>
      </c>
      <c r="E293" s="84">
        <v>495.4</v>
      </c>
      <c r="F293" s="84">
        <v>625.20000000000005</v>
      </c>
      <c r="G293" s="119">
        <f t="shared" si="77"/>
        <v>970.4</v>
      </c>
      <c r="H293" s="119">
        <f t="shared" si="77"/>
        <v>1141.7</v>
      </c>
      <c r="I293" s="48">
        <f t="shared" si="78"/>
        <v>-15.003941490759399</v>
      </c>
      <c r="J293" s="84"/>
    </row>
    <row r="294" spans="1:10" x14ac:dyDescent="0.25">
      <c r="A294" s="35">
        <f t="shared" si="73"/>
        <v>40892</v>
      </c>
      <c r="C294">
        <v>488.8</v>
      </c>
      <c r="D294">
        <v>500</v>
      </c>
      <c r="E294">
        <v>509.6</v>
      </c>
      <c r="F294">
        <v>680.6</v>
      </c>
      <c r="G294" s="119">
        <f t="shared" ref="G294:H297" si="79">+C294+E294</f>
        <v>998.40000000000009</v>
      </c>
      <c r="H294" s="119">
        <f t="shared" si="79"/>
        <v>1180.5999999999999</v>
      </c>
      <c r="I294" s="48">
        <f t="shared" si="78"/>
        <v>-15.432830764018279</v>
      </c>
      <c r="J294" s="48">
        <v>60.1</v>
      </c>
    </row>
    <row r="295" spans="1:10" x14ac:dyDescent="0.25">
      <c r="A295" s="35">
        <f t="shared" si="73"/>
        <v>40899</v>
      </c>
      <c r="C295" s="84">
        <v>513.9</v>
      </c>
      <c r="D295" s="84">
        <v>471.4</v>
      </c>
      <c r="E295" s="84">
        <v>532.4</v>
      </c>
      <c r="F295" s="84">
        <v>723.6</v>
      </c>
      <c r="G295" s="119">
        <f t="shared" si="79"/>
        <v>1046.3</v>
      </c>
      <c r="H295" s="119">
        <f t="shared" si="79"/>
        <v>1195</v>
      </c>
      <c r="I295" s="48">
        <f t="shared" si="78"/>
        <v>-12.443514644351472</v>
      </c>
      <c r="J295" s="84"/>
    </row>
    <row r="296" spans="1:10" x14ac:dyDescent="0.25">
      <c r="A296" s="35">
        <f t="shared" si="73"/>
        <v>40906</v>
      </c>
      <c r="C296" s="84">
        <v>503.9</v>
      </c>
      <c r="D296" s="84">
        <v>451.6</v>
      </c>
      <c r="E296" s="84">
        <v>599.4</v>
      </c>
      <c r="F296" s="84">
        <v>773.4</v>
      </c>
      <c r="G296" s="119">
        <f t="shared" si="79"/>
        <v>1103.3</v>
      </c>
      <c r="H296" s="119">
        <f t="shared" si="79"/>
        <v>1225</v>
      </c>
      <c r="I296" s="48">
        <f t="shared" si="78"/>
        <v>-9.9346938775510267</v>
      </c>
      <c r="J296" s="84"/>
    </row>
    <row r="297" spans="1:10" x14ac:dyDescent="0.25">
      <c r="A297" s="35">
        <f t="shared" si="73"/>
        <v>40913</v>
      </c>
      <c r="C297">
        <v>503.9</v>
      </c>
      <c r="D297">
        <v>450.1</v>
      </c>
      <c r="E297">
        <v>623.79999999999995</v>
      </c>
      <c r="F297">
        <v>775.2</v>
      </c>
      <c r="G297" s="119">
        <f t="shared" si="79"/>
        <v>1127.6999999999998</v>
      </c>
      <c r="H297" s="119">
        <f t="shared" si="79"/>
        <v>1225.3000000000002</v>
      </c>
      <c r="I297" s="48">
        <f t="shared" ref="I297:I328" si="80">+(G297/H297-1)*100</f>
        <v>-7.9653962294948482</v>
      </c>
      <c r="J297" s="48">
        <v>60.9</v>
      </c>
    </row>
    <row r="298" spans="1:10" x14ac:dyDescent="0.25">
      <c r="A298" s="35">
        <f t="shared" si="73"/>
        <v>40920</v>
      </c>
      <c r="C298">
        <v>406.5</v>
      </c>
      <c r="D298">
        <v>525.70000000000005</v>
      </c>
      <c r="E298">
        <v>666.2</v>
      </c>
      <c r="F298">
        <v>830.3</v>
      </c>
      <c r="G298" s="119">
        <f t="shared" ref="G298:G329" si="81">+C298+E298</f>
        <v>1072.7</v>
      </c>
      <c r="H298" s="119">
        <f t="shared" ref="H298:H329" si="82">+D298+F298</f>
        <v>1356</v>
      </c>
      <c r="I298" s="48">
        <f t="shared" si="80"/>
        <v>-20.892330383480818</v>
      </c>
      <c r="J298" s="84"/>
    </row>
    <row r="299" spans="1:10" x14ac:dyDescent="0.25">
      <c r="A299" s="35">
        <f t="shared" si="73"/>
        <v>40927</v>
      </c>
      <c r="C299">
        <v>357.5</v>
      </c>
      <c r="D299">
        <v>525.70000000000005</v>
      </c>
      <c r="E299">
        <v>706.7</v>
      </c>
      <c r="F299">
        <v>842.5</v>
      </c>
      <c r="G299" s="119">
        <f t="shared" si="81"/>
        <v>1064.2</v>
      </c>
      <c r="H299" s="119">
        <f t="shared" si="82"/>
        <v>1368.2</v>
      </c>
      <c r="I299" s="48">
        <f t="shared" si="80"/>
        <v>-22.218973834234756</v>
      </c>
      <c r="J299" s="84"/>
    </row>
    <row r="300" spans="1:10" x14ac:dyDescent="0.25">
      <c r="A300" s="35">
        <f t="shared" si="73"/>
        <v>40934</v>
      </c>
      <c r="C300">
        <v>361.3</v>
      </c>
      <c r="D300">
        <v>584.9</v>
      </c>
      <c r="E300">
        <v>747.1</v>
      </c>
      <c r="F300">
        <v>887.3</v>
      </c>
      <c r="G300" s="119">
        <f t="shared" si="81"/>
        <v>1108.4000000000001</v>
      </c>
      <c r="H300" s="119">
        <f t="shared" si="82"/>
        <v>1472.1999999999998</v>
      </c>
      <c r="I300" s="48">
        <f t="shared" si="80"/>
        <v>-24.711316397228622</v>
      </c>
      <c r="J300" s="84"/>
    </row>
    <row r="301" spans="1:10" x14ac:dyDescent="0.25">
      <c r="A301" s="35">
        <f t="shared" si="73"/>
        <v>40941</v>
      </c>
      <c r="C301">
        <v>371</v>
      </c>
      <c r="D301">
        <v>645.4</v>
      </c>
      <c r="E301">
        <v>792.6</v>
      </c>
      <c r="F301">
        <v>961.8</v>
      </c>
      <c r="G301" s="119">
        <f t="shared" si="81"/>
        <v>1163.5999999999999</v>
      </c>
      <c r="H301" s="119">
        <f t="shared" si="82"/>
        <v>1607.1999999999998</v>
      </c>
      <c r="I301" s="48">
        <f t="shared" si="80"/>
        <v>-27.600796416127427</v>
      </c>
      <c r="J301" s="84"/>
    </row>
    <row r="302" spans="1:10" x14ac:dyDescent="0.25">
      <c r="A302" s="35">
        <f t="shared" si="73"/>
        <v>40948</v>
      </c>
      <c r="C302">
        <v>373.6</v>
      </c>
      <c r="D302">
        <v>643.5</v>
      </c>
      <c r="E302">
        <v>814.6</v>
      </c>
      <c r="F302">
        <v>986.1</v>
      </c>
      <c r="G302" s="119">
        <f t="shared" si="81"/>
        <v>1188.2</v>
      </c>
      <c r="H302" s="119">
        <f t="shared" si="82"/>
        <v>1629.6</v>
      </c>
      <c r="I302" s="48">
        <f t="shared" si="80"/>
        <v>-27.086401570937646</v>
      </c>
      <c r="J302" s="84"/>
    </row>
    <row r="303" spans="1:10" x14ac:dyDescent="0.25">
      <c r="A303" s="35">
        <f t="shared" si="73"/>
        <v>40955</v>
      </c>
      <c r="C303">
        <v>384.7</v>
      </c>
      <c r="D303">
        <v>653.4</v>
      </c>
      <c r="E303">
        <v>869.1</v>
      </c>
      <c r="F303">
        <v>1017.4</v>
      </c>
      <c r="G303" s="119">
        <f t="shared" si="81"/>
        <v>1253.8</v>
      </c>
      <c r="H303" s="119">
        <f t="shared" si="82"/>
        <v>1670.8</v>
      </c>
      <c r="I303" s="48">
        <f t="shared" si="80"/>
        <v>-24.958103902322236</v>
      </c>
    </row>
    <row r="304" spans="1:10" x14ac:dyDescent="0.25">
      <c r="A304" s="35">
        <f t="shared" si="73"/>
        <v>40962</v>
      </c>
      <c r="C304">
        <v>350.6</v>
      </c>
      <c r="D304">
        <v>727</v>
      </c>
      <c r="E304">
        <v>923.8</v>
      </c>
      <c r="F304">
        <v>1079.9000000000001</v>
      </c>
      <c r="G304" s="119">
        <f t="shared" si="81"/>
        <v>1274.4000000000001</v>
      </c>
      <c r="H304" s="119">
        <f t="shared" si="82"/>
        <v>1806.9</v>
      </c>
      <c r="I304" s="48">
        <f t="shared" si="80"/>
        <v>-29.470363606176321</v>
      </c>
    </row>
    <row r="305" spans="1:10" x14ac:dyDescent="0.25">
      <c r="A305" s="35">
        <f t="shared" si="73"/>
        <v>40969</v>
      </c>
      <c r="C305">
        <v>343.4</v>
      </c>
      <c r="D305">
        <v>722</v>
      </c>
      <c r="E305">
        <v>994.5</v>
      </c>
      <c r="F305">
        <v>1109.7</v>
      </c>
      <c r="G305" s="119">
        <f t="shared" si="81"/>
        <v>1337.9</v>
      </c>
      <c r="H305" s="119">
        <f t="shared" si="82"/>
        <v>1831.7</v>
      </c>
      <c r="I305" s="48">
        <f t="shared" si="80"/>
        <v>-26.958563083474363</v>
      </c>
    </row>
    <row r="306" spans="1:10" x14ac:dyDescent="0.25">
      <c r="A306" s="35">
        <f t="shared" si="73"/>
        <v>40976</v>
      </c>
      <c r="C306">
        <v>374</v>
      </c>
      <c r="D306">
        <v>738.2</v>
      </c>
      <c r="E306">
        <v>1030.2</v>
      </c>
      <c r="F306">
        <v>1119.9000000000001</v>
      </c>
      <c r="G306" s="119">
        <f t="shared" si="81"/>
        <v>1404.2</v>
      </c>
      <c r="H306" s="119">
        <f t="shared" si="82"/>
        <v>1858.1000000000001</v>
      </c>
      <c r="I306" s="48">
        <f t="shared" si="80"/>
        <v>-24.428179322964315</v>
      </c>
    </row>
    <row r="307" spans="1:10" x14ac:dyDescent="0.25">
      <c r="A307" s="35">
        <f t="shared" si="73"/>
        <v>40983</v>
      </c>
      <c r="C307">
        <v>358</v>
      </c>
      <c r="D307">
        <v>729</v>
      </c>
      <c r="E307">
        <v>1040.3</v>
      </c>
      <c r="F307">
        <v>1161.5</v>
      </c>
      <c r="G307" s="119">
        <f t="shared" si="81"/>
        <v>1398.3</v>
      </c>
      <c r="H307" s="119">
        <f t="shared" si="82"/>
        <v>1890.5</v>
      </c>
      <c r="I307" s="48">
        <f t="shared" si="80"/>
        <v>-26.035440359693208</v>
      </c>
    </row>
    <row r="308" spans="1:10" x14ac:dyDescent="0.25">
      <c r="A308" s="35">
        <f t="shared" si="73"/>
        <v>40990</v>
      </c>
      <c r="C308">
        <v>357.1</v>
      </c>
      <c r="D308">
        <v>615.6</v>
      </c>
      <c r="E308">
        <v>1104.2</v>
      </c>
      <c r="F308">
        <v>1276.5</v>
      </c>
      <c r="G308" s="119">
        <f t="shared" si="81"/>
        <v>1461.3000000000002</v>
      </c>
      <c r="H308" s="119">
        <f t="shared" si="82"/>
        <v>1892.1</v>
      </c>
      <c r="I308" s="48">
        <f t="shared" si="80"/>
        <v>-22.768352624068477</v>
      </c>
    </row>
    <row r="309" spans="1:10" x14ac:dyDescent="0.25">
      <c r="A309" s="35">
        <f t="shared" si="73"/>
        <v>40997</v>
      </c>
      <c r="C309">
        <v>295.3</v>
      </c>
      <c r="D309">
        <v>614.1</v>
      </c>
      <c r="E309">
        <v>1179.9000000000001</v>
      </c>
      <c r="F309">
        <v>1309.0999999999999</v>
      </c>
      <c r="G309" s="119">
        <f t="shared" si="81"/>
        <v>1475.2</v>
      </c>
      <c r="H309" s="119">
        <f t="shared" si="82"/>
        <v>1923.1999999999998</v>
      </c>
      <c r="I309" s="48">
        <f t="shared" si="80"/>
        <v>-23.294509151414299</v>
      </c>
    </row>
    <row r="310" spans="1:10" x14ac:dyDescent="0.25">
      <c r="A310" s="35">
        <f t="shared" si="73"/>
        <v>41004</v>
      </c>
      <c r="C310">
        <v>316.5</v>
      </c>
      <c r="D310">
        <v>634.79999999999995</v>
      </c>
      <c r="E310">
        <v>1183.2</v>
      </c>
      <c r="F310">
        <v>1315.5</v>
      </c>
      <c r="G310" s="119">
        <f t="shared" si="81"/>
        <v>1499.7</v>
      </c>
      <c r="H310" s="119">
        <f t="shared" si="82"/>
        <v>1950.3</v>
      </c>
      <c r="I310" s="48">
        <f t="shared" si="80"/>
        <v>-23.104137824950001</v>
      </c>
    </row>
    <row r="311" spans="1:10" x14ac:dyDescent="0.25">
      <c r="A311" s="35">
        <f t="shared" si="73"/>
        <v>41011</v>
      </c>
      <c r="C311">
        <v>282.89999999999998</v>
      </c>
      <c r="D311">
        <v>566.5</v>
      </c>
      <c r="E311">
        <v>1228</v>
      </c>
      <c r="F311">
        <v>1387.4</v>
      </c>
      <c r="G311" s="119">
        <f t="shared" si="81"/>
        <v>1510.9</v>
      </c>
      <c r="H311" s="119">
        <f t="shared" si="82"/>
        <v>1953.9</v>
      </c>
      <c r="I311" s="48">
        <f t="shared" si="80"/>
        <v>-22.672603510926859</v>
      </c>
    </row>
    <row r="312" spans="1:10" x14ac:dyDescent="0.25">
      <c r="A312" s="35">
        <f t="shared" si="73"/>
        <v>41018</v>
      </c>
      <c r="C312">
        <v>318.89999999999998</v>
      </c>
      <c r="D312">
        <v>521.6</v>
      </c>
      <c r="E312">
        <v>1232</v>
      </c>
      <c r="F312">
        <v>1438.1</v>
      </c>
      <c r="G312" s="119">
        <f t="shared" si="81"/>
        <v>1550.9</v>
      </c>
      <c r="H312" s="119">
        <f t="shared" si="82"/>
        <v>1959.6999999999998</v>
      </c>
      <c r="I312" s="48">
        <f t="shared" si="80"/>
        <v>-20.860335765678407</v>
      </c>
    </row>
    <row r="313" spans="1:10" x14ac:dyDescent="0.25">
      <c r="A313" s="35">
        <f t="shared" si="73"/>
        <v>41025</v>
      </c>
      <c r="C313">
        <v>344.4</v>
      </c>
      <c r="D313">
        <v>519.20000000000005</v>
      </c>
      <c r="E313">
        <v>1245.0999999999999</v>
      </c>
      <c r="F313">
        <v>1442</v>
      </c>
      <c r="G313" s="119">
        <f t="shared" si="81"/>
        <v>1589.5</v>
      </c>
      <c r="H313" s="119">
        <f t="shared" si="82"/>
        <v>1961.2</v>
      </c>
      <c r="I313" s="48">
        <f t="shared" si="80"/>
        <v>-18.952682031409338</v>
      </c>
    </row>
    <row r="314" spans="1:10" x14ac:dyDescent="0.25">
      <c r="A314" s="35">
        <f t="shared" si="73"/>
        <v>41032</v>
      </c>
      <c r="C314">
        <v>333.4</v>
      </c>
      <c r="D314">
        <v>532.79999999999995</v>
      </c>
      <c r="E314">
        <v>1280.8</v>
      </c>
      <c r="F314">
        <v>1455.4</v>
      </c>
      <c r="G314" s="119">
        <f t="shared" si="81"/>
        <v>1614.1999999999998</v>
      </c>
      <c r="H314" s="119">
        <f t="shared" si="82"/>
        <v>1988.2</v>
      </c>
      <c r="I314" s="48">
        <f t="shared" si="80"/>
        <v>-18.81098481038126</v>
      </c>
      <c r="J314">
        <v>91.4</v>
      </c>
    </row>
    <row r="315" spans="1:10" x14ac:dyDescent="0.25">
      <c r="A315" s="35">
        <f t="shared" si="73"/>
        <v>41039</v>
      </c>
      <c r="C315">
        <v>333.3</v>
      </c>
      <c r="D315">
        <v>526.29999999999995</v>
      </c>
      <c r="E315">
        <v>1332.4</v>
      </c>
      <c r="F315">
        <v>1484.4</v>
      </c>
      <c r="G315" s="119">
        <f t="shared" si="81"/>
        <v>1665.7</v>
      </c>
      <c r="H315" s="119">
        <f t="shared" si="82"/>
        <v>2010.7</v>
      </c>
      <c r="I315" s="48">
        <f t="shared" si="80"/>
        <v>-17.158203610682843</v>
      </c>
      <c r="J315">
        <v>129.4</v>
      </c>
    </row>
    <row r="316" spans="1:10" x14ac:dyDescent="0.25">
      <c r="A316" s="35">
        <f t="shared" si="73"/>
        <v>41046</v>
      </c>
      <c r="C316">
        <v>335.9</v>
      </c>
      <c r="D316">
        <v>503.8</v>
      </c>
      <c r="E316">
        <v>1336.6</v>
      </c>
      <c r="F316">
        <v>1510.2</v>
      </c>
      <c r="G316" s="119">
        <f t="shared" si="81"/>
        <v>1672.5</v>
      </c>
      <c r="H316" s="119">
        <f t="shared" si="82"/>
        <v>2014</v>
      </c>
      <c r="I316" s="48">
        <f t="shared" si="80"/>
        <v>-16.956305858987086</v>
      </c>
      <c r="J316">
        <v>120</v>
      </c>
    </row>
    <row r="317" spans="1:10" x14ac:dyDescent="0.25">
      <c r="A317" s="35">
        <f t="shared" ref="A317:A386" si="83">+A316+7</f>
        <v>41053</v>
      </c>
      <c r="C317">
        <v>335.9</v>
      </c>
      <c r="D317">
        <v>503.8</v>
      </c>
      <c r="E317">
        <v>1336.6</v>
      </c>
      <c r="F317">
        <v>1510.2</v>
      </c>
      <c r="G317" s="119">
        <f t="shared" si="81"/>
        <v>1672.5</v>
      </c>
      <c r="H317" s="119">
        <f t="shared" si="82"/>
        <v>2014</v>
      </c>
      <c r="I317" s="48">
        <f t="shared" si="80"/>
        <v>-16.956305858987086</v>
      </c>
      <c r="J317">
        <v>120</v>
      </c>
    </row>
    <row r="318" spans="1:10" x14ac:dyDescent="0.25">
      <c r="A318" s="35">
        <f t="shared" si="83"/>
        <v>41060</v>
      </c>
      <c r="C318">
        <v>330.1</v>
      </c>
      <c r="D318">
        <v>528.4</v>
      </c>
      <c r="E318">
        <v>1379.1</v>
      </c>
      <c r="F318">
        <v>1543.3</v>
      </c>
      <c r="G318" s="119">
        <f t="shared" si="81"/>
        <v>1709.1999999999998</v>
      </c>
      <c r="H318" s="119">
        <f t="shared" si="82"/>
        <v>2071.6999999999998</v>
      </c>
      <c r="I318" s="48">
        <f t="shared" si="80"/>
        <v>-17.497707196987978</v>
      </c>
      <c r="J318">
        <v>122.5</v>
      </c>
    </row>
    <row r="319" spans="1:10" x14ac:dyDescent="0.25">
      <c r="A319" s="35">
        <f t="shared" si="83"/>
        <v>41067</v>
      </c>
      <c r="C319">
        <v>318.2</v>
      </c>
      <c r="D319">
        <v>575.1</v>
      </c>
      <c r="E319">
        <v>1409.6</v>
      </c>
      <c r="F319">
        <v>1586.6</v>
      </c>
      <c r="G319" s="119">
        <f t="shared" si="81"/>
        <v>1727.8</v>
      </c>
      <c r="H319" s="119">
        <f t="shared" si="82"/>
        <v>2161.6999999999998</v>
      </c>
      <c r="I319" s="48">
        <f t="shared" si="80"/>
        <v>-20.072165425359668</v>
      </c>
    </row>
    <row r="320" spans="1:10" x14ac:dyDescent="0.25">
      <c r="A320" s="35">
        <f t="shared" si="83"/>
        <v>41074</v>
      </c>
      <c r="C320">
        <v>346.4</v>
      </c>
      <c r="D320">
        <v>641</v>
      </c>
      <c r="E320">
        <v>1453.3</v>
      </c>
      <c r="F320">
        <v>1591.8</v>
      </c>
      <c r="G320" s="119">
        <f t="shared" si="81"/>
        <v>1799.6999999999998</v>
      </c>
      <c r="H320" s="119">
        <f t="shared" si="82"/>
        <v>2232.8000000000002</v>
      </c>
      <c r="I320" s="48">
        <f t="shared" si="80"/>
        <v>-19.397169473307073</v>
      </c>
    </row>
    <row r="321" spans="1:10" x14ac:dyDescent="0.25">
      <c r="A321" s="35">
        <f t="shared" si="83"/>
        <v>41081</v>
      </c>
      <c r="C321">
        <v>342.5</v>
      </c>
      <c r="D321">
        <v>698.8</v>
      </c>
      <c r="E321">
        <v>1483.1</v>
      </c>
      <c r="F321">
        <v>1618.1</v>
      </c>
      <c r="G321" s="119">
        <f t="shared" si="81"/>
        <v>1825.6</v>
      </c>
      <c r="H321" s="119">
        <f t="shared" si="82"/>
        <v>2316.8999999999996</v>
      </c>
      <c r="I321" s="48">
        <f t="shared" si="80"/>
        <v>-21.205058483318219</v>
      </c>
    </row>
    <row r="322" spans="1:10" x14ac:dyDescent="0.25">
      <c r="A322" s="35">
        <f t="shared" si="83"/>
        <v>41088</v>
      </c>
      <c r="C322">
        <v>284.60000000000002</v>
      </c>
      <c r="D322">
        <v>626.29999999999995</v>
      </c>
      <c r="E322">
        <v>1485.2</v>
      </c>
      <c r="F322">
        <v>1648.1</v>
      </c>
      <c r="G322" s="119">
        <f t="shared" si="81"/>
        <v>1769.8000000000002</v>
      </c>
      <c r="H322" s="119">
        <f t="shared" si="82"/>
        <v>2274.3999999999996</v>
      </c>
      <c r="I322" s="48">
        <f t="shared" si="80"/>
        <v>-22.186071051705923</v>
      </c>
      <c r="J322">
        <v>123.7</v>
      </c>
    </row>
    <row r="323" spans="1:10" x14ac:dyDescent="0.25">
      <c r="A323" s="35">
        <f t="shared" si="83"/>
        <v>41095</v>
      </c>
      <c r="C323">
        <v>310</v>
      </c>
      <c r="D323">
        <v>562.79999999999995</v>
      </c>
      <c r="E323">
        <v>1487.8</v>
      </c>
      <c r="F323">
        <v>1662.2</v>
      </c>
      <c r="G323" s="119">
        <f t="shared" si="81"/>
        <v>1797.8</v>
      </c>
      <c r="H323" s="119">
        <f t="shared" si="82"/>
        <v>2225</v>
      </c>
      <c r="I323" s="48">
        <f t="shared" si="80"/>
        <v>-19.200000000000006</v>
      </c>
      <c r="J323">
        <v>123.7</v>
      </c>
    </row>
    <row r="324" spans="1:10" x14ac:dyDescent="0.25">
      <c r="A324" s="35">
        <f t="shared" si="83"/>
        <v>41102</v>
      </c>
      <c r="C324">
        <v>227.5</v>
      </c>
      <c r="D324">
        <v>547.1</v>
      </c>
      <c r="E324">
        <v>1557.9</v>
      </c>
      <c r="F324">
        <v>1685.4</v>
      </c>
      <c r="G324" s="119">
        <f t="shared" si="81"/>
        <v>1785.4</v>
      </c>
      <c r="H324" s="119">
        <f t="shared" si="82"/>
        <v>2232.5</v>
      </c>
      <c r="I324" s="48">
        <f t="shared" si="80"/>
        <v>-20.026875699888013</v>
      </c>
      <c r="J324">
        <v>123.7</v>
      </c>
    </row>
    <row r="325" spans="1:10" x14ac:dyDescent="0.25">
      <c r="A325" s="35">
        <f t="shared" si="83"/>
        <v>41109</v>
      </c>
      <c r="C325">
        <v>224.3</v>
      </c>
      <c r="D325">
        <v>446.5</v>
      </c>
      <c r="E325">
        <v>1561</v>
      </c>
      <c r="F325">
        <v>1745.4</v>
      </c>
      <c r="G325" s="119">
        <f t="shared" si="81"/>
        <v>1785.3</v>
      </c>
      <c r="H325" s="119">
        <f t="shared" si="82"/>
        <v>2191.9</v>
      </c>
      <c r="I325" s="48">
        <f t="shared" si="80"/>
        <v>-18.550116337424161</v>
      </c>
      <c r="J325">
        <v>124.4</v>
      </c>
    </row>
    <row r="326" spans="1:10" x14ac:dyDescent="0.25">
      <c r="A326" s="35">
        <f t="shared" si="83"/>
        <v>41116</v>
      </c>
      <c r="C326">
        <v>232</v>
      </c>
      <c r="D326">
        <v>425.1</v>
      </c>
      <c r="E326">
        <v>1563.4</v>
      </c>
      <c r="F326">
        <v>1777.6</v>
      </c>
      <c r="G326" s="119">
        <f t="shared" si="81"/>
        <v>1795.4</v>
      </c>
      <c r="H326" s="119">
        <f t="shared" si="82"/>
        <v>2202.6999999999998</v>
      </c>
      <c r="I326" s="48">
        <f t="shared" si="80"/>
        <v>-18.490942933672304</v>
      </c>
      <c r="J326">
        <v>129.1</v>
      </c>
    </row>
    <row r="327" spans="1:10" x14ac:dyDescent="0.25">
      <c r="A327" s="35">
        <f t="shared" si="83"/>
        <v>41123</v>
      </c>
      <c r="C327">
        <v>226.6</v>
      </c>
      <c r="D327">
        <v>401.2</v>
      </c>
      <c r="E327">
        <v>1573.5</v>
      </c>
      <c r="F327">
        <v>1791.8</v>
      </c>
      <c r="G327" s="119">
        <f t="shared" si="81"/>
        <v>1800.1</v>
      </c>
      <c r="H327" s="119">
        <f t="shared" si="82"/>
        <v>2193</v>
      </c>
      <c r="I327" s="48">
        <f t="shared" si="80"/>
        <v>-17.916096671226633</v>
      </c>
      <c r="J327">
        <v>129.30000000000001</v>
      </c>
    </row>
    <row r="328" spans="1:10" x14ac:dyDescent="0.25">
      <c r="A328" s="35">
        <f t="shared" si="83"/>
        <v>41130</v>
      </c>
      <c r="C328">
        <v>257.3</v>
      </c>
      <c r="D328">
        <v>416.7</v>
      </c>
      <c r="E328">
        <v>1601.8</v>
      </c>
      <c r="F328">
        <v>1816.1</v>
      </c>
      <c r="G328" s="119">
        <f t="shared" si="81"/>
        <v>1859.1</v>
      </c>
      <c r="H328" s="119">
        <f t="shared" si="82"/>
        <v>2232.7999999999997</v>
      </c>
      <c r="I328" s="48">
        <f t="shared" si="80"/>
        <v>-16.736832676460047</v>
      </c>
      <c r="J328">
        <v>129.6</v>
      </c>
    </row>
    <row r="329" spans="1:10" x14ac:dyDescent="0.25">
      <c r="A329" s="35">
        <f t="shared" si="83"/>
        <v>41137</v>
      </c>
      <c r="C329">
        <v>223.7</v>
      </c>
      <c r="D329">
        <v>413.8</v>
      </c>
      <c r="E329">
        <v>1644.8</v>
      </c>
      <c r="F329">
        <v>1839</v>
      </c>
      <c r="G329" s="119">
        <f t="shared" si="81"/>
        <v>1868.5</v>
      </c>
      <c r="H329" s="119">
        <f t="shared" si="82"/>
        <v>2252.8000000000002</v>
      </c>
      <c r="I329" s="48">
        <f t="shared" ref="I329:I360" si="84">+(G329/H329-1)*100</f>
        <v>-17.058771306818187</v>
      </c>
      <c r="J329">
        <v>129.6</v>
      </c>
    </row>
    <row r="330" spans="1:10" x14ac:dyDescent="0.25">
      <c r="A330" s="35">
        <f t="shared" si="83"/>
        <v>41144</v>
      </c>
      <c r="C330">
        <v>218.7</v>
      </c>
      <c r="D330">
        <v>377</v>
      </c>
      <c r="E330">
        <v>1670.7</v>
      </c>
      <c r="F330">
        <v>1876.9</v>
      </c>
      <c r="G330" s="119">
        <f t="shared" ref="G330:G361" si="85">+C330+E330</f>
        <v>1889.4</v>
      </c>
      <c r="H330" s="119">
        <f t="shared" ref="H330:H361" si="86">+D330+F330</f>
        <v>2253.9</v>
      </c>
      <c r="I330" s="48">
        <f t="shared" si="84"/>
        <v>-16.171968587781183</v>
      </c>
      <c r="J330">
        <v>156.1</v>
      </c>
    </row>
    <row r="331" spans="1:10" x14ac:dyDescent="0.25">
      <c r="A331" s="35">
        <f t="shared" si="83"/>
        <v>41151</v>
      </c>
      <c r="C331">
        <v>217.7</v>
      </c>
      <c r="D331">
        <v>509.8</v>
      </c>
      <c r="E331">
        <v>1672.5</v>
      </c>
      <c r="F331">
        <v>0.1</v>
      </c>
      <c r="G331" s="119">
        <f t="shared" si="85"/>
        <v>1890.2</v>
      </c>
      <c r="H331" s="119">
        <f t="shared" si="86"/>
        <v>509.90000000000003</v>
      </c>
      <c r="I331" s="48">
        <f t="shared" si="84"/>
        <v>270.70013728181993</v>
      </c>
      <c r="J331">
        <v>156.19999999999999</v>
      </c>
    </row>
    <row r="332" spans="1:10" x14ac:dyDescent="0.25">
      <c r="A332" s="35">
        <f t="shared" si="83"/>
        <v>41158</v>
      </c>
      <c r="C332">
        <v>381.9</v>
      </c>
      <c r="D332">
        <v>509.8</v>
      </c>
      <c r="E332">
        <v>29.3</v>
      </c>
      <c r="F332">
        <v>0.1</v>
      </c>
      <c r="G332" s="119">
        <f t="shared" si="85"/>
        <v>411.2</v>
      </c>
      <c r="H332" s="119">
        <f t="shared" si="86"/>
        <v>509.90000000000003</v>
      </c>
      <c r="I332" s="48">
        <f t="shared" si="84"/>
        <v>-19.356736615022562</v>
      </c>
    </row>
    <row r="333" spans="1:10" x14ac:dyDescent="0.25">
      <c r="A333" s="35">
        <f t="shared" si="83"/>
        <v>41165</v>
      </c>
      <c r="C333">
        <v>397</v>
      </c>
      <c r="D333">
        <v>532.1</v>
      </c>
      <c r="E333">
        <v>60</v>
      </c>
      <c r="F333">
        <v>49.4</v>
      </c>
      <c r="G333" s="119">
        <f t="shared" si="85"/>
        <v>457</v>
      </c>
      <c r="H333" s="119">
        <f t="shared" si="86"/>
        <v>581.5</v>
      </c>
      <c r="I333" s="48">
        <f t="shared" si="84"/>
        <v>-21.410146173688737</v>
      </c>
      <c r="J333">
        <v>5.5</v>
      </c>
    </row>
    <row r="334" spans="1:10" x14ac:dyDescent="0.25">
      <c r="A334" s="35">
        <f t="shared" si="83"/>
        <v>41172</v>
      </c>
      <c r="C334">
        <v>422.8</v>
      </c>
      <c r="D334">
        <v>533</v>
      </c>
      <c r="E334">
        <v>96.9</v>
      </c>
      <c r="F334">
        <v>69.900000000000006</v>
      </c>
      <c r="G334" s="119">
        <f t="shared" si="85"/>
        <v>519.70000000000005</v>
      </c>
      <c r="H334" s="119">
        <f t="shared" si="86"/>
        <v>602.9</v>
      </c>
      <c r="I334" s="48">
        <f t="shared" si="84"/>
        <v>-13.799966827002807</v>
      </c>
    </row>
    <row r="335" spans="1:10" x14ac:dyDescent="0.25">
      <c r="A335" s="35">
        <f t="shared" si="83"/>
        <v>41179</v>
      </c>
      <c r="C335">
        <v>416.3</v>
      </c>
      <c r="D335">
        <v>545.70000000000005</v>
      </c>
      <c r="E335">
        <v>100.2</v>
      </c>
      <c r="F335">
        <v>110.1</v>
      </c>
      <c r="G335" s="119">
        <f t="shared" si="85"/>
        <v>516.5</v>
      </c>
      <c r="H335" s="119">
        <f t="shared" si="86"/>
        <v>655.80000000000007</v>
      </c>
      <c r="I335" s="48">
        <f t="shared" si="84"/>
        <v>-21.241232082952134</v>
      </c>
      <c r="J335">
        <v>10</v>
      </c>
    </row>
    <row r="336" spans="1:10" x14ac:dyDescent="0.25">
      <c r="A336" s="35">
        <f t="shared" si="83"/>
        <v>41186</v>
      </c>
      <c r="C336">
        <v>456.4</v>
      </c>
      <c r="D336">
        <v>490.5</v>
      </c>
      <c r="E336">
        <v>169.9</v>
      </c>
      <c r="F336">
        <v>116.8</v>
      </c>
      <c r="G336" s="119">
        <f t="shared" si="85"/>
        <v>626.29999999999995</v>
      </c>
      <c r="H336" s="119">
        <f t="shared" si="86"/>
        <v>607.29999999999995</v>
      </c>
      <c r="I336" s="48">
        <f t="shared" si="84"/>
        <v>3.1286020088918232</v>
      </c>
      <c r="J336">
        <v>33</v>
      </c>
    </row>
    <row r="337" spans="1:10" x14ac:dyDescent="0.25">
      <c r="A337" s="35">
        <f t="shared" si="83"/>
        <v>41193</v>
      </c>
      <c r="C337">
        <v>438.2</v>
      </c>
      <c r="D337">
        <v>489</v>
      </c>
      <c r="E337">
        <v>214.1</v>
      </c>
      <c r="F337">
        <v>157.69999999999999</v>
      </c>
      <c r="G337" s="119">
        <f t="shared" si="85"/>
        <v>652.29999999999995</v>
      </c>
      <c r="H337" s="119">
        <f t="shared" si="86"/>
        <v>646.70000000000005</v>
      </c>
      <c r="I337" s="48">
        <f t="shared" si="84"/>
        <v>0.86593474563165795</v>
      </c>
      <c r="J337">
        <v>36.6</v>
      </c>
    </row>
    <row r="338" spans="1:10" x14ac:dyDescent="0.25">
      <c r="A338" s="35">
        <f t="shared" si="83"/>
        <v>41200</v>
      </c>
      <c r="C338">
        <v>427.7</v>
      </c>
      <c r="D338">
        <v>497.8</v>
      </c>
      <c r="E338">
        <v>258.7</v>
      </c>
      <c r="F338">
        <v>172.4</v>
      </c>
      <c r="G338" s="119">
        <f t="shared" si="85"/>
        <v>686.4</v>
      </c>
      <c r="H338" s="119">
        <f t="shared" si="86"/>
        <v>670.2</v>
      </c>
      <c r="I338" s="48">
        <f t="shared" si="84"/>
        <v>2.4171888988361534</v>
      </c>
      <c r="J338">
        <v>36.6</v>
      </c>
    </row>
    <row r="339" spans="1:10" x14ac:dyDescent="0.25">
      <c r="A339" s="35">
        <f t="shared" si="83"/>
        <v>41207</v>
      </c>
      <c r="C339">
        <v>394.5</v>
      </c>
      <c r="D339">
        <v>498</v>
      </c>
      <c r="E339">
        <v>319.89999999999998</v>
      </c>
      <c r="F339">
        <v>220.7</v>
      </c>
      <c r="G339" s="119">
        <f t="shared" si="85"/>
        <v>714.4</v>
      </c>
      <c r="H339" s="119">
        <f t="shared" si="86"/>
        <v>718.7</v>
      </c>
      <c r="I339" s="48">
        <f t="shared" si="84"/>
        <v>-0.59830249060804919</v>
      </c>
    </row>
    <row r="340" spans="1:10" x14ac:dyDescent="0.25">
      <c r="A340" s="35">
        <f t="shared" si="83"/>
        <v>41214</v>
      </c>
      <c r="C340">
        <v>352</v>
      </c>
      <c r="D340">
        <v>498</v>
      </c>
      <c r="E340">
        <v>358.3</v>
      </c>
      <c r="F340">
        <v>267.89999999999998</v>
      </c>
      <c r="G340" s="119">
        <f t="shared" si="85"/>
        <v>710.3</v>
      </c>
      <c r="H340" s="119">
        <f t="shared" si="86"/>
        <v>765.9</v>
      </c>
      <c r="I340" s="48">
        <f t="shared" si="84"/>
        <v>-7.2594333463898764</v>
      </c>
      <c r="J340">
        <v>61.5</v>
      </c>
    </row>
    <row r="341" spans="1:10" x14ac:dyDescent="0.25">
      <c r="A341" s="35">
        <f t="shared" si="83"/>
        <v>41221</v>
      </c>
      <c r="C341">
        <v>389</v>
      </c>
      <c r="D341">
        <v>489</v>
      </c>
      <c r="E341">
        <v>370.2</v>
      </c>
      <c r="F341">
        <v>293.8</v>
      </c>
      <c r="G341" s="119">
        <f t="shared" si="85"/>
        <v>759.2</v>
      </c>
      <c r="H341" s="119">
        <f t="shared" si="86"/>
        <v>782.8</v>
      </c>
      <c r="I341" s="48">
        <f t="shared" si="84"/>
        <v>-3.014818599897795</v>
      </c>
      <c r="J341">
        <v>87</v>
      </c>
    </row>
    <row r="342" spans="1:10" x14ac:dyDescent="0.25">
      <c r="A342" s="35">
        <f t="shared" si="83"/>
        <v>41228</v>
      </c>
      <c r="C342">
        <v>373.9</v>
      </c>
      <c r="D342">
        <v>485.3</v>
      </c>
      <c r="E342">
        <v>490.7</v>
      </c>
      <c r="F342">
        <v>329.1</v>
      </c>
      <c r="G342" s="119">
        <f t="shared" si="85"/>
        <v>864.59999999999991</v>
      </c>
      <c r="H342" s="119">
        <f t="shared" si="86"/>
        <v>814.40000000000009</v>
      </c>
      <c r="I342" s="48">
        <f t="shared" si="84"/>
        <v>6.1640471512769857</v>
      </c>
    </row>
    <row r="343" spans="1:10" x14ac:dyDescent="0.25">
      <c r="A343" s="35">
        <f t="shared" si="83"/>
        <v>41235</v>
      </c>
      <c r="C343">
        <v>299.7</v>
      </c>
      <c r="D343">
        <v>477.9</v>
      </c>
      <c r="E343">
        <v>572.1</v>
      </c>
      <c r="F343">
        <v>385.5</v>
      </c>
      <c r="G343" s="119">
        <f t="shared" si="85"/>
        <v>871.8</v>
      </c>
      <c r="H343" s="119">
        <f t="shared" si="86"/>
        <v>863.4</v>
      </c>
      <c r="I343" s="48">
        <f t="shared" si="84"/>
        <v>0.97289784572620608</v>
      </c>
      <c r="J343">
        <v>87</v>
      </c>
    </row>
    <row r="344" spans="1:10" x14ac:dyDescent="0.25">
      <c r="A344" s="35">
        <f t="shared" si="83"/>
        <v>41242</v>
      </c>
      <c r="C344">
        <v>313.8</v>
      </c>
      <c r="D344">
        <v>507.4</v>
      </c>
      <c r="E344">
        <v>616.5</v>
      </c>
      <c r="F344">
        <v>396.5</v>
      </c>
      <c r="G344" s="119">
        <f t="shared" si="85"/>
        <v>930.3</v>
      </c>
      <c r="H344" s="119">
        <f t="shared" si="86"/>
        <v>903.9</v>
      </c>
      <c r="I344" s="48">
        <f t="shared" si="84"/>
        <v>2.9206770660471282</v>
      </c>
      <c r="J344">
        <v>88</v>
      </c>
    </row>
    <row r="345" spans="1:10" x14ac:dyDescent="0.25">
      <c r="A345" s="35">
        <f t="shared" si="83"/>
        <v>41249</v>
      </c>
      <c r="C345">
        <v>339.3</v>
      </c>
      <c r="D345">
        <v>475</v>
      </c>
      <c r="E345">
        <v>618.5</v>
      </c>
      <c r="F345">
        <v>495.4</v>
      </c>
      <c r="G345" s="119">
        <f t="shared" si="85"/>
        <v>957.8</v>
      </c>
      <c r="H345" s="119">
        <f t="shared" si="86"/>
        <v>970.4</v>
      </c>
      <c r="I345" s="48">
        <f t="shared" si="84"/>
        <v>-1.2984336356141823</v>
      </c>
      <c r="J345">
        <v>88</v>
      </c>
    </row>
    <row r="346" spans="1:10" x14ac:dyDescent="0.25">
      <c r="A346" s="35">
        <f t="shared" si="83"/>
        <v>41256</v>
      </c>
      <c r="C346">
        <v>342.6</v>
      </c>
      <c r="D346">
        <v>488.8</v>
      </c>
      <c r="E346">
        <v>673.3</v>
      </c>
      <c r="F346">
        <v>509.6</v>
      </c>
      <c r="G346" s="119">
        <f t="shared" si="85"/>
        <v>1015.9</v>
      </c>
      <c r="H346" s="119">
        <f t="shared" si="86"/>
        <v>998.40000000000009</v>
      </c>
      <c r="I346" s="48">
        <f t="shared" si="84"/>
        <v>1.7528044871794712</v>
      </c>
    </row>
    <row r="347" spans="1:10" x14ac:dyDescent="0.25">
      <c r="A347" s="35">
        <f t="shared" si="83"/>
        <v>41263</v>
      </c>
      <c r="C347">
        <v>353.2</v>
      </c>
      <c r="D347">
        <v>513.9</v>
      </c>
      <c r="E347">
        <v>686</v>
      </c>
      <c r="F347">
        <v>532.4</v>
      </c>
      <c r="G347" s="119">
        <f t="shared" si="85"/>
        <v>1039.2</v>
      </c>
      <c r="H347" s="119">
        <f t="shared" si="86"/>
        <v>1046.3</v>
      </c>
      <c r="I347" s="48">
        <f t="shared" si="84"/>
        <v>-0.67858166873744352</v>
      </c>
      <c r="J347">
        <v>98.5</v>
      </c>
    </row>
    <row r="348" spans="1:10" x14ac:dyDescent="0.25">
      <c r="A348" s="35">
        <f t="shared" si="83"/>
        <v>41270</v>
      </c>
      <c r="C348">
        <v>344.9</v>
      </c>
      <c r="D348">
        <v>503.9</v>
      </c>
      <c r="E348">
        <v>741.9</v>
      </c>
      <c r="F348">
        <v>599.4</v>
      </c>
      <c r="G348" s="119">
        <f t="shared" si="85"/>
        <v>1086.8</v>
      </c>
      <c r="H348" s="119">
        <f t="shared" si="86"/>
        <v>1103.3</v>
      </c>
      <c r="I348" s="48">
        <f t="shared" si="84"/>
        <v>-1.4955134596211339</v>
      </c>
    </row>
    <row r="349" spans="1:10" x14ac:dyDescent="0.25">
      <c r="A349" s="35">
        <f t="shared" si="83"/>
        <v>41277</v>
      </c>
      <c r="C349">
        <v>345.5</v>
      </c>
      <c r="D349">
        <v>503.9</v>
      </c>
      <c r="E349">
        <v>745.2</v>
      </c>
      <c r="F349">
        <v>623.79999999999995</v>
      </c>
      <c r="G349" s="119">
        <f t="shared" si="85"/>
        <v>1090.7</v>
      </c>
      <c r="H349" s="119">
        <f t="shared" si="86"/>
        <v>1127.6999999999998</v>
      </c>
      <c r="I349" s="48">
        <f t="shared" si="84"/>
        <v>-3.281014454198794</v>
      </c>
    </row>
    <row r="350" spans="1:10" x14ac:dyDescent="0.25">
      <c r="A350" s="35">
        <f t="shared" si="83"/>
        <v>41284</v>
      </c>
      <c r="C350">
        <v>362.2</v>
      </c>
      <c r="D350">
        <v>406.5</v>
      </c>
      <c r="E350">
        <v>798.4</v>
      </c>
      <c r="F350">
        <v>666.2</v>
      </c>
      <c r="G350" s="119">
        <f t="shared" si="85"/>
        <v>1160.5999999999999</v>
      </c>
      <c r="H350" s="119">
        <f t="shared" si="86"/>
        <v>1072.7</v>
      </c>
      <c r="I350" s="48">
        <f t="shared" si="84"/>
        <v>8.1942761256641905</v>
      </c>
      <c r="J350">
        <v>99.9</v>
      </c>
    </row>
    <row r="351" spans="1:10" x14ac:dyDescent="0.25">
      <c r="A351" s="35">
        <f t="shared" si="83"/>
        <v>41291</v>
      </c>
      <c r="C351">
        <v>331.6</v>
      </c>
      <c r="D351">
        <v>357.5</v>
      </c>
      <c r="E351">
        <v>869.5</v>
      </c>
      <c r="F351">
        <v>706.7</v>
      </c>
      <c r="G351" s="119">
        <f t="shared" si="85"/>
        <v>1201.0999999999999</v>
      </c>
      <c r="H351" s="119">
        <f t="shared" si="86"/>
        <v>1064.2</v>
      </c>
      <c r="I351" s="48">
        <f t="shared" si="84"/>
        <v>12.864123285096763</v>
      </c>
      <c r="J351">
        <v>99.9</v>
      </c>
    </row>
    <row r="352" spans="1:10" x14ac:dyDescent="0.25">
      <c r="A352" s="35">
        <f t="shared" si="83"/>
        <v>41298</v>
      </c>
      <c r="C352">
        <v>303</v>
      </c>
      <c r="D352">
        <v>361.3</v>
      </c>
      <c r="E352">
        <v>911.2</v>
      </c>
      <c r="F352">
        <v>747.1</v>
      </c>
      <c r="G352" s="119">
        <f t="shared" si="85"/>
        <v>1214.2</v>
      </c>
      <c r="H352" s="119">
        <f t="shared" si="86"/>
        <v>1108.4000000000001</v>
      </c>
      <c r="I352" s="48">
        <f t="shared" si="84"/>
        <v>9.545290508841564</v>
      </c>
      <c r="J352">
        <v>99.9</v>
      </c>
    </row>
    <row r="353" spans="1:10" x14ac:dyDescent="0.25">
      <c r="A353" s="35">
        <f t="shared" si="83"/>
        <v>41305</v>
      </c>
      <c r="C353">
        <v>330.1</v>
      </c>
      <c r="D353">
        <v>371</v>
      </c>
      <c r="E353">
        <v>921.7</v>
      </c>
      <c r="F353">
        <v>792.6</v>
      </c>
      <c r="G353" s="119">
        <f t="shared" si="85"/>
        <v>1251.8000000000002</v>
      </c>
      <c r="H353" s="119">
        <f t="shared" si="86"/>
        <v>1163.5999999999999</v>
      </c>
      <c r="I353" s="48">
        <f t="shared" si="84"/>
        <v>7.5799243726366594</v>
      </c>
      <c r="J353">
        <v>100</v>
      </c>
    </row>
    <row r="354" spans="1:10" x14ac:dyDescent="0.25">
      <c r="A354" s="35">
        <f t="shared" si="83"/>
        <v>41312</v>
      </c>
      <c r="C354">
        <v>321.7</v>
      </c>
      <c r="D354">
        <v>373.6</v>
      </c>
      <c r="E354">
        <v>966</v>
      </c>
      <c r="F354">
        <v>814.6</v>
      </c>
      <c r="G354" s="119">
        <f t="shared" si="85"/>
        <v>1287.7</v>
      </c>
      <c r="H354" s="119">
        <f t="shared" si="86"/>
        <v>1188.2</v>
      </c>
      <c r="I354" s="48">
        <f t="shared" si="84"/>
        <v>8.3740111092408753</v>
      </c>
      <c r="J354">
        <v>101</v>
      </c>
    </row>
    <row r="355" spans="1:10" x14ac:dyDescent="0.25">
      <c r="A355" s="35">
        <f t="shared" si="83"/>
        <v>41319</v>
      </c>
      <c r="C355">
        <v>323.39999999999998</v>
      </c>
      <c r="D355">
        <v>384.7</v>
      </c>
      <c r="E355">
        <v>1028.5</v>
      </c>
      <c r="F355">
        <v>869.1</v>
      </c>
      <c r="G355" s="119">
        <f t="shared" si="85"/>
        <v>1351.9</v>
      </c>
      <c r="H355" s="119">
        <f t="shared" si="86"/>
        <v>1253.8</v>
      </c>
      <c r="I355" s="48">
        <f t="shared" si="84"/>
        <v>7.8242143882597093</v>
      </c>
      <c r="J355">
        <v>101</v>
      </c>
    </row>
    <row r="356" spans="1:10" x14ac:dyDescent="0.25">
      <c r="A356" s="35">
        <f t="shared" si="83"/>
        <v>41326</v>
      </c>
      <c r="C356">
        <v>345.7</v>
      </c>
      <c r="D356">
        <v>350.6</v>
      </c>
      <c r="E356">
        <v>1052</v>
      </c>
      <c r="F356">
        <v>923.8</v>
      </c>
      <c r="G356" s="119">
        <f t="shared" si="85"/>
        <v>1397.7</v>
      </c>
      <c r="H356" s="119">
        <f t="shared" si="86"/>
        <v>1274.4000000000001</v>
      </c>
      <c r="I356" s="48">
        <f t="shared" si="84"/>
        <v>9.6751412429378458</v>
      </c>
      <c r="J356">
        <v>103</v>
      </c>
    </row>
    <row r="357" spans="1:10" x14ac:dyDescent="0.25">
      <c r="A357" s="35">
        <f t="shared" si="83"/>
        <v>41333</v>
      </c>
      <c r="C357">
        <v>319.89999999999998</v>
      </c>
      <c r="D357">
        <v>343.4</v>
      </c>
      <c r="E357">
        <v>1089.5</v>
      </c>
      <c r="F357">
        <v>994.5</v>
      </c>
      <c r="G357" s="119">
        <f t="shared" si="85"/>
        <v>1409.4</v>
      </c>
      <c r="H357" s="119">
        <f t="shared" si="86"/>
        <v>1337.9</v>
      </c>
      <c r="I357" s="48">
        <f t="shared" si="84"/>
        <v>5.3441961282607142</v>
      </c>
      <c r="J357">
        <v>104.6</v>
      </c>
    </row>
    <row r="358" spans="1:10" x14ac:dyDescent="0.25">
      <c r="A358" s="35">
        <f t="shared" si="83"/>
        <v>41340</v>
      </c>
      <c r="C358">
        <v>276.5</v>
      </c>
      <c r="D358">
        <v>374</v>
      </c>
      <c r="E358">
        <v>1153.4000000000001</v>
      </c>
      <c r="F358">
        <v>1030.2</v>
      </c>
      <c r="G358" s="119">
        <f t="shared" si="85"/>
        <v>1429.9</v>
      </c>
      <c r="H358" s="119">
        <f t="shared" si="86"/>
        <v>1404.2</v>
      </c>
      <c r="I358" s="48">
        <f t="shared" si="84"/>
        <v>1.830223614869686</v>
      </c>
      <c r="J358">
        <v>104.6</v>
      </c>
    </row>
    <row r="359" spans="1:10" x14ac:dyDescent="0.25">
      <c r="A359" s="35">
        <f t="shared" si="83"/>
        <v>41347</v>
      </c>
      <c r="C359">
        <v>282</v>
      </c>
      <c r="D359">
        <v>358</v>
      </c>
      <c r="E359">
        <v>1155.7</v>
      </c>
      <c r="F359">
        <v>1040.3</v>
      </c>
      <c r="G359" s="119">
        <f t="shared" si="85"/>
        <v>1437.7</v>
      </c>
      <c r="H359" s="119">
        <f t="shared" si="86"/>
        <v>1398.3</v>
      </c>
      <c r="I359" s="48">
        <f t="shared" si="84"/>
        <v>2.8177072159050409</v>
      </c>
      <c r="J359">
        <v>112.9</v>
      </c>
    </row>
    <row r="360" spans="1:10" x14ac:dyDescent="0.25">
      <c r="A360" s="35">
        <f t="shared" si="83"/>
        <v>41354</v>
      </c>
      <c r="C360">
        <v>259</v>
      </c>
      <c r="D360">
        <v>357.1</v>
      </c>
      <c r="E360">
        <v>1194.2</v>
      </c>
      <c r="F360">
        <v>1104.2</v>
      </c>
      <c r="G360" s="119">
        <f t="shared" si="85"/>
        <v>1453.2</v>
      </c>
      <c r="H360" s="119">
        <f t="shared" si="86"/>
        <v>1461.3000000000002</v>
      </c>
      <c r="I360" s="48">
        <f t="shared" si="84"/>
        <v>-0.55430096489428315</v>
      </c>
      <c r="J360">
        <v>114.6</v>
      </c>
    </row>
    <row r="361" spans="1:10" x14ac:dyDescent="0.25">
      <c r="A361" s="35">
        <f t="shared" si="83"/>
        <v>41361</v>
      </c>
      <c r="C361">
        <v>242.8</v>
      </c>
      <c r="D361">
        <v>295.3</v>
      </c>
      <c r="E361">
        <v>1223.7</v>
      </c>
      <c r="F361">
        <v>1179.9000000000001</v>
      </c>
      <c r="G361" s="119">
        <f t="shared" si="85"/>
        <v>1466.5</v>
      </c>
      <c r="H361" s="119">
        <f t="shared" si="86"/>
        <v>1475.2</v>
      </c>
      <c r="I361" s="48">
        <f t="shared" ref="I361:I373" si="87">+(G361/H361-1)*100</f>
        <v>-0.58975054229934987</v>
      </c>
      <c r="J361">
        <v>115.7</v>
      </c>
    </row>
    <row r="362" spans="1:10" x14ac:dyDescent="0.25">
      <c r="A362" s="35">
        <f t="shared" si="83"/>
        <v>41368</v>
      </c>
      <c r="C362">
        <v>226</v>
      </c>
      <c r="D362">
        <v>316.5</v>
      </c>
      <c r="E362">
        <v>1291.9000000000001</v>
      </c>
      <c r="F362">
        <v>1183.2</v>
      </c>
      <c r="G362" s="119">
        <f t="shared" ref="G362:G373" si="88">+C362+E362</f>
        <v>1517.9</v>
      </c>
      <c r="H362" s="119">
        <f t="shared" ref="H362:H373" si="89">+D362+F362</f>
        <v>1499.7</v>
      </c>
      <c r="I362" s="48">
        <f t="shared" si="87"/>
        <v>1.2135760485430414</v>
      </c>
      <c r="J362">
        <v>117.2</v>
      </c>
    </row>
    <row r="363" spans="1:10" x14ac:dyDescent="0.25">
      <c r="A363" s="35">
        <f t="shared" si="83"/>
        <v>41375</v>
      </c>
      <c r="C363">
        <v>263.7</v>
      </c>
      <c r="D363">
        <v>282.89999999999998</v>
      </c>
      <c r="E363">
        <v>1294.2</v>
      </c>
      <c r="F363">
        <v>1228</v>
      </c>
      <c r="G363" s="119">
        <f t="shared" si="88"/>
        <v>1557.9</v>
      </c>
      <c r="H363" s="119">
        <f t="shared" si="89"/>
        <v>1510.9</v>
      </c>
      <c r="I363" s="48">
        <f t="shared" si="87"/>
        <v>3.1107287047455134</v>
      </c>
      <c r="J363">
        <v>125.8</v>
      </c>
    </row>
    <row r="364" spans="1:10" x14ac:dyDescent="0.25">
      <c r="A364" s="35">
        <f t="shared" si="83"/>
        <v>41382</v>
      </c>
      <c r="C364">
        <v>261.60000000000002</v>
      </c>
      <c r="D364">
        <v>318.89999999999998</v>
      </c>
      <c r="E364">
        <v>1308.8</v>
      </c>
      <c r="F364">
        <v>1232</v>
      </c>
      <c r="G364" s="119">
        <f t="shared" si="88"/>
        <v>1570.4</v>
      </c>
      <c r="H364" s="119">
        <f t="shared" si="89"/>
        <v>1550.9</v>
      </c>
      <c r="I364" s="48">
        <f t="shared" si="87"/>
        <v>1.257334450963965</v>
      </c>
      <c r="J364">
        <v>126.8</v>
      </c>
    </row>
    <row r="365" spans="1:10" x14ac:dyDescent="0.25">
      <c r="A365" s="35">
        <f t="shared" si="83"/>
        <v>41389</v>
      </c>
      <c r="C365">
        <v>276.89999999999998</v>
      </c>
      <c r="D365">
        <v>344.4</v>
      </c>
      <c r="E365">
        <v>1312.9</v>
      </c>
      <c r="F365">
        <v>1245.0999999999999</v>
      </c>
      <c r="G365" s="119">
        <f t="shared" si="88"/>
        <v>1589.8000000000002</v>
      </c>
      <c r="H365" s="119">
        <f t="shared" si="89"/>
        <v>1589.5</v>
      </c>
      <c r="I365" s="48">
        <f t="shared" si="87"/>
        <v>1.8873859704315876E-2</v>
      </c>
      <c r="J365">
        <v>126.8</v>
      </c>
    </row>
    <row r="366" spans="1:10" x14ac:dyDescent="0.25">
      <c r="A366" s="35">
        <f t="shared" si="83"/>
        <v>41396</v>
      </c>
      <c r="C366">
        <v>271.8</v>
      </c>
      <c r="D366">
        <v>333.4</v>
      </c>
      <c r="E366">
        <v>1344.2</v>
      </c>
      <c r="F366">
        <v>1280.8</v>
      </c>
      <c r="G366" s="119">
        <f t="shared" si="88"/>
        <v>1616</v>
      </c>
      <c r="H366" s="119">
        <f t="shared" si="89"/>
        <v>1614.1999999999998</v>
      </c>
      <c r="I366" s="48">
        <f t="shared" si="87"/>
        <v>0.11151034568208651</v>
      </c>
      <c r="J366">
        <v>127.7</v>
      </c>
    </row>
    <row r="367" spans="1:10" x14ac:dyDescent="0.25">
      <c r="A367" s="35">
        <f t="shared" si="83"/>
        <v>41403</v>
      </c>
      <c r="C367">
        <v>256.7</v>
      </c>
      <c r="D367">
        <v>333.3</v>
      </c>
      <c r="E367">
        <v>1357.4</v>
      </c>
      <c r="F367">
        <v>1332.4</v>
      </c>
      <c r="G367" s="119">
        <f t="shared" si="88"/>
        <v>1614.1000000000001</v>
      </c>
      <c r="H367" s="119">
        <f t="shared" si="89"/>
        <v>1665.7</v>
      </c>
      <c r="I367" s="48">
        <f t="shared" si="87"/>
        <v>-3.0977967220988112</v>
      </c>
      <c r="J367">
        <v>130.80000000000001</v>
      </c>
    </row>
    <row r="368" spans="1:10" x14ac:dyDescent="0.25">
      <c r="A368" s="35">
        <f t="shared" si="83"/>
        <v>41410</v>
      </c>
      <c r="C368">
        <v>283.89999999999998</v>
      </c>
      <c r="D368">
        <v>335.9</v>
      </c>
      <c r="E368">
        <v>1365.4</v>
      </c>
      <c r="F368">
        <v>1336.6</v>
      </c>
      <c r="G368" s="119">
        <f t="shared" si="88"/>
        <v>1649.3000000000002</v>
      </c>
      <c r="H368" s="119">
        <f t="shared" si="89"/>
        <v>1672.5</v>
      </c>
      <c r="I368" s="48">
        <f t="shared" si="87"/>
        <v>-1.3871449925261459</v>
      </c>
      <c r="J368">
        <v>132.19999999999999</v>
      </c>
    </row>
    <row r="369" spans="1:10" x14ac:dyDescent="0.25">
      <c r="A369" s="35">
        <f t="shared" si="83"/>
        <v>41417</v>
      </c>
      <c r="C369">
        <v>306.39999999999998</v>
      </c>
      <c r="D369">
        <v>335.6</v>
      </c>
      <c r="E369">
        <v>1417.6</v>
      </c>
      <c r="F369">
        <v>1340.9</v>
      </c>
      <c r="G369" s="119">
        <f t="shared" si="88"/>
        <v>1724</v>
      </c>
      <c r="H369" s="119">
        <f t="shared" si="89"/>
        <v>1676.5</v>
      </c>
      <c r="I369" s="48">
        <f t="shared" si="87"/>
        <v>2.8332836266030448</v>
      </c>
      <c r="J369">
        <v>132.69999999999999</v>
      </c>
    </row>
    <row r="370" spans="1:10" x14ac:dyDescent="0.25">
      <c r="A370" s="35">
        <f t="shared" si="83"/>
        <v>41424</v>
      </c>
      <c r="C370">
        <v>299.8</v>
      </c>
      <c r="D370">
        <v>330.1</v>
      </c>
      <c r="E370">
        <v>1426.5</v>
      </c>
      <c r="F370">
        <v>1379.1</v>
      </c>
      <c r="G370" s="119">
        <f t="shared" si="88"/>
        <v>1726.3</v>
      </c>
      <c r="H370" s="119">
        <f t="shared" si="89"/>
        <v>1709.1999999999998</v>
      </c>
      <c r="I370" s="48">
        <f t="shared" si="87"/>
        <v>1.0004680552305301</v>
      </c>
      <c r="J370">
        <v>132.69999999999999</v>
      </c>
    </row>
    <row r="371" spans="1:10" x14ac:dyDescent="0.25">
      <c r="A371" s="35">
        <f t="shared" si="83"/>
        <v>41431</v>
      </c>
      <c r="C371">
        <v>285.3</v>
      </c>
      <c r="D371">
        <v>318.2</v>
      </c>
      <c r="E371">
        <v>1470.2</v>
      </c>
      <c r="F371">
        <v>1409.6</v>
      </c>
      <c r="G371" s="119">
        <f t="shared" si="88"/>
        <v>1755.5</v>
      </c>
      <c r="H371" s="119">
        <f t="shared" si="89"/>
        <v>1727.8</v>
      </c>
      <c r="I371" s="48">
        <f t="shared" si="87"/>
        <v>1.6031948142146035</v>
      </c>
      <c r="J371">
        <v>133.80000000000001</v>
      </c>
    </row>
    <row r="372" spans="1:10" x14ac:dyDescent="0.25">
      <c r="A372" s="35">
        <f t="shared" si="83"/>
        <v>41438</v>
      </c>
      <c r="C372">
        <v>283</v>
      </c>
      <c r="D372">
        <v>346.4</v>
      </c>
      <c r="E372">
        <v>1473.7</v>
      </c>
      <c r="F372">
        <v>1453.3</v>
      </c>
      <c r="G372" s="119">
        <f t="shared" si="88"/>
        <v>1756.7</v>
      </c>
      <c r="H372" s="119">
        <f t="shared" si="89"/>
        <v>1799.6999999999998</v>
      </c>
      <c r="I372" s="48">
        <f t="shared" si="87"/>
        <v>-2.3892871034061125</v>
      </c>
      <c r="J372">
        <v>135.30000000000001</v>
      </c>
    </row>
    <row r="373" spans="1:10" x14ac:dyDescent="0.25">
      <c r="A373" s="35">
        <f t="shared" si="83"/>
        <v>41445</v>
      </c>
      <c r="C373">
        <v>257.3</v>
      </c>
      <c r="D373">
        <v>342.5</v>
      </c>
      <c r="E373">
        <v>1500.6</v>
      </c>
      <c r="F373">
        <v>1483.1</v>
      </c>
      <c r="G373" s="119">
        <f t="shared" si="88"/>
        <v>1757.8999999999999</v>
      </c>
      <c r="H373" s="119">
        <f t="shared" si="89"/>
        <v>1825.6</v>
      </c>
      <c r="I373" s="48">
        <f t="shared" si="87"/>
        <v>-3.7083698510078866</v>
      </c>
      <c r="J373">
        <v>137.69999999999999</v>
      </c>
    </row>
    <row r="374" spans="1:10" x14ac:dyDescent="0.25">
      <c r="A374" s="35">
        <f t="shared" si="83"/>
        <v>41452</v>
      </c>
      <c r="C374">
        <v>217.4</v>
      </c>
      <c r="D374">
        <v>284.60000000000002</v>
      </c>
      <c r="E374">
        <v>1549.2</v>
      </c>
      <c r="F374">
        <v>1485.2</v>
      </c>
      <c r="G374" s="119">
        <f t="shared" ref="G374:G388" si="90">+C374+E374</f>
        <v>1766.6000000000001</v>
      </c>
      <c r="H374" s="119">
        <f t="shared" ref="H374:H388" si="91">+D374+F374</f>
        <v>1769.8000000000002</v>
      </c>
      <c r="I374" s="48">
        <f t="shared" ref="I374:I388" si="92">+(G374/H374-1)*100</f>
        <v>-0.18081139111764122</v>
      </c>
      <c r="J374">
        <v>137.69999999999999</v>
      </c>
    </row>
    <row r="375" spans="1:10" x14ac:dyDescent="0.25">
      <c r="A375" s="35">
        <f t="shared" si="83"/>
        <v>41459</v>
      </c>
      <c r="C375">
        <v>203.5</v>
      </c>
      <c r="D375">
        <v>310</v>
      </c>
      <c r="E375">
        <v>1564.3</v>
      </c>
      <c r="F375">
        <v>1487.8</v>
      </c>
      <c r="G375" s="119">
        <f t="shared" si="90"/>
        <v>1767.8</v>
      </c>
      <c r="H375" s="119">
        <f t="shared" si="91"/>
        <v>1797.8</v>
      </c>
      <c r="I375" s="48">
        <f t="shared" si="92"/>
        <v>-1.668706196462344</v>
      </c>
      <c r="J375">
        <v>137.69999999999999</v>
      </c>
    </row>
    <row r="376" spans="1:10" x14ac:dyDescent="0.25">
      <c r="A376" s="35">
        <f t="shared" si="83"/>
        <v>41466</v>
      </c>
      <c r="C376">
        <v>198.2</v>
      </c>
      <c r="D376">
        <v>227.5</v>
      </c>
      <c r="E376">
        <v>1579</v>
      </c>
      <c r="F376">
        <v>1557.9</v>
      </c>
      <c r="G376" s="119">
        <f t="shared" si="90"/>
        <v>1777.2</v>
      </c>
      <c r="H376" s="119">
        <f t="shared" si="91"/>
        <v>1785.4</v>
      </c>
      <c r="I376" s="48">
        <f t="shared" si="92"/>
        <v>-0.45928083342668957</v>
      </c>
      <c r="J376">
        <v>138.30000000000001</v>
      </c>
    </row>
    <row r="377" spans="1:10" x14ac:dyDescent="0.25">
      <c r="A377" s="35">
        <f t="shared" si="83"/>
        <v>41473</v>
      </c>
      <c r="C377">
        <v>221.2</v>
      </c>
      <c r="D377">
        <v>224.3</v>
      </c>
      <c r="E377">
        <v>1585.8</v>
      </c>
      <c r="F377">
        <v>1561</v>
      </c>
      <c r="G377" s="119">
        <f t="shared" si="90"/>
        <v>1807</v>
      </c>
      <c r="H377" s="119">
        <f t="shared" si="91"/>
        <v>1785.3</v>
      </c>
      <c r="I377" s="48">
        <f t="shared" si="92"/>
        <v>1.2154819918221094</v>
      </c>
      <c r="J377">
        <v>154.69999999999999</v>
      </c>
    </row>
    <row r="378" spans="1:10" x14ac:dyDescent="0.25">
      <c r="A378" s="35">
        <f t="shared" si="83"/>
        <v>41480</v>
      </c>
      <c r="C378">
        <v>190.5</v>
      </c>
      <c r="D378">
        <v>232</v>
      </c>
      <c r="E378">
        <v>1618.9</v>
      </c>
      <c r="F378">
        <v>1563.4</v>
      </c>
      <c r="G378" s="119">
        <f t="shared" si="90"/>
        <v>1809.4</v>
      </c>
      <c r="H378" s="119">
        <f t="shared" si="91"/>
        <v>1795.4</v>
      </c>
      <c r="I378" s="48">
        <f t="shared" si="92"/>
        <v>0.77977052467417263</v>
      </c>
      <c r="J378">
        <v>154.69999999999999</v>
      </c>
    </row>
    <row r="379" spans="1:10" x14ac:dyDescent="0.25">
      <c r="A379" s="35">
        <f t="shared" si="83"/>
        <v>41487</v>
      </c>
      <c r="C379">
        <v>181.7</v>
      </c>
      <c r="D379">
        <v>226.6</v>
      </c>
      <c r="E379">
        <v>1637.8</v>
      </c>
      <c r="F379">
        <v>1573.5</v>
      </c>
      <c r="G379" s="119">
        <f t="shared" si="90"/>
        <v>1819.5</v>
      </c>
      <c r="H379" s="119">
        <f t="shared" si="91"/>
        <v>1800.1</v>
      </c>
      <c r="I379" s="48">
        <f t="shared" si="92"/>
        <v>1.0777179045608598</v>
      </c>
      <c r="J379">
        <v>177.1</v>
      </c>
    </row>
    <row r="380" spans="1:10" x14ac:dyDescent="0.25">
      <c r="A380" s="35">
        <f t="shared" si="83"/>
        <v>41494</v>
      </c>
      <c r="C380">
        <v>143</v>
      </c>
      <c r="D380">
        <v>257.3</v>
      </c>
      <c r="E380">
        <v>1692.1</v>
      </c>
      <c r="F380">
        <v>1601.8</v>
      </c>
      <c r="G380" s="119">
        <f t="shared" si="90"/>
        <v>1835.1</v>
      </c>
      <c r="H380" s="119">
        <f t="shared" si="91"/>
        <v>1859.1</v>
      </c>
      <c r="I380" s="48">
        <f t="shared" si="92"/>
        <v>-1.2909472325318694</v>
      </c>
      <c r="J380">
        <v>237.4</v>
      </c>
    </row>
    <row r="381" spans="1:10" x14ac:dyDescent="0.25">
      <c r="A381" s="35">
        <f t="shared" si="83"/>
        <v>41501</v>
      </c>
      <c r="C381">
        <v>138.9</v>
      </c>
      <c r="D381">
        <v>223.7</v>
      </c>
      <c r="E381">
        <v>1719.5</v>
      </c>
      <c r="F381">
        <v>1644.8</v>
      </c>
      <c r="G381" s="119">
        <f t="shared" si="90"/>
        <v>1858.4</v>
      </c>
      <c r="H381" s="119">
        <f t="shared" si="91"/>
        <v>1868.5</v>
      </c>
      <c r="I381" s="48">
        <f t="shared" si="92"/>
        <v>-0.54054054054053502</v>
      </c>
      <c r="J381">
        <v>230.6</v>
      </c>
    </row>
    <row r="382" spans="1:10" x14ac:dyDescent="0.25">
      <c r="A382" s="35">
        <f t="shared" si="83"/>
        <v>41508</v>
      </c>
      <c r="C382">
        <v>123.8</v>
      </c>
      <c r="D382">
        <v>218.7</v>
      </c>
      <c r="E382">
        <v>1745</v>
      </c>
      <c r="F382">
        <v>1670.7</v>
      </c>
      <c r="G382" s="119">
        <f t="shared" si="90"/>
        <v>1868.8</v>
      </c>
      <c r="H382" s="119">
        <f t="shared" si="91"/>
        <v>1889.4</v>
      </c>
      <c r="I382" s="48">
        <f t="shared" si="92"/>
        <v>-1.0902932147771827</v>
      </c>
      <c r="J382">
        <v>250.7</v>
      </c>
    </row>
    <row r="383" spans="1:10" x14ac:dyDescent="0.25">
      <c r="A383" s="35">
        <f t="shared" si="83"/>
        <v>41515</v>
      </c>
      <c r="C383">
        <v>121.5</v>
      </c>
      <c r="D383">
        <v>217.7</v>
      </c>
      <c r="E383">
        <v>1748.2</v>
      </c>
      <c r="F383">
        <v>1672.5</v>
      </c>
      <c r="G383" s="119">
        <f t="shared" si="90"/>
        <v>1869.7</v>
      </c>
      <c r="H383" s="119">
        <f t="shared" si="91"/>
        <v>1890.2</v>
      </c>
      <c r="I383" s="48">
        <f t="shared" si="92"/>
        <v>-1.0845413183790065</v>
      </c>
      <c r="J383">
        <v>250.9</v>
      </c>
    </row>
    <row r="384" spans="1:10" x14ac:dyDescent="0.25">
      <c r="A384" s="35">
        <f t="shared" si="83"/>
        <v>41522</v>
      </c>
      <c r="C384">
        <v>379.9</v>
      </c>
      <c r="D384">
        <v>381.9</v>
      </c>
      <c r="E384">
        <v>1</v>
      </c>
      <c r="F384">
        <v>29.3</v>
      </c>
      <c r="G384" s="119">
        <f t="shared" si="90"/>
        <v>380.9</v>
      </c>
      <c r="H384" s="119">
        <f t="shared" si="91"/>
        <v>411.2</v>
      </c>
      <c r="I384" s="48">
        <f t="shared" si="92"/>
        <v>-7.3686770428015631</v>
      </c>
    </row>
    <row r="385" spans="1:14" x14ac:dyDescent="0.25">
      <c r="A385" s="35">
        <f t="shared" si="83"/>
        <v>41529</v>
      </c>
      <c r="C385">
        <v>380.5</v>
      </c>
      <c r="D385">
        <v>397</v>
      </c>
      <c r="E385">
        <v>23.1</v>
      </c>
      <c r="F385">
        <v>60</v>
      </c>
      <c r="G385" s="119">
        <f t="shared" si="90"/>
        <v>403.6</v>
      </c>
      <c r="H385" s="119">
        <f t="shared" si="91"/>
        <v>457</v>
      </c>
      <c r="I385" s="48">
        <f t="shared" si="92"/>
        <v>-11.684901531728665</v>
      </c>
    </row>
    <row r="386" spans="1:14" x14ac:dyDescent="0.25">
      <c r="A386" s="35">
        <f t="shared" si="83"/>
        <v>41536</v>
      </c>
      <c r="C386">
        <v>362.8</v>
      </c>
      <c r="D386">
        <v>422.8</v>
      </c>
      <c r="E386">
        <v>52.3</v>
      </c>
      <c r="F386">
        <v>96.9</v>
      </c>
      <c r="G386" s="119">
        <f t="shared" si="90"/>
        <v>415.1</v>
      </c>
      <c r="H386" s="119">
        <f t="shared" si="91"/>
        <v>519.70000000000005</v>
      </c>
      <c r="I386" s="48">
        <f t="shared" si="92"/>
        <v>-20.126996344044645</v>
      </c>
    </row>
    <row r="387" spans="1:14" x14ac:dyDescent="0.25">
      <c r="A387" s="35">
        <f t="shared" ref="A387:A421" si="93">+A386+7</f>
        <v>41543</v>
      </c>
      <c r="C387">
        <v>377.6</v>
      </c>
      <c r="D387">
        <v>416.3</v>
      </c>
      <c r="E387">
        <v>55.8</v>
      </c>
      <c r="F387">
        <v>100.2</v>
      </c>
      <c r="G387" s="119">
        <f t="shared" si="90"/>
        <v>433.40000000000003</v>
      </c>
      <c r="H387" s="119">
        <f t="shared" si="91"/>
        <v>516.5</v>
      </c>
      <c r="I387" s="48">
        <f t="shared" si="92"/>
        <v>-16.089060987415294</v>
      </c>
    </row>
    <row r="388" spans="1:14" x14ac:dyDescent="0.25">
      <c r="A388" s="35">
        <f t="shared" si="93"/>
        <v>41550</v>
      </c>
      <c r="C388">
        <v>432.8</v>
      </c>
      <c r="D388">
        <v>456.4</v>
      </c>
      <c r="E388">
        <v>96.7</v>
      </c>
      <c r="F388">
        <v>169.9</v>
      </c>
      <c r="G388" s="119">
        <f t="shared" si="90"/>
        <v>529.5</v>
      </c>
      <c r="H388" s="119">
        <f t="shared" si="91"/>
        <v>626.29999999999995</v>
      </c>
      <c r="I388" s="48">
        <f t="shared" si="92"/>
        <v>-15.455851828197343</v>
      </c>
    </row>
    <row r="389" spans="1:14" x14ac:dyDescent="0.25">
      <c r="A389" s="35">
        <f t="shared" si="93"/>
        <v>41557</v>
      </c>
    </row>
    <row r="390" spans="1:14" ht="15" x14ac:dyDescent="0.25">
      <c r="A390" s="35">
        <f t="shared" si="93"/>
        <v>41564</v>
      </c>
      <c r="N390" s="96"/>
    </row>
    <row r="391" spans="1:14" x14ac:dyDescent="0.25">
      <c r="A391" s="35">
        <f t="shared" si="93"/>
        <v>41571</v>
      </c>
      <c r="C391">
        <v>469.5</v>
      </c>
      <c r="D391">
        <v>34.5</v>
      </c>
      <c r="E391">
        <v>243.6</v>
      </c>
      <c r="F391">
        <v>319.89999999999998</v>
      </c>
      <c r="G391" s="119">
        <f t="shared" ref="G391:H393" si="94">+C391+E391</f>
        <v>713.1</v>
      </c>
      <c r="H391" s="119">
        <f t="shared" si="94"/>
        <v>354.4</v>
      </c>
      <c r="I391" s="48">
        <f t="shared" ref="I391:I408" si="95">+(G391/H391-1)*100</f>
        <v>101.21331828442442</v>
      </c>
    </row>
    <row r="392" spans="1:14" ht="15" x14ac:dyDescent="0.25">
      <c r="A392" s="35">
        <f t="shared" si="93"/>
        <v>41578</v>
      </c>
      <c r="C392">
        <v>487.7</v>
      </c>
      <c r="D392">
        <v>352</v>
      </c>
      <c r="E392">
        <v>292.7</v>
      </c>
      <c r="F392">
        <v>358.3</v>
      </c>
      <c r="G392" s="119">
        <f t="shared" si="94"/>
        <v>780.4</v>
      </c>
      <c r="H392" s="119">
        <f t="shared" si="94"/>
        <v>710.3</v>
      </c>
      <c r="I392" s="48">
        <f t="shared" si="95"/>
        <v>9.8690694072927077</v>
      </c>
      <c r="L392" s="96"/>
    </row>
    <row r="393" spans="1:14" x14ac:dyDescent="0.25">
      <c r="A393" s="35">
        <f t="shared" si="93"/>
        <v>41585</v>
      </c>
      <c r="C393">
        <v>486.2</v>
      </c>
      <c r="D393">
        <v>389</v>
      </c>
      <c r="E393">
        <v>326.3</v>
      </c>
      <c r="F393">
        <v>370.2</v>
      </c>
      <c r="G393" s="119">
        <f t="shared" si="94"/>
        <v>812.5</v>
      </c>
      <c r="H393" s="119">
        <f t="shared" si="94"/>
        <v>759.2</v>
      </c>
      <c r="I393" s="48">
        <f t="shared" si="95"/>
        <v>7.0205479452054798</v>
      </c>
    </row>
    <row r="394" spans="1:14" x14ac:dyDescent="0.25">
      <c r="A394" s="35">
        <f t="shared" si="93"/>
        <v>41592</v>
      </c>
      <c r="C394">
        <v>489.9</v>
      </c>
      <c r="D394">
        <v>373.9</v>
      </c>
      <c r="E394">
        <v>338.4</v>
      </c>
      <c r="F394">
        <v>490.7</v>
      </c>
      <c r="G394" s="119">
        <f t="shared" ref="G394:H408" si="96">+C394+E394</f>
        <v>828.3</v>
      </c>
      <c r="H394" s="119">
        <f t="shared" si="96"/>
        <v>864.59999999999991</v>
      </c>
      <c r="I394" s="48">
        <f t="shared" si="95"/>
        <v>-4.1984732824427384</v>
      </c>
    </row>
    <row r="395" spans="1:14" x14ac:dyDescent="0.25">
      <c r="A395" s="35">
        <f t="shared" si="93"/>
        <v>41599</v>
      </c>
      <c r="C395" s="123">
        <v>455</v>
      </c>
      <c r="D395" s="123">
        <v>299.7</v>
      </c>
      <c r="E395" s="123">
        <v>418.1</v>
      </c>
      <c r="F395" s="123">
        <v>572.1</v>
      </c>
      <c r="G395" s="119">
        <f t="shared" si="96"/>
        <v>873.1</v>
      </c>
      <c r="H395" s="119">
        <f t="shared" si="96"/>
        <v>871.8</v>
      </c>
      <c r="I395" s="48">
        <f t="shared" si="95"/>
        <v>0.14911676990136957</v>
      </c>
    </row>
    <row r="396" spans="1:14" x14ac:dyDescent="0.25">
      <c r="A396" s="35">
        <f t="shared" si="93"/>
        <v>41606</v>
      </c>
      <c r="C396">
        <v>451.6</v>
      </c>
      <c r="D396">
        <v>313.8</v>
      </c>
      <c r="E396">
        <v>457.3</v>
      </c>
      <c r="F396">
        <v>616.5</v>
      </c>
      <c r="G396" s="119">
        <f t="shared" si="96"/>
        <v>908.90000000000009</v>
      </c>
      <c r="H396" s="119">
        <f t="shared" si="96"/>
        <v>930.3</v>
      </c>
      <c r="I396" s="48">
        <f t="shared" si="95"/>
        <v>-2.3003332258411113</v>
      </c>
    </row>
    <row r="397" spans="1:14" x14ac:dyDescent="0.25">
      <c r="A397" s="35">
        <f t="shared" si="93"/>
        <v>41613</v>
      </c>
      <c r="C397">
        <v>451.5</v>
      </c>
      <c r="D397">
        <v>339.3</v>
      </c>
      <c r="E397">
        <v>508.3</v>
      </c>
      <c r="F397">
        <v>618.5</v>
      </c>
      <c r="G397" s="119">
        <f t="shared" si="96"/>
        <v>959.8</v>
      </c>
      <c r="H397" s="119">
        <f t="shared" si="96"/>
        <v>957.8</v>
      </c>
      <c r="I397" s="48">
        <f t="shared" si="95"/>
        <v>0.20881186051366907</v>
      </c>
    </row>
    <row r="398" spans="1:14" x14ac:dyDescent="0.25">
      <c r="A398" s="35">
        <f t="shared" si="93"/>
        <v>41620</v>
      </c>
      <c r="C398">
        <v>449.7</v>
      </c>
      <c r="D398">
        <v>342.6</v>
      </c>
      <c r="E398">
        <v>541.79999999999995</v>
      </c>
      <c r="F398">
        <v>673.3</v>
      </c>
      <c r="G398" s="119">
        <f t="shared" si="96"/>
        <v>991.5</v>
      </c>
      <c r="H398" s="119">
        <f t="shared" si="96"/>
        <v>1015.9</v>
      </c>
      <c r="I398" s="48">
        <f t="shared" si="95"/>
        <v>-2.4018112018899473</v>
      </c>
    </row>
    <row r="399" spans="1:14" x14ac:dyDescent="0.25">
      <c r="A399" s="35">
        <f t="shared" si="93"/>
        <v>41627</v>
      </c>
      <c r="C399">
        <v>461.2</v>
      </c>
      <c r="D399">
        <v>353.2</v>
      </c>
      <c r="E399">
        <v>574.20000000000005</v>
      </c>
      <c r="F399" s="123">
        <v>686</v>
      </c>
      <c r="G399" s="119">
        <f t="shared" si="96"/>
        <v>1035.4000000000001</v>
      </c>
      <c r="H399" s="119">
        <f t="shared" si="96"/>
        <v>1039.2</v>
      </c>
      <c r="I399" s="48">
        <f t="shared" si="95"/>
        <v>-0.36566589684372541</v>
      </c>
    </row>
    <row r="400" spans="1:14" x14ac:dyDescent="0.25">
      <c r="A400" s="35">
        <f t="shared" si="93"/>
        <v>41634</v>
      </c>
      <c r="C400">
        <v>461.2</v>
      </c>
      <c r="D400">
        <v>344.9</v>
      </c>
      <c r="E400">
        <v>628.1</v>
      </c>
      <c r="F400">
        <v>741.9</v>
      </c>
      <c r="G400" s="119">
        <f t="shared" si="96"/>
        <v>1089.3</v>
      </c>
      <c r="H400" s="119">
        <f t="shared" si="96"/>
        <v>1086.8</v>
      </c>
      <c r="I400" s="48">
        <f t="shared" si="95"/>
        <v>0.23003312476996829</v>
      </c>
    </row>
    <row r="401" spans="1:15" x14ac:dyDescent="0.25">
      <c r="A401" s="35">
        <f t="shared" si="93"/>
        <v>41641</v>
      </c>
      <c r="C401">
        <v>460.3</v>
      </c>
      <c r="D401">
        <v>345.5</v>
      </c>
      <c r="E401">
        <v>645.5</v>
      </c>
      <c r="F401">
        <v>745.2</v>
      </c>
      <c r="G401" s="119">
        <f t="shared" si="96"/>
        <v>1105.8</v>
      </c>
      <c r="H401" s="119">
        <f t="shared" si="96"/>
        <v>1090.7</v>
      </c>
      <c r="I401" s="48">
        <f t="shared" si="95"/>
        <v>1.3844320161364276</v>
      </c>
    </row>
    <row r="402" spans="1:15" ht="15" x14ac:dyDescent="0.25">
      <c r="A402" s="35">
        <f t="shared" si="93"/>
        <v>41648</v>
      </c>
      <c r="C402">
        <v>456.9</v>
      </c>
      <c r="D402">
        <v>362.2</v>
      </c>
      <c r="E402">
        <v>671.4</v>
      </c>
      <c r="F402">
        <v>798.4</v>
      </c>
      <c r="G402" s="119">
        <f t="shared" si="96"/>
        <v>1128.3</v>
      </c>
      <c r="H402" s="119">
        <f t="shared" si="96"/>
        <v>1160.5999999999999</v>
      </c>
      <c r="I402" s="48">
        <f t="shared" si="95"/>
        <v>-2.7830432534895699</v>
      </c>
      <c r="K402" s="96"/>
      <c r="N402" s="96"/>
    </row>
    <row r="403" spans="1:15" ht="15" x14ac:dyDescent="0.25">
      <c r="A403" s="35">
        <f t="shared" si="93"/>
        <v>41655</v>
      </c>
      <c r="C403">
        <v>493.3</v>
      </c>
      <c r="D403">
        <v>331.6</v>
      </c>
      <c r="E403">
        <v>677.5</v>
      </c>
      <c r="F403">
        <v>869.5</v>
      </c>
      <c r="G403" s="119">
        <f t="shared" si="96"/>
        <v>1170.8</v>
      </c>
      <c r="H403" s="119">
        <f t="shared" si="96"/>
        <v>1201.0999999999999</v>
      </c>
      <c r="I403" s="48">
        <f t="shared" si="95"/>
        <v>-2.522687536424939</v>
      </c>
      <c r="K403" s="96"/>
    </row>
    <row r="404" spans="1:15" x14ac:dyDescent="0.25">
      <c r="A404" s="35">
        <f t="shared" si="93"/>
        <v>41662</v>
      </c>
      <c r="C404">
        <v>441.3</v>
      </c>
      <c r="D404">
        <v>303</v>
      </c>
      <c r="E404">
        <v>806.3</v>
      </c>
      <c r="F404">
        <v>911.2</v>
      </c>
      <c r="G404" s="119">
        <f t="shared" si="96"/>
        <v>1247.5999999999999</v>
      </c>
      <c r="H404" s="119">
        <f t="shared" si="96"/>
        <v>1214.2</v>
      </c>
      <c r="I404" s="48">
        <f t="shared" si="95"/>
        <v>2.7507824081699717</v>
      </c>
    </row>
    <row r="405" spans="1:15" ht="15" x14ac:dyDescent="0.25">
      <c r="A405" s="35">
        <f t="shared" si="93"/>
        <v>41669</v>
      </c>
      <c r="C405">
        <v>462.3</v>
      </c>
      <c r="D405">
        <v>330.1</v>
      </c>
      <c r="E405">
        <v>859.7</v>
      </c>
      <c r="F405">
        <v>921.7</v>
      </c>
      <c r="G405" s="119">
        <f t="shared" si="96"/>
        <v>1322</v>
      </c>
      <c r="H405" s="119">
        <f t="shared" si="96"/>
        <v>1251.8000000000002</v>
      </c>
      <c r="I405" s="48">
        <f t="shared" si="95"/>
        <v>5.6079245885924056</v>
      </c>
      <c r="K405" s="96"/>
      <c r="L405" s="96"/>
      <c r="O405" s="96"/>
    </row>
    <row r="406" spans="1:15" ht="15" x14ac:dyDescent="0.25">
      <c r="A406" s="35">
        <f t="shared" si="93"/>
        <v>41676</v>
      </c>
      <c r="C406">
        <v>448.4</v>
      </c>
      <c r="D406">
        <v>321.7</v>
      </c>
      <c r="E406">
        <v>776.9</v>
      </c>
      <c r="F406" s="123">
        <v>966</v>
      </c>
      <c r="G406" s="119">
        <f t="shared" si="96"/>
        <v>1225.3</v>
      </c>
      <c r="H406" s="119">
        <f t="shared" si="96"/>
        <v>1287.7</v>
      </c>
      <c r="I406" s="48">
        <f t="shared" si="95"/>
        <v>-4.8458491884755812</v>
      </c>
      <c r="K406" s="96"/>
    </row>
    <row r="407" spans="1:15" x14ac:dyDescent="0.25">
      <c r="A407" s="35">
        <f t="shared" si="93"/>
        <v>41683</v>
      </c>
      <c r="C407">
        <v>493.1</v>
      </c>
      <c r="D407">
        <v>323.39999999999998</v>
      </c>
      <c r="E407">
        <v>919.2</v>
      </c>
      <c r="F407">
        <v>1018.5</v>
      </c>
      <c r="G407" s="119">
        <f t="shared" si="96"/>
        <v>1412.3000000000002</v>
      </c>
      <c r="H407" s="119">
        <f t="shared" si="96"/>
        <v>1341.9</v>
      </c>
      <c r="I407" s="48">
        <f t="shared" si="95"/>
        <v>5.2462925702362329</v>
      </c>
    </row>
    <row r="408" spans="1:15" x14ac:dyDescent="0.25">
      <c r="A408" s="35">
        <f t="shared" si="93"/>
        <v>41690</v>
      </c>
      <c r="C408">
        <v>458.3</v>
      </c>
      <c r="D408">
        <v>345.7</v>
      </c>
      <c r="E408">
        <v>981.9</v>
      </c>
      <c r="F408">
        <v>1052</v>
      </c>
      <c r="G408" s="119">
        <f t="shared" si="96"/>
        <v>1440.2</v>
      </c>
      <c r="H408" s="119">
        <f t="shared" si="96"/>
        <v>1397.7</v>
      </c>
      <c r="I408" s="48">
        <f t="shared" si="95"/>
        <v>3.0407097374257619</v>
      </c>
    </row>
    <row r="409" spans="1:15" x14ac:dyDescent="0.25">
      <c r="A409" s="35">
        <f t="shared" si="93"/>
        <v>41697</v>
      </c>
    </row>
    <row r="410" spans="1:15" x14ac:dyDescent="0.25">
      <c r="A410" s="35">
        <f t="shared" si="93"/>
        <v>41704</v>
      </c>
    </row>
    <row r="411" spans="1:15" x14ac:dyDescent="0.25">
      <c r="A411" s="35">
        <f t="shared" si="93"/>
        <v>41711</v>
      </c>
    </row>
    <row r="412" spans="1:15" x14ac:dyDescent="0.25">
      <c r="A412" s="35">
        <f t="shared" si="93"/>
        <v>41718</v>
      </c>
    </row>
    <row r="413" spans="1:15" x14ac:dyDescent="0.25">
      <c r="A413" s="35">
        <f t="shared" si="93"/>
        <v>41725</v>
      </c>
    </row>
    <row r="414" spans="1:15" x14ac:dyDescent="0.25">
      <c r="A414" s="35">
        <f t="shared" si="93"/>
        <v>41732</v>
      </c>
    </row>
    <row r="415" spans="1:15" x14ac:dyDescent="0.25">
      <c r="A415" s="35">
        <f t="shared" si="93"/>
        <v>41739</v>
      </c>
    </row>
    <row r="416" spans="1:15" x14ac:dyDescent="0.25">
      <c r="A416" s="35">
        <f t="shared" si="93"/>
        <v>41746</v>
      </c>
    </row>
    <row r="417" spans="1:1" x14ac:dyDescent="0.25">
      <c r="A417" s="35">
        <f t="shared" si="93"/>
        <v>41753</v>
      </c>
    </row>
    <row r="418" spans="1:1" x14ac:dyDescent="0.25">
      <c r="A418" s="35">
        <f t="shared" si="93"/>
        <v>41760</v>
      </c>
    </row>
    <row r="419" spans="1:1" x14ac:dyDescent="0.25">
      <c r="A419" s="35">
        <f t="shared" si="93"/>
        <v>41767</v>
      </c>
    </row>
    <row r="420" spans="1:1" x14ac:dyDescent="0.25">
      <c r="A420" s="35">
        <f t="shared" si="93"/>
        <v>41774</v>
      </c>
    </row>
    <row r="421" spans="1:1" x14ac:dyDescent="0.25">
      <c r="A421" s="35">
        <f t="shared" si="93"/>
        <v>41781</v>
      </c>
    </row>
  </sheetData>
  <mergeCells count="2">
    <mergeCell ref="E1:F1"/>
    <mergeCell ref="G1:H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O65487"/>
  <sheetViews>
    <sheetView topLeftCell="A390" workbookViewId="0">
      <selection activeCell="J414" sqref="J414"/>
    </sheetView>
  </sheetViews>
  <sheetFormatPr defaultRowHeight="13.2" x14ac:dyDescent="0.25"/>
  <cols>
    <col min="1" max="1" width="10.6640625" customWidth="1"/>
    <col min="2" max="2" width="6.6640625" customWidth="1"/>
  </cols>
  <sheetData>
    <row r="1" spans="1:12" x14ac:dyDescent="0.25">
      <c r="C1" t="s">
        <v>7</v>
      </c>
      <c r="E1" s="210" t="s">
        <v>1</v>
      </c>
      <c r="F1" s="211"/>
      <c r="G1" s="210" t="s">
        <v>2</v>
      </c>
      <c r="H1" s="211"/>
      <c r="I1" s="9"/>
      <c r="J1" s="15"/>
      <c r="K1" s="11" t="s">
        <v>6</v>
      </c>
      <c r="L1" s="11" t="s">
        <v>10</v>
      </c>
    </row>
    <row r="2" spans="1:12" x14ac:dyDescent="0.25">
      <c r="A2" t="s">
        <v>19</v>
      </c>
      <c r="B2" s="6"/>
      <c r="C2" s="6">
        <v>2005</v>
      </c>
      <c r="D2" s="6">
        <v>2004</v>
      </c>
      <c r="E2" s="8">
        <v>2005</v>
      </c>
      <c r="F2" s="7">
        <v>2004</v>
      </c>
      <c r="G2" s="8">
        <v>2005</v>
      </c>
      <c r="H2" s="7">
        <v>2004</v>
      </c>
      <c r="I2" s="10" t="s">
        <v>4</v>
      </c>
      <c r="J2" s="8"/>
      <c r="K2" s="8" t="s">
        <v>5</v>
      </c>
      <c r="L2" s="8" t="s">
        <v>5</v>
      </c>
    </row>
    <row r="4" spans="1:12" x14ac:dyDescent="0.25">
      <c r="A4" s="35">
        <f>China!A3</f>
        <v>38855</v>
      </c>
      <c r="B4" s="84" t="s">
        <v>8</v>
      </c>
      <c r="C4">
        <v>79.3</v>
      </c>
      <c r="D4">
        <v>164.6</v>
      </c>
      <c r="E4">
        <v>1307.5999999999999</v>
      </c>
      <c r="F4">
        <v>1356.3</v>
      </c>
      <c r="G4" s="14">
        <f t="shared" ref="G4:H8" si="0">+C4+E4</f>
        <v>1386.8999999999999</v>
      </c>
      <c r="H4" s="2">
        <f t="shared" si="0"/>
        <v>1520.8999999999999</v>
      </c>
      <c r="I4" s="48">
        <f>+(G4/H4-1)*100</f>
        <v>-8.8105726872246706</v>
      </c>
    </row>
    <row r="5" spans="1:12" x14ac:dyDescent="0.25">
      <c r="A5" s="35">
        <f t="shared" ref="A5:A253" si="1">+A4+7</f>
        <v>38862</v>
      </c>
      <c r="B5" s="84" t="s">
        <v>8</v>
      </c>
      <c r="C5">
        <v>154.5</v>
      </c>
      <c r="D5">
        <v>153.30000000000001</v>
      </c>
      <c r="E5">
        <v>1316.9</v>
      </c>
      <c r="F5">
        <v>1370.1</v>
      </c>
      <c r="G5" s="14">
        <f t="shared" si="0"/>
        <v>1471.4</v>
      </c>
      <c r="H5" s="2">
        <f t="shared" si="0"/>
        <v>1523.3999999999999</v>
      </c>
      <c r="I5" s="48">
        <f t="shared" ref="I5:I39" si="2">+(G5/H5-1)*100</f>
        <v>-3.4134173559143832</v>
      </c>
      <c r="J5">
        <v>0</v>
      </c>
    </row>
    <row r="6" spans="1:12" x14ac:dyDescent="0.25">
      <c r="A6" s="35">
        <f t="shared" si="1"/>
        <v>38869</v>
      </c>
      <c r="B6" s="84" t="s">
        <v>8</v>
      </c>
      <c r="C6">
        <v>126.3</v>
      </c>
      <c r="D6">
        <v>134.9</v>
      </c>
      <c r="E6">
        <v>1352</v>
      </c>
      <c r="F6">
        <v>1388.8</v>
      </c>
      <c r="G6" s="14">
        <f t="shared" si="0"/>
        <v>1478.3</v>
      </c>
      <c r="H6" s="2">
        <f t="shared" si="0"/>
        <v>1523.7</v>
      </c>
      <c r="I6" s="48">
        <f t="shared" si="2"/>
        <v>-2.9795891579707301</v>
      </c>
      <c r="J6">
        <v>0</v>
      </c>
    </row>
    <row r="7" spans="1:12" x14ac:dyDescent="0.25">
      <c r="A7" s="35">
        <f t="shared" si="1"/>
        <v>38876</v>
      </c>
      <c r="B7" s="84" t="s">
        <v>8</v>
      </c>
      <c r="C7">
        <v>175</v>
      </c>
      <c r="D7">
        <v>133.9</v>
      </c>
      <c r="E7">
        <v>1369.3</v>
      </c>
      <c r="F7">
        <v>1398.9</v>
      </c>
      <c r="G7" s="14">
        <f t="shared" si="0"/>
        <v>1544.3</v>
      </c>
      <c r="H7" s="2">
        <f t="shared" si="0"/>
        <v>1532.8000000000002</v>
      </c>
      <c r="I7" s="48">
        <f t="shared" si="2"/>
        <v>0.7502609603340149</v>
      </c>
      <c r="J7">
        <v>0</v>
      </c>
    </row>
    <row r="8" spans="1:12" x14ac:dyDescent="0.25">
      <c r="A8" s="35">
        <f t="shared" si="1"/>
        <v>38883</v>
      </c>
      <c r="B8" s="84" t="s">
        <v>8</v>
      </c>
      <c r="C8">
        <v>205.5</v>
      </c>
      <c r="D8">
        <v>96.3</v>
      </c>
      <c r="E8">
        <v>1376.8</v>
      </c>
      <c r="F8">
        <v>1437.4</v>
      </c>
      <c r="G8" s="14">
        <f t="shared" si="0"/>
        <v>1582.3</v>
      </c>
      <c r="H8" s="2">
        <f t="shared" si="0"/>
        <v>1533.7</v>
      </c>
      <c r="I8" s="48">
        <f t="shared" si="2"/>
        <v>3.1688074590858539</v>
      </c>
      <c r="J8">
        <v>0</v>
      </c>
    </row>
    <row r="9" spans="1:12" x14ac:dyDescent="0.25">
      <c r="A9" s="35">
        <f t="shared" si="1"/>
        <v>38890</v>
      </c>
      <c r="B9" s="84" t="s">
        <v>8</v>
      </c>
      <c r="C9">
        <v>200.1</v>
      </c>
      <c r="D9">
        <v>91.7</v>
      </c>
      <c r="E9">
        <v>1479.3</v>
      </c>
      <c r="F9">
        <v>1442</v>
      </c>
      <c r="G9" s="14">
        <f t="shared" ref="G9:H39" si="3">+C9+E9</f>
        <v>1679.3999999999999</v>
      </c>
      <c r="H9" s="2">
        <f t="shared" si="3"/>
        <v>1533.7</v>
      </c>
      <c r="I9" s="48">
        <f t="shared" si="2"/>
        <v>9.499902197300635</v>
      </c>
      <c r="J9">
        <v>0</v>
      </c>
    </row>
    <row r="10" spans="1:12" x14ac:dyDescent="0.25">
      <c r="A10" s="35">
        <f t="shared" si="1"/>
        <v>38897</v>
      </c>
      <c r="B10" s="84" t="s">
        <v>8</v>
      </c>
      <c r="C10">
        <v>157.69999999999999</v>
      </c>
      <c r="D10">
        <v>120.3</v>
      </c>
      <c r="E10">
        <v>1537.3</v>
      </c>
      <c r="F10">
        <v>1446</v>
      </c>
      <c r="G10" s="14">
        <f t="shared" si="3"/>
        <v>1695</v>
      </c>
      <c r="H10" s="2">
        <f t="shared" si="3"/>
        <v>1566.3</v>
      </c>
      <c r="I10" s="48">
        <f t="shared" si="2"/>
        <v>8.216816701781271</v>
      </c>
      <c r="J10">
        <v>0</v>
      </c>
    </row>
    <row r="11" spans="1:12" x14ac:dyDescent="0.25">
      <c r="A11" s="35">
        <f t="shared" si="1"/>
        <v>38904</v>
      </c>
      <c r="B11" s="84" t="s">
        <v>8</v>
      </c>
      <c r="C11">
        <v>238.3</v>
      </c>
      <c r="D11">
        <v>115.9</v>
      </c>
      <c r="E11">
        <v>1549.1</v>
      </c>
      <c r="F11">
        <v>1450.6</v>
      </c>
      <c r="G11" s="14">
        <f t="shared" si="3"/>
        <v>1787.3999999999999</v>
      </c>
      <c r="H11" s="2">
        <f t="shared" si="3"/>
        <v>1566.5</v>
      </c>
      <c r="I11" s="48">
        <f t="shared" si="2"/>
        <v>14.10150015959144</v>
      </c>
      <c r="J11">
        <v>2</v>
      </c>
    </row>
    <row r="12" spans="1:12" x14ac:dyDescent="0.25">
      <c r="A12" s="35">
        <f t="shared" si="1"/>
        <v>38911</v>
      </c>
      <c r="B12" s="84" t="s">
        <v>8</v>
      </c>
      <c r="C12">
        <v>234.8</v>
      </c>
      <c r="D12">
        <v>118.9</v>
      </c>
      <c r="E12">
        <v>1561.5</v>
      </c>
      <c r="F12">
        <v>1450.6</v>
      </c>
      <c r="G12" s="14">
        <f t="shared" si="3"/>
        <v>1796.3</v>
      </c>
      <c r="H12" s="2">
        <f t="shared" si="3"/>
        <v>1569.5</v>
      </c>
      <c r="I12" s="48">
        <f t="shared" si="2"/>
        <v>14.450461930551128</v>
      </c>
      <c r="J12">
        <v>6</v>
      </c>
    </row>
    <row r="13" spans="1:12" x14ac:dyDescent="0.25">
      <c r="A13" s="35">
        <f t="shared" si="1"/>
        <v>38918</v>
      </c>
      <c r="B13" s="84" t="s">
        <v>8</v>
      </c>
      <c r="C13">
        <v>275.5</v>
      </c>
      <c r="D13">
        <v>62.8</v>
      </c>
      <c r="E13">
        <v>1572.9</v>
      </c>
      <c r="F13">
        <v>1450.9</v>
      </c>
      <c r="G13" s="14">
        <f t="shared" si="3"/>
        <v>1848.4</v>
      </c>
      <c r="H13" s="2">
        <f t="shared" si="3"/>
        <v>1513.7</v>
      </c>
      <c r="I13" s="48">
        <f t="shared" si="2"/>
        <v>22.111382704631044</v>
      </c>
      <c r="J13">
        <v>9</v>
      </c>
    </row>
    <row r="14" spans="1:12" x14ac:dyDescent="0.25">
      <c r="A14" s="35">
        <f t="shared" si="1"/>
        <v>38925</v>
      </c>
      <c r="B14" s="84" t="s">
        <v>8</v>
      </c>
      <c r="C14">
        <v>304.39999999999998</v>
      </c>
      <c r="D14">
        <v>68.400000000000006</v>
      </c>
      <c r="E14">
        <v>1579.1</v>
      </c>
      <c r="F14">
        <v>1451.8</v>
      </c>
      <c r="G14" s="14">
        <f t="shared" si="3"/>
        <v>1883.5</v>
      </c>
      <c r="H14" s="2">
        <f t="shared" si="3"/>
        <v>1520.2</v>
      </c>
      <c r="I14" s="48">
        <f t="shared" si="2"/>
        <v>23.89817129325089</v>
      </c>
      <c r="J14">
        <v>46</v>
      </c>
    </row>
    <row r="15" spans="1:12" x14ac:dyDescent="0.25">
      <c r="A15" s="35">
        <f t="shared" si="1"/>
        <v>38932</v>
      </c>
      <c r="B15" s="84" t="s">
        <v>8</v>
      </c>
      <c r="C15">
        <v>297.10000000000002</v>
      </c>
      <c r="D15">
        <v>64.5</v>
      </c>
      <c r="E15">
        <v>1677.4</v>
      </c>
      <c r="F15">
        <v>1479.1</v>
      </c>
      <c r="G15" s="14">
        <f t="shared" si="3"/>
        <v>1974.5</v>
      </c>
      <c r="H15" s="2">
        <f t="shared" si="3"/>
        <v>1543.6</v>
      </c>
      <c r="I15" s="48">
        <f t="shared" si="2"/>
        <v>27.915263021508174</v>
      </c>
      <c r="J15">
        <v>53.5</v>
      </c>
    </row>
    <row r="16" spans="1:12" x14ac:dyDescent="0.25">
      <c r="A16" s="35">
        <f t="shared" si="1"/>
        <v>38939</v>
      </c>
      <c r="B16" s="84" t="s">
        <v>8</v>
      </c>
      <c r="C16">
        <v>291.7</v>
      </c>
      <c r="D16">
        <v>63.9</v>
      </c>
      <c r="E16">
        <v>1741.8</v>
      </c>
      <c r="F16">
        <v>1484.1</v>
      </c>
      <c r="G16" s="14">
        <f t="shared" si="3"/>
        <v>2033.5</v>
      </c>
      <c r="H16" s="2">
        <f t="shared" si="3"/>
        <v>1548</v>
      </c>
      <c r="I16" s="48">
        <f t="shared" si="2"/>
        <v>31.363049095607231</v>
      </c>
      <c r="J16">
        <v>55.5</v>
      </c>
    </row>
    <row r="17" spans="1:10" x14ac:dyDescent="0.25">
      <c r="A17" s="35">
        <f t="shared" si="1"/>
        <v>38946</v>
      </c>
      <c r="B17" s="84" t="s">
        <v>8</v>
      </c>
      <c r="C17">
        <v>284.8</v>
      </c>
      <c r="D17">
        <v>92.6</v>
      </c>
      <c r="E17">
        <v>1755.6</v>
      </c>
      <c r="F17">
        <v>1485.7</v>
      </c>
      <c r="G17" s="14">
        <f t="shared" si="3"/>
        <v>2040.3999999999999</v>
      </c>
      <c r="H17" s="2">
        <f t="shared" si="3"/>
        <v>1578.3</v>
      </c>
      <c r="I17" s="48">
        <f t="shared" si="2"/>
        <v>29.278337451688529</v>
      </c>
      <c r="J17">
        <v>85</v>
      </c>
    </row>
    <row r="18" spans="1:10" x14ac:dyDescent="0.25">
      <c r="A18" s="35">
        <f t="shared" si="1"/>
        <v>38953</v>
      </c>
      <c r="B18" s="84" t="s">
        <v>8</v>
      </c>
      <c r="C18">
        <v>148.1</v>
      </c>
      <c r="D18">
        <v>96.9</v>
      </c>
      <c r="E18">
        <v>1835.8</v>
      </c>
      <c r="F18">
        <v>1486.4</v>
      </c>
      <c r="G18" s="14">
        <f t="shared" si="3"/>
        <v>1983.8999999999999</v>
      </c>
      <c r="H18" s="2">
        <f t="shared" si="3"/>
        <v>1583.3000000000002</v>
      </c>
      <c r="I18" s="48">
        <f t="shared" si="2"/>
        <v>25.301585296532526</v>
      </c>
      <c r="J18">
        <v>189</v>
      </c>
    </row>
    <row r="19" spans="1:10" x14ac:dyDescent="0.25">
      <c r="A19" s="35">
        <f t="shared" si="1"/>
        <v>38960</v>
      </c>
      <c r="B19" s="84" t="s">
        <v>8</v>
      </c>
      <c r="C19">
        <v>141.80000000000001</v>
      </c>
      <c r="D19">
        <v>59.4</v>
      </c>
      <c r="E19">
        <v>1850.3</v>
      </c>
      <c r="F19">
        <v>1525.4</v>
      </c>
      <c r="G19" s="14">
        <f t="shared" si="3"/>
        <v>1992.1</v>
      </c>
      <c r="H19" s="2">
        <f t="shared" si="3"/>
        <v>1584.8000000000002</v>
      </c>
      <c r="I19" s="48">
        <f t="shared" si="2"/>
        <v>25.700403836446228</v>
      </c>
      <c r="J19">
        <v>351.7</v>
      </c>
    </row>
    <row r="20" spans="1:10" x14ac:dyDescent="0.25">
      <c r="A20" s="35">
        <f t="shared" si="1"/>
        <v>38967</v>
      </c>
      <c r="B20" s="84" t="s">
        <v>8</v>
      </c>
      <c r="C20">
        <v>369.4</v>
      </c>
      <c r="D20">
        <v>235.1</v>
      </c>
      <c r="E20">
        <v>11.8</v>
      </c>
      <c r="F20">
        <v>0.8</v>
      </c>
      <c r="G20" s="14">
        <f t="shared" si="3"/>
        <v>381.2</v>
      </c>
      <c r="H20" s="2">
        <f t="shared" si="3"/>
        <v>235.9</v>
      </c>
      <c r="I20" s="48">
        <f t="shared" si="2"/>
        <v>61.593895718524784</v>
      </c>
    </row>
    <row r="21" spans="1:10" x14ac:dyDescent="0.25">
      <c r="A21" s="35">
        <f t="shared" si="1"/>
        <v>38974</v>
      </c>
      <c r="B21" s="84" t="s">
        <v>8</v>
      </c>
      <c r="C21">
        <v>367.2</v>
      </c>
      <c r="D21">
        <v>254.9</v>
      </c>
      <c r="E21">
        <v>31.9</v>
      </c>
      <c r="F21">
        <v>31.3</v>
      </c>
      <c r="G21" s="14">
        <f t="shared" si="3"/>
        <v>399.09999999999997</v>
      </c>
      <c r="H21" s="2">
        <f t="shared" si="3"/>
        <v>286.2</v>
      </c>
      <c r="I21" s="48">
        <f t="shared" si="2"/>
        <v>39.447938504542265</v>
      </c>
    </row>
    <row r="22" spans="1:10" x14ac:dyDescent="0.25">
      <c r="A22" s="35">
        <f t="shared" si="1"/>
        <v>38981</v>
      </c>
      <c r="B22" s="84" t="s">
        <v>8</v>
      </c>
      <c r="C22">
        <v>412.1</v>
      </c>
      <c r="D22">
        <v>269.3</v>
      </c>
      <c r="E22">
        <v>64.599999999999994</v>
      </c>
      <c r="F22">
        <v>56.3</v>
      </c>
      <c r="G22" s="14">
        <f t="shared" si="3"/>
        <v>476.70000000000005</v>
      </c>
      <c r="H22" s="2">
        <f t="shared" si="3"/>
        <v>325.60000000000002</v>
      </c>
      <c r="I22" s="48">
        <f t="shared" si="2"/>
        <v>46.406633906633907</v>
      </c>
    </row>
    <row r="23" spans="1:10" x14ac:dyDescent="0.25">
      <c r="A23" s="35">
        <f t="shared" si="1"/>
        <v>38988</v>
      </c>
      <c r="B23" s="84" t="s">
        <v>8</v>
      </c>
      <c r="C23">
        <v>425.4</v>
      </c>
      <c r="D23">
        <v>265.2</v>
      </c>
      <c r="E23">
        <v>96.4</v>
      </c>
      <c r="F23">
        <v>66.900000000000006</v>
      </c>
      <c r="G23" s="14">
        <f t="shared" si="3"/>
        <v>521.79999999999995</v>
      </c>
      <c r="H23" s="2">
        <f t="shared" si="3"/>
        <v>332.1</v>
      </c>
      <c r="I23" s="48">
        <f t="shared" si="2"/>
        <v>57.121348991267659</v>
      </c>
    </row>
    <row r="24" spans="1:10" x14ac:dyDescent="0.25">
      <c r="A24" s="35">
        <f t="shared" si="1"/>
        <v>38995</v>
      </c>
      <c r="B24" s="84" t="s">
        <v>8</v>
      </c>
      <c r="C24">
        <v>385.6</v>
      </c>
      <c r="D24">
        <v>279.8</v>
      </c>
      <c r="E24">
        <v>180.8</v>
      </c>
      <c r="F24">
        <v>100.5</v>
      </c>
      <c r="G24" s="14">
        <f t="shared" si="3"/>
        <v>566.40000000000009</v>
      </c>
      <c r="H24" s="2">
        <f t="shared" si="3"/>
        <v>380.3</v>
      </c>
      <c r="I24" s="48">
        <f t="shared" si="2"/>
        <v>48.935051275308993</v>
      </c>
    </row>
    <row r="25" spans="1:10" x14ac:dyDescent="0.25">
      <c r="A25" s="35">
        <f t="shared" si="1"/>
        <v>39002</v>
      </c>
      <c r="B25" s="84" t="s">
        <v>8</v>
      </c>
      <c r="C25">
        <v>350.7</v>
      </c>
      <c r="D25">
        <v>242.8</v>
      </c>
      <c r="E25">
        <v>218.2</v>
      </c>
      <c r="F25">
        <v>138.69999999999999</v>
      </c>
      <c r="G25" s="14">
        <f t="shared" si="3"/>
        <v>568.9</v>
      </c>
      <c r="H25" s="2">
        <f t="shared" si="3"/>
        <v>381.5</v>
      </c>
      <c r="I25" s="48">
        <f t="shared" si="2"/>
        <v>49.12188728702489</v>
      </c>
    </row>
    <row r="26" spans="1:10" x14ac:dyDescent="0.25">
      <c r="A26" s="35">
        <f t="shared" si="1"/>
        <v>39009</v>
      </c>
      <c r="B26" s="84" t="s">
        <v>8</v>
      </c>
      <c r="C26">
        <v>374.5</v>
      </c>
      <c r="D26">
        <v>301.39999999999998</v>
      </c>
      <c r="E26">
        <v>256.8</v>
      </c>
      <c r="F26">
        <v>150.1</v>
      </c>
      <c r="G26" s="14">
        <f t="shared" si="3"/>
        <v>631.29999999999995</v>
      </c>
      <c r="H26" s="2">
        <f t="shared" si="3"/>
        <v>451.5</v>
      </c>
      <c r="I26" s="48">
        <f t="shared" si="2"/>
        <v>39.822812846068658</v>
      </c>
    </row>
    <row r="27" spans="1:10" x14ac:dyDescent="0.25">
      <c r="A27" s="35">
        <f t="shared" si="1"/>
        <v>39016</v>
      </c>
      <c r="B27" s="84" t="s">
        <v>8</v>
      </c>
      <c r="C27">
        <v>343.1</v>
      </c>
      <c r="D27">
        <v>239.8</v>
      </c>
      <c r="E27">
        <v>336.9</v>
      </c>
      <c r="F27">
        <v>221.1</v>
      </c>
      <c r="G27" s="14">
        <f t="shared" si="3"/>
        <v>680</v>
      </c>
      <c r="H27" s="2">
        <f t="shared" si="3"/>
        <v>460.9</v>
      </c>
      <c r="I27" s="48">
        <f t="shared" si="2"/>
        <v>47.537426773703629</v>
      </c>
    </row>
    <row r="28" spans="1:10" x14ac:dyDescent="0.25">
      <c r="A28" s="35">
        <f t="shared" si="1"/>
        <v>39023</v>
      </c>
      <c r="B28" s="84" t="s">
        <v>8</v>
      </c>
      <c r="C28">
        <v>409</v>
      </c>
      <c r="D28">
        <v>295.60000000000002</v>
      </c>
      <c r="E28">
        <v>350.2</v>
      </c>
      <c r="F28">
        <v>288.7</v>
      </c>
      <c r="G28" s="14">
        <f t="shared" si="3"/>
        <v>759.2</v>
      </c>
      <c r="H28" s="2">
        <f t="shared" si="3"/>
        <v>584.29999999999995</v>
      </c>
      <c r="I28" s="48">
        <f t="shared" si="2"/>
        <v>29.93325346568545</v>
      </c>
    </row>
    <row r="29" spans="1:10" x14ac:dyDescent="0.25">
      <c r="A29" s="35">
        <f t="shared" si="1"/>
        <v>39030</v>
      </c>
      <c r="B29" s="84" t="s">
        <v>8</v>
      </c>
      <c r="C29">
        <v>431</v>
      </c>
      <c r="D29">
        <v>212.1</v>
      </c>
      <c r="E29">
        <v>373.5</v>
      </c>
      <c r="F29">
        <v>382.5</v>
      </c>
      <c r="G29" s="14">
        <f t="shared" si="3"/>
        <v>804.5</v>
      </c>
      <c r="H29" s="2">
        <f t="shared" si="3"/>
        <v>594.6</v>
      </c>
      <c r="I29" s="48">
        <f t="shared" si="2"/>
        <v>35.301042717793464</v>
      </c>
    </row>
    <row r="30" spans="1:10" x14ac:dyDescent="0.25">
      <c r="A30" s="35">
        <f t="shared" si="1"/>
        <v>39037</v>
      </c>
      <c r="B30" s="84" t="s">
        <v>8</v>
      </c>
      <c r="C30">
        <v>395.7</v>
      </c>
      <c r="D30">
        <v>238.4</v>
      </c>
      <c r="E30">
        <v>452.4</v>
      </c>
      <c r="F30">
        <v>401.6</v>
      </c>
      <c r="G30" s="14">
        <f t="shared" si="3"/>
        <v>848.09999999999991</v>
      </c>
      <c r="H30" s="2">
        <f t="shared" si="3"/>
        <v>640</v>
      </c>
      <c r="I30" s="48">
        <f t="shared" si="2"/>
        <v>32.515624999999979</v>
      </c>
    </row>
    <row r="31" spans="1:10" x14ac:dyDescent="0.25">
      <c r="A31" s="35">
        <f t="shared" si="1"/>
        <v>39044</v>
      </c>
      <c r="B31" s="84" t="s">
        <v>8</v>
      </c>
      <c r="C31">
        <v>408.6</v>
      </c>
      <c r="D31">
        <v>230.4</v>
      </c>
      <c r="E31">
        <v>470.1</v>
      </c>
      <c r="F31">
        <v>413.8</v>
      </c>
      <c r="G31" s="14">
        <f t="shared" si="3"/>
        <v>878.7</v>
      </c>
      <c r="H31" s="2">
        <f t="shared" si="3"/>
        <v>644.20000000000005</v>
      </c>
      <c r="I31" s="48">
        <f t="shared" si="2"/>
        <v>36.401738590499846</v>
      </c>
    </row>
    <row r="32" spans="1:10" x14ac:dyDescent="0.25">
      <c r="A32" s="35">
        <f t="shared" si="1"/>
        <v>39051</v>
      </c>
      <c r="B32" s="84" t="s">
        <v>8</v>
      </c>
      <c r="C32">
        <v>381.2</v>
      </c>
      <c r="D32">
        <v>148</v>
      </c>
      <c r="E32">
        <v>491.9</v>
      </c>
      <c r="F32">
        <v>558.1</v>
      </c>
      <c r="G32" s="14">
        <f t="shared" si="3"/>
        <v>873.09999999999991</v>
      </c>
      <c r="H32" s="2">
        <f t="shared" si="3"/>
        <v>706.1</v>
      </c>
      <c r="I32" s="48">
        <f t="shared" si="2"/>
        <v>23.651040929046864</v>
      </c>
    </row>
    <row r="33" spans="1:9" x14ac:dyDescent="0.25">
      <c r="A33" s="35">
        <f t="shared" si="1"/>
        <v>39058</v>
      </c>
      <c r="B33" s="84" t="s">
        <v>8</v>
      </c>
      <c r="C33">
        <v>369.2</v>
      </c>
      <c r="D33">
        <v>144.6</v>
      </c>
      <c r="E33">
        <v>534.6</v>
      </c>
      <c r="F33">
        <v>569.1</v>
      </c>
      <c r="G33" s="14">
        <f t="shared" si="3"/>
        <v>903.8</v>
      </c>
      <c r="H33" s="2">
        <f t="shared" si="3"/>
        <v>713.7</v>
      </c>
      <c r="I33" s="48">
        <f t="shared" si="2"/>
        <v>26.635841389939728</v>
      </c>
    </row>
    <row r="34" spans="1:9" x14ac:dyDescent="0.25">
      <c r="A34" s="35">
        <f t="shared" si="1"/>
        <v>39065</v>
      </c>
      <c r="B34" s="84" t="s">
        <v>8</v>
      </c>
      <c r="C34">
        <v>365.6</v>
      </c>
      <c r="D34">
        <v>305.7</v>
      </c>
      <c r="E34">
        <v>638.1</v>
      </c>
      <c r="F34">
        <v>579.70000000000005</v>
      </c>
      <c r="G34" s="14">
        <f t="shared" si="3"/>
        <v>1003.7</v>
      </c>
      <c r="H34" s="2">
        <f t="shared" si="3"/>
        <v>885.40000000000009</v>
      </c>
      <c r="I34" s="48">
        <f t="shared" si="2"/>
        <v>13.361192681274003</v>
      </c>
    </row>
    <row r="35" spans="1:9" x14ac:dyDescent="0.25">
      <c r="A35" s="35">
        <f t="shared" si="1"/>
        <v>39072</v>
      </c>
      <c r="B35" s="84" t="s">
        <v>8</v>
      </c>
      <c r="C35">
        <v>368.2</v>
      </c>
      <c r="D35">
        <v>297.2</v>
      </c>
      <c r="E35">
        <v>658.4</v>
      </c>
      <c r="F35">
        <v>588.29999999999995</v>
      </c>
      <c r="G35" s="14">
        <f t="shared" si="3"/>
        <v>1026.5999999999999</v>
      </c>
      <c r="H35" s="2">
        <f t="shared" si="3"/>
        <v>885.5</v>
      </c>
      <c r="I35" s="48">
        <f t="shared" si="2"/>
        <v>15.934500282326368</v>
      </c>
    </row>
    <row r="36" spans="1:9" x14ac:dyDescent="0.25">
      <c r="A36" s="35">
        <f t="shared" si="1"/>
        <v>39079</v>
      </c>
      <c r="B36" s="84" t="s">
        <v>8</v>
      </c>
      <c r="C36">
        <v>363.1</v>
      </c>
      <c r="D36">
        <v>293.10000000000002</v>
      </c>
      <c r="E36">
        <v>692.6</v>
      </c>
      <c r="F36">
        <v>598</v>
      </c>
      <c r="G36" s="14">
        <f t="shared" si="3"/>
        <v>1055.7</v>
      </c>
      <c r="H36" s="2">
        <f t="shared" si="3"/>
        <v>891.1</v>
      </c>
      <c r="I36" s="48">
        <f t="shared" si="2"/>
        <v>18.471552014364278</v>
      </c>
    </row>
    <row r="37" spans="1:9" x14ac:dyDescent="0.25">
      <c r="A37" s="35">
        <f t="shared" si="1"/>
        <v>39086</v>
      </c>
      <c r="B37" s="84" t="s">
        <v>8</v>
      </c>
      <c r="C37">
        <v>349.9</v>
      </c>
      <c r="D37">
        <v>269</v>
      </c>
      <c r="E37">
        <v>703.7</v>
      </c>
      <c r="F37">
        <v>624</v>
      </c>
      <c r="G37" s="14">
        <f t="shared" si="3"/>
        <v>1053.5999999999999</v>
      </c>
      <c r="H37" s="2">
        <f t="shared" si="3"/>
        <v>893</v>
      </c>
      <c r="I37" s="48">
        <f t="shared" si="2"/>
        <v>17.984322508398655</v>
      </c>
    </row>
    <row r="38" spans="1:9" x14ac:dyDescent="0.25">
      <c r="A38" s="35">
        <f t="shared" si="1"/>
        <v>39093</v>
      </c>
      <c r="B38" s="84" t="s">
        <v>8</v>
      </c>
      <c r="C38">
        <v>374.2</v>
      </c>
      <c r="D38">
        <v>230.2</v>
      </c>
      <c r="E38">
        <v>787.8</v>
      </c>
      <c r="F38">
        <v>667.7</v>
      </c>
      <c r="G38" s="14">
        <f t="shared" si="3"/>
        <v>1162</v>
      </c>
      <c r="H38" s="2">
        <f t="shared" si="3"/>
        <v>897.90000000000009</v>
      </c>
      <c r="I38" s="48">
        <f t="shared" si="2"/>
        <v>29.413074952667316</v>
      </c>
    </row>
    <row r="39" spans="1:9" x14ac:dyDescent="0.25">
      <c r="A39" s="35">
        <f t="shared" si="1"/>
        <v>39100</v>
      </c>
      <c r="B39" s="84" t="s">
        <v>8</v>
      </c>
      <c r="C39">
        <v>357.7</v>
      </c>
      <c r="D39">
        <v>180.5</v>
      </c>
      <c r="E39">
        <v>816.3</v>
      </c>
      <c r="F39">
        <v>737</v>
      </c>
      <c r="G39" s="14">
        <f t="shared" si="3"/>
        <v>1174</v>
      </c>
      <c r="H39" s="2">
        <f t="shared" si="3"/>
        <v>917.5</v>
      </c>
      <c r="I39" s="48">
        <f t="shared" si="2"/>
        <v>27.95640326975477</v>
      </c>
    </row>
    <row r="40" spans="1:9" x14ac:dyDescent="0.25">
      <c r="A40" s="35">
        <f t="shared" si="1"/>
        <v>39107</v>
      </c>
      <c r="B40" s="84" t="s">
        <v>8</v>
      </c>
      <c r="C40">
        <v>333.9</v>
      </c>
      <c r="D40">
        <v>282.60000000000002</v>
      </c>
      <c r="E40">
        <v>873</v>
      </c>
      <c r="F40">
        <v>770.3</v>
      </c>
      <c r="G40" s="14">
        <f t="shared" ref="G40:H42" si="4">+C40+E40</f>
        <v>1206.9000000000001</v>
      </c>
      <c r="H40" s="2">
        <f t="shared" si="4"/>
        <v>1052.9000000000001</v>
      </c>
      <c r="I40" s="48">
        <f t="shared" ref="I40:I45" si="5">+(G40/H40-1)*100</f>
        <v>14.62627030107322</v>
      </c>
    </row>
    <row r="41" spans="1:9" x14ac:dyDescent="0.25">
      <c r="A41" s="35">
        <f t="shared" si="1"/>
        <v>39114</v>
      </c>
      <c r="B41" s="84" t="s">
        <v>8</v>
      </c>
      <c r="C41">
        <v>357.4</v>
      </c>
      <c r="D41">
        <v>329.7</v>
      </c>
      <c r="E41">
        <v>896.4</v>
      </c>
      <c r="F41">
        <v>780.3</v>
      </c>
      <c r="G41" s="14">
        <f t="shared" si="4"/>
        <v>1253.8</v>
      </c>
      <c r="H41" s="2">
        <f t="shared" si="4"/>
        <v>1110</v>
      </c>
      <c r="I41" s="48">
        <f t="shared" si="5"/>
        <v>12.954954954954957</v>
      </c>
    </row>
    <row r="42" spans="1:9" x14ac:dyDescent="0.25">
      <c r="A42" s="35">
        <f t="shared" si="1"/>
        <v>39121</v>
      </c>
      <c r="B42" s="84" t="s">
        <v>8</v>
      </c>
      <c r="C42">
        <v>340.1</v>
      </c>
      <c r="D42">
        <v>266.89999999999998</v>
      </c>
      <c r="E42">
        <v>947.9</v>
      </c>
      <c r="F42">
        <v>940.4</v>
      </c>
      <c r="G42" s="14">
        <f t="shared" si="4"/>
        <v>1288</v>
      </c>
      <c r="H42" s="2">
        <f t="shared" si="4"/>
        <v>1207.3</v>
      </c>
      <c r="I42" s="48">
        <f t="shared" si="5"/>
        <v>6.6843369502195049</v>
      </c>
    </row>
    <row r="43" spans="1:9" x14ac:dyDescent="0.25">
      <c r="A43" s="35">
        <f t="shared" si="1"/>
        <v>39128</v>
      </c>
      <c r="B43" s="84" t="s">
        <v>8</v>
      </c>
      <c r="C43">
        <v>280.89999999999998</v>
      </c>
      <c r="D43">
        <v>282.5</v>
      </c>
      <c r="E43">
        <v>1042.0999999999999</v>
      </c>
      <c r="F43">
        <v>953.5</v>
      </c>
      <c r="G43" s="14">
        <f t="shared" ref="G43:H45" si="6">+C43+E43</f>
        <v>1323</v>
      </c>
      <c r="H43" s="2">
        <f t="shared" si="6"/>
        <v>1236</v>
      </c>
      <c r="I43" s="48">
        <f t="shared" si="5"/>
        <v>7.0388349514563187</v>
      </c>
    </row>
    <row r="44" spans="1:9" x14ac:dyDescent="0.25">
      <c r="A44" s="35">
        <f t="shared" si="1"/>
        <v>39135</v>
      </c>
      <c r="B44" s="84" t="s">
        <v>8</v>
      </c>
      <c r="C44">
        <v>271.7</v>
      </c>
      <c r="D44">
        <v>259</v>
      </c>
      <c r="E44">
        <v>1058.7</v>
      </c>
      <c r="F44">
        <v>1020.5</v>
      </c>
      <c r="G44" s="14">
        <f t="shared" si="6"/>
        <v>1330.4</v>
      </c>
      <c r="H44" s="2">
        <f t="shared" si="6"/>
        <v>1279.5</v>
      </c>
      <c r="I44" s="48">
        <f t="shared" si="5"/>
        <v>3.9781164517389778</v>
      </c>
    </row>
    <row r="45" spans="1:9" x14ac:dyDescent="0.25">
      <c r="A45" s="35">
        <f t="shared" si="1"/>
        <v>39142</v>
      </c>
      <c r="B45" s="84" t="s">
        <v>8</v>
      </c>
      <c r="C45">
        <v>260.8</v>
      </c>
      <c r="D45">
        <v>282.5</v>
      </c>
      <c r="E45">
        <v>1104.8</v>
      </c>
      <c r="F45">
        <v>1033.3</v>
      </c>
      <c r="G45" s="14">
        <f t="shared" si="6"/>
        <v>1365.6</v>
      </c>
      <c r="H45" s="2">
        <f t="shared" si="6"/>
        <v>1315.8</v>
      </c>
      <c r="I45" s="48">
        <f t="shared" si="5"/>
        <v>3.7847697218422294</v>
      </c>
    </row>
    <row r="46" spans="1:9" x14ac:dyDescent="0.25">
      <c r="A46" s="35">
        <f t="shared" si="1"/>
        <v>39149</v>
      </c>
      <c r="B46" s="84" t="s">
        <v>8</v>
      </c>
      <c r="C46">
        <v>213.3</v>
      </c>
      <c r="D46">
        <v>153.6</v>
      </c>
      <c r="E46">
        <v>1145.3</v>
      </c>
      <c r="F46">
        <v>1106.5</v>
      </c>
      <c r="G46" s="14">
        <f t="shared" ref="G46:H48" si="7">+C46+E46</f>
        <v>1358.6</v>
      </c>
      <c r="H46" s="2">
        <f t="shared" si="7"/>
        <v>1260.0999999999999</v>
      </c>
      <c r="I46" s="48">
        <f t="shared" ref="I46:I51" si="8">+(G46/H46-1)*100</f>
        <v>7.8168399333386152</v>
      </c>
    </row>
    <row r="47" spans="1:9" x14ac:dyDescent="0.25">
      <c r="A47" s="35">
        <f t="shared" si="1"/>
        <v>39156</v>
      </c>
      <c r="B47" s="84" t="s">
        <v>8</v>
      </c>
      <c r="C47">
        <v>210.1</v>
      </c>
      <c r="D47">
        <v>128.6</v>
      </c>
      <c r="E47">
        <v>1163.0999999999999</v>
      </c>
      <c r="F47">
        <v>1133.4000000000001</v>
      </c>
      <c r="G47" s="14">
        <f t="shared" si="7"/>
        <v>1373.1999999999998</v>
      </c>
      <c r="H47" s="2">
        <f t="shared" si="7"/>
        <v>1262</v>
      </c>
      <c r="I47" s="48">
        <f t="shared" si="8"/>
        <v>8.8114104595879326</v>
      </c>
    </row>
    <row r="48" spans="1:9" x14ac:dyDescent="0.25">
      <c r="A48" s="35">
        <f t="shared" si="1"/>
        <v>39163</v>
      </c>
      <c r="B48" s="84" t="s">
        <v>8</v>
      </c>
      <c r="C48">
        <v>181.8</v>
      </c>
      <c r="D48">
        <v>104.5</v>
      </c>
      <c r="E48">
        <v>1202.0999999999999</v>
      </c>
      <c r="F48">
        <v>1166.2</v>
      </c>
      <c r="G48" s="14">
        <f t="shared" si="7"/>
        <v>1383.8999999999999</v>
      </c>
      <c r="H48" s="2">
        <f t="shared" si="7"/>
        <v>1270.7</v>
      </c>
      <c r="I48" s="48">
        <f t="shared" si="8"/>
        <v>8.9084756433461809</v>
      </c>
    </row>
    <row r="49" spans="1:10" x14ac:dyDescent="0.25">
      <c r="A49" s="35">
        <f t="shared" si="1"/>
        <v>39170</v>
      </c>
      <c r="B49" s="84" t="s">
        <v>8</v>
      </c>
      <c r="C49">
        <v>152.80000000000001</v>
      </c>
      <c r="D49">
        <v>113.8</v>
      </c>
      <c r="E49">
        <v>1244.2</v>
      </c>
      <c r="F49">
        <v>1186.5999999999999</v>
      </c>
      <c r="G49" s="14">
        <f t="shared" ref="G49:H51" si="9">+C49+E49</f>
        <v>1397</v>
      </c>
      <c r="H49" s="2">
        <f t="shared" si="9"/>
        <v>1300.3999999999999</v>
      </c>
      <c r="I49" s="48">
        <f t="shared" si="8"/>
        <v>7.4284835435250773</v>
      </c>
    </row>
    <row r="50" spans="1:10" x14ac:dyDescent="0.25">
      <c r="A50" s="35">
        <f t="shared" si="1"/>
        <v>39177</v>
      </c>
      <c r="B50" s="84" t="s">
        <v>8</v>
      </c>
      <c r="C50">
        <v>141.80000000000001</v>
      </c>
      <c r="D50">
        <v>99.5</v>
      </c>
      <c r="E50">
        <v>1262.9000000000001</v>
      </c>
      <c r="F50">
        <v>1203.9000000000001</v>
      </c>
      <c r="G50" s="14">
        <f t="shared" si="9"/>
        <v>1404.7</v>
      </c>
      <c r="H50" s="2">
        <f t="shared" si="9"/>
        <v>1303.4000000000001</v>
      </c>
      <c r="I50" s="48">
        <f t="shared" si="8"/>
        <v>7.7719809728402645</v>
      </c>
    </row>
    <row r="51" spans="1:10" x14ac:dyDescent="0.25">
      <c r="A51" s="35">
        <f t="shared" si="1"/>
        <v>39184</v>
      </c>
      <c r="B51" s="84" t="s">
        <v>8</v>
      </c>
      <c r="C51">
        <v>163.6</v>
      </c>
      <c r="D51">
        <v>113.4</v>
      </c>
      <c r="E51">
        <v>1296</v>
      </c>
      <c r="F51">
        <v>1214.5999999999999</v>
      </c>
      <c r="G51" s="14">
        <f t="shared" si="9"/>
        <v>1459.6</v>
      </c>
      <c r="H51" s="2">
        <f t="shared" si="9"/>
        <v>1328</v>
      </c>
      <c r="I51" s="48">
        <f t="shared" si="8"/>
        <v>9.9096385542168708</v>
      </c>
    </row>
    <row r="52" spans="1:10" x14ac:dyDescent="0.25">
      <c r="A52" s="35">
        <f t="shared" si="1"/>
        <v>39191</v>
      </c>
      <c r="B52" s="84" t="s">
        <v>8</v>
      </c>
      <c r="C52">
        <v>134</v>
      </c>
      <c r="D52">
        <v>130</v>
      </c>
      <c r="E52">
        <v>1350.9</v>
      </c>
      <c r="F52">
        <v>1229.0999999999999</v>
      </c>
      <c r="G52" s="14">
        <f t="shared" ref="G52:H54" si="10">+C52+E52</f>
        <v>1484.9</v>
      </c>
      <c r="H52" s="2">
        <f t="shared" si="10"/>
        <v>1359.1</v>
      </c>
      <c r="I52" s="48">
        <f t="shared" ref="I52:I57" si="11">+(G52/H52-1)*100</f>
        <v>9.2561253770877983</v>
      </c>
    </row>
    <row r="53" spans="1:10" x14ac:dyDescent="0.25">
      <c r="A53" s="35">
        <f t="shared" si="1"/>
        <v>39198</v>
      </c>
      <c r="B53" s="84" t="s">
        <v>8</v>
      </c>
      <c r="C53">
        <v>142.80000000000001</v>
      </c>
      <c r="D53">
        <v>112.5</v>
      </c>
      <c r="E53">
        <v>1375.9</v>
      </c>
      <c r="F53">
        <v>1260.8</v>
      </c>
      <c r="G53" s="14">
        <f t="shared" si="10"/>
        <v>1518.7</v>
      </c>
      <c r="H53" s="2">
        <f t="shared" si="10"/>
        <v>1373.3</v>
      </c>
      <c r="I53" s="48">
        <f t="shared" si="11"/>
        <v>10.587635622223846</v>
      </c>
    </row>
    <row r="54" spans="1:10" x14ac:dyDescent="0.25">
      <c r="A54" s="35">
        <f t="shared" si="1"/>
        <v>39205</v>
      </c>
      <c r="B54" s="84" t="s">
        <v>8</v>
      </c>
      <c r="C54">
        <v>160.1</v>
      </c>
      <c r="D54">
        <v>102.6</v>
      </c>
      <c r="E54">
        <v>1406</v>
      </c>
      <c r="F54">
        <v>1270.9000000000001</v>
      </c>
      <c r="G54" s="14">
        <f t="shared" si="10"/>
        <v>1566.1</v>
      </c>
      <c r="H54" s="2">
        <f t="shared" si="10"/>
        <v>1373.5</v>
      </c>
      <c r="I54" s="48">
        <f t="shared" si="11"/>
        <v>14.022570076447028</v>
      </c>
      <c r="J54">
        <v>0</v>
      </c>
    </row>
    <row r="55" spans="1:10" x14ac:dyDescent="0.25">
      <c r="A55" s="35">
        <f t="shared" si="1"/>
        <v>39212</v>
      </c>
      <c r="B55" s="84" t="s">
        <v>8</v>
      </c>
      <c r="C55">
        <v>176.1</v>
      </c>
      <c r="D55">
        <v>84.2</v>
      </c>
      <c r="E55">
        <v>1432.3</v>
      </c>
      <c r="F55">
        <v>1293.0999999999999</v>
      </c>
      <c r="G55" s="14">
        <f t="shared" ref="G55:H57" si="12">+C55+E55</f>
        <v>1608.3999999999999</v>
      </c>
      <c r="H55" s="2">
        <f t="shared" si="12"/>
        <v>1377.3</v>
      </c>
      <c r="I55" s="48">
        <f t="shared" si="11"/>
        <v>16.779205692296518</v>
      </c>
    </row>
    <row r="56" spans="1:10" x14ac:dyDescent="0.25">
      <c r="A56" s="35">
        <f t="shared" si="1"/>
        <v>39219</v>
      </c>
      <c r="B56" s="84" t="s">
        <v>8</v>
      </c>
      <c r="C56">
        <v>183.6</v>
      </c>
      <c r="D56">
        <v>79.3</v>
      </c>
      <c r="E56">
        <v>1453.5</v>
      </c>
      <c r="F56">
        <v>1307.5999999999999</v>
      </c>
      <c r="G56" s="14">
        <f t="shared" si="12"/>
        <v>1637.1</v>
      </c>
      <c r="H56" s="2">
        <f t="shared" si="12"/>
        <v>1386.8999999999999</v>
      </c>
      <c r="I56" s="48">
        <f t="shared" si="11"/>
        <v>18.040233614536017</v>
      </c>
    </row>
    <row r="57" spans="1:10" x14ac:dyDescent="0.25">
      <c r="A57" s="35">
        <f t="shared" si="1"/>
        <v>39226</v>
      </c>
      <c r="B57" s="84" t="s">
        <v>8</v>
      </c>
      <c r="C57">
        <v>173.5</v>
      </c>
      <c r="D57">
        <v>154.5</v>
      </c>
      <c r="E57">
        <v>1484.7</v>
      </c>
      <c r="F57">
        <v>1316.9</v>
      </c>
      <c r="G57" s="14">
        <f t="shared" si="12"/>
        <v>1658.2</v>
      </c>
      <c r="H57" s="2">
        <f t="shared" si="12"/>
        <v>1471.4</v>
      </c>
      <c r="I57" s="48">
        <f t="shared" si="11"/>
        <v>12.695392143536765</v>
      </c>
      <c r="J57">
        <v>0</v>
      </c>
    </row>
    <row r="58" spans="1:10" x14ac:dyDescent="0.25">
      <c r="A58" s="35">
        <f t="shared" si="1"/>
        <v>39233</v>
      </c>
      <c r="B58" s="84" t="s">
        <v>8</v>
      </c>
      <c r="C58">
        <v>167.8</v>
      </c>
      <c r="D58">
        <v>126.3</v>
      </c>
      <c r="E58">
        <v>1507.6</v>
      </c>
      <c r="F58">
        <v>1352</v>
      </c>
      <c r="G58" s="14">
        <f t="shared" ref="G58:H60" si="13">+C58+E58</f>
        <v>1675.3999999999999</v>
      </c>
      <c r="H58" s="2">
        <f t="shared" si="13"/>
        <v>1478.3</v>
      </c>
      <c r="I58" s="48">
        <f t="shared" ref="I58:I63" si="14">+(G58/H58-1)*100</f>
        <v>13.332882364878573</v>
      </c>
    </row>
    <row r="59" spans="1:10" x14ac:dyDescent="0.25">
      <c r="A59" s="35">
        <f t="shared" si="1"/>
        <v>39240</v>
      </c>
      <c r="B59" s="84" t="s">
        <v>8</v>
      </c>
      <c r="C59">
        <v>189.2</v>
      </c>
      <c r="D59">
        <v>175</v>
      </c>
      <c r="E59">
        <v>1539</v>
      </c>
      <c r="F59">
        <v>1369.3</v>
      </c>
      <c r="G59" s="14">
        <f t="shared" si="13"/>
        <v>1728.2</v>
      </c>
      <c r="H59" s="2">
        <f t="shared" si="13"/>
        <v>1544.3</v>
      </c>
      <c r="I59" s="48">
        <f t="shared" si="14"/>
        <v>11.90830797124911</v>
      </c>
    </row>
    <row r="60" spans="1:10" x14ac:dyDescent="0.25">
      <c r="A60" s="35">
        <f t="shared" si="1"/>
        <v>39247</v>
      </c>
      <c r="B60" s="84" t="s">
        <v>8</v>
      </c>
      <c r="C60">
        <v>202.7</v>
      </c>
      <c r="D60">
        <v>205.5</v>
      </c>
      <c r="E60">
        <v>1561.9</v>
      </c>
      <c r="F60">
        <v>1376.8</v>
      </c>
      <c r="G60" s="14">
        <f t="shared" si="13"/>
        <v>1764.6000000000001</v>
      </c>
      <c r="H60" s="2">
        <f t="shared" si="13"/>
        <v>1582.3</v>
      </c>
      <c r="I60" s="48">
        <f t="shared" si="14"/>
        <v>11.521203311634975</v>
      </c>
    </row>
    <row r="61" spans="1:10" x14ac:dyDescent="0.25">
      <c r="A61" s="35">
        <f t="shared" si="1"/>
        <v>39254</v>
      </c>
      <c r="B61" s="84" t="s">
        <v>8</v>
      </c>
      <c r="C61">
        <v>235.7</v>
      </c>
      <c r="D61">
        <v>200.1</v>
      </c>
      <c r="E61">
        <v>1585.1</v>
      </c>
      <c r="F61">
        <v>1461.5</v>
      </c>
      <c r="G61" s="14">
        <f t="shared" ref="G61:H63" si="15">+C61+E61</f>
        <v>1820.8</v>
      </c>
      <c r="H61" s="2">
        <f t="shared" si="15"/>
        <v>1661.6</v>
      </c>
      <c r="I61" s="48">
        <f t="shared" si="14"/>
        <v>9.5811266249398166</v>
      </c>
    </row>
    <row r="62" spans="1:10" x14ac:dyDescent="0.25">
      <c r="A62" s="35">
        <f t="shared" si="1"/>
        <v>39261</v>
      </c>
      <c r="B62" s="84" t="s">
        <v>8</v>
      </c>
      <c r="C62">
        <v>240.2</v>
      </c>
      <c r="D62">
        <v>157.69999999999999</v>
      </c>
      <c r="E62">
        <v>1614.2</v>
      </c>
      <c r="F62">
        <v>1528.5</v>
      </c>
      <c r="G62" s="14">
        <f t="shared" si="15"/>
        <v>1854.4</v>
      </c>
      <c r="H62" s="2">
        <f t="shared" si="15"/>
        <v>1686.2</v>
      </c>
      <c r="I62" s="48">
        <f t="shared" si="14"/>
        <v>9.9750919226663459</v>
      </c>
      <c r="J62">
        <v>4</v>
      </c>
    </row>
    <row r="63" spans="1:10" x14ac:dyDescent="0.25">
      <c r="A63" s="35">
        <f t="shared" si="1"/>
        <v>39268</v>
      </c>
      <c r="B63" s="84" t="s">
        <v>8</v>
      </c>
      <c r="C63">
        <v>235.9</v>
      </c>
      <c r="D63">
        <v>238.3</v>
      </c>
      <c r="E63">
        <v>1635.6</v>
      </c>
      <c r="F63">
        <v>1540.2</v>
      </c>
      <c r="G63" s="14">
        <f t="shared" si="15"/>
        <v>1871.5</v>
      </c>
      <c r="H63" s="2">
        <f t="shared" si="15"/>
        <v>1778.5</v>
      </c>
      <c r="I63" s="48">
        <f t="shared" si="14"/>
        <v>5.2291256676974873</v>
      </c>
      <c r="J63">
        <v>6</v>
      </c>
    </row>
    <row r="64" spans="1:10" x14ac:dyDescent="0.25">
      <c r="A64" s="35">
        <f t="shared" si="1"/>
        <v>39275</v>
      </c>
      <c r="B64" s="84" t="s">
        <v>8</v>
      </c>
      <c r="C64">
        <v>223.8</v>
      </c>
      <c r="D64">
        <v>234.8</v>
      </c>
      <c r="E64">
        <v>1678.8</v>
      </c>
      <c r="F64">
        <v>1552.7</v>
      </c>
      <c r="G64" s="14">
        <f t="shared" ref="G64:H66" si="16">+C64+E64</f>
        <v>1902.6</v>
      </c>
      <c r="H64" s="2">
        <f t="shared" si="16"/>
        <v>1787.5</v>
      </c>
      <c r="I64" s="48">
        <f t="shared" ref="I64:I69" si="17">+(G64/H64-1)*100</f>
        <v>6.439160839160829</v>
      </c>
      <c r="J64">
        <v>15</v>
      </c>
    </row>
    <row r="65" spans="1:10" x14ac:dyDescent="0.25">
      <c r="A65" s="35">
        <f t="shared" si="1"/>
        <v>39282</v>
      </c>
      <c r="B65" s="84" t="s">
        <v>8</v>
      </c>
      <c r="C65">
        <v>244.9</v>
      </c>
      <c r="D65">
        <v>275.5</v>
      </c>
      <c r="E65">
        <v>1723</v>
      </c>
      <c r="F65">
        <v>1564.1</v>
      </c>
      <c r="G65" s="14">
        <f t="shared" si="16"/>
        <v>1967.9</v>
      </c>
      <c r="H65" s="2">
        <f t="shared" si="16"/>
        <v>1839.6</v>
      </c>
      <c r="I65" s="48">
        <f t="shared" si="17"/>
        <v>6.9743422483148576</v>
      </c>
      <c r="J65">
        <v>17</v>
      </c>
    </row>
    <row r="66" spans="1:10" x14ac:dyDescent="0.25">
      <c r="A66" s="35">
        <f t="shared" si="1"/>
        <v>39289</v>
      </c>
      <c r="B66" s="84" t="s">
        <v>8</v>
      </c>
      <c r="C66">
        <v>241.4</v>
      </c>
      <c r="D66">
        <v>304.39999999999998</v>
      </c>
      <c r="E66">
        <v>1750.9</v>
      </c>
      <c r="F66">
        <v>1579.1</v>
      </c>
      <c r="G66" s="14">
        <f t="shared" si="16"/>
        <v>1992.3000000000002</v>
      </c>
      <c r="H66" s="2">
        <f t="shared" si="16"/>
        <v>1883.5</v>
      </c>
      <c r="I66" s="48">
        <f t="shared" si="17"/>
        <v>5.7764799575258818</v>
      </c>
      <c r="J66">
        <v>24</v>
      </c>
    </row>
    <row r="67" spans="1:10" x14ac:dyDescent="0.25">
      <c r="A67" s="35">
        <f t="shared" si="1"/>
        <v>39296</v>
      </c>
      <c r="B67" s="84" t="s">
        <v>8</v>
      </c>
      <c r="C67">
        <v>229.6</v>
      </c>
      <c r="D67">
        <v>297.10000000000002</v>
      </c>
      <c r="E67">
        <v>1776.9</v>
      </c>
      <c r="F67">
        <v>1677.4</v>
      </c>
      <c r="G67" s="14">
        <f t="shared" ref="G67:H69" si="18">+C67+E67</f>
        <v>2006.5</v>
      </c>
      <c r="H67" s="2">
        <f t="shared" si="18"/>
        <v>1974.5</v>
      </c>
      <c r="I67" s="48">
        <f t="shared" si="17"/>
        <v>1.6206634591035662</v>
      </c>
      <c r="J67">
        <v>30</v>
      </c>
    </row>
    <row r="68" spans="1:10" x14ac:dyDescent="0.25">
      <c r="A68" s="35">
        <f t="shared" si="1"/>
        <v>39303</v>
      </c>
      <c r="B68" s="84" t="s">
        <v>8</v>
      </c>
      <c r="C68">
        <v>189.2</v>
      </c>
      <c r="D68">
        <v>291.7</v>
      </c>
      <c r="E68">
        <v>1842.6</v>
      </c>
      <c r="F68">
        <v>1741.8</v>
      </c>
      <c r="G68" s="14">
        <f t="shared" si="18"/>
        <v>2031.8</v>
      </c>
      <c r="H68" s="2">
        <f t="shared" si="18"/>
        <v>2033.5</v>
      </c>
      <c r="I68" s="48">
        <f t="shared" si="17"/>
        <v>-8.3599704942216579E-2</v>
      </c>
      <c r="J68">
        <v>35</v>
      </c>
    </row>
    <row r="69" spans="1:10" x14ac:dyDescent="0.25">
      <c r="A69" s="35">
        <f t="shared" si="1"/>
        <v>39310</v>
      </c>
      <c r="B69" s="84" t="s">
        <v>8</v>
      </c>
      <c r="C69">
        <v>178.2</v>
      </c>
      <c r="D69">
        <v>284.8</v>
      </c>
      <c r="E69">
        <v>1875.1</v>
      </c>
      <c r="F69">
        <v>1755.6</v>
      </c>
      <c r="G69" s="14">
        <f t="shared" si="18"/>
        <v>2053.2999999999997</v>
      </c>
      <c r="H69" s="2">
        <f t="shared" si="18"/>
        <v>2040.3999999999999</v>
      </c>
      <c r="I69" s="48">
        <f t="shared" si="17"/>
        <v>0.63222897471082451</v>
      </c>
      <c r="J69">
        <v>50</v>
      </c>
    </row>
    <row r="70" spans="1:10" x14ac:dyDescent="0.25">
      <c r="A70" s="35">
        <f t="shared" si="1"/>
        <v>39317</v>
      </c>
      <c r="B70" s="84" t="s">
        <v>8</v>
      </c>
      <c r="C70">
        <v>188.3</v>
      </c>
      <c r="D70">
        <v>148.1</v>
      </c>
      <c r="E70">
        <v>1892.2</v>
      </c>
      <c r="F70">
        <v>1835.8</v>
      </c>
      <c r="G70" s="14">
        <f t="shared" ref="G70:H72" si="19">+C70+E70</f>
        <v>2080.5</v>
      </c>
      <c r="H70" s="2">
        <f t="shared" si="19"/>
        <v>1983.8999999999999</v>
      </c>
      <c r="I70" s="48">
        <f t="shared" ref="I70:I75" si="20">+(G70/H70-1)*100</f>
        <v>4.8691970361409487</v>
      </c>
      <c r="J70">
        <v>54</v>
      </c>
    </row>
    <row r="71" spans="1:10" x14ac:dyDescent="0.25">
      <c r="A71" s="35">
        <f t="shared" si="1"/>
        <v>39324</v>
      </c>
      <c r="B71" s="84" t="s">
        <v>8</v>
      </c>
      <c r="C71">
        <v>157.80000000000001</v>
      </c>
      <c r="D71">
        <v>141.80000000000001</v>
      </c>
      <c r="E71">
        <v>1932.1</v>
      </c>
      <c r="F71">
        <v>1850.3</v>
      </c>
      <c r="G71" s="14">
        <f t="shared" si="19"/>
        <v>2089.9</v>
      </c>
      <c r="H71" s="2">
        <f t="shared" si="19"/>
        <v>1992.1</v>
      </c>
      <c r="I71" s="48">
        <f t="shared" si="20"/>
        <v>4.9093920987902218</v>
      </c>
      <c r="J71">
        <v>71.5</v>
      </c>
    </row>
    <row r="72" spans="1:10" x14ac:dyDescent="0.25">
      <c r="A72" s="64">
        <f t="shared" si="1"/>
        <v>39331</v>
      </c>
      <c r="B72" s="84" t="s">
        <v>8</v>
      </c>
      <c r="C72">
        <v>197.7</v>
      </c>
      <c r="D72">
        <v>369.4</v>
      </c>
      <c r="E72">
        <v>32.9</v>
      </c>
      <c r="F72">
        <v>11.8</v>
      </c>
      <c r="G72" s="14">
        <f t="shared" si="19"/>
        <v>230.6</v>
      </c>
      <c r="H72" s="2">
        <f t="shared" si="19"/>
        <v>381.2</v>
      </c>
      <c r="I72" s="48">
        <f t="shared" si="20"/>
        <v>-39.506820566631681</v>
      </c>
    </row>
    <row r="73" spans="1:10" x14ac:dyDescent="0.25">
      <c r="A73" s="35">
        <f t="shared" si="1"/>
        <v>39338</v>
      </c>
      <c r="B73" s="84" t="s">
        <v>8</v>
      </c>
      <c r="C73">
        <v>207.7</v>
      </c>
      <c r="D73">
        <v>367.2</v>
      </c>
      <c r="E73">
        <v>53.7</v>
      </c>
      <c r="F73">
        <v>31.9</v>
      </c>
      <c r="G73" s="14">
        <f t="shared" ref="G73:H75" si="21">+C73+E73</f>
        <v>261.39999999999998</v>
      </c>
      <c r="H73" s="2">
        <f t="shared" si="21"/>
        <v>399.09999999999997</v>
      </c>
      <c r="I73" s="48">
        <f t="shared" si="20"/>
        <v>-34.502630919569036</v>
      </c>
    </row>
    <row r="74" spans="1:10" x14ac:dyDescent="0.25">
      <c r="A74" s="35">
        <f t="shared" si="1"/>
        <v>39345</v>
      </c>
      <c r="B74" s="84" t="s">
        <v>8</v>
      </c>
      <c r="C74">
        <v>227.8</v>
      </c>
      <c r="D74">
        <v>412.1</v>
      </c>
      <c r="E74">
        <v>89.1</v>
      </c>
      <c r="F74">
        <v>64.599999999999994</v>
      </c>
      <c r="G74" s="14">
        <f t="shared" si="21"/>
        <v>316.89999999999998</v>
      </c>
      <c r="H74" s="2">
        <f t="shared" si="21"/>
        <v>476.70000000000005</v>
      </c>
      <c r="I74" s="48">
        <f t="shared" si="20"/>
        <v>-33.52213131948816</v>
      </c>
    </row>
    <row r="75" spans="1:10" x14ac:dyDescent="0.25">
      <c r="A75" s="35">
        <f t="shared" si="1"/>
        <v>39352</v>
      </c>
      <c r="B75" s="84" t="s">
        <v>8</v>
      </c>
      <c r="C75">
        <v>212.3</v>
      </c>
      <c r="D75">
        <v>425.4</v>
      </c>
      <c r="E75">
        <v>118.4</v>
      </c>
      <c r="F75">
        <v>96.4</v>
      </c>
      <c r="G75" s="14">
        <f t="shared" si="21"/>
        <v>330.70000000000005</v>
      </c>
      <c r="H75" s="2">
        <f t="shared" si="21"/>
        <v>521.79999999999995</v>
      </c>
      <c r="I75" s="48">
        <f t="shared" si="20"/>
        <v>-36.623227290149472</v>
      </c>
    </row>
    <row r="76" spans="1:10" x14ac:dyDescent="0.25">
      <c r="A76" s="35">
        <f t="shared" si="1"/>
        <v>39359</v>
      </c>
      <c r="B76" s="84" t="s">
        <v>8</v>
      </c>
      <c r="C76">
        <v>219.6</v>
      </c>
      <c r="D76">
        <v>385.6</v>
      </c>
      <c r="E76">
        <v>156.69999999999999</v>
      </c>
      <c r="F76">
        <v>180.8</v>
      </c>
      <c r="G76" s="14">
        <f t="shared" ref="G76:H78" si="22">+C76+E76</f>
        <v>376.29999999999995</v>
      </c>
      <c r="H76" s="2">
        <f t="shared" si="22"/>
        <v>566.40000000000009</v>
      </c>
      <c r="I76" s="48">
        <f t="shared" ref="I76:I81" si="23">+(G76/H76-1)*100</f>
        <v>-33.562853107344651</v>
      </c>
    </row>
    <row r="77" spans="1:10" x14ac:dyDescent="0.25">
      <c r="A77" s="35">
        <f t="shared" si="1"/>
        <v>39366</v>
      </c>
      <c r="B77" s="84" t="s">
        <v>8</v>
      </c>
      <c r="C77">
        <v>214.7</v>
      </c>
      <c r="D77">
        <v>350.7</v>
      </c>
      <c r="E77">
        <v>186.7</v>
      </c>
      <c r="F77">
        <v>218.2</v>
      </c>
      <c r="G77" s="14">
        <f t="shared" si="22"/>
        <v>401.4</v>
      </c>
      <c r="H77" s="2">
        <f t="shared" si="22"/>
        <v>568.9</v>
      </c>
      <c r="I77" s="48">
        <f t="shared" si="23"/>
        <v>-29.442784320618742</v>
      </c>
    </row>
    <row r="78" spans="1:10" x14ac:dyDescent="0.25">
      <c r="A78" s="35">
        <f t="shared" si="1"/>
        <v>39373</v>
      </c>
      <c r="B78" s="84" t="s">
        <v>8</v>
      </c>
      <c r="C78">
        <v>199.4</v>
      </c>
      <c r="D78">
        <v>374.5</v>
      </c>
      <c r="E78">
        <v>230.7</v>
      </c>
      <c r="F78">
        <v>256.8</v>
      </c>
      <c r="G78" s="14">
        <f t="shared" si="22"/>
        <v>430.1</v>
      </c>
      <c r="H78" s="2">
        <f t="shared" si="22"/>
        <v>631.29999999999995</v>
      </c>
      <c r="I78" s="48">
        <f t="shared" si="23"/>
        <v>-31.870742911452552</v>
      </c>
    </row>
    <row r="79" spans="1:10" x14ac:dyDescent="0.25">
      <c r="A79" s="35">
        <f t="shared" si="1"/>
        <v>39380</v>
      </c>
      <c r="B79" s="84" t="s">
        <v>8</v>
      </c>
      <c r="C79">
        <v>209.2</v>
      </c>
      <c r="D79">
        <v>343.1</v>
      </c>
      <c r="E79">
        <v>287.5</v>
      </c>
      <c r="F79">
        <v>336.9</v>
      </c>
      <c r="G79" s="14">
        <f t="shared" ref="G79:H81" si="24">+C79+E79</f>
        <v>496.7</v>
      </c>
      <c r="H79" s="2">
        <f t="shared" si="24"/>
        <v>680</v>
      </c>
      <c r="I79" s="48">
        <f t="shared" si="23"/>
        <v>-26.955882352941174</v>
      </c>
    </row>
    <row r="80" spans="1:10" x14ac:dyDescent="0.25">
      <c r="A80" s="35">
        <f t="shared" si="1"/>
        <v>39387</v>
      </c>
      <c r="B80" s="84" t="s">
        <v>8</v>
      </c>
      <c r="C80">
        <v>208.8</v>
      </c>
      <c r="D80">
        <v>409</v>
      </c>
      <c r="E80">
        <v>316.5</v>
      </c>
      <c r="F80">
        <v>350.2</v>
      </c>
      <c r="G80" s="14">
        <f t="shared" si="24"/>
        <v>525.29999999999995</v>
      </c>
      <c r="H80" s="2">
        <f t="shared" si="24"/>
        <v>759.2</v>
      </c>
      <c r="I80" s="48">
        <f t="shared" si="23"/>
        <v>-30.808746048472091</v>
      </c>
    </row>
    <row r="81" spans="1:9" x14ac:dyDescent="0.25">
      <c r="A81" s="35">
        <f t="shared" si="1"/>
        <v>39394</v>
      </c>
      <c r="B81" s="84" t="s">
        <v>8</v>
      </c>
      <c r="C81">
        <v>206.2</v>
      </c>
      <c r="D81">
        <v>431</v>
      </c>
      <c r="E81">
        <v>357.9</v>
      </c>
      <c r="F81">
        <v>373.5</v>
      </c>
      <c r="G81" s="14">
        <f t="shared" si="24"/>
        <v>564.09999999999991</v>
      </c>
      <c r="H81" s="2">
        <f t="shared" si="24"/>
        <v>804.5</v>
      </c>
      <c r="I81" s="48">
        <f t="shared" si="23"/>
        <v>-29.881914232442519</v>
      </c>
    </row>
    <row r="82" spans="1:9" x14ac:dyDescent="0.25">
      <c r="A82" s="35">
        <f t="shared" si="1"/>
        <v>39401</v>
      </c>
      <c r="B82" s="84" t="s">
        <v>8</v>
      </c>
      <c r="C82">
        <v>213.9</v>
      </c>
      <c r="D82">
        <v>395.7</v>
      </c>
      <c r="E82">
        <v>393.5</v>
      </c>
      <c r="F82">
        <v>452.4</v>
      </c>
      <c r="G82" s="14">
        <f t="shared" ref="G82:H84" si="25">+C82+E82</f>
        <v>607.4</v>
      </c>
      <c r="H82" s="2">
        <f t="shared" si="25"/>
        <v>848.09999999999991</v>
      </c>
      <c r="I82" s="48">
        <f t="shared" ref="I82:I87" si="26">+(G82/H82-1)*100</f>
        <v>-28.381087135950946</v>
      </c>
    </row>
    <row r="83" spans="1:9" x14ac:dyDescent="0.25">
      <c r="A83" s="35">
        <f t="shared" si="1"/>
        <v>39408</v>
      </c>
      <c r="B83" s="84" t="s">
        <v>8</v>
      </c>
      <c r="C83">
        <v>230.8</v>
      </c>
      <c r="D83">
        <v>408.6</v>
      </c>
      <c r="E83">
        <v>422.3</v>
      </c>
      <c r="F83">
        <v>470.1</v>
      </c>
      <c r="G83" s="14">
        <f t="shared" si="25"/>
        <v>653.1</v>
      </c>
      <c r="H83" s="2">
        <f t="shared" si="25"/>
        <v>878.7</v>
      </c>
      <c r="I83" s="48">
        <f t="shared" si="26"/>
        <v>-25.674291567087749</v>
      </c>
    </row>
    <row r="84" spans="1:9" x14ac:dyDescent="0.25">
      <c r="A84" s="35">
        <f t="shared" si="1"/>
        <v>39415</v>
      </c>
      <c r="B84" s="84" t="s">
        <v>8</v>
      </c>
      <c r="C84">
        <v>213.7</v>
      </c>
      <c r="D84">
        <v>381.2</v>
      </c>
      <c r="E84">
        <v>450.6</v>
      </c>
      <c r="F84">
        <v>491.9</v>
      </c>
      <c r="G84" s="14">
        <f t="shared" si="25"/>
        <v>664.3</v>
      </c>
      <c r="H84" s="2">
        <f t="shared" si="25"/>
        <v>873.09999999999991</v>
      </c>
      <c r="I84" s="48">
        <f t="shared" si="26"/>
        <v>-23.914786393311182</v>
      </c>
    </row>
    <row r="85" spans="1:9" x14ac:dyDescent="0.25">
      <c r="A85" s="35">
        <f t="shared" si="1"/>
        <v>39422</v>
      </c>
      <c r="B85" s="84" t="s">
        <v>8</v>
      </c>
      <c r="C85">
        <v>240</v>
      </c>
      <c r="D85">
        <v>369.2</v>
      </c>
      <c r="E85">
        <v>501.9</v>
      </c>
      <c r="F85">
        <v>522</v>
      </c>
      <c r="G85" s="14">
        <f t="shared" ref="G85:H87" si="27">+C85+E85</f>
        <v>741.9</v>
      </c>
      <c r="H85" s="2">
        <f t="shared" si="27"/>
        <v>891.2</v>
      </c>
      <c r="I85" s="48">
        <f t="shared" si="26"/>
        <v>-16.752692998204676</v>
      </c>
    </row>
    <row r="86" spans="1:9" x14ac:dyDescent="0.25">
      <c r="A86" s="35">
        <f t="shared" si="1"/>
        <v>39429</v>
      </c>
      <c r="B86" s="84" t="s">
        <v>8</v>
      </c>
      <c r="C86">
        <v>223.7</v>
      </c>
      <c r="D86">
        <v>365.6</v>
      </c>
      <c r="E86">
        <v>543.9</v>
      </c>
      <c r="F86">
        <v>625.5</v>
      </c>
      <c r="G86" s="14">
        <f t="shared" si="27"/>
        <v>767.59999999999991</v>
      </c>
      <c r="H86" s="2">
        <f t="shared" si="27"/>
        <v>991.1</v>
      </c>
      <c r="I86" s="48">
        <f t="shared" si="26"/>
        <v>-22.550701241045314</v>
      </c>
    </row>
    <row r="87" spans="1:9" x14ac:dyDescent="0.25">
      <c r="A87" s="35">
        <f t="shared" si="1"/>
        <v>39436</v>
      </c>
      <c r="B87" s="84" t="s">
        <v>8</v>
      </c>
      <c r="C87">
        <v>232</v>
      </c>
      <c r="D87">
        <v>368.2</v>
      </c>
      <c r="E87">
        <v>587.20000000000005</v>
      </c>
      <c r="F87">
        <v>645.79999999999995</v>
      </c>
      <c r="G87" s="14">
        <f t="shared" si="27"/>
        <v>819.2</v>
      </c>
      <c r="H87" s="2">
        <f t="shared" si="27"/>
        <v>1014</v>
      </c>
      <c r="I87" s="48">
        <f t="shared" si="26"/>
        <v>-19.211045364891511</v>
      </c>
    </row>
    <row r="88" spans="1:9" x14ac:dyDescent="0.25">
      <c r="A88" s="35">
        <f t="shared" si="1"/>
        <v>39443</v>
      </c>
      <c r="B88" s="84" t="s">
        <v>8</v>
      </c>
      <c r="C88">
        <v>218.7</v>
      </c>
      <c r="D88">
        <v>363.1</v>
      </c>
      <c r="E88">
        <v>608.1</v>
      </c>
      <c r="F88">
        <v>680</v>
      </c>
      <c r="G88" s="14">
        <f t="shared" ref="G88:H90" si="28">+C88+E88</f>
        <v>826.8</v>
      </c>
      <c r="H88" s="2">
        <f t="shared" si="28"/>
        <v>1043.0999999999999</v>
      </c>
      <c r="I88" s="48">
        <f t="shared" ref="I88:I93" si="29">+(G88/H88-1)*100</f>
        <v>-20.736266896750067</v>
      </c>
    </row>
    <row r="89" spans="1:9" x14ac:dyDescent="0.25">
      <c r="A89" s="35">
        <f t="shared" si="1"/>
        <v>39450</v>
      </c>
      <c r="B89" s="84" t="s">
        <v>8</v>
      </c>
      <c r="C89">
        <v>221.3</v>
      </c>
      <c r="D89">
        <v>349.9</v>
      </c>
      <c r="E89">
        <v>635.9</v>
      </c>
      <c r="F89">
        <v>703.7</v>
      </c>
      <c r="G89" s="14">
        <f t="shared" si="28"/>
        <v>857.2</v>
      </c>
      <c r="H89" s="2">
        <f t="shared" si="28"/>
        <v>1053.5999999999999</v>
      </c>
      <c r="I89" s="48">
        <f t="shared" si="29"/>
        <v>-18.640850417615784</v>
      </c>
    </row>
    <row r="90" spans="1:9" x14ac:dyDescent="0.25">
      <c r="A90" s="35">
        <f t="shared" si="1"/>
        <v>39457</v>
      </c>
      <c r="B90" s="84" t="s">
        <v>8</v>
      </c>
      <c r="C90">
        <v>242.3</v>
      </c>
      <c r="D90">
        <v>374.2</v>
      </c>
      <c r="E90">
        <v>670.8</v>
      </c>
      <c r="F90">
        <v>787.8</v>
      </c>
      <c r="G90" s="14">
        <f t="shared" si="28"/>
        <v>913.09999999999991</v>
      </c>
      <c r="H90" s="2">
        <f t="shared" si="28"/>
        <v>1162</v>
      </c>
      <c r="I90" s="48">
        <f t="shared" si="29"/>
        <v>-21.419965576592091</v>
      </c>
    </row>
    <row r="91" spans="1:9" x14ac:dyDescent="0.25">
      <c r="A91" s="35">
        <f t="shared" si="1"/>
        <v>39464</v>
      </c>
      <c r="B91" s="84" t="s">
        <v>8</v>
      </c>
      <c r="C91">
        <v>272.5</v>
      </c>
      <c r="D91">
        <v>357.7</v>
      </c>
      <c r="E91">
        <v>710.6</v>
      </c>
      <c r="F91">
        <v>816.3</v>
      </c>
      <c r="G91" s="14">
        <f t="shared" ref="G91:H93" si="30">+C91+E91</f>
        <v>983.1</v>
      </c>
      <c r="H91" s="2">
        <f t="shared" si="30"/>
        <v>1174</v>
      </c>
      <c r="I91" s="48">
        <f t="shared" si="29"/>
        <v>-16.26064735945485</v>
      </c>
    </row>
    <row r="92" spans="1:9" x14ac:dyDescent="0.25">
      <c r="A92" s="35">
        <f t="shared" si="1"/>
        <v>39471</v>
      </c>
      <c r="B92" s="84" t="s">
        <v>8</v>
      </c>
      <c r="C92">
        <v>271</v>
      </c>
      <c r="D92">
        <v>333.9</v>
      </c>
      <c r="E92">
        <v>742.8</v>
      </c>
      <c r="F92">
        <v>873</v>
      </c>
      <c r="G92" s="14">
        <f t="shared" si="30"/>
        <v>1013.8</v>
      </c>
      <c r="H92" s="2">
        <f t="shared" si="30"/>
        <v>1206.9000000000001</v>
      </c>
      <c r="I92" s="48">
        <f t="shared" si="29"/>
        <v>-15.999668572375514</v>
      </c>
    </row>
    <row r="93" spans="1:9" x14ac:dyDescent="0.25">
      <c r="A93" s="35">
        <f t="shared" si="1"/>
        <v>39478</v>
      </c>
      <c r="B93" s="84" t="s">
        <v>8</v>
      </c>
      <c r="C93">
        <v>260.10000000000002</v>
      </c>
      <c r="D93">
        <v>357.4</v>
      </c>
      <c r="E93">
        <v>795.6</v>
      </c>
      <c r="F93">
        <v>896.4</v>
      </c>
      <c r="G93" s="14">
        <f t="shared" si="30"/>
        <v>1055.7</v>
      </c>
      <c r="H93" s="2">
        <f t="shared" si="30"/>
        <v>1253.8</v>
      </c>
      <c r="I93" s="48">
        <f t="shared" si="29"/>
        <v>-15.799968096985161</v>
      </c>
    </row>
    <row r="94" spans="1:9" x14ac:dyDescent="0.25">
      <c r="A94" s="35">
        <f t="shared" si="1"/>
        <v>39485</v>
      </c>
      <c r="B94" s="84" t="s">
        <v>8</v>
      </c>
      <c r="C94">
        <v>250.6</v>
      </c>
      <c r="D94">
        <v>340.1</v>
      </c>
      <c r="E94">
        <v>835.5</v>
      </c>
      <c r="F94">
        <v>947.9</v>
      </c>
      <c r="G94" s="14">
        <f t="shared" ref="G94:H96" si="31">+C94+E94</f>
        <v>1086.0999999999999</v>
      </c>
      <c r="H94" s="2">
        <f t="shared" si="31"/>
        <v>1288</v>
      </c>
      <c r="I94" s="48">
        <f t="shared" ref="I94:I99" si="32">+(G94/H94-1)*100</f>
        <v>-15.675465838509329</v>
      </c>
    </row>
    <row r="95" spans="1:9" x14ac:dyDescent="0.25">
      <c r="A95" s="35">
        <f t="shared" si="1"/>
        <v>39492</v>
      </c>
      <c r="B95" s="84" t="s">
        <v>8</v>
      </c>
      <c r="C95">
        <v>289.39999999999998</v>
      </c>
      <c r="D95">
        <v>280.89999999999998</v>
      </c>
      <c r="E95">
        <v>874.3</v>
      </c>
      <c r="F95">
        <v>1042.0999999999999</v>
      </c>
      <c r="G95" s="14">
        <f t="shared" si="31"/>
        <v>1163.6999999999998</v>
      </c>
      <c r="H95" s="2">
        <f t="shared" si="31"/>
        <v>1323</v>
      </c>
      <c r="I95" s="48">
        <f t="shared" si="32"/>
        <v>-12.040816326530624</v>
      </c>
    </row>
    <row r="96" spans="1:9" x14ac:dyDescent="0.25">
      <c r="A96" s="35">
        <f t="shared" si="1"/>
        <v>39499</v>
      </c>
      <c r="B96" s="84" t="s">
        <v>8</v>
      </c>
      <c r="C96">
        <v>282.2</v>
      </c>
      <c r="D96">
        <v>271.7</v>
      </c>
      <c r="E96">
        <v>965.3</v>
      </c>
      <c r="F96">
        <v>1058.7</v>
      </c>
      <c r="G96" s="14">
        <f t="shared" si="31"/>
        <v>1247.5</v>
      </c>
      <c r="H96" s="2">
        <f t="shared" si="31"/>
        <v>1330.4</v>
      </c>
      <c r="I96" s="48">
        <f t="shared" si="32"/>
        <v>-6.2312086590499138</v>
      </c>
    </row>
    <row r="97" spans="1:10" x14ac:dyDescent="0.25">
      <c r="A97" s="35">
        <f t="shared" si="1"/>
        <v>39506</v>
      </c>
      <c r="B97" s="84" t="s">
        <v>8</v>
      </c>
      <c r="C97">
        <v>270.8</v>
      </c>
      <c r="D97">
        <v>260.8</v>
      </c>
      <c r="E97">
        <v>1008.2</v>
      </c>
      <c r="F97">
        <v>1104.8</v>
      </c>
      <c r="G97" s="14">
        <f t="shared" ref="G97:H99" si="33">+C97+E97</f>
        <v>1279</v>
      </c>
      <c r="H97" s="2">
        <f t="shared" si="33"/>
        <v>1365.6</v>
      </c>
      <c r="I97" s="48">
        <f t="shared" si="32"/>
        <v>-6.3415348564733414</v>
      </c>
    </row>
    <row r="98" spans="1:10" x14ac:dyDescent="0.25">
      <c r="A98" s="35">
        <f t="shared" si="1"/>
        <v>39513</v>
      </c>
      <c r="B98" s="84" t="s">
        <v>8</v>
      </c>
      <c r="C98">
        <v>252.5</v>
      </c>
      <c r="D98">
        <v>213.3</v>
      </c>
      <c r="E98">
        <v>1059.3</v>
      </c>
      <c r="F98">
        <v>1145.3</v>
      </c>
      <c r="G98" s="14">
        <f t="shared" si="33"/>
        <v>1311.8</v>
      </c>
      <c r="H98" s="2">
        <f t="shared" si="33"/>
        <v>1358.6</v>
      </c>
      <c r="I98" s="48">
        <f t="shared" si="32"/>
        <v>-3.4447225084645927</v>
      </c>
    </row>
    <row r="99" spans="1:10" x14ac:dyDescent="0.25">
      <c r="A99" s="35">
        <f t="shared" si="1"/>
        <v>39520</v>
      </c>
      <c r="B99" s="84" t="s">
        <v>8</v>
      </c>
      <c r="C99">
        <v>256</v>
      </c>
      <c r="D99">
        <v>210.1</v>
      </c>
      <c r="E99">
        <v>1094</v>
      </c>
      <c r="F99">
        <v>1163.0999999999999</v>
      </c>
      <c r="G99" s="14">
        <f t="shared" si="33"/>
        <v>1350</v>
      </c>
      <c r="H99" s="2">
        <f t="shared" si="33"/>
        <v>1373.1999999999998</v>
      </c>
      <c r="I99" s="48">
        <f t="shared" si="32"/>
        <v>-1.6894844159627054</v>
      </c>
    </row>
    <row r="100" spans="1:10" x14ac:dyDescent="0.25">
      <c r="A100" s="35">
        <f t="shared" si="1"/>
        <v>39527</v>
      </c>
      <c r="B100" s="84" t="s">
        <v>8</v>
      </c>
      <c r="C100">
        <v>244.8</v>
      </c>
      <c r="D100">
        <v>181.8</v>
      </c>
      <c r="E100">
        <v>1120.2</v>
      </c>
      <c r="F100">
        <v>1202.0999999999999</v>
      </c>
      <c r="G100" s="14">
        <f t="shared" ref="G100:H102" si="34">+C100+E100</f>
        <v>1365</v>
      </c>
      <c r="H100" s="2">
        <f t="shared" si="34"/>
        <v>1383.8999999999999</v>
      </c>
      <c r="I100" s="48">
        <f t="shared" ref="I100:I105" si="35">+(G100/H100-1)*100</f>
        <v>-1.3657056145675139</v>
      </c>
    </row>
    <row r="101" spans="1:10" x14ac:dyDescent="0.25">
      <c r="A101" s="35">
        <f t="shared" si="1"/>
        <v>39534</v>
      </c>
      <c r="B101" s="84" t="s">
        <v>8</v>
      </c>
      <c r="C101">
        <v>172.9</v>
      </c>
      <c r="D101">
        <v>152.80000000000001</v>
      </c>
      <c r="E101">
        <v>1219.9000000000001</v>
      </c>
      <c r="F101">
        <v>1244.2</v>
      </c>
      <c r="G101" s="14">
        <f t="shared" si="34"/>
        <v>1392.8000000000002</v>
      </c>
      <c r="H101" s="2">
        <f t="shared" si="34"/>
        <v>1397</v>
      </c>
      <c r="I101" s="48">
        <f t="shared" si="35"/>
        <v>-0.30064423765210346</v>
      </c>
    </row>
    <row r="102" spans="1:10" x14ac:dyDescent="0.25">
      <c r="A102" s="35">
        <f t="shared" si="1"/>
        <v>39541</v>
      </c>
      <c r="B102" s="84" t="s">
        <v>8</v>
      </c>
      <c r="C102">
        <v>152.80000000000001</v>
      </c>
      <c r="D102">
        <v>141.80000000000001</v>
      </c>
      <c r="E102">
        <v>1262.3</v>
      </c>
      <c r="F102">
        <v>1262.9000000000001</v>
      </c>
      <c r="G102" s="14">
        <f t="shared" si="34"/>
        <v>1415.1</v>
      </c>
      <c r="H102" s="2">
        <f t="shared" si="34"/>
        <v>1404.7</v>
      </c>
      <c r="I102" s="48">
        <f t="shared" si="35"/>
        <v>0.7403716095963464</v>
      </c>
    </row>
    <row r="103" spans="1:10" x14ac:dyDescent="0.25">
      <c r="A103" s="35">
        <f t="shared" si="1"/>
        <v>39548</v>
      </c>
      <c r="B103" s="84" t="s">
        <v>8</v>
      </c>
      <c r="C103">
        <v>132</v>
      </c>
      <c r="D103">
        <v>163.6</v>
      </c>
      <c r="E103">
        <v>1304.8</v>
      </c>
      <c r="F103">
        <v>1296</v>
      </c>
      <c r="G103" s="14">
        <f t="shared" ref="G103:H105" si="36">+C103+E103</f>
        <v>1436.8</v>
      </c>
      <c r="H103" s="2">
        <f t="shared" si="36"/>
        <v>1459.6</v>
      </c>
      <c r="I103" s="48">
        <f t="shared" si="35"/>
        <v>-1.562071800493281</v>
      </c>
    </row>
    <row r="104" spans="1:10" x14ac:dyDescent="0.25">
      <c r="A104" s="35">
        <f t="shared" si="1"/>
        <v>39555</v>
      </c>
      <c r="B104" s="84" t="s">
        <v>8</v>
      </c>
      <c r="C104">
        <v>124</v>
      </c>
      <c r="D104">
        <v>134</v>
      </c>
      <c r="E104">
        <v>1327.9</v>
      </c>
      <c r="F104">
        <v>1350.9</v>
      </c>
      <c r="G104" s="14">
        <f t="shared" si="36"/>
        <v>1451.9</v>
      </c>
      <c r="H104" s="2">
        <f t="shared" si="36"/>
        <v>1484.9</v>
      </c>
      <c r="I104" s="48">
        <f t="shared" si="35"/>
        <v>-2.2223718768940692</v>
      </c>
    </row>
    <row r="105" spans="1:10" x14ac:dyDescent="0.25">
      <c r="A105" s="35">
        <f t="shared" si="1"/>
        <v>39562</v>
      </c>
      <c r="B105" s="84" t="s">
        <v>8</v>
      </c>
      <c r="C105">
        <v>113.3</v>
      </c>
      <c r="D105">
        <v>142.80000000000001</v>
      </c>
      <c r="E105">
        <v>1348.6</v>
      </c>
      <c r="F105">
        <v>1375.9</v>
      </c>
      <c r="G105" s="14">
        <f t="shared" si="36"/>
        <v>1461.8999999999999</v>
      </c>
      <c r="H105" s="2">
        <f t="shared" si="36"/>
        <v>1518.7</v>
      </c>
      <c r="I105" s="48">
        <f t="shared" si="35"/>
        <v>-3.7400408243892902</v>
      </c>
    </row>
    <row r="106" spans="1:10" x14ac:dyDescent="0.25">
      <c r="A106" s="35">
        <f t="shared" si="1"/>
        <v>39569</v>
      </c>
      <c r="B106" s="84" t="s">
        <v>8</v>
      </c>
      <c r="C106">
        <v>105</v>
      </c>
      <c r="D106">
        <v>160.1</v>
      </c>
      <c r="E106">
        <v>1375</v>
      </c>
      <c r="F106">
        <v>1406</v>
      </c>
      <c r="G106" s="14">
        <f t="shared" ref="G106:H108" si="37">+C106+E106</f>
        <v>1480</v>
      </c>
      <c r="H106" s="2">
        <f t="shared" si="37"/>
        <v>1566.1</v>
      </c>
      <c r="I106" s="48">
        <f t="shared" ref="I106:I111" si="38">+(G106/H106-1)*100</f>
        <v>-5.4977332226549986</v>
      </c>
      <c r="J106">
        <v>0</v>
      </c>
    </row>
    <row r="107" spans="1:10" x14ac:dyDescent="0.25">
      <c r="A107" s="35">
        <f t="shared" si="1"/>
        <v>39576</v>
      </c>
      <c r="B107" s="84" t="s">
        <v>8</v>
      </c>
      <c r="C107">
        <v>92.9</v>
      </c>
      <c r="D107">
        <v>176.1</v>
      </c>
      <c r="E107">
        <v>1392.4</v>
      </c>
      <c r="F107">
        <v>1432.3</v>
      </c>
      <c r="G107" s="14">
        <f t="shared" si="37"/>
        <v>1485.3000000000002</v>
      </c>
      <c r="H107" s="2">
        <f t="shared" si="37"/>
        <v>1608.3999999999999</v>
      </c>
      <c r="I107" s="48">
        <f t="shared" si="38"/>
        <v>-7.6535687639890382</v>
      </c>
      <c r="J107">
        <v>0</v>
      </c>
    </row>
    <row r="108" spans="1:10" x14ac:dyDescent="0.25">
      <c r="A108" s="35">
        <f t="shared" si="1"/>
        <v>39583</v>
      </c>
      <c r="B108" s="84" t="s">
        <v>8</v>
      </c>
      <c r="C108">
        <v>63.3</v>
      </c>
      <c r="D108">
        <v>183.6</v>
      </c>
      <c r="E108">
        <v>1427.3</v>
      </c>
      <c r="F108">
        <v>1453.5</v>
      </c>
      <c r="G108" s="14">
        <f t="shared" si="37"/>
        <v>1490.6</v>
      </c>
      <c r="H108" s="2">
        <f t="shared" si="37"/>
        <v>1637.1</v>
      </c>
      <c r="I108" s="48">
        <f t="shared" si="38"/>
        <v>-8.9487508398998212</v>
      </c>
      <c r="J108">
        <v>0</v>
      </c>
    </row>
    <row r="109" spans="1:10" x14ac:dyDescent="0.25">
      <c r="A109" s="35">
        <f t="shared" si="1"/>
        <v>39590</v>
      </c>
      <c r="B109" s="84" t="s">
        <v>8</v>
      </c>
      <c r="C109">
        <v>69.7</v>
      </c>
      <c r="D109">
        <v>173.5</v>
      </c>
      <c r="E109">
        <v>1440.5</v>
      </c>
      <c r="F109">
        <v>1484.7</v>
      </c>
      <c r="G109" s="14">
        <f t="shared" ref="G109:H111" si="39">+C109+E109</f>
        <v>1510.2</v>
      </c>
      <c r="H109" s="2">
        <f t="shared" si="39"/>
        <v>1658.2</v>
      </c>
      <c r="I109" s="48">
        <f t="shared" si="38"/>
        <v>-8.9253407309130335</v>
      </c>
    </row>
    <row r="110" spans="1:10" x14ac:dyDescent="0.25">
      <c r="A110" s="35">
        <f t="shared" si="1"/>
        <v>39597</v>
      </c>
      <c r="B110" s="84" t="s">
        <v>8</v>
      </c>
      <c r="C110">
        <v>66</v>
      </c>
      <c r="D110">
        <v>167.8</v>
      </c>
      <c r="E110">
        <v>1455</v>
      </c>
      <c r="F110">
        <v>1507.6</v>
      </c>
      <c r="G110" s="14">
        <f t="shared" si="39"/>
        <v>1521</v>
      </c>
      <c r="H110" s="2">
        <f t="shared" si="39"/>
        <v>1675.3999999999999</v>
      </c>
      <c r="I110" s="48">
        <f t="shared" si="38"/>
        <v>-9.215709681270134</v>
      </c>
    </row>
    <row r="111" spans="1:10" x14ac:dyDescent="0.25">
      <c r="A111" s="35">
        <f t="shared" si="1"/>
        <v>39604</v>
      </c>
      <c r="B111" s="84" t="s">
        <v>8</v>
      </c>
      <c r="C111">
        <v>75.8</v>
      </c>
      <c r="D111">
        <v>189.2</v>
      </c>
      <c r="E111">
        <v>1464.2</v>
      </c>
      <c r="F111">
        <v>1539</v>
      </c>
      <c r="G111" s="14">
        <f t="shared" si="39"/>
        <v>1540</v>
      </c>
      <c r="H111" s="2">
        <f t="shared" si="39"/>
        <v>1728.2</v>
      </c>
      <c r="I111" s="48">
        <f t="shared" si="38"/>
        <v>-10.889943293600279</v>
      </c>
    </row>
    <row r="112" spans="1:10" x14ac:dyDescent="0.25">
      <c r="A112" s="35">
        <f t="shared" si="1"/>
        <v>39611</v>
      </c>
      <c r="B112" s="84" t="s">
        <v>8</v>
      </c>
      <c r="C112">
        <v>75.8</v>
      </c>
      <c r="D112">
        <v>189.2</v>
      </c>
      <c r="E112">
        <v>1464.2</v>
      </c>
      <c r="F112">
        <v>1539</v>
      </c>
      <c r="G112" s="14">
        <f t="shared" ref="G112:H114" si="40">+C112+E112</f>
        <v>1540</v>
      </c>
      <c r="H112" s="2">
        <f t="shared" si="40"/>
        <v>1728.2</v>
      </c>
      <c r="I112" s="48">
        <f t="shared" ref="I112:I117" si="41">+(G112/H112-1)*100</f>
        <v>-10.889943293600279</v>
      </c>
      <c r="J112">
        <v>0</v>
      </c>
    </row>
    <row r="113" spans="1:11" x14ac:dyDescent="0.25">
      <c r="A113" s="35">
        <f t="shared" si="1"/>
        <v>39618</v>
      </c>
      <c r="B113" s="84" t="s">
        <v>8</v>
      </c>
      <c r="C113">
        <v>78.8</v>
      </c>
      <c r="D113">
        <v>235.7</v>
      </c>
      <c r="E113">
        <v>1497.3</v>
      </c>
      <c r="F113">
        <v>1585.1</v>
      </c>
      <c r="G113" s="14">
        <f t="shared" si="40"/>
        <v>1576.1</v>
      </c>
      <c r="H113" s="2">
        <f t="shared" si="40"/>
        <v>1820.8</v>
      </c>
      <c r="I113" s="48">
        <f t="shared" si="41"/>
        <v>-13.439147627416526</v>
      </c>
      <c r="J113">
        <v>0</v>
      </c>
    </row>
    <row r="114" spans="1:11" x14ac:dyDescent="0.25">
      <c r="A114" s="35">
        <f t="shared" si="1"/>
        <v>39625</v>
      </c>
      <c r="B114" s="84" t="s">
        <v>8</v>
      </c>
      <c r="C114">
        <v>102.7</v>
      </c>
      <c r="D114">
        <v>240.2</v>
      </c>
      <c r="E114">
        <v>1504.8</v>
      </c>
      <c r="F114">
        <v>1614.2</v>
      </c>
      <c r="G114" s="14">
        <f t="shared" si="40"/>
        <v>1607.5</v>
      </c>
      <c r="H114" s="2">
        <f t="shared" si="40"/>
        <v>1854.4</v>
      </c>
      <c r="I114" s="48">
        <f t="shared" si="41"/>
        <v>-13.314279551337361</v>
      </c>
    </row>
    <row r="115" spans="1:11" x14ac:dyDescent="0.25">
      <c r="A115" s="35">
        <f t="shared" si="1"/>
        <v>39632</v>
      </c>
      <c r="B115" s="84" t="s">
        <v>8</v>
      </c>
      <c r="C115">
        <v>107.3</v>
      </c>
      <c r="D115">
        <v>235.9</v>
      </c>
      <c r="E115">
        <v>1517.7</v>
      </c>
      <c r="F115">
        <v>1635.6</v>
      </c>
      <c r="G115" s="14">
        <f t="shared" ref="G115:H117" si="42">+C115+E115</f>
        <v>1625</v>
      </c>
      <c r="H115" s="2">
        <f t="shared" si="42"/>
        <v>1871.5</v>
      </c>
      <c r="I115" s="48">
        <f t="shared" si="41"/>
        <v>-13.171253005610472</v>
      </c>
    </row>
    <row r="116" spans="1:11" x14ac:dyDescent="0.25">
      <c r="A116" s="35">
        <f t="shared" si="1"/>
        <v>39639</v>
      </c>
      <c r="B116" s="84" t="s">
        <v>8</v>
      </c>
      <c r="C116">
        <v>142.9</v>
      </c>
      <c r="D116">
        <v>223.8</v>
      </c>
      <c r="E116">
        <v>1528.4</v>
      </c>
      <c r="F116">
        <v>1678.8</v>
      </c>
      <c r="G116" s="14">
        <f t="shared" si="42"/>
        <v>1671.3000000000002</v>
      </c>
      <c r="H116" s="2">
        <f t="shared" si="42"/>
        <v>1902.6</v>
      </c>
      <c r="I116" s="48">
        <f t="shared" si="41"/>
        <v>-12.15704824976347</v>
      </c>
    </row>
    <row r="117" spans="1:11" x14ac:dyDescent="0.25">
      <c r="A117" s="35">
        <f t="shared" si="1"/>
        <v>39646</v>
      </c>
      <c r="B117" s="84" t="s">
        <v>8</v>
      </c>
      <c r="C117">
        <v>146.6</v>
      </c>
      <c r="D117">
        <v>244.9</v>
      </c>
      <c r="E117">
        <v>1550.4</v>
      </c>
      <c r="F117">
        <v>1723</v>
      </c>
      <c r="G117" s="14">
        <f t="shared" si="42"/>
        <v>1697</v>
      </c>
      <c r="H117" s="2">
        <f t="shared" si="42"/>
        <v>1967.9</v>
      </c>
      <c r="I117" s="48">
        <f t="shared" si="41"/>
        <v>-13.765943391432501</v>
      </c>
    </row>
    <row r="118" spans="1:11" x14ac:dyDescent="0.25">
      <c r="A118" s="35">
        <f t="shared" si="1"/>
        <v>39653</v>
      </c>
      <c r="B118" s="84" t="s">
        <v>8</v>
      </c>
      <c r="C118">
        <v>149.5</v>
      </c>
      <c r="D118">
        <v>241.4</v>
      </c>
      <c r="E118">
        <v>1573.6</v>
      </c>
      <c r="F118">
        <v>1750.9</v>
      </c>
      <c r="G118" s="14">
        <f t="shared" ref="G118:H120" si="43">+C118+E118</f>
        <v>1723.1</v>
      </c>
      <c r="H118" s="2">
        <f t="shared" si="43"/>
        <v>1992.3000000000002</v>
      </c>
      <c r="I118" s="48">
        <f t="shared" ref="I118:I123" si="44">+(G118/H118-1)*100</f>
        <v>-13.512021281935461</v>
      </c>
      <c r="J118">
        <v>0</v>
      </c>
    </row>
    <row r="119" spans="1:11" x14ac:dyDescent="0.25">
      <c r="A119" s="35">
        <f t="shared" si="1"/>
        <v>39660</v>
      </c>
      <c r="B119" s="84" t="s">
        <v>8</v>
      </c>
      <c r="C119">
        <v>166.6</v>
      </c>
      <c r="D119">
        <v>229.6</v>
      </c>
      <c r="E119">
        <v>1596.3</v>
      </c>
      <c r="F119">
        <v>1776.9</v>
      </c>
      <c r="G119" s="14">
        <f t="shared" si="43"/>
        <v>1762.8999999999999</v>
      </c>
      <c r="H119" s="2">
        <f t="shared" si="43"/>
        <v>2006.5</v>
      </c>
      <c r="I119" s="48">
        <f t="shared" si="44"/>
        <v>-12.140543234487922</v>
      </c>
      <c r="J119">
        <v>6</v>
      </c>
    </row>
    <row r="120" spans="1:11" x14ac:dyDescent="0.25">
      <c r="A120" s="35">
        <f t="shared" si="1"/>
        <v>39667</v>
      </c>
      <c r="B120" s="84" t="s">
        <v>8</v>
      </c>
      <c r="C120">
        <v>159.69999999999999</v>
      </c>
      <c r="D120">
        <v>189.2</v>
      </c>
      <c r="E120">
        <v>1627.3</v>
      </c>
      <c r="F120">
        <v>1842.6</v>
      </c>
      <c r="G120" s="14">
        <f t="shared" si="43"/>
        <v>1787</v>
      </c>
      <c r="H120" s="2">
        <f t="shared" si="43"/>
        <v>2031.8</v>
      </c>
      <c r="I120" s="48">
        <f t="shared" si="44"/>
        <v>-12.048429963579089</v>
      </c>
      <c r="J120">
        <v>6</v>
      </c>
    </row>
    <row r="121" spans="1:11" x14ac:dyDescent="0.25">
      <c r="A121" s="35">
        <f t="shared" si="1"/>
        <v>39674</v>
      </c>
      <c r="B121" s="84" t="s">
        <v>8</v>
      </c>
      <c r="C121">
        <v>143.1</v>
      </c>
      <c r="D121">
        <v>178.2</v>
      </c>
      <c r="E121">
        <v>1657.9</v>
      </c>
      <c r="F121">
        <v>1875.1</v>
      </c>
      <c r="G121" s="14">
        <f t="shared" ref="G121:H123" si="45">+C121+E121</f>
        <v>1801</v>
      </c>
      <c r="H121" s="2">
        <f t="shared" si="45"/>
        <v>2053.2999999999997</v>
      </c>
      <c r="I121" s="48">
        <f t="shared" si="44"/>
        <v>-12.287537135343097</v>
      </c>
      <c r="J121">
        <v>15</v>
      </c>
    </row>
    <row r="122" spans="1:11" x14ac:dyDescent="0.25">
      <c r="A122" s="35">
        <f t="shared" si="1"/>
        <v>39681</v>
      </c>
      <c r="B122" s="84" t="s">
        <v>8</v>
      </c>
      <c r="C122">
        <v>141.5</v>
      </c>
      <c r="D122">
        <v>188.3</v>
      </c>
      <c r="E122">
        <v>1683.2</v>
      </c>
      <c r="F122">
        <v>1892.2</v>
      </c>
      <c r="G122" s="14">
        <f t="shared" si="45"/>
        <v>1824.7</v>
      </c>
      <c r="H122" s="2">
        <f t="shared" si="45"/>
        <v>2080.5</v>
      </c>
      <c r="I122" s="48">
        <f t="shared" si="44"/>
        <v>-12.295121365056472</v>
      </c>
      <c r="J122">
        <v>17</v>
      </c>
    </row>
    <row r="123" spans="1:11" x14ac:dyDescent="0.25">
      <c r="A123" s="35">
        <f t="shared" si="1"/>
        <v>39688</v>
      </c>
      <c r="B123" s="84" t="s">
        <v>8</v>
      </c>
      <c r="C123">
        <v>93.3</v>
      </c>
      <c r="D123">
        <v>157.80000000000001</v>
      </c>
      <c r="E123">
        <v>1724.3</v>
      </c>
      <c r="F123">
        <v>1932.1</v>
      </c>
      <c r="G123" s="14">
        <f t="shared" si="45"/>
        <v>1817.6</v>
      </c>
      <c r="H123" s="2">
        <f t="shared" si="45"/>
        <v>2089.9</v>
      </c>
      <c r="I123" s="48">
        <f t="shared" si="44"/>
        <v>-13.029331546963974</v>
      </c>
      <c r="J123">
        <v>68.8</v>
      </c>
      <c r="K123" s="14">
        <f>+G123-Data!N83</f>
        <v>1727.8</v>
      </c>
    </row>
    <row r="124" spans="1:11" x14ac:dyDescent="0.25">
      <c r="A124" s="35">
        <f t="shared" si="1"/>
        <v>39695</v>
      </c>
      <c r="B124" s="84" t="s">
        <v>8</v>
      </c>
      <c r="C124">
        <v>170</v>
      </c>
      <c r="D124">
        <v>197.7</v>
      </c>
      <c r="E124">
        <v>12.2</v>
      </c>
      <c r="F124">
        <v>32.9</v>
      </c>
      <c r="G124" s="14">
        <f t="shared" ref="G124:H126" si="46">+C124+E124</f>
        <v>182.2</v>
      </c>
      <c r="H124" s="2">
        <f t="shared" si="46"/>
        <v>230.6</v>
      </c>
      <c r="I124" s="48">
        <f t="shared" ref="I124:I129" si="47">+(G124/H124-1)*100</f>
        <v>-20.98872506504771</v>
      </c>
    </row>
    <row r="125" spans="1:11" x14ac:dyDescent="0.25">
      <c r="A125" s="35">
        <f t="shared" si="1"/>
        <v>39702</v>
      </c>
      <c r="B125" s="84" t="s">
        <v>8</v>
      </c>
      <c r="C125">
        <v>197.3</v>
      </c>
      <c r="D125">
        <v>207.7</v>
      </c>
      <c r="E125">
        <v>28.4</v>
      </c>
      <c r="F125">
        <v>53.7</v>
      </c>
      <c r="G125" s="14">
        <f t="shared" si="46"/>
        <v>225.70000000000002</v>
      </c>
      <c r="H125" s="2">
        <f t="shared" si="46"/>
        <v>261.39999999999998</v>
      </c>
      <c r="I125" s="48">
        <f t="shared" si="47"/>
        <v>-13.657230298393252</v>
      </c>
    </row>
    <row r="126" spans="1:11" x14ac:dyDescent="0.25">
      <c r="A126" s="35">
        <f t="shared" si="1"/>
        <v>39709</v>
      </c>
      <c r="B126" s="84" t="s">
        <v>8</v>
      </c>
      <c r="C126">
        <v>203.8</v>
      </c>
      <c r="D126">
        <v>227.8</v>
      </c>
      <c r="E126">
        <v>39.200000000000003</v>
      </c>
      <c r="F126">
        <v>89.1</v>
      </c>
      <c r="G126" s="14">
        <f t="shared" si="46"/>
        <v>243</v>
      </c>
      <c r="H126" s="2">
        <f t="shared" si="46"/>
        <v>316.89999999999998</v>
      </c>
      <c r="I126" s="48">
        <f t="shared" si="47"/>
        <v>-23.319659198485322</v>
      </c>
    </row>
    <row r="127" spans="1:11" x14ac:dyDescent="0.25">
      <c r="A127" s="35">
        <f t="shared" si="1"/>
        <v>39716</v>
      </c>
      <c r="B127" s="84" t="s">
        <v>8</v>
      </c>
      <c r="C127">
        <v>205.7</v>
      </c>
      <c r="D127">
        <v>212.3</v>
      </c>
      <c r="E127">
        <v>64.2</v>
      </c>
      <c r="F127">
        <v>118.4</v>
      </c>
      <c r="G127" s="14">
        <f t="shared" ref="G127:H129" si="48">+C127+E127</f>
        <v>269.89999999999998</v>
      </c>
      <c r="H127" s="2">
        <f t="shared" si="48"/>
        <v>330.70000000000005</v>
      </c>
      <c r="I127" s="48">
        <f t="shared" si="47"/>
        <v>-18.385243423042052</v>
      </c>
    </row>
    <row r="128" spans="1:11" x14ac:dyDescent="0.25">
      <c r="A128" s="35">
        <f t="shared" si="1"/>
        <v>39723</v>
      </c>
      <c r="B128" s="84" t="s">
        <v>8</v>
      </c>
      <c r="C128">
        <v>261.89999999999998</v>
      </c>
      <c r="D128">
        <v>219.6</v>
      </c>
      <c r="E128">
        <v>82.8</v>
      </c>
      <c r="F128">
        <v>156.69999999999999</v>
      </c>
      <c r="G128" s="14">
        <f t="shared" si="48"/>
        <v>344.7</v>
      </c>
      <c r="H128" s="2">
        <f t="shared" si="48"/>
        <v>376.29999999999995</v>
      </c>
      <c r="I128" s="48">
        <f t="shared" si="47"/>
        <v>-8.3975551421737844</v>
      </c>
    </row>
    <row r="129" spans="1:9" x14ac:dyDescent="0.25">
      <c r="A129" s="35">
        <f t="shared" si="1"/>
        <v>39730</v>
      </c>
      <c r="B129" s="84" t="s">
        <v>8</v>
      </c>
      <c r="C129">
        <v>248.4</v>
      </c>
      <c r="D129">
        <v>214.7</v>
      </c>
      <c r="E129">
        <v>99.7</v>
      </c>
      <c r="F129">
        <v>186.7</v>
      </c>
      <c r="G129" s="14">
        <f t="shared" si="48"/>
        <v>348.1</v>
      </c>
      <c r="H129" s="2">
        <f t="shared" si="48"/>
        <v>401.4</v>
      </c>
      <c r="I129" s="48">
        <f t="shared" si="47"/>
        <v>-13.278525161933219</v>
      </c>
    </row>
    <row r="130" spans="1:9" x14ac:dyDescent="0.25">
      <c r="A130" s="35">
        <f t="shared" si="1"/>
        <v>39737</v>
      </c>
      <c r="B130" s="84" t="s">
        <v>8</v>
      </c>
      <c r="C130">
        <v>277</v>
      </c>
      <c r="D130">
        <v>199.4</v>
      </c>
      <c r="E130">
        <v>117.2</v>
      </c>
      <c r="F130">
        <v>230.7</v>
      </c>
      <c r="G130" s="14">
        <f t="shared" ref="G130:H132" si="49">+C130+E130</f>
        <v>394.2</v>
      </c>
      <c r="H130" s="2">
        <f t="shared" si="49"/>
        <v>430.1</v>
      </c>
      <c r="I130" s="48">
        <f t="shared" ref="I130:I135" si="50">+(G130/H130-1)*100</f>
        <v>-8.3468960706812432</v>
      </c>
    </row>
    <row r="131" spans="1:9" x14ac:dyDescent="0.25">
      <c r="A131" s="35">
        <f t="shared" si="1"/>
        <v>39744</v>
      </c>
      <c r="B131" s="84" t="s">
        <v>8</v>
      </c>
      <c r="C131">
        <v>244.7</v>
      </c>
      <c r="D131">
        <v>209.2</v>
      </c>
      <c r="E131">
        <v>156.30000000000001</v>
      </c>
      <c r="F131">
        <v>287.5</v>
      </c>
      <c r="G131" s="14">
        <f t="shared" si="49"/>
        <v>401</v>
      </c>
      <c r="H131" s="2">
        <f t="shared" si="49"/>
        <v>496.7</v>
      </c>
      <c r="I131" s="48">
        <f t="shared" si="50"/>
        <v>-19.26716327763237</v>
      </c>
    </row>
    <row r="132" spans="1:9" x14ac:dyDescent="0.25">
      <c r="A132" s="35">
        <f t="shared" si="1"/>
        <v>39751</v>
      </c>
      <c r="B132" s="84" t="s">
        <v>8</v>
      </c>
      <c r="C132">
        <v>356.9</v>
      </c>
      <c r="D132">
        <v>208.8</v>
      </c>
      <c r="E132">
        <v>227.2</v>
      </c>
      <c r="F132">
        <v>316.5</v>
      </c>
      <c r="G132" s="14">
        <f t="shared" si="49"/>
        <v>584.09999999999991</v>
      </c>
      <c r="H132" s="2">
        <f t="shared" si="49"/>
        <v>525.29999999999995</v>
      </c>
      <c r="I132" s="48">
        <f t="shared" si="50"/>
        <v>11.19360365505424</v>
      </c>
    </row>
    <row r="133" spans="1:9" x14ac:dyDescent="0.25">
      <c r="A133" s="35">
        <f t="shared" si="1"/>
        <v>39758</v>
      </c>
      <c r="B133" s="84" t="s">
        <v>8</v>
      </c>
      <c r="C133">
        <v>329</v>
      </c>
      <c r="D133">
        <v>206.2</v>
      </c>
      <c r="E133">
        <v>282.7</v>
      </c>
      <c r="F133">
        <v>357.9</v>
      </c>
      <c r="G133" s="14">
        <f t="shared" ref="G133:H135" si="51">+C133+E133</f>
        <v>611.70000000000005</v>
      </c>
      <c r="H133" s="2">
        <f t="shared" si="51"/>
        <v>564.09999999999991</v>
      </c>
      <c r="I133" s="48">
        <f t="shared" si="50"/>
        <v>8.4382201737280838</v>
      </c>
    </row>
    <row r="134" spans="1:9" x14ac:dyDescent="0.25">
      <c r="A134" s="35">
        <f t="shared" si="1"/>
        <v>39765</v>
      </c>
      <c r="B134" s="84" t="s">
        <v>8</v>
      </c>
      <c r="C134">
        <v>300.7</v>
      </c>
      <c r="D134">
        <v>213.9</v>
      </c>
      <c r="E134">
        <v>386.8</v>
      </c>
      <c r="F134">
        <v>393.5</v>
      </c>
      <c r="G134" s="14">
        <f t="shared" si="51"/>
        <v>687.5</v>
      </c>
      <c r="H134" s="2">
        <f t="shared" si="51"/>
        <v>607.4</v>
      </c>
      <c r="I134" s="48">
        <f t="shared" si="50"/>
        <v>13.187355943365176</v>
      </c>
    </row>
    <row r="135" spans="1:9" x14ac:dyDescent="0.25">
      <c r="A135" s="35">
        <f t="shared" si="1"/>
        <v>39772</v>
      </c>
      <c r="B135" s="84" t="s">
        <v>8</v>
      </c>
      <c r="C135">
        <v>297.10000000000002</v>
      </c>
      <c r="D135">
        <v>230.8</v>
      </c>
      <c r="E135">
        <v>406.6</v>
      </c>
      <c r="F135">
        <v>422.3</v>
      </c>
      <c r="G135" s="14">
        <f t="shared" si="51"/>
        <v>703.7</v>
      </c>
      <c r="H135" s="2">
        <f t="shared" si="51"/>
        <v>653.1</v>
      </c>
      <c r="I135" s="48">
        <f t="shared" si="50"/>
        <v>7.7476649823916777</v>
      </c>
    </row>
    <row r="136" spans="1:9" x14ac:dyDescent="0.25">
      <c r="A136" s="35">
        <f t="shared" si="1"/>
        <v>39779</v>
      </c>
      <c r="B136" s="84" t="s">
        <v>8</v>
      </c>
      <c r="C136">
        <v>230.5</v>
      </c>
      <c r="D136">
        <v>213.7</v>
      </c>
      <c r="E136">
        <v>479.4</v>
      </c>
      <c r="F136">
        <v>450.6</v>
      </c>
      <c r="G136" s="14">
        <f t="shared" ref="G136:H138" si="52">+C136+E136</f>
        <v>709.9</v>
      </c>
      <c r="H136" s="2">
        <f t="shared" si="52"/>
        <v>664.3</v>
      </c>
      <c r="I136" s="48">
        <f t="shared" ref="I136:I141" si="53">+(G136/H136-1)*100</f>
        <v>6.8643685082041328</v>
      </c>
    </row>
    <row r="137" spans="1:9" x14ac:dyDescent="0.25">
      <c r="A137" s="35">
        <f t="shared" si="1"/>
        <v>39786</v>
      </c>
      <c r="B137" s="84" t="s">
        <v>8</v>
      </c>
      <c r="C137">
        <v>169.8</v>
      </c>
      <c r="D137">
        <v>240</v>
      </c>
      <c r="E137">
        <v>546.70000000000005</v>
      </c>
      <c r="F137">
        <v>501.9</v>
      </c>
      <c r="G137" s="14">
        <f t="shared" si="52"/>
        <v>716.5</v>
      </c>
      <c r="H137" s="2">
        <f t="shared" si="52"/>
        <v>741.9</v>
      </c>
      <c r="I137" s="48">
        <f t="shared" si="53"/>
        <v>-3.4236420002695778</v>
      </c>
    </row>
    <row r="138" spans="1:9" x14ac:dyDescent="0.25">
      <c r="A138" s="35">
        <f t="shared" si="1"/>
        <v>39793</v>
      </c>
      <c r="B138" s="84" t="s">
        <v>8</v>
      </c>
      <c r="C138">
        <v>108.3</v>
      </c>
      <c r="D138">
        <v>223.7</v>
      </c>
      <c r="E138">
        <v>617.5</v>
      </c>
      <c r="F138">
        <v>543.9</v>
      </c>
      <c r="G138" s="14">
        <f t="shared" si="52"/>
        <v>725.8</v>
      </c>
      <c r="H138" s="2">
        <f t="shared" si="52"/>
        <v>767.59999999999991</v>
      </c>
      <c r="I138" s="48">
        <f t="shared" si="53"/>
        <v>-5.4455445544554397</v>
      </c>
    </row>
    <row r="139" spans="1:9" x14ac:dyDescent="0.25">
      <c r="A139" s="35">
        <f t="shared" si="1"/>
        <v>39800</v>
      </c>
      <c r="B139" s="84" t="s">
        <v>8</v>
      </c>
      <c r="C139">
        <v>144.9</v>
      </c>
      <c r="D139">
        <v>232</v>
      </c>
      <c r="E139">
        <v>640.5</v>
      </c>
      <c r="F139">
        <v>587.20000000000005</v>
      </c>
      <c r="G139" s="14">
        <f t="shared" ref="G139:H141" si="54">+C139+E139</f>
        <v>785.4</v>
      </c>
      <c r="H139" s="2">
        <f t="shared" si="54"/>
        <v>819.2</v>
      </c>
      <c r="I139" s="48">
        <f t="shared" si="53"/>
        <v>-4.1259765625000107</v>
      </c>
    </row>
    <row r="140" spans="1:9" x14ac:dyDescent="0.25">
      <c r="A140" s="35">
        <f t="shared" si="1"/>
        <v>39807</v>
      </c>
      <c r="B140" s="84" t="s">
        <v>8</v>
      </c>
      <c r="C140">
        <v>145.69999999999999</v>
      </c>
      <c r="D140">
        <v>218.7</v>
      </c>
      <c r="E140">
        <v>640.79999999999995</v>
      </c>
      <c r="F140">
        <v>608.1</v>
      </c>
      <c r="G140" s="14">
        <f t="shared" si="54"/>
        <v>786.5</v>
      </c>
      <c r="H140" s="2">
        <f t="shared" si="54"/>
        <v>826.8</v>
      </c>
      <c r="I140" s="48">
        <f t="shared" si="53"/>
        <v>-4.8742138364779812</v>
      </c>
    </row>
    <row r="141" spans="1:9" x14ac:dyDescent="0.25">
      <c r="A141" s="35">
        <f t="shared" si="1"/>
        <v>39814</v>
      </c>
      <c r="B141" s="84" t="s">
        <v>8</v>
      </c>
      <c r="C141">
        <v>208.4</v>
      </c>
      <c r="D141">
        <v>221.3</v>
      </c>
      <c r="E141">
        <v>643.79999999999995</v>
      </c>
      <c r="F141">
        <v>635.9</v>
      </c>
      <c r="G141" s="14">
        <f t="shared" si="54"/>
        <v>852.19999999999993</v>
      </c>
      <c r="H141" s="2">
        <f t="shared" si="54"/>
        <v>857.2</v>
      </c>
      <c r="I141" s="48">
        <f t="shared" si="53"/>
        <v>-0.58329444703687505</v>
      </c>
    </row>
    <row r="142" spans="1:9" x14ac:dyDescent="0.25">
      <c r="A142" s="35">
        <f t="shared" si="1"/>
        <v>39821</v>
      </c>
      <c r="B142" s="84" t="s">
        <v>8</v>
      </c>
      <c r="C142">
        <v>204.7</v>
      </c>
      <c r="D142">
        <v>242.3</v>
      </c>
      <c r="E142">
        <v>656.3</v>
      </c>
      <c r="F142">
        <v>670.8</v>
      </c>
      <c r="G142" s="14">
        <f t="shared" ref="G142:H144" si="55">+C142+E142</f>
        <v>861</v>
      </c>
      <c r="H142" s="2">
        <f t="shared" si="55"/>
        <v>913.09999999999991</v>
      </c>
      <c r="I142" s="48">
        <f t="shared" ref="I142:I147" si="56">+(G142/H142-1)*100</f>
        <v>-5.7058372576935579</v>
      </c>
    </row>
    <row r="143" spans="1:9" x14ac:dyDescent="0.25">
      <c r="A143" s="35">
        <f t="shared" si="1"/>
        <v>39828</v>
      </c>
      <c r="B143" s="84" t="s">
        <v>8</v>
      </c>
      <c r="C143">
        <v>236.5</v>
      </c>
      <c r="D143">
        <v>272.5</v>
      </c>
      <c r="E143">
        <v>721.5</v>
      </c>
      <c r="F143">
        <v>710.6</v>
      </c>
      <c r="G143" s="14">
        <f t="shared" si="55"/>
        <v>958</v>
      </c>
      <c r="H143" s="2">
        <f t="shared" si="55"/>
        <v>983.1</v>
      </c>
      <c r="I143" s="48">
        <f t="shared" si="56"/>
        <v>-2.5531482046587395</v>
      </c>
    </row>
    <row r="144" spans="1:9" x14ac:dyDescent="0.25">
      <c r="A144" s="35">
        <f t="shared" si="1"/>
        <v>39835</v>
      </c>
      <c r="B144" s="84" t="s">
        <v>8</v>
      </c>
      <c r="C144">
        <v>251</v>
      </c>
      <c r="D144">
        <v>271</v>
      </c>
      <c r="E144">
        <v>748.5</v>
      </c>
      <c r="F144">
        <v>742.8</v>
      </c>
      <c r="G144" s="14">
        <f t="shared" si="55"/>
        <v>999.5</v>
      </c>
      <c r="H144" s="2">
        <f t="shared" si="55"/>
        <v>1013.8</v>
      </c>
      <c r="I144" s="48">
        <f t="shared" si="56"/>
        <v>-1.4105346222134552</v>
      </c>
    </row>
    <row r="145" spans="1:10" x14ac:dyDescent="0.25">
      <c r="A145" s="35">
        <f t="shared" si="1"/>
        <v>39842</v>
      </c>
      <c r="B145" s="84" t="s">
        <v>8</v>
      </c>
      <c r="C145">
        <v>207.9</v>
      </c>
      <c r="D145">
        <v>260.10000000000002</v>
      </c>
      <c r="E145">
        <v>796.8</v>
      </c>
      <c r="F145">
        <v>795.6</v>
      </c>
      <c r="G145" s="14">
        <f t="shared" ref="G145:H147" si="57">+C145+E145</f>
        <v>1004.6999999999999</v>
      </c>
      <c r="H145" s="2">
        <f t="shared" si="57"/>
        <v>1055.7</v>
      </c>
      <c r="I145" s="48">
        <f t="shared" si="56"/>
        <v>-4.8309178743961461</v>
      </c>
    </row>
    <row r="146" spans="1:10" x14ac:dyDescent="0.25">
      <c r="A146" s="35">
        <f t="shared" si="1"/>
        <v>39849</v>
      </c>
      <c r="B146" s="84" t="s">
        <v>8</v>
      </c>
      <c r="C146">
        <v>152.80000000000001</v>
      </c>
      <c r="D146">
        <v>250.6</v>
      </c>
      <c r="E146">
        <v>859.6</v>
      </c>
      <c r="F146">
        <v>835.5</v>
      </c>
      <c r="G146" s="14">
        <f t="shared" si="57"/>
        <v>1012.4000000000001</v>
      </c>
      <c r="H146" s="2">
        <f t="shared" si="57"/>
        <v>1086.0999999999999</v>
      </c>
      <c r="I146" s="48">
        <f t="shared" si="56"/>
        <v>-6.7857471687689745</v>
      </c>
    </row>
    <row r="147" spans="1:10" x14ac:dyDescent="0.25">
      <c r="A147" s="35">
        <f t="shared" si="1"/>
        <v>39856</v>
      </c>
      <c r="B147" s="84" t="s">
        <v>8</v>
      </c>
      <c r="C147">
        <v>162.30000000000001</v>
      </c>
      <c r="D147">
        <v>289.39999999999998</v>
      </c>
      <c r="E147">
        <v>867.4</v>
      </c>
      <c r="F147">
        <v>874.3</v>
      </c>
      <c r="G147" s="14">
        <f t="shared" si="57"/>
        <v>1029.7</v>
      </c>
      <c r="H147" s="2">
        <f t="shared" si="57"/>
        <v>1163.6999999999998</v>
      </c>
      <c r="I147" s="48">
        <f t="shared" si="56"/>
        <v>-11.514995273695948</v>
      </c>
    </row>
    <row r="148" spans="1:10" x14ac:dyDescent="0.25">
      <c r="A148" s="35">
        <f t="shared" si="1"/>
        <v>39863</v>
      </c>
      <c r="B148" s="84" t="s">
        <v>8</v>
      </c>
      <c r="C148">
        <v>150.9</v>
      </c>
      <c r="D148">
        <v>282.2</v>
      </c>
      <c r="E148">
        <v>929.5</v>
      </c>
      <c r="F148">
        <v>965.3</v>
      </c>
      <c r="G148" s="14">
        <f t="shared" ref="G148:H150" si="58">+C148+E148</f>
        <v>1080.4000000000001</v>
      </c>
      <c r="H148" s="2">
        <f t="shared" si="58"/>
        <v>1247.5</v>
      </c>
      <c r="I148" s="48">
        <f t="shared" ref="I148:I153" si="59">+(G148/H148-1)*100</f>
        <v>-13.394789579158306</v>
      </c>
    </row>
    <row r="149" spans="1:10" x14ac:dyDescent="0.25">
      <c r="A149" s="35">
        <f t="shared" si="1"/>
        <v>39870</v>
      </c>
      <c r="B149" s="84" t="s">
        <v>8</v>
      </c>
      <c r="C149">
        <v>146.1</v>
      </c>
      <c r="D149">
        <v>270.8</v>
      </c>
      <c r="E149">
        <v>945.5</v>
      </c>
      <c r="F149">
        <v>1008.2</v>
      </c>
      <c r="G149" s="14">
        <f t="shared" si="58"/>
        <v>1091.5999999999999</v>
      </c>
      <c r="H149" s="2">
        <f t="shared" si="58"/>
        <v>1279</v>
      </c>
      <c r="I149" s="48">
        <f t="shared" si="59"/>
        <v>-14.652071931196254</v>
      </c>
    </row>
    <row r="150" spans="1:10" x14ac:dyDescent="0.25">
      <c r="A150" s="35">
        <f t="shared" si="1"/>
        <v>39877</v>
      </c>
      <c r="B150" s="84" t="s">
        <v>8</v>
      </c>
      <c r="C150">
        <v>126.9</v>
      </c>
      <c r="D150">
        <v>252.5</v>
      </c>
      <c r="E150">
        <v>1024.4000000000001</v>
      </c>
      <c r="F150">
        <v>1059.3</v>
      </c>
      <c r="G150" s="14">
        <f t="shared" si="58"/>
        <v>1151.3000000000002</v>
      </c>
      <c r="H150" s="2">
        <f t="shared" si="58"/>
        <v>1311.8</v>
      </c>
      <c r="I150" s="48">
        <f t="shared" si="59"/>
        <v>-12.235096813538638</v>
      </c>
    </row>
    <row r="151" spans="1:10" x14ac:dyDescent="0.25">
      <c r="A151" s="35">
        <f t="shared" si="1"/>
        <v>39884</v>
      </c>
      <c r="B151" s="84" t="s">
        <v>8</v>
      </c>
      <c r="C151">
        <v>173.3</v>
      </c>
      <c r="D151">
        <v>256</v>
      </c>
      <c r="E151">
        <v>1032.7</v>
      </c>
      <c r="F151">
        <v>1094</v>
      </c>
      <c r="G151" s="14">
        <f t="shared" ref="G151:H153" si="60">+C151+E151</f>
        <v>1206</v>
      </c>
      <c r="H151" s="2">
        <f t="shared" si="60"/>
        <v>1350</v>
      </c>
      <c r="I151" s="48">
        <f t="shared" si="59"/>
        <v>-10.666666666666668</v>
      </c>
    </row>
    <row r="152" spans="1:10" x14ac:dyDescent="0.25">
      <c r="A152" s="35">
        <f t="shared" si="1"/>
        <v>39891</v>
      </c>
      <c r="B152" s="84" t="s">
        <v>8</v>
      </c>
      <c r="C152">
        <v>123.6</v>
      </c>
      <c r="D152">
        <v>244.8</v>
      </c>
      <c r="E152">
        <v>1098.2</v>
      </c>
      <c r="F152">
        <v>1120.2</v>
      </c>
      <c r="G152" s="14">
        <f t="shared" si="60"/>
        <v>1221.8</v>
      </c>
      <c r="H152" s="2">
        <f t="shared" si="60"/>
        <v>1365</v>
      </c>
      <c r="I152" s="48">
        <f t="shared" si="59"/>
        <v>-10.490842490842489</v>
      </c>
    </row>
    <row r="153" spans="1:10" x14ac:dyDescent="0.25">
      <c r="A153" s="35">
        <f t="shared" si="1"/>
        <v>39898</v>
      </c>
      <c r="B153" s="84" t="s">
        <v>8</v>
      </c>
      <c r="C153">
        <v>154.9</v>
      </c>
      <c r="D153">
        <v>172.9</v>
      </c>
      <c r="E153">
        <v>1105.7</v>
      </c>
      <c r="F153">
        <v>1219.9000000000001</v>
      </c>
      <c r="G153" s="14">
        <f t="shared" si="60"/>
        <v>1260.6000000000001</v>
      </c>
      <c r="H153" s="2">
        <f t="shared" si="60"/>
        <v>1392.8000000000002</v>
      </c>
      <c r="I153" s="48">
        <f t="shared" si="59"/>
        <v>-9.4916714531878217</v>
      </c>
    </row>
    <row r="154" spans="1:10" x14ac:dyDescent="0.25">
      <c r="A154" s="35">
        <f t="shared" si="1"/>
        <v>39905</v>
      </c>
      <c r="B154" s="84" t="s">
        <v>8</v>
      </c>
      <c r="C154">
        <v>196.1</v>
      </c>
      <c r="D154">
        <v>152.80000000000001</v>
      </c>
      <c r="E154">
        <v>1113.5999999999999</v>
      </c>
      <c r="F154">
        <v>1262.3</v>
      </c>
      <c r="G154" s="14">
        <f t="shared" ref="G154:G185" si="61">+C154+E154</f>
        <v>1309.6999999999998</v>
      </c>
      <c r="H154" s="2">
        <f t="shared" ref="H154:H185" si="62">+D154+F154</f>
        <v>1415.1</v>
      </c>
      <c r="I154" s="48">
        <f t="shared" ref="I154:I185" si="63">+(G154/H154-1)*100</f>
        <v>-7.4482368737191829</v>
      </c>
    </row>
    <row r="155" spans="1:10" x14ac:dyDescent="0.25">
      <c r="A155" s="35">
        <f t="shared" si="1"/>
        <v>39912</v>
      </c>
      <c r="B155" s="84" t="s">
        <v>8</v>
      </c>
      <c r="C155">
        <v>193</v>
      </c>
      <c r="D155">
        <v>132</v>
      </c>
      <c r="E155">
        <v>1124.3</v>
      </c>
      <c r="F155">
        <v>1304.8</v>
      </c>
      <c r="G155" s="14">
        <f t="shared" si="61"/>
        <v>1317.3</v>
      </c>
      <c r="H155" s="2">
        <f t="shared" si="62"/>
        <v>1436.8</v>
      </c>
      <c r="I155" s="48">
        <f t="shared" si="63"/>
        <v>-8.3170935412026701</v>
      </c>
    </row>
    <row r="156" spans="1:10" x14ac:dyDescent="0.25">
      <c r="A156" s="35">
        <f t="shared" si="1"/>
        <v>39919</v>
      </c>
      <c r="B156" s="84" t="s">
        <v>8</v>
      </c>
      <c r="C156">
        <v>218</v>
      </c>
      <c r="D156">
        <v>124</v>
      </c>
      <c r="E156">
        <v>1144.7</v>
      </c>
      <c r="F156">
        <v>1327.9</v>
      </c>
      <c r="G156" s="14">
        <f t="shared" si="61"/>
        <v>1362.7</v>
      </c>
      <c r="H156" s="2">
        <f t="shared" si="62"/>
        <v>1451.9</v>
      </c>
      <c r="I156" s="48">
        <f t="shared" si="63"/>
        <v>-6.1436738067360057</v>
      </c>
    </row>
    <row r="157" spans="1:10" x14ac:dyDescent="0.25">
      <c r="A157" s="35">
        <f t="shared" si="1"/>
        <v>39926</v>
      </c>
      <c r="B157" s="84" t="s">
        <v>8</v>
      </c>
      <c r="C157">
        <v>212</v>
      </c>
      <c r="D157">
        <v>113.3</v>
      </c>
      <c r="E157">
        <v>1152.8</v>
      </c>
      <c r="F157">
        <v>1348.6</v>
      </c>
      <c r="G157" s="14">
        <f t="shared" si="61"/>
        <v>1364.8</v>
      </c>
      <c r="H157" s="2">
        <f t="shared" si="62"/>
        <v>1461.8999999999999</v>
      </c>
      <c r="I157" s="48">
        <f t="shared" si="63"/>
        <v>-6.6420411792872276</v>
      </c>
    </row>
    <row r="158" spans="1:10" x14ac:dyDescent="0.25">
      <c r="A158" s="35">
        <f t="shared" si="1"/>
        <v>39933</v>
      </c>
      <c r="B158" s="84" t="s">
        <v>8</v>
      </c>
      <c r="C158">
        <v>222.8</v>
      </c>
      <c r="D158">
        <v>105</v>
      </c>
      <c r="E158">
        <v>1171.9000000000001</v>
      </c>
      <c r="F158">
        <v>1375</v>
      </c>
      <c r="G158" s="14">
        <f t="shared" si="61"/>
        <v>1394.7</v>
      </c>
      <c r="H158" s="2">
        <f t="shared" si="62"/>
        <v>1480</v>
      </c>
      <c r="I158" s="48">
        <f t="shared" si="63"/>
        <v>-5.7635135135135069</v>
      </c>
      <c r="J158">
        <v>0</v>
      </c>
    </row>
    <row r="159" spans="1:10" x14ac:dyDescent="0.25">
      <c r="A159" s="35">
        <f t="shared" si="1"/>
        <v>39940</v>
      </c>
      <c r="B159" s="84" t="s">
        <v>8</v>
      </c>
      <c r="C159">
        <v>223.6</v>
      </c>
      <c r="D159">
        <v>92.9</v>
      </c>
      <c r="E159">
        <v>1180.3</v>
      </c>
      <c r="F159">
        <v>1392.4</v>
      </c>
      <c r="G159" s="14">
        <f t="shared" si="61"/>
        <v>1403.8999999999999</v>
      </c>
      <c r="H159" s="2">
        <f t="shared" si="62"/>
        <v>1485.3000000000002</v>
      </c>
      <c r="I159" s="48">
        <f t="shared" si="63"/>
        <v>-5.480374335151172</v>
      </c>
      <c r="J159">
        <v>0</v>
      </c>
    </row>
    <row r="160" spans="1:10" x14ac:dyDescent="0.25">
      <c r="A160" s="35">
        <f t="shared" si="1"/>
        <v>39947</v>
      </c>
      <c r="B160" s="84" t="s">
        <v>8</v>
      </c>
      <c r="C160">
        <v>226.2</v>
      </c>
      <c r="D160">
        <v>63.3</v>
      </c>
      <c r="E160">
        <v>1232.9000000000001</v>
      </c>
      <c r="F160">
        <v>1427.3</v>
      </c>
      <c r="G160" s="14">
        <f t="shared" si="61"/>
        <v>1459.1000000000001</v>
      </c>
      <c r="H160" s="2">
        <f t="shared" si="62"/>
        <v>1490.6</v>
      </c>
      <c r="I160" s="48">
        <f t="shared" si="63"/>
        <v>-2.1132429894002214</v>
      </c>
      <c r="J160">
        <v>0</v>
      </c>
    </row>
    <row r="161" spans="1:10" x14ac:dyDescent="0.25">
      <c r="A161" s="35">
        <f t="shared" si="1"/>
        <v>39954</v>
      </c>
      <c r="B161" s="84" t="s">
        <v>8</v>
      </c>
      <c r="C161">
        <v>233.7</v>
      </c>
      <c r="D161">
        <v>69.7</v>
      </c>
      <c r="E161">
        <v>1219.3</v>
      </c>
      <c r="F161">
        <v>1440.5</v>
      </c>
      <c r="G161" s="14">
        <f t="shared" si="61"/>
        <v>1453</v>
      </c>
      <c r="H161" s="2">
        <f t="shared" si="62"/>
        <v>1510.2</v>
      </c>
      <c r="I161" s="48">
        <f t="shared" si="63"/>
        <v>-3.7875778042643415</v>
      </c>
      <c r="J161">
        <v>0</v>
      </c>
    </row>
    <row r="162" spans="1:10" x14ac:dyDescent="0.25">
      <c r="A162" s="35">
        <f t="shared" si="1"/>
        <v>39961</v>
      </c>
      <c r="B162" s="84" t="s">
        <v>8</v>
      </c>
      <c r="C162">
        <v>213.5</v>
      </c>
      <c r="D162">
        <v>66</v>
      </c>
      <c r="E162">
        <v>1239.5</v>
      </c>
      <c r="F162">
        <v>1455</v>
      </c>
      <c r="G162" s="14">
        <f t="shared" si="61"/>
        <v>1453</v>
      </c>
      <c r="H162" s="2">
        <f t="shared" si="62"/>
        <v>1521</v>
      </c>
      <c r="I162" s="48">
        <f t="shared" si="63"/>
        <v>-4.4707429322813912</v>
      </c>
      <c r="J162">
        <v>0</v>
      </c>
    </row>
    <row r="163" spans="1:10" x14ac:dyDescent="0.25">
      <c r="A163" s="35">
        <f t="shared" si="1"/>
        <v>39968</v>
      </c>
      <c r="B163" s="84" t="s">
        <v>8</v>
      </c>
      <c r="C163">
        <v>208.5</v>
      </c>
      <c r="D163">
        <v>75.8</v>
      </c>
      <c r="E163">
        <v>1245.5</v>
      </c>
      <c r="F163">
        <v>1464.2</v>
      </c>
      <c r="G163" s="14">
        <f t="shared" si="61"/>
        <v>1454</v>
      </c>
      <c r="H163" s="2">
        <f t="shared" si="62"/>
        <v>1540</v>
      </c>
      <c r="I163" s="48">
        <f t="shared" si="63"/>
        <v>-5.5844155844155807</v>
      </c>
      <c r="J163">
        <v>0</v>
      </c>
    </row>
    <row r="164" spans="1:10" x14ac:dyDescent="0.25">
      <c r="A164" s="35">
        <f t="shared" si="1"/>
        <v>39975</v>
      </c>
      <c r="B164" s="84" t="s">
        <v>8</v>
      </c>
      <c r="C164">
        <v>203.7</v>
      </c>
      <c r="D164">
        <v>73.3</v>
      </c>
      <c r="E164">
        <v>1250.4000000000001</v>
      </c>
      <c r="F164">
        <v>1487.3</v>
      </c>
      <c r="G164" s="14">
        <f t="shared" si="61"/>
        <v>1454.1000000000001</v>
      </c>
      <c r="H164" s="2">
        <f t="shared" si="62"/>
        <v>1560.6</v>
      </c>
      <c r="I164" s="48">
        <f t="shared" si="63"/>
        <v>-6.8242983467896812</v>
      </c>
      <c r="J164">
        <v>0</v>
      </c>
    </row>
    <row r="165" spans="1:10" x14ac:dyDescent="0.25">
      <c r="A165" s="35">
        <f t="shared" si="1"/>
        <v>39982</v>
      </c>
      <c r="B165" s="84" t="s">
        <v>8</v>
      </c>
      <c r="C165">
        <v>174.3</v>
      </c>
      <c r="D165">
        <v>78.8</v>
      </c>
      <c r="E165">
        <v>1284.5</v>
      </c>
      <c r="F165">
        <v>1497.3</v>
      </c>
      <c r="G165" s="14">
        <f t="shared" si="61"/>
        <v>1458.8</v>
      </c>
      <c r="H165" s="2">
        <f t="shared" si="62"/>
        <v>1576.1</v>
      </c>
      <c r="I165" s="48">
        <f t="shared" si="63"/>
        <v>-7.4424211661696553</v>
      </c>
      <c r="J165">
        <v>0</v>
      </c>
    </row>
    <row r="166" spans="1:10" x14ac:dyDescent="0.25">
      <c r="A166" s="35">
        <f t="shared" si="1"/>
        <v>39989</v>
      </c>
      <c r="B166" s="84" t="s">
        <v>8</v>
      </c>
      <c r="C166">
        <v>227</v>
      </c>
      <c r="D166">
        <v>102.7</v>
      </c>
      <c r="E166">
        <v>1290.5</v>
      </c>
      <c r="F166">
        <v>1504.8</v>
      </c>
      <c r="G166" s="14">
        <f t="shared" si="61"/>
        <v>1517.5</v>
      </c>
      <c r="H166" s="2">
        <f t="shared" si="62"/>
        <v>1607.5</v>
      </c>
      <c r="I166" s="48">
        <f t="shared" si="63"/>
        <v>-5.5987558320373276</v>
      </c>
      <c r="J166">
        <v>0</v>
      </c>
    </row>
    <row r="167" spans="1:10" x14ac:dyDescent="0.25">
      <c r="A167" s="35">
        <f t="shared" si="1"/>
        <v>39996</v>
      </c>
      <c r="B167" s="84" t="s">
        <v>8</v>
      </c>
      <c r="C167">
        <v>219.9</v>
      </c>
      <c r="D167">
        <v>107.3</v>
      </c>
      <c r="E167">
        <v>1308.5</v>
      </c>
      <c r="F167">
        <v>1517.7</v>
      </c>
      <c r="G167" s="14">
        <f t="shared" si="61"/>
        <v>1528.4</v>
      </c>
      <c r="H167" s="2">
        <f t="shared" si="62"/>
        <v>1625</v>
      </c>
      <c r="I167" s="48">
        <f t="shared" si="63"/>
        <v>-5.944615384615382</v>
      </c>
      <c r="J167">
        <v>0</v>
      </c>
    </row>
    <row r="168" spans="1:10" x14ac:dyDescent="0.25">
      <c r="A168" s="35">
        <f t="shared" si="1"/>
        <v>40003</v>
      </c>
      <c r="B168" s="84" t="s">
        <v>8</v>
      </c>
      <c r="C168">
        <v>206.4</v>
      </c>
      <c r="D168">
        <v>142.9</v>
      </c>
      <c r="E168">
        <v>1322.6</v>
      </c>
      <c r="F168">
        <v>1528.4</v>
      </c>
      <c r="G168" s="14">
        <f t="shared" si="61"/>
        <v>1529</v>
      </c>
      <c r="H168" s="2">
        <f t="shared" si="62"/>
        <v>1671.3000000000002</v>
      </c>
      <c r="I168" s="48">
        <f t="shared" si="63"/>
        <v>-8.5143301621492302</v>
      </c>
      <c r="J168">
        <v>0</v>
      </c>
    </row>
    <row r="169" spans="1:10" x14ac:dyDescent="0.25">
      <c r="A169" s="35">
        <f t="shared" si="1"/>
        <v>40010</v>
      </c>
      <c r="B169" s="84" t="s">
        <v>8</v>
      </c>
      <c r="C169">
        <v>175.4</v>
      </c>
      <c r="D169">
        <v>146.6</v>
      </c>
      <c r="E169">
        <v>1372.8</v>
      </c>
      <c r="F169">
        <v>1550.4</v>
      </c>
      <c r="G169" s="14">
        <f t="shared" si="61"/>
        <v>1548.2</v>
      </c>
      <c r="H169" s="2">
        <f t="shared" si="62"/>
        <v>1697</v>
      </c>
      <c r="I169" s="48">
        <f t="shared" si="63"/>
        <v>-8.7684148497348176</v>
      </c>
      <c r="J169">
        <v>0</v>
      </c>
    </row>
    <row r="170" spans="1:10" x14ac:dyDescent="0.25">
      <c r="A170" s="35">
        <f t="shared" si="1"/>
        <v>40017</v>
      </c>
      <c r="B170" s="84" t="s">
        <v>8</v>
      </c>
      <c r="C170">
        <v>200.9</v>
      </c>
      <c r="D170">
        <v>149.5</v>
      </c>
      <c r="E170">
        <v>1380.1</v>
      </c>
      <c r="F170">
        <v>1573.6</v>
      </c>
      <c r="G170" s="14">
        <f t="shared" si="61"/>
        <v>1581</v>
      </c>
      <c r="H170" s="2">
        <f t="shared" si="62"/>
        <v>1723.1</v>
      </c>
      <c r="I170" s="48">
        <f t="shared" si="63"/>
        <v>-8.2467645522604549</v>
      </c>
    </row>
    <row r="171" spans="1:10" x14ac:dyDescent="0.25">
      <c r="A171" s="35">
        <f t="shared" si="1"/>
        <v>40024</v>
      </c>
      <c r="B171" s="84" t="s">
        <v>8</v>
      </c>
      <c r="C171">
        <v>218.2</v>
      </c>
      <c r="D171">
        <v>166.6</v>
      </c>
      <c r="E171">
        <v>1381.6</v>
      </c>
      <c r="F171">
        <v>1596.3</v>
      </c>
      <c r="G171" s="14">
        <f t="shared" si="61"/>
        <v>1599.8</v>
      </c>
      <c r="H171" s="2">
        <f t="shared" si="62"/>
        <v>1762.8999999999999</v>
      </c>
      <c r="I171" s="48">
        <f t="shared" si="63"/>
        <v>-9.251801009699923</v>
      </c>
      <c r="J171">
        <v>1</v>
      </c>
    </row>
    <row r="172" spans="1:10" x14ac:dyDescent="0.25">
      <c r="A172" s="35">
        <f t="shared" si="1"/>
        <v>40031</v>
      </c>
      <c r="B172" s="84" t="s">
        <v>8</v>
      </c>
      <c r="C172">
        <v>239.1</v>
      </c>
      <c r="D172">
        <v>159.69999999999999</v>
      </c>
      <c r="E172">
        <v>1435.2</v>
      </c>
      <c r="F172">
        <v>1627.3</v>
      </c>
      <c r="G172" s="14">
        <f t="shared" si="61"/>
        <v>1674.3</v>
      </c>
      <c r="H172" s="2">
        <f t="shared" si="62"/>
        <v>1787</v>
      </c>
      <c r="I172" s="48">
        <f t="shared" si="63"/>
        <v>-6.3066592053721333</v>
      </c>
      <c r="J172">
        <v>1</v>
      </c>
    </row>
    <row r="173" spans="1:10" x14ac:dyDescent="0.25">
      <c r="A173" s="35">
        <f t="shared" si="1"/>
        <v>40038</v>
      </c>
      <c r="B173" s="84" t="s">
        <v>8</v>
      </c>
      <c r="C173">
        <v>246</v>
      </c>
      <c r="D173">
        <v>143.1</v>
      </c>
      <c r="E173">
        <v>1439.3</v>
      </c>
      <c r="F173">
        <v>1657.9</v>
      </c>
      <c r="G173" s="14">
        <f t="shared" si="61"/>
        <v>1685.3</v>
      </c>
      <c r="H173" s="2">
        <f t="shared" si="62"/>
        <v>1801</v>
      </c>
      <c r="I173" s="48">
        <f t="shared" si="63"/>
        <v>-6.4242087729039499</v>
      </c>
      <c r="J173">
        <v>70</v>
      </c>
    </row>
    <row r="174" spans="1:10" x14ac:dyDescent="0.25">
      <c r="A174" s="35">
        <f t="shared" si="1"/>
        <v>40045</v>
      </c>
      <c r="B174" s="84" t="s">
        <v>8</v>
      </c>
      <c r="C174">
        <v>247.8</v>
      </c>
      <c r="D174">
        <v>141.5</v>
      </c>
      <c r="E174">
        <v>1445.6</v>
      </c>
      <c r="F174">
        <v>1683.2</v>
      </c>
      <c r="G174" s="14">
        <f t="shared" si="61"/>
        <v>1693.3999999999999</v>
      </c>
      <c r="H174" s="2">
        <f t="shared" si="62"/>
        <v>1824.7</v>
      </c>
      <c r="I174" s="48">
        <f t="shared" si="63"/>
        <v>-7.1957034032991807</v>
      </c>
      <c r="J174">
        <v>73</v>
      </c>
    </row>
    <row r="175" spans="1:10" x14ac:dyDescent="0.25">
      <c r="A175" s="35">
        <f t="shared" si="1"/>
        <v>40052</v>
      </c>
      <c r="B175" s="84" t="s">
        <v>8</v>
      </c>
      <c r="C175">
        <v>219.7</v>
      </c>
      <c r="D175">
        <v>93.3</v>
      </c>
      <c r="E175">
        <v>1530.9</v>
      </c>
      <c r="F175">
        <v>1724.3</v>
      </c>
      <c r="G175" s="14">
        <f t="shared" si="61"/>
        <v>1750.6000000000001</v>
      </c>
      <c r="H175" s="2">
        <f t="shared" si="62"/>
        <v>1817.6</v>
      </c>
      <c r="I175" s="48">
        <f t="shared" si="63"/>
        <v>-3.6861795774647765</v>
      </c>
      <c r="J175">
        <v>87</v>
      </c>
    </row>
    <row r="176" spans="1:10" x14ac:dyDescent="0.25">
      <c r="A176" s="35">
        <f t="shared" si="1"/>
        <v>40059</v>
      </c>
      <c r="B176" s="84" t="s">
        <v>8</v>
      </c>
      <c r="C176">
        <v>369.6</v>
      </c>
      <c r="D176">
        <v>170</v>
      </c>
      <c r="E176">
        <v>1.9</v>
      </c>
      <c r="F176">
        <v>12.2</v>
      </c>
      <c r="G176" s="14">
        <f t="shared" si="61"/>
        <v>371.5</v>
      </c>
      <c r="H176" s="2">
        <f t="shared" si="62"/>
        <v>182.2</v>
      </c>
      <c r="I176" s="48">
        <f t="shared" si="63"/>
        <v>103.89681668496161</v>
      </c>
    </row>
    <row r="177" spans="1:9" x14ac:dyDescent="0.25">
      <c r="A177" s="35">
        <f t="shared" si="1"/>
        <v>40066</v>
      </c>
      <c r="B177" s="84" t="s">
        <v>8</v>
      </c>
      <c r="C177">
        <v>339.2</v>
      </c>
      <c r="D177">
        <v>197.3</v>
      </c>
      <c r="E177">
        <v>2.6</v>
      </c>
      <c r="F177">
        <v>28.4</v>
      </c>
      <c r="G177" s="14">
        <f t="shared" si="61"/>
        <v>341.8</v>
      </c>
      <c r="H177" s="2">
        <f t="shared" si="62"/>
        <v>225.70000000000002</v>
      </c>
      <c r="I177" s="48">
        <f t="shared" si="63"/>
        <v>51.439964554718642</v>
      </c>
    </row>
    <row r="178" spans="1:9" x14ac:dyDescent="0.25">
      <c r="A178" s="35">
        <f t="shared" si="1"/>
        <v>40073</v>
      </c>
      <c r="B178" s="84" t="s">
        <v>8</v>
      </c>
      <c r="C178">
        <v>342.2</v>
      </c>
      <c r="D178">
        <v>203.8</v>
      </c>
      <c r="E178">
        <v>14.1</v>
      </c>
      <c r="F178">
        <v>39.200000000000003</v>
      </c>
      <c r="G178" s="14">
        <f t="shared" si="61"/>
        <v>356.3</v>
      </c>
      <c r="H178" s="2">
        <f t="shared" si="62"/>
        <v>243</v>
      </c>
      <c r="I178" s="48">
        <f t="shared" si="63"/>
        <v>46.625514403292186</v>
      </c>
    </row>
    <row r="179" spans="1:9" x14ac:dyDescent="0.25">
      <c r="A179" s="35">
        <f t="shared" si="1"/>
        <v>40080</v>
      </c>
      <c r="B179" s="84" t="s">
        <v>8</v>
      </c>
      <c r="C179">
        <v>368.2</v>
      </c>
      <c r="D179">
        <v>205.7</v>
      </c>
      <c r="E179">
        <v>16.7</v>
      </c>
      <c r="F179">
        <v>64.2</v>
      </c>
      <c r="G179" s="14">
        <f t="shared" si="61"/>
        <v>384.9</v>
      </c>
      <c r="H179" s="2">
        <f t="shared" si="62"/>
        <v>269.89999999999998</v>
      </c>
      <c r="I179" s="48">
        <f t="shared" si="63"/>
        <v>42.608373471656179</v>
      </c>
    </row>
    <row r="180" spans="1:9" x14ac:dyDescent="0.25">
      <c r="A180" s="35">
        <f t="shared" si="1"/>
        <v>40087</v>
      </c>
      <c r="B180" s="84" t="s">
        <v>8</v>
      </c>
      <c r="C180">
        <v>373.5</v>
      </c>
      <c r="D180">
        <v>261.89999999999998</v>
      </c>
      <c r="E180">
        <v>19.3</v>
      </c>
      <c r="F180">
        <v>82.8</v>
      </c>
      <c r="G180" s="14">
        <f t="shared" si="61"/>
        <v>392.8</v>
      </c>
      <c r="H180" s="2">
        <f t="shared" si="62"/>
        <v>344.7</v>
      </c>
      <c r="I180" s="48">
        <f t="shared" si="63"/>
        <v>13.954163040324929</v>
      </c>
    </row>
    <row r="181" spans="1:9" x14ac:dyDescent="0.25">
      <c r="A181" s="35">
        <f t="shared" si="1"/>
        <v>40094</v>
      </c>
      <c r="B181" s="84" t="s">
        <v>8</v>
      </c>
      <c r="C181">
        <v>547</v>
      </c>
      <c r="D181">
        <v>248.4</v>
      </c>
      <c r="E181">
        <v>21.9</v>
      </c>
      <c r="F181">
        <v>99.7</v>
      </c>
      <c r="G181" s="14">
        <f t="shared" si="61"/>
        <v>568.9</v>
      </c>
      <c r="H181" s="2">
        <f t="shared" si="62"/>
        <v>348.1</v>
      </c>
      <c r="I181" s="48">
        <f t="shared" si="63"/>
        <v>63.430048836541197</v>
      </c>
    </row>
    <row r="182" spans="1:9" x14ac:dyDescent="0.25">
      <c r="A182" s="35">
        <f t="shared" si="1"/>
        <v>40101</v>
      </c>
      <c r="B182" s="84" t="s">
        <v>8</v>
      </c>
      <c r="C182">
        <v>492.1</v>
      </c>
      <c r="D182">
        <v>277</v>
      </c>
      <c r="E182">
        <v>83.7</v>
      </c>
      <c r="F182">
        <v>117.2</v>
      </c>
      <c r="G182" s="14">
        <f t="shared" si="61"/>
        <v>575.80000000000007</v>
      </c>
      <c r="H182" s="2">
        <f t="shared" si="62"/>
        <v>394.2</v>
      </c>
      <c r="I182" s="48">
        <f t="shared" si="63"/>
        <v>46.067985794013211</v>
      </c>
    </row>
    <row r="183" spans="1:9" x14ac:dyDescent="0.25">
      <c r="A183" s="35">
        <f t="shared" si="1"/>
        <v>40108</v>
      </c>
      <c r="B183" s="84" t="s">
        <v>8</v>
      </c>
      <c r="C183">
        <v>496.2</v>
      </c>
      <c r="D183">
        <v>244.7</v>
      </c>
      <c r="E183">
        <v>150.30000000000001</v>
      </c>
      <c r="F183">
        <v>156.30000000000001</v>
      </c>
      <c r="G183" s="14">
        <f t="shared" si="61"/>
        <v>646.5</v>
      </c>
      <c r="H183" s="2">
        <f t="shared" si="62"/>
        <v>401</v>
      </c>
      <c r="I183" s="48">
        <f t="shared" si="63"/>
        <v>61.221945137157107</v>
      </c>
    </row>
    <row r="184" spans="1:9" x14ac:dyDescent="0.25">
      <c r="A184" s="35">
        <f t="shared" si="1"/>
        <v>40115</v>
      </c>
      <c r="B184" s="84" t="s">
        <v>8</v>
      </c>
      <c r="C184">
        <v>458.2</v>
      </c>
      <c r="D184">
        <v>356.9</v>
      </c>
      <c r="E184">
        <v>220</v>
      </c>
      <c r="F184">
        <v>227.2</v>
      </c>
      <c r="G184" s="14">
        <f t="shared" si="61"/>
        <v>678.2</v>
      </c>
      <c r="H184" s="2">
        <f t="shared" si="62"/>
        <v>584.09999999999991</v>
      </c>
      <c r="I184" s="48">
        <f t="shared" si="63"/>
        <v>16.11025509330597</v>
      </c>
    </row>
    <row r="185" spans="1:9" x14ac:dyDescent="0.25">
      <c r="A185" s="35">
        <f t="shared" si="1"/>
        <v>40122</v>
      </c>
      <c r="B185" s="84" t="s">
        <v>8</v>
      </c>
      <c r="C185">
        <v>512.5</v>
      </c>
      <c r="D185">
        <v>300.7</v>
      </c>
      <c r="E185">
        <v>237.4</v>
      </c>
      <c r="F185">
        <v>386.8</v>
      </c>
      <c r="G185" s="14">
        <f t="shared" si="61"/>
        <v>749.9</v>
      </c>
      <c r="H185" s="2">
        <f t="shared" si="62"/>
        <v>687.5</v>
      </c>
      <c r="I185" s="48">
        <f t="shared" si="63"/>
        <v>9.076363636363638</v>
      </c>
    </row>
    <row r="186" spans="1:9" x14ac:dyDescent="0.25">
      <c r="A186" s="35">
        <f t="shared" si="1"/>
        <v>40129</v>
      </c>
      <c r="B186" s="84" t="s">
        <v>8</v>
      </c>
      <c r="C186">
        <v>451.9</v>
      </c>
      <c r="D186">
        <v>300.7</v>
      </c>
      <c r="E186">
        <v>384.1</v>
      </c>
      <c r="F186">
        <v>386.8</v>
      </c>
      <c r="G186" s="14">
        <f t="shared" ref="G186:G217" si="64">+C186+E186</f>
        <v>836</v>
      </c>
      <c r="H186" s="2">
        <f t="shared" ref="H186:H217" si="65">+D186+F186</f>
        <v>687.5</v>
      </c>
      <c r="I186" s="48">
        <f t="shared" ref="I186:I217" si="66">+(G186/H186-1)*100</f>
        <v>21.599999999999998</v>
      </c>
    </row>
    <row r="187" spans="1:9" x14ac:dyDescent="0.25">
      <c r="A187" s="35">
        <f t="shared" si="1"/>
        <v>40136</v>
      </c>
      <c r="B187" s="84" t="s">
        <v>8</v>
      </c>
      <c r="C187">
        <v>443</v>
      </c>
      <c r="D187">
        <v>297.10000000000002</v>
      </c>
      <c r="E187">
        <v>404.9</v>
      </c>
      <c r="F187">
        <v>406.6</v>
      </c>
      <c r="G187" s="14">
        <f t="shared" si="64"/>
        <v>847.9</v>
      </c>
      <c r="H187" s="2">
        <f t="shared" si="65"/>
        <v>703.7</v>
      </c>
      <c r="I187" s="48">
        <f t="shared" si="66"/>
        <v>20.491686798351559</v>
      </c>
    </row>
    <row r="188" spans="1:9" x14ac:dyDescent="0.25">
      <c r="A188" s="35">
        <f t="shared" si="1"/>
        <v>40143</v>
      </c>
      <c r="B188" s="84" t="s">
        <v>8</v>
      </c>
      <c r="C188">
        <v>410.6</v>
      </c>
      <c r="D188">
        <v>230.5</v>
      </c>
      <c r="E188">
        <v>550.20000000000005</v>
      </c>
      <c r="F188">
        <v>479.4</v>
      </c>
      <c r="G188" s="14">
        <f t="shared" si="64"/>
        <v>960.80000000000007</v>
      </c>
      <c r="H188" s="2">
        <f t="shared" si="65"/>
        <v>709.9</v>
      </c>
      <c r="I188" s="48">
        <f t="shared" si="66"/>
        <v>35.343006057191161</v>
      </c>
    </row>
    <row r="189" spans="1:9" x14ac:dyDescent="0.25">
      <c r="A189" s="35">
        <f t="shared" si="1"/>
        <v>40150</v>
      </c>
      <c r="B189" s="84" t="s">
        <v>8</v>
      </c>
      <c r="C189">
        <v>412.1</v>
      </c>
      <c r="D189">
        <v>169.8</v>
      </c>
      <c r="E189">
        <v>566.5</v>
      </c>
      <c r="F189">
        <v>546.70000000000005</v>
      </c>
      <c r="G189" s="14">
        <f t="shared" si="64"/>
        <v>978.6</v>
      </c>
      <c r="H189" s="2">
        <f t="shared" si="65"/>
        <v>716.5</v>
      </c>
      <c r="I189" s="48">
        <f t="shared" si="66"/>
        <v>36.580600139567345</v>
      </c>
    </row>
    <row r="190" spans="1:9" x14ac:dyDescent="0.25">
      <c r="A190" s="35">
        <f t="shared" si="1"/>
        <v>40157</v>
      </c>
      <c r="B190" s="84" t="s">
        <v>8</v>
      </c>
      <c r="C190">
        <v>407.6</v>
      </c>
      <c r="D190">
        <v>108.3</v>
      </c>
      <c r="E190">
        <v>580.5</v>
      </c>
      <c r="F190">
        <v>617.5</v>
      </c>
      <c r="G190" s="14">
        <f t="shared" si="64"/>
        <v>988.1</v>
      </c>
      <c r="H190" s="2">
        <f t="shared" si="65"/>
        <v>725.8</v>
      </c>
      <c r="I190" s="48">
        <f t="shared" si="66"/>
        <v>36.139432350509807</v>
      </c>
    </row>
    <row r="191" spans="1:9" x14ac:dyDescent="0.25">
      <c r="A191" s="35">
        <f t="shared" si="1"/>
        <v>40164</v>
      </c>
      <c r="B191" s="84" t="s">
        <v>8</v>
      </c>
      <c r="C191">
        <v>442.2</v>
      </c>
      <c r="D191">
        <v>144.9</v>
      </c>
      <c r="E191">
        <v>614.5</v>
      </c>
      <c r="F191">
        <v>640.5</v>
      </c>
      <c r="G191" s="14">
        <f t="shared" si="64"/>
        <v>1056.7</v>
      </c>
      <c r="H191" s="2">
        <f t="shared" si="65"/>
        <v>785.4</v>
      </c>
      <c r="I191" s="48">
        <f t="shared" si="66"/>
        <v>34.542908072319854</v>
      </c>
    </row>
    <row r="192" spans="1:9" x14ac:dyDescent="0.25">
      <c r="A192" s="35">
        <f t="shared" si="1"/>
        <v>40171</v>
      </c>
      <c r="B192" s="84" t="s">
        <v>8</v>
      </c>
      <c r="C192">
        <v>450.9</v>
      </c>
      <c r="D192">
        <v>145.69999999999999</v>
      </c>
      <c r="E192">
        <v>628</v>
      </c>
      <c r="F192">
        <v>640.79999999999995</v>
      </c>
      <c r="G192" s="14">
        <f t="shared" si="64"/>
        <v>1078.9000000000001</v>
      </c>
      <c r="H192" s="2">
        <f t="shared" si="65"/>
        <v>786.5</v>
      </c>
      <c r="I192" s="48">
        <f t="shared" si="66"/>
        <v>37.177368086459019</v>
      </c>
    </row>
    <row r="193" spans="1:9" x14ac:dyDescent="0.25">
      <c r="A193" s="35">
        <f t="shared" si="1"/>
        <v>40178</v>
      </c>
      <c r="B193" s="84" t="s">
        <v>8</v>
      </c>
      <c r="C193">
        <v>456</v>
      </c>
      <c r="D193">
        <v>208.4</v>
      </c>
      <c r="E193">
        <v>638.9</v>
      </c>
      <c r="F193">
        <v>643.79999999999995</v>
      </c>
      <c r="G193" s="14">
        <f t="shared" si="64"/>
        <v>1094.9000000000001</v>
      </c>
      <c r="H193" s="2">
        <f t="shared" si="65"/>
        <v>852.19999999999993</v>
      </c>
      <c r="I193" s="48">
        <f t="shared" si="66"/>
        <v>28.479230227646113</v>
      </c>
    </row>
    <row r="194" spans="1:9" x14ac:dyDescent="0.25">
      <c r="A194" s="35">
        <f t="shared" si="1"/>
        <v>40185</v>
      </c>
      <c r="B194" s="84" t="s">
        <v>8</v>
      </c>
      <c r="C194">
        <v>325.60000000000002</v>
      </c>
      <c r="D194">
        <v>204.7</v>
      </c>
      <c r="E194">
        <v>774.3</v>
      </c>
      <c r="F194">
        <v>656.3</v>
      </c>
      <c r="G194" s="14">
        <f t="shared" si="64"/>
        <v>1099.9000000000001</v>
      </c>
      <c r="H194" s="2">
        <f t="shared" si="65"/>
        <v>861</v>
      </c>
      <c r="I194" s="48">
        <f t="shared" si="66"/>
        <v>27.74680603948898</v>
      </c>
    </row>
    <row r="195" spans="1:9" x14ac:dyDescent="0.25">
      <c r="A195" s="35">
        <f t="shared" si="1"/>
        <v>40192</v>
      </c>
      <c r="B195" s="84" t="s">
        <v>8</v>
      </c>
      <c r="C195">
        <v>350.5</v>
      </c>
      <c r="D195">
        <v>236.5</v>
      </c>
      <c r="E195">
        <v>791.1</v>
      </c>
      <c r="F195">
        <v>721.5</v>
      </c>
      <c r="G195" s="14">
        <f t="shared" si="64"/>
        <v>1141.5999999999999</v>
      </c>
      <c r="H195" s="2">
        <f t="shared" si="65"/>
        <v>958</v>
      </c>
      <c r="I195" s="48">
        <f t="shared" si="66"/>
        <v>19.16492693110645</v>
      </c>
    </row>
    <row r="196" spans="1:9" x14ac:dyDescent="0.25">
      <c r="A196" s="35">
        <f t="shared" si="1"/>
        <v>40199</v>
      </c>
      <c r="B196" s="84" t="s">
        <v>8</v>
      </c>
      <c r="C196">
        <v>285.39999999999998</v>
      </c>
      <c r="D196">
        <v>251</v>
      </c>
      <c r="E196">
        <v>871.8</v>
      </c>
      <c r="F196">
        <v>748.5</v>
      </c>
      <c r="G196" s="14">
        <f t="shared" si="64"/>
        <v>1157.1999999999998</v>
      </c>
      <c r="H196" s="2">
        <f t="shared" si="65"/>
        <v>999.5</v>
      </c>
      <c r="I196" s="48">
        <f t="shared" si="66"/>
        <v>15.777888944472206</v>
      </c>
    </row>
    <row r="197" spans="1:9" x14ac:dyDescent="0.25">
      <c r="A197" s="35">
        <f t="shared" si="1"/>
        <v>40206</v>
      </c>
      <c r="B197" s="84" t="s">
        <v>8</v>
      </c>
      <c r="C197">
        <v>319.2</v>
      </c>
      <c r="D197">
        <v>207.9</v>
      </c>
      <c r="E197">
        <v>886.7</v>
      </c>
      <c r="F197">
        <v>796.8</v>
      </c>
      <c r="G197" s="14">
        <f t="shared" si="64"/>
        <v>1205.9000000000001</v>
      </c>
      <c r="H197" s="2">
        <f t="shared" si="65"/>
        <v>1004.6999999999999</v>
      </c>
      <c r="I197" s="48">
        <f t="shared" si="66"/>
        <v>20.025878371653238</v>
      </c>
    </row>
    <row r="198" spans="1:9" x14ac:dyDescent="0.25">
      <c r="A198" s="35">
        <f t="shared" si="1"/>
        <v>40213</v>
      </c>
      <c r="B198" s="84" t="s">
        <v>8</v>
      </c>
      <c r="C198">
        <v>291.5</v>
      </c>
      <c r="D198">
        <v>152.80000000000001</v>
      </c>
      <c r="E198">
        <v>914.7</v>
      </c>
      <c r="F198">
        <v>859.6</v>
      </c>
      <c r="G198" s="14">
        <f t="shared" si="64"/>
        <v>1206.2</v>
      </c>
      <c r="H198" s="2">
        <f t="shared" si="65"/>
        <v>1012.4000000000001</v>
      </c>
      <c r="I198" s="48">
        <f t="shared" si="66"/>
        <v>19.142631370999609</v>
      </c>
    </row>
    <row r="199" spans="1:9" x14ac:dyDescent="0.25">
      <c r="A199" s="35">
        <f t="shared" si="1"/>
        <v>40220</v>
      </c>
      <c r="B199" s="84" t="s">
        <v>8</v>
      </c>
      <c r="C199">
        <v>222.7</v>
      </c>
      <c r="D199">
        <v>162.30000000000001</v>
      </c>
      <c r="E199">
        <v>995.7</v>
      </c>
      <c r="F199">
        <v>867.4</v>
      </c>
      <c r="G199" s="14">
        <f t="shared" si="64"/>
        <v>1218.4000000000001</v>
      </c>
      <c r="H199" s="2">
        <f t="shared" si="65"/>
        <v>1029.7</v>
      </c>
      <c r="I199" s="48">
        <f t="shared" si="66"/>
        <v>18.325725939594051</v>
      </c>
    </row>
    <row r="200" spans="1:9" x14ac:dyDescent="0.25">
      <c r="A200" s="35">
        <f t="shared" si="1"/>
        <v>40227</v>
      </c>
      <c r="B200" s="84" t="s">
        <v>8</v>
      </c>
      <c r="C200">
        <v>192.7</v>
      </c>
      <c r="D200">
        <v>150.9</v>
      </c>
      <c r="E200">
        <v>1028.0999999999999</v>
      </c>
      <c r="F200">
        <v>929.5</v>
      </c>
      <c r="G200" s="14">
        <f t="shared" si="64"/>
        <v>1220.8</v>
      </c>
      <c r="H200" s="2">
        <f t="shared" si="65"/>
        <v>1080.4000000000001</v>
      </c>
      <c r="I200" s="48">
        <f t="shared" si="66"/>
        <v>12.995186967789696</v>
      </c>
    </row>
    <row r="201" spans="1:9" x14ac:dyDescent="0.25">
      <c r="A201" s="35">
        <f t="shared" si="1"/>
        <v>40234</v>
      </c>
      <c r="B201" s="84" t="s">
        <v>8</v>
      </c>
      <c r="C201">
        <v>178.5</v>
      </c>
      <c r="D201">
        <v>146.1</v>
      </c>
      <c r="E201">
        <v>1049.9000000000001</v>
      </c>
      <c r="F201">
        <v>945.5</v>
      </c>
      <c r="G201" s="14">
        <f t="shared" si="64"/>
        <v>1228.4000000000001</v>
      </c>
      <c r="H201" s="2">
        <f t="shared" si="65"/>
        <v>1091.5999999999999</v>
      </c>
      <c r="I201" s="48">
        <f t="shared" si="66"/>
        <v>12.532063026749739</v>
      </c>
    </row>
    <row r="202" spans="1:9" x14ac:dyDescent="0.25">
      <c r="A202" s="35">
        <f t="shared" si="1"/>
        <v>40241</v>
      </c>
      <c r="B202" s="84" t="s">
        <v>8</v>
      </c>
      <c r="C202">
        <v>184.9</v>
      </c>
      <c r="D202">
        <v>126.9</v>
      </c>
      <c r="E202">
        <v>1064.5</v>
      </c>
      <c r="F202">
        <v>1024.4000000000001</v>
      </c>
      <c r="G202" s="14">
        <f t="shared" si="64"/>
        <v>1249.4000000000001</v>
      </c>
      <c r="H202" s="2">
        <f t="shared" si="65"/>
        <v>1151.3000000000002</v>
      </c>
      <c r="I202" s="48">
        <f t="shared" si="66"/>
        <v>8.5208025710066693</v>
      </c>
    </row>
    <row r="203" spans="1:9" x14ac:dyDescent="0.25">
      <c r="A203" s="35">
        <f t="shared" si="1"/>
        <v>40248</v>
      </c>
      <c r="B203" s="84" t="s">
        <v>8</v>
      </c>
      <c r="C203">
        <v>177.1</v>
      </c>
      <c r="D203">
        <v>173.3</v>
      </c>
      <c r="E203">
        <v>1077.7</v>
      </c>
      <c r="F203">
        <v>1032.7</v>
      </c>
      <c r="G203" s="14">
        <f t="shared" si="64"/>
        <v>1254.8</v>
      </c>
      <c r="H203" s="2">
        <f t="shared" si="65"/>
        <v>1206</v>
      </c>
      <c r="I203" s="48">
        <f t="shared" si="66"/>
        <v>4.0464344941956831</v>
      </c>
    </row>
    <row r="204" spans="1:9" x14ac:dyDescent="0.25">
      <c r="A204" s="35">
        <f t="shared" si="1"/>
        <v>40255</v>
      </c>
      <c r="B204" s="84" t="s">
        <v>8</v>
      </c>
      <c r="C204">
        <v>182.9</v>
      </c>
      <c r="D204">
        <v>123.6</v>
      </c>
      <c r="E204">
        <v>1142.5</v>
      </c>
      <c r="F204">
        <v>1098.2</v>
      </c>
      <c r="G204" s="14">
        <f t="shared" si="64"/>
        <v>1325.4</v>
      </c>
      <c r="H204" s="2">
        <f t="shared" si="65"/>
        <v>1221.8</v>
      </c>
      <c r="I204" s="48">
        <f t="shared" si="66"/>
        <v>8.4792928466197459</v>
      </c>
    </row>
    <row r="205" spans="1:9" x14ac:dyDescent="0.25">
      <c r="A205" s="35">
        <f t="shared" si="1"/>
        <v>40262</v>
      </c>
      <c r="B205" s="84" t="s">
        <v>8</v>
      </c>
      <c r="C205">
        <v>119.8</v>
      </c>
      <c r="D205">
        <v>154.9</v>
      </c>
      <c r="E205">
        <v>1211.0999999999999</v>
      </c>
      <c r="F205">
        <v>1105.7</v>
      </c>
      <c r="G205" s="14">
        <f t="shared" si="64"/>
        <v>1330.8999999999999</v>
      </c>
      <c r="H205" s="2">
        <f t="shared" si="65"/>
        <v>1260.6000000000001</v>
      </c>
      <c r="I205" s="48">
        <f t="shared" si="66"/>
        <v>5.5767095034110481</v>
      </c>
    </row>
    <row r="206" spans="1:9" x14ac:dyDescent="0.25">
      <c r="A206" s="35">
        <f t="shared" si="1"/>
        <v>40269</v>
      </c>
      <c r="B206" s="84" t="s">
        <v>8</v>
      </c>
      <c r="C206">
        <v>113.5</v>
      </c>
      <c r="D206">
        <v>196.1</v>
      </c>
      <c r="E206">
        <v>1217.4000000000001</v>
      </c>
      <c r="F206">
        <v>1113.5999999999999</v>
      </c>
      <c r="G206" s="14">
        <f t="shared" si="64"/>
        <v>1330.9</v>
      </c>
      <c r="H206" s="2">
        <f t="shared" si="65"/>
        <v>1309.6999999999998</v>
      </c>
      <c r="I206" s="48">
        <f t="shared" si="66"/>
        <v>1.6186913033519268</v>
      </c>
    </row>
    <row r="207" spans="1:9" x14ac:dyDescent="0.25">
      <c r="A207" s="35">
        <f t="shared" si="1"/>
        <v>40276</v>
      </c>
      <c r="B207" s="84" t="s">
        <v>8</v>
      </c>
      <c r="C207">
        <v>94.4</v>
      </c>
      <c r="D207">
        <v>193</v>
      </c>
      <c r="E207">
        <v>1237.0999999999999</v>
      </c>
      <c r="F207">
        <v>1124.3</v>
      </c>
      <c r="G207" s="14">
        <f t="shared" si="64"/>
        <v>1331.5</v>
      </c>
      <c r="H207" s="2">
        <f t="shared" si="65"/>
        <v>1317.3</v>
      </c>
      <c r="I207" s="48">
        <f t="shared" si="66"/>
        <v>1.0779624990510994</v>
      </c>
    </row>
    <row r="208" spans="1:9" x14ac:dyDescent="0.25">
      <c r="A208" s="35">
        <f t="shared" si="1"/>
        <v>40283</v>
      </c>
      <c r="B208" s="84" t="s">
        <v>8</v>
      </c>
      <c r="C208">
        <v>53.4</v>
      </c>
      <c r="D208">
        <v>218</v>
      </c>
      <c r="E208">
        <v>1285.5</v>
      </c>
      <c r="F208">
        <v>1144.7</v>
      </c>
      <c r="G208" s="14">
        <f t="shared" si="64"/>
        <v>1338.9</v>
      </c>
      <c r="H208" s="2">
        <f t="shared" si="65"/>
        <v>1362.7</v>
      </c>
      <c r="I208" s="48">
        <f t="shared" si="66"/>
        <v>-1.7465326190650887</v>
      </c>
    </row>
    <row r="209" spans="1:10" x14ac:dyDescent="0.25">
      <c r="A209" s="35">
        <f t="shared" si="1"/>
        <v>40290</v>
      </c>
      <c r="B209" s="84" t="s">
        <v>8</v>
      </c>
      <c r="C209">
        <v>105.4</v>
      </c>
      <c r="D209">
        <v>212</v>
      </c>
      <c r="E209">
        <v>1296.0999999999999</v>
      </c>
      <c r="F209">
        <v>1152.8</v>
      </c>
      <c r="G209" s="14">
        <f t="shared" si="64"/>
        <v>1401.5</v>
      </c>
      <c r="H209" s="2">
        <f t="shared" si="65"/>
        <v>1364.8</v>
      </c>
      <c r="I209" s="48">
        <f t="shared" si="66"/>
        <v>2.6890386869871108</v>
      </c>
    </row>
    <row r="210" spans="1:10" x14ac:dyDescent="0.25">
      <c r="A210" s="35">
        <f t="shared" si="1"/>
        <v>40297</v>
      </c>
      <c r="B210" s="84" t="s">
        <v>8</v>
      </c>
      <c r="C210">
        <v>103.9</v>
      </c>
      <c r="D210">
        <v>222.8</v>
      </c>
      <c r="E210">
        <v>1303.5999999999999</v>
      </c>
      <c r="F210">
        <v>1171.9000000000001</v>
      </c>
      <c r="G210" s="14">
        <f t="shared" si="64"/>
        <v>1407.5</v>
      </c>
      <c r="H210" s="2">
        <f t="shared" si="65"/>
        <v>1394.7</v>
      </c>
      <c r="I210" s="48">
        <f t="shared" si="66"/>
        <v>0.91776009177599871</v>
      </c>
      <c r="J210">
        <v>0</v>
      </c>
    </row>
    <row r="211" spans="1:10" x14ac:dyDescent="0.25">
      <c r="A211" s="35">
        <f t="shared" si="1"/>
        <v>40304</v>
      </c>
      <c r="B211" s="84" t="s">
        <v>8</v>
      </c>
      <c r="C211">
        <v>91.4</v>
      </c>
      <c r="D211">
        <v>223.6</v>
      </c>
      <c r="E211">
        <v>1315.1</v>
      </c>
      <c r="F211">
        <v>1180.3</v>
      </c>
      <c r="G211" s="14">
        <f t="shared" si="64"/>
        <v>1406.5</v>
      </c>
      <c r="H211" s="2">
        <f t="shared" si="65"/>
        <v>1403.8999999999999</v>
      </c>
      <c r="I211" s="48">
        <f t="shared" si="66"/>
        <v>0.18519837595272204</v>
      </c>
      <c r="J211">
        <v>0</v>
      </c>
    </row>
    <row r="212" spans="1:10" x14ac:dyDescent="0.25">
      <c r="A212" s="35">
        <f t="shared" si="1"/>
        <v>40311</v>
      </c>
      <c r="B212" s="84" t="s">
        <v>8</v>
      </c>
      <c r="C212">
        <v>153</v>
      </c>
      <c r="D212">
        <v>226.2</v>
      </c>
      <c r="E212">
        <v>1319</v>
      </c>
      <c r="F212">
        <v>1209.3</v>
      </c>
      <c r="G212" s="14">
        <f t="shared" si="64"/>
        <v>1472</v>
      </c>
      <c r="H212" s="2">
        <f t="shared" si="65"/>
        <v>1435.5</v>
      </c>
      <c r="I212" s="48">
        <f t="shared" si="66"/>
        <v>2.5426680599094365</v>
      </c>
      <c r="J212">
        <v>0</v>
      </c>
    </row>
    <row r="213" spans="1:10" x14ac:dyDescent="0.25">
      <c r="A213" s="35">
        <f t="shared" si="1"/>
        <v>40318</v>
      </c>
      <c r="B213" s="84" t="s">
        <v>8</v>
      </c>
      <c r="C213">
        <v>153</v>
      </c>
      <c r="D213">
        <v>226.2</v>
      </c>
      <c r="E213">
        <v>1319</v>
      </c>
      <c r="F213">
        <v>1209.3</v>
      </c>
      <c r="G213" s="14">
        <f t="shared" si="64"/>
        <v>1472</v>
      </c>
      <c r="H213" s="2">
        <f t="shared" si="65"/>
        <v>1435.5</v>
      </c>
      <c r="I213" s="48">
        <f t="shared" si="66"/>
        <v>2.5426680599094365</v>
      </c>
      <c r="J213">
        <v>0</v>
      </c>
    </row>
    <row r="214" spans="1:10" x14ac:dyDescent="0.25">
      <c r="A214" s="35">
        <f t="shared" si="1"/>
        <v>40325</v>
      </c>
      <c r="B214" s="84" t="s">
        <v>8</v>
      </c>
      <c r="C214">
        <v>151.80000000000001</v>
      </c>
      <c r="D214">
        <v>213.5</v>
      </c>
      <c r="E214">
        <v>1332.8</v>
      </c>
      <c r="F214">
        <v>1239.5</v>
      </c>
      <c r="G214" s="14">
        <f t="shared" si="64"/>
        <v>1484.6</v>
      </c>
      <c r="H214" s="2">
        <f t="shared" si="65"/>
        <v>1453</v>
      </c>
      <c r="I214" s="48">
        <f t="shared" si="66"/>
        <v>2.1748107364074176</v>
      </c>
      <c r="J214">
        <v>0</v>
      </c>
    </row>
    <row r="215" spans="1:10" x14ac:dyDescent="0.25">
      <c r="A215" s="35">
        <f t="shared" si="1"/>
        <v>40332</v>
      </c>
      <c r="B215" s="84" t="s">
        <v>8</v>
      </c>
      <c r="C215">
        <v>145.9</v>
      </c>
      <c r="D215">
        <v>208.5</v>
      </c>
      <c r="E215">
        <v>1343.2</v>
      </c>
      <c r="F215">
        <v>1245.5</v>
      </c>
      <c r="G215" s="14">
        <f t="shared" si="64"/>
        <v>1489.1000000000001</v>
      </c>
      <c r="H215" s="2">
        <f t="shared" si="65"/>
        <v>1454</v>
      </c>
      <c r="I215" s="48">
        <f t="shared" si="66"/>
        <v>2.4140302613480102</v>
      </c>
      <c r="J215">
        <v>0</v>
      </c>
    </row>
    <row r="216" spans="1:10" x14ac:dyDescent="0.25">
      <c r="A216" s="35">
        <f t="shared" si="1"/>
        <v>40339</v>
      </c>
      <c r="B216" s="84" t="s">
        <v>8</v>
      </c>
      <c r="C216">
        <v>145.9</v>
      </c>
      <c r="D216">
        <v>203.7</v>
      </c>
      <c r="E216">
        <v>1402.9</v>
      </c>
      <c r="F216">
        <v>1250.4000000000001</v>
      </c>
      <c r="G216" s="14">
        <f t="shared" si="64"/>
        <v>1548.8000000000002</v>
      </c>
      <c r="H216" s="2">
        <f t="shared" si="65"/>
        <v>1454.1000000000001</v>
      </c>
      <c r="I216" s="48">
        <f t="shared" si="66"/>
        <v>6.5126194897187295</v>
      </c>
      <c r="J216">
        <v>0</v>
      </c>
    </row>
    <row r="217" spans="1:10" x14ac:dyDescent="0.25">
      <c r="A217" s="35">
        <f t="shared" si="1"/>
        <v>40346</v>
      </c>
      <c r="B217" s="84" t="s">
        <v>8</v>
      </c>
      <c r="C217">
        <v>158.80000000000001</v>
      </c>
      <c r="D217">
        <v>174.3</v>
      </c>
      <c r="E217">
        <v>1404</v>
      </c>
      <c r="F217">
        <v>1284.5</v>
      </c>
      <c r="G217" s="14">
        <f t="shared" si="64"/>
        <v>1562.8</v>
      </c>
      <c r="H217" s="2">
        <f t="shared" si="65"/>
        <v>1458.8</v>
      </c>
      <c r="I217" s="48">
        <f t="shared" si="66"/>
        <v>7.1291472443103965</v>
      </c>
      <c r="J217">
        <v>0</v>
      </c>
    </row>
    <row r="218" spans="1:10" x14ac:dyDescent="0.25">
      <c r="A218" s="35">
        <f t="shared" si="1"/>
        <v>40353</v>
      </c>
      <c r="B218" s="84" t="s">
        <v>8</v>
      </c>
      <c r="C218">
        <v>156.19999999999999</v>
      </c>
      <c r="D218">
        <v>227</v>
      </c>
      <c r="E218">
        <v>1406.5</v>
      </c>
      <c r="F218">
        <v>1290.5</v>
      </c>
      <c r="G218" s="14">
        <f t="shared" ref="G218:G228" si="67">+C218+E218</f>
        <v>1562.7</v>
      </c>
      <c r="H218" s="2">
        <f t="shared" ref="H218:H228" si="68">+D218+F218</f>
        <v>1517.5</v>
      </c>
      <c r="I218" s="48">
        <f t="shared" ref="I218:I228" si="69">+(G218/H218-1)*100</f>
        <v>2.9785831960461362</v>
      </c>
      <c r="J218">
        <v>0</v>
      </c>
    </row>
    <row r="219" spans="1:10" x14ac:dyDescent="0.25">
      <c r="A219" s="35">
        <f t="shared" si="1"/>
        <v>40360</v>
      </c>
      <c r="B219" s="84" t="s">
        <v>8</v>
      </c>
      <c r="C219">
        <v>154.1</v>
      </c>
      <c r="D219">
        <v>219.9</v>
      </c>
      <c r="E219">
        <v>1410.8</v>
      </c>
      <c r="F219">
        <v>1308.5</v>
      </c>
      <c r="G219" s="14">
        <f t="shared" si="67"/>
        <v>1564.8999999999999</v>
      </c>
      <c r="H219" s="2">
        <f t="shared" si="68"/>
        <v>1528.4</v>
      </c>
      <c r="I219" s="48">
        <f t="shared" si="69"/>
        <v>2.3881182936403844</v>
      </c>
      <c r="J219">
        <v>0</v>
      </c>
    </row>
    <row r="220" spans="1:10" x14ac:dyDescent="0.25">
      <c r="A220" s="35">
        <f t="shared" si="1"/>
        <v>40367</v>
      </c>
      <c r="B220" s="84" t="s">
        <v>8</v>
      </c>
      <c r="C220">
        <v>92.8</v>
      </c>
      <c r="D220">
        <v>206.4</v>
      </c>
      <c r="E220">
        <v>1471.7</v>
      </c>
      <c r="F220">
        <v>1322.6</v>
      </c>
      <c r="G220" s="14">
        <f t="shared" si="67"/>
        <v>1564.5</v>
      </c>
      <c r="H220" s="2">
        <f t="shared" si="68"/>
        <v>1529</v>
      </c>
      <c r="I220" s="48">
        <f t="shared" si="69"/>
        <v>2.3217789404839762</v>
      </c>
      <c r="J220">
        <v>0</v>
      </c>
    </row>
    <row r="221" spans="1:10" x14ac:dyDescent="0.25">
      <c r="A221" s="35">
        <f t="shared" si="1"/>
        <v>40374</v>
      </c>
      <c r="B221" s="84" t="s">
        <v>8</v>
      </c>
      <c r="C221">
        <v>91.6</v>
      </c>
      <c r="D221">
        <v>175.4</v>
      </c>
      <c r="E221">
        <v>1472.9</v>
      </c>
      <c r="F221">
        <v>1372.8</v>
      </c>
      <c r="G221" s="14">
        <f t="shared" si="67"/>
        <v>1564.5</v>
      </c>
      <c r="H221" s="2">
        <f t="shared" si="68"/>
        <v>1548.2</v>
      </c>
      <c r="I221" s="48">
        <f t="shared" si="69"/>
        <v>1.0528355509624054</v>
      </c>
      <c r="J221">
        <v>0</v>
      </c>
    </row>
    <row r="222" spans="1:10" x14ac:dyDescent="0.25">
      <c r="A222" s="35">
        <f t="shared" si="1"/>
        <v>40381</v>
      </c>
      <c r="B222" s="84" t="s">
        <v>8</v>
      </c>
      <c r="C222">
        <v>91</v>
      </c>
      <c r="D222">
        <v>200.9</v>
      </c>
      <c r="E222">
        <v>1473.5</v>
      </c>
      <c r="F222">
        <v>1380.1</v>
      </c>
      <c r="G222" s="14">
        <f t="shared" si="67"/>
        <v>1564.5</v>
      </c>
      <c r="H222" s="2">
        <f t="shared" si="68"/>
        <v>1581</v>
      </c>
      <c r="I222" s="48">
        <f t="shared" si="69"/>
        <v>-1.0436432637571103</v>
      </c>
      <c r="J222">
        <v>61.3</v>
      </c>
    </row>
    <row r="223" spans="1:10" x14ac:dyDescent="0.25">
      <c r="A223" s="35">
        <f t="shared" si="1"/>
        <v>40388</v>
      </c>
      <c r="B223" s="84" t="s">
        <v>8</v>
      </c>
      <c r="C223">
        <v>35.5</v>
      </c>
      <c r="D223">
        <v>218.2</v>
      </c>
      <c r="E223">
        <v>1535.2</v>
      </c>
      <c r="F223">
        <v>1381.6</v>
      </c>
      <c r="G223" s="14">
        <f t="shared" si="67"/>
        <v>1570.7</v>
      </c>
      <c r="H223" s="2">
        <f t="shared" si="68"/>
        <v>1599.8</v>
      </c>
      <c r="I223" s="48">
        <f t="shared" si="69"/>
        <v>-1.8189773721715152</v>
      </c>
      <c r="J223">
        <v>63.3</v>
      </c>
    </row>
    <row r="224" spans="1:10" x14ac:dyDescent="0.25">
      <c r="A224" s="35">
        <f t="shared" si="1"/>
        <v>40395</v>
      </c>
      <c r="B224" s="84" t="s">
        <v>8</v>
      </c>
      <c r="C224">
        <v>35.9</v>
      </c>
      <c r="D224">
        <v>239.1</v>
      </c>
      <c r="E224">
        <v>1535.8</v>
      </c>
      <c r="F224">
        <v>1435.2</v>
      </c>
      <c r="G224" s="14">
        <f t="shared" si="67"/>
        <v>1571.7</v>
      </c>
      <c r="H224" s="2">
        <f t="shared" si="68"/>
        <v>1674.3</v>
      </c>
      <c r="I224" s="48">
        <f t="shared" si="69"/>
        <v>-6.1279340619960543</v>
      </c>
    </row>
    <row r="225" spans="1:10" x14ac:dyDescent="0.25">
      <c r="A225" s="35">
        <f t="shared" si="1"/>
        <v>40402</v>
      </c>
      <c r="B225" s="84" t="s">
        <v>8</v>
      </c>
      <c r="C225">
        <v>36.799999999999997</v>
      </c>
      <c r="D225">
        <v>246</v>
      </c>
      <c r="E225">
        <v>1536.9</v>
      </c>
      <c r="F225">
        <v>1439.3</v>
      </c>
      <c r="G225" s="14">
        <f t="shared" si="67"/>
        <v>1573.7</v>
      </c>
      <c r="H225" s="2">
        <f t="shared" si="68"/>
        <v>1685.3</v>
      </c>
      <c r="I225" s="48">
        <f t="shared" si="69"/>
        <v>-6.6219664154749891</v>
      </c>
      <c r="J225">
        <v>117.3</v>
      </c>
    </row>
    <row r="226" spans="1:10" x14ac:dyDescent="0.25">
      <c r="A226" s="35">
        <f t="shared" si="1"/>
        <v>40409</v>
      </c>
      <c r="B226" s="84" t="s">
        <v>8</v>
      </c>
      <c r="C226">
        <v>39.5</v>
      </c>
      <c r="D226">
        <v>247.8</v>
      </c>
      <c r="E226">
        <v>1538.3</v>
      </c>
      <c r="F226">
        <v>1445.6</v>
      </c>
      <c r="G226" s="14">
        <f t="shared" si="67"/>
        <v>1577.8</v>
      </c>
      <c r="H226" s="2">
        <f t="shared" si="68"/>
        <v>1693.3999999999999</v>
      </c>
      <c r="I226" s="48">
        <f t="shared" si="69"/>
        <v>-6.826502893586861</v>
      </c>
      <c r="J226">
        <v>253.7</v>
      </c>
    </row>
    <row r="227" spans="1:10" x14ac:dyDescent="0.25">
      <c r="A227" s="35">
        <f t="shared" si="1"/>
        <v>40416</v>
      </c>
      <c r="B227" s="84" t="s">
        <v>8</v>
      </c>
      <c r="C227">
        <v>23.5</v>
      </c>
      <c r="D227">
        <v>219.7</v>
      </c>
      <c r="E227">
        <v>1553.1</v>
      </c>
      <c r="F227">
        <v>1530.9</v>
      </c>
      <c r="G227" s="14">
        <f t="shared" si="67"/>
        <v>1576.6</v>
      </c>
      <c r="H227" s="2">
        <f t="shared" si="68"/>
        <v>1750.6000000000001</v>
      </c>
      <c r="I227" s="48">
        <f t="shared" si="69"/>
        <v>-9.9394493316577339</v>
      </c>
      <c r="J227">
        <v>189.4</v>
      </c>
    </row>
    <row r="228" spans="1:10" x14ac:dyDescent="0.25">
      <c r="A228" s="35">
        <f t="shared" si="1"/>
        <v>40423</v>
      </c>
      <c r="B228" s="84" t="s">
        <v>8</v>
      </c>
      <c r="C228">
        <v>274.39999999999998</v>
      </c>
      <c r="D228">
        <v>369.6</v>
      </c>
      <c r="E228">
        <v>0</v>
      </c>
      <c r="F228">
        <v>1.9</v>
      </c>
      <c r="G228" s="14">
        <f t="shared" si="67"/>
        <v>274.39999999999998</v>
      </c>
      <c r="H228" s="2">
        <f t="shared" si="68"/>
        <v>371.5</v>
      </c>
      <c r="I228" s="48">
        <f t="shared" si="69"/>
        <v>-26.137281292059221</v>
      </c>
      <c r="J228">
        <v>189.4</v>
      </c>
    </row>
    <row r="229" spans="1:10" x14ac:dyDescent="0.25">
      <c r="A229" s="35">
        <f t="shared" si="1"/>
        <v>40430</v>
      </c>
      <c r="B229" s="84" t="s">
        <v>8</v>
      </c>
      <c r="C229">
        <v>312</v>
      </c>
      <c r="D229">
        <v>339.2</v>
      </c>
      <c r="E229">
        <v>2.1</v>
      </c>
      <c r="F229">
        <v>2.6</v>
      </c>
      <c r="G229" s="14">
        <f t="shared" ref="G229:G265" si="70">+C229+E229</f>
        <v>314.10000000000002</v>
      </c>
      <c r="H229" s="2">
        <f t="shared" ref="H229:H265" si="71">+D229+F229</f>
        <v>341.8</v>
      </c>
      <c r="I229" s="48">
        <f t="shared" ref="I229:I265" si="72">+(G229/H229-1)*100</f>
        <v>-8.1041544763019289</v>
      </c>
    </row>
    <row r="230" spans="1:10" x14ac:dyDescent="0.25">
      <c r="A230" s="35">
        <f t="shared" si="1"/>
        <v>40437</v>
      </c>
      <c r="B230" s="84" t="s">
        <v>8</v>
      </c>
      <c r="C230">
        <v>315.5</v>
      </c>
      <c r="D230">
        <v>342.2</v>
      </c>
      <c r="E230">
        <v>64.8</v>
      </c>
      <c r="F230">
        <v>14.1</v>
      </c>
      <c r="G230" s="14">
        <f t="shared" si="70"/>
        <v>380.3</v>
      </c>
      <c r="H230" s="2">
        <f t="shared" si="71"/>
        <v>356.3</v>
      </c>
      <c r="I230" s="48">
        <f t="shared" si="72"/>
        <v>6.7358967162503447</v>
      </c>
    </row>
    <row r="231" spans="1:10" x14ac:dyDescent="0.25">
      <c r="A231" s="35">
        <f t="shared" si="1"/>
        <v>40444</v>
      </c>
      <c r="B231" s="84" t="s">
        <v>8</v>
      </c>
      <c r="C231">
        <v>416</v>
      </c>
      <c r="D231">
        <v>368.2</v>
      </c>
      <c r="E231">
        <v>67.7</v>
      </c>
      <c r="F231">
        <v>16.7</v>
      </c>
      <c r="G231" s="14">
        <f t="shared" si="70"/>
        <v>483.7</v>
      </c>
      <c r="H231" s="2">
        <f t="shared" si="71"/>
        <v>384.9</v>
      </c>
      <c r="I231" s="48">
        <f t="shared" si="72"/>
        <v>25.669004936347118</v>
      </c>
    </row>
    <row r="232" spans="1:10" x14ac:dyDescent="0.25">
      <c r="A232" s="35">
        <f t="shared" si="1"/>
        <v>40451</v>
      </c>
      <c r="B232" s="84" t="s">
        <v>8</v>
      </c>
      <c r="C232">
        <v>365.5</v>
      </c>
      <c r="D232">
        <v>373.5</v>
      </c>
      <c r="E232">
        <v>124.7</v>
      </c>
      <c r="F232">
        <v>19.3</v>
      </c>
      <c r="G232" s="14">
        <f t="shared" si="70"/>
        <v>490.2</v>
      </c>
      <c r="H232" s="2">
        <f t="shared" si="71"/>
        <v>392.8</v>
      </c>
      <c r="I232" s="48">
        <f t="shared" si="72"/>
        <v>24.796334012219944</v>
      </c>
    </row>
    <row r="233" spans="1:10" x14ac:dyDescent="0.25">
      <c r="A233" s="35">
        <f t="shared" si="1"/>
        <v>40458</v>
      </c>
      <c r="B233" s="84" t="s">
        <v>8</v>
      </c>
      <c r="C233">
        <v>358</v>
      </c>
      <c r="D233">
        <v>547</v>
      </c>
      <c r="E233">
        <v>134.4</v>
      </c>
      <c r="F233">
        <v>21.9</v>
      </c>
      <c r="G233" s="14">
        <f t="shared" si="70"/>
        <v>492.4</v>
      </c>
      <c r="H233" s="2">
        <f t="shared" si="71"/>
        <v>568.9</v>
      </c>
      <c r="I233" s="48">
        <f t="shared" si="72"/>
        <v>-13.44700298822289</v>
      </c>
    </row>
    <row r="234" spans="1:10" x14ac:dyDescent="0.25">
      <c r="A234" s="35">
        <f t="shared" si="1"/>
        <v>40465</v>
      </c>
      <c r="B234" s="84" t="s">
        <v>8</v>
      </c>
      <c r="C234">
        <v>295</v>
      </c>
      <c r="D234">
        <v>492.1</v>
      </c>
      <c r="E234">
        <v>214.7</v>
      </c>
      <c r="F234">
        <v>83.7</v>
      </c>
      <c r="G234" s="14">
        <f t="shared" si="70"/>
        <v>509.7</v>
      </c>
      <c r="H234" s="2">
        <f t="shared" si="71"/>
        <v>575.80000000000007</v>
      </c>
      <c r="I234" s="48">
        <f t="shared" si="72"/>
        <v>-11.479680444598827</v>
      </c>
    </row>
    <row r="235" spans="1:10" x14ac:dyDescent="0.25">
      <c r="A235" s="35">
        <f t="shared" si="1"/>
        <v>40472</v>
      </c>
      <c r="B235" s="84" t="s">
        <v>8</v>
      </c>
      <c r="C235">
        <v>345.4</v>
      </c>
      <c r="D235">
        <v>496.2</v>
      </c>
      <c r="E235">
        <v>228.9</v>
      </c>
      <c r="F235">
        <v>150.30000000000001</v>
      </c>
      <c r="G235" s="14">
        <f t="shared" si="70"/>
        <v>574.29999999999995</v>
      </c>
      <c r="H235" s="2">
        <f t="shared" si="71"/>
        <v>646.5</v>
      </c>
      <c r="I235" s="48">
        <f t="shared" si="72"/>
        <v>-11.167826759474098</v>
      </c>
    </row>
    <row r="236" spans="1:10" x14ac:dyDescent="0.25">
      <c r="A236" s="35">
        <f t="shared" si="1"/>
        <v>40479</v>
      </c>
      <c r="B236" s="84" t="s">
        <v>8</v>
      </c>
      <c r="C236">
        <v>331.5</v>
      </c>
      <c r="D236">
        <v>458.2</v>
      </c>
      <c r="E236">
        <v>252.2</v>
      </c>
      <c r="F236">
        <v>220</v>
      </c>
      <c r="G236" s="14">
        <f t="shared" si="70"/>
        <v>583.70000000000005</v>
      </c>
      <c r="H236" s="2">
        <f t="shared" si="71"/>
        <v>678.2</v>
      </c>
      <c r="I236" s="48">
        <f t="shared" si="72"/>
        <v>-13.933942789737541</v>
      </c>
    </row>
    <row r="237" spans="1:10" x14ac:dyDescent="0.25">
      <c r="A237" s="35">
        <f t="shared" si="1"/>
        <v>40486</v>
      </c>
      <c r="B237" s="84" t="s">
        <v>8</v>
      </c>
      <c r="C237">
        <v>321.60000000000002</v>
      </c>
      <c r="D237">
        <v>512.5</v>
      </c>
      <c r="E237">
        <v>266.5</v>
      </c>
      <c r="F237">
        <v>237.4</v>
      </c>
      <c r="G237" s="14">
        <f t="shared" si="70"/>
        <v>588.1</v>
      </c>
      <c r="H237" s="2">
        <f t="shared" si="71"/>
        <v>749.9</v>
      </c>
      <c r="I237" s="48">
        <f t="shared" si="72"/>
        <v>-21.576210161354847</v>
      </c>
    </row>
    <row r="238" spans="1:10" x14ac:dyDescent="0.25">
      <c r="A238" s="35">
        <f t="shared" si="1"/>
        <v>40493</v>
      </c>
      <c r="B238" s="84" t="s">
        <v>8</v>
      </c>
      <c r="C238">
        <v>371.8</v>
      </c>
      <c r="D238">
        <v>451.9</v>
      </c>
      <c r="E238">
        <v>278</v>
      </c>
      <c r="F238">
        <v>384.1</v>
      </c>
      <c r="G238" s="14">
        <f t="shared" si="70"/>
        <v>649.79999999999995</v>
      </c>
      <c r="H238" s="2">
        <f t="shared" si="71"/>
        <v>836</v>
      </c>
      <c r="I238" s="48">
        <f t="shared" si="72"/>
        <v>-22.272727272727277</v>
      </c>
    </row>
    <row r="239" spans="1:10" x14ac:dyDescent="0.25">
      <c r="A239" s="35">
        <f t="shared" si="1"/>
        <v>40500</v>
      </c>
      <c r="B239" s="84" t="s">
        <v>8</v>
      </c>
      <c r="C239">
        <v>316.10000000000002</v>
      </c>
      <c r="D239">
        <v>443</v>
      </c>
      <c r="E239">
        <v>406.2</v>
      </c>
      <c r="F239">
        <v>404.9</v>
      </c>
      <c r="G239" s="14">
        <f t="shared" si="70"/>
        <v>722.3</v>
      </c>
      <c r="H239" s="2">
        <f t="shared" si="71"/>
        <v>847.9</v>
      </c>
      <c r="I239" s="48">
        <f t="shared" si="72"/>
        <v>-14.813067578723905</v>
      </c>
    </row>
    <row r="240" spans="1:10" x14ac:dyDescent="0.25">
      <c r="A240" s="35">
        <f t="shared" si="1"/>
        <v>40507</v>
      </c>
      <c r="B240" s="84" t="s">
        <v>8</v>
      </c>
      <c r="C240">
        <v>311</v>
      </c>
      <c r="D240">
        <v>410.6</v>
      </c>
      <c r="E240">
        <v>425</v>
      </c>
      <c r="F240">
        <v>550.20000000000005</v>
      </c>
      <c r="G240" s="14">
        <f t="shared" si="70"/>
        <v>736</v>
      </c>
      <c r="H240" s="2">
        <f t="shared" si="71"/>
        <v>960.80000000000007</v>
      </c>
      <c r="I240" s="48">
        <f t="shared" si="72"/>
        <v>-23.397169025811827</v>
      </c>
    </row>
    <row r="241" spans="1:9" x14ac:dyDescent="0.25">
      <c r="A241" s="35">
        <f t="shared" si="1"/>
        <v>40514</v>
      </c>
      <c r="B241" s="84" t="s">
        <v>8</v>
      </c>
      <c r="C241">
        <v>290.8</v>
      </c>
      <c r="D241">
        <v>412.1</v>
      </c>
      <c r="E241">
        <v>447</v>
      </c>
      <c r="F241">
        <v>566.5</v>
      </c>
      <c r="G241" s="14">
        <f t="shared" si="70"/>
        <v>737.8</v>
      </c>
      <c r="H241" s="2">
        <f t="shared" si="71"/>
        <v>978.6</v>
      </c>
      <c r="I241" s="48">
        <f t="shared" si="72"/>
        <v>-24.606580829756798</v>
      </c>
    </row>
    <row r="242" spans="1:9" x14ac:dyDescent="0.25">
      <c r="A242" s="35">
        <f t="shared" si="1"/>
        <v>40521</v>
      </c>
      <c r="B242" s="84" t="s">
        <v>8</v>
      </c>
      <c r="C242">
        <v>277.60000000000002</v>
      </c>
      <c r="D242">
        <v>407.6</v>
      </c>
      <c r="E242">
        <v>464.5</v>
      </c>
      <c r="F242">
        <v>580.5</v>
      </c>
      <c r="G242" s="14">
        <f t="shared" si="70"/>
        <v>742.1</v>
      </c>
      <c r="H242" s="2">
        <f t="shared" si="71"/>
        <v>988.1</v>
      </c>
      <c r="I242" s="48">
        <f t="shared" si="72"/>
        <v>-24.896265560165975</v>
      </c>
    </row>
    <row r="243" spans="1:9" x14ac:dyDescent="0.25">
      <c r="A243" s="35">
        <f t="shared" si="1"/>
        <v>40528</v>
      </c>
      <c r="B243" s="84" t="s">
        <v>8</v>
      </c>
      <c r="C243">
        <v>297.5</v>
      </c>
      <c r="D243">
        <v>442.2</v>
      </c>
      <c r="E243">
        <v>475.5</v>
      </c>
      <c r="F243">
        <v>614.5</v>
      </c>
      <c r="G243" s="14">
        <f t="shared" si="70"/>
        <v>773</v>
      </c>
      <c r="H243" s="2">
        <f t="shared" si="71"/>
        <v>1056.7</v>
      </c>
      <c r="I243" s="48">
        <f t="shared" si="72"/>
        <v>-26.847733509983918</v>
      </c>
    </row>
    <row r="244" spans="1:9" x14ac:dyDescent="0.25">
      <c r="A244" s="35">
        <f t="shared" si="1"/>
        <v>40535</v>
      </c>
      <c r="B244" s="84" t="s">
        <v>8</v>
      </c>
      <c r="C244">
        <v>273</v>
      </c>
      <c r="D244">
        <v>450.9</v>
      </c>
      <c r="E244">
        <v>512.4</v>
      </c>
      <c r="F244">
        <v>628</v>
      </c>
      <c r="G244" s="14">
        <f t="shared" si="70"/>
        <v>785.4</v>
      </c>
      <c r="H244" s="2">
        <f t="shared" si="71"/>
        <v>1078.9000000000001</v>
      </c>
      <c r="I244" s="48">
        <f t="shared" si="72"/>
        <v>-27.203633330243772</v>
      </c>
    </row>
    <row r="245" spans="1:9" x14ac:dyDescent="0.25">
      <c r="A245" s="35">
        <f t="shared" si="1"/>
        <v>40542</v>
      </c>
      <c r="B245" s="84" t="s">
        <v>8</v>
      </c>
      <c r="C245">
        <v>267.3</v>
      </c>
      <c r="D245">
        <v>456</v>
      </c>
      <c r="E245">
        <v>520.70000000000005</v>
      </c>
      <c r="F245">
        <v>638.9</v>
      </c>
      <c r="G245" s="14">
        <f t="shared" si="70"/>
        <v>788</v>
      </c>
      <c r="H245" s="2">
        <f t="shared" si="71"/>
        <v>1094.9000000000001</v>
      </c>
      <c r="I245" s="48">
        <f t="shared" si="72"/>
        <v>-28.029957073705368</v>
      </c>
    </row>
    <row r="246" spans="1:9" x14ac:dyDescent="0.25">
      <c r="A246" s="35">
        <f t="shared" si="1"/>
        <v>40549</v>
      </c>
      <c r="B246" s="84" t="s">
        <v>8</v>
      </c>
      <c r="C246">
        <v>277.3</v>
      </c>
      <c r="D246">
        <v>325.60000000000002</v>
      </c>
      <c r="E246">
        <v>588</v>
      </c>
      <c r="F246">
        <v>774.3</v>
      </c>
      <c r="G246" s="14">
        <f t="shared" si="70"/>
        <v>865.3</v>
      </c>
      <c r="H246" s="2">
        <f t="shared" si="71"/>
        <v>1099.9000000000001</v>
      </c>
      <c r="I246" s="48">
        <f t="shared" si="72"/>
        <v>-21.329211746522425</v>
      </c>
    </row>
    <row r="247" spans="1:9" x14ac:dyDescent="0.25">
      <c r="A247" s="35">
        <f t="shared" si="1"/>
        <v>40556</v>
      </c>
      <c r="B247" s="84" t="s">
        <v>8</v>
      </c>
      <c r="C247">
        <v>274.5</v>
      </c>
      <c r="D247">
        <v>350.5</v>
      </c>
      <c r="E247">
        <v>657.6</v>
      </c>
      <c r="F247">
        <v>791.1</v>
      </c>
      <c r="G247" s="14">
        <f t="shared" si="70"/>
        <v>932.1</v>
      </c>
      <c r="H247" s="2">
        <f t="shared" si="71"/>
        <v>1141.5999999999999</v>
      </c>
      <c r="I247" s="48">
        <f t="shared" si="72"/>
        <v>-18.351436580238257</v>
      </c>
    </row>
    <row r="248" spans="1:9" x14ac:dyDescent="0.25">
      <c r="A248" s="35">
        <f t="shared" si="1"/>
        <v>40563</v>
      </c>
      <c r="B248" s="84" t="s">
        <v>8</v>
      </c>
      <c r="C248">
        <v>335.5</v>
      </c>
      <c r="D248">
        <v>285.39999999999998</v>
      </c>
      <c r="E248">
        <v>666.5</v>
      </c>
      <c r="F248">
        <v>871.8</v>
      </c>
      <c r="G248" s="14">
        <f t="shared" si="70"/>
        <v>1002</v>
      </c>
      <c r="H248" s="2">
        <f t="shared" si="71"/>
        <v>1157.1999999999998</v>
      </c>
      <c r="I248" s="48">
        <f t="shared" si="72"/>
        <v>-13.411683373660544</v>
      </c>
    </row>
    <row r="249" spans="1:9" x14ac:dyDescent="0.25">
      <c r="A249" s="35">
        <f t="shared" si="1"/>
        <v>40570</v>
      </c>
      <c r="B249" s="84" t="s">
        <v>8</v>
      </c>
      <c r="C249">
        <v>458.9</v>
      </c>
      <c r="D249">
        <v>319.2</v>
      </c>
      <c r="E249">
        <v>688.8</v>
      </c>
      <c r="F249">
        <v>886.7</v>
      </c>
      <c r="G249" s="14">
        <f t="shared" si="70"/>
        <v>1147.6999999999998</v>
      </c>
      <c r="H249" s="2">
        <f t="shared" si="71"/>
        <v>1205.9000000000001</v>
      </c>
      <c r="I249" s="48">
        <f t="shared" si="72"/>
        <v>-4.8262708350609751</v>
      </c>
    </row>
    <row r="250" spans="1:9" x14ac:dyDescent="0.25">
      <c r="A250" s="35">
        <f t="shared" si="1"/>
        <v>40577</v>
      </c>
      <c r="B250" s="84" t="s">
        <v>8</v>
      </c>
      <c r="C250">
        <v>469.1</v>
      </c>
      <c r="D250">
        <v>291.5</v>
      </c>
      <c r="E250">
        <v>697.5</v>
      </c>
      <c r="F250">
        <v>914.7</v>
      </c>
      <c r="G250" s="14">
        <f t="shared" si="70"/>
        <v>1166.5999999999999</v>
      </c>
      <c r="H250" s="2">
        <f t="shared" si="71"/>
        <v>1206.2</v>
      </c>
      <c r="I250" s="48">
        <f t="shared" si="72"/>
        <v>-3.2830376388658711</v>
      </c>
    </row>
    <row r="251" spans="1:9" x14ac:dyDescent="0.25">
      <c r="A251" s="35">
        <f t="shared" si="1"/>
        <v>40584</v>
      </c>
      <c r="B251" s="84" t="s">
        <v>8</v>
      </c>
      <c r="C251">
        <v>466.6</v>
      </c>
      <c r="D251">
        <v>222.7</v>
      </c>
      <c r="E251">
        <v>710.1</v>
      </c>
      <c r="F251">
        <v>995.7</v>
      </c>
      <c r="G251" s="14">
        <f t="shared" si="70"/>
        <v>1176.7</v>
      </c>
      <c r="H251" s="2">
        <f t="shared" si="71"/>
        <v>1218.4000000000001</v>
      </c>
      <c r="I251" s="48">
        <f t="shared" si="72"/>
        <v>-3.4225213394615928</v>
      </c>
    </row>
    <row r="252" spans="1:9" x14ac:dyDescent="0.25">
      <c r="A252" s="35">
        <f t="shared" si="1"/>
        <v>40591</v>
      </c>
      <c r="B252" s="84" t="s">
        <v>8</v>
      </c>
      <c r="C252">
        <v>292.2</v>
      </c>
      <c r="D252">
        <v>192.7</v>
      </c>
      <c r="E252">
        <v>837.9</v>
      </c>
      <c r="F252">
        <v>1028.0999999999999</v>
      </c>
      <c r="G252" s="14">
        <f t="shared" si="70"/>
        <v>1130.0999999999999</v>
      </c>
      <c r="H252" s="2">
        <f t="shared" si="71"/>
        <v>1220.8</v>
      </c>
      <c r="I252" s="48">
        <f t="shared" si="72"/>
        <v>-7.4295543905635641</v>
      </c>
    </row>
    <row r="253" spans="1:9" x14ac:dyDescent="0.25">
      <c r="A253" s="35">
        <f t="shared" si="1"/>
        <v>40598</v>
      </c>
      <c r="B253" s="84" t="s">
        <v>8</v>
      </c>
      <c r="C253">
        <v>251.1</v>
      </c>
      <c r="D253">
        <v>178.5</v>
      </c>
      <c r="E253">
        <v>854.5</v>
      </c>
      <c r="F253">
        <v>1049.9000000000001</v>
      </c>
      <c r="G253" s="14">
        <f t="shared" si="70"/>
        <v>1105.5999999999999</v>
      </c>
      <c r="H253" s="2">
        <f t="shared" si="71"/>
        <v>1228.4000000000001</v>
      </c>
      <c r="I253" s="48">
        <f t="shared" si="72"/>
        <v>-9.9967437316834999</v>
      </c>
    </row>
    <row r="254" spans="1:9" x14ac:dyDescent="0.25">
      <c r="A254" s="35">
        <f t="shared" ref="A254:A317" si="73">+A253+7</f>
        <v>40605</v>
      </c>
      <c r="B254" s="84" t="s">
        <v>8</v>
      </c>
      <c r="C254">
        <v>267.5</v>
      </c>
      <c r="D254">
        <v>184.9</v>
      </c>
      <c r="E254">
        <v>873.3</v>
      </c>
      <c r="F254">
        <v>1064.5</v>
      </c>
      <c r="G254" s="14">
        <f t="shared" si="70"/>
        <v>1140.8</v>
      </c>
      <c r="H254" s="2">
        <f t="shared" si="71"/>
        <v>1249.4000000000001</v>
      </c>
      <c r="I254" s="48">
        <f t="shared" si="72"/>
        <v>-8.6921722426764987</v>
      </c>
    </row>
    <row r="255" spans="1:9" x14ac:dyDescent="0.25">
      <c r="A255" s="35">
        <f t="shared" si="73"/>
        <v>40612</v>
      </c>
      <c r="B255" s="84" t="s">
        <v>8</v>
      </c>
      <c r="C255">
        <v>262.10000000000002</v>
      </c>
      <c r="D255">
        <v>177.1</v>
      </c>
      <c r="E255">
        <v>888.3</v>
      </c>
      <c r="F255">
        <v>1077.7</v>
      </c>
      <c r="G255" s="14">
        <f t="shared" si="70"/>
        <v>1150.4000000000001</v>
      </c>
      <c r="H255" s="2">
        <f t="shared" si="71"/>
        <v>1254.8</v>
      </c>
      <c r="I255" s="48">
        <f t="shared" si="72"/>
        <v>-8.3200510041440801</v>
      </c>
    </row>
    <row r="256" spans="1:9" x14ac:dyDescent="0.25">
      <c r="A256" s="35">
        <f t="shared" si="73"/>
        <v>40619</v>
      </c>
      <c r="B256" s="84" t="s">
        <v>8</v>
      </c>
      <c r="C256">
        <v>209.8</v>
      </c>
      <c r="D256">
        <v>182.9</v>
      </c>
      <c r="E256">
        <v>960.7</v>
      </c>
      <c r="F256">
        <v>1142.5</v>
      </c>
      <c r="G256" s="14">
        <f t="shared" si="70"/>
        <v>1170.5</v>
      </c>
      <c r="H256" s="2">
        <f t="shared" si="71"/>
        <v>1325.4</v>
      </c>
      <c r="I256" s="48">
        <f t="shared" si="72"/>
        <v>-11.687037875358385</v>
      </c>
    </row>
    <row r="257" spans="1:9" x14ac:dyDescent="0.25">
      <c r="A257" s="35">
        <f t="shared" si="73"/>
        <v>40626</v>
      </c>
      <c r="B257" s="84" t="s">
        <v>8</v>
      </c>
      <c r="C257">
        <v>206.7</v>
      </c>
      <c r="D257">
        <v>119.8</v>
      </c>
      <c r="E257">
        <v>973.8</v>
      </c>
      <c r="F257">
        <v>1211.0999999999999</v>
      </c>
      <c r="G257" s="14">
        <f t="shared" si="70"/>
        <v>1180.5</v>
      </c>
      <c r="H257" s="2">
        <f t="shared" si="71"/>
        <v>1330.8999999999999</v>
      </c>
      <c r="I257" s="48">
        <f t="shared" si="72"/>
        <v>-11.300623638139594</v>
      </c>
    </row>
    <row r="258" spans="1:9" x14ac:dyDescent="0.25">
      <c r="A258" s="35">
        <f t="shared" si="73"/>
        <v>40633</v>
      </c>
      <c r="B258" s="84" t="s">
        <v>8</v>
      </c>
      <c r="C258">
        <v>220.5</v>
      </c>
      <c r="D258">
        <v>113.5</v>
      </c>
      <c r="E258">
        <v>987.5</v>
      </c>
      <c r="F258">
        <v>1217.4000000000001</v>
      </c>
      <c r="G258" s="14">
        <f t="shared" si="70"/>
        <v>1208</v>
      </c>
      <c r="H258" s="2">
        <f t="shared" si="71"/>
        <v>1330.9</v>
      </c>
      <c r="I258" s="48">
        <f t="shared" si="72"/>
        <v>-9.2343526936659472</v>
      </c>
    </row>
    <row r="259" spans="1:9" x14ac:dyDescent="0.25">
      <c r="A259" s="35">
        <f t="shared" si="73"/>
        <v>40640</v>
      </c>
      <c r="B259" s="84" t="s">
        <v>8</v>
      </c>
      <c r="C259">
        <v>189.9</v>
      </c>
      <c r="D259">
        <v>94.4</v>
      </c>
      <c r="E259">
        <v>1017.1</v>
      </c>
      <c r="F259">
        <v>1237.0999999999999</v>
      </c>
      <c r="G259" s="14">
        <f t="shared" si="70"/>
        <v>1207</v>
      </c>
      <c r="H259" s="2">
        <f t="shared" si="71"/>
        <v>1331.5</v>
      </c>
      <c r="I259" s="48">
        <f t="shared" si="72"/>
        <v>-9.3503567405182171</v>
      </c>
    </row>
    <row r="260" spans="1:9" x14ac:dyDescent="0.25">
      <c r="A260" s="35">
        <f t="shared" si="73"/>
        <v>40647</v>
      </c>
      <c r="B260" s="84" t="s">
        <v>8</v>
      </c>
      <c r="C260">
        <v>134.1</v>
      </c>
      <c r="D260">
        <v>53.4</v>
      </c>
      <c r="E260">
        <v>1092.7</v>
      </c>
      <c r="F260">
        <v>1285.5</v>
      </c>
      <c r="G260" s="14">
        <f t="shared" si="70"/>
        <v>1226.8</v>
      </c>
      <c r="H260" s="2">
        <f t="shared" si="71"/>
        <v>1338.9</v>
      </c>
      <c r="I260" s="48">
        <f t="shared" si="72"/>
        <v>-8.372544626185686</v>
      </c>
    </row>
    <row r="261" spans="1:9" x14ac:dyDescent="0.25">
      <c r="A261" s="35">
        <f t="shared" si="73"/>
        <v>40654</v>
      </c>
      <c r="B261" s="84" t="s">
        <v>8</v>
      </c>
      <c r="C261">
        <v>126.2</v>
      </c>
      <c r="D261">
        <v>105.5</v>
      </c>
      <c r="E261">
        <v>1107.5</v>
      </c>
      <c r="F261">
        <v>1296.0999999999999</v>
      </c>
      <c r="G261" s="14">
        <f t="shared" si="70"/>
        <v>1233.7</v>
      </c>
      <c r="H261" s="2">
        <f t="shared" si="71"/>
        <v>1401.6</v>
      </c>
      <c r="I261" s="48">
        <f t="shared" si="72"/>
        <v>-11.979166666666663</v>
      </c>
    </row>
    <row r="262" spans="1:9" x14ac:dyDescent="0.25">
      <c r="A262" s="35">
        <f t="shared" si="73"/>
        <v>40661</v>
      </c>
      <c r="B262" s="84" t="s">
        <v>8</v>
      </c>
      <c r="C262">
        <v>111.3</v>
      </c>
      <c r="D262">
        <v>103.9</v>
      </c>
      <c r="E262">
        <v>1126.5999999999999</v>
      </c>
      <c r="F262">
        <v>1303.5999999999999</v>
      </c>
      <c r="G262" s="14">
        <f t="shared" si="70"/>
        <v>1237.8999999999999</v>
      </c>
      <c r="H262" s="2">
        <f t="shared" si="71"/>
        <v>1407.5</v>
      </c>
      <c r="I262" s="48">
        <f t="shared" si="72"/>
        <v>-12.049733570159871</v>
      </c>
    </row>
    <row r="263" spans="1:9" x14ac:dyDescent="0.25">
      <c r="A263" s="35">
        <f t="shared" si="73"/>
        <v>40668</v>
      </c>
      <c r="B263" s="84" t="s">
        <v>8</v>
      </c>
      <c r="C263">
        <v>107.5</v>
      </c>
      <c r="D263">
        <v>91.4</v>
      </c>
      <c r="E263">
        <v>1144.0999999999999</v>
      </c>
      <c r="F263">
        <v>1315.1</v>
      </c>
      <c r="G263" s="14">
        <f t="shared" si="70"/>
        <v>1251.5999999999999</v>
      </c>
      <c r="H263" s="2">
        <f t="shared" si="71"/>
        <v>1406.5</v>
      </c>
      <c r="I263" s="48">
        <f t="shared" si="72"/>
        <v>-11.01315321720584</v>
      </c>
    </row>
    <row r="264" spans="1:9" x14ac:dyDescent="0.25">
      <c r="A264" s="35">
        <f t="shared" si="73"/>
        <v>40675</v>
      </c>
      <c r="B264" s="84" t="s">
        <v>8</v>
      </c>
      <c r="C264">
        <v>113.1</v>
      </c>
      <c r="D264">
        <v>153</v>
      </c>
      <c r="E264">
        <v>1156.3</v>
      </c>
      <c r="F264">
        <v>1319</v>
      </c>
      <c r="G264" s="14">
        <f t="shared" si="70"/>
        <v>1269.3999999999999</v>
      </c>
      <c r="H264" s="2">
        <f t="shared" si="71"/>
        <v>1472</v>
      </c>
      <c r="I264" s="48">
        <f t="shared" si="72"/>
        <v>-13.763586956521745</v>
      </c>
    </row>
    <row r="265" spans="1:9" x14ac:dyDescent="0.25">
      <c r="A265" s="35">
        <f t="shared" si="73"/>
        <v>40682</v>
      </c>
      <c r="B265" s="84" t="s">
        <v>8</v>
      </c>
      <c r="C265">
        <v>109.4</v>
      </c>
      <c r="D265">
        <v>142.4</v>
      </c>
      <c r="E265">
        <v>1243.3</v>
      </c>
      <c r="F265">
        <v>1330.3</v>
      </c>
      <c r="G265" s="14">
        <f t="shared" si="70"/>
        <v>1352.7</v>
      </c>
      <c r="H265" s="2">
        <f t="shared" si="71"/>
        <v>1472.7</v>
      </c>
      <c r="I265" s="48">
        <f t="shared" si="72"/>
        <v>-8.1482990425748589</v>
      </c>
    </row>
    <row r="266" spans="1:9" x14ac:dyDescent="0.25">
      <c r="A266" s="35">
        <f t="shared" si="73"/>
        <v>40689</v>
      </c>
      <c r="B266" s="84" t="s">
        <v>8</v>
      </c>
      <c r="C266">
        <v>78.400000000000006</v>
      </c>
      <c r="D266">
        <v>151.80000000000001</v>
      </c>
      <c r="E266">
        <v>1273.7</v>
      </c>
      <c r="F266">
        <v>1332.8</v>
      </c>
      <c r="G266" s="14">
        <f t="shared" ref="G266:G275" si="74">+C266+E266</f>
        <v>1352.1000000000001</v>
      </c>
      <c r="H266" s="2">
        <f t="shared" ref="H266:H275" si="75">+D266+F266</f>
        <v>1484.6</v>
      </c>
      <c r="I266" s="48">
        <f t="shared" ref="I266:I275" si="76">+(G266/H266-1)*100</f>
        <v>-8.9249629529839503</v>
      </c>
    </row>
    <row r="267" spans="1:9" x14ac:dyDescent="0.25">
      <c r="A267" s="35">
        <f t="shared" si="73"/>
        <v>40696</v>
      </c>
      <c r="B267" s="84" t="s">
        <v>8</v>
      </c>
      <c r="C267">
        <v>79.900000000000006</v>
      </c>
      <c r="D267">
        <v>145.9</v>
      </c>
      <c r="E267">
        <v>1284.3</v>
      </c>
      <c r="F267">
        <v>1343.2</v>
      </c>
      <c r="G267" s="14">
        <f t="shared" si="74"/>
        <v>1364.2</v>
      </c>
      <c r="H267" s="2">
        <f t="shared" si="75"/>
        <v>1489.1000000000001</v>
      </c>
      <c r="I267" s="48">
        <f t="shared" si="76"/>
        <v>-8.3876166812168478</v>
      </c>
    </row>
    <row r="268" spans="1:9" x14ac:dyDescent="0.25">
      <c r="A268" s="35">
        <f t="shared" si="73"/>
        <v>40703</v>
      </c>
      <c r="B268" s="84" t="s">
        <v>8</v>
      </c>
      <c r="C268">
        <v>70.099999999999994</v>
      </c>
      <c r="D268">
        <v>145.9</v>
      </c>
      <c r="E268">
        <v>1294.5999999999999</v>
      </c>
      <c r="F268">
        <v>1402.9</v>
      </c>
      <c r="G268" s="14">
        <f t="shared" si="74"/>
        <v>1364.6999999999998</v>
      </c>
      <c r="H268" s="2">
        <f t="shared" si="75"/>
        <v>1548.8000000000002</v>
      </c>
      <c r="I268" s="48">
        <f t="shared" si="76"/>
        <v>-11.886621900826466</v>
      </c>
    </row>
    <row r="269" spans="1:9" x14ac:dyDescent="0.25">
      <c r="A269" s="35">
        <f t="shared" si="73"/>
        <v>40710</v>
      </c>
      <c r="B269" s="84" t="s">
        <v>8</v>
      </c>
      <c r="C269">
        <v>60.8</v>
      </c>
      <c r="D269">
        <v>158.80000000000001</v>
      </c>
      <c r="E269">
        <v>1304.5</v>
      </c>
      <c r="F269">
        <v>1404</v>
      </c>
      <c r="G269" s="14">
        <f t="shared" si="74"/>
        <v>1365.3</v>
      </c>
      <c r="H269" s="2">
        <f t="shared" si="75"/>
        <v>1562.8</v>
      </c>
      <c r="I269" s="48">
        <f t="shared" si="76"/>
        <v>-12.637573585871509</v>
      </c>
    </row>
    <row r="270" spans="1:9" x14ac:dyDescent="0.25">
      <c r="A270" s="35">
        <f t="shared" si="73"/>
        <v>40717</v>
      </c>
      <c r="B270" s="84" t="s">
        <v>8</v>
      </c>
      <c r="C270">
        <v>58.5</v>
      </c>
      <c r="D270">
        <v>156.19999999999999</v>
      </c>
      <c r="E270">
        <v>1311</v>
      </c>
      <c r="F270">
        <v>1406.5</v>
      </c>
      <c r="G270" s="14">
        <f t="shared" si="74"/>
        <v>1369.5</v>
      </c>
      <c r="H270" s="2">
        <f t="shared" si="75"/>
        <v>1562.7</v>
      </c>
      <c r="I270" s="48">
        <f t="shared" si="76"/>
        <v>-12.363217508158964</v>
      </c>
    </row>
    <row r="271" spans="1:9" x14ac:dyDescent="0.25">
      <c r="A271" s="35">
        <f t="shared" si="73"/>
        <v>40724</v>
      </c>
      <c r="B271" s="84" t="s">
        <v>8</v>
      </c>
      <c r="C271">
        <v>48.8</v>
      </c>
      <c r="D271">
        <v>154.1</v>
      </c>
      <c r="E271">
        <v>1333.6</v>
      </c>
      <c r="F271">
        <v>1410.8</v>
      </c>
      <c r="G271" s="14">
        <f t="shared" si="74"/>
        <v>1382.3999999999999</v>
      </c>
      <c r="H271" s="2">
        <f t="shared" si="75"/>
        <v>1564.8999999999999</v>
      </c>
      <c r="I271" s="48">
        <f t="shared" si="76"/>
        <v>-11.662087034315293</v>
      </c>
    </row>
    <row r="272" spans="1:9" x14ac:dyDescent="0.25">
      <c r="A272" s="35">
        <f t="shared" si="73"/>
        <v>40731</v>
      </c>
      <c r="B272" s="84" t="s">
        <v>8</v>
      </c>
      <c r="C272">
        <v>48.6</v>
      </c>
      <c r="D272">
        <v>92.8</v>
      </c>
      <c r="E272">
        <v>1341.7</v>
      </c>
      <c r="F272">
        <v>1471.7</v>
      </c>
      <c r="G272" s="14">
        <f t="shared" si="74"/>
        <v>1390.3</v>
      </c>
      <c r="H272" s="2">
        <f t="shared" si="75"/>
        <v>1564.5</v>
      </c>
      <c r="I272" s="48">
        <f t="shared" si="76"/>
        <v>-11.134547778843086</v>
      </c>
    </row>
    <row r="273" spans="1:10" x14ac:dyDescent="0.25">
      <c r="A273" s="35">
        <f t="shared" si="73"/>
        <v>40738</v>
      </c>
      <c r="B273" s="84" t="s">
        <v>8</v>
      </c>
      <c r="C273">
        <v>50</v>
      </c>
      <c r="D273">
        <v>91.6</v>
      </c>
      <c r="E273">
        <v>1349.1</v>
      </c>
      <c r="F273">
        <v>1472.9</v>
      </c>
      <c r="G273" s="14">
        <f t="shared" si="74"/>
        <v>1399.1</v>
      </c>
      <c r="H273" s="2">
        <f t="shared" si="75"/>
        <v>1564.5</v>
      </c>
      <c r="I273" s="48">
        <f t="shared" si="76"/>
        <v>-10.572067753275816</v>
      </c>
    </row>
    <row r="274" spans="1:10" x14ac:dyDescent="0.25">
      <c r="A274" s="35">
        <f t="shared" si="73"/>
        <v>40745</v>
      </c>
      <c r="B274" s="84" t="s">
        <v>8</v>
      </c>
      <c r="C274">
        <v>41.4</v>
      </c>
      <c r="D274">
        <v>91</v>
      </c>
      <c r="E274">
        <v>1357.5</v>
      </c>
      <c r="F274">
        <v>1473.5</v>
      </c>
      <c r="G274" s="14">
        <f t="shared" si="74"/>
        <v>1398.9</v>
      </c>
      <c r="H274" s="2">
        <f t="shared" si="75"/>
        <v>1564.5</v>
      </c>
      <c r="I274" s="48">
        <f t="shared" si="76"/>
        <v>-10.584851390220507</v>
      </c>
      <c r="J274">
        <v>0.5</v>
      </c>
    </row>
    <row r="275" spans="1:10" x14ac:dyDescent="0.25">
      <c r="A275" s="35">
        <f t="shared" si="73"/>
        <v>40752</v>
      </c>
      <c r="B275" s="84" t="s">
        <v>8</v>
      </c>
      <c r="C275" s="103">
        <v>56.7</v>
      </c>
      <c r="D275">
        <v>35.5</v>
      </c>
      <c r="E275">
        <v>1360.6</v>
      </c>
      <c r="F275">
        <v>1535.2</v>
      </c>
      <c r="G275" s="14">
        <f t="shared" si="74"/>
        <v>1417.3</v>
      </c>
      <c r="H275" s="2">
        <f t="shared" si="75"/>
        <v>1570.7</v>
      </c>
      <c r="I275" s="48">
        <f t="shared" si="76"/>
        <v>-9.7663462150633489</v>
      </c>
      <c r="J275">
        <v>20.5</v>
      </c>
    </row>
    <row r="276" spans="1:10" x14ac:dyDescent="0.25">
      <c r="A276" s="35">
        <f t="shared" si="73"/>
        <v>40759</v>
      </c>
      <c r="B276" s="84" t="s">
        <v>8</v>
      </c>
      <c r="C276">
        <v>72.8</v>
      </c>
      <c r="D276">
        <v>35.9</v>
      </c>
      <c r="E276">
        <v>1367.2</v>
      </c>
      <c r="F276">
        <v>1535.8</v>
      </c>
      <c r="G276" s="14">
        <f t="shared" ref="G276:H286" si="77">+C276+E276</f>
        <v>1440</v>
      </c>
      <c r="H276" s="2">
        <f t="shared" si="77"/>
        <v>1571.7</v>
      </c>
      <c r="I276" s="48">
        <f t="shared" ref="I276:I297" si="78">+(G276/H276-1)*100</f>
        <v>-8.3794617293376668</v>
      </c>
      <c r="J276">
        <v>20.5</v>
      </c>
    </row>
    <row r="277" spans="1:10" x14ac:dyDescent="0.25">
      <c r="A277" s="35">
        <f t="shared" si="73"/>
        <v>40766</v>
      </c>
      <c r="B277" s="84" t="s">
        <v>8</v>
      </c>
      <c r="C277">
        <v>80.400000000000006</v>
      </c>
      <c r="D277">
        <v>36.9</v>
      </c>
      <c r="E277">
        <v>1370.2</v>
      </c>
      <c r="F277">
        <v>1536.9</v>
      </c>
      <c r="G277" s="14">
        <f t="shared" si="77"/>
        <v>1450.6000000000001</v>
      </c>
      <c r="H277" s="2">
        <f t="shared" si="77"/>
        <v>1573.8000000000002</v>
      </c>
      <c r="I277" s="48">
        <f t="shared" si="78"/>
        <v>-7.8281865548354368</v>
      </c>
      <c r="J277">
        <v>28.5</v>
      </c>
    </row>
    <row r="278" spans="1:10" x14ac:dyDescent="0.25">
      <c r="A278" s="35">
        <f t="shared" si="73"/>
        <v>40773</v>
      </c>
      <c r="B278" s="84" t="s">
        <v>8</v>
      </c>
      <c r="C278">
        <v>92.6</v>
      </c>
      <c r="D278">
        <v>39.5</v>
      </c>
      <c r="E278">
        <v>1377.6</v>
      </c>
      <c r="F278">
        <v>1538.3</v>
      </c>
      <c r="G278" s="14">
        <f t="shared" si="77"/>
        <v>1470.1999999999998</v>
      </c>
      <c r="H278" s="2">
        <f t="shared" si="77"/>
        <v>1577.8</v>
      </c>
      <c r="I278" s="48">
        <f t="shared" si="78"/>
        <v>-6.819622258841429</v>
      </c>
      <c r="J278">
        <v>44.5</v>
      </c>
    </row>
    <row r="279" spans="1:10" x14ac:dyDescent="0.25">
      <c r="A279" s="35">
        <f t="shared" si="73"/>
        <v>40780</v>
      </c>
      <c r="B279" s="84" t="s">
        <v>8</v>
      </c>
      <c r="C279">
        <v>106.5</v>
      </c>
      <c r="D279">
        <v>23.5</v>
      </c>
      <c r="E279">
        <v>1382.3</v>
      </c>
      <c r="F279">
        <v>1553.1</v>
      </c>
      <c r="G279" s="14">
        <f t="shared" si="77"/>
        <v>1488.8</v>
      </c>
      <c r="H279" s="2">
        <f t="shared" si="77"/>
        <v>1576.6</v>
      </c>
      <c r="I279" s="48">
        <f t="shared" si="78"/>
        <v>-5.5689458328047721</v>
      </c>
      <c r="J279">
        <v>64.5</v>
      </c>
    </row>
    <row r="280" spans="1:10" x14ac:dyDescent="0.25">
      <c r="A280" s="35">
        <f t="shared" si="73"/>
        <v>40787</v>
      </c>
      <c r="B280" s="84" t="s">
        <v>8</v>
      </c>
      <c r="C280">
        <v>191.4</v>
      </c>
      <c r="D280">
        <v>274.39999999999998</v>
      </c>
      <c r="E280">
        <v>0</v>
      </c>
      <c r="F280">
        <v>0</v>
      </c>
      <c r="G280" s="14">
        <f t="shared" si="77"/>
        <v>191.4</v>
      </c>
      <c r="H280" s="2">
        <f t="shared" si="77"/>
        <v>274.39999999999998</v>
      </c>
      <c r="I280" s="48">
        <f t="shared" si="78"/>
        <v>-30.247813411078706</v>
      </c>
    </row>
    <row r="281" spans="1:10" x14ac:dyDescent="0.25">
      <c r="A281" s="35">
        <f t="shared" si="73"/>
        <v>40794</v>
      </c>
      <c r="B281" s="84" t="s">
        <v>8</v>
      </c>
      <c r="C281" s="84">
        <v>180.1</v>
      </c>
      <c r="D281" s="84">
        <v>312</v>
      </c>
      <c r="E281" s="84">
        <v>17.2</v>
      </c>
      <c r="F281" s="84">
        <v>2.1</v>
      </c>
      <c r="G281" s="120">
        <f t="shared" si="77"/>
        <v>197.29999999999998</v>
      </c>
      <c r="H281" s="121">
        <f t="shared" si="77"/>
        <v>314.10000000000002</v>
      </c>
      <c r="I281" s="122">
        <f t="shared" si="78"/>
        <v>-37.185609678446362</v>
      </c>
      <c r="J281" s="84"/>
    </row>
    <row r="282" spans="1:10" x14ac:dyDescent="0.25">
      <c r="A282" s="35">
        <f t="shared" si="73"/>
        <v>40801</v>
      </c>
      <c r="B282" s="84" t="s">
        <v>8</v>
      </c>
      <c r="C282" s="84">
        <v>182.3</v>
      </c>
      <c r="D282" s="84">
        <v>315.5</v>
      </c>
      <c r="E282" s="84">
        <v>30.5</v>
      </c>
      <c r="F282" s="84">
        <v>64.8</v>
      </c>
      <c r="G282" s="120">
        <f t="shared" si="77"/>
        <v>212.8</v>
      </c>
      <c r="H282" s="121">
        <f t="shared" si="77"/>
        <v>380.3</v>
      </c>
      <c r="I282" s="122">
        <f t="shared" si="78"/>
        <v>-44.044175650801996</v>
      </c>
      <c r="J282" s="84"/>
    </row>
    <row r="283" spans="1:10" x14ac:dyDescent="0.25">
      <c r="A283" s="35">
        <f t="shared" si="73"/>
        <v>40808</v>
      </c>
      <c r="B283" s="84" t="s">
        <v>8</v>
      </c>
      <c r="C283" s="84">
        <v>179.5</v>
      </c>
      <c r="D283" s="84">
        <v>416</v>
      </c>
      <c r="E283" s="84">
        <v>41.4</v>
      </c>
      <c r="F283" s="84">
        <v>67.7</v>
      </c>
      <c r="G283" s="120">
        <f t="shared" si="77"/>
        <v>220.9</v>
      </c>
      <c r="H283" s="121">
        <f t="shared" si="77"/>
        <v>483.7</v>
      </c>
      <c r="I283" s="122">
        <f t="shared" si="78"/>
        <v>-54.33119702294811</v>
      </c>
      <c r="J283" s="84"/>
    </row>
    <row r="284" spans="1:10" x14ac:dyDescent="0.25">
      <c r="A284" s="35">
        <f t="shared" si="73"/>
        <v>40815</v>
      </c>
      <c r="B284" s="84" t="s">
        <v>8</v>
      </c>
      <c r="C284" s="84">
        <v>180.8</v>
      </c>
      <c r="D284" s="84">
        <v>365.5</v>
      </c>
      <c r="E284" s="84">
        <v>50.1</v>
      </c>
      <c r="F284" s="84">
        <v>124.7</v>
      </c>
      <c r="G284" s="120">
        <f t="shared" si="77"/>
        <v>230.9</v>
      </c>
      <c r="H284" s="121">
        <f t="shared" si="77"/>
        <v>490.2</v>
      </c>
      <c r="I284" s="122">
        <f t="shared" si="78"/>
        <v>-52.896776825785395</v>
      </c>
      <c r="J284" s="84"/>
    </row>
    <row r="285" spans="1:10" ht="15" x14ac:dyDescent="0.35">
      <c r="A285" s="35">
        <f t="shared" si="73"/>
        <v>40822</v>
      </c>
      <c r="B285" s="84" t="s">
        <v>8</v>
      </c>
      <c r="C285" s="85">
        <v>183.8</v>
      </c>
      <c r="D285" s="84">
        <v>358</v>
      </c>
      <c r="E285" s="84">
        <v>56.6</v>
      </c>
      <c r="F285" s="84">
        <v>134.4</v>
      </c>
      <c r="G285" s="120">
        <f t="shared" si="77"/>
        <v>240.4</v>
      </c>
      <c r="H285" s="121">
        <f t="shared" si="77"/>
        <v>492.4</v>
      </c>
      <c r="I285" s="122">
        <f t="shared" si="78"/>
        <v>-51.177904142973183</v>
      </c>
      <c r="J285" s="84"/>
    </row>
    <row r="286" spans="1:10" x14ac:dyDescent="0.25">
      <c r="A286" s="35">
        <f t="shared" si="73"/>
        <v>40829</v>
      </c>
      <c r="B286" s="84" t="s">
        <v>8</v>
      </c>
      <c r="C286" s="84">
        <v>196.8</v>
      </c>
      <c r="D286" s="84">
        <v>295</v>
      </c>
      <c r="E286" s="84">
        <v>70.400000000000006</v>
      </c>
      <c r="F286" s="84">
        <v>214.7</v>
      </c>
      <c r="G286" s="120">
        <f t="shared" si="77"/>
        <v>267.20000000000005</v>
      </c>
      <c r="H286" s="121">
        <f t="shared" si="77"/>
        <v>509.7</v>
      </c>
      <c r="I286" s="122">
        <f t="shared" si="78"/>
        <v>-47.577006082009007</v>
      </c>
      <c r="J286" s="84"/>
    </row>
    <row r="287" spans="1:10" x14ac:dyDescent="0.25">
      <c r="A287" s="35">
        <f t="shared" si="73"/>
        <v>40836</v>
      </c>
      <c r="B287" s="84" t="s">
        <v>8</v>
      </c>
      <c r="C287" s="84">
        <v>198.6</v>
      </c>
      <c r="D287" s="84">
        <v>345.4</v>
      </c>
      <c r="E287" s="84">
        <v>95.7</v>
      </c>
      <c r="F287" s="84">
        <v>228.9</v>
      </c>
      <c r="G287" s="120">
        <f t="shared" ref="G287:H294" si="79">+C287+E287</f>
        <v>294.3</v>
      </c>
      <c r="H287" s="121">
        <f t="shared" si="79"/>
        <v>574.29999999999995</v>
      </c>
      <c r="I287" s="122">
        <f t="shared" si="78"/>
        <v>-48.755006094375752</v>
      </c>
      <c r="J287" s="84"/>
    </row>
    <row r="288" spans="1:10" x14ac:dyDescent="0.25">
      <c r="A288" s="35">
        <f t="shared" si="73"/>
        <v>40843</v>
      </c>
      <c r="B288" s="84" t="s">
        <v>8</v>
      </c>
      <c r="C288" s="84">
        <v>198.1</v>
      </c>
      <c r="D288" s="84">
        <v>331.6</v>
      </c>
      <c r="E288" s="84">
        <v>120.6</v>
      </c>
      <c r="F288" s="84">
        <v>252.2</v>
      </c>
      <c r="G288" s="120">
        <f t="shared" si="79"/>
        <v>318.7</v>
      </c>
      <c r="H288" s="121">
        <f t="shared" si="79"/>
        <v>583.79999999999995</v>
      </c>
      <c r="I288" s="122">
        <f t="shared" si="78"/>
        <v>-45.409386776293246</v>
      </c>
      <c r="J288" s="84"/>
    </row>
    <row r="289" spans="1:10" x14ac:dyDescent="0.25">
      <c r="A289" s="35">
        <f t="shared" si="73"/>
        <v>40850</v>
      </c>
      <c r="B289" s="84" t="s">
        <v>8</v>
      </c>
      <c r="C289" s="84">
        <v>193.2</v>
      </c>
      <c r="D289" s="84">
        <v>321.60000000000002</v>
      </c>
      <c r="E289" s="84">
        <v>142</v>
      </c>
      <c r="F289" s="84">
        <v>266.5</v>
      </c>
      <c r="G289" s="120">
        <f t="shared" si="79"/>
        <v>335.2</v>
      </c>
      <c r="H289" s="121">
        <f t="shared" si="79"/>
        <v>588.1</v>
      </c>
      <c r="I289" s="122">
        <f t="shared" si="78"/>
        <v>-43.00289066485292</v>
      </c>
      <c r="J289" s="84"/>
    </row>
    <row r="290" spans="1:10" x14ac:dyDescent="0.25">
      <c r="A290" s="35">
        <f t="shared" si="73"/>
        <v>40857</v>
      </c>
      <c r="B290" s="84" t="s">
        <v>8</v>
      </c>
      <c r="C290" s="84">
        <v>198</v>
      </c>
      <c r="D290" s="84">
        <v>371.8</v>
      </c>
      <c r="E290" s="84">
        <v>154.69999999999999</v>
      </c>
      <c r="F290" s="84">
        <v>278</v>
      </c>
      <c r="G290" s="120">
        <f t="shared" si="79"/>
        <v>352.7</v>
      </c>
      <c r="H290" s="121">
        <f t="shared" si="79"/>
        <v>649.79999999999995</v>
      </c>
      <c r="I290" s="122">
        <f t="shared" si="78"/>
        <v>-45.721760541705137</v>
      </c>
      <c r="J290" s="84"/>
    </row>
    <row r="291" spans="1:10" x14ac:dyDescent="0.25">
      <c r="A291" s="35">
        <f t="shared" si="73"/>
        <v>40864</v>
      </c>
      <c r="B291" s="84" t="s">
        <v>8</v>
      </c>
      <c r="C291" s="84">
        <v>192.5</v>
      </c>
      <c r="D291" s="84">
        <v>316.10000000000002</v>
      </c>
      <c r="E291" s="84">
        <v>173.7</v>
      </c>
      <c r="F291" s="84">
        <v>406.2</v>
      </c>
      <c r="G291" s="120">
        <f t="shared" si="79"/>
        <v>366.2</v>
      </c>
      <c r="H291" s="121">
        <f t="shared" si="79"/>
        <v>722.3</v>
      </c>
      <c r="I291" s="122">
        <f t="shared" si="78"/>
        <v>-49.300844524435824</v>
      </c>
      <c r="J291" s="84"/>
    </row>
    <row r="292" spans="1:10" x14ac:dyDescent="0.25">
      <c r="A292" s="35">
        <f t="shared" si="73"/>
        <v>40871</v>
      </c>
      <c r="B292" s="84" t="s">
        <v>8</v>
      </c>
      <c r="C292" s="84">
        <v>209</v>
      </c>
      <c r="D292" s="84">
        <v>311</v>
      </c>
      <c r="E292" s="84">
        <v>192.9</v>
      </c>
      <c r="F292" s="84">
        <v>425</v>
      </c>
      <c r="G292" s="120">
        <f t="shared" si="79"/>
        <v>401.9</v>
      </c>
      <c r="H292" s="121">
        <f t="shared" si="79"/>
        <v>736</v>
      </c>
      <c r="I292" s="122">
        <f t="shared" si="78"/>
        <v>-45.394021739130444</v>
      </c>
      <c r="J292" s="84"/>
    </row>
    <row r="293" spans="1:10" x14ac:dyDescent="0.25">
      <c r="A293" s="35">
        <f t="shared" si="73"/>
        <v>40878</v>
      </c>
      <c r="B293" s="84" t="s">
        <v>8</v>
      </c>
      <c r="C293" s="84">
        <v>204.5</v>
      </c>
      <c r="D293" s="84">
        <v>290.8</v>
      </c>
      <c r="E293" s="84">
        <v>223.3</v>
      </c>
      <c r="F293" s="84">
        <v>447.1</v>
      </c>
      <c r="G293" s="120">
        <f t="shared" si="79"/>
        <v>427.8</v>
      </c>
      <c r="H293" s="121">
        <f t="shared" si="79"/>
        <v>737.90000000000009</v>
      </c>
      <c r="I293" s="122">
        <f t="shared" si="78"/>
        <v>-42.024664588697661</v>
      </c>
      <c r="J293" s="84"/>
    </row>
    <row r="294" spans="1:10" x14ac:dyDescent="0.25">
      <c r="A294" s="35">
        <f t="shared" si="73"/>
        <v>40885</v>
      </c>
      <c r="B294" s="84" t="s">
        <v>8</v>
      </c>
      <c r="C294" s="84">
        <v>192.8</v>
      </c>
      <c r="D294" s="84">
        <v>277.60000000000002</v>
      </c>
      <c r="E294" s="84">
        <v>249.8</v>
      </c>
      <c r="F294" s="84">
        <v>464.5</v>
      </c>
      <c r="G294" s="120">
        <f t="shared" si="79"/>
        <v>442.6</v>
      </c>
      <c r="H294" s="121">
        <f t="shared" si="79"/>
        <v>742.1</v>
      </c>
      <c r="I294" s="122">
        <f t="shared" si="78"/>
        <v>-40.358442258455732</v>
      </c>
      <c r="J294" s="84"/>
    </row>
    <row r="295" spans="1:10" x14ac:dyDescent="0.25">
      <c r="A295" s="35">
        <f t="shared" si="73"/>
        <v>40892</v>
      </c>
      <c r="B295" s="84" t="s">
        <v>8</v>
      </c>
      <c r="C295">
        <v>161.1</v>
      </c>
      <c r="D295">
        <v>297.5</v>
      </c>
      <c r="E295">
        <v>294.39999999999998</v>
      </c>
      <c r="F295">
        <v>475.5</v>
      </c>
      <c r="G295" s="120">
        <f t="shared" ref="G295:H297" si="80">+C295+E295</f>
        <v>455.5</v>
      </c>
      <c r="H295" s="121">
        <f t="shared" si="80"/>
        <v>773</v>
      </c>
      <c r="I295" s="122">
        <f t="shared" si="78"/>
        <v>-41.073738680465723</v>
      </c>
      <c r="J295" s="84"/>
    </row>
    <row r="296" spans="1:10" x14ac:dyDescent="0.25">
      <c r="A296" s="35">
        <f t="shared" si="73"/>
        <v>40899</v>
      </c>
      <c r="B296" s="84" t="s">
        <v>8</v>
      </c>
      <c r="C296" s="84">
        <v>194.8</v>
      </c>
      <c r="D296" s="84">
        <v>273</v>
      </c>
      <c r="E296" s="84">
        <v>320.8</v>
      </c>
      <c r="F296" s="84">
        <v>512.4</v>
      </c>
      <c r="G296" s="120">
        <f t="shared" si="80"/>
        <v>515.6</v>
      </c>
      <c r="H296" s="121">
        <f t="shared" si="80"/>
        <v>785.4</v>
      </c>
      <c r="I296" s="122">
        <f t="shared" si="78"/>
        <v>-34.351922587216698</v>
      </c>
      <c r="J296" s="84"/>
    </row>
    <row r="297" spans="1:10" x14ac:dyDescent="0.25">
      <c r="A297" s="35">
        <f t="shared" si="73"/>
        <v>40906</v>
      </c>
      <c r="B297" s="84" t="s">
        <v>8</v>
      </c>
      <c r="C297" s="84">
        <v>172.9</v>
      </c>
      <c r="D297" s="84">
        <v>267.3</v>
      </c>
      <c r="E297" s="84">
        <v>350.9</v>
      </c>
      <c r="F297" s="84">
        <v>520.70000000000005</v>
      </c>
      <c r="G297" s="120">
        <f t="shared" si="80"/>
        <v>523.79999999999995</v>
      </c>
      <c r="H297" s="121">
        <f t="shared" si="80"/>
        <v>788</v>
      </c>
      <c r="I297" s="122">
        <f t="shared" si="78"/>
        <v>-33.527918781725894</v>
      </c>
      <c r="J297" s="84"/>
    </row>
    <row r="298" spans="1:10" x14ac:dyDescent="0.25">
      <c r="A298" s="35">
        <f t="shared" si="73"/>
        <v>40913</v>
      </c>
      <c r="B298" s="84" t="s">
        <v>8</v>
      </c>
      <c r="C298">
        <v>154.30000000000001</v>
      </c>
      <c r="D298">
        <v>277.3</v>
      </c>
      <c r="E298">
        <v>382.6</v>
      </c>
      <c r="F298">
        <v>588</v>
      </c>
      <c r="G298" s="120">
        <f t="shared" ref="G298:G329" si="81">+C298+E298</f>
        <v>536.90000000000009</v>
      </c>
      <c r="H298" s="121">
        <f t="shared" ref="H298:H329" si="82">+D298+F298</f>
        <v>865.3</v>
      </c>
      <c r="I298" s="122">
        <f t="shared" ref="I298:I329" si="83">+(G298/H298-1)*100</f>
        <v>-37.952155321853674</v>
      </c>
      <c r="J298" s="84"/>
    </row>
    <row r="299" spans="1:10" x14ac:dyDescent="0.25">
      <c r="A299" s="35">
        <f t="shared" si="73"/>
        <v>40920</v>
      </c>
      <c r="B299" s="84" t="s">
        <v>8</v>
      </c>
      <c r="C299">
        <v>146.80000000000001</v>
      </c>
      <c r="D299">
        <v>274.5</v>
      </c>
      <c r="E299">
        <v>406.7</v>
      </c>
      <c r="F299">
        <v>657.6</v>
      </c>
      <c r="G299" s="120">
        <f t="shared" si="81"/>
        <v>553.5</v>
      </c>
      <c r="H299" s="121">
        <f t="shared" si="82"/>
        <v>932.1</v>
      </c>
      <c r="I299" s="122">
        <f t="shared" si="83"/>
        <v>-40.617959446411334</v>
      </c>
      <c r="J299" s="84"/>
    </row>
    <row r="300" spans="1:10" x14ac:dyDescent="0.25">
      <c r="A300" s="35">
        <f t="shared" si="73"/>
        <v>40927</v>
      </c>
      <c r="B300" s="84" t="s">
        <v>8</v>
      </c>
      <c r="C300">
        <v>143.69999999999999</v>
      </c>
      <c r="D300">
        <v>335.5</v>
      </c>
      <c r="E300">
        <v>436.3</v>
      </c>
      <c r="F300">
        <v>666.5</v>
      </c>
      <c r="G300" s="120">
        <f t="shared" si="81"/>
        <v>580</v>
      </c>
      <c r="H300" s="121">
        <f t="shared" si="82"/>
        <v>1002</v>
      </c>
      <c r="I300" s="122">
        <f t="shared" si="83"/>
        <v>-42.115768463073856</v>
      </c>
      <c r="J300" s="84"/>
    </row>
    <row r="301" spans="1:10" x14ac:dyDescent="0.25">
      <c r="A301" s="35">
        <f t="shared" si="73"/>
        <v>40934</v>
      </c>
      <c r="B301" s="84" t="s">
        <v>8</v>
      </c>
      <c r="C301">
        <v>134.80000000000001</v>
      </c>
      <c r="D301">
        <v>458.9</v>
      </c>
      <c r="E301">
        <v>452</v>
      </c>
      <c r="F301">
        <v>688.8</v>
      </c>
      <c r="G301" s="120">
        <f t="shared" si="81"/>
        <v>586.79999999999995</v>
      </c>
      <c r="H301" s="121">
        <f t="shared" si="82"/>
        <v>1147.6999999999998</v>
      </c>
      <c r="I301" s="122">
        <f t="shared" si="83"/>
        <v>-48.871656356190641</v>
      </c>
      <c r="J301" s="84"/>
    </row>
    <row r="302" spans="1:10" x14ac:dyDescent="0.25">
      <c r="A302" s="35">
        <f t="shared" si="73"/>
        <v>40941</v>
      </c>
      <c r="B302" s="84" t="s">
        <v>8</v>
      </c>
      <c r="C302">
        <v>77</v>
      </c>
      <c r="D302">
        <v>469.2</v>
      </c>
      <c r="E302">
        <v>529.20000000000005</v>
      </c>
      <c r="F302">
        <v>697.5</v>
      </c>
      <c r="G302" s="120">
        <f t="shared" si="81"/>
        <v>606.20000000000005</v>
      </c>
      <c r="H302" s="121">
        <f t="shared" si="82"/>
        <v>1166.7</v>
      </c>
      <c r="I302" s="122">
        <f t="shared" si="83"/>
        <v>-48.041484529013459</v>
      </c>
      <c r="J302" s="84"/>
    </row>
    <row r="303" spans="1:10" x14ac:dyDescent="0.25">
      <c r="A303" s="35">
        <f t="shared" si="73"/>
        <v>40948</v>
      </c>
      <c r="B303" s="84" t="s">
        <v>8</v>
      </c>
      <c r="C303">
        <v>92.5</v>
      </c>
      <c r="D303">
        <v>466.6</v>
      </c>
      <c r="E303">
        <v>535.1</v>
      </c>
      <c r="F303">
        <v>710.1</v>
      </c>
      <c r="G303" s="120">
        <f t="shared" si="81"/>
        <v>627.6</v>
      </c>
      <c r="H303" s="121">
        <f t="shared" si="82"/>
        <v>1176.7</v>
      </c>
      <c r="I303" s="122">
        <f t="shared" si="83"/>
        <v>-46.66440044191382</v>
      </c>
      <c r="J303" s="84"/>
    </row>
    <row r="304" spans="1:10" x14ac:dyDescent="0.25">
      <c r="A304" s="35">
        <f t="shared" si="73"/>
        <v>40955</v>
      </c>
      <c r="B304" s="84" t="s">
        <v>8</v>
      </c>
      <c r="C304">
        <v>95.2</v>
      </c>
      <c r="D304">
        <v>292.2</v>
      </c>
      <c r="E304">
        <v>550.1</v>
      </c>
      <c r="F304">
        <v>837.9</v>
      </c>
      <c r="G304" s="120">
        <f t="shared" si="81"/>
        <v>645.30000000000007</v>
      </c>
      <c r="H304" s="121">
        <f t="shared" si="82"/>
        <v>1130.0999999999999</v>
      </c>
      <c r="I304" s="122">
        <f t="shared" si="83"/>
        <v>-42.898858508096616</v>
      </c>
    </row>
    <row r="305" spans="1:9" x14ac:dyDescent="0.25">
      <c r="A305" s="35">
        <f t="shared" si="73"/>
        <v>40962</v>
      </c>
      <c r="B305" s="84" t="s">
        <v>8</v>
      </c>
      <c r="C305">
        <v>94</v>
      </c>
      <c r="D305">
        <v>251.1</v>
      </c>
      <c r="E305">
        <v>562.29999999999995</v>
      </c>
      <c r="F305">
        <v>854.5</v>
      </c>
      <c r="G305" s="120">
        <f t="shared" si="81"/>
        <v>656.3</v>
      </c>
      <c r="H305" s="121">
        <f t="shared" si="82"/>
        <v>1105.5999999999999</v>
      </c>
      <c r="I305" s="122">
        <f t="shared" si="83"/>
        <v>-40.638567293777136</v>
      </c>
    </row>
    <row r="306" spans="1:9" x14ac:dyDescent="0.25">
      <c r="A306" s="35">
        <f t="shared" si="73"/>
        <v>40969</v>
      </c>
      <c r="B306" s="84" t="s">
        <v>8</v>
      </c>
      <c r="C306">
        <v>81.7</v>
      </c>
      <c r="D306">
        <v>267.5</v>
      </c>
      <c r="E306">
        <v>576.20000000000005</v>
      </c>
      <c r="F306">
        <v>873.3</v>
      </c>
      <c r="G306" s="120">
        <f t="shared" si="81"/>
        <v>657.90000000000009</v>
      </c>
      <c r="H306" s="121">
        <f t="shared" si="82"/>
        <v>1140.8</v>
      </c>
      <c r="I306" s="122">
        <f t="shared" si="83"/>
        <v>-42.329943899018218</v>
      </c>
    </row>
    <row r="307" spans="1:9" x14ac:dyDescent="0.25">
      <c r="A307" s="35">
        <f t="shared" si="73"/>
        <v>40976</v>
      </c>
      <c r="B307" s="84" t="s">
        <v>8</v>
      </c>
      <c r="C307">
        <v>91.8</v>
      </c>
      <c r="D307">
        <v>262.10000000000002</v>
      </c>
      <c r="E307">
        <v>588.9</v>
      </c>
      <c r="F307">
        <v>888.3</v>
      </c>
      <c r="G307" s="120">
        <f t="shared" si="81"/>
        <v>680.69999999999993</v>
      </c>
      <c r="H307" s="121">
        <f t="shared" si="82"/>
        <v>1150.4000000000001</v>
      </c>
      <c r="I307" s="122">
        <f t="shared" si="83"/>
        <v>-40.82927677329625</v>
      </c>
    </row>
    <row r="308" spans="1:9" x14ac:dyDescent="0.25">
      <c r="A308" s="35">
        <f t="shared" si="73"/>
        <v>40983</v>
      </c>
      <c r="B308" s="84" t="s">
        <v>8</v>
      </c>
      <c r="C308">
        <v>78.400000000000006</v>
      </c>
      <c r="D308">
        <v>209.8</v>
      </c>
      <c r="E308">
        <v>608.1</v>
      </c>
      <c r="F308">
        <v>960.7</v>
      </c>
      <c r="G308" s="120">
        <f t="shared" si="81"/>
        <v>686.5</v>
      </c>
      <c r="H308" s="121">
        <f t="shared" si="82"/>
        <v>1170.5</v>
      </c>
      <c r="I308" s="122">
        <f t="shared" si="83"/>
        <v>-41.349850491243053</v>
      </c>
    </row>
    <row r="309" spans="1:9" x14ac:dyDescent="0.25">
      <c r="A309" s="35">
        <f t="shared" si="73"/>
        <v>40990</v>
      </c>
      <c r="B309" s="84" t="s">
        <v>8</v>
      </c>
      <c r="C309">
        <v>80.2</v>
      </c>
      <c r="D309">
        <v>206.7</v>
      </c>
      <c r="E309">
        <v>619</v>
      </c>
      <c r="F309">
        <v>973.8</v>
      </c>
      <c r="G309" s="120">
        <f t="shared" si="81"/>
        <v>699.2</v>
      </c>
      <c r="H309" s="121">
        <f t="shared" si="82"/>
        <v>1180.5</v>
      </c>
      <c r="I309" s="122">
        <f t="shared" si="83"/>
        <v>-40.770859805167305</v>
      </c>
    </row>
    <row r="310" spans="1:9" x14ac:dyDescent="0.25">
      <c r="A310" s="35">
        <f t="shared" si="73"/>
        <v>40997</v>
      </c>
      <c r="B310" s="84" t="s">
        <v>8</v>
      </c>
      <c r="C310">
        <v>74</v>
      </c>
      <c r="D310">
        <v>220.5</v>
      </c>
      <c r="E310">
        <v>626.29999999999995</v>
      </c>
      <c r="F310">
        <v>987.5</v>
      </c>
      <c r="G310" s="120">
        <f t="shared" si="81"/>
        <v>700.3</v>
      </c>
      <c r="H310" s="121">
        <f t="shared" si="82"/>
        <v>1208</v>
      </c>
      <c r="I310" s="122">
        <f t="shared" si="83"/>
        <v>-42.028145695364238</v>
      </c>
    </row>
    <row r="311" spans="1:9" x14ac:dyDescent="0.25">
      <c r="A311" s="35">
        <f t="shared" si="73"/>
        <v>41004</v>
      </c>
      <c r="B311" s="84" t="s">
        <v>8</v>
      </c>
      <c r="C311">
        <v>66.3</v>
      </c>
      <c r="D311">
        <v>189.9</v>
      </c>
      <c r="E311">
        <v>656.4</v>
      </c>
      <c r="F311">
        <v>1017.1</v>
      </c>
      <c r="G311" s="120">
        <f t="shared" si="81"/>
        <v>722.69999999999993</v>
      </c>
      <c r="H311" s="121">
        <f t="shared" si="82"/>
        <v>1207</v>
      </c>
      <c r="I311" s="122">
        <f t="shared" si="83"/>
        <v>-40.124275062137535</v>
      </c>
    </row>
    <row r="312" spans="1:9" x14ac:dyDescent="0.25">
      <c r="A312" s="35">
        <f t="shared" si="73"/>
        <v>41011</v>
      </c>
      <c r="B312" s="84" t="s">
        <v>8</v>
      </c>
      <c r="C312">
        <v>60.8</v>
      </c>
      <c r="D312">
        <v>134.1</v>
      </c>
      <c r="E312">
        <v>666.7</v>
      </c>
      <c r="F312">
        <v>1092.7</v>
      </c>
      <c r="G312" s="120">
        <f t="shared" si="81"/>
        <v>727.5</v>
      </c>
      <c r="H312" s="121">
        <f t="shared" si="82"/>
        <v>1226.8</v>
      </c>
      <c r="I312" s="122">
        <f t="shared" si="83"/>
        <v>-40.699380502119332</v>
      </c>
    </row>
    <row r="313" spans="1:9" x14ac:dyDescent="0.25">
      <c r="A313" s="35">
        <f t="shared" si="73"/>
        <v>41018</v>
      </c>
      <c r="B313" s="84" t="s">
        <v>8</v>
      </c>
      <c r="C313">
        <v>65.7</v>
      </c>
      <c r="D313">
        <v>126.2</v>
      </c>
      <c r="E313">
        <v>678.1</v>
      </c>
      <c r="F313">
        <v>1107.5</v>
      </c>
      <c r="G313" s="120">
        <f t="shared" si="81"/>
        <v>743.80000000000007</v>
      </c>
      <c r="H313" s="121">
        <f t="shared" si="82"/>
        <v>1233.7</v>
      </c>
      <c r="I313" s="122">
        <f t="shared" si="83"/>
        <v>-39.709816000648459</v>
      </c>
    </row>
    <row r="314" spans="1:9" x14ac:dyDescent="0.25">
      <c r="A314" s="35">
        <f t="shared" si="73"/>
        <v>41025</v>
      </c>
      <c r="B314" s="84" t="s">
        <v>8</v>
      </c>
      <c r="C314">
        <v>66</v>
      </c>
      <c r="D314">
        <v>111.3</v>
      </c>
      <c r="E314">
        <v>689.6</v>
      </c>
      <c r="F314">
        <v>1126.5999999999999</v>
      </c>
      <c r="G314" s="120">
        <f t="shared" si="81"/>
        <v>755.6</v>
      </c>
      <c r="H314" s="121">
        <f t="shared" si="82"/>
        <v>1237.8999999999999</v>
      </c>
      <c r="I314" s="122">
        <f t="shared" si="83"/>
        <v>-38.961143872687607</v>
      </c>
    </row>
    <row r="315" spans="1:9" x14ac:dyDescent="0.25">
      <c r="A315" s="35">
        <f t="shared" si="73"/>
        <v>41032</v>
      </c>
      <c r="B315" s="84" t="s">
        <v>8</v>
      </c>
      <c r="C315">
        <v>64.3</v>
      </c>
      <c r="D315">
        <v>107.5</v>
      </c>
      <c r="E315">
        <v>701.4</v>
      </c>
      <c r="F315">
        <v>1144.0999999999999</v>
      </c>
      <c r="G315" s="120">
        <f t="shared" si="81"/>
        <v>765.69999999999993</v>
      </c>
      <c r="H315" s="121">
        <f t="shared" si="82"/>
        <v>1251.5999999999999</v>
      </c>
      <c r="I315" s="122">
        <f t="shared" si="83"/>
        <v>-38.822307446468521</v>
      </c>
    </row>
    <row r="316" spans="1:9" x14ac:dyDescent="0.25">
      <c r="A316" s="35">
        <f t="shared" si="73"/>
        <v>41039</v>
      </c>
      <c r="B316" s="84" t="s">
        <v>8</v>
      </c>
      <c r="C316">
        <v>68.8</v>
      </c>
      <c r="D316">
        <v>113.1</v>
      </c>
      <c r="E316">
        <v>707.3</v>
      </c>
      <c r="F316">
        <v>1156.3</v>
      </c>
      <c r="G316" s="120">
        <f t="shared" si="81"/>
        <v>776.09999999999991</v>
      </c>
      <c r="H316" s="121">
        <f t="shared" si="82"/>
        <v>1269.3999999999999</v>
      </c>
      <c r="I316" s="122">
        <f t="shared" si="83"/>
        <v>-38.860879155506531</v>
      </c>
    </row>
    <row r="317" spans="1:9" x14ac:dyDescent="0.25">
      <c r="A317" s="35">
        <f t="shared" si="73"/>
        <v>41046</v>
      </c>
      <c r="B317" s="84" t="s">
        <v>8</v>
      </c>
      <c r="C317">
        <v>76.3</v>
      </c>
      <c r="D317">
        <v>109.4</v>
      </c>
      <c r="E317">
        <v>716.3</v>
      </c>
      <c r="F317">
        <v>1243.3</v>
      </c>
      <c r="G317" s="120">
        <f t="shared" si="81"/>
        <v>792.59999999999991</v>
      </c>
      <c r="H317" s="121">
        <f t="shared" si="82"/>
        <v>1352.7</v>
      </c>
      <c r="I317" s="122">
        <f t="shared" si="83"/>
        <v>-41.406076735418061</v>
      </c>
    </row>
    <row r="318" spans="1:9" x14ac:dyDescent="0.25">
      <c r="A318" s="35">
        <f t="shared" ref="A318:A381" si="84">+A317+7</f>
        <v>41053</v>
      </c>
      <c r="B318" s="84" t="s">
        <v>8</v>
      </c>
      <c r="C318">
        <v>76.3</v>
      </c>
      <c r="D318">
        <v>109.4</v>
      </c>
      <c r="E318">
        <v>716.3</v>
      </c>
      <c r="F318">
        <v>1243.3</v>
      </c>
      <c r="G318" s="120">
        <f t="shared" si="81"/>
        <v>792.59999999999991</v>
      </c>
      <c r="H318" s="121">
        <f t="shared" si="82"/>
        <v>1352.7</v>
      </c>
      <c r="I318" s="122">
        <f t="shared" si="83"/>
        <v>-41.406076735418061</v>
      </c>
    </row>
    <row r="319" spans="1:9" x14ac:dyDescent="0.25">
      <c r="A319" s="35">
        <f t="shared" si="84"/>
        <v>41060</v>
      </c>
      <c r="B319" s="84" t="s">
        <v>8</v>
      </c>
      <c r="C319">
        <v>96.2</v>
      </c>
      <c r="D319">
        <v>79.900000000000006</v>
      </c>
      <c r="E319">
        <v>754.3</v>
      </c>
      <c r="F319">
        <v>1284.3</v>
      </c>
      <c r="G319" s="120">
        <f t="shared" si="81"/>
        <v>850.5</v>
      </c>
      <c r="H319" s="121">
        <f t="shared" si="82"/>
        <v>1364.2</v>
      </c>
      <c r="I319" s="122">
        <f t="shared" si="83"/>
        <v>-37.655768948834492</v>
      </c>
    </row>
    <row r="320" spans="1:9" x14ac:dyDescent="0.25">
      <c r="A320" s="35">
        <f t="shared" si="84"/>
        <v>41067</v>
      </c>
      <c r="B320" s="84" t="s">
        <v>8</v>
      </c>
      <c r="C320">
        <v>106.5</v>
      </c>
      <c r="D320">
        <v>70.099999999999994</v>
      </c>
      <c r="E320">
        <v>767.4</v>
      </c>
      <c r="F320">
        <v>1294.5999999999999</v>
      </c>
      <c r="G320" s="120">
        <f t="shared" si="81"/>
        <v>873.9</v>
      </c>
      <c r="H320" s="121">
        <f t="shared" si="82"/>
        <v>1364.6999999999998</v>
      </c>
      <c r="I320" s="122">
        <f t="shared" si="83"/>
        <v>-35.963948120466029</v>
      </c>
    </row>
    <row r="321" spans="1:10" x14ac:dyDescent="0.25">
      <c r="A321" s="35">
        <f t="shared" si="84"/>
        <v>41074</v>
      </c>
      <c r="B321" s="84" t="s">
        <v>8</v>
      </c>
      <c r="C321">
        <v>94.3</v>
      </c>
      <c r="D321">
        <v>60.8</v>
      </c>
      <c r="E321">
        <v>780</v>
      </c>
      <c r="F321">
        <v>1304.5</v>
      </c>
      <c r="G321" s="120">
        <f t="shared" si="81"/>
        <v>874.3</v>
      </c>
      <c r="H321" s="121">
        <f t="shared" si="82"/>
        <v>1365.3</v>
      </c>
      <c r="I321" s="122">
        <f t="shared" si="83"/>
        <v>-35.962792060353031</v>
      </c>
    </row>
    <row r="322" spans="1:10" x14ac:dyDescent="0.25">
      <c r="A322" s="35">
        <f t="shared" si="84"/>
        <v>41081</v>
      </c>
      <c r="B322" s="84" t="s">
        <v>8</v>
      </c>
      <c r="C322">
        <v>89.9</v>
      </c>
      <c r="D322">
        <v>58.5</v>
      </c>
      <c r="E322">
        <v>789.4</v>
      </c>
      <c r="F322">
        <v>1311</v>
      </c>
      <c r="G322" s="120">
        <f t="shared" si="81"/>
        <v>879.3</v>
      </c>
      <c r="H322" s="121">
        <f t="shared" si="82"/>
        <v>1369.5</v>
      </c>
      <c r="I322" s="122">
        <f t="shared" si="83"/>
        <v>-35.794085432639655</v>
      </c>
    </row>
    <row r="323" spans="1:10" x14ac:dyDescent="0.25">
      <c r="A323" s="35">
        <f t="shared" si="84"/>
        <v>41088</v>
      </c>
      <c r="B323" s="84" t="s">
        <v>8</v>
      </c>
      <c r="C323">
        <v>87</v>
      </c>
      <c r="D323">
        <v>48.9</v>
      </c>
      <c r="E323">
        <v>805.9</v>
      </c>
      <c r="F323">
        <v>1333.6</v>
      </c>
      <c r="G323" s="120">
        <f t="shared" si="81"/>
        <v>892.9</v>
      </c>
      <c r="H323" s="121">
        <f t="shared" si="82"/>
        <v>1382.5</v>
      </c>
      <c r="I323" s="122">
        <f t="shared" si="83"/>
        <v>-35.41410488245932</v>
      </c>
    </row>
    <row r="324" spans="1:10" x14ac:dyDescent="0.25">
      <c r="A324" s="35">
        <f t="shared" si="84"/>
        <v>41095</v>
      </c>
      <c r="B324" s="84" t="s">
        <v>8</v>
      </c>
      <c r="C324">
        <v>83.9</v>
      </c>
      <c r="D324">
        <v>48.6</v>
      </c>
      <c r="E324">
        <v>814.1</v>
      </c>
      <c r="F324">
        <v>1341.7</v>
      </c>
      <c r="G324" s="120">
        <f t="shared" si="81"/>
        <v>898</v>
      </c>
      <c r="H324" s="121">
        <f t="shared" si="82"/>
        <v>1390.3</v>
      </c>
      <c r="I324" s="122">
        <f t="shared" si="83"/>
        <v>-35.409623822196643</v>
      </c>
    </row>
    <row r="325" spans="1:10" x14ac:dyDescent="0.25">
      <c r="A325" s="35">
        <f t="shared" si="84"/>
        <v>41102</v>
      </c>
      <c r="B325" s="84" t="s">
        <v>8</v>
      </c>
      <c r="C325">
        <v>72.8</v>
      </c>
      <c r="D325">
        <v>50</v>
      </c>
      <c r="E325">
        <v>836.6</v>
      </c>
      <c r="F325">
        <v>1349.1</v>
      </c>
      <c r="G325" s="120">
        <f t="shared" si="81"/>
        <v>909.4</v>
      </c>
      <c r="H325" s="121">
        <f t="shared" si="82"/>
        <v>1399.1</v>
      </c>
      <c r="I325" s="122">
        <f t="shared" si="83"/>
        <v>-35.001072117790002</v>
      </c>
    </row>
    <row r="326" spans="1:10" x14ac:dyDescent="0.25">
      <c r="A326" s="35">
        <f t="shared" si="84"/>
        <v>41109</v>
      </c>
      <c r="B326" s="84" t="s">
        <v>8</v>
      </c>
      <c r="C326">
        <v>104.5</v>
      </c>
      <c r="D326">
        <v>41.4</v>
      </c>
      <c r="E326">
        <v>847.7</v>
      </c>
      <c r="F326">
        <v>1357.5</v>
      </c>
      <c r="G326" s="120">
        <f t="shared" si="81"/>
        <v>952.2</v>
      </c>
      <c r="H326" s="121">
        <f t="shared" si="82"/>
        <v>1398.9</v>
      </c>
      <c r="I326" s="122">
        <f t="shared" si="83"/>
        <v>-31.932232468368007</v>
      </c>
    </row>
    <row r="327" spans="1:10" x14ac:dyDescent="0.25">
      <c r="A327" s="35">
        <f t="shared" si="84"/>
        <v>41116</v>
      </c>
      <c r="B327" s="84" t="s">
        <v>8</v>
      </c>
      <c r="C327">
        <v>101.1</v>
      </c>
      <c r="D327">
        <v>56.7</v>
      </c>
      <c r="E327">
        <v>859.6</v>
      </c>
      <c r="F327">
        <v>1360.6</v>
      </c>
      <c r="G327" s="120">
        <f t="shared" si="81"/>
        <v>960.7</v>
      </c>
      <c r="H327" s="121">
        <f t="shared" si="82"/>
        <v>1417.3</v>
      </c>
      <c r="I327" s="122">
        <f t="shared" si="83"/>
        <v>-32.21618570521413</v>
      </c>
      <c r="J327">
        <v>42.6</v>
      </c>
    </row>
    <row r="328" spans="1:10" x14ac:dyDescent="0.25">
      <c r="A328" s="35">
        <f t="shared" si="84"/>
        <v>41123</v>
      </c>
      <c r="B328" s="84" t="s">
        <v>8</v>
      </c>
      <c r="C328">
        <v>106.2</v>
      </c>
      <c r="D328">
        <v>72.8</v>
      </c>
      <c r="E328">
        <v>868.2</v>
      </c>
      <c r="F328">
        <v>1367.2</v>
      </c>
      <c r="G328" s="120">
        <f t="shared" si="81"/>
        <v>974.40000000000009</v>
      </c>
      <c r="H328" s="121">
        <f t="shared" si="82"/>
        <v>1440</v>
      </c>
      <c r="I328" s="122">
        <f t="shared" si="83"/>
        <v>-32.333333333333329</v>
      </c>
      <c r="J328">
        <v>47.6</v>
      </c>
    </row>
    <row r="329" spans="1:10" x14ac:dyDescent="0.25">
      <c r="A329" s="35">
        <f t="shared" si="84"/>
        <v>41130</v>
      </c>
      <c r="B329" s="84" t="s">
        <v>8</v>
      </c>
      <c r="C329">
        <v>106.8</v>
      </c>
      <c r="D329">
        <v>80.400000000000006</v>
      </c>
      <c r="E329">
        <v>876.7</v>
      </c>
      <c r="F329">
        <v>1370.2</v>
      </c>
      <c r="G329" s="120">
        <f t="shared" si="81"/>
        <v>983.5</v>
      </c>
      <c r="H329" s="121">
        <f t="shared" si="82"/>
        <v>1450.6000000000001</v>
      </c>
      <c r="I329" s="122">
        <f t="shared" si="83"/>
        <v>-32.200468771542809</v>
      </c>
      <c r="J329">
        <v>123.1</v>
      </c>
    </row>
    <row r="330" spans="1:10" x14ac:dyDescent="0.25">
      <c r="A330" s="35">
        <f t="shared" si="84"/>
        <v>41137</v>
      </c>
      <c r="B330" s="84" t="s">
        <v>8</v>
      </c>
      <c r="C330">
        <v>113.1</v>
      </c>
      <c r="D330">
        <v>92.6</v>
      </c>
      <c r="E330">
        <v>887.3</v>
      </c>
      <c r="F330">
        <v>1377.6</v>
      </c>
      <c r="G330" s="120">
        <f t="shared" ref="G330:G360" si="85">+C330+E330</f>
        <v>1000.4</v>
      </c>
      <c r="H330" s="121">
        <f t="shared" ref="H330:H360" si="86">+D330+F330</f>
        <v>1470.1999999999998</v>
      </c>
      <c r="I330" s="122">
        <f t="shared" ref="I330:I361" si="87">+(G330/H330-1)*100</f>
        <v>-31.954836076724249</v>
      </c>
      <c r="J330">
        <v>184.1</v>
      </c>
    </row>
    <row r="331" spans="1:10" x14ac:dyDescent="0.25">
      <c r="A331" s="35">
        <f t="shared" si="84"/>
        <v>41144</v>
      </c>
      <c r="B331" s="84" t="s">
        <v>8</v>
      </c>
      <c r="C331">
        <v>101.3</v>
      </c>
      <c r="D331">
        <v>106.5</v>
      </c>
      <c r="E331">
        <v>899.1</v>
      </c>
      <c r="F331">
        <v>1382.3</v>
      </c>
      <c r="G331" s="120">
        <f t="shared" si="85"/>
        <v>1000.4</v>
      </c>
      <c r="H331" s="121">
        <f t="shared" si="86"/>
        <v>1488.8</v>
      </c>
      <c r="I331" s="122">
        <f t="shared" si="87"/>
        <v>-32.804943578721115</v>
      </c>
      <c r="J331">
        <v>199.2</v>
      </c>
    </row>
    <row r="332" spans="1:10" x14ac:dyDescent="0.25">
      <c r="A332" s="35">
        <f t="shared" si="84"/>
        <v>41151</v>
      </c>
      <c r="B332" s="84" t="s">
        <v>8</v>
      </c>
      <c r="C332">
        <v>90.8</v>
      </c>
      <c r="D332">
        <v>191.4</v>
      </c>
      <c r="E332">
        <v>909.3</v>
      </c>
      <c r="F332">
        <v>0</v>
      </c>
      <c r="G332" s="120">
        <f t="shared" si="85"/>
        <v>1000.0999999999999</v>
      </c>
      <c r="H332" s="121">
        <f t="shared" si="86"/>
        <v>191.4</v>
      </c>
      <c r="I332" s="122">
        <f t="shared" si="87"/>
        <v>422.51828631138972</v>
      </c>
      <c r="J332">
        <v>210.7</v>
      </c>
    </row>
    <row r="333" spans="1:10" x14ac:dyDescent="0.25">
      <c r="A333" s="35">
        <f t="shared" si="84"/>
        <v>41158</v>
      </c>
      <c r="B333" s="84" t="s">
        <v>8</v>
      </c>
      <c r="C333">
        <v>307</v>
      </c>
      <c r="D333">
        <v>191.4</v>
      </c>
      <c r="E333">
        <v>14.9</v>
      </c>
      <c r="F333">
        <v>0</v>
      </c>
      <c r="G333" s="120">
        <f t="shared" si="85"/>
        <v>321.89999999999998</v>
      </c>
      <c r="H333" s="121">
        <f t="shared" si="86"/>
        <v>191.4</v>
      </c>
      <c r="I333" s="122">
        <f t="shared" si="87"/>
        <v>68.181818181818159</v>
      </c>
    </row>
    <row r="334" spans="1:10" x14ac:dyDescent="0.25">
      <c r="A334" s="35">
        <f t="shared" si="84"/>
        <v>41165</v>
      </c>
      <c r="B334" s="84" t="s">
        <v>8</v>
      </c>
      <c r="C334">
        <v>327</v>
      </c>
      <c r="D334">
        <v>182.3</v>
      </c>
      <c r="E334">
        <v>30.2</v>
      </c>
      <c r="F334">
        <v>30.5</v>
      </c>
      <c r="G334" s="120">
        <f t="shared" si="85"/>
        <v>357.2</v>
      </c>
      <c r="H334" s="121">
        <f t="shared" si="86"/>
        <v>212.8</v>
      </c>
      <c r="I334" s="122">
        <f t="shared" si="87"/>
        <v>67.857142857142833</v>
      </c>
    </row>
    <row r="335" spans="1:10" x14ac:dyDescent="0.25">
      <c r="A335" s="35">
        <f t="shared" si="84"/>
        <v>41172</v>
      </c>
      <c r="B335" s="84" t="s">
        <v>8</v>
      </c>
      <c r="C335">
        <v>336.3</v>
      </c>
      <c r="D335">
        <v>179.5</v>
      </c>
      <c r="E335">
        <v>39.1</v>
      </c>
      <c r="F335">
        <v>41.4</v>
      </c>
      <c r="G335" s="120">
        <f t="shared" si="85"/>
        <v>375.40000000000003</v>
      </c>
      <c r="H335" s="121">
        <f t="shared" si="86"/>
        <v>220.9</v>
      </c>
      <c r="I335" s="122">
        <f t="shared" si="87"/>
        <v>69.941149841557277</v>
      </c>
    </row>
    <row r="336" spans="1:10" x14ac:dyDescent="0.25">
      <c r="A336" s="35">
        <f t="shared" si="84"/>
        <v>41179</v>
      </c>
      <c r="B336" s="84" t="s">
        <v>8</v>
      </c>
      <c r="C336">
        <v>350.7</v>
      </c>
      <c r="D336">
        <v>180.8</v>
      </c>
      <c r="E336">
        <v>48.4</v>
      </c>
      <c r="F336">
        <v>50.1</v>
      </c>
      <c r="G336" s="120">
        <f t="shared" si="85"/>
        <v>399.09999999999997</v>
      </c>
      <c r="H336" s="121">
        <f t="shared" si="86"/>
        <v>230.9</v>
      </c>
      <c r="I336" s="122">
        <f t="shared" si="87"/>
        <v>72.845387613685546</v>
      </c>
    </row>
    <row r="337" spans="1:9" x14ac:dyDescent="0.25">
      <c r="A337" s="35">
        <f t="shared" si="84"/>
        <v>41186</v>
      </c>
      <c r="B337" s="84" t="s">
        <v>8</v>
      </c>
      <c r="C337">
        <v>339.3</v>
      </c>
      <c r="D337">
        <v>183.8</v>
      </c>
      <c r="E337">
        <v>66.400000000000006</v>
      </c>
      <c r="F337">
        <v>56.6</v>
      </c>
      <c r="G337" s="120">
        <f t="shared" si="85"/>
        <v>405.70000000000005</v>
      </c>
      <c r="H337" s="121">
        <f t="shared" si="86"/>
        <v>240.4</v>
      </c>
      <c r="I337" s="122">
        <f t="shared" si="87"/>
        <v>68.760399334442596</v>
      </c>
    </row>
    <row r="338" spans="1:9" x14ac:dyDescent="0.25">
      <c r="A338" s="35">
        <f t="shared" si="84"/>
        <v>41193</v>
      </c>
      <c r="B338" s="84" t="s">
        <v>8</v>
      </c>
      <c r="C338">
        <v>342.8</v>
      </c>
      <c r="D338">
        <v>196.8</v>
      </c>
      <c r="E338">
        <v>94.9</v>
      </c>
      <c r="F338">
        <v>70.400000000000006</v>
      </c>
      <c r="G338" s="120">
        <f t="shared" si="85"/>
        <v>437.70000000000005</v>
      </c>
      <c r="H338" s="121">
        <f t="shared" si="86"/>
        <v>267.20000000000005</v>
      </c>
      <c r="I338" s="122">
        <f t="shared" si="87"/>
        <v>63.809880239520943</v>
      </c>
    </row>
    <row r="339" spans="1:9" x14ac:dyDescent="0.25">
      <c r="A339" s="35">
        <f t="shared" si="84"/>
        <v>41200</v>
      </c>
      <c r="B339" s="84" t="s">
        <v>8</v>
      </c>
      <c r="C339">
        <v>383.3</v>
      </c>
      <c r="D339">
        <v>198.6</v>
      </c>
      <c r="E339">
        <v>184.1</v>
      </c>
      <c r="F339">
        <v>95.7</v>
      </c>
      <c r="G339" s="120">
        <f t="shared" si="85"/>
        <v>567.4</v>
      </c>
      <c r="H339" s="121">
        <f t="shared" si="86"/>
        <v>294.3</v>
      </c>
      <c r="I339" s="122">
        <f t="shared" si="87"/>
        <v>92.796466190961581</v>
      </c>
    </row>
    <row r="340" spans="1:9" x14ac:dyDescent="0.25">
      <c r="A340" s="35">
        <f t="shared" si="84"/>
        <v>41207</v>
      </c>
      <c r="B340" s="84" t="s">
        <v>8</v>
      </c>
      <c r="C340">
        <v>362.3</v>
      </c>
      <c r="D340">
        <v>198.1</v>
      </c>
      <c r="E340">
        <v>221.9</v>
      </c>
      <c r="F340">
        <v>120.6</v>
      </c>
      <c r="G340" s="120">
        <f t="shared" si="85"/>
        <v>584.20000000000005</v>
      </c>
      <c r="H340" s="121">
        <f t="shared" si="86"/>
        <v>318.7</v>
      </c>
      <c r="I340" s="122">
        <f t="shared" si="87"/>
        <v>83.307185440853488</v>
      </c>
    </row>
    <row r="341" spans="1:9" x14ac:dyDescent="0.25">
      <c r="A341" s="35">
        <f t="shared" si="84"/>
        <v>41214</v>
      </c>
      <c r="B341" s="84" t="s">
        <v>8</v>
      </c>
      <c r="C341">
        <v>292.10000000000002</v>
      </c>
      <c r="D341">
        <v>193.2</v>
      </c>
      <c r="E341">
        <v>317.10000000000002</v>
      </c>
      <c r="F341">
        <v>142</v>
      </c>
      <c r="G341" s="120">
        <f t="shared" si="85"/>
        <v>609.20000000000005</v>
      </c>
      <c r="H341" s="121">
        <f t="shared" si="86"/>
        <v>335.2</v>
      </c>
      <c r="I341" s="122">
        <f t="shared" si="87"/>
        <v>81.742243436754208</v>
      </c>
    </row>
    <row r="342" spans="1:9" x14ac:dyDescent="0.25">
      <c r="A342" s="35">
        <f t="shared" si="84"/>
        <v>41221</v>
      </c>
      <c r="B342" s="84" t="s">
        <v>8</v>
      </c>
      <c r="C342">
        <v>246.8</v>
      </c>
      <c r="D342">
        <v>198</v>
      </c>
      <c r="E342">
        <v>391.5</v>
      </c>
      <c r="F342">
        <v>154.69999999999999</v>
      </c>
      <c r="G342" s="120">
        <f t="shared" si="85"/>
        <v>638.29999999999995</v>
      </c>
      <c r="H342" s="121">
        <f t="shared" si="86"/>
        <v>352.7</v>
      </c>
      <c r="I342" s="122">
        <f t="shared" si="87"/>
        <v>80.975333144315272</v>
      </c>
    </row>
    <row r="343" spans="1:9" x14ac:dyDescent="0.25">
      <c r="A343" s="35">
        <f t="shared" si="84"/>
        <v>41228</v>
      </c>
      <c r="B343" s="84" t="s">
        <v>8</v>
      </c>
      <c r="C343">
        <v>174.1</v>
      </c>
      <c r="D343">
        <v>192.5</v>
      </c>
      <c r="E343">
        <v>470.7</v>
      </c>
      <c r="F343">
        <v>173.7</v>
      </c>
      <c r="G343" s="120">
        <f t="shared" si="85"/>
        <v>644.79999999999995</v>
      </c>
      <c r="H343" s="121">
        <f t="shared" si="86"/>
        <v>366.2</v>
      </c>
      <c r="I343" s="122">
        <f t="shared" si="87"/>
        <v>76.078645548880402</v>
      </c>
    </row>
    <row r="344" spans="1:9" x14ac:dyDescent="0.25">
      <c r="A344" s="35">
        <f t="shared" si="84"/>
        <v>41235</v>
      </c>
      <c r="B344" s="84" t="s">
        <v>8</v>
      </c>
      <c r="C344">
        <v>166.4</v>
      </c>
      <c r="D344">
        <v>209</v>
      </c>
      <c r="E344">
        <v>484.5</v>
      </c>
      <c r="F344">
        <v>192.9</v>
      </c>
      <c r="G344" s="120">
        <f t="shared" si="85"/>
        <v>650.9</v>
      </c>
      <c r="H344" s="121">
        <f t="shared" si="86"/>
        <v>401.9</v>
      </c>
      <c r="I344" s="122">
        <f t="shared" si="87"/>
        <v>61.955710375715341</v>
      </c>
    </row>
    <row r="345" spans="1:9" x14ac:dyDescent="0.25">
      <c r="A345" s="35">
        <f t="shared" si="84"/>
        <v>41242</v>
      </c>
      <c r="B345" s="84" t="s">
        <v>8</v>
      </c>
      <c r="C345">
        <v>191.5</v>
      </c>
      <c r="D345">
        <v>204.5</v>
      </c>
      <c r="E345">
        <v>500.8</v>
      </c>
      <c r="F345">
        <v>223.3</v>
      </c>
      <c r="G345" s="120">
        <f t="shared" si="85"/>
        <v>692.3</v>
      </c>
      <c r="H345" s="121">
        <f t="shared" si="86"/>
        <v>427.8</v>
      </c>
      <c r="I345" s="122">
        <f t="shared" si="87"/>
        <v>61.827956989247298</v>
      </c>
    </row>
    <row r="346" spans="1:9" x14ac:dyDescent="0.25">
      <c r="A346" s="35">
        <f t="shared" si="84"/>
        <v>41249</v>
      </c>
      <c r="B346" s="84" t="s">
        <v>8</v>
      </c>
      <c r="C346">
        <v>191.9</v>
      </c>
      <c r="D346">
        <v>192.8</v>
      </c>
      <c r="E346">
        <v>518.79999999999995</v>
      </c>
      <c r="F346">
        <v>249.8</v>
      </c>
      <c r="G346" s="120">
        <f t="shared" si="85"/>
        <v>710.69999999999993</v>
      </c>
      <c r="H346" s="121">
        <f t="shared" si="86"/>
        <v>442.6</v>
      </c>
      <c r="I346" s="122">
        <f t="shared" si="87"/>
        <v>60.573881608675983</v>
      </c>
    </row>
    <row r="347" spans="1:9" x14ac:dyDescent="0.25">
      <c r="A347" s="35">
        <f t="shared" si="84"/>
        <v>41256</v>
      </c>
      <c r="B347" s="84" t="s">
        <v>8</v>
      </c>
      <c r="C347">
        <v>200.3</v>
      </c>
      <c r="D347">
        <v>161.1</v>
      </c>
      <c r="E347">
        <v>539.70000000000005</v>
      </c>
      <c r="F347">
        <v>294.39999999999998</v>
      </c>
      <c r="G347" s="120">
        <f t="shared" si="85"/>
        <v>740</v>
      </c>
      <c r="H347" s="121">
        <f t="shared" si="86"/>
        <v>455.5</v>
      </c>
      <c r="I347" s="122">
        <f t="shared" si="87"/>
        <v>62.458836443468726</v>
      </c>
    </row>
    <row r="348" spans="1:9" x14ac:dyDescent="0.25">
      <c r="A348" s="35">
        <f t="shared" si="84"/>
        <v>41263</v>
      </c>
      <c r="B348" s="84" t="s">
        <v>8</v>
      </c>
      <c r="C348">
        <v>188</v>
      </c>
      <c r="D348">
        <v>194.8</v>
      </c>
      <c r="E348">
        <v>576.1</v>
      </c>
      <c r="F348">
        <v>320.8</v>
      </c>
      <c r="G348" s="120">
        <f t="shared" si="85"/>
        <v>764.1</v>
      </c>
      <c r="H348" s="121">
        <f t="shared" si="86"/>
        <v>515.6</v>
      </c>
      <c r="I348" s="122">
        <f t="shared" si="87"/>
        <v>48.196276183087662</v>
      </c>
    </row>
    <row r="349" spans="1:9" x14ac:dyDescent="0.25">
      <c r="A349" s="35">
        <f t="shared" si="84"/>
        <v>41270</v>
      </c>
      <c r="B349" s="84" t="s">
        <v>8</v>
      </c>
      <c r="C349">
        <v>175.3</v>
      </c>
      <c r="D349">
        <v>172.9</v>
      </c>
      <c r="E349">
        <v>596.20000000000005</v>
      </c>
      <c r="F349">
        <v>350.9</v>
      </c>
      <c r="G349" s="120">
        <f t="shared" si="85"/>
        <v>771.5</v>
      </c>
      <c r="H349" s="121">
        <f t="shared" si="86"/>
        <v>523.79999999999995</v>
      </c>
      <c r="I349" s="122">
        <f t="shared" si="87"/>
        <v>47.289041618938541</v>
      </c>
    </row>
    <row r="350" spans="1:9" x14ac:dyDescent="0.25">
      <c r="A350" s="35">
        <f t="shared" si="84"/>
        <v>41277</v>
      </c>
      <c r="B350" s="84" t="s">
        <v>8</v>
      </c>
      <c r="C350">
        <v>196.2</v>
      </c>
      <c r="D350">
        <v>154.30000000000001</v>
      </c>
      <c r="E350">
        <v>605.70000000000005</v>
      </c>
      <c r="F350">
        <v>382.6</v>
      </c>
      <c r="G350" s="120">
        <f t="shared" si="85"/>
        <v>801.90000000000009</v>
      </c>
      <c r="H350" s="121">
        <f t="shared" si="86"/>
        <v>536.90000000000009</v>
      </c>
      <c r="I350" s="122">
        <f t="shared" si="87"/>
        <v>49.35742223877817</v>
      </c>
    </row>
    <row r="351" spans="1:9" x14ac:dyDescent="0.25">
      <c r="A351" s="35">
        <f t="shared" si="84"/>
        <v>41284</v>
      </c>
      <c r="B351" s="84" t="s">
        <v>8</v>
      </c>
      <c r="C351">
        <v>208.9</v>
      </c>
      <c r="D351">
        <v>146.80000000000001</v>
      </c>
      <c r="E351">
        <v>627.20000000000005</v>
      </c>
      <c r="F351">
        <v>406.7</v>
      </c>
      <c r="G351" s="120">
        <f t="shared" si="85"/>
        <v>836.1</v>
      </c>
      <c r="H351" s="121">
        <f t="shared" si="86"/>
        <v>553.5</v>
      </c>
      <c r="I351" s="122">
        <f t="shared" si="87"/>
        <v>51.056910569105682</v>
      </c>
    </row>
    <row r="352" spans="1:9" x14ac:dyDescent="0.25">
      <c r="A352" s="35">
        <f t="shared" si="84"/>
        <v>41291</v>
      </c>
      <c r="B352" s="84" t="s">
        <v>8</v>
      </c>
      <c r="C352">
        <v>201</v>
      </c>
      <c r="D352">
        <v>143.69999999999999</v>
      </c>
      <c r="E352">
        <v>648.4</v>
      </c>
      <c r="F352">
        <v>436.3</v>
      </c>
      <c r="G352" s="120">
        <f t="shared" si="85"/>
        <v>849.4</v>
      </c>
      <c r="H352" s="121">
        <f t="shared" si="86"/>
        <v>580</v>
      </c>
      <c r="I352" s="122">
        <f t="shared" si="87"/>
        <v>46.448275862068968</v>
      </c>
    </row>
    <row r="353" spans="1:9" x14ac:dyDescent="0.25">
      <c r="A353" s="35">
        <f t="shared" si="84"/>
        <v>41298</v>
      </c>
      <c r="B353" s="84" t="s">
        <v>8</v>
      </c>
      <c r="C353">
        <v>181.6</v>
      </c>
      <c r="D353">
        <v>134.80000000000001</v>
      </c>
      <c r="E353">
        <v>674.8</v>
      </c>
      <c r="F353">
        <v>452</v>
      </c>
      <c r="G353" s="120">
        <f t="shared" si="85"/>
        <v>856.4</v>
      </c>
      <c r="H353" s="121">
        <f t="shared" si="86"/>
        <v>586.79999999999995</v>
      </c>
      <c r="I353" s="122">
        <f t="shared" si="87"/>
        <v>45.944103612815269</v>
      </c>
    </row>
    <row r="354" spans="1:9" x14ac:dyDescent="0.25">
      <c r="A354" s="35">
        <f t="shared" si="84"/>
        <v>41305</v>
      </c>
      <c r="B354" s="84" t="s">
        <v>8</v>
      </c>
      <c r="C354">
        <v>210.5</v>
      </c>
      <c r="D354">
        <v>77</v>
      </c>
      <c r="E354">
        <v>696</v>
      </c>
      <c r="F354">
        <v>529.20000000000005</v>
      </c>
      <c r="G354" s="120">
        <f t="shared" si="85"/>
        <v>906.5</v>
      </c>
      <c r="H354" s="121">
        <f t="shared" si="86"/>
        <v>606.20000000000005</v>
      </c>
      <c r="I354" s="122">
        <f t="shared" si="87"/>
        <v>49.538106235565806</v>
      </c>
    </row>
    <row r="355" spans="1:9" x14ac:dyDescent="0.25">
      <c r="A355" s="35">
        <f t="shared" si="84"/>
        <v>41312</v>
      </c>
      <c r="B355" s="84" t="s">
        <v>8</v>
      </c>
      <c r="C355">
        <v>228.2</v>
      </c>
      <c r="D355">
        <v>92.5</v>
      </c>
      <c r="E355">
        <v>717.3</v>
      </c>
      <c r="F355">
        <v>535.1</v>
      </c>
      <c r="G355" s="120">
        <f t="shared" si="85"/>
        <v>945.5</v>
      </c>
      <c r="H355" s="121">
        <f t="shared" si="86"/>
        <v>627.6</v>
      </c>
      <c r="I355" s="122">
        <f t="shared" si="87"/>
        <v>50.653282345442953</v>
      </c>
    </row>
    <row r="356" spans="1:9" x14ac:dyDescent="0.25">
      <c r="A356" s="35">
        <f t="shared" si="84"/>
        <v>41319</v>
      </c>
      <c r="B356" s="84" t="s">
        <v>8</v>
      </c>
      <c r="C356">
        <v>208.6</v>
      </c>
      <c r="D356">
        <v>95.2</v>
      </c>
      <c r="E356">
        <v>742.9</v>
      </c>
      <c r="F356">
        <v>550.1</v>
      </c>
      <c r="G356" s="120">
        <f t="shared" si="85"/>
        <v>951.5</v>
      </c>
      <c r="H356" s="121">
        <f t="shared" si="86"/>
        <v>645.30000000000007</v>
      </c>
      <c r="I356" s="122">
        <f t="shared" si="87"/>
        <v>47.450798078413129</v>
      </c>
    </row>
    <row r="357" spans="1:9" x14ac:dyDescent="0.25">
      <c r="A357" s="35">
        <f t="shared" si="84"/>
        <v>41326</v>
      </c>
      <c r="B357" s="84" t="s">
        <v>8</v>
      </c>
      <c r="C357">
        <v>188.9</v>
      </c>
      <c r="D357">
        <v>94</v>
      </c>
      <c r="E357">
        <v>773.7</v>
      </c>
      <c r="F357">
        <v>562.29999999999995</v>
      </c>
      <c r="G357" s="120">
        <f t="shared" si="85"/>
        <v>962.6</v>
      </c>
      <c r="H357" s="121">
        <f t="shared" si="86"/>
        <v>656.3</v>
      </c>
      <c r="I357" s="122">
        <f t="shared" si="87"/>
        <v>46.67072984915437</v>
      </c>
    </row>
    <row r="358" spans="1:9" x14ac:dyDescent="0.25">
      <c r="A358" s="35">
        <f t="shared" si="84"/>
        <v>41333</v>
      </c>
      <c r="B358" s="84" t="s">
        <v>8</v>
      </c>
      <c r="C358">
        <v>154.19999999999999</v>
      </c>
      <c r="D358">
        <v>81.7</v>
      </c>
      <c r="E358">
        <v>814.7</v>
      </c>
      <c r="F358">
        <v>576.20000000000005</v>
      </c>
      <c r="G358" s="120">
        <f t="shared" si="85"/>
        <v>968.90000000000009</v>
      </c>
      <c r="H358" s="121">
        <f t="shared" si="86"/>
        <v>657.90000000000009</v>
      </c>
      <c r="I358" s="122">
        <f t="shared" si="87"/>
        <v>47.271621827025378</v>
      </c>
    </row>
    <row r="359" spans="1:9" x14ac:dyDescent="0.25">
      <c r="A359" s="35">
        <f t="shared" si="84"/>
        <v>41340</v>
      </c>
      <c r="B359" s="84" t="s">
        <v>8</v>
      </c>
      <c r="C359">
        <v>152</v>
      </c>
      <c r="D359">
        <v>91.8</v>
      </c>
      <c r="E359">
        <v>834.5</v>
      </c>
      <c r="F359">
        <v>588.9</v>
      </c>
      <c r="G359" s="120">
        <f t="shared" si="85"/>
        <v>986.5</v>
      </c>
      <c r="H359" s="121">
        <f t="shared" si="86"/>
        <v>680.69999999999993</v>
      </c>
      <c r="I359" s="122">
        <f t="shared" si="87"/>
        <v>44.924342588511834</v>
      </c>
    </row>
    <row r="360" spans="1:9" x14ac:dyDescent="0.25">
      <c r="A360" s="35">
        <f t="shared" si="84"/>
        <v>41347</v>
      </c>
      <c r="B360" s="84" t="s">
        <v>8</v>
      </c>
      <c r="C360">
        <v>152.1</v>
      </c>
      <c r="D360">
        <v>78.400000000000006</v>
      </c>
      <c r="E360">
        <v>861.4</v>
      </c>
      <c r="F360">
        <v>608.1</v>
      </c>
      <c r="G360" s="120">
        <f t="shared" si="85"/>
        <v>1013.5</v>
      </c>
      <c r="H360" s="121">
        <f t="shared" si="86"/>
        <v>686.5</v>
      </c>
      <c r="I360" s="122">
        <f t="shared" si="87"/>
        <v>47.63292061179898</v>
      </c>
    </row>
    <row r="361" spans="1:9" x14ac:dyDescent="0.25">
      <c r="A361" s="35">
        <f t="shared" si="84"/>
        <v>41354</v>
      </c>
      <c r="B361" s="84" t="s">
        <v>8</v>
      </c>
      <c r="C361">
        <v>132.6</v>
      </c>
      <c r="D361">
        <v>80.2</v>
      </c>
      <c r="E361">
        <v>887.4</v>
      </c>
      <c r="F361">
        <v>619</v>
      </c>
      <c r="G361" s="120">
        <f t="shared" ref="G361:G366" si="88">+C361+E361</f>
        <v>1020</v>
      </c>
      <c r="H361" s="121">
        <f t="shared" ref="H361:H374" si="89">+D361+F361</f>
        <v>699.2</v>
      </c>
      <c r="I361" s="122">
        <f t="shared" si="87"/>
        <v>45.881006864988549</v>
      </c>
    </row>
    <row r="362" spans="1:9" x14ac:dyDescent="0.25">
      <c r="A362" s="35">
        <f t="shared" si="84"/>
        <v>41361</v>
      </c>
      <c r="B362" s="84" t="s">
        <v>8</v>
      </c>
      <c r="C362">
        <v>117.7</v>
      </c>
      <c r="D362">
        <v>74</v>
      </c>
      <c r="E362">
        <v>910.9</v>
      </c>
      <c r="F362">
        <v>626.29999999999995</v>
      </c>
      <c r="G362" s="120">
        <f t="shared" si="88"/>
        <v>1028.5999999999999</v>
      </c>
      <c r="H362" s="121">
        <f t="shared" si="89"/>
        <v>700.3</v>
      </c>
      <c r="I362" s="122">
        <f t="shared" ref="I362:I374" si="90">+(G362/H362-1)*100</f>
        <v>46.879908610595457</v>
      </c>
    </row>
    <row r="363" spans="1:9" x14ac:dyDescent="0.25">
      <c r="A363" s="35">
        <f t="shared" si="84"/>
        <v>41368</v>
      </c>
      <c r="B363" s="84" t="s">
        <v>8</v>
      </c>
      <c r="C363">
        <v>109.1</v>
      </c>
      <c r="D363">
        <v>66.3</v>
      </c>
      <c r="E363">
        <v>933.9</v>
      </c>
      <c r="F363">
        <v>656.4</v>
      </c>
      <c r="G363" s="120">
        <f t="shared" si="88"/>
        <v>1043</v>
      </c>
      <c r="H363" s="121">
        <f t="shared" si="89"/>
        <v>722.69999999999993</v>
      </c>
      <c r="I363" s="122">
        <f t="shared" si="90"/>
        <v>44.319911443199132</v>
      </c>
    </row>
    <row r="364" spans="1:9" x14ac:dyDescent="0.25">
      <c r="A364" s="35">
        <f t="shared" si="84"/>
        <v>41375</v>
      </c>
      <c r="B364" s="84" t="s">
        <v>8</v>
      </c>
      <c r="C364">
        <v>96.8</v>
      </c>
      <c r="D364">
        <v>60.8</v>
      </c>
      <c r="E364">
        <v>948.7</v>
      </c>
      <c r="F364">
        <v>666.7</v>
      </c>
      <c r="G364" s="120">
        <f t="shared" si="88"/>
        <v>1045.5</v>
      </c>
      <c r="H364" s="121">
        <f t="shared" si="89"/>
        <v>727.5</v>
      </c>
      <c r="I364" s="122">
        <f t="shared" si="90"/>
        <v>43.711340206185568</v>
      </c>
    </row>
    <row r="365" spans="1:9" x14ac:dyDescent="0.25">
      <c r="A365" s="35">
        <f t="shared" si="84"/>
        <v>41382</v>
      </c>
      <c r="B365" s="84" t="s">
        <v>8</v>
      </c>
      <c r="C365">
        <v>78.400000000000006</v>
      </c>
      <c r="D365">
        <v>65.7</v>
      </c>
      <c r="E365">
        <v>970.6</v>
      </c>
      <c r="F365">
        <v>678.1</v>
      </c>
      <c r="G365" s="120">
        <f t="shared" si="88"/>
        <v>1049</v>
      </c>
      <c r="H365" s="121">
        <f t="shared" si="89"/>
        <v>743.80000000000007</v>
      </c>
      <c r="I365" s="122">
        <f t="shared" si="90"/>
        <v>41.032535627856937</v>
      </c>
    </row>
    <row r="366" spans="1:9" x14ac:dyDescent="0.25">
      <c r="A366" s="35">
        <f t="shared" si="84"/>
        <v>41389</v>
      </c>
      <c r="B366" s="84" t="s">
        <v>8</v>
      </c>
      <c r="C366">
        <v>65.2</v>
      </c>
      <c r="D366">
        <v>66</v>
      </c>
      <c r="E366">
        <v>990.7</v>
      </c>
      <c r="F366">
        <v>689.6</v>
      </c>
      <c r="G366" s="120">
        <f t="shared" si="88"/>
        <v>1055.9000000000001</v>
      </c>
      <c r="H366" s="121">
        <f t="shared" si="89"/>
        <v>755.6</v>
      </c>
      <c r="I366" s="122">
        <f t="shared" si="90"/>
        <v>39.743250397035482</v>
      </c>
    </row>
    <row r="367" spans="1:9" x14ac:dyDescent="0.25">
      <c r="A367" s="35">
        <f t="shared" si="84"/>
        <v>41396</v>
      </c>
      <c r="B367" s="84" t="s">
        <v>8</v>
      </c>
      <c r="C367">
        <v>57.8</v>
      </c>
      <c r="D367">
        <v>64.3</v>
      </c>
      <c r="E367">
        <v>1003.1</v>
      </c>
      <c r="F367">
        <v>701.4</v>
      </c>
      <c r="G367" s="120">
        <f t="shared" ref="G367:G374" si="91">+C367+E367</f>
        <v>1060.9000000000001</v>
      </c>
      <c r="H367" s="121">
        <f t="shared" si="89"/>
        <v>765.69999999999993</v>
      </c>
      <c r="I367" s="122">
        <f t="shared" si="90"/>
        <v>38.552958077576108</v>
      </c>
    </row>
    <row r="368" spans="1:9" x14ac:dyDescent="0.25">
      <c r="A368" s="35">
        <f t="shared" si="84"/>
        <v>41403</v>
      </c>
      <c r="B368" s="84" t="s">
        <v>8</v>
      </c>
      <c r="C368">
        <v>56.6</v>
      </c>
      <c r="D368">
        <v>68.8</v>
      </c>
      <c r="E368">
        <v>1012.9</v>
      </c>
      <c r="F368">
        <v>707.3</v>
      </c>
      <c r="G368" s="120">
        <f t="shared" si="91"/>
        <v>1069.5</v>
      </c>
      <c r="H368" s="121">
        <f t="shared" si="89"/>
        <v>776.09999999999991</v>
      </c>
      <c r="I368" s="122">
        <f t="shared" si="90"/>
        <v>37.804406648627761</v>
      </c>
    </row>
    <row r="369" spans="1:10" x14ac:dyDescent="0.25">
      <c r="A369" s="35">
        <f t="shared" si="84"/>
        <v>41410</v>
      </c>
      <c r="B369" s="84" t="s">
        <v>8</v>
      </c>
      <c r="C369">
        <v>41.1</v>
      </c>
      <c r="D369">
        <v>76.3</v>
      </c>
      <c r="E369">
        <v>1031.2</v>
      </c>
      <c r="F369">
        <v>716.3</v>
      </c>
      <c r="G369" s="120">
        <f t="shared" si="91"/>
        <v>1072.3</v>
      </c>
      <c r="H369" s="121">
        <f t="shared" si="89"/>
        <v>792.59999999999991</v>
      </c>
      <c r="I369" s="122">
        <f t="shared" si="90"/>
        <v>35.288922533434274</v>
      </c>
    </row>
    <row r="370" spans="1:10" x14ac:dyDescent="0.25">
      <c r="A370" s="35">
        <f t="shared" si="84"/>
        <v>41417</v>
      </c>
      <c r="B370" s="84" t="s">
        <v>8</v>
      </c>
      <c r="C370">
        <v>35.9</v>
      </c>
      <c r="D370">
        <v>77.8</v>
      </c>
      <c r="E370">
        <v>1041.3</v>
      </c>
      <c r="F370">
        <v>744</v>
      </c>
      <c r="G370" s="120">
        <f t="shared" si="91"/>
        <v>1077.2</v>
      </c>
      <c r="H370" s="121">
        <f t="shared" si="89"/>
        <v>821.8</v>
      </c>
      <c r="I370" s="122">
        <f t="shared" si="90"/>
        <v>31.078121197371633</v>
      </c>
    </row>
    <row r="371" spans="1:10" x14ac:dyDescent="0.25">
      <c r="A371" s="35">
        <f t="shared" si="84"/>
        <v>41424</v>
      </c>
      <c r="B371" s="84" t="s">
        <v>8</v>
      </c>
      <c r="C371">
        <v>41.7</v>
      </c>
      <c r="D371">
        <v>96.2</v>
      </c>
      <c r="E371">
        <v>1046.2</v>
      </c>
      <c r="F371">
        <v>754.3</v>
      </c>
      <c r="G371" s="120">
        <f t="shared" si="91"/>
        <v>1087.9000000000001</v>
      </c>
      <c r="H371" s="121">
        <f t="shared" si="89"/>
        <v>850.5</v>
      </c>
      <c r="I371" s="122">
        <f t="shared" si="90"/>
        <v>27.912992357436806</v>
      </c>
    </row>
    <row r="372" spans="1:10" x14ac:dyDescent="0.25">
      <c r="A372" s="35">
        <f t="shared" si="84"/>
        <v>41431</v>
      </c>
      <c r="B372" s="84" t="s">
        <v>8</v>
      </c>
      <c r="C372">
        <v>42.8</v>
      </c>
      <c r="D372">
        <v>106.5</v>
      </c>
      <c r="E372">
        <v>1051.5</v>
      </c>
      <c r="F372">
        <v>767.4</v>
      </c>
      <c r="G372" s="120">
        <f t="shared" si="91"/>
        <v>1094.3</v>
      </c>
      <c r="H372" s="121">
        <f t="shared" si="89"/>
        <v>873.9</v>
      </c>
      <c r="I372" s="122">
        <f t="shared" si="90"/>
        <v>25.220276919556017</v>
      </c>
      <c r="J372">
        <v>1</v>
      </c>
    </row>
    <row r="373" spans="1:10" x14ac:dyDescent="0.25">
      <c r="A373" s="35">
        <f t="shared" si="84"/>
        <v>41438</v>
      </c>
      <c r="B373" s="84" t="s">
        <v>8</v>
      </c>
      <c r="C373">
        <v>40</v>
      </c>
      <c r="D373">
        <v>94.3</v>
      </c>
      <c r="E373">
        <v>1060.2</v>
      </c>
      <c r="F373">
        <v>780</v>
      </c>
      <c r="G373" s="120">
        <f t="shared" si="91"/>
        <v>1100.2</v>
      </c>
      <c r="H373" s="121">
        <f t="shared" si="89"/>
        <v>874.3</v>
      </c>
      <c r="I373" s="122">
        <f t="shared" si="90"/>
        <v>25.837813107628982</v>
      </c>
      <c r="J373">
        <v>1</v>
      </c>
    </row>
    <row r="374" spans="1:10" x14ac:dyDescent="0.25">
      <c r="A374" s="35">
        <f t="shared" si="84"/>
        <v>41445</v>
      </c>
      <c r="B374" s="84" t="s">
        <v>8</v>
      </c>
      <c r="C374">
        <v>38</v>
      </c>
      <c r="D374">
        <v>89.9</v>
      </c>
      <c r="E374">
        <v>1065.2</v>
      </c>
      <c r="F374">
        <v>789.4</v>
      </c>
      <c r="G374" s="120">
        <f t="shared" si="91"/>
        <v>1103.2</v>
      </c>
      <c r="H374" s="121">
        <f t="shared" si="89"/>
        <v>879.3</v>
      </c>
      <c r="I374" s="122">
        <f t="shared" si="90"/>
        <v>25.463436824746964</v>
      </c>
      <c r="J374">
        <v>1</v>
      </c>
    </row>
    <row r="375" spans="1:10" x14ac:dyDescent="0.25">
      <c r="A375" s="35">
        <f t="shared" si="84"/>
        <v>41452</v>
      </c>
      <c r="B375" s="84" t="s">
        <v>8</v>
      </c>
      <c r="C375">
        <v>47.8</v>
      </c>
      <c r="D375">
        <v>87</v>
      </c>
      <c r="E375">
        <v>1067.4000000000001</v>
      </c>
      <c r="F375">
        <v>805.9</v>
      </c>
      <c r="G375" s="120">
        <f t="shared" ref="G375:G389" si="92">+C375+E375</f>
        <v>1115.2</v>
      </c>
      <c r="H375" s="121">
        <f t="shared" ref="H375:H389" si="93">+D375+F375</f>
        <v>892.9</v>
      </c>
      <c r="I375" s="122">
        <f t="shared" ref="I375:I389" si="94">+(G375/H375-1)*100</f>
        <v>24.896404972561314</v>
      </c>
      <c r="J375">
        <v>1</v>
      </c>
    </row>
    <row r="376" spans="1:10" x14ac:dyDescent="0.25">
      <c r="A376" s="35">
        <f t="shared" si="84"/>
        <v>41459</v>
      </c>
      <c r="B376" s="84" t="s">
        <v>8</v>
      </c>
      <c r="C376">
        <v>46.5</v>
      </c>
      <c r="D376">
        <v>83.9</v>
      </c>
      <c r="E376">
        <v>1073.7</v>
      </c>
      <c r="F376">
        <v>814.1</v>
      </c>
      <c r="G376" s="120">
        <f t="shared" si="92"/>
        <v>1120.2</v>
      </c>
      <c r="H376" s="121">
        <f t="shared" si="93"/>
        <v>898</v>
      </c>
      <c r="I376" s="122">
        <f t="shared" si="94"/>
        <v>24.74387527839643</v>
      </c>
      <c r="J376">
        <v>1</v>
      </c>
    </row>
    <row r="377" spans="1:10" x14ac:dyDescent="0.25">
      <c r="A377" s="35">
        <f t="shared" si="84"/>
        <v>41466</v>
      </c>
      <c r="B377" s="84" t="s">
        <v>8</v>
      </c>
      <c r="C377">
        <v>45.7</v>
      </c>
      <c r="D377">
        <v>72.8</v>
      </c>
      <c r="E377">
        <v>1079.9000000000001</v>
      </c>
      <c r="F377">
        <v>836.6</v>
      </c>
      <c r="G377" s="120">
        <f t="shared" si="92"/>
        <v>1125.6000000000001</v>
      </c>
      <c r="H377" s="121">
        <f t="shared" si="93"/>
        <v>909.4</v>
      </c>
      <c r="I377" s="122">
        <f t="shared" si="94"/>
        <v>23.773916868264799</v>
      </c>
      <c r="J377">
        <v>7</v>
      </c>
    </row>
    <row r="378" spans="1:10" x14ac:dyDescent="0.25">
      <c r="A378" s="35">
        <f t="shared" si="84"/>
        <v>41473</v>
      </c>
      <c r="B378" s="84" t="s">
        <v>8</v>
      </c>
      <c r="C378">
        <v>69.2</v>
      </c>
      <c r="D378">
        <v>104.5</v>
      </c>
      <c r="E378">
        <v>1082.9000000000001</v>
      </c>
      <c r="F378">
        <v>847.7</v>
      </c>
      <c r="G378" s="120">
        <f t="shared" si="92"/>
        <v>1152.1000000000001</v>
      </c>
      <c r="H378" s="121">
        <f t="shared" si="93"/>
        <v>952.2</v>
      </c>
      <c r="I378" s="122">
        <f t="shared" si="94"/>
        <v>20.993488762864953</v>
      </c>
      <c r="J378">
        <v>26</v>
      </c>
    </row>
    <row r="379" spans="1:10" x14ac:dyDescent="0.25">
      <c r="A379" s="35">
        <f t="shared" si="84"/>
        <v>41480</v>
      </c>
      <c r="B379" s="84" t="s">
        <v>8</v>
      </c>
      <c r="C379">
        <v>112.1</v>
      </c>
      <c r="D379">
        <v>101.1</v>
      </c>
      <c r="E379">
        <v>1089.8</v>
      </c>
      <c r="F379">
        <v>859.6</v>
      </c>
      <c r="G379" s="120">
        <f t="shared" si="92"/>
        <v>1201.8999999999999</v>
      </c>
      <c r="H379" s="121">
        <f t="shared" si="93"/>
        <v>960.7</v>
      </c>
      <c r="I379" s="122">
        <f t="shared" si="94"/>
        <v>25.106693036327666</v>
      </c>
      <c r="J379">
        <v>34</v>
      </c>
    </row>
    <row r="380" spans="1:10" x14ac:dyDescent="0.25">
      <c r="A380" s="35">
        <f t="shared" si="84"/>
        <v>41487</v>
      </c>
      <c r="B380" s="84" t="s">
        <v>8</v>
      </c>
      <c r="C380">
        <v>124.2</v>
      </c>
      <c r="D380">
        <v>106.2</v>
      </c>
      <c r="E380">
        <v>1094.0999999999999</v>
      </c>
      <c r="F380">
        <v>868.2</v>
      </c>
      <c r="G380" s="120">
        <f t="shared" si="92"/>
        <v>1218.3</v>
      </c>
      <c r="H380" s="121">
        <f t="shared" si="93"/>
        <v>974.40000000000009</v>
      </c>
      <c r="I380" s="122">
        <f t="shared" si="94"/>
        <v>25.030788177339879</v>
      </c>
      <c r="J380">
        <v>63.5</v>
      </c>
    </row>
    <row r="381" spans="1:10" x14ac:dyDescent="0.25">
      <c r="A381" s="35">
        <f t="shared" si="84"/>
        <v>41494</v>
      </c>
      <c r="B381" s="84" t="s">
        <v>8</v>
      </c>
      <c r="C381">
        <v>152.5</v>
      </c>
      <c r="D381">
        <v>106.8</v>
      </c>
      <c r="E381">
        <v>1096</v>
      </c>
      <c r="F381">
        <v>876.7</v>
      </c>
      <c r="G381" s="120">
        <f t="shared" si="92"/>
        <v>1248.5</v>
      </c>
      <c r="H381" s="121">
        <f t="shared" si="93"/>
        <v>983.5</v>
      </c>
      <c r="I381" s="122">
        <f t="shared" si="94"/>
        <v>26.944585663446862</v>
      </c>
      <c r="J381">
        <v>74.5</v>
      </c>
    </row>
    <row r="382" spans="1:10" x14ac:dyDescent="0.25">
      <c r="A382" s="35">
        <f>+A381+7</f>
        <v>41501</v>
      </c>
      <c r="B382" s="84" t="s">
        <v>8</v>
      </c>
      <c r="C382">
        <v>164.5</v>
      </c>
      <c r="D382">
        <v>113.1</v>
      </c>
      <c r="E382">
        <v>1099.7</v>
      </c>
      <c r="F382">
        <v>887.3</v>
      </c>
      <c r="G382" s="120">
        <f t="shared" si="92"/>
        <v>1264.2</v>
      </c>
      <c r="H382" s="121">
        <f t="shared" si="93"/>
        <v>1000.4</v>
      </c>
      <c r="I382" s="122">
        <f t="shared" si="94"/>
        <v>26.369452219112354</v>
      </c>
      <c r="J382" s="84">
        <v>95.1</v>
      </c>
    </row>
    <row r="383" spans="1:10" x14ac:dyDescent="0.25">
      <c r="A383" s="35">
        <f>+A382+7</f>
        <v>41508</v>
      </c>
      <c r="B383" s="84" t="s">
        <v>8</v>
      </c>
      <c r="C383">
        <v>181.3</v>
      </c>
      <c r="D383">
        <v>101.3</v>
      </c>
      <c r="E383">
        <v>1105.2</v>
      </c>
      <c r="F383">
        <v>899.1</v>
      </c>
      <c r="G383" s="120">
        <f t="shared" si="92"/>
        <v>1286.5</v>
      </c>
      <c r="H383" s="121">
        <f t="shared" si="93"/>
        <v>1000.4</v>
      </c>
      <c r="I383" s="122">
        <f t="shared" si="94"/>
        <v>28.598560575769703</v>
      </c>
      <c r="J383" s="84">
        <v>167.3</v>
      </c>
    </row>
    <row r="384" spans="1:10" x14ac:dyDescent="0.25">
      <c r="A384" s="35">
        <f>+A383+7</f>
        <v>41515</v>
      </c>
      <c r="B384" s="84" t="s">
        <v>8</v>
      </c>
      <c r="C384">
        <v>163.9</v>
      </c>
      <c r="D384">
        <v>90.8</v>
      </c>
      <c r="E384">
        <v>1118.9000000000001</v>
      </c>
      <c r="F384">
        <v>909.3</v>
      </c>
      <c r="G384" s="120">
        <f t="shared" si="92"/>
        <v>1282.8000000000002</v>
      </c>
      <c r="H384" s="121">
        <f t="shared" si="93"/>
        <v>1000.0999999999999</v>
      </c>
      <c r="I384" s="122">
        <f t="shared" si="94"/>
        <v>28.267173282671763</v>
      </c>
      <c r="J384" s="84">
        <v>186.8</v>
      </c>
    </row>
    <row r="385" spans="1:13" x14ac:dyDescent="0.25">
      <c r="A385" s="35">
        <f>+A384+7</f>
        <v>41522</v>
      </c>
      <c r="B385" s="84" t="s">
        <v>8</v>
      </c>
      <c r="C385">
        <v>376.7</v>
      </c>
      <c r="D385">
        <v>307</v>
      </c>
      <c r="E385">
        <v>2.9</v>
      </c>
      <c r="F385">
        <v>14.9</v>
      </c>
      <c r="G385" s="120">
        <f t="shared" si="92"/>
        <v>379.59999999999997</v>
      </c>
      <c r="H385" s="121">
        <f t="shared" si="93"/>
        <v>321.89999999999998</v>
      </c>
      <c r="I385" s="122">
        <f t="shared" si="94"/>
        <v>17.924821373097231</v>
      </c>
    </row>
    <row r="386" spans="1:13" x14ac:dyDescent="0.25">
      <c r="A386" s="35">
        <f>+A385+7</f>
        <v>41529</v>
      </c>
      <c r="B386" s="84" t="s">
        <v>8</v>
      </c>
      <c r="C386">
        <v>410.9</v>
      </c>
      <c r="D386">
        <v>327</v>
      </c>
      <c r="E386">
        <v>7.2</v>
      </c>
      <c r="F386">
        <v>30.2</v>
      </c>
      <c r="G386" s="120">
        <f t="shared" si="92"/>
        <v>418.09999999999997</v>
      </c>
      <c r="H386" s="121">
        <f t="shared" si="93"/>
        <v>357.2</v>
      </c>
      <c r="I386" s="122">
        <f t="shared" si="94"/>
        <v>17.049272116461367</v>
      </c>
    </row>
    <row r="387" spans="1:13" x14ac:dyDescent="0.25">
      <c r="A387" s="35">
        <f t="shared" ref="A387:A396" si="95">+A386+7</f>
        <v>41536</v>
      </c>
      <c r="B387" s="84" t="s">
        <v>8</v>
      </c>
      <c r="C387">
        <v>461.5</v>
      </c>
      <c r="D387">
        <v>336.3</v>
      </c>
      <c r="E387">
        <v>9.9</v>
      </c>
      <c r="F387">
        <v>39.1</v>
      </c>
      <c r="G387" s="120">
        <f t="shared" si="92"/>
        <v>471.4</v>
      </c>
      <c r="H387" s="121">
        <f t="shared" si="93"/>
        <v>375.40000000000003</v>
      </c>
      <c r="I387" s="122">
        <f t="shared" si="94"/>
        <v>25.572722429408621</v>
      </c>
    </row>
    <row r="388" spans="1:13" x14ac:dyDescent="0.25">
      <c r="A388" s="35">
        <f t="shared" si="95"/>
        <v>41543</v>
      </c>
      <c r="B388" s="84" t="s">
        <v>8</v>
      </c>
      <c r="C388">
        <v>501.8</v>
      </c>
      <c r="D388">
        <v>350.7</v>
      </c>
      <c r="E388">
        <v>14</v>
      </c>
      <c r="F388">
        <v>48.4</v>
      </c>
      <c r="G388" s="120">
        <f t="shared" si="92"/>
        <v>515.79999999999995</v>
      </c>
      <c r="H388" s="121">
        <f t="shared" si="93"/>
        <v>399.09999999999997</v>
      </c>
      <c r="I388" s="122">
        <f t="shared" si="94"/>
        <v>29.240791781508403</v>
      </c>
      <c r="J388" s="122">
        <v>27.4</v>
      </c>
    </row>
    <row r="389" spans="1:13" x14ac:dyDescent="0.25">
      <c r="A389" s="35">
        <f t="shared" si="95"/>
        <v>41550</v>
      </c>
      <c r="B389" s="84" t="s">
        <v>8</v>
      </c>
      <c r="C389">
        <v>528</v>
      </c>
      <c r="D389">
        <v>339.3</v>
      </c>
      <c r="E389">
        <v>27.4</v>
      </c>
      <c r="F389">
        <v>66.400000000000006</v>
      </c>
      <c r="G389" s="120">
        <f t="shared" si="92"/>
        <v>555.4</v>
      </c>
      <c r="H389" s="121">
        <f t="shared" si="93"/>
        <v>405.70000000000005</v>
      </c>
      <c r="I389" s="122">
        <f t="shared" si="94"/>
        <v>36.899186591077139</v>
      </c>
    </row>
    <row r="390" spans="1:13" ht="15" x14ac:dyDescent="0.25">
      <c r="A390" s="35">
        <f t="shared" si="95"/>
        <v>41557</v>
      </c>
      <c r="B390" s="84" t="s">
        <v>8</v>
      </c>
      <c r="M390" s="96"/>
    </row>
    <row r="391" spans="1:13" x14ac:dyDescent="0.25">
      <c r="A391" s="35">
        <f t="shared" si="95"/>
        <v>41564</v>
      </c>
      <c r="B391" s="84" t="s">
        <v>8</v>
      </c>
    </row>
    <row r="392" spans="1:13" x14ac:dyDescent="0.25">
      <c r="A392" s="35">
        <f t="shared" si="95"/>
        <v>41571</v>
      </c>
      <c r="B392" s="84" t="s">
        <v>8</v>
      </c>
      <c r="C392">
        <v>674.1</v>
      </c>
      <c r="D392">
        <v>362.3</v>
      </c>
      <c r="E392">
        <v>83.4</v>
      </c>
      <c r="F392">
        <v>221.9</v>
      </c>
      <c r="G392" s="120">
        <f t="shared" ref="G392:H394" si="96">+C392+E392</f>
        <v>757.5</v>
      </c>
      <c r="H392" s="121">
        <f t="shared" si="96"/>
        <v>584.20000000000005</v>
      </c>
      <c r="I392" s="122">
        <f t="shared" ref="I392:I405" si="97">+(G392/H392-1)*100</f>
        <v>29.664498459431687</v>
      </c>
    </row>
    <row r="393" spans="1:13" ht="15" x14ac:dyDescent="0.25">
      <c r="A393" s="35">
        <f t="shared" si="95"/>
        <v>41578</v>
      </c>
      <c r="B393" s="84" t="s">
        <v>8</v>
      </c>
      <c r="C393">
        <v>633.5</v>
      </c>
      <c r="D393">
        <v>292.10000000000002</v>
      </c>
      <c r="E393">
        <v>124.7</v>
      </c>
      <c r="F393">
        <v>317.10000000000002</v>
      </c>
      <c r="G393" s="120">
        <f t="shared" si="96"/>
        <v>758.2</v>
      </c>
      <c r="H393" s="121">
        <f t="shared" si="96"/>
        <v>609.20000000000005</v>
      </c>
      <c r="I393" s="122">
        <f t="shared" si="97"/>
        <v>24.458305975049232</v>
      </c>
      <c r="L393" s="96"/>
    </row>
    <row r="394" spans="1:13" x14ac:dyDescent="0.25">
      <c r="A394" s="35">
        <f t="shared" si="95"/>
        <v>41585</v>
      </c>
      <c r="B394" s="84" t="s">
        <v>8</v>
      </c>
      <c r="C394">
        <v>628.5</v>
      </c>
      <c r="D394">
        <v>246.8</v>
      </c>
      <c r="E394">
        <v>158.1</v>
      </c>
      <c r="F394">
        <v>391.5</v>
      </c>
      <c r="G394" s="120">
        <f t="shared" si="96"/>
        <v>786.6</v>
      </c>
      <c r="H394" s="121">
        <f t="shared" si="96"/>
        <v>638.29999999999995</v>
      </c>
      <c r="I394" s="122">
        <f t="shared" si="97"/>
        <v>23.233589221369265</v>
      </c>
    </row>
    <row r="395" spans="1:13" x14ac:dyDescent="0.25">
      <c r="A395" s="35">
        <f t="shared" si="95"/>
        <v>41592</v>
      </c>
      <c r="B395" s="84" t="s">
        <v>8</v>
      </c>
      <c r="C395">
        <v>550.1</v>
      </c>
      <c r="D395">
        <v>174.1</v>
      </c>
      <c r="E395">
        <v>254.2</v>
      </c>
      <c r="F395">
        <v>470.7</v>
      </c>
      <c r="G395" s="120">
        <f t="shared" ref="G395:H409" si="98">+C395+E395</f>
        <v>804.3</v>
      </c>
      <c r="H395" s="121">
        <f t="shared" si="98"/>
        <v>644.79999999999995</v>
      </c>
      <c r="I395" s="122">
        <f t="shared" si="97"/>
        <v>24.736352357320101</v>
      </c>
    </row>
    <row r="396" spans="1:13" x14ac:dyDescent="0.25">
      <c r="A396" s="35">
        <f t="shared" si="95"/>
        <v>41599</v>
      </c>
      <c r="B396" s="84" t="s">
        <v>8</v>
      </c>
      <c r="C396">
        <v>520.1</v>
      </c>
      <c r="D396">
        <v>166.4</v>
      </c>
      <c r="E396">
        <v>298.7</v>
      </c>
      <c r="F396">
        <v>484.5</v>
      </c>
      <c r="G396" s="120">
        <f t="shared" si="98"/>
        <v>818.8</v>
      </c>
      <c r="H396" s="121">
        <f t="shared" si="98"/>
        <v>650.9</v>
      </c>
      <c r="I396" s="122">
        <f t="shared" si="97"/>
        <v>25.795053003533575</v>
      </c>
    </row>
    <row r="397" spans="1:13" x14ac:dyDescent="0.25">
      <c r="A397" s="35">
        <f t="shared" ref="A397:A408" si="99">+A396+7</f>
        <v>41606</v>
      </c>
      <c r="B397" s="84" t="s">
        <v>8</v>
      </c>
      <c r="C397" s="123">
        <v>494</v>
      </c>
      <c r="D397" s="123">
        <v>191.5</v>
      </c>
      <c r="E397" s="123">
        <v>336.4</v>
      </c>
      <c r="F397" s="123">
        <v>500.8</v>
      </c>
      <c r="G397" s="120">
        <f t="shared" si="98"/>
        <v>830.4</v>
      </c>
      <c r="H397" s="121">
        <f t="shared" si="98"/>
        <v>692.3</v>
      </c>
      <c r="I397" s="122">
        <f t="shared" si="97"/>
        <v>19.947999422215812</v>
      </c>
    </row>
    <row r="398" spans="1:13" x14ac:dyDescent="0.25">
      <c r="A398" s="35">
        <f t="shared" si="99"/>
        <v>41613</v>
      </c>
      <c r="B398" s="84" t="s">
        <v>8</v>
      </c>
      <c r="C398">
        <v>498.5</v>
      </c>
      <c r="D398">
        <v>191.9</v>
      </c>
      <c r="E398">
        <v>370</v>
      </c>
      <c r="F398">
        <v>518.79999999999995</v>
      </c>
      <c r="G398" s="120">
        <f t="shared" si="98"/>
        <v>868.5</v>
      </c>
      <c r="H398" s="121">
        <f t="shared" si="98"/>
        <v>710.69999999999993</v>
      </c>
      <c r="I398" s="122">
        <f t="shared" si="97"/>
        <v>22.20346137610807</v>
      </c>
    </row>
    <row r="399" spans="1:13" x14ac:dyDescent="0.25">
      <c r="A399" s="35">
        <f t="shared" si="99"/>
        <v>41620</v>
      </c>
      <c r="B399" s="84" t="s">
        <v>8</v>
      </c>
      <c r="C399">
        <v>473.5</v>
      </c>
      <c r="D399">
        <v>200.3</v>
      </c>
      <c r="E399">
        <v>406.1</v>
      </c>
      <c r="F399">
        <v>539.70000000000005</v>
      </c>
      <c r="G399" s="120">
        <f t="shared" si="98"/>
        <v>879.6</v>
      </c>
      <c r="H399" s="121">
        <f t="shared" si="98"/>
        <v>740</v>
      </c>
      <c r="I399" s="122">
        <f t="shared" si="97"/>
        <v>18.86486486486487</v>
      </c>
    </row>
    <row r="400" spans="1:13" x14ac:dyDescent="0.25">
      <c r="A400" s="35">
        <f t="shared" si="99"/>
        <v>41627</v>
      </c>
      <c r="B400" s="84" t="s">
        <v>8</v>
      </c>
      <c r="C400" s="123">
        <v>450</v>
      </c>
      <c r="D400" s="123">
        <v>188</v>
      </c>
      <c r="E400">
        <v>437.9</v>
      </c>
      <c r="F400">
        <v>576.1</v>
      </c>
      <c r="G400" s="120">
        <f t="shared" si="98"/>
        <v>887.9</v>
      </c>
      <c r="H400" s="121">
        <f t="shared" si="98"/>
        <v>764.1</v>
      </c>
      <c r="I400" s="122">
        <f t="shared" si="97"/>
        <v>16.202067792173793</v>
      </c>
    </row>
    <row r="401" spans="1:15" x14ac:dyDescent="0.25">
      <c r="A401" s="35">
        <f t="shared" si="99"/>
        <v>41634</v>
      </c>
      <c r="B401" s="84" t="s">
        <v>8</v>
      </c>
      <c r="C401">
        <v>450.6</v>
      </c>
      <c r="D401">
        <v>175.3</v>
      </c>
      <c r="E401">
        <v>461.1</v>
      </c>
      <c r="F401">
        <v>596.20000000000005</v>
      </c>
      <c r="G401" s="120">
        <f t="shared" si="98"/>
        <v>911.7</v>
      </c>
      <c r="H401" s="121">
        <f t="shared" si="98"/>
        <v>771.5</v>
      </c>
      <c r="I401" s="122">
        <f t="shared" si="97"/>
        <v>18.17239144523657</v>
      </c>
    </row>
    <row r="402" spans="1:15" x14ac:dyDescent="0.25">
      <c r="A402" s="35">
        <f t="shared" si="99"/>
        <v>41641</v>
      </c>
      <c r="B402" s="84" t="s">
        <v>8</v>
      </c>
      <c r="C402">
        <v>434.9</v>
      </c>
      <c r="D402">
        <v>196.2</v>
      </c>
      <c r="E402">
        <v>480.5</v>
      </c>
      <c r="F402">
        <v>605.70000000000005</v>
      </c>
      <c r="G402" s="120">
        <f t="shared" si="98"/>
        <v>915.4</v>
      </c>
      <c r="H402" s="121">
        <f t="shared" si="98"/>
        <v>801.90000000000009</v>
      </c>
      <c r="I402" s="122">
        <f t="shared" si="97"/>
        <v>14.153884524254877</v>
      </c>
    </row>
    <row r="403" spans="1:15" ht="15" x14ac:dyDescent="0.25">
      <c r="A403" s="35">
        <f t="shared" si="99"/>
        <v>41648</v>
      </c>
      <c r="B403" s="84" t="s">
        <v>8</v>
      </c>
      <c r="C403">
        <v>414.9</v>
      </c>
      <c r="D403">
        <v>208.9</v>
      </c>
      <c r="E403">
        <v>516</v>
      </c>
      <c r="F403">
        <v>627.20000000000005</v>
      </c>
      <c r="G403" s="120">
        <f t="shared" si="98"/>
        <v>930.9</v>
      </c>
      <c r="H403" s="121">
        <f t="shared" si="98"/>
        <v>836.1</v>
      </c>
      <c r="I403" s="122">
        <f t="shared" si="97"/>
        <v>11.338356655902393</v>
      </c>
      <c r="K403" s="96"/>
      <c r="N403" s="96"/>
    </row>
    <row r="404" spans="1:15" ht="15" x14ac:dyDescent="0.25">
      <c r="A404" s="35">
        <f t="shared" si="99"/>
        <v>41655</v>
      </c>
      <c r="B404" s="84" t="s">
        <v>8</v>
      </c>
      <c r="C404">
        <v>384.7</v>
      </c>
      <c r="D404" s="123">
        <v>201</v>
      </c>
      <c r="E404">
        <v>548</v>
      </c>
      <c r="F404">
        <v>648.4</v>
      </c>
      <c r="G404" s="120">
        <f t="shared" si="98"/>
        <v>932.7</v>
      </c>
      <c r="H404" s="121">
        <f t="shared" si="98"/>
        <v>849.4</v>
      </c>
      <c r="I404" s="122">
        <f t="shared" si="97"/>
        <v>9.8069225335531094</v>
      </c>
      <c r="K404" s="96"/>
    </row>
    <row r="405" spans="1:15" x14ac:dyDescent="0.25">
      <c r="A405" s="35">
        <f t="shared" si="99"/>
        <v>41662</v>
      </c>
      <c r="B405" s="84" t="s">
        <v>8</v>
      </c>
      <c r="C405">
        <v>368.7</v>
      </c>
      <c r="D405">
        <v>181.6</v>
      </c>
      <c r="E405">
        <v>576.79999999999995</v>
      </c>
      <c r="F405">
        <v>674.8</v>
      </c>
      <c r="G405" s="120">
        <f t="shared" si="98"/>
        <v>945.5</v>
      </c>
      <c r="H405" s="121">
        <f t="shared" si="98"/>
        <v>856.4</v>
      </c>
      <c r="I405" s="122">
        <f t="shared" si="97"/>
        <v>10.404016814572635</v>
      </c>
    </row>
    <row r="406" spans="1:15" ht="15" x14ac:dyDescent="0.25">
      <c r="A406" s="35">
        <f t="shared" si="99"/>
        <v>41669</v>
      </c>
      <c r="B406" s="84" t="s">
        <v>8</v>
      </c>
      <c r="C406">
        <v>296.5</v>
      </c>
      <c r="D406">
        <v>210.5</v>
      </c>
      <c r="E406">
        <v>654.20000000000005</v>
      </c>
      <c r="F406" s="123">
        <v>696</v>
      </c>
      <c r="G406" s="120">
        <f t="shared" si="98"/>
        <v>950.7</v>
      </c>
      <c r="H406" s="121">
        <f>+D406+F406</f>
        <v>906.5</v>
      </c>
      <c r="I406" s="122">
        <f>+(G406/H406-1)*100</f>
        <v>4.8758963044677417</v>
      </c>
      <c r="K406" s="96"/>
      <c r="L406" s="96"/>
      <c r="O406" s="96"/>
    </row>
    <row r="407" spans="1:15" ht="15" x14ac:dyDescent="0.25">
      <c r="A407" s="35">
        <f t="shared" si="99"/>
        <v>41676</v>
      </c>
      <c r="B407" s="84" t="s">
        <v>8</v>
      </c>
      <c r="C407" s="123">
        <v>272</v>
      </c>
      <c r="D407">
        <v>228.2</v>
      </c>
      <c r="E407">
        <v>678.1</v>
      </c>
      <c r="F407">
        <v>717.3</v>
      </c>
      <c r="G407" s="120">
        <f t="shared" si="98"/>
        <v>950.1</v>
      </c>
      <c r="H407" s="121">
        <f>+D407+F407</f>
        <v>945.5</v>
      </c>
      <c r="I407" s="122">
        <f>+(G407/H407-1)*100</f>
        <v>0.48651507139079175</v>
      </c>
      <c r="L407" s="96"/>
    </row>
    <row r="408" spans="1:15" x14ac:dyDescent="0.25">
      <c r="A408" s="35">
        <f t="shared" si="99"/>
        <v>41683</v>
      </c>
      <c r="B408" s="84" t="s">
        <v>8</v>
      </c>
      <c r="C408">
        <v>262.89999999999998</v>
      </c>
      <c r="D408">
        <v>208.6</v>
      </c>
      <c r="E408" s="123">
        <v>697</v>
      </c>
      <c r="F408">
        <v>742.9</v>
      </c>
      <c r="G408" s="120">
        <f t="shared" si="98"/>
        <v>959.9</v>
      </c>
      <c r="H408" s="121">
        <f>+D408+F408</f>
        <v>951.5</v>
      </c>
      <c r="I408" s="122">
        <f>+(G408/H408-1)*100</f>
        <v>0.88281660535995954</v>
      </c>
    </row>
    <row r="409" spans="1:15" x14ac:dyDescent="0.25">
      <c r="A409" s="35">
        <f t="shared" ref="A409:A420" si="100">+A408+7</f>
        <v>41690</v>
      </c>
      <c r="B409" s="84" t="s">
        <v>8</v>
      </c>
      <c r="C409">
        <v>247.9</v>
      </c>
      <c r="D409">
        <v>188.9</v>
      </c>
      <c r="E409">
        <v>713.4</v>
      </c>
      <c r="F409">
        <v>773.7</v>
      </c>
      <c r="G409" s="120">
        <f t="shared" si="98"/>
        <v>961.3</v>
      </c>
      <c r="H409" s="121">
        <f>+D409+F409</f>
        <v>962.6</v>
      </c>
      <c r="I409" s="122">
        <f>+(G409/H409-1)*100</f>
        <v>-0.13505090380221407</v>
      </c>
    </row>
    <row r="410" spans="1:15" x14ac:dyDescent="0.25">
      <c r="A410" s="35">
        <f t="shared" si="100"/>
        <v>41697</v>
      </c>
      <c r="B410" s="84" t="s">
        <v>8</v>
      </c>
    </row>
    <row r="411" spans="1:15" x14ac:dyDescent="0.25">
      <c r="A411" s="35">
        <f t="shared" si="100"/>
        <v>41704</v>
      </c>
      <c r="B411" s="84" t="s">
        <v>8</v>
      </c>
    </row>
    <row r="412" spans="1:15" x14ac:dyDescent="0.25">
      <c r="A412" s="35">
        <f t="shared" si="100"/>
        <v>41711</v>
      </c>
      <c r="B412" s="84" t="s">
        <v>8</v>
      </c>
    </row>
    <row r="413" spans="1:15" x14ac:dyDescent="0.25">
      <c r="A413" s="35">
        <f t="shared" si="100"/>
        <v>41718</v>
      </c>
      <c r="B413" s="84" t="s">
        <v>8</v>
      </c>
    </row>
    <row r="414" spans="1:15" x14ac:dyDescent="0.25">
      <c r="A414" s="35">
        <f t="shared" si="100"/>
        <v>41725</v>
      </c>
      <c r="B414" s="84" t="s">
        <v>8</v>
      </c>
    </row>
    <row r="415" spans="1:15" x14ac:dyDescent="0.25">
      <c r="A415" s="35">
        <f t="shared" si="100"/>
        <v>41732</v>
      </c>
      <c r="B415" s="84" t="s">
        <v>8</v>
      </c>
    </row>
    <row r="416" spans="1:15" x14ac:dyDescent="0.25">
      <c r="A416" s="35">
        <f t="shared" si="100"/>
        <v>41739</v>
      </c>
      <c r="B416" s="84" t="s">
        <v>8</v>
      </c>
    </row>
    <row r="417" spans="1:2" x14ac:dyDescent="0.25">
      <c r="A417" s="35">
        <f t="shared" si="100"/>
        <v>41746</v>
      </c>
      <c r="B417" s="84" t="s">
        <v>8</v>
      </c>
    </row>
    <row r="418" spans="1:2" x14ac:dyDescent="0.25">
      <c r="A418" s="35">
        <f t="shared" si="100"/>
        <v>41753</v>
      </c>
      <c r="B418" s="84" t="s">
        <v>8</v>
      </c>
    </row>
    <row r="419" spans="1:2" x14ac:dyDescent="0.25">
      <c r="A419" s="35">
        <f t="shared" si="100"/>
        <v>41760</v>
      </c>
      <c r="B419" s="84" t="s">
        <v>8</v>
      </c>
    </row>
    <row r="420" spans="1:2" x14ac:dyDescent="0.25">
      <c r="A420" s="35">
        <f t="shared" si="100"/>
        <v>41767</v>
      </c>
      <c r="B420" s="84" t="s">
        <v>8</v>
      </c>
    </row>
    <row r="65487" spans="1:1" x14ac:dyDescent="0.25">
      <c r="A65487" s="35"/>
    </row>
  </sheetData>
  <mergeCells count="2">
    <mergeCell ref="E1:F1"/>
    <mergeCell ref="G1:H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O65486"/>
  <sheetViews>
    <sheetView topLeftCell="A387" workbookViewId="0">
      <selection activeCell="H406" sqref="H406"/>
    </sheetView>
  </sheetViews>
  <sheetFormatPr defaultRowHeight="13.2" x14ac:dyDescent="0.25"/>
  <cols>
    <col min="1" max="1" width="12.109375" customWidth="1"/>
    <col min="2" max="2" width="5.44140625" customWidth="1"/>
  </cols>
  <sheetData>
    <row r="1" spans="1:11" ht="20.399999999999999" customHeight="1" x14ac:dyDescent="0.25">
      <c r="C1" t="s">
        <v>7</v>
      </c>
      <c r="E1" s="210" t="s">
        <v>1</v>
      </c>
      <c r="F1" s="211"/>
      <c r="G1" s="210" t="s">
        <v>2</v>
      </c>
      <c r="H1" s="211"/>
      <c r="I1" s="9"/>
      <c r="J1" s="11" t="s">
        <v>6</v>
      </c>
      <c r="K1" s="11" t="s">
        <v>10</v>
      </c>
    </row>
    <row r="2" spans="1:11" ht="20.399999999999999" customHeight="1" x14ac:dyDescent="0.25">
      <c r="A2" t="s">
        <v>20</v>
      </c>
      <c r="B2" s="6"/>
      <c r="C2" s="6">
        <v>2005</v>
      </c>
      <c r="D2" s="6">
        <v>2004</v>
      </c>
      <c r="E2" s="8">
        <v>2005</v>
      </c>
      <c r="F2" s="7">
        <v>2004</v>
      </c>
      <c r="G2" s="8">
        <v>2005</v>
      </c>
      <c r="H2" s="7">
        <v>2004</v>
      </c>
      <c r="I2" s="10" t="s">
        <v>4</v>
      </c>
      <c r="J2" s="8" t="s">
        <v>5</v>
      </c>
      <c r="K2" s="8" t="s">
        <v>5</v>
      </c>
    </row>
    <row r="3" spans="1:11" x14ac:dyDescent="0.25">
      <c r="A3" s="35">
        <v>38855</v>
      </c>
      <c r="C3">
        <v>113.6</v>
      </c>
      <c r="D3">
        <v>43.8</v>
      </c>
      <c r="E3">
        <v>944.7</v>
      </c>
      <c r="F3">
        <v>858.8</v>
      </c>
      <c r="G3" s="14">
        <f t="shared" ref="G3:H7" si="0">+C3+E3</f>
        <v>1058.3</v>
      </c>
      <c r="H3" s="2">
        <f t="shared" si="0"/>
        <v>902.59999999999991</v>
      </c>
      <c r="I3" s="48">
        <f>+(G3/H3-1)*100</f>
        <v>17.250166186572137</v>
      </c>
    </row>
    <row r="4" spans="1:11" x14ac:dyDescent="0.25">
      <c r="A4" s="35">
        <f t="shared" ref="A4:A252" si="1">+A3+7</f>
        <v>38862</v>
      </c>
      <c r="C4">
        <v>58.9</v>
      </c>
      <c r="D4">
        <v>43.8</v>
      </c>
      <c r="E4">
        <v>1010.7</v>
      </c>
      <c r="F4">
        <v>858.8</v>
      </c>
      <c r="G4" s="14">
        <f t="shared" si="0"/>
        <v>1069.6000000000001</v>
      </c>
      <c r="H4" s="2">
        <f t="shared" si="0"/>
        <v>902.59999999999991</v>
      </c>
      <c r="I4" s="48">
        <f t="shared" ref="I4:I39" si="2">+(G4/H4-1)*100</f>
        <v>18.502105029913608</v>
      </c>
    </row>
    <row r="5" spans="1:11" x14ac:dyDescent="0.25">
      <c r="A5" s="35">
        <f t="shared" si="1"/>
        <v>38869</v>
      </c>
      <c r="C5">
        <v>57.8</v>
      </c>
      <c r="D5">
        <v>43.8</v>
      </c>
      <c r="E5">
        <v>1011.8</v>
      </c>
      <c r="F5">
        <v>858.8</v>
      </c>
      <c r="G5" s="14">
        <f t="shared" si="0"/>
        <v>1069.5999999999999</v>
      </c>
      <c r="H5" s="2">
        <f t="shared" si="0"/>
        <v>902.59999999999991</v>
      </c>
      <c r="I5" s="48">
        <f t="shared" si="2"/>
        <v>18.502105029913587</v>
      </c>
    </row>
    <row r="6" spans="1:11" x14ac:dyDescent="0.25">
      <c r="A6" s="35">
        <f t="shared" si="1"/>
        <v>38876</v>
      </c>
      <c r="C6">
        <v>57</v>
      </c>
      <c r="D6">
        <v>4.8</v>
      </c>
      <c r="E6">
        <v>1012.6</v>
      </c>
      <c r="F6">
        <v>900.8</v>
      </c>
      <c r="G6" s="14">
        <f t="shared" si="0"/>
        <v>1069.5999999999999</v>
      </c>
      <c r="H6" s="2">
        <f t="shared" si="0"/>
        <v>905.59999999999991</v>
      </c>
      <c r="I6" s="48">
        <f t="shared" si="2"/>
        <v>18.109540636042396</v>
      </c>
      <c r="J6">
        <v>0</v>
      </c>
    </row>
    <row r="7" spans="1:11" x14ac:dyDescent="0.25">
      <c r="A7" s="35">
        <f t="shared" si="1"/>
        <v>38883</v>
      </c>
      <c r="C7">
        <v>61.5</v>
      </c>
      <c r="D7">
        <v>4.8</v>
      </c>
      <c r="E7">
        <v>1012.6</v>
      </c>
      <c r="F7">
        <v>924.1</v>
      </c>
      <c r="G7" s="14">
        <f t="shared" si="0"/>
        <v>1074.0999999999999</v>
      </c>
      <c r="H7" s="2">
        <f t="shared" si="0"/>
        <v>928.9</v>
      </c>
      <c r="I7" s="48">
        <f t="shared" si="2"/>
        <v>15.63139196899559</v>
      </c>
      <c r="J7">
        <v>0</v>
      </c>
    </row>
    <row r="8" spans="1:11" x14ac:dyDescent="0.25">
      <c r="A8" s="35">
        <f t="shared" si="1"/>
        <v>38890</v>
      </c>
      <c r="C8">
        <v>63.5</v>
      </c>
      <c r="D8">
        <v>4.8</v>
      </c>
      <c r="E8">
        <v>1072.5</v>
      </c>
      <c r="F8">
        <v>924.1</v>
      </c>
      <c r="G8" s="14">
        <f t="shared" ref="G8:H39" si="3">+C8+E8</f>
        <v>1136</v>
      </c>
      <c r="H8" s="2">
        <f t="shared" si="3"/>
        <v>928.9</v>
      </c>
      <c r="I8" s="48">
        <f t="shared" si="2"/>
        <v>22.295187856604581</v>
      </c>
      <c r="J8">
        <v>0</v>
      </c>
    </row>
    <row r="9" spans="1:11" x14ac:dyDescent="0.25">
      <c r="A9" s="35">
        <f t="shared" si="1"/>
        <v>38897</v>
      </c>
      <c r="C9">
        <v>63.2</v>
      </c>
      <c r="D9">
        <v>4.8</v>
      </c>
      <c r="E9">
        <v>1072.8</v>
      </c>
      <c r="F9">
        <v>948.6</v>
      </c>
      <c r="G9" s="14">
        <f t="shared" si="3"/>
        <v>1136</v>
      </c>
      <c r="H9" s="2">
        <f t="shared" si="3"/>
        <v>953.4</v>
      </c>
      <c r="I9" s="48">
        <f t="shared" si="2"/>
        <v>19.15250681770506</v>
      </c>
      <c r="J9">
        <v>0</v>
      </c>
    </row>
    <row r="10" spans="1:11" x14ac:dyDescent="0.25">
      <c r="A10" s="35">
        <f t="shared" si="1"/>
        <v>38904</v>
      </c>
      <c r="C10">
        <v>63.2</v>
      </c>
      <c r="D10">
        <v>4.8</v>
      </c>
      <c r="E10">
        <v>1097.2</v>
      </c>
      <c r="F10">
        <v>948.6</v>
      </c>
      <c r="G10" s="14">
        <f t="shared" si="3"/>
        <v>1160.4000000000001</v>
      </c>
      <c r="H10" s="2">
        <f t="shared" si="3"/>
        <v>953.4</v>
      </c>
      <c r="I10" s="48">
        <f t="shared" si="2"/>
        <v>21.711768407803667</v>
      </c>
      <c r="J10">
        <v>0</v>
      </c>
    </row>
    <row r="11" spans="1:11" x14ac:dyDescent="0.25">
      <c r="A11" s="35">
        <f t="shared" si="1"/>
        <v>38911</v>
      </c>
      <c r="C11">
        <v>95.2</v>
      </c>
      <c r="D11">
        <v>4.8</v>
      </c>
      <c r="E11">
        <v>1098.2</v>
      </c>
      <c r="F11">
        <v>948.6</v>
      </c>
      <c r="G11" s="14">
        <f t="shared" si="3"/>
        <v>1193.4000000000001</v>
      </c>
      <c r="H11" s="2">
        <f t="shared" si="3"/>
        <v>953.4</v>
      </c>
      <c r="I11" s="48">
        <f t="shared" si="2"/>
        <v>25.173064820641923</v>
      </c>
      <c r="J11">
        <v>0</v>
      </c>
    </row>
    <row r="12" spans="1:11" x14ac:dyDescent="0.25">
      <c r="A12" s="35">
        <f t="shared" si="1"/>
        <v>38918</v>
      </c>
      <c r="C12">
        <v>37.5</v>
      </c>
      <c r="D12">
        <v>4.8</v>
      </c>
      <c r="E12">
        <v>1162.0999999999999</v>
      </c>
      <c r="F12">
        <v>948.6</v>
      </c>
      <c r="G12" s="14">
        <f t="shared" si="3"/>
        <v>1199.5999999999999</v>
      </c>
      <c r="H12" s="2">
        <f t="shared" si="3"/>
        <v>953.4</v>
      </c>
      <c r="I12" s="48">
        <f t="shared" si="2"/>
        <v>25.823368995175166</v>
      </c>
      <c r="J12">
        <v>0</v>
      </c>
    </row>
    <row r="13" spans="1:11" x14ac:dyDescent="0.25">
      <c r="A13" s="35">
        <f t="shared" si="1"/>
        <v>38925</v>
      </c>
      <c r="C13">
        <v>37.5</v>
      </c>
      <c r="D13">
        <v>9.3000000000000007</v>
      </c>
      <c r="E13">
        <v>1164.2</v>
      </c>
      <c r="F13">
        <v>948.6</v>
      </c>
      <c r="G13" s="14">
        <f t="shared" si="3"/>
        <v>1201.7</v>
      </c>
      <c r="H13" s="2">
        <f t="shared" si="3"/>
        <v>957.9</v>
      </c>
      <c r="I13" s="48">
        <f t="shared" si="2"/>
        <v>25.451508508195019</v>
      </c>
      <c r="J13">
        <v>0</v>
      </c>
    </row>
    <row r="14" spans="1:11" x14ac:dyDescent="0.25">
      <c r="A14" s="35">
        <f t="shared" si="1"/>
        <v>38932</v>
      </c>
      <c r="C14">
        <v>43.1</v>
      </c>
      <c r="D14">
        <v>10.3</v>
      </c>
      <c r="E14">
        <v>1165.5</v>
      </c>
      <c r="F14">
        <v>949.1</v>
      </c>
      <c r="G14" s="14">
        <f t="shared" si="3"/>
        <v>1208.5999999999999</v>
      </c>
      <c r="H14" s="2">
        <f t="shared" si="3"/>
        <v>959.4</v>
      </c>
      <c r="I14" s="48">
        <f t="shared" si="2"/>
        <v>25.974567437982053</v>
      </c>
      <c r="J14">
        <v>0</v>
      </c>
    </row>
    <row r="15" spans="1:11" x14ac:dyDescent="0.25">
      <c r="A15" s="35">
        <f t="shared" si="1"/>
        <v>38939</v>
      </c>
      <c r="C15">
        <v>50</v>
      </c>
      <c r="D15">
        <v>70.400000000000006</v>
      </c>
      <c r="E15">
        <v>1167.5999999999999</v>
      </c>
      <c r="F15">
        <v>950.5</v>
      </c>
      <c r="G15" s="14">
        <f t="shared" si="3"/>
        <v>1217.5999999999999</v>
      </c>
      <c r="H15" s="2">
        <f t="shared" si="3"/>
        <v>1020.9</v>
      </c>
      <c r="I15" s="48">
        <f t="shared" si="2"/>
        <v>19.267313155059252</v>
      </c>
      <c r="J15">
        <v>0</v>
      </c>
    </row>
    <row r="16" spans="1:11" x14ac:dyDescent="0.25">
      <c r="A16" s="35">
        <f t="shared" si="1"/>
        <v>38946</v>
      </c>
      <c r="C16">
        <v>52.7</v>
      </c>
      <c r="D16">
        <v>68.599999999999994</v>
      </c>
      <c r="E16">
        <v>1171</v>
      </c>
      <c r="F16">
        <v>953.7</v>
      </c>
      <c r="G16" s="14">
        <f t="shared" si="3"/>
        <v>1223.7</v>
      </c>
      <c r="H16" s="2">
        <f t="shared" si="3"/>
        <v>1022.3000000000001</v>
      </c>
      <c r="I16" s="48">
        <f t="shared" si="2"/>
        <v>19.700674948645201</v>
      </c>
      <c r="J16">
        <v>0</v>
      </c>
    </row>
    <row r="17" spans="1:10" x14ac:dyDescent="0.25">
      <c r="A17" s="35">
        <f t="shared" si="1"/>
        <v>38953</v>
      </c>
      <c r="C17">
        <v>49.1</v>
      </c>
      <c r="D17">
        <v>63.8</v>
      </c>
      <c r="E17">
        <v>1178.5999999999999</v>
      </c>
      <c r="F17">
        <v>958.5</v>
      </c>
      <c r="G17" s="14">
        <f t="shared" si="3"/>
        <v>1227.6999999999998</v>
      </c>
      <c r="H17" s="2">
        <f t="shared" si="3"/>
        <v>1022.3</v>
      </c>
      <c r="I17" s="48">
        <f t="shared" si="2"/>
        <v>20.091949525579555</v>
      </c>
      <c r="J17">
        <v>25</v>
      </c>
    </row>
    <row r="18" spans="1:10" x14ac:dyDescent="0.25">
      <c r="A18" s="35">
        <f t="shared" si="1"/>
        <v>38960</v>
      </c>
      <c r="C18">
        <v>16.2</v>
      </c>
      <c r="D18">
        <v>119.8</v>
      </c>
      <c r="E18">
        <v>1211.0999999999999</v>
      </c>
      <c r="F18">
        <v>959.5</v>
      </c>
      <c r="G18" s="14">
        <f t="shared" si="3"/>
        <v>1227.3</v>
      </c>
      <c r="H18" s="2">
        <f t="shared" si="3"/>
        <v>1079.3</v>
      </c>
      <c r="I18" s="48">
        <f t="shared" si="2"/>
        <v>13.712591494487159</v>
      </c>
      <c r="J18">
        <v>102.2</v>
      </c>
    </row>
    <row r="19" spans="1:10" x14ac:dyDescent="0.25">
      <c r="A19" s="35">
        <f t="shared" si="1"/>
        <v>38967</v>
      </c>
      <c r="C19">
        <v>100</v>
      </c>
      <c r="D19">
        <v>62.9</v>
      </c>
      <c r="E19">
        <v>2.4</v>
      </c>
      <c r="F19">
        <v>84.2</v>
      </c>
      <c r="G19" s="14">
        <f t="shared" si="3"/>
        <v>102.4</v>
      </c>
      <c r="H19" s="2">
        <f t="shared" si="3"/>
        <v>147.1</v>
      </c>
      <c r="I19" s="48">
        <f t="shared" si="2"/>
        <v>-30.387491502379326</v>
      </c>
    </row>
    <row r="20" spans="1:10" x14ac:dyDescent="0.25">
      <c r="A20" s="35">
        <f t="shared" si="1"/>
        <v>38974</v>
      </c>
      <c r="C20">
        <v>99</v>
      </c>
      <c r="D20">
        <v>67.5</v>
      </c>
      <c r="E20">
        <v>3.4</v>
      </c>
      <c r="F20">
        <v>86.6</v>
      </c>
      <c r="G20" s="14">
        <f t="shared" si="3"/>
        <v>102.4</v>
      </c>
      <c r="H20" s="2">
        <f t="shared" si="3"/>
        <v>154.1</v>
      </c>
      <c r="I20" s="48">
        <f t="shared" si="2"/>
        <v>-33.549643088903302</v>
      </c>
    </row>
    <row r="21" spans="1:10" x14ac:dyDescent="0.25">
      <c r="A21" s="35">
        <f t="shared" si="1"/>
        <v>38981</v>
      </c>
      <c r="C21">
        <v>98.7</v>
      </c>
      <c r="D21">
        <v>70.2</v>
      </c>
      <c r="E21">
        <v>3.7</v>
      </c>
      <c r="F21">
        <v>89.2</v>
      </c>
      <c r="G21" s="14">
        <f t="shared" si="3"/>
        <v>102.4</v>
      </c>
      <c r="H21" s="2">
        <f t="shared" si="3"/>
        <v>159.4</v>
      </c>
      <c r="I21" s="48">
        <f t="shared" si="2"/>
        <v>-35.759096612296105</v>
      </c>
    </row>
    <row r="22" spans="1:10" x14ac:dyDescent="0.25">
      <c r="A22" s="35">
        <f t="shared" si="1"/>
        <v>38988</v>
      </c>
      <c r="C22">
        <v>156.1</v>
      </c>
      <c r="D22">
        <v>67.900000000000006</v>
      </c>
      <c r="E22">
        <v>4.3</v>
      </c>
      <c r="F22">
        <v>91.1</v>
      </c>
      <c r="G22" s="14">
        <f t="shared" si="3"/>
        <v>160.4</v>
      </c>
      <c r="H22" s="2">
        <f t="shared" si="3"/>
        <v>159</v>
      </c>
      <c r="I22" s="48">
        <f t="shared" si="2"/>
        <v>0.88050314465408785</v>
      </c>
    </row>
    <row r="23" spans="1:10" x14ac:dyDescent="0.25">
      <c r="A23" s="35">
        <f t="shared" si="1"/>
        <v>38995</v>
      </c>
      <c r="C23">
        <v>155.9</v>
      </c>
      <c r="D23">
        <v>76</v>
      </c>
      <c r="E23">
        <v>71.7</v>
      </c>
      <c r="F23">
        <v>92.4</v>
      </c>
      <c r="G23" s="14">
        <f t="shared" si="3"/>
        <v>227.60000000000002</v>
      </c>
      <c r="H23" s="2">
        <f t="shared" si="3"/>
        <v>168.4</v>
      </c>
      <c r="I23" s="48">
        <f t="shared" si="2"/>
        <v>35.154394299287418</v>
      </c>
    </row>
    <row r="24" spans="1:10" x14ac:dyDescent="0.25">
      <c r="A24" s="35">
        <f t="shared" si="1"/>
        <v>39002</v>
      </c>
      <c r="C24">
        <v>135.30000000000001</v>
      </c>
      <c r="D24">
        <v>16</v>
      </c>
      <c r="E24">
        <v>132.80000000000001</v>
      </c>
      <c r="F24">
        <v>160</v>
      </c>
      <c r="G24" s="14">
        <f t="shared" si="3"/>
        <v>268.10000000000002</v>
      </c>
      <c r="H24" s="2">
        <f t="shared" si="3"/>
        <v>176</v>
      </c>
      <c r="I24" s="48">
        <f t="shared" si="2"/>
        <v>52.329545454545467</v>
      </c>
    </row>
    <row r="25" spans="1:10" x14ac:dyDescent="0.25">
      <c r="A25" s="35">
        <f t="shared" si="1"/>
        <v>39009</v>
      </c>
      <c r="C25">
        <v>83.3</v>
      </c>
      <c r="D25">
        <v>26</v>
      </c>
      <c r="E25">
        <v>194.8</v>
      </c>
      <c r="F25">
        <v>278.89999999999998</v>
      </c>
      <c r="G25" s="14">
        <f t="shared" si="3"/>
        <v>278.10000000000002</v>
      </c>
      <c r="H25" s="2">
        <f t="shared" si="3"/>
        <v>304.89999999999998</v>
      </c>
      <c r="I25" s="48">
        <f t="shared" si="2"/>
        <v>-8.7897671367661356</v>
      </c>
    </row>
    <row r="26" spans="1:10" x14ac:dyDescent="0.25">
      <c r="A26" s="35">
        <f t="shared" si="1"/>
        <v>39016</v>
      </c>
      <c r="C26">
        <v>23</v>
      </c>
      <c r="D26">
        <v>31.1</v>
      </c>
      <c r="E26">
        <v>264.7</v>
      </c>
      <c r="F26">
        <v>281.89999999999998</v>
      </c>
      <c r="G26" s="14">
        <f t="shared" si="3"/>
        <v>287.7</v>
      </c>
      <c r="H26" s="2">
        <f t="shared" si="3"/>
        <v>313</v>
      </c>
      <c r="I26" s="48">
        <f t="shared" si="2"/>
        <v>-8.0830670926517634</v>
      </c>
    </row>
    <row r="27" spans="1:10" x14ac:dyDescent="0.25">
      <c r="A27" s="35">
        <f t="shared" si="1"/>
        <v>39023</v>
      </c>
      <c r="C27">
        <v>21.9</v>
      </c>
      <c r="D27">
        <v>25.1</v>
      </c>
      <c r="E27">
        <v>290.2</v>
      </c>
      <c r="F27">
        <v>355.5</v>
      </c>
      <c r="G27" s="14">
        <f t="shared" si="3"/>
        <v>312.09999999999997</v>
      </c>
      <c r="H27" s="2">
        <f t="shared" si="3"/>
        <v>380.6</v>
      </c>
      <c r="I27" s="48">
        <f t="shared" si="2"/>
        <v>-17.997898055701533</v>
      </c>
    </row>
    <row r="28" spans="1:10" x14ac:dyDescent="0.25">
      <c r="A28" s="35">
        <f t="shared" si="1"/>
        <v>39030</v>
      </c>
      <c r="C28">
        <v>21.2</v>
      </c>
      <c r="D28">
        <v>79.5</v>
      </c>
      <c r="E28">
        <v>359.1</v>
      </c>
      <c r="F28">
        <v>358.1</v>
      </c>
      <c r="G28" s="14">
        <f t="shared" si="3"/>
        <v>380.3</v>
      </c>
      <c r="H28" s="2">
        <f t="shared" si="3"/>
        <v>437.6</v>
      </c>
      <c r="I28" s="48">
        <f t="shared" si="2"/>
        <v>-13.094149908592323</v>
      </c>
    </row>
    <row r="29" spans="1:10" x14ac:dyDescent="0.25">
      <c r="A29" s="35">
        <f t="shared" si="1"/>
        <v>39037</v>
      </c>
      <c r="C29">
        <v>26.8</v>
      </c>
      <c r="D29">
        <v>76.3</v>
      </c>
      <c r="E29">
        <v>361.5</v>
      </c>
      <c r="F29">
        <v>361.3</v>
      </c>
      <c r="G29" s="14">
        <f t="shared" si="3"/>
        <v>388.3</v>
      </c>
      <c r="H29" s="2">
        <f t="shared" si="3"/>
        <v>437.6</v>
      </c>
      <c r="I29" s="48">
        <f t="shared" si="2"/>
        <v>-11.265996343692875</v>
      </c>
    </row>
    <row r="30" spans="1:10" x14ac:dyDescent="0.25">
      <c r="A30" s="35">
        <f t="shared" si="1"/>
        <v>39044</v>
      </c>
      <c r="C30">
        <v>86</v>
      </c>
      <c r="D30">
        <v>73.8</v>
      </c>
      <c r="E30">
        <v>362.3</v>
      </c>
      <c r="F30">
        <v>364.1</v>
      </c>
      <c r="G30" s="14">
        <f t="shared" si="3"/>
        <v>448.3</v>
      </c>
      <c r="H30" s="2">
        <f t="shared" si="3"/>
        <v>437.90000000000003</v>
      </c>
      <c r="I30" s="48">
        <f t="shared" si="2"/>
        <v>2.3749714546700051</v>
      </c>
    </row>
    <row r="31" spans="1:10" x14ac:dyDescent="0.25">
      <c r="A31" s="35">
        <f t="shared" si="1"/>
        <v>39051</v>
      </c>
      <c r="C31">
        <v>90.4</v>
      </c>
      <c r="D31">
        <v>131.9</v>
      </c>
      <c r="E31">
        <v>388.1</v>
      </c>
      <c r="F31">
        <v>366</v>
      </c>
      <c r="G31" s="14">
        <f t="shared" si="3"/>
        <v>478.5</v>
      </c>
      <c r="H31" s="2">
        <f t="shared" si="3"/>
        <v>497.9</v>
      </c>
      <c r="I31" s="48">
        <f t="shared" si="2"/>
        <v>-3.8963647318738692</v>
      </c>
    </row>
    <row r="32" spans="1:10" x14ac:dyDescent="0.25">
      <c r="A32" s="35">
        <f t="shared" si="1"/>
        <v>39058</v>
      </c>
      <c r="C32">
        <v>102.4</v>
      </c>
      <c r="D32">
        <v>127</v>
      </c>
      <c r="E32">
        <v>458.4</v>
      </c>
      <c r="F32">
        <v>370.8</v>
      </c>
      <c r="G32" s="14">
        <f t="shared" si="3"/>
        <v>560.79999999999995</v>
      </c>
      <c r="H32" s="2">
        <f t="shared" si="3"/>
        <v>497.8</v>
      </c>
      <c r="I32" s="48">
        <f t="shared" si="2"/>
        <v>12.655685014061868</v>
      </c>
    </row>
    <row r="33" spans="1:9" x14ac:dyDescent="0.25">
      <c r="A33" s="35">
        <f t="shared" si="1"/>
        <v>39065</v>
      </c>
      <c r="C33">
        <v>103</v>
      </c>
      <c r="D33">
        <v>69.900000000000006</v>
      </c>
      <c r="E33">
        <v>460.8</v>
      </c>
      <c r="F33">
        <v>425.9</v>
      </c>
      <c r="G33" s="14">
        <f t="shared" si="3"/>
        <v>563.79999999999995</v>
      </c>
      <c r="H33" s="2">
        <f t="shared" si="3"/>
        <v>495.79999999999995</v>
      </c>
      <c r="I33" s="48">
        <f t="shared" si="2"/>
        <v>13.7152077450585</v>
      </c>
    </row>
    <row r="34" spans="1:9" x14ac:dyDescent="0.25">
      <c r="A34" s="35">
        <f t="shared" si="1"/>
        <v>39072</v>
      </c>
      <c r="C34">
        <v>92.9</v>
      </c>
      <c r="D34">
        <v>10.9</v>
      </c>
      <c r="E34">
        <v>466.6</v>
      </c>
      <c r="F34">
        <v>490</v>
      </c>
      <c r="G34" s="14">
        <f t="shared" si="3"/>
        <v>559.5</v>
      </c>
      <c r="H34" s="2">
        <f t="shared" si="3"/>
        <v>500.9</v>
      </c>
      <c r="I34" s="48">
        <f t="shared" si="2"/>
        <v>11.698941904571768</v>
      </c>
    </row>
    <row r="35" spans="1:9" x14ac:dyDescent="0.25">
      <c r="A35" s="35">
        <f t="shared" si="1"/>
        <v>39079</v>
      </c>
      <c r="C35">
        <v>90.4</v>
      </c>
      <c r="D35">
        <v>64.400000000000006</v>
      </c>
      <c r="E35">
        <v>469.1</v>
      </c>
      <c r="F35">
        <v>491.5</v>
      </c>
      <c r="G35" s="14">
        <f t="shared" si="3"/>
        <v>559.5</v>
      </c>
      <c r="H35" s="2">
        <f t="shared" si="3"/>
        <v>555.9</v>
      </c>
      <c r="I35" s="48">
        <f t="shared" si="2"/>
        <v>0.64759848893687355</v>
      </c>
    </row>
    <row r="36" spans="1:9" x14ac:dyDescent="0.25">
      <c r="A36" s="35">
        <f t="shared" si="1"/>
        <v>39086</v>
      </c>
      <c r="C36">
        <v>146.69999999999999</v>
      </c>
      <c r="D36">
        <v>63.8</v>
      </c>
      <c r="E36">
        <v>472.8</v>
      </c>
      <c r="F36">
        <v>492.7</v>
      </c>
      <c r="G36" s="14">
        <f t="shared" si="3"/>
        <v>619.5</v>
      </c>
      <c r="H36" s="2">
        <f t="shared" si="3"/>
        <v>556.5</v>
      </c>
      <c r="I36" s="48">
        <f t="shared" si="2"/>
        <v>11.32075471698113</v>
      </c>
    </row>
    <row r="37" spans="1:9" x14ac:dyDescent="0.25">
      <c r="A37" s="35">
        <f t="shared" si="1"/>
        <v>39093</v>
      </c>
      <c r="C37">
        <v>241.6</v>
      </c>
      <c r="D37">
        <v>72.7</v>
      </c>
      <c r="E37">
        <v>475.1</v>
      </c>
      <c r="F37">
        <v>493.2</v>
      </c>
      <c r="G37" s="14">
        <f t="shared" si="3"/>
        <v>716.7</v>
      </c>
      <c r="H37" s="2">
        <f t="shared" si="3"/>
        <v>565.9</v>
      </c>
      <c r="I37" s="48">
        <f t="shared" si="2"/>
        <v>26.647817635624669</v>
      </c>
    </row>
    <row r="38" spans="1:9" x14ac:dyDescent="0.25">
      <c r="A38" s="35">
        <f t="shared" si="1"/>
        <v>39100</v>
      </c>
      <c r="C38">
        <v>249.9</v>
      </c>
      <c r="D38">
        <v>74.900000000000006</v>
      </c>
      <c r="E38">
        <v>540.6</v>
      </c>
      <c r="F38">
        <v>494.1</v>
      </c>
      <c r="G38" s="14">
        <f t="shared" si="3"/>
        <v>790.5</v>
      </c>
      <c r="H38" s="2">
        <f t="shared" si="3"/>
        <v>569</v>
      </c>
      <c r="I38" s="48">
        <f t="shared" si="2"/>
        <v>38.927943760984185</v>
      </c>
    </row>
    <row r="39" spans="1:9" x14ac:dyDescent="0.25">
      <c r="A39" s="35">
        <f t="shared" si="1"/>
        <v>39107</v>
      </c>
      <c r="C39">
        <v>243.9</v>
      </c>
      <c r="D39">
        <v>75.5</v>
      </c>
      <c r="E39">
        <v>546.70000000000005</v>
      </c>
      <c r="F39">
        <v>495.4</v>
      </c>
      <c r="G39" s="14">
        <f t="shared" si="3"/>
        <v>790.6</v>
      </c>
      <c r="H39" s="2">
        <f t="shared" si="3"/>
        <v>570.9</v>
      </c>
      <c r="I39" s="48">
        <f t="shared" si="2"/>
        <v>38.483096864599766</v>
      </c>
    </row>
    <row r="40" spans="1:9" x14ac:dyDescent="0.25">
      <c r="A40" s="35">
        <f t="shared" si="1"/>
        <v>39114</v>
      </c>
    </row>
    <row r="41" spans="1:9" x14ac:dyDescent="0.25">
      <c r="A41" s="35">
        <f t="shared" si="1"/>
        <v>39121</v>
      </c>
      <c r="C41">
        <v>185.1</v>
      </c>
      <c r="D41">
        <v>114.9</v>
      </c>
      <c r="E41">
        <v>621.9</v>
      </c>
      <c r="F41">
        <v>568.79999999999995</v>
      </c>
      <c r="G41" s="14">
        <f t="shared" ref="G41:H43" si="4">+C41+E41</f>
        <v>807</v>
      </c>
      <c r="H41" s="2">
        <f t="shared" si="4"/>
        <v>683.69999999999993</v>
      </c>
      <c r="I41" s="48">
        <f t="shared" ref="I41:I46" si="5">+(G41/H41-1)*100</f>
        <v>18.034225537516456</v>
      </c>
    </row>
    <row r="42" spans="1:9" x14ac:dyDescent="0.25">
      <c r="A42" s="35">
        <f t="shared" si="1"/>
        <v>39128</v>
      </c>
      <c r="C42">
        <v>312.10000000000002</v>
      </c>
      <c r="D42">
        <v>113.8</v>
      </c>
      <c r="E42">
        <v>623.9</v>
      </c>
      <c r="F42">
        <v>571.5</v>
      </c>
      <c r="G42" s="14">
        <f t="shared" si="4"/>
        <v>936</v>
      </c>
      <c r="H42" s="2">
        <f t="shared" si="4"/>
        <v>685.3</v>
      </c>
      <c r="I42" s="48">
        <f t="shared" si="5"/>
        <v>36.582518604990533</v>
      </c>
    </row>
    <row r="43" spans="1:9" x14ac:dyDescent="0.25">
      <c r="A43" s="35">
        <f t="shared" si="1"/>
        <v>39135</v>
      </c>
      <c r="C43">
        <v>309.89999999999998</v>
      </c>
      <c r="D43">
        <v>62.2</v>
      </c>
      <c r="E43">
        <v>626.1</v>
      </c>
      <c r="F43">
        <v>630.6</v>
      </c>
      <c r="G43" s="14">
        <f t="shared" si="4"/>
        <v>936</v>
      </c>
      <c r="H43" s="2">
        <f t="shared" si="4"/>
        <v>692.80000000000007</v>
      </c>
      <c r="I43" s="48">
        <f t="shared" si="5"/>
        <v>35.103926096997682</v>
      </c>
    </row>
    <row r="44" spans="1:9" x14ac:dyDescent="0.25">
      <c r="A44" s="35">
        <f t="shared" si="1"/>
        <v>39142</v>
      </c>
      <c r="C44">
        <v>337.9</v>
      </c>
      <c r="D44">
        <v>62.1</v>
      </c>
      <c r="E44">
        <v>682.2</v>
      </c>
      <c r="F44">
        <v>634.6</v>
      </c>
      <c r="G44" s="14">
        <f t="shared" ref="G44:H46" si="6">+C44+E44</f>
        <v>1020.1</v>
      </c>
      <c r="H44" s="2">
        <f t="shared" si="6"/>
        <v>696.7</v>
      </c>
      <c r="I44" s="48">
        <f t="shared" si="5"/>
        <v>46.418831634850008</v>
      </c>
    </row>
    <row r="45" spans="1:9" x14ac:dyDescent="0.25">
      <c r="A45" s="35">
        <f t="shared" si="1"/>
        <v>39149</v>
      </c>
      <c r="C45">
        <v>328.3</v>
      </c>
      <c r="D45">
        <v>57</v>
      </c>
      <c r="E45">
        <v>691.8</v>
      </c>
      <c r="F45">
        <v>639.79999999999995</v>
      </c>
      <c r="G45" s="14">
        <f t="shared" si="6"/>
        <v>1020.0999999999999</v>
      </c>
      <c r="H45" s="2">
        <f t="shared" si="6"/>
        <v>696.8</v>
      </c>
      <c r="I45" s="48">
        <f t="shared" si="5"/>
        <v>46.397818599311137</v>
      </c>
    </row>
    <row r="46" spans="1:9" x14ac:dyDescent="0.25">
      <c r="A46" s="35">
        <f t="shared" si="1"/>
        <v>39156</v>
      </c>
      <c r="C46">
        <v>317.3</v>
      </c>
      <c r="D46">
        <v>54</v>
      </c>
      <c r="E46">
        <v>702.9</v>
      </c>
      <c r="F46">
        <v>643.9</v>
      </c>
      <c r="G46" s="14">
        <f t="shared" si="6"/>
        <v>1020.2</v>
      </c>
      <c r="H46" s="2">
        <f t="shared" si="6"/>
        <v>697.9</v>
      </c>
      <c r="I46" s="48">
        <f t="shared" si="5"/>
        <v>46.181401346897857</v>
      </c>
    </row>
    <row r="47" spans="1:9" x14ac:dyDescent="0.25">
      <c r="A47" s="35">
        <f t="shared" si="1"/>
        <v>39163</v>
      </c>
      <c r="C47">
        <v>279</v>
      </c>
      <c r="D47">
        <v>11</v>
      </c>
      <c r="E47">
        <v>820.3</v>
      </c>
      <c r="F47">
        <v>692.5</v>
      </c>
      <c r="G47" s="14">
        <f t="shared" ref="G47:H49" si="7">+C47+E47</f>
        <v>1099.3</v>
      </c>
      <c r="H47" s="2">
        <f t="shared" si="7"/>
        <v>703.5</v>
      </c>
      <c r="I47" s="48">
        <f t="shared" ref="I47:I52" si="8">+(G47/H47-1)*100</f>
        <v>56.261549395877751</v>
      </c>
    </row>
    <row r="48" spans="1:9" x14ac:dyDescent="0.25">
      <c r="A48" s="35">
        <f t="shared" si="1"/>
        <v>39170</v>
      </c>
      <c r="C48">
        <v>318.3</v>
      </c>
      <c r="D48">
        <v>128</v>
      </c>
      <c r="E48">
        <v>824.9</v>
      </c>
      <c r="F48">
        <v>717.9</v>
      </c>
      <c r="G48" s="14">
        <f t="shared" si="7"/>
        <v>1143.2</v>
      </c>
      <c r="H48" s="2">
        <f t="shared" si="7"/>
        <v>845.9</v>
      </c>
      <c r="I48" s="48">
        <f t="shared" si="8"/>
        <v>35.145998344958038</v>
      </c>
    </row>
    <row r="49" spans="1:10" x14ac:dyDescent="0.25">
      <c r="A49" s="35">
        <f t="shared" si="1"/>
        <v>39177</v>
      </c>
      <c r="C49">
        <v>318</v>
      </c>
      <c r="D49">
        <v>185.7</v>
      </c>
      <c r="E49">
        <v>834.2</v>
      </c>
      <c r="F49">
        <v>718.9</v>
      </c>
      <c r="G49" s="14">
        <f t="shared" si="7"/>
        <v>1152.2</v>
      </c>
      <c r="H49" s="2">
        <f t="shared" si="7"/>
        <v>904.59999999999991</v>
      </c>
      <c r="I49" s="48">
        <f t="shared" si="8"/>
        <v>27.371213796153015</v>
      </c>
    </row>
    <row r="50" spans="1:10" x14ac:dyDescent="0.25">
      <c r="A50" s="35">
        <f t="shared" si="1"/>
        <v>39184</v>
      </c>
      <c r="C50">
        <v>256.89999999999998</v>
      </c>
      <c r="D50">
        <v>186.7</v>
      </c>
      <c r="E50">
        <v>901.7</v>
      </c>
      <c r="F50">
        <v>718.9</v>
      </c>
      <c r="G50" s="14">
        <f t="shared" ref="G50:H52" si="9">+C50+E50</f>
        <v>1158.5999999999999</v>
      </c>
      <c r="H50" s="2">
        <f t="shared" si="9"/>
        <v>905.59999999999991</v>
      </c>
      <c r="I50" s="48">
        <f t="shared" si="8"/>
        <v>27.937279151943461</v>
      </c>
    </row>
    <row r="51" spans="1:10" x14ac:dyDescent="0.25">
      <c r="A51" s="35">
        <f t="shared" si="1"/>
        <v>39191</v>
      </c>
      <c r="C51">
        <v>238.6</v>
      </c>
      <c r="D51">
        <v>186.6</v>
      </c>
      <c r="E51">
        <v>1003.8</v>
      </c>
      <c r="F51">
        <v>718.9</v>
      </c>
      <c r="G51" s="14">
        <f t="shared" si="9"/>
        <v>1242.3999999999999</v>
      </c>
      <c r="H51" s="2">
        <f t="shared" si="9"/>
        <v>905.5</v>
      </c>
      <c r="I51" s="48">
        <f t="shared" si="8"/>
        <v>37.20596355604637</v>
      </c>
    </row>
    <row r="52" spans="1:10" x14ac:dyDescent="0.25">
      <c r="A52" s="35">
        <f t="shared" si="1"/>
        <v>39198</v>
      </c>
      <c r="C52">
        <v>207.3</v>
      </c>
      <c r="D52">
        <v>126.6</v>
      </c>
      <c r="E52">
        <v>1073.0999999999999</v>
      </c>
      <c r="F52">
        <v>781.6</v>
      </c>
      <c r="G52" s="14">
        <f t="shared" si="9"/>
        <v>1280.3999999999999</v>
      </c>
      <c r="H52" s="2">
        <f t="shared" si="9"/>
        <v>908.2</v>
      </c>
      <c r="I52" s="48">
        <f t="shared" si="8"/>
        <v>40.982162519268869</v>
      </c>
    </row>
    <row r="53" spans="1:10" x14ac:dyDescent="0.25">
      <c r="A53" s="35">
        <f t="shared" si="1"/>
        <v>39205</v>
      </c>
      <c r="C53">
        <v>205.6</v>
      </c>
      <c r="D53">
        <v>58</v>
      </c>
      <c r="E53">
        <v>1095.8</v>
      </c>
      <c r="F53">
        <v>942.3</v>
      </c>
      <c r="G53" s="14">
        <f>+C53+E53</f>
        <v>1301.3999999999999</v>
      </c>
      <c r="H53" s="2">
        <f>+D53+F53</f>
        <v>1000.3</v>
      </c>
      <c r="I53" s="48">
        <f>+(G53/H53-1)*100</f>
        <v>30.100969709087266</v>
      </c>
      <c r="J53">
        <v>0</v>
      </c>
    </row>
    <row r="54" spans="1:10" x14ac:dyDescent="0.25">
      <c r="A54" s="35">
        <f t="shared" si="1"/>
        <v>39212</v>
      </c>
      <c r="C54">
        <v>192.3</v>
      </c>
      <c r="D54">
        <v>57.5</v>
      </c>
      <c r="E54">
        <v>1109.0999999999999</v>
      </c>
      <c r="F54">
        <v>943.8</v>
      </c>
      <c r="G54" s="14">
        <f>+C54+E54</f>
        <v>1301.3999999999999</v>
      </c>
      <c r="H54" s="2">
        <f>+D54+F54</f>
        <v>1001.3</v>
      </c>
      <c r="I54" s="48">
        <f>+(G54/H54-1)*100</f>
        <v>29.971037651053621</v>
      </c>
    </row>
    <row r="55" spans="1:10" x14ac:dyDescent="0.25">
      <c r="A55" s="35">
        <f t="shared" si="1"/>
        <v>39219</v>
      </c>
    </row>
    <row r="56" spans="1:10" x14ac:dyDescent="0.25">
      <c r="A56" s="35">
        <f t="shared" si="1"/>
        <v>39226</v>
      </c>
      <c r="C56">
        <v>233.4</v>
      </c>
      <c r="D56">
        <v>58.9</v>
      </c>
      <c r="E56">
        <v>1137.9000000000001</v>
      </c>
      <c r="F56">
        <v>1010.7</v>
      </c>
      <c r="G56" s="14">
        <f t="shared" ref="G56:H58" si="10">+C56+E56</f>
        <v>1371.3000000000002</v>
      </c>
      <c r="H56" s="2">
        <f t="shared" si="10"/>
        <v>1069.6000000000001</v>
      </c>
      <c r="I56" s="48">
        <f t="shared" ref="I56:I61" si="11">+(G56/H56-1)*100</f>
        <v>28.206806282722518</v>
      </c>
      <c r="J56">
        <v>0</v>
      </c>
    </row>
    <row r="57" spans="1:10" x14ac:dyDescent="0.25">
      <c r="A57" s="35">
        <f t="shared" si="1"/>
        <v>39233</v>
      </c>
      <c r="C57">
        <v>246.9</v>
      </c>
      <c r="D57">
        <v>57.8</v>
      </c>
      <c r="E57">
        <v>1145.3</v>
      </c>
      <c r="F57">
        <v>1011.8</v>
      </c>
      <c r="G57" s="14">
        <f t="shared" si="10"/>
        <v>1392.2</v>
      </c>
      <c r="H57" s="2">
        <f t="shared" si="10"/>
        <v>1069.5999999999999</v>
      </c>
      <c r="I57" s="48">
        <f t="shared" si="11"/>
        <v>30.160807778608834</v>
      </c>
    </row>
    <row r="58" spans="1:10" x14ac:dyDescent="0.25">
      <c r="A58" s="35">
        <f t="shared" si="1"/>
        <v>39240</v>
      </c>
      <c r="C58">
        <v>172.4</v>
      </c>
      <c r="D58">
        <v>57</v>
      </c>
      <c r="E58">
        <v>1222.9000000000001</v>
      </c>
      <c r="F58">
        <v>1012.6</v>
      </c>
      <c r="G58" s="14">
        <f t="shared" si="10"/>
        <v>1395.3000000000002</v>
      </c>
      <c r="H58" s="2">
        <f t="shared" si="10"/>
        <v>1069.5999999999999</v>
      </c>
      <c r="I58" s="48">
        <f t="shared" si="11"/>
        <v>30.450635751682896</v>
      </c>
    </row>
    <row r="59" spans="1:10" x14ac:dyDescent="0.25">
      <c r="A59" s="35">
        <f t="shared" si="1"/>
        <v>39247</v>
      </c>
      <c r="C59">
        <v>177.1</v>
      </c>
      <c r="D59">
        <v>61.5</v>
      </c>
      <c r="E59">
        <v>1233.2</v>
      </c>
      <c r="F59">
        <v>1012.6</v>
      </c>
      <c r="G59" s="14">
        <f t="shared" ref="G59:H61" si="12">+C59+E59</f>
        <v>1410.3</v>
      </c>
      <c r="H59" s="2">
        <f t="shared" si="12"/>
        <v>1074.0999999999999</v>
      </c>
      <c r="I59" s="48">
        <f t="shared" si="11"/>
        <v>31.300623778046742</v>
      </c>
    </row>
    <row r="60" spans="1:10" x14ac:dyDescent="0.25">
      <c r="A60" s="35">
        <f t="shared" si="1"/>
        <v>39254</v>
      </c>
      <c r="C60">
        <v>185.4</v>
      </c>
      <c r="D60">
        <v>63.5</v>
      </c>
      <c r="E60">
        <v>1239.9000000000001</v>
      </c>
      <c r="F60">
        <v>1072.5</v>
      </c>
      <c r="G60" s="14">
        <f t="shared" si="12"/>
        <v>1425.3000000000002</v>
      </c>
      <c r="H60" s="2">
        <f t="shared" si="12"/>
        <v>1136</v>
      </c>
      <c r="I60" s="48">
        <f t="shared" si="11"/>
        <v>25.466549295774655</v>
      </c>
    </row>
    <row r="61" spans="1:10" x14ac:dyDescent="0.25">
      <c r="A61" s="35">
        <f t="shared" si="1"/>
        <v>39261</v>
      </c>
      <c r="C61">
        <v>182</v>
      </c>
      <c r="D61">
        <v>63.2</v>
      </c>
      <c r="E61">
        <v>1252</v>
      </c>
      <c r="F61">
        <v>1072.8</v>
      </c>
      <c r="G61" s="14">
        <f t="shared" si="12"/>
        <v>1434</v>
      </c>
      <c r="H61" s="2">
        <f t="shared" si="12"/>
        <v>1136</v>
      </c>
      <c r="I61" s="48">
        <f t="shared" si="11"/>
        <v>26.232394366197177</v>
      </c>
    </row>
    <row r="62" spans="1:10" x14ac:dyDescent="0.25">
      <c r="A62" s="35">
        <f t="shared" si="1"/>
        <v>39268</v>
      </c>
      <c r="C62">
        <v>176.5</v>
      </c>
      <c r="D62">
        <v>63.2</v>
      </c>
      <c r="E62">
        <v>1289.0999999999999</v>
      </c>
      <c r="F62">
        <v>1097.2</v>
      </c>
      <c r="G62" s="14">
        <f t="shared" ref="G62:H65" si="13">+C62+E62</f>
        <v>1465.6</v>
      </c>
      <c r="H62" s="2">
        <f t="shared" si="13"/>
        <v>1160.4000000000001</v>
      </c>
      <c r="I62" s="48">
        <f t="shared" ref="I62:I67" si="14">+(G62/H62-1)*100</f>
        <v>26.301275422268166</v>
      </c>
    </row>
    <row r="63" spans="1:10" x14ac:dyDescent="0.25">
      <c r="A63" s="35">
        <f t="shared" si="1"/>
        <v>39275</v>
      </c>
      <c r="C63">
        <v>94</v>
      </c>
      <c r="D63">
        <v>95.2</v>
      </c>
      <c r="E63">
        <v>1377.5</v>
      </c>
      <c r="F63">
        <v>1098.2</v>
      </c>
      <c r="G63" s="14">
        <f t="shared" si="13"/>
        <v>1471.5</v>
      </c>
      <c r="H63" s="2">
        <f t="shared" si="13"/>
        <v>1193.4000000000001</v>
      </c>
      <c r="I63" s="48">
        <f t="shared" si="14"/>
        <v>23.303167420814464</v>
      </c>
    </row>
    <row r="64" spans="1:10" x14ac:dyDescent="0.25">
      <c r="A64" s="35">
        <f t="shared" si="1"/>
        <v>39282</v>
      </c>
      <c r="C64">
        <v>89.1</v>
      </c>
      <c r="D64">
        <v>37.5</v>
      </c>
      <c r="E64">
        <v>1386.8</v>
      </c>
      <c r="F64">
        <v>1162.0999999999999</v>
      </c>
      <c r="G64" s="14">
        <f t="shared" si="13"/>
        <v>1475.8999999999999</v>
      </c>
      <c r="H64" s="2">
        <f t="shared" si="13"/>
        <v>1199.5999999999999</v>
      </c>
      <c r="I64" s="48">
        <f t="shared" si="14"/>
        <v>23.032677559186389</v>
      </c>
    </row>
    <row r="65" spans="1:10" x14ac:dyDescent="0.25">
      <c r="A65" s="35">
        <f t="shared" si="1"/>
        <v>39289</v>
      </c>
      <c r="C65">
        <v>100.1</v>
      </c>
      <c r="D65">
        <v>37.5</v>
      </c>
      <c r="E65">
        <v>1395.9</v>
      </c>
      <c r="F65">
        <v>1164.2</v>
      </c>
      <c r="G65" s="14">
        <f t="shared" si="13"/>
        <v>1496</v>
      </c>
      <c r="H65" s="2">
        <f t="shared" si="13"/>
        <v>1201.7</v>
      </c>
      <c r="I65" s="48">
        <f t="shared" si="14"/>
        <v>24.490305400682356</v>
      </c>
      <c r="J65">
        <v>21.6</v>
      </c>
    </row>
    <row r="66" spans="1:10" x14ac:dyDescent="0.25">
      <c r="A66" s="35">
        <f t="shared" si="1"/>
        <v>39296</v>
      </c>
      <c r="C66">
        <v>84.6</v>
      </c>
      <c r="D66">
        <v>43.1</v>
      </c>
      <c r="E66">
        <v>1411.4</v>
      </c>
      <c r="F66">
        <v>1165.5</v>
      </c>
      <c r="G66" s="14">
        <f t="shared" ref="G66:H68" si="15">+C66+E66</f>
        <v>1496</v>
      </c>
      <c r="H66" s="2">
        <f t="shared" si="15"/>
        <v>1208.5999999999999</v>
      </c>
      <c r="I66" s="48">
        <f t="shared" si="14"/>
        <v>23.779579678967401</v>
      </c>
      <c r="J66">
        <v>21.6</v>
      </c>
    </row>
    <row r="67" spans="1:10" x14ac:dyDescent="0.25">
      <c r="A67" s="35">
        <f t="shared" si="1"/>
        <v>39303</v>
      </c>
      <c r="C67">
        <v>74</v>
      </c>
      <c r="D67">
        <v>50</v>
      </c>
      <c r="E67">
        <v>1423.7</v>
      </c>
      <c r="F67">
        <v>1167.5999999999999</v>
      </c>
      <c r="G67" s="14">
        <f t="shared" si="15"/>
        <v>1497.7</v>
      </c>
      <c r="H67" s="2">
        <f t="shared" si="15"/>
        <v>1217.5999999999999</v>
      </c>
      <c r="I67" s="48">
        <f t="shared" si="14"/>
        <v>23.004270696452057</v>
      </c>
      <c r="J67">
        <v>21.6</v>
      </c>
    </row>
    <row r="68" spans="1:10" x14ac:dyDescent="0.25">
      <c r="A68" s="35">
        <f t="shared" si="1"/>
        <v>39310</v>
      </c>
      <c r="C68">
        <v>90.7</v>
      </c>
      <c r="D68">
        <v>52.7</v>
      </c>
      <c r="E68">
        <v>1437.7</v>
      </c>
      <c r="F68">
        <v>1171</v>
      </c>
      <c r="G68" s="14">
        <f t="shared" si="15"/>
        <v>1528.4</v>
      </c>
      <c r="H68" s="2">
        <f t="shared" si="15"/>
        <v>1223.7</v>
      </c>
      <c r="I68" s="48">
        <f t="shared" ref="I68:I73" si="16">+(G68/H68-1)*100</f>
        <v>24.89989376481163</v>
      </c>
      <c r="J68">
        <v>21.6</v>
      </c>
    </row>
    <row r="69" spans="1:10" x14ac:dyDescent="0.25">
      <c r="A69" s="35">
        <f t="shared" si="1"/>
        <v>39317</v>
      </c>
      <c r="C69">
        <v>79.7</v>
      </c>
      <c r="D69">
        <v>49.1</v>
      </c>
      <c r="E69">
        <v>1444.4</v>
      </c>
      <c r="F69">
        <v>1175.5999999999999</v>
      </c>
      <c r="G69" s="14">
        <f t="shared" ref="G69:H71" si="17">+C69+E69</f>
        <v>1524.1000000000001</v>
      </c>
      <c r="H69" s="2">
        <f t="shared" si="17"/>
        <v>1224.6999999999998</v>
      </c>
      <c r="I69" s="48">
        <f t="shared" si="16"/>
        <v>24.446803298767072</v>
      </c>
      <c r="J69">
        <v>51.6</v>
      </c>
    </row>
    <row r="70" spans="1:10" x14ac:dyDescent="0.25">
      <c r="A70" s="35">
        <f t="shared" si="1"/>
        <v>39324</v>
      </c>
      <c r="C70">
        <v>78</v>
      </c>
      <c r="D70">
        <v>16.2</v>
      </c>
      <c r="E70">
        <v>1450.9</v>
      </c>
      <c r="F70">
        <v>1211.0999999999999</v>
      </c>
      <c r="G70" s="14">
        <f t="shared" si="17"/>
        <v>1528.9</v>
      </c>
      <c r="H70" s="2">
        <f t="shared" si="17"/>
        <v>1227.3</v>
      </c>
      <c r="I70" s="48">
        <f t="shared" si="16"/>
        <v>24.574268719954382</v>
      </c>
      <c r="J70">
        <v>101.6</v>
      </c>
    </row>
    <row r="71" spans="1:10" x14ac:dyDescent="0.25">
      <c r="A71" s="64">
        <f t="shared" si="1"/>
        <v>39331</v>
      </c>
      <c r="C71">
        <v>183.1</v>
      </c>
      <c r="D71">
        <v>100</v>
      </c>
      <c r="E71">
        <v>0</v>
      </c>
      <c r="F71">
        <v>2.4</v>
      </c>
      <c r="G71" s="14">
        <f t="shared" si="17"/>
        <v>183.1</v>
      </c>
      <c r="H71" s="2">
        <f t="shared" si="17"/>
        <v>102.4</v>
      </c>
      <c r="I71" s="48">
        <f t="shared" si="16"/>
        <v>78.808593749999972</v>
      </c>
    </row>
    <row r="72" spans="1:10" x14ac:dyDescent="0.25">
      <c r="A72" s="35">
        <f t="shared" si="1"/>
        <v>39338</v>
      </c>
      <c r="C72">
        <v>182.4</v>
      </c>
      <c r="D72">
        <v>99</v>
      </c>
      <c r="E72">
        <v>1.4</v>
      </c>
      <c r="F72">
        <v>3.4</v>
      </c>
      <c r="G72" s="14">
        <f t="shared" ref="G72:H74" si="18">+C72+E72</f>
        <v>183.8</v>
      </c>
      <c r="H72" s="2">
        <f t="shared" si="18"/>
        <v>102.4</v>
      </c>
      <c r="I72" s="48">
        <f t="shared" si="16"/>
        <v>79.4921875</v>
      </c>
    </row>
    <row r="73" spans="1:10" x14ac:dyDescent="0.25">
      <c r="A73" s="35">
        <f t="shared" si="1"/>
        <v>39345</v>
      </c>
      <c r="C73">
        <v>214.9</v>
      </c>
      <c r="D73">
        <v>98.7</v>
      </c>
      <c r="E73">
        <v>7.1</v>
      </c>
      <c r="F73">
        <v>3.7</v>
      </c>
      <c r="G73" s="14">
        <f t="shared" si="18"/>
        <v>222</v>
      </c>
      <c r="H73" s="2">
        <f t="shared" si="18"/>
        <v>102.4</v>
      </c>
      <c r="I73" s="48">
        <f t="shared" si="16"/>
        <v>116.796875</v>
      </c>
    </row>
    <row r="74" spans="1:10" x14ac:dyDescent="0.25">
      <c r="A74" s="35">
        <f t="shared" si="1"/>
        <v>39352</v>
      </c>
      <c r="C74">
        <v>267.2</v>
      </c>
      <c r="D74">
        <v>156.1</v>
      </c>
      <c r="E74">
        <v>10.8</v>
      </c>
      <c r="F74">
        <v>4.3</v>
      </c>
      <c r="G74" s="14">
        <f t="shared" si="18"/>
        <v>278</v>
      </c>
      <c r="H74" s="2">
        <f t="shared" si="18"/>
        <v>160.4</v>
      </c>
      <c r="I74" s="48">
        <f t="shared" ref="I74:I79" si="19">+(G74/H74-1)*100</f>
        <v>73.316708229426425</v>
      </c>
    </row>
    <row r="75" spans="1:10" x14ac:dyDescent="0.25">
      <c r="A75" s="35">
        <f t="shared" si="1"/>
        <v>39359</v>
      </c>
      <c r="C75">
        <v>312.5</v>
      </c>
      <c r="D75">
        <v>155.9</v>
      </c>
      <c r="E75">
        <v>23.8</v>
      </c>
      <c r="F75">
        <v>71.7</v>
      </c>
      <c r="G75" s="14">
        <f t="shared" ref="G75:H77" si="20">+C75+E75</f>
        <v>336.3</v>
      </c>
      <c r="H75" s="2">
        <f t="shared" si="20"/>
        <v>227.60000000000002</v>
      </c>
      <c r="I75" s="48">
        <f t="shared" si="19"/>
        <v>47.759226713532499</v>
      </c>
    </row>
    <row r="76" spans="1:10" x14ac:dyDescent="0.25">
      <c r="A76" s="35">
        <f t="shared" si="1"/>
        <v>39366</v>
      </c>
      <c r="C76">
        <v>308.5</v>
      </c>
      <c r="D76">
        <v>135.30000000000001</v>
      </c>
      <c r="E76">
        <v>35.799999999999997</v>
      </c>
      <c r="F76">
        <v>132.80000000000001</v>
      </c>
      <c r="G76" s="14">
        <f t="shared" si="20"/>
        <v>344.3</v>
      </c>
      <c r="H76" s="2">
        <f t="shared" si="20"/>
        <v>268.10000000000002</v>
      </c>
      <c r="I76" s="48">
        <f t="shared" si="19"/>
        <v>28.422230511003342</v>
      </c>
    </row>
    <row r="77" spans="1:10" x14ac:dyDescent="0.25">
      <c r="A77" s="35">
        <f t="shared" si="1"/>
        <v>39373</v>
      </c>
      <c r="C77">
        <v>291.89999999999998</v>
      </c>
      <c r="D77">
        <v>83.3</v>
      </c>
      <c r="E77">
        <v>127</v>
      </c>
      <c r="F77">
        <v>194.8</v>
      </c>
      <c r="G77" s="14">
        <f t="shared" si="20"/>
        <v>418.9</v>
      </c>
      <c r="H77" s="2">
        <f t="shared" si="20"/>
        <v>278.10000000000002</v>
      </c>
      <c r="I77" s="48">
        <f t="shared" si="19"/>
        <v>50.629270046745759</v>
      </c>
    </row>
    <row r="78" spans="1:10" x14ac:dyDescent="0.25">
      <c r="A78" s="35">
        <f t="shared" si="1"/>
        <v>39380</v>
      </c>
      <c r="C78">
        <v>171.4</v>
      </c>
      <c r="D78">
        <v>23</v>
      </c>
      <c r="E78">
        <v>253.8</v>
      </c>
      <c r="F78">
        <v>264.7</v>
      </c>
      <c r="G78" s="14">
        <f t="shared" ref="G78:H80" si="21">+C78+E78</f>
        <v>425.20000000000005</v>
      </c>
      <c r="H78" s="2">
        <f t="shared" si="21"/>
        <v>287.7</v>
      </c>
      <c r="I78" s="48">
        <f t="shared" si="19"/>
        <v>47.792839763642704</v>
      </c>
    </row>
    <row r="79" spans="1:10" x14ac:dyDescent="0.25">
      <c r="A79" s="35">
        <f t="shared" si="1"/>
        <v>39387</v>
      </c>
      <c r="C79">
        <v>173.3</v>
      </c>
      <c r="D79">
        <v>21.9</v>
      </c>
      <c r="E79">
        <v>267</v>
      </c>
      <c r="F79">
        <v>290.2</v>
      </c>
      <c r="G79" s="14">
        <f t="shared" si="21"/>
        <v>440.3</v>
      </c>
      <c r="H79" s="2">
        <f t="shared" si="21"/>
        <v>312.09999999999997</v>
      </c>
      <c r="I79" s="48">
        <f t="shared" si="19"/>
        <v>41.076578019865437</v>
      </c>
    </row>
    <row r="80" spans="1:10" x14ac:dyDescent="0.25">
      <c r="A80" s="35">
        <f t="shared" si="1"/>
        <v>39394</v>
      </c>
      <c r="C80">
        <v>154</v>
      </c>
      <c r="D80">
        <v>21.2</v>
      </c>
      <c r="E80">
        <v>297.10000000000002</v>
      </c>
      <c r="F80">
        <v>359.1</v>
      </c>
      <c r="G80" s="14">
        <f t="shared" si="21"/>
        <v>451.1</v>
      </c>
      <c r="H80" s="2">
        <f t="shared" si="21"/>
        <v>380.3</v>
      </c>
      <c r="I80" s="48">
        <f t="shared" ref="I80:I85" si="22">+(G80/H80-1)*100</f>
        <v>18.616881409413622</v>
      </c>
    </row>
    <row r="81" spans="1:9" x14ac:dyDescent="0.25">
      <c r="A81" s="35">
        <f t="shared" si="1"/>
        <v>39401</v>
      </c>
      <c r="C81">
        <v>152.5</v>
      </c>
      <c r="D81">
        <v>26.8</v>
      </c>
      <c r="E81">
        <v>314</v>
      </c>
      <c r="F81">
        <v>361.5</v>
      </c>
      <c r="G81" s="14">
        <f t="shared" ref="G81:H83" si="23">+C81+E81</f>
        <v>466.5</v>
      </c>
      <c r="H81" s="2">
        <f t="shared" si="23"/>
        <v>388.3</v>
      </c>
      <c r="I81" s="48">
        <f t="shared" si="22"/>
        <v>20.139067731135718</v>
      </c>
    </row>
    <row r="82" spans="1:9" x14ac:dyDescent="0.25">
      <c r="A82" s="35">
        <f t="shared" si="1"/>
        <v>39408</v>
      </c>
      <c r="C82">
        <v>155.1</v>
      </c>
      <c r="D82">
        <v>86</v>
      </c>
      <c r="E82">
        <v>325.10000000000002</v>
      </c>
      <c r="F82">
        <v>362.3</v>
      </c>
      <c r="G82" s="14">
        <f t="shared" si="23"/>
        <v>480.20000000000005</v>
      </c>
      <c r="H82" s="2">
        <f t="shared" si="23"/>
        <v>448.3</v>
      </c>
      <c r="I82" s="48">
        <f t="shared" si="22"/>
        <v>7.1157706892705841</v>
      </c>
    </row>
    <row r="83" spans="1:9" x14ac:dyDescent="0.25">
      <c r="A83" s="35">
        <f t="shared" si="1"/>
        <v>39415</v>
      </c>
      <c r="C83">
        <v>186.4</v>
      </c>
      <c r="D83">
        <v>90.4</v>
      </c>
      <c r="E83">
        <v>331.8</v>
      </c>
      <c r="F83">
        <v>388.1</v>
      </c>
      <c r="G83" s="14">
        <f t="shared" si="23"/>
        <v>518.20000000000005</v>
      </c>
      <c r="H83" s="2">
        <f t="shared" si="23"/>
        <v>478.5</v>
      </c>
      <c r="I83" s="48">
        <f t="shared" si="22"/>
        <v>8.2967607105538299</v>
      </c>
    </row>
    <row r="84" spans="1:9" x14ac:dyDescent="0.25">
      <c r="A84" s="35">
        <f t="shared" si="1"/>
        <v>39422</v>
      </c>
      <c r="C84">
        <v>165.7</v>
      </c>
      <c r="D84">
        <v>102.4</v>
      </c>
      <c r="E84">
        <v>351.3</v>
      </c>
      <c r="F84">
        <v>458.4</v>
      </c>
      <c r="G84" s="14">
        <f t="shared" ref="G84:H86" si="24">+C84+E84</f>
        <v>517</v>
      </c>
      <c r="H84" s="2">
        <f t="shared" si="24"/>
        <v>560.79999999999995</v>
      </c>
      <c r="I84" s="48">
        <f t="shared" si="22"/>
        <v>-7.8102710413694654</v>
      </c>
    </row>
    <row r="85" spans="1:9" x14ac:dyDescent="0.25">
      <c r="A85" s="35">
        <f t="shared" si="1"/>
        <v>39429</v>
      </c>
      <c r="C85">
        <v>213.7</v>
      </c>
      <c r="D85">
        <v>103</v>
      </c>
      <c r="E85">
        <v>360.4</v>
      </c>
      <c r="F85">
        <v>460.8</v>
      </c>
      <c r="G85" s="14">
        <f t="shared" si="24"/>
        <v>574.09999999999991</v>
      </c>
      <c r="H85" s="2">
        <f t="shared" si="24"/>
        <v>563.79999999999995</v>
      </c>
      <c r="I85" s="48">
        <f t="shared" si="22"/>
        <v>1.8268889677190314</v>
      </c>
    </row>
    <row r="86" spans="1:9" x14ac:dyDescent="0.25">
      <c r="A86" s="35">
        <f t="shared" si="1"/>
        <v>39436</v>
      </c>
      <c r="C86">
        <v>208.4</v>
      </c>
      <c r="D86">
        <v>92.9</v>
      </c>
      <c r="E86">
        <v>374.8</v>
      </c>
      <c r="F86">
        <v>466.6</v>
      </c>
      <c r="G86" s="14">
        <f t="shared" si="24"/>
        <v>583.20000000000005</v>
      </c>
      <c r="H86" s="2">
        <f t="shared" si="24"/>
        <v>559.5</v>
      </c>
      <c r="I86" s="48">
        <f t="shared" ref="I86:I91" si="25">+(G86/H86-1)*100</f>
        <v>4.2359249329758875</v>
      </c>
    </row>
    <row r="87" spans="1:9" x14ac:dyDescent="0.25">
      <c r="A87" s="35">
        <f t="shared" si="1"/>
        <v>39443</v>
      </c>
      <c r="C87">
        <v>196.1</v>
      </c>
      <c r="D87">
        <v>90.4</v>
      </c>
      <c r="E87">
        <v>388.5</v>
      </c>
      <c r="F87">
        <v>469.1</v>
      </c>
      <c r="G87" s="14">
        <f t="shared" ref="G87:H89" si="26">+C87+E87</f>
        <v>584.6</v>
      </c>
      <c r="H87" s="2">
        <f t="shared" si="26"/>
        <v>559.5</v>
      </c>
      <c r="I87" s="48">
        <f t="shared" si="25"/>
        <v>4.4861483467381724</v>
      </c>
    </row>
    <row r="88" spans="1:9" x14ac:dyDescent="0.25">
      <c r="A88" s="35">
        <f t="shared" si="1"/>
        <v>39450</v>
      </c>
      <c r="C88">
        <v>180.3</v>
      </c>
      <c r="D88">
        <v>146.69999999999999</v>
      </c>
      <c r="E88">
        <v>403.9</v>
      </c>
      <c r="F88">
        <v>472.8</v>
      </c>
      <c r="G88" s="14">
        <f t="shared" si="26"/>
        <v>584.20000000000005</v>
      </c>
      <c r="H88" s="2">
        <f t="shared" si="26"/>
        <v>619.5</v>
      </c>
      <c r="I88" s="48">
        <f t="shared" si="25"/>
        <v>-5.6981436642453476</v>
      </c>
    </row>
    <row r="89" spans="1:9" x14ac:dyDescent="0.25">
      <c r="A89" s="35">
        <f t="shared" si="1"/>
        <v>39457</v>
      </c>
      <c r="C89">
        <v>232.1</v>
      </c>
      <c r="D89">
        <v>241.6</v>
      </c>
      <c r="E89">
        <v>420.1</v>
      </c>
      <c r="F89">
        <v>475.1</v>
      </c>
      <c r="G89" s="14">
        <f t="shared" si="26"/>
        <v>652.20000000000005</v>
      </c>
      <c r="H89" s="2">
        <f t="shared" si="26"/>
        <v>716.7</v>
      </c>
      <c r="I89" s="48">
        <f t="shared" si="25"/>
        <v>-8.9995814148179143</v>
      </c>
    </row>
    <row r="90" spans="1:9" x14ac:dyDescent="0.25">
      <c r="A90" s="35">
        <f t="shared" si="1"/>
        <v>39464</v>
      </c>
      <c r="C90">
        <v>211.7</v>
      </c>
      <c r="D90">
        <v>249.9</v>
      </c>
      <c r="E90">
        <v>445.5</v>
      </c>
      <c r="F90">
        <v>540.6</v>
      </c>
      <c r="G90" s="14">
        <f t="shared" ref="G90:H92" si="27">+C90+E90</f>
        <v>657.2</v>
      </c>
      <c r="H90" s="2">
        <f t="shared" si="27"/>
        <v>790.5</v>
      </c>
      <c r="I90" s="48">
        <f t="shared" si="25"/>
        <v>-16.862745098039213</v>
      </c>
    </row>
    <row r="91" spans="1:9" x14ac:dyDescent="0.25">
      <c r="A91" s="35">
        <f t="shared" si="1"/>
        <v>39471</v>
      </c>
      <c r="C91">
        <v>229.2</v>
      </c>
      <c r="D91">
        <v>243.9</v>
      </c>
      <c r="E91">
        <v>460</v>
      </c>
      <c r="F91">
        <v>546.70000000000005</v>
      </c>
      <c r="G91" s="14">
        <f t="shared" si="27"/>
        <v>689.2</v>
      </c>
      <c r="H91" s="2">
        <f t="shared" si="27"/>
        <v>790.6</v>
      </c>
      <c r="I91" s="48">
        <f t="shared" si="25"/>
        <v>-12.825701998482163</v>
      </c>
    </row>
    <row r="92" spans="1:9" x14ac:dyDescent="0.25">
      <c r="A92" s="35">
        <f t="shared" si="1"/>
        <v>39478</v>
      </c>
      <c r="C92">
        <v>251.1</v>
      </c>
      <c r="D92">
        <v>184.5</v>
      </c>
      <c r="E92">
        <v>468.2</v>
      </c>
      <c r="F92">
        <v>614.6</v>
      </c>
      <c r="G92" s="14">
        <f t="shared" si="27"/>
        <v>719.3</v>
      </c>
      <c r="H92" s="2">
        <f t="shared" si="27"/>
        <v>799.1</v>
      </c>
      <c r="I92" s="48">
        <f t="shared" ref="I92:I97" si="28">+(G92/H92-1)*100</f>
        <v>-9.9862345138280624</v>
      </c>
    </row>
    <row r="93" spans="1:9" x14ac:dyDescent="0.25">
      <c r="A93" s="35">
        <f t="shared" si="1"/>
        <v>39485</v>
      </c>
      <c r="C93">
        <v>239</v>
      </c>
      <c r="D93">
        <v>185.1</v>
      </c>
      <c r="E93">
        <v>481.2</v>
      </c>
      <c r="F93">
        <v>621.9</v>
      </c>
      <c r="G93" s="14">
        <f t="shared" ref="G93:H95" si="29">+C93+E93</f>
        <v>720.2</v>
      </c>
      <c r="H93" s="2">
        <f t="shared" si="29"/>
        <v>807</v>
      </c>
      <c r="I93" s="48">
        <f t="shared" si="28"/>
        <v>-10.755885997521675</v>
      </c>
    </row>
    <row r="94" spans="1:9" x14ac:dyDescent="0.25">
      <c r="A94" s="35">
        <f t="shared" si="1"/>
        <v>39492</v>
      </c>
      <c r="C94">
        <v>233</v>
      </c>
      <c r="D94">
        <v>312.10000000000002</v>
      </c>
      <c r="E94">
        <v>494</v>
      </c>
      <c r="F94">
        <v>623.9</v>
      </c>
      <c r="G94" s="14">
        <f t="shared" si="29"/>
        <v>727</v>
      </c>
      <c r="H94" s="2">
        <f t="shared" si="29"/>
        <v>936</v>
      </c>
      <c r="I94" s="48">
        <f t="shared" si="28"/>
        <v>-22.329059829059826</v>
      </c>
    </row>
    <row r="95" spans="1:9" x14ac:dyDescent="0.25">
      <c r="A95" s="35">
        <f t="shared" si="1"/>
        <v>39499</v>
      </c>
      <c r="C95">
        <v>272.8</v>
      </c>
      <c r="D95">
        <v>309.89999999999998</v>
      </c>
      <c r="E95">
        <v>500.3</v>
      </c>
      <c r="F95">
        <v>626.1</v>
      </c>
      <c r="G95" s="14">
        <f t="shared" si="29"/>
        <v>773.1</v>
      </c>
      <c r="H95" s="2">
        <f t="shared" si="29"/>
        <v>936</v>
      </c>
      <c r="I95" s="48">
        <f t="shared" si="28"/>
        <v>-17.403846153846146</v>
      </c>
    </row>
    <row r="96" spans="1:9" x14ac:dyDescent="0.25">
      <c r="A96" s="35">
        <f t="shared" si="1"/>
        <v>39506</v>
      </c>
      <c r="C96">
        <v>260.2</v>
      </c>
      <c r="D96">
        <v>337.9</v>
      </c>
      <c r="E96">
        <v>512.6</v>
      </c>
      <c r="F96">
        <v>682.2</v>
      </c>
      <c r="G96" s="14">
        <f t="shared" ref="G96:H98" si="30">+C96+E96</f>
        <v>772.8</v>
      </c>
      <c r="H96" s="2">
        <f t="shared" si="30"/>
        <v>1020.1</v>
      </c>
      <c r="I96" s="48">
        <f t="shared" si="28"/>
        <v>-24.242721301833157</v>
      </c>
    </row>
    <row r="97" spans="1:10" x14ac:dyDescent="0.25">
      <c r="A97" s="35">
        <f t="shared" si="1"/>
        <v>39513</v>
      </c>
      <c r="C97">
        <v>204.7</v>
      </c>
      <c r="D97">
        <v>328.3</v>
      </c>
      <c r="E97">
        <v>572.20000000000005</v>
      </c>
      <c r="F97">
        <v>691.8</v>
      </c>
      <c r="G97" s="14">
        <f t="shared" si="30"/>
        <v>776.90000000000009</v>
      </c>
      <c r="H97" s="2">
        <f t="shared" si="30"/>
        <v>1020.0999999999999</v>
      </c>
      <c r="I97" s="48">
        <f t="shared" si="28"/>
        <v>-23.840799921576306</v>
      </c>
    </row>
    <row r="98" spans="1:10" x14ac:dyDescent="0.25">
      <c r="A98" s="35">
        <f t="shared" si="1"/>
        <v>39520</v>
      </c>
      <c r="C98">
        <v>202.3</v>
      </c>
      <c r="D98">
        <v>317.3</v>
      </c>
      <c r="E98">
        <v>582</v>
      </c>
      <c r="F98">
        <v>702.9</v>
      </c>
      <c r="G98" s="14">
        <f t="shared" si="30"/>
        <v>784.3</v>
      </c>
      <c r="H98" s="2">
        <f t="shared" si="30"/>
        <v>1020.2</v>
      </c>
      <c r="I98" s="48">
        <f t="shared" ref="I98:I103" si="31">+(G98/H98-1)*100</f>
        <v>-23.122917075083325</v>
      </c>
    </row>
    <row r="99" spans="1:10" x14ac:dyDescent="0.25">
      <c r="A99" s="35">
        <f t="shared" si="1"/>
        <v>39527</v>
      </c>
      <c r="C99">
        <v>193.6</v>
      </c>
      <c r="D99">
        <v>279</v>
      </c>
      <c r="E99">
        <v>592.79999999999995</v>
      </c>
      <c r="F99">
        <v>820.3</v>
      </c>
      <c r="G99" s="14">
        <f t="shared" ref="G99:H101" si="32">+C99+E99</f>
        <v>786.4</v>
      </c>
      <c r="H99" s="2">
        <f t="shared" si="32"/>
        <v>1099.3</v>
      </c>
      <c r="I99" s="48">
        <f t="shared" si="31"/>
        <v>-28.463567724915851</v>
      </c>
    </row>
    <row r="100" spans="1:10" x14ac:dyDescent="0.25">
      <c r="A100" s="35">
        <f t="shared" si="1"/>
        <v>39534</v>
      </c>
      <c r="C100">
        <v>139.1</v>
      </c>
      <c r="D100">
        <v>318.3</v>
      </c>
      <c r="E100">
        <v>668.6</v>
      </c>
      <c r="F100">
        <v>824.9</v>
      </c>
      <c r="G100" s="14">
        <f t="shared" si="32"/>
        <v>807.7</v>
      </c>
      <c r="H100" s="2">
        <f t="shared" si="32"/>
        <v>1143.2</v>
      </c>
      <c r="I100" s="48">
        <f t="shared" si="31"/>
        <v>-29.34744576627012</v>
      </c>
    </row>
    <row r="101" spans="1:10" x14ac:dyDescent="0.25">
      <c r="A101" s="35">
        <f t="shared" si="1"/>
        <v>39541</v>
      </c>
      <c r="C101">
        <v>119.8</v>
      </c>
      <c r="D101">
        <v>318</v>
      </c>
      <c r="E101">
        <v>693.5</v>
      </c>
      <c r="F101">
        <v>834.2</v>
      </c>
      <c r="G101" s="14">
        <f t="shared" si="32"/>
        <v>813.3</v>
      </c>
      <c r="H101" s="2">
        <f t="shared" si="32"/>
        <v>1152.2</v>
      </c>
      <c r="I101" s="48">
        <f t="shared" si="31"/>
        <v>-29.413296302725222</v>
      </c>
    </row>
    <row r="102" spans="1:10" x14ac:dyDescent="0.25">
      <c r="A102" s="35">
        <f t="shared" si="1"/>
        <v>39548</v>
      </c>
      <c r="C102">
        <v>117.2</v>
      </c>
      <c r="D102">
        <v>256.89999999999998</v>
      </c>
      <c r="E102">
        <v>711.6</v>
      </c>
      <c r="F102">
        <v>901.7</v>
      </c>
      <c r="G102" s="14">
        <f t="shared" ref="G102:H104" si="33">+C102+E102</f>
        <v>828.80000000000007</v>
      </c>
      <c r="H102" s="2">
        <f t="shared" si="33"/>
        <v>1158.5999999999999</v>
      </c>
      <c r="I102" s="48">
        <f t="shared" si="31"/>
        <v>-28.465389262903496</v>
      </c>
    </row>
    <row r="103" spans="1:10" x14ac:dyDescent="0.25">
      <c r="A103" s="35">
        <f t="shared" si="1"/>
        <v>39555</v>
      </c>
      <c r="C103">
        <v>161.69999999999999</v>
      </c>
      <c r="D103">
        <v>238.6</v>
      </c>
      <c r="E103">
        <v>802.2</v>
      </c>
      <c r="F103">
        <v>1003.8</v>
      </c>
      <c r="G103" s="14">
        <f t="shared" si="33"/>
        <v>963.90000000000009</v>
      </c>
      <c r="H103" s="2">
        <f t="shared" si="33"/>
        <v>1242.3999999999999</v>
      </c>
      <c r="I103" s="48">
        <f t="shared" si="31"/>
        <v>-22.416291049581439</v>
      </c>
    </row>
    <row r="104" spans="1:10" x14ac:dyDescent="0.25">
      <c r="A104" s="35">
        <f t="shared" si="1"/>
        <v>39562</v>
      </c>
      <c r="C104">
        <v>144.80000000000001</v>
      </c>
      <c r="D104">
        <v>207.3</v>
      </c>
      <c r="E104">
        <v>823.2</v>
      </c>
      <c r="F104">
        <v>1073.0999999999999</v>
      </c>
      <c r="G104" s="14">
        <f t="shared" si="33"/>
        <v>968</v>
      </c>
      <c r="H104" s="2">
        <f t="shared" si="33"/>
        <v>1280.3999999999999</v>
      </c>
      <c r="I104" s="48">
        <f t="shared" ref="I104:I109" si="34">+(G104/H104-1)*100</f>
        <v>-24.398625429553256</v>
      </c>
    </row>
    <row r="105" spans="1:10" x14ac:dyDescent="0.25">
      <c r="A105" s="35">
        <f t="shared" si="1"/>
        <v>39569</v>
      </c>
      <c r="C105">
        <v>130.6</v>
      </c>
      <c r="D105">
        <v>205.6</v>
      </c>
      <c r="E105">
        <v>842.1</v>
      </c>
      <c r="F105">
        <v>1095.8</v>
      </c>
      <c r="G105" s="14">
        <f t="shared" ref="G105:H107" si="35">+C105+E105</f>
        <v>972.7</v>
      </c>
      <c r="H105" s="2">
        <f t="shared" si="35"/>
        <v>1301.3999999999999</v>
      </c>
      <c r="I105" s="48">
        <f t="shared" si="34"/>
        <v>-25.257415091439974</v>
      </c>
      <c r="J105">
        <v>0</v>
      </c>
    </row>
    <row r="106" spans="1:10" x14ac:dyDescent="0.25">
      <c r="A106" s="35">
        <f t="shared" si="1"/>
        <v>39576</v>
      </c>
      <c r="C106">
        <v>165.6</v>
      </c>
      <c r="D106">
        <v>192.3</v>
      </c>
      <c r="E106">
        <v>857.1</v>
      </c>
      <c r="F106">
        <v>1109.0999999999999</v>
      </c>
      <c r="G106" s="14">
        <f t="shared" si="35"/>
        <v>1022.7</v>
      </c>
      <c r="H106" s="2">
        <f t="shared" si="35"/>
        <v>1301.3999999999999</v>
      </c>
      <c r="I106" s="48">
        <f t="shared" si="34"/>
        <v>-21.415398801290909</v>
      </c>
      <c r="J106">
        <v>0</v>
      </c>
    </row>
    <row r="107" spans="1:10" x14ac:dyDescent="0.25">
      <c r="A107" s="35">
        <f t="shared" si="1"/>
        <v>39583</v>
      </c>
      <c r="C107">
        <v>166.8</v>
      </c>
      <c r="D107">
        <v>177.2</v>
      </c>
      <c r="E107">
        <v>867.8</v>
      </c>
      <c r="F107">
        <v>1124.2</v>
      </c>
      <c r="G107" s="14">
        <f t="shared" si="35"/>
        <v>1034.5999999999999</v>
      </c>
      <c r="H107" s="2">
        <f t="shared" si="35"/>
        <v>1301.4000000000001</v>
      </c>
      <c r="I107" s="48">
        <f t="shared" si="34"/>
        <v>-20.500998924235446</v>
      </c>
      <c r="J107">
        <v>0</v>
      </c>
    </row>
    <row r="108" spans="1:10" x14ac:dyDescent="0.25">
      <c r="A108" s="35">
        <f t="shared" si="1"/>
        <v>39590</v>
      </c>
      <c r="C108">
        <v>161.1</v>
      </c>
      <c r="D108">
        <v>233.4</v>
      </c>
      <c r="E108">
        <v>879.8</v>
      </c>
      <c r="F108">
        <v>1137.9000000000001</v>
      </c>
      <c r="G108" s="14">
        <f t="shared" ref="G108:H110" si="36">+C108+E108</f>
        <v>1040.8999999999999</v>
      </c>
      <c r="H108" s="2">
        <f t="shared" si="36"/>
        <v>1371.3000000000002</v>
      </c>
      <c r="I108" s="48">
        <f t="shared" si="34"/>
        <v>-24.093925472179698</v>
      </c>
      <c r="J108">
        <v>60</v>
      </c>
    </row>
    <row r="109" spans="1:10" x14ac:dyDescent="0.25">
      <c r="A109" s="35">
        <f t="shared" si="1"/>
        <v>39597</v>
      </c>
      <c r="C109">
        <v>158.19999999999999</v>
      </c>
      <c r="D109">
        <v>246.9</v>
      </c>
      <c r="E109">
        <v>885.1</v>
      </c>
      <c r="F109">
        <v>1145.3</v>
      </c>
      <c r="G109" s="14">
        <f t="shared" si="36"/>
        <v>1043.3</v>
      </c>
      <c r="H109" s="2">
        <f t="shared" si="36"/>
        <v>1392.2</v>
      </c>
      <c r="I109" s="48">
        <f t="shared" si="34"/>
        <v>-25.061054446200259</v>
      </c>
      <c r="J109">
        <v>60</v>
      </c>
    </row>
    <row r="110" spans="1:10" x14ac:dyDescent="0.25">
      <c r="A110" s="35">
        <f t="shared" si="1"/>
        <v>39604</v>
      </c>
      <c r="C110">
        <v>100.8</v>
      </c>
      <c r="D110">
        <v>172.4</v>
      </c>
      <c r="E110">
        <v>948.8</v>
      </c>
      <c r="F110">
        <v>1222.9000000000001</v>
      </c>
      <c r="G110" s="14">
        <f t="shared" si="36"/>
        <v>1049.5999999999999</v>
      </c>
      <c r="H110" s="2">
        <f t="shared" si="36"/>
        <v>1395.3000000000002</v>
      </c>
      <c r="I110" s="48">
        <f>+(G110/H110-1)*100</f>
        <v>-24.776033827850664</v>
      </c>
      <c r="J110">
        <v>60</v>
      </c>
    </row>
    <row r="111" spans="1:10" x14ac:dyDescent="0.25">
      <c r="A111" s="35">
        <f t="shared" si="1"/>
        <v>39611</v>
      </c>
      <c r="C111">
        <v>100.8</v>
      </c>
      <c r="D111">
        <v>172.4</v>
      </c>
      <c r="E111">
        <v>948.8</v>
      </c>
      <c r="F111">
        <v>1222.9000000000001</v>
      </c>
      <c r="G111" s="14">
        <f>+C111+E111</f>
        <v>1049.5999999999999</v>
      </c>
      <c r="H111" s="2">
        <f>+D111+F111</f>
        <v>1395.3000000000002</v>
      </c>
      <c r="I111" s="48">
        <f>+(G111/H111-1)*100</f>
        <v>-24.776033827850664</v>
      </c>
      <c r="J111">
        <v>60</v>
      </c>
    </row>
    <row r="112" spans="1:10" x14ac:dyDescent="0.25">
      <c r="A112" s="35">
        <f t="shared" si="1"/>
        <v>39618</v>
      </c>
      <c r="C112">
        <v>76.7</v>
      </c>
      <c r="D112">
        <v>182</v>
      </c>
      <c r="E112">
        <v>985.3</v>
      </c>
      <c r="F112">
        <v>1252</v>
      </c>
      <c r="G112" s="14">
        <f>+C112+E112</f>
        <v>1062</v>
      </c>
      <c r="H112" s="2">
        <f>+D112+F112</f>
        <v>1434</v>
      </c>
      <c r="I112" s="48">
        <f>+(G112/H112-1)*100</f>
        <v>-25.94142259414226</v>
      </c>
      <c r="J112">
        <v>60</v>
      </c>
    </row>
    <row r="113" spans="1:10" x14ac:dyDescent="0.25">
      <c r="A113" s="35">
        <f t="shared" si="1"/>
        <v>39625</v>
      </c>
    </row>
    <row r="114" spans="1:10" x14ac:dyDescent="0.25">
      <c r="A114" s="35">
        <f t="shared" si="1"/>
        <v>39632</v>
      </c>
      <c r="C114">
        <v>68.900000000000006</v>
      </c>
      <c r="D114">
        <v>176.5</v>
      </c>
      <c r="E114">
        <v>994.2</v>
      </c>
      <c r="F114">
        <v>1289.0999999999999</v>
      </c>
      <c r="G114" s="14">
        <f t="shared" ref="G114:H116" si="37">+C114+E114</f>
        <v>1063.1000000000001</v>
      </c>
      <c r="H114" s="2">
        <f t="shared" si="37"/>
        <v>1465.6</v>
      </c>
      <c r="I114" s="48">
        <f t="shared" ref="I114:I119" si="38">+(G114/H114-1)*100</f>
        <v>-27.463155021834051</v>
      </c>
      <c r="J114">
        <v>60</v>
      </c>
    </row>
    <row r="115" spans="1:10" x14ac:dyDescent="0.25">
      <c r="A115" s="35">
        <f t="shared" si="1"/>
        <v>39639</v>
      </c>
      <c r="C115">
        <v>57.7</v>
      </c>
      <c r="D115">
        <v>94</v>
      </c>
      <c r="E115">
        <v>1006.9</v>
      </c>
      <c r="F115">
        <v>1377.5</v>
      </c>
      <c r="G115" s="14">
        <f t="shared" si="37"/>
        <v>1064.5999999999999</v>
      </c>
      <c r="H115" s="2">
        <f t="shared" si="37"/>
        <v>1471.5</v>
      </c>
      <c r="I115" s="48">
        <f t="shared" si="38"/>
        <v>-27.652055725450232</v>
      </c>
      <c r="J115">
        <v>60</v>
      </c>
    </row>
    <row r="116" spans="1:10" x14ac:dyDescent="0.25">
      <c r="A116" s="35">
        <f t="shared" si="1"/>
        <v>39646</v>
      </c>
      <c r="C116">
        <v>54.7</v>
      </c>
      <c r="D116">
        <v>89.1</v>
      </c>
      <c r="E116">
        <v>1013.8</v>
      </c>
      <c r="F116">
        <v>1386.8</v>
      </c>
      <c r="G116" s="14">
        <f t="shared" si="37"/>
        <v>1068.5</v>
      </c>
      <c r="H116" s="2">
        <f t="shared" si="37"/>
        <v>1475.8999999999999</v>
      </c>
      <c r="I116" s="48">
        <f t="shared" si="38"/>
        <v>-27.603496171827359</v>
      </c>
    </row>
    <row r="117" spans="1:10" x14ac:dyDescent="0.25">
      <c r="A117" s="35">
        <f t="shared" si="1"/>
        <v>39653</v>
      </c>
      <c r="C117">
        <v>52.4</v>
      </c>
      <c r="D117">
        <v>100.1</v>
      </c>
      <c r="E117">
        <v>1024.8</v>
      </c>
      <c r="F117">
        <v>1395.9</v>
      </c>
      <c r="G117" s="14">
        <f t="shared" ref="G117:H119" si="39">+C117+E117</f>
        <v>1077.2</v>
      </c>
      <c r="H117" s="2">
        <f t="shared" si="39"/>
        <v>1496</v>
      </c>
      <c r="I117" s="48">
        <f t="shared" si="38"/>
        <v>-27.99465240641711</v>
      </c>
    </row>
    <row r="118" spans="1:10" x14ac:dyDescent="0.25">
      <c r="A118" s="35">
        <f t="shared" si="1"/>
        <v>39660</v>
      </c>
      <c r="C118">
        <v>52.2</v>
      </c>
      <c r="D118">
        <v>84.6</v>
      </c>
      <c r="E118">
        <v>1034.9000000000001</v>
      </c>
      <c r="F118">
        <v>1411.4</v>
      </c>
      <c r="G118" s="14">
        <f t="shared" si="39"/>
        <v>1087.1000000000001</v>
      </c>
      <c r="H118" s="2">
        <f t="shared" si="39"/>
        <v>1496</v>
      </c>
      <c r="I118" s="48">
        <f t="shared" si="38"/>
        <v>-27.332887700534748</v>
      </c>
      <c r="J118">
        <v>81</v>
      </c>
    </row>
    <row r="119" spans="1:10" x14ac:dyDescent="0.25">
      <c r="A119" s="35">
        <f t="shared" si="1"/>
        <v>39667</v>
      </c>
      <c r="C119">
        <v>45.9</v>
      </c>
      <c r="D119">
        <v>74</v>
      </c>
      <c r="E119">
        <v>1043.2</v>
      </c>
      <c r="F119">
        <v>1423.7</v>
      </c>
      <c r="G119" s="14">
        <f t="shared" si="39"/>
        <v>1089.1000000000001</v>
      </c>
      <c r="H119" s="2">
        <f t="shared" si="39"/>
        <v>1497.7</v>
      </c>
      <c r="I119" s="48">
        <f t="shared" si="38"/>
        <v>-27.281832142618679</v>
      </c>
      <c r="J119">
        <v>84.3</v>
      </c>
    </row>
    <row r="120" spans="1:10" x14ac:dyDescent="0.25">
      <c r="A120" s="35">
        <f t="shared" si="1"/>
        <v>39674</v>
      </c>
      <c r="C120">
        <v>40.6</v>
      </c>
      <c r="D120">
        <v>90.7</v>
      </c>
      <c r="E120">
        <v>1050.5999999999999</v>
      </c>
      <c r="F120">
        <v>1437.7</v>
      </c>
      <c r="G120" s="14">
        <f t="shared" ref="G120:H122" si="40">+C120+E120</f>
        <v>1091.1999999999998</v>
      </c>
      <c r="H120" s="2">
        <f t="shared" si="40"/>
        <v>1528.4</v>
      </c>
      <c r="I120" s="48">
        <f t="shared" ref="I120:I125" si="41">+(G120/H120-1)*100</f>
        <v>-28.605077204920192</v>
      </c>
      <c r="J120">
        <v>85</v>
      </c>
    </row>
    <row r="121" spans="1:10" x14ac:dyDescent="0.25">
      <c r="A121" s="35">
        <f t="shared" si="1"/>
        <v>39681</v>
      </c>
      <c r="C121">
        <v>40.799999999999997</v>
      </c>
      <c r="D121">
        <v>79.7</v>
      </c>
      <c r="E121">
        <v>1057.8</v>
      </c>
      <c r="F121">
        <v>1444.4</v>
      </c>
      <c r="G121" s="14">
        <f t="shared" si="40"/>
        <v>1098.5999999999999</v>
      </c>
      <c r="H121" s="2">
        <f t="shared" si="40"/>
        <v>1524.1000000000001</v>
      </c>
      <c r="I121" s="48">
        <f t="shared" si="41"/>
        <v>-27.918115609212002</v>
      </c>
      <c r="J121">
        <v>85.5</v>
      </c>
    </row>
    <row r="122" spans="1:10" x14ac:dyDescent="0.25">
      <c r="A122" s="35">
        <f t="shared" si="1"/>
        <v>39688</v>
      </c>
      <c r="C122">
        <v>33.6</v>
      </c>
      <c r="D122">
        <v>78</v>
      </c>
      <c r="E122">
        <v>1065.3</v>
      </c>
      <c r="F122">
        <v>1450.9</v>
      </c>
      <c r="G122" s="14">
        <f t="shared" si="40"/>
        <v>1098.8999999999999</v>
      </c>
      <c r="H122" s="2">
        <f t="shared" si="40"/>
        <v>1528.9</v>
      </c>
      <c r="I122" s="48">
        <f t="shared" si="41"/>
        <v>-28.124795604683118</v>
      </c>
      <c r="J122">
        <v>90.8</v>
      </c>
    </row>
    <row r="123" spans="1:10" x14ac:dyDescent="0.25">
      <c r="A123" s="35">
        <f t="shared" si="1"/>
        <v>39695</v>
      </c>
      <c r="C123">
        <v>128.5</v>
      </c>
      <c r="D123">
        <v>183.1</v>
      </c>
      <c r="E123">
        <v>2.6</v>
      </c>
      <c r="F123">
        <v>0</v>
      </c>
      <c r="G123" s="14">
        <f t="shared" ref="G123:H125" si="42">+C123+E123</f>
        <v>131.1</v>
      </c>
      <c r="H123" s="2">
        <f t="shared" si="42"/>
        <v>183.1</v>
      </c>
      <c r="I123" s="48">
        <f t="shared" si="41"/>
        <v>-28.399781540142001</v>
      </c>
    </row>
    <row r="124" spans="1:10" x14ac:dyDescent="0.25">
      <c r="A124" s="35">
        <f t="shared" si="1"/>
        <v>39702</v>
      </c>
      <c r="C124">
        <v>184.6</v>
      </c>
      <c r="D124">
        <v>182.4</v>
      </c>
      <c r="E124">
        <v>11.1</v>
      </c>
      <c r="F124">
        <v>1.4</v>
      </c>
      <c r="G124" s="14">
        <f t="shared" si="42"/>
        <v>195.7</v>
      </c>
      <c r="H124" s="2">
        <f t="shared" si="42"/>
        <v>183.8</v>
      </c>
      <c r="I124" s="48">
        <f t="shared" si="41"/>
        <v>6.474428726877024</v>
      </c>
    </row>
    <row r="125" spans="1:10" x14ac:dyDescent="0.25">
      <c r="A125" s="35">
        <f t="shared" si="1"/>
        <v>39709</v>
      </c>
      <c r="C125">
        <v>208.4</v>
      </c>
      <c r="D125">
        <v>214.9</v>
      </c>
      <c r="E125">
        <v>17.399999999999999</v>
      </c>
      <c r="F125">
        <v>7.1</v>
      </c>
      <c r="G125" s="14">
        <f t="shared" si="42"/>
        <v>225.8</v>
      </c>
      <c r="H125" s="2">
        <f t="shared" si="42"/>
        <v>222</v>
      </c>
      <c r="I125" s="48">
        <f t="shared" si="41"/>
        <v>1.7117117117117164</v>
      </c>
    </row>
    <row r="126" spans="1:10" x14ac:dyDescent="0.25">
      <c r="A126" s="35">
        <f t="shared" si="1"/>
        <v>39716</v>
      </c>
      <c r="C126">
        <v>209.9</v>
      </c>
      <c r="D126">
        <v>267.2</v>
      </c>
      <c r="E126">
        <v>25</v>
      </c>
      <c r="F126">
        <v>10.8</v>
      </c>
      <c r="G126" s="14">
        <f t="shared" ref="G126:H128" si="43">+C126+E126</f>
        <v>234.9</v>
      </c>
      <c r="H126" s="2">
        <f t="shared" si="43"/>
        <v>278</v>
      </c>
      <c r="I126" s="48">
        <f t="shared" ref="I126:I131" si="44">+(G126/H126-1)*100</f>
        <v>-15.50359712230216</v>
      </c>
    </row>
    <row r="127" spans="1:10" x14ac:dyDescent="0.25">
      <c r="A127" s="35">
        <f t="shared" si="1"/>
        <v>39723</v>
      </c>
      <c r="C127">
        <v>201.9</v>
      </c>
      <c r="D127">
        <v>312.5</v>
      </c>
      <c r="E127">
        <v>37.9</v>
      </c>
      <c r="F127">
        <v>23.8</v>
      </c>
      <c r="G127" s="14">
        <f t="shared" si="43"/>
        <v>239.8</v>
      </c>
      <c r="H127" s="2">
        <f t="shared" si="43"/>
        <v>336.3</v>
      </c>
      <c r="I127" s="48">
        <f t="shared" si="44"/>
        <v>-28.694617900683916</v>
      </c>
    </row>
    <row r="128" spans="1:10" x14ac:dyDescent="0.25">
      <c r="A128" s="35">
        <f t="shared" si="1"/>
        <v>39730</v>
      </c>
      <c r="C128">
        <v>252.8</v>
      </c>
      <c r="D128">
        <v>308.5</v>
      </c>
      <c r="E128">
        <v>43.1</v>
      </c>
      <c r="F128">
        <v>35.799999999999997</v>
      </c>
      <c r="G128" s="14">
        <f t="shared" si="43"/>
        <v>295.90000000000003</v>
      </c>
      <c r="H128" s="2">
        <f t="shared" si="43"/>
        <v>344.3</v>
      </c>
      <c r="I128" s="48">
        <f t="shared" si="44"/>
        <v>-14.057507987220442</v>
      </c>
    </row>
    <row r="129" spans="1:9" x14ac:dyDescent="0.25">
      <c r="A129" s="35">
        <f t="shared" si="1"/>
        <v>39737</v>
      </c>
      <c r="C129">
        <v>180.9</v>
      </c>
      <c r="D129">
        <v>291.89999999999998</v>
      </c>
      <c r="E129">
        <v>116.2</v>
      </c>
      <c r="F129">
        <v>127</v>
      </c>
      <c r="G129" s="14">
        <f t="shared" ref="G129:H131" si="45">+C129+E129</f>
        <v>297.10000000000002</v>
      </c>
      <c r="H129" s="2">
        <f t="shared" si="45"/>
        <v>418.9</v>
      </c>
      <c r="I129" s="48">
        <f t="shared" si="44"/>
        <v>-29.076151826211493</v>
      </c>
    </row>
    <row r="130" spans="1:9" x14ac:dyDescent="0.25">
      <c r="A130" s="35">
        <f t="shared" si="1"/>
        <v>39744</v>
      </c>
      <c r="C130">
        <v>171.8</v>
      </c>
      <c r="D130">
        <v>171.4</v>
      </c>
      <c r="E130">
        <v>126.3</v>
      </c>
      <c r="F130">
        <v>253.8</v>
      </c>
      <c r="G130" s="14">
        <f t="shared" si="45"/>
        <v>298.10000000000002</v>
      </c>
      <c r="H130" s="2">
        <f t="shared" si="45"/>
        <v>425.20000000000005</v>
      </c>
      <c r="I130" s="48">
        <f t="shared" si="44"/>
        <v>-29.891815616180629</v>
      </c>
    </row>
    <row r="131" spans="1:9" x14ac:dyDescent="0.25">
      <c r="A131" s="35">
        <f t="shared" si="1"/>
        <v>39751</v>
      </c>
      <c r="C131">
        <v>108.9</v>
      </c>
      <c r="D131">
        <v>173.3</v>
      </c>
      <c r="E131">
        <v>199.8</v>
      </c>
      <c r="F131">
        <v>267</v>
      </c>
      <c r="G131" s="14">
        <f t="shared" si="45"/>
        <v>308.70000000000005</v>
      </c>
      <c r="H131" s="2">
        <f t="shared" si="45"/>
        <v>440.3</v>
      </c>
      <c r="I131" s="48">
        <f t="shared" si="44"/>
        <v>-29.888712241653415</v>
      </c>
    </row>
    <row r="132" spans="1:9" x14ac:dyDescent="0.25">
      <c r="A132" s="35">
        <f t="shared" si="1"/>
        <v>39758</v>
      </c>
      <c r="C132">
        <v>43</v>
      </c>
      <c r="D132">
        <v>154</v>
      </c>
      <c r="E132">
        <v>275.89999999999998</v>
      </c>
      <c r="F132">
        <v>297.10000000000002</v>
      </c>
      <c r="G132" s="14">
        <f t="shared" ref="G132:H134" si="46">+C132+E132</f>
        <v>318.89999999999998</v>
      </c>
      <c r="H132" s="2">
        <f t="shared" si="46"/>
        <v>451.1</v>
      </c>
      <c r="I132" s="48">
        <f t="shared" ref="I132:I137" si="47">+(G132/H132-1)*100</f>
        <v>-29.306140545333637</v>
      </c>
    </row>
    <row r="133" spans="1:9" x14ac:dyDescent="0.25">
      <c r="A133" s="35">
        <f t="shared" si="1"/>
        <v>39765</v>
      </c>
      <c r="C133">
        <v>28.2</v>
      </c>
      <c r="D133">
        <v>152.5</v>
      </c>
      <c r="E133">
        <v>290.60000000000002</v>
      </c>
      <c r="F133">
        <v>314</v>
      </c>
      <c r="G133" s="14">
        <f t="shared" si="46"/>
        <v>318.8</v>
      </c>
      <c r="H133" s="2">
        <f t="shared" si="46"/>
        <v>466.5</v>
      </c>
      <c r="I133" s="48">
        <f t="shared" si="47"/>
        <v>-31.661307609860668</v>
      </c>
    </row>
    <row r="134" spans="1:9" x14ac:dyDescent="0.25">
      <c r="A134" s="35">
        <f t="shared" si="1"/>
        <v>39772</v>
      </c>
      <c r="C134">
        <v>22.7</v>
      </c>
      <c r="D134">
        <v>155.1</v>
      </c>
      <c r="E134">
        <v>298.39999999999998</v>
      </c>
      <c r="F134">
        <v>325.10000000000002</v>
      </c>
      <c r="G134" s="14">
        <f t="shared" si="46"/>
        <v>321.09999999999997</v>
      </c>
      <c r="H134" s="2">
        <f t="shared" si="46"/>
        <v>480.20000000000005</v>
      </c>
      <c r="I134" s="48">
        <f t="shared" si="47"/>
        <v>-33.132028321532701</v>
      </c>
    </row>
    <row r="135" spans="1:9" x14ac:dyDescent="0.25">
      <c r="A135" s="35">
        <f t="shared" si="1"/>
        <v>39779</v>
      </c>
      <c r="C135">
        <v>14.4</v>
      </c>
      <c r="D135">
        <v>186.4</v>
      </c>
      <c r="E135">
        <v>306.89999999999998</v>
      </c>
      <c r="F135">
        <v>331.8</v>
      </c>
      <c r="G135" s="14">
        <f t="shared" ref="G135:H137" si="48">+C135+E135</f>
        <v>321.29999999999995</v>
      </c>
      <c r="H135" s="2">
        <f t="shared" si="48"/>
        <v>518.20000000000005</v>
      </c>
      <c r="I135" s="48">
        <f t="shared" si="47"/>
        <v>-37.996912389038997</v>
      </c>
    </row>
    <row r="136" spans="1:9" x14ac:dyDescent="0.25">
      <c r="A136" s="35">
        <f t="shared" si="1"/>
        <v>39786</v>
      </c>
      <c r="C136">
        <v>18.100000000000001</v>
      </c>
      <c r="D136">
        <v>165.7</v>
      </c>
      <c r="E136">
        <v>308.5</v>
      </c>
      <c r="F136">
        <v>351.3</v>
      </c>
      <c r="G136" s="14">
        <f t="shared" si="48"/>
        <v>326.60000000000002</v>
      </c>
      <c r="H136" s="2">
        <f t="shared" si="48"/>
        <v>517</v>
      </c>
      <c r="I136" s="48">
        <f t="shared" si="47"/>
        <v>-36.827852998065758</v>
      </c>
    </row>
    <row r="137" spans="1:9" x14ac:dyDescent="0.25">
      <c r="A137" s="35">
        <f t="shared" si="1"/>
        <v>39793</v>
      </c>
      <c r="C137">
        <v>30.9</v>
      </c>
      <c r="D137">
        <v>213.7</v>
      </c>
      <c r="E137">
        <v>311.10000000000002</v>
      </c>
      <c r="F137">
        <v>360.4</v>
      </c>
      <c r="G137" s="14">
        <f t="shared" si="48"/>
        <v>342</v>
      </c>
      <c r="H137" s="2">
        <f t="shared" si="48"/>
        <v>574.09999999999991</v>
      </c>
      <c r="I137" s="48">
        <f t="shared" si="47"/>
        <v>-40.428496777564874</v>
      </c>
    </row>
    <row r="138" spans="1:9" x14ac:dyDescent="0.25">
      <c r="A138" s="35">
        <f t="shared" si="1"/>
        <v>39800</v>
      </c>
      <c r="C138">
        <v>144</v>
      </c>
      <c r="D138">
        <v>208.4</v>
      </c>
      <c r="E138">
        <v>312.60000000000002</v>
      </c>
      <c r="F138">
        <v>374.8</v>
      </c>
      <c r="G138" s="14">
        <f t="shared" ref="G138:H140" si="49">+C138+E138</f>
        <v>456.6</v>
      </c>
      <c r="H138" s="2">
        <f t="shared" si="49"/>
        <v>583.20000000000005</v>
      </c>
      <c r="I138" s="48">
        <f t="shared" ref="I138:I143" si="50">+(G138/H138-1)*100</f>
        <v>-21.707818930041157</v>
      </c>
    </row>
    <row r="139" spans="1:9" x14ac:dyDescent="0.25">
      <c r="A139" s="35">
        <f t="shared" si="1"/>
        <v>39807</v>
      </c>
      <c r="C139">
        <v>142.30000000000001</v>
      </c>
      <c r="D139">
        <v>196.1</v>
      </c>
      <c r="E139">
        <v>384.4</v>
      </c>
      <c r="F139">
        <v>388.5</v>
      </c>
      <c r="G139" s="14">
        <f t="shared" si="49"/>
        <v>526.70000000000005</v>
      </c>
      <c r="H139" s="2">
        <f t="shared" si="49"/>
        <v>584.6</v>
      </c>
      <c r="I139" s="48">
        <f t="shared" si="50"/>
        <v>-9.9042080054738246</v>
      </c>
    </row>
    <row r="140" spans="1:9" x14ac:dyDescent="0.25">
      <c r="A140" s="35">
        <f t="shared" si="1"/>
        <v>39814</v>
      </c>
      <c r="C140">
        <v>138.9</v>
      </c>
      <c r="D140">
        <v>180.3</v>
      </c>
      <c r="E140">
        <v>455.3</v>
      </c>
      <c r="F140">
        <v>403.9</v>
      </c>
      <c r="G140" s="14">
        <f t="shared" si="49"/>
        <v>594.20000000000005</v>
      </c>
      <c r="H140" s="2">
        <f t="shared" si="49"/>
        <v>584.20000000000005</v>
      </c>
      <c r="I140" s="48">
        <f t="shared" si="50"/>
        <v>1.7117425539198816</v>
      </c>
    </row>
    <row r="141" spans="1:9" x14ac:dyDescent="0.25">
      <c r="A141" s="35">
        <f t="shared" si="1"/>
        <v>39821</v>
      </c>
      <c r="C141">
        <v>241.9</v>
      </c>
      <c r="D141">
        <v>232.1</v>
      </c>
      <c r="E141">
        <v>457.8</v>
      </c>
      <c r="F141">
        <v>420.1</v>
      </c>
      <c r="G141" s="14">
        <f t="shared" ref="G141:H143" si="51">+C141+E141</f>
        <v>699.7</v>
      </c>
      <c r="H141" s="2">
        <f t="shared" si="51"/>
        <v>652.20000000000005</v>
      </c>
      <c r="I141" s="48">
        <f t="shared" si="50"/>
        <v>7.2830420116528627</v>
      </c>
    </row>
    <row r="142" spans="1:9" x14ac:dyDescent="0.25">
      <c r="A142" s="35">
        <f t="shared" si="1"/>
        <v>39828</v>
      </c>
      <c r="C142">
        <v>235.4</v>
      </c>
      <c r="D142">
        <v>211.7</v>
      </c>
      <c r="E142">
        <v>471.8</v>
      </c>
      <c r="F142">
        <v>445.5</v>
      </c>
      <c r="G142" s="14">
        <f t="shared" si="51"/>
        <v>707.2</v>
      </c>
      <c r="H142" s="2">
        <f t="shared" si="51"/>
        <v>657.2</v>
      </c>
      <c r="I142" s="48">
        <f t="shared" si="50"/>
        <v>7.6080340839926874</v>
      </c>
    </row>
    <row r="143" spans="1:9" x14ac:dyDescent="0.25">
      <c r="A143" s="35">
        <f t="shared" si="1"/>
        <v>39835</v>
      </c>
      <c r="C143">
        <v>256.39999999999998</v>
      </c>
      <c r="D143">
        <v>229.2</v>
      </c>
      <c r="E143">
        <v>481.5</v>
      </c>
      <c r="F143">
        <v>460</v>
      </c>
      <c r="G143" s="14">
        <f t="shared" si="51"/>
        <v>737.9</v>
      </c>
      <c r="H143" s="2">
        <f t="shared" si="51"/>
        <v>689.2</v>
      </c>
      <c r="I143" s="48">
        <f t="shared" si="50"/>
        <v>7.0661636680208861</v>
      </c>
    </row>
    <row r="144" spans="1:9" x14ac:dyDescent="0.25">
      <c r="A144" s="35">
        <f t="shared" si="1"/>
        <v>39842</v>
      </c>
      <c r="C144">
        <v>202.9</v>
      </c>
      <c r="D144">
        <v>251.1</v>
      </c>
      <c r="E144">
        <v>539.1</v>
      </c>
      <c r="F144">
        <v>468.2</v>
      </c>
      <c r="G144" s="14">
        <f t="shared" ref="G144:H146" si="52">+C144+E144</f>
        <v>742</v>
      </c>
      <c r="H144" s="2">
        <f t="shared" si="52"/>
        <v>719.3</v>
      </c>
      <c r="I144" s="48">
        <f t="shared" ref="I144:I149" si="53">+(G144/H144-1)*100</f>
        <v>3.1558459613513223</v>
      </c>
    </row>
    <row r="145" spans="1:9" x14ac:dyDescent="0.25">
      <c r="A145" s="35">
        <f t="shared" si="1"/>
        <v>39849</v>
      </c>
      <c r="C145">
        <v>197.8</v>
      </c>
      <c r="D145">
        <v>239</v>
      </c>
      <c r="E145">
        <v>621.79999999999995</v>
      </c>
      <c r="F145">
        <v>481.2</v>
      </c>
      <c r="G145" s="14">
        <f t="shared" si="52"/>
        <v>819.59999999999991</v>
      </c>
      <c r="H145" s="2">
        <f t="shared" si="52"/>
        <v>720.2</v>
      </c>
      <c r="I145" s="48">
        <f t="shared" si="53"/>
        <v>13.801721743959995</v>
      </c>
    </row>
    <row r="146" spans="1:9" x14ac:dyDescent="0.25">
      <c r="A146" s="35">
        <f t="shared" si="1"/>
        <v>39856</v>
      </c>
      <c r="C146">
        <v>195.7</v>
      </c>
      <c r="D146">
        <v>233</v>
      </c>
      <c r="E146">
        <v>633.79999999999995</v>
      </c>
      <c r="F146">
        <v>494</v>
      </c>
      <c r="G146" s="14">
        <f t="shared" si="52"/>
        <v>829.5</v>
      </c>
      <c r="H146" s="2">
        <f t="shared" si="52"/>
        <v>727</v>
      </c>
      <c r="I146" s="48">
        <f t="shared" si="53"/>
        <v>14.099037138927105</v>
      </c>
    </row>
    <row r="147" spans="1:9" x14ac:dyDescent="0.25">
      <c r="A147" s="35">
        <f t="shared" si="1"/>
        <v>39863</v>
      </c>
      <c r="C147">
        <v>188.6</v>
      </c>
      <c r="D147">
        <v>272.8</v>
      </c>
      <c r="E147">
        <v>642</v>
      </c>
      <c r="F147">
        <v>500.3</v>
      </c>
      <c r="G147" s="14">
        <f t="shared" ref="G147:H149" si="54">+C147+E147</f>
        <v>830.6</v>
      </c>
      <c r="H147" s="2">
        <f t="shared" si="54"/>
        <v>773.1</v>
      </c>
      <c r="I147" s="48">
        <f t="shared" si="53"/>
        <v>7.4375889276937057</v>
      </c>
    </row>
    <row r="148" spans="1:9" x14ac:dyDescent="0.25">
      <c r="A148" s="35">
        <f t="shared" si="1"/>
        <v>39870</v>
      </c>
      <c r="C148">
        <v>254.7</v>
      </c>
      <c r="D148">
        <v>260.2</v>
      </c>
      <c r="E148">
        <v>656.2</v>
      </c>
      <c r="F148">
        <v>512.6</v>
      </c>
      <c r="G148" s="14">
        <f t="shared" si="54"/>
        <v>910.90000000000009</v>
      </c>
      <c r="H148" s="2">
        <f t="shared" si="54"/>
        <v>772.8</v>
      </c>
      <c r="I148" s="48">
        <f t="shared" si="53"/>
        <v>17.87008281573501</v>
      </c>
    </row>
    <row r="149" spans="1:9" x14ac:dyDescent="0.25">
      <c r="A149" s="35">
        <f t="shared" si="1"/>
        <v>39877</v>
      </c>
      <c r="C149">
        <v>252.1</v>
      </c>
      <c r="D149">
        <v>204.7</v>
      </c>
      <c r="E149">
        <v>736.2</v>
      </c>
      <c r="F149">
        <v>572.20000000000005</v>
      </c>
      <c r="G149" s="14">
        <f t="shared" si="54"/>
        <v>988.30000000000007</v>
      </c>
      <c r="H149" s="2">
        <f t="shared" si="54"/>
        <v>776.90000000000009</v>
      </c>
      <c r="I149" s="48">
        <f t="shared" si="53"/>
        <v>27.210709228986985</v>
      </c>
    </row>
    <row r="150" spans="1:9" x14ac:dyDescent="0.25">
      <c r="A150" s="35">
        <f t="shared" si="1"/>
        <v>39884</v>
      </c>
      <c r="C150">
        <v>245.9</v>
      </c>
      <c r="D150">
        <v>202.3</v>
      </c>
      <c r="E150">
        <v>747.4</v>
      </c>
      <c r="F150">
        <v>582</v>
      </c>
      <c r="G150" s="14">
        <f t="shared" ref="G150:H152" si="55">+C150+E150</f>
        <v>993.3</v>
      </c>
      <c r="H150" s="2">
        <f t="shared" si="55"/>
        <v>784.3</v>
      </c>
      <c r="I150" s="48">
        <f t="shared" ref="I150:I155" si="56">+(G150/H150-1)*100</f>
        <v>26.647966339410935</v>
      </c>
    </row>
    <row r="151" spans="1:9" x14ac:dyDescent="0.25">
      <c r="A151" s="35">
        <f t="shared" si="1"/>
        <v>39891</v>
      </c>
      <c r="C151">
        <v>267.2</v>
      </c>
      <c r="D151">
        <v>193.6</v>
      </c>
      <c r="E151">
        <v>761.1</v>
      </c>
      <c r="F151">
        <v>592.79999999999995</v>
      </c>
      <c r="G151" s="14">
        <f t="shared" si="55"/>
        <v>1028.3</v>
      </c>
      <c r="H151" s="2">
        <f t="shared" si="55"/>
        <v>786.4</v>
      </c>
      <c r="I151" s="48">
        <f t="shared" si="56"/>
        <v>30.760427263479141</v>
      </c>
    </row>
    <row r="152" spans="1:9" x14ac:dyDescent="0.25">
      <c r="A152" s="35">
        <f t="shared" si="1"/>
        <v>39898</v>
      </c>
      <c r="C152">
        <v>336.7</v>
      </c>
      <c r="D152">
        <v>139.1</v>
      </c>
      <c r="E152">
        <v>769</v>
      </c>
      <c r="F152">
        <v>668.6</v>
      </c>
      <c r="G152" s="14">
        <f t="shared" si="55"/>
        <v>1105.7</v>
      </c>
      <c r="H152" s="2">
        <f t="shared" si="55"/>
        <v>807.7</v>
      </c>
      <c r="I152" s="48">
        <f t="shared" si="56"/>
        <v>36.894886715364606</v>
      </c>
    </row>
    <row r="153" spans="1:9" x14ac:dyDescent="0.25">
      <c r="A153" s="35">
        <f t="shared" si="1"/>
        <v>39905</v>
      </c>
      <c r="C153">
        <v>331.2</v>
      </c>
      <c r="D153">
        <v>119.8</v>
      </c>
      <c r="E153">
        <v>779.3</v>
      </c>
      <c r="F153">
        <v>693.5</v>
      </c>
      <c r="G153" s="14">
        <f t="shared" ref="G153:G184" si="57">+C153+E153</f>
        <v>1110.5</v>
      </c>
      <c r="H153" s="2">
        <f t="shared" ref="H153:H184" si="58">+D153+F153</f>
        <v>813.3</v>
      </c>
      <c r="I153" s="48">
        <f t="shared" si="56"/>
        <v>36.542481249231543</v>
      </c>
    </row>
    <row r="154" spans="1:9" x14ac:dyDescent="0.25">
      <c r="A154" s="35">
        <f t="shared" si="1"/>
        <v>39912</v>
      </c>
      <c r="C154">
        <v>265.39999999999998</v>
      </c>
      <c r="D154">
        <v>117.2</v>
      </c>
      <c r="E154">
        <v>849.7</v>
      </c>
      <c r="F154">
        <v>711.6</v>
      </c>
      <c r="G154" s="14">
        <f t="shared" si="57"/>
        <v>1115.0999999999999</v>
      </c>
      <c r="H154" s="2">
        <f t="shared" si="58"/>
        <v>828.80000000000007</v>
      </c>
      <c r="I154" s="48">
        <f t="shared" si="56"/>
        <v>34.543918918918905</v>
      </c>
    </row>
    <row r="155" spans="1:9" x14ac:dyDescent="0.25">
      <c r="A155" s="35">
        <f t="shared" si="1"/>
        <v>39919</v>
      </c>
      <c r="C155">
        <v>256.39999999999998</v>
      </c>
      <c r="D155">
        <v>161.69999999999999</v>
      </c>
      <c r="E155">
        <v>862.3</v>
      </c>
      <c r="F155">
        <v>802.2</v>
      </c>
      <c r="G155" s="14">
        <f t="shared" si="57"/>
        <v>1118.6999999999998</v>
      </c>
      <c r="H155" s="2">
        <f t="shared" si="58"/>
        <v>963.90000000000009</v>
      </c>
      <c r="I155" s="48">
        <f t="shared" si="56"/>
        <v>16.059757236227789</v>
      </c>
    </row>
    <row r="156" spans="1:9" x14ac:dyDescent="0.25">
      <c r="A156" s="35">
        <f t="shared" si="1"/>
        <v>39926</v>
      </c>
      <c r="C156">
        <v>188.3</v>
      </c>
      <c r="D156">
        <v>144.80000000000001</v>
      </c>
      <c r="E156">
        <v>936.2</v>
      </c>
      <c r="F156">
        <v>823.2</v>
      </c>
      <c r="G156" s="14">
        <f t="shared" si="57"/>
        <v>1124.5</v>
      </c>
      <c r="H156" s="2">
        <f t="shared" si="58"/>
        <v>968</v>
      </c>
      <c r="I156" s="48">
        <f t="shared" ref="I156:I187" si="59">+(G156/H156-1)*100</f>
        <v>16.167355371900815</v>
      </c>
    </row>
    <row r="157" spans="1:9" x14ac:dyDescent="0.25">
      <c r="A157" s="35">
        <f t="shared" si="1"/>
        <v>39933</v>
      </c>
      <c r="C157">
        <v>172</v>
      </c>
      <c r="D157">
        <v>130.6</v>
      </c>
      <c r="E157">
        <v>953.6</v>
      </c>
      <c r="F157">
        <v>842.1</v>
      </c>
      <c r="G157" s="14">
        <f t="shared" si="57"/>
        <v>1125.5999999999999</v>
      </c>
      <c r="H157" s="2">
        <f t="shared" si="58"/>
        <v>972.7</v>
      </c>
      <c r="I157" s="48">
        <f t="shared" si="59"/>
        <v>15.719132312120877</v>
      </c>
    </row>
    <row r="158" spans="1:9" x14ac:dyDescent="0.25">
      <c r="A158" s="35">
        <f t="shared" si="1"/>
        <v>39940</v>
      </c>
      <c r="C158">
        <v>176.8</v>
      </c>
      <c r="D158">
        <v>165.6</v>
      </c>
      <c r="E158">
        <v>969.1</v>
      </c>
      <c r="F158">
        <v>857.1</v>
      </c>
      <c r="G158" s="14">
        <f t="shared" si="57"/>
        <v>1145.9000000000001</v>
      </c>
      <c r="H158" s="2">
        <f t="shared" si="58"/>
        <v>1022.7</v>
      </c>
      <c r="I158" s="48">
        <f t="shared" si="59"/>
        <v>12.046543463381255</v>
      </c>
    </row>
    <row r="159" spans="1:9" x14ac:dyDescent="0.25">
      <c r="A159" s="35">
        <f t="shared" si="1"/>
        <v>39947</v>
      </c>
      <c r="C159">
        <v>177.3</v>
      </c>
      <c r="D159">
        <v>166.8</v>
      </c>
      <c r="E159">
        <v>989.1</v>
      </c>
      <c r="F159">
        <v>867.8</v>
      </c>
      <c r="G159" s="14">
        <f t="shared" si="57"/>
        <v>1166.4000000000001</v>
      </c>
      <c r="H159" s="2">
        <f t="shared" si="58"/>
        <v>1034.5999999999999</v>
      </c>
      <c r="I159" s="48">
        <f t="shared" si="59"/>
        <v>12.7392228880727</v>
      </c>
    </row>
    <row r="160" spans="1:9" x14ac:dyDescent="0.25">
      <c r="A160" s="35">
        <f t="shared" si="1"/>
        <v>39954</v>
      </c>
      <c r="C160">
        <v>56.8</v>
      </c>
      <c r="D160">
        <v>161.1</v>
      </c>
      <c r="E160">
        <v>1125.4000000000001</v>
      </c>
      <c r="F160">
        <v>879.8</v>
      </c>
      <c r="G160" s="14">
        <f t="shared" si="57"/>
        <v>1182.2</v>
      </c>
      <c r="H160" s="2">
        <f t="shared" si="58"/>
        <v>1040.8999999999999</v>
      </c>
      <c r="I160" s="48">
        <f t="shared" si="59"/>
        <v>13.574791046210022</v>
      </c>
    </row>
    <row r="161" spans="1:10" x14ac:dyDescent="0.25">
      <c r="A161" s="35">
        <f t="shared" si="1"/>
        <v>39961</v>
      </c>
      <c r="C161">
        <v>52.2</v>
      </c>
      <c r="D161">
        <v>158.19999999999999</v>
      </c>
      <c r="E161">
        <v>1130</v>
      </c>
      <c r="F161">
        <v>885.1</v>
      </c>
      <c r="G161" s="14">
        <f t="shared" si="57"/>
        <v>1182.2</v>
      </c>
      <c r="H161" s="2">
        <f t="shared" si="58"/>
        <v>1043.3</v>
      </c>
      <c r="I161" s="48">
        <f t="shared" si="59"/>
        <v>13.313524393750598</v>
      </c>
    </row>
    <row r="162" spans="1:10" x14ac:dyDescent="0.25">
      <c r="A162" s="35">
        <f t="shared" si="1"/>
        <v>39968</v>
      </c>
      <c r="C162">
        <v>48.1</v>
      </c>
      <c r="D162">
        <v>100.8</v>
      </c>
      <c r="E162">
        <v>1136.5999999999999</v>
      </c>
      <c r="F162">
        <v>948.8</v>
      </c>
      <c r="G162" s="14">
        <f t="shared" si="57"/>
        <v>1184.6999999999998</v>
      </c>
      <c r="H162" s="2">
        <f t="shared" si="58"/>
        <v>1049.5999999999999</v>
      </c>
      <c r="I162" s="48">
        <f t="shared" si="59"/>
        <v>12.871570121951216</v>
      </c>
    </row>
    <row r="163" spans="1:10" x14ac:dyDescent="0.25">
      <c r="A163" s="35">
        <f t="shared" si="1"/>
        <v>39975</v>
      </c>
      <c r="C163">
        <v>46.8</v>
      </c>
      <c r="D163">
        <v>80.900000000000006</v>
      </c>
      <c r="E163">
        <v>1144.3</v>
      </c>
      <c r="F163">
        <v>962.8</v>
      </c>
      <c r="G163" s="14">
        <f t="shared" si="57"/>
        <v>1191.0999999999999</v>
      </c>
      <c r="H163" s="2">
        <f t="shared" si="58"/>
        <v>1043.7</v>
      </c>
      <c r="I163" s="48">
        <f t="shared" si="59"/>
        <v>14.122832231484139</v>
      </c>
    </row>
    <row r="164" spans="1:10" x14ac:dyDescent="0.25">
      <c r="A164" s="35">
        <f t="shared" si="1"/>
        <v>39982</v>
      </c>
      <c r="C164">
        <v>39.5</v>
      </c>
      <c r="D164">
        <v>85.9</v>
      </c>
      <c r="E164">
        <v>1153.9000000000001</v>
      </c>
      <c r="F164">
        <v>974</v>
      </c>
      <c r="G164" s="14">
        <f t="shared" si="57"/>
        <v>1193.4000000000001</v>
      </c>
      <c r="H164" s="2">
        <f t="shared" si="58"/>
        <v>1059.9000000000001</v>
      </c>
      <c r="I164" s="48">
        <f t="shared" si="59"/>
        <v>12.595527879988676</v>
      </c>
    </row>
    <row r="165" spans="1:10" x14ac:dyDescent="0.25">
      <c r="A165" s="35">
        <f t="shared" si="1"/>
        <v>39989</v>
      </c>
      <c r="C165">
        <v>30.1</v>
      </c>
      <c r="D165">
        <v>76.7</v>
      </c>
      <c r="E165">
        <v>1168.3</v>
      </c>
      <c r="F165">
        <v>985.3</v>
      </c>
      <c r="G165" s="14">
        <f t="shared" si="57"/>
        <v>1198.3999999999999</v>
      </c>
      <c r="H165" s="2">
        <f t="shared" si="58"/>
        <v>1062</v>
      </c>
      <c r="I165" s="48">
        <f t="shared" si="59"/>
        <v>12.843691148775882</v>
      </c>
    </row>
    <row r="166" spans="1:10" x14ac:dyDescent="0.25">
      <c r="A166" s="35">
        <f t="shared" si="1"/>
        <v>39996</v>
      </c>
      <c r="C166">
        <v>26.5</v>
      </c>
      <c r="D166">
        <v>68.900000000000006</v>
      </c>
      <c r="E166">
        <v>1171.9000000000001</v>
      </c>
      <c r="F166">
        <v>994.2</v>
      </c>
      <c r="G166" s="14">
        <f t="shared" si="57"/>
        <v>1198.4000000000001</v>
      </c>
      <c r="H166" s="2">
        <f t="shared" si="58"/>
        <v>1063.1000000000001</v>
      </c>
      <c r="I166" s="48">
        <f t="shared" si="59"/>
        <v>12.726930674442659</v>
      </c>
    </row>
    <row r="167" spans="1:10" x14ac:dyDescent="0.25">
      <c r="A167" s="35">
        <f t="shared" si="1"/>
        <v>40003</v>
      </c>
      <c r="C167">
        <v>20.8</v>
      </c>
      <c r="D167">
        <v>57.7</v>
      </c>
      <c r="E167">
        <v>1177.7</v>
      </c>
      <c r="F167">
        <v>1006.9</v>
      </c>
      <c r="G167" s="14">
        <f t="shared" si="57"/>
        <v>1198.5</v>
      </c>
      <c r="H167" s="2">
        <f t="shared" si="58"/>
        <v>1064.5999999999999</v>
      </c>
      <c r="I167" s="48">
        <f t="shared" si="59"/>
        <v>12.577493894420444</v>
      </c>
    </row>
    <row r="168" spans="1:10" x14ac:dyDescent="0.25">
      <c r="A168" s="35">
        <f t="shared" si="1"/>
        <v>40010</v>
      </c>
      <c r="C168">
        <v>25</v>
      </c>
      <c r="D168">
        <v>54.7</v>
      </c>
      <c r="E168">
        <v>1187.4000000000001</v>
      </c>
      <c r="F168">
        <v>1013.8</v>
      </c>
      <c r="G168" s="14">
        <f t="shared" si="57"/>
        <v>1212.4000000000001</v>
      </c>
      <c r="H168" s="2">
        <f t="shared" si="58"/>
        <v>1068.5</v>
      </c>
      <c r="I168" s="48">
        <f t="shared" si="59"/>
        <v>13.467477772578395</v>
      </c>
    </row>
    <row r="169" spans="1:10" x14ac:dyDescent="0.25">
      <c r="A169" s="35">
        <f t="shared" si="1"/>
        <v>40017</v>
      </c>
      <c r="C169">
        <v>77.400000000000006</v>
      </c>
      <c r="D169">
        <v>52.4</v>
      </c>
      <c r="E169">
        <v>1258.0999999999999</v>
      </c>
      <c r="F169">
        <v>1024.8</v>
      </c>
      <c r="G169" s="14">
        <f t="shared" si="57"/>
        <v>1335.5</v>
      </c>
      <c r="H169" s="2">
        <f t="shared" si="58"/>
        <v>1077.2</v>
      </c>
      <c r="I169" s="48">
        <f t="shared" si="59"/>
        <v>23.97883401411065</v>
      </c>
    </row>
    <row r="170" spans="1:10" x14ac:dyDescent="0.25">
      <c r="A170" s="35">
        <f t="shared" si="1"/>
        <v>40024</v>
      </c>
      <c r="C170">
        <v>78.5</v>
      </c>
      <c r="D170">
        <v>52.2</v>
      </c>
      <c r="E170">
        <v>1264.5999999999999</v>
      </c>
      <c r="F170">
        <v>1034.9000000000001</v>
      </c>
      <c r="G170" s="14">
        <f t="shared" si="57"/>
        <v>1343.1</v>
      </c>
      <c r="H170" s="2">
        <f t="shared" si="58"/>
        <v>1087.1000000000001</v>
      </c>
      <c r="I170" s="48">
        <f t="shared" si="59"/>
        <v>23.548891546315854</v>
      </c>
      <c r="J170">
        <v>10</v>
      </c>
    </row>
    <row r="171" spans="1:10" x14ac:dyDescent="0.25">
      <c r="A171" s="35">
        <f t="shared" si="1"/>
        <v>40031</v>
      </c>
      <c r="C171">
        <v>162.4</v>
      </c>
      <c r="D171">
        <v>45.9</v>
      </c>
      <c r="E171">
        <v>1266.5999999999999</v>
      </c>
      <c r="F171">
        <v>1043.2</v>
      </c>
      <c r="G171" s="14">
        <f t="shared" si="57"/>
        <v>1429</v>
      </c>
      <c r="H171" s="2">
        <f t="shared" si="58"/>
        <v>1089.1000000000001</v>
      </c>
      <c r="I171" s="48">
        <f t="shared" si="59"/>
        <v>31.209255348452825</v>
      </c>
      <c r="J171">
        <v>10</v>
      </c>
    </row>
    <row r="172" spans="1:10" x14ac:dyDescent="0.25">
      <c r="A172" s="35">
        <f t="shared" si="1"/>
        <v>40038</v>
      </c>
      <c r="C172">
        <v>166.2</v>
      </c>
      <c r="D172">
        <v>40.6</v>
      </c>
      <c r="E172">
        <v>1269.8</v>
      </c>
      <c r="F172">
        <v>1050.5999999999999</v>
      </c>
      <c r="G172" s="14">
        <f t="shared" si="57"/>
        <v>1436</v>
      </c>
      <c r="H172" s="2">
        <f t="shared" si="58"/>
        <v>1091.1999999999998</v>
      </c>
      <c r="I172" s="48">
        <f t="shared" si="59"/>
        <v>31.598240469208228</v>
      </c>
      <c r="J172">
        <v>10</v>
      </c>
    </row>
    <row r="173" spans="1:10" x14ac:dyDescent="0.25">
      <c r="A173" s="35">
        <f t="shared" si="1"/>
        <v>40045</v>
      </c>
      <c r="C173">
        <v>106.1</v>
      </c>
      <c r="D173">
        <v>40.799999999999997</v>
      </c>
      <c r="E173">
        <v>1332.5</v>
      </c>
      <c r="F173">
        <v>1057.8</v>
      </c>
      <c r="G173" s="14">
        <f t="shared" si="57"/>
        <v>1438.6</v>
      </c>
      <c r="H173" s="2">
        <f t="shared" si="58"/>
        <v>1098.5999999999999</v>
      </c>
      <c r="I173" s="48">
        <f t="shared" si="59"/>
        <v>30.948479883488076</v>
      </c>
      <c r="J173">
        <v>23</v>
      </c>
    </row>
    <row r="174" spans="1:10" x14ac:dyDescent="0.25">
      <c r="A174" s="35">
        <f t="shared" si="1"/>
        <v>40052</v>
      </c>
      <c r="C174">
        <v>100.2</v>
      </c>
      <c r="D174">
        <v>33.6</v>
      </c>
      <c r="E174">
        <v>1338.3</v>
      </c>
      <c r="F174">
        <v>1065.3</v>
      </c>
      <c r="G174" s="14">
        <f t="shared" si="57"/>
        <v>1438.5</v>
      </c>
      <c r="H174" s="2">
        <f t="shared" si="58"/>
        <v>1098.8999999999999</v>
      </c>
      <c r="I174" s="48">
        <f t="shared" si="59"/>
        <v>30.90363090363093</v>
      </c>
      <c r="J174">
        <v>28</v>
      </c>
    </row>
    <row r="175" spans="1:10" x14ac:dyDescent="0.25">
      <c r="A175" s="35">
        <f t="shared" si="1"/>
        <v>40059</v>
      </c>
      <c r="C175">
        <v>126.5</v>
      </c>
      <c r="D175">
        <v>128.5</v>
      </c>
      <c r="E175">
        <v>3.3</v>
      </c>
      <c r="F175">
        <v>2.6</v>
      </c>
      <c r="G175" s="14">
        <f t="shared" si="57"/>
        <v>129.80000000000001</v>
      </c>
      <c r="H175" s="2">
        <f t="shared" si="58"/>
        <v>131.1</v>
      </c>
      <c r="I175" s="48">
        <f t="shared" si="59"/>
        <v>-0.9916094584286661</v>
      </c>
    </row>
    <row r="176" spans="1:10" x14ac:dyDescent="0.25">
      <c r="A176" s="35">
        <f t="shared" si="1"/>
        <v>40066</v>
      </c>
      <c r="C176">
        <v>130.6</v>
      </c>
      <c r="D176">
        <v>184.6</v>
      </c>
      <c r="E176">
        <v>9.1999999999999993</v>
      </c>
      <c r="F176">
        <v>11.1</v>
      </c>
      <c r="G176" s="14">
        <f t="shared" si="57"/>
        <v>139.79999999999998</v>
      </c>
      <c r="H176" s="2">
        <f t="shared" si="58"/>
        <v>195.7</v>
      </c>
      <c r="I176" s="48">
        <f t="shared" si="59"/>
        <v>-28.564128768523254</v>
      </c>
    </row>
    <row r="177" spans="1:9" x14ac:dyDescent="0.25">
      <c r="A177" s="35">
        <f t="shared" si="1"/>
        <v>40073</v>
      </c>
      <c r="C177">
        <v>134.6</v>
      </c>
      <c r="D177">
        <v>208.4</v>
      </c>
      <c r="E177">
        <v>14.9</v>
      </c>
      <c r="F177">
        <v>17.399999999999999</v>
      </c>
      <c r="G177" s="14">
        <f t="shared" si="57"/>
        <v>149.5</v>
      </c>
      <c r="H177" s="2">
        <f t="shared" si="58"/>
        <v>225.8</v>
      </c>
      <c r="I177" s="48">
        <f t="shared" si="59"/>
        <v>-33.790965456155895</v>
      </c>
    </row>
    <row r="178" spans="1:9" x14ac:dyDescent="0.25">
      <c r="A178" s="35">
        <f t="shared" si="1"/>
        <v>40080</v>
      </c>
      <c r="C178">
        <v>138</v>
      </c>
      <c r="D178">
        <v>209.9</v>
      </c>
      <c r="E178">
        <v>19.600000000000001</v>
      </c>
      <c r="F178">
        <v>25</v>
      </c>
      <c r="G178" s="14">
        <f t="shared" si="57"/>
        <v>157.6</v>
      </c>
      <c r="H178" s="2">
        <f t="shared" si="58"/>
        <v>234.9</v>
      </c>
      <c r="I178" s="48">
        <f t="shared" si="59"/>
        <v>-32.907620263942107</v>
      </c>
    </row>
    <row r="179" spans="1:9" x14ac:dyDescent="0.25">
      <c r="A179" s="35">
        <f t="shared" si="1"/>
        <v>40087</v>
      </c>
      <c r="C179">
        <v>132.80000000000001</v>
      </c>
      <c r="D179">
        <v>201.9</v>
      </c>
      <c r="E179">
        <v>25.8</v>
      </c>
      <c r="F179">
        <v>37.9</v>
      </c>
      <c r="G179" s="14">
        <f t="shared" si="57"/>
        <v>158.60000000000002</v>
      </c>
      <c r="H179" s="2">
        <f t="shared" si="58"/>
        <v>239.8</v>
      </c>
      <c r="I179" s="48">
        <f t="shared" si="59"/>
        <v>-33.861551292743954</v>
      </c>
    </row>
    <row r="180" spans="1:9" x14ac:dyDescent="0.25">
      <c r="A180" s="35">
        <f t="shared" si="1"/>
        <v>40094</v>
      </c>
      <c r="C180">
        <v>146.19999999999999</v>
      </c>
      <c r="D180">
        <v>252.8</v>
      </c>
      <c r="E180">
        <v>26.3</v>
      </c>
      <c r="F180">
        <v>43.1</v>
      </c>
      <c r="G180" s="14">
        <f t="shared" si="57"/>
        <v>172.5</v>
      </c>
      <c r="H180" s="2">
        <f t="shared" si="58"/>
        <v>295.90000000000003</v>
      </c>
      <c r="I180" s="48">
        <f t="shared" si="59"/>
        <v>-41.703278134504906</v>
      </c>
    </row>
    <row r="181" spans="1:9" x14ac:dyDescent="0.25">
      <c r="A181" s="35">
        <f t="shared" si="1"/>
        <v>40101</v>
      </c>
      <c r="C181">
        <v>147.1</v>
      </c>
      <c r="D181">
        <v>180.9</v>
      </c>
      <c r="E181">
        <v>30.3</v>
      </c>
      <c r="F181">
        <v>116.2</v>
      </c>
      <c r="G181" s="14">
        <f t="shared" si="57"/>
        <v>177.4</v>
      </c>
      <c r="H181" s="2">
        <f t="shared" si="58"/>
        <v>297.10000000000002</v>
      </c>
      <c r="I181" s="48">
        <f t="shared" si="59"/>
        <v>-40.289464826657692</v>
      </c>
    </row>
    <row r="182" spans="1:9" x14ac:dyDescent="0.25">
      <c r="A182" s="35">
        <f t="shared" si="1"/>
        <v>40108</v>
      </c>
      <c r="C182">
        <v>156.9</v>
      </c>
      <c r="D182">
        <v>171.8</v>
      </c>
      <c r="E182">
        <v>31.6</v>
      </c>
      <c r="F182">
        <v>126.3</v>
      </c>
      <c r="G182" s="14">
        <f t="shared" si="57"/>
        <v>188.5</v>
      </c>
      <c r="H182" s="2">
        <f t="shared" si="58"/>
        <v>298.10000000000002</v>
      </c>
      <c r="I182" s="48">
        <f t="shared" si="59"/>
        <v>-36.766185843676624</v>
      </c>
    </row>
    <row r="183" spans="1:9" x14ac:dyDescent="0.25">
      <c r="A183" s="35">
        <f t="shared" si="1"/>
        <v>40115</v>
      </c>
      <c r="C183">
        <v>155.30000000000001</v>
      </c>
      <c r="D183">
        <v>108.9</v>
      </c>
      <c r="E183">
        <v>98.6</v>
      </c>
      <c r="F183">
        <v>199.8</v>
      </c>
      <c r="G183" s="14">
        <f t="shared" si="57"/>
        <v>253.9</v>
      </c>
      <c r="H183" s="2">
        <f t="shared" si="58"/>
        <v>308.70000000000005</v>
      </c>
      <c r="I183" s="48">
        <f t="shared" si="59"/>
        <v>-17.751862649821849</v>
      </c>
    </row>
    <row r="184" spans="1:9" x14ac:dyDescent="0.25">
      <c r="A184" s="35">
        <f t="shared" si="1"/>
        <v>40122</v>
      </c>
      <c r="C184">
        <v>154.30000000000001</v>
      </c>
      <c r="D184">
        <v>28.2</v>
      </c>
      <c r="E184">
        <v>103.1</v>
      </c>
      <c r="F184">
        <v>290.60000000000002</v>
      </c>
      <c r="G184" s="14">
        <f t="shared" si="57"/>
        <v>257.39999999999998</v>
      </c>
      <c r="H184" s="2">
        <f t="shared" si="58"/>
        <v>318.8</v>
      </c>
      <c r="I184" s="48">
        <f t="shared" si="59"/>
        <v>-19.259723964868268</v>
      </c>
    </row>
    <row r="185" spans="1:9" x14ac:dyDescent="0.25">
      <c r="A185" s="35">
        <f t="shared" si="1"/>
        <v>40129</v>
      </c>
      <c r="C185">
        <v>155.19999999999999</v>
      </c>
      <c r="D185">
        <v>28.2</v>
      </c>
      <c r="E185">
        <v>195.2</v>
      </c>
      <c r="F185">
        <v>290.60000000000002</v>
      </c>
      <c r="G185" s="14">
        <f t="shared" ref="G185:G216" si="60">+C185+E185</f>
        <v>350.4</v>
      </c>
      <c r="H185" s="2">
        <f t="shared" ref="H185:H216" si="61">+D185+F185</f>
        <v>318.8</v>
      </c>
      <c r="I185" s="48">
        <f t="shared" si="59"/>
        <v>9.912170639899621</v>
      </c>
    </row>
    <row r="186" spans="1:9" x14ac:dyDescent="0.25">
      <c r="A186" s="35">
        <f t="shared" si="1"/>
        <v>40136</v>
      </c>
      <c r="C186">
        <v>167.8</v>
      </c>
      <c r="D186">
        <v>22.7</v>
      </c>
      <c r="E186">
        <v>218.6</v>
      </c>
      <c r="F186">
        <v>298.39999999999998</v>
      </c>
      <c r="G186" s="14">
        <f t="shared" si="60"/>
        <v>386.4</v>
      </c>
      <c r="H186" s="2">
        <f t="shared" si="61"/>
        <v>321.09999999999997</v>
      </c>
      <c r="I186" s="48">
        <f t="shared" si="59"/>
        <v>20.33634381812519</v>
      </c>
    </row>
    <row r="187" spans="1:9" x14ac:dyDescent="0.25">
      <c r="A187" s="35">
        <f t="shared" si="1"/>
        <v>40143</v>
      </c>
      <c r="C187">
        <v>168.3</v>
      </c>
      <c r="D187">
        <v>14.4</v>
      </c>
      <c r="E187">
        <v>237</v>
      </c>
      <c r="F187">
        <v>306.89999999999998</v>
      </c>
      <c r="G187" s="14">
        <f t="shared" si="60"/>
        <v>405.3</v>
      </c>
      <c r="H187" s="2">
        <f t="shared" si="61"/>
        <v>321.29999999999995</v>
      </c>
      <c r="I187" s="48">
        <f t="shared" si="59"/>
        <v>26.14379084967322</v>
      </c>
    </row>
    <row r="188" spans="1:9" x14ac:dyDescent="0.25">
      <c r="A188" s="35">
        <f t="shared" si="1"/>
        <v>40150</v>
      </c>
      <c r="C188">
        <v>232.1</v>
      </c>
      <c r="D188">
        <v>18.100000000000001</v>
      </c>
      <c r="E188">
        <v>245.6</v>
      </c>
      <c r="F188">
        <v>308.5</v>
      </c>
      <c r="G188" s="14">
        <f t="shared" si="60"/>
        <v>477.7</v>
      </c>
      <c r="H188" s="2">
        <f t="shared" si="61"/>
        <v>326.60000000000002</v>
      </c>
      <c r="I188" s="48">
        <f t="shared" ref="I188:I219" si="62">+(G188/H188-1)*100</f>
        <v>46.264543784445799</v>
      </c>
    </row>
    <row r="189" spans="1:9" x14ac:dyDescent="0.25">
      <c r="A189" s="35">
        <f t="shared" si="1"/>
        <v>40157</v>
      </c>
      <c r="C189">
        <v>220.1</v>
      </c>
      <c r="D189">
        <v>30.9</v>
      </c>
      <c r="E189">
        <v>270.60000000000002</v>
      </c>
      <c r="F189">
        <v>311.10000000000002</v>
      </c>
      <c r="G189" s="14">
        <f t="shared" si="60"/>
        <v>490.70000000000005</v>
      </c>
      <c r="H189" s="2">
        <f t="shared" si="61"/>
        <v>342</v>
      </c>
      <c r="I189" s="48">
        <f t="shared" si="62"/>
        <v>43.479532163742697</v>
      </c>
    </row>
    <row r="190" spans="1:9" x14ac:dyDescent="0.25">
      <c r="A190" s="35">
        <f t="shared" si="1"/>
        <v>40164</v>
      </c>
      <c r="C190">
        <v>143.69999999999999</v>
      </c>
      <c r="D190">
        <v>144</v>
      </c>
      <c r="E190">
        <v>357.7</v>
      </c>
      <c r="F190">
        <v>312.60000000000002</v>
      </c>
      <c r="G190" s="14">
        <f t="shared" si="60"/>
        <v>501.4</v>
      </c>
      <c r="H190" s="2">
        <f t="shared" si="61"/>
        <v>456.6</v>
      </c>
      <c r="I190" s="48">
        <f t="shared" si="62"/>
        <v>9.8116513359614466</v>
      </c>
    </row>
    <row r="191" spans="1:9" x14ac:dyDescent="0.25">
      <c r="A191" s="35">
        <f t="shared" si="1"/>
        <v>40171</v>
      </c>
      <c r="C191">
        <v>145.80000000000001</v>
      </c>
      <c r="D191">
        <v>142.30000000000001</v>
      </c>
      <c r="E191">
        <v>368.4</v>
      </c>
      <c r="F191">
        <v>384.4</v>
      </c>
      <c r="G191" s="14">
        <f t="shared" si="60"/>
        <v>514.20000000000005</v>
      </c>
      <c r="H191" s="2">
        <f t="shared" si="61"/>
        <v>526.70000000000005</v>
      </c>
      <c r="I191" s="48">
        <f t="shared" si="62"/>
        <v>-2.3732675147142612</v>
      </c>
    </row>
    <row r="192" spans="1:9" x14ac:dyDescent="0.25">
      <c r="A192" s="35">
        <f t="shared" si="1"/>
        <v>40178</v>
      </c>
      <c r="C192">
        <v>131.80000000000001</v>
      </c>
      <c r="D192">
        <v>138.9</v>
      </c>
      <c r="E192">
        <v>459.9</v>
      </c>
      <c r="F192">
        <v>455.3</v>
      </c>
      <c r="G192" s="14">
        <f t="shared" si="60"/>
        <v>591.70000000000005</v>
      </c>
      <c r="H192" s="2">
        <f t="shared" si="61"/>
        <v>594.20000000000005</v>
      </c>
      <c r="I192" s="48">
        <f t="shared" si="62"/>
        <v>-0.42073375967687232</v>
      </c>
    </row>
    <row r="193" spans="1:9" x14ac:dyDescent="0.25">
      <c r="A193" s="35">
        <f t="shared" si="1"/>
        <v>40185</v>
      </c>
      <c r="C193">
        <v>125.4</v>
      </c>
      <c r="D193">
        <v>241.9</v>
      </c>
      <c r="E193">
        <v>484.8</v>
      </c>
      <c r="F193">
        <v>457.8</v>
      </c>
      <c r="G193" s="14">
        <f t="shared" si="60"/>
        <v>610.20000000000005</v>
      </c>
      <c r="H193" s="2">
        <f t="shared" si="61"/>
        <v>699.7</v>
      </c>
      <c r="I193" s="48">
        <f t="shared" si="62"/>
        <v>-12.791196226954405</v>
      </c>
    </row>
    <row r="194" spans="1:9" x14ac:dyDescent="0.25">
      <c r="A194" s="35">
        <f t="shared" si="1"/>
        <v>40192</v>
      </c>
      <c r="C194">
        <v>132.30000000000001</v>
      </c>
      <c r="D194">
        <v>235.4</v>
      </c>
      <c r="E194">
        <v>497.6</v>
      </c>
      <c r="F194">
        <v>471.8</v>
      </c>
      <c r="G194" s="14">
        <f t="shared" si="60"/>
        <v>629.90000000000009</v>
      </c>
      <c r="H194" s="2">
        <f t="shared" si="61"/>
        <v>707.2</v>
      </c>
      <c r="I194" s="48">
        <f t="shared" si="62"/>
        <v>-10.930429864253387</v>
      </c>
    </row>
    <row r="195" spans="1:9" x14ac:dyDescent="0.25">
      <c r="A195" s="35">
        <f t="shared" si="1"/>
        <v>40199</v>
      </c>
      <c r="C195">
        <v>159.30000000000001</v>
      </c>
      <c r="D195">
        <v>256.39999999999998</v>
      </c>
      <c r="E195">
        <v>517.79999999999995</v>
      </c>
      <c r="F195">
        <v>481.5</v>
      </c>
      <c r="G195" s="14">
        <f t="shared" si="60"/>
        <v>677.09999999999991</v>
      </c>
      <c r="H195" s="2">
        <f t="shared" si="61"/>
        <v>737.9</v>
      </c>
      <c r="I195" s="48">
        <f t="shared" si="62"/>
        <v>-8.2395988616343789</v>
      </c>
    </row>
    <row r="196" spans="1:9" x14ac:dyDescent="0.25">
      <c r="A196" s="35">
        <f t="shared" si="1"/>
        <v>40206</v>
      </c>
      <c r="C196">
        <v>166.1</v>
      </c>
      <c r="D196">
        <v>202.9</v>
      </c>
      <c r="E196">
        <v>600.4</v>
      </c>
      <c r="F196">
        <v>539.1</v>
      </c>
      <c r="G196" s="14">
        <f t="shared" si="60"/>
        <v>766.5</v>
      </c>
      <c r="H196" s="2">
        <f t="shared" si="61"/>
        <v>742</v>
      </c>
      <c r="I196" s="48">
        <f t="shared" si="62"/>
        <v>3.3018867924528239</v>
      </c>
    </row>
    <row r="197" spans="1:9" x14ac:dyDescent="0.25">
      <c r="A197" s="35">
        <f t="shared" si="1"/>
        <v>40213</v>
      </c>
      <c r="C197">
        <v>151.6</v>
      </c>
      <c r="D197">
        <v>197.8</v>
      </c>
      <c r="E197">
        <v>615.79999999999995</v>
      </c>
      <c r="F197">
        <v>621.79999999999995</v>
      </c>
      <c r="G197" s="14">
        <f t="shared" si="60"/>
        <v>767.4</v>
      </c>
      <c r="H197" s="2">
        <f t="shared" si="61"/>
        <v>819.59999999999991</v>
      </c>
      <c r="I197" s="48">
        <f t="shared" si="62"/>
        <v>-6.3689604685212231</v>
      </c>
    </row>
    <row r="198" spans="1:9" x14ac:dyDescent="0.25">
      <c r="A198" s="35">
        <f t="shared" si="1"/>
        <v>40220</v>
      </c>
      <c r="C198">
        <v>196.6</v>
      </c>
      <c r="D198">
        <v>195.7</v>
      </c>
      <c r="E198">
        <v>630</v>
      </c>
      <c r="F198">
        <v>633.79999999999995</v>
      </c>
      <c r="G198" s="14">
        <f t="shared" si="60"/>
        <v>826.6</v>
      </c>
      <c r="H198" s="2">
        <f t="shared" si="61"/>
        <v>829.5</v>
      </c>
      <c r="I198" s="48">
        <f t="shared" si="62"/>
        <v>-0.34960819770946117</v>
      </c>
    </row>
    <row r="199" spans="1:9" x14ac:dyDescent="0.25">
      <c r="A199" s="35">
        <f t="shared" si="1"/>
        <v>40227</v>
      </c>
      <c r="C199">
        <v>182.2</v>
      </c>
      <c r="D199">
        <v>188.6</v>
      </c>
      <c r="E199">
        <v>651.4</v>
      </c>
      <c r="F199">
        <v>642</v>
      </c>
      <c r="G199" s="14">
        <f t="shared" si="60"/>
        <v>833.59999999999991</v>
      </c>
      <c r="H199" s="2">
        <f t="shared" si="61"/>
        <v>830.6</v>
      </c>
      <c r="I199" s="48">
        <f t="shared" si="62"/>
        <v>0.36118468576931129</v>
      </c>
    </row>
    <row r="200" spans="1:9" x14ac:dyDescent="0.25">
      <c r="A200" s="35">
        <f t="shared" si="1"/>
        <v>40234</v>
      </c>
      <c r="C200">
        <v>162.30000000000001</v>
      </c>
      <c r="D200">
        <v>254.7</v>
      </c>
      <c r="E200">
        <v>742.3</v>
      </c>
      <c r="F200">
        <v>656.2</v>
      </c>
      <c r="G200" s="14">
        <f t="shared" si="60"/>
        <v>904.59999999999991</v>
      </c>
      <c r="H200" s="2">
        <f t="shared" si="61"/>
        <v>910.90000000000009</v>
      </c>
      <c r="I200" s="48">
        <f t="shared" si="62"/>
        <v>-0.6916236688989108</v>
      </c>
    </row>
    <row r="201" spans="1:9" x14ac:dyDescent="0.25">
      <c r="A201" s="35">
        <f t="shared" si="1"/>
        <v>40241</v>
      </c>
      <c r="C201">
        <v>140.4</v>
      </c>
      <c r="D201">
        <v>252.1</v>
      </c>
      <c r="E201">
        <v>766.5</v>
      </c>
      <c r="F201">
        <v>736.2</v>
      </c>
      <c r="G201" s="14">
        <f t="shared" si="60"/>
        <v>906.9</v>
      </c>
      <c r="H201" s="2">
        <f t="shared" si="61"/>
        <v>988.30000000000007</v>
      </c>
      <c r="I201" s="48">
        <f t="shared" si="62"/>
        <v>-8.2363654760700289</v>
      </c>
    </row>
    <row r="202" spans="1:9" x14ac:dyDescent="0.25">
      <c r="A202" s="35">
        <f t="shared" si="1"/>
        <v>40248</v>
      </c>
      <c r="C202">
        <v>160.1</v>
      </c>
      <c r="D202">
        <v>245.9</v>
      </c>
      <c r="E202">
        <v>842.1</v>
      </c>
      <c r="F202">
        <v>747.4</v>
      </c>
      <c r="G202" s="14">
        <f t="shared" si="60"/>
        <v>1002.2</v>
      </c>
      <c r="H202" s="2">
        <f t="shared" si="61"/>
        <v>993.3</v>
      </c>
      <c r="I202" s="48">
        <f t="shared" si="62"/>
        <v>0.89600322158462919</v>
      </c>
    </row>
    <row r="203" spans="1:9" x14ac:dyDescent="0.25">
      <c r="A203" s="35">
        <f t="shared" si="1"/>
        <v>40255</v>
      </c>
      <c r="C203">
        <v>148.1</v>
      </c>
      <c r="D203">
        <v>267.2</v>
      </c>
      <c r="E203">
        <v>923.5</v>
      </c>
      <c r="F203">
        <v>761.1</v>
      </c>
      <c r="G203" s="14">
        <f t="shared" si="60"/>
        <v>1071.5999999999999</v>
      </c>
      <c r="H203" s="2">
        <f t="shared" si="61"/>
        <v>1028.3</v>
      </c>
      <c r="I203" s="48">
        <f t="shared" si="62"/>
        <v>4.2108334143732273</v>
      </c>
    </row>
    <row r="204" spans="1:9" x14ac:dyDescent="0.25">
      <c r="A204" s="35">
        <f t="shared" si="1"/>
        <v>40262</v>
      </c>
      <c r="C204">
        <v>130.30000000000001</v>
      </c>
      <c r="D204">
        <v>336.7</v>
      </c>
      <c r="E204">
        <v>944</v>
      </c>
      <c r="F204">
        <v>769</v>
      </c>
      <c r="G204" s="14">
        <f t="shared" si="60"/>
        <v>1074.3</v>
      </c>
      <c r="H204" s="2">
        <f t="shared" si="61"/>
        <v>1105.7</v>
      </c>
      <c r="I204" s="48">
        <f t="shared" si="62"/>
        <v>-2.8398299719634701</v>
      </c>
    </row>
    <row r="205" spans="1:9" x14ac:dyDescent="0.25">
      <c r="A205" s="35">
        <f t="shared" si="1"/>
        <v>40269</v>
      </c>
      <c r="C205">
        <v>132</v>
      </c>
      <c r="D205">
        <v>331.2</v>
      </c>
      <c r="E205">
        <v>955.5</v>
      </c>
      <c r="F205">
        <v>779.3</v>
      </c>
      <c r="G205" s="14">
        <f t="shared" si="60"/>
        <v>1087.5</v>
      </c>
      <c r="H205" s="2">
        <f t="shared" si="61"/>
        <v>1110.5</v>
      </c>
      <c r="I205" s="48">
        <f t="shared" si="62"/>
        <v>-2.0711391265195833</v>
      </c>
    </row>
    <row r="206" spans="1:9" x14ac:dyDescent="0.25">
      <c r="A206" s="35">
        <f t="shared" si="1"/>
        <v>40276</v>
      </c>
      <c r="C206">
        <v>119</v>
      </c>
      <c r="D206">
        <v>265.39999999999998</v>
      </c>
      <c r="E206">
        <v>973.1</v>
      </c>
      <c r="F206">
        <v>849.7</v>
      </c>
      <c r="G206" s="14">
        <f t="shared" si="60"/>
        <v>1092.0999999999999</v>
      </c>
      <c r="H206" s="2">
        <f t="shared" si="61"/>
        <v>1115.0999999999999</v>
      </c>
      <c r="I206" s="48">
        <f t="shared" si="62"/>
        <v>-2.0625952829342653</v>
      </c>
    </row>
    <row r="207" spans="1:9" x14ac:dyDescent="0.25">
      <c r="A207" s="35">
        <f t="shared" si="1"/>
        <v>40283</v>
      </c>
      <c r="C207">
        <v>112.4</v>
      </c>
      <c r="D207">
        <v>256.39999999999998</v>
      </c>
      <c r="E207">
        <v>981.8</v>
      </c>
      <c r="F207">
        <v>862.3</v>
      </c>
      <c r="G207" s="14">
        <f t="shared" si="60"/>
        <v>1094.2</v>
      </c>
      <c r="H207" s="2">
        <f t="shared" si="61"/>
        <v>1118.6999999999998</v>
      </c>
      <c r="I207" s="48">
        <f t="shared" si="62"/>
        <v>-2.1900420130508413</v>
      </c>
    </row>
    <row r="208" spans="1:9" x14ac:dyDescent="0.25">
      <c r="A208" s="35">
        <f t="shared" si="1"/>
        <v>40290</v>
      </c>
      <c r="C208">
        <v>102</v>
      </c>
      <c r="D208">
        <v>188.3</v>
      </c>
      <c r="E208">
        <v>994</v>
      </c>
      <c r="F208">
        <v>936.2</v>
      </c>
      <c r="G208" s="14">
        <f t="shared" si="60"/>
        <v>1096</v>
      </c>
      <c r="H208" s="2">
        <f t="shared" si="61"/>
        <v>1124.5</v>
      </c>
      <c r="I208" s="48">
        <f t="shared" si="62"/>
        <v>-2.5344597598932816</v>
      </c>
    </row>
    <row r="209" spans="1:10" x14ac:dyDescent="0.25">
      <c r="A209" s="35">
        <f t="shared" si="1"/>
        <v>40297</v>
      </c>
      <c r="C209">
        <v>97.3</v>
      </c>
      <c r="D209">
        <v>172</v>
      </c>
      <c r="E209">
        <v>1001</v>
      </c>
      <c r="F209">
        <v>953.6</v>
      </c>
      <c r="G209" s="14">
        <f t="shared" si="60"/>
        <v>1098.3</v>
      </c>
      <c r="H209" s="2">
        <f t="shared" si="61"/>
        <v>1125.5999999999999</v>
      </c>
      <c r="I209" s="48">
        <f t="shared" si="62"/>
        <v>-2.4253731343283569</v>
      </c>
      <c r="J209">
        <v>0</v>
      </c>
    </row>
    <row r="210" spans="1:10" x14ac:dyDescent="0.25">
      <c r="A210" s="35">
        <f t="shared" si="1"/>
        <v>40304</v>
      </c>
      <c r="C210">
        <v>109.8</v>
      </c>
      <c r="D210">
        <v>176.8</v>
      </c>
      <c r="E210">
        <v>1006.6</v>
      </c>
      <c r="F210">
        <v>969.1</v>
      </c>
      <c r="G210" s="14">
        <f t="shared" si="60"/>
        <v>1116.4000000000001</v>
      </c>
      <c r="H210" s="2">
        <f t="shared" si="61"/>
        <v>1145.9000000000001</v>
      </c>
      <c r="I210" s="48">
        <f t="shared" si="62"/>
        <v>-2.5743956715245653</v>
      </c>
      <c r="J210">
        <v>0</v>
      </c>
    </row>
    <row r="211" spans="1:10" x14ac:dyDescent="0.25">
      <c r="A211" s="35">
        <f t="shared" si="1"/>
        <v>40311</v>
      </c>
      <c r="C211">
        <v>84</v>
      </c>
      <c r="D211">
        <v>177.3</v>
      </c>
      <c r="E211">
        <v>1079.8</v>
      </c>
      <c r="F211">
        <v>989.1</v>
      </c>
      <c r="G211" s="14">
        <f t="shared" si="60"/>
        <v>1163.8</v>
      </c>
      <c r="H211" s="2">
        <f t="shared" si="61"/>
        <v>1166.4000000000001</v>
      </c>
      <c r="I211" s="48">
        <f t="shared" si="62"/>
        <v>-0.22290809327847327</v>
      </c>
      <c r="J211">
        <v>0</v>
      </c>
    </row>
    <row r="212" spans="1:10" x14ac:dyDescent="0.25">
      <c r="A212" s="35">
        <f t="shared" si="1"/>
        <v>40318</v>
      </c>
      <c r="C212">
        <v>84</v>
      </c>
      <c r="D212">
        <v>177.3</v>
      </c>
      <c r="E212">
        <v>1079.8</v>
      </c>
      <c r="F212">
        <v>989.1</v>
      </c>
      <c r="G212" s="14">
        <f t="shared" si="60"/>
        <v>1163.8</v>
      </c>
      <c r="H212" s="2">
        <f t="shared" si="61"/>
        <v>1166.4000000000001</v>
      </c>
      <c r="I212" s="48">
        <f t="shared" si="62"/>
        <v>-0.22290809327847327</v>
      </c>
      <c r="J212">
        <v>0</v>
      </c>
    </row>
    <row r="213" spans="1:10" x14ac:dyDescent="0.25">
      <c r="A213" s="35">
        <f t="shared" si="1"/>
        <v>40325</v>
      </c>
      <c r="C213">
        <v>71.099999999999994</v>
      </c>
      <c r="D213">
        <v>52.2</v>
      </c>
      <c r="E213">
        <v>1097.0999999999999</v>
      </c>
      <c r="F213">
        <v>1130</v>
      </c>
      <c r="G213" s="14">
        <f t="shared" si="60"/>
        <v>1168.1999999999998</v>
      </c>
      <c r="H213" s="2">
        <f t="shared" si="61"/>
        <v>1182.2</v>
      </c>
      <c r="I213" s="48">
        <f t="shared" si="62"/>
        <v>-1.1842327863305857</v>
      </c>
      <c r="J213">
        <v>0</v>
      </c>
    </row>
    <row r="214" spans="1:10" x14ac:dyDescent="0.25">
      <c r="A214" s="35">
        <f t="shared" si="1"/>
        <v>40332</v>
      </c>
      <c r="C214">
        <v>72.3</v>
      </c>
      <c r="D214">
        <v>48.1</v>
      </c>
      <c r="E214">
        <v>1175</v>
      </c>
      <c r="F214">
        <v>1136.5999999999999</v>
      </c>
      <c r="G214" s="14">
        <f t="shared" si="60"/>
        <v>1247.3</v>
      </c>
      <c r="H214" s="2">
        <f t="shared" si="61"/>
        <v>1184.6999999999998</v>
      </c>
      <c r="I214" s="48">
        <f t="shared" si="62"/>
        <v>5.2840381531189529</v>
      </c>
      <c r="J214">
        <v>0</v>
      </c>
    </row>
    <row r="215" spans="1:10" x14ac:dyDescent="0.25">
      <c r="A215" s="35">
        <f t="shared" si="1"/>
        <v>40339</v>
      </c>
      <c r="C215">
        <v>62.4</v>
      </c>
      <c r="D215">
        <v>46.8</v>
      </c>
      <c r="E215">
        <v>1185</v>
      </c>
      <c r="F215">
        <v>1144.3</v>
      </c>
      <c r="G215" s="14">
        <f t="shared" si="60"/>
        <v>1247.4000000000001</v>
      </c>
      <c r="H215" s="2">
        <f t="shared" si="61"/>
        <v>1191.0999999999999</v>
      </c>
      <c r="I215" s="48">
        <f t="shared" si="62"/>
        <v>4.7267231970447687</v>
      </c>
      <c r="J215">
        <v>0</v>
      </c>
    </row>
    <row r="216" spans="1:10" x14ac:dyDescent="0.25">
      <c r="A216" s="35">
        <f t="shared" si="1"/>
        <v>40346</v>
      </c>
      <c r="C216">
        <v>52.9</v>
      </c>
      <c r="D216">
        <v>39.5</v>
      </c>
      <c r="E216">
        <v>1195.5</v>
      </c>
      <c r="F216">
        <v>1153.9000000000001</v>
      </c>
      <c r="G216" s="14">
        <f t="shared" si="60"/>
        <v>1248.4000000000001</v>
      </c>
      <c r="H216" s="2">
        <f t="shared" si="61"/>
        <v>1193.4000000000001</v>
      </c>
      <c r="I216" s="48">
        <f t="shared" si="62"/>
        <v>4.6086810792693056</v>
      </c>
      <c r="J216">
        <v>0</v>
      </c>
    </row>
    <row r="217" spans="1:10" x14ac:dyDescent="0.25">
      <c r="A217" s="35">
        <f t="shared" si="1"/>
        <v>40353</v>
      </c>
      <c r="C217">
        <v>105.1</v>
      </c>
      <c r="D217">
        <v>30.1</v>
      </c>
      <c r="E217">
        <v>1205.5</v>
      </c>
      <c r="F217">
        <v>1168.3</v>
      </c>
      <c r="G217" s="14">
        <f t="shared" ref="G217:G227" si="63">+C217+E217</f>
        <v>1310.5999999999999</v>
      </c>
      <c r="H217" s="2">
        <f t="shared" ref="H217:H227" si="64">+D217+F217</f>
        <v>1198.3999999999999</v>
      </c>
      <c r="I217" s="48">
        <f t="shared" si="62"/>
        <v>9.3624833110814478</v>
      </c>
      <c r="J217">
        <v>0</v>
      </c>
    </row>
    <row r="218" spans="1:10" x14ac:dyDescent="0.25">
      <c r="A218" s="35">
        <f t="shared" si="1"/>
        <v>40360</v>
      </c>
      <c r="C218">
        <v>104.3</v>
      </c>
      <c r="D218">
        <v>26.5</v>
      </c>
      <c r="E218">
        <v>1212.7</v>
      </c>
      <c r="F218">
        <v>1171.9000000000001</v>
      </c>
      <c r="G218" s="14">
        <f t="shared" si="63"/>
        <v>1317</v>
      </c>
      <c r="H218" s="2">
        <f t="shared" si="64"/>
        <v>1198.4000000000001</v>
      </c>
      <c r="I218" s="48">
        <f t="shared" si="62"/>
        <v>9.8965287049399109</v>
      </c>
    </row>
    <row r="219" spans="1:10" x14ac:dyDescent="0.25">
      <c r="A219" s="35">
        <f t="shared" si="1"/>
        <v>40367</v>
      </c>
      <c r="C219">
        <v>155.6</v>
      </c>
      <c r="D219">
        <v>20.8</v>
      </c>
      <c r="E219">
        <v>1221.5</v>
      </c>
      <c r="F219">
        <v>1177.7</v>
      </c>
      <c r="G219" s="14">
        <f t="shared" si="63"/>
        <v>1377.1</v>
      </c>
      <c r="H219" s="2">
        <f t="shared" si="64"/>
        <v>1198.5</v>
      </c>
      <c r="I219" s="48">
        <f t="shared" si="62"/>
        <v>14.901960784313717</v>
      </c>
    </row>
    <row r="220" spans="1:10" x14ac:dyDescent="0.25">
      <c r="A220" s="35">
        <f t="shared" si="1"/>
        <v>40374</v>
      </c>
      <c r="C220">
        <v>88.6</v>
      </c>
      <c r="D220">
        <v>25</v>
      </c>
      <c r="E220">
        <v>1228.4000000000001</v>
      </c>
      <c r="F220">
        <v>1187.4000000000001</v>
      </c>
      <c r="G220" s="14">
        <f t="shared" si="63"/>
        <v>1317</v>
      </c>
      <c r="H220" s="2">
        <f t="shared" si="64"/>
        <v>1212.4000000000001</v>
      </c>
      <c r="I220" s="48">
        <f t="shared" ref="I220:I227" si="65">+(G220/H220-1)*100</f>
        <v>8.6275156713955692</v>
      </c>
      <c r="J220">
        <v>60</v>
      </c>
    </row>
    <row r="221" spans="1:10" x14ac:dyDescent="0.25">
      <c r="A221" s="35">
        <f t="shared" si="1"/>
        <v>40381</v>
      </c>
      <c r="C221">
        <v>81.7</v>
      </c>
      <c r="D221">
        <v>77.400000000000006</v>
      </c>
      <c r="E221">
        <v>1235.3</v>
      </c>
      <c r="F221">
        <v>1258.0999999999999</v>
      </c>
      <c r="G221" s="14">
        <f t="shared" si="63"/>
        <v>1317</v>
      </c>
      <c r="H221" s="2">
        <f t="shared" si="64"/>
        <v>1335.5</v>
      </c>
      <c r="I221" s="48">
        <f t="shared" si="65"/>
        <v>-1.3852489704230586</v>
      </c>
      <c r="J221">
        <v>65</v>
      </c>
    </row>
    <row r="222" spans="1:10" x14ac:dyDescent="0.25">
      <c r="A222" s="35">
        <f t="shared" si="1"/>
        <v>40388</v>
      </c>
      <c r="C222">
        <v>82.8</v>
      </c>
      <c r="D222">
        <v>78.5</v>
      </c>
      <c r="E222">
        <v>1304.7</v>
      </c>
      <c r="F222">
        <v>1264.5999999999999</v>
      </c>
      <c r="G222" s="14">
        <f t="shared" si="63"/>
        <v>1387.5</v>
      </c>
      <c r="H222" s="2">
        <f t="shared" si="64"/>
        <v>1343.1</v>
      </c>
      <c r="I222" s="48">
        <f t="shared" si="65"/>
        <v>3.3057851239669533</v>
      </c>
    </row>
    <row r="223" spans="1:10" x14ac:dyDescent="0.25">
      <c r="A223" s="35">
        <f t="shared" si="1"/>
        <v>40395</v>
      </c>
      <c r="C223">
        <v>145.4</v>
      </c>
      <c r="D223">
        <v>162.4</v>
      </c>
      <c r="E223">
        <v>1309.8</v>
      </c>
      <c r="F223">
        <v>1266.5999999999999</v>
      </c>
      <c r="G223" s="14">
        <f t="shared" si="63"/>
        <v>1455.2</v>
      </c>
      <c r="H223" s="2">
        <f t="shared" si="64"/>
        <v>1429</v>
      </c>
      <c r="I223" s="48">
        <f t="shared" si="65"/>
        <v>1.8334499650104918</v>
      </c>
      <c r="J223">
        <v>95.5</v>
      </c>
    </row>
    <row r="224" spans="1:10" x14ac:dyDescent="0.25">
      <c r="A224" s="35">
        <f t="shared" si="1"/>
        <v>40402</v>
      </c>
      <c r="C224">
        <v>109.5</v>
      </c>
      <c r="D224">
        <v>166.2</v>
      </c>
      <c r="E224">
        <v>1385.6</v>
      </c>
      <c r="F224">
        <v>1269.8</v>
      </c>
      <c r="G224" s="14">
        <f t="shared" si="63"/>
        <v>1495.1</v>
      </c>
      <c r="H224" s="2">
        <f t="shared" si="64"/>
        <v>1436</v>
      </c>
      <c r="I224" s="48">
        <f t="shared" si="65"/>
        <v>4.1155988857938697</v>
      </c>
      <c r="J224">
        <v>155.5</v>
      </c>
    </row>
    <row r="225" spans="1:10" x14ac:dyDescent="0.25">
      <c r="A225" s="35">
        <f t="shared" si="1"/>
        <v>40409</v>
      </c>
      <c r="C225">
        <v>103.8</v>
      </c>
      <c r="D225">
        <v>106.1</v>
      </c>
      <c r="E225">
        <v>1392.9</v>
      </c>
      <c r="F225">
        <v>1332.5</v>
      </c>
      <c r="G225" s="14">
        <f t="shared" si="63"/>
        <v>1496.7</v>
      </c>
      <c r="H225" s="2">
        <f t="shared" si="64"/>
        <v>1438.6</v>
      </c>
      <c r="I225" s="48">
        <f t="shared" si="65"/>
        <v>4.0386486862227233</v>
      </c>
      <c r="J225">
        <v>210.5</v>
      </c>
    </row>
    <row r="226" spans="1:10" x14ac:dyDescent="0.25">
      <c r="A226" s="35">
        <f t="shared" si="1"/>
        <v>40416</v>
      </c>
      <c r="C226">
        <v>112.4</v>
      </c>
      <c r="D226">
        <v>100.2</v>
      </c>
      <c r="E226">
        <v>1393.8</v>
      </c>
      <c r="F226">
        <v>1338.3</v>
      </c>
      <c r="G226" s="14">
        <f t="shared" si="63"/>
        <v>1506.2</v>
      </c>
      <c r="H226" s="2">
        <f t="shared" si="64"/>
        <v>1438.5</v>
      </c>
      <c r="I226" s="48">
        <f t="shared" si="65"/>
        <v>4.7062912756343556</v>
      </c>
      <c r="J226">
        <v>218.5</v>
      </c>
    </row>
    <row r="227" spans="1:10" x14ac:dyDescent="0.25">
      <c r="A227" s="35">
        <f t="shared" si="1"/>
        <v>40423</v>
      </c>
      <c r="C227">
        <v>286.3</v>
      </c>
      <c r="D227">
        <v>126.5</v>
      </c>
      <c r="F227">
        <v>3.3</v>
      </c>
      <c r="G227" s="14">
        <f t="shared" si="63"/>
        <v>286.3</v>
      </c>
      <c r="H227" s="2">
        <f t="shared" si="64"/>
        <v>129.80000000000001</v>
      </c>
      <c r="I227" s="48">
        <f t="shared" si="65"/>
        <v>120.57010785824343</v>
      </c>
    </row>
    <row r="228" spans="1:10" x14ac:dyDescent="0.25">
      <c r="A228" s="35">
        <f t="shared" si="1"/>
        <v>40430</v>
      </c>
      <c r="C228">
        <v>350</v>
      </c>
      <c r="D228">
        <v>130.6</v>
      </c>
      <c r="E228">
        <v>2.4</v>
      </c>
      <c r="F228">
        <v>9.1999999999999993</v>
      </c>
      <c r="G228" s="14">
        <f t="shared" ref="G228:G264" si="66">+C228+E228</f>
        <v>352.4</v>
      </c>
      <c r="H228" s="2">
        <f t="shared" ref="H228:H264" si="67">+D228+F228</f>
        <v>139.79999999999998</v>
      </c>
      <c r="I228" s="48">
        <f t="shared" ref="I228:I264" si="68">+(G228/H228-1)*100</f>
        <v>152.07439198855508</v>
      </c>
    </row>
    <row r="229" spans="1:10" x14ac:dyDescent="0.25">
      <c r="A229" s="35">
        <f t="shared" si="1"/>
        <v>40437</v>
      </c>
      <c r="C229">
        <v>357.2</v>
      </c>
      <c r="D229">
        <v>134.6</v>
      </c>
      <c r="E229">
        <v>6.3</v>
      </c>
      <c r="F229">
        <v>14.9</v>
      </c>
      <c r="G229" s="14">
        <f t="shared" si="66"/>
        <v>363.5</v>
      </c>
      <c r="H229" s="2">
        <f t="shared" si="67"/>
        <v>149.5</v>
      </c>
      <c r="I229" s="48">
        <f t="shared" si="68"/>
        <v>143.1438127090301</v>
      </c>
    </row>
    <row r="230" spans="1:10" x14ac:dyDescent="0.25">
      <c r="A230" s="35">
        <f t="shared" si="1"/>
        <v>40444</v>
      </c>
      <c r="C230">
        <v>482.1</v>
      </c>
      <c r="D230">
        <v>138</v>
      </c>
      <c r="E230">
        <v>73.2</v>
      </c>
      <c r="F230">
        <v>19.600000000000001</v>
      </c>
      <c r="G230" s="14">
        <f t="shared" si="66"/>
        <v>555.30000000000007</v>
      </c>
      <c r="H230" s="2">
        <f t="shared" si="67"/>
        <v>157.6</v>
      </c>
      <c r="I230" s="48">
        <f t="shared" si="68"/>
        <v>252.34771573604067</v>
      </c>
    </row>
    <row r="231" spans="1:10" x14ac:dyDescent="0.25">
      <c r="A231" s="35">
        <f t="shared" si="1"/>
        <v>40451</v>
      </c>
      <c r="C231">
        <v>481</v>
      </c>
      <c r="D231">
        <v>132.80000000000001</v>
      </c>
      <c r="E231">
        <v>77.400000000000006</v>
      </c>
      <c r="F231">
        <v>25.8</v>
      </c>
      <c r="G231" s="14">
        <f t="shared" si="66"/>
        <v>558.4</v>
      </c>
      <c r="H231" s="2">
        <f t="shared" si="67"/>
        <v>158.60000000000002</v>
      </c>
      <c r="I231" s="48">
        <f t="shared" si="68"/>
        <v>252.08070617906677</v>
      </c>
    </row>
    <row r="232" spans="1:10" x14ac:dyDescent="0.25">
      <c r="A232" s="35">
        <f t="shared" si="1"/>
        <v>40458</v>
      </c>
      <c r="C232">
        <v>514.6</v>
      </c>
      <c r="D232">
        <v>146.19999999999999</v>
      </c>
      <c r="E232">
        <v>85.7</v>
      </c>
      <c r="F232">
        <v>26.3</v>
      </c>
      <c r="G232" s="14">
        <f t="shared" si="66"/>
        <v>600.30000000000007</v>
      </c>
      <c r="H232" s="2">
        <f t="shared" si="67"/>
        <v>172.5</v>
      </c>
      <c r="I232" s="48">
        <f t="shared" si="68"/>
        <v>248.00000000000006</v>
      </c>
    </row>
    <row r="233" spans="1:10" x14ac:dyDescent="0.25">
      <c r="A233" s="35">
        <f t="shared" si="1"/>
        <v>40465</v>
      </c>
      <c r="C233">
        <v>507.4</v>
      </c>
      <c r="D233">
        <v>147.1</v>
      </c>
      <c r="E233">
        <v>93.5</v>
      </c>
      <c r="F233">
        <v>30.3</v>
      </c>
      <c r="G233" s="14">
        <f t="shared" si="66"/>
        <v>600.9</v>
      </c>
      <c r="H233" s="2">
        <f t="shared" si="67"/>
        <v>177.4</v>
      </c>
      <c r="I233" s="48">
        <f t="shared" si="68"/>
        <v>238.72604284103721</v>
      </c>
    </row>
    <row r="234" spans="1:10" x14ac:dyDescent="0.25">
      <c r="A234" s="35">
        <f t="shared" si="1"/>
        <v>40472</v>
      </c>
      <c r="C234">
        <v>499</v>
      </c>
      <c r="D234">
        <v>156.9</v>
      </c>
      <c r="E234">
        <v>106.7</v>
      </c>
      <c r="F234">
        <v>31.6</v>
      </c>
      <c r="G234" s="14">
        <f t="shared" si="66"/>
        <v>605.70000000000005</v>
      </c>
      <c r="H234" s="2">
        <f t="shared" si="67"/>
        <v>188.5</v>
      </c>
      <c r="I234" s="48">
        <f t="shared" si="68"/>
        <v>221.32625994694962</v>
      </c>
    </row>
    <row r="235" spans="1:10" x14ac:dyDescent="0.25">
      <c r="A235" s="35">
        <f t="shared" si="1"/>
        <v>40479</v>
      </c>
      <c r="C235">
        <v>473.5</v>
      </c>
      <c r="D235">
        <v>155.30000000000001</v>
      </c>
      <c r="E235">
        <v>136.6</v>
      </c>
      <c r="F235">
        <v>98.6</v>
      </c>
      <c r="G235" s="14">
        <f t="shared" si="66"/>
        <v>610.1</v>
      </c>
      <c r="H235" s="2">
        <f t="shared" si="67"/>
        <v>253.9</v>
      </c>
      <c r="I235" s="48">
        <f t="shared" si="68"/>
        <v>140.2914533280819</v>
      </c>
    </row>
    <row r="236" spans="1:10" x14ac:dyDescent="0.25">
      <c r="A236" s="35">
        <f t="shared" si="1"/>
        <v>40486</v>
      </c>
      <c r="C236">
        <v>455.5</v>
      </c>
      <c r="D236">
        <v>154.30000000000001</v>
      </c>
      <c r="E236">
        <v>161.69999999999999</v>
      </c>
      <c r="F236">
        <v>103.1</v>
      </c>
      <c r="G236" s="14">
        <f t="shared" si="66"/>
        <v>617.20000000000005</v>
      </c>
      <c r="H236" s="2">
        <f t="shared" si="67"/>
        <v>257.39999999999998</v>
      </c>
      <c r="I236" s="48">
        <f t="shared" si="68"/>
        <v>139.78243978243984</v>
      </c>
    </row>
    <row r="237" spans="1:10" x14ac:dyDescent="0.25">
      <c r="A237" s="35">
        <f t="shared" si="1"/>
        <v>40493</v>
      </c>
      <c r="C237">
        <v>437.9</v>
      </c>
      <c r="D237">
        <v>155.19999999999999</v>
      </c>
      <c r="E237">
        <v>224.5</v>
      </c>
      <c r="F237">
        <v>195.2</v>
      </c>
      <c r="G237" s="14">
        <f t="shared" si="66"/>
        <v>662.4</v>
      </c>
      <c r="H237" s="2">
        <f t="shared" si="67"/>
        <v>350.4</v>
      </c>
      <c r="I237" s="48">
        <f t="shared" si="68"/>
        <v>89.041095890410958</v>
      </c>
    </row>
    <row r="238" spans="1:10" x14ac:dyDescent="0.25">
      <c r="A238" s="35">
        <f t="shared" si="1"/>
        <v>40500</v>
      </c>
      <c r="C238">
        <v>418.6</v>
      </c>
      <c r="D238">
        <v>167.8</v>
      </c>
      <c r="E238">
        <v>249.6</v>
      </c>
      <c r="F238">
        <v>218.6</v>
      </c>
      <c r="G238" s="14">
        <f t="shared" si="66"/>
        <v>668.2</v>
      </c>
      <c r="H238" s="2">
        <f t="shared" si="67"/>
        <v>386.4</v>
      </c>
      <c r="I238" s="48">
        <f t="shared" si="68"/>
        <v>72.929606625258828</v>
      </c>
    </row>
    <row r="239" spans="1:10" x14ac:dyDescent="0.25">
      <c r="A239" s="35">
        <f t="shared" si="1"/>
        <v>40507</v>
      </c>
      <c r="C239">
        <v>404.2</v>
      </c>
      <c r="D239">
        <v>168.3</v>
      </c>
      <c r="E239">
        <v>262.3</v>
      </c>
      <c r="F239">
        <v>237</v>
      </c>
      <c r="G239" s="14">
        <f t="shared" si="66"/>
        <v>666.5</v>
      </c>
      <c r="H239" s="2">
        <f t="shared" si="67"/>
        <v>405.3</v>
      </c>
      <c r="I239" s="48">
        <f t="shared" si="68"/>
        <v>64.446089316555643</v>
      </c>
    </row>
    <row r="240" spans="1:10" x14ac:dyDescent="0.25">
      <c r="A240" s="35">
        <f t="shared" si="1"/>
        <v>40514</v>
      </c>
      <c r="C240">
        <v>259.60000000000002</v>
      </c>
      <c r="D240">
        <v>232.1</v>
      </c>
      <c r="E240">
        <v>488</v>
      </c>
      <c r="F240">
        <v>245.6</v>
      </c>
      <c r="G240" s="14">
        <f t="shared" si="66"/>
        <v>747.6</v>
      </c>
      <c r="H240" s="2">
        <f t="shared" si="67"/>
        <v>477.7</v>
      </c>
      <c r="I240" s="48">
        <f t="shared" si="68"/>
        <v>56.4998953317982</v>
      </c>
    </row>
    <row r="241" spans="1:9" x14ac:dyDescent="0.25">
      <c r="A241" s="35">
        <f t="shared" si="1"/>
        <v>40521</v>
      </c>
      <c r="C241">
        <v>253.8</v>
      </c>
      <c r="D241">
        <v>220.1</v>
      </c>
      <c r="E241">
        <v>516.70000000000005</v>
      </c>
      <c r="F241">
        <v>270.60000000000002</v>
      </c>
      <c r="G241" s="14">
        <f t="shared" si="66"/>
        <v>770.5</v>
      </c>
      <c r="H241" s="2">
        <f t="shared" si="67"/>
        <v>490.70000000000005</v>
      </c>
      <c r="I241" s="48">
        <f t="shared" si="68"/>
        <v>57.020582840839594</v>
      </c>
    </row>
    <row r="242" spans="1:9" x14ac:dyDescent="0.25">
      <c r="A242" s="35">
        <f t="shared" si="1"/>
        <v>40528</v>
      </c>
      <c r="C242">
        <v>235</v>
      </c>
      <c r="D242">
        <v>143.69999999999999</v>
      </c>
      <c r="E242">
        <v>599.29999999999995</v>
      </c>
      <c r="F242">
        <v>357.7</v>
      </c>
      <c r="G242" s="14">
        <f t="shared" si="66"/>
        <v>834.3</v>
      </c>
      <c r="H242" s="2">
        <f t="shared" si="67"/>
        <v>501.4</v>
      </c>
      <c r="I242" s="48">
        <f t="shared" si="68"/>
        <v>66.394096529716791</v>
      </c>
    </row>
    <row r="243" spans="1:9" x14ac:dyDescent="0.25">
      <c r="A243" s="35">
        <f t="shared" si="1"/>
        <v>40535</v>
      </c>
      <c r="C243">
        <v>222.1</v>
      </c>
      <c r="D243">
        <v>145.80000000000001</v>
      </c>
      <c r="E243">
        <v>613.4</v>
      </c>
      <c r="F243">
        <v>368.4</v>
      </c>
      <c r="G243" s="14">
        <f t="shared" si="66"/>
        <v>835.5</v>
      </c>
      <c r="H243" s="2">
        <f t="shared" si="67"/>
        <v>514.20000000000005</v>
      </c>
      <c r="I243" s="48">
        <f t="shared" si="68"/>
        <v>62.485414235705925</v>
      </c>
    </row>
    <row r="244" spans="1:9" x14ac:dyDescent="0.25">
      <c r="A244" s="35">
        <f t="shared" si="1"/>
        <v>40542</v>
      </c>
      <c r="C244">
        <v>215.3</v>
      </c>
      <c r="D244">
        <v>131.80000000000001</v>
      </c>
      <c r="E244">
        <v>620.79999999999995</v>
      </c>
      <c r="F244">
        <v>459.9</v>
      </c>
      <c r="G244" s="14">
        <f t="shared" si="66"/>
        <v>836.09999999999991</v>
      </c>
      <c r="H244" s="2">
        <f t="shared" si="67"/>
        <v>591.70000000000005</v>
      </c>
      <c r="I244" s="48">
        <f t="shared" si="68"/>
        <v>41.304715227311121</v>
      </c>
    </row>
    <row r="245" spans="1:9" x14ac:dyDescent="0.25">
      <c r="A245" s="35">
        <f t="shared" si="1"/>
        <v>40549</v>
      </c>
      <c r="C245">
        <v>207.8</v>
      </c>
      <c r="D245">
        <v>125.4</v>
      </c>
      <c r="E245">
        <v>669.7</v>
      </c>
      <c r="F245">
        <v>484.8</v>
      </c>
      <c r="G245" s="14">
        <f t="shared" si="66"/>
        <v>877.5</v>
      </c>
      <c r="H245" s="2">
        <f t="shared" si="67"/>
        <v>610.20000000000005</v>
      </c>
      <c r="I245" s="48">
        <f t="shared" si="68"/>
        <v>43.805309734513266</v>
      </c>
    </row>
    <row r="246" spans="1:9" x14ac:dyDescent="0.25">
      <c r="A246" s="35">
        <f t="shared" si="1"/>
        <v>40556</v>
      </c>
      <c r="C246">
        <v>209.6</v>
      </c>
      <c r="D246">
        <v>132.30000000000001</v>
      </c>
      <c r="E246">
        <v>681.1</v>
      </c>
      <c r="F246">
        <v>497.6</v>
      </c>
      <c r="G246" s="14">
        <f t="shared" si="66"/>
        <v>890.7</v>
      </c>
      <c r="H246" s="2">
        <f t="shared" si="67"/>
        <v>629.90000000000009</v>
      </c>
      <c r="I246" s="48">
        <f t="shared" si="68"/>
        <v>41.403397364661053</v>
      </c>
    </row>
    <row r="247" spans="1:9" x14ac:dyDescent="0.25">
      <c r="A247" s="35">
        <f t="shared" si="1"/>
        <v>40563</v>
      </c>
      <c r="C247">
        <v>224.3</v>
      </c>
      <c r="D247">
        <v>159.30000000000001</v>
      </c>
      <c r="E247">
        <v>696.3</v>
      </c>
      <c r="F247">
        <v>517.79999999999995</v>
      </c>
      <c r="G247" s="14">
        <f t="shared" si="66"/>
        <v>920.59999999999991</v>
      </c>
      <c r="H247" s="2">
        <f t="shared" si="67"/>
        <v>677.09999999999991</v>
      </c>
      <c r="I247" s="48">
        <f t="shared" si="68"/>
        <v>35.962191699896628</v>
      </c>
    </row>
    <row r="248" spans="1:9" x14ac:dyDescent="0.25">
      <c r="A248" s="35">
        <f t="shared" si="1"/>
        <v>40570</v>
      </c>
      <c r="C248">
        <v>224.6</v>
      </c>
      <c r="D248">
        <v>166.1</v>
      </c>
      <c r="E248">
        <v>706.3</v>
      </c>
      <c r="F248">
        <v>600.4</v>
      </c>
      <c r="G248" s="14">
        <f t="shared" si="66"/>
        <v>930.9</v>
      </c>
      <c r="H248" s="2">
        <f t="shared" si="67"/>
        <v>766.5</v>
      </c>
      <c r="I248" s="48">
        <f t="shared" si="68"/>
        <v>21.448140900195689</v>
      </c>
    </row>
    <row r="249" spans="1:9" x14ac:dyDescent="0.25">
      <c r="A249" s="35">
        <f t="shared" si="1"/>
        <v>40577</v>
      </c>
      <c r="C249">
        <v>208.7</v>
      </c>
      <c r="D249">
        <v>151.6</v>
      </c>
      <c r="E249">
        <v>728.1</v>
      </c>
      <c r="F249">
        <v>615.79999999999995</v>
      </c>
      <c r="G249" s="14">
        <f t="shared" si="66"/>
        <v>936.8</v>
      </c>
      <c r="H249" s="2">
        <f t="shared" si="67"/>
        <v>767.4</v>
      </c>
      <c r="I249" s="48">
        <f t="shared" si="68"/>
        <v>22.074537399009643</v>
      </c>
    </row>
    <row r="250" spans="1:9" x14ac:dyDescent="0.25">
      <c r="A250" s="35">
        <f t="shared" si="1"/>
        <v>40584</v>
      </c>
      <c r="C250">
        <v>210.2</v>
      </c>
      <c r="D250">
        <v>196.6</v>
      </c>
      <c r="E250">
        <v>739</v>
      </c>
      <c r="F250">
        <v>630</v>
      </c>
      <c r="G250" s="14">
        <f t="shared" si="66"/>
        <v>949.2</v>
      </c>
      <c r="H250" s="2">
        <f t="shared" si="67"/>
        <v>826.6</v>
      </c>
      <c r="I250" s="48">
        <f t="shared" si="68"/>
        <v>14.831841277522372</v>
      </c>
    </row>
    <row r="251" spans="1:9" x14ac:dyDescent="0.25">
      <c r="A251" s="35">
        <f t="shared" si="1"/>
        <v>40591</v>
      </c>
      <c r="C251">
        <v>206.8</v>
      </c>
      <c r="D251">
        <v>182.2</v>
      </c>
      <c r="E251">
        <v>750</v>
      </c>
      <c r="F251">
        <v>651.4</v>
      </c>
      <c r="G251" s="14">
        <f t="shared" si="66"/>
        <v>956.8</v>
      </c>
      <c r="H251" s="2">
        <f t="shared" si="67"/>
        <v>833.59999999999991</v>
      </c>
      <c r="I251" s="48">
        <f t="shared" si="68"/>
        <v>14.779270633397324</v>
      </c>
    </row>
    <row r="252" spans="1:9" x14ac:dyDescent="0.25">
      <c r="A252" s="35">
        <f t="shared" si="1"/>
        <v>40598</v>
      </c>
      <c r="C252">
        <v>214</v>
      </c>
      <c r="D252">
        <v>162.30000000000001</v>
      </c>
      <c r="E252">
        <v>760</v>
      </c>
      <c r="F252">
        <v>742.3</v>
      </c>
      <c r="G252" s="14">
        <f t="shared" si="66"/>
        <v>974</v>
      </c>
      <c r="H252" s="2">
        <f t="shared" si="67"/>
        <v>904.59999999999991</v>
      </c>
      <c r="I252" s="48">
        <f t="shared" si="68"/>
        <v>7.6718991819588966</v>
      </c>
    </row>
    <row r="253" spans="1:9" x14ac:dyDescent="0.25">
      <c r="A253" s="35">
        <f t="shared" ref="A253:A316" si="69">+A252+7</f>
        <v>40605</v>
      </c>
      <c r="C253">
        <v>215.4</v>
      </c>
      <c r="D253">
        <v>140.4</v>
      </c>
      <c r="E253">
        <v>822.6</v>
      </c>
      <c r="F253">
        <v>766.5</v>
      </c>
      <c r="G253" s="14">
        <f t="shared" si="66"/>
        <v>1038</v>
      </c>
      <c r="H253" s="2">
        <f t="shared" si="67"/>
        <v>906.9</v>
      </c>
      <c r="I253" s="48">
        <f t="shared" si="68"/>
        <v>14.455838570956004</v>
      </c>
    </row>
    <row r="254" spans="1:9" x14ac:dyDescent="0.25">
      <c r="A254" s="35">
        <f t="shared" si="69"/>
        <v>40612</v>
      </c>
      <c r="C254">
        <v>196.8</v>
      </c>
      <c r="D254">
        <v>160.1</v>
      </c>
      <c r="E254">
        <v>842.3</v>
      </c>
      <c r="F254">
        <v>842.1</v>
      </c>
      <c r="G254" s="14">
        <f t="shared" si="66"/>
        <v>1039.0999999999999</v>
      </c>
      <c r="H254" s="2">
        <f t="shared" si="67"/>
        <v>1002.2</v>
      </c>
      <c r="I254" s="48">
        <f t="shared" si="68"/>
        <v>3.681899820395107</v>
      </c>
    </row>
    <row r="255" spans="1:9" x14ac:dyDescent="0.25">
      <c r="A255" s="35">
        <f t="shared" si="69"/>
        <v>40619</v>
      </c>
      <c r="C255">
        <v>210.6</v>
      </c>
      <c r="D255">
        <v>148.1</v>
      </c>
      <c r="E255">
        <v>858.8</v>
      </c>
      <c r="F255">
        <v>923.5</v>
      </c>
      <c r="G255" s="14">
        <f t="shared" si="66"/>
        <v>1069.3999999999999</v>
      </c>
      <c r="H255" s="2">
        <f t="shared" si="67"/>
        <v>1071.5999999999999</v>
      </c>
      <c r="I255" s="48">
        <f t="shared" si="68"/>
        <v>-0.20530048525569944</v>
      </c>
    </row>
    <row r="256" spans="1:9" x14ac:dyDescent="0.25">
      <c r="A256" s="35">
        <f t="shared" si="69"/>
        <v>40626</v>
      </c>
      <c r="C256">
        <v>152.30000000000001</v>
      </c>
      <c r="D256">
        <v>130.30000000000001</v>
      </c>
      <c r="E256">
        <v>937.9</v>
      </c>
      <c r="F256">
        <v>944</v>
      </c>
      <c r="G256" s="14">
        <f t="shared" si="66"/>
        <v>1090.2</v>
      </c>
      <c r="H256" s="2">
        <f t="shared" si="67"/>
        <v>1074.3</v>
      </c>
      <c r="I256" s="48">
        <f t="shared" si="68"/>
        <v>1.480033510192702</v>
      </c>
    </row>
    <row r="257" spans="1:10" x14ac:dyDescent="0.25">
      <c r="A257" s="35">
        <f t="shared" si="69"/>
        <v>40633</v>
      </c>
      <c r="C257">
        <v>166.7</v>
      </c>
      <c r="D257">
        <v>132</v>
      </c>
      <c r="E257">
        <v>1022</v>
      </c>
      <c r="F257">
        <v>955.5</v>
      </c>
      <c r="G257" s="14">
        <f t="shared" si="66"/>
        <v>1188.7</v>
      </c>
      <c r="H257" s="2">
        <f t="shared" si="67"/>
        <v>1087.5</v>
      </c>
      <c r="I257" s="48">
        <f t="shared" si="68"/>
        <v>9.3057471264367919</v>
      </c>
    </row>
    <row r="258" spans="1:10" x14ac:dyDescent="0.25">
      <c r="A258" s="35">
        <f t="shared" si="69"/>
        <v>40640</v>
      </c>
      <c r="C258">
        <v>160.30000000000001</v>
      </c>
      <c r="D258">
        <v>119</v>
      </c>
      <c r="E258">
        <v>1036.4000000000001</v>
      </c>
      <c r="F258">
        <v>973.1</v>
      </c>
      <c r="G258" s="14">
        <f t="shared" si="66"/>
        <v>1196.7</v>
      </c>
      <c r="H258" s="2">
        <f t="shared" si="67"/>
        <v>1092.0999999999999</v>
      </c>
      <c r="I258" s="48">
        <f t="shared" si="68"/>
        <v>9.5778774837469207</v>
      </c>
    </row>
    <row r="259" spans="1:10" x14ac:dyDescent="0.25">
      <c r="A259" s="35">
        <f t="shared" si="69"/>
        <v>40647</v>
      </c>
      <c r="C259">
        <v>170.8</v>
      </c>
      <c r="D259">
        <v>112.4</v>
      </c>
      <c r="E259">
        <v>1050.3</v>
      </c>
      <c r="F259">
        <v>981.8</v>
      </c>
      <c r="G259" s="14">
        <f t="shared" si="66"/>
        <v>1221.0999999999999</v>
      </c>
      <c r="H259" s="2">
        <f t="shared" si="67"/>
        <v>1094.2</v>
      </c>
      <c r="I259" s="48">
        <f t="shared" si="68"/>
        <v>11.597514165600419</v>
      </c>
    </row>
    <row r="260" spans="1:10" x14ac:dyDescent="0.25">
      <c r="A260" s="35">
        <f t="shared" si="69"/>
        <v>40654</v>
      </c>
      <c r="C260">
        <v>184.9</v>
      </c>
      <c r="D260">
        <v>102</v>
      </c>
      <c r="E260">
        <v>1124.9000000000001</v>
      </c>
      <c r="F260">
        <v>994.1</v>
      </c>
      <c r="G260" s="14">
        <f t="shared" si="66"/>
        <v>1309.8000000000002</v>
      </c>
      <c r="H260" s="2">
        <f t="shared" si="67"/>
        <v>1096.0999999999999</v>
      </c>
      <c r="I260" s="48">
        <f t="shared" si="68"/>
        <v>19.496396314204944</v>
      </c>
    </row>
    <row r="261" spans="1:10" x14ac:dyDescent="0.25">
      <c r="A261" s="35">
        <f t="shared" si="69"/>
        <v>40661</v>
      </c>
      <c r="C261">
        <v>206.1</v>
      </c>
      <c r="D261">
        <v>97.3</v>
      </c>
      <c r="E261">
        <v>1132.4000000000001</v>
      </c>
      <c r="F261">
        <v>1001</v>
      </c>
      <c r="G261" s="14">
        <f t="shared" si="66"/>
        <v>1338.5</v>
      </c>
      <c r="H261" s="2">
        <f t="shared" si="67"/>
        <v>1098.3</v>
      </c>
      <c r="I261" s="48">
        <f t="shared" si="68"/>
        <v>21.870162979149612</v>
      </c>
    </row>
    <row r="262" spans="1:10" x14ac:dyDescent="0.25">
      <c r="A262" s="35">
        <f t="shared" si="69"/>
        <v>40668</v>
      </c>
      <c r="C262">
        <v>209.9</v>
      </c>
      <c r="D262">
        <v>109.8</v>
      </c>
      <c r="E262">
        <v>1137.4000000000001</v>
      </c>
      <c r="F262">
        <v>1006.6</v>
      </c>
      <c r="G262" s="14">
        <f t="shared" si="66"/>
        <v>1347.3000000000002</v>
      </c>
      <c r="H262" s="2">
        <f t="shared" si="67"/>
        <v>1116.4000000000001</v>
      </c>
      <c r="I262" s="48">
        <f t="shared" si="68"/>
        <v>20.682551056968833</v>
      </c>
    </row>
    <row r="263" spans="1:10" x14ac:dyDescent="0.25">
      <c r="A263" s="35">
        <f t="shared" si="69"/>
        <v>40675</v>
      </c>
      <c r="C263">
        <v>229.1</v>
      </c>
      <c r="D263">
        <v>84</v>
      </c>
      <c r="E263">
        <v>1148.5</v>
      </c>
      <c r="F263">
        <v>1079.8</v>
      </c>
      <c r="G263" s="14">
        <f t="shared" si="66"/>
        <v>1377.6</v>
      </c>
      <c r="H263" s="2">
        <f t="shared" si="67"/>
        <v>1163.8</v>
      </c>
      <c r="I263" s="48">
        <f t="shared" si="68"/>
        <v>18.370854098642386</v>
      </c>
    </row>
    <row r="264" spans="1:10" x14ac:dyDescent="0.25">
      <c r="A264" s="35">
        <f t="shared" si="69"/>
        <v>40682</v>
      </c>
      <c r="C264">
        <v>218.2</v>
      </c>
      <c r="D264">
        <v>77.400000000000006</v>
      </c>
      <c r="E264">
        <v>1230.2</v>
      </c>
      <c r="F264">
        <v>1089.8</v>
      </c>
      <c r="G264" s="14">
        <f t="shared" si="66"/>
        <v>1448.4</v>
      </c>
      <c r="H264" s="2">
        <f t="shared" si="67"/>
        <v>1167.2</v>
      </c>
      <c r="I264" s="48">
        <f t="shared" si="68"/>
        <v>24.091843728581217</v>
      </c>
    </row>
    <row r="265" spans="1:10" x14ac:dyDescent="0.25">
      <c r="A265" s="35">
        <f t="shared" si="69"/>
        <v>40689</v>
      </c>
      <c r="C265">
        <v>210.4</v>
      </c>
      <c r="D265">
        <v>71.099999999999994</v>
      </c>
      <c r="E265">
        <v>1261.5999999999999</v>
      </c>
      <c r="F265">
        <v>1097.0999999999999</v>
      </c>
      <c r="G265" s="14">
        <f t="shared" ref="G265:G274" si="70">+C265+E265</f>
        <v>1472</v>
      </c>
      <c r="H265" s="2">
        <f t="shared" ref="H265:H274" si="71">+D265+F265</f>
        <v>1168.1999999999998</v>
      </c>
      <c r="I265" s="48">
        <f t="shared" ref="I265:I274" si="72">+(G265/H265-1)*100</f>
        <v>26.005820921075173</v>
      </c>
    </row>
    <row r="266" spans="1:10" x14ac:dyDescent="0.25">
      <c r="A266" s="35">
        <f t="shared" si="69"/>
        <v>40696</v>
      </c>
      <c r="C266">
        <v>168.8</v>
      </c>
      <c r="D266">
        <v>75.3</v>
      </c>
      <c r="E266">
        <v>1279</v>
      </c>
      <c r="F266">
        <v>1175</v>
      </c>
      <c r="G266" s="14">
        <f t="shared" si="70"/>
        <v>1447.8</v>
      </c>
      <c r="H266" s="2">
        <f t="shared" si="71"/>
        <v>1250.3</v>
      </c>
      <c r="I266" s="48">
        <f t="shared" si="72"/>
        <v>15.796208909861642</v>
      </c>
    </row>
    <row r="267" spans="1:10" x14ac:dyDescent="0.25">
      <c r="A267" s="35">
        <f t="shared" si="69"/>
        <v>40703</v>
      </c>
      <c r="C267">
        <v>182.3</v>
      </c>
      <c r="D267">
        <v>62.4</v>
      </c>
      <c r="E267">
        <v>1296.0999999999999</v>
      </c>
      <c r="F267">
        <v>1185</v>
      </c>
      <c r="G267" s="14">
        <f t="shared" si="70"/>
        <v>1478.3999999999999</v>
      </c>
      <c r="H267" s="2">
        <f t="shared" si="71"/>
        <v>1247.4000000000001</v>
      </c>
      <c r="I267" s="48">
        <f t="shared" si="72"/>
        <v>18.518518518518491</v>
      </c>
      <c r="J267">
        <v>5</v>
      </c>
    </row>
    <row r="268" spans="1:10" x14ac:dyDescent="0.25">
      <c r="A268" s="35">
        <f t="shared" si="69"/>
        <v>40710</v>
      </c>
      <c r="C268">
        <v>171.6</v>
      </c>
      <c r="D268">
        <v>52.9</v>
      </c>
      <c r="E268">
        <v>1312.4</v>
      </c>
      <c r="F268">
        <v>1195.5</v>
      </c>
      <c r="G268" s="14">
        <f t="shared" si="70"/>
        <v>1484</v>
      </c>
      <c r="H268" s="2">
        <f t="shared" si="71"/>
        <v>1248.4000000000001</v>
      </c>
      <c r="I268" s="48">
        <f t="shared" si="72"/>
        <v>18.87215636014097</v>
      </c>
      <c r="J268">
        <v>5</v>
      </c>
    </row>
    <row r="269" spans="1:10" x14ac:dyDescent="0.25">
      <c r="A269" s="35">
        <f t="shared" si="69"/>
        <v>40717</v>
      </c>
      <c r="C269">
        <v>155.9</v>
      </c>
      <c r="D269">
        <v>105.1</v>
      </c>
      <c r="E269">
        <v>1330.9</v>
      </c>
      <c r="F269">
        <v>1205.5</v>
      </c>
      <c r="G269" s="14">
        <f t="shared" si="70"/>
        <v>1486.8000000000002</v>
      </c>
      <c r="H269" s="2">
        <f t="shared" si="71"/>
        <v>1310.5999999999999</v>
      </c>
      <c r="I269" s="48">
        <f t="shared" si="72"/>
        <v>13.444224019533069</v>
      </c>
      <c r="J269">
        <v>5</v>
      </c>
    </row>
    <row r="270" spans="1:10" x14ac:dyDescent="0.25">
      <c r="A270" s="35">
        <f t="shared" si="69"/>
        <v>40724</v>
      </c>
      <c r="C270">
        <v>146.80000000000001</v>
      </c>
      <c r="D270">
        <v>104.3</v>
      </c>
      <c r="E270">
        <v>1348.8</v>
      </c>
      <c r="F270">
        <v>1212.7</v>
      </c>
      <c r="G270" s="14">
        <f t="shared" si="70"/>
        <v>1495.6</v>
      </c>
      <c r="H270" s="2">
        <f t="shared" si="71"/>
        <v>1317</v>
      </c>
      <c r="I270" s="48">
        <f t="shared" si="72"/>
        <v>13.561123766135141</v>
      </c>
      <c r="J270">
        <v>5</v>
      </c>
    </row>
    <row r="271" spans="1:10" x14ac:dyDescent="0.25">
      <c r="A271" s="35">
        <f t="shared" si="69"/>
        <v>40731</v>
      </c>
      <c r="C271">
        <v>115.2</v>
      </c>
      <c r="D271">
        <v>155.6</v>
      </c>
      <c r="E271">
        <v>1494.6</v>
      </c>
      <c r="F271">
        <v>1221.5</v>
      </c>
      <c r="G271" s="14">
        <f t="shared" si="70"/>
        <v>1609.8</v>
      </c>
      <c r="H271" s="2">
        <f t="shared" si="71"/>
        <v>1377.1</v>
      </c>
      <c r="I271" s="48">
        <f t="shared" si="72"/>
        <v>16.897828770604907</v>
      </c>
      <c r="J271">
        <v>20</v>
      </c>
    </row>
    <row r="272" spans="1:10" x14ac:dyDescent="0.25">
      <c r="A272" s="35">
        <f t="shared" si="69"/>
        <v>40738</v>
      </c>
      <c r="C272">
        <v>120.2</v>
      </c>
      <c r="D272">
        <v>88.6</v>
      </c>
      <c r="E272">
        <v>1499</v>
      </c>
      <c r="F272">
        <v>1228.4000000000001</v>
      </c>
      <c r="G272" s="14">
        <f t="shared" si="70"/>
        <v>1619.2</v>
      </c>
      <c r="H272" s="2">
        <f t="shared" si="71"/>
        <v>1317</v>
      </c>
      <c r="I272" s="48">
        <f t="shared" si="72"/>
        <v>22.946089597570229</v>
      </c>
      <c r="J272">
        <v>86</v>
      </c>
    </row>
    <row r="273" spans="1:10" x14ac:dyDescent="0.25">
      <c r="A273" s="35">
        <f t="shared" si="69"/>
        <v>40745</v>
      </c>
      <c r="C273">
        <v>134.69999999999999</v>
      </c>
      <c r="D273">
        <v>81.7</v>
      </c>
      <c r="E273">
        <v>1504.7</v>
      </c>
      <c r="F273">
        <v>1235.3</v>
      </c>
      <c r="G273" s="14">
        <f t="shared" si="70"/>
        <v>1639.4</v>
      </c>
      <c r="H273" s="2">
        <f t="shared" si="71"/>
        <v>1317</v>
      </c>
      <c r="I273" s="48">
        <f t="shared" si="72"/>
        <v>24.479878511769183</v>
      </c>
      <c r="J273">
        <v>103.5</v>
      </c>
    </row>
    <row r="274" spans="1:10" x14ac:dyDescent="0.25">
      <c r="A274" s="35">
        <f t="shared" si="69"/>
        <v>40752</v>
      </c>
      <c r="C274">
        <v>128.1</v>
      </c>
      <c r="D274">
        <v>82.8</v>
      </c>
      <c r="E274">
        <v>1521.5</v>
      </c>
      <c r="F274">
        <v>1304.7</v>
      </c>
      <c r="G274" s="14">
        <f t="shared" si="70"/>
        <v>1649.6</v>
      </c>
      <c r="H274" s="2">
        <f t="shared" si="71"/>
        <v>1387.5</v>
      </c>
      <c r="I274" s="48">
        <f t="shared" si="72"/>
        <v>18.890090090090084</v>
      </c>
      <c r="J274">
        <v>102.5</v>
      </c>
    </row>
    <row r="275" spans="1:10" x14ac:dyDescent="0.25">
      <c r="A275" s="35">
        <f t="shared" si="69"/>
        <v>40759</v>
      </c>
      <c r="C275">
        <v>148.19999999999999</v>
      </c>
      <c r="D275">
        <v>145.4</v>
      </c>
      <c r="E275">
        <v>1533.5</v>
      </c>
      <c r="F275">
        <v>1309.8</v>
      </c>
      <c r="G275" s="14">
        <f t="shared" ref="G275:H285" si="73">+C275+E275</f>
        <v>1681.7</v>
      </c>
      <c r="H275" s="2">
        <f t="shared" si="73"/>
        <v>1455.2</v>
      </c>
      <c r="I275" s="48">
        <f t="shared" ref="I275:I316" si="74">+(G275/H275-1)*100</f>
        <v>15.564870808136334</v>
      </c>
      <c r="J275">
        <v>108</v>
      </c>
    </row>
    <row r="276" spans="1:10" x14ac:dyDescent="0.25">
      <c r="A276" s="35">
        <f t="shared" si="69"/>
        <v>40766</v>
      </c>
      <c r="C276">
        <v>121.1</v>
      </c>
      <c r="D276">
        <v>109.5</v>
      </c>
      <c r="E276">
        <v>1555.2</v>
      </c>
      <c r="F276">
        <v>1385.6</v>
      </c>
      <c r="G276" s="14">
        <f t="shared" si="73"/>
        <v>1676.3</v>
      </c>
      <c r="H276" s="2">
        <f t="shared" si="73"/>
        <v>1495.1</v>
      </c>
      <c r="I276" s="48">
        <f t="shared" si="74"/>
        <v>12.119590662831925</v>
      </c>
      <c r="J276">
        <v>105</v>
      </c>
    </row>
    <row r="277" spans="1:10" x14ac:dyDescent="0.25">
      <c r="A277" s="35">
        <f t="shared" si="69"/>
        <v>40773</v>
      </c>
      <c r="C277">
        <v>184.4</v>
      </c>
      <c r="D277">
        <v>103.8</v>
      </c>
      <c r="E277">
        <v>1640.3</v>
      </c>
      <c r="F277">
        <v>1392.9</v>
      </c>
      <c r="G277" s="14">
        <f t="shared" si="73"/>
        <v>1824.7</v>
      </c>
      <c r="H277" s="2">
        <f t="shared" si="73"/>
        <v>1496.7</v>
      </c>
      <c r="I277" s="48">
        <f t="shared" si="74"/>
        <v>21.914879401349641</v>
      </c>
      <c r="J277">
        <v>201</v>
      </c>
    </row>
    <row r="278" spans="1:10" x14ac:dyDescent="0.25">
      <c r="A278" s="35">
        <f t="shared" si="69"/>
        <v>40780</v>
      </c>
      <c r="C278">
        <v>166.4</v>
      </c>
      <c r="D278">
        <v>112.4</v>
      </c>
      <c r="E278">
        <v>1660.7</v>
      </c>
      <c r="F278">
        <v>1393.8</v>
      </c>
      <c r="G278" s="14">
        <f t="shared" si="73"/>
        <v>1827.1000000000001</v>
      </c>
      <c r="H278" s="2">
        <f t="shared" si="73"/>
        <v>1506.2</v>
      </c>
      <c r="I278" s="48">
        <f t="shared" si="74"/>
        <v>21.305271544283634</v>
      </c>
      <c r="J278">
        <v>237</v>
      </c>
    </row>
    <row r="279" spans="1:10" x14ac:dyDescent="0.25">
      <c r="A279" s="35">
        <f t="shared" si="69"/>
        <v>40787</v>
      </c>
      <c r="C279">
        <v>400.3</v>
      </c>
      <c r="D279">
        <v>286.3</v>
      </c>
      <c r="E279">
        <v>3.7</v>
      </c>
      <c r="F279">
        <v>0</v>
      </c>
      <c r="G279" s="14">
        <f t="shared" si="73"/>
        <v>404</v>
      </c>
      <c r="H279" s="2">
        <f t="shared" si="73"/>
        <v>286.3</v>
      </c>
      <c r="I279" s="48">
        <f t="shared" si="74"/>
        <v>41.11072301781347</v>
      </c>
    </row>
    <row r="280" spans="1:10" x14ac:dyDescent="0.25">
      <c r="A280" s="35">
        <f t="shared" si="69"/>
        <v>40794</v>
      </c>
      <c r="C280">
        <v>380.7</v>
      </c>
      <c r="D280">
        <v>350</v>
      </c>
      <c r="E280">
        <v>20.8</v>
      </c>
      <c r="F280">
        <v>2.4</v>
      </c>
      <c r="G280" s="14">
        <f t="shared" si="73"/>
        <v>401.5</v>
      </c>
      <c r="H280" s="2">
        <f t="shared" si="73"/>
        <v>352.4</v>
      </c>
      <c r="I280" s="48">
        <f t="shared" si="74"/>
        <v>13.933030646992073</v>
      </c>
    </row>
    <row r="281" spans="1:10" x14ac:dyDescent="0.25">
      <c r="A281" s="35">
        <f t="shared" si="69"/>
        <v>40801</v>
      </c>
      <c r="C281">
        <v>374.6</v>
      </c>
      <c r="D281">
        <v>357.2</v>
      </c>
      <c r="E281">
        <v>31.4</v>
      </c>
      <c r="F281">
        <v>6.3</v>
      </c>
      <c r="G281" s="14">
        <f t="shared" si="73"/>
        <v>406</v>
      </c>
      <c r="H281" s="2">
        <f t="shared" si="73"/>
        <v>363.5</v>
      </c>
      <c r="I281" s="48">
        <f t="shared" si="74"/>
        <v>11.691884456671243</v>
      </c>
    </row>
    <row r="282" spans="1:10" x14ac:dyDescent="0.25">
      <c r="A282" s="35">
        <f t="shared" si="69"/>
        <v>40808</v>
      </c>
      <c r="C282">
        <v>379.7</v>
      </c>
      <c r="D282">
        <v>482.1</v>
      </c>
      <c r="E282">
        <v>45.4</v>
      </c>
      <c r="F282">
        <v>73.2</v>
      </c>
      <c r="G282" s="14">
        <f t="shared" si="73"/>
        <v>425.09999999999997</v>
      </c>
      <c r="H282" s="2">
        <f t="shared" si="73"/>
        <v>555.30000000000007</v>
      </c>
      <c r="I282" s="48">
        <f t="shared" si="74"/>
        <v>-23.44678552133983</v>
      </c>
    </row>
    <row r="283" spans="1:10" x14ac:dyDescent="0.25">
      <c r="A283" s="35">
        <f t="shared" si="69"/>
        <v>40815</v>
      </c>
      <c r="C283" s="84">
        <v>346.2</v>
      </c>
      <c r="D283" s="84">
        <v>481</v>
      </c>
      <c r="E283" s="84">
        <v>81.2</v>
      </c>
      <c r="F283" s="84">
        <v>77.400000000000006</v>
      </c>
      <c r="G283" s="119">
        <f t="shared" si="73"/>
        <v>427.4</v>
      </c>
      <c r="H283" s="2">
        <f t="shared" si="73"/>
        <v>558.4</v>
      </c>
      <c r="I283" s="48">
        <f t="shared" si="74"/>
        <v>-23.45988538681949</v>
      </c>
    </row>
    <row r="284" spans="1:10" ht="15" x14ac:dyDescent="0.35">
      <c r="A284" s="35">
        <f t="shared" si="69"/>
        <v>40822</v>
      </c>
      <c r="C284" s="85">
        <v>344.8</v>
      </c>
      <c r="D284" s="84">
        <v>514.6</v>
      </c>
      <c r="E284" s="84">
        <v>95.1</v>
      </c>
      <c r="F284" s="84">
        <v>85.7</v>
      </c>
      <c r="G284" s="119">
        <f t="shared" si="73"/>
        <v>439.9</v>
      </c>
      <c r="H284" s="2">
        <f t="shared" si="73"/>
        <v>600.30000000000007</v>
      </c>
      <c r="I284" s="48">
        <f t="shared" si="74"/>
        <v>-26.719973346660019</v>
      </c>
    </row>
    <row r="285" spans="1:10" x14ac:dyDescent="0.25">
      <c r="A285" s="35">
        <f t="shared" si="69"/>
        <v>40829</v>
      </c>
      <c r="C285" s="84">
        <v>346.3</v>
      </c>
      <c r="D285" s="84">
        <v>507.4</v>
      </c>
      <c r="E285" s="84">
        <v>99.5</v>
      </c>
      <c r="F285" s="84">
        <v>93.5</v>
      </c>
      <c r="G285" s="119">
        <f t="shared" si="73"/>
        <v>445.8</v>
      </c>
      <c r="H285" s="2">
        <f t="shared" si="73"/>
        <v>600.9</v>
      </c>
      <c r="I285" s="48">
        <f t="shared" si="74"/>
        <v>-25.811283075386914</v>
      </c>
    </row>
    <row r="286" spans="1:10" x14ac:dyDescent="0.25">
      <c r="A286" s="35">
        <f t="shared" si="69"/>
        <v>40836</v>
      </c>
      <c r="C286" s="84">
        <v>340.8</v>
      </c>
      <c r="D286" s="84">
        <v>499</v>
      </c>
      <c r="E286" s="84">
        <v>107.2</v>
      </c>
      <c r="F286" s="84">
        <v>106.7</v>
      </c>
      <c r="G286" s="119">
        <f t="shared" ref="G286:H293" si="75">+C286+E286</f>
        <v>448</v>
      </c>
      <c r="H286" s="2">
        <f t="shared" si="75"/>
        <v>605.70000000000005</v>
      </c>
      <c r="I286" s="48">
        <f t="shared" si="74"/>
        <v>-26.035991414891868</v>
      </c>
    </row>
    <row r="287" spans="1:10" x14ac:dyDescent="0.25">
      <c r="A287" s="35">
        <f t="shared" si="69"/>
        <v>40843</v>
      </c>
      <c r="C287" s="84">
        <v>338.9</v>
      </c>
      <c r="D287" s="84">
        <v>473.5</v>
      </c>
      <c r="E287" s="84">
        <v>119</v>
      </c>
      <c r="F287" s="84">
        <v>136.6</v>
      </c>
      <c r="G287" s="119">
        <f t="shared" si="75"/>
        <v>457.9</v>
      </c>
      <c r="H287" s="2">
        <f t="shared" si="75"/>
        <v>610.1</v>
      </c>
      <c r="I287" s="48">
        <f t="shared" si="74"/>
        <v>-24.946730044255048</v>
      </c>
    </row>
    <row r="288" spans="1:10" x14ac:dyDescent="0.25">
      <c r="A288" s="35">
        <f t="shared" si="69"/>
        <v>40850</v>
      </c>
      <c r="C288" s="84">
        <v>198.8</v>
      </c>
      <c r="D288" s="84">
        <v>455.5</v>
      </c>
      <c r="E288" s="84">
        <v>265.2</v>
      </c>
      <c r="F288" s="84">
        <v>161.69999999999999</v>
      </c>
      <c r="G288" s="119">
        <f t="shared" si="75"/>
        <v>464</v>
      </c>
      <c r="H288" s="2">
        <f t="shared" si="75"/>
        <v>617.20000000000005</v>
      </c>
      <c r="I288" s="48">
        <f t="shared" si="74"/>
        <v>-24.821775761503574</v>
      </c>
    </row>
    <row r="289" spans="1:9" x14ac:dyDescent="0.25">
      <c r="A289" s="35">
        <f t="shared" si="69"/>
        <v>40857</v>
      </c>
      <c r="C289" s="84">
        <v>183.6</v>
      </c>
      <c r="D289" s="84">
        <v>437.9</v>
      </c>
      <c r="E289" s="84">
        <v>282.3</v>
      </c>
      <c r="F289" s="84">
        <v>224.5</v>
      </c>
      <c r="G289" s="119">
        <f t="shared" si="75"/>
        <v>465.9</v>
      </c>
      <c r="H289" s="2">
        <f t="shared" si="75"/>
        <v>662.4</v>
      </c>
      <c r="I289" s="48">
        <f t="shared" si="74"/>
        <v>-29.664855072463769</v>
      </c>
    </row>
    <row r="290" spans="1:9" x14ac:dyDescent="0.25">
      <c r="A290" s="35">
        <f t="shared" si="69"/>
        <v>40864</v>
      </c>
      <c r="C290" s="84">
        <v>172.1</v>
      </c>
      <c r="D290" s="84">
        <v>418.6</v>
      </c>
      <c r="E290" s="84">
        <v>307.89999999999998</v>
      </c>
      <c r="F290" s="84">
        <v>249.7</v>
      </c>
      <c r="G290" s="119">
        <f t="shared" si="75"/>
        <v>480</v>
      </c>
      <c r="H290" s="2">
        <f t="shared" si="75"/>
        <v>668.3</v>
      </c>
      <c r="I290" s="48">
        <f t="shared" si="74"/>
        <v>-28.175968876253176</v>
      </c>
    </row>
    <row r="291" spans="1:9" x14ac:dyDescent="0.25">
      <c r="A291" s="35">
        <f t="shared" si="69"/>
        <v>40871</v>
      </c>
      <c r="C291" s="84">
        <v>217.7</v>
      </c>
      <c r="D291" s="84">
        <v>404.2</v>
      </c>
      <c r="E291" s="84">
        <v>324.10000000000002</v>
      </c>
      <c r="F291" s="84">
        <v>262.3</v>
      </c>
      <c r="G291" s="119">
        <f t="shared" si="75"/>
        <v>541.79999999999995</v>
      </c>
      <c r="H291" s="2">
        <f t="shared" si="75"/>
        <v>666.5</v>
      </c>
      <c r="I291" s="48">
        <f t="shared" si="74"/>
        <v>-18.709677419354843</v>
      </c>
    </row>
    <row r="292" spans="1:9" x14ac:dyDescent="0.25">
      <c r="A292" s="35">
        <f t="shared" si="69"/>
        <v>40878</v>
      </c>
      <c r="C292" s="84">
        <v>212.8</v>
      </c>
      <c r="D292" s="84">
        <v>259.60000000000002</v>
      </c>
      <c r="E292" s="84">
        <v>331.5</v>
      </c>
      <c r="F292" s="84">
        <v>488.1</v>
      </c>
      <c r="G292" s="119">
        <f t="shared" si="75"/>
        <v>544.29999999999995</v>
      </c>
      <c r="H292" s="2">
        <f t="shared" si="75"/>
        <v>747.7</v>
      </c>
      <c r="I292" s="48">
        <f t="shared" si="74"/>
        <v>-27.203423833088149</v>
      </c>
    </row>
    <row r="293" spans="1:9" x14ac:dyDescent="0.25">
      <c r="A293" s="35">
        <f t="shared" si="69"/>
        <v>40885</v>
      </c>
      <c r="C293" s="84">
        <v>205.9</v>
      </c>
      <c r="D293" s="84">
        <v>253.8</v>
      </c>
      <c r="E293" s="84">
        <v>345.9</v>
      </c>
      <c r="F293" s="84">
        <v>5216.7</v>
      </c>
      <c r="G293" s="119">
        <f t="shared" si="75"/>
        <v>551.79999999999995</v>
      </c>
      <c r="H293" s="2">
        <f t="shared" si="75"/>
        <v>5470.5</v>
      </c>
      <c r="I293" s="48">
        <f t="shared" si="74"/>
        <v>-89.913170642537239</v>
      </c>
    </row>
    <row r="294" spans="1:9" x14ac:dyDescent="0.25">
      <c r="A294" s="35">
        <f t="shared" si="69"/>
        <v>40892</v>
      </c>
      <c r="C294">
        <v>208.4</v>
      </c>
      <c r="D294">
        <v>235</v>
      </c>
      <c r="E294">
        <v>419.9</v>
      </c>
      <c r="F294">
        <v>599.29999999999995</v>
      </c>
      <c r="G294" s="119">
        <f t="shared" ref="G294:H296" si="76">+C294+E294</f>
        <v>628.29999999999995</v>
      </c>
      <c r="H294" s="2">
        <f t="shared" si="76"/>
        <v>834.3</v>
      </c>
      <c r="I294" s="48">
        <f t="shared" si="74"/>
        <v>-24.691358024691358</v>
      </c>
    </row>
    <row r="295" spans="1:9" x14ac:dyDescent="0.25">
      <c r="A295" s="35">
        <f t="shared" si="69"/>
        <v>40899</v>
      </c>
      <c r="C295">
        <v>222.7</v>
      </c>
      <c r="D295">
        <v>222.1</v>
      </c>
      <c r="E295">
        <v>427.4</v>
      </c>
      <c r="F295">
        <v>613.4</v>
      </c>
      <c r="G295" s="119">
        <f t="shared" si="76"/>
        <v>650.09999999999991</v>
      </c>
      <c r="H295" s="2">
        <f t="shared" si="76"/>
        <v>835.5</v>
      </c>
      <c r="I295" s="48">
        <f t="shared" si="74"/>
        <v>-22.190305206463201</v>
      </c>
    </row>
    <row r="296" spans="1:9" x14ac:dyDescent="0.25">
      <c r="A296" s="35">
        <f t="shared" si="69"/>
        <v>40906</v>
      </c>
      <c r="C296">
        <v>226.1</v>
      </c>
      <c r="D296">
        <v>215.3</v>
      </c>
      <c r="E296">
        <v>460.6</v>
      </c>
      <c r="F296">
        <v>620.79999999999995</v>
      </c>
      <c r="G296" s="119">
        <f t="shared" si="76"/>
        <v>686.7</v>
      </c>
      <c r="H296" s="2">
        <f t="shared" si="76"/>
        <v>836.09999999999991</v>
      </c>
      <c r="I296" s="48">
        <f t="shared" si="74"/>
        <v>-17.868675995694282</v>
      </c>
    </row>
    <row r="297" spans="1:9" x14ac:dyDescent="0.25">
      <c r="A297" s="35">
        <f t="shared" si="69"/>
        <v>40913</v>
      </c>
      <c r="C297">
        <v>225.6</v>
      </c>
      <c r="D297">
        <v>207.8</v>
      </c>
      <c r="E297">
        <v>471.4</v>
      </c>
      <c r="F297">
        <v>669.7</v>
      </c>
      <c r="G297" s="119">
        <f>+C297+E297</f>
        <v>697</v>
      </c>
      <c r="H297" s="2">
        <f>+D297+F297</f>
        <v>877.5</v>
      </c>
      <c r="I297" s="48">
        <f t="shared" si="74"/>
        <v>-20.569800569800567</v>
      </c>
    </row>
    <row r="298" spans="1:9" x14ac:dyDescent="0.25">
      <c r="A298" s="35">
        <f t="shared" si="69"/>
        <v>40920</v>
      </c>
      <c r="C298">
        <v>306.39999999999998</v>
      </c>
      <c r="D298">
        <v>209.6</v>
      </c>
      <c r="E298">
        <v>544.29999999999995</v>
      </c>
      <c r="F298">
        <v>681.1</v>
      </c>
      <c r="G298" s="119">
        <f t="shared" ref="G298:G330" si="77">+C298+E298</f>
        <v>850.69999999999993</v>
      </c>
      <c r="H298" s="2">
        <f t="shared" ref="H298:H330" si="78">+D298+F298</f>
        <v>890.7</v>
      </c>
      <c r="I298" s="48">
        <f t="shared" si="74"/>
        <v>-4.4908498933423306</v>
      </c>
    </row>
    <row r="299" spans="1:9" x14ac:dyDescent="0.25">
      <c r="A299" s="35">
        <f t="shared" si="69"/>
        <v>40927</v>
      </c>
      <c r="C299">
        <v>315.3</v>
      </c>
      <c r="D299">
        <v>224.3</v>
      </c>
      <c r="E299">
        <v>551.9</v>
      </c>
      <c r="F299">
        <v>696.3</v>
      </c>
      <c r="G299" s="119">
        <f t="shared" si="77"/>
        <v>867.2</v>
      </c>
      <c r="H299" s="2">
        <f t="shared" si="78"/>
        <v>920.59999999999991</v>
      </c>
      <c r="I299" s="48">
        <f t="shared" si="74"/>
        <v>-5.8005648490115025</v>
      </c>
    </row>
    <row r="300" spans="1:9" x14ac:dyDescent="0.25">
      <c r="A300" s="35">
        <f t="shared" si="69"/>
        <v>40934</v>
      </c>
      <c r="C300">
        <v>278.39999999999998</v>
      </c>
      <c r="D300">
        <v>224.6</v>
      </c>
      <c r="E300">
        <v>592.6</v>
      </c>
      <c r="F300">
        <v>706.3</v>
      </c>
      <c r="G300" s="119">
        <f t="shared" si="77"/>
        <v>871</v>
      </c>
      <c r="H300" s="2">
        <f t="shared" si="78"/>
        <v>930.9</v>
      </c>
      <c r="I300" s="48">
        <f t="shared" si="74"/>
        <v>-6.4346331507143635</v>
      </c>
    </row>
    <row r="301" spans="1:9" x14ac:dyDescent="0.25">
      <c r="A301" s="35">
        <f t="shared" si="69"/>
        <v>40941</v>
      </c>
      <c r="C301">
        <v>266.8</v>
      </c>
      <c r="D301">
        <v>208.7</v>
      </c>
      <c r="E301">
        <v>610.79999999999995</v>
      </c>
      <c r="F301">
        <v>728.1</v>
      </c>
      <c r="G301" s="119">
        <f t="shared" si="77"/>
        <v>877.59999999999991</v>
      </c>
      <c r="H301" s="2">
        <f t="shared" si="78"/>
        <v>936.8</v>
      </c>
      <c r="I301" s="48">
        <f t="shared" si="74"/>
        <v>-6.3193851409052098</v>
      </c>
    </row>
    <row r="302" spans="1:9" x14ac:dyDescent="0.25">
      <c r="A302" s="35">
        <f t="shared" si="69"/>
        <v>40948</v>
      </c>
      <c r="C302">
        <v>259.3</v>
      </c>
      <c r="D302">
        <v>210.2</v>
      </c>
      <c r="E302">
        <v>698.7</v>
      </c>
      <c r="F302">
        <v>739</v>
      </c>
      <c r="G302" s="119">
        <f t="shared" si="77"/>
        <v>958</v>
      </c>
      <c r="H302" s="2">
        <f t="shared" si="78"/>
        <v>949.2</v>
      </c>
      <c r="I302" s="48">
        <f t="shared" si="74"/>
        <v>0.92709650231772578</v>
      </c>
    </row>
    <row r="303" spans="1:9" x14ac:dyDescent="0.25">
      <c r="A303" s="35">
        <f t="shared" si="69"/>
        <v>40955</v>
      </c>
      <c r="C303">
        <v>261.89999999999998</v>
      </c>
      <c r="D303">
        <v>206.8</v>
      </c>
      <c r="E303">
        <v>708</v>
      </c>
      <c r="F303">
        <v>750</v>
      </c>
      <c r="G303" s="119">
        <f t="shared" si="77"/>
        <v>969.9</v>
      </c>
      <c r="H303" s="2">
        <f t="shared" si="78"/>
        <v>956.8</v>
      </c>
      <c r="I303" s="48">
        <f t="shared" si="74"/>
        <v>1.3691471571906311</v>
      </c>
    </row>
    <row r="304" spans="1:9" x14ac:dyDescent="0.25">
      <c r="A304" s="35">
        <f t="shared" si="69"/>
        <v>40962</v>
      </c>
      <c r="C304">
        <v>268.89999999999998</v>
      </c>
      <c r="D304">
        <v>214</v>
      </c>
      <c r="E304">
        <v>728.2</v>
      </c>
      <c r="F304">
        <v>760</v>
      </c>
      <c r="G304" s="119">
        <f t="shared" si="77"/>
        <v>997.1</v>
      </c>
      <c r="H304" s="2">
        <f t="shared" si="78"/>
        <v>974</v>
      </c>
      <c r="I304" s="48">
        <f t="shared" si="74"/>
        <v>2.3716632443531838</v>
      </c>
    </row>
    <row r="305" spans="1:10" x14ac:dyDescent="0.25">
      <c r="A305" s="35">
        <f t="shared" si="69"/>
        <v>40969</v>
      </c>
      <c r="C305">
        <v>276.3</v>
      </c>
      <c r="D305">
        <v>215.4</v>
      </c>
      <c r="E305">
        <v>741.3</v>
      </c>
      <c r="F305">
        <v>822.6</v>
      </c>
      <c r="G305" s="119">
        <f t="shared" si="77"/>
        <v>1017.5999999999999</v>
      </c>
      <c r="H305" s="2">
        <f t="shared" si="78"/>
        <v>1038</v>
      </c>
      <c r="I305" s="48">
        <f t="shared" si="74"/>
        <v>-1.9653179190751491</v>
      </c>
    </row>
    <row r="306" spans="1:10" x14ac:dyDescent="0.25">
      <c r="A306" s="35">
        <f t="shared" si="69"/>
        <v>40976</v>
      </c>
      <c r="C306">
        <v>260.3</v>
      </c>
      <c r="D306">
        <v>196.8</v>
      </c>
      <c r="E306">
        <v>766.5</v>
      </c>
      <c r="F306">
        <v>842.3</v>
      </c>
      <c r="G306" s="119">
        <f t="shared" si="77"/>
        <v>1026.8</v>
      </c>
      <c r="H306" s="2">
        <f t="shared" si="78"/>
        <v>1039.0999999999999</v>
      </c>
      <c r="I306" s="48">
        <f t="shared" si="74"/>
        <v>-1.1837166778943309</v>
      </c>
    </row>
    <row r="307" spans="1:10" x14ac:dyDescent="0.25">
      <c r="A307" s="35">
        <f t="shared" si="69"/>
        <v>40983</v>
      </c>
      <c r="C307">
        <v>200.5</v>
      </c>
      <c r="D307">
        <v>210.6</v>
      </c>
      <c r="E307">
        <v>847.4</v>
      </c>
      <c r="F307">
        <v>858.8</v>
      </c>
      <c r="G307" s="119">
        <f t="shared" si="77"/>
        <v>1047.9000000000001</v>
      </c>
      <c r="H307" s="2">
        <f t="shared" si="78"/>
        <v>1069.3999999999999</v>
      </c>
      <c r="I307" s="48">
        <f t="shared" si="74"/>
        <v>-2.0104731625210204</v>
      </c>
    </row>
    <row r="308" spans="1:10" x14ac:dyDescent="0.25">
      <c r="A308" s="35">
        <f t="shared" si="69"/>
        <v>40990</v>
      </c>
      <c r="C308">
        <v>223.3</v>
      </c>
      <c r="D308">
        <v>152.30000000000001</v>
      </c>
      <c r="E308">
        <v>857.1</v>
      </c>
      <c r="F308">
        <v>937.9</v>
      </c>
      <c r="G308" s="119">
        <f t="shared" si="77"/>
        <v>1080.4000000000001</v>
      </c>
      <c r="H308" s="2">
        <f t="shared" si="78"/>
        <v>1090.2</v>
      </c>
      <c r="I308" s="48">
        <f t="shared" si="74"/>
        <v>-0.89891762979269485</v>
      </c>
    </row>
    <row r="309" spans="1:10" x14ac:dyDescent="0.25">
      <c r="A309" s="35">
        <f t="shared" si="69"/>
        <v>40997</v>
      </c>
      <c r="C309">
        <v>314.8</v>
      </c>
      <c r="D309">
        <v>166.7</v>
      </c>
      <c r="E309">
        <v>870.7</v>
      </c>
      <c r="F309">
        <v>1022</v>
      </c>
      <c r="G309" s="119">
        <f t="shared" si="77"/>
        <v>1185.5</v>
      </c>
      <c r="H309" s="2">
        <f t="shared" si="78"/>
        <v>1188.7</v>
      </c>
      <c r="I309" s="48">
        <f t="shared" si="74"/>
        <v>-0.26920164886010678</v>
      </c>
    </row>
    <row r="310" spans="1:10" x14ac:dyDescent="0.25">
      <c r="A310" s="35">
        <f t="shared" si="69"/>
        <v>41004</v>
      </c>
      <c r="C310">
        <v>249.9</v>
      </c>
      <c r="D310">
        <v>160.30000000000001</v>
      </c>
      <c r="E310">
        <v>1043.9000000000001</v>
      </c>
      <c r="F310">
        <v>1036.4000000000001</v>
      </c>
      <c r="G310" s="119">
        <f t="shared" si="77"/>
        <v>1293.8000000000002</v>
      </c>
      <c r="H310" s="2">
        <f t="shared" si="78"/>
        <v>1196.7</v>
      </c>
      <c r="I310" s="48">
        <f t="shared" si="74"/>
        <v>8.113980111974616</v>
      </c>
    </row>
    <row r="311" spans="1:10" x14ac:dyDescent="0.25">
      <c r="A311" s="35">
        <f t="shared" si="69"/>
        <v>41011</v>
      </c>
      <c r="C311">
        <v>242.9</v>
      </c>
      <c r="D311">
        <v>170.8</v>
      </c>
      <c r="E311">
        <v>1062.5</v>
      </c>
      <c r="F311">
        <v>1050.3</v>
      </c>
      <c r="G311" s="119">
        <f t="shared" si="77"/>
        <v>1305.4000000000001</v>
      </c>
      <c r="H311" s="2">
        <f t="shared" si="78"/>
        <v>1221.0999999999999</v>
      </c>
      <c r="I311" s="48">
        <f t="shared" si="74"/>
        <v>6.9036114978298313</v>
      </c>
    </row>
    <row r="312" spans="1:10" x14ac:dyDescent="0.25">
      <c r="A312" s="35">
        <f t="shared" si="69"/>
        <v>41018</v>
      </c>
      <c r="C312">
        <v>245.7</v>
      </c>
      <c r="D312">
        <v>184.9</v>
      </c>
      <c r="E312">
        <v>1069.9000000000001</v>
      </c>
      <c r="F312">
        <v>1124.9000000000001</v>
      </c>
      <c r="G312" s="119">
        <f t="shared" si="77"/>
        <v>1315.6000000000001</v>
      </c>
      <c r="H312" s="2">
        <f t="shared" si="78"/>
        <v>1309.8000000000002</v>
      </c>
      <c r="I312" s="48">
        <f t="shared" si="74"/>
        <v>0.44281569705297841</v>
      </c>
    </row>
    <row r="313" spans="1:10" x14ac:dyDescent="0.25">
      <c r="A313" s="35">
        <f t="shared" si="69"/>
        <v>41025</v>
      </c>
      <c r="C313">
        <v>240.3</v>
      </c>
      <c r="D313">
        <v>206.1</v>
      </c>
      <c r="E313">
        <v>1091.8</v>
      </c>
      <c r="F313">
        <v>1132.4000000000001</v>
      </c>
      <c r="G313" s="119">
        <f t="shared" si="77"/>
        <v>1332.1</v>
      </c>
      <c r="H313" s="2">
        <f t="shared" si="78"/>
        <v>1338.5</v>
      </c>
      <c r="I313" s="48">
        <f t="shared" si="74"/>
        <v>-0.4781471796787562</v>
      </c>
    </row>
    <row r="314" spans="1:10" x14ac:dyDescent="0.25">
      <c r="A314" s="35">
        <f t="shared" si="69"/>
        <v>41032</v>
      </c>
      <c r="C314">
        <v>237.4</v>
      </c>
      <c r="D314">
        <v>209.9</v>
      </c>
      <c r="E314">
        <v>1108.4000000000001</v>
      </c>
      <c r="F314">
        <v>1137.4000000000001</v>
      </c>
      <c r="G314" s="119">
        <f t="shared" si="77"/>
        <v>1345.8000000000002</v>
      </c>
      <c r="H314" s="2">
        <f t="shared" si="78"/>
        <v>1347.3000000000002</v>
      </c>
      <c r="I314" s="48">
        <f t="shared" si="74"/>
        <v>-0.11133377866844318</v>
      </c>
      <c r="J314">
        <v>60.5</v>
      </c>
    </row>
    <row r="315" spans="1:10" x14ac:dyDescent="0.25">
      <c r="A315" s="35">
        <f t="shared" si="69"/>
        <v>41039</v>
      </c>
      <c r="C315">
        <v>232.7</v>
      </c>
      <c r="D315">
        <v>229.1</v>
      </c>
      <c r="E315">
        <v>1121.4000000000001</v>
      </c>
      <c r="F315">
        <v>1148.5</v>
      </c>
      <c r="G315" s="119">
        <f t="shared" si="77"/>
        <v>1354.1000000000001</v>
      </c>
      <c r="H315" s="2">
        <f t="shared" si="78"/>
        <v>1377.6</v>
      </c>
      <c r="I315" s="48">
        <f t="shared" si="74"/>
        <v>-1.7058652729384227</v>
      </c>
      <c r="J315">
        <v>63.5</v>
      </c>
    </row>
    <row r="316" spans="1:10" x14ac:dyDescent="0.25">
      <c r="A316" s="35">
        <f t="shared" si="69"/>
        <v>41046</v>
      </c>
      <c r="C316">
        <v>234</v>
      </c>
      <c r="D316">
        <v>218.2</v>
      </c>
      <c r="E316">
        <v>1137.7</v>
      </c>
      <c r="F316">
        <v>1230.2</v>
      </c>
      <c r="G316" s="119">
        <f t="shared" si="77"/>
        <v>1371.7</v>
      </c>
      <c r="H316" s="2">
        <f t="shared" si="78"/>
        <v>1448.4</v>
      </c>
      <c r="I316" s="48">
        <f t="shared" si="74"/>
        <v>-5.2954984810825723</v>
      </c>
      <c r="J316">
        <v>63.5</v>
      </c>
    </row>
    <row r="317" spans="1:10" x14ac:dyDescent="0.25">
      <c r="A317" s="35">
        <f t="shared" ref="A317:A380" si="79">+A316+7</f>
        <v>41053</v>
      </c>
      <c r="C317">
        <v>234</v>
      </c>
      <c r="D317">
        <v>218.2</v>
      </c>
      <c r="E317">
        <v>1137.7</v>
      </c>
      <c r="F317">
        <v>1230.2</v>
      </c>
      <c r="G317" s="119">
        <f t="shared" si="77"/>
        <v>1371.7</v>
      </c>
      <c r="H317" s="2">
        <f t="shared" si="78"/>
        <v>1448.4</v>
      </c>
      <c r="I317" s="48">
        <f>+(G317/H317-1)*100</f>
        <v>-5.2954984810825723</v>
      </c>
      <c r="J317">
        <v>63.5</v>
      </c>
    </row>
    <row r="318" spans="1:10" x14ac:dyDescent="0.25">
      <c r="A318" s="35">
        <f t="shared" si="79"/>
        <v>41060</v>
      </c>
      <c r="C318">
        <v>209.8</v>
      </c>
      <c r="D318">
        <v>168.8</v>
      </c>
      <c r="E318">
        <v>1260.7</v>
      </c>
      <c r="F318">
        <v>1279</v>
      </c>
      <c r="G318" s="119">
        <f t="shared" si="77"/>
        <v>1470.5</v>
      </c>
      <c r="H318" s="2">
        <f t="shared" si="78"/>
        <v>1447.8</v>
      </c>
      <c r="I318" s="48">
        <f>+(G318/H318-1)*100</f>
        <v>1.5678961182483908</v>
      </c>
      <c r="J318">
        <v>63.5</v>
      </c>
    </row>
    <row r="319" spans="1:10" x14ac:dyDescent="0.25">
      <c r="A319" s="35">
        <f t="shared" si="79"/>
        <v>41067</v>
      </c>
      <c r="C319">
        <v>203.2</v>
      </c>
      <c r="D319">
        <v>182.3</v>
      </c>
      <c r="E319">
        <v>1272.8</v>
      </c>
      <c r="F319">
        <v>1296.0999999999999</v>
      </c>
      <c r="G319" s="119">
        <f t="shared" si="77"/>
        <v>1476</v>
      </c>
      <c r="H319" s="2">
        <f t="shared" si="78"/>
        <v>1478.3999999999999</v>
      </c>
      <c r="I319" s="48">
        <f>+(G319/H319-1)*100</f>
        <v>-0.16233766233765268</v>
      </c>
      <c r="J319">
        <v>63.5</v>
      </c>
    </row>
    <row r="320" spans="1:10" x14ac:dyDescent="0.25">
      <c r="A320" s="35">
        <f t="shared" si="79"/>
        <v>41074</v>
      </c>
      <c r="C320">
        <v>181.2</v>
      </c>
      <c r="D320">
        <v>171.6</v>
      </c>
      <c r="E320">
        <v>1296.9000000000001</v>
      </c>
      <c r="F320">
        <v>1312.4</v>
      </c>
      <c r="G320" s="119">
        <f t="shared" si="77"/>
        <v>1478.1000000000001</v>
      </c>
      <c r="H320" s="2">
        <f t="shared" si="78"/>
        <v>1484</v>
      </c>
      <c r="I320" s="48">
        <f>+(G320/H320-1)*100</f>
        <v>-0.39757412398920833</v>
      </c>
      <c r="J320">
        <v>63.5</v>
      </c>
    </row>
    <row r="321" spans="1:10" x14ac:dyDescent="0.25">
      <c r="A321" s="35">
        <f t="shared" si="79"/>
        <v>41081</v>
      </c>
      <c r="C321">
        <v>183.3</v>
      </c>
      <c r="D321">
        <v>155.9</v>
      </c>
      <c r="E321">
        <v>1309.7</v>
      </c>
      <c r="F321">
        <v>1330.9</v>
      </c>
      <c r="G321" s="119">
        <f t="shared" si="77"/>
        <v>1493</v>
      </c>
      <c r="H321" s="2">
        <f t="shared" si="78"/>
        <v>1486.8000000000002</v>
      </c>
      <c r="I321" s="48">
        <f t="shared" ref="I321:I327" si="80">+(G321/H321-1)*100</f>
        <v>0.41700295937583398</v>
      </c>
      <c r="J321">
        <v>63.5</v>
      </c>
    </row>
    <row r="322" spans="1:10" x14ac:dyDescent="0.25">
      <c r="A322" s="35">
        <f t="shared" si="79"/>
        <v>41088</v>
      </c>
      <c r="C322">
        <v>156.1</v>
      </c>
      <c r="D322">
        <v>146.80000000000001</v>
      </c>
      <c r="E322">
        <v>1331.8</v>
      </c>
      <c r="F322">
        <v>1348.8</v>
      </c>
      <c r="G322" s="119">
        <f t="shared" si="77"/>
        <v>1487.8999999999999</v>
      </c>
      <c r="H322" s="2">
        <f t="shared" si="78"/>
        <v>1495.6</v>
      </c>
      <c r="I322" s="48">
        <f t="shared" si="80"/>
        <v>-0.51484354105375552</v>
      </c>
      <c r="J322">
        <v>63.5</v>
      </c>
    </row>
    <row r="323" spans="1:10" x14ac:dyDescent="0.25">
      <c r="A323" s="35">
        <f t="shared" si="79"/>
        <v>41095</v>
      </c>
      <c r="C323">
        <v>172.5</v>
      </c>
      <c r="D323">
        <v>115.2</v>
      </c>
      <c r="E323">
        <v>1345.5</v>
      </c>
      <c r="F323">
        <v>1494.6</v>
      </c>
      <c r="G323" s="119">
        <f t="shared" si="77"/>
        <v>1518</v>
      </c>
      <c r="H323" s="2">
        <f t="shared" si="78"/>
        <v>1609.8</v>
      </c>
      <c r="I323" s="48">
        <f t="shared" si="80"/>
        <v>-5.7025717480432281</v>
      </c>
      <c r="J323">
        <v>63.5</v>
      </c>
    </row>
    <row r="324" spans="1:10" x14ac:dyDescent="0.25">
      <c r="A324" s="35">
        <f t="shared" si="79"/>
        <v>41102</v>
      </c>
      <c r="C324">
        <v>161.4</v>
      </c>
      <c r="D324">
        <v>120.2</v>
      </c>
      <c r="E324">
        <v>1362.2</v>
      </c>
      <c r="F324">
        <v>1499</v>
      </c>
      <c r="G324" s="119">
        <f t="shared" si="77"/>
        <v>1523.6000000000001</v>
      </c>
      <c r="H324" s="2">
        <f t="shared" si="78"/>
        <v>1619.2</v>
      </c>
      <c r="I324" s="48">
        <f t="shared" si="80"/>
        <v>-5.9041501976284554</v>
      </c>
      <c r="J324">
        <v>68.5</v>
      </c>
    </row>
    <row r="325" spans="1:10" x14ac:dyDescent="0.25">
      <c r="A325" s="35">
        <f t="shared" si="79"/>
        <v>41109</v>
      </c>
      <c r="C325">
        <v>90.9</v>
      </c>
      <c r="D325">
        <v>134.69999999999999</v>
      </c>
      <c r="E325">
        <v>1438.5</v>
      </c>
      <c r="F325">
        <v>1504.7</v>
      </c>
      <c r="G325" s="119">
        <f t="shared" si="77"/>
        <v>1529.4</v>
      </c>
      <c r="H325" s="2">
        <f t="shared" si="78"/>
        <v>1639.4</v>
      </c>
      <c r="I325" s="48">
        <f t="shared" si="80"/>
        <v>-6.7097718677564977</v>
      </c>
      <c r="J325">
        <v>68.5</v>
      </c>
    </row>
    <row r="326" spans="1:10" x14ac:dyDescent="0.25">
      <c r="A326" s="35">
        <f t="shared" si="79"/>
        <v>41116</v>
      </c>
      <c r="C326">
        <v>80.2</v>
      </c>
      <c r="D326">
        <v>128.1</v>
      </c>
      <c r="E326">
        <v>1475.7</v>
      </c>
      <c r="F326">
        <v>1521.5</v>
      </c>
      <c r="G326" s="119">
        <f t="shared" si="77"/>
        <v>1555.9</v>
      </c>
      <c r="H326" s="2">
        <f t="shared" si="78"/>
        <v>1649.6</v>
      </c>
      <c r="I326" s="48">
        <f t="shared" si="80"/>
        <v>-5.6801648884577949</v>
      </c>
      <c r="J326">
        <v>75.5</v>
      </c>
    </row>
    <row r="327" spans="1:10" x14ac:dyDescent="0.25">
      <c r="A327" s="35">
        <f t="shared" si="79"/>
        <v>41123</v>
      </c>
      <c r="C327">
        <v>62.6</v>
      </c>
      <c r="D327">
        <v>148.19999999999999</v>
      </c>
      <c r="E327">
        <v>1501.9</v>
      </c>
      <c r="F327">
        <v>1533.5</v>
      </c>
      <c r="G327" s="119">
        <f t="shared" si="77"/>
        <v>1564.5</v>
      </c>
      <c r="H327" s="2">
        <f t="shared" si="78"/>
        <v>1681.7</v>
      </c>
      <c r="I327" s="48">
        <f t="shared" si="80"/>
        <v>-6.969138371885597</v>
      </c>
      <c r="J327">
        <v>81.5</v>
      </c>
    </row>
    <row r="328" spans="1:10" x14ac:dyDescent="0.25">
      <c r="A328" s="35">
        <f t="shared" si="79"/>
        <v>41130</v>
      </c>
      <c r="C328">
        <v>59.5</v>
      </c>
      <c r="D328">
        <v>121.1</v>
      </c>
      <c r="E328">
        <v>1579.2</v>
      </c>
      <c r="F328">
        <v>1555.2</v>
      </c>
      <c r="G328" s="119">
        <f t="shared" si="77"/>
        <v>1638.7</v>
      </c>
      <c r="H328" s="2">
        <f t="shared" si="78"/>
        <v>1676.3</v>
      </c>
      <c r="I328" s="48">
        <f t="shared" ref="I328:I373" si="81">+(G328/H328-1)*100</f>
        <v>-2.2430352562190503</v>
      </c>
      <c r="J328">
        <v>81.5</v>
      </c>
    </row>
    <row r="329" spans="1:10" x14ac:dyDescent="0.25">
      <c r="A329" s="35">
        <f t="shared" si="79"/>
        <v>41137</v>
      </c>
      <c r="C329">
        <v>49.9</v>
      </c>
      <c r="D329">
        <v>184.4</v>
      </c>
      <c r="E329">
        <v>1591.6</v>
      </c>
      <c r="F329">
        <v>1640.3</v>
      </c>
      <c r="G329" s="119">
        <f t="shared" si="77"/>
        <v>1641.5</v>
      </c>
      <c r="H329" s="2">
        <f t="shared" si="78"/>
        <v>1824.7</v>
      </c>
      <c r="I329" s="48">
        <f t="shared" si="81"/>
        <v>-10.040006576423522</v>
      </c>
      <c r="J329">
        <v>84.5</v>
      </c>
    </row>
    <row r="330" spans="1:10" x14ac:dyDescent="0.25">
      <c r="A330" s="35">
        <f t="shared" si="79"/>
        <v>41144</v>
      </c>
      <c r="C330">
        <v>37.200000000000003</v>
      </c>
      <c r="D330">
        <v>166.4</v>
      </c>
      <c r="E330">
        <v>1630.9</v>
      </c>
      <c r="F330">
        <v>1660.7</v>
      </c>
      <c r="G330" s="119">
        <f t="shared" si="77"/>
        <v>1668.1000000000001</v>
      </c>
      <c r="H330" s="2">
        <f t="shared" si="78"/>
        <v>1827.1000000000001</v>
      </c>
      <c r="I330" s="48">
        <f t="shared" si="81"/>
        <v>-8.702315144217609</v>
      </c>
      <c r="J330">
        <v>84.9</v>
      </c>
    </row>
    <row r="331" spans="1:10" x14ac:dyDescent="0.25">
      <c r="A331" s="35">
        <f t="shared" si="79"/>
        <v>41151</v>
      </c>
      <c r="C331">
        <v>31.1</v>
      </c>
      <c r="D331">
        <v>400.3</v>
      </c>
      <c r="E331">
        <v>1709.2</v>
      </c>
      <c r="F331">
        <v>3.7</v>
      </c>
      <c r="G331" s="119">
        <f t="shared" ref="G331:G373" si="82">+C331+E331</f>
        <v>1740.3</v>
      </c>
      <c r="H331" s="2">
        <f t="shared" ref="H331:H373" si="83">+D331+F331</f>
        <v>404</v>
      </c>
      <c r="I331" s="48">
        <f t="shared" si="81"/>
        <v>330.76732673267327</v>
      </c>
      <c r="J331">
        <v>84.9</v>
      </c>
    </row>
    <row r="332" spans="1:10" x14ac:dyDescent="0.25">
      <c r="A332" s="35">
        <f t="shared" si="79"/>
        <v>41158</v>
      </c>
      <c r="C332">
        <v>149</v>
      </c>
      <c r="D332">
        <v>400.3</v>
      </c>
      <c r="E332">
        <v>5.5</v>
      </c>
      <c r="F332">
        <v>3.7</v>
      </c>
      <c r="G332" s="119">
        <f t="shared" si="82"/>
        <v>154.5</v>
      </c>
      <c r="H332" s="2">
        <f t="shared" si="83"/>
        <v>404</v>
      </c>
      <c r="I332" s="48">
        <f t="shared" si="81"/>
        <v>-61.757425742574256</v>
      </c>
    </row>
    <row r="333" spans="1:10" x14ac:dyDescent="0.25">
      <c r="A333" s="35">
        <f t="shared" si="79"/>
        <v>41165</v>
      </c>
      <c r="C333">
        <v>182</v>
      </c>
      <c r="D333">
        <v>374.6</v>
      </c>
      <c r="E333">
        <v>12.6</v>
      </c>
      <c r="F333">
        <v>31.4</v>
      </c>
      <c r="G333" s="119">
        <f t="shared" si="82"/>
        <v>194.6</v>
      </c>
      <c r="H333" s="2">
        <f t="shared" si="83"/>
        <v>406</v>
      </c>
      <c r="I333" s="48">
        <f t="shared" si="81"/>
        <v>-52.068965517241381</v>
      </c>
    </row>
    <row r="334" spans="1:10" x14ac:dyDescent="0.25">
      <c r="A334" s="35">
        <f t="shared" si="79"/>
        <v>41172</v>
      </c>
      <c r="C334">
        <v>204.5</v>
      </c>
      <c r="D334">
        <v>379.7</v>
      </c>
      <c r="E334">
        <v>20.2</v>
      </c>
      <c r="F334">
        <v>45.4</v>
      </c>
      <c r="G334" s="119">
        <f t="shared" si="82"/>
        <v>224.7</v>
      </c>
      <c r="H334" s="2">
        <f t="shared" si="83"/>
        <v>425.09999999999997</v>
      </c>
      <c r="I334" s="48">
        <f t="shared" si="81"/>
        <v>-47.141848976711366</v>
      </c>
    </row>
    <row r="335" spans="1:10" x14ac:dyDescent="0.25">
      <c r="A335" s="35">
        <f t="shared" si="79"/>
        <v>41179</v>
      </c>
      <c r="C335">
        <v>211.4</v>
      </c>
      <c r="D335">
        <v>346.2</v>
      </c>
      <c r="E335">
        <v>97.1</v>
      </c>
      <c r="F335">
        <v>81.2</v>
      </c>
      <c r="G335" s="119">
        <f t="shared" si="82"/>
        <v>308.5</v>
      </c>
      <c r="H335" s="2">
        <f t="shared" si="83"/>
        <v>427.4</v>
      </c>
      <c r="I335" s="48">
        <f t="shared" si="81"/>
        <v>-27.819372952737474</v>
      </c>
    </row>
    <row r="336" spans="1:10" x14ac:dyDescent="0.25">
      <c r="A336" s="35">
        <f t="shared" si="79"/>
        <v>41186</v>
      </c>
      <c r="C336">
        <v>200.7</v>
      </c>
      <c r="D336">
        <v>344.8</v>
      </c>
      <c r="E336">
        <v>133.69999999999999</v>
      </c>
      <c r="F336">
        <v>95.1</v>
      </c>
      <c r="G336" s="119">
        <f t="shared" si="82"/>
        <v>334.4</v>
      </c>
      <c r="H336" s="2">
        <f t="shared" si="83"/>
        <v>439.9</v>
      </c>
      <c r="I336" s="48">
        <f t="shared" si="81"/>
        <v>-23.982723346215053</v>
      </c>
    </row>
    <row r="337" spans="1:9" x14ac:dyDescent="0.25">
      <c r="A337" s="35">
        <f t="shared" si="79"/>
        <v>41193</v>
      </c>
      <c r="C337">
        <v>203.1</v>
      </c>
      <c r="D337">
        <v>346.3</v>
      </c>
      <c r="E337">
        <v>136.69999999999999</v>
      </c>
      <c r="F337">
        <v>99.5</v>
      </c>
      <c r="G337" s="119">
        <f t="shared" si="82"/>
        <v>339.79999999999995</v>
      </c>
      <c r="H337" s="2">
        <f t="shared" si="83"/>
        <v>445.8</v>
      </c>
      <c r="I337" s="48">
        <f t="shared" si="81"/>
        <v>-23.777478689995522</v>
      </c>
    </row>
    <row r="338" spans="1:9" x14ac:dyDescent="0.25">
      <c r="A338" s="35">
        <f t="shared" si="79"/>
        <v>41200</v>
      </c>
      <c r="C338">
        <v>199.2</v>
      </c>
      <c r="D338">
        <v>340.8</v>
      </c>
      <c r="E338">
        <v>148.69999999999999</v>
      </c>
      <c r="F338">
        <v>107.2</v>
      </c>
      <c r="G338" s="119">
        <f t="shared" si="82"/>
        <v>347.9</v>
      </c>
      <c r="H338" s="2">
        <f t="shared" si="83"/>
        <v>448</v>
      </c>
      <c r="I338" s="48">
        <f t="shared" si="81"/>
        <v>-22.343750000000007</v>
      </c>
    </row>
    <row r="339" spans="1:9" x14ac:dyDescent="0.25">
      <c r="A339" s="35">
        <f t="shared" si="79"/>
        <v>41207</v>
      </c>
      <c r="C339">
        <v>172</v>
      </c>
      <c r="D339">
        <v>338.9</v>
      </c>
      <c r="E339">
        <v>221.8</v>
      </c>
      <c r="F339">
        <v>119</v>
      </c>
      <c r="G339" s="119">
        <f t="shared" si="82"/>
        <v>393.8</v>
      </c>
      <c r="H339" s="2">
        <f t="shared" si="83"/>
        <v>457.9</v>
      </c>
      <c r="I339" s="48">
        <f t="shared" si="81"/>
        <v>-13.998689670233667</v>
      </c>
    </row>
    <row r="340" spans="1:9" x14ac:dyDescent="0.25">
      <c r="A340" s="35">
        <f t="shared" si="79"/>
        <v>41214</v>
      </c>
      <c r="C340">
        <v>165.4</v>
      </c>
      <c r="D340">
        <v>198.8</v>
      </c>
      <c r="E340">
        <v>294.2</v>
      </c>
      <c r="F340">
        <v>265.2</v>
      </c>
      <c r="G340" s="119">
        <f t="shared" si="82"/>
        <v>459.6</v>
      </c>
      <c r="H340" s="2">
        <f t="shared" si="83"/>
        <v>464</v>
      </c>
      <c r="I340" s="48">
        <f t="shared" si="81"/>
        <v>-0.94827586206895909</v>
      </c>
    </row>
    <row r="341" spans="1:9" x14ac:dyDescent="0.25">
      <c r="A341" s="35">
        <f t="shared" si="79"/>
        <v>41221</v>
      </c>
      <c r="C341">
        <v>152.1</v>
      </c>
      <c r="D341">
        <v>183.6</v>
      </c>
      <c r="E341">
        <v>309</v>
      </c>
      <c r="F341">
        <v>282.3</v>
      </c>
      <c r="G341" s="119">
        <f t="shared" si="82"/>
        <v>461.1</v>
      </c>
      <c r="H341" s="2">
        <f t="shared" si="83"/>
        <v>465.9</v>
      </c>
      <c r="I341" s="48">
        <f t="shared" si="81"/>
        <v>-1.0302640051513157</v>
      </c>
    </row>
    <row r="342" spans="1:9" x14ac:dyDescent="0.25">
      <c r="A342" s="35">
        <f t="shared" si="79"/>
        <v>41228</v>
      </c>
      <c r="C342">
        <v>151.69999999999999</v>
      </c>
      <c r="D342">
        <v>172.1</v>
      </c>
      <c r="E342">
        <v>321.60000000000002</v>
      </c>
      <c r="F342">
        <v>307.89999999999998</v>
      </c>
      <c r="G342" s="119">
        <f t="shared" si="82"/>
        <v>473.3</v>
      </c>
      <c r="H342" s="2">
        <f t="shared" si="83"/>
        <v>480</v>
      </c>
      <c r="I342" s="48">
        <f t="shared" si="81"/>
        <v>-1.3958333333333295</v>
      </c>
    </row>
    <row r="343" spans="1:9" x14ac:dyDescent="0.25">
      <c r="A343" s="35">
        <f t="shared" si="79"/>
        <v>41235</v>
      </c>
      <c r="C343">
        <v>153.19999999999999</v>
      </c>
      <c r="D343">
        <v>217.7</v>
      </c>
      <c r="E343">
        <v>329.1</v>
      </c>
      <c r="F343">
        <v>324.10000000000002</v>
      </c>
      <c r="G343" s="119">
        <f t="shared" si="82"/>
        <v>482.3</v>
      </c>
      <c r="H343" s="2">
        <f t="shared" si="83"/>
        <v>541.79999999999995</v>
      </c>
      <c r="I343" s="48">
        <f t="shared" si="81"/>
        <v>-10.981912144702832</v>
      </c>
    </row>
    <row r="344" spans="1:9" x14ac:dyDescent="0.25">
      <c r="A344" s="35">
        <f t="shared" si="79"/>
        <v>41242</v>
      </c>
      <c r="C344">
        <v>148.9</v>
      </c>
      <c r="D344">
        <v>212.8</v>
      </c>
      <c r="E344">
        <v>342.2</v>
      </c>
      <c r="F344">
        <v>331.5</v>
      </c>
      <c r="G344" s="119">
        <f t="shared" si="82"/>
        <v>491.1</v>
      </c>
      <c r="H344" s="2">
        <f t="shared" si="83"/>
        <v>544.29999999999995</v>
      </c>
      <c r="I344" s="48">
        <f t="shared" si="81"/>
        <v>-9.7740216792210006</v>
      </c>
    </row>
    <row r="345" spans="1:9" x14ac:dyDescent="0.25">
      <c r="A345" s="35">
        <f t="shared" si="79"/>
        <v>41249</v>
      </c>
      <c r="C345">
        <v>149.5</v>
      </c>
      <c r="D345">
        <v>205.9</v>
      </c>
      <c r="E345">
        <v>356.9</v>
      </c>
      <c r="F345">
        <v>345.9</v>
      </c>
      <c r="G345" s="119">
        <f t="shared" si="82"/>
        <v>506.4</v>
      </c>
      <c r="H345" s="2">
        <f t="shared" si="83"/>
        <v>551.79999999999995</v>
      </c>
      <c r="I345" s="48">
        <f t="shared" si="81"/>
        <v>-8.2276187024284084</v>
      </c>
    </row>
    <row r="346" spans="1:9" x14ac:dyDescent="0.25">
      <c r="A346" s="35">
        <f t="shared" si="79"/>
        <v>41256</v>
      </c>
      <c r="C346">
        <v>195</v>
      </c>
      <c r="D346">
        <v>208.4</v>
      </c>
      <c r="E346">
        <v>372.8</v>
      </c>
      <c r="F346">
        <v>419.9</v>
      </c>
      <c r="G346" s="119">
        <f t="shared" si="82"/>
        <v>567.79999999999995</v>
      </c>
      <c r="H346" s="2">
        <f t="shared" si="83"/>
        <v>628.29999999999995</v>
      </c>
      <c r="I346" s="48">
        <f t="shared" si="81"/>
        <v>-9.6291580455196595</v>
      </c>
    </row>
    <row r="347" spans="1:9" x14ac:dyDescent="0.25">
      <c r="A347" s="35">
        <f t="shared" si="79"/>
        <v>41263</v>
      </c>
      <c r="C347">
        <v>244.5</v>
      </c>
      <c r="D347">
        <v>222.7</v>
      </c>
      <c r="E347">
        <v>468.1</v>
      </c>
      <c r="F347">
        <v>427.4</v>
      </c>
      <c r="G347" s="119">
        <f t="shared" si="82"/>
        <v>712.6</v>
      </c>
      <c r="H347" s="2">
        <f t="shared" si="83"/>
        <v>650.09999999999991</v>
      </c>
      <c r="I347" s="48">
        <f t="shared" si="81"/>
        <v>9.6139055529918629</v>
      </c>
    </row>
    <row r="348" spans="1:9" x14ac:dyDescent="0.25">
      <c r="A348" s="35">
        <f t="shared" si="79"/>
        <v>41270</v>
      </c>
      <c r="C348">
        <v>211.7</v>
      </c>
      <c r="D348">
        <v>226.1</v>
      </c>
      <c r="E348">
        <v>509.3</v>
      </c>
      <c r="F348">
        <v>460.6</v>
      </c>
      <c r="G348" s="119">
        <f t="shared" si="82"/>
        <v>721</v>
      </c>
      <c r="H348" s="2">
        <f t="shared" si="83"/>
        <v>686.7</v>
      </c>
      <c r="I348" s="48">
        <f t="shared" si="81"/>
        <v>4.9949031600407645</v>
      </c>
    </row>
    <row r="349" spans="1:9" x14ac:dyDescent="0.25">
      <c r="A349" s="35">
        <f t="shared" si="79"/>
        <v>41277</v>
      </c>
      <c r="C349">
        <v>210.6</v>
      </c>
      <c r="D349">
        <v>225.6</v>
      </c>
      <c r="E349">
        <v>522.9</v>
      </c>
      <c r="F349">
        <v>471.4</v>
      </c>
      <c r="G349" s="119">
        <f t="shared" si="82"/>
        <v>733.5</v>
      </c>
      <c r="H349" s="2">
        <f t="shared" si="83"/>
        <v>697</v>
      </c>
      <c r="I349" s="48">
        <f t="shared" si="81"/>
        <v>5.236728837876603</v>
      </c>
    </row>
    <row r="350" spans="1:9" x14ac:dyDescent="0.25">
      <c r="A350" s="35">
        <f t="shared" si="79"/>
        <v>41284</v>
      </c>
      <c r="C350">
        <v>193.5</v>
      </c>
      <c r="D350">
        <v>306.39999999999998</v>
      </c>
      <c r="E350">
        <v>548.6</v>
      </c>
      <c r="F350">
        <v>544.29999999999995</v>
      </c>
      <c r="G350" s="119">
        <f t="shared" si="82"/>
        <v>742.1</v>
      </c>
      <c r="H350" s="2">
        <f t="shared" si="83"/>
        <v>850.69999999999993</v>
      </c>
      <c r="I350" s="48">
        <f t="shared" si="81"/>
        <v>-12.765957446808496</v>
      </c>
    </row>
    <row r="351" spans="1:9" x14ac:dyDescent="0.25">
      <c r="A351" s="35">
        <f t="shared" si="79"/>
        <v>41291</v>
      </c>
      <c r="C351">
        <v>209.8</v>
      </c>
      <c r="D351">
        <v>315.3</v>
      </c>
      <c r="E351">
        <v>554.4</v>
      </c>
      <c r="F351">
        <v>551.9</v>
      </c>
      <c r="G351" s="119">
        <f t="shared" si="82"/>
        <v>764.2</v>
      </c>
      <c r="H351" s="2">
        <f t="shared" si="83"/>
        <v>867.2</v>
      </c>
      <c r="I351" s="48">
        <f t="shared" si="81"/>
        <v>-11.877306273062727</v>
      </c>
    </row>
    <row r="352" spans="1:9" x14ac:dyDescent="0.25">
      <c r="A352" s="35">
        <f t="shared" si="79"/>
        <v>41298</v>
      </c>
      <c r="C352">
        <v>264.3</v>
      </c>
      <c r="D352">
        <v>278.39999999999998</v>
      </c>
      <c r="E352">
        <v>570.70000000000005</v>
      </c>
      <c r="F352">
        <v>592.6</v>
      </c>
      <c r="G352" s="119">
        <f t="shared" si="82"/>
        <v>835</v>
      </c>
      <c r="H352" s="2">
        <f t="shared" si="83"/>
        <v>871</v>
      </c>
      <c r="I352" s="48">
        <f t="shared" si="81"/>
        <v>-4.1331802525832355</v>
      </c>
    </row>
    <row r="353" spans="1:10" x14ac:dyDescent="0.25">
      <c r="A353" s="35">
        <f t="shared" si="79"/>
        <v>41305</v>
      </c>
      <c r="C353">
        <v>258.7</v>
      </c>
      <c r="D353">
        <v>266.8</v>
      </c>
      <c r="E353">
        <v>651.9</v>
      </c>
      <c r="F353">
        <v>610.79999999999995</v>
      </c>
      <c r="G353" s="119">
        <f t="shared" si="82"/>
        <v>910.59999999999991</v>
      </c>
      <c r="H353" s="2">
        <f t="shared" si="83"/>
        <v>877.59999999999991</v>
      </c>
      <c r="I353" s="48">
        <f t="shared" si="81"/>
        <v>3.7602552415679114</v>
      </c>
    </row>
    <row r="354" spans="1:10" x14ac:dyDescent="0.25">
      <c r="A354" s="35">
        <f t="shared" si="79"/>
        <v>41312</v>
      </c>
      <c r="C354">
        <v>277.7</v>
      </c>
      <c r="D354">
        <v>259.3</v>
      </c>
      <c r="E354">
        <v>668.2</v>
      </c>
      <c r="F354">
        <v>698.7</v>
      </c>
      <c r="G354" s="119">
        <f t="shared" si="82"/>
        <v>945.90000000000009</v>
      </c>
      <c r="H354" s="2">
        <f t="shared" si="83"/>
        <v>958</v>
      </c>
      <c r="I354" s="48">
        <f t="shared" si="81"/>
        <v>-1.2630480167014513</v>
      </c>
    </row>
    <row r="355" spans="1:10" x14ac:dyDescent="0.25">
      <c r="A355" s="35">
        <f t="shared" si="79"/>
        <v>41319</v>
      </c>
      <c r="C355">
        <v>264.89999999999998</v>
      </c>
      <c r="D355">
        <v>261.89999999999998</v>
      </c>
      <c r="E355">
        <v>687.7</v>
      </c>
      <c r="F355">
        <v>708</v>
      </c>
      <c r="G355" s="119">
        <f t="shared" si="82"/>
        <v>952.6</v>
      </c>
      <c r="H355" s="2">
        <f t="shared" si="83"/>
        <v>969.9</v>
      </c>
      <c r="I355" s="48">
        <f t="shared" si="81"/>
        <v>-1.7836890401072281</v>
      </c>
    </row>
    <row r="356" spans="1:10" x14ac:dyDescent="0.25">
      <c r="A356" s="35">
        <f t="shared" si="79"/>
        <v>41326</v>
      </c>
      <c r="C356">
        <v>322.5</v>
      </c>
      <c r="D356">
        <v>268.89999999999998</v>
      </c>
      <c r="E356">
        <v>728.5</v>
      </c>
      <c r="F356">
        <v>728.2</v>
      </c>
      <c r="G356" s="119">
        <f t="shared" si="82"/>
        <v>1051</v>
      </c>
      <c r="H356" s="2">
        <f t="shared" si="83"/>
        <v>997.1</v>
      </c>
      <c r="I356" s="48">
        <f t="shared" si="81"/>
        <v>5.4056764617390396</v>
      </c>
    </row>
    <row r="357" spans="1:10" x14ac:dyDescent="0.25">
      <c r="A357" s="35">
        <f t="shared" si="79"/>
        <v>41333</v>
      </c>
      <c r="C357">
        <v>333.8</v>
      </c>
      <c r="D357">
        <v>276.3</v>
      </c>
      <c r="E357">
        <v>754.5</v>
      </c>
      <c r="F357">
        <v>741.3</v>
      </c>
      <c r="G357" s="119">
        <f t="shared" si="82"/>
        <v>1088.3</v>
      </c>
      <c r="H357" s="2">
        <f t="shared" si="83"/>
        <v>1017.5999999999999</v>
      </c>
      <c r="I357" s="48">
        <f t="shared" si="81"/>
        <v>6.947720125786172</v>
      </c>
    </row>
    <row r="358" spans="1:10" x14ac:dyDescent="0.25">
      <c r="A358" s="35">
        <f t="shared" si="79"/>
        <v>41340</v>
      </c>
      <c r="C358">
        <v>233</v>
      </c>
      <c r="D358">
        <v>260.3</v>
      </c>
      <c r="E358">
        <v>876.2</v>
      </c>
      <c r="F358">
        <v>766.5</v>
      </c>
      <c r="G358" s="119">
        <f t="shared" si="82"/>
        <v>1109.2</v>
      </c>
      <c r="H358" s="2">
        <f t="shared" si="83"/>
        <v>1026.8</v>
      </c>
      <c r="I358" s="48">
        <f t="shared" si="81"/>
        <v>8.0249318270354522</v>
      </c>
    </row>
    <row r="359" spans="1:10" x14ac:dyDescent="0.25">
      <c r="A359" s="35">
        <f t="shared" si="79"/>
        <v>41347</v>
      </c>
      <c r="C359">
        <v>224</v>
      </c>
      <c r="D359">
        <v>200.5</v>
      </c>
      <c r="E359">
        <v>907.7</v>
      </c>
      <c r="F359">
        <v>847.4</v>
      </c>
      <c r="G359" s="119">
        <f t="shared" si="82"/>
        <v>1131.7</v>
      </c>
      <c r="H359" s="2">
        <f t="shared" si="83"/>
        <v>1047.9000000000001</v>
      </c>
      <c r="I359" s="48">
        <f t="shared" si="81"/>
        <v>7.9969462734993835</v>
      </c>
    </row>
    <row r="360" spans="1:10" x14ac:dyDescent="0.25">
      <c r="A360" s="35">
        <f t="shared" si="79"/>
        <v>41354</v>
      </c>
      <c r="C360">
        <v>159</v>
      </c>
      <c r="D360">
        <v>223.3</v>
      </c>
      <c r="E360">
        <v>1057.8</v>
      </c>
      <c r="F360">
        <v>857.1</v>
      </c>
      <c r="G360" s="119">
        <f t="shared" si="82"/>
        <v>1216.8</v>
      </c>
      <c r="H360" s="2">
        <f t="shared" si="83"/>
        <v>1080.4000000000001</v>
      </c>
      <c r="I360" s="48">
        <f t="shared" si="81"/>
        <v>12.624953720844111</v>
      </c>
    </row>
    <row r="361" spans="1:10" x14ac:dyDescent="0.25">
      <c r="A361" s="35">
        <f t="shared" si="79"/>
        <v>41361</v>
      </c>
      <c r="C361">
        <v>137</v>
      </c>
      <c r="D361">
        <v>314.8</v>
      </c>
      <c r="E361">
        <v>1087.8</v>
      </c>
      <c r="F361">
        <v>870.7</v>
      </c>
      <c r="G361" s="119">
        <f t="shared" si="82"/>
        <v>1224.8</v>
      </c>
      <c r="H361" s="2">
        <f t="shared" si="83"/>
        <v>1185.5</v>
      </c>
      <c r="I361" s="48">
        <f t="shared" si="81"/>
        <v>3.3150569380008488</v>
      </c>
    </row>
    <row r="362" spans="1:10" x14ac:dyDescent="0.25">
      <c r="A362" s="35">
        <f t="shared" si="79"/>
        <v>41368</v>
      </c>
      <c r="C362">
        <v>138.6</v>
      </c>
      <c r="D362">
        <v>249.9</v>
      </c>
      <c r="E362">
        <v>1103.2</v>
      </c>
      <c r="F362">
        <v>1043.9000000000001</v>
      </c>
      <c r="G362" s="119">
        <f t="shared" si="82"/>
        <v>1241.8</v>
      </c>
      <c r="H362" s="2">
        <f t="shared" si="83"/>
        <v>1293.8000000000002</v>
      </c>
      <c r="I362" s="48">
        <f t="shared" si="81"/>
        <v>-4.0191683413201567</v>
      </c>
    </row>
    <row r="363" spans="1:10" x14ac:dyDescent="0.25">
      <c r="A363" s="35">
        <f t="shared" si="79"/>
        <v>41375</v>
      </c>
      <c r="C363">
        <v>140.9</v>
      </c>
      <c r="D363">
        <v>242.9</v>
      </c>
      <c r="E363">
        <v>1114.4000000000001</v>
      </c>
      <c r="F363">
        <v>1062.5</v>
      </c>
      <c r="G363" s="119">
        <f t="shared" si="82"/>
        <v>1255.3000000000002</v>
      </c>
      <c r="H363" s="2">
        <f t="shared" si="83"/>
        <v>1305.4000000000001</v>
      </c>
      <c r="I363" s="48">
        <f t="shared" si="81"/>
        <v>-3.8379040907001616</v>
      </c>
    </row>
    <row r="364" spans="1:10" x14ac:dyDescent="0.25">
      <c r="A364" s="35">
        <f t="shared" si="79"/>
        <v>41382</v>
      </c>
      <c r="C364">
        <v>117.6</v>
      </c>
      <c r="D364">
        <v>245.7</v>
      </c>
      <c r="E364">
        <v>1168</v>
      </c>
      <c r="F364">
        <v>1069.9000000000001</v>
      </c>
      <c r="G364" s="119">
        <f t="shared" si="82"/>
        <v>1285.5999999999999</v>
      </c>
      <c r="H364" s="2">
        <f t="shared" si="83"/>
        <v>1315.6000000000001</v>
      </c>
      <c r="I364" s="48">
        <f t="shared" si="81"/>
        <v>-2.2803283672849006</v>
      </c>
    </row>
    <row r="365" spans="1:10" x14ac:dyDescent="0.25">
      <c r="A365" s="35">
        <f t="shared" si="79"/>
        <v>41389</v>
      </c>
      <c r="C365">
        <v>99.4</v>
      </c>
      <c r="D365">
        <v>240.3</v>
      </c>
      <c r="E365">
        <v>1270.5</v>
      </c>
      <c r="F365">
        <v>1091.8</v>
      </c>
      <c r="G365" s="119">
        <f t="shared" si="82"/>
        <v>1369.9</v>
      </c>
      <c r="H365" s="2">
        <f t="shared" si="83"/>
        <v>1332.1</v>
      </c>
      <c r="I365" s="48">
        <f t="shared" si="81"/>
        <v>2.8376248029427398</v>
      </c>
    </row>
    <row r="366" spans="1:10" x14ac:dyDescent="0.25">
      <c r="A366" s="35">
        <f t="shared" si="79"/>
        <v>41396</v>
      </c>
      <c r="C366">
        <v>134.5</v>
      </c>
      <c r="D366">
        <v>237.4</v>
      </c>
      <c r="E366">
        <v>1285.5999999999999</v>
      </c>
      <c r="F366">
        <v>1108.4000000000001</v>
      </c>
      <c r="G366" s="119">
        <f t="shared" si="82"/>
        <v>1420.1</v>
      </c>
      <c r="H366" s="2">
        <f t="shared" si="83"/>
        <v>1345.8000000000002</v>
      </c>
      <c r="I366" s="48">
        <f t="shared" si="81"/>
        <v>5.5208797741120419</v>
      </c>
      <c r="J366">
        <v>8</v>
      </c>
    </row>
    <row r="367" spans="1:10" x14ac:dyDescent="0.25">
      <c r="A367" s="35">
        <f t="shared" si="79"/>
        <v>41403</v>
      </c>
      <c r="C367">
        <v>109.3</v>
      </c>
      <c r="D367">
        <v>232.7</v>
      </c>
      <c r="E367">
        <v>1312</v>
      </c>
      <c r="F367">
        <v>1121.4000000000001</v>
      </c>
      <c r="G367" s="119">
        <f t="shared" si="82"/>
        <v>1421.3</v>
      </c>
      <c r="H367" s="2">
        <f t="shared" si="83"/>
        <v>1354.1000000000001</v>
      </c>
      <c r="I367" s="48">
        <f t="shared" si="81"/>
        <v>4.9627058562882853</v>
      </c>
      <c r="J367">
        <v>8</v>
      </c>
    </row>
    <row r="368" spans="1:10" x14ac:dyDescent="0.25">
      <c r="A368" s="35">
        <f t="shared" si="79"/>
        <v>41410</v>
      </c>
      <c r="C368">
        <v>95.2</v>
      </c>
      <c r="D368">
        <v>234</v>
      </c>
      <c r="E368">
        <v>1357.1</v>
      </c>
      <c r="F368">
        <v>1137.7</v>
      </c>
      <c r="G368" s="119">
        <f t="shared" si="82"/>
        <v>1452.3</v>
      </c>
      <c r="H368" s="2">
        <f t="shared" si="83"/>
        <v>1371.7</v>
      </c>
      <c r="I368" s="48">
        <f t="shared" si="81"/>
        <v>5.8759203907559954</v>
      </c>
      <c r="J368">
        <v>3</v>
      </c>
    </row>
    <row r="369" spans="1:10" x14ac:dyDescent="0.25">
      <c r="A369" s="35">
        <f t="shared" si="79"/>
        <v>41417</v>
      </c>
      <c r="C369">
        <v>83.8</v>
      </c>
      <c r="D369">
        <v>222.7</v>
      </c>
      <c r="E369">
        <v>1374.4</v>
      </c>
      <c r="F369">
        <v>1163.7</v>
      </c>
      <c r="G369" s="119">
        <f t="shared" si="82"/>
        <v>1458.2</v>
      </c>
      <c r="H369" s="2">
        <f t="shared" si="83"/>
        <v>1386.4</v>
      </c>
      <c r="I369" s="48">
        <f t="shared" si="81"/>
        <v>5.1788805539526805</v>
      </c>
      <c r="J369">
        <v>3</v>
      </c>
    </row>
    <row r="370" spans="1:10" x14ac:dyDescent="0.25">
      <c r="A370" s="35">
        <f t="shared" si="79"/>
        <v>41424</v>
      </c>
      <c r="C370">
        <v>85.8</v>
      </c>
      <c r="D370">
        <v>209.8</v>
      </c>
      <c r="E370">
        <v>1379.6</v>
      </c>
      <c r="F370">
        <v>1260.7</v>
      </c>
      <c r="G370" s="119">
        <f t="shared" si="82"/>
        <v>1465.3999999999999</v>
      </c>
      <c r="H370" s="2">
        <f t="shared" si="83"/>
        <v>1470.5</v>
      </c>
      <c r="I370" s="48">
        <f t="shared" si="81"/>
        <v>-0.34682080924856029</v>
      </c>
      <c r="J370">
        <v>3</v>
      </c>
    </row>
    <row r="371" spans="1:10" x14ac:dyDescent="0.25">
      <c r="A371" s="35">
        <f t="shared" si="79"/>
        <v>41431</v>
      </c>
      <c r="C371">
        <v>71.5</v>
      </c>
      <c r="D371">
        <v>203.2</v>
      </c>
      <c r="E371">
        <v>1388.4</v>
      </c>
      <c r="F371">
        <v>1272.8</v>
      </c>
      <c r="G371" s="119">
        <f t="shared" si="82"/>
        <v>1459.9</v>
      </c>
      <c r="H371" s="2">
        <f t="shared" si="83"/>
        <v>1476</v>
      </c>
      <c r="I371" s="48">
        <f t="shared" si="81"/>
        <v>-1.0907859078590709</v>
      </c>
      <c r="J371">
        <v>8</v>
      </c>
    </row>
    <row r="372" spans="1:10" x14ac:dyDescent="0.25">
      <c r="A372" s="35">
        <f t="shared" si="79"/>
        <v>41438</v>
      </c>
      <c r="C372">
        <v>65.3</v>
      </c>
      <c r="D372">
        <v>181.2</v>
      </c>
      <c r="E372">
        <v>1397.2</v>
      </c>
      <c r="F372">
        <v>1296.9000000000001</v>
      </c>
      <c r="G372" s="119">
        <f t="shared" si="82"/>
        <v>1462.5</v>
      </c>
      <c r="H372" s="2">
        <f t="shared" si="83"/>
        <v>1478.1000000000001</v>
      </c>
      <c r="I372" s="48">
        <f t="shared" si="81"/>
        <v>-1.0554089709762571</v>
      </c>
      <c r="J372">
        <v>11</v>
      </c>
    </row>
    <row r="373" spans="1:10" x14ac:dyDescent="0.25">
      <c r="A373" s="35">
        <f t="shared" si="79"/>
        <v>41445</v>
      </c>
      <c r="C373">
        <v>65.099999999999994</v>
      </c>
      <c r="D373">
        <v>183.3</v>
      </c>
      <c r="E373">
        <v>1485.2</v>
      </c>
      <c r="F373">
        <v>1309.7</v>
      </c>
      <c r="G373" s="119">
        <f t="shared" si="82"/>
        <v>1550.3</v>
      </c>
      <c r="H373" s="2">
        <f t="shared" si="83"/>
        <v>1493</v>
      </c>
      <c r="I373" s="48">
        <f t="shared" si="81"/>
        <v>3.8379102478231619</v>
      </c>
      <c r="J373">
        <v>26</v>
      </c>
    </row>
    <row r="374" spans="1:10" x14ac:dyDescent="0.25">
      <c r="A374" s="35">
        <f t="shared" si="79"/>
        <v>41452</v>
      </c>
      <c r="C374">
        <v>64.7</v>
      </c>
      <c r="D374">
        <v>156.1</v>
      </c>
      <c r="E374">
        <v>1514.4</v>
      </c>
      <c r="F374">
        <v>1331.8</v>
      </c>
      <c r="G374" s="119">
        <f t="shared" ref="G374:G388" si="84">+C374+E374</f>
        <v>1579.1000000000001</v>
      </c>
      <c r="H374" s="2">
        <f t="shared" ref="H374:H388" si="85">+D374+F374</f>
        <v>1487.8999999999999</v>
      </c>
      <c r="I374" s="48">
        <f t="shared" ref="I374:I388" si="86">+(G374/H374-1)*100</f>
        <v>6.1294441830768376</v>
      </c>
      <c r="J374">
        <v>26</v>
      </c>
    </row>
    <row r="375" spans="1:10" x14ac:dyDescent="0.25">
      <c r="A375" s="35">
        <f t="shared" si="79"/>
        <v>41459</v>
      </c>
      <c r="C375">
        <v>63.8</v>
      </c>
      <c r="D375">
        <v>172.5</v>
      </c>
      <c r="E375">
        <v>1519.3</v>
      </c>
      <c r="F375">
        <v>1345.5</v>
      </c>
      <c r="G375" s="119">
        <f t="shared" si="84"/>
        <v>1583.1</v>
      </c>
      <c r="H375" s="2">
        <f t="shared" si="85"/>
        <v>1518</v>
      </c>
      <c r="I375" s="48">
        <f t="shared" si="86"/>
        <v>4.288537549407101</v>
      </c>
      <c r="J375">
        <v>29</v>
      </c>
    </row>
    <row r="376" spans="1:10" x14ac:dyDescent="0.25">
      <c r="A376" s="35">
        <f t="shared" si="79"/>
        <v>41466</v>
      </c>
      <c r="C376">
        <v>57.2</v>
      </c>
      <c r="D376">
        <v>161.4</v>
      </c>
      <c r="E376">
        <v>1525.4</v>
      </c>
      <c r="F376">
        <v>1362.2</v>
      </c>
      <c r="G376" s="119">
        <f t="shared" si="84"/>
        <v>1582.6000000000001</v>
      </c>
      <c r="H376" s="2">
        <f t="shared" si="85"/>
        <v>1523.6000000000001</v>
      </c>
      <c r="I376" s="48">
        <f t="shared" si="86"/>
        <v>3.8724074560251953</v>
      </c>
      <c r="J376">
        <v>29</v>
      </c>
    </row>
    <row r="377" spans="1:10" x14ac:dyDescent="0.25">
      <c r="A377" s="35">
        <f t="shared" si="79"/>
        <v>41473</v>
      </c>
      <c r="C377">
        <v>62.6</v>
      </c>
      <c r="D377">
        <v>90.9</v>
      </c>
      <c r="E377">
        <v>1551.5</v>
      </c>
      <c r="F377">
        <v>1438.5</v>
      </c>
      <c r="G377" s="119">
        <f t="shared" si="84"/>
        <v>1614.1</v>
      </c>
      <c r="H377" s="2">
        <f t="shared" si="85"/>
        <v>1529.4</v>
      </c>
      <c r="I377" s="48">
        <f t="shared" si="86"/>
        <v>5.538119523996321</v>
      </c>
      <c r="J377">
        <v>47</v>
      </c>
    </row>
    <row r="378" spans="1:10" x14ac:dyDescent="0.25">
      <c r="A378" s="35">
        <f t="shared" si="79"/>
        <v>41480</v>
      </c>
      <c r="C378">
        <v>69.599999999999994</v>
      </c>
      <c r="D378">
        <v>80.2</v>
      </c>
      <c r="E378">
        <v>1554.4</v>
      </c>
      <c r="F378">
        <v>1475.7</v>
      </c>
      <c r="G378" s="119">
        <f t="shared" si="84"/>
        <v>1624</v>
      </c>
      <c r="H378" s="2">
        <f t="shared" si="85"/>
        <v>1555.9</v>
      </c>
      <c r="I378" s="48">
        <f t="shared" si="86"/>
        <v>4.3768879748055767</v>
      </c>
      <c r="J378">
        <v>58</v>
      </c>
    </row>
    <row r="379" spans="1:10" x14ac:dyDescent="0.25">
      <c r="A379" s="35">
        <f t="shared" si="79"/>
        <v>41487</v>
      </c>
      <c r="C379">
        <v>91.3</v>
      </c>
      <c r="D379">
        <v>62.6</v>
      </c>
      <c r="E379">
        <v>1556.4</v>
      </c>
      <c r="F379">
        <v>1501.9</v>
      </c>
      <c r="G379" s="119">
        <f t="shared" si="84"/>
        <v>1647.7</v>
      </c>
      <c r="H379" s="2">
        <f t="shared" si="85"/>
        <v>1564.5</v>
      </c>
      <c r="I379" s="48">
        <f t="shared" si="86"/>
        <v>5.3179929689996852</v>
      </c>
      <c r="J379">
        <v>58.5</v>
      </c>
    </row>
    <row r="380" spans="1:10" x14ac:dyDescent="0.25">
      <c r="A380" s="35">
        <f t="shared" si="79"/>
        <v>41494</v>
      </c>
      <c r="C380">
        <v>90.6</v>
      </c>
      <c r="D380">
        <v>59.5</v>
      </c>
      <c r="E380">
        <v>1558.3</v>
      </c>
      <c r="F380">
        <v>1579.2</v>
      </c>
      <c r="G380" s="119">
        <f t="shared" si="84"/>
        <v>1648.8999999999999</v>
      </c>
      <c r="H380" s="2">
        <f t="shared" si="85"/>
        <v>1638.7</v>
      </c>
      <c r="I380" s="48">
        <f t="shared" si="86"/>
        <v>0.6224446207359291</v>
      </c>
      <c r="J380">
        <v>81.8</v>
      </c>
    </row>
    <row r="381" spans="1:10" x14ac:dyDescent="0.25">
      <c r="A381" s="35">
        <f t="shared" ref="A381:A444" si="87">+A380+7</f>
        <v>41501</v>
      </c>
      <c r="C381">
        <v>86.5</v>
      </c>
      <c r="D381">
        <v>49.9</v>
      </c>
      <c r="E381">
        <v>1669.7</v>
      </c>
      <c r="F381">
        <v>1591.6</v>
      </c>
      <c r="G381" s="119">
        <f t="shared" si="84"/>
        <v>1756.2</v>
      </c>
      <c r="H381" s="2">
        <f t="shared" si="85"/>
        <v>1641.5</v>
      </c>
      <c r="I381" s="48">
        <f t="shared" si="86"/>
        <v>6.9875114224794421</v>
      </c>
      <c r="J381">
        <v>81.8</v>
      </c>
    </row>
    <row r="382" spans="1:10" x14ac:dyDescent="0.25">
      <c r="A382" s="35">
        <f t="shared" si="87"/>
        <v>41508</v>
      </c>
      <c r="C382">
        <v>78.099999999999994</v>
      </c>
      <c r="D382">
        <v>37.200000000000003</v>
      </c>
      <c r="E382">
        <v>1678</v>
      </c>
      <c r="F382">
        <v>1630.9</v>
      </c>
      <c r="G382" s="119">
        <f t="shared" si="84"/>
        <v>1756.1</v>
      </c>
      <c r="H382" s="2">
        <f t="shared" si="85"/>
        <v>1668.1000000000001</v>
      </c>
      <c r="I382" s="48">
        <f t="shared" si="86"/>
        <v>5.2754631017325027</v>
      </c>
      <c r="J382">
        <v>84.6</v>
      </c>
    </row>
    <row r="383" spans="1:10" x14ac:dyDescent="0.25">
      <c r="A383" s="35">
        <f t="shared" si="87"/>
        <v>41515</v>
      </c>
      <c r="C383">
        <v>74.8</v>
      </c>
      <c r="D383">
        <v>31.1</v>
      </c>
      <c r="E383">
        <v>1681.4</v>
      </c>
      <c r="F383">
        <v>1709.2</v>
      </c>
      <c r="G383" s="119">
        <f t="shared" si="84"/>
        <v>1756.2</v>
      </c>
      <c r="H383" s="2">
        <f t="shared" si="85"/>
        <v>1740.3</v>
      </c>
      <c r="I383" s="48">
        <f t="shared" si="86"/>
        <v>0.91363558007240275</v>
      </c>
      <c r="J383">
        <v>115.6</v>
      </c>
    </row>
    <row r="384" spans="1:10" x14ac:dyDescent="0.25">
      <c r="A384" s="35">
        <f t="shared" si="87"/>
        <v>41522</v>
      </c>
      <c r="C384">
        <v>194.3</v>
      </c>
      <c r="D384">
        <v>149</v>
      </c>
      <c r="E384">
        <v>37.700000000000003</v>
      </c>
      <c r="F384">
        <v>5.5</v>
      </c>
      <c r="G384" s="119">
        <f t="shared" si="84"/>
        <v>232</v>
      </c>
      <c r="H384" s="2">
        <f t="shared" si="85"/>
        <v>154.5</v>
      </c>
      <c r="I384" s="48">
        <f t="shared" si="86"/>
        <v>50.16181229773462</v>
      </c>
    </row>
    <row r="385" spans="1:12" x14ac:dyDescent="0.25">
      <c r="A385" s="35">
        <f t="shared" si="87"/>
        <v>41529</v>
      </c>
      <c r="C385">
        <v>228.7</v>
      </c>
      <c r="D385">
        <v>182</v>
      </c>
      <c r="E385">
        <v>44.4</v>
      </c>
      <c r="F385">
        <v>12.6</v>
      </c>
      <c r="G385" s="119">
        <f t="shared" si="84"/>
        <v>273.09999999999997</v>
      </c>
      <c r="H385" s="2">
        <f t="shared" si="85"/>
        <v>194.6</v>
      </c>
      <c r="I385" s="48">
        <f t="shared" si="86"/>
        <v>40.339157245632066</v>
      </c>
    </row>
    <row r="386" spans="1:12" x14ac:dyDescent="0.25">
      <c r="A386" s="35">
        <f t="shared" si="87"/>
        <v>41536</v>
      </c>
      <c r="C386">
        <v>249.5</v>
      </c>
      <c r="D386">
        <v>204.5</v>
      </c>
      <c r="E386">
        <v>127.9</v>
      </c>
      <c r="F386">
        <v>20.2</v>
      </c>
      <c r="G386" s="119">
        <f t="shared" si="84"/>
        <v>377.4</v>
      </c>
      <c r="H386" s="2">
        <f t="shared" si="85"/>
        <v>224.7</v>
      </c>
      <c r="I386" s="48">
        <f t="shared" si="86"/>
        <v>67.957276368491321</v>
      </c>
    </row>
    <row r="387" spans="1:12" x14ac:dyDescent="0.25">
      <c r="A387" s="35">
        <f t="shared" si="87"/>
        <v>41543</v>
      </c>
      <c r="C387">
        <v>250.6</v>
      </c>
      <c r="D387">
        <v>211.4</v>
      </c>
      <c r="E387">
        <v>166.8</v>
      </c>
      <c r="F387">
        <v>97.1</v>
      </c>
      <c r="G387" s="119">
        <f t="shared" si="84"/>
        <v>417.4</v>
      </c>
      <c r="H387" s="2">
        <f t="shared" si="85"/>
        <v>308.5</v>
      </c>
      <c r="I387" s="48">
        <f t="shared" si="86"/>
        <v>35.299837925445686</v>
      </c>
    </row>
    <row r="388" spans="1:12" x14ac:dyDescent="0.25">
      <c r="A388" s="35">
        <f t="shared" si="87"/>
        <v>41550</v>
      </c>
      <c r="C388">
        <v>233.7</v>
      </c>
      <c r="D388">
        <v>200.7</v>
      </c>
      <c r="E388">
        <v>195.8</v>
      </c>
      <c r="F388">
        <v>133.69999999999999</v>
      </c>
      <c r="G388" s="119">
        <f t="shared" si="84"/>
        <v>429.5</v>
      </c>
      <c r="H388" s="2">
        <f t="shared" si="85"/>
        <v>334.4</v>
      </c>
      <c r="I388" s="48">
        <f t="shared" si="86"/>
        <v>28.438995215311014</v>
      </c>
    </row>
    <row r="389" spans="1:12" x14ac:dyDescent="0.25">
      <c r="A389" s="35">
        <f t="shared" si="87"/>
        <v>41557</v>
      </c>
    </row>
    <row r="390" spans="1:12" ht="15" x14ac:dyDescent="0.25">
      <c r="A390" s="35">
        <f t="shared" si="87"/>
        <v>41564</v>
      </c>
      <c r="L390" s="96"/>
    </row>
    <row r="391" spans="1:12" x14ac:dyDescent="0.25">
      <c r="A391" s="35">
        <f t="shared" si="87"/>
        <v>41571</v>
      </c>
      <c r="C391">
        <v>337.1</v>
      </c>
      <c r="D391">
        <v>172</v>
      </c>
      <c r="E391">
        <v>331.2</v>
      </c>
      <c r="F391">
        <v>221.8</v>
      </c>
      <c r="G391" s="119">
        <f t="shared" ref="G391:H393" si="88">+C391+E391</f>
        <v>668.3</v>
      </c>
      <c r="H391" s="2">
        <f t="shared" si="88"/>
        <v>393.8</v>
      </c>
      <c r="I391" s="48">
        <f t="shared" ref="I391:I408" si="89">+(G391/H391-1)*100</f>
        <v>69.705434230573871</v>
      </c>
    </row>
    <row r="392" spans="1:12" ht="15" x14ac:dyDescent="0.25">
      <c r="A392" s="35">
        <f t="shared" si="87"/>
        <v>41578</v>
      </c>
      <c r="C392">
        <v>358.2</v>
      </c>
      <c r="D392">
        <v>165.4</v>
      </c>
      <c r="E392">
        <v>423.9</v>
      </c>
      <c r="F392">
        <v>294.2</v>
      </c>
      <c r="G392" s="119">
        <f t="shared" si="88"/>
        <v>782.09999999999991</v>
      </c>
      <c r="H392" s="2">
        <f t="shared" si="88"/>
        <v>459.6</v>
      </c>
      <c r="I392" s="48">
        <f t="shared" si="89"/>
        <v>70.169712793733652</v>
      </c>
      <c r="L392" s="96"/>
    </row>
    <row r="393" spans="1:12" x14ac:dyDescent="0.25">
      <c r="A393" s="35">
        <f t="shared" si="87"/>
        <v>41585</v>
      </c>
      <c r="C393">
        <v>348</v>
      </c>
      <c r="D393">
        <v>152.1</v>
      </c>
      <c r="E393">
        <v>225.2</v>
      </c>
      <c r="F393">
        <v>309</v>
      </c>
      <c r="G393" s="119">
        <f t="shared" si="88"/>
        <v>573.20000000000005</v>
      </c>
      <c r="H393" s="2">
        <f t="shared" si="88"/>
        <v>461.1</v>
      </c>
      <c r="I393" s="48">
        <f t="shared" si="89"/>
        <v>24.31142919106486</v>
      </c>
    </row>
    <row r="394" spans="1:12" x14ac:dyDescent="0.25">
      <c r="A394" s="35">
        <f t="shared" si="87"/>
        <v>41592</v>
      </c>
      <c r="C394">
        <v>348.7</v>
      </c>
      <c r="D394">
        <v>151.69999999999999</v>
      </c>
      <c r="E394">
        <v>492.9</v>
      </c>
      <c r="F394">
        <v>321.60000000000002</v>
      </c>
      <c r="G394" s="119">
        <f t="shared" ref="G394:H408" si="90">+C394+E394</f>
        <v>841.59999999999991</v>
      </c>
      <c r="H394" s="2">
        <f t="shared" si="90"/>
        <v>473.3</v>
      </c>
      <c r="I394" s="48">
        <f t="shared" si="89"/>
        <v>77.815339108387889</v>
      </c>
    </row>
    <row r="395" spans="1:12" x14ac:dyDescent="0.25">
      <c r="A395" s="35">
        <f t="shared" si="87"/>
        <v>41599</v>
      </c>
      <c r="C395" s="123">
        <v>358</v>
      </c>
      <c r="D395">
        <v>153.19999999999999</v>
      </c>
      <c r="E395">
        <v>518.1</v>
      </c>
      <c r="F395">
        <v>329.1</v>
      </c>
      <c r="G395" s="119">
        <f t="shared" si="90"/>
        <v>876.1</v>
      </c>
      <c r="H395" s="2">
        <f t="shared" si="90"/>
        <v>482.3</v>
      </c>
      <c r="I395" s="48">
        <f t="shared" si="89"/>
        <v>81.650425046651449</v>
      </c>
    </row>
    <row r="396" spans="1:12" x14ac:dyDescent="0.25">
      <c r="A396" s="35">
        <f t="shared" si="87"/>
        <v>41606</v>
      </c>
      <c r="C396">
        <v>342.4</v>
      </c>
      <c r="D396">
        <v>148.9</v>
      </c>
      <c r="E396">
        <v>547.1</v>
      </c>
      <c r="F396">
        <v>342.2</v>
      </c>
      <c r="G396" s="119">
        <f t="shared" si="90"/>
        <v>889.5</v>
      </c>
      <c r="H396" s="2">
        <f t="shared" si="90"/>
        <v>491.1</v>
      </c>
      <c r="I396" s="48">
        <f t="shared" si="89"/>
        <v>81.12400733048257</v>
      </c>
    </row>
    <row r="397" spans="1:12" x14ac:dyDescent="0.25">
      <c r="A397" s="35">
        <f t="shared" si="87"/>
        <v>41613</v>
      </c>
      <c r="C397">
        <v>336.3</v>
      </c>
      <c r="D397">
        <v>149.5</v>
      </c>
      <c r="E397">
        <v>565.29999999999995</v>
      </c>
      <c r="F397">
        <v>356.9</v>
      </c>
      <c r="G397" s="119">
        <f t="shared" si="90"/>
        <v>901.59999999999991</v>
      </c>
      <c r="H397" s="2">
        <f t="shared" si="90"/>
        <v>506.4</v>
      </c>
      <c r="I397" s="48">
        <f t="shared" si="89"/>
        <v>78.041074249605046</v>
      </c>
    </row>
    <row r="398" spans="1:12" x14ac:dyDescent="0.25">
      <c r="A398" s="35">
        <f t="shared" si="87"/>
        <v>41620</v>
      </c>
      <c r="C398">
        <v>374.8</v>
      </c>
      <c r="D398">
        <v>195</v>
      </c>
      <c r="E398">
        <v>648.79999999999995</v>
      </c>
      <c r="F398">
        <v>372.8</v>
      </c>
      <c r="G398" s="119">
        <f t="shared" si="90"/>
        <v>1023.5999999999999</v>
      </c>
      <c r="H398" s="2">
        <f t="shared" si="90"/>
        <v>567.79999999999995</v>
      </c>
      <c r="I398" s="48">
        <f t="shared" si="89"/>
        <v>80.27474462839028</v>
      </c>
    </row>
    <row r="399" spans="1:12" x14ac:dyDescent="0.25">
      <c r="A399" s="35">
        <f t="shared" si="87"/>
        <v>41627</v>
      </c>
      <c r="C399">
        <v>380.5</v>
      </c>
      <c r="D399">
        <v>244.5</v>
      </c>
      <c r="E399">
        <v>664.1</v>
      </c>
      <c r="F399">
        <v>468.1</v>
      </c>
      <c r="G399" s="119">
        <f t="shared" si="90"/>
        <v>1044.5999999999999</v>
      </c>
      <c r="H399" s="2">
        <f t="shared" si="90"/>
        <v>712.6</v>
      </c>
      <c r="I399" s="48">
        <f t="shared" si="89"/>
        <v>46.589952287398241</v>
      </c>
    </row>
    <row r="400" spans="1:12" x14ac:dyDescent="0.25">
      <c r="A400" s="35">
        <f t="shared" si="87"/>
        <v>41634</v>
      </c>
      <c r="C400">
        <v>403.5</v>
      </c>
      <c r="D400">
        <v>211.7</v>
      </c>
      <c r="E400">
        <v>748</v>
      </c>
      <c r="F400">
        <v>509.3</v>
      </c>
      <c r="G400" s="119">
        <f t="shared" si="90"/>
        <v>1151.5</v>
      </c>
      <c r="H400" s="2">
        <f t="shared" si="90"/>
        <v>721</v>
      </c>
      <c r="I400" s="48">
        <f t="shared" si="89"/>
        <v>59.708737864077662</v>
      </c>
    </row>
    <row r="401" spans="1:15" x14ac:dyDescent="0.25">
      <c r="A401" s="35">
        <f t="shared" si="87"/>
        <v>41641</v>
      </c>
      <c r="C401">
        <v>411.9</v>
      </c>
      <c r="D401">
        <v>210.6</v>
      </c>
      <c r="E401">
        <v>762.4</v>
      </c>
      <c r="F401">
        <v>522.9</v>
      </c>
      <c r="G401" s="119">
        <f t="shared" si="90"/>
        <v>1174.3</v>
      </c>
      <c r="H401" s="2">
        <f t="shared" si="90"/>
        <v>733.5</v>
      </c>
      <c r="I401" s="48">
        <f t="shared" si="89"/>
        <v>60.095432856169055</v>
      </c>
    </row>
    <row r="402" spans="1:15" ht="15" x14ac:dyDescent="0.25">
      <c r="A402" s="35">
        <f t="shared" si="87"/>
        <v>41648</v>
      </c>
      <c r="C402">
        <v>422.5</v>
      </c>
      <c r="D402">
        <v>193.5</v>
      </c>
      <c r="E402">
        <v>776.9</v>
      </c>
      <c r="F402">
        <v>548.6</v>
      </c>
      <c r="G402" s="119">
        <f t="shared" si="90"/>
        <v>1199.4000000000001</v>
      </c>
      <c r="H402" s="2">
        <f t="shared" si="90"/>
        <v>742.1</v>
      </c>
      <c r="I402" s="48">
        <f t="shared" si="89"/>
        <v>61.622422854062805</v>
      </c>
      <c r="K402" s="96"/>
      <c r="N402" s="96"/>
    </row>
    <row r="403" spans="1:15" ht="15" x14ac:dyDescent="0.25">
      <c r="A403" s="35">
        <f t="shared" si="87"/>
        <v>41655</v>
      </c>
      <c r="C403" s="123">
        <v>449</v>
      </c>
      <c r="D403">
        <v>209.8</v>
      </c>
      <c r="E403">
        <v>853</v>
      </c>
      <c r="F403">
        <v>554.4</v>
      </c>
      <c r="G403" s="119">
        <f t="shared" si="90"/>
        <v>1302</v>
      </c>
      <c r="H403" s="2">
        <f t="shared" si="90"/>
        <v>764.2</v>
      </c>
      <c r="I403" s="48">
        <f t="shared" si="89"/>
        <v>70.374247579167744</v>
      </c>
      <c r="K403" s="96"/>
    </row>
    <row r="404" spans="1:15" x14ac:dyDescent="0.25">
      <c r="A404" s="35">
        <f t="shared" si="87"/>
        <v>41662</v>
      </c>
      <c r="C404">
        <v>479.8</v>
      </c>
      <c r="D404">
        <v>264.3</v>
      </c>
      <c r="E404">
        <v>886.3</v>
      </c>
      <c r="F404">
        <v>570.70000000000005</v>
      </c>
      <c r="G404" s="119">
        <f t="shared" si="90"/>
        <v>1366.1</v>
      </c>
      <c r="H404" s="2">
        <f t="shared" si="90"/>
        <v>835</v>
      </c>
      <c r="I404" s="48">
        <f t="shared" si="89"/>
        <v>63.604790419161674</v>
      </c>
    </row>
    <row r="405" spans="1:15" ht="15" x14ac:dyDescent="0.25">
      <c r="A405" s="35">
        <f t="shared" si="87"/>
        <v>41669</v>
      </c>
      <c r="C405">
        <v>622.70000000000005</v>
      </c>
      <c r="D405">
        <v>258.7</v>
      </c>
      <c r="E405">
        <v>943.7</v>
      </c>
      <c r="F405">
        <v>651.9</v>
      </c>
      <c r="G405" s="119">
        <f t="shared" si="90"/>
        <v>1566.4</v>
      </c>
      <c r="H405" s="2">
        <f t="shared" si="90"/>
        <v>910.59999999999991</v>
      </c>
      <c r="I405" s="48">
        <f t="shared" si="89"/>
        <v>72.018449374039122</v>
      </c>
      <c r="K405" s="96"/>
      <c r="L405" s="96"/>
      <c r="O405" s="96"/>
    </row>
    <row r="406" spans="1:15" ht="15" x14ac:dyDescent="0.25">
      <c r="A406" s="35">
        <f t="shared" si="87"/>
        <v>41676</v>
      </c>
      <c r="C406">
        <v>614.6</v>
      </c>
      <c r="D406">
        <v>277.7</v>
      </c>
      <c r="E406">
        <v>966.7</v>
      </c>
      <c r="F406">
        <v>668.2</v>
      </c>
      <c r="G406" s="119">
        <f t="shared" si="90"/>
        <v>1581.3000000000002</v>
      </c>
      <c r="H406" s="2">
        <f t="shared" si="90"/>
        <v>945.90000000000009</v>
      </c>
      <c r="I406" s="48">
        <f t="shared" si="89"/>
        <v>67.174119885823018</v>
      </c>
      <c r="K406" s="96"/>
    </row>
    <row r="407" spans="1:15" x14ac:dyDescent="0.25">
      <c r="A407" s="35">
        <f t="shared" si="87"/>
        <v>41683</v>
      </c>
      <c r="C407">
        <v>640.5</v>
      </c>
      <c r="D407">
        <v>264.89999999999998</v>
      </c>
      <c r="E407">
        <v>1041.0999999999999</v>
      </c>
      <c r="F407">
        <v>687.7</v>
      </c>
      <c r="G407" s="119">
        <f t="shared" si="90"/>
        <v>1681.6</v>
      </c>
      <c r="H407" s="2">
        <f t="shared" si="90"/>
        <v>952.6</v>
      </c>
      <c r="I407" s="48">
        <f t="shared" si="89"/>
        <v>76.527398698299393</v>
      </c>
    </row>
    <row r="408" spans="1:15" x14ac:dyDescent="0.25">
      <c r="A408" s="35">
        <f t="shared" si="87"/>
        <v>41690</v>
      </c>
      <c r="C408">
        <v>619.79999999999995</v>
      </c>
      <c r="D408">
        <v>322.5</v>
      </c>
      <c r="E408">
        <v>1070.5999999999999</v>
      </c>
      <c r="F408">
        <v>728.8</v>
      </c>
      <c r="G408" s="119">
        <f t="shared" si="90"/>
        <v>1690.3999999999999</v>
      </c>
      <c r="H408" s="2">
        <f t="shared" si="90"/>
        <v>1051.3</v>
      </c>
      <c r="I408" s="48">
        <f t="shared" si="89"/>
        <v>60.791401122419856</v>
      </c>
    </row>
    <row r="409" spans="1:15" x14ac:dyDescent="0.25">
      <c r="A409" s="35">
        <f t="shared" si="87"/>
        <v>41697</v>
      </c>
    </row>
    <row r="410" spans="1:15" x14ac:dyDescent="0.25">
      <c r="A410" s="35">
        <f t="shared" si="87"/>
        <v>41704</v>
      </c>
    </row>
    <row r="411" spans="1:15" x14ac:dyDescent="0.25">
      <c r="A411" s="35">
        <f t="shared" si="87"/>
        <v>41711</v>
      </c>
    </row>
    <row r="412" spans="1:15" x14ac:dyDescent="0.25">
      <c r="A412" s="35">
        <f t="shared" si="87"/>
        <v>41718</v>
      </c>
    </row>
    <row r="413" spans="1:15" x14ac:dyDescent="0.25">
      <c r="A413" s="35">
        <f t="shared" si="87"/>
        <v>41725</v>
      </c>
    </row>
    <row r="414" spans="1:15" x14ac:dyDescent="0.25">
      <c r="A414" s="35">
        <f t="shared" si="87"/>
        <v>41732</v>
      </c>
    </row>
    <row r="415" spans="1:15" x14ac:dyDescent="0.25">
      <c r="A415" s="35">
        <f t="shared" si="87"/>
        <v>41739</v>
      </c>
    </row>
    <row r="416" spans="1:15" x14ac:dyDescent="0.25">
      <c r="A416" s="35">
        <f t="shared" si="87"/>
        <v>41746</v>
      </c>
    </row>
    <row r="417" spans="1:1" x14ac:dyDescent="0.25">
      <c r="A417" s="35">
        <f t="shared" si="87"/>
        <v>41753</v>
      </c>
    </row>
    <row r="418" spans="1:1" x14ac:dyDescent="0.25">
      <c r="A418" s="35">
        <f t="shared" si="87"/>
        <v>41760</v>
      </c>
    </row>
    <row r="419" spans="1:1" x14ac:dyDescent="0.25">
      <c r="A419" s="35">
        <f t="shared" si="87"/>
        <v>41767</v>
      </c>
    </row>
    <row r="420" spans="1:1" x14ac:dyDescent="0.25">
      <c r="A420" s="35">
        <f t="shared" si="87"/>
        <v>41774</v>
      </c>
    </row>
    <row r="421" spans="1:1" x14ac:dyDescent="0.25">
      <c r="A421" s="35">
        <f t="shared" si="87"/>
        <v>41781</v>
      </c>
    </row>
    <row r="422" spans="1:1" x14ac:dyDescent="0.25">
      <c r="A422" s="35">
        <f t="shared" si="87"/>
        <v>41788</v>
      </c>
    </row>
    <row r="423" spans="1:1" x14ac:dyDescent="0.25">
      <c r="A423" s="35">
        <f t="shared" si="87"/>
        <v>41795</v>
      </c>
    </row>
    <row r="424" spans="1:1" x14ac:dyDescent="0.25">
      <c r="A424" s="35">
        <f t="shared" si="87"/>
        <v>41802</v>
      </c>
    </row>
    <row r="425" spans="1:1" x14ac:dyDescent="0.25">
      <c r="A425" s="35">
        <f t="shared" si="87"/>
        <v>41809</v>
      </c>
    </row>
    <row r="426" spans="1:1" x14ac:dyDescent="0.25">
      <c r="A426" s="35">
        <f t="shared" si="87"/>
        <v>41816</v>
      </c>
    </row>
    <row r="427" spans="1:1" x14ac:dyDescent="0.25">
      <c r="A427" s="35">
        <f t="shared" si="87"/>
        <v>41823</v>
      </c>
    </row>
    <row r="428" spans="1:1" x14ac:dyDescent="0.25">
      <c r="A428" s="35">
        <f t="shared" si="87"/>
        <v>41830</v>
      </c>
    </row>
    <row r="429" spans="1:1" x14ac:dyDescent="0.25">
      <c r="A429" s="35">
        <f t="shared" si="87"/>
        <v>41837</v>
      </c>
    </row>
    <row r="430" spans="1:1" x14ac:dyDescent="0.25">
      <c r="A430" s="35">
        <f t="shared" si="87"/>
        <v>41844</v>
      </c>
    </row>
    <row r="431" spans="1:1" x14ac:dyDescent="0.25">
      <c r="A431" s="35">
        <f t="shared" si="87"/>
        <v>41851</v>
      </c>
    </row>
    <row r="432" spans="1:1" x14ac:dyDescent="0.25">
      <c r="A432" s="35">
        <f t="shared" si="87"/>
        <v>41858</v>
      </c>
    </row>
    <row r="433" spans="1:1" x14ac:dyDescent="0.25">
      <c r="A433" s="35">
        <f t="shared" si="87"/>
        <v>41865</v>
      </c>
    </row>
    <row r="434" spans="1:1" x14ac:dyDescent="0.25">
      <c r="A434" s="35">
        <f t="shared" si="87"/>
        <v>41872</v>
      </c>
    </row>
    <row r="435" spans="1:1" x14ac:dyDescent="0.25">
      <c r="A435" s="35">
        <f t="shared" si="87"/>
        <v>41879</v>
      </c>
    </row>
    <row r="436" spans="1:1" x14ac:dyDescent="0.25">
      <c r="A436" s="35">
        <f t="shared" si="87"/>
        <v>41886</v>
      </c>
    </row>
    <row r="437" spans="1:1" x14ac:dyDescent="0.25">
      <c r="A437" s="35">
        <f t="shared" si="87"/>
        <v>41893</v>
      </c>
    </row>
    <row r="438" spans="1:1" x14ac:dyDescent="0.25">
      <c r="A438" s="35">
        <f t="shared" si="87"/>
        <v>41900</v>
      </c>
    </row>
    <row r="439" spans="1:1" x14ac:dyDescent="0.25">
      <c r="A439" s="35">
        <f t="shared" si="87"/>
        <v>41907</v>
      </c>
    </row>
    <row r="440" spans="1:1" x14ac:dyDescent="0.25">
      <c r="A440" s="35">
        <f t="shared" si="87"/>
        <v>41914</v>
      </c>
    </row>
    <row r="441" spans="1:1" x14ac:dyDescent="0.25">
      <c r="A441" s="35">
        <f t="shared" si="87"/>
        <v>41921</v>
      </c>
    </row>
    <row r="442" spans="1:1" x14ac:dyDescent="0.25">
      <c r="A442" s="35">
        <f t="shared" si="87"/>
        <v>41928</v>
      </c>
    </row>
    <row r="443" spans="1:1" x14ac:dyDescent="0.25">
      <c r="A443" s="35">
        <f t="shared" si="87"/>
        <v>41935</v>
      </c>
    </row>
    <row r="444" spans="1:1" x14ac:dyDescent="0.25">
      <c r="A444" s="35">
        <f t="shared" si="87"/>
        <v>41942</v>
      </c>
    </row>
    <row r="445" spans="1:1" x14ac:dyDescent="0.25">
      <c r="A445" s="35">
        <f t="shared" ref="A445:A508" si="91">+A444+7</f>
        <v>41949</v>
      </c>
    </row>
    <row r="446" spans="1:1" x14ac:dyDescent="0.25">
      <c r="A446" s="35">
        <f t="shared" si="91"/>
        <v>41956</v>
      </c>
    </row>
    <row r="447" spans="1:1" x14ac:dyDescent="0.25">
      <c r="A447" s="35">
        <f t="shared" si="91"/>
        <v>41963</v>
      </c>
    </row>
    <row r="448" spans="1:1" x14ac:dyDescent="0.25">
      <c r="A448" s="35">
        <f t="shared" si="91"/>
        <v>41970</v>
      </c>
    </row>
    <row r="449" spans="1:1" x14ac:dyDescent="0.25">
      <c r="A449" s="35">
        <f t="shared" si="91"/>
        <v>41977</v>
      </c>
    </row>
    <row r="450" spans="1:1" x14ac:dyDescent="0.25">
      <c r="A450" s="35">
        <f t="shared" si="91"/>
        <v>41984</v>
      </c>
    </row>
    <row r="451" spans="1:1" x14ac:dyDescent="0.25">
      <c r="A451" s="35">
        <f t="shared" si="91"/>
        <v>41991</v>
      </c>
    </row>
    <row r="452" spans="1:1" x14ac:dyDescent="0.25">
      <c r="A452" s="35">
        <f t="shared" si="91"/>
        <v>41998</v>
      </c>
    </row>
    <row r="453" spans="1:1" x14ac:dyDescent="0.25">
      <c r="A453" s="35">
        <f t="shared" si="91"/>
        <v>42005</v>
      </c>
    </row>
    <row r="454" spans="1:1" x14ac:dyDescent="0.25">
      <c r="A454" s="35">
        <f t="shared" si="91"/>
        <v>42012</v>
      </c>
    </row>
    <row r="455" spans="1:1" x14ac:dyDescent="0.25">
      <c r="A455" s="35">
        <f t="shared" si="91"/>
        <v>42019</v>
      </c>
    </row>
    <row r="456" spans="1:1" x14ac:dyDescent="0.25">
      <c r="A456" s="35">
        <f t="shared" si="91"/>
        <v>42026</v>
      </c>
    </row>
    <row r="457" spans="1:1" x14ac:dyDescent="0.25">
      <c r="A457" s="35">
        <f t="shared" si="91"/>
        <v>42033</v>
      </c>
    </row>
    <row r="458" spans="1:1" x14ac:dyDescent="0.25">
      <c r="A458" s="35">
        <f t="shared" si="91"/>
        <v>42040</v>
      </c>
    </row>
    <row r="459" spans="1:1" x14ac:dyDescent="0.25">
      <c r="A459" s="35">
        <f t="shared" si="91"/>
        <v>42047</v>
      </c>
    </row>
    <row r="460" spans="1:1" x14ac:dyDescent="0.25">
      <c r="A460" s="35">
        <f t="shared" si="91"/>
        <v>42054</v>
      </c>
    </row>
    <row r="461" spans="1:1" x14ac:dyDescent="0.25">
      <c r="A461" s="35">
        <f t="shared" si="91"/>
        <v>42061</v>
      </c>
    </row>
    <row r="462" spans="1:1" x14ac:dyDescent="0.25">
      <c r="A462" s="35">
        <f t="shared" si="91"/>
        <v>42068</v>
      </c>
    </row>
    <row r="463" spans="1:1" x14ac:dyDescent="0.25">
      <c r="A463" s="35">
        <f t="shared" si="91"/>
        <v>42075</v>
      </c>
    </row>
    <row r="464" spans="1:1" x14ac:dyDescent="0.25">
      <c r="A464" s="35">
        <f t="shared" si="91"/>
        <v>42082</v>
      </c>
    </row>
    <row r="465" spans="1:1" x14ac:dyDescent="0.25">
      <c r="A465" s="35">
        <f t="shared" si="91"/>
        <v>42089</v>
      </c>
    </row>
    <row r="466" spans="1:1" x14ac:dyDescent="0.25">
      <c r="A466" s="35">
        <f t="shared" si="91"/>
        <v>42096</v>
      </c>
    </row>
    <row r="467" spans="1:1" x14ac:dyDescent="0.25">
      <c r="A467" s="35">
        <f t="shared" si="91"/>
        <v>42103</v>
      </c>
    </row>
    <row r="468" spans="1:1" x14ac:dyDescent="0.25">
      <c r="A468" s="35">
        <f t="shared" si="91"/>
        <v>42110</v>
      </c>
    </row>
    <row r="469" spans="1:1" x14ac:dyDescent="0.25">
      <c r="A469" s="35">
        <f t="shared" si="91"/>
        <v>42117</v>
      </c>
    </row>
    <row r="470" spans="1:1" x14ac:dyDescent="0.25">
      <c r="A470" s="35">
        <f t="shared" si="91"/>
        <v>42124</v>
      </c>
    </row>
    <row r="471" spans="1:1" x14ac:dyDescent="0.25">
      <c r="A471" s="35">
        <f t="shared" si="91"/>
        <v>42131</v>
      </c>
    </row>
    <row r="472" spans="1:1" x14ac:dyDescent="0.25">
      <c r="A472" s="35">
        <f t="shared" si="91"/>
        <v>42138</v>
      </c>
    </row>
    <row r="473" spans="1:1" x14ac:dyDescent="0.25">
      <c r="A473" s="35">
        <f t="shared" si="91"/>
        <v>42145</v>
      </c>
    </row>
    <row r="474" spans="1:1" x14ac:dyDescent="0.25">
      <c r="A474" s="35">
        <f t="shared" si="91"/>
        <v>42152</v>
      </c>
    </row>
    <row r="475" spans="1:1" x14ac:dyDescent="0.25">
      <c r="A475" s="35">
        <f t="shared" si="91"/>
        <v>42159</v>
      </c>
    </row>
    <row r="476" spans="1:1" x14ac:dyDescent="0.25">
      <c r="A476" s="35">
        <f t="shared" si="91"/>
        <v>42166</v>
      </c>
    </row>
    <row r="477" spans="1:1" x14ac:dyDescent="0.25">
      <c r="A477" s="35">
        <f t="shared" si="91"/>
        <v>42173</v>
      </c>
    </row>
    <row r="478" spans="1:1" x14ac:dyDescent="0.25">
      <c r="A478" s="35">
        <f t="shared" si="91"/>
        <v>42180</v>
      </c>
    </row>
    <row r="479" spans="1:1" x14ac:dyDescent="0.25">
      <c r="A479" s="35">
        <f t="shared" si="91"/>
        <v>42187</v>
      </c>
    </row>
    <row r="480" spans="1:1" x14ac:dyDescent="0.25">
      <c r="A480" s="35">
        <f t="shared" si="91"/>
        <v>42194</v>
      </c>
    </row>
    <row r="481" spans="1:1" x14ac:dyDescent="0.25">
      <c r="A481" s="35">
        <f t="shared" si="91"/>
        <v>42201</v>
      </c>
    </row>
    <row r="482" spans="1:1" x14ac:dyDescent="0.25">
      <c r="A482" s="35">
        <f t="shared" si="91"/>
        <v>42208</v>
      </c>
    </row>
    <row r="483" spans="1:1" x14ac:dyDescent="0.25">
      <c r="A483" s="35">
        <f t="shared" si="91"/>
        <v>42215</v>
      </c>
    </row>
    <row r="484" spans="1:1" x14ac:dyDescent="0.25">
      <c r="A484" s="35">
        <f t="shared" si="91"/>
        <v>42222</v>
      </c>
    </row>
    <row r="485" spans="1:1" x14ac:dyDescent="0.25">
      <c r="A485" s="35">
        <f t="shared" si="91"/>
        <v>42229</v>
      </c>
    </row>
    <row r="486" spans="1:1" x14ac:dyDescent="0.25">
      <c r="A486" s="35">
        <f t="shared" si="91"/>
        <v>42236</v>
      </c>
    </row>
    <row r="487" spans="1:1" x14ac:dyDescent="0.25">
      <c r="A487" s="35">
        <f t="shared" si="91"/>
        <v>42243</v>
      </c>
    </row>
    <row r="488" spans="1:1" x14ac:dyDescent="0.25">
      <c r="A488" s="35">
        <f t="shared" si="91"/>
        <v>42250</v>
      </c>
    </row>
    <row r="489" spans="1:1" x14ac:dyDescent="0.25">
      <c r="A489" s="35">
        <f t="shared" si="91"/>
        <v>42257</v>
      </c>
    </row>
    <row r="490" spans="1:1" x14ac:dyDescent="0.25">
      <c r="A490" s="35">
        <f t="shared" si="91"/>
        <v>42264</v>
      </c>
    </row>
    <row r="491" spans="1:1" x14ac:dyDescent="0.25">
      <c r="A491" s="35">
        <f t="shared" si="91"/>
        <v>42271</v>
      </c>
    </row>
    <row r="492" spans="1:1" x14ac:dyDescent="0.25">
      <c r="A492" s="35">
        <f t="shared" si="91"/>
        <v>42278</v>
      </c>
    </row>
    <row r="493" spans="1:1" x14ac:dyDescent="0.25">
      <c r="A493" s="35">
        <f t="shared" si="91"/>
        <v>42285</v>
      </c>
    </row>
    <row r="494" spans="1:1" x14ac:dyDescent="0.25">
      <c r="A494" s="35">
        <f t="shared" si="91"/>
        <v>42292</v>
      </c>
    </row>
    <row r="495" spans="1:1" x14ac:dyDescent="0.25">
      <c r="A495" s="35">
        <f t="shared" si="91"/>
        <v>42299</v>
      </c>
    </row>
    <row r="496" spans="1:1" x14ac:dyDescent="0.25">
      <c r="A496" s="35">
        <f t="shared" si="91"/>
        <v>42306</v>
      </c>
    </row>
    <row r="497" spans="1:1" x14ac:dyDescent="0.25">
      <c r="A497" s="35">
        <f t="shared" si="91"/>
        <v>42313</v>
      </c>
    </row>
    <row r="498" spans="1:1" x14ac:dyDescent="0.25">
      <c r="A498" s="35">
        <f t="shared" si="91"/>
        <v>42320</v>
      </c>
    </row>
    <row r="499" spans="1:1" x14ac:dyDescent="0.25">
      <c r="A499" s="35">
        <f t="shared" si="91"/>
        <v>42327</v>
      </c>
    </row>
    <row r="500" spans="1:1" x14ac:dyDescent="0.25">
      <c r="A500" s="35">
        <f t="shared" si="91"/>
        <v>42334</v>
      </c>
    </row>
    <row r="501" spans="1:1" x14ac:dyDescent="0.25">
      <c r="A501" s="35">
        <f t="shared" si="91"/>
        <v>42341</v>
      </c>
    </row>
    <row r="502" spans="1:1" x14ac:dyDescent="0.25">
      <c r="A502" s="35">
        <f t="shared" si="91"/>
        <v>42348</v>
      </c>
    </row>
    <row r="503" spans="1:1" x14ac:dyDescent="0.25">
      <c r="A503" s="35">
        <f t="shared" si="91"/>
        <v>42355</v>
      </c>
    </row>
    <row r="504" spans="1:1" x14ac:dyDescent="0.25">
      <c r="A504" s="35">
        <f t="shared" si="91"/>
        <v>42362</v>
      </c>
    </row>
    <row r="505" spans="1:1" x14ac:dyDescent="0.25">
      <c r="A505" s="35">
        <f t="shared" si="91"/>
        <v>42369</v>
      </c>
    </row>
    <row r="506" spans="1:1" x14ac:dyDescent="0.25">
      <c r="A506" s="35">
        <f t="shared" si="91"/>
        <v>42376</v>
      </c>
    </row>
    <row r="507" spans="1:1" x14ac:dyDescent="0.25">
      <c r="A507" s="35">
        <f t="shared" si="91"/>
        <v>42383</v>
      </c>
    </row>
    <row r="508" spans="1:1" x14ac:dyDescent="0.25">
      <c r="A508" s="35">
        <f t="shared" si="91"/>
        <v>42390</v>
      </c>
    </row>
    <row r="509" spans="1:1" x14ac:dyDescent="0.25">
      <c r="A509" s="35">
        <f t="shared" ref="A509:A572" si="92">+A508+7</f>
        <v>42397</v>
      </c>
    </row>
    <row r="510" spans="1:1" x14ac:dyDescent="0.25">
      <c r="A510" s="35">
        <f t="shared" si="92"/>
        <v>42404</v>
      </c>
    </row>
    <row r="511" spans="1:1" x14ac:dyDescent="0.25">
      <c r="A511" s="35">
        <f t="shared" si="92"/>
        <v>42411</v>
      </c>
    </row>
    <row r="512" spans="1:1" x14ac:dyDescent="0.25">
      <c r="A512" s="35">
        <f t="shared" si="92"/>
        <v>42418</v>
      </c>
    </row>
    <row r="513" spans="1:1" x14ac:dyDescent="0.25">
      <c r="A513" s="35">
        <f t="shared" si="92"/>
        <v>42425</v>
      </c>
    </row>
    <row r="514" spans="1:1" x14ac:dyDescent="0.25">
      <c r="A514" s="35">
        <f t="shared" si="92"/>
        <v>42432</v>
      </c>
    </row>
    <row r="515" spans="1:1" x14ac:dyDescent="0.25">
      <c r="A515" s="35">
        <f t="shared" si="92"/>
        <v>42439</v>
      </c>
    </row>
    <row r="516" spans="1:1" x14ac:dyDescent="0.25">
      <c r="A516" s="35">
        <f t="shared" si="92"/>
        <v>42446</v>
      </c>
    </row>
    <row r="517" spans="1:1" x14ac:dyDescent="0.25">
      <c r="A517" s="35">
        <f t="shared" si="92"/>
        <v>42453</v>
      </c>
    </row>
    <row r="518" spans="1:1" x14ac:dyDescent="0.25">
      <c r="A518" s="35">
        <f t="shared" si="92"/>
        <v>42460</v>
      </c>
    </row>
    <row r="519" spans="1:1" x14ac:dyDescent="0.25">
      <c r="A519" s="35">
        <f t="shared" si="92"/>
        <v>42467</v>
      </c>
    </row>
    <row r="520" spans="1:1" x14ac:dyDescent="0.25">
      <c r="A520" s="35">
        <f t="shared" si="92"/>
        <v>42474</v>
      </c>
    </row>
    <row r="521" spans="1:1" x14ac:dyDescent="0.25">
      <c r="A521" s="35">
        <f t="shared" si="92"/>
        <v>42481</v>
      </c>
    </row>
    <row r="522" spans="1:1" x14ac:dyDescent="0.25">
      <c r="A522" s="35">
        <f t="shared" si="92"/>
        <v>42488</v>
      </c>
    </row>
    <row r="523" spans="1:1" x14ac:dyDescent="0.25">
      <c r="A523" s="35">
        <f t="shared" si="92"/>
        <v>42495</v>
      </c>
    </row>
    <row r="524" spans="1:1" x14ac:dyDescent="0.25">
      <c r="A524" s="35">
        <f t="shared" si="92"/>
        <v>42502</v>
      </c>
    </row>
    <row r="525" spans="1:1" x14ac:dyDescent="0.25">
      <c r="A525" s="35">
        <f t="shared" si="92"/>
        <v>42509</v>
      </c>
    </row>
    <row r="526" spans="1:1" x14ac:dyDescent="0.25">
      <c r="A526" s="35">
        <f t="shared" si="92"/>
        <v>42516</v>
      </c>
    </row>
    <row r="527" spans="1:1" x14ac:dyDescent="0.25">
      <c r="A527" s="35">
        <f t="shared" si="92"/>
        <v>42523</v>
      </c>
    </row>
    <row r="528" spans="1:1" x14ac:dyDescent="0.25">
      <c r="A528" s="35">
        <f t="shared" si="92"/>
        <v>42530</v>
      </c>
    </row>
    <row r="529" spans="1:1" x14ac:dyDescent="0.25">
      <c r="A529" s="35">
        <f t="shared" si="92"/>
        <v>42537</v>
      </c>
    </row>
    <row r="530" spans="1:1" x14ac:dyDescent="0.25">
      <c r="A530" s="35">
        <f t="shared" si="92"/>
        <v>42544</v>
      </c>
    </row>
    <row r="531" spans="1:1" x14ac:dyDescent="0.25">
      <c r="A531" s="35">
        <f t="shared" si="92"/>
        <v>42551</v>
      </c>
    </row>
    <row r="532" spans="1:1" x14ac:dyDescent="0.25">
      <c r="A532" s="35">
        <f t="shared" si="92"/>
        <v>42558</v>
      </c>
    </row>
    <row r="533" spans="1:1" x14ac:dyDescent="0.25">
      <c r="A533" s="35">
        <f t="shared" si="92"/>
        <v>42565</v>
      </c>
    </row>
    <row r="534" spans="1:1" x14ac:dyDescent="0.25">
      <c r="A534" s="35">
        <f t="shared" si="92"/>
        <v>42572</v>
      </c>
    </row>
    <row r="535" spans="1:1" x14ac:dyDescent="0.25">
      <c r="A535" s="35">
        <f t="shared" si="92"/>
        <v>42579</v>
      </c>
    </row>
    <row r="536" spans="1:1" x14ac:dyDescent="0.25">
      <c r="A536" s="35">
        <f t="shared" si="92"/>
        <v>42586</v>
      </c>
    </row>
    <row r="537" spans="1:1" x14ac:dyDescent="0.25">
      <c r="A537" s="35">
        <f t="shared" si="92"/>
        <v>42593</v>
      </c>
    </row>
    <row r="538" spans="1:1" x14ac:dyDescent="0.25">
      <c r="A538" s="35">
        <f t="shared" si="92"/>
        <v>42600</v>
      </c>
    </row>
    <row r="539" spans="1:1" x14ac:dyDescent="0.25">
      <c r="A539" s="35">
        <f t="shared" si="92"/>
        <v>42607</v>
      </c>
    </row>
    <row r="540" spans="1:1" x14ac:dyDescent="0.25">
      <c r="A540" s="35">
        <f t="shared" si="92"/>
        <v>42614</v>
      </c>
    </row>
    <row r="541" spans="1:1" x14ac:dyDescent="0.25">
      <c r="A541" s="35">
        <f t="shared" si="92"/>
        <v>42621</v>
      </c>
    </row>
    <row r="542" spans="1:1" x14ac:dyDescent="0.25">
      <c r="A542" s="35">
        <f t="shared" si="92"/>
        <v>42628</v>
      </c>
    </row>
    <row r="543" spans="1:1" x14ac:dyDescent="0.25">
      <c r="A543" s="35">
        <f t="shared" si="92"/>
        <v>42635</v>
      </c>
    </row>
    <row r="544" spans="1:1" x14ac:dyDescent="0.25">
      <c r="A544" s="35">
        <f t="shared" si="92"/>
        <v>42642</v>
      </c>
    </row>
    <row r="545" spans="1:1" x14ac:dyDescent="0.25">
      <c r="A545" s="35">
        <f t="shared" si="92"/>
        <v>42649</v>
      </c>
    </row>
    <row r="546" spans="1:1" x14ac:dyDescent="0.25">
      <c r="A546" s="35">
        <f t="shared" si="92"/>
        <v>42656</v>
      </c>
    </row>
    <row r="547" spans="1:1" x14ac:dyDescent="0.25">
      <c r="A547" s="35">
        <f t="shared" si="92"/>
        <v>42663</v>
      </c>
    </row>
    <row r="548" spans="1:1" x14ac:dyDescent="0.25">
      <c r="A548" s="35">
        <f t="shared" si="92"/>
        <v>42670</v>
      </c>
    </row>
    <row r="549" spans="1:1" x14ac:dyDescent="0.25">
      <c r="A549" s="35">
        <f t="shared" si="92"/>
        <v>42677</v>
      </c>
    </row>
    <row r="550" spans="1:1" x14ac:dyDescent="0.25">
      <c r="A550" s="35">
        <f t="shared" si="92"/>
        <v>42684</v>
      </c>
    </row>
    <row r="551" spans="1:1" x14ac:dyDescent="0.25">
      <c r="A551" s="35">
        <f t="shared" si="92"/>
        <v>42691</v>
      </c>
    </row>
    <row r="552" spans="1:1" x14ac:dyDescent="0.25">
      <c r="A552" s="35">
        <f t="shared" si="92"/>
        <v>42698</v>
      </c>
    </row>
    <row r="553" spans="1:1" x14ac:dyDescent="0.25">
      <c r="A553" s="35">
        <f t="shared" si="92"/>
        <v>42705</v>
      </c>
    </row>
    <row r="554" spans="1:1" x14ac:dyDescent="0.25">
      <c r="A554" s="35">
        <f t="shared" si="92"/>
        <v>42712</v>
      </c>
    </row>
    <row r="555" spans="1:1" x14ac:dyDescent="0.25">
      <c r="A555" s="35">
        <f t="shared" si="92"/>
        <v>42719</v>
      </c>
    </row>
    <row r="556" spans="1:1" x14ac:dyDescent="0.25">
      <c r="A556" s="35">
        <f t="shared" si="92"/>
        <v>42726</v>
      </c>
    </row>
    <row r="557" spans="1:1" x14ac:dyDescent="0.25">
      <c r="A557" s="35">
        <f t="shared" si="92"/>
        <v>42733</v>
      </c>
    </row>
    <row r="558" spans="1:1" x14ac:dyDescent="0.25">
      <c r="A558" s="35">
        <f t="shared" si="92"/>
        <v>42740</v>
      </c>
    </row>
    <row r="559" spans="1:1" x14ac:dyDescent="0.25">
      <c r="A559" s="35">
        <f t="shared" si="92"/>
        <v>42747</v>
      </c>
    </row>
    <row r="560" spans="1:1" x14ac:dyDescent="0.25">
      <c r="A560" s="35">
        <f t="shared" si="92"/>
        <v>42754</v>
      </c>
    </row>
    <row r="561" spans="1:1" x14ac:dyDescent="0.25">
      <c r="A561" s="35">
        <f t="shared" si="92"/>
        <v>42761</v>
      </c>
    </row>
    <row r="562" spans="1:1" x14ac:dyDescent="0.25">
      <c r="A562" s="35">
        <f t="shared" si="92"/>
        <v>42768</v>
      </c>
    </row>
    <row r="563" spans="1:1" x14ac:dyDescent="0.25">
      <c r="A563" s="35">
        <f t="shared" si="92"/>
        <v>42775</v>
      </c>
    </row>
    <row r="564" spans="1:1" x14ac:dyDescent="0.25">
      <c r="A564" s="35">
        <f t="shared" si="92"/>
        <v>42782</v>
      </c>
    </row>
    <row r="565" spans="1:1" x14ac:dyDescent="0.25">
      <c r="A565" s="35">
        <f t="shared" si="92"/>
        <v>42789</v>
      </c>
    </row>
    <row r="566" spans="1:1" x14ac:dyDescent="0.25">
      <c r="A566" s="35">
        <f t="shared" si="92"/>
        <v>42796</v>
      </c>
    </row>
    <row r="567" spans="1:1" x14ac:dyDescent="0.25">
      <c r="A567" s="35">
        <f t="shared" si="92"/>
        <v>42803</v>
      </c>
    </row>
    <row r="568" spans="1:1" x14ac:dyDescent="0.25">
      <c r="A568" s="35">
        <f t="shared" si="92"/>
        <v>42810</v>
      </c>
    </row>
    <row r="569" spans="1:1" x14ac:dyDescent="0.25">
      <c r="A569" s="35">
        <f t="shared" si="92"/>
        <v>42817</v>
      </c>
    </row>
    <row r="570" spans="1:1" x14ac:dyDescent="0.25">
      <c r="A570" s="35">
        <f t="shared" si="92"/>
        <v>42824</v>
      </c>
    </row>
    <row r="571" spans="1:1" x14ac:dyDescent="0.25">
      <c r="A571" s="35">
        <f t="shared" si="92"/>
        <v>42831</v>
      </c>
    </row>
    <row r="572" spans="1:1" x14ac:dyDescent="0.25">
      <c r="A572" s="35">
        <f t="shared" si="92"/>
        <v>42838</v>
      </c>
    </row>
    <row r="573" spans="1:1" x14ac:dyDescent="0.25">
      <c r="A573" s="35">
        <f t="shared" ref="A573:A589" si="93">+A572+7</f>
        <v>42845</v>
      </c>
    </row>
    <row r="574" spans="1:1" x14ac:dyDescent="0.25">
      <c r="A574" s="35">
        <f t="shared" si="93"/>
        <v>42852</v>
      </c>
    </row>
    <row r="575" spans="1:1" x14ac:dyDescent="0.25">
      <c r="A575" s="35">
        <f t="shared" si="93"/>
        <v>42859</v>
      </c>
    </row>
    <row r="576" spans="1:1" x14ac:dyDescent="0.25">
      <c r="A576" s="35">
        <f t="shared" si="93"/>
        <v>42866</v>
      </c>
    </row>
    <row r="577" spans="1:1" x14ac:dyDescent="0.25">
      <c r="A577" s="35">
        <f t="shared" si="93"/>
        <v>42873</v>
      </c>
    </row>
    <row r="578" spans="1:1" x14ac:dyDescent="0.25">
      <c r="A578" s="35">
        <f t="shared" si="93"/>
        <v>42880</v>
      </c>
    </row>
    <row r="579" spans="1:1" x14ac:dyDescent="0.25">
      <c r="A579" s="35">
        <f t="shared" si="93"/>
        <v>42887</v>
      </c>
    </row>
    <row r="580" spans="1:1" x14ac:dyDescent="0.25">
      <c r="A580" s="35">
        <f t="shared" si="93"/>
        <v>42894</v>
      </c>
    </row>
    <row r="581" spans="1:1" x14ac:dyDescent="0.25">
      <c r="A581" s="35">
        <f t="shared" si="93"/>
        <v>42901</v>
      </c>
    </row>
    <row r="582" spans="1:1" x14ac:dyDescent="0.25">
      <c r="A582" s="35">
        <f t="shared" si="93"/>
        <v>42908</v>
      </c>
    </row>
    <row r="583" spans="1:1" x14ac:dyDescent="0.25">
      <c r="A583" s="35">
        <f t="shared" si="93"/>
        <v>42915</v>
      </c>
    </row>
    <row r="584" spans="1:1" x14ac:dyDescent="0.25">
      <c r="A584" s="35">
        <f t="shared" si="93"/>
        <v>42922</v>
      </c>
    </row>
    <row r="585" spans="1:1" x14ac:dyDescent="0.25">
      <c r="A585" s="35">
        <f t="shared" si="93"/>
        <v>42929</v>
      </c>
    </row>
    <row r="586" spans="1:1" x14ac:dyDescent="0.25">
      <c r="A586" s="35">
        <f t="shared" si="93"/>
        <v>42936</v>
      </c>
    </row>
    <row r="587" spans="1:1" x14ac:dyDescent="0.25">
      <c r="A587" s="35">
        <f t="shared" si="93"/>
        <v>42943</v>
      </c>
    </row>
    <row r="588" spans="1:1" x14ac:dyDescent="0.25">
      <c r="A588" s="35">
        <f t="shared" si="93"/>
        <v>42950</v>
      </c>
    </row>
    <row r="589" spans="1:1" x14ac:dyDescent="0.25">
      <c r="A589" s="35">
        <f t="shared" si="93"/>
        <v>42957</v>
      </c>
    </row>
    <row r="65486" spans="7:9" x14ac:dyDescent="0.25">
      <c r="G65486" s="14"/>
      <c r="H65486" s="2"/>
      <c r="I65486" s="48"/>
    </row>
  </sheetData>
  <mergeCells count="2">
    <mergeCell ref="E1:F1"/>
    <mergeCell ref="G1:H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O65486"/>
  <sheetViews>
    <sheetView topLeftCell="A387" workbookViewId="0">
      <selection activeCell="O410" sqref="O410"/>
    </sheetView>
  </sheetViews>
  <sheetFormatPr defaultRowHeight="13.2" x14ac:dyDescent="0.25"/>
  <cols>
    <col min="1" max="1" width="11.6640625" customWidth="1"/>
    <col min="2" max="2" width="3.33203125" customWidth="1"/>
    <col min="7" max="7" width="9.33203125" bestFit="1" customWidth="1"/>
  </cols>
  <sheetData>
    <row r="1" spans="1:10" x14ac:dyDescent="0.25">
      <c r="C1" t="s">
        <v>7</v>
      </c>
      <c r="E1" s="210" t="s">
        <v>1</v>
      </c>
      <c r="F1" s="211"/>
      <c r="G1" s="210" t="s">
        <v>2</v>
      </c>
      <c r="H1" s="211"/>
      <c r="I1" s="9"/>
    </row>
    <row r="2" spans="1:10" x14ac:dyDescent="0.25">
      <c r="A2" t="s">
        <v>29</v>
      </c>
      <c r="B2" s="6"/>
      <c r="C2" s="6">
        <v>2005</v>
      </c>
      <c r="D2" s="6">
        <v>2004</v>
      </c>
      <c r="E2" s="8">
        <v>2005</v>
      </c>
      <c r="F2" s="7">
        <v>2004</v>
      </c>
      <c r="G2" s="8">
        <v>2005</v>
      </c>
      <c r="H2" s="7">
        <v>2004</v>
      </c>
      <c r="I2" s="10" t="s">
        <v>4</v>
      </c>
    </row>
    <row r="3" spans="1:10" x14ac:dyDescent="0.25">
      <c r="A3" s="35">
        <v>38855</v>
      </c>
      <c r="C3">
        <v>75</v>
      </c>
      <c r="D3">
        <v>156.5</v>
      </c>
      <c r="E3">
        <v>413.1</v>
      </c>
      <c r="F3">
        <v>705.9</v>
      </c>
      <c r="G3" s="14">
        <f t="shared" ref="G3:H7" si="0">+C3+E3</f>
        <v>488.1</v>
      </c>
      <c r="H3" s="2">
        <f t="shared" si="0"/>
        <v>862.4</v>
      </c>
      <c r="I3" s="48">
        <f>+(G3/H3-1)*100</f>
        <v>-43.402133580705005</v>
      </c>
    </row>
    <row r="4" spans="1:10" x14ac:dyDescent="0.25">
      <c r="A4" s="35">
        <v>38862</v>
      </c>
      <c r="C4">
        <v>75</v>
      </c>
      <c r="D4">
        <v>156.5</v>
      </c>
      <c r="E4">
        <v>413.1</v>
      </c>
      <c r="F4">
        <v>705.9</v>
      </c>
      <c r="G4" s="14">
        <f t="shared" si="0"/>
        <v>488.1</v>
      </c>
      <c r="H4" s="2">
        <f t="shared" si="0"/>
        <v>862.4</v>
      </c>
      <c r="I4" s="48">
        <f t="shared" ref="I4:I22" si="1">+(G4/H4-1)*100</f>
        <v>-43.402133580705005</v>
      </c>
    </row>
    <row r="5" spans="1:10" x14ac:dyDescent="0.25">
      <c r="A5" s="35">
        <v>38869</v>
      </c>
      <c r="C5">
        <v>75</v>
      </c>
      <c r="D5">
        <v>156.5</v>
      </c>
      <c r="E5">
        <v>413.1</v>
      </c>
      <c r="F5">
        <v>705.9</v>
      </c>
      <c r="G5" s="14">
        <f t="shared" si="0"/>
        <v>488.1</v>
      </c>
      <c r="H5" s="2">
        <f t="shared" si="0"/>
        <v>862.4</v>
      </c>
      <c r="I5" s="48">
        <f t="shared" si="1"/>
        <v>-43.402133580705005</v>
      </c>
    </row>
    <row r="6" spans="1:10" x14ac:dyDescent="0.25">
      <c r="A6" s="35">
        <v>38876</v>
      </c>
      <c r="C6">
        <v>75</v>
      </c>
      <c r="D6">
        <v>156.5</v>
      </c>
      <c r="E6">
        <v>413.1</v>
      </c>
      <c r="F6">
        <v>705.9</v>
      </c>
      <c r="G6" s="14">
        <f t="shared" si="0"/>
        <v>488.1</v>
      </c>
      <c r="H6" s="2">
        <f t="shared" si="0"/>
        <v>862.4</v>
      </c>
      <c r="I6" s="48">
        <f t="shared" si="1"/>
        <v>-43.402133580705005</v>
      </c>
      <c r="J6">
        <v>0</v>
      </c>
    </row>
    <row r="7" spans="1:10" x14ac:dyDescent="0.25">
      <c r="A7" s="35">
        <v>38883</v>
      </c>
      <c r="C7">
        <v>75</v>
      </c>
      <c r="D7">
        <v>180</v>
      </c>
      <c r="E7">
        <v>413.1</v>
      </c>
      <c r="F7">
        <v>705.9</v>
      </c>
      <c r="G7" s="14">
        <f t="shared" si="0"/>
        <v>488.1</v>
      </c>
      <c r="H7" s="2">
        <f t="shared" si="0"/>
        <v>885.9</v>
      </c>
      <c r="I7" s="48">
        <f t="shared" si="1"/>
        <v>-44.903487978327114</v>
      </c>
    </row>
    <row r="8" spans="1:10" x14ac:dyDescent="0.25">
      <c r="A8" s="35">
        <v>38890</v>
      </c>
      <c r="C8">
        <v>50</v>
      </c>
      <c r="D8">
        <v>180</v>
      </c>
      <c r="E8">
        <v>437.1</v>
      </c>
      <c r="F8">
        <v>705.9</v>
      </c>
      <c r="G8" s="14">
        <f t="shared" ref="G8:H22" si="2">+C8+E8</f>
        <v>487.1</v>
      </c>
      <c r="H8" s="2">
        <f t="shared" si="2"/>
        <v>885.9</v>
      </c>
      <c r="I8" s="48">
        <f t="shared" si="1"/>
        <v>-45.016367535839251</v>
      </c>
    </row>
    <row r="9" spans="1:10" x14ac:dyDescent="0.25">
      <c r="A9" s="35">
        <v>38897</v>
      </c>
      <c r="C9">
        <v>50</v>
      </c>
      <c r="D9">
        <v>155</v>
      </c>
      <c r="E9">
        <v>437.1</v>
      </c>
      <c r="F9">
        <v>729.5</v>
      </c>
      <c r="G9" s="14">
        <f t="shared" si="2"/>
        <v>487.1</v>
      </c>
      <c r="H9" s="2">
        <f t="shared" si="2"/>
        <v>884.5</v>
      </c>
      <c r="I9" s="48">
        <f t="shared" si="1"/>
        <v>-44.929338609383827</v>
      </c>
    </row>
    <row r="10" spans="1:10" x14ac:dyDescent="0.25">
      <c r="A10" s="35">
        <v>38904</v>
      </c>
      <c r="C10">
        <v>50</v>
      </c>
      <c r="D10">
        <v>155</v>
      </c>
      <c r="E10">
        <v>437.1</v>
      </c>
      <c r="F10">
        <v>729.5</v>
      </c>
      <c r="G10" s="14">
        <f t="shared" si="2"/>
        <v>487.1</v>
      </c>
      <c r="H10" s="2">
        <f t="shared" si="2"/>
        <v>884.5</v>
      </c>
      <c r="I10" s="48">
        <f t="shared" si="1"/>
        <v>-44.929338609383827</v>
      </c>
    </row>
    <row r="11" spans="1:10" x14ac:dyDescent="0.25">
      <c r="A11" s="35">
        <v>38911</v>
      </c>
      <c r="C11">
        <v>50</v>
      </c>
      <c r="D11">
        <v>155</v>
      </c>
      <c r="E11">
        <v>461.8</v>
      </c>
      <c r="F11">
        <v>729.5</v>
      </c>
      <c r="G11" s="14">
        <f t="shared" si="2"/>
        <v>511.8</v>
      </c>
      <c r="H11" s="2">
        <f t="shared" si="2"/>
        <v>884.5</v>
      </c>
      <c r="I11" s="48">
        <f t="shared" si="1"/>
        <v>-42.136800452232904</v>
      </c>
    </row>
    <row r="12" spans="1:10" x14ac:dyDescent="0.25">
      <c r="A12" s="35">
        <v>38918</v>
      </c>
      <c r="C12">
        <v>50</v>
      </c>
      <c r="D12">
        <v>25</v>
      </c>
      <c r="E12">
        <v>461.8</v>
      </c>
      <c r="F12">
        <v>755.8</v>
      </c>
      <c r="G12" s="14">
        <f t="shared" si="2"/>
        <v>511.8</v>
      </c>
      <c r="H12" s="2">
        <f t="shared" si="2"/>
        <v>780.8</v>
      </c>
      <c r="I12" s="48">
        <f t="shared" si="1"/>
        <v>-34.451844262295076</v>
      </c>
    </row>
    <row r="13" spans="1:10" x14ac:dyDescent="0.25">
      <c r="A13" s="35">
        <v>38925</v>
      </c>
      <c r="C13">
        <v>25</v>
      </c>
      <c r="D13">
        <v>25</v>
      </c>
      <c r="E13">
        <v>486.8</v>
      </c>
      <c r="F13">
        <v>755.8</v>
      </c>
      <c r="G13" s="14">
        <f t="shared" si="2"/>
        <v>511.8</v>
      </c>
      <c r="H13" s="2">
        <f t="shared" si="2"/>
        <v>780.8</v>
      </c>
      <c r="I13" s="48">
        <f t="shared" si="1"/>
        <v>-34.451844262295076</v>
      </c>
    </row>
    <row r="14" spans="1:10" x14ac:dyDescent="0.25">
      <c r="A14" s="35">
        <v>38932</v>
      </c>
      <c r="C14">
        <v>25</v>
      </c>
      <c r="D14">
        <v>25</v>
      </c>
      <c r="E14">
        <v>486.8</v>
      </c>
      <c r="F14">
        <v>755.8</v>
      </c>
      <c r="G14" s="14">
        <f t="shared" si="2"/>
        <v>511.8</v>
      </c>
      <c r="H14" s="2">
        <f t="shared" si="2"/>
        <v>780.8</v>
      </c>
      <c r="I14" s="48">
        <f t="shared" si="1"/>
        <v>-34.451844262295076</v>
      </c>
      <c r="J14">
        <v>45</v>
      </c>
    </row>
    <row r="15" spans="1:10" x14ac:dyDescent="0.25">
      <c r="A15" s="35">
        <v>38939</v>
      </c>
      <c r="C15">
        <v>25</v>
      </c>
      <c r="D15">
        <v>25</v>
      </c>
      <c r="E15">
        <v>486.8</v>
      </c>
      <c r="F15">
        <v>755.8</v>
      </c>
      <c r="G15" s="14">
        <f t="shared" si="2"/>
        <v>511.8</v>
      </c>
      <c r="H15" s="2">
        <f t="shared" si="2"/>
        <v>780.8</v>
      </c>
      <c r="I15" s="48">
        <f t="shared" si="1"/>
        <v>-34.451844262295076</v>
      </c>
      <c r="J15">
        <v>45</v>
      </c>
    </row>
    <row r="16" spans="1:10" x14ac:dyDescent="0.25">
      <c r="A16" s="35">
        <v>38946</v>
      </c>
      <c r="C16">
        <v>25</v>
      </c>
      <c r="D16">
        <v>0</v>
      </c>
      <c r="E16">
        <v>486.8</v>
      </c>
      <c r="F16">
        <v>780.1</v>
      </c>
      <c r="G16" s="14">
        <f t="shared" si="2"/>
        <v>511.8</v>
      </c>
      <c r="H16" s="2">
        <f t="shared" si="2"/>
        <v>780.1</v>
      </c>
      <c r="I16" s="48">
        <f t="shared" si="1"/>
        <v>-34.393026535059612</v>
      </c>
      <c r="J16">
        <v>45</v>
      </c>
    </row>
    <row r="17" spans="1:10" x14ac:dyDescent="0.25">
      <c r="A17" s="35">
        <v>38953</v>
      </c>
      <c r="C17">
        <v>25</v>
      </c>
      <c r="D17">
        <v>0</v>
      </c>
      <c r="E17">
        <v>486.8</v>
      </c>
      <c r="F17">
        <v>780.1</v>
      </c>
      <c r="G17" s="14">
        <f t="shared" si="2"/>
        <v>511.8</v>
      </c>
      <c r="H17" s="2">
        <f t="shared" si="2"/>
        <v>780.1</v>
      </c>
      <c r="I17" s="48">
        <f t="shared" si="1"/>
        <v>-34.393026535059612</v>
      </c>
      <c r="J17">
        <v>45</v>
      </c>
    </row>
    <row r="18" spans="1:10" x14ac:dyDescent="0.25">
      <c r="A18" s="35">
        <v>38960</v>
      </c>
      <c r="C18">
        <v>25</v>
      </c>
      <c r="D18">
        <v>0</v>
      </c>
      <c r="E18">
        <v>486.8</v>
      </c>
      <c r="F18">
        <v>780.1</v>
      </c>
      <c r="G18" s="14">
        <f t="shared" si="2"/>
        <v>511.8</v>
      </c>
      <c r="H18" s="2">
        <f t="shared" si="2"/>
        <v>780.1</v>
      </c>
      <c r="I18" s="48">
        <f t="shared" si="1"/>
        <v>-34.393026535059612</v>
      </c>
      <c r="J18">
        <v>70</v>
      </c>
    </row>
    <row r="19" spans="1:10" x14ac:dyDescent="0.25">
      <c r="A19" s="35">
        <v>38967</v>
      </c>
      <c r="C19">
        <v>70</v>
      </c>
      <c r="D19">
        <v>282.5</v>
      </c>
      <c r="E19">
        <v>0</v>
      </c>
      <c r="F19">
        <v>0</v>
      </c>
      <c r="G19" s="14">
        <f t="shared" si="2"/>
        <v>70</v>
      </c>
      <c r="H19" s="2">
        <f t="shared" si="2"/>
        <v>282.5</v>
      </c>
      <c r="I19" s="48">
        <f t="shared" si="1"/>
        <v>-75.221238938053105</v>
      </c>
    </row>
    <row r="20" spans="1:10" x14ac:dyDescent="0.25">
      <c r="A20" s="35">
        <v>38974</v>
      </c>
      <c r="C20">
        <v>160</v>
      </c>
      <c r="D20">
        <v>282.5</v>
      </c>
      <c r="E20">
        <v>0</v>
      </c>
      <c r="F20">
        <v>0</v>
      </c>
      <c r="G20" s="14">
        <f t="shared" si="2"/>
        <v>160</v>
      </c>
      <c r="H20" s="2">
        <f t="shared" si="2"/>
        <v>282.5</v>
      </c>
      <c r="I20" s="48">
        <f t="shared" si="1"/>
        <v>-43.362831858407077</v>
      </c>
    </row>
    <row r="21" spans="1:10" x14ac:dyDescent="0.25">
      <c r="A21" s="35">
        <v>38981</v>
      </c>
      <c r="C21">
        <v>304</v>
      </c>
      <c r="D21">
        <v>282.5</v>
      </c>
      <c r="E21">
        <v>0</v>
      </c>
      <c r="F21">
        <v>0</v>
      </c>
      <c r="G21" s="14">
        <f t="shared" si="2"/>
        <v>304</v>
      </c>
      <c r="H21" s="2">
        <f t="shared" si="2"/>
        <v>282.5</v>
      </c>
      <c r="I21" s="48">
        <f t="shared" si="1"/>
        <v>7.6106194690265472</v>
      </c>
    </row>
    <row r="22" spans="1:10" x14ac:dyDescent="0.25">
      <c r="A22" s="35">
        <v>38988</v>
      </c>
      <c r="C22">
        <v>259</v>
      </c>
      <c r="D22">
        <v>282.5</v>
      </c>
      <c r="E22">
        <v>46.8</v>
      </c>
      <c r="F22">
        <v>0</v>
      </c>
      <c r="G22" s="14">
        <f t="shared" si="2"/>
        <v>305.8</v>
      </c>
      <c r="H22" s="2">
        <f t="shared" si="2"/>
        <v>282.5</v>
      </c>
      <c r="I22" s="48">
        <f t="shared" si="1"/>
        <v>8.2477876106194827</v>
      </c>
    </row>
    <row r="23" spans="1:10" x14ac:dyDescent="0.25">
      <c r="A23" s="35">
        <v>38995</v>
      </c>
      <c r="G23" s="14">
        <f t="shared" ref="G23:H39" si="3">+C23+E23</f>
        <v>0</v>
      </c>
      <c r="H23" s="2">
        <f t="shared" si="3"/>
        <v>0</v>
      </c>
      <c r="I23" s="48" t="e">
        <f t="shared" ref="I23:I39" si="4">+(G23/H23-1)*100</f>
        <v>#DIV/0!</v>
      </c>
    </row>
    <row r="24" spans="1:10" x14ac:dyDescent="0.25">
      <c r="A24" s="35">
        <v>39002</v>
      </c>
      <c r="C24">
        <v>369</v>
      </c>
      <c r="D24">
        <v>387.5</v>
      </c>
      <c r="E24">
        <v>56.5</v>
      </c>
      <c r="F24">
        <v>0</v>
      </c>
      <c r="G24" s="14">
        <f t="shared" si="3"/>
        <v>425.5</v>
      </c>
      <c r="H24" s="2">
        <f t="shared" si="3"/>
        <v>387.5</v>
      </c>
      <c r="I24" s="48">
        <f t="shared" si="4"/>
        <v>9.8064516129032331</v>
      </c>
    </row>
    <row r="25" spans="1:10" x14ac:dyDescent="0.25">
      <c r="A25" s="35">
        <v>39009</v>
      </c>
      <c r="C25">
        <v>324</v>
      </c>
      <c r="D25">
        <v>440</v>
      </c>
      <c r="E25">
        <v>99.8</v>
      </c>
      <c r="F25">
        <v>0</v>
      </c>
      <c r="G25" s="14">
        <f t="shared" si="3"/>
        <v>423.8</v>
      </c>
      <c r="H25" s="2">
        <f t="shared" si="3"/>
        <v>440</v>
      </c>
      <c r="I25" s="48">
        <f t="shared" si="4"/>
        <v>-3.681818181818175</v>
      </c>
    </row>
    <row r="26" spans="1:10" x14ac:dyDescent="0.25">
      <c r="A26" s="35">
        <v>39016</v>
      </c>
      <c r="C26">
        <v>324</v>
      </c>
      <c r="D26">
        <v>440.1</v>
      </c>
      <c r="E26">
        <v>99.8</v>
      </c>
      <c r="F26">
        <v>0</v>
      </c>
      <c r="G26" s="14">
        <f t="shared" si="3"/>
        <v>423.8</v>
      </c>
      <c r="H26" s="2">
        <f t="shared" si="3"/>
        <v>440.1</v>
      </c>
      <c r="I26" s="48">
        <f t="shared" si="4"/>
        <v>-3.703703703703709</v>
      </c>
    </row>
    <row r="27" spans="1:10" x14ac:dyDescent="0.25">
      <c r="A27" s="35">
        <v>39023</v>
      </c>
      <c r="C27">
        <v>332.5</v>
      </c>
      <c r="D27">
        <v>415.1</v>
      </c>
      <c r="E27">
        <v>99.8</v>
      </c>
      <c r="F27">
        <v>24.9</v>
      </c>
      <c r="G27" s="14">
        <f t="shared" si="3"/>
        <v>432.3</v>
      </c>
      <c r="H27" s="2">
        <f t="shared" si="3"/>
        <v>440</v>
      </c>
      <c r="I27" s="48">
        <f t="shared" si="4"/>
        <v>-1.749999999999996</v>
      </c>
    </row>
    <row r="28" spans="1:10" x14ac:dyDescent="0.25">
      <c r="A28" s="35">
        <v>39030</v>
      </c>
      <c r="C28">
        <v>332.5</v>
      </c>
      <c r="D28">
        <v>415.1</v>
      </c>
      <c r="E28">
        <v>123.6</v>
      </c>
      <c r="F28">
        <v>24.9</v>
      </c>
      <c r="G28" s="14">
        <f t="shared" si="3"/>
        <v>456.1</v>
      </c>
      <c r="H28" s="2">
        <f t="shared" si="3"/>
        <v>440</v>
      </c>
      <c r="I28" s="48">
        <f t="shared" si="4"/>
        <v>3.6590909090909118</v>
      </c>
    </row>
    <row r="29" spans="1:10" x14ac:dyDescent="0.25">
      <c r="A29" s="35">
        <v>39037</v>
      </c>
      <c r="C29">
        <v>287.5</v>
      </c>
      <c r="D29">
        <v>307.60000000000002</v>
      </c>
      <c r="E29">
        <v>172.8</v>
      </c>
      <c r="F29">
        <v>139.6</v>
      </c>
      <c r="G29" s="14">
        <f t="shared" si="3"/>
        <v>460.3</v>
      </c>
      <c r="H29" s="2">
        <f t="shared" si="3"/>
        <v>447.20000000000005</v>
      </c>
      <c r="I29" s="48">
        <f t="shared" si="4"/>
        <v>2.9293381037567068</v>
      </c>
    </row>
    <row r="30" spans="1:10" x14ac:dyDescent="0.25">
      <c r="A30" s="35">
        <v>39044</v>
      </c>
      <c r="C30">
        <v>287.5</v>
      </c>
      <c r="D30">
        <v>307.60000000000002</v>
      </c>
      <c r="E30">
        <v>172.8</v>
      </c>
      <c r="F30">
        <v>139.6</v>
      </c>
      <c r="G30" s="14">
        <f t="shared" si="3"/>
        <v>460.3</v>
      </c>
      <c r="H30" s="2">
        <f t="shared" si="3"/>
        <v>447.20000000000005</v>
      </c>
      <c r="I30" s="48">
        <f t="shared" si="4"/>
        <v>2.9293381037567068</v>
      </c>
    </row>
    <row r="31" spans="1:10" x14ac:dyDescent="0.25">
      <c r="A31" s="35">
        <v>39051</v>
      </c>
      <c r="C31">
        <v>235</v>
      </c>
      <c r="D31">
        <v>307.60000000000002</v>
      </c>
      <c r="E31">
        <v>230.2</v>
      </c>
      <c r="F31">
        <v>139.6</v>
      </c>
      <c r="G31" s="14">
        <f t="shared" si="3"/>
        <v>465.2</v>
      </c>
      <c r="H31" s="2">
        <f t="shared" si="3"/>
        <v>447.20000000000005</v>
      </c>
      <c r="I31" s="48">
        <f t="shared" si="4"/>
        <v>4.0250447227191177</v>
      </c>
    </row>
    <row r="32" spans="1:10" x14ac:dyDescent="0.25">
      <c r="A32" s="35">
        <v>39058</v>
      </c>
      <c r="C32">
        <v>235</v>
      </c>
      <c r="D32">
        <v>307.5</v>
      </c>
      <c r="E32">
        <v>230.2</v>
      </c>
      <c r="F32">
        <v>139.6</v>
      </c>
      <c r="G32" s="14">
        <f t="shared" si="3"/>
        <v>465.2</v>
      </c>
      <c r="H32" s="2">
        <f t="shared" si="3"/>
        <v>447.1</v>
      </c>
      <c r="I32" s="48">
        <f t="shared" si="4"/>
        <v>4.0483113397450143</v>
      </c>
    </row>
    <row r="33" spans="1:9" x14ac:dyDescent="0.25">
      <c r="A33" s="35">
        <v>39065</v>
      </c>
      <c r="C33">
        <v>235</v>
      </c>
      <c r="D33">
        <v>255</v>
      </c>
      <c r="E33">
        <v>230.2</v>
      </c>
      <c r="F33">
        <v>197.4</v>
      </c>
      <c r="G33" s="14">
        <f t="shared" si="3"/>
        <v>465.2</v>
      </c>
      <c r="H33" s="2">
        <f t="shared" si="3"/>
        <v>452.4</v>
      </c>
      <c r="I33" s="48">
        <f t="shared" si="4"/>
        <v>2.8293545534924913</v>
      </c>
    </row>
    <row r="34" spans="1:9" x14ac:dyDescent="0.25">
      <c r="A34" s="35">
        <v>39072</v>
      </c>
      <c r="C34">
        <v>235</v>
      </c>
      <c r="D34">
        <v>202.5</v>
      </c>
      <c r="E34">
        <v>230.2</v>
      </c>
      <c r="F34">
        <v>255.1</v>
      </c>
      <c r="G34" s="14">
        <f t="shared" si="3"/>
        <v>465.2</v>
      </c>
      <c r="H34" s="2">
        <f t="shared" si="3"/>
        <v>457.6</v>
      </c>
      <c r="I34" s="48">
        <f t="shared" si="4"/>
        <v>1.6608391608391448</v>
      </c>
    </row>
    <row r="35" spans="1:9" x14ac:dyDescent="0.25">
      <c r="A35" s="35">
        <v>39079</v>
      </c>
      <c r="C35">
        <v>190</v>
      </c>
      <c r="D35">
        <v>177.5</v>
      </c>
      <c r="E35">
        <v>279.2</v>
      </c>
      <c r="F35">
        <v>279.8</v>
      </c>
      <c r="G35" s="14">
        <f t="shared" si="3"/>
        <v>469.2</v>
      </c>
      <c r="H35" s="2">
        <f t="shared" si="3"/>
        <v>457.3</v>
      </c>
      <c r="I35" s="48">
        <f t="shared" si="4"/>
        <v>2.6022304832713727</v>
      </c>
    </row>
    <row r="36" spans="1:9" x14ac:dyDescent="0.25">
      <c r="A36" s="35">
        <v>39086</v>
      </c>
      <c r="C36">
        <v>210</v>
      </c>
      <c r="D36">
        <v>177.5</v>
      </c>
      <c r="E36">
        <v>279.2</v>
      </c>
      <c r="F36">
        <v>279.8</v>
      </c>
      <c r="G36" s="14">
        <f t="shared" si="3"/>
        <v>489.2</v>
      </c>
      <c r="H36" s="2">
        <f t="shared" si="3"/>
        <v>457.3</v>
      </c>
      <c r="I36" s="48">
        <f t="shared" si="4"/>
        <v>6.9757270938114901</v>
      </c>
    </row>
    <row r="37" spans="1:9" x14ac:dyDescent="0.25">
      <c r="A37" s="35">
        <v>39093</v>
      </c>
      <c r="C37">
        <v>210</v>
      </c>
      <c r="D37">
        <v>177.5</v>
      </c>
      <c r="E37">
        <v>279.2</v>
      </c>
      <c r="F37">
        <v>279.8</v>
      </c>
      <c r="G37" s="14">
        <f t="shared" si="3"/>
        <v>489.2</v>
      </c>
      <c r="H37" s="2">
        <f t="shared" si="3"/>
        <v>457.3</v>
      </c>
      <c r="I37" s="48">
        <f t="shared" si="4"/>
        <v>6.9757270938114901</v>
      </c>
    </row>
    <row r="38" spans="1:9" x14ac:dyDescent="0.25">
      <c r="A38" s="35">
        <v>39100</v>
      </c>
      <c r="C38">
        <v>210</v>
      </c>
      <c r="D38">
        <v>177.5</v>
      </c>
      <c r="E38">
        <v>279.2</v>
      </c>
      <c r="F38">
        <v>279.8</v>
      </c>
      <c r="G38" s="14">
        <f t="shared" si="3"/>
        <v>489.2</v>
      </c>
      <c r="H38" s="2">
        <f t="shared" si="3"/>
        <v>457.3</v>
      </c>
      <c r="I38" s="48">
        <f t="shared" si="4"/>
        <v>6.9757270938114901</v>
      </c>
    </row>
    <row r="39" spans="1:9" x14ac:dyDescent="0.25">
      <c r="A39" s="35">
        <v>39107</v>
      </c>
      <c r="C39">
        <v>155</v>
      </c>
      <c r="D39">
        <v>152.5</v>
      </c>
      <c r="E39">
        <v>333.6</v>
      </c>
      <c r="F39">
        <v>305.60000000000002</v>
      </c>
      <c r="G39" s="14">
        <f t="shared" si="3"/>
        <v>488.6</v>
      </c>
      <c r="H39" s="2">
        <f t="shared" si="3"/>
        <v>458.1</v>
      </c>
      <c r="I39" s="48">
        <f t="shared" si="4"/>
        <v>6.6579349487011497</v>
      </c>
    </row>
    <row r="40" spans="1:9" x14ac:dyDescent="0.25">
      <c r="A40" s="35">
        <v>39114</v>
      </c>
      <c r="C40">
        <v>155</v>
      </c>
      <c r="D40">
        <v>152.5</v>
      </c>
      <c r="E40">
        <v>333.6</v>
      </c>
      <c r="F40">
        <v>305.60000000000002</v>
      </c>
      <c r="G40" s="14">
        <f t="shared" ref="G40:H42" si="5">+C40+E40</f>
        <v>488.6</v>
      </c>
      <c r="H40" s="2">
        <f t="shared" si="5"/>
        <v>458.1</v>
      </c>
      <c r="I40" s="48">
        <f t="shared" ref="I40:I45" si="6">+(G40/H40-1)*100</f>
        <v>6.6579349487011497</v>
      </c>
    </row>
    <row r="41" spans="1:9" x14ac:dyDescent="0.25">
      <c r="A41" s="35">
        <v>39121</v>
      </c>
      <c r="C41">
        <v>155</v>
      </c>
      <c r="D41">
        <v>152.5</v>
      </c>
      <c r="E41">
        <v>333.6</v>
      </c>
      <c r="F41">
        <v>305.60000000000002</v>
      </c>
      <c r="G41" s="14">
        <f t="shared" si="5"/>
        <v>488.6</v>
      </c>
      <c r="H41" s="2">
        <f t="shared" si="5"/>
        <v>458.1</v>
      </c>
      <c r="I41" s="48">
        <f t="shared" si="6"/>
        <v>6.6579349487011497</v>
      </c>
    </row>
    <row r="42" spans="1:9" x14ac:dyDescent="0.25">
      <c r="A42" s="35">
        <v>39128</v>
      </c>
      <c r="C42">
        <v>100</v>
      </c>
      <c r="D42">
        <v>152.5</v>
      </c>
      <c r="E42">
        <v>392.4</v>
      </c>
      <c r="F42">
        <v>305.60000000000002</v>
      </c>
      <c r="G42" s="14">
        <f t="shared" si="5"/>
        <v>492.4</v>
      </c>
      <c r="H42" s="2">
        <f t="shared" si="5"/>
        <v>458.1</v>
      </c>
      <c r="I42" s="48">
        <f t="shared" si="6"/>
        <v>7.4874481554245698</v>
      </c>
    </row>
    <row r="43" spans="1:9" x14ac:dyDescent="0.25">
      <c r="A43" s="35">
        <v>39135</v>
      </c>
      <c r="C43">
        <v>146</v>
      </c>
      <c r="D43">
        <v>152.5</v>
      </c>
      <c r="E43">
        <v>392.4</v>
      </c>
      <c r="F43">
        <v>305.60000000000002</v>
      </c>
      <c r="G43" s="14">
        <f t="shared" ref="G43:H45" si="7">+C43+E43</f>
        <v>538.4</v>
      </c>
      <c r="H43" s="2">
        <f t="shared" si="7"/>
        <v>458.1</v>
      </c>
      <c r="I43" s="48">
        <f t="shared" si="6"/>
        <v>17.528923815760745</v>
      </c>
    </row>
    <row r="44" spans="1:9" x14ac:dyDescent="0.25">
      <c r="A44" s="35">
        <v>39142</v>
      </c>
      <c r="C44">
        <v>146</v>
      </c>
      <c r="D44">
        <v>127.5</v>
      </c>
      <c r="E44">
        <v>392.4</v>
      </c>
      <c r="F44">
        <v>331.9</v>
      </c>
      <c r="G44" s="14">
        <f t="shared" si="7"/>
        <v>538.4</v>
      </c>
      <c r="H44" s="2">
        <f t="shared" si="7"/>
        <v>459.4</v>
      </c>
      <c r="I44" s="48">
        <f t="shared" si="6"/>
        <v>17.196343056160202</v>
      </c>
    </row>
    <row r="45" spans="1:9" x14ac:dyDescent="0.25">
      <c r="A45" s="35">
        <v>39149</v>
      </c>
      <c r="C45">
        <v>146</v>
      </c>
      <c r="D45">
        <v>75</v>
      </c>
      <c r="E45">
        <v>392.4</v>
      </c>
      <c r="F45">
        <v>386.9</v>
      </c>
      <c r="G45" s="14">
        <f t="shared" si="7"/>
        <v>538.4</v>
      </c>
      <c r="H45" s="2">
        <f t="shared" si="7"/>
        <v>461.9</v>
      </c>
      <c r="I45" s="48">
        <f t="shared" si="6"/>
        <v>16.562026412643437</v>
      </c>
    </row>
    <row r="46" spans="1:9" x14ac:dyDescent="0.25">
      <c r="A46" s="35">
        <v>39156</v>
      </c>
      <c r="C46">
        <v>146</v>
      </c>
      <c r="D46">
        <v>75</v>
      </c>
      <c r="E46">
        <v>392.4</v>
      </c>
      <c r="F46">
        <v>386.9</v>
      </c>
      <c r="G46" s="14">
        <f t="shared" ref="G46:H48" si="8">+C46+E46</f>
        <v>538.4</v>
      </c>
      <c r="H46" s="2">
        <f t="shared" si="8"/>
        <v>461.9</v>
      </c>
      <c r="I46" s="48">
        <f t="shared" ref="I46:I51" si="9">+(G46/H46-1)*100</f>
        <v>16.562026412643437</v>
      </c>
    </row>
    <row r="47" spans="1:9" x14ac:dyDescent="0.25">
      <c r="A47" s="35">
        <v>39163</v>
      </c>
      <c r="C47">
        <v>101</v>
      </c>
      <c r="D47">
        <v>75</v>
      </c>
      <c r="E47">
        <v>440</v>
      </c>
      <c r="F47">
        <v>386.9</v>
      </c>
      <c r="G47" s="14">
        <f t="shared" si="8"/>
        <v>541</v>
      </c>
      <c r="H47" s="2">
        <f t="shared" si="8"/>
        <v>461.9</v>
      </c>
      <c r="I47" s="48">
        <f t="shared" si="9"/>
        <v>17.124918813596011</v>
      </c>
    </row>
    <row r="48" spans="1:9" x14ac:dyDescent="0.25">
      <c r="A48" s="35">
        <v>39170</v>
      </c>
      <c r="C48">
        <v>46</v>
      </c>
      <c r="D48">
        <v>75</v>
      </c>
      <c r="E48">
        <v>496.6</v>
      </c>
      <c r="F48">
        <v>386.9</v>
      </c>
      <c r="G48" s="14">
        <f t="shared" si="8"/>
        <v>542.6</v>
      </c>
      <c r="H48" s="2">
        <f t="shared" si="8"/>
        <v>461.9</v>
      </c>
      <c r="I48" s="48">
        <f t="shared" si="9"/>
        <v>17.471314137259153</v>
      </c>
    </row>
    <row r="49" spans="1:10" x14ac:dyDescent="0.25">
      <c r="A49" s="35">
        <v>39177</v>
      </c>
      <c r="C49">
        <v>46</v>
      </c>
      <c r="D49">
        <v>75</v>
      </c>
      <c r="E49">
        <v>496.6</v>
      </c>
      <c r="F49">
        <v>386.9</v>
      </c>
      <c r="G49" s="14">
        <f t="shared" ref="G49:H51" si="10">+C49+E49</f>
        <v>542.6</v>
      </c>
      <c r="H49" s="2">
        <f t="shared" si="10"/>
        <v>461.9</v>
      </c>
      <c r="I49" s="48">
        <f t="shared" si="9"/>
        <v>17.471314137259153</v>
      </c>
    </row>
    <row r="50" spans="1:10" x14ac:dyDescent="0.25">
      <c r="A50" s="35">
        <v>39184</v>
      </c>
      <c r="C50">
        <v>46</v>
      </c>
      <c r="D50">
        <v>75</v>
      </c>
      <c r="E50">
        <v>496.6</v>
      </c>
      <c r="F50">
        <v>386.9</v>
      </c>
      <c r="G50" s="14">
        <f t="shared" si="10"/>
        <v>542.6</v>
      </c>
      <c r="H50" s="2">
        <f t="shared" si="10"/>
        <v>461.9</v>
      </c>
      <c r="I50" s="48">
        <f t="shared" si="9"/>
        <v>17.471314137259153</v>
      </c>
    </row>
    <row r="51" spans="1:10" x14ac:dyDescent="0.25">
      <c r="A51" s="35">
        <v>39191</v>
      </c>
      <c r="C51">
        <v>46</v>
      </c>
      <c r="D51">
        <v>75</v>
      </c>
      <c r="E51">
        <v>496.6</v>
      </c>
      <c r="F51">
        <v>386.9</v>
      </c>
      <c r="G51" s="14">
        <f t="shared" si="10"/>
        <v>542.6</v>
      </c>
      <c r="H51" s="2">
        <f t="shared" si="10"/>
        <v>461.9</v>
      </c>
      <c r="I51" s="48">
        <f t="shared" si="9"/>
        <v>17.471314137259153</v>
      </c>
    </row>
    <row r="52" spans="1:10" x14ac:dyDescent="0.25">
      <c r="A52" s="35">
        <v>39198</v>
      </c>
      <c r="C52">
        <v>46</v>
      </c>
      <c r="D52">
        <v>50</v>
      </c>
      <c r="E52">
        <v>496.6</v>
      </c>
      <c r="F52">
        <v>413.1</v>
      </c>
      <c r="G52" s="14">
        <f t="shared" ref="G52:H54" si="11">+C52+E52</f>
        <v>542.6</v>
      </c>
      <c r="H52" s="2">
        <f t="shared" si="11"/>
        <v>463.1</v>
      </c>
      <c r="I52" s="48">
        <f t="shared" ref="I52:I57" si="12">+(G52/H52-1)*100</f>
        <v>17.166918592096735</v>
      </c>
    </row>
    <row r="53" spans="1:10" x14ac:dyDescent="0.25">
      <c r="A53" s="35">
        <v>39205</v>
      </c>
      <c r="C53">
        <v>46</v>
      </c>
      <c r="D53">
        <v>75</v>
      </c>
      <c r="E53">
        <v>523.5</v>
      </c>
      <c r="F53">
        <v>413.1</v>
      </c>
      <c r="G53" s="14">
        <f t="shared" si="11"/>
        <v>569.5</v>
      </c>
      <c r="H53" s="2">
        <f t="shared" si="11"/>
        <v>488.1</v>
      </c>
      <c r="I53" s="48">
        <f t="shared" si="12"/>
        <v>16.676910469166152</v>
      </c>
      <c r="J53">
        <v>25</v>
      </c>
    </row>
    <row r="54" spans="1:10" x14ac:dyDescent="0.25">
      <c r="A54" s="35">
        <v>39212</v>
      </c>
      <c r="C54">
        <v>46</v>
      </c>
      <c r="D54">
        <v>75</v>
      </c>
      <c r="E54">
        <v>523.5</v>
      </c>
      <c r="F54">
        <v>413.1</v>
      </c>
      <c r="G54" s="14">
        <f t="shared" si="11"/>
        <v>569.5</v>
      </c>
      <c r="H54" s="2">
        <f t="shared" si="11"/>
        <v>488.1</v>
      </c>
      <c r="I54" s="48">
        <f t="shared" si="12"/>
        <v>16.676910469166152</v>
      </c>
      <c r="J54">
        <v>25</v>
      </c>
    </row>
    <row r="55" spans="1:10" x14ac:dyDescent="0.25">
      <c r="A55" s="35">
        <v>39219</v>
      </c>
      <c r="C55">
        <v>46</v>
      </c>
      <c r="D55">
        <v>75</v>
      </c>
      <c r="E55">
        <v>523.5</v>
      </c>
      <c r="F55">
        <v>413.1</v>
      </c>
      <c r="G55" s="14">
        <f t="shared" ref="G55:H57" si="13">+C55+E55</f>
        <v>569.5</v>
      </c>
      <c r="H55" s="2">
        <f t="shared" si="13"/>
        <v>488.1</v>
      </c>
      <c r="I55" s="48">
        <f t="shared" si="12"/>
        <v>16.676910469166152</v>
      </c>
      <c r="J55">
        <v>25</v>
      </c>
    </row>
    <row r="56" spans="1:10" x14ac:dyDescent="0.25">
      <c r="A56" s="35">
        <v>39226</v>
      </c>
      <c r="C56">
        <v>46</v>
      </c>
      <c r="D56">
        <v>75</v>
      </c>
      <c r="E56">
        <v>523.5</v>
      </c>
      <c r="F56">
        <v>413.1</v>
      </c>
      <c r="G56" s="14">
        <f t="shared" si="13"/>
        <v>569.5</v>
      </c>
      <c r="H56" s="2">
        <f t="shared" si="13"/>
        <v>488.1</v>
      </c>
      <c r="I56" s="48">
        <f t="shared" si="12"/>
        <v>16.676910469166152</v>
      </c>
      <c r="J56">
        <v>25</v>
      </c>
    </row>
    <row r="57" spans="1:10" x14ac:dyDescent="0.25">
      <c r="A57" s="35">
        <v>39233</v>
      </c>
      <c r="C57">
        <v>46</v>
      </c>
      <c r="D57">
        <v>75</v>
      </c>
      <c r="E57">
        <v>523.5</v>
      </c>
      <c r="F57">
        <v>413.1</v>
      </c>
      <c r="G57" s="14">
        <f t="shared" si="13"/>
        <v>569.5</v>
      </c>
      <c r="H57" s="2">
        <f t="shared" si="13"/>
        <v>488.1</v>
      </c>
      <c r="I57" s="48">
        <f t="shared" si="12"/>
        <v>16.676910469166152</v>
      </c>
      <c r="J57">
        <v>50</v>
      </c>
    </row>
    <row r="58" spans="1:10" x14ac:dyDescent="0.25">
      <c r="A58" s="35">
        <v>39240</v>
      </c>
      <c r="C58">
        <v>46</v>
      </c>
      <c r="D58">
        <v>75</v>
      </c>
      <c r="E58">
        <v>550.4</v>
      </c>
      <c r="F58">
        <v>413.1</v>
      </c>
      <c r="G58" s="14">
        <f t="shared" ref="G58:H60" si="14">+C58+E58</f>
        <v>596.4</v>
      </c>
      <c r="H58" s="2">
        <f t="shared" si="14"/>
        <v>488.1</v>
      </c>
      <c r="I58" s="48">
        <f t="shared" ref="I58:I63" si="15">+(G58/H58-1)*100</f>
        <v>22.188076213890582</v>
      </c>
      <c r="J58">
        <v>50</v>
      </c>
    </row>
    <row r="59" spans="1:10" x14ac:dyDescent="0.25">
      <c r="A59" s="35">
        <v>39247</v>
      </c>
      <c r="C59">
        <v>46</v>
      </c>
      <c r="D59">
        <v>75</v>
      </c>
      <c r="E59">
        <v>550.4</v>
      </c>
      <c r="F59">
        <v>413.1</v>
      </c>
      <c r="G59" s="14">
        <f t="shared" si="14"/>
        <v>596.4</v>
      </c>
      <c r="H59" s="2">
        <f t="shared" si="14"/>
        <v>488.1</v>
      </c>
      <c r="I59" s="48">
        <f t="shared" si="15"/>
        <v>22.188076213890582</v>
      </c>
      <c r="J59">
        <v>50</v>
      </c>
    </row>
    <row r="60" spans="1:10" x14ac:dyDescent="0.25">
      <c r="A60" s="35">
        <v>39254</v>
      </c>
      <c r="C60">
        <v>46</v>
      </c>
      <c r="D60">
        <v>50</v>
      </c>
      <c r="E60">
        <v>550.4</v>
      </c>
      <c r="F60">
        <v>437.1</v>
      </c>
      <c r="G60" s="14">
        <f t="shared" si="14"/>
        <v>596.4</v>
      </c>
      <c r="H60" s="2">
        <f t="shared" si="14"/>
        <v>487.1</v>
      </c>
      <c r="I60" s="48">
        <f t="shared" si="15"/>
        <v>22.438924245534796</v>
      </c>
      <c r="J60">
        <v>50</v>
      </c>
    </row>
    <row r="61" spans="1:10" x14ac:dyDescent="0.25">
      <c r="A61" s="35">
        <v>39261</v>
      </c>
      <c r="C61">
        <v>0</v>
      </c>
      <c r="D61">
        <v>50</v>
      </c>
      <c r="E61">
        <v>593.6</v>
      </c>
      <c r="F61">
        <v>437.1</v>
      </c>
      <c r="G61" s="14">
        <f t="shared" ref="G61:H63" si="16">+C61+E61</f>
        <v>593.6</v>
      </c>
      <c r="H61" s="2">
        <f t="shared" si="16"/>
        <v>487.1</v>
      </c>
      <c r="I61" s="48">
        <f t="shared" si="15"/>
        <v>21.864093615274061</v>
      </c>
      <c r="J61">
        <v>50</v>
      </c>
    </row>
    <row r="62" spans="1:10" x14ac:dyDescent="0.25">
      <c r="A62" s="35">
        <v>39268</v>
      </c>
      <c r="C62">
        <v>0</v>
      </c>
      <c r="D62">
        <v>50</v>
      </c>
      <c r="E62">
        <v>593.6</v>
      </c>
      <c r="F62">
        <v>437.1</v>
      </c>
      <c r="G62" s="14">
        <f t="shared" si="16"/>
        <v>593.6</v>
      </c>
      <c r="H62" s="2">
        <f t="shared" si="16"/>
        <v>487.1</v>
      </c>
      <c r="I62" s="48">
        <f t="shared" si="15"/>
        <v>21.864093615274061</v>
      </c>
      <c r="J62">
        <v>50</v>
      </c>
    </row>
    <row r="63" spans="1:10" x14ac:dyDescent="0.25">
      <c r="A63" s="35">
        <v>39275</v>
      </c>
      <c r="C63">
        <v>0</v>
      </c>
      <c r="D63">
        <v>50</v>
      </c>
      <c r="E63">
        <v>593.6</v>
      </c>
      <c r="F63">
        <v>461.8</v>
      </c>
      <c r="G63" s="14">
        <f t="shared" si="16"/>
        <v>593.6</v>
      </c>
      <c r="H63" s="2">
        <f t="shared" si="16"/>
        <v>511.8</v>
      </c>
      <c r="I63" s="48">
        <f t="shared" si="15"/>
        <v>15.982805783509191</v>
      </c>
      <c r="J63">
        <v>50</v>
      </c>
    </row>
    <row r="64" spans="1:10" x14ac:dyDescent="0.25">
      <c r="A64" s="35">
        <v>39282</v>
      </c>
      <c r="C64">
        <v>0</v>
      </c>
      <c r="D64">
        <v>50</v>
      </c>
      <c r="E64">
        <v>593.6</v>
      </c>
      <c r="F64">
        <v>461.8</v>
      </c>
      <c r="G64" s="14">
        <f t="shared" ref="G64:H66" si="17">+C64+E64</f>
        <v>593.6</v>
      </c>
      <c r="H64" s="2">
        <f t="shared" si="17"/>
        <v>511.8</v>
      </c>
      <c r="I64" s="48">
        <f t="shared" ref="I64:I69" si="18">+(G64/H64-1)*100</f>
        <v>15.982805783509191</v>
      </c>
      <c r="J64">
        <v>50</v>
      </c>
    </row>
    <row r="65" spans="1:10" x14ac:dyDescent="0.25">
      <c r="A65" s="35">
        <v>39289</v>
      </c>
      <c r="C65">
        <v>0</v>
      </c>
      <c r="D65">
        <v>25</v>
      </c>
      <c r="E65">
        <v>593.6</v>
      </c>
      <c r="F65">
        <v>486.8</v>
      </c>
      <c r="G65" s="14">
        <f t="shared" si="17"/>
        <v>593.6</v>
      </c>
      <c r="H65" s="2">
        <f t="shared" si="17"/>
        <v>511.8</v>
      </c>
      <c r="I65" s="48">
        <f t="shared" si="18"/>
        <v>15.982805783509191</v>
      </c>
      <c r="J65">
        <v>50</v>
      </c>
    </row>
    <row r="66" spans="1:10" x14ac:dyDescent="0.25">
      <c r="A66" s="35">
        <v>39296</v>
      </c>
      <c r="C66">
        <v>0</v>
      </c>
      <c r="D66">
        <v>25</v>
      </c>
      <c r="E66">
        <v>593.6</v>
      </c>
      <c r="F66">
        <v>486.8</v>
      </c>
      <c r="G66" s="14">
        <f t="shared" si="17"/>
        <v>593.6</v>
      </c>
      <c r="H66" s="2">
        <f t="shared" si="17"/>
        <v>511.8</v>
      </c>
      <c r="I66" s="48">
        <f t="shared" si="18"/>
        <v>15.982805783509191</v>
      </c>
      <c r="J66">
        <v>50</v>
      </c>
    </row>
    <row r="67" spans="1:10" x14ac:dyDescent="0.25">
      <c r="A67" s="35">
        <v>39303</v>
      </c>
      <c r="C67">
        <v>0</v>
      </c>
      <c r="D67">
        <v>25</v>
      </c>
      <c r="E67">
        <v>593.6</v>
      </c>
      <c r="F67">
        <v>486.8</v>
      </c>
      <c r="G67" s="14">
        <f t="shared" ref="G67:H69" si="19">+C67+E67</f>
        <v>593.6</v>
      </c>
      <c r="H67" s="2">
        <f t="shared" si="19"/>
        <v>511.8</v>
      </c>
      <c r="I67" s="48">
        <f t="shared" si="18"/>
        <v>15.982805783509191</v>
      </c>
      <c r="J67">
        <v>50</v>
      </c>
    </row>
    <row r="68" spans="1:10" x14ac:dyDescent="0.25">
      <c r="A68" s="35">
        <v>39310</v>
      </c>
      <c r="C68">
        <v>0</v>
      </c>
      <c r="D68">
        <v>25</v>
      </c>
      <c r="E68">
        <v>593.6</v>
      </c>
      <c r="F68">
        <v>486.8</v>
      </c>
      <c r="G68" s="14">
        <f t="shared" si="19"/>
        <v>593.6</v>
      </c>
      <c r="H68" s="2">
        <f t="shared" si="19"/>
        <v>511.8</v>
      </c>
      <c r="I68" s="48">
        <f t="shared" si="18"/>
        <v>15.982805783509191</v>
      </c>
      <c r="J68">
        <v>50</v>
      </c>
    </row>
    <row r="69" spans="1:10" x14ac:dyDescent="0.25">
      <c r="A69" s="35">
        <v>39317</v>
      </c>
      <c r="C69">
        <v>0</v>
      </c>
      <c r="D69">
        <v>25</v>
      </c>
      <c r="E69">
        <v>593.6</v>
      </c>
      <c r="F69">
        <v>486.8</v>
      </c>
      <c r="G69" s="14">
        <f t="shared" si="19"/>
        <v>593.6</v>
      </c>
      <c r="H69" s="2">
        <f t="shared" si="19"/>
        <v>511.8</v>
      </c>
      <c r="I69" s="48">
        <f t="shared" si="18"/>
        <v>15.982805783509191</v>
      </c>
      <c r="J69">
        <v>50</v>
      </c>
    </row>
    <row r="70" spans="1:10" x14ac:dyDescent="0.25">
      <c r="A70" s="35">
        <v>39324</v>
      </c>
      <c r="C70">
        <v>0</v>
      </c>
      <c r="D70">
        <v>25</v>
      </c>
      <c r="E70">
        <v>593.6</v>
      </c>
      <c r="F70">
        <v>486.8</v>
      </c>
      <c r="G70" s="14">
        <f t="shared" ref="G70:H72" si="20">+C70+E70</f>
        <v>593.6</v>
      </c>
      <c r="H70" s="2">
        <f t="shared" si="20"/>
        <v>511.8</v>
      </c>
      <c r="I70" s="48">
        <f t="shared" ref="I70:I75" si="21">+(G70/H70-1)*100</f>
        <v>15.982805783509191</v>
      </c>
      <c r="J70">
        <v>95</v>
      </c>
    </row>
    <row r="71" spans="1:10" x14ac:dyDescent="0.25">
      <c r="A71" s="64">
        <v>39331</v>
      </c>
      <c r="C71">
        <v>95</v>
      </c>
      <c r="D71">
        <v>70</v>
      </c>
      <c r="E71">
        <v>0</v>
      </c>
      <c r="F71">
        <v>0</v>
      </c>
      <c r="G71" s="14">
        <f t="shared" si="20"/>
        <v>95</v>
      </c>
      <c r="H71" s="2">
        <f t="shared" si="20"/>
        <v>70</v>
      </c>
      <c r="I71" s="48">
        <f t="shared" si="21"/>
        <v>35.714285714285722</v>
      </c>
    </row>
    <row r="72" spans="1:10" x14ac:dyDescent="0.25">
      <c r="A72" s="35">
        <v>39338</v>
      </c>
      <c r="C72">
        <v>111</v>
      </c>
      <c r="D72">
        <v>160</v>
      </c>
      <c r="E72">
        <v>0</v>
      </c>
      <c r="F72">
        <v>0</v>
      </c>
      <c r="G72" s="14">
        <f t="shared" si="20"/>
        <v>111</v>
      </c>
      <c r="H72" s="2">
        <f t="shared" si="20"/>
        <v>160</v>
      </c>
      <c r="I72" s="48">
        <f t="shared" si="21"/>
        <v>-30.625000000000004</v>
      </c>
    </row>
    <row r="73" spans="1:10" x14ac:dyDescent="0.25">
      <c r="A73" s="35">
        <v>39345</v>
      </c>
      <c r="C73">
        <v>111</v>
      </c>
      <c r="D73">
        <v>304</v>
      </c>
      <c r="E73">
        <v>0</v>
      </c>
      <c r="F73">
        <v>0</v>
      </c>
      <c r="G73" s="14">
        <f t="shared" ref="G73:H75" si="22">+C73+E73</f>
        <v>111</v>
      </c>
      <c r="H73" s="2">
        <f t="shared" si="22"/>
        <v>304</v>
      </c>
      <c r="I73" s="48">
        <f t="shared" si="21"/>
        <v>-63.486842105263165</v>
      </c>
    </row>
    <row r="74" spans="1:10" x14ac:dyDescent="0.25">
      <c r="A74" s="35">
        <v>39352</v>
      </c>
      <c r="C74">
        <v>166</v>
      </c>
      <c r="D74">
        <v>259</v>
      </c>
      <c r="E74">
        <v>0</v>
      </c>
      <c r="F74">
        <v>46.8</v>
      </c>
      <c r="G74" s="14">
        <f t="shared" si="22"/>
        <v>166</v>
      </c>
      <c r="H74" s="2">
        <f t="shared" si="22"/>
        <v>305.8</v>
      </c>
      <c r="I74" s="48">
        <f t="shared" si="21"/>
        <v>-45.716154349247873</v>
      </c>
    </row>
    <row r="75" spans="1:10" x14ac:dyDescent="0.25">
      <c r="A75" s="35">
        <v>39359</v>
      </c>
      <c r="C75">
        <v>140</v>
      </c>
      <c r="D75">
        <v>379</v>
      </c>
      <c r="E75">
        <v>16.600000000000001</v>
      </c>
      <c r="F75">
        <v>46.8</v>
      </c>
      <c r="G75" s="14">
        <f t="shared" si="22"/>
        <v>156.6</v>
      </c>
      <c r="H75" s="2">
        <f t="shared" si="22"/>
        <v>425.8</v>
      </c>
      <c r="I75" s="48">
        <f t="shared" si="21"/>
        <v>-63.222170032879291</v>
      </c>
    </row>
    <row r="76" spans="1:10" x14ac:dyDescent="0.25">
      <c r="A76" s="35">
        <v>39366</v>
      </c>
      <c r="C76">
        <v>95</v>
      </c>
      <c r="D76">
        <v>369</v>
      </c>
      <c r="E76">
        <v>62.4</v>
      </c>
      <c r="F76">
        <v>56.5</v>
      </c>
      <c r="G76" s="14">
        <f t="shared" ref="G76:H79" si="23">+C76+E76</f>
        <v>157.4</v>
      </c>
      <c r="H76" s="2">
        <f t="shared" si="23"/>
        <v>425.5</v>
      </c>
      <c r="I76" s="48">
        <f t="shared" ref="I76:I81" si="24">+(G76/H76-1)*100</f>
        <v>-63.008225616921266</v>
      </c>
    </row>
    <row r="77" spans="1:10" x14ac:dyDescent="0.25">
      <c r="A77" s="35">
        <v>39373</v>
      </c>
      <c r="C77">
        <v>95</v>
      </c>
      <c r="D77">
        <v>324</v>
      </c>
      <c r="E77">
        <v>62.4</v>
      </c>
      <c r="F77">
        <v>99.8</v>
      </c>
      <c r="G77" s="14">
        <f t="shared" si="23"/>
        <v>157.4</v>
      </c>
      <c r="H77" s="2">
        <f t="shared" si="23"/>
        <v>423.8</v>
      </c>
      <c r="I77" s="48">
        <f t="shared" si="24"/>
        <v>-62.85983954695611</v>
      </c>
    </row>
    <row r="78" spans="1:10" x14ac:dyDescent="0.25">
      <c r="A78" s="35">
        <v>39380</v>
      </c>
      <c r="C78">
        <v>95</v>
      </c>
      <c r="D78">
        <v>324</v>
      </c>
      <c r="E78">
        <v>62.4</v>
      </c>
      <c r="F78">
        <v>99.8</v>
      </c>
      <c r="G78" s="14">
        <f t="shared" si="23"/>
        <v>157.4</v>
      </c>
      <c r="H78" s="2">
        <f t="shared" si="23"/>
        <v>423.8</v>
      </c>
      <c r="I78" s="48">
        <f t="shared" si="24"/>
        <v>-62.85983954695611</v>
      </c>
    </row>
    <row r="79" spans="1:10" x14ac:dyDescent="0.25">
      <c r="A79" s="35">
        <v>39387</v>
      </c>
      <c r="C79">
        <v>140</v>
      </c>
      <c r="D79">
        <v>332.5</v>
      </c>
      <c r="E79">
        <v>62.4</v>
      </c>
      <c r="F79">
        <v>99.8</v>
      </c>
      <c r="G79" s="14">
        <f t="shared" si="23"/>
        <v>202.4</v>
      </c>
      <c r="H79" s="2">
        <f t="shared" si="23"/>
        <v>432.3</v>
      </c>
      <c r="I79" s="48">
        <f t="shared" si="24"/>
        <v>-53.180661577608149</v>
      </c>
    </row>
    <row r="80" spans="1:10" x14ac:dyDescent="0.25">
      <c r="A80" s="35">
        <v>39394</v>
      </c>
      <c r="C80">
        <v>140</v>
      </c>
      <c r="D80">
        <v>332.5</v>
      </c>
      <c r="E80">
        <v>62.4</v>
      </c>
      <c r="F80">
        <v>123.6</v>
      </c>
      <c r="G80" s="14">
        <f t="shared" ref="G80:H82" si="25">+C80+E80</f>
        <v>202.4</v>
      </c>
      <c r="H80" s="2">
        <f t="shared" si="25"/>
        <v>456.1</v>
      </c>
      <c r="I80" s="48">
        <f t="shared" si="24"/>
        <v>-55.623766717825042</v>
      </c>
    </row>
    <row r="81" spans="1:9" x14ac:dyDescent="0.25">
      <c r="A81" s="35">
        <v>39401</v>
      </c>
      <c r="C81">
        <v>140</v>
      </c>
      <c r="D81">
        <v>287.5</v>
      </c>
      <c r="E81">
        <v>62.4</v>
      </c>
      <c r="F81">
        <v>172.8</v>
      </c>
      <c r="G81" s="14">
        <f t="shared" si="25"/>
        <v>202.4</v>
      </c>
      <c r="H81" s="2">
        <f t="shared" si="25"/>
        <v>460.3</v>
      </c>
      <c r="I81" s="48">
        <f t="shared" si="24"/>
        <v>-56.028676949815335</v>
      </c>
    </row>
    <row r="82" spans="1:9" x14ac:dyDescent="0.25">
      <c r="A82" s="35">
        <v>39408</v>
      </c>
      <c r="C82">
        <v>140</v>
      </c>
      <c r="D82">
        <v>287.5</v>
      </c>
      <c r="E82">
        <v>109</v>
      </c>
      <c r="F82">
        <v>172.8</v>
      </c>
      <c r="G82" s="14">
        <f t="shared" si="25"/>
        <v>249</v>
      </c>
      <c r="H82" s="2">
        <f t="shared" si="25"/>
        <v>460.3</v>
      </c>
      <c r="I82" s="48">
        <f t="shared" ref="I82:I87" si="26">+(G82/H82-1)*100</f>
        <v>-45.904844666521839</v>
      </c>
    </row>
    <row r="83" spans="1:9" x14ac:dyDescent="0.25">
      <c r="A83" s="35">
        <v>39415</v>
      </c>
      <c r="C83">
        <v>140</v>
      </c>
      <c r="D83">
        <v>235</v>
      </c>
      <c r="E83">
        <v>109</v>
      </c>
      <c r="F83">
        <v>230.2</v>
      </c>
      <c r="G83" s="14">
        <f t="shared" ref="G83:H85" si="27">+C83+E83</f>
        <v>249</v>
      </c>
      <c r="H83" s="2">
        <f t="shared" si="27"/>
        <v>465.2</v>
      </c>
      <c r="I83" s="48">
        <f t="shared" si="26"/>
        <v>-46.47463456577816</v>
      </c>
    </row>
    <row r="84" spans="1:9" x14ac:dyDescent="0.25">
      <c r="A84" s="35">
        <v>39422</v>
      </c>
      <c r="C84">
        <v>95</v>
      </c>
      <c r="D84">
        <v>235</v>
      </c>
      <c r="E84">
        <v>158.5</v>
      </c>
      <c r="F84">
        <v>230.2</v>
      </c>
      <c r="G84" s="14">
        <f t="shared" si="27"/>
        <v>253.5</v>
      </c>
      <c r="H84" s="2">
        <f t="shared" si="27"/>
        <v>465.2</v>
      </c>
      <c r="I84" s="48">
        <f t="shared" si="26"/>
        <v>-45.507308684436801</v>
      </c>
    </row>
    <row r="85" spans="1:9" x14ac:dyDescent="0.25">
      <c r="A85" s="35">
        <v>39429</v>
      </c>
      <c r="C85">
        <v>195</v>
      </c>
      <c r="D85">
        <v>235</v>
      </c>
      <c r="E85">
        <v>158.5</v>
      </c>
      <c r="F85">
        <v>230.2</v>
      </c>
      <c r="G85" s="14">
        <f t="shared" si="27"/>
        <v>353.5</v>
      </c>
      <c r="H85" s="2">
        <f t="shared" si="27"/>
        <v>465.2</v>
      </c>
      <c r="I85" s="48">
        <f t="shared" si="26"/>
        <v>-24.011177987962164</v>
      </c>
    </row>
    <row r="86" spans="1:9" x14ac:dyDescent="0.25">
      <c r="A86" s="35">
        <v>39436</v>
      </c>
      <c r="C86">
        <v>195.2</v>
      </c>
      <c r="D86">
        <v>235</v>
      </c>
      <c r="E86">
        <v>158.5</v>
      </c>
      <c r="F86">
        <v>230.2</v>
      </c>
      <c r="G86" s="14">
        <f t="shared" ref="G86:H88" si="28">+C86+E86</f>
        <v>353.7</v>
      </c>
      <c r="H86" s="2">
        <f t="shared" si="28"/>
        <v>465.2</v>
      </c>
      <c r="I86" s="48">
        <f t="shared" si="26"/>
        <v>-23.968185726569214</v>
      </c>
    </row>
    <row r="87" spans="1:9" x14ac:dyDescent="0.25">
      <c r="A87" s="35">
        <v>39443</v>
      </c>
      <c r="C87">
        <v>195.8</v>
      </c>
      <c r="D87">
        <v>190</v>
      </c>
      <c r="E87">
        <v>158.5</v>
      </c>
      <c r="F87">
        <v>279.2</v>
      </c>
      <c r="G87" s="14">
        <f t="shared" si="28"/>
        <v>354.3</v>
      </c>
      <c r="H87" s="2">
        <f t="shared" si="28"/>
        <v>469.2</v>
      </c>
      <c r="I87" s="48">
        <f t="shared" si="26"/>
        <v>-24.488491048593342</v>
      </c>
    </row>
    <row r="88" spans="1:9" x14ac:dyDescent="0.25">
      <c r="A88" s="35">
        <v>39450</v>
      </c>
      <c r="C88">
        <v>150.80000000000001</v>
      </c>
      <c r="D88">
        <v>210</v>
      </c>
      <c r="E88">
        <v>205.5</v>
      </c>
      <c r="F88">
        <v>279.2</v>
      </c>
      <c r="G88" s="14">
        <f t="shared" si="28"/>
        <v>356.3</v>
      </c>
      <c r="H88" s="2">
        <f t="shared" si="28"/>
        <v>489.2</v>
      </c>
      <c r="I88" s="48">
        <f t="shared" ref="I88:I93" si="29">+(G88/H88-1)*100</f>
        <v>-27.166802943581359</v>
      </c>
    </row>
    <row r="89" spans="1:9" x14ac:dyDescent="0.25">
      <c r="A89" s="35">
        <v>39457</v>
      </c>
      <c r="C89">
        <v>150.80000000000001</v>
      </c>
      <c r="D89">
        <v>210</v>
      </c>
      <c r="E89">
        <v>205.5</v>
      </c>
      <c r="F89">
        <v>279.2</v>
      </c>
      <c r="G89" s="14">
        <f t="shared" ref="G89:H91" si="30">+C89+E89</f>
        <v>356.3</v>
      </c>
      <c r="H89" s="2">
        <f t="shared" si="30"/>
        <v>489.2</v>
      </c>
      <c r="I89" s="48">
        <f t="shared" si="29"/>
        <v>-27.166802943581359</v>
      </c>
    </row>
    <row r="90" spans="1:9" x14ac:dyDescent="0.25">
      <c r="A90" s="35">
        <v>39464</v>
      </c>
      <c r="C90">
        <v>150.80000000000001</v>
      </c>
      <c r="D90">
        <v>210</v>
      </c>
      <c r="E90">
        <v>205.5</v>
      </c>
      <c r="F90">
        <v>279.2</v>
      </c>
      <c r="G90" s="14">
        <f t="shared" si="30"/>
        <v>356.3</v>
      </c>
      <c r="H90" s="2">
        <f t="shared" si="30"/>
        <v>489.2</v>
      </c>
      <c r="I90" s="48">
        <f t="shared" si="29"/>
        <v>-27.166802943581359</v>
      </c>
    </row>
    <row r="91" spans="1:9" x14ac:dyDescent="0.25">
      <c r="A91" s="35">
        <v>39471</v>
      </c>
      <c r="C91">
        <v>150.80000000000001</v>
      </c>
      <c r="D91">
        <v>155</v>
      </c>
      <c r="E91">
        <v>205.5</v>
      </c>
      <c r="F91">
        <v>333.6</v>
      </c>
      <c r="G91" s="14">
        <f t="shared" si="30"/>
        <v>356.3</v>
      </c>
      <c r="H91" s="2">
        <f t="shared" si="30"/>
        <v>488.6</v>
      </c>
      <c r="I91" s="48">
        <f t="shared" si="29"/>
        <v>-27.077363896848141</v>
      </c>
    </row>
    <row r="92" spans="1:9" x14ac:dyDescent="0.25">
      <c r="A92" s="35">
        <v>39478</v>
      </c>
      <c r="C92">
        <v>126.2</v>
      </c>
      <c r="D92">
        <v>155</v>
      </c>
      <c r="E92">
        <v>278.10000000000002</v>
      </c>
      <c r="F92">
        <v>333.6</v>
      </c>
      <c r="G92" s="14">
        <f t="shared" ref="G92:H94" si="31">+C92+E92</f>
        <v>404.3</v>
      </c>
      <c r="H92" s="2">
        <f t="shared" si="31"/>
        <v>488.6</v>
      </c>
      <c r="I92" s="48">
        <f t="shared" si="29"/>
        <v>-17.253376995497337</v>
      </c>
    </row>
    <row r="93" spans="1:9" x14ac:dyDescent="0.25">
      <c r="A93" s="35">
        <v>39485</v>
      </c>
      <c r="C93">
        <v>126.2</v>
      </c>
      <c r="D93">
        <v>155</v>
      </c>
      <c r="E93">
        <v>278.10000000000002</v>
      </c>
      <c r="F93">
        <v>333.6</v>
      </c>
      <c r="G93" s="14">
        <f t="shared" si="31"/>
        <v>404.3</v>
      </c>
      <c r="H93" s="2">
        <f t="shared" si="31"/>
        <v>488.6</v>
      </c>
      <c r="I93" s="48">
        <f t="shared" si="29"/>
        <v>-17.253376995497337</v>
      </c>
    </row>
    <row r="94" spans="1:9" x14ac:dyDescent="0.25">
      <c r="A94" s="35">
        <v>39492</v>
      </c>
      <c r="C94">
        <v>70.599999999999994</v>
      </c>
      <c r="D94">
        <v>100</v>
      </c>
      <c r="E94">
        <v>335.9</v>
      </c>
      <c r="F94">
        <v>392.4</v>
      </c>
      <c r="G94" s="14">
        <f t="shared" si="31"/>
        <v>406.5</v>
      </c>
      <c r="H94" s="2">
        <f t="shared" si="31"/>
        <v>492.4</v>
      </c>
      <c r="I94" s="48">
        <f t="shared" ref="I94:I99" si="32">+(G94/H94-1)*100</f>
        <v>-17.44516653127538</v>
      </c>
    </row>
    <row r="95" spans="1:9" x14ac:dyDescent="0.25">
      <c r="A95" s="35">
        <v>39499</v>
      </c>
      <c r="C95">
        <v>70.5</v>
      </c>
      <c r="D95">
        <v>146</v>
      </c>
      <c r="E95">
        <v>336</v>
      </c>
      <c r="F95">
        <v>392.4</v>
      </c>
      <c r="G95" s="14">
        <f t="shared" ref="G95:H97" si="33">+C95+E95</f>
        <v>406.5</v>
      </c>
      <c r="H95" s="2">
        <f t="shared" si="33"/>
        <v>538.4</v>
      </c>
      <c r="I95" s="48">
        <f t="shared" si="32"/>
        <v>-24.498514115898963</v>
      </c>
    </row>
    <row r="96" spans="1:9" x14ac:dyDescent="0.25">
      <c r="A96" s="35">
        <v>39506</v>
      </c>
      <c r="C96">
        <v>115.4</v>
      </c>
      <c r="D96">
        <v>146</v>
      </c>
      <c r="E96">
        <v>336</v>
      </c>
      <c r="F96">
        <v>392.4</v>
      </c>
      <c r="G96" s="14">
        <f t="shared" si="33"/>
        <v>451.4</v>
      </c>
      <c r="H96" s="2">
        <f t="shared" si="33"/>
        <v>538.4</v>
      </c>
      <c r="I96" s="48">
        <f t="shared" si="32"/>
        <v>-16.158989598811292</v>
      </c>
    </row>
    <row r="97" spans="1:10" x14ac:dyDescent="0.25">
      <c r="A97" s="35">
        <v>39513</v>
      </c>
      <c r="C97">
        <v>115.1</v>
      </c>
      <c r="D97">
        <v>146</v>
      </c>
      <c r="E97">
        <v>336.3</v>
      </c>
      <c r="F97">
        <v>392.4</v>
      </c>
      <c r="G97" s="14">
        <f t="shared" si="33"/>
        <v>451.4</v>
      </c>
      <c r="H97" s="2">
        <f t="shared" si="33"/>
        <v>538.4</v>
      </c>
      <c r="I97" s="48">
        <f t="shared" si="32"/>
        <v>-16.158989598811292</v>
      </c>
    </row>
    <row r="98" spans="1:10" x14ac:dyDescent="0.25">
      <c r="A98" s="35">
        <v>39520</v>
      </c>
      <c r="C98">
        <v>115.2</v>
      </c>
      <c r="D98">
        <v>146</v>
      </c>
      <c r="E98">
        <v>336.4</v>
      </c>
      <c r="F98">
        <v>392.4</v>
      </c>
      <c r="G98" s="14">
        <f t="shared" ref="G98:H100" si="34">+C98+E98</f>
        <v>451.59999999999997</v>
      </c>
      <c r="H98" s="2">
        <f t="shared" si="34"/>
        <v>538.4</v>
      </c>
      <c r="I98" s="48">
        <f t="shared" si="32"/>
        <v>-16.121842496285289</v>
      </c>
    </row>
    <row r="99" spans="1:10" x14ac:dyDescent="0.25">
      <c r="A99" s="35">
        <v>39527</v>
      </c>
      <c r="C99">
        <v>115.2</v>
      </c>
      <c r="D99">
        <v>101</v>
      </c>
      <c r="E99">
        <v>336.4</v>
      </c>
      <c r="F99">
        <v>440</v>
      </c>
      <c r="G99" s="14">
        <f t="shared" si="34"/>
        <v>451.59999999999997</v>
      </c>
      <c r="H99" s="2">
        <f t="shared" si="34"/>
        <v>541</v>
      </c>
      <c r="I99" s="48">
        <f t="shared" si="32"/>
        <v>-16.524953789279117</v>
      </c>
    </row>
    <row r="100" spans="1:10" x14ac:dyDescent="0.25">
      <c r="A100" s="35">
        <v>39534</v>
      </c>
      <c r="C100">
        <v>115</v>
      </c>
      <c r="D100">
        <v>46</v>
      </c>
      <c r="E100">
        <v>336.6</v>
      </c>
      <c r="F100">
        <v>496.6</v>
      </c>
      <c r="G100" s="14">
        <f t="shared" si="34"/>
        <v>451.6</v>
      </c>
      <c r="H100" s="2">
        <f t="shared" si="34"/>
        <v>542.6</v>
      </c>
      <c r="I100" s="48">
        <f t="shared" ref="I100:I105" si="35">+(G100/H100-1)*100</f>
        <v>-16.771102100995204</v>
      </c>
    </row>
    <row r="101" spans="1:10" x14ac:dyDescent="0.25">
      <c r="A101" s="35">
        <v>39541</v>
      </c>
      <c r="C101">
        <v>70.099999999999994</v>
      </c>
      <c r="D101">
        <v>46</v>
      </c>
      <c r="E101">
        <v>386</v>
      </c>
      <c r="F101">
        <v>496.6</v>
      </c>
      <c r="G101" s="14">
        <f t="shared" ref="G101:H103" si="36">+C101+E101</f>
        <v>456.1</v>
      </c>
      <c r="H101" s="2">
        <f t="shared" si="36"/>
        <v>542.6</v>
      </c>
      <c r="I101" s="48">
        <f t="shared" si="35"/>
        <v>-15.941761887209726</v>
      </c>
    </row>
    <row r="102" spans="1:10" x14ac:dyDescent="0.25">
      <c r="A102" s="35">
        <v>39548</v>
      </c>
      <c r="C102">
        <v>70.099999999999994</v>
      </c>
      <c r="D102">
        <v>46</v>
      </c>
      <c r="E102">
        <v>386</v>
      </c>
      <c r="F102">
        <v>496.6</v>
      </c>
      <c r="G102" s="14">
        <f t="shared" si="36"/>
        <v>456.1</v>
      </c>
      <c r="H102" s="2">
        <f t="shared" si="36"/>
        <v>542.6</v>
      </c>
      <c r="I102" s="48">
        <f t="shared" si="35"/>
        <v>-15.941761887209726</v>
      </c>
    </row>
    <row r="103" spans="1:10" x14ac:dyDescent="0.25">
      <c r="A103" s="35">
        <v>39555</v>
      </c>
      <c r="C103">
        <v>70.099999999999994</v>
      </c>
      <c r="D103">
        <v>46</v>
      </c>
      <c r="E103">
        <v>386</v>
      </c>
      <c r="F103">
        <v>496.6</v>
      </c>
      <c r="G103" s="14">
        <f t="shared" si="36"/>
        <v>456.1</v>
      </c>
      <c r="H103" s="2">
        <f t="shared" si="36"/>
        <v>542.6</v>
      </c>
      <c r="I103" s="48">
        <f t="shared" si="35"/>
        <v>-15.941761887209726</v>
      </c>
    </row>
    <row r="104" spans="1:10" x14ac:dyDescent="0.25">
      <c r="A104" s="35">
        <v>39562</v>
      </c>
      <c r="C104">
        <v>70.099999999999994</v>
      </c>
      <c r="D104">
        <v>46</v>
      </c>
      <c r="E104">
        <v>386</v>
      </c>
      <c r="F104">
        <v>496.6</v>
      </c>
      <c r="G104" s="14">
        <f t="shared" ref="G104:H106" si="37">+C104+E104</f>
        <v>456.1</v>
      </c>
      <c r="H104" s="2">
        <f t="shared" si="37"/>
        <v>542.6</v>
      </c>
      <c r="I104" s="48">
        <f t="shared" si="35"/>
        <v>-15.941761887209726</v>
      </c>
    </row>
    <row r="105" spans="1:10" x14ac:dyDescent="0.25">
      <c r="A105" s="35">
        <v>39569</v>
      </c>
      <c r="C105">
        <v>70.099999999999994</v>
      </c>
      <c r="D105">
        <v>46</v>
      </c>
      <c r="E105">
        <v>386</v>
      </c>
      <c r="F105">
        <v>523.5</v>
      </c>
      <c r="G105" s="14">
        <f t="shared" si="37"/>
        <v>456.1</v>
      </c>
      <c r="H105" s="2">
        <f t="shared" si="37"/>
        <v>569.5</v>
      </c>
      <c r="I105" s="48">
        <f t="shared" si="35"/>
        <v>-19.912203687445118</v>
      </c>
      <c r="J105">
        <v>0</v>
      </c>
    </row>
    <row r="106" spans="1:10" x14ac:dyDescent="0.25">
      <c r="A106" s="35">
        <v>39576</v>
      </c>
      <c r="C106">
        <v>70</v>
      </c>
      <c r="D106">
        <v>46</v>
      </c>
      <c r="E106">
        <v>386</v>
      </c>
      <c r="F106">
        <v>523.5</v>
      </c>
      <c r="G106" s="14">
        <f t="shared" si="37"/>
        <v>456</v>
      </c>
      <c r="H106" s="2">
        <f t="shared" si="37"/>
        <v>569.5</v>
      </c>
      <c r="I106" s="48">
        <f t="shared" ref="I106:I111" si="38">+(G106/H106-1)*100</f>
        <v>-19.9297629499561</v>
      </c>
      <c r="J106">
        <v>0</v>
      </c>
    </row>
    <row r="107" spans="1:10" x14ac:dyDescent="0.25">
      <c r="A107" s="35">
        <v>39583</v>
      </c>
      <c r="C107">
        <v>70</v>
      </c>
      <c r="D107">
        <v>46</v>
      </c>
      <c r="E107">
        <v>386</v>
      </c>
      <c r="F107">
        <v>523.5</v>
      </c>
      <c r="G107" s="14">
        <f t="shared" ref="G107:H109" si="39">+C107+E107</f>
        <v>456</v>
      </c>
      <c r="H107" s="2">
        <f t="shared" si="39"/>
        <v>569.5</v>
      </c>
      <c r="I107" s="48">
        <f t="shared" si="38"/>
        <v>-19.9297629499561</v>
      </c>
      <c r="J107">
        <v>0</v>
      </c>
    </row>
    <row r="108" spans="1:10" x14ac:dyDescent="0.25">
      <c r="A108" s="35">
        <v>39590</v>
      </c>
      <c r="C108">
        <v>45</v>
      </c>
      <c r="D108">
        <v>46</v>
      </c>
      <c r="E108">
        <v>410.1</v>
      </c>
      <c r="F108">
        <v>523.5</v>
      </c>
      <c r="G108" s="14">
        <f t="shared" si="39"/>
        <v>455.1</v>
      </c>
      <c r="H108" s="2">
        <f t="shared" si="39"/>
        <v>569.5</v>
      </c>
      <c r="I108" s="48">
        <f t="shared" si="38"/>
        <v>-20.087796312554872</v>
      </c>
    </row>
    <row r="109" spans="1:10" x14ac:dyDescent="0.25">
      <c r="A109" s="35">
        <v>39597</v>
      </c>
      <c r="C109">
        <v>45</v>
      </c>
      <c r="D109">
        <v>46</v>
      </c>
      <c r="E109">
        <v>410.1</v>
      </c>
      <c r="F109">
        <v>523.5</v>
      </c>
      <c r="G109" s="14">
        <f t="shared" si="39"/>
        <v>455.1</v>
      </c>
      <c r="H109" s="2">
        <f t="shared" si="39"/>
        <v>569.5</v>
      </c>
      <c r="I109" s="48">
        <f t="shared" si="38"/>
        <v>-20.087796312554872</v>
      </c>
    </row>
    <row r="110" spans="1:10" x14ac:dyDescent="0.25">
      <c r="A110" s="35">
        <v>39604</v>
      </c>
      <c r="C110">
        <v>45</v>
      </c>
      <c r="D110">
        <v>46</v>
      </c>
      <c r="E110">
        <v>410.1</v>
      </c>
      <c r="F110">
        <v>550.4</v>
      </c>
      <c r="G110" s="14">
        <f t="shared" ref="G110:H112" si="40">+C110+E110</f>
        <v>455.1</v>
      </c>
      <c r="H110" s="2">
        <f t="shared" si="40"/>
        <v>596.4</v>
      </c>
      <c r="I110" s="48">
        <f t="shared" si="38"/>
        <v>-23.692152917505027</v>
      </c>
    </row>
    <row r="111" spans="1:10" x14ac:dyDescent="0.25">
      <c r="A111" s="35">
        <v>39611</v>
      </c>
      <c r="C111">
        <v>45</v>
      </c>
      <c r="D111">
        <v>46</v>
      </c>
      <c r="E111">
        <v>410.1</v>
      </c>
      <c r="F111">
        <v>550.4</v>
      </c>
      <c r="G111" s="14">
        <f t="shared" si="40"/>
        <v>455.1</v>
      </c>
      <c r="H111" s="2">
        <f t="shared" si="40"/>
        <v>596.4</v>
      </c>
      <c r="I111" s="48">
        <f t="shared" si="38"/>
        <v>-23.692152917505027</v>
      </c>
    </row>
    <row r="112" spans="1:10" x14ac:dyDescent="0.25">
      <c r="A112" s="35">
        <v>39618</v>
      </c>
      <c r="C112">
        <v>45</v>
      </c>
      <c r="D112">
        <v>46</v>
      </c>
      <c r="E112">
        <v>410.1</v>
      </c>
      <c r="F112">
        <v>550.4</v>
      </c>
      <c r="G112" s="14">
        <f t="shared" si="40"/>
        <v>455.1</v>
      </c>
      <c r="H112" s="2">
        <f t="shared" si="40"/>
        <v>596.4</v>
      </c>
      <c r="I112" s="48">
        <f t="shared" ref="I112:I117" si="41">+(G112/H112-1)*100</f>
        <v>-23.692152917505027</v>
      </c>
      <c r="J112">
        <v>0</v>
      </c>
    </row>
    <row r="113" spans="1:10" x14ac:dyDescent="0.25">
      <c r="A113" s="35">
        <v>39625</v>
      </c>
      <c r="C113">
        <v>45</v>
      </c>
      <c r="D113">
        <v>0</v>
      </c>
      <c r="E113">
        <v>410.1</v>
      </c>
      <c r="F113">
        <v>593.6</v>
      </c>
      <c r="G113" s="14">
        <f t="shared" ref="G113:H115" si="42">+C113+E113</f>
        <v>455.1</v>
      </c>
      <c r="H113" s="2">
        <f t="shared" si="42"/>
        <v>593.6</v>
      </c>
      <c r="I113" s="48">
        <f t="shared" si="41"/>
        <v>-23.332210242587603</v>
      </c>
      <c r="J113">
        <v>0</v>
      </c>
    </row>
    <row r="114" spans="1:10" x14ac:dyDescent="0.25">
      <c r="A114" s="35">
        <v>39632</v>
      </c>
      <c r="C114">
        <v>45</v>
      </c>
      <c r="D114">
        <v>0</v>
      </c>
      <c r="E114">
        <v>410.1</v>
      </c>
      <c r="F114">
        <v>593.6</v>
      </c>
      <c r="G114" s="14">
        <f t="shared" si="42"/>
        <v>455.1</v>
      </c>
      <c r="H114" s="2">
        <f t="shared" si="42"/>
        <v>593.6</v>
      </c>
      <c r="I114" s="48">
        <f t="shared" si="41"/>
        <v>-23.332210242587603</v>
      </c>
      <c r="J114">
        <v>0</v>
      </c>
    </row>
    <row r="115" spans="1:10" x14ac:dyDescent="0.25">
      <c r="A115" s="35">
        <v>39639</v>
      </c>
      <c r="C115">
        <v>45</v>
      </c>
      <c r="D115">
        <v>0</v>
      </c>
      <c r="E115">
        <v>410.1</v>
      </c>
      <c r="F115">
        <v>593.6</v>
      </c>
      <c r="G115" s="14">
        <f t="shared" si="42"/>
        <v>455.1</v>
      </c>
      <c r="H115" s="2">
        <f t="shared" si="42"/>
        <v>593.6</v>
      </c>
      <c r="I115" s="48">
        <f t="shared" si="41"/>
        <v>-23.332210242587603</v>
      </c>
    </row>
    <row r="116" spans="1:10" x14ac:dyDescent="0.25">
      <c r="A116" s="35">
        <v>39646</v>
      </c>
      <c r="C116">
        <v>93</v>
      </c>
      <c r="D116">
        <v>0</v>
      </c>
      <c r="E116">
        <v>410.1</v>
      </c>
      <c r="F116">
        <v>593.6</v>
      </c>
      <c r="G116" s="14">
        <f t="shared" ref="G116:H118" si="43">+C116+E116</f>
        <v>503.1</v>
      </c>
      <c r="H116" s="2">
        <f t="shared" si="43"/>
        <v>593.6</v>
      </c>
      <c r="I116" s="48">
        <f t="shared" si="41"/>
        <v>-15.245956873315357</v>
      </c>
    </row>
    <row r="117" spans="1:10" x14ac:dyDescent="0.25">
      <c r="A117" s="35">
        <v>39653</v>
      </c>
      <c r="C117">
        <v>93</v>
      </c>
      <c r="D117">
        <v>0</v>
      </c>
      <c r="E117">
        <v>410.1</v>
      </c>
      <c r="F117">
        <v>593.6</v>
      </c>
      <c r="G117" s="14">
        <f t="shared" si="43"/>
        <v>503.1</v>
      </c>
      <c r="H117" s="2">
        <f t="shared" si="43"/>
        <v>593.6</v>
      </c>
      <c r="I117" s="48">
        <f t="shared" si="41"/>
        <v>-15.245956873315357</v>
      </c>
    </row>
    <row r="118" spans="1:10" x14ac:dyDescent="0.25">
      <c r="A118" s="35">
        <v>39660</v>
      </c>
      <c r="C118">
        <v>45</v>
      </c>
      <c r="D118">
        <v>0</v>
      </c>
      <c r="E118">
        <v>459</v>
      </c>
      <c r="F118">
        <v>593.6</v>
      </c>
      <c r="G118" s="14">
        <f t="shared" si="43"/>
        <v>504</v>
      </c>
      <c r="H118" s="2">
        <f t="shared" si="43"/>
        <v>593.6</v>
      </c>
      <c r="I118" s="48">
        <f>+(G118/H118-1)*100</f>
        <v>-15.094339622641517</v>
      </c>
      <c r="J118">
        <v>0</v>
      </c>
    </row>
    <row r="119" spans="1:10" x14ac:dyDescent="0.25">
      <c r="A119" s="35">
        <v>39667</v>
      </c>
    </row>
    <row r="120" spans="1:10" x14ac:dyDescent="0.25">
      <c r="A120" s="35">
        <v>39674</v>
      </c>
      <c r="C120">
        <v>0</v>
      </c>
      <c r="D120">
        <v>0</v>
      </c>
      <c r="E120">
        <v>459</v>
      </c>
      <c r="F120">
        <v>593.6</v>
      </c>
      <c r="G120" s="14">
        <f t="shared" ref="G120:H122" si="44">+C120+E120</f>
        <v>459</v>
      </c>
      <c r="H120" s="2">
        <f t="shared" si="44"/>
        <v>593.6</v>
      </c>
      <c r="I120" s="48">
        <f t="shared" ref="I120:I125" si="45">+(G120/H120-1)*100</f>
        <v>-22.67520215633424</v>
      </c>
      <c r="J120">
        <v>45</v>
      </c>
    </row>
    <row r="121" spans="1:10" x14ac:dyDescent="0.25">
      <c r="A121" s="35">
        <v>39681</v>
      </c>
      <c r="C121">
        <v>0</v>
      </c>
      <c r="D121">
        <v>0</v>
      </c>
      <c r="E121">
        <v>459</v>
      </c>
      <c r="F121">
        <v>593.6</v>
      </c>
      <c r="G121" s="14">
        <f t="shared" si="44"/>
        <v>459</v>
      </c>
      <c r="H121" s="2">
        <f t="shared" si="44"/>
        <v>593.6</v>
      </c>
      <c r="I121" s="48">
        <f t="shared" si="45"/>
        <v>-22.67520215633424</v>
      </c>
      <c r="J121">
        <v>85</v>
      </c>
    </row>
    <row r="122" spans="1:10" x14ac:dyDescent="0.25">
      <c r="A122" s="35">
        <v>39688</v>
      </c>
      <c r="C122">
        <v>0</v>
      </c>
      <c r="D122">
        <v>0</v>
      </c>
      <c r="E122">
        <v>459</v>
      </c>
      <c r="F122">
        <v>593.6</v>
      </c>
      <c r="G122" s="14">
        <f t="shared" si="44"/>
        <v>459</v>
      </c>
      <c r="H122" s="2">
        <f t="shared" si="44"/>
        <v>593.6</v>
      </c>
      <c r="I122" s="48">
        <f t="shared" si="45"/>
        <v>-22.67520215633424</v>
      </c>
      <c r="J122">
        <v>85</v>
      </c>
    </row>
    <row r="123" spans="1:10" x14ac:dyDescent="0.25">
      <c r="A123" s="35">
        <v>39695</v>
      </c>
      <c r="C123">
        <v>195</v>
      </c>
      <c r="D123">
        <v>95</v>
      </c>
      <c r="E123">
        <v>0</v>
      </c>
      <c r="F123">
        <v>0</v>
      </c>
      <c r="G123" s="14">
        <f t="shared" ref="G123:H125" si="46">+C123+E123</f>
        <v>195</v>
      </c>
      <c r="H123" s="2">
        <f t="shared" si="46"/>
        <v>95</v>
      </c>
      <c r="I123" s="48">
        <f t="shared" si="45"/>
        <v>105.26315789473686</v>
      </c>
    </row>
    <row r="124" spans="1:10" x14ac:dyDescent="0.25">
      <c r="A124" s="35">
        <v>39702</v>
      </c>
      <c r="C124">
        <v>195</v>
      </c>
      <c r="D124">
        <v>111</v>
      </c>
      <c r="E124">
        <v>0</v>
      </c>
      <c r="F124">
        <v>0</v>
      </c>
      <c r="G124" s="14">
        <f t="shared" si="46"/>
        <v>195</v>
      </c>
      <c r="H124" s="2">
        <f t="shared" si="46"/>
        <v>111</v>
      </c>
      <c r="I124" s="48">
        <f t="shared" si="45"/>
        <v>75.675675675675677</v>
      </c>
    </row>
    <row r="125" spans="1:10" x14ac:dyDescent="0.25">
      <c r="A125" s="35">
        <v>39709</v>
      </c>
      <c r="C125">
        <v>195</v>
      </c>
      <c r="D125">
        <v>111</v>
      </c>
      <c r="E125">
        <v>0</v>
      </c>
      <c r="F125">
        <v>0</v>
      </c>
      <c r="G125" s="14">
        <f t="shared" si="46"/>
        <v>195</v>
      </c>
      <c r="H125" s="2">
        <f t="shared" si="46"/>
        <v>111</v>
      </c>
      <c r="I125" s="48">
        <f t="shared" si="45"/>
        <v>75.675675675675677</v>
      </c>
    </row>
    <row r="126" spans="1:10" x14ac:dyDescent="0.25">
      <c r="A126" s="35">
        <v>39716</v>
      </c>
      <c r="C126">
        <v>205</v>
      </c>
      <c r="D126">
        <v>166</v>
      </c>
      <c r="E126">
        <v>0</v>
      </c>
      <c r="F126">
        <v>0</v>
      </c>
      <c r="G126" s="14">
        <f t="shared" ref="G126:H128" si="47">+C126+E126</f>
        <v>205</v>
      </c>
      <c r="H126" s="2">
        <f t="shared" si="47"/>
        <v>166</v>
      </c>
      <c r="I126" s="48">
        <f t="shared" ref="I126:I131" si="48">+(G126/H126-1)*100</f>
        <v>23.493975903614462</v>
      </c>
    </row>
    <row r="127" spans="1:10" x14ac:dyDescent="0.25">
      <c r="A127" s="35">
        <v>39723</v>
      </c>
      <c r="C127">
        <v>205.1</v>
      </c>
      <c r="D127">
        <v>140</v>
      </c>
      <c r="E127">
        <v>0</v>
      </c>
      <c r="F127">
        <v>16.600000000000001</v>
      </c>
      <c r="G127" s="14">
        <f t="shared" si="47"/>
        <v>205.1</v>
      </c>
      <c r="H127" s="2">
        <f t="shared" si="47"/>
        <v>156.6</v>
      </c>
      <c r="I127" s="48">
        <f t="shared" si="48"/>
        <v>30.970625798212016</v>
      </c>
    </row>
    <row r="128" spans="1:10" x14ac:dyDescent="0.25">
      <c r="A128" s="35">
        <v>39730</v>
      </c>
      <c r="C128">
        <v>205</v>
      </c>
      <c r="D128">
        <v>95</v>
      </c>
      <c r="E128">
        <v>0</v>
      </c>
      <c r="F128">
        <v>62.4</v>
      </c>
      <c r="G128" s="14">
        <f t="shared" si="47"/>
        <v>205</v>
      </c>
      <c r="H128" s="2">
        <f t="shared" si="47"/>
        <v>157.4</v>
      </c>
      <c r="I128" s="48">
        <f t="shared" si="48"/>
        <v>30.241423125794142</v>
      </c>
    </row>
    <row r="129" spans="1:9" x14ac:dyDescent="0.25">
      <c r="A129" s="35">
        <v>39737</v>
      </c>
      <c r="C129">
        <v>205</v>
      </c>
      <c r="D129">
        <v>95</v>
      </c>
      <c r="E129">
        <v>0</v>
      </c>
      <c r="F129">
        <v>62.4</v>
      </c>
      <c r="G129" s="14">
        <f t="shared" ref="G129:H131" si="49">+C129+E129</f>
        <v>205</v>
      </c>
      <c r="H129" s="2">
        <f t="shared" si="49"/>
        <v>157.4</v>
      </c>
      <c r="I129" s="48">
        <f t="shared" si="48"/>
        <v>30.241423125794142</v>
      </c>
    </row>
    <row r="130" spans="1:9" x14ac:dyDescent="0.25">
      <c r="A130" s="35">
        <v>39744</v>
      </c>
      <c r="C130">
        <v>165</v>
      </c>
      <c r="D130">
        <v>95</v>
      </c>
      <c r="E130">
        <v>56.6</v>
      </c>
      <c r="F130">
        <v>62.4</v>
      </c>
      <c r="G130" s="14">
        <f t="shared" si="49"/>
        <v>221.6</v>
      </c>
      <c r="H130" s="2">
        <f t="shared" si="49"/>
        <v>157.4</v>
      </c>
      <c r="I130" s="48">
        <f t="shared" si="48"/>
        <v>40.787801778907237</v>
      </c>
    </row>
    <row r="131" spans="1:9" x14ac:dyDescent="0.25">
      <c r="A131" s="35">
        <v>39751</v>
      </c>
      <c r="C131">
        <v>165</v>
      </c>
      <c r="D131">
        <v>140</v>
      </c>
      <c r="E131">
        <v>56.6</v>
      </c>
      <c r="F131">
        <v>62.4</v>
      </c>
      <c r="G131" s="14">
        <f t="shared" si="49"/>
        <v>221.6</v>
      </c>
      <c r="H131" s="2">
        <f t="shared" si="49"/>
        <v>202.4</v>
      </c>
      <c r="I131" s="48">
        <f t="shared" si="48"/>
        <v>9.486166007905128</v>
      </c>
    </row>
    <row r="132" spans="1:9" x14ac:dyDescent="0.25">
      <c r="A132" s="35">
        <v>39758</v>
      </c>
      <c r="C132">
        <v>165</v>
      </c>
      <c r="D132">
        <v>140</v>
      </c>
      <c r="E132">
        <v>56.6</v>
      </c>
      <c r="F132">
        <v>62.4</v>
      </c>
      <c r="G132" s="14">
        <f t="shared" ref="G132:H134" si="50">+C132+E132</f>
        <v>221.6</v>
      </c>
      <c r="H132" s="2">
        <f t="shared" si="50"/>
        <v>202.4</v>
      </c>
      <c r="I132" s="48">
        <f t="shared" ref="I132:I137" si="51">+(G132/H132-1)*100</f>
        <v>9.486166007905128</v>
      </c>
    </row>
    <row r="133" spans="1:9" x14ac:dyDescent="0.25">
      <c r="A133" s="35">
        <v>39765</v>
      </c>
      <c r="C133">
        <v>110</v>
      </c>
      <c r="D133">
        <v>140</v>
      </c>
      <c r="E133">
        <v>114.3</v>
      </c>
      <c r="F133">
        <v>62.4</v>
      </c>
      <c r="G133" s="14">
        <f t="shared" si="50"/>
        <v>224.3</v>
      </c>
      <c r="H133" s="2">
        <f t="shared" si="50"/>
        <v>202.4</v>
      </c>
      <c r="I133" s="48">
        <f t="shared" si="51"/>
        <v>10.820158102766797</v>
      </c>
    </row>
    <row r="134" spans="1:9" x14ac:dyDescent="0.25">
      <c r="A134" s="35">
        <v>39772</v>
      </c>
      <c r="C134">
        <v>110</v>
      </c>
      <c r="D134">
        <v>140</v>
      </c>
      <c r="E134">
        <v>114.3</v>
      </c>
      <c r="F134">
        <v>109</v>
      </c>
      <c r="G134" s="14">
        <f t="shared" si="50"/>
        <v>224.3</v>
      </c>
      <c r="H134" s="2">
        <f t="shared" si="50"/>
        <v>249</v>
      </c>
      <c r="I134" s="48">
        <f t="shared" si="51"/>
        <v>-9.9196787148594368</v>
      </c>
    </row>
    <row r="135" spans="1:9" x14ac:dyDescent="0.25">
      <c r="A135" s="35">
        <v>39779</v>
      </c>
      <c r="C135">
        <v>118</v>
      </c>
      <c r="D135">
        <v>140</v>
      </c>
      <c r="E135">
        <v>114.7</v>
      </c>
      <c r="F135">
        <v>109</v>
      </c>
      <c r="G135" s="14">
        <f t="shared" ref="G135:H137" si="52">+C135+E135</f>
        <v>232.7</v>
      </c>
      <c r="H135" s="2">
        <f t="shared" si="52"/>
        <v>249</v>
      </c>
      <c r="I135" s="48">
        <f t="shared" si="51"/>
        <v>-6.5461847389558292</v>
      </c>
    </row>
    <row r="136" spans="1:9" x14ac:dyDescent="0.25">
      <c r="A136" s="35">
        <v>39786</v>
      </c>
      <c r="C136">
        <v>118</v>
      </c>
      <c r="D136">
        <v>95</v>
      </c>
      <c r="E136">
        <v>114.7</v>
      </c>
      <c r="F136">
        <v>158.5</v>
      </c>
      <c r="G136" s="14">
        <f t="shared" si="52"/>
        <v>232.7</v>
      </c>
      <c r="H136" s="2">
        <f t="shared" si="52"/>
        <v>253.5</v>
      </c>
      <c r="I136" s="48">
        <f t="shared" si="51"/>
        <v>-8.2051282051282097</v>
      </c>
    </row>
    <row r="137" spans="1:9" x14ac:dyDescent="0.25">
      <c r="A137" s="35">
        <v>39793</v>
      </c>
      <c r="C137">
        <v>118</v>
      </c>
      <c r="D137">
        <v>195</v>
      </c>
      <c r="E137">
        <v>115.1</v>
      </c>
      <c r="F137">
        <v>158.5</v>
      </c>
      <c r="G137" s="14">
        <f t="shared" si="52"/>
        <v>233.1</v>
      </c>
      <c r="H137" s="2">
        <f t="shared" si="52"/>
        <v>353.5</v>
      </c>
      <c r="I137" s="48">
        <f t="shared" si="51"/>
        <v>-34.059405940594054</v>
      </c>
    </row>
    <row r="138" spans="1:9" x14ac:dyDescent="0.25">
      <c r="A138" s="35">
        <v>39800</v>
      </c>
      <c r="C138">
        <v>167.6</v>
      </c>
      <c r="D138">
        <v>195.2</v>
      </c>
      <c r="E138">
        <v>123.8</v>
      </c>
      <c r="F138">
        <v>158.5</v>
      </c>
      <c r="G138" s="14">
        <f t="shared" ref="G138:H140" si="53">+C138+E138</f>
        <v>291.39999999999998</v>
      </c>
      <c r="H138" s="2">
        <f t="shared" si="53"/>
        <v>353.7</v>
      </c>
      <c r="I138" s="48">
        <f t="shared" ref="I138:I143" si="54">+(G138/H138-1)*100</f>
        <v>-17.613797003109987</v>
      </c>
    </row>
    <row r="139" spans="1:9" x14ac:dyDescent="0.25">
      <c r="A139" s="35">
        <v>39807</v>
      </c>
      <c r="C139">
        <v>167.3</v>
      </c>
      <c r="D139">
        <v>195.8</v>
      </c>
      <c r="E139">
        <v>124.9</v>
      </c>
      <c r="F139">
        <v>158.5</v>
      </c>
      <c r="G139" s="14">
        <f t="shared" si="53"/>
        <v>292.20000000000005</v>
      </c>
      <c r="H139" s="2">
        <f t="shared" si="53"/>
        <v>354.3</v>
      </c>
      <c r="I139" s="48">
        <f t="shared" si="54"/>
        <v>-17.527519051651129</v>
      </c>
    </row>
    <row r="140" spans="1:9" x14ac:dyDescent="0.25">
      <c r="A140" s="35">
        <v>39814</v>
      </c>
      <c r="C140">
        <v>167.3</v>
      </c>
      <c r="D140">
        <v>150.80000000000001</v>
      </c>
      <c r="E140">
        <v>124.9</v>
      </c>
      <c r="F140">
        <v>205.5</v>
      </c>
      <c r="G140" s="14">
        <f t="shared" si="53"/>
        <v>292.20000000000005</v>
      </c>
      <c r="H140" s="2">
        <f t="shared" si="53"/>
        <v>356.3</v>
      </c>
      <c r="I140" s="48">
        <f t="shared" si="54"/>
        <v>-17.990457479651965</v>
      </c>
    </row>
    <row r="141" spans="1:9" x14ac:dyDescent="0.25">
      <c r="A141" s="35">
        <v>39821</v>
      </c>
      <c r="C141">
        <v>166.9</v>
      </c>
      <c r="D141">
        <v>150.80000000000001</v>
      </c>
      <c r="E141">
        <v>125.3</v>
      </c>
      <c r="F141">
        <v>205.5</v>
      </c>
      <c r="G141" s="14">
        <f t="shared" ref="G141:H143" si="55">+C141+E141</f>
        <v>292.2</v>
      </c>
      <c r="H141" s="2">
        <f t="shared" si="55"/>
        <v>356.3</v>
      </c>
      <c r="I141" s="48">
        <f t="shared" si="54"/>
        <v>-17.99045747965199</v>
      </c>
    </row>
    <row r="142" spans="1:9" x14ac:dyDescent="0.25">
      <c r="A142" s="35">
        <v>39828</v>
      </c>
      <c r="C142">
        <v>111.5</v>
      </c>
      <c r="D142">
        <v>150.80000000000001</v>
      </c>
      <c r="E142">
        <v>181.7</v>
      </c>
      <c r="F142">
        <v>205.5</v>
      </c>
      <c r="G142" s="14">
        <f t="shared" si="55"/>
        <v>293.2</v>
      </c>
      <c r="H142" s="2">
        <f t="shared" si="55"/>
        <v>356.3</v>
      </c>
      <c r="I142" s="48">
        <f t="shared" si="54"/>
        <v>-17.70979511647489</v>
      </c>
    </row>
    <row r="143" spans="1:9" x14ac:dyDescent="0.25">
      <c r="A143" s="35">
        <v>39835</v>
      </c>
      <c r="C143">
        <v>111.5</v>
      </c>
      <c r="D143">
        <v>150.80000000000001</v>
      </c>
      <c r="E143">
        <v>181.7</v>
      </c>
      <c r="F143">
        <v>205.5</v>
      </c>
      <c r="G143" s="14">
        <f t="shared" si="55"/>
        <v>293.2</v>
      </c>
      <c r="H143" s="2">
        <f t="shared" si="55"/>
        <v>356.3</v>
      </c>
      <c r="I143" s="48">
        <f t="shared" si="54"/>
        <v>-17.70979511647489</v>
      </c>
    </row>
    <row r="144" spans="1:9" x14ac:dyDescent="0.25">
      <c r="A144" s="35">
        <v>39842</v>
      </c>
      <c r="C144">
        <v>111.5</v>
      </c>
      <c r="D144">
        <v>126.2</v>
      </c>
      <c r="E144">
        <v>181.7</v>
      </c>
      <c r="F144">
        <v>278.10000000000002</v>
      </c>
      <c r="G144" s="14">
        <f t="shared" ref="G144:H146" si="56">+C144+E144</f>
        <v>293.2</v>
      </c>
      <c r="H144" s="2">
        <f t="shared" si="56"/>
        <v>404.3</v>
      </c>
      <c r="I144" s="48">
        <f t="shared" ref="I144:I149" si="57">+(G144/H144-1)*100</f>
        <v>-27.479594360623306</v>
      </c>
    </row>
    <row r="145" spans="1:9" x14ac:dyDescent="0.25">
      <c r="A145" s="35">
        <v>39849</v>
      </c>
      <c r="C145">
        <v>56.5</v>
      </c>
      <c r="D145">
        <v>126.2</v>
      </c>
      <c r="E145">
        <v>239.4</v>
      </c>
      <c r="F145">
        <v>278.10000000000002</v>
      </c>
      <c r="G145" s="14">
        <f t="shared" si="56"/>
        <v>295.89999999999998</v>
      </c>
      <c r="H145" s="2">
        <f t="shared" si="56"/>
        <v>404.3</v>
      </c>
      <c r="I145" s="48">
        <f t="shared" si="57"/>
        <v>-26.811773435567655</v>
      </c>
    </row>
    <row r="146" spans="1:9" x14ac:dyDescent="0.25">
      <c r="A146" s="35">
        <v>39856</v>
      </c>
      <c r="C146">
        <v>56.5</v>
      </c>
      <c r="D146">
        <v>70.599999999999994</v>
      </c>
      <c r="E146">
        <v>239.4</v>
      </c>
      <c r="F146">
        <v>335.9</v>
      </c>
      <c r="G146" s="14">
        <f t="shared" si="56"/>
        <v>295.89999999999998</v>
      </c>
      <c r="H146" s="2">
        <f t="shared" si="56"/>
        <v>406.5</v>
      </c>
      <c r="I146" s="48">
        <f t="shared" si="57"/>
        <v>-27.207872078720797</v>
      </c>
    </row>
    <row r="147" spans="1:9" x14ac:dyDescent="0.25">
      <c r="A147" s="35">
        <v>39863</v>
      </c>
      <c r="C147">
        <v>56.5</v>
      </c>
      <c r="D147">
        <v>70.5</v>
      </c>
      <c r="E147">
        <v>239.4</v>
      </c>
      <c r="F147">
        <v>336</v>
      </c>
      <c r="G147" s="14">
        <f t="shared" ref="G147:H149" si="58">+C147+E147</f>
        <v>295.89999999999998</v>
      </c>
      <c r="H147" s="2">
        <f t="shared" si="58"/>
        <v>406.5</v>
      </c>
      <c r="I147" s="48">
        <f t="shared" si="57"/>
        <v>-27.207872078720797</v>
      </c>
    </row>
    <row r="148" spans="1:9" x14ac:dyDescent="0.25">
      <c r="A148" s="35">
        <v>39870</v>
      </c>
      <c r="C148">
        <v>0.7</v>
      </c>
      <c r="D148">
        <v>115.4</v>
      </c>
      <c r="E148">
        <v>297.60000000000002</v>
      </c>
      <c r="F148">
        <v>336</v>
      </c>
      <c r="G148" s="14">
        <f t="shared" si="58"/>
        <v>298.3</v>
      </c>
      <c r="H148" s="2">
        <f t="shared" si="58"/>
        <v>451.4</v>
      </c>
      <c r="I148" s="48">
        <f t="shared" si="57"/>
        <v>-33.916703588834729</v>
      </c>
    </row>
    <row r="149" spans="1:9" x14ac:dyDescent="0.25">
      <c r="A149" s="35">
        <v>39877</v>
      </c>
      <c r="C149">
        <v>0.3</v>
      </c>
      <c r="D149">
        <v>115.1</v>
      </c>
      <c r="E149">
        <v>298</v>
      </c>
      <c r="F149">
        <v>336.3</v>
      </c>
      <c r="G149" s="14">
        <f t="shared" si="58"/>
        <v>298.3</v>
      </c>
      <c r="H149" s="2">
        <f t="shared" si="58"/>
        <v>451.4</v>
      </c>
      <c r="I149" s="48">
        <f t="shared" si="57"/>
        <v>-33.916703588834729</v>
      </c>
    </row>
    <row r="150" spans="1:9" x14ac:dyDescent="0.25">
      <c r="A150" s="35">
        <v>39884</v>
      </c>
      <c r="C150">
        <v>0</v>
      </c>
      <c r="D150">
        <v>115.2</v>
      </c>
      <c r="E150">
        <v>298.7</v>
      </c>
      <c r="F150">
        <v>336.4</v>
      </c>
      <c r="G150" s="14">
        <f t="shared" ref="G150:H152" si="59">+C150+E150</f>
        <v>298.7</v>
      </c>
      <c r="H150" s="2">
        <f t="shared" si="59"/>
        <v>451.59999999999997</v>
      </c>
      <c r="I150" s="48">
        <f t="shared" ref="I150:I155" si="60">+(G150/H150-1)*100</f>
        <v>-33.857395925597864</v>
      </c>
    </row>
    <row r="151" spans="1:9" x14ac:dyDescent="0.25">
      <c r="A151" s="35">
        <v>39891</v>
      </c>
      <c r="C151">
        <v>0</v>
      </c>
      <c r="D151">
        <v>115.2</v>
      </c>
      <c r="E151">
        <v>299</v>
      </c>
      <c r="F151">
        <v>336.4</v>
      </c>
      <c r="G151" s="14">
        <f t="shared" si="59"/>
        <v>299</v>
      </c>
      <c r="H151" s="2">
        <f t="shared" si="59"/>
        <v>451.59999999999997</v>
      </c>
      <c r="I151" s="48">
        <f t="shared" si="60"/>
        <v>-33.790965456155888</v>
      </c>
    </row>
    <row r="152" spans="1:9" x14ac:dyDescent="0.25">
      <c r="A152" s="35">
        <v>39898</v>
      </c>
      <c r="C152">
        <v>0</v>
      </c>
      <c r="D152">
        <v>115</v>
      </c>
      <c r="E152">
        <v>299.5</v>
      </c>
      <c r="F152">
        <v>336.6</v>
      </c>
      <c r="G152" s="14">
        <f t="shared" si="59"/>
        <v>299.5</v>
      </c>
      <c r="H152" s="2">
        <f t="shared" si="59"/>
        <v>451.6</v>
      </c>
      <c r="I152" s="48">
        <f t="shared" si="60"/>
        <v>-33.680248007085922</v>
      </c>
    </row>
    <row r="153" spans="1:9" x14ac:dyDescent="0.25">
      <c r="A153" s="35">
        <v>39905</v>
      </c>
      <c r="C153">
        <v>0</v>
      </c>
      <c r="D153">
        <v>70.099999999999994</v>
      </c>
      <c r="E153">
        <v>299.5</v>
      </c>
      <c r="F153">
        <v>386</v>
      </c>
      <c r="G153" s="14">
        <f t="shared" ref="G153:G184" si="61">+C153+E153</f>
        <v>299.5</v>
      </c>
      <c r="H153" s="2">
        <f t="shared" ref="H153:H184" si="62">+D153+F153</f>
        <v>456.1</v>
      </c>
      <c r="I153" s="48">
        <f t="shared" si="60"/>
        <v>-34.334575750931819</v>
      </c>
    </row>
    <row r="154" spans="1:9" x14ac:dyDescent="0.25">
      <c r="A154" s="35">
        <v>39912</v>
      </c>
      <c r="C154">
        <v>0</v>
      </c>
      <c r="D154">
        <v>70.099999999999994</v>
      </c>
      <c r="E154">
        <v>299.5</v>
      </c>
      <c r="F154">
        <v>386</v>
      </c>
      <c r="G154" s="14">
        <f t="shared" si="61"/>
        <v>299.5</v>
      </c>
      <c r="H154" s="2">
        <f t="shared" si="62"/>
        <v>456.1</v>
      </c>
      <c r="I154" s="48">
        <f t="shared" si="60"/>
        <v>-34.334575750931819</v>
      </c>
    </row>
    <row r="155" spans="1:9" x14ac:dyDescent="0.25">
      <c r="A155" s="35">
        <v>39919</v>
      </c>
      <c r="C155">
        <v>0</v>
      </c>
      <c r="D155">
        <v>70.099999999999994</v>
      </c>
      <c r="E155">
        <v>299.5</v>
      </c>
      <c r="F155">
        <v>386</v>
      </c>
      <c r="G155" s="14">
        <f t="shared" si="61"/>
        <v>299.5</v>
      </c>
      <c r="H155" s="2">
        <f t="shared" si="62"/>
        <v>456.1</v>
      </c>
      <c r="I155" s="48">
        <f t="shared" si="60"/>
        <v>-34.334575750931819</v>
      </c>
    </row>
    <row r="156" spans="1:9" x14ac:dyDescent="0.25">
      <c r="A156" s="35">
        <v>39926</v>
      </c>
      <c r="C156">
        <v>0</v>
      </c>
      <c r="D156">
        <v>70.099999999999994</v>
      </c>
      <c r="E156">
        <v>299.5</v>
      </c>
      <c r="F156">
        <v>386</v>
      </c>
      <c r="G156" s="14">
        <f t="shared" si="61"/>
        <v>299.5</v>
      </c>
      <c r="H156" s="2">
        <f t="shared" si="62"/>
        <v>456.1</v>
      </c>
      <c r="I156" s="48">
        <f t="shared" ref="I156:I187" si="63">+(G156/H156-1)*100</f>
        <v>-34.334575750931819</v>
      </c>
    </row>
    <row r="157" spans="1:9" x14ac:dyDescent="0.25">
      <c r="A157" s="35">
        <v>39933</v>
      </c>
      <c r="C157">
        <v>0</v>
      </c>
      <c r="D157">
        <v>70.099999999999994</v>
      </c>
      <c r="E157">
        <v>320.5</v>
      </c>
      <c r="F157">
        <v>386</v>
      </c>
      <c r="G157" s="14">
        <f t="shared" si="61"/>
        <v>320.5</v>
      </c>
      <c r="H157" s="2">
        <f t="shared" si="62"/>
        <v>456.1</v>
      </c>
      <c r="I157" s="48">
        <f t="shared" si="63"/>
        <v>-29.730322297741729</v>
      </c>
    </row>
    <row r="158" spans="1:9" x14ac:dyDescent="0.25">
      <c r="A158" s="35">
        <v>39940</v>
      </c>
      <c r="C158">
        <v>0</v>
      </c>
      <c r="D158">
        <v>70</v>
      </c>
      <c r="E158">
        <v>320.5</v>
      </c>
      <c r="F158">
        <v>386</v>
      </c>
      <c r="G158" s="14">
        <f t="shared" si="61"/>
        <v>320.5</v>
      </c>
      <c r="H158" s="2">
        <f t="shared" si="62"/>
        <v>456</v>
      </c>
      <c r="I158" s="48">
        <f t="shared" si="63"/>
        <v>-29.714912280701753</v>
      </c>
    </row>
    <row r="159" spans="1:9" x14ac:dyDescent="0.25">
      <c r="A159" s="35">
        <v>39947</v>
      </c>
      <c r="C159">
        <v>0</v>
      </c>
      <c r="D159">
        <v>70</v>
      </c>
      <c r="E159">
        <v>320.5</v>
      </c>
      <c r="F159">
        <v>386</v>
      </c>
      <c r="G159" s="14">
        <f t="shared" si="61"/>
        <v>320.5</v>
      </c>
      <c r="H159" s="2">
        <f t="shared" si="62"/>
        <v>456</v>
      </c>
      <c r="I159" s="48">
        <f t="shared" si="63"/>
        <v>-29.714912280701753</v>
      </c>
    </row>
    <row r="160" spans="1:9" x14ac:dyDescent="0.25">
      <c r="A160" s="35">
        <v>39954</v>
      </c>
      <c r="C160">
        <v>0</v>
      </c>
      <c r="D160">
        <v>45</v>
      </c>
      <c r="E160">
        <v>320.5</v>
      </c>
      <c r="F160">
        <v>410.1</v>
      </c>
      <c r="G160" s="14">
        <f t="shared" si="61"/>
        <v>320.5</v>
      </c>
      <c r="H160" s="2">
        <f t="shared" si="62"/>
        <v>455.1</v>
      </c>
      <c r="I160" s="48">
        <f t="shared" si="63"/>
        <v>-29.575917380795435</v>
      </c>
    </row>
    <row r="161" spans="1:10" x14ac:dyDescent="0.25">
      <c r="A161" s="35">
        <v>39961</v>
      </c>
      <c r="C161">
        <v>0</v>
      </c>
      <c r="D161">
        <v>45</v>
      </c>
      <c r="E161">
        <v>320.5</v>
      </c>
      <c r="F161">
        <v>410.1</v>
      </c>
      <c r="G161" s="14">
        <f t="shared" si="61"/>
        <v>320.5</v>
      </c>
      <c r="H161" s="2">
        <f t="shared" si="62"/>
        <v>455.1</v>
      </c>
      <c r="I161" s="48">
        <f t="shared" si="63"/>
        <v>-29.575917380795435</v>
      </c>
    </row>
    <row r="162" spans="1:10" x14ac:dyDescent="0.25">
      <c r="A162" s="35">
        <v>39968</v>
      </c>
      <c r="C162">
        <v>0</v>
      </c>
      <c r="D162">
        <v>45</v>
      </c>
      <c r="E162">
        <v>320.5</v>
      </c>
      <c r="F162">
        <v>410.1</v>
      </c>
      <c r="G162" s="14">
        <f t="shared" si="61"/>
        <v>320.5</v>
      </c>
      <c r="H162" s="2">
        <f t="shared" si="62"/>
        <v>455.1</v>
      </c>
      <c r="I162" s="48">
        <f t="shared" si="63"/>
        <v>-29.575917380795435</v>
      </c>
    </row>
    <row r="163" spans="1:10" x14ac:dyDescent="0.25">
      <c r="A163" s="35">
        <v>39975</v>
      </c>
      <c r="C163">
        <v>4</v>
      </c>
      <c r="D163">
        <v>45</v>
      </c>
      <c r="E163">
        <v>320.5</v>
      </c>
      <c r="F163">
        <v>410.1</v>
      </c>
      <c r="G163" s="14">
        <f t="shared" si="61"/>
        <v>324.5</v>
      </c>
      <c r="H163" s="2">
        <f t="shared" si="62"/>
        <v>455.1</v>
      </c>
      <c r="I163" s="48">
        <f t="shared" si="63"/>
        <v>-28.696989672599436</v>
      </c>
    </row>
    <row r="164" spans="1:10" x14ac:dyDescent="0.25">
      <c r="A164" s="35">
        <v>39982</v>
      </c>
      <c r="C164">
        <v>4</v>
      </c>
      <c r="D164">
        <v>45</v>
      </c>
      <c r="E164">
        <v>320.5</v>
      </c>
      <c r="F164">
        <v>410.1</v>
      </c>
      <c r="G164" s="14">
        <f t="shared" si="61"/>
        <v>324.5</v>
      </c>
      <c r="H164" s="2">
        <f t="shared" si="62"/>
        <v>455.1</v>
      </c>
      <c r="I164" s="48">
        <f t="shared" si="63"/>
        <v>-28.696989672599436</v>
      </c>
    </row>
    <row r="165" spans="1:10" x14ac:dyDescent="0.25">
      <c r="A165" s="35">
        <v>39989</v>
      </c>
      <c r="C165">
        <v>8.5</v>
      </c>
      <c r="D165">
        <v>45</v>
      </c>
      <c r="E165">
        <v>320.5</v>
      </c>
      <c r="F165">
        <v>410.1</v>
      </c>
      <c r="G165" s="14">
        <f t="shared" si="61"/>
        <v>329</v>
      </c>
      <c r="H165" s="2">
        <f t="shared" si="62"/>
        <v>455.1</v>
      </c>
      <c r="I165" s="48">
        <f t="shared" si="63"/>
        <v>-27.708196000878928</v>
      </c>
    </row>
    <row r="166" spans="1:10" x14ac:dyDescent="0.25">
      <c r="A166" s="35">
        <v>39996</v>
      </c>
      <c r="C166">
        <v>8.5</v>
      </c>
      <c r="D166">
        <v>45</v>
      </c>
      <c r="E166">
        <v>341.5</v>
      </c>
      <c r="F166">
        <v>410.1</v>
      </c>
      <c r="G166" s="14">
        <f t="shared" si="61"/>
        <v>350</v>
      </c>
      <c r="H166" s="2">
        <f t="shared" si="62"/>
        <v>455.1</v>
      </c>
      <c r="I166" s="48">
        <f t="shared" si="63"/>
        <v>-23.093825532849934</v>
      </c>
      <c r="J166">
        <v>48</v>
      </c>
    </row>
    <row r="167" spans="1:10" x14ac:dyDescent="0.25">
      <c r="A167" s="35">
        <v>40003</v>
      </c>
      <c r="C167">
        <v>17.5</v>
      </c>
      <c r="D167">
        <v>45</v>
      </c>
      <c r="E167">
        <v>341.5</v>
      </c>
      <c r="F167">
        <v>410.1</v>
      </c>
      <c r="G167" s="14">
        <f t="shared" si="61"/>
        <v>359</v>
      </c>
      <c r="H167" s="2">
        <f t="shared" si="62"/>
        <v>455.1</v>
      </c>
      <c r="I167" s="48">
        <f t="shared" si="63"/>
        <v>-21.116238189408921</v>
      </c>
      <c r="J167">
        <v>48</v>
      </c>
    </row>
    <row r="168" spans="1:10" x14ac:dyDescent="0.25">
      <c r="A168" s="35">
        <v>40010</v>
      </c>
      <c r="C168">
        <v>17.5</v>
      </c>
      <c r="D168">
        <v>93</v>
      </c>
      <c r="E168">
        <v>341.5</v>
      </c>
      <c r="F168">
        <v>410.1</v>
      </c>
      <c r="G168" s="14">
        <f t="shared" si="61"/>
        <v>359</v>
      </c>
      <c r="H168" s="2">
        <f t="shared" si="62"/>
        <v>503.1</v>
      </c>
      <c r="I168" s="48">
        <f t="shared" si="63"/>
        <v>-28.642417014510045</v>
      </c>
      <c r="J168">
        <v>48</v>
      </c>
    </row>
    <row r="169" spans="1:10" x14ac:dyDescent="0.25">
      <c r="A169" s="35">
        <v>40017</v>
      </c>
      <c r="C169">
        <v>17.5</v>
      </c>
      <c r="D169">
        <v>93</v>
      </c>
      <c r="E169">
        <v>341.5</v>
      </c>
      <c r="F169">
        <v>410.1</v>
      </c>
      <c r="G169" s="14">
        <f t="shared" si="61"/>
        <v>359</v>
      </c>
      <c r="H169" s="2">
        <f t="shared" si="62"/>
        <v>503.1</v>
      </c>
      <c r="I169" s="48">
        <f t="shared" si="63"/>
        <v>-28.642417014510045</v>
      </c>
      <c r="J169">
        <v>48</v>
      </c>
    </row>
    <row r="170" spans="1:10" x14ac:dyDescent="0.25">
      <c r="A170" s="35">
        <v>40024</v>
      </c>
      <c r="C170">
        <v>16.5</v>
      </c>
      <c r="D170">
        <v>93</v>
      </c>
      <c r="E170">
        <v>342.5</v>
      </c>
      <c r="F170">
        <v>410.1</v>
      </c>
      <c r="G170" s="14">
        <f t="shared" si="61"/>
        <v>359</v>
      </c>
      <c r="H170" s="2">
        <f t="shared" si="62"/>
        <v>503.1</v>
      </c>
      <c r="I170" s="48">
        <f t="shared" si="63"/>
        <v>-28.642417014510045</v>
      </c>
      <c r="J170">
        <v>48</v>
      </c>
    </row>
    <row r="171" spans="1:10" x14ac:dyDescent="0.25">
      <c r="A171" s="35">
        <v>40031</v>
      </c>
      <c r="C171">
        <v>16.399999999999999</v>
      </c>
      <c r="D171">
        <v>45</v>
      </c>
      <c r="E171">
        <v>342.6</v>
      </c>
      <c r="F171">
        <v>459</v>
      </c>
      <c r="G171" s="14">
        <f t="shared" si="61"/>
        <v>359</v>
      </c>
      <c r="H171" s="2">
        <f t="shared" si="62"/>
        <v>504</v>
      </c>
      <c r="I171" s="48">
        <f t="shared" si="63"/>
        <v>-28.769841269841269</v>
      </c>
      <c r="J171">
        <v>48</v>
      </c>
    </row>
    <row r="172" spans="1:10" x14ac:dyDescent="0.25">
      <c r="A172" s="35">
        <v>40038</v>
      </c>
      <c r="C172">
        <v>16.7</v>
      </c>
      <c r="D172">
        <v>0</v>
      </c>
      <c r="E172">
        <v>342.6</v>
      </c>
      <c r="F172">
        <v>459</v>
      </c>
      <c r="G172" s="14">
        <f t="shared" si="61"/>
        <v>359.3</v>
      </c>
      <c r="H172" s="2">
        <f t="shared" si="62"/>
        <v>459</v>
      </c>
      <c r="I172" s="48">
        <f t="shared" si="63"/>
        <v>-21.721132897603479</v>
      </c>
      <c r="J172">
        <v>48</v>
      </c>
    </row>
    <row r="173" spans="1:10" x14ac:dyDescent="0.25">
      <c r="A173" s="35">
        <v>40045</v>
      </c>
      <c r="C173">
        <v>16.100000000000001</v>
      </c>
      <c r="D173">
        <v>0</v>
      </c>
      <c r="E173">
        <v>343.1</v>
      </c>
      <c r="F173">
        <v>459</v>
      </c>
      <c r="G173" s="14">
        <f t="shared" si="61"/>
        <v>359.20000000000005</v>
      </c>
      <c r="H173" s="2">
        <f t="shared" si="62"/>
        <v>459</v>
      </c>
      <c r="I173" s="48">
        <f t="shared" si="63"/>
        <v>-21.742919389978198</v>
      </c>
      <c r="J173">
        <v>48</v>
      </c>
    </row>
    <row r="174" spans="1:10" x14ac:dyDescent="0.25">
      <c r="A174" s="35">
        <v>40052</v>
      </c>
      <c r="C174">
        <v>13.6</v>
      </c>
      <c r="D174">
        <v>0</v>
      </c>
      <c r="E174">
        <v>345.7</v>
      </c>
      <c r="F174">
        <v>459</v>
      </c>
      <c r="G174" s="14">
        <f t="shared" si="61"/>
        <v>359.3</v>
      </c>
      <c r="H174" s="2">
        <f t="shared" si="62"/>
        <v>459</v>
      </c>
      <c r="I174" s="48">
        <f t="shared" si="63"/>
        <v>-21.721132897603479</v>
      </c>
      <c r="J174">
        <v>48</v>
      </c>
    </row>
    <row r="175" spans="1:10" x14ac:dyDescent="0.25">
      <c r="A175" s="35">
        <v>40059</v>
      </c>
      <c r="C175">
        <v>61.5</v>
      </c>
      <c r="D175">
        <v>195</v>
      </c>
      <c r="E175">
        <v>0</v>
      </c>
      <c r="F175">
        <v>0</v>
      </c>
      <c r="G175" s="14">
        <f t="shared" si="61"/>
        <v>61.5</v>
      </c>
      <c r="H175" s="2">
        <f t="shared" si="62"/>
        <v>195</v>
      </c>
      <c r="I175" s="48">
        <f t="shared" si="63"/>
        <v>-68.461538461538467</v>
      </c>
    </row>
    <row r="176" spans="1:10" x14ac:dyDescent="0.25">
      <c r="A176" s="35">
        <v>40066</v>
      </c>
      <c r="C176">
        <v>62.5</v>
      </c>
      <c r="D176">
        <v>195</v>
      </c>
      <c r="E176">
        <v>0</v>
      </c>
      <c r="F176">
        <v>0</v>
      </c>
      <c r="G176" s="14">
        <f t="shared" si="61"/>
        <v>62.5</v>
      </c>
      <c r="H176" s="2">
        <f t="shared" si="62"/>
        <v>195</v>
      </c>
      <c r="I176" s="48">
        <f t="shared" si="63"/>
        <v>-67.948717948717956</v>
      </c>
      <c r="J176">
        <v>215</v>
      </c>
    </row>
    <row r="177" spans="1:10" x14ac:dyDescent="0.25">
      <c r="A177" s="35">
        <v>40073</v>
      </c>
      <c r="C177">
        <v>172.5</v>
      </c>
      <c r="D177">
        <v>195</v>
      </c>
      <c r="E177">
        <v>0</v>
      </c>
      <c r="F177">
        <v>0</v>
      </c>
      <c r="G177" s="14">
        <f t="shared" si="61"/>
        <v>172.5</v>
      </c>
      <c r="H177" s="2">
        <f t="shared" si="62"/>
        <v>195</v>
      </c>
      <c r="I177" s="48">
        <f t="shared" si="63"/>
        <v>-11.538461538461542</v>
      </c>
    </row>
    <row r="178" spans="1:10" x14ac:dyDescent="0.25">
      <c r="A178" s="35">
        <v>40080</v>
      </c>
      <c r="C178">
        <v>172.5</v>
      </c>
      <c r="D178">
        <v>205</v>
      </c>
      <c r="E178">
        <v>0</v>
      </c>
      <c r="F178">
        <v>0</v>
      </c>
      <c r="G178" s="14">
        <f t="shared" si="61"/>
        <v>172.5</v>
      </c>
      <c r="H178" s="2">
        <f t="shared" si="62"/>
        <v>205</v>
      </c>
      <c r="I178" s="48">
        <f t="shared" si="63"/>
        <v>-15.853658536585369</v>
      </c>
    </row>
    <row r="179" spans="1:10" x14ac:dyDescent="0.25">
      <c r="A179" s="35">
        <v>40087</v>
      </c>
      <c r="C179">
        <v>172.5</v>
      </c>
      <c r="D179">
        <v>205.1</v>
      </c>
      <c r="E179">
        <v>0</v>
      </c>
      <c r="F179">
        <v>0</v>
      </c>
      <c r="G179" s="14">
        <f t="shared" si="61"/>
        <v>172.5</v>
      </c>
      <c r="H179" s="2">
        <f t="shared" si="62"/>
        <v>205.1</v>
      </c>
      <c r="I179" s="48">
        <f t="shared" si="63"/>
        <v>-15.8946855192589</v>
      </c>
    </row>
    <row r="180" spans="1:10" x14ac:dyDescent="0.25">
      <c r="A180" s="35">
        <v>40094</v>
      </c>
      <c r="C180">
        <v>175.7</v>
      </c>
      <c r="D180">
        <v>205</v>
      </c>
      <c r="E180">
        <v>28.6</v>
      </c>
      <c r="F180">
        <v>0</v>
      </c>
      <c r="G180" s="14">
        <f t="shared" si="61"/>
        <v>204.29999999999998</v>
      </c>
      <c r="H180" s="2">
        <f t="shared" si="62"/>
        <v>205</v>
      </c>
      <c r="I180" s="48">
        <f t="shared" si="63"/>
        <v>-0.34146341463415775</v>
      </c>
    </row>
    <row r="181" spans="1:10" x14ac:dyDescent="0.25">
      <c r="A181" s="35">
        <v>40101</v>
      </c>
      <c r="C181">
        <v>196.4</v>
      </c>
      <c r="D181">
        <v>205</v>
      </c>
      <c r="E181">
        <v>28.6</v>
      </c>
      <c r="F181">
        <v>0</v>
      </c>
      <c r="G181" s="14">
        <f t="shared" si="61"/>
        <v>225</v>
      </c>
      <c r="H181" s="2">
        <f t="shared" si="62"/>
        <v>205</v>
      </c>
      <c r="I181" s="48">
        <f t="shared" si="63"/>
        <v>9.7560975609756184</v>
      </c>
    </row>
    <row r="182" spans="1:10" x14ac:dyDescent="0.25">
      <c r="A182" s="35">
        <v>40108</v>
      </c>
      <c r="C182">
        <v>196.3</v>
      </c>
      <c r="D182">
        <v>165</v>
      </c>
      <c r="E182">
        <v>28.8</v>
      </c>
      <c r="F182">
        <v>56.6</v>
      </c>
      <c r="G182" s="14">
        <f t="shared" si="61"/>
        <v>225.10000000000002</v>
      </c>
      <c r="H182" s="2">
        <f t="shared" si="62"/>
        <v>221.6</v>
      </c>
      <c r="I182" s="48">
        <f t="shared" si="63"/>
        <v>1.5794223826715026</v>
      </c>
    </row>
    <row r="183" spans="1:10" x14ac:dyDescent="0.25">
      <c r="A183" s="35">
        <v>40115</v>
      </c>
      <c r="C183">
        <v>195.7</v>
      </c>
      <c r="D183">
        <v>165</v>
      </c>
      <c r="E183">
        <v>29.4</v>
      </c>
      <c r="F183">
        <v>56.6</v>
      </c>
      <c r="G183" s="14">
        <f t="shared" si="61"/>
        <v>225.1</v>
      </c>
      <c r="H183" s="2">
        <f t="shared" si="62"/>
        <v>221.6</v>
      </c>
      <c r="I183" s="48">
        <f t="shared" si="63"/>
        <v>1.5794223826714804</v>
      </c>
    </row>
    <row r="184" spans="1:10" x14ac:dyDescent="0.25">
      <c r="A184" s="35">
        <v>40122</v>
      </c>
      <c r="C184">
        <v>195.7</v>
      </c>
      <c r="D184">
        <v>165</v>
      </c>
      <c r="E184">
        <v>29.4</v>
      </c>
      <c r="F184">
        <v>56.6</v>
      </c>
      <c r="G184" s="14">
        <f t="shared" si="61"/>
        <v>225.1</v>
      </c>
      <c r="H184" s="2">
        <f t="shared" si="62"/>
        <v>221.6</v>
      </c>
      <c r="I184" s="48">
        <f t="shared" si="63"/>
        <v>1.5794223826714804</v>
      </c>
    </row>
    <row r="185" spans="1:10" x14ac:dyDescent="0.25">
      <c r="A185" s="35">
        <v>40129</v>
      </c>
      <c r="C185">
        <v>174</v>
      </c>
      <c r="D185">
        <v>110</v>
      </c>
      <c r="E185">
        <v>53.7</v>
      </c>
      <c r="F185">
        <v>114.3</v>
      </c>
      <c r="G185" s="14">
        <f t="shared" ref="G185:G216" si="64">+C185+E185</f>
        <v>227.7</v>
      </c>
      <c r="H185" s="2">
        <f t="shared" ref="H185:H216" si="65">+D185+F185</f>
        <v>224.3</v>
      </c>
      <c r="I185" s="48">
        <f t="shared" si="63"/>
        <v>1.5158270173874167</v>
      </c>
    </row>
    <row r="186" spans="1:10" x14ac:dyDescent="0.25">
      <c r="A186" s="35">
        <v>40136</v>
      </c>
      <c r="C186">
        <v>121.7</v>
      </c>
      <c r="D186">
        <v>110</v>
      </c>
      <c r="E186">
        <v>114.6</v>
      </c>
      <c r="F186">
        <v>114.3</v>
      </c>
      <c r="G186" s="14">
        <f t="shared" si="64"/>
        <v>236.3</v>
      </c>
      <c r="H186" s="2">
        <f t="shared" si="65"/>
        <v>224.3</v>
      </c>
      <c r="I186" s="48">
        <f t="shared" si="63"/>
        <v>5.3499777084262234</v>
      </c>
    </row>
    <row r="187" spans="1:10" x14ac:dyDescent="0.25">
      <c r="A187" s="35">
        <v>40143</v>
      </c>
      <c r="C187">
        <v>66.3</v>
      </c>
      <c r="D187">
        <v>118</v>
      </c>
      <c r="E187">
        <v>227.7</v>
      </c>
      <c r="F187">
        <v>114.7</v>
      </c>
      <c r="G187" s="14">
        <f t="shared" si="64"/>
        <v>294</v>
      </c>
      <c r="H187" s="2">
        <f t="shared" si="65"/>
        <v>232.7</v>
      </c>
      <c r="I187" s="48">
        <f t="shared" si="63"/>
        <v>26.342930812204557</v>
      </c>
    </row>
    <row r="188" spans="1:10" x14ac:dyDescent="0.25">
      <c r="A188" s="35">
        <v>40150</v>
      </c>
      <c r="C188">
        <v>66.099999999999994</v>
      </c>
      <c r="D188">
        <v>118</v>
      </c>
      <c r="E188">
        <v>227.9</v>
      </c>
      <c r="F188">
        <v>114.7</v>
      </c>
      <c r="G188" s="14">
        <f t="shared" si="64"/>
        <v>294</v>
      </c>
      <c r="H188" s="2">
        <f t="shared" si="65"/>
        <v>232.7</v>
      </c>
      <c r="I188" s="48">
        <f t="shared" ref="I188:I219" si="66">+(G188/H188-1)*100</f>
        <v>26.342930812204557</v>
      </c>
    </row>
    <row r="189" spans="1:10" x14ac:dyDescent="0.25">
      <c r="A189" s="35">
        <v>40157</v>
      </c>
      <c r="C189">
        <v>65.8</v>
      </c>
      <c r="D189">
        <v>118</v>
      </c>
      <c r="E189">
        <v>229.5</v>
      </c>
      <c r="F189">
        <v>115.1</v>
      </c>
      <c r="G189" s="14">
        <f t="shared" si="64"/>
        <v>295.3</v>
      </c>
      <c r="H189" s="2">
        <f t="shared" si="65"/>
        <v>233.1</v>
      </c>
      <c r="I189" s="48">
        <f t="shared" si="66"/>
        <v>26.683826683826695</v>
      </c>
    </row>
    <row r="190" spans="1:10" x14ac:dyDescent="0.25">
      <c r="A190" s="35">
        <v>40164</v>
      </c>
      <c r="C190">
        <v>65.7</v>
      </c>
      <c r="D190">
        <v>167.6</v>
      </c>
      <c r="E190">
        <v>285.7</v>
      </c>
      <c r="F190">
        <v>123.8</v>
      </c>
      <c r="G190" s="14">
        <f t="shared" si="64"/>
        <v>351.4</v>
      </c>
      <c r="H190" s="2">
        <f t="shared" si="65"/>
        <v>291.39999999999998</v>
      </c>
      <c r="I190" s="48">
        <f t="shared" si="66"/>
        <v>20.590253946465342</v>
      </c>
      <c r="J190">
        <v>10</v>
      </c>
    </row>
    <row r="191" spans="1:10" x14ac:dyDescent="0.25">
      <c r="A191" s="35">
        <v>40171</v>
      </c>
      <c r="C191">
        <v>65.3</v>
      </c>
      <c r="D191">
        <v>167.3</v>
      </c>
      <c r="E191">
        <v>285.8</v>
      </c>
      <c r="F191">
        <v>124.9</v>
      </c>
      <c r="G191" s="14">
        <f t="shared" si="64"/>
        <v>351.1</v>
      </c>
      <c r="H191" s="2">
        <f t="shared" si="65"/>
        <v>292.20000000000005</v>
      </c>
      <c r="I191" s="48">
        <f t="shared" si="66"/>
        <v>20.157426420260084</v>
      </c>
      <c r="J191">
        <v>10</v>
      </c>
    </row>
    <row r="192" spans="1:10" x14ac:dyDescent="0.25">
      <c r="A192" s="35">
        <f t="shared" ref="A192:A255" si="67">+A191+7</f>
        <v>40178</v>
      </c>
      <c r="C192">
        <v>56.1</v>
      </c>
      <c r="D192">
        <v>167.3</v>
      </c>
      <c r="E192">
        <v>295.3</v>
      </c>
      <c r="F192">
        <v>124.9</v>
      </c>
      <c r="G192" s="14">
        <f t="shared" si="64"/>
        <v>351.40000000000003</v>
      </c>
      <c r="H192" s="2">
        <f t="shared" si="65"/>
        <v>292.20000000000005</v>
      </c>
      <c r="I192" s="48">
        <f t="shared" si="66"/>
        <v>20.260095824777547</v>
      </c>
      <c r="J192">
        <v>10</v>
      </c>
    </row>
    <row r="193" spans="1:10" x14ac:dyDescent="0.25">
      <c r="A193" s="35">
        <f t="shared" si="67"/>
        <v>40185</v>
      </c>
      <c r="C193">
        <v>1.1000000000000001</v>
      </c>
      <c r="D193">
        <v>166.9</v>
      </c>
      <c r="E193">
        <v>350.3</v>
      </c>
      <c r="F193">
        <v>125.3</v>
      </c>
      <c r="G193" s="14">
        <f t="shared" si="64"/>
        <v>351.40000000000003</v>
      </c>
      <c r="H193" s="2">
        <f t="shared" si="65"/>
        <v>292.2</v>
      </c>
      <c r="I193" s="48">
        <f t="shared" si="66"/>
        <v>20.260095824777569</v>
      </c>
      <c r="J193">
        <v>10</v>
      </c>
    </row>
    <row r="194" spans="1:10" x14ac:dyDescent="0.25">
      <c r="A194" s="35">
        <f t="shared" si="67"/>
        <v>40192</v>
      </c>
      <c r="C194">
        <v>1.1000000000000001</v>
      </c>
      <c r="D194">
        <v>111.5</v>
      </c>
      <c r="E194">
        <v>408</v>
      </c>
      <c r="F194">
        <v>181.7</v>
      </c>
      <c r="G194" s="14">
        <f t="shared" si="64"/>
        <v>409.1</v>
      </c>
      <c r="H194" s="2">
        <f t="shared" si="65"/>
        <v>293.2</v>
      </c>
      <c r="I194" s="48">
        <f t="shared" si="66"/>
        <v>39.529331514324717</v>
      </c>
      <c r="J194">
        <v>10</v>
      </c>
    </row>
    <row r="195" spans="1:10" x14ac:dyDescent="0.25">
      <c r="A195" s="35">
        <f t="shared" si="67"/>
        <v>40199</v>
      </c>
      <c r="C195">
        <v>1.1000000000000001</v>
      </c>
      <c r="D195">
        <v>111.5</v>
      </c>
      <c r="E195">
        <v>408</v>
      </c>
      <c r="F195">
        <v>181.7</v>
      </c>
      <c r="G195" s="14">
        <f t="shared" si="64"/>
        <v>409.1</v>
      </c>
      <c r="H195" s="2">
        <f t="shared" si="65"/>
        <v>293.2</v>
      </c>
      <c r="I195" s="48">
        <f t="shared" si="66"/>
        <v>39.529331514324717</v>
      </c>
      <c r="J195">
        <v>10</v>
      </c>
    </row>
    <row r="196" spans="1:10" x14ac:dyDescent="0.25">
      <c r="A196" s="35">
        <f t="shared" si="67"/>
        <v>40206</v>
      </c>
      <c r="C196">
        <v>0.9</v>
      </c>
      <c r="D196">
        <v>111.5</v>
      </c>
      <c r="E196">
        <v>408.2</v>
      </c>
      <c r="F196">
        <v>181.7</v>
      </c>
      <c r="G196" s="14">
        <f t="shared" si="64"/>
        <v>409.09999999999997</v>
      </c>
      <c r="H196" s="2">
        <f t="shared" si="65"/>
        <v>293.2</v>
      </c>
      <c r="I196" s="48">
        <f t="shared" si="66"/>
        <v>39.529331514324696</v>
      </c>
      <c r="J196">
        <v>10</v>
      </c>
    </row>
    <row r="197" spans="1:10" x14ac:dyDescent="0.25">
      <c r="A197" s="35">
        <f t="shared" si="67"/>
        <v>40213</v>
      </c>
      <c r="C197">
        <v>0.9</v>
      </c>
      <c r="D197">
        <v>56.5</v>
      </c>
      <c r="E197">
        <v>408.2</v>
      </c>
      <c r="F197">
        <v>239.4</v>
      </c>
      <c r="G197" s="14">
        <f t="shared" si="64"/>
        <v>409.09999999999997</v>
      </c>
      <c r="H197" s="2">
        <f t="shared" si="65"/>
        <v>295.89999999999998</v>
      </c>
      <c r="I197" s="48">
        <f t="shared" si="66"/>
        <v>38.256167624197367</v>
      </c>
      <c r="J197">
        <v>10</v>
      </c>
    </row>
    <row r="198" spans="1:10" x14ac:dyDescent="0.25">
      <c r="A198" s="35">
        <f t="shared" si="67"/>
        <v>40220</v>
      </c>
      <c r="C198">
        <v>0.9</v>
      </c>
      <c r="D198">
        <v>56.5</v>
      </c>
      <c r="E198">
        <v>408.2</v>
      </c>
      <c r="F198">
        <v>239.4</v>
      </c>
      <c r="G198" s="14">
        <f t="shared" si="64"/>
        <v>409.09999999999997</v>
      </c>
      <c r="H198" s="2">
        <f t="shared" si="65"/>
        <v>295.89999999999998</v>
      </c>
      <c r="I198" s="48">
        <f t="shared" si="66"/>
        <v>38.256167624197367</v>
      </c>
      <c r="J198">
        <v>10</v>
      </c>
    </row>
    <row r="199" spans="1:10" x14ac:dyDescent="0.25">
      <c r="A199" s="35">
        <f t="shared" si="67"/>
        <v>40227</v>
      </c>
      <c r="C199">
        <v>0.9</v>
      </c>
      <c r="D199">
        <v>56.5</v>
      </c>
      <c r="E199">
        <v>408.2</v>
      </c>
      <c r="F199">
        <v>239.4</v>
      </c>
      <c r="G199" s="14">
        <f t="shared" si="64"/>
        <v>409.09999999999997</v>
      </c>
      <c r="H199" s="2">
        <f t="shared" si="65"/>
        <v>295.89999999999998</v>
      </c>
      <c r="I199" s="48">
        <f t="shared" si="66"/>
        <v>38.256167624197367</v>
      </c>
      <c r="J199">
        <v>10</v>
      </c>
    </row>
    <row r="200" spans="1:10" x14ac:dyDescent="0.25">
      <c r="A200" s="35">
        <f t="shared" si="67"/>
        <v>40234</v>
      </c>
      <c r="C200">
        <v>0.8</v>
      </c>
      <c r="D200">
        <v>0.7</v>
      </c>
      <c r="E200">
        <v>434.5</v>
      </c>
      <c r="F200">
        <v>297.60000000000002</v>
      </c>
      <c r="G200" s="14">
        <f t="shared" si="64"/>
        <v>435.3</v>
      </c>
      <c r="H200" s="2">
        <f t="shared" si="65"/>
        <v>298.3</v>
      </c>
      <c r="I200" s="48">
        <f t="shared" si="66"/>
        <v>45.926919208850151</v>
      </c>
      <c r="J200">
        <v>10</v>
      </c>
    </row>
    <row r="201" spans="1:10" x14ac:dyDescent="0.25">
      <c r="A201" s="35">
        <f t="shared" si="67"/>
        <v>40241</v>
      </c>
      <c r="C201">
        <v>0.8</v>
      </c>
      <c r="D201">
        <v>0.3</v>
      </c>
      <c r="E201">
        <v>434.5</v>
      </c>
      <c r="F201">
        <v>298</v>
      </c>
      <c r="G201" s="14">
        <f t="shared" si="64"/>
        <v>435.3</v>
      </c>
      <c r="H201" s="2">
        <f t="shared" si="65"/>
        <v>298.3</v>
      </c>
      <c r="I201" s="48">
        <f t="shared" si="66"/>
        <v>45.926919208850151</v>
      </c>
      <c r="J201">
        <v>10</v>
      </c>
    </row>
    <row r="202" spans="1:10" x14ac:dyDescent="0.25">
      <c r="A202" s="35">
        <f t="shared" si="67"/>
        <v>40248</v>
      </c>
      <c r="C202">
        <v>0.8</v>
      </c>
      <c r="D202">
        <v>0</v>
      </c>
      <c r="E202">
        <v>434.5</v>
      </c>
      <c r="F202">
        <v>298.7</v>
      </c>
      <c r="G202" s="14">
        <f t="shared" si="64"/>
        <v>435.3</v>
      </c>
      <c r="H202" s="2">
        <f t="shared" si="65"/>
        <v>298.7</v>
      </c>
      <c r="I202" s="48">
        <f t="shared" si="66"/>
        <v>45.731503180448627</v>
      </c>
      <c r="J202">
        <v>10</v>
      </c>
    </row>
    <row r="203" spans="1:10" x14ac:dyDescent="0.25">
      <c r="A203" s="35">
        <f t="shared" si="67"/>
        <v>40255</v>
      </c>
      <c r="C203">
        <v>0.8</v>
      </c>
      <c r="D203">
        <v>0</v>
      </c>
      <c r="E203">
        <v>486.8</v>
      </c>
      <c r="F203">
        <v>299</v>
      </c>
      <c r="G203" s="14">
        <f t="shared" si="64"/>
        <v>487.6</v>
      </c>
      <c r="H203" s="2">
        <f t="shared" si="65"/>
        <v>299</v>
      </c>
      <c r="I203" s="48">
        <f t="shared" si="66"/>
        <v>63.076923076923073</v>
      </c>
      <c r="J203">
        <v>10</v>
      </c>
    </row>
    <row r="204" spans="1:10" x14ac:dyDescent="0.25">
      <c r="A204" s="35">
        <f t="shared" si="67"/>
        <v>40262</v>
      </c>
      <c r="C204">
        <v>0.8</v>
      </c>
      <c r="D204">
        <v>0</v>
      </c>
      <c r="E204">
        <v>544.6</v>
      </c>
      <c r="F204">
        <v>299.5</v>
      </c>
      <c r="G204" s="14">
        <f t="shared" si="64"/>
        <v>545.4</v>
      </c>
      <c r="H204" s="2">
        <f t="shared" si="65"/>
        <v>299.5</v>
      </c>
      <c r="I204" s="48">
        <f t="shared" si="66"/>
        <v>82.103505843071773</v>
      </c>
      <c r="J204">
        <v>10</v>
      </c>
    </row>
    <row r="205" spans="1:10" x14ac:dyDescent="0.25">
      <c r="A205" s="35">
        <f t="shared" si="67"/>
        <v>40269</v>
      </c>
      <c r="C205">
        <v>0.8</v>
      </c>
      <c r="D205">
        <v>0</v>
      </c>
      <c r="E205">
        <v>544.6</v>
      </c>
      <c r="F205">
        <v>299.5</v>
      </c>
      <c r="G205" s="14">
        <f t="shared" si="64"/>
        <v>545.4</v>
      </c>
      <c r="H205" s="2">
        <f t="shared" si="65"/>
        <v>299.5</v>
      </c>
      <c r="I205" s="48">
        <f t="shared" si="66"/>
        <v>82.103505843071773</v>
      </c>
      <c r="J205">
        <v>10</v>
      </c>
    </row>
    <row r="206" spans="1:10" x14ac:dyDescent="0.25">
      <c r="A206" s="35">
        <f t="shared" si="67"/>
        <v>40276</v>
      </c>
      <c r="C206">
        <v>0.8</v>
      </c>
      <c r="D206">
        <v>0</v>
      </c>
      <c r="E206">
        <v>544.6</v>
      </c>
      <c r="F206">
        <v>299.5</v>
      </c>
      <c r="G206" s="14">
        <f t="shared" si="64"/>
        <v>545.4</v>
      </c>
      <c r="H206" s="2">
        <f t="shared" si="65"/>
        <v>299.5</v>
      </c>
      <c r="I206" s="48">
        <f t="shared" si="66"/>
        <v>82.103505843071773</v>
      </c>
      <c r="J206">
        <v>10</v>
      </c>
    </row>
    <row r="207" spans="1:10" x14ac:dyDescent="0.25">
      <c r="A207" s="35">
        <f t="shared" si="67"/>
        <v>40283</v>
      </c>
      <c r="C207">
        <v>0.8</v>
      </c>
      <c r="D207">
        <v>0</v>
      </c>
      <c r="E207">
        <v>570.5</v>
      </c>
      <c r="F207">
        <v>299.5</v>
      </c>
      <c r="G207" s="14">
        <f t="shared" si="64"/>
        <v>571.29999999999995</v>
      </c>
      <c r="H207" s="2">
        <f t="shared" si="65"/>
        <v>299.5</v>
      </c>
      <c r="I207" s="48">
        <f t="shared" si="66"/>
        <v>90.751252086811334</v>
      </c>
      <c r="J207">
        <v>10</v>
      </c>
    </row>
    <row r="208" spans="1:10" x14ac:dyDescent="0.25">
      <c r="A208" s="35">
        <f t="shared" si="67"/>
        <v>40290</v>
      </c>
      <c r="C208">
        <v>0.8</v>
      </c>
      <c r="D208">
        <v>0</v>
      </c>
      <c r="E208">
        <v>570.5</v>
      </c>
      <c r="F208">
        <v>299.5</v>
      </c>
      <c r="G208" s="14">
        <f t="shared" si="64"/>
        <v>571.29999999999995</v>
      </c>
      <c r="H208" s="2">
        <f t="shared" si="65"/>
        <v>299.5</v>
      </c>
      <c r="I208" s="48">
        <f t="shared" si="66"/>
        <v>90.751252086811334</v>
      </c>
      <c r="J208">
        <v>10</v>
      </c>
    </row>
    <row r="209" spans="1:10" x14ac:dyDescent="0.25">
      <c r="A209" s="35">
        <f t="shared" si="67"/>
        <v>40297</v>
      </c>
      <c r="C209">
        <v>0.8</v>
      </c>
      <c r="D209">
        <v>0</v>
      </c>
      <c r="E209">
        <v>628.29999999999995</v>
      </c>
      <c r="F209">
        <v>320.5</v>
      </c>
      <c r="G209" s="14">
        <f t="shared" si="64"/>
        <v>629.09999999999991</v>
      </c>
      <c r="H209" s="2">
        <f t="shared" si="65"/>
        <v>320.5</v>
      </c>
      <c r="I209" s="48">
        <f t="shared" si="66"/>
        <v>96.287051482059255</v>
      </c>
      <c r="J209">
        <v>10</v>
      </c>
    </row>
    <row r="210" spans="1:10" x14ac:dyDescent="0.25">
      <c r="A210" s="35">
        <f t="shared" si="67"/>
        <v>40304</v>
      </c>
      <c r="C210">
        <v>15.8</v>
      </c>
      <c r="D210">
        <v>0</v>
      </c>
      <c r="E210">
        <v>628.29999999999995</v>
      </c>
      <c r="F210">
        <v>320.5</v>
      </c>
      <c r="G210" s="14">
        <f t="shared" si="64"/>
        <v>644.09999999999991</v>
      </c>
      <c r="H210" s="2">
        <f t="shared" si="65"/>
        <v>320.5</v>
      </c>
      <c r="I210" s="48">
        <f t="shared" si="66"/>
        <v>100.96723868954753</v>
      </c>
      <c r="J210">
        <v>10</v>
      </c>
    </row>
    <row r="211" spans="1:10" x14ac:dyDescent="0.25">
      <c r="A211" s="35">
        <f t="shared" si="67"/>
        <v>40311</v>
      </c>
      <c r="C211">
        <v>15.8</v>
      </c>
      <c r="D211">
        <v>0</v>
      </c>
      <c r="E211">
        <v>628.29999999999995</v>
      </c>
      <c r="F211">
        <v>320.5</v>
      </c>
      <c r="G211" s="14">
        <f t="shared" si="64"/>
        <v>644.09999999999991</v>
      </c>
      <c r="H211" s="2">
        <f t="shared" si="65"/>
        <v>320.5</v>
      </c>
      <c r="I211" s="48">
        <f t="shared" si="66"/>
        <v>100.96723868954753</v>
      </c>
      <c r="J211">
        <v>10</v>
      </c>
    </row>
    <row r="212" spans="1:10" x14ac:dyDescent="0.25">
      <c r="A212" s="35">
        <f t="shared" si="67"/>
        <v>40318</v>
      </c>
      <c r="C212">
        <v>15.8</v>
      </c>
      <c r="D212">
        <v>0</v>
      </c>
      <c r="E212">
        <v>628.29999999999995</v>
      </c>
      <c r="F212">
        <v>320.5</v>
      </c>
      <c r="G212" s="14">
        <f t="shared" si="64"/>
        <v>644.09999999999991</v>
      </c>
      <c r="H212" s="2">
        <f t="shared" si="65"/>
        <v>320.5</v>
      </c>
      <c r="I212" s="48">
        <f t="shared" si="66"/>
        <v>100.96723868954753</v>
      </c>
      <c r="J212">
        <v>10</v>
      </c>
    </row>
    <row r="213" spans="1:10" x14ac:dyDescent="0.25">
      <c r="A213" s="35">
        <f t="shared" si="67"/>
        <v>40325</v>
      </c>
      <c r="C213">
        <v>17</v>
      </c>
      <c r="D213">
        <v>0</v>
      </c>
      <c r="E213">
        <v>628.5</v>
      </c>
      <c r="F213">
        <v>320.5</v>
      </c>
      <c r="G213" s="14">
        <f t="shared" si="64"/>
        <v>645.5</v>
      </c>
      <c r="H213" s="2">
        <f t="shared" si="65"/>
        <v>320.5</v>
      </c>
      <c r="I213" s="48">
        <f t="shared" si="66"/>
        <v>101.4040561622465</v>
      </c>
      <c r="J213">
        <v>10</v>
      </c>
    </row>
    <row r="214" spans="1:10" x14ac:dyDescent="0.25">
      <c r="A214" s="35">
        <f t="shared" si="67"/>
        <v>40332</v>
      </c>
      <c r="C214">
        <v>17</v>
      </c>
      <c r="D214">
        <v>0</v>
      </c>
      <c r="E214">
        <v>628.5</v>
      </c>
      <c r="F214">
        <v>320.5</v>
      </c>
      <c r="G214" s="14">
        <f t="shared" si="64"/>
        <v>645.5</v>
      </c>
      <c r="H214" s="2">
        <f t="shared" si="65"/>
        <v>320.5</v>
      </c>
      <c r="I214" s="48">
        <f t="shared" si="66"/>
        <v>101.4040561622465</v>
      </c>
      <c r="J214">
        <v>10</v>
      </c>
    </row>
    <row r="215" spans="1:10" x14ac:dyDescent="0.25">
      <c r="A215" s="35">
        <f t="shared" si="67"/>
        <v>40339</v>
      </c>
      <c r="C215">
        <v>17</v>
      </c>
      <c r="D215">
        <v>4</v>
      </c>
      <c r="E215">
        <v>628.5</v>
      </c>
      <c r="F215">
        <v>320.5</v>
      </c>
      <c r="G215" s="14">
        <f t="shared" si="64"/>
        <v>645.5</v>
      </c>
      <c r="H215" s="2">
        <f t="shared" si="65"/>
        <v>324.5</v>
      </c>
      <c r="I215" s="48">
        <f t="shared" si="66"/>
        <v>98.921417565485356</v>
      </c>
      <c r="J215">
        <v>10</v>
      </c>
    </row>
    <row r="216" spans="1:10" x14ac:dyDescent="0.25">
      <c r="A216" s="35">
        <f t="shared" si="67"/>
        <v>40346</v>
      </c>
      <c r="C216">
        <v>17</v>
      </c>
      <c r="D216">
        <v>4</v>
      </c>
      <c r="E216">
        <v>628.5</v>
      </c>
      <c r="F216">
        <v>320.5</v>
      </c>
      <c r="G216" s="14">
        <f t="shared" si="64"/>
        <v>645.5</v>
      </c>
      <c r="H216" s="2">
        <f t="shared" si="65"/>
        <v>324.5</v>
      </c>
      <c r="I216" s="48">
        <f t="shared" si="66"/>
        <v>98.921417565485356</v>
      </c>
      <c r="J216">
        <v>10</v>
      </c>
    </row>
    <row r="217" spans="1:10" x14ac:dyDescent="0.25">
      <c r="A217" s="35">
        <f t="shared" si="67"/>
        <v>40353</v>
      </c>
      <c r="C217">
        <v>17</v>
      </c>
      <c r="D217">
        <v>8.5</v>
      </c>
      <c r="E217">
        <v>628.5</v>
      </c>
      <c r="F217">
        <v>320.5</v>
      </c>
      <c r="G217" s="14">
        <f t="shared" ref="G217:G227" si="68">+C217+E217</f>
        <v>645.5</v>
      </c>
      <c r="H217" s="2">
        <f t="shared" ref="H217:H227" si="69">+D217+F217</f>
        <v>329</v>
      </c>
      <c r="I217" s="48">
        <f t="shared" si="66"/>
        <v>96.20060790273557</v>
      </c>
      <c r="J217">
        <v>10</v>
      </c>
    </row>
    <row r="218" spans="1:10" x14ac:dyDescent="0.25">
      <c r="A218" s="35">
        <f t="shared" si="67"/>
        <v>40360</v>
      </c>
      <c r="C218">
        <v>17</v>
      </c>
      <c r="D218">
        <v>8.5</v>
      </c>
      <c r="E218">
        <v>628.5</v>
      </c>
      <c r="F218">
        <v>341.5</v>
      </c>
      <c r="G218" s="14">
        <f t="shared" si="68"/>
        <v>645.5</v>
      </c>
      <c r="H218" s="2">
        <f t="shared" si="69"/>
        <v>350</v>
      </c>
      <c r="I218" s="48">
        <f t="shared" si="66"/>
        <v>84.428571428571431</v>
      </c>
      <c r="J218">
        <v>10</v>
      </c>
    </row>
    <row r="219" spans="1:10" x14ac:dyDescent="0.25">
      <c r="A219" s="35">
        <f t="shared" si="67"/>
        <v>40367</v>
      </c>
      <c r="C219">
        <v>98.9</v>
      </c>
      <c r="D219">
        <v>17.5</v>
      </c>
      <c r="E219">
        <v>628.5</v>
      </c>
      <c r="F219">
        <v>341.5</v>
      </c>
      <c r="G219" s="14">
        <f t="shared" si="68"/>
        <v>727.4</v>
      </c>
      <c r="H219" s="2">
        <f t="shared" si="69"/>
        <v>359</v>
      </c>
      <c r="I219" s="48">
        <f t="shared" si="66"/>
        <v>102.6183844011142</v>
      </c>
      <c r="J219">
        <v>70</v>
      </c>
    </row>
    <row r="220" spans="1:10" x14ac:dyDescent="0.25">
      <c r="A220" s="35">
        <f t="shared" si="67"/>
        <v>40374</v>
      </c>
      <c r="C220">
        <v>107.4</v>
      </c>
      <c r="D220">
        <v>17.5</v>
      </c>
      <c r="E220">
        <v>629</v>
      </c>
      <c r="F220">
        <v>341.5</v>
      </c>
      <c r="G220" s="14">
        <f t="shared" si="68"/>
        <v>736.4</v>
      </c>
      <c r="H220" s="2">
        <f t="shared" si="69"/>
        <v>359</v>
      </c>
      <c r="I220" s="48">
        <f t="shared" ref="I220:I227" si="70">+(G220/H220-1)*100</f>
        <v>105.12534818941504</v>
      </c>
      <c r="J220">
        <v>70</v>
      </c>
    </row>
    <row r="221" spans="1:10" x14ac:dyDescent="0.25">
      <c r="A221" s="35">
        <f t="shared" si="67"/>
        <v>40381</v>
      </c>
      <c r="C221">
        <v>126.7</v>
      </c>
      <c r="D221">
        <v>17.5</v>
      </c>
      <c r="E221">
        <v>629.70000000000005</v>
      </c>
      <c r="F221">
        <v>341.5</v>
      </c>
      <c r="G221" s="14">
        <f t="shared" si="68"/>
        <v>756.40000000000009</v>
      </c>
      <c r="H221" s="2">
        <f t="shared" si="69"/>
        <v>359</v>
      </c>
      <c r="I221" s="48">
        <f t="shared" si="70"/>
        <v>110.6963788300836</v>
      </c>
      <c r="J221">
        <v>235</v>
      </c>
    </row>
    <row r="222" spans="1:10" x14ac:dyDescent="0.25">
      <c r="A222" s="35">
        <f t="shared" si="67"/>
        <v>40388</v>
      </c>
      <c r="C222">
        <v>126.7</v>
      </c>
      <c r="D222">
        <v>16.5</v>
      </c>
      <c r="E222">
        <v>629.70000000000005</v>
      </c>
      <c r="F222">
        <v>342.5</v>
      </c>
      <c r="G222" s="14">
        <f t="shared" si="68"/>
        <v>756.40000000000009</v>
      </c>
      <c r="H222" s="2">
        <f t="shared" si="69"/>
        <v>359</v>
      </c>
      <c r="I222" s="48">
        <f t="shared" si="70"/>
        <v>110.6963788300836</v>
      </c>
      <c r="J222">
        <v>235</v>
      </c>
    </row>
    <row r="223" spans="1:10" x14ac:dyDescent="0.25">
      <c r="A223" s="35">
        <f t="shared" si="67"/>
        <v>40395</v>
      </c>
      <c r="C223">
        <v>100.8</v>
      </c>
      <c r="D223">
        <v>16.399999999999999</v>
      </c>
      <c r="E223">
        <v>656.8</v>
      </c>
      <c r="F223">
        <v>342.6</v>
      </c>
      <c r="G223" s="14">
        <f t="shared" si="68"/>
        <v>757.59999999999991</v>
      </c>
      <c r="H223" s="2">
        <f t="shared" si="69"/>
        <v>359</v>
      </c>
      <c r="I223" s="48">
        <f t="shared" si="70"/>
        <v>111.03064066852366</v>
      </c>
      <c r="J223">
        <v>235</v>
      </c>
    </row>
    <row r="224" spans="1:10" x14ac:dyDescent="0.25">
      <c r="A224" s="35">
        <f t="shared" si="67"/>
        <v>40402</v>
      </c>
      <c r="C224">
        <v>98.3</v>
      </c>
      <c r="D224">
        <v>16.7</v>
      </c>
      <c r="E224">
        <v>659.3</v>
      </c>
      <c r="F224">
        <v>342.6</v>
      </c>
      <c r="G224" s="14">
        <f t="shared" si="68"/>
        <v>757.59999999999991</v>
      </c>
      <c r="H224" s="2">
        <f t="shared" si="69"/>
        <v>359.3</v>
      </c>
      <c r="I224" s="48">
        <f t="shared" si="70"/>
        <v>110.85443918730861</v>
      </c>
      <c r="J224">
        <v>235</v>
      </c>
    </row>
    <row r="225" spans="1:10" x14ac:dyDescent="0.25">
      <c r="A225" s="35">
        <f t="shared" si="67"/>
        <v>40409</v>
      </c>
      <c r="C225">
        <v>97.8</v>
      </c>
      <c r="D225">
        <v>16.100000000000001</v>
      </c>
      <c r="E225">
        <v>659.8</v>
      </c>
      <c r="F225">
        <v>343.1</v>
      </c>
      <c r="G225" s="14">
        <f t="shared" si="68"/>
        <v>757.59999999999991</v>
      </c>
      <c r="H225" s="2">
        <f t="shared" si="69"/>
        <v>359.20000000000005</v>
      </c>
      <c r="I225" s="48">
        <f t="shared" si="70"/>
        <v>110.91314031180394</v>
      </c>
      <c r="J225">
        <v>235</v>
      </c>
    </row>
    <row r="226" spans="1:10" x14ac:dyDescent="0.25">
      <c r="A226" s="35">
        <f t="shared" si="67"/>
        <v>40416</v>
      </c>
      <c r="C226">
        <v>74.8</v>
      </c>
      <c r="D226">
        <v>13.6</v>
      </c>
      <c r="E226">
        <v>683.4</v>
      </c>
      <c r="F226">
        <v>345.7</v>
      </c>
      <c r="G226" s="14">
        <f t="shared" si="68"/>
        <v>758.19999999999993</v>
      </c>
      <c r="H226" s="2">
        <f t="shared" si="69"/>
        <v>359.3</v>
      </c>
      <c r="I226" s="48">
        <f t="shared" si="70"/>
        <v>111.02143055942109</v>
      </c>
      <c r="J226">
        <v>235</v>
      </c>
    </row>
    <row r="227" spans="1:10" x14ac:dyDescent="0.25">
      <c r="A227" s="35">
        <f t="shared" si="67"/>
        <v>40423</v>
      </c>
      <c r="C227">
        <v>309.8</v>
      </c>
      <c r="D227">
        <v>61.5</v>
      </c>
      <c r="E227">
        <v>0</v>
      </c>
      <c r="F227">
        <v>0</v>
      </c>
      <c r="G227" s="14">
        <f t="shared" si="68"/>
        <v>309.8</v>
      </c>
      <c r="H227" s="2">
        <f t="shared" si="69"/>
        <v>61.5</v>
      </c>
      <c r="I227" s="48">
        <f t="shared" si="70"/>
        <v>403.73983739837405</v>
      </c>
    </row>
    <row r="228" spans="1:10" x14ac:dyDescent="0.25">
      <c r="A228" s="35">
        <f t="shared" si="67"/>
        <v>40430</v>
      </c>
      <c r="C228">
        <v>309.8</v>
      </c>
      <c r="D228">
        <v>62.5</v>
      </c>
      <c r="E228">
        <v>0</v>
      </c>
      <c r="F228">
        <v>0</v>
      </c>
      <c r="G228" s="14">
        <f t="shared" ref="G228:G264" si="71">+C228+E228</f>
        <v>309.8</v>
      </c>
      <c r="H228" s="2">
        <f t="shared" ref="H228:H264" si="72">+D228+F228</f>
        <v>62.5</v>
      </c>
      <c r="I228" s="48">
        <f t="shared" ref="I228:I264" si="73">+(G228/H228-1)*100</f>
        <v>395.68</v>
      </c>
    </row>
    <row r="229" spans="1:10" x14ac:dyDescent="0.25">
      <c r="A229" s="35">
        <f t="shared" si="67"/>
        <v>40437</v>
      </c>
      <c r="C229">
        <v>309.39999999999998</v>
      </c>
      <c r="D229">
        <v>172.5</v>
      </c>
      <c r="E229">
        <v>0.4</v>
      </c>
      <c r="F229">
        <v>0</v>
      </c>
      <c r="G229" s="14">
        <f t="shared" si="71"/>
        <v>309.79999999999995</v>
      </c>
      <c r="H229" s="2">
        <f t="shared" si="72"/>
        <v>172.5</v>
      </c>
      <c r="I229" s="48">
        <f t="shared" si="73"/>
        <v>79.594202898550705</v>
      </c>
    </row>
    <row r="230" spans="1:10" x14ac:dyDescent="0.25">
      <c r="A230" s="35">
        <f t="shared" si="67"/>
        <v>40444</v>
      </c>
      <c r="C230">
        <v>308.89999999999998</v>
      </c>
      <c r="D230">
        <v>172.5</v>
      </c>
      <c r="E230">
        <v>0.9</v>
      </c>
      <c r="F230">
        <v>0</v>
      </c>
      <c r="G230" s="14">
        <f t="shared" si="71"/>
        <v>309.79999999999995</v>
      </c>
      <c r="H230" s="2">
        <f t="shared" si="72"/>
        <v>172.5</v>
      </c>
      <c r="I230" s="48">
        <f t="shared" si="73"/>
        <v>79.594202898550705</v>
      </c>
    </row>
    <row r="231" spans="1:10" x14ac:dyDescent="0.25">
      <c r="A231" s="35">
        <f t="shared" si="67"/>
        <v>40451</v>
      </c>
      <c r="C231">
        <v>341.9</v>
      </c>
      <c r="D231">
        <v>172.5</v>
      </c>
      <c r="E231">
        <v>0.9</v>
      </c>
      <c r="F231">
        <v>0</v>
      </c>
      <c r="G231" s="14">
        <f t="shared" si="71"/>
        <v>342.79999999999995</v>
      </c>
      <c r="H231" s="2">
        <f t="shared" si="72"/>
        <v>172.5</v>
      </c>
      <c r="I231" s="48">
        <f t="shared" si="73"/>
        <v>98.724637681159393</v>
      </c>
    </row>
    <row r="232" spans="1:10" x14ac:dyDescent="0.25">
      <c r="A232" s="35">
        <f t="shared" si="67"/>
        <v>40458</v>
      </c>
      <c r="C232">
        <v>285.60000000000002</v>
      </c>
      <c r="D232">
        <v>175.7</v>
      </c>
      <c r="E232">
        <v>57.2</v>
      </c>
      <c r="F232">
        <v>28.6</v>
      </c>
      <c r="G232" s="14">
        <f t="shared" si="71"/>
        <v>342.8</v>
      </c>
      <c r="H232" s="2">
        <f t="shared" si="72"/>
        <v>204.29999999999998</v>
      </c>
      <c r="I232" s="48">
        <f t="shared" si="73"/>
        <v>67.792462065589845</v>
      </c>
    </row>
    <row r="233" spans="1:10" x14ac:dyDescent="0.25">
      <c r="A233" s="35">
        <f t="shared" si="67"/>
        <v>40465</v>
      </c>
      <c r="C233">
        <v>285.60000000000002</v>
      </c>
      <c r="D233">
        <v>196.4</v>
      </c>
      <c r="E233">
        <v>57.2</v>
      </c>
      <c r="F233">
        <v>28.6</v>
      </c>
      <c r="G233" s="14">
        <f t="shared" si="71"/>
        <v>342.8</v>
      </c>
      <c r="H233" s="2">
        <f t="shared" si="72"/>
        <v>225</v>
      </c>
      <c r="I233" s="48">
        <f t="shared" si="73"/>
        <v>52.355555555555554</v>
      </c>
    </row>
    <row r="234" spans="1:10" x14ac:dyDescent="0.25">
      <c r="A234" s="35">
        <f t="shared" si="67"/>
        <v>40472</v>
      </c>
      <c r="C234">
        <v>228.1</v>
      </c>
      <c r="D234">
        <v>196.3</v>
      </c>
      <c r="E234">
        <v>114.7</v>
      </c>
      <c r="F234">
        <v>28.8</v>
      </c>
      <c r="G234" s="14">
        <f t="shared" si="71"/>
        <v>342.8</v>
      </c>
      <c r="H234" s="2">
        <f t="shared" si="72"/>
        <v>225.10000000000002</v>
      </c>
      <c r="I234" s="48">
        <f t="shared" si="73"/>
        <v>52.287872056863606</v>
      </c>
    </row>
    <row r="235" spans="1:10" x14ac:dyDescent="0.25">
      <c r="A235" s="35">
        <f t="shared" si="67"/>
        <v>40479</v>
      </c>
      <c r="C235">
        <v>171.8</v>
      </c>
      <c r="D235">
        <v>195.7</v>
      </c>
      <c r="E235">
        <v>171</v>
      </c>
      <c r="F235">
        <v>29.4</v>
      </c>
      <c r="G235" s="14">
        <f t="shared" si="71"/>
        <v>342.8</v>
      </c>
      <c r="H235" s="2">
        <f t="shared" si="72"/>
        <v>225.1</v>
      </c>
      <c r="I235" s="48">
        <f t="shared" si="73"/>
        <v>52.287872056863627</v>
      </c>
    </row>
    <row r="236" spans="1:10" x14ac:dyDescent="0.25">
      <c r="A236" s="35">
        <f t="shared" si="67"/>
        <v>40486</v>
      </c>
      <c r="C236">
        <v>117.8</v>
      </c>
      <c r="D236">
        <v>193.6</v>
      </c>
      <c r="E236">
        <v>171</v>
      </c>
      <c r="F236">
        <v>31.5</v>
      </c>
      <c r="G236" s="14">
        <f t="shared" si="71"/>
        <v>288.8</v>
      </c>
      <c r="H236" s="2">
        <f t="shared" si="72"/>
        <v>225.1</v>
      </c>
      <c r="I236" s="48">
        <f t="shared" si="73"/>
        <v>28.298533984895613</v>
      </c>
    </row>
    <row r="237" spans="1:10" x14ac:dyDescent="0.25">
      <c r="A237" s="35">
        <f t="shared" si="67"/>
        <v>40493</v>
      </c>
      <c r="C237">
        <v>117.8</v>
      </c>
      <c r="D237">
        <v>174</v>
      </c>
      <c r="E237">
        <v>220.5</v>
      </c>
      <c r="F237">
        <v>53.7</v>
      </c>
      <c r="G237" s="14">
        <f t="shared" si="71"/>
        <v>338.3</v>
      </c>
      <c r="H237" s="2">
        <f t="shared" si="72"/>
        <v>227.7</v>
      </c>
      <c r="I237" s="48">
        <f t="shared" si="73"/>
        <v>48.572683355292057</v>
      </c>
    </row>
    <row r="238" spans="1:10" x14ac:dyDescent="0.25">
      <c r="A238" s="35">
        <f t="shared" si="67"/>
        <v>40500</v>
      </c>
      <c r="C238">
        <v>116.9</v>
      </c>
      <c r="D238">
        <v>121.7</v>
      </c>
      <c r="E238">
        <v>221.4</v>
      </c>
      <c r="F238">
        <v>114.6</v>
      </c>
      <c r="G238" s="14">
        <f t="shared" si="71"/>
        <v>338.3</v>
      </c>
      <c r="H238" s="2">
        <f t="shared" si="72"/>
        <v>236.3</v>
      </c>
      <c r="I238" s="48">
        <f t="shared" si="73"/>
        <v>43.165467625899282</v>
      </c>
    </row>
    <row r="239" spans="1:10" x14ac:dyDescent="0.25">
      <c r="A239" s="35">
        <f t="shared" si="67"/>
        <v>40507</v>
      </c>
      <c r="C239">
        <v>115.8</v>
      </c>
      <c r="D239">
        <v>66.3</v>
      </c>
      <c r="E239">
        <v>222.5</v>
      </c>
      <c r="F239">
        <v>227.7</v>
      </c>
      <c r="G239" s="14">
        <f t="shared" si="71"/>
        <v>338.3</v>
      </c>
      <c r="H239" s="2">
        <f t="shared" si="72"/>
        <v>294</v>
      </c>
      <c r="I239" s="48">
        <f t="shared" si="73"/>
        <v>15.06802721088436</v>
      </c>
    </row>
    <row r="240" spans="1:10" x14ac:dyDescent="0.25">
      <c r="A240" s="35">
        <f t="shared" si="67"/>
        <v>40514</v>
      </c>
      <c r="C240">
        <v>115.3</v>
      </c>
      <c r="D240">
        <v>66.099999999999994</v>
      </c>
      <c r="E240">
        <v>223.2</v>
      </c>
      <c r="F240">
        <v>227.9</v>
      </c>
      <c r="G240" s="14">
        <f t="shared" si="71"/>
        <v>338.5</v>
      </c>
      <c r="H240" s="2">
        <f t="shared" si="72"/>
        <v>294</v>
      </c>
      <c r="I240" s="48">
        <f t="shared" si="73"/>
        <v>15.136054421768709</v>
      </c>
    </row>
    <row r="241" spans="1:9" x14ac:dyDescent="0.25">
      <c r="A241" s="35">
        <f t="shared" si="67"/>
        <v>40521</v>
      </c>
      <c r="C241">
        <v>114.8</v>
      </c>
      <c r="D241">
        <v>65.8</v>
      </c>
      <c r="E241">
        <v>223.9</v>
      </c>
      <c r="F241">
        <v>229.5</v>
      </c>
      <c r="G241" s="14">
        <f t="shared" si="71"/>
        <v>338.7</v>
      </c>
      <c r="H241" s="2">
        <f t="shared" si="72"/>
        <v>295.3</v>
      </c>
      <c r="I241" s="48">
        <f t="shared" si="73"/>
        <v>14.696918388079915</v>
      </c>
    </row>
    <row r="242" spans="1:9" x14ac:dyDescent="0.25">
      <c r="A242" s="35">
        <f t="shared" si="67"/>
        <v>40528</v>
      </c>
      <c r="C242">
        <v>84.8</v>
      </c>
      <c r="D242">
        <v>65.7</v>
      </c>
      <c r="E242">
        <v>304.60000000000002</v>
      </c>
      <c r="F242">
        <v>285.7</v>
      </c>
      <c r="G242" s="14">
        <f t="shared" si="71"/>
        <v>389.40000000000003</v>
      </c>
      <c r="H242" s="2">
        <f t="shared" si="72"/>
        <v>351.4</v>
      </c>
      <c r="I242" s="48">
        <f t="shared" si="73"/>
        <v>10.813887307911219</v>
      </c>
    </row>
    <row r="243" spans="1:9" x14ac:dyDescent="0.25">
      <c r="A243" s="35">
        <f t="shared" si="67"/>
        <v>40535</v>
      </c>
      <c r="C243">
        <v>84.7</v>
      </c>
      <c r="D243">
        <v>65.3</v>
      </c>
      <c r="E243">
        <v>304.7</v>
      </c>
      <c r="F243">
        <v>285.8</v>
      </c>
      <c r="G243" s="14">
        <f t="shared" si="71"/>
        <v>389.4</v>
      </c>
      <c r="H243" s="2">
        <f t="shared" si="72"/>
        <v>351.1</v>
      </c>
      <c r="I243" s="48">
        <f t="shared" si="73"/>
        <v>10.908573056109351</v>
      </c>
    </row>
    <row r="244" spans="1:9" x14ac:dyDescent="0.25">
      <c r="A244" s="35">
        <f t="shared" si="67"/>
        <v>40542</v>
      </c>
      <c r="C244">
        <v>82.9</v>
      </c>
      <c r="D244">
        <v>56.1</v>
      </c>
      <c r="E244">
        <v>306.5</v>
      </c>
      <c r="F244">
        <v>295.3</v>
      </c>
      <c r="G244" s="14">
        <f t="shared" si="71"/>
        <v>389.4</v>
      </c>
      <c r="H244" s="2">
        <f t="shared" si="72"/>
        <v>351.40000000000003</v>
      </c>
      <c r="I244" s="48">
        <f t="shared" si="73"/>
        <v>10.813887307911196</v>
      </c>
    </row>
    <row r="245" spans="1:9" x14ac:dyDescent="0.25">
      <c r="A245" s="35">
        <f t="shared" si="67"/>
        <v>40549</v>
      </c>
      <c r="C245">
        <v>110.5</v>
      </c>
      <c r="D245">
        <v>1.1000000000000001</v>
      </c>
      <c r="E245">
        <v>355.8</v>
      </c>
      <c r="F245">
        <v>350.3</v>
      </c>
      <c r="G245" s="14">
        <f t="shared" si="71"/>
        <v>466.3</v>
      </c>
      <c r="H245" s="2">
        <f t="shared" si="72"/>
        <v>351.40000000000003</v>
      </c>
      <c r="I245" s="48">
        <f t="shared" si="73"/>
        <v>32.69778030734205</v>
      </c>
    </row>
    <row r="246" spans="1:9" x14ac:dyDescent="0.25">
      <c r="A246" s="35">
        <f t="shared" si="67"/>
        <v>40556</v>
      </c>
      <c r="C246">
        <v>52.1</v>
      </c>
      <c r="D246">
        <v>1.1000000000000001</v>
      </c>
      <c r="E246">
        <v>452.2</v>
      </c>
      <c r="F246">
        <v>408</v>
      </c>
      <c r="G246" s="14">
        <f t="shared" si="71"/>
        <v>504.3</v>
      </c>
      <c r="H246" s="2">
        <f t="shared" si="72"/>
        <v>409.1</v>
      </c>
      <c r="I246" s="48">
        <f t="shared" si="73"/>
        <v>23.270593986800293</v>
      </c>
    </row>
    <row r="247" spans="1:9" x14ac:dyDescent="0.25">
      <c r="A247" s="35">
        <f t="shared" si="67"/>
        <v>40563</v>
      </c>
      <c r="C247">
        <v>52</v>
      </c>
      <c r="D247">
        <v>1.1000000000000001</v>
      </c>
      <c r="E247">
        <v>452.3</v>
      </c>
      <c r="F247">
        <v>408</v>
      </c>
      <c r="G247" s="14">
        <f t="shared" si="71"/>
        <v>504.3</v>
      </c>
      <c r="H247" s="2">
        <f t="shared" si="72"/>
        <v>409.1</v>
      </c>
      <c r="I247" s="48">
        <f t="shared" si="73"/>
        <v>23.270593986800293</v>
      </c>
    </row>
    <row r="248" spans="1:9" x14ac:dyDescent="0.25">
      <c r="A248" s="35">
        <f t="shared" si="67"/>
        <v>40570</v>
      </c>
      <c r="C248">
        <v>52</v>
      </c>
      <c r="D248">
        <v>0.9</v>
      </c>
      <c r="E248">
        <v>452.3</v>
      </c>
      <c r="F248">
        <v>408.2</v>
      </c>
      <c r="G248" s="14">
        <f t="shared" si="71"/>
        <v>504.3</v>
      </c>
      <c r="H248" s="2">
        <f t="shared" si="72"/>
        <v>409.09999999999997</v>
      </c>
      <c r="I248" s="48">
        <f t="shared" si="73"/>
        <v>23.270593986800314</v>
      </c>
    </row>
    <row r="249" spans="1:9" x14ac:dyDescent="0.25">
      <c r="A249" s="35">
        <f t="shared" si="67"/>
        <v>40577</v>
      </c>
      <c r="C249">
        <v>52</v>
      </c>
      <c r="D249">
        <v>0.9</v>
      </c>
      <c r="E249">
        <v>452.3</v>
      </c>
      <c r="F249">
        <v>408.2</v>
      </c>
      <c r="G249" s="14">
        <f t="shared" si="71"/>
        <v>504.3</v>
      </c>
      <c r="H249" s="2">
        <f t="shared" si="72"/>
        <v>409.09999999999997</v>
      </c>
      <c r="I249" s="48">
        <f t="shared" si="73"/>
        <v>23.270593986800314</v>
      </c>
    </row>
    <row r="250" spans="1:9" x14ac:dyDescent="0.25">
      <c r="A250" s="35">
        <f t="shared" si="67"/>
        <v>40584</v>
      </c>
      <c r="C250">
        <v>49</v>
      </c>
      <c r="D250">
        <v>0.9</v>
      </c>
      <c r="E250">
        <v>510.3</v>
      </c>
      <c r="F250">
        <v>408.2</v>
      </c>
      <c r="G250" s="14">
        <f t="shared" si="71"/>
        <v>559.29999999999995</v>
      </c>
      <c r="H250" s="2">
        <f t="shared" si="72"/>
        <v>409.09999999999997</v>
      </c>
      <c r="I250" s="48">
        <f t="shared" si="73"/>
        <v>36.714739672451714</v>
      </c>
    </row>
    <row r="251" spans="1:9" x14ac:dyDescent="0.25">
      <c r="A251" s="35">
        <f t="shared" si="67"/>
        <v>40591</v>
      </c>
      <c r="C251">
        <v>49</v>
      </c>
      <c r="D251">
        <v>0.9</v>
      </c>
      <c r="E251">
        <v>510.3</v>
      </c>
      <c r="F251">
        <v>408.2</v>
      </c>
      <c r="G251" s="14">
        <f t="shared" si="71"/>
        <v>559.29999999999995</v>
      </c>
      <c r="H251" s="2">
        <f t="shared" si="72"/>
        <v>409.09999999999997</v>
      </c>
      <c r="I251" s="48">
        <f t="shared" si="73"/>
        <v>36.714739672451714</v>
      </c>
    </row>
    <row r="252" spans="1:9" x14ac:dyDescent="0.25">
      <c r="A252" s="35">
        <f t="shared" si="67"/>
        <v>40598</v>
      </c>
      <c r="C252">
        <v>47.3</v>
      </c>
      <c r="D252">
        <v>0.8</v>
      </c>
      <c r="E252">
        <v>560</v>
      </c>
      <c r="F252">
        <v>434.5</v>
      </c>
      <c r="G252" s="14">
        <f t="shared" si="71"/>
        <v>607.29999999999995</v>
      </c>
      <c r="H252" s="2">
        <f t="shared" si="72"/>
        <v>435.3</v>
      </c>
      <c r="I252" s="48">
        <f t="shared" si="73"/>
        <v>39.512979554330329</v>
      </c>
    </row>
    <row r="253" spans="1:9" x14ac:dyDescent="0.25">
      <c r="A253" s="35">
        <f t="shared" si="67"/>
        <v>40605</v>
      </c>
      <c r="C253">
        <v>46.7</v>
      </c>
      <c r="D253">
        <v>0.8</v>
      </c>
      <c r="E253">
        <v>609.70000000000005</v>
      </c>
      <c r="F253">
        <v>434.5</v>
      </c>
      <c r="G253" s="14">
        <f t="shared" si="71"/>
        <v>656.40000000000009</v>
      </c>
      <c r="H253" s="2">
        <f t="shared" si="72"/>
        <v>435.3</v>
      </c>
      <c r="I253" s="48">
        <f t="shared" si="73"/>
        <v>50.79255685733979</v>
      </c>
    </row>
    <row r="254" spans="1:9" x14ac:dyDescent="0.25">
      <c r="A254" s="35">
        <f t="shared" si="67"/>
        <v>40612</v>
      </c>
      <c r="C254">
        <v>43.1</v>
      </c>
      <c r="D254">
        <v>0.8</v>
      </c>
      <c r="E254">
        <v>613.29999999999995</v>
      </c>
      <c r="F254">
        <v>434.6</v>
      </c>
      <c r="G254" s="14">
        <f t="shared" si="71"/>
        <v>656.4</v>
      </c>
      <c r="H254" s="2">
        <f t="shared" si="72"/>
        <v>435.40000000000003</v>
      </c>
      <c r="I254" s="48">
        <f t="shared" si="73"/>
        <v>50.757923748277435</v>
      </c>
    </row>
    <row r="255" spans="1:9" x14ac:dyDescent="0.25">
      <c r="A255" s="35">
        <f t="shared" si="67"/>
        <v>40619</v>
      </c>
      <c r="C255">
        <v>41.2</v>
      </c>
      <c r="D255">
        <v>0.8</v>
      </c>
      <c r="E255">
        <v>615.20000000000005</v>
      </c>
      <c r="F255">
        <v>486.8</v>
      </c>
      <c r="G255" s="14">
        <f t="shared" si="71"/>
        <v>656.40000000000009</v>
      </c>
      <c r="H255" s="2">
        <f t="shared" si="72"/>
        <v>487.6</v>
      </c>
      <c r="I255" s="48">
        <f t="shared" si="73"/>
        <v>34.618539786710436</v>
      </c>
    </row>
    <row r="256" spans="1:9" x14ac:dyDescent="0.25">
      <c r="A256" s="35">
        <f t="shared" ref="A256:A319" si="74">+A255+7</f>
        <v>40626</v>
      </c>
      <c r="C256">
        <v>10.199999999999999</v>
      </c>
      <c r="D256">
        <v>0.8</v>
      </c>
      <c r="E256">
        <v>646.79999999999995</v>
      </c>
      <c r="F256">
        <v>544.6</v>
      </c>
      <c r="G256" s="14">
        <f t="shared" si="71"/>
        <v>657</v>
      </c>
      <c r="H256" s="2">
        <f t="shared" si="72"/>
        <v>545.4</v>
      </c>
      <c r="I256" s="48">
        <f t="shared" si="73"/>
        <v>20.462046204620464</v>
      </c>
    </row>
    <row r="257" spans="1:9" x14ac:dyDescent="0.25">
      <c r="A257" s="35">
        <f t="shared" si="74"/>
        <v>40633</v>
      </c>
      <c r="C257">
        <v>8.3000000000000007</v>
      </c>
      <c r="D257">
        <v>0.8</v>
      </c>
      <c r="E257">
        <v>649.1</v>
      </c>
      <c r="F257">
        <v>544.6</v>
      </c>
      <c r="G257" s="14">
        <f t="shared" si="71"/>
        <v>657.4</v>
      </c>
      <c r="H257" s="2">
        <f t="shared" si="72"/>
        <v>545.4</v>
      </c>
      <c r="I257" s="48">
        <f t="shared" si="73"/>
        <v>20.535386872020545</v>
      </c>
    </row>
    <row r="258" spans="1:9" x14ac:dyDescent="0.25">
      <c r="A258" s="35">
        <f t="shared" si="74"/>
        <v>40640</v>
      </c>
      <c r="C258">
        <v>5</v>
      </c>
      <c r="D258">
        <v>0.8</v>
      </c>
      <c r="E258">
        <v>652.29999999999995</v>
      </c>
      <c r="F258">
        <v>544.6</v>
      </c>
      <c r="G258" s="14">
        <f t="shared" si="71"/>
        <v>657.3</v>
      </c>
      <c r="H258" s="2">
        <f t="shared" si="72"/>
        <v>545.4</v>
      </c>
      <c r="I258" s="48">
        <f t="shared" si="73"/>
        <v>20.517051705170509</v>
      </c>
    </row>
    <row r="259" spans="1:9" x14ac:dyDescent="0.25">
      <c r="A259" s="35">
        <f t="shared" si="74"/>
        <v>40647</v>
      </c>
      <c r="C259">
        <v>5</v>
      </c>
      <c r="D259">
        <v>0.8</v>
      </c>
      <c r="E259">
        <v>652.29999999999995</v>
      </c>
      <c r="F259">
        <v>570.5</v>
      </c>
      <c r="G259" s="14">
        <f t="shared" si="71"/>
        <v>657.3</v>
      </c>
      <c r="H259" s="2">
        <f t="shared" si="72"/>
        <v>571.29999999999995</v>
      </c>
      <c r="I259" s="48">
        <f t="shared" si="73"/>
        <v>15.053387012077724</v>
      </c>
    </row>
    <row r="260" spans="1:9" x14ac:dyDescent="0.25">
      <c r="A260" s="35">
        <f t="shared" si="74"/>
        <v>40654</v>
      </c>
      <c r="C260">
        <v>20</v>
      </c>
      <c r="D260">
        <v>0.8</v>
      </c>
      <c r="E260">
        <v>652.29999999999995</v>
      </c>
      <c r="F260">
        <v>570.5</v>
      </c>
      <c r="G260" s="14">
        <f t="shared" si="71"/>
        <v>672.3</v>
      </c>
      <c r="H260" s="2">
        <f t="shared" si="72"/>
        <v>571.29999999999995</v>
      </c>
      <c r="I260" s="48">
        <f t="shared" si="73"/>
        <v>17.678977769998248</v>
      </c>
    </row>
    <row r="261" spans="1:9" x14ac:dyDescent="0.25">
      <c r="A261" s="35">
        <f t="shared" si="74"/>
        <v>40661</v>
      </c>
      <c r="C261">
        <v>18.3</v>
      </c>
      <c r="D261">
        <v>0.8</v>
      </c>
      <c r="E261">
        <v>654</v>
      </c>
      <c r="F261">
        <v>628.29999999999995</v>
      </c>
      <c r="G261" s="14">
        <f t="shared" si="71"/>
        <v>672.3</v>
      </c>
      <c r="H261" s="2">
        <f t="shared" si="72"/>
        <v>629.09999999999991</v>
      </c>
      <c r="I261" s="48">
        <f t="shared" si="73"/>
        <v>6.8669527896995763</v>
      </c>
    </row>
    <row r="262" spans="1:9" x14ac:dyDescent="0.25">
      <c r="A262" s="35">
        <f t="shared" si="74"/>
        <v>40668</v>
      </c>
      <c r="C262">
        <v>16.7</v>
      </c>
      <c r="D262">
        <v>15.8</v>
      </c>
      <c r="E262">
        <v>657.3</v>
      </c>
      <c r="F262">
        <v>628.29999999999995</v>
      </c>
      <c r="G262" s="14">
        <f t="shared" si="71"/>
        <v>674</v>
      </c>
      <c r="H262" s="2">
        <f t="shared" si="72"/>
        <v>644.09999999999991</v>
      </c>
      <c r="I262" s="48">
        <f t="shared" si="73"/>
        <v>4.6421363142369332</v>
      </c>
    </row>
    <row r="263" spans="1:9" x14ac:dyDescent="0.25">
      <c r="A263" s="35">
        <f t="shared" si="74"/>
        <v>40675</v>
      </c>
      <c r="C263">
        <v>15</v>
      </c>
      <c r="D263">
        <v>15.8</v>
      </c>
      <c r="E263">
        <v>659.2</v>
      </c>
      <c r="F263">
        <v>628.29999999999995</v>
      </c>
      <c r="G263" s="14">
        <f t="shared" si="71"/>
        <v>674.2</v>
      </c>
      <c r="H263" s="2">
        <f t="shared" si="72"/>
        <v>644.09999999999991</v>
      </c>
      <c r="I263" s="48">
        <f t="shared" si="73"/>
        <v>4.6731873932619461</v>
      </c>
    </row>
    <row r="264" spans="1:9" x14ac:dyDescent="0.25">
      <c r="A264" s="35">
        <f t="shared" si="74"/>
        <v>40682</v>
      </c>
      <c r="C264">
        <v>15</v>
      </c>
      <c r="D264">
        <v>17.2</v>
      </c>
      <c r="E264">
        <v>659.2</v>
      </c>
      <c r="F264">
        <v>628.29999999999995</v>
      </c>
      <c r="G264" s="14">
        <f t="shared" si="71"/>
        <v>674.2</v>
      </c>
      <c r="H264" s="2">
        <f t="shared" si="72"/>
        <v>645.5</v>
      </c>
      <c r="I264" s="48">
        <f t="shared" si="73"/>
        <v>4.4461657629744522</v>
      </c>
    </row>
    <row r="265" spans="1:9" x14ac:dyDescent="0.25">
      <c r="A265" s="35">
        <f t="shared" si="74"/>
        <v>40689</v>
      </c>
      <c r="C265">
        <v>15</v>
      </c>
      <c r="D265">
        <v>17</v>
      </c>
      <c r="E265">
        <v>659.2</v>
      </c>
      <c r="F265">
        <v>628.5</v>
      </c>
      <c r="G265" s="14">
        <f t="shared" ref="G265:G273" si="75">+C265+E265</f>
        <v>674.2</v>
      </c>
      <c r="H265" s="2">
        <f t="shared" ref="H265:H273" si="76">+D265+F265</f>
        <v>645.5</v>
      </c>
      <c r="I265" s="48">
        <f t="shared" ref="I265:I273" si="77">+(G265/H265-1)*100</f>
        <v>4.4461657629744522</v>
      </c>
    </row>
    <row r="266" spans="1:9" x14ac:dyDescent="0.25">
      <c r="A266" s="35">
        <f t="shared" si="74"/>
        <v>40696</v>
      </c>
      <c r="C266">
        <v>15</v>
      </c>
      <c r="D266">
        <v>17</v>
      </c>
      <c r="E266">
        <v>659.2</v>
      </c>
      <c r="F266">
        <v>628.5</v>
      </c>
      <c r="G266" s="14">
        <f t="shared" si="75"/>
        <v>674.2</v>
      </c>
      <c r="H266" s="2">
        <f t="shared" si="76"/>
        <v>645.5</v>
      </c>
      <c r="I266" s="48">
        <f t="shared" si="77"/>
        <v>4.4461657629744522</v>
      </c>
    </row>
    <row r="267" spans="1:9" x14ac:dyDescent="0.25">
      <c r="A267" s="35">
        <f t="shared" si="74"/>
        <v>40703</v>
      </c>
      <c r="C267">
        <v>15</v>
      </c>
      <c r="D267">
        <v>17</v>
      </c>
      <c r="E267">
        <v>659.2</v>
      </c>
      <c r="F267">
        <v>628.5</v>
      </c>
      <c r="G267" s="14">
        <f t="shared" si="75"/>
        <v>674.2</v>
      </c>
      <c r="H267" s="2">
        <f t="shared" si="76"/>
        <v>645.5</v>
      </c>
      <c r="I267" s="48">
        <f t="shared" si="77"/>
        <v>4.4461657629744522</v>
      </c>
    </row>
    <row r="268" spans="1:9" x14ac:dyDescent="0.25">
      <c r="A268" s="35">
        <f t="shared" si="74"/>
        <v>40710</v>
      </c>
      <c r="C268">
        <v>15</v>
      </c>
      <c r="D268">
        <v>17</v>
      </c>
      <c r="E268">
        <v>659.2</v>
      </c>
      <c r="F268">
        <v>628.5</v>
      </c>
      <c r="G268" s="14">
        <f t="shared" si="75"/>
        <v>674.2</v>
      </c>
      <c r="H268" s="2">
        <f t="shared" si="76"/>
        <v>645.5</v>
      </c>
      <c r="I268" s="48">
        <f t="shared" si="77"/>
        <v>4.4461657629744522</v>
      </c>
    </row>
    <row r="269" spans="1:9" x14ac:dyDescent="0.25">
      <c r="A269" s="35">
        <f t="shared" si="74"/>
        <v>40717</v>
      </c>
      <c r="C269">
        <v>15</v>
      </c>
      <c r="D269">
        <v>17</v>
      </c>
      <c r="E269">
        <v>659.2</v>
      </c>
      <c r="F269">
        <v>628.5</v>
      </c>
      <c r="G269" s="14">
        <f t="shared" si="75"/>
        <v>674.2</v>
      </c>
      <c r="H269" s="2">
        <f t="shared" si="76"/>
        <v>645.5</v>
      </c>
      <c r="I269" s="48">
        <f t="shared" si="77"/>
        <v>4.4461657629744522</v>
      </c>
    </row>
    <row r="270" spans="1:9" x14ac:dyDescent="0.25">
      <c r="A270" s="35">
        <f t="shared" si="74"/>
        <v>40724</v>
      </c>
      <c r="C270">
        <v>20</v>
      </c>
      <c r="D270">
        <v>17</v>
      </c>
      <c r="E270">
        <v>659.2</v>
      </c>
      <c r="F270">
        <v>628.5</v>
      </c>
      <c r="G270" s="14">
        <f t="shared" si="75"/>
        <v>679.2</v>
      </c>
      <c r="H270" s="2">
        <f t="shared" si="76"/>
        <v>645.5</v>
      </c>
      <c r="I270" s="48">
        <f t="shared" si="77"/>
        <v>5.2207591014717281</v>
      </c>
    </row>
    <row r="271" spans="1:9" x14ac:dyDescent="0.25">
      <c r="A271" s="35">
        <f t="shared" si="74"/>
        <v>40731</v>
      </c>
      <c r="C271">
        <v>20</v>
      </c>
      <c r="D271">
        <v>98.9</v>
      </c>
      <c r="E271">
        <v>659.2</v>
      </c>
      <c r="F271">
        <v>628.5</v>
      </c>
      <c r="G271" s="14">
        <f t="shared" si="75"/>
        <v>679.2</v>
      </c>
      <c r="H271" s="2">
        <f t="shared" si="76"/>
        <v>727.4</v>
      </c>
      <c r="I271" s="48">
        <f t="shared" si="77"/>
        <v>-6.626340390431662</v>
      </c>
    </row>
    <row r="272" spans="1:9" x14ac:dyDescent="0.25">
      <c r="A272" s="35">
        <f t="shared" si="74"/>
        <v>40738</v>
      </c>
      <c r="C272">
        <v>20</v>
      </c>
      <c r="D272">
        <v>107.4</v>
      </c>
      <c r="E272">
        <v>659.2</v>
      </c>
      <c r="F272">
        <v>629</v>
      </c>
      <c r="G272" s="14">
        <f t="shared" si="75"/>
        <v>679.2</v>
      </c>
      <c r="H272" s="2">
        <f t="shared" si="76"/>
        <v>736.4</v>
      </c>
      <c r="I272" s="48">
        <f t="shared" si="77"/>
        <v>-7.7675176534492074</v>
      </c>
    </row>
    <row r="273" spans="1:10" x14ac:dyDescent="0.25">
      <c r="A273" s="35">
        <f t="shared" si="74"/>
        <v>40745</v>
      </c>
      <c r="C273">
        <v>20</v>
      </c>
      <c r="D273">
        <v>126.7</v>
      </c>
      <c r="E273">
        <v>659.2</v>
      </c>
      <c r="F273">
        <v>629.70000000000005</v>
      </c>
      <c r="G273" s="14">
        <f t="shared" si="75"/>
        <v>679.2</v>
      </c>
      <c r="H273" s="2">
        <f t="shared" si="76"/>
        <v>756.40000000000009</v>
      </c>
      <c r="I273" s="48">
        <f t="shared" si="77"/>
        <v>-10.206240084611318</v>
      </c>
    </row>
    <row r="274" spans="1:10" x14ac:dyDescent="0.25">
      <c r="A274" s="35">
        <f t="shared" si="74"/>
        <v>40752</v>
      </c>
      <c r="D274" s="103"/>
    </row>
    <row r="275" spans="1:10" x14ac:dyDescent="0.25">
      <c r="A275" s="35">
        <f t="shared" si="74"/>
        <v>40759</v>
      </c>
      <c r="C275">
        <v>20</v>
      </c>
      <c r="D275">
        <v>100.8</v>
      </c>
      <c r="E275">
        <v>685.4</v>
      </c>
      <c r="F275">
        <v>656.8</v>
      </c>
      <c r="G275" s="14">
        <f t="shared" ref="G275:H277" si="78">+C275+E275</f>
        <v>705.4</v>
      </c>
      <c r="H275" s="2">
        <f t="shared" si="78"/>
        <v>757.59999999999991</v>
      </c>
      <c r="I275" s="48">
        <f>+(G275/H275-1)*100</f>
        <v>-6.890179514255534</v>
      </c>
    </row>
    <row r="276" spans="1:10" x14ac:dyDescent="0.25">
      <c r="A276" s="35">
        <f t="shared" si="74"/>
        <v>40766</v>
      </c>
      <c r="C276">
        <v>20</v>
      </c>
      <c r="D276">
        <v>98.3</v>
      </c>
      <c r="E276">
        <v>685.4</v>
      </c>
      <c r="F276">
        <v>659.3</v>
      </c>
      <c r="G276" s="14">
        <f t="shared" si="78"/>
        <v>705.4</v>
      </c>
      <c r="H276" s="2">
        <f t="shared" si="78"/>
        <v>757.59999999999991</v>
      </c>
      <c r="I276" s="48">
        <f>+(G276/H276-1)*100</f>
        <v>-6.890179514255534</v>
      </c>
    </row>
    <row r="277" spans="1:10" x14ac:dyDescent="0.25">
      <c r="A277" s="35">
        <f t="shared" si="74"/>
        <v>40773</v>
      </c>
      <c r="C277">
        <v>18.2</v>
      </c>
      <c r="D277">
        <v>97.9</v>
      </c>
      <c r="E277">
        <v>687.2</v>
      </c>
      <c r="F277">
        <v>659.8</v>
      </c>
      <c r="G277" s="14">
        <f t="shared" si="78"/>
        <v>705.40000000000009</v>
      </c>
      <c r="H277" s="2">
        <f t="shared" si="78"/>
        <v>757.69999999999993</v>
      </c>
      <c r="I277" s="48">
        <f>+(G277/H277-1)*100</f>
        <v>-6.9024679952487622</v>
      </c>
    </row>
    <row r="278" spans="1:10" x14ac:dyDescent="0.25">
      <c r="A278" s="35">
        <f t="shared" si="74"/>
        <v>40780</v>
      </c>
      <c r="C278">
        <v>17.399999999999999</v>
      </c>
      <c r="D278">
        <v>74.8</v>
      </c>
      <c r="E278">
        <v>689</v>
      </c>
      <c r="F278">
        <v>683.4</v>
      </c>
      <c r="G278" s="14">
        <f t="shared" ref="G278:G285" si="79">+C278+E278</f>
        <v>706.4</v>
      </c>
      <c r="H278" s="2">
        <f t="shared" ref="H278:H285" si="80">+D278+F278</f>
        <v>758.19999999999993</v>
      </c>
      <c r="I278" s="48">
        <f t="shared" ref="I278:I296" si="81">+(G278/H278-1)*100</f>
        <v>-6.8319704563439725</v>
      </c>
    </row>
    <row r="279" spans="1:10" x14ac:dyDescent="0.25">
      <c r="A279" s="35">
        <f t="shared" si="74"/>
        <v>40787</v>
      </c>
      <c r="C279">
        <v>16.5</v>
      </c>
      <c r="D279">
        <v>309.8</v>
      </c>
      <c r="E279">
        <v>0.1</v>
      </c>
      <c r="F279">
        <v>0</v>
      </c>
      <c r="G279" s="14">
        <f t="shared" si="79"/>
        <v>16.600000000000001</v>
      </c>
      <c r="H279" s="2">
        <f t="shared" si="80"/>
        <v>309.8</v>
      </c>
      <c r="I279" s="48">
        <f t="shared" si="81"/>
        <v>-94.641704325371208</v>
      </c>
    </row>
    <row r="280" spans="1:10" x14ac:dyDescent="0.25">
      <c r="A280" s="35">
        <f t="shared" si="74"/>
        <v>40794</v>
      </c>
      <c r="C280">
        <v>16.5</v>
      </c>
      <c r="D280">
        <v>309.8</v>
      </c>
      <c r="E280">
        <v>0.2</v>
      </c>
      <c r="F280">
        <v>0</v>
      </c>
      <c r="G280" s="14">
        <f t="shared" si="79"/>
        <v>16.7</v>
      </c>
      <c r="H280" s="2">
        <f t="shared" si="80"/>
        <v>309.8</v>
      </c>
      <c r="I280" s="48">
        <f t="shared" si="81"/>
        <v>-94.609425435765004</v>
      </c>
      <c r="J280" s="103"/>
    </row>
    <row r="281" spans="1:10" x14ac:dyDescent="0.25">
      <c r="A281" s="35">
        <f t="shared" si="74"/>
        <v>40801</v>
      </c>
      <c r="C281">
        <v>16.3</v>
      </c>
      <c r="D281">
        <v>309.39999999999998</v>
      </c>
      <c r="E281">
        <v>0.3</v>
      </c>
      <c r="F281">
        <v>0.4</v>
      </c>
      <c r="G281" s="14">
        <f t="shared" si="79"/>
        <v>16.600000000000001</v>
      </c>
      <c r="H281" s="2">
        <f t="shared" si="80"/>
        <v>309.79999999999995</v>
      </c>
      <c r="I281" s="48">
        <f t="shared" si="81"/>
        <v>-94.641704325371194</v>
      </c>
    </row>
    <row r="282" spans="1:10" x14ac:dyDescent="0.25">
      <c r="A282" s="35">
        <f t="shared" si="74"/>
        <v>40808</v>
      </c>
      <c r="C282">
        <v>16</v>
      </c>
      <c r="D282">
        <v>308.89999999999998</v>
      </c>
      <c r="E282">
        <v>0.6</v>
      </c>
      <c r="F282">
        <v>1</v>
      </c>
      <c r="G282" s="14">
        <f t="shared" si="79"/>
        <v>16.600000000000001</v>
      </c>
      <c r="H282" s="2">
        <f t="shared" si="80"/>
        <v>309.89999999999998</v>
      </c>
      <c r="I282" s="48">
        <f t="shared" si="81"/>
        <v>-94.643433365601808</v>
      </c>
    </row>
    <row r="283" spans="1:10" x14ac:dyDescent="0.25">
      <c r="A283" s="35">
        <f t="shared" si="74"/>
        <v>40815</v>
      </c>
      <c r="C283">
        <v>16</v>
      </c>
      <c r="D283">
        <v>341.9</v>
      </c>
      <c r="E283">
        <v>0.6</v>
      </c>
      <c r="F283">
        <v>1</v>
      </c>
      <c r="G283" s="14">
        <f t="shared" si="79"/>
        <v>16.600000000000001</v>
      </c>
      <c r="H283" s="2">
        <f t="shared" si="80"/>
        <v>342.9</v>
      </c>
      <c r="I283" s="48">
        <f t="shared" si="81"/>
        <v>-95.158938466025077</v>
      </c>
    </row>
    <row r="284" spans="1:10" ht="15" x14ac:dyDescent="0.35">
      <c r="A284" s="35">
        <f t="shared" si="74"/>
        <v>40822</v>
      </c>
      <c r="C284" s="85">
        <v>15</v>
      </c>
      <c r="D284">
        <v>285.60000000000002</v>
      </c>
      <c r="E284">
        <v>0.6</v>
      </c>
      <c r="F284">
        <v>57.2</v>
      </c>
      <c r="G284" s="14">
        <f t="shared" si="79"/>
        <v>15.6</v>
      </c>
      <c r="H284" s="2">
        <f t="shared" si="80"/>
        <v>342.8</v>
      </c>
      <c r="I284" s="48">
        <f t="shared" si="81"/>
        <v>-95.449241540256708</v>
      </c>
    </row>
    <row r="285" spans="1:10" x14ac:dyDescent="0.25">
      <c r="A285" s="35">
        <f t="shared" si="74"/>
        <v>40829</v>
      </c>
      <c r="C285">
        <v>16</v>
      </c>
      <c r="D285">
        <v>285.60000000000002</v>
      </c>
      <c r="E285">
        <v>0.6</v>
      </c>
      <c r="F285">
        <v>57.2</v>
      </c>
      <c r="G285" s="14">
        <f t="shared" si="79"/>
        <v>16.600000000000001</v>
      </c>
      <c r="H285" s="2">
        <f t="shared" si="80"/>
        <v>342.8</v>
      </c>
      <c r="I285" s="48">
        <f t="shared" si="81"/>
        <v>-95.157526254375725</v>
      </c>
    </row>
    <row r="286" spans="1:10" x14ac:dyDescent="0.25">
      <c r="A286" s="35">
        <f t="shared" si="74"/>
        <v>40836</v>
      </c>
      <c r="C286">
        <v>16</v>
      </c>
      <c r="D286">
        <v>228.1</v>
      </c>
      <c r="E286">
        <v>0.6</v>
      </c>
      <c r="F286">
        <v>114.7</v>
      </c>
      <c r="G286" s="14">
        <f t="shared" ref="G286:H293" si="82">+C286+E286</f>
        <v>16.600000000000001</v>
      </c>
      <c r="H286" s="2">
        <f t="shared" si="82"/>
        <v>342.8</v>
      </c>
      <c r="I286" s="48">
        <f t="shared" si="81"/>
        <v>-95.157526254375725</v>
      </c>
    </row>
    <row r="287" spans="1:10" x14ac:dyDescent="0.25">
      <c r="A287" s="35">
        <f t="shared" si="74"/>
        <v>40843</v>
      </c>
      <c r="C287">
        <v>16</v>
      </c>
      <c r="D287">
        <v>171.8</v>
      </c>
      <c r="E287">
        <v>0.6</v>
      </c>
      <c r="F287">
        <v>171</v>
      </c>
      <c r="G287" s="14">
        <f t="shared" si="82"/>
        <v>16.600000000000001</v>
      </c>
      <c r="H287" s="2">
        <f t="shared" si="82"/>
        <v>342.8</v>
      </c>
      <c r="I287" s="48">
        <f t="shared" si="81"/>
        <v>-95.157526254375725</v>
      </c>
    </row>
    <row r="288" spans="1:10" x14ac:dyDescent="0.25">
      <c r="A288" s="35">
        <f t="shared" si="74"/>
        <v>40850</v>
      </c>
      <c r="C288">
        <v>76</v>
      </c>
      <c r="D288">
        <v>117.8</v>
      </c>
      <c r="E288">
        <v>0.6</v>
      </c>
      <c r="F288">
        <v>171</v>
      </c>
      <c r="G288" s="14">
        <f t="shared" si="82"/>
        <v>76.599999999999994</v>
      </c>
      <c r="H288" s="2">
        <f t="shared" si="82"/>
        <v>288.8</v>
      </c>
      <c r="I288" s="48">
        <f t="shared" si="81"/>
        <v>-73.476454293628819</v>
      </c>
    </row>
    <row r="289" spans="1:9" x14ac:dyDescent="0.25">
      <c r="A289" s="35">
        <f t="shared" si="74"/>
        <v>40857</v>
      </c>
      <c r="C289">
        <v>76</v>
      </c>
      <c r="D289">
        <v>117.8</v>
      </c>
      <c r="E289">
        <v>0.6</v>
      </c>
      <c r="F289">
        <v>220.5</v>
      </c>
      <c r="G289" s="14">
        <f t="shared" si="82"/>
        <v>76.599999999999994</v>
      </c>
      <c r="H289" s="2">
        <f t="shared" si="82"/>
        <v>338.3</v>
      </c>
      <c r="I289" s="48">
        <f t="shared" si="81"/>
        <v>-77.357375110848352</v>
      </c>
    </row>
    <row r="290" spans="1:9" x14ac:dyDescent="0.25">
      <c r="A290" s="35">
        <f t="shared" si="74"/>
        <v>40864</v>
      </c>
      <c r="C290">
        <v>76</v>
      </c>
      <c r="D290">
        <v>116.9</v>
      </c>
      <c r="E290">
        <v>0.6</v>
      </c>
      <c r="F290">
        <v>221.4</v>
      </c>
      <c r="G290" s="14">
        <f t="shared" si="82"/>
        <v>76.599999999999994</v>
      </c>
      <c r="H290" s="2">
        <f t="shared" si="82"/>
        <v>338.3</v>
      </c>
      <c r="I290" s="48">
        <f t="shared" si="81"/>
        <v>-77.357375110848352</v>
      </c>
    </row>
    <row r="291" spans="1:9" x14ac:dyDescent="0.25">
      <c r="A291" s="35">
        <f t="shared" si="74"/>
        <v>40871</v>
      </c>
      <c r="C291">
        <v>74</v>
      </c>
      <c r="D291">
        <v>115.9</v>
      </c>
      <c r="E291">
        <v>2.7</v>
      </c>
      <c r="F291">
        <v>222.5</v>
      </c>
      <c r="G291" s="14">
        <f t="shared" si="82"/>
        <v>76.7</v>
      </c>
      <c r="H291" s="2">
        <f t="shared" si="82"/>
        <v>338.4</v>
      </c>
      <c r="I291" s="48">
        <f t="shared" si="81"/>
        <v>-77.334515366430253</v>
      </c>
    </row>
    <row r="292" spans="1:9" x14ac:dyDescent="0.25">
      <c r="A292" s="35">
        <f t="shared" si="74"/>
        <v>40878</v>
      </c>
      <c r="C292">
        <v>72</v>
      </c>
      <c r="D292">
        <v>115.3</v>
      </c>
      <c r="E292">
        <v>4.5999999999999996</v>
      </c>
      <c r="F292">
        <v>223.2</v>
      </c>
      <c r="G292" s="14">
        <f t="shared" si="82"/>
        <v>76.599999999999994</v>
      </c>
      <c r="H292" s="2">
        <f t="shared" si="82"/>
        <v>338.5</v>
      </c>
      <c r="I292" s="48">
        <f t="shared" si="81"/>
        <v>-77.370753323485971</v>
      </c>
    </row>
    <row r="293" spans="1:9" x14ac:dyDescent="0.25">
      <c r="A293" s="35">
        <f t="shared" si="74"/>
        <v>40885</v>
      </c>
      <c r="C293">
        <v>70.5</v>
      </c>
      <c r="D293">
        <v>114.8</v>
      </c>
      <c r="E293">
        <v>6.1</v>
      </c>
      <c r="F293">
        <v>223.9</v>
      </c>
      <c r="G293" s="14">
        <f t="shared" si="82"/>
        <v>76.599999999999994</v>
      </c>
      <c r="H293" s="2">
        <f t="shared" si="82"/>
        <v>338.7</v>
      </c>
      <c r="I293" s="48">
        <f t="shared" si="81"/>
        <v>-77.384115736640098</v>
      </c>
    </row>
    <row r="294" spans="1:9" x14ac:dyDescent="0.25">
      <c r="A294" s="35">
        <f t="shared" si="74"/>
        <v>40892</v>
      </c>
      <c r="C294">
        <v>70</v>
      </c>
      <c r="D294">
        <v>84.8</v>
      </c>
      <c r="E294">
        <v>64.3</v>
      </c>
      <c r="F294">
        <v>304.60000000000002</v>
      </c>
      <c r="G294" s="14">
        <f t="shared" ref="G294:H296" si="83">+C294+E294</f>
        <v>134.30000000000001</v>
      </c>
      <c r="H294" s="2">
        <f t="shared" si="83"/>
        <v>389.40000000000003</v>
      </c>
      <c r="I294" s="48">
        <f t="shared" si="81"/>
        <v>-65.511042629686699</v>
      </c>
    </row>
    <row r="295" spans="1:9" x14ac:dyDescent="0.25">
      <c r="A295" s="35">
        <f t="shared" si="74"/>
        <v>40899</v>
      </c>
      <c r="C295">
        <v>70</v>
      </c>
      <c r="D295">
        <v>84.7</v>
      </c>
      <c r="E295">
        <v>64.3</v>
      </c>
      <c r="F295">
        <v>304.7</v>
      </c>
      <c r="G295" s="14">
        <f t="shared" si="83"/>
        <v>134.30000000000001</v>
      </c>
      <c r="H295" s="2">
        <f t="shared" si="83"/>
        <v>389.4</v>
      </c>
      <c r="I295" s="48">
        <f t="shared" si="81"/>
        <v>-65.511042629686699</v>
      </c>
    </row>
    <row r="296" spans="1:9" x14ac:dyDescent="0.25">
      <c r="A296" s="35">
        <f t="shared" si="74"/>
        <v>40906</v>
      </c>
      <c r="C296">
        <v>75</v>
      </c>
      <c r="D296">
        <v>82.9</v>
      </c>
      <c r="E296">
        <v>64.3</v>
      </c>
      <c r="F296">
        <v>306.5</v>
      </c>
      <c r="G296" s="14">
        <f t="shared" si="83"/>
        <v>139.30000000000001</v>
      </c>
      <c r="H296" s="2">
        <f t="shared" si="83"/>
        <v>389.4</v>
      </c>
      <c r="I296" s="48">
        <f t="shared" si="81"/>
        <v>-64.227015921931169</v>
      </c>
    </row>
    <row r="297" spans="1:9" x14ac:dyDescent="0.25">
      <c r="A297" s="35">
        <f t="shared" si="74"/>
        <v>40913</v>
      </c>
      <c r="C297">
        <v>79.400000000000006</v>
      </c>
      <c r="D297">
        <v>110.5</v>
      </c>
      <c r="E297">
        <v>65</v>
      </c>
      <c r="F297">
        <v>355.8</v>
      </c>
      <c r="G297" s="14">
        <f t="shared" ref="G297:G328" si="84">+C297+E297</f>
        <v>144.4</v>
      </c>
      <c r="H297" s="2">
        <f t="shared" ref="H297:H328" si="85">+D297+F297</f>
        <v>466.3</v>
      </c>
      <c r="I297" s="48">
        <f t="shared" ref="I297:I328" si="86">+(G297/H297-1)*100</f>
        <v>-69.032811494745872</v>
      </c>
    </row>
    <row r="298" spans="1:9" x14ac:dyDescent="0.25">
      <c r="A298" s="35">
        <f t="shared" si="74"/>
        <v>40920</v>
      </c>
      <c r="C298">
        <v>79</v>
      </c>
      <c r="D298">
        <v>52.1</v>
      </c>
      <c r="E298">
        <v>65.5</v>
      </c>
      <c r="F298">
        <v>452.2</v>
      </c>
      <c r="G298" s="14">
        <f t="shared" si="84"/>
        <v>144.5</v>
      </c>
      <c r="H298" s="2">
        <f t="shared" si="85"/>
        <v>504.3</v>
      </c>
      <c r="I298" s="48">
        <f t="shared" si="86"/>
        <v>-71.346420781280983</v>
      </c>
    </row>
    <row r="299" spans="1:9" x14ac:dyDescent="0.25">
      <c r="A299" s="35">
        <f t="shared" si="74"/>
        <v>40927</v>
      </c>
      <c r="C299">
        <v>77.900000000000006</v>
      </c>
      <c r="D299">
        <v>52</v>
      </c>
      <c r="E299">
        <v>66.599999999999994</v>
      </c>
      <c r="F299">
        <v>452.3</v>
      </c>
      <c r="G299" s="14">
        <f t="shared" si="84"/>
        <v>144.5</v>
      </c>
      <c r="H299" s="2">
        <f t="shared" si="85"/>
        <v>504.3</v>
      </c>
      <c r="I299" s="48">
        <f t="shared" si="86"/>
        <v>-71.346420781280983</v>
      </c>
    </row>
    <row r="300" spans="1:9" x14ac:dyDescent="0.25">
      <c r="A300" s="35">
        <f t="shared" si="74"/>
        <v>40934</v>
      </c>
      <c r="C300">
        <v>46.9</v>
      </c>
      <c r="D300">
        <v>52</v>
      </c>
      <c r="E300">
        <v>150.4</v>
      </c>
      <c r="F300">
        <v>452.3</v>
      </c>
      <c r="G300" s="14">
        <f t="shared" si="84"/>
        <v>197.3</v>
      </c>
      <c r="H300" s="2">
        <f t="shared" si="85"/>
        <v>504.3</v>
      </c>
      <c r="I300" s="48">
        <f t="shared" si="86"/>
        <v>-60.876462423160817</v>
      </c>
    </row>
    <row r="301" spans="1:9" x14ac:dyDescent="0.25">
      <c r="A301" s="35">
        <f t="shared" si="74"/>
        <v>40941</v>
      </c>
      <c r="C301">
        <v>45.9</v>
      </c>
      <c r="D301">
        <v>52</v>
      </c>
      <c r="E301">
        <v>151.30000000000001</v>
      </c>
      <c r="F301">
        <v>452.3</v>
      </c>
      <c r="G301" s="14">
        <f t="shared" si="84"/>
        <v>197.20000000000002</v>
      </c>
      <c r="H301" s="2">
        <f t="shared" si="85"/>
        <v>504.3</v>
      </c>
      <c r="I301" s="48">
        <f t="shared" si="86"/>
        <v>-60.89629188974817</v>
      </c>
    </row>
    <row r="302" spans="1:9" x14ac:dyDescent="0.25">
      <c r="A302" s="35">
        <f t="shared" si="74"/>
        <v>40948</v>
      </c>
      <c r="C302">
        <v>45.8</v>
      </c>
      <c r="D302">
        <v>49</v>
      </c>
      <c r="E302">
        <v>151.80000000000001</v>
      </c>
      <c r="F302">
        <v>510.3</v>
      </c>
      <c r="G302" s="14">
        <f t="shared" si="84"/>
        <v>197.60000000000002</v>
      </c>
      <c r="H302" s="2">
        <f t="shared" si="85"/>
        <v>559.29999999999995</v>
      </c>
      <c r="I302" s="48">
        <f t="shared" si="86"/>
        <v>-64.670123368496334</v>
      </c>
    </row>
    <row r="303" spans="1:9" x14ac:dyDescent="0.25">
      <c r="A303" s="35">
        <f t="shared" si="74"/>
        <v>40955</v>
      </c>
      <c r="C303">
        <v>45.5</v>
      </c>
      <c r="D303">
        <v>49</v>
      </c>
      <c r="E303">
        <v>152.1</v>
      </c>
      <c r="F303">
        <v>510.3</v>
      </c>
      <c r="G303" s="14">
        <f t="shared" si="84"/>
        <v>197.6</v>
      </c>
      <c r="H303" s="2">
        <f t="shared" si="85"/>
        <v>559.29999999999995</v>
      </c>
      <c r="I303" s="48">
        <f t="shared" si="86"/>
        <v>-64.670123368496334</v>
      </c>
    </row>
    <row r="304" spans="1:9" x14ac:dyDescent="0.25">
      <c r="A304" s="35">
        <f t="shared" si="74"/>
        <v>40962</v>
      </c>
      <c r="C304">
        <v>45.5</v>
      </c>
      <c r="D304">
        <v>47.3</v>
      </c>
      <c r="E304">
        <v>177.4</v>
      </c>
      <c r="F304">
        <v>560</v>
      </c>
      <c r="G304" s="14">
        <f t="shared" si="84"/>
        <v>222.9</v>
      </c>
      <c r="H304" s="2">
        <f t="shared" si="85"/>
        <v>607.29999999999995</v>
      </c>
      <c r="I304" s="48">
        <f t="shared" si="86"/>
        <v>-63.296558537790219</v>
      </c>
    </row>
    <row r="305" spans="1:10" x14ac:dyDescent="0.25">
      <c r="A305" s="35">
        <f t="shared" si="74"/>
        <v>40969</v>
      </c>
      <c r="C305">
        <v>45.5</v>
      </c>
      <c r="D305">
        <v>46.7</v>
      </c>
      <c r="E305">
        <v>177.4</v>
      </c>
      <c r="F305">
        <v>609.70000000000005</v>
      </c>
      <c r="G305" s="14">
        <f t="shared" si="84"/>
        <v>222.9</v>
      </c>
      <c r="H305" s="2">
        <f t="shared" si="85"/>
        <v>656.40000000000009</v>
      </c>
      <c r="I305" s="48">
        <f t="shared" si="86"/>
        <v>-66.042047531992694</v>
      </c>
    </row>
    <row r="306" spans="1:10" x14ac:dyDescent="0.25">
      <c r="A306" s="35">
        <f t="shared" si="74"/>
        <v>40976</v>
      </c>
      <c r="C306">
        <v>45.5</v>
      </c>
      <c r="D306">
        <v>43.1</v>
      </c>
      <c r="E306">
        <v>177.4</v>
      </c>
      <c r="F306">
        <v>613.29999999999995</v>
      </c>
      <c r="G306" s="14">
        <f t="shared" si="84"/>
        <v>222.9</v>
      </c>
      <c r="H306" s="2">
        <f t="shared" si="85"/>
        <v>656.4</v>
      </c>
      <c r="I306" s="48">
        <f t="shared" si="86"/>
        <v>-66.042047531992694</v>
      </c>
    </row>
    <row r="307" spans="1:10" x14ac:dyDescent="0.25">
      <c r="A307" s="35">
        <f t="shared" si="74"/>
        <v>40983</v>
      </c>
      <c r="C307">
        <v>45.3</v>
      </c>
      <c r="D307">
        <v>41.2</v>
      </c>
      <c r="E307">
        <v>177.7</v>
      </c>
      <c r="F307">
        <v>615.20000000000005</v>
      </c>
      <c r="G307" s="14">
        <f t="shared" si="84"/>
        <v>223</v>
      </c>
      <c r="H307" s="2">
        <f t="shared" si="85"/>
        <v>656.40000000000009</v>
      </c>
      <c r="I307" s="48">
        <f t="shared" si="86"/>
        <v>-66.026812918951876</v>
      </c>
    </row>
    <row r="308" spans="1:10" x14ac:dyDescent="0.25">
      <c r="A308" s="35">
        <f t="shared" si="74"/>
        <v>40990</v>
      </c>
      <c r="C308">
        <v>20.3</v>
      </c>
      <c r="D308">
        <v>10.199999999999999</v>
      </c>
      <c r="E308">
        <v>203.9</v>
      </c>
      <c r="F308">
        <v>646.79999999999995</v>
      </c>
      <c r="G308" s="14">
        <f t="shared" si="84"/>
        <v>224.20000000000002</v>
      </c>
      <c r="H308" s="2">
        <f t="shared" si="85"/>
        <v>657</v>
      </c>
      <c r="I308" s="48">
        <f t="shared" si="86"/>
        <v>-65.8751902587519</v>
      </c>
    </row>
    <row r="309" spans="1:10" x14ac:dyDescent="0.25">
      <c r="A309" s="35">
        <f t="shared" si="74"/>
        <v>40997</v>
      </c>
      <c r="C309">
        <v>15.4</v>
      </c>
      <c r="D309">
        <v>8.3000000000000007</v>
      </c>
      <c r="E309">
        <v>209.1</v>
      </c>
      <c r="F309">
        <v>649.1</v>
      </c>
      <c r="G309" s="14">
        <f t="shared" si="84"/>
        <v>224.5</v>
      </c>
      <c r="H309" s="2">
        <f t="shared" si="85"/>
        <v>657.4</v>
      </c>
      <c r="I309" s="48">
        <f t="shared" si="86"/>
        <v>-65.850319440219039</v>
      </c>
    </row>
    <row r="310" spans="1:10" x14ac:dyDescent="0.25">
      <c r="A310" s="35">
        <f t="shared" si="74"/>
        <v>41004</v>
      </c>
      <c r="C310">
        <v>15.1</v>
      </c>
      <c r="D310">
        <v>5</v>
      </c>
      <c r="E310">
        <v>267.2</v>
      </c>
      <c r="F310">
        <v>652.29999999999995</v>
      </c>
      <c r="G310" s="14">
        <f t="shared" si="84"/>
        <v>282.3</v>
      </c>
      <c r="H310" s="2">
        <f t="shared" si="85"/>
        <v>657.3</v>
      </c>
      <c r="I310" s="48">
        <f t="shared" si="86"/>
        <v>-57.051574623459601</v>
      </c>
    </row>
    <row r="311" spans="1:10" x14ac:dyDescent="0.25">
      <c r="A311" s="35">
        <f t="shared" si="74"/>
        <v>41011</v>
      </c>
      <c r="C311">
        <v>15</v>
      </c>
      <c r="D311">
        <v>5</v>
      </c>
      <c r="E311">
        <v>267.2</v>
      </c>
      <c r="F311">
        <v>652.29999999999995</v>
      </c>
      <c r="G311" s="14">
        <f t="shared" si="84"/>
        <v>282.2</v>
      </c>
      <c r="H311" s="2">
        <f t="shared" si="85"/>
        <v>657.3</v>
      </c>
      <c r="I311" s="48">
        <f t="shared" si="86"/>
        <v>-57.066788376692521</v>
      </c>
    </row>
    <row r="312" spans="1:10" x14ac:dyDescent="0.25">
      <c r="A312" s="35">
        <f t="shared" si="74"/>
        <v>41018</v>
      </c>
      <c r="C312">
        <v>15</v>
      </c>
      <c r="D312">
        <v>20</v>
      </c>
      <c r="E312">
        <v>267.2</v>
      </c>
      <c r="F312">
        <v>652.29999999999995</v>
      </c>
      <c r="G312" s="14">
        <f t="shared" si="84"/>
        <v>282.2</v>
      </c>
      <c r="H312" s="2">
        <f t="shared" si="85"/>
        <v>672.3</v>
      </c>
      <c r="I312" s="48">
        <f t="shared" si="86"/>
        <v>-58.024691358024683</v>
      </c>
    </row>
    <row r="313" spans="1:10" x14ac:dyDescent="0.25">
      <c r="A313" s="35">
        <f t="shared" si="74"/>
        <v>41025</v>
      </c>
      <c r="C313">
        <v>20</v>
      </c>
      <c r="D313">
        <v>18.3</v>
      </c>
      <c r="E313">
        <v>272.2</v>
      </c>
      <c r="F313">
        <v>654</v>
      </c>
      <c r="G313" s="14">
        <f t="shared" si="84"/>
        <v>292.2</v>
      </c>
      <c r="H313" s="2">
        <f t="shared" si="85"/>
        <v>672.3</v>
      </c>
      <c r="I313" s="48">
        <f t="shared" si="86"/>
        <v>-56.53726015171798</v>
      </c>
    </row>
    <row r="314" spans="1:10" x14ac:dyDescent="0.25">
      <c r="A314" s="35">
        <f t="shared" si="74"/>
        <v>41032</v>
      </c>
      <c r="C314">
        <v>20</v>
      </c>
      <c r="D314">
        <v>16.7</v>
      </c>
      <c r="E314">
        <v>272.2</v>
      </c>
      <c r="F314">
        <v>657.3</v>
      </c>
      <c r="G314" s="14">
        <f t="shared" si="84"/>
        <v>292.2</v>
      </c>
      <c r="H314" s="2">
        <f t="shared" si="85"/>
        <v>674</v>
      </c>
      <c r="I314" s="48">
        <f t="shared" si="86"/>
        <v>-56.646884272997035</v>
      </c>
      <c r="J314">
        <v>0</v>
      </c>
    </row>
    <row r="315" spans="1:10" x14ac:dyDescent="0.25">
      <c r="A315" s="35">
        <f t="shared" si="74"/>
        <v>41039</v>
      </c>
      <c r="C315">
        <v>30</v>
      </c>
      <c r="D315">
        <v>15</v>
      </c>
      <c r="E315">
        <v>272.2</v>
      </c>
      <c r="F315">
        <v>659.2</v>
      </c>
      <c r="G315" s="14">
        <f t="shared" si="84"/>
        <v>302.2</v>
      </c>
      <c r="H315" s="2">
        <f t="shared" si="85"/>
        <v>674.2</v>
      </c>
      <c r="I315" s="48">
        <f t="shared" si="86"/>
        <v>-55.176505487985764</v>
      </c>
    </row>
    <row r="316" spans="1:10" x14ac:dyDescent="0.25">
      <c r="A316" s="35">
        <f t="shared" si="74"/>
        <v>41046</v>
      </c>
      <c r="C316">
        <v>30</v>
      </c>
      <c r="D316">
        <v>15</v>
      </c>
      <c r="E316">
        <v>272.2</v>
      </c>
      <c r="F316">
        <v>659.2</v>
      </c>
      <c r="G316" s="14">
        <f t="shared" si="84"/>
        <v>302.2</v>
      </c>
      <c r="H316" s="2">
        <f t="shared" si="85"/>
        <v>674.2</v>
      </c>
      <c r="I316" s="48">
        <f t="shared" si="86"/>
        <v>-55.176505487985764</v>
      </c>
    </row>
    <row r="317" spans="1:10" x14ac:dyDescent="0.25">
      <c r="A317" s="35">
        <f t="shared" si="74"/>
        <v>41053</v>
      </c>
      <c r="C317">
        <v>30</v>
      </c>
      <c r="D317">
        <v>15</v>
      </c>
      <c r="E317">
        <v>272.2</v>
      </c>
      <c r="F317">
        <v>659.2</v>
      </c>
      <c r="G317" s="14">
        <f t="shared" si="84"/>
        <v>302.2</v>
      </c>
      <c r="H317" s="2">
        <f t="shared" si="85"/>
        <v>674.2</v>
      </c>
      <c r="I317" s="48">
        <f t="shared" si="86"/>
        <v>-55.176505487985764</v>
      </c>
    </row>
    <row r="318" spans="1:10" x14ac:dyDescent="0.25">
      <c r="A318" s="35">
        <f t="shared" si="74"/>
        <v>41060</v>
      </c>
      <c r="C318">
        <v>26.2</v>
      </c>
      <c r="D318">
        <v>15</v>
      </c>
      <c r="E318">
        <v>277.2</v>
      </c>
      <c r="F318">
        <v>659.2</v>
      </c>
      <c r="G318" s="14">
        <f t="shared" si="84"/>
        <v>303.39999999999998</v>
      </c>
      <c r="H318" s="2">
        <f t="shared" si="85"/>
        <v>674.2</v>
      </c>
      <c r="I318" s="48">
        <f t="shared" si="86"/>
        <v>-54.998516760605163</v>
      </c>
    </row>
    <row r="319" spans="1:10" x14ac:dyDescent="0.25">
      <c r="A319" s="35">
        <f t="shared" si="74"/>
        <v>41067</v>
      </c>
      <c r="C319">
        <v>26.2</v>
      </c>
      <c r="D319">
        <v>15</v>
      </c>
      <c r="E319">
        <v>277.2</v>
      </c>
      <c r="F319">
        <v>659.2</v>
      </c>
      <c r="G319" s="14">
        <f t="shared" si="84"/>
        <v>303.39999999999998</v>
      </c>
      <c r="H319" s="2">
        <f t="shared" si="85"/>
        <v>674.2</v>
      </c>
      <c r="I319" s="48">
        <f t="shared" si="86"/>
        <v>-54.998516760605163</v>
      </c>
    </row>
    <row r="320" spans="1:10" x14ac:dyDescent="0.25">
      <c r="A320" s="35">
        <f t="shared" ref="A320:A383" si="87">+A319+7</f>
        <v>41074</v>
      </c>
      <c r="C320">
        <v>26.2</v>
      </c>
      <c r="D320">
        <v>15</v>
      </c>
      <c r="E320">
        <v>277.2</v>
      </c>
      <c r="F320">
        <v>659.2</v>
      </c>
      <c r="G320" s="14">
        <f t="shared" si="84"/>
        <v>303.39999999999998</v>
      </c>
      <c r="H320" s="2">
        <f t="shared" si="85"/>
        <v>674.2</v>
      </c>
      <c r="I320" s="48">
        <f t="shared" si="86"/>
        <v>-54.998516760605163</v>
      </c>
    </row>
    <row r="321" spans="1:10" x14ac:dyDescent="0.25">
      <c r="A321" s="35">
        <f t="shared" si="87"/>
        <v>41081</v>
      </c>
      <c r="C321">
        <v>22.9</v>
      </c>
      <c r="D321">
        <v>15</v>
      </c>
      <c r="E321">
        <v>280.5</v>
      </c>
      <c r="F321">
        <v>659.2</v>
      </c>
      <c r="G321" s="14">
        <f t="shared" si="84"/>
        <v>303.39999999999998</v>
      </c>
      <c r="H321" s="2">
        <f t="shared" si="85"/>
        <v>674.2</v>
      </c>
      <c r="I321" s="48">
        <f t="shared" si="86"/>
        <v>-54.998516760605163</v>
      </c>
      <c r="J321">
        <v>70</v>
      </c>
    </row>
    <row r="322" spans="1:10" x14ac:dyDescent="0.25">
      <c r="A322" s="35">
        <f t="shared" si="87"/>
        <v>41088</v>
      </c>
      <c r="C322">
        <v>21.2</v>
      </c>
      <c r="D322">
        <v>20</v>
      </c>
      <c r="E322">
        <v>282.2</v>
      </c>
      <c r="F322">
        <v>659.2</v>
      </c>
      <c r="G322" s="14">
        <f t="shared" si="84"/>
        <v>303.39999999999998</v>
      </c>
      <c r="H322" s="2">
        <f t="shared" si="85"/>
        <v>679.2</v>
      </c>
      <c r="I322" s="48">
        <f t="shared" si="86"/>
        <v>-55.329799764428742</v>
      </c>
      <c r="J322">
        <v>70</v>
      </c>
    </row>
    <row r="323" spans="1:10" x14ac:dyDescent="0.25">
      <c r="A323" s="35">
        <f t="shared" si="87"/>
        <v>41095</v>
      </c>
      <c r="C323">
        <v>19.5</v>
      </c>
      <c r="D323">
        <v>20</v>
      </c>
      <c r="E323">
        <v>284.10000000000002</v>
      </c>
      <c r="F323">
        <v>659.2</v>
      </c>
      <c r="G323" s="14">
        <f t="shared" si="84"/>
        <v>303.60000000000002</v>
      </c>
      <c r="H323" s="2">
        <f t="shared" si="85"/>
        <v>679.2</v>
      </c>
      <c r="I323" s="48">
        <f t="shared" si="86"/>
        <v>-55.300353356890454</v>
      </c>
      <c r="J323">
        <v>63.5</v>
      </c>
    </row>
    <row r="324" spans="1:10" x14ac:dyDescent="0.25">
      <c r="A324" s="35">
        <f t="shared" si="87"/>
        <v>41102</v>
      </c>
      <c r="C324">
        <v>17.8</v>
      </c>
      <c r="D324">
        <v>20</v>
      </c>
      <c r="E324">
        <v>285.8</v>
      </c>
      <c r="F324">
        <v>659.2</v>
      </c>
      <c r="G324" s="14">
        <f t="shared" si="84"/>
        <v>303.60000000000002</v>
      </c>
      <c r="H324" s="2">
        <f t="shared" si="85"/>
        <v>679.2</v>
      </c>
      <c r="I324" s="48">
        <f t="shared" si="86"/>
        <v>-55.300353356890454</v>
      </c>
      <c r="J324">
        <v>70</v>
      </c>
    </row>
    <row r="325" spans="1:10" x14ac:dyDescent="0.25">
      <c r="A325" s="35">
        <f t="shared" si="87"/>
        <v>41109</v>
      </c>
      <c r="C325">
        <v>16</v>
      </c>
      <c r="D325">
        <v>20</v>
      </c>
      <c r="E325">
        <v>287.60000000000002</v>
      </c>
      <c r="F325">
        <v>659.2</v>
      </c>
      <c r="G325" s="14">
        <f t="shared" si="84"/>
        <v>303.60000000000002</v>
      </c>
      <c r="H325" s="2">
        <f t="shared" si="85"/>
        <v>679.2</v>
      </c>
      <c r="I325" s="48">
        <f t="shared" si="86"/>
        <v>-55.300353356890454</v>
      </c>
      <c r="J325">
        <v>70</v>
      </c>
    </row>
    <row r="326" spans="1:10" x14ac:dyDescent="0.25">
      <c r="A326" s="35">
        <f t="shared" si="87"/>
        <v>41116</v>
      </c>
      <c r="C326">
        <v>12.6</v>
      </c>
      <c r="D326">
        <v>20</v>
      </c>
      <c r="E326">
        <v>291.10000000000002</v>
      </c>
      <c r="F326">
        <v>659.2</v>
      </c>
      <c r="G326" s="14">
        <f t="shared" si="84"/>
        <v>303.70000000000005</v>
      </c>
      <c r="H326" s="2">
        <f t="shared" si="85"/>
        <v>679.2</v>
      </c>
      <c r="I326" s="48">
        <f t="shared" si="86"/>
        <v>-55.285630153121311</v>
      </c>
      <c r="J326">
        <v>70</v>
      </c>
    </row>
    <row r="327" spans="1:10" x14ac:dyDescent="0.25">
      <c r="A327" s="35">
        <f t="shared" si="87"/>
        <v>41123</v>
      </c>
      <c r="C327">
        <v>10.6</v>
      </c>
      <c r="D327">
        <v>20</v>
      </c>
      <c r="E327">
        <v>293</v>
      </c>
      <c r="F327">
        <v>685.4</v>
      </c>
      <c r="G327" s="14">
        <f t="shared" si="84"/>
        <v>303.60000000000002</v>
      </c>
      <c r="H327" s="2">
        <f t="shared" si="85"/>
        <v>705.4</v>
      </c>
      <c r="I327" s="48">
        <f t="shared" si="86"/>
        <v>-56.960589736319811</v>
      </c>
      <c r="J327">
        <v>70</v>
      </c>
    </row>
    <row r="328" spans="1:10" x14ac:dyDescent="0.25">
      <c r="A328" s="35">
        <f t="shared" si="87"/>
        <v>41130</v>
      </c>
      <c r="C328">
        <v>7.7</v>
      </c>
      <c r="D328">
        <v>20</v>
      </c>
      <c r="E328">
        <v>295.89999999999998</v>
      </c>
      <c r="F328">
        <v>685.4</v>
      </c>
      <c r="G328" s="14">
        <f t="shared" si="84"/>
        <v>303.59999999999997</v>
      </c>
      <c r="H328" s="2">
        <f t="shared" si="85"/>
        <v>705.4</v>
      </c>
      <c r="I328" s="48">
        <f t="shared" si="86"/>
        <v>-56.960589736319825</v>
      </c>
      <c r="J328">
        <v>70</v>
      </c>
    </row>
    <row r="329" spans="1:10" x14ac:dyDescent="0.25">
      <c r="A329" s="35">
        <f t="shared" si="87"/>
        <v>41137</v>
      </c>
      <c r="C329">
        <v>6.7</v>
      </c>
      <c r="D329">
        <v>18.2</v>
      </c>
      <c r="E329">
        <v>296.89999999999998</v>
      </c>
      <c r="F329">
        <v>687.2</v>
      </c>
      <c r="G329" s="14">
        <f t="shared" ref="G329:G348" si="88">+C329+E329</f>
        <v>303.59999999999997</v>
      </c>
      <c r="H329" s="2">
        <f t="shared" ref="H329:H348" si="89">+D329+F329</f>
        <v>705.40000000000009</v>
      </c>
      <c r="I329" s="48">
        <f t="shared" ref="I329:I360" si="90">+(G329/H329-1)*100</f>
        <v>-56.960589736319832</v>
      </c>
      <c r="J329">
        <v>70</v>
      </c>
    </row>
    <row r="330" spans="1:10" x14ac:dyDescent="0.25">
      <c r="A330" s="35">
        <f t="shared" si="87"/>
        <v>41144</v>
      </c>
      <c r="C330">
        <v>6.5</v>
      </c>
      <c r="D330">
        <v>17.399999999999999</v>
      </c>
      <c r="E330">
        <v>297.10000000000002</v>
      </c>
      <c r="F330">
        <v>689</v>
      </c>
      <c r="G330" s="14">
        <f t="shared" si="88"/>
        <v>303.60000000000002</v>
      </c>
      <c r="H330" s="2">
        <f t="shared" si="89"/>
        <v>706.4</v>
      </c>
      <c r="I330" s="48">
        <f t="shared" si="90"/>
        <v>-57.021517553793878</v>
      </c>
      <c r="J330">
        <v>70</v>
      </c>
    </row>
    <row r="331" spans="1:10" x14ac:dyDescent="0.25">
      <c r="A331" s="35">
        <f t="shared" si="87"/>
        <v>41151</v>
      </c>
      <c r="C331">
        <v>5.5</v>
      </c>
      <c r="D331">
        <v>16.5</v>
      </c>
      <c r="E331">
        <v>298.2</v>
      </c>
      <c r="F331">
        <v>0.1</v>
      </c>
      <c r="G331" s="14">
        <f t="shared" si="88"/>
        <v>303.7</v>
      </c>
      <c r="H331" s="2">
        <f t="shared" si="89"/>
        <v>16.600000000000001</v>
      </c>
      <c r="I331" s="48">
        <f t="shared" si="90"/>
        <v>1729.5180722891566</v>
      </c>
      <c r="J331">
        <v>70</v>
      </c>
    </row>
    <row r="332" spans="1:10" x14ac:dyDescent="0.25">
      <c r="A332" s="35">
        <f t="shared" si="87"/>
        <v>41158</v>
      </c>
      <c r="C332">
        <v>75.400000000000006</v>
      </c>
      <c r="D332">
        <v>16.5</v>
      </c>
      <c r="E332">
        <v>0.5</v>
      </c>
      <c r="F332">
        <v>0.1</v>
      </c>
      <c r="G332" s="14">
        <f t="shared" si="88"/>
        <v>75.900000000000006</v>
      </c>
      <c r="H332" s="2">
        <f t="shared" si="89"/>
        <v>16.600000000000001</v>
      </c>
      <c r="I332" s="48">
        <f t="shared" si="90"/>
        <v>357.22891566265059</v>
      </c>
    </row>
    <row r="333" spans="1:10" x14ac:dyDescent="0.25">
      <c r="A333" s="35">
        <f t="shared" si="87"/>
        <v>41165</v>
      </c>
      <c r="C333">
        <v>75.400000000000006</v>
      </c>
      <c r="D333">
        <v>16.3</v>
      </c>
      <c r="E333">
        <v>0.8</v>
      </c>
      <c r="F333">
        <v>0.3</v>
      </c>
      <c r="G333" s="14">
        <f t="shared" si="88"/>
        <v>76.2</v>
      </c>
      <c r="H333" s="2">
        <f t="shared" si="89"/>
        <v>16.600000000000001</v>
      </c>
      <c r="I333" s="48">
        <f t="shared" si="90"/>
        <v>359.03614457831321</v>
      </c>
    </row>
    <row r="334" spans="1:10" x14ac:dyDescent="0.25">
      <c r="A334" s="35">
        <f t="shared" si="87"/>
        <v>41172</v>
      </c>
      <c r="C334">
        <v>75.400000000000006</v>
      </c>
      <c r="D334">
        <v>16</v>
      </c>
      <c r="E334">
        <v>60.4</v>
      </c>
      <c r="F334">
        <v>0.6</v>
      </c>
      <c r="G334" s="14">
        <f t="shared" si="88"/>
        <v>135.80000000000001</v>
      </c>
      <c r="H334" s="2">
        <f t="shared" si="89"/>
        <v>16.600000000000001</v>
      </c>
      <c r="I334" s="48">
        <f t="shared" si="90"/>
        <v>718.07228915662654</v>
      </c>
    </row>
    <row r="335" spans="1:10" x14ac:dyDescent="0.25">
      <c r="A335" s="35">
        <f t="shared" si="87"/>
        <v>41179</v>
      </c>
      <c r="C335">
        <v>75.400000000000006</v>
      </c>
      <c r="D335">
        <v>16</v>
      </c>
      <c r="E335">
        <v>60.4</v>
      </c>
      <c r="F335">
        <v>0.6</v>
      </c>
      <c r="G335" s="14">
        <f t="shared" si="88"/>
        <v>135.80000000000001</v>
      </c>
      <c r="H335" s="2">
        <f t="shared" si="89"/>
        <v>16.600000000000001</v>
      </c>
      <c r="I335" s="48">
        <f t="shared" si="90"/>
        <v>718.07228915662654</v>
      </c>
    </row>
    <row r="336" spans="1:10" x14ac:dyDescent="0.25">
      <c r="A336" s="35">
        <f t="shared" si="87"/>
        <v>41186</v>
      </c>
      <c r="C336">
        <v>75.3</v>
      </c>
      <c r="D336">
        <v>15</v>
      </c>
      <c r="E336">
        <v>60.5</v>
      </c>
      <c r="F336">
        <v>0.6</v>
      </c>
      <c r="G336" s="14">
        <f t="shared" si="88"/>
        <v>135.80000000000001</v>
      </c>
      <c r="H336" s="2">
        <f t="shared" si="89"/>
        <v>15.6</v>
      </c>
      <c r="I336" s="48">
        <f t="shared" si="90"/>
        <v>770.51282051282067</v>
      </c>
    </row>
    <row r="337" spans="1:9" x14ac:dyDescent="0.25">
      <c r="A337" s="35">
        <f t="shared" si="87"/>
        <v>41193</v>
      </c>
      <c r="C337">
        <v>75.3</v>
      </c>
      <c r="D337">
        <v>16</v>
      </c>
      <c r="E337">
        <v>118.6</v>
      </c>
      <c r="F337">
        <v>0.6</v>
      </c>
      <c r="G337" s="14">
        <f t="shared" si="88"/>
        <v>193.89999999999998</v>
      </c>
      <c r="H337" s="2">
        <f t="shared" si="89"/>
        <v>16.600000000000001</v>
      </c>
      <c r="I337" s="48">
        <f t="shared" si="90"/>
        <v>1068.0722891566261</v>
      </c>
    </row>
    <row r="338" spans="1:9" x14ac:dyDescent="0.25">
      <c r="A338" s="35">
        <f t="shared" si="87"/>
        <v>41200</v>
      </c>
      <c r="C338">
        <v>75.8</v>
      </c>
      <c r="D338">
        <v>16</v>
      </c>
      <c r="E338">
        <v>118.6</v>
      </c>
      <c r="F338">
        <v>0.6</v>
      </c>
      <c r="G338" s="14">
        <f t="shared" si="88"/>
        <v>194.39999999999998</v>
      </c>
      <c r="H338" s="2">
        <f t="shared" si="89"/>
        <v>16.600000000000001</v>
      </c>
      <c r="I338" s="48">
        <f t="shared" si="90"/>
        <v>1071.0843373493974</v>
      </c>
    </row>
    <row r="339" spans="1:9" x14ac:dyDescent="0.25">
      <c r="A339" s="35">
        <f t="shared" si="87"/>
        <v>41207</v>
      </c>
      <c r="C339">
        <v>79.8</v>
      </c>
      <c r="D339">
        <v>16</v>
      </c>
      <c r="E339">
        <v>118.6</v>
      </c>
      <c r="F339">
        <v>0.6</v>
      </c>
      <c r="G339" s="14">
        <f t="shared" si="88"/>
        <v>198.39999999999998</v>
      </c>
      <c r="H339" s="2">
        <f t="shared" si="89"/>
        <v>16.600000000000001</v>
      </c>
      <c r="I339" s="48">
        <f t="shared" si="90"/>
        <v>1095.1807228915661</v>
      </c>
    </row>
    <row r="340" spans="1:9" x14ac:dyDescent="0.25">
      <c r="A340" s="35">
        <f t="shared" si="87"/>
        <v>41214</v>
      </c>
      <c r="C340">
        <v>79.599999999999994</v>
      </c>
      <c r="D340">
        <v>76</v>
      </c>
      <c r="E340">
        <v>168.2</v>
      </c>
      <c r="F340">
        <v>0.6</v>
      </c>
      <c r="G340" s="14">
        <f t="shared" si="88"/>
        <v>247.79999999999998</v>
      </c>
      <c r="H340" s="2">
        <f t="shared" si="89"/>
        <v>76.599999999999994</v>
      </c>
      <c r="I340" s="48">
        <f t="shared" si="90"/>
        <v>223.49869451697128</v>
      </c>
    </row>
    <row r="341" spans="1:9" x14ac:dyDescent="0.25">
      <c r="A341" s="35">
        <f t="shared" si="87"/>
        <v>41221</v>
      </c>
      <c r="C341">
        <v>79.5</v>
      </c>
      <c r="D341">
        <v>76</v>
      </c>
      <c r="E341">
        <v>168.3</v>
      </c>
      <c r="F341">
        <v>0.6</v>
      </c>
      <c r="G341" s="14">
        <f t="shared" si="88"/>
        <v>247.8</v>
      </c>
      <c r="H341" s="2">
        <f t="shared" si="89"/>
        <v>76.599999999999994</v>
      </c>
      <c r="I341" s="48">
        <f t="shared" si="90"/>
        <v>223.49869451697134</v>
      </c>
    </row>
    <row r="342" spans="1:9" x14ac:dyDescent="0.25">
      <c r="A342" s="35">
        <f t="shared" si="87"/>
        <v>41228</v>
      </c>
      <c r="C342">
        <v>79.900000000000006</v>
      </c>
      <c r="D342">
        <v>76</v>
      </c>
      <c r="E342">
        <v>216.9</v>
      </c>
      <c r="F342">
        <v>0.6</v>
      </c>
      <c r="G342" s="14">
        <f t="shared" si="88"/>
        <v>296.8</v>
      </c>
      <c r="H342" s="2">
        <f t="shared" si="89"/>
        <v>76.599999999999994</v>
      </c>
      <c r="I342" s="48">
        <f t="shared" si="90"/>
        <v>287.46736292428199</v>
      </c>
    </row>
    <row r="343" spans="1:9" x14ac:dyDescent="0.25">
      <c r="A343" s="35">
        <f t="shared" si="87"/>
        <v>41235</v>
      </c>
      <c r="C343">
        <v>79.900000000000006</v>
      </c>
      <c r="D343">
        <v>74</v>
      </c>
      <c r="E343">
        <v>217.8</v>
      </c>
      <c r="F343">
        <v>2.7</v>
      </c>
      <c r="G343" s="14">
        <f t="shared" si="88"/>
        <v>297.70000000000005</v>
      </c>
      <c r="H343" s="2">
        <f t="shared" si="89"/>
        <v>76.7</v>
      </c>
      <c r="I343" s="48">
        <f t="shared" si="90"/>
        <v>288.13559322033899</v>
      </c>
    </row>
    <row r="344" spans="1:9" x14ac:dyDescent="0.25">
      <c r="A344" s="35">
        <f t="shared" si="87"/>
        <v>41242</v>
      </c>
      <c r="C344">
        <v>77.2</v>
      </c>
      <c r="D344">
        <v>72</v>
      </c>
      <c r="E344">
        <v>220.6</v>
      </c>
      <c r="F344">
        <v>4.5999999999999996</v>
      </c>
      <c r="G344" s="14">
        <f t="shared" si="88"/>
        <v>297.8</v>
      </c>
      <c r="H344" s="2">
        <f t="shared" si="89"/>
        <v>76.599999999999994</v>
      </c>
      <c r="I344" s="48">
        <f t="shared" si="90"/>
        <v>288.77284595300267</v>
      </c>
    </row>
    <row r="345" spans="1:9" x14ac:dyDescent="0.25">
      <c r="A345" s="35">
        <f t="shared" si="87"/>
        <v>41249</v>
      </c>
      <c r="C345">
        <v>75.8</v>
      </c>
      <c r="D345">
        <v>70.5</v>
      </c>
      <c r="E345">
        <v>222</v>
      </c>
      <c r="F345">
        <v>6.1</v>
      </c>
      <c r="G345" s="14">
        <f t="shared" si="88"/>
        <v>297.8</v>
      </c>
      <c r="H345" s="2">
        <f t="shared" si="89"/>
        <v>76.599999999999994</v>
      </c>
      <c r="I345" s="48">
        <f t="shared" si="90"/>
        <v>288.77284595300267</v>
      </c>
    </row>
    <row r="346" spans="1:9" x14ac:dyDescent="0.25">
      <c r="A346" s="35">
        <f t="shared" si="87"/>
        <v>41256</v>
      </c>
      <c r="C346">
        <v>85.6</v>
      </c>
      <c r="D346">
        <v>70</v>
      </c>
      <c r="E346">
        <v>307.5</v>
      </c>
      <c r="F346">
        <v>64.3</v>
      </c>
      <c r="G346" s="14">
        <f t="shared" si="88"/>
        <v>393.1</v>
      </c>
      <c r="H346" s="2">
        <f t="shared" si="89"/>
        <v>134.30000000000001</v>
      </c>
      <c r="I346" s="48">
        <f t="shared" si="90"/>
        <v>192.70290394638869</v>
      </c>
    </row>
    <row r="347" spans="1:9" x14ac:dyDescent="0.25">
      <c r="A347" s="35">
        <f t="shared" si="87"/>
        <v>41263</v>
      </c>
      <c r="C347">
        <v>85.5</v>
      </c>
      <c r="D347">
        <v>70</v>
      </c>
      <c r="E347">
        <v>307.60000000000002</v>
      </c>
      <c r="F347">
        <v>64.3</v>
      </c>
      <c r="G347" s="14">
        <f t="shared" si="88"/>
        <v>393.1</v>
      </c>
      <c r="H347" s="2">
        <f t="shared" si="89"/>
        <v>134.30000000000001</v>
      </c>
      <c r="I347" s="48">
        <f t="shared" si="90"/>
        <v>192.70290394638869</v>
      </c>
    </row>
    <row r="348" spans="1:9" x14ac:dyDescent="0.25">
      <c r="A348" s="35">
        <f t="shared" si="87"/>
        <v>41270</v>
      </c>
      <c r="C348">
        <v>85.4</v>
      </c>
      <c r="D348">
        <v>75</v>
      </c>
      <c r="E348">
        <v>307.60000000000002</v>
      </c>
      <c r="F348">
        <v>64.3</v>
      </c>
      <c r="G348" s="14">
        <f t="shared" si="88"/>
        <v>393</v>
      </c>
      <c r="H348" s="2">
        <f t="shared" si="89"/>
        <v>139.30000000000001</v>
      </c>
      <c r="I348" s="48">
        <f t="shared" si="90"/>
        <v>182.12491026561378</v>
      </c>
    </row>
    <row r="349" spans="1:9" x14ac:dyDescent="0.25">
      <c r="A349" s="35">
        <f t="shared" si="87"/>
        <v>41277</v>
      </c>
      <c r="C349">
        <v>86</v>
      </c>
      <c r="D349">
        <v>79.400000000000006</v>
      </c>
      <c r="E349">
        <v>307.7</v>
      </c>
      <c r="F349">
        <v>65</v>
      </c>
      <c r="G349" s="14">
        <f t="shared" ref="G349:G354" si="91">+C349+E349</f>
        <v>393.7</v>
      </c>
      <c r="H349" s="2">
        <f t="shared" ref="H349:H373" si="92">+D349+F349</f>
        <v>144.4</v>
      </c>
      <c r="I349" s="48">
        <f t="shared" si="90"/>
        <v>172.64542936288086</v>
      </c>
    </row>
    <row r="350" spans="1:9" x14ac:dyDescent="0.25">
      <c r="A350" s="35">
        <f t="shared" si="87"/>
        <v>41284</v>
      </c>
      <c r="C350">
        <v>86</v>
      </c>
      <c r="D350">
        <v>79</v>
      </c>
      <c r="E350">
        <v>366.6</v>
      </c>
      <c r="F350">
        <v>65.5</v>
      </c>
      <c r="G350" s="14">
        <f t="shared" si="91"/>
        <v>452.6</v>
      </c>
      <c r="H350" s="2">
        <f t="shared" si="92"/>
        <v>144.5</v>
      </c>
      <c r="I350" s="48">
        <f t="shared" si="90"/>
        <v>213.21799307958477</v>
      </c>
    </row>
    <row r="351" spans="1:9" x14ac:dyDescent="0.25">
      <c r="A351" s="35">
        <f t="shared" si="87"/>
        <v>41291</v>
      </c>
      <c r="C351">
        <v>84.8</v>
      </c>
      <c r="D351">
        <v>77.900000000000006</v>
      </c>
      <c r="E351">
        <v>422.2</v>
      </c>
      <c r="F351">
        <v>66.599999999999994</v>
      </c>
      <c r="G351" s="14">
        <f t="shared" si="91"/>
        <v>507</v>
      </c>
      <c r="H351" s="2">
        <f t="shared" si="92"/>
        <v>144.5</v>
      </c>
      <c r="I351" s="48">
        <f t="shared" si="90"/>
        <v>250.86505190311419</v>
      </c>
    </row>
    <row r="352" spans="1:9" x14ac:dyDescent="0.25">
      <c r="A352" s="35">
        <f t="shared" si="87"/>
        <v>41298</v>
      </c>
      <c r="C352">
        <v>85.3</v>
      </c>
      <c r="D352">
        <v>46.9</v>
      </c>
      <c r="E352">
        <v>424.6</v>
      </c>
      <c r="F352">
        <v>150.4</v>
      </c>
      <c r="G352" s="14">
        <f t="shared" si="91"/>
        <v>509.90000000000003</v>
      </c>
      <c r="H352" s="2">
        <f t="shared" si="92"/>
        <v>197.3</v>
      </c>
      <c r="I352" s="48">
        <f t="shared" si="90"/>
        <v>158.43892549417134</v>
      </c>
    </row>
    <row r="353" spans="1:9" x14ac:dyDescent="0.25">
      <c r="A353" s="35">
        <f t="shared" si="87"/>
        <v>41305</v>
      </c>
      <c r="C353">
        <v>83.2</v>
      </c>
      <c r="D353">
        <v>45.9</v>
      </c>
      <c r="E353">
        <v>426.7</v>
      </c>
      <c r="F353">
        <v>151.30000000000001</v>
      </c>
      <c r="G353" s="14">
        <f t="shared" si="91"/>
        <v>509.9</v>
      </c>
      <c r="H353" s="2">
        <f t="shared" si="92"/>
        <v>197.20000000000002</v>
      </c>
      <c r="I353" s="48">
        <f t="shared" si="90"/>
        <v>158.56997971602431</v>
      </c>
    </row>
    <row r="354" spans="1:9" x14ac:dyDescent="0.25">
      <c r="A354" s="35">
        <f t="shared" si="87"/>
        <v>41312</v>
      </c>
      <c r="C354">
        <v>83.1</v>
      </c>
      <c r="D354">
        <v>45.8</v>
      </c>
      <c r="E354">
        <v>426.9</v>
      </c>
      <c r="F354">
        <v>151.80000000000001</v>
      </c>
      <c r="G354" s="14">
        <f t="shared" si="91"/>
        <v>510</v>
      </c>
      <c r="H354" s="2">
        <f t="shared" si="92"/>
        <v>197.60000000000002</v>
      </c>
      <c r="I354" s="48">
        <f t="shared" si="90"/>
        <v>158.09716599190281</v>
      </c>
    </row>
    <row r="355" spans="1:9" x14ac:dyDescent="0.25">
      <c r="A355" s="35">
        <f t="shared" si="87"/>
        <v>41319</v>
      </c>
      <c r="C355">
        <v>81.7</v>
      </c>
      <c r="D355">
        <v>45.5</v>
      </c>
      <c r="E355">
        <v>428.1</v>
      </c>
      <c r="F355">
        <v>152.1</v>
      </c>
      <c r="G355" s="14">
        <f t="shared" ref="G355:G373" si="93">+C355+E355</f>
        <v>509.8</v>
      </c>
      <c r="H355" s="2">
        <f t="shared" si="92"/>
        <v>197.6</v>
      </c>
      <c r="I355" s="48">
        <f t="shared" si="90"/>
        <v>157.99595141700405</v>
      </c>
    </row>
    <row r="356" spans="1:9" x14ac:dyDescent="0.25">
      <c r="A356" s="35">
        <f t="shared" si="87"/>
        <v>41326</v>
      </c>
      <c r="C356">
        <v>79.2</v>
      </c>
      <c r="D356">
        <v>45.5</v>
      </c>
      <c r="E356">
        <v>458.3</v>
      </c>
      <c r="F356">
        <v>177.4</v>
      </c>
      <c r="G356" s="14">
        <f t="shared" si="93"/>
        <v>537.5</v>
      </c>
      <c r="H356" s="2">
        <f t="shared" si="92"/>
        <v>222.9</v>
      </c>
      <c r="I356" s="48">
        <f t="shared" si="90"/>
        <v>141.13952445042619</v>
      </c>
    </row>
    <row r="357" spans="1:9" x14ac:dyDescent="0.25">
      <c r="A357" s="35">
        <f t="shared" si="87"/>
        <v>41333</v>
      </c>
      <c r="C357">
        <v>54</v>
      </c>
      <c r="D357">
        <v>45.5</v>
      </c>
      <c r="E357">
        <v>484.7</v>
      </c>
      <c r="F357">
        <v>177.4</v>
      </c>
      <c r="G357" s="14">
        <f t="shared" si="93"/>
        <v>538.70000000000005</v>
      </c>
      <c r="H357" s="2">
        <f t="shared" si="92"/>
        <v>222.9</v>
      </c>
      <c r="I357" s="48">
        <f t="shared" si="90"/>
        <v>141.67788245850156</v>
      </c>
    </row>
    <row r="358" spans="1:9" x14ac:dyDescent="0.25">
      <c r="A358" s="35">
        <f t="shared" si="87"/>
        <v>41340</v>
      </c>
      <c r="C358">
        <v>52.9</v>
      </c>
      <c r="D358">
        <v>45.5</v>
      </c>
      <c r="E358">
        <v>485.8</v>
      </c>
      <c r="F358">
        <v>177.4</v>
      </c>
      <c r="G358" s="14">
        <f t="shared" si="93"/>
        <v>538.70000000000005</v>
      </c>
      <c r="H358" s="2">
        <f t="shared" si="92"/>
        <v>222.9</v>
      </c>
      <c r="I358" s="48">
        <f t="shared" si="90"/>
        <v>141.67788245850156</v>
      </c>
    </row>
    <row r="359" spans="1:9" x14ac:dyDescent="0.25">
      <c r="A359" s="35">
        <f t="shared" si="87"/>
        <v>41347</v>
      </c>
      <c r="C359">
        <v>50.3</v>
      </c>
      <c r="D359">
        <v>45.3</v>
      </c>
      <c r="E359">
        <v>488.4</v>
      </c>
      <c r="F359">
        <v>177.7</v>
      </c>
      <c r="G359" s="14">
        <f t="shared" si="93"/>
        <v>538.69999999999993</v>
      </c>
      <c r="H359" s="2">
        <f t="shared" si="92"/>
        <v>223</v>
      </c>
      <c r="I359" s="48">
        <f t="shared" si="90"/>
        <v>141.56950672645738</v>
      </c>
    </row>
    <row r="360" spans="1:9" x14ac:dyDescent="0.25">
      <c r="A360" s="35">
        <f t="shared" si="87"/>
        <v>41354</v>
      </c>
      <c r="C360">
        <v>49.2</v>
      </c>
      <c r="D360">
        <v>20.3</v>
      </c>
      <c r="E360">
        <v>514.79999999999995</v>
      </c>
      <c r="F360">
        <v>203.9</v>
      </c>
      <c r="G360" s="14">
        <f t="shared" si="93"/>
        <v>564</v>
      </c>
      <c r="H360" s="2">
        <f t="shared" si="92"/>
        <v>224.20000000000002</v>
      </c>
      <c r="I360" s="48">
        <f t="shared" si="90"/>
        <v>151.56110615521854</v>
      </c>
    </row>
    <row r="361" spans="1:9" x14ac:dyDescent="0.25">
      <c r="A361" s="35">
        <f t="shared" si="87"/>
        <v>41361</v>
      </c>
      <c r="C361">
        <v>48</v>
      </c>
      <c r="D361">
        <v>15.4</v>
      </c>
      <c r="E361">
        <v>516.1</v>
      </c>
      <c r="F361">
        <v>209.1</v>
      </c>
      <c r="G361" s="14">
        <f t="shared" si="93"/>
        <v>564.1</v>
      </c>
      <c r="H361" s="2">
        <f t="shared" si="92"/>
        <v>224.5</v>
      </c>
      <c r="I361" s="48">
        <f t="shared" ref="I361:I373" si="94">+(G361/H361-1)*100</f>
        <v>151.26948775055681</v>
      </c>
    </row>
    <row r="362" spans="1:9" x14ac:dyDescent="0.25">
      <c r="A362" s="35">
        <f t="shared" si="87"/>
        <v>41368</v>
      </c>
      <c r="C362">
        <v>45.4</v>
      </c>
      <c r="D362">
        <v>15.1</v>
      </c>
      <c r="E362">
        <v>518.6</v>
      </c>
      <c r="F362">
        <v>267.2</v>
      </c>
      <c r="G362" s="14">
        <f t="shared" si="93"/>
        <v>564</v>
      </c>
      <c r="H362" s="2">
        <f t="shared" si="92"/>
        <v>282.3</v>
      </c>
      <c r="I362" s="48">
        <f t="shared" si="94"/>
        <v>99.787460148777882</v>
      </c>
    </row>
    <row r="363" spans="1:9" x14ac:dyDescent="0.25">
      <c r="A363" s="35">
        <f t="shared" si="87"/>
        <v>41375</v>
      </c>
      <c r="C363">
        <v>42.9</v>
      </c>
      <c r="D363">
        <v>15</v>
      </c>
      <c r="E363">
        <v>546.1</v>
      </c>
      <c r="F363">
        <v>267.2</v>
      </c>
      <c r="G363" s="14">
        <f t="shared" si="93"/>
        <v>589</v>
      </c>
      <c r="H363" s="2">
        <f t="shared" si="92"/>
        <v>282.2</v>
      </c>
      <c r="I363" s="48">
        <f t="shared" si="94"/>
        <v>108.71722182849047</v>
      </c>
    </row>
    <row r="364" spans="1:9" x14ac:dyDescent="0.25">
      <c r="A364" s="35">
        <f t="shared" si="87"/>
        <v>41382</v>
      </c>
      <c r="C364">
        <v>41</v>
      </c>
      <c r="D364">
        <v>15</v>
      </c>
      <c r="E364">
        <v>548</v>
      </c>
      <c r="F364">
        <v>267.2</v>
      </c>
      <c r="G364" s="14">
        <f t="shared" si="93"/>
        <v>589</v>
      </c>
      <c r="H364" s="2">
        <f t="shared" si="92"/>
        <v>282.2</v>
      </c>
      <c r="I364" s="48">
        <f t="shared" si="94"/>
        <v>108.71722182849047</v>
      </c>
    </row>
    <row r="365" spans="1:9" x14ac:dyDescent="0.25">
      <c r="A365" s="35">
        <f t="shared" si="87"/>
        <v>41389</v>
      </c>
      <c r="C365">
        <v>39.1</v>
      </c>
      <c r="D365">
        <v>20</v>
      </c>
      <c r="E365">
        <v>550</v>
      </c>
      <c r="F365">
        <v>272.2</v>
      </c>
      <c r="G365" s="14">
        <f t="shared" si="93"/>
        <v>589.1</v>
      </c>
      <c r="H365" s="2">
        <f t="shared" si="92"/>
        <v>292.2</v>
      </c>
      <c r="I365" s="48">
        <f t="shared" si="94"/>
        <v>101.60848733744015</v>
      </c>
    </row>
    <row r="366" spans="1:9" x14ac:dyDescent="0.25">
      <c r="A366" s="35">
        <f t="shared" si="87"/>
        <v>41396</v>
      </c>
      <c r="C366">
        <v>39.1</v>
      </c>
      <c r="D366">
        <v>20</v>
      </c>
      <c r="E366">
        <v>550</v>
      </c>
      <c r="F366">
        <v>272.2</v>
      </c>
      <c r="G366" s="14">
        <f t="shared" si="93"/>
        <v>589.1</v>
      </c>
      <c r="H366" s="2">
        <f t="shared" si="92"/>
        <v>292.2</v>
      </c>
      <c r="I366" s="48">
        <f t="shared" si="94"/>
        <v>101.60848733744015</v>
      </c>
    </row>
    <row r="367" spans="1:9" x14ac:dyDescent="0.25">
      <c r="A367" s="35">
        <f t="shared" si="87"/>
        <v>41403</v>
      </c>
      <c r="C367">
        <v>37.9</v>
      </c>
      <c r="D367">
        <v>30</v>
      </c>
      <c r="E367">
        <v>551.20000000000005</v>
      </c>
      <c r="F367">
        <v>272.2</v>
      </c>
      <c r="G367" s="14">
        <f t="shared" si="93"/>
        <v>589.1</v>
      </c>
      <c r="H367" s="2">
        <f t="shared" si="92"/>
        <v>302.2</v>
      </c>
      <c r="I367" s="48">
        <f t="shared" si="94"/>
        <v>94.937127729980148</v>
      </c>
    </row>
    <row r="368" spans="1:9" x14ac:dyDescent="0.25">
      <c r="A368" s="35">
        <f t="shared" si="87"/>
        <v>41410</v>
      </c>
      <c r="C368">
        <v>37.9</v>
      </c>
      <c r="D368">
        <v>30</v>
      </c>
      <c r="E368">
        <v>551.20000000000005</v>
      </c>
      <c r="F368">
        <v>272.2</v>
      </c>
      <c r="G368" s="14">
        <f t="shared" si="93"/>
        <v>589.1</v>
      </c>
      <c r="H368" s="2">
        <f t="shared" si="92"/>
        <v>302.2</v>
      </c>
      <c r="I368" s="48">
        <f t="shared" si="94"/>
        <v>94.937127729980148</v>
      </c>
    </row>
    <row r="369" spans="1:10" x14ac:dyDescent="0.25">
      <c r="A369" s="35">
        <f t="shared" si="87"/>
        <v>41417</v>
      </c>
      <c r="C369">
        <v>38</v>
      </c>
      <c r="D369">
        <v>26.2</v>
      </c>
      <c r="E369">
        <v>551.20000000000005</v>
      </c>
      <c r="F369">
        <v>277.2</v>
      </c>
      <c r="G369" s="14">
        <f t="shared" si="93"/>
        <v>589.20000000000005</v>
      </c>
      <c r="H369" s="2">
        <f t="shared" si="92"/>
        <v>303.39999999999998</v>
      </c>
      <c r="I369" s="48">
        <f t="shared" si="94"/>
        <v>94.199077125906427</v>
      </c>
    </row>
    <row r="370" spans="1:10" x14ac:dyDescent="0.25">
      <c r="A370" s="35">
        <f t="shared" si="87"/>
        <v>41424</v>
      </c>
      <c r="C370">
        <v>33.9</v>
      </c>
      <c r="D370">
        <v>26.2</v>
      </c>
      <c r="E370">
        <v>555.20000000000005</v>
      </c>
      <c r="F370">
        <v>277.2</v>
      </c>
      <c r="G370" s="14">
        <f t="shared" si="93"/>
        <v>589.1</v>
      </c>
      <c r="H370" s="2">
        <f t="shared" si="92"/>
        <v>303.39999999999998</v>
      </c>
      <c r="I370" s="48">
        <f t="shared" si="94"/>
        <v>94.166117336849069</v>
      </c>
    </row>
    <row r="371" spans="1:10" x14ac:dyDescent="0.25">
      <c r="A371" s="35">
        <f t="shared" si="87"/>
        <v>41431</v>
      </c>
      <c r="C371">
        <v>33.9</v>
      </c>
      <c r="D371">
        <v>26.2</v>
      </c>
      <c r="E371">
        <v>555.20000000000005</v>
      </c>
      <c r="F371">
        <v>277.2</v>
      </c>
      <c r="G371" s="14">
        <f t="shared" si="93"/>
        <v>589.1</v>
      </c>
      <c r="H371" s="2">
        <f t="shared" si="92"/>
        <v>303.39999999999998</v>
      </c>
      <c r="I371" s="48">
        <f t="shared" si="94"/>
        <v>94.166117336849069</v>
      </c>
    </row>
    <row r="372" spans="1:10" x14ac:dyDescent="0.25">
      <c r="A372" s="35">
        <f t="shared" si="87"/>
        <v>41438</v>
      </c>
      <c r="C372">
        <v>29.2</v>
      </c>
      <c r="D372">
        <v>26.2</v>
      </c>
      <c r="E372">
        <v>559.9</v>
      </c>
      <c r="F372">
        <v>277.2</v>
      </c>
      <c r="G372" s="14">
        <f t="shared" si="93"/>
        <v>589.1</v>
      </c>
      <c r="H372" s="2">
        <f t="shared" si="92"/>
        <v>303.39999999999998</v>
      </c>
      <c r="I372" s="48">
        <f t="shared" si="94"/>
        <v>94.166117336849069</v>
      </c>
    </row>
    <row r="373" spans="1:10" x14ac:dyDescent="0.25">
      <c r="A373" s="35">
        <f t="shared" si="87"/>
        <v>41445</v>
      </c>
      <c r="C373">
        <v>28</v>
      </c>
      <c r="D373">
        <v>22.9</v>
      </c>
      <c r="E373">
        <v>561.1</v>
      </c>
      <c r="F373">
        <v>280.5</v>
      </c>
      <c r="G373" s="14">
        <f t="shared" si="93"/>
        <v>589.1</v>
      </c>
      <c r="H373" s="2">
        <f t="shared" si="92"/>
        <v>303.39999999999998</v>
      </c>
      <c r="I373" s="48">
        <f t="shared" si="94"/>
        <v>94.166117336849069</v>
      </c>
    </row>
    <row r="374" spans="1:10" x14ac:dyDescent="0.25">
      <c r="A374" s="35">
        <f t="shared" si="87"/>
        <v>41452</v>
      </c>
      <c r="C374">
        <v>27.4</v>
      </c>
      <c r="D374">
        <v>21.2</v>
      </c>
      <c r="E374">
        <v>561.79999999999995</v>
      </c>
      <c r="F374">
        <v>282.2</v>
      </c>
      <c r="G374" s="14">
        <f t="shared" ref="G374:G388" si="95">+C374+E374</f>
        <v>589.19999999999993</v>
      </c>
      <c r="H374" s="2">
        <f t="shared" ref="H374:H388" si="96">+D374+F374</f>
        <v>303.39999999999998</v>
      </c>
      <c r="I374" s="48">
        <f t="shared" ref="I374:I388" si="97">+(G374/H374-1)*100</f>
        <v>94.199077125906385</v>
      </c>
    </row>
    <row r="375" spans="1:10" x14ac:dyDescent="0.25">
      <c r="A375" s="35">
        <f t="shared" si="87"/>
        <v>41459</v>
      </c>
      <c r="C375">
        <v>27.4</v>
      </c>
      <c r="D375">
        <v>19.5</v>
      </c>
      <c r="E375">
        <v>561.79999999999995</v>
      </c>
      <c r="F375">
        <v>284.10000000000002</v>
      </c>
      <c r="G375" s="14">
        <f t="shared" si="95"/>
        <v>589.19999999999993</v>
      </c>
      <c r="H375" s="2">
        <f t="shared" si="96"/>
        <v>303.60000000000002</v>
      </c>
      <c r="I375" s="48">
        <f t="shared" si="97"/>
        <v>94.071146245059253</v>
      </c>
    </row>
    <row r="376" spans="1:10" x14ac:dyDescent="0.25">
      <c r="A376" s="35">
        <f t="shared" si="87"/>
        <v>41466</v>
      </c>
      <c r="C376">
        <v>40.4</v>
      </c>
      <c r="D376">
        <v>17.8</v>
      </c>
      <c r="E376">
        <v>561.79999999999995</v>
      </c>
      <c r="F376">
        <v>285.8</v>
      </c>
      <c r="G376" s="14">
        <f t="shared" si="95"/>
        <v>602.19999999999993</v>
      </c>
      <c r="H376" s="2">
        <f t="shared" si="96"/>
        <v>303.60000000000002</v>
      </c>
      <c r="I376" s="48">
        <f t="shared" si="97"/>
        <v>98.353096179183112</v>
      </c>
    </row>
    <row r="377" spans="1:10" x14ac:dyDescent="0.25">
      <c r="A377" s="35">
        <f t="shared" si="87"/>
        <v>41473</v>
      </c>
      <c r="C377">
        <v>40.4</v>
      </c>
      <c r="D377">
        <v>16</v>
      </c>
      <c r="E377">
        <v>561.79999999999995</v>
      </c>
      <c r="F377">
        <v>287.60000000000002</v>
      </c>
      <c r="G377" s="14">
        <f t="shared" si="95"/>
        <v>602.19999999999993</v>
      </c>
      <c r="H377" s="2">
        <f t="shared" si="96"/>
        <v>303.60000000000002</v>
      </c>
      <c r="I377" s="48">
        <f t="shared" si="97"/>
        <v>98.353096179183112</v>
      </c>
    </row>
    <row r="378" spans="1:10" x14ac:dyDescent="0.25">
      <c r="A378" s="35">
        <f t="shared" si="87"/>
        <v>41480</v>
      </c>
      <c r="C378">
        <v>40.4</v>
      </c>
      <c r="D378">
        <v>12.6</v>
      </c>
      <c r="E378">
        <v>561.79999999999995</v>
      </c>
      <c r="F378">
        <v>291.10000000000002</v>
      </c>
      <c r="G378" s="14">
        <f t="shared" si="95"/>
        <v>602.19999999999993</v>
      </c>
      <c r="H378" s="2">
        <f t="shared" si="96"/>
        <v>303.70000000000005</v>
      </c>
      <c r="I378" s="48">
        <f t="shared" si="97"/>
        <v>98.287783997365779</v>
      </c>
      <c r="J378">
        <v>55</v>
      </c>
    </row>
    <row r="379" spans="1:10" x14ac:dyDescent="0.25">
      <c r="A379" s="35">
        <f t="shared" si="87"/>
        <v>41487</v>
      </c>
      <c r="C379">
        <v>40.4</v>
      </c>
      <c r="D379">
        <v>10.6</v>
      </c>
      <c r="E379">
        <v>561.79999999999995</v>
      </c>
      <c r="F379">
        <v>293</v>
      </c>
      <c r="G379" s="14">
        <f t="shared" si="95"/>
        <v>602.19999999999993</v>
      </c>
      <c r="H379" s="2">
        <f t="shared" si="96"/>
        <v>303.60000000000002</v>
      </c>
      <c r="I379" s="48">
        <f t="shared" si="97"/>
        <v>98.353096179183112</v>
      </c>
      <c r="J379">
        <v>55</v>
      </c>
    </row>
    <row r="380" spans="1:10" x14ac:dyDescent="0.25">
      <c r="A380" s="35">
        <f t="shared" si="87"/>
        <v>41494</v>
      </c>
      <c r="C380">
        <v>38</v>
      </c>
      <c r="D380">
        <v>7.7</v>
      </c>
      <c r="E380">
        <v>561.79999999999995</v>
      </c>
      <c r="F380">
        <v>295.89999999999998</v>
      </c>
      <c r="G380" s="14">
        <f t="shared" si="95"/>
        <v>599.79999999999995</v>
      </c>
      <c r="H380" s="2">
        <f t="shared" si="96"/>
        <v>303.59999999999997</v>
      </c>
      <c r="I380" s="48">
        <f t="shared" si="97"/>
        <v>97.562582345191046</v>
      </c>
      <c r="J380">
        <v>55</v>
      </c>
    </row>
    <row r="381" spans="1:10" x14ac:dyDescent="0.25">
      <c r="A381" s="35">
        <f t="shared" si="87"/>
        <v>41501</v>
      </c>
      <c r="C381">
        <v>38</v>
      </c>
      <c r="D381">
        <v>6.7</v>
      </c>
      <c r="E381">
        <v>561.79999999999995</v>
      </c>
      <c r="F381">
        <v>296.89999999999998</v>
      </c>
      <c r="G381" s="14">
        <f t="shared" si="95"/>
        <v>599.79999999999995</v>
      </c>
      <c r="H381" s="2">
        <f t="shared" si="96"/>
        <v>303.59999999999997</v>
      </c>
      <c r="I381" s="48">
        <f t="shared" si="97"/>
        <v>97.562582345191046</v>
      </c>
      <c r="J381">
        <v>55</v>
      </c>
    </row>
    <row r="382" spans="1:10" x14ac:dyDescent="0.25">
      <c r="A382" s="35">
        <f t="shared" si="87"/>
        <v>41508</v>
      </c>
      <c r="C382">
        <v>38</v>
      </c>
      <c r="D382">
        <v>6.5</v>
      </c>
      <c r="E382">
        <v>561.79999999999995</v>
      </c>
      <c r="F382">
        <v>297.10000000000002</v>
      </c>
      <c r="G382" s="14">
        <f t="shared" si="95"/>
        <v>599.79999999999995</v>
      </c>
      <c r="H382" s="2">
        <f t="shared" si="96"/>
        <v>303.60000000000002</v>
      </c>
      <c r="I382" s="48">
        <f t="shared" si="97"/>
        <v>97.562582345191018</v>
      </c>
      <c r="J382">
        <v>55</v>
      </c>
    </row>
    <row r="383" spans="1:10" x14ac:dyDescent="0.25">
      <c r="A383" s="35">
        <f t="shared" si="87"/>
        <v>41515</v>
      </c>
      <c r="C383">
        <v>38</v>
      </c>
      <c r="D383">
        <v>5.5</v>
      </c>
      <c r="E383">
        <v>561.79999999999995</v>
      </c>
      <c r="F383">
        <v>298.2</v>
      </c>
      <c r="G383" s="14">
        <f t="shared" si="95"/>
        <v>599.79999999999995</v>
      </c>
      <c r="H383" s="2">
        <f t="shared" si="96"/>
        <v>303.7</v>
      </c>
      <c r="I383" s="48">
        <f t="shared" si="97"/>
        <v>97.497530457688498</v>
      </c>
      <c r="J383">
        <v>55</v>
      </c>
    </row>
    <row r="384" spans="1:10" x14ac:dyDescent="0.25">
      <c r="A384" s="35">
        <f t="shared" ref="A384:A447" si="98">+A383+7</f>
        <v>41522</v>
      </c>
      <c r="C384">
        <v>83</v>
      </c>
      <c r="D384">
        <v>75.400000000000006</v>
      </c>
      <c r="E384">
        <v>10.5</v>
      </c>
      <c r="F384">
        <v>0.5</v>
      </c>
      <c r="G384" s="14">
        <f t="shared" si="95"/>
        <v>93.5</v>
      </c>
      <c r="H384" s="2">
        <f t="shared" si="96"/>
        <v>75.900000000000006</v>
      </c>
      <c r="I384" s="48">
        <f t="shared" si="97"/>
        <v>23.188405797101442</v>
      </c>
    </row>
    <row r="385" spans="1:12" x14ac:dyDescent="0.25">
      <c r="A385" s="35">
        <f t="shared" si="98"/>
        <v>41529</v>
      </c>
      <c r="C385">
        <v>168.2</v>
      </c>
      <c r="D385">
        <v>75.400000000000006</v>
      </c>
      <c r="E385">
        <v>10.5</v>
      </c>
      <c r="F385">
        <v>0.8</v>
      </c>
      <c r="G385" s="14">
        <f t="shared" si="95"/>
        <v>178.7</v>
      </c>
      <c r="H385" s="2">
        <f t="shared" si="96"/>
        <v>76.2</v>
      </c>
      <c r="I385" s="48">
        <f t="shared" si="97"/>
        <v>134.51443569553803</v>
      </c>
    </row>
    <row r="386" spans="1:12" x14ac:dyDescent="0.25">
      <c r="A386" s="35">
        <f t="shared" si="98"/>
        <v>41536</v>
      </c>
      <c r="C386">
        <v>169.2</v>
      </c>
      <c r="D386">
        <v>75.400000000000006</v>
      </c>
      <c r="E386">
        <v>10.5</v>
      </c>
      <c r="F386">
        <v>60.4</v>
      </c>
      <c r="G386" s="14">
        <f t="shared" si="95"/>
        <v>179.7</v>
      </c>
      <c r="H386" s="2">
        <f t="shared" si="96"/>
        <v>135.80000000000001</v>
      </c>
      <c r="I386" s="48">
        <f t="shared" si="97"/>
        <v>32.326951399116325</v>
      </c>
    </row>
    <row r="387" spans="1:12" x14ac:dyDescent="0.25">
      <c r="A387" s="35">
        <f t="shared" si="98"/>
        <v>41543</v>
      </c>
      <c r="C387">
        <v>169.2</v>
      </c>
      <c r="D387">
        <v>75.400000000000006</v>
      </c>
      <c r="E387">
        <v>10.5</v>
      </c>
      <c r="F387">
        <v>60.4</v>
      </c>
      <c r="G387" s="14">
        <f t="shared" si="95"/>
        <v>179.7</v>
      </c>
      <c r="H387" s="2">
        <f t="shared" si="96"/>
        <v>135.80000000000001</v>
      </c>
      <c r="I387" s="48">
        <f t="shared" si="97"/>
        <v>32.326951399116325</v>
      </c>
    </row>
    <row r="388" spans="1:12" x14ac:dyDescent="0.25">
      <c r="A388" s="35">
        <f t="shared" si="98"/>
        <v>41550</v>
      </c>
      <c r="C388">
        <v>169</v>
      </c>
      <c r="D388">
        <v>75.3</v>
      </c>
      <c r="E388">
        <v>10.7</v>
      </c>
      <c r="F388">
        <v>60.5</v>
      </c>
      <c r="G388" s="14">
        <f t="shared" si="95"/>
        <v>179.7</v>
      </c>
      <c r="H388" s="2">
        <f t="shared" si="96"/>
        <v>135.80000000000001</v>
      </c>
      <c r="I388" s="48">
        <f t="shared" si="97"/>
        <v>32.326951399116325</v>
      </c>
    </row>
    <row r="389" spans="1:12" ht="15" x14ac:dyDescent="0.25">
      <c r="A389" s="35">
        <f t="shared" si="98"/>
        <v>41557</v>
      </c>
      <c r="L389" s="96"/>
    </row>
    <row r="390" spans="1:12" x14ac:dyDescent="0.25">
      <c r="A390" s="35">
        <f t="shared" si="98"/>
        <v>41564</v>
      </c>
    </row>
    <row r="391" spans="1:12" x14ac:dyDescent="0.25">
      <c r="A391" s="35">
        <f t="shared" si="98"/>
        <v>41571</v>
      </c>
      <c r="C391">
        <v>168</v>
      </c>
      <c r="D391">
        <v>79.8</v>
      </c>
      <c r="E391">
        <v>62.2</v>
      </c>
      <c r="F391">
        <v>118.6</v>
      </c>
      <c r="G391" s="14">
        <f t="shared" ref="G391:H393" si="99">+C391+E391</f>
        <v>230.2</v>
      </c>
      <c r="H391" s="2">
        <f t="shared" si="99"/>
        <v>198.39999999999998</v>
      </c>
      <c r="I391" s="48">
        <f t="shared" ref="I391:I408" si="100">+(G391/H391-1)*100</f>
        <v>16.028225806451623</v>
      </c>
    </row>
    <row r="392" spans="1:12" ht="15" x14ac:dyDescent="0.25">
      <c r="A392" s="35">
        <f t="shared" si="98"/>
        <v>41578</v>
      </c>
      <c r="C392">
        <v>168.3</v>
      </c>
      <c r="D392">
        <v>79.599999999999994</v>
      </c>
      <c r="E392">
        <v>62.2</v>
      </c>
      <c r="F392">
        <v>168.2</v>
      </c>
      <c r="G392" s="14">
        <f t="shared" si="99"/>
        <v>230.5</v>
      </c>
      <c r="H392" s="2">
        <f t="shared" si="99"/>
        <v>247.79999999999998</v>
      </c>
      <c r="I392" s="48">
        <f t="shared" si="100"/>
        <v>-6.9814366424535867</v>
      </c>
      <c r="L392" s="96"/>
    </row>
    <row r="393" spans="1:12" x14ac:dyDescent="0.25">
      <c r="A393" s="35">
        <f t="shared" si="98"/>
        <v>41585</v>
      </c>
      <c r="C393">
        <v>112.3</v>
      </c>
      <c r="D393">
        <v>79.5</v>
      </c>
      <c r="E393">
        <v>115.6</v>
      </c>
      <c r="F393">
        <v>168.3</v>
      </c>
      <c r="G393" s="14">
        <f t="shared" si="99"/>
        <v>227.89999999999998</v>
      </c>
      <c r="H393" s="2">
        <f t="shared" si="99"/>
        <v>247.8</v>
      </c>
      <c r="I393" s="48">
        <f t="shared" si="100"/>
        <v>-8.0306698950766915</v>
      </c>
    </row>
    <row r="394" spans="1:12" x14ac:dyDescent="0.25">
      <c r="A394" s="35">
        <f t="shared" si="98"/>
        <v>41592</v>
      </c>
      <c r="C394">
        <v>110.9</v>
      </c>
      <c r="D394">
        <v>79.900000000000006</v>
      </c>
      <c r="E394">
        <v>117.1</v>
      </c>
      <c r="F394">
        <v>216.9</v>
      </c>
      <c r="G394" s="14">
        <f t="shared" ref="G394:H408" si="101">+C394+E394</f>
        <v>228</v>
      </c>
      <c r="H394" s="2">
        <f t="shared" si="101"/>
        <v>296.8</v>
      </c>
      <c r="I394" s="48">
        <f t="shared" si="100"/>
        <v>-23.180592991913752</v>
      </c>
    </row>
    <row r="395" spans="1:12" x14ac:dyDescent="0.25">
      <c r="A395" s="35">
        <f t="shared" si="98"/>
        <v>41599</v>
      </c>
      <c r="C395">
        <v>110.9</v>
      </c>
      <c r="D395">
        <v>79.900000000000006</v>
      </c>
      <c r="E395">
        <v>117.1</v>
      </c>
      <c r="F395">
        <v>217.8</v>
      </c>
      <c r="G395" s="14">
        <f t="shared" si="101"/>
        <v>228</v>
      </c>
      <c r="H395" s="2">
        <f t="shared" si="101"/>
        <v>297.70000000000005</v>
      </c>
      <c r="I395" s="48">
        <f t="shared" si="100"/>
        <v>-23.412831709774949</v>
      </c>
    </row>
    <row r="396" spans="1:12" x14ac:dyDescent="0.25">
      <c r="A396" s="35">
        <f t="shared" si="98"/>
        <v>41606</v>
      </c>
      <c r="C396">
        <v>110.8</v>
      </c>
      <c r="D396">
        <v>77.2</v>
      </c>
      <c r="E396">
        <v>117.2</v>
      </c>
      <c r="F396">
        <v>220.6</v>
      </c>
      <c r="G396" s="14">
        <f t="shared" si="101"/>
        <v>228</v>
      </c>
      <c r="H396" s="2">
        <f t="shared" si="101"/>
        <v>297.8</v>
      </c>
      <c r="I396" s="48">
        <f t="shared" si="100"/>
        <v>-23.438549361987913</v>
      </c>
    </row>
    <row r="397" spans="1:12" x14ac:dyDescent="0.25">
      <c r="A397" s="35">
        <f t="shared" si="98"/>
        <v>41613</v>
      </c>
      <c r="C397">
        <v>110.8</v>
      </c>
      <c r="D397">
        <v>75.8</v>
      </c>
      <c r="E397">
        <v>176.9</v>
      </c>
      <c r="F397">
        <v>222</v>
      </c>
      <c r="G397" s="14">
        <f t="shared" si="101"/>
        <v>287.7</v>
      </c>
      <c r="H397" s="2">
        <f t="shared" si="101"/>
        <v>297.8</v>
      </c>
      <c r="I397" s="48">
        <f t="shared" si="100"/>
        <v>-3.3915379449294902</v>
      </c>
    </row>
    <row r="398" spans="1:12" x14ac:dyDescent="0.25">
      <c r="A398" s="35">
        <f t="shared" si="98"/>
        <v>41620</v>
      </c>
      <c r="C398">
        <v>110.8</v>
      </c>
      <c r="D398">
        <v>85.6</v>
      </c>
      <c r="E398">
        <v>176.9</v>
      </c>
      <c r="F398">
        <v>307.5</v>
      </c>
      <c r="G398" s="14">
        <f t="shared" si="101"/>
        <v>287.7</v>
      </c>
      <c r="H398" s="2">
        <f t="shared" si="101"/>
        <v>393.1</v>
      </c>
      <c r="I398" s="48">
        <f t="shared" si="100"/>
        <v>-26.81251589926228</v>
      </c>
    </row>
    <row r="399" spans="1:12" x14ac:dyDescent="0.25">
      <c r="A399" s="35">
        <f t="shared" si="98"/>
        <v>41627</v>
      </c>
      <c r="C399">
        <v>79.5</v>
      </c>
      <c r="D399">
        <v>85.5</v>
      </c>
      <c r="E399">
        <v>207.9</v>
      </c>
      <c r="F399">
        <v>307.60000000000002</v>
      </c>
      <c r="G399" s="14">
        <f t="shared" si="101"/>
        <v>287.39999999999998</v>
      </c>
      <c r="H399" s="2">
        <f t="shared" si="101"/>
        <v>393.1</v>
      </c>
      <c r="I399" s="48">
        <f t="shared" si="100"/>
        <v>-26.888832358178593</v>
      </c>
    </row>
    <row r="400" spans="1:12" x14ac:dyDescent="0.25">
      <c r="A400" s="35">
        <f t="shared" si="98"/>
        <v>41634</v>
      </c>
      <c r="C400">
        <v>79.5</v>
      </c>
      <c r="D400">
        <v>85.4</v>
      </c>
      <c r="E400">
        <v>256.8</v>
      </c>
      <c r="F400">
        <v>307.60000000000002</v>
      </c>
      <c r="G400" s="14">
        <f t="shared" si="101"/>
        <v>336.3</v>
      </c>
      <c r="H400" s="2">
        <f t="shared" si="101"/>
        <v>393</v>
      </c>
      <c r="I400" s="48">
        <f t="shared" si="100"/>
        <v>-14.427480916030532</v>
      </c>
    </row>
    <row r="401" spans="1:15" x14ac:dyDescent="0.25">
      <c r="A401" s="35">
        <f t="shared" si="98"/>
        <v>41641</v>
      </c>
      <c r="C401" s="123">
        <v>77</v>
      </c>
      <c r="D401" s="123">
        <v>86</v>
      </c>
      <c r="E401" s="123">
        <v>259.39999999999998</v>
      </c>
      <c r="F401" s="123">
        <v>307.7</v>
      </c>
      <c r="G401" s="14">
        <f t="shared" si="101"/>
        <v>336.4</v>
      </c>
      <c r="H401" s="2">
        <f t="shared" si="101"/>
        <v>393.7</v>
      </c>
      <c r="I401" s="48">
        <f t="shared" si="100"/>
        <v>-14.554229108458216</v>
      </c>
    </row>
    <row r="402" spans="1:15" ht="15" x14ac:dyDescent="0.25">
      <c r="A402" s="35">
        <f t="shared" si="98"/>
        <v>41648</v>
      </c>
      <c r="C402">
        <v>75.7</v>
      </c>
      <c r="D402">
        <v>86</v>
      </c>
      <c r="E402">
        <v>260.60000000000002</v>
      </c>
      <c r="F402">
        <v>366.6</v>
      </c>
      <c r="G402" s="14">
        <f t="shared" si="101"/>
        <v>336.3</v>
      </c>
      <c r="H402" s="2">
        <f t="shared" si="101"/>
        <v>452.6</v>
      </c>
      <c r="I402" s="48">
        <f t="shared" si="100"/>
        <v>-25.695978789217854</v>
      </c>
      <c r="K402" s="96"/>
      <c r="N402" s="96"/>
    </row>
    <row r="403" spans="1:15" ht="15" x14ac:dyDescent="0.25">
      <c r="A403" s="35">
        <f t="shared" si="98"/>
        <v>41655</v>
      </c>
      <c r="C403">
        <v>74.400000000000006</v>
      </c>
      <c r="D403">
        <v>84.8</v>
      </c>
      <c r="E403">
        <v>378.6</v>
      </c>
      <c r="F403">
        <v>422.2</v>
      </c>
      <c r="G403" s="14">
        <f t="shared" si="101"/>
        <v>453</v>
      </c>
      <c r="H403" s="2">
        <f t="shared" si="101"/>
        <v>507</v>
      </c>
      <c r="I403" s="48">
        <f t="shared" si="100"/>
        <v>-10.650887573964496</v>
      </c>
      <c r="K403" s="96"/>
    </row>
    <row r="404" spans="1:15" x14ac:dyDescent="0.25">
      <c r="A404" s="35">
        <f t="shared" si="98"/>
        <v>41662</v>
      </c>
      <c r="C404">
        <v>84.1</v>
      </c>
      <c r="D404">
        <v>85.3</v>
      </c>
      <c r="E404">
        <v>378.9</v>
      </c>
      <c r="F404">
        <v>424.6</v>
      </c>
      <c r="G404" s="14">
        <f t="shared" si="101"/>
        <v>463</v>
      </c>
      <c r="H404" s="2">
        <f t="shared" si="101"/>
        <v>509.90000000000003</v>
      </c>
      <c r="I404" s="48">
        <f t="shared" si="100"/>
        <v>-9.1978819376348326</v>
      </c>
    </row>
    <row r="405" spans="1:15" ht="15" x14ac:dyDescent="0.25">
      <c r="A405" s="35">
        <f t="shared" si="98"/>
        <v>41669</v>
      </c>
      <c r="C405">
        <v>82.9</v>
      </c>
      <c r="D405">
        <v>83.2</v>
      </c>
      <c r="E405">
        <v>380.2</v>
      </c>
      <c r="F405">
        <v>426.7</v>
      </c>
      <c r="G405" s="14">
        <f t="shared" si="101"/>
        <v>463.1</v>
      </c>
      <c r="H405" s="2">
        <f t="shared" si="101"/>
        <v>509.9</v>
      </c>
      <c r="I405" s="48">
        <f t="shared" si="100"/>
        <v>-9.1782702490684329</v>
      </c>
      <c r="K405" s="96"/>
      <c r="L405" s="96"/>
      <c r="O405" s="95"/>
    </row>
    <row r="406" spans="1:15" ht="15" x14ac:dyDescent="0.25">
      <c r="A406" s="35">
        <f t="shared" si="98"/>
        <v>41676</v>
      </c>
      <c r="C406" s="123">
        <v>81</v>
      </c>
      <c r="D406">
        <v>83.1</v>
      </c>
      <c r="E406">
        <v>431.5</v>
      </c>
      <c r="F406">
        <v>426.9</v>
      </c>
      <c r="G406" s="14">
        <f t="shared" si="101"/>
        <v>512.5</v>
      </c>
      <c r="H406" s="2">
        <f t="shared" si="101"/>
        <v>510</v>
      </c>
      <c r="I406" s="48">
        <f t="shared" si="100"/>
        <v>0.49019607843137081</v>
      </c>
      <c r="K406" s="96"/>
    </row>
    <row r="407" spans="1:15" x14ac:dyDescent="0.25">
      <c r="A407" s="35">
        <f t="shared" si="98"/>
        <v>41683</v>
      </c>
      <c r="C407">
        <v>79.900000000000006</v>
      </c>
      <c r="D407">
        <v>81.7</v>
      </c>
      <c r="E407">
        <v>432.7</v>
      </c>
      <c r="F407">
        <v>428.1</v>
      </c>
      <c r="G407" s="14">
        <f t="shared" si="101"/>
        <v>512.6</v>
      </c>
      <c r="H407" s="2">
        <f t="shared" si="101"/>
        <v>509.8</v>
      </c>
      <c r="I407" s="48">
        <f t="shared" si="100"/>
        <v>0.54923499411534404</v>
      </c>
    </row>
    <row r="408" spans="1:15" x14ac:dyDescent="0.25">
      <c r="A408" s="35">
        <f t="shared" si="98"/>
        <v>41690</v>
      </c>
      <c r="C408">
        <v>64.400000000000006</v>
      </c>
      <c r="D408">
        <v>79.2</v>
      </c>
      <c r="E408">
        <v>492.3</v>
      </c>
      <c r="F408">
        <v>458.3</v>
      </c>
      <c r="G408" s="14">
        <f t="shared" si="101"/>
        <v>556.70000000000005</v>
      </c>
      <c r="H408" s="2">
        <f t="shared" si="101"/>
        <v>537.5</v>
      </c>
      <c r="I408" s="48">
        <f t="shared" si="100"/>
        <v>3.572093023255829</v>
      </c>
    </row>
    <row r="409" spans="1:15" x14ac:dyDescent="0.25">
      <c r="A409" s="35">
        <f t="shared" si="98"/>
        <v>41697</v>
      </c>
    </row>
    <row r="410" spans="1:15" x14ac:dyDescent="0.25">
      <c r="A410" s="35">
        <f t="shared" si="98"/>
        <v>41704</v>
      </c>
    </row>
    <row r="411" spans="1:15" x14ac:dyDescent="0.25">
      <c r="A411" s="35">
        <f t="shared" si="98"/>
        <v>41711</v>
      </c>
    </row>
    <row r="412" spans="1:15" x14ac:dyDescent="0.25">
      <c r="A412" s="35">
        <f t="shared" si="98"/>
        <v>41718</v>
      </c>
    </row>
    <row r="413" spans="1:15" x14ac:dyDescent="0.25">
      <c r="A413" s="35">
        <f t="shared" si="98"/>
        <v>41725</v>
      </c>
    </row>
    <row r="414" spans="1:15" x14ac:dyDescent="0.25">
      <c r="A414" s="35">
        <f t="shared" si="98"/>
        <v>41732</v>
      </c>
    </row>
    <row r="415" spans="1:15" x14ac:dyDescent="0.25">
      <c r="A415" s="35">
        <f t="shared" si="98"/>
        <v>41739</v>
      </c>
    </row>
    <row r="416" spans="1:15" x14ac:dyDescent="0.25">
      <c r="A416" s="35">
        <f t="shared" si="98"/>
        <v>41746</v>
      </c>
    </row>
    <row r="417" spans="1:1" x14ac:dyDescent="0.25">
      <c r="A417" s="35">
        <f t="shared" si="98"/>
        <v>41753</v>
      </c>
    </row>
    <row r="418" spans="1:1" x14ac:dyDescent="0.25">
      <c r="A418" s="35">
        <f t="shared" si="98"/>
        <v>41760</v>
      </c>
    </row>
    <row r="419" spans="1:1" x14ac:dyDescent="0.25">
      <c r="A419" s="35">
        <f t="shared" si="98"/>
        <v>41767</v>
      </c>
    </row>
    <row r="420" spans="1:1" x14ac:dyDescent="0.25">
      <c r="A420" s="35">
        <f t="shared" si="98"/>
        <v>41774</v>
      </c>
    </row>
    <row r="421" spans="1:1" x14ac:dyDescent="0.25">
      <c r="A421" s="35">
        <f t="shared" si="98"/>
        <v>41781</v>
      </c>
    </row>
    <row r="422" spans="1:1" x14ac:dyDescent="0.25">
      <c r="A422" s="35">
        <f t="shared" si="98"/>
        <v>41788</v>
      </c>
    </row>
    <row r="423" spans="1:1" x14ac:dyDescent="0.25">
      <c r="A423" s="35">
        <f t="shared" si="98"/>
        <v>41795</v>
      </c>
    </row>
    <row r="424" spans="1:1" x14ac:dyDescent="0.25">
      <c r="A424" s="35">
        <f t="shared" si="98"/>
        <v>41802</v>
      </c>
    </row>
    <row r="425" spans="1:1" x14ac:dyDescent="0.25">
      <c r="A425" s="35">
        <f t="shared" si="98"/>
        <v>41809</v>
      </c>
    </row>
    <row r="426" spans="1:1" x14ac:dyDescent="0.25">
      <c r="A426" s="35">
        <f t="shared" si="98"/>
        <v>41816</v>
      </c>
    </row>
    <row r="427" spans="1:1" x14ac:dyDescent="0.25">
      <c r="A427" s="35">
        <f t="shared" si="98"/>
        <v>41823</v>
      </c>
    </row>
    <row r="428" spans="1:1" x14ac:dyDescent="0.25">
      <c r="A428" s="35">
        <f t="shared" si="98"/>
        <v>41830</v>
      </c>
    </row>
    <row r="429" spans="1:1" x14ac:dyDescent="0.25">
      <c r="A429" s="35">
        <f t="shared" si="98"/>
        <v>41837</v>
      </c>
    </row>
    <row r="430" spans="1:1" x14ac:dyDescent="0.25">
      <c r="A430" s="35">
        <f t="shared" si="98"/>
        <v>41844</v>
      </c>
    </row>
    <row r="431" spans="1:1" x14ac:dyDescent="0.25">
      <c r="A431" s="35">
        <f t="shared" si="98"/>
        <v>41851</v>
      </c>
    </row>
    <row r="432" spans="1:1" x14ac:dyDescent="0.25">
      <c r="A432" s="35">
        <f t="shared" si="98"/>
        <v>41858</v>
      </c>
    </row>
    <row r="433" spans="1:1" x14ac:dyDescent="0.25">
      <c r="A433" s="35">
        <f t="shared" si="98"/>
        <v>41865</v>
      </c>
    </row>
    <row r="434" spans="1:1" x14ac:dyDescent="0.25">
      <c r="A434" s="35">
        <f t="shared" si="98"/>
        <v>41872</v>
      </c>
    </row>
    <row r="435" spans="1:1" x14ac:dyDescent="0.25">
      <c r="A435" s="35">
        <f t="shared" si="98"/>
        <v>41879</v>
      </c>
    </row>
    <row r="436" spans="1:1" x14ac:dyDescent="0.25">
      <c r="A436" s="35">
        <f t="shared" si="98"/>
        <v>41886</v>
      </c>
    </row>
    <row r="437" spans="1:1" x14ac:dyDescent="0.25">
      <c r="A437" s="35">
        <f t="shared" si="98"/>
        <v>41893</v>
      </c>
    </row>
    <row r="438" spans="1:1" x14ac:dyDescent="0.25">
      <c r="A438" s="35">
        <f t="shared" si="98"/>
        <v>41900</v>
      </c>
    </row>
    <row r="439" spans="1:1" x14ac:dyDescent="0.25">
      <c r="A439" s="35">
        <f t="shared" si="98"/>
        <v>41907</v>
      </c>
    </row>
    <row r="440" spans="1:1" x14ac:dyDescent="0.25">
      <c r="A440" s="35">
        <f t="shared" si="98"/>
        <v>41914</v>
      </c>
    </row>
    <row r="441" spans="1:1" x14ac:dyDescent="0.25">
      <c r="A441" s="35">
        <f t="shared" si="98"/>
        <v>41921</v>
      </c>
    </row>
    <row r="442" spans="1:1" x14ac:dyDescent="0.25">
      <c r="A442" s="35">
        <f t="shared" si="98"/>
        <v>41928</v>
      </c>
    </row>
    <row r="443" spans="1:1" x14ac:dyDescent="0.25">
      <c r="A443" s="35">
        <f t="shared" si="98"/>
        <v>41935</v>
      </c>
    </row>
    <row r="444" spans="1:1" x14ac:dyDescent="0.25">
      <c r="A444" s="35">
        <f t="shared" si="98"/>
        <v>41942</v>
      </c>
    </row>
    <row r="445" spans="1:1" x14ac:dyDescent="0.25">
      <c r="A445" s="35">
        <f t="shared" si="98"/>
        <v>41949</v>
      </c>
    </row>
    <row r="446" spans="1:1" x14ac:dyDescent="0.25">
      <c r="A446" s="35">
        <f t="shared" si="98"/>
        <v>41956</v>
      </c>
    </row>
    <row r="447" spans="1:1" x14ac:dyDescent="0.25">
      <c r="A447" s="35">
        <f t="shared" si="98"/>
        <v>41963</v>
      </c>
    </row>
    <row r="448" spans="1:1" x14ac:dyDescent="0.25">
      <c r="A448" s="35">
        <f t="shared" ref="A448:A510" si="102">+A447+7</f>
        <v>41970</v>
      </c>
    </row>
    <row r="449" spans="1:1" x14ac:dyDescent="0.25">
      <c r="A449" s="35">
        <f t="shared" si="102"/>
        <v>41977</v>
      </c>
    </row>
    <row r="450" spans="1:1" x14ac:dyDescent="0.25">
      <c r="A450" s="35">
        <f t="shared" si="102"/>
        <v>41984</v>
      </c>
    </row>
    <row r="451" spans="1:1" x14ac:dyDescent="0.25">
      <c r="A451" s="35">
        <f t="shared" si="102"/>
        <v>41991</v>
      </c>
    </row>
    <row r="452" spans="1:1" x14ac:dyDescent="0.25">
      <c r="A452" s="35">
        <f t="shared" si="102"/>
        <v>41998</v>
      </c>
    </row>
    <row r="453" spans="1:1" x14ac:dyDescent="0.25">
      <c r="A453" s="35">
        <f t="shared" si="102"/>
        <v>42005</v>
      </c>
    </row>
    <row r="454" spans="1:1" x14ac:dyDescent="0.25">
      <c r="A454" s="35">
        <f t="shared" si="102"/>
        <v>42012</v>
      </c>
    </row>
    <row r="455" spans="1:1" x14ac:dyDescent="0.25">
      <c r="A455" s="35">
        <f t="shared" si="102"/>
        <v>42019</v>
      </c>
    </row>
    <row r="456" spans="1:1" x14ac:dyDescent="0.25">
      <c r="A456" s="35">
        <f t="shared" si="102"/>
        <v>42026</v>
      </c>
    </row>
    <row r="457" spans="1:1" x14ac:dyDescent="0.25">
      <c r="A457" s="35">
        <f t="shared" si="102"/>
        <v>42033</v>
      </c>
    </row>
    <row r="458" spans="1:1" x14ac:dyDescent="0.25">
      <c r="A458" s="35">
        <f t="shared" si="102"/>
        <v>42040</v>
      </c>
    </row>
    <row r="459" spans="1:1" x14ac:dyDescent="0.25">
      <c r="A459" s="35">
        <f t="shared" si="102"/>
        <v>42047</v>
      </c>
    </row>
    <row r="460" spans="1:1" x14ac:dyDescent="0.25">
      <c r="A460" s="35">
        <f t="shared" si="102"/>
        <v>42054</v>
      </c>
    </row>
    <row r="461" spans="1:1" x14ac:dyDescent="0.25">
      <c r="A461" s="35">
        <f t="shared" si="102"/>
        <v>42061</v>
      </c>
    </row>
    <row r="462" spans="1:1" x14ac:dyDescent="0.25">
      <c r="A462" s="35">
        <f t="shared" si="102"/>
        <v>42068</v>
      </c>
    </row>
    <row r="463" spans="1:1" x14ac:dyDescent="0.25">
      <c r="A463" s="35">
        <f t="shared" si="102"/>
        <v>42075</v>
      </c>
    </row>
    <row r="464" spans="1:1" x14ac:dyDescent="0.25">
      <c r="A464" s="35">
        <f t="shared" si="102"/>
        <v>42082</v>
      </c>
    </row>
    <row r="465" spans="1:1" x14ac:dyDescent="0.25">
      <c r="A465" s="35">
        <f t="shared" si="102"/>
        <v>42089</v>
      </c>
    </row>
    <row r="466" spans="1:1" x14ac:dyDescent="0.25">
      <c r="A466" s="35">
        <f t="shared" si="102"/>
        <v>42096</v>
      </c>
    </row>
    <row r="467" spans="1:1" x14ac:dyDescent="0.25">
      <c r="A467" s="35">
        <f t="shared" si="102"/>
        <v>42103</v>
      </c>
    </row>
    <row r="468" spans="1:1" x14ac:dyDescent="0.25">
      <c r="A468" s="35">
        <f t="shared" si="102"/>
        <v>42110</v>
      </c>
    </row>
    <row r="469" spans="1:1" x14ac:dyDescent="0.25">
      <c r="A469" s="35">
        <f t="shared" si="102"/>
        <v>42117</v>
      </c>
    </row>
    <row r="470" spans="1:1" x14ac:dyDescent="0.25">
      <c r="A470" s="35">
        <f t="shared" si="102"/>
        <v>42124</v>
      </c>
    </row>
    <row r="471" spans="1:1" x14ac:dyDescent="0.25">
      <c r="A471" s="35">
        <f t="shared" si="102"/>
        <v>42131</v>
      </c>
    </row>
    <row r="472" spans="1:1" x14ac:dyDescent="0.25">
      <c r="A472" s="35">
        <f t="shared" si="102"/>
        <v>42138</v>
      </c>
    </row>
    <row r="473" spans="1:1" x14ac:dyDescent="0.25">
      <c r="A473" s="35">
        <f t="shared" si="102"/>
        <v>42145</v>
      </c>
    </row>
    <row r="474" spans="1:1" x14ac:dyDescent="0.25">
      <c r="A474" s="35">
        <f t="shared" si="102"/>
        <v>42152</v>
      </c>
    </row>
    <row r="475" spans="1:1" x14ac:dyDescent="0.25">
      <c r="A475" s="35">
        <f t="shared" si="102"/>
        <v>42159</v>
      </c>
    </row>
    <row r="476" spans="1:1" x14ac:dyDescent="0.25">
      <c r="A476" s="35">
        <f t="shared" si="102"/>
        <v>42166</v>
      </c>
    </row>
    <row r="477" spans="1:1" x14ac:dyDescent="0.25">
      <c r="A477" s="35">
        <f t="shared" si="102"/>
        <v>42173</v>
      </c>
    </row>
    <row r="478" spans="1:1" x14ac:dyDescent="0.25">
      <c r="A478" s="35">
        <f t="shared" si="102"/>
        <v>42180</v>
      </c>
    </row>
    <row r="479" spans="1:1" x14ac:dyDescent="0.25">
      <c r="A479" s="35">
        <f t="shared" si="102"/>
        <v>42187</v>
      </c>
    </row>
    <row r="480" spans="1:1" x14ac:dyDescent="0.25">
      <c r="A480" s="35">
        <f t="shared" si="102"/>
        <v>42194</v>
      </c>
    </row>
    <row r="481" spans="1:1" x14ac:dyDescent="0.25">
      <c r="A481" s="35">
        <f t="shared" si="102"/>
        <v>42201</v>
      </c>
    </row>
    <row r="482" spans="1:1" x14ac:dyDescent="0.25">
      <c r="A482" s="35">
        <f t="shared" si="102"/>
        <v>42208</v>
      </c>
    </row>
    <row r="483" spans="1:1" x14ac:dyDescent="0.25">
      <c r="A483" s="35">
        <f t="shared" si="102"/>
        <v>42215</v>
      </c>
    </row>
    <row r="484" spans="1:1" x14ac:dyDescent="0.25">
      <c r="A484" s="35">
        <f t="shared" si="102"/>
        <v>42222</v>
      </c>
    </row>
    <row r="485" spans="1:1" x14ac:dyDescent="0.25">
      <c r="A485" s="35">
        <f t="shared" si="102"/>
        <v>42229</v>
      </c>
    </row>
    <row r="486" spans="1:1" x14ac:dyDescent="0.25">
      <c r="A486" s="35">
        <f t="shared" si="102"/>
        <v>42236</v>
      </c>
    </row>
    <row r="487" spans="1:1" x14ac:dyDescent="0.25">
      <c r="A487" s="35">
        <f t="shared" si="102"/>
        <v>42243</v>
      </c>
    </row>
    <row r="488" spans="1:1" x14ac:dyDescent="0.25">
      <c r="A488" s="35">
        <f t="shared" si="102"/>
        <v>42250</v>
      </c>
    </row>
    <row r="489" spans="1:1" x14ac:dyDescent="0.25">
      <c r="A489" s="35">
        <f t="shared" si="102"/>
        <v>42257</v>
      </c>
    </row>
    <row r="490" spans="1:1" x14ac:dyDescent="0.25">
      <c r="A490" s="35">
        <f t="shared" si="102"/>
        <v>42264</v>
      </c>
    </row>
    <row r="491" spans="1:1" x14ac:dyDescent="0.25">
      <c r="A491" s="35">
        <f t="shared" si="102"/>
        <v>42271</v>
      </c>
    </row>
    <row r="492" spans="1:1" x14ac:dyDescent="0.25">
      <c r="A492" s="35">
        <f t="shared" si="102"/>
        <v>42278</v>
      </c>
    </row>
    <row r="493" spans="1:1" x14ac:dyDescent="0.25">
      <c r="A493" s="35">
        <f t="shared" si="102"/>
        <v>42285</v>
      </c>
    </row>
    <row r="494" spans="1:1" x14ac:dyDescent="0.25">
      <c r="A494" s="35">
        <f t="shared" si="102"/>
        <v>42292</v>
      </c>
    </row>
    <row r="495" spans="1:1" x14ac:dyDescent="0.25">
      <c r="A495" s="35">
        <f t="shared" si="102"/>
        <v>42299</v>
      </c>
    </row>
    <row r="496" spans="1:1" x14ac:dyDescent="0.25">
      <c r="A496" s="35">
        <f t="shared" si="102"/>
        <v>42306</v>
      </c>
    </row>
    <row r="497" spans="1:1" x14ac:dyDescent="0.25">
      <c r="A497" s="35">
        <f t="shared" si="102"/>
        <v>42313</v>
      </c>
    </row>
    <row r="498" spans="1:1" x14ac:dyDescent="0.25">
      <c r="A498" s="35">
        <f t="shared" si="102"/>
        <v>42320</v>
      </c>
    </row>
    <row r="499" spans="1:1" x14ac:dyDescent="0.25">
      <c r="A499" s="35">
        <f t="shared" si="102"/>
        <v>42327</v>
      </c>
    </row>
    <row r="500" spans="1:1" x14ac:dyDescent="0.25">
      <c r="A500" s="35">
        <f t="shared" si="102"/>
        <v>42334</v>
      </c>
    </row>
    <row r="501" spans="1:1" x14ac:dyDescent="0.25">
      <c r="A501" s="35">
        <f t="shared" si="102"/>
        <v>42341</v>
      </c>
    </row>
    <row r="502" spans="1:1" x14ac:dyDescent="0.25">
      <c r="A502" s="35">
        <f t="shared" si="102"/>
        <v>42348</v>
      </c>
    </row>
    <row r="503" spans="1:1" x14ac:dyDescent="0.25">
      <c r="A503" s="35">
        <f t="shared" si="102"/>
        <v>42355</v>
      </c>
    </row>
    <row r="504" spans="1:1" x14ac:dyDescent="0.25">
      <c r="A504" s="35">
        <f t="shared" si="102"/>
        <v>42362</v>
      </c>
    </row>
    <row r="505" spans="1:1" x14ac:dyDescent="0.25">
      <c r="A505" s="35">
        <f t="shared" si="102"/>
        <v>42369</v>
      </c>
    </row>
    <row r="506" spans="1:1" x14ac:dyDescent="0.25">
      <c r="A506" s="35">
        <f t="shared" si="102"/>
        <v>42376</v>
      </c>
    </row>
    <row r="507" spans="1:1" x14ac:dyDescent="0.25">
      <c r="A507" s="35">
        <f t="shared" si="102"/>
        <v>42383</v>
      </c>
    </row>
    <row r="508" spans="1:1" x14ac:dyDescent="0.25">
      <c r="A508" s="35">
        <f t="shared" si="102"/>
        <v>42390</v>
      </c>
    </row>
    <row r="509" spans="1:1" x14ac:dyDescent="0.25">
      <c r="A509" s="35">
        <f t="shared" si="102"/>
        <v>42397</v>
      </c>
    </row>
    <row r="510" spans="1:1" x14ac:dyDescent="0.25">
      <c r="A510" s="35">
        <f t="shared" si="102"/>
        <v>42404</v>
      </c>
    </row>
    <row r="65486" spans="1:9" x14ac:dyDescent="0.25">
      <c r="A65486" s="35"/>
      <c r="G65486" s="14"/>
      <c r="H65486" s="2"/>
      <c r="I65486" s="48"/>
    </row>
  </sheetData>
  <mergeCells count="2">
    <mergeCell ref="E1:F1"/>
    <mergeCell ref="G1:H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65509"/>
  <sheetViews>
    <sheetView topLeftCell="A389" workbookViewId="0">
      <selection activeCell="D411" sqref="D411"/>
    </sheetView>
  </sheetViews>
  <sheetFormatPr defaultRowHeight="13.2" x14ac:dyDescent="0.25"/>
  <cols>
    <col min="1" max="1" width="11.88671875" customWidth="1"/>
  </cols>
  <sheetData>
    <row r="1" spans="1:8" x14ac:dyDescent="0.25">
      <c r="A1" t="s">
        <v>27</v>
      </c>
      <c r="B1" t="s">
        <v>7</v>
      </c>
      <c r="D1" s="210" t="s">
        <v>1</v>
      </c>
      <c r="E1" s="211"/>
      <c r="F1" s="210" t="s">
        <v>2</v>
      </c>
      <c r="G1" s="211"/>
      <c r="H1" s="9"/>
    </row>
    <row r="2" spans="1:8" x14ac:dyDescent="0.25">
      <c r="A2" t="s">
        <v>20</v>
      </c>
      <c r="B2" s="6" t="s">
        <v>39</v>
      </c>
      <c r="C2" s="6" t="s">
        <v>40</v>
      </c>
      <c r="D2" s="6" t="s">
        <v>39</v>
      </c>
      <c r="E2" s="6" t="s">
        <v>40</v>
      </c>
      <c r="F2" s="6" t="s">
        <v>39</v>
      </c>
      <c r="G2" s="6" t="s">
        <v>40</v>
      </c>
      <c r="H2" s="10" t="s">
        <v>4</v>
      </c>
    </row>
    <row r="3" spans="1:8" x14ac:dyDescent="0.25">
      <c r="A3" s="35">
        <v>38855</v>
      </c>
      <c r="F3" s="14">
        <f t="shared" ref="F3:G6" si="0">+B3+D3</f>
        <v>0</v>
      </c>
      <c r="G3" s="2">
        <f t="shared" si="0"/>
        <v>0</v>
      </c>
      <c r="H3" s="48" t="e">
        <f>+(F3/G3-1)*100</f>
        <v>#DIV/0!</v>
      </c>
    </row>
    <row r="4" spans="1:8" x14ac:dyDescent="0.25">
      <c r="A4" s="35">
        <v>38862</v>
      </c>
      <c r="B4">
        <v>0</v>
      </c>
      <c r="C4">
        <v>12.5</v>
      </c>
      <c r="D4">
        <v>1904.1</v>
      </c>
      <c r="E4">
        <v>4567.3</v>
      </c>
      <c r="F4" s="14">
        <f t="shared" si="0"/>
        <v>1904.1</v>
      </c>
      <c r="G4" s="2">
        <f t="shared" si="0"/>
        <v>4579.8</v>
      </c>
      <c r="H4" s="48">
        <f>+(F4/G4-1)*100</f>
        <v>-58.423948644045588</v>
      </c>
    </row>
    <row r="5" spans="1:8" x14ac:dyDescent="0.25">
      <c r="A5" s="35">
        <v>38869</v>
      </c>
      <c r="B5">
        <v>0</v>
      </c>
      <c r="C5">
        <v>12.5</v>
      </c>
      <c r="D5">
        <v>1905.5</v>
      </c>
      <c r="E5">
        <v>4568.1000000000004</v>
      </c>
      <c r="F5" s="14">
        <f t="shared" si="0"/>
        <v>1905.5</v>
      </c>
      <c r="G5" s="2">
        <f t="shared" si="0"/>
        <v>4580.6000000000004</v>
      </c>
      <c r="H5" s="48">
        <f>+(F5/G5-1)*100</f>
        <v>-58.400646203554118</v>
      </c>
    </row>
    <row r="6" spans="1:8" x14ac:dyDescent="0.25">
      <c r="A6" s="35">
        <v>38876</v>
      </c>
      <c r="B6">
        <v>0</v>
      </c>
      <c r="C6">
        <v>12.5</v>
      </c>
      <c r="D6">
        <v>1905.7</v>
      </c>
      <c r="E6">
        <v>4569.3999999999996</v>
      </c>
      <c r="F6" s="14">
        <f t="shared" si="0"/>
        <v>1905.7</v>
      </c>
      <c r="G6" s="2">
        <f t="shared" si="0"/>
        <v>4581.8999999999996</v>
      </c>
      <c r="H6" s="48">
        <f>+(F6/G6-1)*100</f>
        <v>-58.408083982627289</v>
      </c>
    </row>
    <row r="7" spans="1:8" x14ac:dyDescent="0.25">
      <c r="A7" s="35">
        <v>38883</v>
      </c>
      <c r="F7" s="14">
        <f t="shared" ref="F7:F12" si="1">+B7+D7</f>
        <v>0</v>
      </c>
      <c r="G7" s="2">
        <f t="shared" ref="G7:G12" si="2">+C7+E7</f>
        <v>0</v>
      </c>
      <c r="H7" s="48" t="e">
        <f t="shared" ref="H7:H12" si="3">+(F7/G7-1)*100</f>
        <v>#DIV/0!</v>
      </c>
    </row>
    <row r="8" spans="1:8" x14ac:dyDescent="0.25">
      <c r="A8" s="35">
        <v>38890</v>
      </c>
      <c r="F8" s="14">
        <f t="shared" si="1"/>
        <v>0</v>
      </c>
      <c r="G8" s="2">
        <f t="shared" si="2"/>
        <v>0</v>
      </c>
      <c r="H8" s="48" t="e">
        <f t="shared" si="3"/>
        <v>#DIV/0!</v>
      </c>
    </row>
    <row r="9" spans="1:8" x14ac:dyDescent="0.25">
      <c r="A9" s="35">
        <v>38897</v>
      </c>
      <c r="F9" s="14">
        <f t="shared" si="1"/>
        <v>0</v>
      </c>
      <c r="G9" s="2">
        <f t="shared" si="2"/>
        <v>0</v>
      </c>
      <c r="H9" s="48" t="e">
        <f t="shared" si="3"/>
        <v>#DIV/0!</v>
      </c>
    </row>
    <row r="10" spans="1:8" x14ac:dyDescent="0.25">
      <c r="A10" s="35">
        <v>38904</v>
      </c>
      <c r="F10" s="14">
        <f t="shared" si="1"/>
        <v>0</v>
      </c>
      <c r="G10" s="2">
        <f t="shared" si="2"/>
        <v>0</v>
      </c>
      <c r="H10" s="48" t="e">
        <f t="shared" si="3"/>
        <v>#DIV/0!</v>
      </c>
    </row>
    <row r="11" spans="1:8" x14ac:dyDescent="0.25">
      <c r="A11" s="35">
        <v>38911</v>
      </c>
      <c r="F11" s="14">
        <f t="shared" si="1"/>
        <v>0</v>
      </c>
      <c r="G11" s="2">
        <f t="shared" si="2"/>
        <v>0</v>
      </c>
      <c r="H11" s="48" t="e">
        <f t="shared" si="3"/>
        <v>#DIV/0!</v>
      </c>
    </row>
    <row r="12" spans="1:8" x14ac:dyDescent="0.25">
      <c r="A12" s="35">
        <v>38918</v>
      </c>
      <c r="B12">
        <v>7.9</v>
      </c>
      <c r="C12">
        <v>37.5</v>
      </c>
      <c r="D12">
        <v>2057</v>
      </c>
      <c r="E12">
        <v>4569.5</v>
      </c>
      <c r="F12" s="14">
        <f t="shared" si="1"/>
        <v>2064.9</v>
      </c>
      <c r="G12" s="2">
        <f t="shared" si="2"/>
        <v>4607</v>
      </c>
      <c r="H12" s="48">
        <f t="shared" si="3"/>
        <v>-55.179075320164969</v>
      </c>
    </row>
    <row r="13" spans="1:8" x14ac:dyDescent="0.25">
      <c r="A13" s="35">
        <v>38925</v>
      </c>
    </row>
    <row r="14" spans="1:8" x14ac:dyDescent="0.25">
      <c r="A14" s="35">
        <v>38932</v>
      </c>
      <c r="B14">
        <v>7.9</v>
      </c>
      <c r="C14">
        <v>37.5</v>
      </c>
      <c r="D14">
        <v>2123</v>
      </c>
      <c r="E14">
        <v>4569.5</v>
      </c>
      <c r="F14" s="14">
        <f>+B14+D14</f>
        <v>2130.9</v>
      </c>
      <c r="G14" s="2">
        <f>+C14+E14</f>
        <v>4607</v>
      </c>
      <c r="H14" s="48">
        <f>+(F14/G14-1)*100</f>
        <v>-53.746472758845229</v>
      </c>
    </row>
    <row r="15" spans="1:8" x14ac:dyDescent="0.25">
      <c r="A15" s="35">
        <v>38939</v>
      </c>
    </row>
    <row r="16" spans="1:8" x14ac:dyDescent="0.25">
      <c r="A16" s="35">
        <v>38946</v>
      </c>
    </row>
    <row r="17" spans="1:8" x14ac:dyDescent="0.25">
      <c r="A17" s="35">
        <v>38953</v>
      </c>
    </row>
    <row r="18" spans="1:8" x14ac:dyDescent="0.25">
      <c r="A18" s="35">
        <f t="shared" ref="A18:A102" si="4">+A17+7</f>
        <v>38960</v>
      </c>
    </row>
    <row r="19" spans="1:8" x14ac:dyDescent="0.25">
      <c r="A19" s="64">
        <f t="shared" si="4"/>
        <v>38967</v>
      </c>
      <c r="B19" s="65">
        <v>22.3</v>
      </c>
      <c r="C19" s="65">
        <v>207.6</v>
      </c>
      <c r="D19" s="65">
        <v>0</v>
      </c>
      <c r="E19" s="65">
        <v>23.9</v>
      </c>
      <c r="F19" s="66">
        <f>+B19+D19</f>
        <v>22.3</v>
      </c>
      <c r="G19" s="67">
        <f>+C19+E19</f>
        <v>231.5</v>
      </c>
      <c r="H19" s="68">
        <f>+(F19/G19-1)*100</f>
        <v>-90.367170626349889</v>
      </c>
    </row>
    <row r="20" spans="1:8" x14ac:dyDescent="0.25">
      <c r="A20" s="35">
        <f t="shared" si="4"/>
        <v>38974</v>
      </c>
      <c r="F20" s="14"/>
      <c r="G20" s="2"/>
      <c r="H20" s="48"/>
    </row>
    <row r="21" spans="1:8" x14ac:dyDescent="0.25">
      <c r="A21" s="35">
        <f t="shared" si="4"/>
        <v>38981</v>
      </c>
      <c r="B21">
        <v>82.3</v>
      </c>
      <c r="C21">
        <v>230.6</v>
      </c>
      <c r="D21">
        <v>66</v>
      </c>
      <c r="E21">
        <v>23.9</v>
      </c>
      <c r="F21" s="14">
        <f t="shared" ref="F21:G39" si="5">+B21+D21</f>
        <v>148.30000000000001</v>
      </c>
      <c r="G21" s="2">
        <f t="shared" si="5"/>
        <v>254.5</v>
      </c>
      <c r="H21" s="48">
        <f t="shared" ref="H21:H39" si="6">+(F21/G21-1)*100</f>
        <v>-41.72888015717092</v>
      </c>
    </row>
    <row r="22" spans="1:8" x14ac:dyDescent="0.25">
      <c r="A22" s="35">
        <f t="shared" si="4"/>
        <v>38988</v>
      </c>
      <c r="B22">
        <v>137.30000000000001</v>
      </c>
      <c r="C22">
        <v>207.6</v>
      </c>
      <c r="D22">
        <v>66</v>
      </c>
      <c r="E22">
        <v>45.2</v>
      </c>
      <c r="F22" s="14">
        <f t="shared" si="5"/>
        <v>203.3</v>
      </c>
      <c r="G22" s="2">
        <f t="shared" si="5"/>
        <v>252.8</v>
      </c>
      <c r="H22" s="48">
        <f t="shared" si="6"/>
        <v>-19.580696202531644</v>
      </c>
    </row>
    <row r="23" spans="1:8" x14ac:dyDescent="0.25">
      <c r="A23" s="35">
        <f t="shared" si="4"/>
        <v>38995</v>
      </c>
      <c r="B23">
        <v>233.1</v>
      </c>
      <c r="C23">
        <v>187.6</v>
      </c>
      <c r="D23">
        <v>287.89999999999998</v>
      </c>
      <c r="E23">
        <v>45.2</v>
      </c>
      <c r="F23" s="14">
        <f t="shared" si="5"/>
        <v>521</v>
      </c>
      <c r="G23" s="2">
        <f t="shared" si="5"/>
        <v>232.8</v>
      </c>
      <c r="H23" s="48">
        <f t="shared" si="6"/>
        <v>123.79725085910653</v>
      </c>
    </row>
    <row r="24" spans="1:8" x14ac:dyDescent="0.25">
      <c r="A24" s="35">
        <f t="shared" si="4"/>
        <v>39002</v>
      </c>
      <c r="B24">
        <v>329.1</v>
      </c>
      <c r="C24">
        <v>141.6</v>
      </c>
      <c r="D24">
        <v>291.10000000000002</v>
      </c>
      <c r="E24">
        <v>102.1</v>
      </c>
      <c r="F24" s="14">
        <f t="shared" si="5"/>
        <v>620.20000000000005</v>
      </c>
      <c r="G24" s="2">
        <f t="shared" si="5"/>
        <v>243.7</v>
      </c>
      <c r="H24" s="48">
        <f t="shared" si="6"/>
        <v>154.49322938038574</v>
      </c>
    </row>
    <row r="25" spans="1:8" x14ac:dyDescent="0.25">
      <c r="A25" s="35">
        <f t="shared" si="4"/>
        <v>39009</v>
      </c>
      <c r="B25">
        <v>387</v>
      </c>
      <c r="C25">
        <v>206.1</v>
      </c>
      <c r="D25">
        <v>457.3</v>
      </c>
      <c r="E25">
        <v>172.1</v>
      </c>
      <c r="F25" s="14">
        <f t="shared" si="5"/>
        <v>844.3</v>
      </c>
      <c r="G25" s="2">
        <f t="shared" si="5"/>
        <v>378.2</v>
      </c>
      <c r="H25" s="48">
        <f t="shared" si="6"/>
        <v>123.24167107350607</v>
      </c>
    </row>
    <row r="26" spans="1:8" x14ac:dyDescent="0.25">
      <c r="A26" s="35">
        <f t="shared" si="4"/>
        <v>39016</v>
      </c>
      <c r="B26">
        <v>327</v>
      </c>
      <c r="C26">
        <v>206.1</v>
      </c>
      <c r="D26">
        <v>574.79999999999995</v>
      </c>
      <c r="E26">
        <v>198.8</v>
      </c>
      <c r="F26" s="14">
        <f t="shared" si="5"/>
        <v>901.8</v>
      </c>
      <c r="G26" s="2">
        <f t="shared" si="5"/>
        <v>404.9</v>
      </c>
      <c r="H26" s="48">
        <f t="shared" si="6"/>
        <v>122.72165966905408</v>
      </c>
    </row>
    <row r="27" spans="1:8" x14ac:dyDescent="0.25">
      <c r="A27" s="35">
        <f t="shared" si="4"/>
        <v>39023</v>
      </c>
      <c r="B27">
        <v>327</v>
      </c>
      <c r="C27">
        <v>204.5</v>
      </c>
      <c r="D27">
        <v>794.1</v>
      </c>
      <c r="E27">
        <v>262.60000000000002</v>
      </c>
      <c r="F27" s="14">
        <f t="shared" si="5"/>
        <v>1121.0999999999999</v>
      </c>
      <c r="G27" s="2">
        <f t="shared" si="5"/>
        <v>467.1</v>
      </c>
      <c r="H27" s="48">
        <f t="shared" si="6"/>
        <v>140.01284521515731</v>
      </c>
    </row>
    <row r="28" spans="1:8" x14ac:dyDescent="0.25">
      <c r="A28" s="35">
        <f t="shared" si="4"/>
        <v>39030</v>
      </c>
      <c r="B28">
        <v>327</v>
      </c>
      <c r="C28">
        <v>177</v>
      </c>
      <c r="D28">
        <v>953.3</v>
      </c>
      <c r="E28">
        <v>291.5</v>
      </c>
      <c r="F28" s="14">
        <f t="shared" si="5"/>
        <v>1280.3</v>
      </c>
      <c r="G28" s="2">
        <f t="shared" si="5"/>
        <v>468.5</v>
      </c>
      <c r="H28" s="48">
        <f t="shared" si="6"/>
        <v>173.27641408751333</v>
      </c>
    </row>
    <row r="29" spans="1:8" x14ac:dyDescent="0.25">
      <c r="A29" s="35">
        <f t="shared" si="4"/>
        <v>39037</v>
      </c>
      <c r="B29">
        <v>288.5</v>
      </c>
      <c r="C29">
        <v>235.1</v>
      </c>
      <c r="D29">
        <v>1040.2</v>
      </c>
      <c r="E29">
        <v>392.4</v>
      </c>
      <c r="F29" s="14">
        <f t="shared" si="5"/>
        <v>1328.7</v>
      </c>
      <c r="G29" s="2">
        <f t="shared" si="5"/>
        <v>627.5</v>
      </c>
      <c r="H29" s="48">
        <f t="shared" si="6"/>
        <v>111.74501992031871</v>
      </c>
    </row>
    <row r="30" spans="1:8" x14ac:dyDescent="0.25">
      <c r="A30" s="35">
        <f t="shared" si="4"/>
        <v>39044</v>
      </c>
      <c r="B30">
        <v>323.5</v>
      </c>
      <c r="C30">
        <v>212.1</v>
      </c>
      <c r="D30">
        <v>1181.5</v>
      </c>
      <c r="E30">
        <v>504.6</v>
      </c>
      <c r="F30" s="14">
        <f t="shared" si="5"/>
        <v>1505</v>
      </c>
      <c r="G30" s="2">
        <f t="shared" si="5"/>
        <v>716.7</v>
      </c>
      <c r="H30" s="48">
        <f t="shared" si="6"/>
        <v>109.99023301241802</v>
      </c>
    </row>
    <row r="31" spans="1:8" x14ac:dyDescent="0.25">
      <c r="A31" s="35">
        <f t="shared" si="4"/>
        <v>39051</v>
      </c>
      <c r="B31">
        <v>287.5</v>
      </c>
      <c r="C31">
        <v>342</v>
      </c>
      <c r="D31">
        <v>1226</v>
      </c>
      <c r="E31">
        <v>506</v>
      </c>
      <c r="F31" s="14">
        <f t="shared" si="5"/>
        <v>1513.5</v>
      </c>
      <c r="G31" s="2">
        <f t="shared" si="5"/>
        <v>848</v>
      </c>
      <c r="H31" s="48">
        <f t="shared" si="6"/>
        <v>78.478773584905667</v>
      </c>
    </row>
    <row r="32" spans="1:8" x14ac:dyDescent="0.25">
      <c r="A32" s="35">
        <f t="shared" si="4"/>
        <v>39058</v>
      </c>
      <c r="B32">
        <v>227.5</v>
      </c>
      <c r="C32">
        <v>282</v>
      </c>
      <c r="D32">
        <v>1456.8</v>
      </c>
      <c r="E32">
        <v>607.4</v>
      </c>
      <c r="F32" s="14">
        <f t="shared" si="5"/>
        <v>1684.3</v>
      </c>
      <c r="G32" s="2">
        <f t="shared" si="5"/>
        <v>889.4</v>
      </c>
      <c r="H32" s="48">
        <f t="shared" si="6"/>
        <v>89.37485945581291</v>
      </c>
    </row>
    <row r="33" spans="1:8" x14ac:dyDescent="0.25">
      <c r="A33" s="35">
        <f t="shared" si="4"/>
        <v>39065</v>
      </c>
      <c r="B33">
        <v>294.5</v>
      </c>
      <c r="C33">
        <v>224</v>
      </c>
      <c r="D33">
        <v>1512.8</v>
      </c>
      <c r="E33">
        <v>781.9</v>
      </c>
      <c r="F33" s="14">
        <f t="shared" si="5"/>
        <v>1807.3</v>
      </c>
      <c r="G33" s="2">
        <f t="shared" si="5"/>
        <v>1005.9</v>
      </c>
      <c r="H33" s="48">
        <f t="shared" si="6"/>
        <v>79.669947310865894</v>
      </c>
    </row>
    <row r="34" spans="1:8" x14ac:dyDescent="0.25">
      <c r="A34" s="35">
        <f t="shared" si="4"/>
        <v>39072</v>
      </c>
      <c r="B34">
        <v>354</v>
      </c>
      <c r="C34">
        <v>224</v>
      </c>
      <c r="D34">
        <v>1579.5</v>
      </c>
      <c r="E34">
        <v>802.8</v>
      </c>
      <c r="F34" s="14">
        <f t="shared" si="5"/>
        <v>1933.5</v>
      </c>
      <c r="G34" s="2">
        <f t="shared" si="5"/>
        <v>1026.8</v>
      </c>
      <c r="H34" s="48">
        <f t="shared" si="6"/>
        <v>88.303467082197116</v>
      </c>
    </row>
    <row r="35" spans="1:8" x14ac:dyDescent="0.25">
      <c r="A35" s="35">
        <f t="shared" si="4"/>
        <v>39079</v>
      </c>
      <c r="B35">
        <v>299</v>
      </c>
      <c r="C35">
        <v>194</v>
      </c>
      <c r="D35">
        <v>1963</v>
      </c>
      <c r="E35">
        <v>933.9</v>
      </c>
      <c r="F35" s="14">
        <f t="shared" si="5"/>
        <v>2262</v>
      </c>
      <c r="G35" s="2">
        <f t="shared" si="5"/>
        <v>1127.9000000000001</v>
      </c>
      <c r="H35" s="48">
        <f t="shared" si="6"/>
        <v>100.54969412181931</v>
      </c>
    </row>
    <row r="36" spans="1:8" x14ac:dyDescent="0.25">
      <c r="A36" s="35">
        <f t="shared" si="4"/>
        <v>39086</v>
      </c>
      <c r="B36">
        <v>292</v>
      </c>
      <c r="C36">
        <v>194</v>
      </c>
      <c r="D36">
        <v>1970.3</v>
      </c>
      <c r="E36">
        <v>1069.5</v>
      </c>
      <c r="F36" s="14">
        <f t="shared" si="5"/>
        <v>2262.3000000000002</v>
      </c>
      <c r="G36" s="2">
        <f t="shared" si="5"/>
        <v>1263.5</v>
      </c>
      <c r="H36" s="48">
        <f t="shared" si="6"/>
        <v>79.050257222002386</v>
      </c>
    </row>
    <row r="37" spans="1:8" x14ac:dyDescent="0.25">
      <c r="A37" s="35">
        <f t="shared" si="4"/>
        <v>39093</v>
      </c>
      <c r="B37">
        <v>11</v>
      </c>
      <c r="C37">
        <v>43.6</v>
      </c>
      <c r="D37">
        <v>2344.3000000000002</v>
      </c>
      <c r="E37">
        <v>1301.7</v>
      </c>
      <c r="F37" s="14">
        <f t="shared" si="5"/>
        <v>2355.3000000000002</v>
      </c>
      <c r="G37" s="2">
        <f t="shared" si="5"/>
        <v>1345.3</v>
      </c>
      <c r="H37" s="48">
        <f t="shared" si="6"/>
        <v>75.076191184122521</v>
      </c>
    </row>
    <row r="38" spans="1:8" x14ac:dyDescent="0.25">
      <c r="A38" s="35">
        <f t="shared" si="4"/>
        <v>39100</v>
      </c>
      <c r="B38">
        <v>118</v>
      </c>
      <c r="C38">
        <v>43.6</v>
      </c>
      <c r="D38">
        <v>2404.6999999999998</v>
      </c>
      <c r="E38">
        <v>1327.1</v>
      </c>
      <c r="F38" s="14">
        <f t="shared" si="5"/>
        <v>2522.6999999999998</v>
      </c>
      <c r="G38" s="2">
        <f t="shared" si="5"/>
        <v>1370.6999999999998</v>
      </c>
      <c r="H38" s="48">
        <f t="shared" si="6"/>
        <v>84.044648719632306</v>
      </c>
    </row>
    <row r="39" spans="1:8" x14ac:dyDescent="0.25">
      <c r="A39" s="35">
        <f t="shared" si="4"/>
        <v>39107</v>
      </c>
      <c r="B39">
        <v>84</v>
      </c>
      <c r="C39">
        <v>13.6</v>
      </c>
      <c r="D39">
        <v>2537.6999999999998</v>
      </c>
      <c r="E39">
        <v>1423.1</v>
      </c>
      <c r="F39" s="14">
        <f t="shared" si="5"/>
        <v>2621.7</v>
      </c>
      <c r="G39" s="2">
        <f t="shared" si="5"/>
        <v>1436.6999999999998</v>
      </c>
      <c r="H39" s="48">
        <f t="shared" si="6"/>
        <v>82.480684902902496</v>
      </c>
    </row>
    <row r="40" spans="1:8" x14ac:dyDescent="0.25">
      <c r="A40" s="35">
        <f t="shared" si="4"/>
        <v>39114</v>
      </c>
      <c r="B40">
        <v>26</v>
      </c>
      <c r="C40">
        <v>0</v>
      </c>
      <c r="D40">
        <v>2618.3000000000002</v>
      </c>
      <c r="E40">
        <v>1490.8</v>
      </c>
      <c r="F40" s="14">
        <f t="shared" ref="F40:G42" si="7">+B40+D40</f>
        <v>2644.3</v>
      </c>
      <c r="G40" s="2">
        <f t="shared" si="7"/>
        <v>1490.8</v>
      </c>
      <c r="H40" s="48">
        <f t="shared" ref="H40:H45" si="8">+(F40/G40-1)*100</f>
        <v>77.374563992487282</v>
      </c>
    </row>
    <row r="41" spans="1:8" x14ac:dyDescent="0.25">
      <c r="A41" s="35">
        <f t="shared" si="4"/>
        <v>39121</v>
      </c>
      <c r="B41">
        <v>26</v>
      </c>
      <c r="C41">
        <v>0</v>
      </c>
      <c r="D41">
        <v>2942.6</v>
      </c>
      <c r="E41">
        <v>1494.6</v>
      </c>
      <c r="F41" s="14">
        <f t="shared" si="7"/>
        <v>2968.6</v>
      </c>
      <c r="G41" s="2">
        <f t="shared" si="7"/>
        <v>1494.6</v>
      </c>
      <c r="H41" s="48">
        <f t="shared" si="8"/>
        <v>98.621704803960924</v>
      </c>
    </row>
    <row r="42" spans="1:8" x14ac:dyDescent="0.25">
      <c r="A42" s="35">
        <f t="shared" si="4"/>
        <v>39128</v>
      </c>
      <c r="B42">
        <v>0</v>
      </c>
      <c r="C42">
        <v>22.5</v>
      </c>
      <c r="D42">
        <v>2974</v>
      </c>
      <c r="E42">
        <v>1556.9</v>
      </c>
      <c r="F42" s="14">
        <f t="shared" si="7"/>
        <v>2974</v>
      </c>
      <c r="G42" s="2">
        <f t="shared" si="7"/>
        <v>1579.4</v>
      </c>
      <c r="H42" s="48">
        <f t="shared" si="8"/>
        <v>88.299354185133595</v>
      </c>
    </row>
    <row r="43" spans="1:8" x14ac:dyDescent="0.25">
      <c r="A43" s="35">
        <f t="shared" si="4"/>
        <v>39135</v>
      </c>
      <c r="B43">
        <v>0</v>
      </c>
      <c r="C43">
        <v>22.5</v>
      </c>
      <c r="D43">
        <v>3106.6</v>
      </c>
      <c r="E43">
        <v>1560.6</v>
      </c>
      <c r="F43" s="14">
        <f t="shared" ref="F43:G45" si="9">+B43+D43</f>
        <v>3106.6</v>
      </c>
      <c r="G43" s="2">
        <f t="shared" si="9"/>
        <v>1583.1</v>
      </c>
      <c r="H43" s="48">
        <f t="shared" si="8"/>
        <v>96.235234666161332</v>
      </c>
    </row>
    <row r="44" spans="1:8" x14ac:dyDescent="0.25">
      <c r="A44" s="35">
        <f t="shared" si="4"/>
        <v>39142</v>
      </c>
      <c r="B44">
        <v>0</v>
      </c>
      <c r="C44">
        <v>22.5</v>
      </c>
      <c r="D44">
        <v>3261.4</v>
      </c>
      <c r="E44">
        <v>1743.1</v>
      </c>
      <c r="F44" s="14">
        <f t="shared" si="9"/>
        <v>3261.4</v>
      </c>
      <c r="G44" s="2">
        <f t="shared" si="9"/>
        <v>1765.6</v>
      </c>
      <c r="H44" s="48">
        <f t="shared" si="8"/>
        <v>84.71907566832806</v>
      </c>
    </row>
    <row r="45" spans="1:8" x14ac:dyDescent="0.25">
      <c r="A45" s="35">
        <f t="shared" si="4"/>
        <v>39149</v>
      </c>
      <c r="B45">
        <v>0</v>
      </c>
      <c r="C45">
        <v>22.5</v>
      </c>
      <c r="D45">
        <v>3390.6</v>
      </c>
      <c r="E45">
        <v>1744.1</v>
      </c>
      <c r="F45" s="14">
        <f t="shared" si="9"/>
        <v>3390.6</v>
      </c>
      <c r="G45" s="2">
        <f t="shared" si="9"/>
        <v>1766.6</v>
      </c>
      <c r="H45" s="48">
        <f t="shared" si="8"/>
        <v>91.927997282916337</v>
      </c>
    </row>
    <row r="46" spans="1:8" x14ac:dyDescent="0.25">
      <c r="A46" s="35">
        <f t="shared" si="4"/>
        <v>39156</v>
      </c>
      <c r="B46">
        <v>18.399999999999999</v>
      </c>
      <c r="C46">
        <v>22.5</v>
      </c>
      <c r="D46">
        <v>3383.9</v>
      </c>
      <c r="E46">
        <v>1877.2</v>
      </c>
      <c r="F46" s="14">
        <f t="shared" ref="F46:G48" si="10">+B46+D46</f>
        <v>3402.3</v>
      </c>
      <c r="G46" s="2">
        <f t="shared" si="10"/>
        <v>1899.7</v>
      </c>
      <c r="H46" s="48">
        <f t="shared" ref="H46:H51" si="11">+(F46/G46-1)*100</f>
        <v>79.096699478865091</v>
      </c>
    </row>
    <row r="47" spans="1:8" x14ac:dyDescent="0.25">
      <c r="A47" s="35">
        <f t="shared" si="4"/>
        <v>39163</v>
      </c>
      <c r="B47">
        <v>24.5</v>
      </c>
      <c r="C47">
        <v>22.5</v>
      </c>
      <c r="D47">
        <v>3385.1</v>
      </c>
      <c r="E47">
        <v>1877.2</v>
      </c>
      <c r="F47" s="14">
        <f t="shared" si="10"/>
        <v>3409.6</v>
      </c>
      <c r="G47" s="2">
        <f t="shared" si="10"/>
        <v>1899.7</v>
      </c>
      <c r="H47" s="48">
        <f t="shared" si="11"/>
        <v>79.480970679580977</v>
      </c>
    </row>
    <row r="48" spans="1:8" x14ac:dyDescent="0.25">
      <c r="A48" s="35">
        <f t="shared" si="4"/>
        <v>39170</v>
      </c>
      <c r="B48">
        <v>24.5</v>
      </c>
      <c r="C48">
        <v>22.5</v>
      </c>
      <c r="D48">
        <v>3520.3</v>
      </c>
      <c r="E48">
        <v>1877.2</v>
      </c>
      <c r="F48" s="14">
        <f t="shared" si="10"/>
        <v>3544.8</v>
      </c>
      <c r="G48" s="2">
        <f t="shared" si="10"/>
        <v>1899.7</v>
      </c>
      <c r="H48" s="48">
        <f t="shared" si="11"/>
        <v>86.597883876401553</v>
      </c>
    </row>
    <row r="49" spans="1:9" x14ac:dyDescent="0.25">
      <c r="A49" s="35">
        <f t="shared" si="4"/>
        <v>39177</v>
      </c>
      <c r="B49">
        <v>0</v>
      </c>
      <c r="C49">
        <v>0</v>
      </c>
      <c r="D49">
        <v>3548.7</v>
      </c>
      <c r="E49">
        <v>1900.8</v>
      </c>
      <c r="F49" s="14">
        <f t="shared" ref="F49:G51" si="12">+B49+D49</f>
        <v>3548.7</v>
      </c>
      <c r="G49" s="2">
        <f t="shared" si="12"/>
        <v>1900.8</v>
      </c>
      <c r="H49" s="48">
        <f t="shared" si="11"/>
        <v>86.695075757575751</v>
      </c>
    </row>
    <row r="50" spans="1:9" x14ac:dyDescent="0.25">
      <c r="A50" s="35">
        <f t="shared" si="4"/>
        <v>39184</v>
      </c>
      <c r="B50">
        <v>0</v>
      </c>
      <c r="C50">
        <v>0</v>
      </c>
      <c r="D50">
        <v>3548.7</v>
      </c>
      <c r="E50">
        <v>1900.8</v>
      </c>
      <c r="F50" s="14">
        <f t="shared" si="12"/>
        <v>3548.7</v>
      </c>
      <c r="G50" s="2">
        <f t="shared" si="12"/>
        <v>1900.8</v>
      </c>
      <c r="H50" s="48">
        <f t="shared" si="11"/>
        <v>86.695075757575751</v>
      </c>
    </row>
    <row r="51" spans="1:9" x14ac:dyDescent="0.25">
      <c r="A51" s="35">
        <f t="shared" si="4"/>
        <v>39191</v>
      </c>
      <c r="B51">
        <v>0</v>
      </c>
      <c r="D51">
        <v>3551.1</v>
      </c>
      <c r="E51">
        <v>1900.8</v>
      </c>
      <c r="F51" s="14">
        <f t="shared" si="12"/>
        <v>3551.1</v>
      </c>
      <c r="G51" s="2">
        <f t="shared" si="12"/>
        <v>1900.8</v>
      </c>
      <c r="H51" s="48">
        <f t="shared" si="11"/>
        <v>86.821338383838381</v>
      </c>
    </row>
    <row r="52" spans="1:9" x14ac:dyDescent="0.25">
      <c r="A52" s="35">
        <f t="shared" si="4"/>
        <v>39198</v>
      </c>
      <c r="B52">
        <v>0</v>
      </c>
      <c r="D52">
        <v>3551.5</v>
      </c>
      <c r="E52">
        <v>1903</v>
      </c>
      <c r="F52" s="14">
        <f t="shared" ref="F52:G54" si="13">+B52+D52</f>
        <v>3551.5</v>
      </c>
      <c r="G52" s="2">
        <f t="shared" si="13"/>
        <v>1903</v>
      </c>
      <c r="H52" s="48">
        <f t="shared" ref="H52:H57" si="14">+(F52/G52-1)*100</f>
        <v>86.626379400945879</v>
      </c>
    </row>
    <row r="53" spans="1:9" x14ac:dyDescent="0.25">
      <c r="A53" s="35">
        <f t="shared" si="4"/>
        <v>39205</v>
      </c>
      <c r="B53">
        <v>0</v>
      </c>
      <c r="C53">
        <v>1.2</v>
      </c>
      <c r="D53">
        <v>3551.5</v>
      </c>
      <c r="E53">
        <v>1903</v>
      </c>
      <c r="F53" s="14">
        <f t="shared" si="13"/>
        <v>3551.5</v>
      </c>
      <c r="G53" s="2">
        <f t="shared" si="13"/>
        <v>1904.2</v>
      </c>
      <c r="H53" s="48">
        <f t="shared" si="14"/>
        <v>86.508770087175705</v>
      </c>
      <c r="I53">
        <v>60</v>
      </c>
    </row>
    <row r="54" spans="1:9" x14ac:dyDescent="0.25">
      <c r="A54" s="35">
        <f t="shared" si="4"/>
        <v>39212</v>
      </c>
      <c r="B54">
        <v>0</v>
      </c>
      <c r="D54">
        <v>3554.9</v>
      </c>
      <c r="E54">
        <v>1904.1</v>
      </c>
      <c r="F54" s="14">
        <f t="shared" si="13"/>
        <v>3554.9</v>
      </c>
      <c r="G54" s="2">
        <f t="shared" si="13"/>
        <v>1904.1</v>
      </c>
      <c r="H54" s="48">
        <f t="shared" si="14"/>
        <v>86.697127251719991</v>
      </c>
      <c r="I54">
        <v>60</v>
      </c>
    </row>
    <row r="55" spans="1:9" x14ac:dyDescent="0.25">
      <c r="A55" s="35">
        <f t="shared" si="4"/>
        <v>39219</v>
      </c>
      <c r="B55">
        <v>0</v>
      </c>
      <c r="C55">
        <v>0</v>
      </c>
      <c r="D55">
        <v>3554.9</v>
      </c>
      <c r="E55">
        <v>1904.2</v>
      </c>
      <c r="F55" s="14">
        <f t="shared" ref="F55:G57" si="15">+B55+D55</f>
        <v>3554.9</v>
      </c>
      <c r="G55" s="2">
        <f t="shared" si="15"/>
        <v>1904.2</v>
      </c>
      <c r="H55" s="48">
        <f t="shared" si="14"/>
        <v>86.687322760214272</v>
      </c>
      <c r="I55">
        <v>60</v>
      </c>
    </row>
    <row r="56" spans="1:9" x14ac:dyDescent="0.25">
      <c r="A56" s="35">
        <f t="shared" si="4"/>
        <v>39226</v>
      </c>
      <c r="B56">
        <v>0</v>
      </c>
      <c r="C56">
        <v>0</v>
      </c>
      <c r="D56">
        <v>3556.4</v>
      </c>
      <c r="E56">
        <v>1904.2</v>
      </c>
      <c r="F56" s="14">
        <f t="shared" si="15"/>
        <v>3556.4</v>
      </c>
      <c r="G56" s="2">
        <f t="shared" si="15"/>
        <v>1904.2</v>
      </c>
      <c r="H56" s="48">
        <f t="shared" si="14"/>
        <v>86.7660959983195</v>
      </c>
      <c r="I56">
        <v>60</v>
      </c>
    </row>
    <row r="57" spans="1:9" x14ac:dyDescent="0.25">
      <c r="A57" s="35">
        <f t="shared" si="4"/>
        <v>39233</v>
      </c>
      <c r="B57">
        <v>0</v>
      </c>
      <c r="C57">
        <v>0</v>
      </c>
      <c r="D57">
        <v>3573.1</v>
      </c>
      <c r="E57">
        <v>1905.6</v>
      </c>
      <c r="F57" s="14">
        <f t="shared" si="15"/>
        <v>3573.1</v>
      </c>
      <c r="G57" s="2">
        <f t="shared" si="15"/>
        <v>1905.6</v>
      </c>
      <c r="H57" s="48">
        <f t="shared" si="14"/>
        <v>87.505247691015953</v>
      </c>
      <c r="I57">
        <v>60</v>
      </c>
    </row>
    <row r="58" spans="1:9" x14ac:dyDescent="0.25">
      <c r="A58" s="35">
        <f t="shared" si="4"/>
        <v>39240</v>
      </c>
      <c r="B58">
        <v>0</v>
      </c>
      <c r="C58">
        <v>0</v>
      </c>
      <c r="D58">
        <v>3576.9</v>
      </c>
      <c r="E58">
        <v>1905.7</v>
      </c>
      <c r="F58" s="14">
        <f t="shared" ref="F58:G60" si="16">+B58+D58</f>
        <v>3576.9</v>
      </c>
      <c r="G58" s="2">
        <f t="shared" si="16"/>
        <v>1905.7</v>
      </c>
      <c r="H58" s="48">
        <f t="shared" ref="H58:H63" si="17">+(F58/G58-1)*100</f>
        <v>87.694810305924335</v>
      </c>
      <c r="I58">
        <v>60</v>
      </c>
    </row>
    <row r="59" spans="1:9" x14ac:dyDescent="0.25">
      <c r="A59" s="35">
        <f t="shared" si="4"/>
        <v>39247</v>
      </c>
      <c r="B59">
        <v>0</v>
      </c>
      <c r="C59">
        <v>0</v>
      </c>
      <c r="D59">
        <v>3576.9</v>
      </c>
      <c r="E59">
        <v>1905.7</v>
      </c>
      <c r="F59" s="14">
        <f t="shared" si="16"/>
        <v>3576.9</v>
      </c>
      <c r="G59" s="2">
        <f t="shared" si="16"/>
        <v>1905.7</v>
      </c>
      <c r="H59" s="48">
        <f t="shared" si="17"/>
        <v>87.694810305924335</v>
      </c>
      <c r="I59">
        <v>60</v>
      </c>
    </row>
    <row r="60" spans="1:9" x14ac:dyDescent="0.25">
      <c r="A60" s="35">
        <f t="shared" si="4"/>
        <v>39254</v>
      </c>
      <c r="B60">
        <v>0</v>
      </c>
      <c r="C60">
        <v>0</v>
      </c>
      <c r="D60">
        <v>3587.2</v>
      </c>
      <c r="E60">
        <v>1905.7</v>
      </c>
      <c r="F60" s="14">
        <f t="shared" si="16"/>
        <v>3587.2</v>
      </c>
      <c r="G60" s="2">
        <f t="shared" si="16"/>
        <v>1905.7</v>
      </c>
      <c r="H60" s="48">
        <f t="shared" si="17"/>
        <v>88.23529411764703</v>
      </c>
      <c r="I60">
        <v>60</v>
      </c>
    </row>
    <row r="61" spans="1:9" x14ac:dyDescent="0.25">
      <c r="A61" s="35">
        <f t="shared" si="4"/>
        <v>39261</v>
      </c>
      <c r="B61">
        <v>0</v>
      </c>
      <c r="C61">
        <v>7.9</v>
      </c>
      <c r="D61">
        <v>3594.7</v>
      </c>
      <c r="E61">
        <v>1968.3</v>
      </c>
      <c r="F61" s="14">
        <f t="shared" ref="F61:G63" si="18">+B61+D61</f>
        <v>3594.7</v>
      </c>
      <c r="G61" s="2">
        <f t="shared" si="18"/>
        <v>1976.2</v>
      </c>
      <c r="H61" s="48">
        <f t="shared" si="17"/>
        <v>81.899605303106966</v>
      </c>
      <c r="I61">
        <v>60</v>
      </c>
    </row>
    <row r="62" spans="1:9" x14ac:dyDescent="0.25">
      <c r="A62" s="35">
        <f t="shared" si="4"/>
        <v>39268</v>
      </c>
      <c r="B62">
        <v>0</v>
      </c>
      <c r="C62">
        <v>7.9</v>
      </c>
      <c r="D62">
        <v>3603.9</v>
      </c>
      <c r="E62">
        <v>1968.3</v>
      </c>
      <c r="F62" s="14">
        <f t="shared" si="18"/>
        <v>3603.9</v>
      </c>
      <c r="G62" s="2">
        <f t="shared" si="18"/>
        <v>1976.2</v>
      </c>
      <c r="H62" s="48">
        <f t="shared" si="17"/>
        <v>82.365145228215766</v>
      </c>
      <c r="I62">
        <v>60</v>
      </c>
    </row>
    <row r="63" spans="1:9" x14ac:dyDescent="0.25">
      <c r="A63" s="35">
        <f t="shared" si="4"/>
        <v>39275</v>
      </c>
      <c r="B63">
        <v>0</v>
      </c>
      <c r="C63">
        <v>7.9</v>
      </c>
      <c r="D63">
        <v>3608.3</v>
      </c>
      <c r="E63">
        <v>2057.1</v>
      </c>
      <c r="F63" s="14">
        <f t="shared" si="18"/>
        <v>3608.3</v>
      </c>
      <c r="G63" s="2">
        <f t="shared" si="18"/>
        <v>2065</v>
      </c>
      <c r="H63" s="48">
        <f t="shared" si="17"/>
        <v>74.736077481840212</v>
      </c>
      <c r="I63">
        <v>60</v>
      </c>
    </row>
    <row r="64" spans="1:9" x14ac:dyDescent="0.25">
      <c r="A64" s="35">
        <f t="shared" si="4"/>
        <v>39282</v>
      </c>
      <c r="B64">
        <v>0</v>
      </c>
      <c r="C64">
        <v>7.9</v>
      </c>
      <c r="D64">
        <v>3608.3</v>
      </c>
      <c r="E64">
        <v>2057.1</v>
      </c>
      <c r="F64" s="14">
        <f t="shared" ref="F64:G66" si="19">+B64+D64</f>
        <v>3608.3</v>
      </c>
      <c r="G64" s="2">
        <f t="shared" si="19"/>
        <v>2065</v>
      </c>
      <c r="H64" s="48">
        <f t="shared" ref="H64:H69" si="20">+(F64/G64-1)*100</f>
        <v>74.736077481840212</v>
      </c>
      <c r="I64">
        <v>60</v>
      </c>
    </row>
    <row r="65" spans="1:9" x14ac:dyDescent="0.25">
      <c r="A65" s="35">
        <f t="shared" si="4"/>
        <v>39289</v>
      </c>
      <c r="B65">
        <v>0</v>
      </c>
      <c r="C65">
        <v>7.9</v>
      </c>
      <c r="D65">
        <v>3608.3</v>
      </c>
      <c r="E65">
        <v>2057.1</v>
      </c>
      <c r="F65" s="14">
        <f t="shared" si="19"/>
        <v>3608.3</v>
      </c>
      <c r="G65" s="2">
        <f t="shared" si="19"/>
        <v>2065</v>
      </c>
      <c r="H65" s="48">
        <f t="shared" si="20"/>
        <v>74.736077481840212</v>
      </c>
      <c r="I65">
        <v>60</v>
      </c>
    </row>
    <row r="66" spans="1:9" x14ac:dyDescent="0.25">
      <c r="A66" s="35">
        <f t="shared" si="4"/>
        <v>39296</v>
      </c>
      <c r="B66">
        <v>0</v>
      </c>
      <c r="C66">
        <v>7.9</v>
      </c>
      <c r="D66">
        <v>3608.3</v>
      </c>
      <c r="E66">
        <v>2123.1</v>
      </c>
      <c r="F66" s="14">
        <f t="shared" si="19"/>
        <v>3608.3</v>
      </c>
      <c r="G66" s="2">
        <f t="shared" si="19"/>
        <v>2131</v>
      </c>
      <c r="H66" s="48">
        <f t="shared" si="20"/>
        <v>69.324260910370711</v>
      </c>
      <c r="I66">
        <v>60</v>
      </c>
    </row>
    <row r="67" spans="1:9" x14ac:dyDescent="0.25">
      <c r="A67" s="35">
        <f t="shared" si="4"/>
        <v>39303</v>
      </c>
      <c r="B67">
        <v>0</v>
      </c>
      <c r="C67">
        <v>13.3</v>
      </c>
      <c r="D67">
        <v>3615.2</v>
      </c>
      <c r="E67">
        <v>2123.1</v>
      </c>
      <c r="F67" s="14">
        <f t="shared" ref="F67:G69" si="21">+B67+D67</f>
        <v>3615.2</v>
      </c>
      <c r="G67" s="2">
        <f t="shared" si="21"/>
        <v>2136.4</v>
      </c>
      <c r="H67" s="48">
        <f t="shared" si="20"/>
        <v>69.219247331960304</v>
      </c>
      <c r="I67">
        <v>60</v>
      </c>
    </row>
    <row r="68" spans="1:9" x14ac:dyDescent="0.25">
      <c r="A68" s="35">
        <f t="shared" si="4"/>
        <v>39310</v>
      </c>
      <c r="B68">
        <v>0</v>
      </c>
      <c r="C68">
        <v>13.3</v>
      </c>
      <c r="D68">
        <v>3615.2</v>
      </c>
      <c r="E68">
        <v>2123.1</v>
      </c>
      <c r="F68" s="14">
        <f t="shared" si="21"/>
        <v>3615.2</v>
      </c>
      <c r="G68" s="2">
        <f t="shared" si="21"/>
        <v>2136.4</v>
      </c>
      <c r="H68" s="48">
        <f t="shared" si="20"/>
        <v>69.219247331960304</v>
      </c>
      <c r="I68">
        <v>60</v>
      </c>
    </row>
    <row r="69" spans="1:9" x14ac:dyDescent="0.25">
      <c r="A69" s="35">
        <f t="shared" si="4"/>
        <v>39317</v>
      </c>
      <c r="B69">
        <v>0</v>
      </c>
      <c r="C69">
        <v>13.3</v>
      </c>
      <c r="D69">
        <v>3615.2</v>
      </c>
      <c r="E69">
        <v>2123.1</v>
      </c>
      <c r="F69" s="14">
        <f t="shared" si="21"/>
        <v>3615.2</v>
      </c>
      <c r="G69" s="2">
        <f t="shared" si="21"/>
        <v>2136.4</v>
      </c>
      <c r="H69" s="48">
        <f t="shared" si="20"/>
        <v>69.219247331960304</v>
      </c>
      <c r="I69">
        <v>60</v>
      </c>
    </row>
    <row r="70" spans="1:9" x14ac:dyDescent="0.25">
      <c r="A70" s="35">
        <f t="shared" si="4"/>
        <v>39324</v>
      </c>
      <c r="B70">
        <v>0</v>
      </c>
      <c r="C70">
        <v>13.3</v>
      </c>
      <c r="D70">
        <v>3615.2</v>
      </c>
      <c r="E70">
        <v>2123.1</v>
      </c>
      <c r="F70" s="14">
        <f t="shared" ref="F70:G72" si="22">+B70+D70</f>
        <v>3615.2</v>
      </c>
      <c r="G70" s="2">
        <f t="shared" si="22"/>
        <v>2136.4</v>
      </c>
      <c r="H70" s="48">
        <f t="shared" ref="H70:H75" si="23">+(F70/G70-1)*100</f>
        <v>69.219247331960304</v>
      </c>
      <c r="I70">
        <v>60</v>
      </c>
    </row>
    <row r="71" spans="1:9" x14ac:dyDescent="0.25">
      <c r="A71" s="64">
        <f t="shared" si="4"/>
        <v>39331</v>
      </c>
      <c r="B71">
        <v>60</v>
      </c>
      <c r="C71">
        <v>22.3</v>
      </c>
      <c r="E71">
        <v>0</v>
      </c>
      <c r="F71" s="14">
        <f t="shared" si="22"/>
        <v>60</v>
      </c>
      <c r="G71" s="2">
        <f t="shared" si="22"/>
        <v>22.3</v>
      </c>
      <c r="H71" s="48">
        <f t="shared" si="23"/>
        <v>169.05829596412553</v>
      </c>
    </row>
    <row r="72" spans="1:9" x14ac:dyDescent="0.25">
      <c r="A72" s="35">
        <f t="shared" si="4"/>
        <v>39338</v>
      </c>
      <c r="B72">
        <v>60</v>
      </c>
      <c r="C72">
        <v>22.3</v>
      </c>
      <c r="D72">
        <v>65.2</v>
      </c>
      <c r="E72">
        <v>0</v>
      </c>
      <c r="F72" s="14">
        <f t="shared" si="22"/>
        <v>125.2</v>
      </c>
      <c r="G72" s="2">
        <f t="shared" si="22"/>
        <v>22.3</v>
      </c>
      <c r="H72" s="48">
        <f t="shared" si="23"/>
        <v>461.43497757847535</v>
      </c>
    </row>
    <row r="73" spans="1:9" x14ac:dyDescent="0.25">
      <c r="A73" s="35">
        <f t="shared" si="4"/>
        <v>39345</v>
      </c>
      <c r="B73">
        <v>60</v>
      </c>
      <c r="C73">
        <v>82.3</v>
      </c>
      <c r="D73">
        <v>127.7</v>
      </c>
      <c r="E73">
        <v>66</v>
      </c>
      <c r="F73" s="14">
        <f t="shared" ref="F73:G75" si="24">+B73+D73</f>
        <v>187.7</v>
      </c>
      <c r="G73" s="2">
        <f t="shared" si="24"/>
        <v>148.30000000000001</v>
      </c>
      <c r="H73" s="48">
        <f t="shared" si="23"/>
        <v>26.567768037761287</v>
      </c>
    </row>
    <row r="74" spans="1:9" x14ac:dyDescent="0.25">
      <c r="A74" s="35">
        <f t="shared" si="4"/>
        <v>39352</v>
      </c>
      <c r="B74">
        <v>60</v>
      </c>
      <c r="C74">
        <v>137.30000000000001</v>
      </c>
      <c r="D74">
        <v>129.30000000000001</v>
      </c>
      <c r="E74">
        <v>66</v>
      </c>
      <c r="F74" s="14">
        <f t="shared" si="24"/>
        <v>189.3</v>
      </c>
      <c r="G74" s="2">
        <f t="shared" si="24"/>
        <v>203.3</v>
      </c>
      <c r="H74" s="48">
        <f t="shared" si="23"/>
        <v>-6.8863748155435278</v>
      </c>
    </row>
    <row r="75" spans="1:9" x14ac:dyDescent="0.25">
      <c r="A75" s="35">
        <f t="shared" si="4"/>
        <v>39359</v>
      </c>
      <c r="B75">
        <v>150</v>
      </c>
      <c r="C75">
        <v>233.1</v>
      </c>
      <c r="D75">
        <v>129.30000000000001</v>
      </c>
      <c r="E75">
        <v>287.89999999999998</v>
      </c>
      <c r="F75" s="14">
        <f t="shared" si="24"/>
        <v>279.3</v>
      </c>
      <c r="G75" s="2">
        <f t="shared" si="24"/>
        <v>521</v>
      </c>
      <c r="H75" s="48">
        <f t="shared" si="23"/>
        <v>-46.391554702495199</v>
      </c>
    </row>
    <row r="76" spans="1:9" x14ac:dyDescent="0.25">
      <c r="A76" s="35">
        <f t="shared" si="4"/>
        <v>39366</v>
      </c>
      <c r="B76">
        <v>150</v>
      </c>
      <c r="C76">
        <v>329.1</v>
      </c>
      <c r="D76">
        <v>255.2</v>
      </c>
      <c r="E76">
        <v>291.10000000000002</v>
      </c>
      <c r="F76" s="14">
        <f t="shared" ref="F76:G78" si="25">+B76+D76</f>
        <v>405.2</v>
      </c>
      <c r="G76" s="2">
        <f t="shared" si="25"/>
        <v>620.20000000000005</v>
      </c>
      <c r="H76" s="48">
        <f t="shared" ref="H76:H81" si="26">+(F76/G76-1)*100</f>
        <v>-34.666236697839416</v>
      </c>
    </row>
    <row r="77" spans="1:9" x14ac:dyDescent="0.25">
      <c r="A77" s="35">
        <f t="shared" si="4"/>
        <v>39373</v>
      </c>
      <c r="B77">
        <v>150</v>
      </c>
      <c r="C77">
        <v>387</v>
      </c>
      <c r="D77">
        <v>343.1</v>
      </c>
      <c r="E77">
        <v>457.3</v>
      </c>
      <c r="F77" s="14">
        <f t="shared" si="25"/>
        <v>493.1</v>
      </c>
      <c r="G77" s="2">
        <f t="shared" si="25"/>
        <v>844.3</v>
      </c>
      <c r="H77" s="48">
        <f t="shared" si="26"/>
        <v>-41.596588890204899</v>
      </c>
    </row>
    <row r="78" spans="1:9" x14ac:dyDescent="0.25">
      <c r="A78" s="35">
        <f t="shared" si="4"/>
        <v>39380</v>
      </c>
      <c r="B78">
        <v>150</v>
      </c>
      <c r="C78">
        <v>327</v>
      </c>
      <c r="D78">
        <v>494</v>
      </c>
      <c r="E78">
        <v>574.79999999999995</v>
      </c>
      <c r="F78" s="14">
        <f t="shared" si="25"/>
        <v>644</v>
      </c>
      <c r="G78" s="2">
        <f t="shared" si="25"/>
        <v>901.8</v>
      </c>
      <c r="H78" s="48">
        <f t="shared" si="26"/>
        <v>-28.587269904635171</v>
      </c>
    </row>
    <row r="79" spans="1:9" x14ac:dyDescent="0.25">
      <c r="A79" s="35">
        <f t="shared" si="4"/>
        <v>39387</v>
      </c>
      <c r="B79">
        <v>150</v>
      </c>
      <c r="C79">
        <v>327</v>
      </c>
      <c r="D79">
        <v>676</v>
      </c>
      <c r="E79">
        <v>794.1</v>
      </c>
      <c r="F79" s="14">
        <f t="shared" ref="F79:G81" si="27">+B79+D79</f>
        <v>826</v>
      </c>
      <c r="G79" s="2">
        <f t="shared" si="27"/>
        <v>1121.0999999999999</v>
      </c>
      <c r="H79" s="48">
        <f t="shared" si="26"/>
        <v>-26.322361965926323</v>
      </c>
    </row>
    <row r="80" spans="1:9" x14ac:dyDescent="0.25">
      <c r="A80" s="35">
        <f t="shared" si="4"/>
        <v>39394</v>
      </c>
      <c r="B80">
        <v>150</v>
      </c>
      <c r="C80">
        <v>327</v>
      </c>
      <c r="D80">
        <v>789.8</v>
      </c>
      <c r="E80">
        <v>945</v>
      </c>
      <c r="F80" s="14">
        <f t="shared" si="27"/>
        <v>939.8</v>
      </c>
      <c r="G80" s="2">
        <f t="shared" si="27"/>
        <v>1272</v>
      </c>
      <c r="H80" s="48">
        <f t="shared" si="26"/>
        <v>-26.116352201257865</v>
      </c>
    </row>
    <row r="81" spans="1:9" x14ac:dyDescent="0.25">
      <c r="A81" s="35">
        <f t="shared" si="4"/>
        <v>39401</v>
      </c>
      <c r="B81">
        <v>177.5</v>
      </c>
      <c r="C81">
        <v>288.5</v>
      </c>
      <c r="D81">
        <v>827.8</v>
      </c>
      <c r="E81">
        <v>1031.9000000000001</v>
      </c>
      <c r="F81" s="14">
        <f t="shared" si="27"/>
        <v>1005.3</v>
      </c>
      <c r="G81" s="2">
        <f t="shared" si="27"/>
        <v>1320.4</v>
      </c>
      <c r="H81" s="48">
        <f t="shared" si="26"/>
        <v>-23.863980611935787</v>
      </c>
    </row>
    <row r="82" spans="1:9" x14ac:dyDescent="0.25">
      <c r="A82" s="35">
        <f t="shared" si="4"/>
        <v>39408</v>
      </c>
      <c r="B82">
        <v>120</v>
      </c>
      <c r="C82">
        <v>323.5</v>
      </c>
      <c r="D82">
        <v>959.7</v>
      </c>
      <c r="E82">
        <v>1173.3</v>
      </c>
      <c r="F82" s="14">
        <f t="shared" ref="F82:G84" si="28">+B82+D82</f>
        <v>1079.7</v>
      </c>
      <c r="G82" s="2">
        <f t="shared" si="28"/>
        <v>1496.8</v>
      </c>
      <c r="H82" s="48">
        <f t="shared" ref="H82:H87" si="29">+(F82/G82-1)*100</f>
        <v>-27.866114377338313</v>
      </c>
    </row>
    <row r="83" spans="1:9" x14ac:dyDescent="0.25">
      <c r="A83" s="35">
        <f t="shared" si="4"/>
        <v>39415</v>
      </c>
      <c r="B83">
        <v>184.5</v>
      </c>
      <c r="C83">
        <v>287.5</v>
      </c>
      <c r="D83">
        <v>1148.2</v>
      </c>
      <c r="E83">
        <v>1217.7</v>
      </c>
      <c r="F83" s="14">
        <f t="shared" si="28"/>
        <v>1332.7</v>
      </c>
      <c r="G83" s="2">
        <f t="shared" si="28"/>
        <v>1505.2</v>
      </c>
      <c r="H83" s="48">
        <f t="shared" si="29"/>
        <v>-11.460271060324212</v>
      </c>
    </row>
    <row r="84" spans="1:9" x14ac:dyDescent="0.25">
      <c r="A84" s="35">
        <f t="shared" si="4"/>
        <v>39422</v>
      </c>
      <c r="B84">
        <v>178</v>
      </c>
      <c r="C84">
        <v>227.5</v>
      </c>
      <c r="D84">
        <v>1359.9</v>
      </c>
      <c r="E84">
        <v>1448.5</v>
      </c>
      <c r="F84" s="14">
        <f t="shared" si="28"/>
        <v>1537.9</v>
      </c>
      <c r="G84" s="2">
        <f t="shared" si="28"/>
        <v>1676</v>
      </c>
      <c r="H84" s="48">
        <f t="shared" si="29"/>
        <v>-8.2398568019093066</v>
      </c>
    </row>
    <row r="85" spans="1:9" x14ac:dyDescent="0.25">
      <c r="A85" s="35">
        <f t="shared" si="4"/>
        <v>39429</v>
      </c>
      <c r="B85">
        <v>178</v>
      </c>
      <c r="C85">
        <v>294.5</v>
      </c>
      <c r="D85">
        <v>1426.6</v>
      </c>
      <c r="E85">
        <v>1504.6</v>
      </c>
      <c r="F85" s="14">
        <f t="shared" ref="F85:G87" si="30">+B85+D85</f>
        <v>1604.6</v>
      </c>
      <c r="G85" s="2">
        <f t="shared" si="30"/>
        <v>1799.1</v>
      </c>
      <c r="H85" s="48">
        <f t="shared" si="29"/>
        <v>-10.810961036073596</v>
      </c>
    </row>
    <row r="86" spans="1:9" x14ac:dyDescent="0.25">
      <c r="A86" s="35">
        <f t="shared" si="4"/>
        <v>39436</v>
      </c>
      <c r="B86">
        <v>178</v>
      </c>
      <c r="C86">
        <v>354</v>
      </c>
      <c r="D86">
        <v>1523.2</v>
      </c>
      <c r="E86">
        <v>1571.2</v>
      </c>
      <c r="F86" s="14">
        <f t="shared" si="30"/>
        <v>1701.2</v>
      </c>
      <c r="G86" s="2">
        <f t="shared" si="30"/>
        <v>1925.2</v>
      </c>
      <c r="H86" s="48">
        <f t="shared" si="29"/>
        <v>-11.635154789112823</v>
      </c>
    </row>
    <row r="87" spans="1:9" x14ac:dyDescent="0.25">
      <c r="A87" s="35">
        <f t="shared" si="4"/>
        <v>39443</v>
      </c>
      <c r="B87">
        <v>210.7</v>
      </c>
      <c r="C87">
        <v>299</v>
      </c>
      <c r="D87">
        <v>1631.1</v>
      </c>
      <c r="E87">
        <v>1954.8</v>
      </c>
      <c r="F87" s="14">
        <f t="shared" si="30"/>
        <v>1841.8</v>
      </c>
      <c r="G87" s="2">
        <f t="shared" si="30"/>
        <v>2253.8000000000002</v>
      </c>
      <c r="H87" s="48">
        <f t="shared" si="29"/>
        <v>-18.28023782056971</v>
      </c>
    </row>
    <row r="88" spans="1:9" x14ac:dyDescent="0.25">
      <c r="A88" s="35">
        <f t="shared" si="4"/>
        <v>39450</v>
      </c>
      <c r="B88">
        <v>148</v>
      </c>
      <c r="C88">
        <v>292</v>
      </c>
      <c r="D88">
        <v>1771.3</v>
      </c>
      <c r="E88">
        <v>1962</v>
      </c>
      <c r="F88" s="14">
        <f t="shared" ref="F88:G90" si="31">+B88+D88</f>
        <v>1919.3</v>
      </c>
      <c r="G88" s="2">
        <f t="shared" si="31"/>
        <v>2254</v>
      </c>
      <c r="H88" s="48">
        <f t="shared" ref="H88:H93" si="32">+(F88/G88-1)*100</f>
        <v>-14.849157054126005</v>
      </c>
    </row>
    <row r="89" spans="1:9" x14ac:dyDescent="0.25">
      <c r="A89" s="35">
        <f t="shared" si="4"/>
        <v>39457</v>
      </c>
      <c r="B89">
        <v>233</v>
      </c>
      <c r="C89">
        <v>118</v>
      </c>
      <c r="D89">
        <v>1872.7</v>
      </c>
      <c r="E89">
        <v>2336</v>
      </c>
      <c r="F89" s="14">
        <f t="shared" si="31"/>
        <v>2105.6999999999998</v>
      </c>
      <c r="G89" s="2">
        <f t="shared" si="31"/>
        <v>2454</v>
      </c>
      <c r="H89" s="48">
        <f t="shared" si="32"/>
        <v>-14.193154034229838</v>
      </c>
    </row>
    <row r="90" spans="1:9" x14ac:dyDescent="0.25">
      <c r="A90" s="35">
        <f t="shared" si="4"/>
        <v>39464</v>
      </c>
      <c r="B90">
        <v>285.2</v>
      </c>
      <c r="C90">
        <v>118</v>
      </c>
      <c r="D90">
        <v>2074.3000000000002</v>
      </c>
      <c r="E90">
        <v>2396.4</v>
      </c>
      <c r="F90" s="14">
        <f t="shared" si="31"/>
        <v>2359.5</v>
      </c>
      <c r="G90" s="2">
        <f t="shared" si="31"/>
        <v>2514.4</v>
      </c>
      <c r="H90" s="48">
        <f t="shared" si="32"/>
        <v>-6.1605154311167754</v>
      </c>
    </row>
    <row r="91" spans="1:9" x14ac:dyDescent="0.25">
      <c r="A91" s="35">
        <f t="shared" si="4"/>
        <v>39471</v>
      </c>
      <c r="B91">
        <v>240</v>
      </c>
      <c r="C91">
        <v>84</v>
      </c>
      <c r="D91">
        <v>2160.5</v>
      </c>
      <c r="E91">
        <v>2529.5</v>
      </c>
      <c r="F91" s="14">
        <f t="shared" ref="F91:G93" si="33">+B91+D91</f>
        <v>2400.5</v>
      </c>
      <c r="G91" s="2">
        <f t="shared" si="33"/>
        <v>2613.5</v>
      </c>
      <c r="H91" s="48">
        <f t="shared" si="32"/>
        <v>-8.1499904342835272</v>
      </c>
      <c r="I91">
        <v>110</v>
      </c>
    </row>
    <row r="92" spans="1:9" x14ac:dyDescent="0.25">
      <c r="A92" s="35">
        <f t="shared" si="4"/>
        <v>39478</v>
      </c>
      <c r="B92">
        <v>240</v>
      </c>
      <c r="C92">
        <v>26</v>
      </c>
      <c r="D92">
        <v>2290.9</v>
      </c>
      <c r="E92">
        <v>2610</v>
      </c>
      <c r="F92" s="14">
        <f t="shared" si="33"/>
        <v>2530.9</v>
      </c>
      <c r="G92" s="2">
        <f t="shared" si="33"/>
        <v>2636</v>
      </c>
      <c r="H92" s="48">
        <f t="shared" si="32"/>
        <v>-3.9871016691957473</v>
      </c>
      <c r="I92">
        <v>110</v>
      </c>
    </row>
    <row r="93" spans="1:9" x14ac:dyDescent="0.25">
      <c r="A93" s="35">
        <f t="shared" si="4"/>
        <v>39485</v>
      </c>
      <c r="B93">
        <v>240</v>
      </c>
      <c r="C93">
        <v>26</v>
      </c>
      <c r="D93">
        <v>2604.9</v>
      </c>
      <c r="E93">
        <v>2934.4</v>
      </c>
      <c r="F93" s="14">
        <f t="shared" si="33"/>
        <v>2844.9</v>
      </c>
      <c r="G93" s="2">
        <f t="shared" si="33"/>
        <v>2960.4</v>
      </c>
      <c r="H93" s="48">
        <f t="shared" si="32"/>
        <v>-3.9014997973246812</v>
      </c>
      <c r="I93">
        <v>110</v>
      </c>
    </row>
    <row r="94" spans="1:9" x14ac:dyDescent="0.25">
      <c r="A94" s="35">
        <f t="shared" si="4"/>
        <v>39492</v>
      </c>
      <c r="B94">
        <v>272</v>
      </c>
      <c r="C94">
        <v>0</v>
      </c>
      <c r="D94">
        <v>2677.5</v>
      </c>
      <c r="E94">
        <v>2965.8</v>
      </c>
      <c r="F94" s="14">
        <f t="shared" ref="F94:G96" si="34">+B94+D94</f>
        <v>2949.5</v>
      </c>
      <c r="G94" s="2">
        <f t="shared" si="34"/>
        <v>2965.8</v>
      </c>
      <c r="H94" s="48">
        <f t="shared" ref="H94:H99" si="35">+(F94/G94-1)*100</f>
        <v>-0.54959875918808576</v>
      </c>
      <c r="I94">
        <v>110</v>
      </c>
    </row>
    <row r="95" spans="1:9" x14ac:dyDescent="0.25">
      <c r="A95" s="35">
        <f t="shared" si="4"/>
        <v>39499</v>
      </c>
      <c r="B95">
        <v>214</v>
      </c>
      <c r="C95">
        <v>0</v>
      </c>
      <c r="D95">
        <v>2852.9</v>
      </c>
      <c r="E95">
        <v>3098.3</v>
      </c>
      <c r="F95" s="14">
        <f t="shared" si="34"/>
        <v>3066.9</v>
      </c>
      <c r="G95" s="2">
        <f t="shared" si="34"/>
        <v>3098.3</v>
      </c>
      <c r="H95" s="48">
        <f t="shared" si="35"/>
        <v>-1.0134589936416805</v>
      </c>
      <c r="I95">
        <v>110</v>
      </c>
    </row>
    <row r="96" spans="1:9" x14ac:dyDescent="0.25">
      <c r="A96" s="35">
        <f t="shared" si="4"/>
        <v>39506</v>
      </c>
      <c r="B96">
        <v>162</v>
      </c>
      <c r="C96">
        <v>0</v>
      </c>
      <c r="D96">
        <v>3112.6</v>
      </c>
      <c r="E96">
        <v>3253.2</v>
      </c>
      <c r="F96" s="14">
        <f t="shared" si="34"/>
        <v>3274.6</v>
      </c>
      <c r="G96" s="2">
        <f t="shared" si="34"/>
        <v>3253.2</v>
      </c>
      <c r="H96" s="48">
        <f t="shared" si="35"/>
        <v>0.65781384482970218</v>
      </c>
      <c r="I96">
        <v>110</v>
      </c>
    </row>
    <row r="97" spans="1:9" x14ac:dyDescent="0.25">
      <c r="A97" s="35">
        <f t="shared" si="4"/>
        <v>39513</v>
      </c>
      <c r="B97">
        <v>162</v>
      </c>
      <c r="C97">
        <v>0</v>
      </c>
      <c r="D97">
        <v>3112.6</v>
      </c>
      <c r="E97">
        <v>3253.2</v>
      </c>
      <c r="F97" s="14">
        <f t="shared" ref="F97:G99" si="36">+B97+D97</f>
        <v>3274.6</v>
      </c>
      <c r="G97" s="2">
        <f t="shared" si="36"/>
        <v>3253.2</v>
      </c>
      <c r="H97" s="48">
        <f t="shared" si="35"/>
        <v>0.65781384482970218</v>
      </c>
      <c r="I97">
        <v>110</v>
      </c>
    </row>
    <row r="98" spans="1:9" x14ac:dyDescent="0.25">
      <c r="A98" s="35">
        <f t="shared" si="4"/>
        <v>39520</v>
      </c>
      <c r="B98">
        <v>130.1</v>
      </c>
      <c r="C98">
        <v>18.399999999999999</v>
      </c>
      <c r="D98">
        <v>3396.9</v>
      </c>
      <c r="E98">
        <v>3383.9</v>
      </c>
      <c r="F98" s="14">
        <f t="shared" si="36"/>
        <v>3527</v>
      </c>
      <c r="G98" s="2">
        <f t="shared" si="36"/>
        <v>3402.3</v>
      </c>
      <c r="H98" s="48">
        <f t="shared" si="35"/>
        <v>3.6651676806865874</v>
      </c>
      <c r="I98">
        <v>110</v>
      </c>
    </row>
    <row r="99" spans="1:9" x14ac:dyDescent="0.25">
      <c r="A99" s="35">
        <f t="shared" si="4"/>
        <v>39527</v>
      </c>
      <c r="B99">
        <v>195.1</v>
      </c>
      <c r="C99">
        <v>24.5</v>
      </c>
      <c r="D99">
        <v>3444.7</v>
      </c>
      <c r="E99">
        <v>3385.1</v>
      </c>
      <c r="F99" s="14">
        <f t="shared" si="36"/>
        <v>3639.7999999999997</v>
      </c>
      <c r="G99" s="2">
        <f t="shared" si="36"/>
        <v>3409.6</v>
      </c>
      <c r="H99" s="48">
        <f t="shared" si="35"/>
        <v>6.7515251055842329</v>
      </c>
      <c r="I99">
        <v>110</v>
      </c>
    </row>
    <row r="100" spans="1:9" x14ac:dyDescent="0.25">
      <c r="A100" s="35">
        <f t="shared" si="4"/>
        <v>39534</v>
      </c>
      <c r="B100">
        <v>0.1</v>
      </c>
      <c r="C100">
        <v>24.5</v>
      </c>
      <c r="D100">
        <v>3444.7</v>
      </c>
      <c r="E100">
        <v>3520.3</v>
      </c>
      <c r="F100" s="14">
        <f t="shared" ref="F100:G102" si="37">+B100+D100</f>
        <v>3444.7999999999997</v>
      </c>
      <c r="G100" s="2">
        <f t="shared" si="37"/>
        <v>3544.8</v>
      </c>
      <c r="H100" s="48">
        <f>+(F100/G100-1)*100</f>
        <v>-2.821033626720848</v>
      </c>
      <c r="I100">
        <v>110</v>
      </c>
    </row>
    <row r="101" spans="1:9" x14ac:dyDescent="0.25">
      <c r="A101" s="35">
        <f t="shared" si="4"/>
        <v>39541</v>
      </c>
      <c r="B101">
        <v>0.1</v>
      </c>
      <c r="C101">
        <v>0</v>
      </c>
      <c r="D101">
        <v>3444.7</v>
      </c>
      <c r="E101">
        <v>3548.7</v>
      </c>
      <c r="F101" s="14">
        <f t="shared" si="37"/>
        <v>3444.7999999999997</v>
      </c>
      <c r="G101" s="2">
        <f t="shared" si="37"/>
        <v>3548.7</v>
      </c>
      <c r="H101" s="48">
        <f>+(F101/G101-1)*100</f>
        <v>-2.927832727477675</v>
      </c>
      <c r="I101">
        <v>305</v>
      </c>
    </row>
    <row r="102" spans="1:9" x14ac:dyDescent="0.25">
      <c r="A102" s="35">
        <f t="shared" si="4"/>
        <v>39548</v>
      </c>
      <c r="B102">
        <v>0.1</v>
      </c>
      <c r="C102">
        <v>0</v>
      </c>
      <c r="D102">
        <v>3510.1</v>
      </c>
      <c r="E102">
        <v>3548.7</v>
      </c>
      <c r="F102" s="14">
        <f t="shared" si="37"/>
        <v>3510.2</v>
      </c>
      <c r="G102" s="2">
        <f t="shared" si="37"/>
        <v>3548.7</v>
      </c>
      <c r="H102" s="48">
        <f>+(F102/G102-1)*100</f>
        <v>-1.0849043311635276</v>
      </c>
      <c r="I102">
        <v>305</v>
      </c>
    </row>
    <row r="103" spans="1:9" x14ac:dyDescent="0.25">
      <c r="A103" s="35">
        <f t="shared" ref="A103:A114" si="38">+A102+7</f>
        <v>39555</v>
      </c>
      <c r="B103">
        <v>0</v>
      </c>
      <c r="C103">
        <v>0</v>
      </c>
      <c r="D103">
        <v>3510.2</v>
      </c>
      <c r="E103">
        <v>3551.1</v>
      </c>
      <c r="F103" s="14">
        <f>+B103+D103</f>
        <v>3510.2</v>
      </c>
      <c r="G103" s="2">
        <f>+C103+E103</f>
        <v>3551.1</v>
      </c>
      <c r="H103" s="48">
        <f>+(F103/G103-1)*100</f>
        <v>-1.1517557939793366</v>
      </c>
      <c r="I103">
        <v>305</v>
      </c>
    </row>
    <row r="104" spans="1:9" x14ac:dyDescent="0.25">
      <c r="A104" s="35">
        <f t="shared" si="38"/>
        <v>39562</v>
      </c>
    </row>
    <row r="105" spans="1:9" x14ac:dyDescent="0.25">
      <c r="A105" s="35">
        <f t="shared" si="38"/>
        <v>39569</v>
      </c>
      <c r="B105">
        <v>0</v>
      </c>
      <c r="C105">
        <v>0</v>
      </c>
      <c r="D105">
        <v>3695.5</v>
      </c>
      <c r="E105">
        <v>3551.5</v>
      </c>
      <c r="F105" s="14">
        <f t="shared" ref="F105:G107" si="39">+B105+D105</f>
        <v>3695.5</v>
      </c>
      <c r="G105" s="2">
        <f t="shared" si="39"/>
        <v>3551.5</v>
      </c>
      <c r="H105" s="48">
        <f t="shared" ref="H105:H110" si="40">+(F105/G105-1)*100</f>
        <v>4.0546248064198265</v>
      </c>
      <c r="I105">
        <v>305</v>
      </c>
    </row>
    <row r="106" spans="1:9" x14ac:dyDescent="0.25">
      <c r="A106" s="35">
        <f t="shared" si="38"/>
        <v>39576</v>
      </c>
      <c r="B106">
        <v>0</v>
      </c>
      <c r="C106">
        <v>0</v>
      </c>
      <c r="D106">
        <v>3695.5</v>
      </c>
      <c r="E106">
        <v>3554.9</v>
      </c>
      <c r="F106" s="14">
        <f t="shared" si="39"/>
        <v>3695.5</v>
      </c>
      <c r="G106" s="2">
        <f t="shared" si="39"/>
        <v>3554.9</v>
      </c>
      <c r="H106" s="48">
        <f t="shared" si="40"/>
        <v>3.9551042223409993</v>
      </c>
      <c r="I106">
        <v>305</v>
      </c>
    </row>
    <row r="107" spans="1:9" x14ac:dyDescent="0.25">
      <c r="A107" s="35">
        <f t="shared" si="38"/>
        <v>39583</v>
      </c>
      <c r="B107">
        <v>0</v>
      </c>
      <c r="C107">
        <v>0</v>
      </c>
      <c r="D107">
        <v>3695.6</v>
      </c>
      <c r="E107">
        <v>3554.9</v>
      </c>
      <c r="F107" s="14">
        <f t="shared" si="39"/>
        <v>3695.6</v>
      </c>
      <c r="G107" s="2">
        <f t="shared" si="39"/>
        <v>3554.9</v>
      </c>
      <c r="H107" s="48">
        <f t="shared" si="40"/>
        <v>3.9579172409913044</v>
      </c>
      <c r="I107">
        <v>305</v>
      </c>
    </row>
    <row r="108" spans="1:9" x14ac:dyDescent="0.25">
      <c r="A108" s="35">
        <f t="shared" si="38"/>
        <v>39590</v>
      </c>
      <c r="B108">
        <v>0</v>
      </c>
      <c r="C108">
        <v>0</v>
      </c>
      <c r="D108">
        <v>3695.6</v>
      </c>
      <c r="E108">
        <v>3556.4</v>
      </c>
      <c r="F108" s="14">
        <f t="shared" ref="F108:G110" si="41">+B108+D108</f>
        <v>3695.6</v>
      </c>
      <c r="G108" s="2">
        <f t="shared" si="41"/>
        <v>3556.4</v>
      </c>
      <c r="H108" s="48">
        <f t="shared" si="40"/>
        <v>3.9140704082780253</v>
      </c>
      <c r="I108">
        <v>305</v>
      </c>
    </row>
    <row r="109" spans="1:9" x14ac:dyDescent="0.25">
      <c r="A109" s="35">
        <f t="shared" si="38"/>
        <v>39597</v>
      </c>
      <c r="B109">
        <v>0</v>
      </c>
      <c r="C109">
        <v>0</v>
      </c>
      <c r="D109">
        <v>3704.1</v>
      </c>
      <c r="E109">
        <v>3572.5</v>
      </c>
      <c r="F109" s="14">
        <f t="shared" si="41"/>
        <v>3704.1</v>
      </c>
      <c r="G109" s="2">
        <f t="shared" si="41"/>
        <v>3572.5</v>
      </c>
      <c r="H109" s="48">
        <f t="shared" si="40"/>
        <v>3.6836948915325296</v>
      </c>
      <c r="I109">
        <v>305</v>
      </c>
    </row>
    <row r="110" spans="1:9" x14ac:dyDescent="0.25">
      <c r="A110" s="35">
        <f t="shared" si="38"/>
        <v>39604</v>
      </c>
      <c r="B110">
        <v>0</v>
      </c>
      <c r="C110">
        <v>0</v>
      </c>
      <c r="D110">
        <v>3704.1</v>
      </c>
      <c r="E110">
        <v>3576.9</v>
      </c>
      <c r="F110" s="14">
        <f t="shared" si="41"/>
        <v>3704.1</v>
      </c>
      <c r="G110" s="2">
        <f t="shared" si="41"/>
        <v>3576.9</v>
      </c>
      <c r="H110" s="48">
        <f t="shared" si="40"/>
        <v>3.5561519751740267</v>
      </c>
      <c r="I110">
        <v>305</v>
      </c>
    </row>
    <row r="111" spans="1:9" x14ac:dyDescent="0.25">
      <c r="A111" s="35">
        <f t="shared" si="38"/>
        <v>39611</v>
      </c>
      <c r="B111">
        <v>0</v>
      </c>
      <c r="C111">
        <v>0</v>
      </c>
      <c r="D111">
        <v>3704.1</v>
      </c>
      <c r="E111">
        <v>3576.9</v>
      </c>
      <c r="F111" s="14">
        <f t="shared" ref="F111:G113" si="42">+B111+D111</f>
        <v>3704.1</v>
      </c>
      <c r="G111" s="2">
        <f t="shared" si="42"/>
        <v>3576.9</v>
      </c>
      <c r="H111" s="48">
        <f t="shared" ref="H111:H116" si="43">+(F111/G111-1)*100</f>
        <v>3.5561519751740267</v>
      </c>
      <c r="I111">
        <v>305</v>
      </c>
    </row>
    <row r="112" spans="1:9" x14ac:dyDescent="0.25">
      <c r="A112" s="35">
        <f t="shared" si="38"/>
        <v>39618</v>
      </c>
      <c r="B112">
        <v>0</v>
      </c>
      <c r="C112">
        <v>0</v>
      </c>
      <c r="D112">
        <v>3753.6</v>
      </c>
      <c r="E112">
        <v>3587.2</v>
      </c>
      <c r="F112" s="14">
        <f t="shared" si="42"/>
        <v>3753.6</v>
      </c>
      <c r="G112" s="2">
        <f t="shared" si="42"/>
        <v>3587.2</v>
      </c>
      <c r="H112" s="48">
        <f t="shared" si="43"/>
        <v>4.6387154326494207</v>
      </c>
      <c r="I112">
        <v>305</v>
      </c>
    </row>
    <row r="113" spans="1:10" x14ac:dyDescent="0.25">
      <c r="A113" s="35">
        <f t="shared" si="38"/>
        <v>39625</v>
      </c>
      <c r="B113">
        <v>0</v>
      </c>
      <c r="C113">
        <v>0</v>
      </c>
      <c r="D113">
        <v>3829.7</v>
      </c>
      <c r="E113">
        <v>3594.7</v>
      </c>
      <c r="F113" s="14">
        <f t="shared" si="42"/>
        <v>3829.7</v>
      </c>
      <c r="G113" s="2">
        <f t="shared" si="42"/>
        <v>3594.7</v>
      </c>
      <c r="H113" s="48">
        <f t="shared" si="43"/>
        <v>6.537402286699856</v>
      </c>
      <c r="I113">
        <v>305</v>
      </c>
    </row>
    <row r="114" spans="1:10" x14ac:dyDescent="0.25">
      <c r="A114" s="35">
        <f t="shared" si="38"/>
        <v>39632</v>
      </c>
      <c r="B114">
        <v>0</v>
      </c>
      <c r="C114">
        <v>0</v>
      </c>
      <c r="D114">
        <v>3829.7</v>
      </c>
      <c r="E114">
        <v>3603.9</v>
      </c>
      <c r="F114" s="14">
        <f t="shared" ref="F114:G116" si="44">+B114+D114</f>
        <v>3829.7</v>
      </c>
      <c r="G114" s="2">
        <f t="shared" si="44"/>
        <v>3603.9</v>
      </c>
      <c r="H114" s="48">
        <f t="shared" si="43"/>
        <v>6.2654346679985595</v>
      </c>
      <c r="I114">
        <v>305</v>
      </c>
    </row>
    <row r="115" spans="1:10" x14ac:dyDescent="0.25">
      <c r="A115" s="35">
        <f t="shared" ref="A115:A252" si="45">+A114+7</f>
        <v>39639</v>
      </c>
      <c r="B115">
        <v>0</v>
      </c>
      <c r="C115">
        <v>0</v>
      </c>
      <c r="D115">
        <v>3829.7</v>
      </c>
      <c r="E115">
        <v>3608.3</v>
      </c>
      <c r="F115" s="14">
        <f t="shared" si="44"/>
        <v>3829.7</v>
      </c>
      <c r="G115" s="2">
        <f t="shared" si="44"/>
        <v>3608.3</v>
      </c>
      <c r="H115" s="48">
        <f t="shared" si="43"/>
        <v>6.1358534489925898</v>
      </c>
      <c r="I115">
        <v>305</v>
      </c>
    </row>
    <row r="116" spans="1:10" x14ac:dyDescent="0.25">
      <c r="A116" s="35">
        <f t="shared" si="45"/>
        <v>39646</v>
      </c>
      <c r="B116">
        <v>0</v>
      </c>
      <c r="C116">
        <v>0</v>
      </c>
      <c r="D116">
        <v>3829.7</v>
      </c>
      <c r="E116">
        <v>3608.3</v>
      </c>
      <c r="F116" s="14">
        <f t="shared" si="44"/>
        <v>3829.7</v>
      </c>
      <c r="G116" s="2">
        <f t="shared" si="44"/>
        <v>3608.3</v>
      </c>
      <c r="H116" s="48">
        <f t="shared" si="43"/>
        <v>6.1358534489925898</v>
      </c>
      <c r="I116">
        <v>305</v>
      </c>
    </row>
    <row r="117" spans="1:10" x14ac:dyDescent="0.25">
      <c r="A117" s="35">
        <f t="shared" si="45"/>
        <v>39653</v>
      </c>
      <c r="B117">
        <v>0</v>
      </c>
      <c r="C117">
        <v>0</v>
      </c>
      <c r="D117">
        <v>3829.8</v>
      </c>
      <c r="E117">
        <v>3608.3</v>
      </c>
      <c r="F117" s="14">
        <f t="shared" ref="F117:G119" si="46">+B117+D117</f>
        <v>3829.8</v>
      </c>
      <c r="G117" s="2">
        <f t="shared" si="46"/>
        <v>3608.3</v>
      </c>
      <c r="H117" s="48">
        <f t="shared" ref="H117:H122" si="47">+(F117/G117-1)*100</f>
        <v>6.1386248371809504</v>
      </c>
      <c r="I117">
        <v>305</v>
      </c>
    </row>
    <row r="118" spans="1:10" x14ac:dyDescent="0.25">
      <c r="A118" s="35">
        <f t="shared" si="45"/>
        <v>39660</v>
      </c>
      <c r="B118">
        <v>0</v>
      </c>
      <c r="C118">
        <v>0</v>
      </c>
      <c r="D118">
        <v>3829.8</v>
      </c>
      <c r="E118">
        <v>3608.3</v>
      </c>
      <c r="F118" s="14">
        <f t="shared" si="46"/>
        <v>3829.8</v>
      </c>
      <c r="G118" s="2">
        <f t="shared" si="46"/>
        <v>3608.3</v>
      </c>
      <c r="H118" s="48">
        <f t="shared" si="47"/>
        <v>6.1386248371809504</v>
      </c>
      <c r="I118">
        <v>305</v>
      </c>
    </row>
    <row r="119" spans="1:10" x14ac:dyDescent="0.25">
      <c r="A119" s="35">
        <f t="shared" si="45"/>
        <v>39667</v>
      </c>
      <c r="B119">
        <v>0</v>
      </c>
      <c r="C119">
        <v>0</v>
      </c>
      <c r="D119">
        <v>3829.8</v>
      </c>
      <c r="E119">
        <v>3615.2</v>
      </c>
      <c r="F119" s="14">
        <f t="shared" si="46"/>
        <v>3829.8</v>
      </c>
      <c r="G119" s="2">
        <f t="shared" si="46"/>
        <v>3615.2</v>
      </c>
      <c r="H119" s="48">
        <f t="shared" si="47"/>
        <v>5.9360477981854398</v>
      </c>
      <c r="I119">
        <v>305</v>
      </c>
    </row>
    <row r="120" spans="1:10" x14ac:dyDescent="0.25">
      <c r="A120" s="35">
        <f t="shared" si="45"/>
        <v>39674</v>
      </c>
      <c r="B120">
        <v>0</v>
      </c>
      <c r="C120">
        <v>0</v>
      </c>
      <c r="D120">
        <v>3829.8</v>
      </c>
      <c r="E120">
        <v>3615.2</v>
      </c>
      <c r="F120" s="14">
        <f t="shared" ref="F120:G122" si="48">+B120+D120</f>
        <v>3829.8</v>
      </c>
      <c r="G120" s="2">
        <f t="shared" si="48"/>
        <v>3615.2</v>
      </c>
      <c r="H120" s="48">
        <f t="shared" si="47"/>
        <v>5.9360477981854398</v>
      </c>
      <c r="I120">
        <v>305</v>
      </c>
    </row>
    <row r="121" spans="1:10" x14ac:dyDescent="0.25">
      <c r="A121" s="35">
        <f t="shared" si="45"/>
        <v>39681</v>
      </c>
      <c r="B121">
        <v>0</v>
      </c>
      <c r="C121">
        <v>0</v>
      </c>
      <c r="D121">
        <v>3829.8</v>
      </c>
      <c r="E121">
        <v>3615.2</v>
      </c>
      <c r="F121" s="14">
        <f t="shared" si="48"/>
        <v>3829.8</v>
      </c>
      <c r="G121" s="2">
        <f t="shared" si="48"/>
        <v>3615.2</v>
      </c>
      <c r="H121" s="48">
        <f t="shared" si="47"/>
        <v>5.9360477981854398</v>
      </c>
      <c r="I121">
        <v>305</v>
      </c>
    </row>
    <row r="122" spans="1:10" x14ac:dyDescent="0.25">
      <c r="A122" s="35">
        <f t="shared" si="45"/>
        <v>39688</v>
      </c>
      <c r="B122">
        <v>0</v>
      </c>
      <c r="C122">
        <v>0</v>
      </c>
      <c r="D122">
        <v>3895.6</v>
      </c>
      <c r="E122">
        <v>3615.2</v>
      </c>
      <c r="F122" s="14">
        <f t="shared" si="48"/>
        <v>3895.6</v>
      </c>
      <c r="G122" s="2">
        <f t="shared" si="48"/>
        <v>3615.2</v>
      </c>
      <c r="H122" s="48">
        <f t="shared" si="47"/>
        <v>7.7561407391015802</v>
      </c>
      <c r="I122">
        <v>305</v>
      </c>
      <c r="J122" s="14">
        <f>+F122</f>
        <v>3895.6</v>
      </c>
    </row>
    <row r="123" spans="1:10" x14ac:dyDescent="0.25">
      <c r="A123" s="74">
        <f t="shared" si="45"/>
        <v>39695</v>
      </c>
      <c r="B123">
        <v>305</v>
      </c>
      <c r="C123">
        <v>60</v>
      </c>
      <c r="D123">
        <v>0</v>
      </c>
      <c r="E123">
        <v>0</v>
      </c>
      <c r="F123" s="14">
        <f t="shared" ref="F123:G125" si="49">+B123+D123</f>
        <v>305</v>
      </c>
      <c r="G123" s="2">
        <f t="shared" si="49"/>
        <v>60</v>
      </c>
      <c r="H123" s="48">
        <f t="shared" ref="H123:H128" si="50">+(F123/G123-1)*100</f>
        <v>408.33333333333331</v>
      </c>
    </row>
    <row r="124" spans="1:10" x14ac:dyDescent="0.25">
      <c r="A124" s="62">
        <f t="shared" si="45"/>
        <v>39702</v>
      </c>
      <c r="B124">
        <v>305</v>
      </c>
      <c r="C124">
        <v>60</v>
      </c>
      <c r="D124">
        <v>0.1</v>
      </c>
      <c r="E124">
        <v>65.2</v>
      </c>
      <c r="F124" s="14">
        <f t="shared" si="49"/>
        <v>305.10000000000002</v>
      </c>
      <c r="G124" s="2">
        <f t="shared" si="49"/>
        <v>125.2</v>
      </c>
      <c r="H124" s="48">
        <f t="shared" si="50"/>
        <v>143.69009584664539</v>
      </c>
    </row>
    <row r="125" spans="1:10" x14ac:dyDescent="0.25">
      <c r="A125" s="62">
        <f t="shared" si="45"/>
        <v>39709</v>
      </c>
      <c r="B125">
        <v>305</v>
      </c>
      <c r="C125">
        <v>60</v>
      </c>
      <c r="D125">
        <v>0.1</v>
      </c>
      <c r="E125">
        <v>127.7</v>
      </c>
      <c r="F125" s="14">
        <f t="shared" si="49"/>
        <v>305.10000000000002</v>
      </c>
      <c r="G125" s="2">
        <f t="shared" si="49"/>
        <v>187.7</v>
      </c>
      <c r="H125" s="48">
        <f t="shared" si="50"/>
        <v>62.546616941928626</v>
      </c>
    </row>
    <row r="126" spans="1:10" x14ac:dyDescent="0.25">
      <c r="A126" s="62">
        <f t="shared" si="45"/>
        <v>39716</v>
      </c>
      <c r="B126">
        <v>298</v>
      </c>
      <c r="C126">
        <v>60</v>
      </c>
      <c r="D126">
        <v>59.7</v>
      </c>
      <c r="E126">
        <v>129.30000000000001</v>
      </c>
      <c r="F126" s="14">
        <f t="shared" ref="F126:G128" si="51">+B126+D126</f>
        <v>357.7</v>
      </c>
      <c r="G126" s="2">
        <f t="shared" si="51"/>
        <v>189.3</v>
      </c>
      <c r="H126" s="48">
        <f t="shared" si="50"/>
        <v>88.959323824617002</v>
      </c>
    </row>
    <row r="127" spans="1:10" x14ac:dyDescent="0.25">
      <c r="A127" s="62">
        <f t="shared" si="45"/>
        <v>39723</v>
      </c>
      <c r="B127">
        <v>318</v>
      </c>
      <c r="C127">
        <v>150</v>
      </c>
      <c r="D127">
        <v>117.9</v>
      </c>
      <c r="E127">
        <v>129.30000000000001</v>
      </c>
      <c r="F127" s="14">
        <f t="shared" si="51"/>
        <v>435.9</v>
      </c>
      <c r="G127" s="2">
        <f t="shared" si="51"/>
        <v>279.3</v>
      </c>
      <c r="H127" s="48">
        <f t="shared" si="50"/>
        <v>56.06874328678839</v>
      </c>
    </row>
    <row r="128" spans="1:10" x14ac:dyDescent="0.25">
      <c r="A128" s="62">
        <f t="shared" si="45"/>
        <v>39730</v>
      </c>
      <c r="B128">
        <v>378</v>
      </c>
      <c r="C128">
        <v>150</v>
      </c>
      <c r="D128">
        <v>175.9</v>
      </c>
      <c r="E128">
        <v>255.2</v>
      </c>
      <c r="F128" s="14">
        <f t="shared" si="51"/>
        <v>553.9</v>
      </c>
      <c r="G128" s="2">
        <f t="shared" si="51"/>
        <v>405.2</v>
      </c>
      <c r="H128" s="48">
        <f t="shared" si="50"/>
        <v>36.69792694965448</v>
      </c>
    </row>
    <row r="129" spans="1:8" x14ac:dyDescent="0.25">
      <c r="A129" s="62">
        <f t="shared" si="45"/>
        <v>39737</v>
      </c>
      <c r="B129">
        <v>378</v>
      </c>
      <c r="C129">
        <v>150</v>
      </c>
      <c r="D129">
        <v>298.89999999999998</v>
      </c>
      <c r="E129">
        <v>343.1</v>
      </c>
      <c r="F129" s="14">
        <f t="shared" ref="F129:G131" si="52">+B129+D129</f>
        <v>676.9</v>
      </c>
      <c r="G129" s="2">
        <f t="shared" si="52"/>
        <v>493.1</v>
      </c>
      <c r="H129" s="48">
        <f t="shared" ref="H129:H134" si="53">+(F129/G129-1)*100</f>
        <v>37.274386534171569</v>
      </c>
    </row>
    <row r="130" spans="1:8" x14ac:dyDescent="0.25">
      <c r="A130" s="62">
        <f t="shared" si="45"/>
        <v>39744</v>
      </c>
      <c r="B130">
        <v>378</v>
      </c>
      <c r="C130">
        <v>150</v>
      </c>
      <c r="D130">
        <v>298.89999999999998</v>
      </c>
      <c r="E130">
        <v>494</v>
      </c>
      <c r="F130" s="14">
        <f t="shared" si="52"/>
        <v>676.9</v>
      </c>
      <c r="G130" s="2">
        <f t="shared" si="52"/>
        <v>644</v>
      </c>
      <c r="H130" s="48">
        <f t="shared" si="53"/>
        <v>5.1086956521739113</v>
      </c>
    </row>
    <row r="131" spans="1:8" x14ac:dyDescent="0.25">
      <c r="A131" s="62">
        <f t="shared" si="45"/>
        <v>39751</v>
      </c>
      <c r="B131">
        <v>258.60000000000002</v>
      </c>
      <c r="C131">
        <v>150</v>
      </c>
      <c r="D131">
        <v>540.20000000000005</v>
      </c>
      <c r="E131">
        <v>676</v>
      </c>
      <c r="F131" s="14">
        <f t="shared" si="52"/>
        <v>798.80000000000007</v>
      </c>
      <c r="G131" s="2">
        <f t="shared" si="52"/>
        <v>826</v>
      </c>
      <c r="H131" s="48">
        <f t="shared" si="53"/>
        <v>-3.2929782082324333</v>
      </c>
    </row>
    <row r="132" spans="1:8" x14ac:dyDescent="0.25">
      <c r="A132" s="62">
        <f t="shared" si="45"/>
        <v>39758</v>
      </c>
      <c r="B132">
        <v>312.60000000000002</v>
      </c>
      <c r="C132">
        <v>150</v>
      </c>
      <c r="D132">
        <v>606.70000000000005</v>
      </c>
      <c r="E132">
        <v>789.8</v>
      </c>
      <c r="F132" s="14">
        <f t="shared" ref="F132:G134" si="54">+B132+D132</f>
        <v>919.30000000000007</v>
      </c>
      <c r="G132" s="2">
        <f t="shared" si="54"/>
        <v>939.8</v>
      </c>
      <c r="H132" s="48">
        <f t="shared" si="53"/>
        <v>-2.1813151734411451</v>
      </c>
    </row>
    <row r="133" spans="1:8" x14ac:dyDescent="0.25">
      <c r="A133" s="62">
        <f t="shared" si="45"/>
        <v>39765</v>
      </c>
      <c r="B133">
        <v>257.60000000000002</v>
      </c>
      <c r="C133">
        <v>177.5</v>
      </c>
      <c r="D133">
        <v>800.5</v>
      </c>
      <c r="E133">
        <v>827.8</v>
      </c>
      <c r="F133" s="14">
        <f t="shared" si="54"/>
        <v>1058.0999999999999</v>
      </c>
      <c r="G133" s="2">
        <f t="shared" si="54"/>
        <v>1005.3</v>
      </c>
      <c r="H133" s="48">
        <f t="shared" si="53"/>
        <v>5.252163533273646</v>
      </c>
    </row>
    <row r="134" spans="1:8" x14ac:dyDescent="0.25">
      <c r="A134" s="62">
        <f t="shared" si="45"/>
        <v>39772</v>
      </c>
      <c r="B134">
        <v>257.7</v>
      </c>
      <c r="C134">
        <v>120</v>
      </c>
      <c r="D134">
        <v>932.3</v>
      </c>
      <c r="E134">
        <v>959.7</v>
      </c>
      <c r="F134" s="14">
        <f t="shared" si="54"/>
        <v>1190</v>
      </c>
      <c r="G134" s="2">
        <f t="shared" si="54"/>
        <v>1079.7</v>
      </c>
      <c r="H134" s="48">
        <f t="shared" si="53"/>
        <v>10.215800685375553</v>
      </c>
    </row>
    <row r="135" spans="1:8" x14ac:dyDescent="0.25">
      <c r="A135" s="62">
        <f t="shared" si="45"/>
        <v>39779</v>
      </c>
      <c r="B135">
        <v>257.60000000000002</v>
      </c>
      <c r="C135">
        <v>184.5</v>
      </c>
      <c r="D135">
        <v>995.1</v>
      </c>
      <c r="E135">
        <v>1148.2</v>
      </c>
      <c r="F135" s="14">
        <f t="shared" ref="F135:G137" si="55">+B135+D135</f>
        <v>1252.7</v>
      </c>
      <c r="G135" s="2">
        <f t="shared" si="55"/>
        <v>1332.7</v>
      </c>
      <c r="H135" s="48">
        <f t="shared" ref="H135:H140" si="56">+(F135/G135-1)*100</f>
        <v>-6.0028513543933348</v>
      </c>
    </row>
    <row r="136" spans="1:8" x14ac:dyDescent="0.25">
      <c r="A136" s="62">
        <f t="shared" si="45"/>
        <v>39786</v>
      </c>
      <c r="B136">
        <v>257.60000000000002</v>
      </c>
      <c r="C136">
        <v>178</v>
      </c>
      <c r="D136">
        <v>1117.2</v>
      </c>
      <c r="E136">
        <v>1359.9</v>
      </c>
      <c r="F136" s="14">
        <f t="shared" si="55"/>
        <v>1374.8000000000002</v>
      </c>
      <c r="G136" s="2">
        <f t="shared" si="55"/>
        <v>1537.9</v>
      </c>
      <c r="H136" s="48">
        <f t="shared" si="56"/>
        <v>-10.60537096040054</v>
      </c>
    </row>
    <row r="137" spans="1:8" x14ac:dyDescent="0.25">
      <c r="A137" s="62">
        <f t="shared" si="45"/>
        <v>39793</v>
      </c>
      <c r="B137">
        <v>203.8</v>
      </c>
      <c r="C137">
        <v>178</v>
      </c>
      <c r="D137">
        <v>1171</v>
      </c>
      <c r="E137">
        <v>1426.6</v>
      </c>
      <c r="F137" s="14">
        <f t="shared" si="55"/>
        <v>1374.8</v>
      </c>
      <c r="G137" s="2">
        <f t="shared" si="55"/>
        <v>1604.6</v>
      </c>
      <c r="H137" s="48">
        <f t="shared" si="56"/>
        <v>-14.321326187211769</v>
      </c>
    </row>
    <row r="138" spans="1:8" x14ac:dyDescent="0.25">
      <c r="A138" s="62">
        <f t="shared" si="45"/>
        <v>39800</v>
      </c>
      <c r="B138">
        <v>215</v>
      </c>
      <c r="C138">
        <v>178</v>
      </c>
      <c r="D138">
        <v>1300.9000000000001</v>
      </c>
      <c r="E138">
        <v>1523.2</v>
      </c>
      <c r="F138" s="14">
        <f t="shared" ref="F138:G140" si="57">+B138+D138</f>
        <v>1515.9</v>
      </c>
      <c r="G138" s="2">
        <f t="shared" si="57"/>
        <v>1701.2</v>
      </c>
      <c r="H138" s="48">
        <f t="shared" si="56"/>
        <v>-10.892311309663761</v>
      </c>
    </row>
    <row r="139" spans="1:8" x14ac:dyDescent="0.25">
      <c r="A139" s="62">
        <f t="shared" si="45"/>
        <v>39807</v>
      </c>
      <c r="B139">
        <v>95.1</v>
      </c>
      <c r="C139">
        <v>210.7</v>
      </c>
      <c r="D139">
        <v>1423.4</v>
      </c>
      <c r="E139">
        <v>1631.1</v>
      </c>
      <c r="F139" s="14">
        <f t="shared" si="57"/>
        <v>1518.5</v>
      </c>
      <c r="G139" s="2">
        <f t="shared" si="57"/>
        <v>1841.8</v>
      </c>
      <c r="H139" s="48">
        <f t="shared" si="56"/>
        <v>-17.553480291019653</v>
      </c>
    </row>
    <row r="140" spans="1:8" x14ac:dyDescent="0.25">
      <c r="A140" s="62">
        <f t="shared" si="45"/>
        <v>39814</v>
      </c>
      <c r="B140">
        <v>98</v>
      </c>
      <c r="C140">
        <v>148</v>
      </c>
      <c r="D140">
        <v>1479</v>
      </c>
      <c r="E140">
        <v>1771.3</v>
      </c>
      <c r="F140" s="14">
        <f t="shared" si="57"/>
        <v>1577</v>
      </c>
      <c r="G140" s="2">
        <f t="shared" si="57"/>
        <v>1919.3</v>
      </c>
      <c r="H140" s="48">
        <f t="shared" si="56"/>
        <v>-17.834627207836185</v>
      </c>
    </row>
    <row r="141" spans="1:8" x14ac:dyDescent="0.25">
      <c r="A141" s="62">
        <f t="shared" si="45"/>
        <v>39821</v>
      </c>
      <c r="B141">
        <v>98</v>
      </c>
      <c r="C141">
        <v>233</v>
      </c>
      <c r="D141">
        <v>1545.9</v>
      </c>
      <c r="E141">
        <v>1872.7</v>
      </c>
      <c r="F141" s="14">
        <f t="shared" ref="F141:G143" si="58">+B141+D141</f>
        <v>1643.9</v>
      </c>
      <c r="G141" s="2">
        <f t="shared" si="58"/>
        <v>2105.6999999999998</v>
      </c>
      <c r="H141" s="48">
        <f t="shared" ref="H141:H146" si="59">+(F141/G141-1)*100</f>
        <v>-21.930949328014428</v>
      </c>
    </row>
    <row r="142" spans="1:8" x14ac:dyDescent="0.25">
      <c r="A142" s="62">
        <f t="shared" si="45"/>
        <v>39828</v>
      </c>
      <c r="B142">
        <v>50.1</v>
      </c>
      <c r="C142">
        <v>285.2</v>
      </c>
      <c r="D142">
        <v>1669.5</v>
      </c>
      <c r="E142">
        <v>2074.3000000000002</v>
      </c>
      <c r="F142" s="14">
        <f t="shared" si="58"/>
        <v>1719.6</v>
      </c>
      <c r="G142" s="2">
        <f t="shared" si="58"/>
        <v>2359.5</v>
      </c>
      <c r="H142" s="48">
        <f t="shared" si="59"/>
        <v>-27.120152574698032</v>
      </c>
    </row>
    <row r="143" spans="1:8" x14ac:dyDescent="0.25">
      <c r="A143" s="62">
        <f t="shared" si="45"/>
        <v>39835</v>
      </c>
      <c r="B143">
        <v>50.1</v>
      </c>
      <c r="C143">
        <v>240</v>
      </c>
      <c r="D143">
        <v>1669.5</v>
      </c>
      <c r="E143">
        <v>2160.5</v>
      </c>
      <c r="F143" s="14">
        <f t="shared" si="58"/>
        <v>1719.6</v>
      </c>
      <c r="G143" s="2">
        <f t="shared" si="58"/>
        <v>2400.5</v>
      </c>
      <c r="H143" s="48">
        <f t="shared" si="59"/>
        <v>-28.364923974172051</v>
      </c>
    </row>
    <row r="144" spans="1:8" x14ac:dyDescent="0.25">
      <c r="A144" s="62">
        <f t="shared" si="45"/>
        <v>39842</v>
      </c>
      <c r="B144">
        <v>50.1</v>
      </c>
      <c r="C144">
        <v>240</v>
      </c>
      <c r="D144">
        <v>1745.9</v>
      </c>
      <c r="E144">
        <v>2290.9</v>
      </c>
      <c r="F144" s="14">
        <f t="shared" ref="F144:G146" si="60">+B144+D144</f>
        <v>1796</v>
      </c>
      <c r="G144" s="2">
        <f t="shared" si="60"/>
        <v>2530.9</v>
      </c>
      <c r="H144" s="48">
        <f t="shared" si="59"/>
        <v>-29.037101426370072</v>
      </c>
    </row>
    <row r="145" spans="1:9" x14ac:dyDescent="0.25">
      <c r="A145" s="62">
        <f t="shared" si="45"/>
        <v>39849</v>
      </c>
      <c r="B145">
        <v>50.1</v>
      </c>
      <c r="C145">
        <v>240</v>
      </c>
      <c r="D145">
        <v>1824.1</v>
      </c>
      <c r="E145">
        <v>2604.9</v>
      </c>
      <c r="F145" s="14">
        <f t="shared" si="60"/>
        <v>1874.1999999999998</v>
      </c>
      <c r="G145" s="2">
        <f t="shared" si="60"/>
        <v>2844.9</v>
      </c>
      <c r="H145" s="48">
        <f t="shared" si="59"/>
        <v>-34.12070723048263</v>
      </c>
    </row>
    <row r="146" spans="1:9" x14ac:dyDescent="0.25">
      <c r="A146" s="62">
        <f t="shared" si="45"/>
        <v>39856</v>
      </c>
      <c r="B146">
        <v>50.1</v>
      </c>
      <c r="C146">
        <v>272</v>
      </c>
      <c r="D146">
        <v>1964.9</v>
      </c>
      <c r="E146">
        <v>2677.5</v>
      </c>
      <c r="F146" s="14">
        <f t="shared" si="60"/>
        <v>2015</v>
      </c>
      <c r="G146" s="2">
        <f t="shared" si="60"/>
        <v>2949.5</v>
      </c>
      <c r="H146" s="48">
        <f t="shared" si="59"/>
        <v>-31.683336158670961</v>
      </c>
    </row>
    <row r="147" spans="1:9" x14ac:dyDescent="0.25">
      <c r="A147" s="62">
        <f t="shared" si="45"/>
        <v>39863</v>
      </c>
      <c r="B147">
        <v>50.2</v>
      </c>
      <c r="C147">
        <v>214</v>
      </c>
      <c r="D147">
        <v>1964.9</v>
      </c>
      <c r="E147">
        <v>2852.9</v>
      </c>
      <c r="F147" s="14">
        <f t="shared" ref="F147:G149" si="61">+B147+D147</f>
        <v>2015.1000000000001</v>
      </c>
      <c r="G147" s="2">
        <f t="shared" si="61"/>
        <v>3066.9</v>
      </c>
      <c r="H147" s="48">
        <f t="shared" ref="H147:H152" si="62">+(F147/G147-1)*100</f>
        <v>-34.29521666829698</v>
      </c>
    </row>
    <row r="148" spans="1:9" x14ac:dyDescent="0.25">
      <c r="A148" s="62">
        <f t="shared" si="45"/>
        <v>39870</v>
      </c>
      <c r="B148">
        <v>50.1</v>
      </c>
      <c r="C148">
        <v>162</v>
      </c>
      <c r="D148">
        <v>2030.3</v>
      </c>
      <c r="E148">
        <v>3112.6</v>
      </c>
      <c r="F148" s="14">
        <f t="shared" si="61"/>
        <v>2080.4</v>
      </c>
      <c r="G148" s="2">
        <f t="shared" si="61"/>
        <v>3274.6</v>
      </c>
      <c r="H148" s="48">
        <f t="shared" si="62"/>
        <v>-36.468576314664382</v>
      </c>
    </row>
    <row r="149" spans="1:9" x14ac:dyDescent="0.25">
      <c r="A149" s="62">
        <f t="shared" si="45"/>
        <v>39877</v>
      </c>
      <c r="B149">
        <v>50.1</v>
      </c>
      <c r="C149">
        <v>130.1</v>
      </c>
      <c r="D149">
        <v>2030.3</v>
      </c>
      <c r="E149">
        <v>3215.8</v>
      </c>
      <c r="F149" s="14">
        <f t="shared" si="61"/>
        <v>2080.4</v>
      </c>
      <c r="G149" s="2">
        <f t="shared" si="61"/>
        <v>3345.9</v>
      </c>
      <c r="H149" s="48">
        <f t="shared" si="62"/>
        <v>-37.82240951612421</v>
      </c>
    </row>
    <row r="150" spans="1:9" x14ac:dyDescent="0.25">
      <c r="A150" s="62">
        <f t="shared" si="45"/>
        <v>39884</v>
      </c>
      <c r="B150">
        <v>1</v>
      </c>
      <c r="C150">
        <v>130.1</v>
      </c>
      <c r="D150">
        <v>2106.9</v>
      </c>
      <c r="E150">
        <v>3396.9</v>
      </c>
      <c r="F150" s="14">
        <f t="shared" ref="F150:G152" si="63">+B150+D150</f>
        <v>2107.9</v>
      </c>
      <c r="G150" s="2">
        <f t="shared" si="63"/>
        <v>3527</v>
      </c>
      <c r="H150" s="48">
        <f t="shared" si="62"/>
        <v>-40.235327473773744</v>
      </c>
    </row>
    <row r="151" spans="1:9" x14ac:dyDescent="0.25">
      <c r="A151" s="62">
        <f t="shared" si="45"/>
        <v>39891</v>
      </c>
      <c r="B151">
        <v>1</v>
      </c>
      <c r="C151">
        <v>195.1</v>
      </c>
      <c r="D151">
        <v>2172.1</v>
      </c>
      <c r="E151">
        <v>3444.7</v>
      </c>
      <c r="F151" s="14">
        <f t="shared" si="63"/>
        <v>2173.1</v>
      </c>
      <c r="G151" s="2">
        <f t="shared" si="63"/>
        <v>3639.7999999999997</v>
      </c>
      <c r="H151" s="48">
        <f t="shared" si="62"/>
        <v>-40.296170119237317</v>
      </c>
    </row>
    <row r="152" spans="1:9" x14ac:dyDescent="0.25">
      <c r="A152" s="62">
        <f t="shared" si="45"/>
        <v>39898</v>
      </c>
      <c r="B152">
        <v>1</v>
      </c>
      <c r="C152">
        <v>0.1</v>
      </c>
      <c r="D152">
        <v>2172.1</v>
      </c>
      <c r="E152">
        <v>3444.7</v>
      </c>
      <c r="F152" s="14">
        <f t="shared" si="63"/>
        <v>2173.1</v>
      </c>
      <c r="G152" s="2">
        <f t="shared" si="63"/>
        <v>3444.7999999999997</v>
      </c>
      <c r="H152" s="48">
        <f t="shared" si="62"/>
        <v>-36.916511843938693</v>
      </c>
    </row>
    <row r="153" spans="1:9" x14ac:dyDescent="0.25">
      <c r="A153" s="62">
        <f t="shared" si="45"/>
        <v>39905</v>
      </c>
      <c r="B153">
        <v>1</v>
      </c>
      <c r="C153">
        <v>0.1</v>
      </c>
      <c r="D153">
        <v>2172.1999999999998</v>
      </c>
      <c r="E153">
        <v>3444.7</v>
      </c>
      <c r="F153" s="14">
        <f t="shared" ref="F153:F184" si="64">+B153+D153</f>
        <v>2173.1999999999998</v>
      </c>
      <c r="G153" s="2">
        <f t="shared" ref="G153:G184" si="65">+C153+E153</f>
        <v>3444.7999999999997</v>
      </c>
      <c r="H153" s="48">
        <f t="shared" ref="H153:H184" si="66">+(F153/G153-1)*100</f>
        <v>-36.913608917789134</v>
      </c>
    </row>
    <row r="154" spans="1:9" x14ac:dyDescent="0.25">
      <c r="A154" s="62">
        <f t="shared" si="45"/>
        <v>39912</v>
      </c>
      <c r="B154">
        <v>1</v>
      </c>
      <c r="C154">
        <v>0.1</v>
      </c>
      <c r="D154">
        <v>2172.1999999999998</v>
      </c>
      <c r="E154">
        <v>3510.1</v>
      </c>
      <c r="F154" s="14">
        <f t="shared" si="64"/>
        <v>2173.1999999999998</v>
      </c>
      <c r="G154" s="2">
        <f t="shared" si="65"/>
        <v>3510.2</v>
      </c>
      <c r="H154" s="48">
        <f t="shared" si="66"/>
        <v>-38.088997777904396</v>
      </c>
    </row>
    <row r="155" spans="1:9" x14ac:dyDescent="0.25">
      <c r="A155" s="62">
        <f t="shared" si="45"/>
        <v>39919</v>
      </c>
      <c r="B155">
        <v>17.5</v>
      </c>
      <c r="D155">
        <v>2172.6999999999998</v>
      </c>
      <c r="E155">
        <v>3510.2</v>
      </c>
      <c r="F155" s="14">
        <f t="shared" si="64"/>
        <v>2190.1999999999998</v>
      </c>
      <c r="G155" s="2">
        <f t="shared" si="65"/>
        <v>3510.2</v>
      </c>
      <c r="H155" s="48">
        <f t="shared" si="66"/>
        <v>-37.604694889180102</v>
      </c>
    </row>
    <row r="156" spans="1:9" x14ac:dyDescent="0.25">
      <c r="A156" s="62">
        <f t="shared" si="45"/>
        <v>39926</v>
      </c>
      <c r="B156">
        <v>36</v>
      </c>
      <c r="D156">
        <v>2173.1999999999998</v>
      </c>
      <c r="E156">
        <v>3635.3</v>
      </c>
      <c r="F156" s="14">
        <f t="shared" si="64"/>
        <v>2209.1999999999998</v>
      </c>
      <c r="G156" s="2">
        <f t="shared" si="65"/>
        <v>3635.3</v>
      </c>
      <c r="H156" s="48">
        <f t="shared" si="66"/>
        <v>-39.229224548180355</v>
      </c>
    </row>
    <row r="157" spans="1:9" x14ac:dyDescent="0.25">
      <c r="A157" s="62">
        <f t="shared" si="45"/>
        <v>39933</v>
      </c>
      <c r="B157">
        <v>41</v>
      </c>
      <c r="D157">
        <v>2173.1999999999998</v>
      </c>
      <c r="E157">
        <v>3695.5</v>
      </c>
      <c r="F157" s="14">
        <f t="shared" si="64"/>
        <v>2214.1999999999998</v>
      </c>
      <c r="G157" s="2">
        <f t="shared" si="65"/>
        <v>3695.5</v>
      </c>
      <c r="H157" s="48">
        <f t="shared" si="66"/>
        <v>-40.08388580706265</v>
      </c>
      <c r="I157">
        <v>17</v>
      </c>
    </row>
    <row r="158" spans="1:9" x14ac:dyDescent="0.25">
      <c r="A158" s="62">
        <f t="shared" si="45"/>
        <v>39940</v>
      </c>
      <c r="B158">
        <v>37</v>
      </c>
      <c r="C158">
        <v>0</v>
      </c>
      <c r="D158">
        <v>2173.1999999999998</v>
      </c>
      <c r="E158">
        <v>3695.5</v>
      </c>
      <c r="F158" s="14">
        <f t="shared" si="64"/>
        <v>2210.1999999999998</v>
      </c>
      <c r="G158" s="2">
        <f t="shared" si="65"/>
        <v>3695.5</v>
      </c>
      <c r="H158" s="48">
        <f t="shared" si="66"/>
        <v>-40.192125558111222</v>
      </c>
      <c r="I158">
        <v>17</v>
      </c>
    </row>
    <row r="159" spans="1:9" x14ac:dyDescent="0.25">
      <c r="A159" s="62">
        <f t="shared" si="45"/>
        <v>39947</v>
      </c>
      <c r="B159">
        <v>22</v>
      </c>
      <c r="C159">
        <v>0</v>
      </c>
      <c r="D159">
        <v>2173.3000000000002</v>
      </c>
      <c r="E159">
        <v>3695.6</v>
      </c>
      <c r="F159" s="14">
        <f t="shared" si="64"/>
        <v>2195.3000000000002</v>
      </c>
      <c r="G159" s="2">
        <f t="shared" si="65"/>
        <v>3695.6</v>
      </c>
      <c r="H159" s="48">
        <f t="shared" si="66"/>
        <v>-40.596926074250447</v>
      </c>
      <c r="I159">
        <v>135</v>
      </c>
    </row>
    <row r="160" spans="1:9" x14ac:dyDescent="0.25">
      <c r="A160" s="62">
        <f t="shared" si="45"/>
        <v>39954</v>
      </c>
      <c r="B160">
        <v>5</v>
      </c>
      <c r="C160">
        <v>0</v>
      </c>
      <c r="D160">
        <v>2173.4</v>
      </c>
      <c r="E160">
        <v>3695.6</v>
      </c>
      <c r="F160" s="14">
        <f t="shared" si="64"/>
        <v>2178.4</v>
      </c>
      <c r="G160" s="2">
        <f t="shared" si="65"/>
        <v>3695.6</v>
      </c>
      <c r="H160" s="48">
        <f t="shared" si="66"/>
        <v>-41.054226647905608</v>
      </c>
      <c r="I160">
        <v>135</v>
      </c>
    </row>
    <row r="161" spans="1:9" x14ac:dyDescent="0.25">
      <c r="A161" s="62">
        <f t="shared" si="45"/>
        <v>39961</v>
      </c>
      <c r="B161">
        <v>0</v>
      </c>
      <c r="C161">
        <v>0</v>
      </c>
      <c r="D161">
        <v>2178.3000000000002</v>
      </c>
      <c r="E161">
        <v>3704.1</v>
      </c>
      <c r="F161" s="14">
        <f t="shared" si="64"/>
        <v>2178.3000000000002</v>
      </c>
      <c r="G161" s="2">
        <f t="shared" si="65"/>
        <v>3704.1</v>
      </c>
      <c r="H161" s="48">
        <f t="shared" si="66"/>
        <v>-41.192192435409403</v>
      </c>
      <c r="I161">
        <v>135</v>
      </c>
    </row>
    <row r="162" spans="1:9" x14ac:dyDescent="0.25">
      <c r="A162" s="62">
        <f t="shared" si="45"/>
        <v>39968</v>
      </c>
      <c r="B162">
        <v>0</v>
      </c>
      <c r="C162">
        <v>0</v>
      </c>
      <c r="D162">
        <v>2178.4</v>
      </c>
      <c r="E162">
        <v>3704.1</v>
      </c>
      <c r="F162" s="14">
        <f t="shared" si="64"/>
        <v>2178.4</v>
      </c>
      <c r="G162" s="2">
        <f t="shared" si="65"/>
        <v>3704.1</v>
      </c>
      <c r="H162" s="48">
        <f t="shared" si="66"/>
        <v>-41.189492724278495</v>
      </c>
      <c r="I162">
        <v>135</v>
      </c>
    </row>
    <row r="163" spans="1:9" x14ac:dyDescent="0.25">
      <c r="A163" s="62">
        <f t="shared" si="45"/>
        <v>39975</v>
      </c>
      <c r="B163">
        <v>0</v>
      </c>
      <c r="C163">
        <v>0</v>
      </c>
      <c r="D163">
        <v>2178.4</v>
      </c>
      <c r="E163">
        <v>3753.6</v>
      </c>
      <c r="F163" s="14">
        <f t="shared" si="64"/>
        <v>2178.4</v>
      </c>
      <c r="G163" s="2">
        <f t="shared" si="65"/>
        <v>3753.6</v>
      </c>
      <c r="H163" s="48">
        <f t="shared" si="66"/>
        <v>-41.965046888320543</v>
      </c>
      <c r="I163">
        <v>135</v>
      </c>
    </row>
    <row r="164" spans="1:9" x14ac:dyDescent="0.25">
      <c r="A164" s="62">
        <f t="shared" si="45"/>
        <v>39982</v>
      </c>
      <c r="B164">
        <v>1</v>
      </c>
      <c r="C164">
        <v>0</v>
      </c>
      <c r="D164">
        <v>2178.5</v>
      </c>
      <c r="E164">
        <v>3753.6</v>
      </c>
      <c r="F164" s="14">
        <f t="shared" si="64"/>
        <v>2179.5</v>
      </c>
      <c r="G164" s="2">
        <f t="shared" si="65"/>
        <v>3753.6</v>
      </c>
      <c r="H164" s="48">
        <f t="shared" si="66"/>
        <v>-41.93574168797953</v>
      </c>
      <c r="I164">
        <v>135</v>
      </c>
    </row>
    <row r="165" spans="1:9" x14ac:dyDescent="0.25">
      <c r="A165" s="62">
        <f t="shared" si="45"/>
        <v>39989</v>
      </c>
      <c r="B165">
        <v>1</v>
      </c>
      <c r="C165">
        <v>0</v>
      </c>
      <c r="D165">
        <v>2178.5</v>
      </c>
      <c r="E165">
        <v>3829.7</v>
      </c>
      <c r="F165" s="14">
        <f t="shared" si="64"/>
        <v>2179.5</v>
      </c>
      <c r="G165" s="2">
        <f t="shared" si="65"/>
        <v>3829.7</v>
      </c>
      <c r="H165" s="48">
        <f t="shared" si="66"/>
        <v>-43.089537039454783</v>
      </c>
      <c r="I165">
        <v>135</v>
      </c>
    </row>
    <row r="166" spans="1:9" x14ac:dyDescent="0.25">
      <c r="A166" s="62">
        <f t="shared" si="45"/>
        <v>39996</v>
      </c>
      <c r="B166">
        <v>1</v>
      </c>
      <c r="C166">
        <v>0</v>
      </c>
      <c r="D166">
        <v>2178.5</v>
      </c>
      <c r="E166">
        <v>3829.7</v>
      </c>
      <c r="F166" s="14">
        <f t="shared" si="64"/>
        <v>2179.5</v>
      </c>
      <c r="G166" s="2">
        <f t="shared" si="65"/>
        <v>3829.7</v>
      </c>
      <c r="H166" s="48">
        <f t="shared" si="66"/>
        <v>-43.089537039454783</v>
      </c>
      <c r="I166">
        <v>135</v>
      </c>
    </row>
    <row r="167" spans="1:9" x14ac:dyDescent="0.25">
      <c r="A167" s="62">
        <f t="shared" si="45"/>
        <v>40003</v>
      </c>
      <c r="B167">
        <v>7</v>
      </c>
      <c r="C167">
        <v>0</v>
      </c>
      <c r="D167">
        <v>2178.5</v>
      </c>
      <c r="E167">
        <v>3829.7</v>
      </c>
      <c r="F167" s="14">
        <f t="shared" si="64"/>
        <v>2185.5</v>
      </c>
      <c r="G167" s="2">
        <f t="shared" si="65"/>
        <v>3829.7</v>
      </c>
      <c r="H167" s="48">
        <f t="shared" si="66"/>
        <v>-42.932866804188322</v>
      </c>
      <c r="I167">
        <v>160</v>
      </c>
    </row>
    <row r="168" spans="1:9" x14ac:dyDescent="0.25">
      <c r="A168" s="62">
        <f t="shared" si="45"/>
        <v>40010</v>
      </c>
      <c r="B168">
        <v>7</v>
      </c>
      <c r="C168">
        <v>0</v>
      </c>
      <c r="D168">
        <v>2178.5</v>
      </c>
      <c r="E168">
        <v>3829.7</v>
      </c>
      <c r="F168" s="14">
        <f t="shared" si="64"/>
        <v>2185.5</v>
      </c>
      <c r="G168" s="2">
        <f t="shared" si="65"/>
        <v>3829.7</v>
      </c>
      <c r="H168" s="48">
        <f t="shared" si="66"/>
        <v>-42.932866804188322</v>
      </c>
      <c r="I168">
        <v>220</v>
      </c>
    </row>
    <row r="169" spans="1:9" x14ac:dyDescent="0.25">
      <c r="A169" s="62">
        <f t="shared" si="45"/>
        <v>40017</v>
      </c>
      <c r="B169">
        <v>6.5</v>
      </c>
      <c r="C169">
        <v>0</v>
      </c>
      <c r="D169">
        <v>2179</v>
      </c>
      <c r="E169">
        <v>3829.8</v>
      </c>
      <c r="F169" s="14">
        <f t="shared" si="64"/>
        <v>2185.5</v>
      </c>
      <c r="G169" s="2">
        <f t="shared" si="65"/>
        <v>3829.8</v>
      </c>
      <c r="H169" s="48">
        <f t="shared" si="66"/>
        <v>-42.934356885477051</v>
      </c>
      <c r="I169">
        <v>220</v>
      </c>
    </row>
    <row r="170" spans="1:9" x14ac:dyDescent="0.25">
      <c r="A170" s="62">
        <f t="shared" si="45"/>
        <v>40024</v>
      </c>
      <c r="B170">
        <v>6</v>
      </c>
      <c r="C170">
        <v>0</v>
      </c>
      <c r="D170">
        <v>2179.6</v>
      </c>
      <c r="E170">
        <v>3829.8</v>
      </c>
      <c r="F170" s="14">
        <f t="shared" si="64"/>
        <v>2185.6</v>
      </c>
      <c r="G170" s="2">
        <f t="shared" si="65"/>
        <v>3829.8</v>
      </c>
      <c r="H170" s="48">
        <f t="shared" si="66"/>
        <v>-42.931745783069616</v>
      </c>
      <c r="I170">
        <v>220</v>
      </c>
    </row>
    <row r="171" spans="1:9" x14ac:dyDescent="0.25">
      <c r="A171" s="62">
        <f t="shared" si="45"/>
        <v>40031</v>
      </c>
      <c r="B171">
        <v>6</v>
      </c>
      <c r="C171">
        <v>0</v>
      </c>
      <c r="D171">
        <v>2179.6</v>
      </c>
      <c r="E171">
        <v>3829.8</v>
      </c>
      <c r="F171" s="14">
        <f t="shared" si="64"/>
        <v>2185.6</v>
      </c>
      <c r="G171" s="2">
        <f t="shared" si="65"/>
        <v>3829.8</v>
      </c>
      <c r="H171" s="48">
        <f t="shared" si="66"/>
        <v>-42.931745783069616</v>
      </c>
      <c r="I171">
        <v>220</v>
      </c>
    </row>
    <row r="172" spans="1:9" x14ac:dyDescent="0.25">
      <c r="A172" s="62">
        <f t="shared" si="45"/>
        <v>40038</v>
      </c>
      <c r="B172">
        <v>6</v>
      </c>
      <c r="C172">
        <v>0</v>
      </c>
      <c r="D172">
        <v>2179.6</v>
      </c>
      <c r="E172">
        <v>3829.8</v>
      </c>
      <c r="F172" s="14">
        <f t="shared" si="64"/>
        <v>2185.6</v>
      </c>
      <c r="G172" s="2">
        <f t="shared" si="65"/>
        <v>3829.8</v>
      </c>
      <c r="H172" s="48">
        <f t="shared" si="66"/>
        <v>-42.931745783069616</v>
      </c>
      <c r="I172">
        <v>220</v>
      </c>
    </row>
    <row r="173" spans="1:9" x14ac:dyDescent="0.25">
      <c r="A173" s="62">
        <f t="shared" si="45"/>
        <v>40045</v>
      </c>
      <c r="B173">
        <v>6</v>
      </c>
      <c r="C173">
        <v>0</v>
      </c>
      <c r="D173">
        <v>2179.6</v>
      </c>
      <c r="E173">
        <v>3829.8</v>
      </c>
      <c r="F173" s="14">
        <f t="shared" si="64"/>
        <v>2185.6</v>
      </c>
      <c r="G173" s="2">
        <f t="shared" si="65"/>
        <v>3829.8</v>
      </c>
      <c r="H173" s="48">
        <f t="shared" si="66"/>
        <v>-42.931745783069616</v>
      </c>
      <c r="I173">
        <v>220</v>
      </c>
    </row>
    <row r="174" spans="1:9" x14ac:dyDescent="0.25">
      <c r="A174" s="62">
        <f t="shared" si="45"/>
        <v>40052</v>
      </c>
      <c r="B174">
        <v>6</v>
      </c>
      <c r="C174">
        <v>0</v>
      </c>
      <c r="D174">
        <v>2179.6</v>
      </c>
      <c r="E174">
        <v>3895.6</v>
      </c>
      <c r="F174" s="14">
        <f t="shared" si="64"/>
        <v>2185.6</v>
      </c>
      <c r="G174" s="2">
        <f t="shared" si="65"/>
        <v>3895.6</v>
      </c>
      <c r="H174" s="48">
        <f t="shared" si="66"/>
        <v>-43.895677174247872</v>
      </c>
      <c r="I174">
        <v>238</v>
      </c>
    </row>
    <row r="175" spans="1:9" x14ac:dyDescent="0.25">
      <c r="A175" s="62">
        <f t="shared" si="45"/>
        <v>40059</v>
      </c>
      <c r="B175">
        <v>244.1</v>
      </c>
      <c r="C175">
        <v>305</v>
      </c>
      <c r="D175">
        <v>0</v>
      </c>
      <c r="E175">
        <v>0</v>
      </c>
      <c r="F175" s="14">
        <f t="shared" si="64"/>
        <v>244.1</v>
      </c>
      <c r="G175" s="2">
        <f t="shared" si="65"/>
        <v>305</v>
      </c>
      <c r="H175" s="48">
        <f t="shared" si="66"/>
        <v>-19.967213114754102</v>
      </c>
    </row>
    <row r="176" spans="1:9" x14ac:dyDescent="0.25">
      <c r="A176" s="62">
        <f t="shared" si="45"/>
        <v>40066</v>
      </c>
      <c r="B176">
        <v>244.1</v>
      </c>
      <c r="C176">
        <v>305</v>
      </c>
      <c r="D176">
        <v>0.1</v>
      </c>
      <c r="E176">
        <v>0.1</v>
      </c>
      <c r="F176" s="14">
        <f t="shared" si="64"/>
        <v>244.2</v>
      </c>
      <c r="G176" s="2">
        <f t="shared" si="65"/>
        <v>305.10000000000002</v>
      </c>
      <c r="H176" s="48">
        <f t="shared" si="66"/>
        <v>-19.960668633235013</v>
      </c>
    </row>
    <row r="177" spans="1:8" x14ac:dyDescent="0.25">
      <c r="A177" s="62">
        <f t="shared" si="45"/>
        <v>40073</v>
      </c>
      <c r="B177">
        <v>364.1</v>
      </c>
      <c r="C177">
        <v>305</v>
      </c>
      <c r="D177">
        <v>0.1</v>
      </c>
      <c r="E177">
        <v>0.1</v>
      </c>
      <c r="F177" s="14">
        <f t="shared" si="64"/>
        <v>364.20000000000005</v>
      </c>
      <c r="G177" s="2">
        <f t="shared" si="65"/>
        <v>305.10000000000002</v>
      </c>
      <c r="H177" s="48">
        <f t="shared" si="66"/>
        <v>19.37069813176009</v>
      </c>
    </row>
    <row r="178" spans="1:8" x14ac:dyDescent="0.25">
      <c r="A178" s="62">
        <f t="shared" si="45"/>
        <v>40080</v>
      </c>
      <c r="B178">
        <v>364.1</v>
      </c>
      <c r="C178">
        <v>298</v>
      </c>
      <c r="D178">
        <v>0.1</v>
      </c>
      <c r="E178">
        <v>59.7</v>
      </c>
      <c r="F178" s="14">
        <f t="shared" si="64"/>
        <v>364.20000000000005</v>
      </c>
      <c r="G178" s="2">
        <f t="shared" si="65"/>
        <v>357.7</v>
      </c>
      <c r="H178" s="48">
        <f t="shared" si="66"/>
        <v>1.817165222253303</v>
      </c>
    </row>
    <row r="179" spans="1:8" x14ac:dyDescent="0.25">
      <c r="A179" s="62">
        <f t="shared" si="45"/>
        <v>40087</v>
      </c>
      <c r="B179">
        <v>364.1</v>
      </c>
      <c r="C179">
        <v>318</v>
      </c>
      <c r="D179">
        <v>0.2</v>
      </c>
      <c r="E179">
        <v>117.9</v>
      </c>
      <c r="F179" s="14">
        <f t="shared" si="64"/>
        <v>364.3</v>
      </c>
      <c r="G179" s="2">
        <f t="shared" si="65"/>
        <v>435.9</v>
      </c>
      <c r="H179" s="48">
        <f t="shared" si="66"/>
        <v>-16.425785730672171</v>
      </c>
    </row>
    <row r="180" spans="1:8" x14ac:dyDescent="0.25">
      <c r="A180" s="62">
        <f t="shared" si="45"/>
        <v>40094</v>
      </c>
      <c r="B180">
        <v>424.1</v>
      </c>
      <c r="C180">
        <v>378</v>
      </c>
      <c r="D180">
        <v>21.1</v>
      </c>
      <c r="E180">
        <v>175.9</v>
      </c>
      <c r="F180" s="14">
        <f t="shared" si="64"/>
        <v>445.20000000000005</v>
      </c>
      <c r="G180" s="2">
        <f t="shared" si="65"/>
        <v>553.9</v>
      </c>
      <c r="H180" s="48">
        <f t="shared" si="66"/>
        <v>-19.624480953240642</v>
      </c>
    </row>
    <row r="181" spans="1:8" x14ac:dyDescent="0.25">
      <c r="A181" s="62">
        <f t="shared" si="45"/>
        <v>40101</v>
      </c>
      <c r="B181">
        <v>421.3</v>
      </c>
      <c r="C181">
        <v>378</v>
      </c>
      <c r="D181">
        <v>110.9</v>
      </c>
      <c r="E181">
        <v>233.6</v>
      </c>
      <c r="F181" s="14">
        <f t="shared" si="64"/>
        <v>532.20000000000005</v>
      </c>
      <c r="G181" s="2">
        <f t="shared" si="65"/>
        <v>611.6</v>
      </c>
      <c r="H181" s="48">
        <f t="shared" si="66"/>
        <v>-12.982341399607577</v>
      </c>
    </row>
    <row r="182" spans="1:8" x14ac:dyDescent="0.25">
      <c r="A182" s="62">
        <f t="shared" si="45"/>
        <v>40108</v>
      </c>
      <c r="B182">
        <v>426.3</v>
      </c>
      <c r="C182">
        <v>378</v>
      </c>
      <c r="D182">
        <v>110.9</v>
      </c>
      <c r="E182">
        <v>298.89999999999998</v>
      </c>
      <c r="F182" s="14">
        <f t="shared" si="64"/>
        <v>537.20000000000005</v>
      </c>
      <c r="G182" s="2">
        <f t="shared" si="65"/>
        <v>676.9</v>
      </c>
      <c r="H182" s="48">
        <f t="shared" si="66"/>
        <v>-20.638203575121871</v>
      </c>
    </row>
    <row r="183" spans="1:8" x14ac:dyDescent="0.25">
      <c r="A183" s="62">
        <f t="shared" si="45"/>
        <v>40115</v>
      </c>
      <c r="B183">
        <v>343.3</v>
      </c>
      <c r="C183">
        <v>258.60000000000002</v>
      </c>
      <c r="D183">
        <v>186.2</v>
      </c>
      <c r="E183">
        <v>540.20000000000005</v>
      </c>
      <c r="F183" s="14">
        <f t="shared" si="64"/>
        <v>529.5</v>
      </c>
      <c r="G183" s="2">
        <f t="shared" si="65"/>
        <v>798.80000000000007</v>
      </c>
      <c r="H183" s="48">
        <f t="shared" si="66"/>
        <v>-33.71306960440662</v>
      </c>
    </row>
    <row r="184" spans="1:8" x14ac:dyDescent="0.25">
      <c r="A184" s="62">
        <f t="shared" si="45"/>
        <v>40122</v>
      </c>
      <c r="B184">
        <v>273.3</v>
      </c>
      <c r="C184">
        <v>257.60000000000002</v>
      </c>
      <c r="D184">
        <v>273.3</v>
      </c>
      <c r="E184">
        <v>800.5</v>
      </c>
      <c r="F184" s="14">
        <f t="shared" si="64"/>
        <v>546.6</v>
      </c>
      <c r="G184" s="2">
        <f t="shared" si="65"/>
        <v>1058.0999999999999</v>
      </c>
      <c r="H184" s="48">
        <f t="shared" si="66"/>
        <v>-48.341366600510341</v>
      </c>
    </row>
    <row r="185" spans="1:8" x14ac:dyDescent="0.25">
      <c r="A185" s="62">
        <f t="shared" si="45"/>
        <v>40129</v>
      </c>
      <c r="B185">
        <v>400.2</v>
      </c>
      <c r="C185">
        <v>257.60000000000002</v>
      </c>
      <c r="D185">
        <v>306.7</v>
      </c>
      <c r="E185">
        <v>800.5</v>
      </c>
      <c r="F185" s="14">
        <f t="shared" ref="F185:F216" si="67">+B185+D185</f>
        <v>706.9</v>
      </c>
      <c r="G185" s="2">
        <f t="shared" ref="G185:G216" si="68">+C185+E185</f>
        <v>1058.0999999999999</v>
      </c>
      <c r="H185" s="48">
        <f t="shared" ref="H185:H216" si="69">+(F185/G185-1)*100</f>
        <v>-33.191569794915409</v>
      </c>
    </row>
    <row r="186" spans="1:8" x14ac:dyDescent="0.25">
      <c r="A186" s="62">
        <f t="shared" si="45"/>
        <v>40136</v>
      </c>
      <c r="B186">
        <v>345.2</v>
      </c>
      <c r="C186">
        <v>257.7</v>
      </c>
      <c r="D186">
        <v>481.8</v>
      </c>
      <c r="E186">
        <v>932.3</v>
      </c>
      <c r="F186" s="14">
        <f t="shared" si="67"/>
        <v>827</v>
      </c>
      <c r="G186" s="2">
        <f t="shared" si="68"/>
        <v>1190</v>
      </c>
      <c r="H186" s="48">
        <f t="shared" si="69"/>
        <v>-30.504201680672271</v>
      </c>
    </row>
    <row r="187" spans="1:8" x14ac:dyDescent="0.25">
      <c r="A187" s="62">
        <f t="shared" si="45"/>
        <v>40143</v>
      </c>
      <c r="B187">
        <v>303.5</v>
      </c>
      <c r="C187">
        <v>257.60000000000002</v>
      </c>
      <c r="D187">
        <v>614.9</v>
      </c>
      <c r="E187">
        <v>995.1</v>
      </c>
      <c r="F187" s="14">
        <f t="shared" si="67"/>
        <v>918.4</v>
      </c>
      <c r="G187" s="2">
        <f t="shared" si="68"/>
        <v>1252.7</v>
      </c>
      <c r="H187" s="48">
        <f t="shared" si="69"/>
        <v>-26.686357467869403</v>
      </c>
    </row>
    <row r="188" spans="1:8" x14ac:dyDescent="0.25">
      <c r="A188" s="62">
        <f t="shared" si="45"/>
        <v>40150</v>
      </c>
      <c r="B188">
        <v>303.5</v>
      </c>
      <c r="C188">
        <v>257.60000000000002</v>
      </c>
      <c r="D188">
        <v>784.2</v>
      </c>
      <c r="E188">
        <v>1117.2</v>
      </c>
      <c r="F188" s="14">
        <f t="shared" si="67"/>
        <v>1087.7</v>
      </c>
      <c r="G188" s="2">
        <f t="shared" si="68"/>
        <v>1374.8000000000002</v>
      </c>
      <c r="H188" s="48">
        <f t="shared" si="69"/>
        <v>-20.88303753273204</v>
      </c>
    </row>
    <row r="189" spans="1:8" x14ac:dyDescent="0.25">
      <c r="A189" s="62">
        <f t="shared" si="45"/>
        <v>40157</v>
      </c>
      <c r="B189">
        <v>303.5</v>
      </c>
      <c r="C189">
        <v>203.8</v>
      </c>
      <c r="D189">
        <v>895.8</v>
      </c>
      <c r="E189">
        <v>1171</v>
      </c>
      <c r="F189" s="14">
        <f t="shared" si="67"/>
        <v>1199.3</v>
      </c>
      <c r="G189" s="2">
        <f t="shared" si="68"/>
        <v>1374.8</v>
      </c>
      <c r="H189" s="48">
        <f t="shared" si="69"/>
        <v>-12.765493162641839</v>
      </c>
    </row>
    <row r="190" spans="1:8" x14ac:dyDescent="0.25">
      <c r="A190" s="62">
        <f t="shared" si="45"/>
        <v>40164</v>
      </c>
      <c r="B190">
        <v>303.5</v>
      </c>
      <c r="C190">
        <v>215</v>
      </c>
      <c r="D190">
        <v>962.4</v>
      </c>
      <c r="E190">
        <v>1300.9000000000001</v>
      </c>
      <c r="F190" s="14">
        <f t="shared" si="67"/>
        <v>1265.9000000000001</v>
      </c>
      <c r="G190" s="2">
        <f t="shared" si="68"/>
        <v>1515.9</v>
      </c>
      <c r="H190" s="48">
        <f t="shared" si="69"/>
        <v>-16.491853024605842</v>
      </c>
    </row>
    <row r="191" spans="1:8" x14ac:dyDescent="0.25">
      <c r="A191" s="62">
        <f t="shared" si="45"/>
        <v>40171</v>
      </c>
      <c r="B191">
        <v>366.5</v>
      </c>
      <c r="C191">
        <v>95.1</v>
      </c>
      <c r="D191">
        <v>1154</v>
      </c>
      <c r="E191">
        <v>1423.4</v>
      </c>
      <c r="F191" s="14">
        <f t="shared" si="67"/>
        <v>1520.5</v>
      </c>
      <c r="G191" s="2">
        <f t="shared" si="68"/>
        <v>1518.5</v>
      </c>
      <c r="H191" s="48">
        <f t="shared" si="69"/>
        <v>0.13170892327956096</v>
      </c>
    </row>
    <row r="192" spans="1:8" x14ac:dyDescent="0.25">
      <c r="A192" s="62">
        <f t="shared" si="45"/>
        <v>40178</v>
      </c>
      <c r="B192">
        <v>366.5</v>
      </c>
      <c r="C192">
        <v>98</v>
      </c>
      <c r="D192">
        <v>1229.9000000000001</v>
      </c>
      <c r="E192">
        <v>1479</v>
      </c>
      <c r="F192" s="14">
        <f t="shared" si="67"/>
        <v>1596.4</v>
      </c>
      <c r="G192" s="2">
        <f t="shared" si="68"/>
        <v>1577</v>
      </c>
      <c r="H192" s="48">
        <f t="shared" si="69"/>
        <v>1.230183893468606</v>
      </c>
    </row>
    <row r="193" spans="1:8" x14ac:dyDescent="0.25">
      <c r="A193" s="62">
        <f t="shared" si="45"/>
        <v>40185</v>
      </c>
      <c r="B193">
        <v>246.5</v>
      </c>
      <c r="C193">
        <v>98</v>
      </c>
      <c r="D193">
        <v>1422.2</v>
      </c>
      <c r="E193">
        <v>1545.9</v>
      </c>
      <c r="F193" s="14">
        <f t="shared" si="67"/>
        <v>1668.7</v>
      </c>
      <c r="G193" s="2">
        <f t="shared" si="68"/>
        <v>1643.9</v>
      </c>
      <c r="H193" s="48">
        <f t="shared" si="69"/>
        <v>1.5086075795364584</v>
      </c>
    </row>
    <row r="194" spans="1:8" x14ac:dyDescent="0.25">
      <c r="A194" s="62">
        <f t="shared" si="45"/>
        <v>40192</v>
      </c>
      <c r="B194">
        <v>202</v>
      </c>
      <c r="C194">
        <v>50.1</v>
      </c>
      <c r="D194">
        <v>1687.7</v>
      </c>
      <c r="E194">
        <v>1669.5</v>
      </c>
      <c r="F194" s="14">
        <f t="shared" si="67"/>
        <v>1889.7</v>
      </c>
      <c r="G194" s="2">
        <f t="shared" si="68"/>
        <v>1719.6</v>
      </c>
      <c r="H194" s="48">
        <f t="shared" si="69"/>
        <v>9.8918353105373455</v>
      </c>
    </row>
    <row r="195" spans="1:8" x14ac:dyDescent="0.25">
      <c r="A195" s="62">
        <f t="shared" si="45"/>
        <v>40199</v>
      </c>
      <c r="B195">
        <v>139.9</v>
      </c>
      <c r="C195">
        <v>50.1</v>
      </c>
      <c r="D195">
        <v>1907.2</v>
      </c>
      <c r="E195">
        <v>1669.5</v>
      </c>
      <c r="F195" s="14">
        <f t="shared" si="67"/>
        <v>2047.1000000000001</v>
      </c>
      <c r="G195" s="2">
        <f t="shared" si="68"/>
        <v>1719.6</v>
      </c>
      <c r="H195" s="48">
        <f t="shared" si="69"/>
        <v>19.045126773668319</v>
      </c>
    </row>
    <row r="196" spans="1:8" x14ac:dyDescent="0.25">
      <c r="A196" s="62">
        <f t="shared" si="45"/>
        <v>40206</v>
      </c>
      <c r="B196">
        <v>130.9</v>
      </c>
      <c r="C196">
        <v>50.1</v>
      </c>
      <c r="D196">
        <v>1957.2</v>
      </c>
      <c r="E196">
        <v>1745.9</v>
      </c>
      <c r="F196" s="14">
        <f t="shared" si="67"/>
        <v>2088.1</v>
      </c>
      <c r="G196" s="2">
        <f t="shared" si="68"/>
        <v>1796</v>
      </c>
      <c r="H196" s="48">
        <f t="shared" si="69"/>
        <v>16.263919821826267</v>
      </c>
    </row>
    <row r="197" spans="1:8" x14ac:dyDescent="0.25">
      <c r="A197" s="62">
        <f t="shared" si="45"/>
        <v>40213</v>
      </c>
      <c r="B197">
        <v>19</v>
      </c>
      <c r="C197">
        <v>50.1</v>
      </c>
      <c r="D197">
        <v>2170.1</v>
      </c>
      <c r="E197">
        <v>1824.1</v>
      </c>
      <c r="F197" s="14">
        <f t="shared" si="67"/>
        <v>2189.1</v>
      </c>
      <c r="G197" s="2">
        <f t="shared" si="68"/>
        <v>1874.1999999999998</v>
      </c>
      <c r="H197" s="48">
        <f t="shared" si="69"/>
        <v>16.801835449791923</v>
      </c>
    </row>
    <row r="198" spans="1:8" x14ac:dyDescent="0.25">
      <c r="A198" s="62">
        <f t="shared" si="45"/>
        <v>40220</v>
      </c>
      <c r="B198">
        <v>7.9</v>
      </c>
      <c r="C198">
        <v>50.1</v>
      </c>
      <c r="D198">
        <v>2321</v>
      </c>
      <c r="E198">
        <v>1964.9</v>
      </c>
      <c r="F198" s="14">
        <f t="shared" si="67"/>
        <v>2328.9</v>
      </c>
      <c r="G198" s="2">
        <f t="shared" si="68"/>
        <v>2015</v>
      </c>
      <c r="H198" s="48">
        <f t="shared" si="69"/>
        <v>15.578163771712173</v>
      </c>
    </row>
    <row r="199" spans="1:8" x14ac:dyDescent="0.25">
      <c r="A199" s="62">
        <f t="shared" si="45"/>
        <v>40227</v>
      </c>
      <c r="B199">
        <v>7.9</v>
      </c>
      <c r="C199">
        <v>50.2</v>
      </c>
      <c r="D199">
        <v>2436</v>
      </c>
      <c r="E199">
        <v>1964.9</v>
      </c>
      <c r="F199" s="14">
        <f t="shared" si="67"/>
        <v>2443.9</v>
      </c>
      <c r="G199" s="2">
        <f t="shared" si="68"/>
        <v>2015.1000000000001</v>
      </c>
      <c r="H199" s="48">
        <f t="shared" si="69"/>
        <v>21.279340975633954</v>
      </c>
    </row>
    <row r="200" spans="1:8" x14ac:dyDescent="0.25">
      <c r="A200" s="62">
        <f t="shared" si="45"/>
        <v>40234</v>
      </c>
      <c r="B200">
        <v>7.9</v>
      </c>
      <c r="C200">
        <v>50.1</v>
      </c>
      <c r="D200">
        <v>2524.5</v>
      </c>
      <c r="E200">
        <v>2030.3</v>
      </c>
      <c r="F200" s="14">
        <f t="shared" si="67"/>
        <v>2532.4</v>
      </c>
      <c r="G200" s="2">
        <f t="shared" si="68"/>
        <v>2080.4</v>
      </c>
      <c r="H200" s="48">
        <f t="shared" si="69"/>
        <v>21.726591040184573</v>
      </c>
    </row>
    <row r="201" spans="1:8" x14ac:dyDescent="0.25">
      <c r="A201" s="62">
        <f t="shared" si="45"/>
        <v>40241</v>
      </c>
      <c r="B201">
        <v>7.9</v>
      </c>
      <c r="C201">
        <v>50.1</v>
      </c>
      <c r="D201">
        <v>2524.5</v>
      </c>
      <c r="E201">
        <v>2030.3</v>
      </c>
      <c r="F201" s="14">
        <f t="shared" si="67"/>
        <v>2532.4</v>
      </c>
      <c r="G201" s="2">
        <f t="shared" si="68"/>
        <v>2080.4</v>
      </c>
      <c r="H201" s="48">
        <f t="shared" si="69"/>
        <v>21.726591040184573</v>
      </c>
    </row>
    <row r="202" spans="1:8" x14ac:dyDescent="0.25">
      <c r="A202" s="62">
        <f t="shared" si="45"/>
        <v>40248</v>
      </c>
      <c r="B202">
        <v>7.9</v>
      </c>
      <c r="C202">
        <v>1</v>
      </c>
      <c r="D202">
        <v>2581.6</v>
      </c>
      <c r="E202">
        <v>2106.9</v>
      </c>
      <c r="F202" s="14">
        <f t="shared" si="67"/>
        <v>2589.5</v>
      </c>
      <c r="G202" s="2">
        <f t="shared" si="68"/>
        <v>2107.9</v>
      </c>
      <c r="H202" s="48">
        <f t="shared" si="69"/>
        <v>22.847383651975896</v>
      </c>
    </row>
    <row r="203" spans="1:8" x14ac:dyDescent="0.25">
      <c r="A203" s="62">
        <f t="shared" si="45"/>
        <v>40255</v>
      </c>
      <c r="B203">
        <v>3.5</v>
      </c>
      <c r="C203">
        <v>1</v>
      </c>
      <c r="D203">
        <v>2663.4</v>
      </c>
      <c r="E203">
        <v>2172.1</v>
      </c>
      <c r="F203" s="14">
        <f t="shared" si="67"/>
        <v>2666.9</v>
      </c>
      <c r="G203" s="2">
        <f t="shared" si="68"/>
        <v>2173.1</v>
      </c>
      <c r="H203" s="48">
        <f t="shared" si="69"/>
        <v>22.723298513644117</v>
      </c>
    </row>
    <row r="204" spans="1:8" x14ac:dyDescent="0.25">
      <c r="A204" s="62">
        <f t="shared" si="45"/>
        <v>40262</v>
      </c>
      <c r="B204">
        <v>3.5</v>
      </c>
      <c r="C204">
        <v>1</v>
      </c>
      <c r="D204">
        <v>2663.4</v>
      </c>
      <c r="E204">
        <v>2172.1</v>
      </c>
      <c r="F204" s="14">
        <f t="shared" si="67"/>
        <v>2666.9</v>
      </c>
      <c r="G204" s="2">
        <f t="shared" si="68"/>
        <v>2173.1</v>
      </c>
      <c r="H204" s="48">
        <f t="shared" si="69"/>
        <v>22.723298513644117</v>
      </c>
    </row>
    <row r="205" spans="1:8" x14ac:dyDescent="0.25">
      <c r="A205" s="62">
        <f t="shared" si="45"/>
        <v>40269</v>
      </c>
      <c r="B205">
        <v>0.1</v>
      </c>
      <c r="C205">
        <v>1</v>
      </c>
      <c r="D205">
        <v>2663.4</v>
      </c>
      <c r="E205">
        <v>2172.1999999999998</v>
      </c>
      <c r="F205" s="14">
        <f t="shared" si="67"/>
        <v>2663.5</v>
      </c>
      <c r="G205" s="2">
        <f t="shared" si="68"/>
        <v>2173.1999999999998</v>
      </c>
      <c r="H205" s="48">
        <f t="shared" si="69"/>
        <v>22.561200073624164</v>
      </c>
    </row>
    <row r="206" spans="1:8" x14ac:dyDescent="0.25">
      <c r="A206" s="62">
        <f t="shared" si="45"/>
        <v>40276</v>
      </c>
      <c r="B206">
        <v>0.1</v>
      </c>
      <c r="C206">
        <v>1</v>
      </c>
      <c r="D206">
        <v>2663.5</v>
      </c>
      <c r="E206">
        <v>2172.1999999999998</v>
      </c>
      <c r="F206" s="14">
        <f t="shared" si="67"/>
        <v>2663.6</v>
      </c>
      <c r="G206" s="2">
        <f t="shared" si="68"/>
        <v>2173.1999999999998</v>
      </c>
      <c r="H206" s="48">
        <f t="shared" si="69"/>
        <v>22.56580158291921</v>
      </c>
    </row>
    <row r="207" spans="1:8" x14ac:dyDescent="0.25">
      <c r="A207" s="62">
        <f t="shared" si="45"/>
        <v>40283</v>
      </c>
      <c r="B207">
        <v>0.1</v>
      </c>
      <c r="C207">
        <v>17.5</v>
      </c>
      <c r="D207">
        <v>2663.6</v>
      </c>
      <c r="E207">
        <v>2172.6999999999998</v>
      </c>
      <c r="F207" s="14">
        <f t="shared" si="67"/>
        <v>2663.7</v>
      </c>
      <c r="G207" s="2">
        <f t="shared" si="68"/>
        <v>2190.1999999999998</v>
      </c>
      <c r="H207" s="48">
        <f t="shared" si="69"/>
        <v>21.619030225550183</v>
      </c>
    </row>
    <row r="208" spans="1:8" x14ac:dyDescent="0.25">
      <c r="A208" s="62">
        <f t="shared" si="45"/>
        <v>40290</v>
      </c>
      <c r="B208">
        <v>2.5</v>
      </c>
      <c r="C208">
        <v>36</v>
      </c>
      <c r="D208">
        <v>2663.7</v>
      </c>
      <c r="E208">
        <v>2173.1999999999998</v>
      </c>
      <c r="F208" s="14">
        <f t="shared" si="67"/>
        <v>2666.2</v>
      </c>
      <c r="G208" s="2">
        <f t="shared" si="68"/>
        <v>2209.1999999999998</v>
      </c>
      <c r="H208" s="48">
        <f t="shared" si="69"/>
        <v>20.686221256563453</v>
      </c>
    </row>
    <row r="209" spans="1:9" x14ac:dyDescent="0.25">
      <c r="A209" s="62">
        <f t="shared" si="45"/>
        <v>40297</v>
      </c>
      <c r="B209">
        <v>0.1</v>
      </c>
      <c r="C209">
        <v>41</v>
      </c>
      <c r="D209">
        <v>2697.2</v>
      </c>
      <c r="E209">
        <v>2173.1999999999998</v>
      </c>
      <c r="F209" s="14">
        <f t="shared" si="67"/>
        <v>2697.2999999999997</v>
      </c>
      <c r="G209" s="2">
        <f t="shared" si="68"/>
        <v>2214.1999999999998</v>
      </c>
      <c r="H209" s="48">
        <f t="shared" si="69"/>
        <v>21.8182639327974</v>
      </c>
    </row>
    <row r="210" spans="1:9" x14ac:dyDescent="0.25">
      <c r="A210" s="62">
        <f t="shared" si="45"/>
        <v>40304</v>
      </c>
      <c r="B210">
        <v>0.1</v>
      </c>
      <c r="C210">
        <v>37</v>
      </c>
      <c r="D210">
        <v>2697.2</v>
      </c>
      <c r="E210">
        <v>2173.1999999999998</v>
      </c>
      <c r="F210" s="14">
        <f t="shared" si="67"/>
        <v>2697.2999999999997</v>
      </c>
      <c r="G210" s="2">
        <f t="shared" si="68"/>
        <v>2210.1999999999998</v>
      </c>
      <c r="H210" s="48">
        <f t="shared" si="69"/>
        <v>22.038729526739665</v>
      </c>
    </row>
    <row r="211" spans="1:9" x14ac:dyDescent="0.25">
      <c r="A211" s="62">
        <f t="shared" si="45"/>
        <v>40311</v>
      </c>
      <c r="B211">
        <v>0.1</v>
      </c>
      <c r="C211">
        <v>22</v>
      </c>
      <c r="D211">
        <v>2697.3</v>
      </c>
      <c r="E211">
        <v>2173.3000000000002</v>
      </c>
      <c r="F211" s="14">
        <f t="shared" si="67"/>
        <v>2697.4</v>
      </c>
      <c r="G211" s="2">
        <f t="shared" si="68"/>
        <v>2195.3000000000002</v>
      </c>
      <c r="H211" s="48">
        <f t="shared" si="69"/>
        <v>22.871589304423079</v>
      </c>
    </row>
    <row r="212" spans="1:9" x14ac:dyDescent="0.25">
      <c r="A212" s="62">
        <f t="shared" si="45"/>
        <v>40318</v>
      </c>
      <c r="B212">
        <v>0.1</v>
      </c>
      <c r="C212">
        <v>22</v>
      </c>
      <c r="D212">
        <v>2697.3</v>
      </c>
      <c r="E212">
        <v>2173.3000000000002</v>
      </c>
      <c r="F212" s="14">
        <f t="shared" si="67"/>
        <v>2697.4</v>
      </c>
      <c r="G212" s="2">
        <f t="shared" si="68"/>
        <v>2195.3000000000002</v>
      </c>
      <c r="H212" s="48">
        <f t="shared" si="69"/>
        <v>22.871589304423079</v>
      </c>
    </row>
    <row r="213" spans="1:9" x14ac:dyDescent="0.25">
      <c r="A213" s="62">
        <f t="shared" si="45"/>
        <v>40325</v>
      </c>
      <c r="B213">
        <v>0.1</v>
      </c>
      <c r="C213">
        <v>0</v>
      </c>
      <c r="D213">
        <v>2697.5</v>
      </c>
      <c r="E213">
        <v>2178.3000000000002</v>
      </c>
      <c r="F213" s="14">
        <f t="shared" si="67"/>
        <v>2697.6</v>
      </c>
      <c r="G213" s="2">
        <f t="shared" si="68"/>
        <v>2178.3000000000002</v>
      </c>
      <c r="H213" s="48">
        <f t="shared" si="69"/>
        <v>23.839691502547833</v>
      </c>
    </row>
    <row r="214" spans="1:9" x14ac:dyDescent="0.25">
      <c r="A214" s="62">
        <f t="shared" si="45"/>
        <v>40332</v>
      </c>
      <c r="B214">
        <v>0.1</v>
      </c>
      <c r="C214">
        <v>0</v>
      </c>
      <c r="D214">
        <v>2697.5</v>
      </c>
      <c r="E214">
        <v>2178.4</v>
      </c>
      <c r="F214" s="14">
        <f t="shared" si="67"/>
        <v>2697.6</v>
      </c>
      <c r="G214" s="2">
        <f t="shared" si="68"/>
        <v>2178.4</v>
      </c>
      <c r="H214" s="48">
        <f t="shared" si="69"/>
        <v>23.834006610356219</v>
      </c>
    </row>
    <row r="215" spans="1:9" x14ac:dyDescent="0.25">
      <c r="A215" s="62">
        <f t="shared" si="45"/>
        <v>40339</v>
      </c>
      <c r="B215">
        <v>0.1</v>
      </c>
      <c r="C215">
        <v>0</v>
      </c>
      <c r="D215">
        <v>2697.6</v>
      </c>
      <c r="E215">
        <v>2178.4</v>
      </c>
      <c r="F215" s="14">
        <f t="shared" si="67"/>
        <v>2697.7</v>
      </c>
      <c r="G215" s="2">
        <f t="shared" si="68"/>
        <v>2178.4</v>
      </c>
      <c r="H215" s="48">
        <f t="shared" si="69"/>
        <v>23.838597135512284</v>
      </c>
    </row>
    <row r="216" spans="1:9" x14ac:dyDescent="0.25">
      <c r="A216" s="62">
        <f t="shared" si="45"/>
        <v>40346</v>
      </c>
      <c r="B216">
        <v>0.1</v>
      </c>
      <c r="C216">
        <v>1</v>
      </c>
      <c r="D216">
        <v>2697.7</v>
      </c>
      <c r="E216">
        <v>2178.5</v>
      </c>
      <c r="F216" s="14">
        <f t="shared" si="67"/>
        <v>2697.7999999999997</v>
      </c>
      <c r="G216" s="2">
        <f t="shared" si="68"/>
        <v>2179.5</v>
      </c>
      <c r="H216" s="48">
        <f t="shared" si="69"/>
        <v>23.780683643037381</v>
      </c>
    </row>
    <row r="217" spans="1:9" x14ac:dyDescent="0.25">
      <c r="A217" s="62">
        <f t="shared" si="45"/>
        <v>40353</v>
      </c>
      <c r="B217">
        <v>0.1</v>
      </c>
      <c r="C217">
        <v>1</v>
      </c>
      <c r="D217">
        <v>2697.7</v>
      </c>
      <c r="E217">
        <v>2178.5</v>
      </c>
      <c r="F217" s="14">
        <f t="shared" ref="F217:F227" si="70">+B217+D217</f>
        <v>2697.7999999999997</v>
      </c>
      <c r="G217" s="2">
        <f t="shared" ref="G217:G227" si="71">+C217+E217</f>
        <v>2179.5</v>
      </c>
      <c r="H217" s="48">
        <f t="shared" ref="H217:H227" si="72">+(F217/G217-1)*100</f>
        <v>23.780683643037381</v>
      </c>
    </row>
    <row r="218" spans="1:9" x14ac:dyDescent="0.25">
      <c r="A218" s="62">
        <f t="shared" si="45"/>
        <v>40360</v>
      </c>
      <c r="B218">
        <v>0.1</v>
      </c>
      <c r="C218">
        <v>1</v>
      </c>
      <c r="D218">
        <v>2697.8</v>
      </c>
      <c r="E218">
        <v>2178.5</v>
      </c>
      <c r="F218" s="14">
        <f t="shared" si="70"/>
        <v>2697.9</v>
      </c>
      <c r="G218" s="2">
        <f t="shared" si="71"/>
        <v>2179.5</v>
      </c>
      <c r="H218" s="48">
        <f t="shared" si="72"/>
        <v>23.785271851342049</v>
      </c>
    </row>
    <row r="219" spans="1:9" x14ac:dyDescent="0.25">
      <c r="A219" s="62">
        <f t="shared" si="45"/>
        <v>40367</v>
      </c>
      <c r="B219">
        <v>0.1</v>
      </c>
      <c r="C219">
        <v>7</v>
      </c>
      <c r="D219">
        <v>2697.8</v>
      </c>
      <c r="E219">
        <v>2178.5</v>
      </c>
      <c r="F219" s="14">
        <f t="shared" si="70"/>
        <v>2697.9</v>
      </c>
      <c r="G219" s="2">
        <f t="shared" si="71"/>
        <v>2185.5</v>
      </c>
      <c r="H219" s="48">
        <f t="shared" si="72"/>
        <v>23.445435827041862</v>
      </c>
    </row>
    <row r="220" spans="1:9" x14ac:dyDescent="0.25">
      <c r="A220" s="62">
        <f t="shared" si="45"/>
        <v>40374</v>
      </c>
      <c r="B220">
        <v>0.1</v>
      </c>
      <c r="C220">
        <v>7</v>
      </c>
      <c r="D220">
        <v>2697.8</v>
      </c>
      <c r="E220">
        <v>2178.5</v>
      </c>
      <c r="F220" s="14">
        <f t="shared" si="70"/>
        <v>2697.9</v>
      </c>
      <c r="G220" s="2">
        <f t="shared" si="71"/>
        <v>2185.5</v>
      </c>
      <c r="H220" s="48">
        <f t="shared" si="72"/>
        <v>23.445435827041862</v>
      </c>
    </row>
    <row r="221" spans="1:9" x14ac:dyDescent="0.25">
      <c r="A221" s="62">
        <f t="shared" si="45"/>
        <v>40381</v>
      </c>
      <c r="B221">
        <v>0.1</v>
      </c>
      <c r="C221">
        <v>6.5</v>
      </c>
      <c r="D221">
        <v>2697.8</v>
      </c>
      <c r="E221">
        <v>2179</v>
      </c>
      <c r="F221" s="14">
        <f t="shared" si="70"/>
        <v>2697.9</v>
      </c>
      <c r="G221" s="2">
        <f t="shared" si="71"/>
        <v>2185.5</v>
      </c>
      <c r="H221" s="48">
        <f t="shared" si="72"/>
        <v>23.445435827041862</v>
      </c>
      <c r="I221">
        <v>60</v>
      </c>
    </row>
    <row r="222" spans="1:9" x14ac:dyDescent="0.25">
      <c r="A222" s="62">
        <f t="shared" si="45"/>
        <v>40388</v>
      </c>
      <c r="B222">
        <v>5.0999999999999996</v>
      </c>
      <c r="C222">
        <v>6</v>
      </c>
      <c r="D222">
        <v>2697.8</v>
      </c>
      <c r="E222">
        <v>2179.6</v>
      </c>
      <c r="F222" s="14">
        <f t="shared" si="70"/>
        <v>2702.9</v>
      </c>
      <c r="G222" s="2">
        <f t="shared" si="71"/>
        <v>2185.6</v>
      </c>
      <c r="H222" s="48">
        <f t="shared" si="72"/>
        <v>23.66855783308932</v>
      </c>
      <c r="I222">
        <v>60</v>
      </c>
    </row>
    <row r="223" spans="1:9" x14ac:dyDescent="0.25">
      <c r="A223" s="62">
        <f t="shared" si="45"/>
        <v>40395</v>
      </c>
      <c r="B223">
        <v>5.0999999999999996</v>
      </c>
      <c r="C223">
        <v>6</v>
      </c>
      <c r="D223">
        <v>2697.9</v>
      </c>
      <c r="E223">
        <v>2179.6</v>
      </c>
      <c r="F223" s="14">
        <f t="shared" si="70"/>
        <v>2703</v>
      </c>
      <c r="G223" s="2">
        <f t="shared" si="71"/>
        <v>2185.6</v>
      </c>
      <c r="H223" s="48">
        <f t="shared" si="72"/>
        <v>23.673133235724752</v>
      </c>
      <c r="I223">
        <v>60</v>
      </c>
    </row>
    <row r="224" spans="1:9" x14ac:dyDescent="0.25">
      <c r="A224" s="62">
        <f t="shared" si="45"/>
        <v>40402</v>
      </c>
      <c r="B224">
        <v>5.0999999999999996</v>
      </c>
      <c r="C224">
        <v>6</v>
      </c>
      <c r="D224">
        <v>2697.9</v>
      </c>
      <c r="E224">
        <v>2179.6</v>
      </c>
      <c r="F224" s="14">
        <f t="shared" si="70"/>
        <v>2703</v>
      </c>
      <c r="G224" s="2">
        <f t="shared" si="71"/>
        <v>2185.6</v>
      </c>
      <c r="H224" s="48">
        <f t="shared" si="72"/>
        <v>23.673133235724752</v>
      </c>
      <c r="I224">
        <v>60</v>
      </c>
    </row>
    <row r="225" spans="1:9" x14ac:dyDescent="0.25">
      <c r="A225" s="62">
        <f t="shared" si="45"/>
        <v>40409</v>
      </c>
      <c r="B225">
        <v>5.0999999999999996</v>
      </c>
      <c r="C225">
        <v>6</v>
      </c>
      <c r="D225">
        <v>2697.9</v>
      </c>
      <c r="E225">
        <v>2179.6</v>
      </c>
      <c r="F225" s="14">
        <f t="shared" si="70"/>
        <v>2703</v>
      </c>
      <c r="G225" s="2">
        <f t="shared" si="71"/>
        <v>2185.6</v>
      </c>
      <c r="H225" s="48">
        <f t="shared" si="72"/>
        <v>23.673133235724752</v>
      </c>
      <c r="I225">
        <v>60</v>
      </c>
    </row>
    <row r="226" spans="1:9" x14ac:dyDescent="0.25">
      <c r="A226" s="62">
        <f t="shared" si="45"/>
        <v>40416</v>
      </c>
      <c r="B226">
        <v>5.0999999999999996</v>
      </c>
      <c r="C226">
        <v>6</v>
      </c>
      <c r="D226">
        <v>2697.9</v>
      </c>
      <c r="E226">
        <v>2179.6</v>
      </c>
      <c r="F226" s="14">
        <f t="shared" si="70"/>
        <v>2703</v>
      </c>
      <c r="G226" s="2">
        <f t="shared" si="71"/>
        <v>2185.6</v>
      </c>
      <c r="H226" s="48">
        <f t="shared" si="72"/>
        <v>23.673133235724752</v>
      </c>
      <c r="I226">
        <v>60</v>
      </c>
    </row>
    <row r="227" spans="1:9" x14ac:dyDescent="0.25">
      <c r="A227" s="62">
        <f t="shared" si="45"/>
        <v>40423</v>
      </c>
      <c r="B227">
        <v>65.099999999999994</v>
      </c>
      <c r="C227">
        <v>244.1</v>
      </c>
      <c r="E227">
        <v>0</v>
      </c>
      <c r="F227" s="14">
        <f t="shared" si="70"/>
        <v>65.099999999999994</v>
      </c>
      <c r="G227" s="2">
        <f t="shared" si="71"/>
        <v>244.1</v>
      </c>
      <c r="H227" s="48">
        <f t="shared" si="72"/>
        <v>-73.330602212208106</v>
      </c>
    </row>
    <row r="228" spans="1:9" x14ac:dyDescent="0.25">
      <c r="A228" s="62">
        <f t="shared" si="45"/>
        <v>40430</v>
      </c>
      <c r="B228">
        <v>65.099999999999994</v>
      </c>
      <c r="C228">
        <v>244.1</v>
      </c>
      <c r="E228">
        <v>0.1</v>
      </c>
      <c r="F228" s="14">
        <f t="shared" ref="F228:F264" si="73">+B228+D228</f>
        <v>65.099999999999994</v>
      </c>
      <c r="G228" s="2">
        <f t="shared" ref="G228:G264" si="74">+C228+E228</f>
        <v>244.2</v>
      </c>
      <c r="H228" s="48">
        <f t="shared" ref="H228:H264" si="75">+(F228/G228-1)*100</f>
        <v>-73.341523341523342</v>
      </c>
    </row>
    <row r="229" spans="1:9" x14ac:dyDescent="0.25">
      <c r="A229" s="62">
        <f t="shared" si="45"/>
        <v>40437</v>
      </c>
      <c r="B229">
        <v>65.099999999999994</v>
      </c>
      <c r="C229">
        <v>364.1</v>
      </c>
      <c r="D229">
        <v>0.1</v>
      </c>
      <c r="E229">
        <v>0.1</v>
      </c>
      <c r="F229" s="14">
        <f t="shared" si="73"/>
        <v>65.199999999999989</v>
      </c>
      <c r="G229" s="2">
        <f t="shared" si="74"/>
        <v>364.20000000000005</v>
      </c>
      <c r="H229" s="48">
        <f t="shared" si="75"/>
        <v>-82.097748489840754</v>
      </c>
    </row>
    <row r="230" spans="1:9" x14ac:dyDescent="0.25">
      <c r="A230" s="62">
        <f t="shared" si="45"/>
        <v>40444</v>
      </c>
      <c r="B230">
        <v>65.099999999999994</v>
      </c>
      <c r="C230">
        <v>364.1</v>
      </c>
      <c r="D230">
        <v>139.19999999999999</v>
      </c>
      <c r="E230">
        <v>0.1</v>
      </c>
      <c r="F230" s="14">
        <f t="shared" si="73"/>
        <v>204.29999999999998</v>
      </c>
      <c r="G230" s="2">
        <f t="shared" si="74"/>
        <v>364.20000000000005</v>
      </c>
      <c r="H230" s="48">
        <f t="shared" si="75"/>
        <v>-43.904448105436586</v>
      </c>
    </row>
    <row r="231" spans="1:9" x14ac:dyDescent="0.25">
      <c r="A231" s="62">
        <f t="shared" si="45"/>
        <v>40451</v>
      </c>
      <c r="B231">
        <v>65.099999999999994</v>
      </c>
      <c r="C231">
        <v>364.1</v>
      </c>
      <c r="D231">
        <v>139.19999999999999</v>
      </c>
      <c r="E231">
        <v>0.2</v>
      </c>
      <c r="F231" s="14">
        <f t="shared" si="73"/>
        <v>204.29999999999998</v>
      </c>
      <c r="G231" s="2">
        <f t="shared" si="74"/>
        <v>364.3</v>
      </c>
      <c r="H231" s="48">
        <f t="shared" si="75"/>
        <v>-43.919846280538025</v>
      </c>
    </row>
    <row r="232" spans="1:9" x14ac:dyDescent="0.25">
      <c r="A232" s="62">
        <f t="shared" si="45"/>
        <v>40458</v>
      </c>
      <c r="B232">
        <v>65.099999999999994</v>
      </c>
      <c r="C232">
        <v>424.1</v>
      </c>
      <c r="D232">
        <v>260</v>
      </c>
      <c r="E232">
        <v>21.1</v>
      </c>
      <c r="F232" s="14">
        <f t="shared" si="73"/>
        <v>325.10000000000002</v>
      </c>
      <c r="G232" s="2">
        <f t="shared" si="74"/>
        <v>445.20000000000005</v>
      </c>
      <c r="H232" s="48">
        <f t="shared" si="75"/>
        <v>-26.976639712488769</v>
      </c>
    </row>
    <row r="233" spans="1:9" x14ac:dyDescent="0.25">
      <c r="A233" s="62">
        <f t="shared" si="45"/>
        <v>40465</v>
      </c>
      <c r="B233">
        <v>88.8</v>
      </c>
      <c r="C233">
        <v>421.3</v>
      </c>
      <c r="D233">
        <v>338.5</v>
      </c>
      <c r="E233">
        <v>110.9</v>
      </c>
      <c r="F233" s="14">
        <f t="shared" si="73"/>
        <v>427.3</v>
      </c>
      <c r="G233" s="2">
        <f t="shared" si="74"/>
        <v>532.20000000000005</v>
      </c>
      <c r="H233" s="48">
        <f t="shared" si="75"/>
        <v>-19.710635099586625</v>
      </c>
    </row>
    <row r="234" spans="1:9" x14ac:dyDescent="0.25">
      <c r="A234" s="62">
        <f t="shared" si="45"/>
        <v>40472</v>
      </c>
      <c r="B234">
        <v>65.400000000000006</v>
      </c>
      <c r="C234">
        <v>426.3</v>
      </c>
      <c r="D234">
        <v>485.7</v>
      </c>
      <c r="E234">
        <v>110.9</v>
      </c>
      <c r="F234" s="14">
        <f t="shared" si="73"/>
        <v>551.1</v>
      </c>
      <c r="G234" s="2">
        <f t="shared" si="74"/>
        <v>537.20000000000005</v>
      </c>
      <c r="H234" s="48">
        <f t="shared" si="75"/>
        <v>2.5874906924795216</v>
      </c>
    </row>
    <row r="235" spans="1:9" x14ac:dyDescent="0.25">
      <c r="A235" s="62">
        <f t="shared" si="45"/>
        <v>40479</v>
      </c>
      <c r="B235">
        <v>60.3</v>
      </c>
      <c r="C235">
        <v>343.3</v>
      </c>
      <c r="D235">
        <v>610.6</v>
      </c>
      <c r="E235">
        <v>110.9</v>
      </c>
      <c r="F235" s="14">
        <f t="shared" si="73"/>
        <v>670.9</v>
      </c>
      <c r="G235" s="2">
        <f t="shared" si="74"/>
        <v>454.20000000000005</v>
      </c>
      <c r="H235" s="48">
        <f t="shared" si="75"/>
        <v>47.710259797446028</v>
      </c>
    </row>
    <row r="236" spans="1:9" x14ac:dyDescent="0.25">
      <c r="A236" s="62">
        <f t="shared" si="45"/>
        <v>40486</v>
      </c>
      <c r="B236">
        <v>60.3</v>
      </c>
      <c r="C236">
        <v>273.3</v>
      </c>
      <c r="D236">
        <v>626.79999999999995</v>
      </c>
      <c r="E236">
        <v>198.1</v>
      </c>
      <c r="F236" s="14">
        <f t="shared" si="73"/>
        <v>687.09999999999991</v>
      </c>
      <c r="G236" s="2">
        <f t="shared" si="74"/>
        <v>471.4</v>
      </c>
      <c r="H236" s="48">
        <f t="shared" si="75"/>
        <v>45.757318625371227</v>
      </c>
    </row>
    <row r="237" spans="1:9" x14ac:dyDescent="0.25">
      <c r="A237" s="62">
        <f t="shared" si="45"/>
        <v>40493</v>
      </c>
      <c r="B237">
        <v>105.3</v>
      </c>
      <c r="C237">
        <v>400.2</v>
      </c>
      <c r="D237">
        <v>703.9</v>
      </c>
      <c r="E237">
        <v>231.5</v>
      </c>
      <c r="F237" s="14">
        <f t="shared" si="73"/>
        <v>809.19999999999993</v>
      </c>
      <c r="G237" s="2">
        <f t="shared" si="74"/>
        <v>631.70000000000005</v>
      </c>
      <c r="H237" s="48">
        <f t="shared" si="75"/>
        <v>28.098781066962154</v>
      </c>
    </row>
    <row r="238" spans="1:9" x14ac:dyDescent="0.25">
      <c r="A238" s="62">
        <f t="shared" si="45"/>
        <v>40500</v>
      </c>
      <c r="B238">
        <v>145.30000000000001</v>
      </c>
      <c r="C238">
        <v>345.2</v>
      </c>
      <c r="D238">
        <v>887.6</v>
      </c>
      <c r="E238">
        <v>481.8</v>
      </c>
      <c r="F238" s="14">
        <f t="shared" si="73"/>
        <v>1032.9000000000001</v>
      </c>
      <c r="G238" s="2">
        <f t="shared" si="74"/>
        <v>827</v>
      </c>
      <c r="H238" s="48">
        <f t="shared" si="75"/>
        <v>24.897218863361559</v>
      </c>
    </row>
    <row r="239" spans="1:9" x14ac:dyDescent="0.25">
      <c r="A239" s="62">
        <f t="shared" si="45"/>
        <v>40507</v>
      </c>
      <c r="B239">
        <v>85.3</v>
      </c>
      <c r="C239">
        <v>303.5</v>
      </c>
      <c r="D239">
        <v>945.3</v>
      </c>
      <c r="E239">
        <v>549.79999999999995</v>
      </c>
      <c r="F239" s="14">
        <f t="shared" si="73"/>
        <v>1030.5999999999999</v>
      </c>
      <c r="G239" s="2">
        <f t="shared" si="74"/>
        <v>853.3</v>
      </c>
      <c r="H239" s="48">
        <f t="shared" si="75"/>
        <v>20.778155396695187</v>
      </c>
    </row>
    <row r="240" spans="1:9" x14ac:dyDescent="0.25">
      <c r="A240" s="62">
        <f t="shared" si="45"/>
        <v>40514</v>
      </c>
      <c r="B240">
        <v>200.3</v>
      </c>
      <c r="C240">
        <v>303.5</v>
      </c>
      <c r="D240">
        <v>1008.7</v>
      </c>
      <c r="E240">
        <v>784.2</v>
      </c>
      <c r="F240" s="14">
        <f t="shared" si="73"/>
        <v>1209</v>
      </c>
      <c r="G240" s="2">
        <f t="shared" si="74"/>
        <v>1087.7</v>
      </c>
      <c r="H240" s="48">
        <f t="shared" si="75"/>
        <v>11.151972051117021</v>
      </c>
    </row>
    <row r="241" spans="1:9" x14ac:dyDescent="0.25">
      <c r="A241" s="62">
        <f t="shared" si="45"/>
        <v>40521</v>
      </c>
      <c r="B241">
        <v>171.2</v>
      </c>
      <c r="C241">
        <v>303.5</v>
      </c>
      <c r="D241">
        <v>1028.8</v>
      </c>
      <c r="E241">
        <v>895.8</v>
      </c>
      <c r="F241" s="14">
        <f t="shared" si="73"/>
        <v>1200</v>
      </c>
      <c r="G241" s="2">
        <f t="shared" si="74"/>
        <v>1199.3</v>
      </c>
      <c r="H241" s="48">
        <f t="shared" si="75"/>
        <v>5.8367380972246252E-2</v>
      </c>
    </row>
    <row r="242" spans="1:9" x14ac:dyDescent="0.25">
      <c r="A242" s="62">
        <f t="shared" si="45"/>
        <v>40528</v>
      </c>
      <c r="B242">
        <v>228.8</v>
      </c>
      <c r="C242">
        <v>303.5</v>
      </c>
      <c r="D242">
        <v>1132.7</v>
      </c>
      <c r="E242">
        <v>962.4</v>
      </c>
      <c r="F242" s="14">
        <f t="shared" si="73"/>
        <v>1361.5</v>
      </c>
      <c r="G242" s="2">
        <f t="shared" si="74"/>
        <v>1265.9000000000001</v>
      </c>
      <c r="H242" s="48">
        <f t="shared" si="75"/>
        <v>7.5519393317007522</v>
      </c>
    </row>
    <row r="243" spans="1:9" x14ac:dyDescent="0.25">
      <c r="A243" s="62">
        <f t="shared" si="45"/>
        <v>40535</v>
      </c>
      <c r="B243">
        <v>235.3</v>
      </c>
      <c r="C243">
        <v>366.5</v>
      </c>
      <c r="D243">
        <v>1245.3</v>
      </c>
      <c r="E243">
        <v>1154</v>
      </c>
      <c r="F243" s="14">
        <f t="shared" si="73"/>
        <v>1480.6</v>
      </c>
      <c r="G243" s="2">
        <f t="shared" si="74"/>
        <v>1520.5</v>
      </c>
      <c r="H243" s="48">
        <f t="shared" si="75"/>
        <v>-2.6241367971062246</v>
      </c>
    </row>
    <row r="244" spans="1:9" x14ac:dyDescent="0.25">
      <c r="A244" s="62">
        <f t="shared" si="45"/>
        <v>40542</v>
      </c>
      <c r="B244">
        <v>235.2</v>
      </c>
      <c r="C244">
        <v>366.5</v>
      </c>
      <c r="D244">
        <v>1252.3</v>
      </c>
      <c r="E244">
        <v>1229.9000000000001</v>
      </c>
      <c r="F244" s="14">
        <f t="shared" si="73"/>
        <v>1487.5</v>
      </c>
      <c r="G244" s="2">
        <f t="shared" si="74"/>
        <v>1596.4</v>
      </c>
      <c r="H244" s="48">
        <f t="shared" si="75"/>
        <v>-6.8215985968429038</v>
      </c>
    </row>
    <row r="245" spans="1:9" x14ac:dyDescent="0.25">
      <c r="A245" s="62">
        <f t="shared" si="45"/>
        <v>40549</v>
      </c>
      <c r="B245">
        <v>180.2</v>
      </c>
      <c r="C245">
        <v>246.5</v>
      </c>
      <c r="D245">
        <v>1483.4</v>
      </c>
      <c r="E245">
        <v>1422.2</v>
      </c>
      <c r="F245" s="14">
        <f t="shared" si="73"/>
        <v>1663.6000000000001</v>
      </c>
      <c r="G245" s="2">
        <f t="shared" si="74"/>
        <v>1668.7</v>
      </c>
      <c r="H245" s="48">
        <f t="shared" si="75"/>
        <v>-0.30562713489542537</v>
      </c>
    </row>
    <row r="246" spans="1:9" x14ac:dyDescent="0.25">
      <c r="A246" s="62">
        <f t="shared" si="45"/>
        <v>40556</v>
      </c>
      <c r="B246">
        <v>120.2</v>
      </c>
      <c r="C246">
        <v>202</v>
      </c>
      <c r="D246">
        <v>1674.3</v>
      </c>
      <c r="E246">
        <v>1687.7</v>
      </c>
      <c r="F246" s="14">
        <f t="shared" si="73"/>
        <v>1794.5</v>
      </c>
      <c r="G246" s="2">
        <f t="shared" si="74"/>
        <v>1889.7</v>
      </c>
      <c r="H246" s="48">
        <f t="shared" si="75"/>
        <v>-5.037836693655084</v>
      </c>
      <c r="I246">
        <v>60</v>
      </c>
    </row>
    <row r="247" spans="1:9" x14ac:dyDescent="0.25">
      <c r="A247" s="62">
        <f t="shared" si="45"/>
        <v>40563</v>
      </c>
      <c r="B247">
        <v>60.2</v>
      </c>
      <c r="C247">
        <v>139.9</v>
      </c>
      <c r="D247">
        <v>1808.3</v>
      </c>
      <c r="E247">
        <v>1907.2</v>
      </c>
      <c r="F247" s="14">
        <f t="shared" si="73"/>
        <v>1868.5</v>
      </c>
      <c r="G247" s="2">
        <f t="shared" si="74"/>
        <v>2047.1000000000001</v>
      </c>
      <c r="H247" s="48">
        <f t="shared" si="75"/>
        <v>-8.7245371501147968</v>
      </c>
      <c r="I247">
        <v>60</v>
      </c>
    </row>
    <row r="248" spans="1:9" x14ac:dyDescent="0.25">
      <c r="A248" s="62">
        <f t="shared" si="45"/>
        <v>40570</v>
      </c>
      <c r="B248">
        <v>60.2</v>
      </c>
      <c r="C248">
        <v>130.9</v>
      </c>
      <c r="D248">
        <v>1987.2</v>
      </c>
      <c r="E248">
        <v>1957.2</v>
      </c>
      <c r="F248" s="14">
        <f t="shared" si="73"/>
        <v>2047.4</v>
      </c>
      <c r="G248" s="2">
        <f t="shared" si="74"/>
        <v>2088.1</v>
      </c>
      <c r="H248" s="48">
        <f t="shared" si="75"/>
        <v>-1.9491403668406626</v>
      </c>
      <c r="I248">
        <v>60</v>
      </c>
    </row>
    <row r="249" spans="1:9" x14ac:dyDescent="0.25">
      <c r="A249" s="62">
        <f t="shared" si="45"/>
        <v>40577</v>
      </c>
      <c r="B249">
        <v>0.2</v>
      </c>
      <c r="C249">
        <v>19</v>
      </c>
      <c r="D249">
        <v>2085.9</v>
      </c>
      <c r="E249">
        <v>2170.1</v>
      </c>
      <c r="F249" s="14">
        <f t="shared" si="73"/>
        <v>2086.1</v>
      </c>
      <c r="G249" s="2">
        <f t="shared" si="74"/>
        <v>2189.1</v>
      </c>
      <c r="H249" s="48">
        <f t="shared" si="75"/>
        <v>-4.7051299620848752</v>
      </c>
      <c r="I249">
        <v>60</v>
      </c>
    </row>
    <row r="250" spans="1:9" x14ac:dyDescent="0.25">
      <c r="A250" s="62">
        <f t="shared" si="45"/>
        <v>40584</v>
      </c>
      <c r="B250">
        <v>0.3</v>
      </c>
      <c r="C250">
        <v>7.9</v>
      </c>
      <c r="D250">
        <v>2313.3000000000002</v>
      </c>
      <c r="E250">
        <v>2321</v>
      </c>
      <c r="F250" s="14">
        <f t="shared" si="73"/>
        <v>2313.6000000000004</v>
      </c>
      <c r="G250" s="2">
        <f t="shared" si="74"/>
        <v>2328.9</v>
      </c>
      <c r="H250" s="48">
        <f t="shared" si="75"/>
        <v>-0.65696251449181009</v>
      </c>
      <c r="I250">
        <v>60</v>
      </c>
    </row>
    <row r="251" spans="1:9" x14ac:dyDescent="0.25">
      <c r="A251" s="62">
        <f t="shared" si="45"/>
        <v>40591</v>
      </c>
      <c r="B251">
        <v>0.3</v>
      </c>
      <c r="C251">
        <v>7.9</v>
      </c>
      <c r="D251">
        <v>2380.5</v>
      </c>
      <c r="E251">
        <v>2436</v>
      </c>
      <c r="F251" s="14">
        <f t="shared" si="73"/>
        <v>2380.8000000000002</v>
      </c>
      <c r="G251" s="2">
        <f t="shared" si="74"/>
        <v>2443.9</v>
      </c>
      <c r="H251" s="48">
        <f t="shared" si="75"/>
        <v>-2.5819387045296405</v>
      </c>
      <c r="I251">
        <v>60</v>
      </c>
    </row>
    <row r="252" spans="1:9" x14ac:dyDescent="0.25">
      <c r="A252" s="62">
        <f t="shared" si="45"/>
        <v>40598</v>
      </c>
      <c r="B252">
        <v>0.2</v>
      </c>
      <c r="C252">
        <v>7.9</v>
      </c>
      <c r="D252">
        <v>2521.1</v>
      </c>
      <c r="E252">
        <v>2524.5</v>
      </c>
      <c r="F252" s="14">
        <f t="shared" si="73"/>
        <v>2521.2999999999997</v>
      </c>
      <c r="G252" s="2">
        <f t="shared" si="74"/>
        <v>2532.4</v>
      </c>
      <c r="H252" s="48">
        <f t="shared" si="75"/>
        <v>-0.4383193808245256</v>
      </c>
      <c r="I252">
        <v>60</v>
      </c>
    </row>
    <row r="253" spans="1:9" x14ac:dyDescent="0.25">
      <c r="A253" s="62">
        <f t="shared" ref="A253:A316" si="76">+A252+7</f>
        <v>40605</v>
      </c>
      <c r="B253">
        <v>0.2</v>
      </c>
      <c r="C253">
        <v>7.9</v>
      </c>
      <c r="D253">
        <v>2521.1</v>
      </c>
      <c r="E253">
        <v>2524.5</v>
      </c>
      <c r="F253" s="14">
        <f t="shared" si="73"/>
        <v>2521.2999999999997</v>
      </c>
      <c r="G253" s="2">
        <f t="shared" si="74"/>
        <v>2532.4</v>
      </c>
      <c r="H253" s="48">
        <f t="shared" si="75"/>
        <v>-0.4383193808245256</v>
      </c>
      <c r="I253">
        <v>60</v>
      </c>
    </row>
    <row r="254" spans="1:9" x14ac:dyDescent="0.25">
      <c r="A254" s="62">
        <f t="shared" si="76"/>
        <v>40612</v>
      </c>
      <c r="B254">
        <v>0.2</v>
      </c>
      <c r="C254">
        <v>8</v>
      </c>
      <c r="D254">
        <v>2598.3000000000002</v>
      </c>
      <c r="E254">
        <v>2581.6</v>
      </c>
      <c r="F254" s="14">
        <f t="shared" si="73"/>
        <v>2598.5</v>
      </c>
      <c r="G254" s="2">
        <f t="shared" si="74"/>
        <v>2589.6</v>
      </c>
      <c r="H254" s="48">
        <f t="shared" si="75"/>
        <v>0.34368242199567245</v>
      </c>
      <c r="I254">
        <v>60</v>
      </c>
    </row>
    <row r="255" spans="1:9" x14ac:dyDescent="0.25">
      <c r="A255" s="62">
        <f t="shared" si="76"/>
        <v>40619</v>
      </c>
      <c r="B255">
        <v>0.2</v>
      </c>
      <c r="C255">
        <v>3.5</v>
      </c>
      <c r="D255">
        <v>2598.4</v>
      </c>
      <c r="E255">
        <v>2663.4</v>
      </c>
      <c r="F255" s="14">
        <f t="shared" si="73"/>
        <v>2598.6</v>
      </c>
      <c r="G255" s="2">
        <f t="shared" si="74"/>
        <v>2666.9</v>
      </c>
      <c r="H255" s="48">
        <f t="shared" si="75"/>
        <v>-2.5610259102328614</v>
      </c>
      <c r="I255">
        <v>60</v>
      </c>
    </row>
    <row r="256" spans="1:9" x14ac:dyDescent="0.25">
      <c r="A256" s="62">
        <f t="shared" si="76"/>
        <v>40626</v>
      </c>
      <c r="B256">
        <v>0.2</v>
      </c>
      <c r="C256">
        <v>3.5</v>
      </c>
      <c r="D256">
        <v>2598.4</v>
      </c>
      <c r="E256">
        <v>2663.4</v>
      </c>
      <c r="F256" s="14">
        <f t="shared" si="73"/>
        <v>2598.6</v>
      </c>
      <c r="G256" s="2">
        <f t="shared" si="74"/>
        <v>2666.9</v>
      </c>
      <c r="H256" s="48">
        <f t="shared" si="75"/>
        <v>-2.5610259102328614</v>
      </c>
      <c r="I256">
        <v>60</v>
      </c>
    </row>
    <row r="257" spans="1:9" x14ac:dyDescent="0.25">
      <c r="A257" s="62">
        <f t="shared" si="76"/>
        <v>40633</v>
      </c>
      <c r="B257">
        <v>0.2</v>
      </c>
      <c r="C257">
        <v>0.1</v>
      </c>
      <c r="D257">
        <v>2598.4</v>
      </c>
      <c r="E257">
        <v>2663.5</v>
      </c>
      <c r="F257" s="14">
        <f t="shared" si="73"/>
        <v>2598.6</v>
      </c>
      <c r="G257" s="2">
        <f t="shared" si="74"/>
        <v>2663.6</v>
      </c>
      <c r="H257" s="48">
        <f t="shared" si="75"/>
        <v>-2.4403063523051549</v>
      </c>
      <c r="I257">
        <v>60</v>
      </c>
    </row>
    <row r="258" spans="1:9" x14ac:dyDescent="0.25">
      <c r="A258" s="62">
        <f t="shared" si="76"/>
        <v>40640</v>
      </c>
      <c r="B258">
        <v>0.2</v>
      </c>
      <c r="C258">
        <v>0.1</v>
      </c>
      <c r="D258">
        <v>2598.5</v>
      </c>
      <c r="E258">
        <v>2663.5</v>
      </c>
      <c r="F258" s="14">
        <f t="shared" si="73"/>
        <v>2598.6999999999998</v>
      </c>
      <c r="G258" s="2">
        <f t="shared" si="74"/>
        <v>2663.6</v>
      </c>
      <c r="H258" s="48">
        <f t="shared" si="75"/>
        <v>-2.4365520348400671</v>
      </c>
      <c r="I258">
        <v>60</v>
      </c>
    </row>
    <row r="259" spans="1:9" x14ac:dyDescent="0.25">
      <c r="A259" s="62">
        <f t="shared" si="76"/>
        <v>40647</v>
      </c>
      <c r="B259">
        <v>0.2</v>
      </c>
      <c r="C259">
        <v>0.1</v>
      </c>
      <c r="D259">
        <v>2598.5</v>
      </c>
      <c r="E259">
        <v>2663.6</v>
      </c>
      <c r="F259" s="14">
        <f t="shared" si="73"/>
        <v>2598.6999999999998</v>
      </c>
      <c r="G259" s="2">
        <f t="shared" si="74"/>
        <v>2663.7</v>
      </c>
      <c r="H259" s="48">
        <f t="shared" si="75"/>
        <v>-2.4402147388970286</v>
      </c>
      <c r="I259">
        <v>60</v>
      </c>
    </row>
    <row r="260" spans="1:9" x14ac:dyDescent="0.25">
      <c r="A260" s="62">
        <f t="shared" si="76"/>
        <v>40654</v>
      </c>
      <c r="B260">
        <v>0.2</v>
      </c>
      <c r="C260">
        <v>2.5</v>
      </c>
      <c r="D260">
        <v>2598.5</v>
      </c>
      <c r="E260">
        <v>2663.7</v>
      </c>
      <c r="F260" s="14">
        <f t="shared" si="73"/>
        <v>2598.6999999999998</v>
      </c>
      <c r="G260" s="2">
        <f t="shared" si="74"/>
        <v>2666.2</v>
      </c>
      <c r="H260" s="48">
        <f t="shared" si="75"/>
        <v>-2.5316930462831011</v>
      </c>
      <c r="I260">
        <v>60</v>
      </c>
    </row>
    <row r="261" spans="1:9" x14ac:dyDescent="0.25">
      <c r="A261" s="62">
        <f t="shared" si="76"/>
        <v>40661</v>
      </c>
      <c r="B261">
        <v>0.1</v>
      </c>
      <c r="C261">
        <v>0.1</v>
      </c>
      <c r="D261">
        <v>2598.6</v>
      </c>
      <c r="E261">
        <v>2697.2</v>
      </c>
      <c r="F261" s="14">
        <f t="shared" si="73"/>
        <v>2598.6999999999998</v>
      </c>
      <c r="G261" s="2">
        <f t="shared" si="74"/>
        <v>2697.2999999999997</v>
      </c>
      <c r="H261" s="48">
        <f t="shared" si="75"/>
        <v>-3.6555073592110632</v>
      </c>
      <c r="I261">
        <v>60</v>
      </c>
    </row>
    <row r="262" spans="1:9" x14ac:dyDescent="0.25">
      <c r="A262" s="62">
        <f t="shared" si="76"/>
        <v>40668</v>
      </c>
      <c r="B262">
        <v>0.1</v>
      </c>
      <c r="C262">
        <v>0.1</v>
      </c>
      <c r="D262">
        <v>2598.6</v>
      </c>
      <c r="E262">
        <v>2697.2</v>
      </c>
      <c r="F262" s="14">
        <f t="shared" si="73"/>
        <v>2598.6999999999998</v>
      </c>
      <c r="G262" s="2">
        <f t="shared" si="74"/>
        <v>2697.2999999999997</v>
      </c>
      <c r="H262" s="48">
        <f t="shared" si="75"/>
        <v>-3.6555073592110632</v>
      </c>
      <c r="I262">
        <v>60</v>
      </c>
    </row>
    <row r="263" spans="1:9" x14ac:dyDescent="0.25">
      <c r="A263" s="62">
        <f t="shared" si="76"/>
        <v>40675</v>
      </c>
      <c r="B263">
        <v>0.1</v>
      </c>
      <c r="C263">
        <v>0.1</v>
      </c>
      <c r="D263">
        <v>2598.6</v>
      </c>
      <c r="E263">
        <v>2697.3</v>
      </c>
      <c r="F263" s="14">
        <f t="shared" si="73"/>
        <v>2598.6999999999998</v>
      </c>
      <c r="G263" s="2">
        <f t="shared" si="74"/>
        <v>2697.4</v>
      </c>
      <c r="H263" s="48">
        <f t="shared" si="75"/>
        <v>-3.6590791132201428</v>
      </c>
      <c r="I263">
        <v>60</v>
      </c>
    </row>
    <row r="264" spans="1:9" x14ac:dyDescent="0.25">
      <c r="A264" s="62">
        <f t="shared" si="76"/>
        <v>40682</v>
      </c>
      <c r="B264">
        <v>0.1</v>
      </c>
      <c r="C264">
        <v>0.1</v>
      </c>
      <c r="D264">
        <v>2598.6999999999998</v>
      </c>
      <c r="E264">
        <v>2697.3</v>
      </c>
      <c r="F264" s="14">
        <f t="shared" si="73"/>
        <v>2598.7999999999997</v>
      </c>
      <c r="G264" s="2">
        <f t="shared" si="74"/>
        <v>2697.4</v>
      </c>
      <c r="H264" s="48">
        <f t="shared" si="75"/>
        <v>-3.6553718395492041</v>
      </c>
      <c r="I264">
        <v>60</v>
      </c>
    </row>
    <row r="265" spans="1:9" x14ac:dyDescent="0.25">
      <c r="A265" s="62">
        <f t="shared" si="76"/>
        <v>40689</v>
      </c>
      <c r="B265">
        <v>0.1</v>
      </c>
      <c r="C265">
        <v>0.1</v>
      </c>
      <c r="D265">
        <v>2598.6999999999998</v>
      </c>
      <c r="E265">
        <v>2697.5</v>
      </c>
      <c r="F265" s="14">
        <f t="shared" ref="F265:F274" si="77">+B265+D265</f>
        <v>2598.7999999999997</v>
      </c>
      <c r="G265" s="2">
        <f t="shared" ref="G265:G274" si="78">+C265+E265</f>
        <v>2697.6</v>
      </c>
      <c r="H265" s="48">
        <f t="shared" ref="H265:H274" si="79">+(F265/G265-1)*100</f>
        <v>-3.6625148279952668</v>
      </c>
      <c r="I265">
        <v>60</v>
      </c>
    </row>
    <row r="266" spans="1:9" x14ac:dyDescent="0.25">
      <c r="A266" s="62">
        <f t="shared" si="76"/>
        <v>40696</v>
      </c>
      <c r="B266">
        <v>0.1</v>
      </c>
      <c r="C266">
        <v>0.1</v>
      </c>
      <c r="D266">
        <v>2598.6999999999998</v>
      </c>
      <c r="E266">
        <v>2697.5</v>
      </c>
      <c r="F266" s="14">
        <f t="shared" si="77"/>
        <v>2598.7999999999997</v>
      </c>
      <c r="G266" s="2">
        <f t="shared" si="78"/>
        <v>2697.6</v>
      </c>
      <c r="H266" s="48">
        <f t="shared" si="79"/>
        <v>-3.6625148279952668</v>
      </c>
      <c r="I266">
        <v>60</v>
      </c>
    </row>
    <row r="267" spans="1:9" x14ac:dyDescent="0.25">
      <c r="A267" s="62">
        <f t="shared" si="76"/>
        <v>40703</v>
      </c>
      <c r="B267">
        <v>0.1</v>
      </c>
      <c r="C267">
        <v>0.1</v>
      </c>
      <c r="D267">
        <v>2598.6999999999998</v>
      </c>
      <c r="E267">
        <v>2697.6</v>
      </c>
      <c r="F267" s="14">
        <f t="shared" si="77"/>
        <v>2598.7999999999997</v>
      </c>
      <c r="G267" s="2">
        <f t="shared" si="78"/>
        <v>2697.7</v>
      </c>
      <c r="H267" s="48">
        <f t="shared" si="79"/>
        <v>-3.6660859250472688</v>
      </c>
      <c r="I267">
        <v>60</v>
      </c>
    </row>
    <row r="268" spans="1:9" x14ac:dyDescent="0.25">
      <c r="A268" s="62">
        <f t="shared" si="76"/>
        <v>40710</v>
      </c>
      <c r="B268">
        <v>0.1</v>
      </c>
      <c r="C268">
        <v>0.1</v>
      </c>
      <c r="D268">
        <v>2598.9</v>
      </c>
      <c r="E268">
        <v>2697.7</v>
      </c>
      <c r="F268" s="14">
        <f t="shared" si="77"/>
        <v>2599</v>
      </c>
      <c r="G268" s="2">
        <f t="shared" si="78"/>
        <v>2697.7999999999997</v>
      </c>
      <c r="H268" s="48">
        <f t="shared" si="79"/>
        <v>-3.6622433093631779</v>
      </c>
      <c r="I268">
        <v>60</v>
      </c>
    </row>
    <row r="269" spans="1:9" x14ac:dyDescent="0.25">
      <c r="A269" s="62">
        <f t="shared" si="76"/>
        <v>40717</v>
      </c>
      <c r="B269">
        <v>0.1</v>
      </c>
      <c r="C269">
        <v>0.1</v>
      </c>
      <c r="D269">
        <v>2598.9</v>
      </c>
      <c r="E269">
        <v>2697.7</v>
      </c>
      <c r="F269" s="14">
        <f t="shared" si="77"/>
        <v>2599</v>
      </c>
      <c r="G269" s="2">
        <f t="shared" si="78"/>
        <v>2697.7999999999997</v>
      </c>
      <c r="H269" s="48">
        <f t="shared" si="79"/>
        <v>-3.6622433093631779</v>
      </c>
      <c r="I269">
        <v>60</v>
      </c>
    </row>
    <row r="270" spans="1:9" x14ac:dyDescent="0.25">
      <c r="A270" s="62">
        <f t="shared" si="76"/>
        <v>40724</v>
      </c>
      <c r="B270">
        <v>0.1</v>
      </c>
      <c r="C270">
        <v>0.1</v>
      </c>
      <c r="D270">
        <v>2599</v>
      </c>
      <c r="E270">
        <v>2697.8</v>
      </c>
      <c r="F270" s="14">
        <f t="shared" si="77"/>
        <v>2599.1</v>
      </c>
      <c r="G270" s="2">
        <f t="shared" si="78"/>
        <v>2697.9</v>
      </c>
      <c r="H270" s="48">
        <f t="shared" si="79"/>
        <v>-3.6621075651432689</v>
      </c>
      <c r="I270">
        <v>60</v>
      </c>
    </row>
    <row r="271" spans="1:9" x14ac:dyDescent="0.25">
      <c r="A271" s="62">
        <f t="shared" si="76"/>
        <v>40731</v>
      </c>
      <c r="B271">
        <v>0.1</v>
      </c>
      <c r="C271">
        <v>0.1</v>
      </c>
      <c r="D271">
        <v>2599</v>
      </c>
      <c r="E271">
        <v>2697.8</v>
      </c>
      <c r="F271" s="14">
        <f t="shared" si="77"/>
        <v>2599.1</v>
      </c>
      <c r="G271" s="2">
        <f t="shared" si="78"/>
        <v>2697.9</v>
      </c>
      <c r="H271" s="48">
        <f t="shared" si="79"/>
        <v>-3.6621075651432689</v>
      </c>
      <c r="I271">
        <v>60</v>
      </c>
    </row>
    <row r="272" spans="1:9" x14ac:dyDescent="0.25">
      <c r="A272" s="62">
        <f t="shared" si="76"/>
        <v>40738</v>
      </c>
      <c r="B272">
        <v>0.1</v>
      </c>
      <c r="C272">
        <v>0.1</v>
      </c>
      <c r="D272">
        <v>2599.1</v>
      </c>
      <c r="E272">
        <v>2697.8</v>
      </c>
      <c r="F272" s="14">
        <f t="shared" si="77"/>
        <v>2599.1999999999998</v>
      </c>
      <c r="G272" s="2">
        <f t="shared" si="78"/>
        <v>2697.9</v>
      </c>
      <c r="H272" s="48">
        <f t="shared" si="79"/>
        <v>-3.6584009785388782</v>
      </c>
      <c r="I272">
        <v>60</v>
      </c>
    </row>
    <row r="273" spans="1:9" x14ac:dyDescent="0.25">
      <c r="A273" s="62">
        <f t="shared" si="76"/>
        <v>40745</v>
      </c>
      <c r="B273">
        <v>0.1</v>
      </c>
      <c r="C273">
        <v>0.1</v>
      </c>
      <c r="D273">
        <v>2599.1</v>
      </c>
      <c r="E273">
        <v>2697.8</v>
      </c>
      <c r="F273" s="14">
        <f t="shared" si="77"/>
        <v>2599.1999999999998</v>
      </c>
      <c r="G273" s="2">
        <f t="shared" si="78"/>
        <v>2697.9</v>
      </c>
      <c r="H273" s="48">
        <f t="shared" si="79"/>
        <v>-3.6584009785388782</v>
      </c>
      <c r="I273">
        <v>60</v>
      </c>
    </row>
    <row r="274" spans="1:9" x14ac:dyDescent="0.25">
      <c r="A274" s="62">
        <f t="shared" si="76"/>
        <v>40752</v>
      </c>
      <c r="B274">
        <v>0.1</v>
      </c>
      <c r="C274">
        <v>5.0999999999999996</v>
      </c>
      <c r="D274">
        <v>2599.1</v>
      </c>
      <c r="E274">
        <v>2697.8</v>
      </c>
      <c r="F274" s="14">
        <f t="shared" si="77"/>
        <v>2599.1999999999998</v>
      </c>
      <c r="G274" s="2">
        <f t="shared" si="78"/>
        <v>2702.9</v>
      </c>
      <c r="H274" s="48">
        <f t="shared" si="79"/>
        <v>-3.8366199267453549</v>
      </c>
      <c r="I274">
        <v>60</v>
      </c>
    </row>
    <row r="275" spans="1:9" x14ac:dyDescent="0.25">
      <c r="A275" s="62">
        <f t="shared" si="76"/>
        <v>40759</v>
      </c>
      <c r="B275">
        <v>0.1</v>
      </c>
      <c r="C275">
        <v>5.0999999999999996</v>
      </c>
      <c r="D275">
        <v>2599.1</v>
      </c>
      <c r="E275">
        <v>2697.9</v>
      </c>
      <c r="F275" s="14">
        <f t="shared" ref="F275:G283" si="80">+B275+D275</f>
        <v>2599.1999999999998</v>
      </c>
      <c r="G275" s="2">
        <f t="shared" si="80"/>
        <v>2703</v>
      </c>
      <c r="H275" s="48">
        <f t="shared" ref="H275:H293" si="81">+(F275/G275-1)*100</f>
        <v>-3.8401775804661531</v>
      </c>
      <c r="I275">
        <v>60</v>
      </c>
    </row>
    <row r="276" spans="1:9" x14ac:dyDescent="0.25">
      <c r="A276" s="62">
        <f t="shared" si="76"/>
        <v>40766</v>
      </c>
      <c r="B276">
        <v>0.1</v>
      </c>
      <c r="C276">
        <v>5.0999999999999996</v>
      </c>
      <c r="D276">
        <v>2599.1999999999998</v>
      </c>
      <c r="E276">
        <v>2697.9</v>
      </c>
      <c r="F276" s="14">
        <f t="shared" si="80"/>
        <v>2599.2999999999997</v>
      </c>
      <c r="G276" s="2">
        <f t="shared" si="80"/>
        <v>2703</v>
      </c>
      <c r="H276" s="48">
        <f t="shared" si="81"/>
        <v>-3.8364779874213939</v>
      </c>
      <c r="I276">
        <v>60</v>
      </c>
    </row>
    <row r="277" spans="1:9" x14ac:dyDescent="0.25">
      <c r="A277" s="62">
        <f t="shared" si="76"/>
        <v>40773</v>
      </c>
      <c r="B277">
        <v>0.1</v>
      </c>
      <c r="C277">
        <v>5.0999999999999996</v>
      </c>
      <c r="D277">
        <v>2599.1999999999998</v>
      </c>
      <c r="E277">
        <v>2697.9</v>
      </c>
      <c r="F277" s="14">
        <f t="shared" si="80"/>
        <v>2599.2999999999997</v>
      </c>
      <c r="G277" s="2">
        <f t="shared" si="80"/>
        <v>2703</v>
      </c>
      <c r="H277" s="48">
        <f t="shared" si="81"/>
        <v>-3.8364779874213939</v>
      </c>
      <c r="I277">
        <v>120</v>
      </c>
    </row>
    <row r="278" spans="1:9" x14ac:dyDescent="0.25">
      <c r="A278" s="62">
        <f t="shared" si="76"/>
        <v>40780</v>
      </c>
      <c r="B278">
        <v>0.1</v>
      </c>
      <c r="C278">
        <v>5.0999999999999996</v>
      </c>
      <c r="D278">
        <v>2599.1999999999998</v>
      </c>
      <c r="E278">
        <v>2697.9</v>
      </c>
      <c r="F278" s="14">
        <f t="shared" si="80"/>
        <v>2599.2999999999997</v>
      </c>
      <c r="G278" s="2">
        <f t="shared" si="80"/>
        <v>2703</v>
      </c>
      <c r="H278" s="48">
        <f t="shared" si="81"/>
        <v>-3.8364779874213939</v>
      </c>
      <c r="I278">
        <v>120</v>
      </c>
    </row>
    <row r="279" spans="1:9" x14ac:dyDescent="0.25">
      <c r="A279" s="62">
        <f t="shared" si="76"/>
        <v>40787</v>
      </c>
      <c r="B279">
        <v>120</v>
      </c>
      <c r="C279">
        <v>65.099999999999994</v>
      </c>
      <c r="D279">
        <v>0</v>
      </c>
      <c r="E279">
        <v>0</v>
      </c>
      <c r="F279" s="14">
        <f t="shared" si="80"/>
        <v>120</v>
      </c>
      <c r="G279" s="2">
        <f t="shared" si="80"/>
        <v>65.099999999999994</v>
      </c>
      <c r="H279" s="48">
        <f t="shared" si="81"/>
        <v>84.33179723502306</v>
      </c>
    </row>
    <row r="280" spans="1:9" x14ac:dyDescent="0.25">
      <c r="A280" s="62">
        <f t="shared" si="76"/>
        <v>40794</v>
      </c>
      <c r="B280">
        <v>124</v>
      </c>
      <c r="C280">
        <v>65.099999999999994</v>
      </c>
      <c r="D280">
        <v>0</v>
      </c>
      <c r="E280">
        <v>0</v>
      </c>
      <c r="F280" s="14">
        <f t="shared" si="80"/>
        <v>124</v>
      </c>
      <c r="G280" s="2">
        <f t="shared" si="80"/>
        <v>65.099999999999994</v>
      </c>
      <c r="H280" s="48">
        <f t="shared" si="81"/>
        <v>90.476190476190482</v>
      </c>
    </row>
    <row r="281" spans="1:9" x14ac:dyDescent="0.25">
      <c r="A281" s="62">
        <f t="shared" si="76"/>
        <v>40801</v>
      </c>
      <c r="B281">
        <v>124</v>
      </c>
      <c r="C281">
        <v>65.099999999999994</v>
      </c>
      <c r="D281">
        <v>0.1</v>
      </c>
      <c r="E281">
        <v>0.1</v>
      </c>
      <c r="F281" s="14">
        <f t="shared" si="80"/>
        <v>124.1</v>
      </c>
      <c r="G281" s="2">
        <f t="shared" si="80"/>
        <v>65.199999999999989</v>
      </c>
      <c r="H281" s="48">
        <f t="shared" si="81"/>
        <v>90.337423312883459</v>
      </c>
    </row>
    <row r="282" spans="1:9" x14ac:dyDescent="0.25">
      <c r="A282" s="62">
        <f t="shared" si="76"/>
        <v>40808</v>
      </c>
      <c r="B282">
        <v>125</v>
      </c>
      <c r="C282">
        <v>65.099999999999994</v>
      </c>
      <c r="D282">
        <v>0.1</v>
      </c>
      <c r="E282">
        <v>139.19999999999999</v>
      </c>
      <c r="F282" s="14">
        <f t="shared" si="80"/>
        <v>125.1</v>
      </c>
      <c r="G282" s="2">
        <f t="shared" si="80"/>
        <v>204.29999999999998</v>
      </c>
      <c r="H282" s="48">
        <f t="shared" si="81"/>
        <v>-38.766519823788549</v>
      </c>
    </row>
    <row r="283" spans="1:9" x14ac:dyDescent="0.25">
      <c r="A283" s="62">
        <f t="shared" si="76"/>
        <v>40815</v>
      </c>
      <c r="B283" s="103">
        <v>124</v>
      </c>
      <c r="C283">
        <v>65.099999999999994</v>
      </c>
      <c r="D283">
        <v>0.2</v>
      </c>
      <c r="E283">
        <v>139.19999999999999</v>
      </c>
      <c r="F283" s="14">
        <f t="shared" si="80"/>
        <v>124.2</v>
      </c>
      <c r="G283" s="2">
        <f t="shared" si="80"/>
        <v>204.29999999999998</v>
      </c>
      <c r="H283" s="48">
        <f t="shared" si="81"/>
        <v>-39.207048458149771</v>
      </c>
    </row>
    <row r="284" spans="1:9" ht="15" x14ac:dyDescent="0.35">
      <c r="A284" s="62">
        <f t="shared" si="76"/>
        <v>40822</v>
      </c>
      <c r="B284" s="85">
        <v>128</v>
      </c>
      <c r="C284">
        <v>65.099999999999994</v>
      </c>
      <c r="D284">
        <v>0.2</v>
      </c>
      <c r="E284">
        <v>238.7</v>
      </c>
      <c r="F284" s="14">
        <f t="shared" ref="F284:G293" si="82">+B284+D284</f>
        <v>128.19999999999999</v>
      </c>
      <c r="G284" s="2">
        <f t="shared" si="82"/>
        <v>303.79999999999995</v>
      </c>
      <c r="H284" s="48">
        <f t="shared" si="81"/>
        <v>-57.80118499012508</v>
      </c>
    </row>
    <row r="285" spans="1:9" x14ac:dyDescent="0.25">
      <c r="A285" s="62">
        <f t="shared" si="76"/>
        <v>40829</v>
      </c>
      <c r="B285">
        <v>128</v>
      </c>
      <c r="C285">
        <v>88.8</v>
      </c>
      <c r="D285">
        <v>0.2</v>
      </c>
      <c r="E285">
        <v>338.5</v>
      </c>
      <c r="F285" s="14">
        <f t="shared" si="82"/>
        <v>128.19999999999999</v>
      </c>
      <c r="G285" s="2">
        <f t="shared" si="82"/>
        <v>427.3</v>
      </c>
      <c r="H285" s="48">
        <f t="shared" si="81"/>
        <v>-69.99765972384742</v>
      </c>
    </row>
    <row r="286" spans="1:9" x14ac:dyDescent="0.25">
      <c r="A286" s="62">
        <f t="shared" si="76"/>
        <v>40836</v>
      </c>
      <c r="B286">
        <v>128</v>
      </c>
      <c r="C286">
        <v>65.400000000000006</v>
      </c>
      <c r="D286">
        <v>66.7</v>
      </c>
      <c r="E286">
        <v>485.7</v>
      </c>
      <c r="F286" s="14">
        <f t="shared" si="82"/>
        <v>194.7</v>
      </c>
      <c r="G286" s="2">
        <f t="shared" si="82"/>
        <v>551.1</v>
      </c>
      <c r="H286" s="48">
        <f t="shared" si="81"/>
        <v>-64.670658682634723</v>
      </c>
    </row>
    <row r="287" spans="1:9" x14ac:dyDescent="0.25">
      <c r="A287" s="62">
        <f t="shared" si="76"/>
        <v>40843</v>
      </c>
      <c r="B287">
        <v>68</v>
      </c>
      <c r="C287">
        <v>60.3</v>
      </c>
      <c r="D287">
        <v>89.6</v>
      </c>
      <c r="E287">
        <v>610.6</v>
      </c>
      <c r="F287" s="14">
        <f t="shared" si="82"/>
        <v>157.6</v>
      </c>
      <c r="G287" s="2">
        <f t="shared" si="82"/>
        <v>670.9</v>
      </c>
      <c r="H287" s="48">
        <f t="shared" si="81"/>
        <v>-76.509166790877927</v>
      </c>
    </row>
    <row r="288" spans="1:9" x14ac:dyDescent="0.25">
      <c r="A288" s="62">
        <f t="shared" si="76"/>
        <v>40850</v>
      </c>
      <c r="B288">
        <v>8</v>
      </c>
      <c r="C288">
        <v>60.3</v>
      </c>
      <c r="D288">
        <v>135.30000000000001</v>
      </c>
      <c r="E288">
        <v>626.79999999999995</v>
      </c>
      <c r="F288" s="14">
        <f t="shared" si="82"/>
        <v>143.30000000000001</v>
      </c>
      <c r="G288" s="2">
        <f t="shared" si="82"/>
        <v>687.09999999999991</v>
      </c>
      <c r="H288" s="48">
        <f t="shared" si="81"/>
        <v>-79.14422936981515</v>
      </c>
    </row>
    <row r="289" spans="1:8" x14ac:dyDescent="0.25">
      <c r="A289" s="62">
        <f t="shared" si="76"/>
        <v>40857</v>
      </c>
      <c r="B289">
        <v>8</v>
      </c>
      <c r="C289">
        <v>105.3</v>
      </c>
      <c r="D289">
        <v>135.30000000000001</v>
      </c>
      <c r="E289">
        <v>703.9</v>
      </c>
      <c r="F289" s="14">
        <f t="shared" si="82"/>
        <v>143.30000000000001</v>
      </c>
      <c r="G289" s="2">
        <f t="shared" si="82"/>
        <v>809.19999999999993</v>
      </c>
      <c r="H289" s="48">
        <f t="shared" si="81"/>
        <v>-82.291151754819566</v>
      </c>
    </row>
    <row r="290" spans="1:8" x14ac:dyDescent="0.25">
      <c r="A290" s="62">
        <f t="shared" si="76"/>
        <v>40864</v>
      </c>
      <c r="B290">
        <v>8</v>
      </c>
      <c r="C290">
        <v>145.30000000000001</v>
      </c>
      <c r="D290">
        <v>135.4</v>
      </c>
      <c r="E290">
        <v>87.6</v>
      </c>
      <c r="F290" s="14">
        <f t="shared" si="82"/>
        <v>143.4</v>
      </c>
      <c r="G290" s="2">
        <f t="shared" si="82"/>
        <v>232.9</v>
      </c>
      <c r="H290" s="48">
        <f t="shared" si="81"/>
        <v>-38.428510090167457</v>
      </c>
    </row>
    <row r="291" spans="1:8" x14ac:dyDescent="0.25">
      <c r="A291" s="62">
        <f t="shared" si="76"/>
        <v>40871</v>
      </c>
      <c r="B291">
        <v>3.9</v>
      </c>
      <c r="C291">
        <v>85.3</v>
      </c>
      <c r="D291">
        <v>220.4</v>
      </c>
      <c r="E291">
        <v>945.3</v>
      </c>
      <c r="F291" s="14">
        <f t="shared" si="82"/>
        <v>224.3</v>
      </c>
      <c r="G291" s="2">
        <f t="shared" si="82"/>
        <v>1030.5999999999999</v>
      </c>
      <c r="H291" s="48">
        <f t="shared" si="81"/>
        <v>-78.235979041335142</v>
      </c>
    </row>
    <row r="292" spans="1:8" x14ac:dyDescent="0.25">
      <c r="A292" s="62">
        <f t="shared" si="76"/>
        <v>40878</v>
      </c>
      <c r="B292">
        <v>3.9</v>
      </c>
      <c r="C292">
        <v>200.3</v>
      </c>
      <c r="D292">
        <v>296.8</v>
      </c>
      <c r="E292">
        <v>1008.7</v>
      </c>
      <c r="F292" s="14">
        <f t="shared" si="82"/>
        <v>300.7</v>
      </c>
      <c r="G292" s="2">
        <f t="shared" si="82"/>
        <v>1209</v>
      </c>
      <c r="H292" s="48">
        <f t="shared" si="81"/>
        <v>-75.128205128205124</v>
      </c>
    </row>
    <row r="293" spans="1:8" x14ac:dyDescent="0.25">
      <c r="A293" s="62">
        <f t="shared" si="76"/>
        <v>40885</v>
      </c>
      <c r="B293">
        <v>3.9</v>
      </c>
      <c r="C293">
        <v>171.2</v>
      </c>
      <c r="D293">
        <v>296.89999999999998</v>
      </c>
      <c r="E293">
        <v>1028.8</v>
      </c>
      <c r="F293" s="14">
        <f t="shared" si="82"/>
        <v>300.79999999999995</v>
      </c>
      <c r="G293" s="2">
        <f t="shared" si="82"/>
        <v>1200</v>
      </c>
      <c r="H293" s="48">
        <f t="shared" si="81"/>
        <v>-74.933333333333337</v>
      </c>
    </row>
    <row r="294" spans="1:8" x14ac:dyDescent="0.25">
      <c r="A294" s="62">
        <f t="shared" si="76"/>
        <v>40892</v>
      </c>
      <c r="B294">
        <v>3.9</v>
      </c>
      <c r="C294">
        <v>228.8</v>
      </c>
      <c r="D294">
        <v>319.3</v>
      </c>
      <c r="E294">
        <v>1068.7</v>
      </c>
      <c r="F294" s="14">
        <f t="shared" ref="F294:G296" si="83">+B294+D294</f>
        <v>323.2</v>
      </c>
      <c r="G294" s="2">
        <f t="shared" si="83"/>
        <v>1297.5</v>
      </c>
      <c r="H294" s="48">
        <f t="shared" ref="H294:H325" si="84">+(F294/G294-1)*100</f>
        <v>-75.090558766859345</v>
      </c>
    </row>
    <row r="295" spans="1:8" x14ac:dyDescent="0.25">
      <c r="A295" s="62">
        <f t="shared" si="76"/>
        <v>40899</v>
      </c>
      <c r="B295">
        <v>3.9</v>
      </c>
      <c r="C295">
        <v>235.2</v>
      </c>
      <c r="D295">
        <v>346</v>
      </c>
      <c r="E295">
        <v>1180.7</v>
      </c>
      <c r="F295" s="14">
        <f t="shared" si="83"/>
        <v>349.9</v>
      </c>
      <c r="G295" s="2">
        <f t="shared" si="83"/>
        <v>1415.9</v>
      </c>
      <c r="H295" s="48">
        <f t="shared" si="84"/>
        <v>-75.287802810932973</v>
      </c>
    </row>
    <row r="296" spans="1:8" x14ac:dyDescent="0.25">
      <c r="A296" s="62">
        <f t="shared" si="76"/>
        <v>40906</v>
      </c>
      <c r="B296">
        <v>3.9</v>
      </c>
      <c r="C296">
        <v>235.3</v>
      </c>
      <c r="D296">
        <v>346</v>
      </c>
      <c r="E296">
        <v>1252.3</v>
      </c>
      <c r="F296" s="14">
        <f t="shared" si="83"/>
        <v>349.9</v>
      </c>
      <c r="G296" s="2">
        <f t="shared" si="83"/>
        <v>1487.6</v>
      </c>
      <c r="H296" s="48">
        <f t="shared" si="84"/>
        <v>-76.478892175315949</v>
      </c>
    </row>
    <row r="297" spans="1:8" x14ac:dyDescent="0.25">
      <c r="A297" s="62">
        <f t="shared" si="76"/>
        <v>40913</v>
      </c>
      <c r="B297">
        <v>3.9</v>
      </c>
      <c r="C297">
        <v>180.2</v>
      </c>
      <c r="D297">
        <v>346.1</v>
      </c>
      <c r="E297">
        <v>1408.2</v>
      </c>
      <c r="F297" s="14">
        <f t="shared" ref="F297:F339" si="85">+B297+D297</f>
        <v>350</v>
      </c>
      <c r="G297" s="2">
        <f t="shared" ref="G297:G339" si="86">+C297+E297</f>
        <v>1588.4</v>
      </c>
      <c r="H297" s="48">
        <f t="shared" si="84"/>
        <v>-77.965248048350546</v>
      </c>
    </row>
    <row r="298" spans="1:8" x14ac:dyDescent="0.25">
      <c r="A298" s="62">
        <f t="shared" si="76"/>
        <v>40920</v>
      </c>
      <c r="B298">
        <v>3.9</v>
      </c>
      <c r="C298">
        <v>120.2</v>
      </c>
      <c r="D298">
        <v>370.2</v>
      </c>
      <c r="E298">
        <v>1599.1</v>
      </c>
      <c r="F298" s="14">
        <f t="shared" si="85"/>
        <v>374.09999999999997</v>
      </c>
      <c r="G298" s="2">
        <f t="shared" si="86"/>
        <v>1719.3</v>
      </c>
      <c r="H298" s="48">
        <f t="shared" si="84"/>
        <v>-78.241144651893208</v>
      </c>
    </row>
    <row r="299" spans="1:8" x14ac:dyDescent="0.25">
      <c r="A299" s="62">
        <f t="shared" si="76"/>
        <v>40927</v>
      </c>
      <c r="B299">
        <v>33.9</v>
      </c>
      <c r="C299">
        <v>60.2</v>
      </c>
      <c r="D299">
        <v>370.3</v>
      </c>
      <c r="E299">
        <v>1808.3</v>
      </c>
      <c r="F299" s="14">
        <f t="shared" si="85"/>
        <v>404.2</v>
      </c>
      <c r="G299" s="2">
        <f t="shared" si="86"/>
        <v>1868.5</v>
      </c>
      <c r="H299" s="48">
        <f t="shared" si="84"/>
        <v>-78.367674605298362</v>
      </c>
    </row>
    <row r="300" spans="1:8" x14ac:dyDescent="0.25">
      <c r="A300" s="62">
        <f t="shared" si="76"/>
        <v>40934</v>
      </c>
      <c r="B300">
        <v>33.9</v>
      </c>
      <c r="C300">
        <v>60.2</v>
      </c>
      <c r="D300">
        <v>509.3</v>
      </c>
      <c r="E300">
        <v>1987.2</v>
      </c>
      <c r="F300" s="14">
        <f t="shared" si="85"/>
        <v>543.20000000000005</v>
      </c>
      <c r="G300" s="2">
        <f t="shared" si="86"/>
        <v>2047.4</v>
      </c>
      <c r="H300" s="48">
        <f t="shared" si="84"/>
        <v>-73.468789684477869</v>
      </c>
    </row>
    <row r="301" spans="1:8" x14ac:dyDescent="0.25">
      <c r="A301" s="62">
        <f t="shared" si="76"/>
        <v>40941</v>
      </c>
      <c r="B301">
        <v>30</v>
      </c>
      <c r="C301">
        <v>0.2</v>
      </c>
      <c r="D301">
        <v>509.3</v>
      </c>
      <c r="E301">
        <v>2085.9</v>
      </c>
      <c r="F301" s="14">
        <f t="shared" si="85"/>
        <v>539.29999999999995</v>
      </c>
      <c r="G301" s="2">
        <f t="shared" si="86"/>
        <v>2086.1</v>
      </c>
      <c r="H301" s="48">
        <f t="shared" si="84"/>
        <v>-74.14793154690571</v>
      </c>
    </row>
    <row r="302" spans="1:8" x14ac:dyDescent="0.25">
      <c r="A302" s="62">
        <f t="shared" si="76"/>
        <v>40948</v>
      </c>
      <c r="B302">
        <v>30</v>
      </c>
      <c r="C302">
        <v>0.3</v>
      </c>
      <c r="D302">
        <v>577.70000000000005</v>
      </c>
      <c r="E302">
        <v>2313.3000000000002</v>
      </c>
      <c r="F302" s="14">
        <f t="shared" si="85"/>
        <v>607.70000000000005</v>
      </c>
      <c r="G302" s="2">
        <f t="shared" si="86"/>
        <v>2313.6000000000004</v>
      </c>
      <c r="H302" s="48">
        <f t="shared" si="84"/>
        <v>-73.733575380359611</v>
      </c>
    </row>
    <row r="303" spans="1:8" x14ac:dyDescent="0.25">
      <c r="A303" s="62">
        <f t="shared" si="76"/>
        <v>40955</v>
      </c>
      <c r="B303">
        <v>30</v>
      </c>
      <c r="C303">
        <v>0.3</v>
      </c>
      <c r="D303">
        <v>725.3</v>
      </c>
      <c r="E303">
        <v>2380.5</v>
      </c>
      <c r="F303" s="14">
        <f t="shared" si="85"/>
        <v>755.3</v>
      </c>
      <c r="G303" s="2">
        <f t="shared" si="86"/>
        <v>2380.8000000000002</v>
      </c>
      <c r="H303" s="48">
        <f t="shared" si="84"/>
        <v>-68.275369623655919</v>
      </c>
    </row>
    <row r="304" spans="1:8" x14ac:dyDescent="0.25">
      <c r="A304" s="62">
        <f t="shared" si="76"/>
        <v>40962</v>
      </c>
      <c r="B304">
        <v>0</v>
      </c>
      <c r="C304">
        <v>0.2</v>
      </c>
      <c r="D304">
        <v>753.3</v>
      </c>
      <c r="E304">
        <v>2521.1</v>
      </c>
      <c r="F304" s="14">
        <f t="shared" si="85"/>
        <v>753.3</v>
      </c>
      <c r="G304" s="2">
        <f t="shared" si="86"/>
        <v>2521.2999999999997</v>
      </c>
      <c r="H304" s="48">
        <f t="shared" si="84"/>
        <v>-70.12255582437632</v>
      </c>
    </row>
    <row r="305" spans="1:9" x14ac:dyDescent="0.25">
      <c r="A305" s="62">
        <f t="shared" si="76"/>
        <v>40969</v>
      </c>
      <c r="B305">
        <v>0</v>
      </c>
      <c r="C305">
        <v>0.2</v>
      </c>
      <c r="D305">
        <v>753.3</v>
      </c>
      <c r="E305">
        <v>2521.1999999999998</v>
      </c>
      <c r="F305" s="14">
        <f t="shared" si="85"/>
        <v>753.3</v>
      </c>
      <c r="G305" s="2">
        <f t="shared" si="86"/>
        <v>2521.3999999999996</v>
      </c>
      <c r="H305" s="48">
        <f t="shared" si="84"/>
        <v>-70.12374077893233</v>
      </c>
    </row>
    <row r="306" spans="1:9" x14ac:dyDescent="0.25">
      <c r="A306" s="62">
        <f t="shared" si="76"/>
        <v>40976</v>
      </c>
      <c r="B306">
        <v>0</v>
      </c>
      <c r="C306">
        <v>0.2</v>
      </c>
      <c r="D306">
        <v>828.7</v>
      </c>
      <c r="E306">
        <v>2598.3000000000002</v>
      </c>
      <c r="F306" s="14">
        <f t="shared" si="85"/>
        <v>828.7</v>
      </c>
      <c r="G306" s="2">
        <f t="shared" si="86"/>
        <v>2598.5</v>
      </c>
      <c r="H306" s="48">
        <f t="shared" si="84"/>
        <v>-68.108524148547247</v>
      </c>
    </row>
    <row r="307" spans="1:9" x14ac:dyDescent="0.25">
      <c r="A307" s="62">
        <f t="shared" si="76"/>
        <v>40983</v>
      </c>
      <c r="B307">
        <v>0</v>
      </c>
      <c r="C307">
        <v>0.2</v>
      </c>
      <c r="D307">
        <v>828.8</v>
      </c>
      <c r="E307">
        <v>2598.4</v>
      </c>
      <c r="F307" s="14">
        <f t="shared" si="85"/>
        <v>828.8</v>
      </c>
      <c r="G307" s="2">
        <f t="shared" si="86"/>
        <v>2598.6</v>
      </c>
      <c r="H307" s="48">
        <f t="shared" si="84"/>
        <v>-68.105903178634648</v>
      </c>
    </row>
    <row r="308" spans="1:9" x14ac:dyDescent="0.25">
      <c r="A308" s="62">
        <f t="shared" si="76"/>
        <v>40990</v>
      </c>
      <c r="B308">
        <v>0</v>
      </c>
      <c r="C308">
        <v>0.2</v>
      </c>
      <c r="D308">
        <v>828.8</v>
      </c>
      <c r="E308">
        <v>2598.4</v>
      </c>
      <c r="F308" s="14">
        <f t="shared" si="85"/>
        <v>828.8</v>
      </c>
      <c r="G308" s="2">
        <f t="shared" si="86"/>
        <v>2598.6</v>
      </c>
      <c r="H308" s="48">
        <f t="shared" si="84"/>
        <v>-68.105903178634648</v>
      </c>
    </row>
    <row r="309" spans="1:9" x14ac:dyDescent="0.25">
      <c r="A309" s="62">
        <f t="shared" si="76"/>
        <v>40997</v>
      </c>
      <c r="B309">
        <v>0</v>
      </c>
      <c r="C309">
        <v>0.2</v>
      </c>
      <c r="D309">
        <v>828.8</v>
      </c>
      <c r="E309">
        <v>2598.4</v>
      </c>
      <c r="F309" s="14">
        <f t="shared" si="85"/>
        <v>828.8</v>
      </c>
      <c r="G309" s="2">
        <f t="shared" si="86"/>
        <v>2598.6</v>
      </c>
      <c r="H309" s="48">
        <f t="shared" si="84"/>
        <v>-68.105903178634648</v>
      </c>
    </row>
    <row r="310" spans="1:9" x14ac:dyDescent="0.25">
      <c r="A310" s="62">
        <f t="shared" si="76"/>
        <v>41004</v>
      </c>
      <c r="B310">
        <v>15.1</v>
      </c>
      <c r="C310">
        <v>5</v>
      </c>
      <c r="D310">
        <v>267.2</v>
      </c>
      <c r="E310">
        <v>652.29999999999995</v>
      </c>
      <c r="F310" s="14">
        <f t="shared" si="85"/>
        <v>282.3</v>
      </c>
      <c r="G310" s="2">
        <f t="shared" si="86"/>
        <v>657.3</v>
      </c>
      <c r="H310" s="48">
        <f t="shared" si="84"/>
        <v>-57.051574623459601</v>
      </c>
    </row>
    <row r="311" spans="1:9" x14ac:dyDescent="0.25">
      <c r="A311" s="62">
        <f t="shared" si="76"/>
        <v>41011</v>
      </c>
      <c r="B311">
        <v>0</v>
      </c>
      <c r="C311">
        <v>0.2</v>
      </c>
      <c r="D311">
        <v>975</v>
      </c>
      <c r="E311">
        <v>2598.5</v>
      </c>
      <c r="F311" s="14">
        <f t="shared" si="85"/>
        <v>975</v>
      </c>
      <c r="G311" s="2">
        <f t="shared" si="86"/>
        <v>2598.6999999999998</v>
      </c>
      <c r="H311" s="48">
        <f t="shared" si="84"/>
        <v>-62.481240620310153</v>
      </c>
    </row>
    <row r="312" spans="1:9" x14ac:dyDescent="0.25">
      <c r="A312" s="62">
        <f t="shared" si="76"/>
        <v>41018</v>
      </c>
      <c r="B312">
        <v>0</v>
      </c>
      <c r="C312">
        <v>0.2</v>
      </c>
      <c r="D312">
        <v>975</v>
      </c>
      <c r="E312">
        <v>2598.5</v>
      </c>
      <c r="F312" s="14">
        <f t="shared" si="85"/>
        <v>975</v>
      </c>
      <c r="G312" s="2">
        <f t="shared" si="86"/>
        <v>2598.6999999999998</v>
      </c>
      <c r="H312" s="48">
        <f t="shared" si="84"/>
        <v>-62.481240620310153</v>
      </c>
    </row>
    <row r="313" spans="1:9" x14ac:dyDescent="0.25">
      <c r="A313" s="62">
        <f t="shared" si="76"/>
        <v>41025</v>
      </c>
      <c r="B313">
        <v>0</v>
      </c>
      <c r="C313">
        <v>0.1</v>
      </c>
      <c r="D313">
        <v>1035.5</v>
      </c>
      <c r="E313">
        <v>2598.6</v>
      </c>
      <c r="F313" s="14">
        <f t="shared" si="85"/>
        <v>1035.5</v>
      </c>
      <c r="G313" s="2">
        <f t="shared" si="86"/>
        <v>2598.6999999999998</v>
      </c>
      <c r="H313" s="48">
        <f t="shared" si="84"/>
        <v>-60.153153499826843</v>
      </c>
    </row>
    <row r="314" spans="1:9" x14ac:dyDescent="0.25">
      <c r="A314" s="62">
        <f t="shared" si="76"/>
        <v>41032</v>
      </c>
      <c r="B314">
        <v>4</v>
      </c>
      <c r="C314">
        <v>0.1</v>
      </c>
      <c r="D314">
        <v>1035.5</v>
      </c>
      <c r="E314">
        <v>2598.6</v>
      </c>
      <c r="F314" s="14">
        <f t="shared" si="85"/>
        <v>1039.5</v>
      </c>
      <c r="G314" s="2">
        <f t="shared" si="86"/>
        <v>2598.6999999999998</v>
      </c>
      <c r="H314" s="48">
        <f t="shared" si="84"/>
        <v>-59.999230384422987</v>
      </c>
      <c r="I314">
        <v>60</v>
      </c>
    </row>
    <row r="315" spans="1:9" x14ac:dyDescent="0.25">
      <c r="A315" s="62">
        <f t="shared" si="76"/>
        <v>41039</v>
      </c>
      <c r="B315">
        <v>4</v>
      </c>
      <c r="C315">
        <v>0.1</v>
      </c>
      <c r="D315">
        <v>1035.5</v>
      </c>
      <c r="E315">
        <v>2598.6999999999998</v>
      </c>
      <c r="F315" s="14">
        <f t="shared" si="85"/>
        <v>1039.5</v>
      </c>
      <c r="G315" s="2">
        <f t="shared" si="86"/>
        <v>2598.7999999999997</v>
      </c>
      <c r="H315" s="48">
        <f t="shared" si="84"/>
        <v>-60.000769585962743</v>
      </c>
      <c r="I315">
        <v>60</v>
      </c>
    </row>
    <row r="316" spans="1:9" x14ac:dyDescent="0.25">
      <c r="A316" s="62">
        <f t="shared" si="76"/>
        <v>41046</v>
      </c>
      <c r="B316">
        <v>4</v>
      </c>
      <c r="C316">
        <v>0.1</v>
      </c>
      <c r="D316">
        <v>1035.5</v>
      </c>
      <c r="E316">
        <v>2598.6999999999998</v>
      </c>
      <c r="F316" s="14">
        <f t="shared" si="85"/>
        <v>1039.5</v>
      </c>
      <c r="G316" s="2">
        <f t="shared" si="86"/>
        <v>2598.7999999999997</v>
      </c>
      <c r="H316" s="48">
        <f t="shared" si="84"/>
        <v>-60.000769585962743</v>
      </c>
      <c r="I316">
        <v>60</v>
      </c>
    </row>
    <row r="317" spans="1:9" x14ac:dyDescent="0.25">
      <c r="A317" s="62">
        <f t="shared" ref="A317:A380" si="87">+A316+7</f>
        <v>41053</v>
      </c>
      <c r="B317">
        <v>4</v>
      </c>
      <c r="C317">
        <v>0.1</v>
      </c>
      <c r="D317">
        <v>1035.5</v>
      </c>
      <c r="E317">
        <v>2598.6999999999998</v>
      </c>
      <c r="F317" s="14">
        <f t="shared" si="85"/>
        <v>1039.5</v>
      </c>
      <c r="G317" s="2">
        <f t="shared" si="86"/>
        <v>2598.7999999999997</v>
      </c>
      <c r="H317" s="48">
        <f t="shared" si="84"/>
        <v>-60.000769585962743</v>
      </c>
      <c r="I317">
        <v>60</v>
      </c>
    </row>
    <row r="318" spans="1:9" x14ac:dyDescent="0.25">
      <c r="A318" s="62">
        <f t="shared" si="87"/>
        <v>41060</v>
      </c>
      <c r="B318">
        <v>4</v>
      </c>
      <c r="C318">
        <v>0.1</v>
      </c>
      <c r="D318">
        <v>1088.0999999999999</v>
      </c>
      <c r="E318">
        <v>2598.6999999999998</v>
      </c>
      <c r="F318" s="14">
        <f t="shared" si="85"/>
        <v>1092.0999999999999</v>
      </c>
      <c r="G318" s="2">
        <f t="shared" si="86"/>
        <v>2598.7999999999997</v>
      </c>
      <c r="H318" s="48">
        <f t="shared" si="84"/>
        <v>-57.976758503924884</v>
      </c>
      <c r="I318">
        <v>60</v>
      </c>
    </row>
    <row r="319" spans="1:9" x14ac:dyDescent="0.25">
      <c r="A319" s="62">
        <f t="shared" si="87"/>
        <v>41067</v>
      </c>
      <c r="B319">
        <v>4</v>
      </c>
      <c r="C319">
        <v>0.1</v>
      </c>
      <c r="D319">
        <v>1088.2</v>
      </c>
      <c r="E319">
        <v>2598.6999999999998</v>
      </c>
      <c r="F319" s="14">
        <f t="shared" si="85"/>
        <v>1092.2</v>
      </c>
      <c r="G319" s="2">
        <f t="shared" si="86"/>
        <v>2598.7999999999997</v>
      </c>
      <c r="H319" s="48">
        <f t="shared" si="84"/>
        <v>-57.972910574111111</v>
      </c>
      <c r="I319">
        <v>60</v>
      </c>
    </row>
    <row r="320" spans="1:9" x14ac:dyDescent="0.25">
      <c r="A320" s="62">
        <f t="shared" si="87"/>
        <v>41074</v>
      </c>
      <c r="B320">
        <v>4</v>
      </c>
      <c r="C320">
        <v>0.1</v>
      </c>
      <c r="D320">
        <v>1111.8</v>
      </c>
      <c r="E320">
        <v>2598.9</v>
      </c>
      <c r="F320" s="14">
        <f t="shared" si="85"/>
        <v>1115.8</v>
      </c>
      <c r="G320" s="2">
        <f t="shared" si="86"/>
        <v>2599</v>
      </c>
      <c r="H320" s="48">
        <f t="shared" si="84"/>
        <v>-57.068103116583302</v>
      </c>
      <c r="I320">
        <v>60</v>
      </c>
    </row>
    <row r="321" spans="1:9" x14ac:dyDescent="0.25">
      <c r="A321" s="62">
        <f t="shared" si="87"/>
        <v>41081</v>
      </c>
      <c r="B321">
        <v>4</v>
      </c>
      <c r="C321">
        <v>0.1</v>
      </c>
      <c r="D321">
        <v>1111.8</v>
      </c>
      <c r="E321">
        <v>2598.9</v>
      </c>
      <c r="F321" s="14">
        <f t="shared" si="85"/>
        <v>1115.8</v>
      </c>
      <c r="G321" s="2">
        <f t="shared" si="86"/>
        <v>2599</v>
      </c>
      <c r="H321" s="48">
        <f t="shared" si="84"/>
        <v>-57.068103116583302</v>
      </c>
      <c r="I321">
        <v>60</v>
      </c>
    </row>
    <row r="322" spans="1:9" x14ac:dyDescent="0.25">
      <c r="A322" s="62">
        <f t="shared" si="87"/>
        <v>41088</v>
      </c>
      <c r="B322">
        <v>4</v>
      </c>
      <c r="C322">
        <v>0.1</v>
      </c>
      <c r="D322">
        <v>1111.9000000000001</v>
      </c>
      <c r="E322">
        <v>2599</v>
      </c>
      <c r="F322" s="14">
        <f t="shared" si="85"/>
        <v>1115.9000000000001</v>
      </c>
      <c r="G322" s="2">
        <f t="shared" si="86"/>
        <v>2599.1</v>
      </c>
      <c r="H322" s="48">
        <f t="shared" si="84"/>
        <v>-57.065907429494821</v>
      </c>
      <c r="I322">
        <v>60</v>
      </c>
    </row>
    <row r="323" spans="1:9" x14ac:dyDescent="0.25">
      <c r="A323" s="62">
        <f t="shared" si="87"/>
        <v>41095</v>
      </c>
      <c r="B323">
        <v>4</v>
      </c>
      <c r="C323">
        <v>0.1</v>
      </c>
      <c r="D323">
        <v>1112</v>
      </c>
      <c r="E323">
        <v>2599</v>
      </c>
      <c r="F323" s="14">
        <f t="shared" si="85"/>
        <v>1116</v>
      </c>
      <c r="G323" s="2">
        <f t="shared" si="86"/>
        <v>2599.1</v>
      </c>
      <c r="H323" s="48">
        <f t="shared" si="84"/>
        <v>-57.062059943826718</v>
      </c>
      <c r="I323">
        <v>120</v>
      </c>
    </row>
    <row r="324" spans="1:9" x14ac:dyDescent="0.25">
      <c r="A324" s="62">
        <f t="shared" si="87"/>
        <v>41102</v>
      </c>
      <c r="B324">
        <v>4</v>
      </c>
      <c r="C324">
        <v>0.1</v>
      </c>
      <c r="D324">
        <v>1130.5999999999999</v>
      </c>
      <c r="E324">
        <v>2599.1</v>
      </c>
      <c r="F324" s="14">
        <f t="shared" si="85"/>
        <v>1134.5999999999999</v>
      </c>
      <c r="G324" s="2">
        <f t="shared" si="86"/>
        <v>2599.1999999999998</v>
      </c>
      <c r="H324" s="48">
        <f t="shared" si="84"/>
        <v>-56.348107109879962</v>
      </c>
      <c r="I324">
        <v>120</v>
      </c>
    </row>
    <row r="325" spans="1:9" x14ac:dyDescent="0.25">
      <c r="A325" s="62">
        <f t="shared" si="87"/>
        <v>41109</v>
      </c>
      <c r="B325">
        <v>4</v>
      </c>
      <c r="C325">
        <v>0.1</v>
      </c>
      <c r="D325">
        <v>1152.9000000000001</v>
      </c>
      <c r="E325">
        <v>2599.1</v>
      </c>
      <c r="F325" s="14">
        <f t="shared" si="85"/>
        <v>1156.9000000000001</v>
      </c>
      <c r="G325" s="2">
        <f t="shared" si="86"/>
        <v>2599.1999999999998</v>
      </c>
      <c r="H325" s="48">
        <f t="shared" si="84"/>
        <v>-55.490150815635573</v>
      </c>
      <c r="I325">
        <v>232</v>
      </c>
    </row>
    <row r="326" spans="1:9" x14ac:dyDescent="0.25">
      <c r="A326" s="62">
        <f t="shared" si="87"/>
        <v>41116</v>
      </c>
      <c r="B326">
        <v>0.8</v>
      </c>
      <c r="C326">
        <v>0.1</v>
      </c>
      <c r="D326">
        <v>1156.0999999999999</v>
      </c>
      <c r="E326">
        <v>2599.1</v>
      </c>
      <c r="F326" s="14">
        <f t="shared" si="85"/>
        <v>1156.8999999999999</v>
      </c>
      <c r="G326" s="2">
        <f t="shared" si="86"/>
        <v>2599.1999999999998</v>
      </c>
      <c r="H326" s="48">
        <f t="shared" ref="H326:H357" si="88">+(F326/G326-1)*100</f>
        <v>-55.490150815635573</v>
      </c>
      <c r="I326">
        <v>232</v>
      </c>
    </row>
    <row r="327" spans="1:9" x14ac:dyDescent="0.25">
      <c r="A327" s="62">
        <f t="shared" si="87"/>
        <v>41123</v>
      </c>
      <c r="B327">
        <v>0.8</v>
      </c>
      <c r="C327">
        <v>0.1</v>
      </c>
      <c r="D327">
        <v>1156.0999999999999</v>
      </c>
      <c r="E327">
        <v>2599.1</v>
      </c>
      <c r="F327" s="14">
        <f t="shared" si="85"/>
        <v>1156.8999999999999</v>
      </c>
      <c r="G327" s="2">
        <f t="shared" si="86"/>
        <v>2599.1999999999998</v>
      </c>
      <c r="H327" s="48">
        <f t="shared" si="88"/>
        <v>-55.490150815635573</v>
      </c>
      <c r="I327">
        <v>232</v>
      </c>
    </row>
    <row r="328" spans="1:9" x14ac:dyDescent="0.25">
      <c r="A328" s="62">
        <f t="shared" si="87"/>
        <v>41130</v>
      </c>
      <c r="B328">
        <v>0.8</v>
      </c>
      <c r="C328">
        <v>0.1</v>
      </c>
      <c r="D328">
        <v>1156.2</v>
      </c>
      <c r="E328">
        <v>2599.1999999999998</v>
      </c>
      <c r="F328" s="14">
        <f t="shared" si="85"/>
        <v>1157</v>
      </c>
      <c r="G328" s="2">
        <f t="shared" si="86"/>
        <v>2599.2999999999997</v>
      </c>
      <c r="H328" s="48">
        <f t="shared" si="88"/>
        <v>-55.488016004308847</v>
      </c>
      <c r="I328">
        <v>232</v>
      </c>
    </row>
    <row r="329" spans="1:9" x14ac:dyDescent="0.25">
      <c r="A329" s="62">
        <f t="shared" si="87"/>
        <v>41137</v>
      </c>
      <c r="B329">
        <v>0.8</v>
      </c>
      <c r="C329">
        <v>0.1</v>
      </c>
      <c r="D329">
        <v>1229.5999999999999</v>
      </c>
      <c r="E329">
        <v>2599.1999999999998</v>
      </c>
      <c r="F329" s="14">
        <f t="shared" si="85"/>
        <v>1230.3999999999999</v>
      </c>
      <c r="G329" s="2">
        <f t="shared" si="86"/>
        <v>2599.2999999999997</v>
      </c>
      <c r="H329" s="48">
        <f t="shared" si="88"/>
        <v>-52.664178817373909</v>
      </c>
      <c r="I329">
        <v>232</v>
      </c>
    </row>
    <row r="330" spans="1:9" x14ac:dyDescent="0.25">
      <c r="A330" s="62">
        <f t="shared" si="87"/>
        <v>41144</v>
      </c>
      <c r="B330">
        <v>0.8</v>
      </c>
      <c r="C330">
        <v>0.1</v>
      </c>
      <c r="D330">
        <v>1229.5999999999999</v>
      </c>
      <c r="E330">
        <v>2599.1999999999998</v>
      </c>
      <c r="F330" s="14">
        <f t="shared" si="85"/>
        <v>1230.3999999999999</v>
      </c>
      <c r="G330" s="2">
        <f t="shared" si="86"/>
        <v>2599.2999999999997</v>
      </c>
      <c r="H330" s="48">
        <f t="shared" si="88"/>
        <v>-52.664178817373909</v>
      </c>
      <c r="I330">
        <v>232</v>
      </c>
    </row>
    <row r="331" spans="1:9" x14ac:dyDescent="0.25">
      <c r="A331" s="62">
        <f t="shared" si="87"/>
        <v>41151</v>
      </c>
      <c r="B331">
        <v>0.8</v>
      </c>
      <c r="C331">
        <v>120</v>
      </c>
      <c r="D331">
        <v>1229.7</v>
      </c>
      <c r="E331">
        <v>0</v>
      </c>
      <c r="F331" s="14">
        <f t="shared" si="85"/>
        <v>1230.5</v>
      </c>
      <c r="G331" s="2">
        <f t="shared" si="86"/>
        <v>120</v>
      </c>
      <c r="H331" s="48">
        <f t="shared" si="88"/>
        <v>925.41666666666663</v>
      </c>
      <c r="I331">
        <v>232</v>
      </c>
    </row>
    <row r="332" spans="1:9" x14ac:dyDescent="0.25">
      <c r="A332" s="62">
        <f t="shared" si="87"/>
        <v>41158</v>
      </c>
      <c r="B332">
        <v>232.8</v>
      </c>
      <c r="C332">
        <v>120</v>
      </c>
      <c r="D332">
        <v>0</v>
      </c>
      <c r="E332">
        <v>0</v>
      </c>
      <c r="F332" s="14">
        <f t="shared" si="85"/>
        <v>232.8</v>
      </c>
      <c r="G332" s="2">
        <f t="shared" si="86"/>
        <v>120</v>
      </c>
      <c r="H332" s="48">
        <f t="shared" si="88"/>
        <v>94.000000000000014</v>
      </c>
    </row>
    <row r="333" spans="1:9" x14ac:dyDescent="0.25">
      <c r="A333" s="62">
        <f t="shared" si="87"/>
        <v>41165</v>
      </c>
      <c r="B333">
        <v>232.8</v>
      </c>
      <c r="C333">
        <v>124</v>
      </c>
      <c r="D333">
        <v>65.3</v>
      </c>
      <c r="E333">
        <v>0.1</v>
      </c>
      <c r="F333" s="14">
        <f t="shared" si="85"/>
        <v>298.10000000000002</v>
      </c>
      <c r="G333" s="2">
        <f t="shared" si="86"/>
        <v>124.1</v>
      </c>
      <c r="H333" s="48">
        <f t="shared" si="88"/>
        <v>140.20950846091864</v>
      </c>
    </row>
    <row r="334" spans="1:9" x14ac:dyDescent="0.25">
      <c r="A334" s="62">
        <f t="shared" si="87"/>
        <v>41172</v>
      </c>
      <c r="B334">
        <v>232.8</v>
      </c>
      <c r="C334">
        <v>124</v>
      </c>
      <c r="D334">
        <v>65.400000000000006</v>
      </c>
      <c r="E334">
        <v>0.1</v>
      </c>
      <c r="F334" s="14">
        <f t="shared" si="85"/>
        <v>298.20000000000005</v>
      </c>
      <c r="G334" s="2">
        <f t="shared" si="86"/>
        <v>124.1</v>
      </c>
      <c r="H334" s="48">
        <f t="shared" si="88"/>
        <v>140.29008863819504</v>
      </c>
    </row>
    <row r="335" spans="1:9" x14ac:dyDescent="0.25">
      <c r="A335" s="62">
        <f t="shared" si="87"/>
        <v>41179</v>
      </c>
      <c r="B335">
        <v>240</v>
      </c>
      <c r="C335">
        <v>124</v>
      </c>
      <c r="D335">
        <v>140.6</v>
      </c>
      <c r="E335">
        <v>0.2</v>
      </c>
      <c r="F335" s="14">
        <f t="shared" si="85"/>
        <v>380.6</v>
      </c>
      <c r="G335" s="2">
        <f t="shared" si="86"/>
        <v>124.2</v>
      </c>
      <c r="H335" s="48">
        <f t="shared" si="88"/>
        <v>206.44122383252821</v>
      </c>
    </row>
    <row r="336" spans="1:9" x14ac:dyDescent="0.25">
      <c r="A336" s="62">
        <f t="shared" si="87"/>
        <v>41186</v>
      </c>
      <c r="B336">
        <v>240</v>
      </c>
      <c r="C336">
        <v>128</v>
      </c>
      <c r="D336">
        <v>161.30000000000001</v>
      </c>
      <c r="E336">
        <v>0.2</v>
      </c>
      <c r="F336" s="14">
        <f t="shared" si="85"/>
        <v>401.3</v>
      </c>
      <c r="G336" s="2">
        <f t="shared" si="86"/>
        <v>128.19999999999999</v>
      </c>
      <c r="H336" s="48">
        <f t="shared" si="88"/>
        <v>213.02652106084247</v>
      </c>
    </row>
    <row r="337" spans="1:8" x14ac:dyDescent="0.25">
      <c r="A337" s="62">
        <f t="shared" si="87"/>
        <v>41193</v>
      </c>
      <c r="B337">
        <v>180</v>
      </c>
      <c r="C337">
        <v>128</v>
      </c>
      <c r="D337">
        <v>446.4</v>
      </c>
      <c r="E337">
        <v>0.2</v>
      </c>
      <c r="F337" s="14">
        <f t="shared" si="85"/>
        <v>626.4</v>
      </c>
      <c r="G337" s="2">
        <f t="shared" si="86"/>
        <v>128.19999999999999</v>
      </c>
      <c r="H337" s="48">
        <f t="shared" si="88"/>
        <v>388.61154446177846</v>
      </c>
    </row>
    <row r="338" spans="1:8" x14ac:dyDescent="0.25">
      <c r="A338" s="62">
        <f t="shared" si="87"/>
        <v>41200</v>
      </c>
      <c r="B338">
        <v>180</v>
      </c>
      <c r="C338">
        <v>128</v>
      </c>
      <c r="D338">
        <v>543.5</v>
      </c>
      <c r="E338">
        <v>66.7</v>
      </c>
      <c r="F338" s="14">
        <f t="shared" si="85"/>
        <v>723.5</v>
      </c>
      <c r="G338" s="2">
        <f t="shared" si="86"/>
        <v>194.7</v>
      </c>
      <c r="H338" s="48">
        <f t="shared" si="88"/>
        <v>271.59732922444789</v>
      </c>
    </row>
    <row r="339" spans="1:8" x14ac:dyDescent="0.25">
      <c r="A339" s="62">
        <f t="shared" si="87"/>
        <v>41207</v>
      </c>
      <c r="B339">
        <v>120</v>
      </c>
      <c r="C339">
        <v>68</v>
      </c>
      <c r="D339">
        <v>579.20000000000005</v>
      </c>
      <c r="E339">
        <v>89.6</v>
      </c>
      <c r="F339" s="14">
        <f t="shared" si="85"/>
        <v>699.2</v>
      </c>
      <c r="G339" s="2">
        <f t="shared" si="86"/>
        <v>157.6</v>
      </c>
      <c r="H339" s="48">
        <f t="shared" si="88"/>
        <v>343.65482233502541</v>
      </c>
    </row>
    <row r="340" spans="1:8" x14ac:dyDescent="0.25">
      <c r="A340" s="62">
        <f t="shared" si="87"/>
        <v>41214</v>
      </c>
      <c r="B340">
        <v>120</v>
      </c>
      <c r="C340">
        <v>8</v>
      </c>
      <c r="D340">
        <v>685.8</v>
      </c>
      <c r="E340">
        <v>135.30000000000001</v>
      </c>
      <c r="F340" s="14">
        <f t="shared" ref="F340:G342" si="89">+B340+D340</f>
        <v>805.8</v>
      </c>
      <c r="G340" s="2">
        <f t="shared" si="89"/>
        <v>143.30000000000001</v>
      </c>
      <c r="H340" s="48">
        <f t="shared" si="88"/>
        <v>462.31681786461962</v>
      </c>
    </row>
    <row r="341" spans="1:8" x14ac:dyDescent="0.25">
      <c r="A341" s="62">
        <f t="shared" si="87"/>
        <v>41221</v>
      </c>
      <c r="B341">
        <v>120</v>
      </c>
      <c r="C341">
        <v>8</v>
      </c>
      <c r="D341">
        <v>758.5</v>
      </c>
      <c r="E341">
        <v>135.30000000000001</v>
      </c>
      <c r="F341" s="14">
        <f t="shared" si="89"/>
        <v>878.5</v>
      </c>
      <c r="G341" s="2">
        <f t="shared" si="89"/>
        <v>143.30000000000001</v>
      </c>
      <c r="H341" s="48">
        <f t="shared" si="88"/>
        <v>513.04954640614096</v>
      </c>
    </row>
    <row r="342" spans="1:8" x14ac:dyDescent="0.25">
      <c r="A342" s="62">
        <f t="shared" si="87"/>
        <v>41228</v>
      </c>
      <c r="B342">
        <v>120</v>
      </c>
      <c r="C342">
        <v>8</v>
      </c>
      <c r="D342">
        <v>911.5</v>
      </c>
      <c r="E342">
        <v>135.4</v>
      </c>
      <c r="F342" s="14">
        <f t="shared" si="89"/>
        <v>1031.5</v>
      </c>
      <c r="G342" s="2">
        <f t="shared" si="89"/>
        <v>143.4</v>
      </c>
      <c r="H342" s="48">
        <f t="shared" si="88"/>
        <v>619.31659693165966</v>
      </c>
    </row>
    <row r="343" spans="1:8" x14ac:dyDescent="0.25">
      <c r="A343" s="62">
        <f t="shared" si="87"/>
        <v>41235</v>
      </c>
      <c r="B343">
        <v>70</v>
      </c>
      <c r="C343">
        <v>3.9</v>
      </c>
      <c r="D343">
        <v>1027.7</v>
      </c>
      <c r="E343">
        <v>220.4</v>
      </c>
      <c r="F343" s="14">
        <f t="shared" ref="F343:F373" si="90">+B343+D343</f>
        <v>1097.7</v>
      </c>
      <c r="G343" s="2">
        <f t="shared" ref="G343:G373" si="91">+C343+E343</f>
        <v>224.3</v>
      </c>
      <c r="H343" s="48">
        <f t="shared" si="88"/>
        <v>389.389210878288</v>
      </c>
    </row>
    <row r="344" spans="1:8" x14ac:dyDescent="0.25">
      <c r="A344" s="62">
        <f t="shared" si="87"/>
        <v>41242</v>
      </c>
      <c r="B344">
        <v>120</v>
      </c>
      <c r="C344">
        <v>3.9</v>
      </c>
      <c r="D344">
        <v>1191.0999999999999</v>
      </c>
      <c r="E344">
        <v>296.8</v>
      </c>
      <c r="F344" s="14">
        <f t="shared" si="90"/>
        <v>1311.1</v>
      </c>
      <c r="G344" s="2">
        <f t="shared" si="91"/>
        <v>300.7</v>
      </c>
      <c r="H344" s="48">
        <f t="shared" si="88"/>
        <v>336.01596275357497</v>
      </c>
    </row>
    <row r="345" spans="1:8" x14ac:dyDescent="0.25">
      <c r="A345" s="62">
        <f t="shared" si="87"/>
        <v>41249</v>
      </c>
      <c r="B345">
        <v>120</v>
      </c>
      <c r="C345">
        <v>3.9</v>
      </c>
      <c r="D345">
        <v>1251.5999999999999</v>
      </c>
      <c r="E345">
        <v>296.89999999999998</v>
      </c>
      <c r="F345" s="14">
        <f t="shared" si="90"/>
        <v>1371.6</v>
      </c>
      <c r="G345" s="2">
        <f t="shared" si="91"/>
        <v>300.79999999999995</v>
      </c>
      <c r="H345" s="48">
        <f t="shared" si="88"/>
        <v>355.9840425531915</v>
      </c>
    </row>
    <row r="346" spans="1:8" x14ac:dyDescent="0.25">
      <c r="A346" s="62">
        <f t="shared" si="87"/>
        <v>41256</v>
      </c>
      <c r="B346">
        <v>120</v>
      </c>
      <c r="C346">
        <v>3.9</v>
      </c>
      <c r="D346">
        <v>1275.0999999999999</v>
      </c>
      <c r="E346">
        <v>319.3</v>
      </c>
      <c r="F346" s="14">
        <f t="shared" si="90"/>
        <v>1395.1</v>
      </c>
      <c r="G346" s="2">
        <f t="shared" si="91"/>
        <v>323.2</v>
      </c>
      <c r="H346" s="48">
        <f t="shared" si="88"/>
        <v>331.65222772277224</v>
      </c>
    </row>
    <row r="347" spans="1:8" x14ac:dyDescent="0.25">
      <c r="A347" s="62">
        <f t="shared" si="87"/>
        <v>41263</v>
      </c>
      <c r="B347">
        <v>120</v>
      </c>
      <c r="C347">
        <v>3.9</v>
      </c>
      <c r="D347">
        <v>1422.6</v>
      </c>
      <c r="E347">
        <v>346</v>
      </c>
      <c r="F347" s="14">
        <f t="shared" si="90"/>
        <v>1542.6</v>
      </c>
      <c r="G347" s="2">
        <f t="shared" si="91"/>
        <v>349.9</v>
      </c>
      <c r="H347" s="48">
        <f t="shared" si="88"/>
        <v>340.86881966276081</v>
      </c>
    </row>
    <row r="348" spans="1:8" x14ac:dyDescent="0.25">
      <c r="A348" s="62">
        <f t="shared" si="87"/>
        <v>41270</v>
      </c>
      <c r="B348">
        <v>120</v>
      </c>
      <c r="C348">
        <v>3.9</v>
      </c>
      <c r="D348">
        <v>1570.3</v>
      </c>
      <c r="E348">
        <v>346</v>
      </c>
      <c r="F348" s="14">
        <f t="shared" si="90"/>
        <v>1690.3</v>
      </c>
      <c r="G348" s="2">
        <f t="shared" si="91"/>
        <v>349.9</v>
      </c>
      <c r="H348" s="48">
        <f t="shared" si="88"/>
        <v>383.0808802515005</v>
      </c>
    </row>
    <row r="349" spans="1:8" x14ac:dyDescent="0.25">
      <c r="A349" s="62">
        <f t="shared" si="87"/>
        <v>41277</v>
      </c>
      <c r="B349">
        <v>60</v>
      </c>
      <c r="C349">
        <v>3.9</v>
      </c>
      <c r="D349">
        <v>1708.5</v>
      </c>
      <c r="E349">
        <v>346.1</v>
      </c>
      <c r="F349" s="14">
        <f t="shared" si="90"/>
        <v>1768.5</v>
      </c>
      <c r="G349" s="2">
        <f t="shared" si="91"/>
        <v>350</v>
      </c>
      <c r="H349" s="48">
        <f t="shared" si="88"/>
        <v>405.28571428571422</v>
      </c>
    </row>
    <row r="350" spans="1:8" x14ac:dyDescent="0.25">
      <c r="A350" s="62">
        <f t="shared" si="87"/>
        <v>41284</v>
      </c>
      <c r="B350">
        <v>60</v>
      </c>
      <c r="C350">
        <v>3.9</v>
      </c>
      <c r="D350">
        <v>1982</v>
      </c>
      <c r="E350">
        <v>370.2</v>
      </c>
      <c r="F350" s="14">
        <f t="shared" si="90"/>
        <v>2042</v>
      </c>
      <c r="G350" s="2">
        <f t="shared" si="91"/>
        <v>374.09999999999997</v>
      </c>
      <c r="H350" s="48">
        <f t="shared" si="88"/>
        <v>445.84335739107195</v>
      </c>
    </row>
    <row r="351" spans="1:8" x14ac:dyDescent="0.25">
      <c r="A351" s="62">
        <f t="shared" si="87"/>
        <v>41291</v>
      </c>
      <c r="B351">
        <v>0</v>
      </c>
      <c r="C351">
        <v>33.9</v>
      </c>
      <c r="D351">
        <v>2232.5</v>
      </c>
      <c r="E351">
        <v>370.3</v>
      </c>
      <c r="F351" s="14">
        <f t="shared" si="90"/>
        <v>2232.5</v>
      </c>
      <c r="G351" s="2">
        <f t="shared" si="91"/>
        <v>404.2</v>
      </c>
      <c r="H351" s="48">
        <f t="shared" si="88"/>
        <v>452.32558139534882</v>
      </c>
    </row>
    <row r="352" spans="1:8" x14ac:dyDescent="0.25">
      <c r="A352" s="62">
        <f t="shared" si="87"/>
        <v>41298</v>
      </c>
      <c r="B352">
        <v>0</v>
      </c>
      <c r="C352">
        <v>33.9</v>
      </c>
      <c r="D352">
        <v>2308.8000000000002</v>
      </c>
      <c r="E352">
        <v>445.6</v>
      </c>
      <c r="F352" s="14">
        <f t="shared" si="90"/>
        <v>2308.8000000000002</v>
      </c>
      <c r="G352" s="2">
        <f t="shared" si="91"/>
        <v>479.5</v>
      </c>
      <c r="H352" s="48">
        <f t="shared" si="88"/>
        <v>381.50156412930141</v>
      </c>
    </row>
    <row r="353" spans="1:9" x14ac:dyDescent="0.25">
      <c r="A353" s="62">
        <f t="shared" si="87"/>
        <v>41305</v>
      </c>
      <c r="B353">
        <v>0</v>
      </c>
      <c r="C353">
        <v>30</v>
      </c>
      <c r="D353">
        <v>2586.9</v>
      </c>
      <c r="E353">
        <v>445.6</v>
      </c>
      <c r="F353" s="14">
        <f t="shared" si="90"/>
        <v>2586.9</v>
      </c>
      <c r="G353" s="2">
        <f t="shared" si="91"/>
        <v>475.6</v>
      </c>
      <c r="H353" s="48">
        <f t="shared" si="88"/>
        <v>443.92346509671989</v>
      </c>
      <c r="I353">
        <v>25</v>
      </c>
    </row>
    <row r="354" spans="1:9" x14ac:dyDescent="0.25">
      <c r="A354" s="62">
        <f t="shared" si="87"/>
        <v>41312</v>
      </c>
      <c r="B354">
        <v>0</v>
      </c>
      <c r="C354">
        <v>30</v>
      </c>
      <c r="D354">
        <v>2586.9</v>
      </c>
      <c r="E354">
        <v>445.6</v>
      </c>
      <c r="F354" s="14">
        <f t="shared" si="90"/>
        <v>2586.9</v>
      </c>
      <c r="G354" s="2">
        <f t="shared" si="91"/>
        <v>475.6</v>
      </c>
      <c r="H354" s="48">
        <f t="shared" si="88"/>
        <v>443.92346509671989</v>
      </c>
      <c r="I354">
        <v>25</v>
      </c>
    </row>
    <row r="355" spans="1:9" x14ac:dyDescent="0.25">
      <c r="A355" s="62">
        <f t="shared" si="87"/>
        <v>41319</v>
      </c>
      <c r="B355">
        <v>30</v>
      </c>
      <c r="C355">
        <v>30</v>
      </c>
      <c r="D355">
        <v>2739.2</v>
      </c>
      <c r="E355">
        <v>649.4</v>
      </c>
      <c r="F355" s="14">
        <f t="shared" si="90"/>
        <v>2769.2</v>
      </c>
      <c r="G355" s="2">
        <f t="shared" si="91"/>
        <v>679.4</v>
      </c>
      <c r="H355" s="48">
        <f t="shared" si="88"/>
        <v>307.5949367088607</v>
      </c>
      <c r="I355">
        <v>25</v>
      </c>
    </row>
    <row r="356" spans="1:9" x14ac:dyDescent="0.25">
      <c r="A356" s="62">
        <f t="shared" si="87"/>
        <v>41326</v>
      </c>
      <c r="B356">
        <v>30</v>
      </c>
      <c r="C356">
        <v>0</v>
      </c>
      <c r="D356">
        <v>2815.2</v>
      </c>
      <c r="E356">
        <v>677.4</v>
      </c>
      <c r="F356" s="14">
        <f t="shared" si="90"/>
        <v>2845.2</v>
      </c>
      <c r="G356" s="2">
        <f t="shared" si="91"/>
        <v>677.4</v>
      </c>
      <c r="H356" s="48">
        <f t="shared" si="88"/>
        <v>320.01771479185123</v>
      </c>
      <c r="I356">
        <v>25</v>
      </c>
    </row>
    <row r="357" spans="1:9" x14ac:dyDescent="0.25">
      <c r="A357" s="62">
        <f t="shared" si="87"/>
        <v>41333</v>
      </c>
      <c r="B357">
        <v>30</v>
      </c>
      <c r="C357">
        <v>0</v>
      </c>
      <c r="D357">
        <v>2945.3</v>
      </c>
      <c r="E357">
        <v>753.3</v>
      </c>
      <c r="F357" s="14">
        <f t="shared" si="90"/>
        <v>2975.3</v>
      </c>
      <c r="G357" s="2">
        <f t="shared" si="91"/>
        <v>753.3</v>
      </c>
      <c r="H357" s="48">
        <f t="shared" si="88"/>
        <v>294.96880392937743</v>
      </c>
      <c r="I357">
        <v>25</v>
      </c>
    </row>
    <row r="358" spans="1:9" x14ac:dyDescent="0.25">
      <c r="A358" s="62">
        <f t="shared" si="87"/>
        <v>41340</v>
      </c>
      <c r="B358">
        <v>0</v>
      </c>
      <c r="C358">
        <v>0</v>
      </c>
      <c r="D358">
        <v>2977</v>
      </c>
      <c r="E358">
        <v>828.7</v>
      </c>
      <c r="F358" s="14">
        <f t="shared" si="90"/>
        <v>2977</v>
      </c>
      <c r="G358" s="2">
        <f t="shared" si="91"/>
        <v>828.7</v>
      </c>
      <c r="H358" s="48">
        <f t="shared" ref="H358:H373" si="92">+(F358/G358-1)*100</f>
        <v>259.2373597200434</v>
      </c>
      <c r="I358">
        <v>25</v>
      </c>
    </row>
    <row r="359" spans="1:9" x14ac:dyDescent="0.25">
      <c r="A359" s="62">
        <f t="shared" si="87"/>
        <v>41347</v>
      </c>
      <c r="B359">
        <v>0</v>
      </c>
      <c r="C359">
        <v>0</v>
      </c>
      <c r="D359">
        <v>2977</v>
      </c>
      <c r="E359">
        <v>828.8</v>
      </c>
      <c r="F359" s="14">
        <f t="shared" si="90"/>
        <v>2977</v>
      </c>
      <c r="G359" s="2">
        <f t="shared" si="91"/>
        <v>828.8</v>
      </c>
      <c r="H359" s="48">
        <f t="shared" si="92"/>
        <v>259.19401544401546</v>
      </c>
      <c r="I359">
        <v>25</v>
      </c>
    </row>
    <row r="360" spans="1:9" x14ac:dyDescent="0.25">
      <c r="A360" s="62">
        <f t="shared" si="87"/>
        <v>41354</v>
      </c>
      <c r="B360">
        <v>0</v>
      </c>
      <c r="C360">
        <v>0</v>
      </c>
      <c r="D360">
        <v>2977.1</v>
      </c>
      <c r="E360">
        <v>828.8</v>
      </c>
      <c r="F360" s="14">
        <f t="shared" si="90"/>
        <v>2977.1</v>
      </c>
      <c r="G360" s="2">
        <f t="shared" si="91"/>
        <v>828.8</v>
      </c>
      <c r="H360" s="48">
        <f t="shared" si="92"/>
        <v>259.20608108108109</v>
      </c>
      <c r="I360">
        <v>25</v>
      </c>
    </row>
    <row r="361" spans="1:9" x14ac:dyDescent="0.25">
      <c r="A361" s="62">
        <f t="shared" si="87"/>
        <v>41361</v>
      </c>
      <c r="B361">
        <v>0</v>
      </c>
      <c r="C361">
        <v>0</v>
      </c>
      <c r="D361">
        <v>3031.5</v>
      </c>
      <c r="E361">
        <v>828.8</v>
      </c>
      <c r="F361" s="14">
        <f t="shared" si="90"/>
        <v>3031.5</v>
      </c>
      <c r="G361" s="2">
        <f t="shared" si="91"/>
        <v>828.8</v>
      </c>
      <c r="H361" s="48">
        <f t="shared" si="92"/>
        <v>265.7697876447877</v>
      </c>
      <c r="I361">
        <v>25</v>
      </c>
    </row>
    <row r="362" spans="1:9" x14ac:dyDescent="0.25">
      <c r="A362" s="62">
        <f t="shared" si="87"/>
        <v>41368</v>
      </c>
      <c r="B362">
        <v>0</v>
      </c>
      <c r="C362">
        <v>0</v>
      </c>
      <c r="D362">
        <v>2977.2</v>
      </c>
      <c r="E362">
        <v>922.1</v>
      </c>
      <c r="F362" s="14">
        <f t="shared" si="90"/>
        <v>2977.2</v>
      </c>
      <c r="G362" s="2">
        <f t="shared" si="91"/>
        <v>922.1</v>
      </c>
      <c r="H362" s="48">
        <f t="shared" si="92"/>
        <v>222.87170588873221</v>
      </c>
      <c r="I362">
        <v>25</v>
      </c>
    </row>
    <row r="363" spans="1:9" x14ac:dyDescent="0.25">
      <c r="A363" s="62">
        <f t="shared" si="87"/>
        <v>41375</v>
      </c>
      <c r="B363">
        <v>60</v>
      </c>
      <c r="C363">
        <v>0</v>
      </c>
      <c r="D363">
        <v>3008.8</v>
      </c>
      <c r="E363">
        <v>975</v>
      </c>
      <c r="F363" s="14">
        <f t="shared" si="90"/>
        <v>3068.8</v>
      </c>
      <c r="G363" s="2">
        <f t="shared" si="91"/>
        <v>975</v>
      </c>
      <c r="H363" s="48">
        <f t="shared" si="92"/>
        <v>214.74871794871797</v>
      </c>
      <c r="I363">
        <v>25</v>
      </c>
    </row>
    <row r="364" spans="1:9" x14ac:dyDescent="0.25">
      <c r="A364" s="62">
        <f t="shared" si="87"/>
        <v>41382</v>
      </c>
      <c r="B364">
        <v>60</v>
      </c>
      <c r="C364">
        <v>0</v>
      </c>
      <c r="D364">
        <v>3008.9</v>
      </c>
      <c r="E364">
        <v>975</v>
      </c>
      <c r="F364" s="14">
        <f t="shared" si="90"/>
        <v>3068.9</v>
      </c>
      <c r="G364" s="2">
        <f t="shared" si="91"/>
        <v>975</v>
      </c>
      <c r="H364" s="48">
        <f t="shared" si="92"/>
        <v>214.75897435897434</v>
      </c>
      <c r="I364">
        <v>25</v>
      </c>
    </row>
    <row r="365" spans="1:9" x14ac:dyDescent="0.25">
      <c r="A365" s="62">
        <f t="shared" si="87"/>
        <v>41389</v>
      </c>
      <c r="B365">
        <v>60</v>
      </c>
      <c r="C365">
        <v>0</v>
      </c>
      <c r="D365">
        <v>2977.2</v>
      </c>
      <c r="E365">
        <v>1035.5</v>
      </c>
      <c r="F365" s="14">
        <f t="shared" si="90"/>
        <v>3037.2</v>
      </c>
      <c r="G365" s="2">
        <f t="shared" si="91"/>
        <v>1035.5</v>
      </c>
      <c r="H365" s="48">
        <f t="shared" si="92"/>
        <v>193.3075808788025</v>
      </c>
      <c r="I365">
        <v>25</v>
      </c>
    </row>
    <row r="366" spans="1:9" x14ac:dyDescent="0.25">
      <c r="A366" s="62">
        <f t="shared" si="87"/>
        <v>41396</v>
      </c>
      <c r="B366">
        <v>60</v>
      </c>
      <c r="C366">
        <v>4</v>
      </c>
      <c r="D366">
        <v>2977.2</v>
      </c>
      <c r="E366">
        <v>1035.5</v>
      </c>
      <c r="F366" s="14">
        <f t="shared" si="90"/>
        <v>3037.2</v>
      </c>
      <c r="G366" s="2">
        <f t="shared" si="91"/>
        <v>1039.5</v>
      </c>
      <c r="H366" s="48">
        <f t="shared" si="92"/>
        <v>192.17893217893217</v>
      </c>
      <c r="I366">
        <v>25</v>
      </c>
    </row>
    <row r="367" spans="1:9" x14ac:dyDescent="0.25">
      <c r="A367" s="62">
        <f t="shared" si="87"/>
        <v>41403</v>
      </c>
      <c r="B367">
        <v>60</v>
      </c>
      <c r="C367">
        <v>4</v>
      </c>
      <c r="D367">
        <v>2977.2</v>
      </c>
      <c r="E367">
        <v>1035.5</v>
      </c>
      <c r="F367" s="14">
        <f t="shared" si="90"/>
        <v>3037.2</v>
      </c>
      <c r="G367" s="2">
        <f t="shared" si="91"/>
        <v>1039.5</v>
      </c>
      <c r="H367" s="48">
        <f t="shared" si="92"/>
        <v>192.17893217893217</v>
      </c>
      <c r="I367">
        <v>25</v>
      </c>
    </row>
    <row r="368" spans="1:9" x14ac:dyDescent="0.25">
      <c r="A368" s="62">
        <f t="shared" si="87"/>
        <v>41410</v>
      </c>
      <c r="B368">
        <v>60</v>
      </c>
      <c r="C368">
        <v>4</v>
      </c>
      <c r="D368">
        <v>2977.3</v>
      </c>
      <c r="E368">
        <v>1035.5</v>
      </c>
      <c r="F368" s="14">
        <f t="shared" si="90"/>
        <v>3037.3</v>
      </c>
      <c r="G368" s="2">
        <f t="shared" si="91"/>
        <v>1039.5</v>
      </c>
      <c r="H368" s="48">
        <f t="shared" si="92"/>
        <v>192.18855218855219</v>
      </c>
      <c r="I368">
        <v>85</v>
      </c>
    </row>
    <row r="369" spans="1:9" x14ac:dyDescent="0.25">
      <c r="A369" s="62">
        <f t="shared" si="87"/>
        <v>41417</v>
      </c>
      <c r="B369">
        <v>60</v>
      </c>
      <c r="C369">
        <v>4</v>
      </c>
      <c r="D369">
        <v>2977.3</v>
      </c>
      <c r="E369">
        <v>1035.5999999999999</v>
      </c>
      <c r="F369" s="14">
        <f t="shared" si="90"/>
        <v>3037.3</v>
      </c>
      <c r="G369" s="2">
        <f t="shared" si="91"/>
        <v>1039.5999999999999</v>
      </c>
      <c r="H369" s="48">
        <f t="shared" si="92"/>
        <v>192.16044632550987</v>
      </c>
      <c r="I369">
        <v>115</v>
      </c>
    </row>
    <row r="370" spans="1:9" x14ac:dyDescent="0.25">
      <c r="A370" s="62">
        <f t="shared" si="87"/>
        <v>41424</v>
      </c>
      <c r="C370">
        <v>4</v>
      </c>
      <c r="D370">
        <v>3043.3</v>
      </c>
      <c r="E370">
        <v>1088.0999999999999</v>
      </c>
      <c r="F370" s="14">
        <f t="shared" si="90"/>
        <v>3043.3</v>
      </c>
      <c r="G370" s="2">
        <f t="shared" si="91"/>
        <v>1092.0999999999999</v>
      </c>
      <c r="H370" s="48">
        <f t="shared" si="92"/>
        <v>178.66495742148157</v>
      </c>
      <c r="I370">
        <v>115</v>
      </c>
    </row>
    <row r="371" spans="1:9" x14ac:dyDescent="0.25">
      <c r="A371" s="62">
        <f t="shared" si="87"/>
        <v>41431</v>
      </c>
      <c r="C371">
        <v>4</v>
      </c>
      <c r="D371">
        <v>3043.4</v>
      </c>
      <c r="E371">
        <v>1088.2</v>
      </c>
      <c r="F371" s="14">
        <f t="shared" si="90"/>
        <v>3043.4</v>
      </c>
      <c r="G371" s="2">
        <f t="shared" si="91"/>
        <v>1092.2</v>
      </c>
      <c r="H371" s="48">
        <f t="shared" si="92"/>
        <v>178.64859915766345</v>
      </c>
      <c r="I371">
        <v>115</v>
      </c>
    </row>
    <row r="372" spans="1:9" x14ac:dyDescent="0.25">
      <c r="A372" s="62">
        <f t="shared" si="87"/>
        <v>41438</v>
      </c>
      <c r="B372">
        <v>0</v>
      </c>
      <c r="C372">
        <v>4</v>
      </c>
      <c r="D372">
        <v>3043.4</v>
      </c>
      <c r="E372">
        <v>1088.2</v>
      </c>
      <c r="F372" s="14">
        <f t="shared" si="90"/>
        <v>3043.4</v>
      </c>
      <c r="G372" s="2">
        <f t="shared" si="91"/>
        <v>1092.2</v>
      </c>
      <c r="H372" s="48">
        <f t="shared" si="92"/>
        <v>178.64859915766345</v>
      </c>
      <c r="I372">
        <v>115</v>
      </c>
    </row>
    <row r="373" spans="1:9" x14ac:dyDescent="0.25">
      <c r="A373" s="62">
        <f t="shared" si="87"/>
        <v>41445</v>
      </c>
      <c r="B373">
        <v>0</v>
      </c>
      <c r="C373">
        <v>4</v>
      </c>
      <c r="D373">
        <v>3043.5</v>
      </c>
      <c r="E373">
        <v>1111.8</v>
      </c>
      <c r="F373" s="14">
        <f t="shared" si="90"/>
        <v>3043.5</v>
      </c>
      <c r="G373" s="2">
        <f t="shared" si="91"/>
        <v>1115.8</v>
      </c>
      <c r="H373" s="48">
        <f t="shared" si="92"/>
        <v>172.76393618928125</v>
      </c>
      <c r="I373">
        <v>115</v>
      </c>
    </row>
    <row r="374" spans="1:9" x14ac:dyDescent="0.25">
      <c r="A374" s="62">
        <f t="shared" si="87"/>
        <v>41452</v>
      </c>
      <c r="B374">
        <v>0</v>
      </c>
      <c r="C374">
        <v>4</v>
      </c>
      <c r="D374">
        <v>3043.5</v>
      </c>
      <c r="E374">
        <v>1111.9000000000001</v>
      </c>
      <c r="F374" s="14">
        <f t="shared" ref="F374:F388" si="93">+B374+D374</f>
        <v>3043.5</v>
      </c>
      <c r="G374" s="2">
        <f t="shared" ref="G374:G388" si="94">+C374+E374</f>
        <v>1115.9000000000001</v>
      </c>
      <c r="H374" s="48">
        <f t="shared" ref="H374:H388" si="95">+(F374/G374-1)*100</f>
        <v>172.73949278609192</v>
      </c>
      <c r="I374">
        <v>115</v>
      </c>
    </row>
    <row r="375" spans="1:9" x14ac:dyDescent="0.25">
      <c r="A375" s="62">
        <f t="shared" si="87"/>
        <v>41459</v>
      </c>
      <c r="B375">
        <v>0</v>
      </c>
      <c r="C375">
        <v>4</v>
      </c>
      <c r="D375">
        <v>3043.5</v>
      </c>
      <c r="E375">
        <v>1112</v>
      </c>
      <c r="F375" s="14">
        <f t="shared" si="93"/>
        <v>3043.5</v>
      </c>
      <c r="G375" s="2">
        <f t="shared" si="94"/>
        <v>1116</v>
      </c>
      <c r="H375" s="48">
        <f t="shared" si="95"/>
        <v>172.71505376344086</v>
      </c>
      <c r="I375">
        <v>115</v>
      </c>
    </row>
    <row r="376" spans="1:9" x14ac:dyDescent="0.25">
      <c r="A376" s="62">
        <f t="shared" si="87"/>
        <v>41466</v>
      </c>
      <c r="B376">
        <v>0</v>
      </c>
      <c r="C376">
        <v>4</v>
      </c>
      <c r="D376">
        <v>3043.5</v>
      </c>
      <c r="E376">
        <v>1130.5999999999999</v>
      </c>
      <c r="F376" s="14">
        <f t="shared" si="93"/>
        <v>3043.5</v>
      </c>
      <c r="G376" s="2">
        <f t="shared" si="94"/>
        <v>1134.5999999999999</v>
      </c>
      <c r="H376" s="48">
        <f t="shared" si="95"/>
        <v>168.24431517715496</v>
      </c>
      <c r="I376">
        <v>115</v>
      </c>
    </row>
    <row r="377" spans="1:9" x14ac:dyDescent="0.25">
      <c r="A377" s="62">
        <f t="shared" si="87"/>
        <v>41473</v>
      </c>
      <c r="B377">
        <v>0</v>
      </c>
      <c r="C377">
        <v>4</v>
      </c>
      <c r="D377">
        <v>3043.6</v>
      </c>
      <c r="E377">
        <v>1152.9000000000001</v>
      </c>
      <c r="F377" s="14">
        <f t="shared" si="93"/>
        <v>3043.6</v>
      </c>
      <c r="G377" s="2">
        <f t="shared" si="94"/>
        <v>1156.9000000000001</v>
      </c>
      <c r="H377" s="48">
        <f t="shared" si="95"/>
        <v>163.08237531333734</v>
      </c>
      <c r="I377">
        <v>124.9</v>
      </c>
    </row>
    <row r="378" spans="1:9" x14ac:dyDescent="0.25">
      <c r="A378" s="62">
        <f t="shared" si="87"/>
        <v>41480</v>
      </c>
      <c r="B378">
        <v>0</v>
      </c>
      <c r="C378">
        <v>0.8</v>
      </c>
      <c r="D378">
        <v>3043.7</v>
      </c>
      <c r="E378">
        <v>1156.0999999999999</v>
      </c>
      <c r="F378" s="14">
        <f t="shared" si="93"/>
        <v>3043.7</v>
      </c>
      <c r="G378" s="2">
        <f t="shared" si="94"/>
        <v>1156.8999999999999</v>
      </c>
      <c r="H378" s="48">
        <f t="shared" si="95"/>
        <v>163.09101910277465</v>
      </c>
      <c r="I378">
        <v>124.9</v>
      </c>
    </row>
    <row r="379" spans="1:9" x14ac:dyDescent="0.25">
      <c r="A379" s="62">
        <f t="shared" si="87"/>
        <v>41487</v>
      </c>
      <c r="B379">
        <v>0</v>
      </c>
      <c r="C379">
        <v>0.8</v>
      </c>
      <c r="D379">
        <v>3043.7</v>
      </c>
      <c r="E379">
        <v>1156.0999999999999</v>
      </c>
      <c r="F379" s="14">
        <f t="shared" si="93"/>
        <v>3043.7</v>
      </c>
      <c r="G379" s="2">
        <f t="shared" si="94"/>
        <v>1156.8999999999999</v>
      </c>
      <c r="H379" s="48">
        <f t="shared" si="95"/>
        <v>163.09101910277465</v>
      </c>
      <c r="I379">
        <v>124.9</v>
      </c>
    </row>
    <row r="380" spans="1:9" x14ac:dyDescent="0.25">
      <c r="A380" s="62">
        <f t="shared" si="87"/>
        <v>41494</v>
      </c>
      <c r="B380">
        <v>0</v>
      </c>
      <c r="C380">
        <v>0.8</v>
      </c>
      <c r="D380">
        <v>3043.7</v>
      </c>
      <c r="E380">
        <v>1156.2</v>
      </c>
      <c r="F380" s="14">
        <f t="shared" si="93"/>
        <v>3043.7</v>
      </c>
      <c r="G380" s="2">
        <f t="shared" si="94"/>
        <v>1157</v>
      </c>
      <c r="H380" s="48">
        <f t="shared" si="95"/>
        <v>163.06828003457215</v>
      </c>
      <c r="I380">
        <v>124.9</v>
      </c>
    </row>
    <row r="381" spans="1:9" x14ac:dyDescent="0.25">
      <c r="A381" s="62">
        <f>+A380+7</f>
        <v>41501</v>
      </c>
      <c r="B381">
        <v>0</v>
      </c>
      <c r="C381">
        <v>0.8</v>
      </c>
      <c r="D381">
        <v>3043.7</v>
      </c>
      <c r="E381">
        <v>1229.5999999999999</v>
      </c>
      <c r="F381" s="14">
        <f t="shared" si="93"/>
        <v>3043.7</v>
      </c>
      <c r="G381" s="2">
        <f t="shared" si="94"/>
        <v>1230.3999999999999</v>
      </c>
      <c r="H381" s="48">
        <f t="shared" si="95"/>
        <v>147.37483745123535</v>
      </c>
      <c r="I381">
        <v>124.9</v>
      </c>
    </row>
    <row r="382" spans="1:9" x14ac:dyDescent="0.25">
      <c r="A382" s="62">
        <f>+A381+7</f>
        <v>41508</v>
      </c>
      <c r="B382">
        <v>0</v>
      </c>
      <c r="C382">
        <v>0.8</v>
      </c>
      <c r="D382">
        <v>3043.7</v>
      </c>
      <c r="E382">
        <v>1229.5999999999999</v>
      </c>
      <c r="F382" s="14">
        <f t="shared" si="93"/>
        <v>3043.7</v>
      </c>
      <c r="G382" s="2">
        <f t="shared" si="94"/>
        <v>1230.3999999999999</v>
      </c>
      <c r="H382" s="48">
        <f t="shared" si="95"/>
        <v>147.37483745123535</v>
      </c>
      <c r="I382">
        <v>124.9</v>
      </c>
    </row>
    <row r="383" spans="1:9" x14ac:dyDescent="0.25">
      <c r="A383" s="62">
        <f>+A382+7</f>
        <v>41515</v>
      </c>
      <c r="B383">
        <v>0</v>
      </c>
      <c r="C383">
        <v>0.8</v>
      </c>
      <c r="D383">
        <v>3043.7</v>
      </c>
      <c r="E383">
        <v>1229.7</v>
      </c>
      <c r="F383" s="14">
        <f t="shared" si="93"/>
        <v>3043.7</v>
      </c>
      <c r="G383" s="2">
        <f t="shared" si="94"/>
        <v>1230.5</v>
      </c>
      <c r="H383" s="48">
        <f t="shared" si="95"/>
        <v>147.35473384802927</v>
      </c>
      <c r="I383">
        <v>124.9</v>
      </c>
    </row>
    <row r="384" spans="1:9" x14ac:dyDescent="0.25">
      <c r="A384" s="62">
        <f>+A383+7</f>
        <v>41522</v>
      </c>
      <c r="B384">
        <v>124.9</v>
      </c>
      <c r="C384">
        <v>232.8</v>
      </c>
      <c r="E384">
        <v>0</v>
      </c>
      <c r="F384" s="14">
        <f t="shared" si="93"/>
        <v>124.9</v>
      </c>
      <c r="G384" s="2">
        <f t="shared" si="94"/>
        <v>232.8</v>
      </c>
      <c r="H384" s="48">
        <f t="shared" si="95"/>
        <v>-46.348797250859107</v>
      </c>
    </row>
    <row r="385" spans="1:12" x14ac:dyDescent="0.25">
      <c r="A385" s="62">
        <f>+A384+7</f>
        <v>41529</v>
      </c>
      <c r="B385">
        <v>124.9</v>
      </c>
      <c r="C385">
        <v>232.8</v>
      </c>
      <c r="D385">
        <v>0.1</v>
      </c>
      <c r="E385">
        <v>0.1</v>
      </c>
      <c r="F385" s="14">
        <f t="shared" si="93"/>
        <v>125</v>
      </c>
      <c r="G385" s="2">
        <f t="shared" si="94"/>
        <v>232.9</v>
      </c>
      <c r="H385" s="48">
        <f t="shared" si="95"/>
        <v>-46.328896522112494</v>
      </c>
    </row>
    <row r="386" spans="1:12" x14ac:dyDescent="0.25">
      <c r="A386" s="62">
        <f t="shared" ref="A386:A449" si="96">+A385+7</f>
        <v>41536</v>
      </c>
      <c r="B386">
        <v>124.9</v>
      </c>
      <c r="C386">
        <v>232.8</v>
      </c>
      <c r="D386">
        <v>0.1</v>
      </c>
      <c r="E386">
        <v>0.1</v>
      </c>
      <c r="F386" s="14">
        <f t="shared" si="93"/>
        <v>125</v>
      </c>
      <c r="G386" s="2">
        <f t="shared" si="94"/>
        <v>232.9</v>
      </c>
      <c r="H386" s="48">
        <f t="shared" si="95"/>
        <v>-46.328896522112494</v>
      </c>
    </row>
    <row r="387" spans="1:12" x14ac:dyDescent="0.25">
      <c r="A387" s="62">
        <f t="shared" si="96"/>
        <v>41543</v>
      </c>
      <c r="B387">
        <v>124.9</v>
      </c>
      <c r="C387">
        <v>240</v>
      </c>
      <c r="D387">
        <v>75.599999999999994</v>
      </c>
      <c r="E387">
        <v>140.6</v>
      </c>
      <c r="F387" s="14">
        <f t="shared" si="93"/>
        <v>200.5</v>
      </c>
      <c r="G387" s="2">
        <f t="shared" si="94"/>
        <v>380.6</v>
      </c>
      <c r="H387" s="48">
        <f t="shared" si="95"/>
        <v>-47.32002101944299</v>
      </c>
    </row>
    <row r="388" spans="1:12" ht="15" x14ac:dyDescent="0.25">
      <c r="A388" s="62">
        <f t="shared" si="96"/>
        <v>41550</v>
      </c>
      <c r="B388">
        <v>112.9</v>
      </c>
      <c r="C388">
        <v>240</v>
      </c>
      <c r="D388">
        <v>260.5</v>
      </c>
      <c r="E388">
        <v>161.30000000000001</v>
      </c>
      <c r="F388" s="14">
        <f t="shared" si="93"/>
        <v>373.4</v>
      </c>
      <c r="G388" s="2">
        <f t="shared" si="94"/>
        <v>401.3</v>
      </c>
      <c r="H388" s="48">
        <f t="shared" si="95"/>
        <v>-6.9524046847744936</v>
      </c>
      <c r="J388" s="96"/>
    </row>
    <row r="389" spans="1:12" x14ac:dyDescent="0.25">
      <c r="A389" s="62">
        <f t="shared" si="96"/>
        <v>41557</v>
      </c>
    </row>
    <row r="390" spans="1:12" x14ac:dyDescent="0.25">
      <c r="A390" s="62">
        <f t="shared" si="96"/>
        <v>41564</v>
      </c>
    </row>
    <row r="391" spans="1:12" x14ac:dyDescent="0.25">
      <c r="A391" s="62">
        <f t="shared" si="96"/>
        <v>41571</v>
      </c>
      <c r="B391">
        <v>178.9</v>
      </c>
      <c r="C391">
        <v>120</v>
      </c>
      <c r="D391">
        <v>548.20000000000005</v>
      </c>
      <c r="E391">
        <v>579.20000000000005</v>
      </c>
      <c r="F391" s="14">
        <f t="shared" ref="F391:G393" si="97">+B391+D391</f>
        <v>727.1</v>
      </c>
      <c r="G391" s="2">
        <f t="shared" si="97"/>
        <v>699.2</v>
      </c>
      <c r="H391" s="48">
        <f t="shared" ref="H391:H407" si="98">+(F391/G391-1)*100</f>
        <v>3.9902745995423317</v>
      </c>
    </row>
    <row r="392" spans="1:12" ht="15" x14ac:dyDescent="0.25">
      <c r="A392" s="62">
        <f t="shared" si="96"/>
        <v>41578</v>
      </c>
      <c r="B392">
        <v>178.9</v>
      </c>
      <c r="C392">
        <v>120</v>
      </c>
      <c r="D392">
        <v>659.3</v>
      </c>
      <c r="E392">
        <v>685.8</v>
      </c>
      <c r="F392" s="14">
        <f t="shared" si="97"/>
        <v>838.19999999999993</v>
      </c>
      <c r="G392" s="2">
        <f t="shared" si="97"/>
        <v>805.8</v>
      </c>
      <c r="H392" s="48">
        <f t="shared" si="98"/>
        <v>4.020848845867464</v>
      </c>
      <c r="L392" s="96"/>
    </row>
    <row r="393" spans="1:12" x14ac:dyDescent="0.25">
      <c r="A393" s="62">
        <f t="shared" si="96"/>
        <v>41585</v>
      </c>
      <c r="B393">
        <v>118.9</v>
      </c>
      <c r="C393">
        <v>120</v>
      </c>
      <c r="D393">
        <v>808.8</v>
      </c>
      <c r="E393">
        <v>758.5</v>
      </c>
      <c r="F393" s="14">
        <f t="shared" si="97"/>
        <v>927.69999999999993</v>
      </c>
      <c r="G393" s="2">
        <f t="shared" si="97"/>
        <v>878.5</v>
      </c>
      <c r="H393" s="48">
        <f t="shared" si="98"/>
        <v>5.6004553215708519</v>
      </c>
    </row>
    <row r="394" spans="1:12" x14ac:dyDescent="0.25">
      <c r="A394" s="62">
        <f t="shared" si="96"/>
        <v>41592</v>
      </c>
      <c r="B394">
        <v>118.9</v>
      </c>
      <c r="C394">
        <v>120</v>
      </c>
      <c r="D394">
        <v>1035.7</v>
      </c>
      <c r="E394">
        <v>813.2</v>
      </c>
      <c r="F394" s="14">
        <f t="shared" ref="F394:G407" si="99">+B394+D394</f>
        <v>1154.6000000000001</v>
      </c>
      <c r="G394" s="2">
        <f t="shared" si="99"/>
        <v>933.2</v>
      </c>
      <c r="H394" s="48">
        <f t="shared" si="98"/>
        <v>23.724817831118749</v>
      </c>
    </row>
    <row r="395" spans="1:12" x14ac:dyDescent="0.25">
      <c r="A395" s="62">
        <f t="shared" si="96"/>
        <v>41599</v>
      </c>
      <c r="B395">
        <v>118.9</v>
      </c>
      <c r="C395">
        <v>70</v>
      </c>
      <c r="D395">
        <v>1035.8</v>
      </c>
      <c r="E395">
        <v>929.3</v>
      </c>
      <c r="F395" s="14">
        <f t="shared" si="99"/>
        <v>1154.7</v>
      </c>
      <c r="G395" s="2">
        <f t="shared" si="99"/>
        <v>999.3</v>
      </c>
      <c r="H395" s="48">
        <f t="shared" si="98"/>
        <v>15.550885619933963</v>
      </c>
    </row>
    <row r="396" spans="1:12" x14ac:dyDescent="0.25">
      <c r="A396" s="62">
        <f t="shared" si="96"/>
        <v>41606</v>
      </c>
      <c r="B396">
        <v>178.9</v>
      </c>
      <c r="C396">
        <v>120</v>
      </c>
      <c r="D396">
        <v>1183.0999999999999</v>
      </c>
      <c r="E396">
        <v>1191.0999999999999</v>
      </c>
      <c r="F396" s="14">
        <f t="shared" si="99"/>
        <v>1362</v>
      </c>
      <c r="G396" s="2">
        <f t="shared" si="99"/>
        <v>1311.1</v>
      </c>
      <c r="H396" s="48">
        <f t="shared" si="98"/>
        <v>3.8822362901380636</v>
      </c>
    </row>
    <row r="397" spans="1:12" x14ac:dyDescent="0.25">
      <c r="A397" s="62">
        <f t="shared" si="96"/>
        <v>41613</v>
      </c>
      <c r="B397">
        <v>112.9</v>
      </c>
      <c r="C397">
        <v>129</v>
      </c>
      <c r="D397">
        <v>1433.5</v>
      </c>
      <c r="E397">
        <v>1251.5999999999999</v>
      </c>
      <c r="F397" s="14">
        <f t="shared" si="99"/>
        <v>1546.4</v>
      </c>
      <c r="G397" s="2">
        <f t="shared" si="99"/>
        <v>1380.6</v>
      </c>
      <c r="H397" s="48">
        <f t="shared" si="98"/>
        <v>12.00927133130525</v>
      </c>
    </row>
    <row r="398" spans="1:12" x14ac:dyDescent="0.25">
      <c r="A398" s="62">
        <f t="shared" si="96"/>
        <v>41620</v>
      </c>
      <c r="B398">
        <v>112.9</v>
      </c>
      <c r="C398">
        <v>120</v>
      </c>
      <c r="D398">
        <v>1736.9</v>
      </c>
      <c r="E398">
        <v>1275.0999999999999</v>
      </c>
      <c r="F398" s="14">
        <f t="shared" si="99"/>
        <v>1849.8000000000002</v>
      </c>
      <c r="G398" s="2">
        <f t="shared" si="99"/>
        <v>1395.1</v>
      </c>
      <c r="H398" s="48">
        <f t="shared" si="98"/>
        <v>32.592645688481127</v>
      </c>
    </row>
    <row r="399" spans="1:12" x14ac:dyDescent="0.25">
      <c r="A399" s="62">
        <f t="shared" si="96"/>
        <v>41627</v>
      </c>
      <c r="B399">
        <v>87.9</v>
      </c>
      <c r="C399">
        <v>120</v>
      </c>
      <c r="D399">
        <v>1760.1</v>
      </c>
      <c r="E399">
        <v>1327.1</v>
      </c>
      <c r="F399" s="14">
        <f t="shared" si="99"/>
        <v>1848</v>
      </c>
      <c r="G399" s="2">
        <f t="shared" si="99"/>
        <v>1447.1</v>
      </c>
      <c r="H399" s="48">
        <f t="shared" si="98"/>
        <v>27.703683228526032</v>
      </c>
    </row>
    <row r="400" spans="1:12" x14ac:dyDescent="0.25">
      <c r="A400" s="62">
        <f t="shared" si="96"/>
        <v>41634</v>
      </c>
      <c r="B400">
        <v>87.9</v>
      </c>
      <c r="C400">
        <v>120</v>
      </c>
      <c r="D400">
        <v>1891.3</v>
      </c>
      <c r="E400">
        <v>1474.8</v>
      </c>
      <c r="F400" s="14">
        <f t="shared" si="99"/>
        <v>1979.2</v>
      </c>
      <c r="G400" s="2">
        <f t="shared" si="99"/>
        <v>1594.8</v>
      </c>
      <c r="H400" s="48">
        <f t="shared" si="98"/>
        <v>24.103335841484828</v>
      </c>
    </row>
    <row r="401" spans="1:17" x14ac:dyDescent="0.25">
      <c r="A401" s="62">
        <f t="shared" si="96"/>
        <v>41641</v>
      </c>
      <c r="B401" s="123">
        <v>88</v>
      </c>
      <c r="C401">
        <v>60</v>
      </c>
      <c r="D401">
        <v>1956.7</v>
      </c>
      <c r="E401">
        <v>1708.5</v>
      </c>
      <c r="F401" s="14">
        <f t="shared" si="99"/>
        <v>2044.7</v>
      </c>
      <c r="G401" s="2">
        <f t="shared" si="99"/>
        <v>1768.5</v>
      </c>
      <c r="H401" s="48">
        <f t="shared" si="98"/>
        <v>15.617755159739888</v>
      </c>
    </row>
    <row r="402" spans="1:17" x14ac:dyDescent="0.25">
      <c r="A402" s="62">
        <f t="shared" si="96"/>
        <v>41648</v>
      </c>
      <c r="B402">
        <v>10</v>
      </c>
      <c r="C402">
        <v>60</v>
      </c>
      <c r="D402">
        <v>2173.8000000000002</v>
      </c>
      <c r="E402">
        <v>1915.2</v>
      </c>
      <c r="F402" s="14">
        <f t="shared" si="99"/>
        <v>2183.8000000000002</v>
      </c>
      <c r="G402" s="2">
        <f t="shared" si="99"/>
        <v>1975.2</v>
      </c>
      <c r="H402" s="48">
        <f t="shared" si="98"/>
        <v>10.560955852571908</v>
      </c>
    </row>
    <row r="403" spans="1:17" ht="15" x14ac:dyDescent="0.25">
      <c r="A403" s="62">
        <f t="shared" si="96"/>
        <v>41655</v>
      </c>
      <c r="B403">
        <v>4</v>
      </c>
      <c r="C403">
        <v>0</v>
      </c>
      <c r="D403">
        <v>2445.4</v>
      </c>
      <c r="E403">
        <v>2156.5</v>
      </c>
      <c r="F403" s="14">
        <f t="shared" si="99"/>
        <v>2449.4</v>
      </c>
      <c r="G403" s="2">
        <f t="shared" si="99"/>
        <v>2156.5</v>
      </c>
      <c r="H403" s="48">
        <f t="shared" si="98"/>
        <v>13.582193368884777</v>
      </c>
      <c r="J403" s="199"/>
      <c r="K403" s="197"/>
      <c r="L403" s="197"/>
      <c r="M403" s="197"/>
      <c r="N403" s="197"/>
      <c r="O403" s="197"/>
      <c r="P403" s="197"/>
      <c r="Q403" s="197"/>
    </row>
    <row r="404" spans="1:17" x14ac:dyDescent="0.25">
      <c r="A404" s="62">
        <f t="shared" si="96"/>
        <v>41662</v>
      </c>
      <c r="B404">
        <v>4</v>
      </c>
      <c r="C404">
        <v>0</v>
      </c>
      <c r="D404" s="123">
        <v>2783</v>
      </c>
      <c r="E404">
        <v>2232.8000000000002</v>
      </c>
      <c r="F404" s="14">
        <f t="shared" si="99"/>
        <v>2787</v>
      </c>
      <c r="G404" s="2">
        <f t="shared" si="99"/>
        <v>2232.8000000000002</v>
      </c>
      <c r="H404" s="48">
        <f t="shared" si="98"/>
        <v>24.820852740953047</v>
      </c>
      <c r="J404" s="197"/>
      <c r="K404" s="197"/>
      <c r="L404" s="197"/>
      <c r="M404" s="197"/>
      <c r="N404" s="197"/>
      <c r="O404" s="197"/>
      <c r="P404" s="197"/>
      <c r="Q404" s="197"/>
    </row>
    <row r="405" spans="1:17" ht="15" x14ac:dyDescent="0.25">
      <c r="A405" s="62">
        <f t="shared" si="96"/>
        <v>41669</v>
      </c>
      <c r="B405">
        <v>0</v>
      </c>
      <c r="C405">
        <v>0</v>
      </c>
      <c r="D405">
        <v>2928.7</v>
      </c>
      <c r="E405">
        <v>2503.1999999999998</v>
      </c>
      <c r="F405" s="14">
        <f t="shared" si="99"/>
        <v>2928.7</v>
      </c>
      <c r="G405" s="2">
        <f t="shared" si="99"/>
        <v>2503.1999999999998</v>
      </c>
      <c r="H405" s="48">
        <f t="shared" si="98"/>
        <v>16.998242249920104</v>
      </c>
      <c r="J405" s="199"/>
      <c r="K405" s="199"/>
      <c r="L405" s="197"/>
      <c r="M405" s="197"/>
      <c r="N405" s="199"/>
      <c r="O405" s="197"/>
      <c r="P405" s="197"/>
      <c r="Q405" s="197"/>
    </row>
    <row r="406" spans="1:17" ht="15" x14ac:dyDescent="0.25">
      <c r="A406" s="62">
        <f t="shared" si="96"/>
        <v>41676</v>
      </c>
      <c r="B406">
        <v>0</v>
      </c>
      <c r="C406">
        <v>0</v>
      </c>
      <c r="D406">
        <v>2928.7</v>
      </c>
      <c r="E406">
        <v>2586.9</v>
      </c>
      <c r="F406" s="14">
        <f t="shared" si="99"/>
        <v>2928.7</v>
      </c>
      <c r="G406" s="2">
        <f t="shared" si="99"/>
        <v>2586.9</v>
      </c>
      <c r="H406" s="48">
        <f t="shared" si="98"/>
        <v>13.212725656190806</v>
      </c>
      <c r="J406" s="96"/>
      <c r="Q406" s="197"/>
    </row>
    <row r="407" spans="1:17" x14ac:dyDescent="0.25">
      <c r="A407" s="62">
        <f t="shared" si="96"/>
        <v>41683</v>
      </c>
      <c r="B407">
        <v>0</v>
      </c>
      <c r="C407">
        <v>30</v>
      </c>
      <c r="D407">
        <v>3078.8</v>
      </c>
      <c r="E407">
        <v>2739.2</v>
      </c>
      <c r="F407" s="14">
        <f t="shared" si="99"/>
        <v>3078.8</v>
      </c>
      <c r="G407" s="2">
        <f t="shared" si="99"/>
        <v>2769.2</v>
      </c>
      <c r="H407" s="48">
        <f t="shared" si="98"/>
        <v>11.180124223602505</v>
      </c>
      <c r="J407" s="197"/>
      <c r="K407" s="197"/>
      <c r="L407" s="197"/>
      <c r="M407" s="197"/>
      <c r="N407" s="197"/>
      <c r="O407" s="197"/>
      <c r="P407" s="197"/>
      <c r="Q407" s="197"/>
    </row>
    <row r="408" spans="1:17" x14ac:dyDescent="0.25">
      <c r="A408" s="62">
        <f t="shared" si="96"/>
        <v>41690</v>
      </c>
      <c r="B408">
        <v>0</v>
      </c>
      <c r="C408">
        <v>30</v>
      </c>
      <c r="D408">
        <v>3283.9</v>
      </c>
      <c r="E408">
        <v>2739.3</v>
      </c>
      <c r="F408" s="14">
        <f>+B408+D408</f>
        <v>3283.9</v>
      </c>
      <c r="G408" s="2">
        <f>+C408+E408</f>
        <v>2769.3</v>
      </c>
      <c r="H408" s="48">
        <f>+(F408/G408-1)*100</f>
        <v>18.582313219947277</v>
      </c>
      <c r="J408" s="197"/>
      <c r="K408" s="197"/>
      <c r="L408" s="197"/>
      <c r="M408" s="197"/>
      <c r="N408" s="197"/>
      <c r="O408" s="197"/>
      <c r="P408" s="197"/>
      <c r="Q408" s="197"/>
    </row>
    <row r="409" spans="1:17" x14ac:dyDescent="0.25">
      <c r="A409" s="62">
        <f t="shared" si="96"/>
        <v>41697</v>
      </c>
    </row>
    <row r="410" spans="1:17" x14ac:dyDescent="0.25">
      <c r="A410" s="62">
        <f t="shared" si="96"/>
        <v>41704</v>
      </c>
    </row>
    <row r="411" spans="1:17" x14ac:dyDescent="0.25">
      <c r="A411" s="62">
        <f t="shared" si="96"/>
        <v>41711</v>
      </c>
    </row>
    <row r="412" spans="1:17" x14ac:dyDescent="0.25">
      <c r="A412" s="62">
        <f t="shared" si="96"/>
        <v>41718</v>
      </c>
    </row>
    <row r="413" spans="1:17" x14ac:dyDescent="0.25">
      <c r="A413" s="62">
        <f t="shared" si="96"/>
        <v>41725</v>
      </c>
    </row>
    <row r="414" spans="1:17" x14ac:dyDescent="0.25">
      <c r="A414" s="62">
        <f t="shared" si="96"/>
        <v>41732</v>
      </c>
    </row>
    <row r="415" spans="1:17" x14ac:dyDescent="0.25">
      <c r="A415" s="62">
        <f t="shared" si="96"/>
        <v>41739</v>
      </c>
    </row>
    <row r="416" spans="1:17" x14ac:dyDescent="0.25">
      <c r="A416" s="62">
        <f t="shared" si="96"/>
        <v>41746</v>
      </c>
    </row>
    <row r="417" spans="1:1" x14ac:dyDescent="0.25">
      <c r="A417" s="62">
        <f t="shared" si="96"/>
        <v>41753</v>
      </c>
    </row>
    <row r="418" spans="1:1" x14ac:dyDescent="0.25">
      <c r="A418" s="62">
        <f t="shared" si="96"/>
        <v>41760</v>
      </c>
    </row>
    <row r="419" spans="1:1" x14ac:dyDescent="0.25">
      <c r="A419" s="62">
        <f t="shared" si="96"/>
        <v>41767</v>
      </c>
    </row>
    <row r="420" spans="1:1" x14ac:dyDescent="0.25">
      <c r="A420" s="62">
        <f t="shared" si="96"/>
        <v>41774</v>
      </c>
    </row>
    <row r="421" spans="1:1" x14ac:dyDescent="0.25">
      <c r="A421" s="62">
        <f t="shared" si="96"/>
        <v>41781</v>
      </c>
    </row>
    <row r="422" spans="1:1" x14ac:dyDescent="0.25">
      <c r="A422" s="62">
        <f t="shared" si="96"/>
        <v>41788</v>
      </c>
    </row>
    <row r="423" spans="1:1" x14ac:dyDescent="0.25">
      <c r="A423" s="62">
        <f t="shared" si="96"/>
        <v>41795</v>
      </c>
    </row>
    <row r="424" spans="1:1" x14ac:dyDescent="0.25">
      <c r="A424" s="62">
        <f t="shared" si="96"/>
        <v>41802</v>
      </c>
    </row>
    <row r="425" spans="1:1" x14ac:dyDescent="0.25">
      <c r="A425" s="62">
        <f t="shared" si="96"/>
        <v>41809</v>
      </c>
    </row>
    <row r="426" spans="1:1" x14ac:dyDescent="0.25">
      <c r="A426" s="62">
        <f t="shared" si="96"/>
        <v>41816</v>
      </c>
    </row>
    <row r="427" spans="1:1" x14ac:dyDescent="0.25">
      <c r="A427" s="62">
        <f t="shared" si="96"/>
        <v>41823</v>
      </c>
    </row>
    <row r="428" spans="1:1" x14ac:dyDescent="0.25">
      <c r="A428" s="62">
        <f t="shared" si="96"/>
        <v>41830</v>
      </c>
    </row>
    <row r="429" spans="1:1" x14ac:dyDescent="0.25">
      <c r="A429" s="62">
        <f t="shared" si="96"/>
        <v>41837</v>
      </c>
    </row>
    <row r="430" spans="1:1" x14ac:dyDescent="0.25">
      <c r="A430" s="62">
        <f t="shared" si="96"/>
        <v>41844</v>
      </c>
    </row>
    <row r="431" spans="1:1" x14ac:dyDescent="0.25">
      <c r="A431" s="62">
        <f t="shared" si="96"/>
        <v>41851</v>
      </c>
    </row>
    <row r="432" spans="1:1" x14ac:dyDescent="0.25">
      <c r="A432" s="62">
        <f t="shared" si="96"/>
        <v>41858</v>
      </c>
    </row>
    <row r="433" spans="1:1" x14ac:dyDescent="0.25">
      <c r="A433" s="62">
        <f t="shared" si="96"/>
        <v>41865</v>
      </c>
    </row>
    <row r="434" spans="1:1" x14ac:dyDescent="0.25">
      <c r="A434" s="62">
        <f t="shared" si="96"/>
        <v>41872</v>
      </c>
    </row>
    <row r="435" spans="1:1" x14ac:dyDescent="0.25">
      <c r="A435" s="62">
        <f t="shared" si="96"/>
        <v>41879</v>
      </c>
    </row>
    <row r="436" spans="1:1" x14ac:dyDescent="0.25">
      <c r="A436" s="62">
        <f t="shared" si="96"/>
        <v>41886</v>
      </c>
    </row>
    <row r="437" spans="1:1" x14ac:dyDescent="0.25">
      <c r="A437" s="62">
        <f t="shared" si="96"/>
        <v>41893</v>
      </c>
    </row>
    <row r="438" spans="1:1" x14ac:dyDescent="0.25">
      <c r="A438" s="62">
        <f t="shared" si="96"/>
        <v>41900</v>
      </c>
    </row>
    <row r="439" spans="1:1" x14ac:dyDescent="0.25">
      <c r="A439" s="62">
        <f t="shared" si="96"/>
        <v>41907</v>
      </c>
    </row>
    <row r="440" spans="1:1" x14ac:dyDescent="0.25">
      <c r="A440" s="62">
        <f t="shared" si="96"/>
        <v>41914</v>
      </c>
    </row>
    <row r="441" spans="1:1" x14ac:dyDescent="0.25">
      <c r="A441" s="62">
        <f t="shared" si="96"/>
        <v>41921</v>
      </c>
    </row>
    <row r="442" spans="1:1" x14ac:dyDescent="0.25">
      <c r="A442" s="62">
        <f t="shared" si="96"/>
        <v>41928</v>
      </c>
    </row>
    <row r="443" spans="1:1" x14ac:dyDescent="0.25">
      <c r="A443" s="62">
        <f t="shared" si="96"/>
        <v>41935</v>
      </c>
    </row>
    <row r="444" spans="1:1" x14ac:dyDescent="0.25">
      <c r="A444" s="62">
        <f t="shared" si="96"/>
        <v>41942</v>
      </c>
    </row>
    <row r="445" spans="1:1" x14ac:dyDescent="0.25">
      <c r="A445" s="62">
        <f t="shared" si="96"/>
        <v>41949</v>
      </c>
    </row>
    <row r="446" spans="1:1" x14ac:dyDescent="0.25">
      <c r="A446" s="62">
        <f t="shared" si="96"/>
        <v>41956</v>
      </c>
    </row>
    <row r="447" spans="1:1" x14ac:dyDescent="0.25">
      <c r="A447" s="62">
        <f t="shared" si="96"/>
        <v>41963</v>
      </c>
    </row>
    <row r="448" spans="1:1" x14ac:dyDescent="0.25">
      <c r="A448" s="62">
        <f t="shared" si="96"/>
        <v>41970</v>
      </c>
    </row>
    <row r="449" spans="1:1" x14ac:dyDescent="0.25">
      <c r="A449" s="62">
        <f t="shared" si="96"/>
        <v>41977</v>
      </c>
    </row>
    <row r="450" spans="1:1" x14ac:dyDescent="0.25">
      <c r="A450" s="62">
        <f t="shared" ref="A450:A505" si="100">+A449+7</f>
        <v>41984</v>
      </c>
    </row>
    <row r="451" spans="1:1" x14ac:dyDescent="0.25">
      <c r="A451" s="62">
        <f t="shared" si="100"/>
        <v>41991</v>
      </c>
    </row>
    <row r="452" spans="1:1" x14ac:dyDescent="0.25">
      <c r="A452" s="62">
        <f t="shared" si="100"/>
        <v>41998</v>
      </c>
    </row>
    <row r="453" spans="1:1" x14ac:dyDescent="0.25">
      <c r="A453" s="62">
        <f t="shared" si="100"/>
        <v>42005</v>
      </c>
    </row>
    <row r="454" spans="1:1" x14ac:dyDescent="0.25">
      <c r="A454" s="62">
        <f t="shared" si="100"/>
        <v>42012</v>
      </c>
    </row>
    <row r="455" spans="1:1" x14ac:dyDescent="0.25">
      <c r="A455" s="62">
        <f t="shared" si="100"/>
        <v>42019</v>
      </c>
    </row>
    <row r="456" spans="1:1" x14ac:dyDescent="0.25">
      <c r="A456" s="62">
        <f t="shared" si="100"/>
        <v>42026</v>
      </c>
    </row>
    <row r="457" spans="1:1" x14ac:dyDescent="0.25">
      <c r="A457" s="62">
        <f t="shared" si="100"/>
        <v>42033</v>
      </c>
    </row>
    <row r="458" spans="1:1" x14ac:dyDescent="0.25">
      <c r="A458" s="62">
        <f t="shared" si="100"/>
        <v>42040</v>
      </c>
    </row>
    <row r="459" spans="1:1" x14ac:dyDescent="0.25">
      <c r="A459" s="62">
        <f t="shared" si="100"/>
        <v>42047</v>
      </c>
    </row>
    <row r="460" spans="1:1" x14ac:dyDescent="0.25">
      <c r="A460" s="62">
        <f t="shared" si="100"/>
        <v>42054</v>
      </c>
    </row>
    <row r="461" spans="1:1" x14ac:dyDescent="0.25">
      <c r="A461" s="62">
        <f t="shared" si="100"/>
        <v>42061</v>
      </c>
    </row>
    <row r="462" spans="1:1" x14ac:dyDescent="0.25">
      <c r="A462" s="62">
        <f t="shared" si="100"/>
        <v>42068</v>
      </c>
    </row>
    <row r="463" spans="1:1" x14ac:dyDescent="0.25">
      <c r="A463" s="62">
        <f t="shared" si="100"/>
        <v>42075</v>
      </c>
    </row>
    <row r="464" spans="1:1" x14ac:dyDescent="0.25">
      <c r="A464" s="62">
        <f t="shared" si="100"/>
        <v>42082</v>
      </c>
    </row>
    <row r="465" spans="1:1" x14ac:dyDescent="0.25">
      <c r="A465" s="62">
        <f t="shared" si="100"/>
        <v>42089</v>
      </c>
    </row>
    <row r="466" spans="1:1" x14ac:dyDescent="0.25">
      <c r="A466" s="62">
        <f t="shared" si="100"/>
        <v>42096</v>
      </c>
    </row>
    <row r="467" spans="1:1" x14ac:dyDescent="0.25">
      <c r="A467" s="62">
        <f t="shared" si="100"/>
        <v>42103</v>
      </c>
    </row>
    <row r="468" spans="1:1" x14ac:dyDescent="0.25">
      <c r="A468" s="62">
        <f t="shared" si="100"/>
        <v>42110</v>
      </c>
    </row>
    <row r="469" spans="1:1" x14ac:dyDescent="0.25">
      <c r="A469" s="62">
        <f t="shared" si="100"/>
        <v>42117</v>
      </c>
    </row>
    <row r="470" spans="1:1" x14ac:dyDescent="0.25">
      <c r="A470" s="62">
        <f t="shared" si="100"/>
        <v>42124</v>
      </c>
    </row>
    <row r="471" spans="1:1" x14ac:dyDescent="0.25">
      <c r="A471" s="62">
        <f t="shared" si="100"/>
        <v>42131</v>
      </c>
    </row>
    <row r="472" spans="1:1" x14ac:dyDescent="0.25">
      <c r="A472" s="62">
        <f t="shared" si="100"/>
        <v>42138</v>
      </c>
    </row>
    <row r="473" spans="1:1" x14ac:dyDescent="0.25">
      <c r="A473" s="62">
        <f t="shared" si="100"/>
        <v>42145</v>
      </c>
    </row>
    <row r="474" spans="1:1" x14ac:dyDescent="0.25">
      <c r="A474" s="62">
        <f t="shared" si="100"/>
        <v>42152</v>
      </c>
    </row>
    <row r="475" spans="1:1" x14ac:dyDescent="0.25">
      <c r="A475" s="62">
        <f t="shared" si="100"/>
        <v>42159</v>
      </c>
    </row>
    <row r="476" spans="1:1" x14ac:dyDescent="0.25">
      <c r="A476" s="62">
        <f t="shared" si="100"/>
        <v>42166</v>
      </c>
    </row>
    <row r="477" spans="1:1" x14ac:dyDescent="0.25">
      <c r="A477" s="62">
        <f t="shared" si="100"/>
        <v>42173</v>
      </c>
    </row>
    <row r="478" spans="1:1" x14ac:dyDescent="0.25">
      <c r="A478" s="62">
        <f t="shared" si="100"/>
        <v>42180</v>
      </c>
    </row>
    <row r="479" spans="1:1" x14ac:dyDescent="0.25">
      <c r="A479" s="62">
        <f t="shared" si="100"/>
        <v>42187</v>
      </c>
    </row>
    <row r="480" spans="1:1" x14ac:dyDescent="0.25">
      <c r="A480" s="62">
        <f t="shared" si="100"/>
        <v>42194</v>
      </c>
    </row>
    <row r="481" spans="1:1" x14ac:dyDescent="0.25">
      <c r="A481" s="62">
        <f t="shared" si="100"/>
        <v>42201</v>
      </c>
    </row>
    <row r="482" spans="1:1" x14ac:dyDescent="0.25">
      <c r="A482" s="62">
        <f t="shared" si="100"/>
        <v>42208</v>
      </c>
    </row>
    <row r="483" spans="1:1" x14ac:dyDescent="0.25">
      <c r="A483" s="62">
        <f t="shared" si="100"/>
        <v>42215</v>
      </c>
    </row>
    <row r="484" spans="1:1" x14ac:dyDescent="0.25">
      <c r="A484" s="62">
        <f t="shared" si="100"/>
        <v>42222</v>
      </c>
    </row>
    <row r="485" spans="1:1" x14ac:dyDescent="0.25">
      <c r="A485" s="62">
        <f t="shared" si="100"/>
        <v>42229</v>
      </c>
    </row>
    <row r="486" spans="1:1" x14ac:dyDescent="0.25">
      <c r="A486" s="62">
        <f t="shared" si="100"/>
        <v>42236</v>
      </c>
    </row>
    <row r="487" spans="1:1" x14ac:dyDescent="0.25">
      <c r="A487" s="62">
        <f t="shared" si="100"/>
        <v>42243</v>
      </c>
    </row>
    <row r="488" spans="1:1" x14ac:dyDescent="0.25">
      <c r="A488" s="62">
        <f t="shared" si="100"/>
        <v>42250</v>
      </c>
    </row>
    <row r="489" spans="1:1" x14ac:dyDescent="0.25">
      <c r="A489" s="62">
        <f t="shared" si="100"/>
        <v>42257</v>
      </c>
    </row>
    <row r="490" spans="1:1" x14ac:dyDescent="0.25">
      <c r="A490" s="62">
        <f t="shared" si="100"/>
        <v>42264</v>
      </c>
    </row>
    <row r="491" spans="1:1" x14ac:dyDescent="0.25">
      <c r="A491" s="62">
        <f t="shared" si="100"/>
        <v>42271</v>
      </c>
    </row>
    <row r="492" spans="1:1" x14ac:dyDescent="0.25">
      <c r="A492" s="62">
        <f t="shared" si="100"/>
        <v>42278</v>
      </c>
    </row>
    <row r="493" spans="1:1" x14ac:dyDescent="0.25">
      <c r="A493" s="62">
        <f t="shared" si="100"/>
        <v>42285</v>
      </c>
    </row>
    <row r="494" spans="1:1" x14ac:dyDescent="0.25">
      <c r="A494" s="62">
        <f t="shared" si="100"/>
        <v>42292</v>
      </c>
    </row>
    <row r="495" spans="1:1" x14ac:dyDescent="0.25">
      <c r="A495" s="62">
        <f t="shared" si="100"/>
        <v>42299</v>
      </c>
    </row>
    <row r="496" spans="1:1" x14ac:dyDescent="0.25">
      <c r="A496" s="62">
        <f t="shared" si="100"/>
        <v>42306</v>
      </c>
    </row>
    <row r="497" spans="1:1" x14ac:dyDescent="0.25">
      <c r="A497" s="62">
        <f t="shared" si="100"/>
        <v>42313</v>
      </c>
    </row>
    <row r="498" spans="1:1" x14ac:dyDescent="0.25">
      <c r="A498" s="62">
        <f t="shared" si="100"/>
        <v>42320</v>
      </c>
    </row>
    <row r="499" spans="1:1" x14ac:dyDescent="0.25">
      <c r="A499" s="62">
        <f t="shared" si="100"/>
        <v>42327</v>
      </c>
    </row>
    <row r="500" spans="1:1" x14ac:dyDescent="0.25">
      <c r="A500" s="62">
        <f t="shared" si="100"/>
        <v>42334</v>
      </c>
    </row>
    <row r="501" spans="1:1" x14ac:dyDescent="0.25">
      <c r="A501" s="62">
        <f t="shared" si="100"/>
        <v>42341</v>
      </c>
    </row>
    <row r="502" spans="1:1" x14ac:dyDescent="0.25">
      <c r="A502" s="62">
        <f t="shared" si="100"/>
        <v>42348</v>
      </c>
    </row>
    <row r="503" spans="1:1" x14ac:dyDescent="0.25">
      <c r="A503" s="62">
        <f t="shared" si="100"/>
        <v>42355</v>
      </c>
    </row>
    <row r="504" spans="1:1" x14ac:dyDescent="0.25">
      <c r="A504" s="62">
        <f t="shared" si="100"/>
        <v>42362</v>
      </c>
    </row>
    <row r="505" spans="1:1" x14ac:dyDescent="0.25">
      <c r="A505" s="62">
        <f t="shared" si="100"/>
        <v>42369</v>
      </c>
    </row>
    <row r="65509" spans="1:8" x14ac:dyDescent="0.25">
      <c r="A65509" s="35"/>
      <c r="F65509" s="14"/>
      <c r="G65509" s="2"/>
      <c r="H65509" s="48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6"/>
  <sheetViews>
    <sheetView topLeftCell="A58" workbookViewId="0">
      <selection activeCell="I74" sqref="I74"/>
    </sheetView>
  </sheetViews>
  <sheetFormatPr defaultRowHeight="13.2" x14ac:dyDescent="0.25"/>
  <cols>
    <col min="1" max="1" width="11.6640625" bestFit="1" customWidth="1"/>
  </cols>
  <sheetData>
    <row r="1" spans="1:8" x14ac:dyDescent="0.25">
      <c r="C1" t="s">
        <v>7</v>
      </c>
      <c r="E1" s="210" t="s">
        <v>1</v>
      </c>
      <c r="F1" s="211"/>
      <c r="G1" s="210" t="s">
        <v>2</v>
      </c>
      <c r="H1" s="211"/>
    </row>
    <row r="2" spans="1:8" x14ac:dyDescent="0.25">
      <c r="A2" s="84" t="s">
        <v>252</v>
      </c>
      <c r="B2" s="137" t="s">
        <v>251</v>
      </c>
      <c r="C2" s="137" t="s">
        <v>253</v>
      </c>
      <c r="D2" s="137" t="s">
        <v>254</v>
      </c>
      <c r="E2" s="137" t="s">
        <v>253</v>
      </c>
      <c r="F2" s="137" t="s">
        <v>254</v>
      </c>
      <c r="G2" s="137" t="s">
        <v>253</v>
      </c>
      <c r="H2" s="137" t="s">
        <v>254</v>
      </c>
    </row>
    <row r="3" spans="1:8" x14ac:dyDescent="0.25">
      <c r="A3" s="35">
        <v>41158</v>
      </c>
      <c r="C3">
        <v>86.5</v>
      </c>
      <c r="D3">
        <v>140</v>
      </c>
      <c r="E3">
        <v>66</v>
      </c>
      <c r="F3">
        <v>0</v>
      </c>
      <c r="G3">
        <f t="shared" ref="G3:H5" si="0">+C3+E3</f>
        <v>152.5</v>
      </c>
      <c r="H3">
        <f t="shared" si="0"/>
        <v>140</v>
      </c>
    </row>
    <row r="4" spans="1:8" x14ac:dyDescent="0.25">
      <c r="A4" s="35">
        <f>A3+7</f>
        <v>41165</v>
      </c>
      <c r="C4">
        <v>146.5</v>
      </c>
      <c r="D4">
        <v>147.5</v>
      </c>
      <c r="E4">
        <v>66</v>
      </c>
      <c r="F4">
        <v>0</v>
      </c>
      <c r="G4">
        <f t="shared" si="0"/>
        <v>212.5</v>
      </c>
      <c r="H4">
        <f t="shared" si="0"/>
        <v>147.5</v>
      </c>
    </row>
    <row r="5" spans="1:8" x14ac:dyDescent="0.25">
      <c r="A5" s="35">
        <f>A4+7</f>
        <v>41172</v>
      </c>
      <c r="C5">
        <v>146.5</v>
      </c>
      <c r="D5">
        <v>150.19999999999999</v>
      </c>
      <c r="E5">
        <v>66</v>
      </c>
      <c r="F5">
        <v>24.3</v>
      </c>
      <c r="G5">
        <f t="shared" si="0"/>
        <v>212.5</v>
      </c>
      <c r="H5">
        <f t="shared" si="0"/>
        <v>174.5</v>
      </c>
    </row>
    <row r="6" spans="1:8" x14ac:dyDescent="0.25">
      <c r="A6" s="35">
        <f t="shared" ref="A6:A69" si="1">A5+7</f>
        <v>41179</v>
      </c>
      <c r="C6">
        <v>146.5</v>
      </c>
      <c r="D6">
        <v>150.19999999999999</v>
      </c>
      <c r="E6">
        <v>66</v>
      </c>
      <c r="F6">
        <v>24.3</v>
      </c>
      <c r="G6">
        <f t="shared" ref="G6:G44" si="2">+C6+E6</f>
        <v>212.5</v>
      </c>
      <c r="H6">
        <f t="shared" ref="H6:H44" si="3">+D6+F6</f>
        <v>174.5</v>
      </c>
    </row>
    <row r="7" spans="1:8" x14ac:dyDescent="0.25">
      <c r="A7" s="35">
        <f t="shared" si="1"/>
        <v>41186</v>
      </c>
      <c r="C7">
        <v>146.5</v>
      </c>
      <c r="D7">
        <v>150.19999999999999</v>
      </c>
      <c r="E7">
        <v>66</v>
      </c>
      <c r="F7">
        <v>24.3</v>
      </c>
      <c r="G7">
        <f t="shared" si="2"/>
        <v>212.5</v>
      </c>
      <c r="H7">
        <f t="shared" si="3"/>
        <v>174.5</v>
      </c>
    </row>
    <row r="8" spans="1:8" x14ac:dyDescent="0.25">
      <c r="A8" s="35">
        <f t="shared" si="1"/>
        <v>41193</v>
      </c>
      <c r="C8">
        <v>87</v>
      </c>
      <c r="D8">
        <v>63.2</v>
      </c>
      <c r="E8">
        <v>130.69999999999999</v>
      </c>
      <c r="F8">
        <v>112</v>
      </c>
      <c r="G8">
        <f t="shared" si="2"/>
        <v>217.7</v>
      </c>
      <c r="H8">
        <f t="shared" si="3"/>
        <v>175.2</v>
      </c>
    </row>
    <row r="9" spans="1:8" x14ac:dyDescent="0.25">
      <c r="A9" s="35">
        <f t="shared" si="1"/>
        <v>41200</v>
      </c>
      <c r="C9">
        <v>87</v>
      </c>
      <c r="D9">
        <v>60</v>
      </c>
      <c r="E9">
        <v>130.69999999999999</v>
      </c>
      <c r="F9">
        <v>112</v>
      </c>
      <c r="G9">
        <f t="shared" si="2"/>
        <v>217.7</v>
      </c>
      <c r="H9">
        <f t="shared" si="3"/>
        <v>172</v>
      </c>
    </row>
    <row r="10" spans="1:8" x14ac:dyDescent="0.25">
      <c r="A10" s="35">
        <f t="shared" si="1"/>
        <v>41207</v>
      </c>
      <c r="C10">
        <v>87</v>
      </c>
      <c r="D10">
        <v>60</v>
      </c>
      <c r="E10">
        <v>130.69999999999999</v>
      </c>
      <c r="F10">
        <v>161.5</v>
      </c>
      <c r="G10">
        <f t="shared" si="2"/>
        <v>217.7</v>
      </c>
      <c r="H10">
        <f t="shared" si="3"/>
        <v>221.5</v>
      </c>
    </row>
    <row r="11" spans="1:8" x14ac:dyDescent="0.25">
      <c r="A11" s="35">
        <f t="shared" si="1"/>
        <v>41214</v>
      </c>
      <c r="C11">
        <v>163.5</v>
      </c>
      <c r="D11">
        <v>96</v>
      </c>
      <c r="E11">
        <v>140.9</v>
      </c>
      <c r="F11">
        <v>161.5</v>
      </c>
      <c r="G11">
        <f t="shared" si="2"/>
        <v>304.39999999999998</v>
      </c>
      <c r="H11">
        <f t="shared" si="3"/>
        <v>257.5</v>
      </c>
    </row>
    <row r="12" spans="1:8" x14ac:dyDescent="0.25">
      <c r="A12" s="35">
        <f t="shared" si="1"/>
        <v>41221</v>
      </c>
      <c r="C12">
        <v>137</v>
      </c>
      <c r="D12">
        <v>87.3</v>
      </c>
      <c r="E12">
        <v>199.7</v>
      </c>
      <c r="F12">
        <v>170.2</v>
      </c>
      <c r="G12">
        <f t="shared" si="2"/>
        <v>336.7</v>
      </c>
      <c r="H12">
        <f t="shared" si="3"/>
        <v>257.5</v>
      </c>
    </row>
    <row r="13" spans="1:8" x14ac:dyDescent="0.25">
      <c r="A13" s="35">
        <f t="shared" si="1"/>
        <v>41228</v>
      </c>
      <c r="C13">
        <v>137</v>
      </c>
      <c r="D13">
        <v>147.30000000000001</v>
      </c>
      <c r="E13">
        <v>199.7</v>
      </c>
      <c r="F13">
        <v>170.2</v>
      </c>
      <c r="G13">
        <f t="shared" si="2"/>
        <v>336.7</v>
      </c>
      <c r="H13">
        <f t="shared" si="3"/>
        <v>317.5</v>
      </c>
    </row>
    <row r="14" spans="1:8" x14ac:dyDescent="0.25">
      <c r="A14" s="35">
        <f t="shared" si="1"/>
        <v>41235</v>
      </c>
      <c r="C14">
        <v>77</v>
      </c>
      <c r="D14">
        <v>207.3</v>
      </c>
      <c r="E14">
        <v>263.89999999999998</v>
      </c>
      <c r="F14">
        <v>170.2</v>
      </c>
      <c r="G14">
        <f t="shared" si="2"/>
        <v>340.9</v>
      </c>
      <c r="H14">
        <f t="shared" si="3"/>
        <v>377.5</v>
      </c>
    </row>
    <row r="15" spans="1:8" x14ac:dyDescent="0.25">
      <c r="A15" s="35">
        <f t="shared" si="1"/>
        <v>41242</v>
      </c>
      <c r="C15">
        <v>77</v>
      </c>
      <c r="D15">
        <v>147.30000000000001</v>
      </c>
      <c r="E15">
        <v>263.89999999999998</v>
      </c>
      <c r="F15">
        <v>215.5</v>
      </c>
      <c r="G15">
        <f t="shared" si="2"/>
        <v>340.9</v>
      </c>
      <c r="H15">
        <f t="shared" si="3"/>
        <v>362.8</v>
      </c>
    </row>
    <row r="16" spans="1:8" x14ac:dyDescent="0.25">
      <c r="A16" s="35">
        <f t="shared" si="1"/>
        <v>41249</v>
      </c>
      <c r="C16">
        <v>145.5</v>
      </c>
      <c r="D16">
        <v>147.30000000000001</v>
      </c>
      <c r="E16">
        <v>263.89999999999998</v>
      </c>
      <c r="F16">
        <v>215.5</v>
      </c>
      <c r="G16">
        <f t="shared" si="2"/>
        <v>409.4</v>
      </c>
      <c r="H16">
        <f t="shared" si="3"/>
        <v>362.8</v>
      </c>
    </row>
    <row r="17" spans="1:8" x14ac:dyDescent="0.25">
      <c r="A17" s="35">
        <f t="shared" si="1"/>
        <v>41256</v>
      </c>
      <c r="C17">
        <v>128.5</v>
      </c>
      <c r="D17">
        <v>147.30000000000001</v>
      </c>
      <c r="E17">
        <v>285.2</v>
      </c>
      <c r="F17">
        <v>215.5</v>
      </c>
      <c r="G17">
        <f t="shared" si="2"/>
        <v>413.7</v>
      </c>
      <c r="H17">
        <f t="shared" si="3"/>
        <v>362.8</v>
      </c>
    </row>
    <row r="18" spans="1:8" x14ac:dyDescent="0.25">
      <c r="A18" s="35">
        <f t="shared" si="1"/>
        <v>41263</v>
      </c>
      <c r="C18">
        <v>128.5</v>
      </c>
      <c r="D18">
        <v>147.30000000000001</v>
      </c>
      <c r="E18">
        <v>285.2</v>
      </c>
      <c r="F18">
        <v>215.5</v>
      </c>
      <c r="G18">
        <f t="shared" si="2"/>
        <v>413.7</v>
      </c>
      <c r="H18">
        <f t="shared" si="3"/>
        <v>362.8</v>
      </c>
    </row>
    <row r="19" spans="1:8" x14ac:dyDescent="0.25">
      <c r="A19" s="35">
        <f t="shared" si="1"/>
        <v>41270</v>
      </c>
      <c r="C19">
        <v>128.5</v>
      </c>
      <c r="D19">
        <v>174.3</v>
      </c>
      <c r="E19">
        <v>285.2</v>
      </c>
      <c r="F19">
        <v>215.5</v>
      </c>
      <c r="G19">
        <f t="shared" si="2"/>
        <v>413.7</v>
      </c>
      <c r="H19">
        <f t="shared" si="3"/>
        <v>389.8</v>
      </c>
    </row>
    <row r="20" spans="1:8" x14ac:dyDescent="0.25">
      <c r="A20" s="35">
        <f t="shared" si="1"/>
        <v>41277</v>
      </c>
      <c r="C20">
        <v>68.5</v>
      </c>
      <c r="D20">
        <v>174.3</v>
      </c>
      <c r="E20">
        <v>347.9</v>
      </c>
      <c r="F20">
        <v>215.5</v>
      </c>
      <c r="G20">
        <f t="shared" si="2"/>
        <v>416.4</v>
      </c>
      <c r="H20">
        <f t="shared" si="3"/>
        <v>389.8</v>
      </c>
    </row>
    <row r="21" spans="1:8" x14ac:dyDescent="0.25">
      <c r="A21" s="35">
        <f t="shared" si="1"/>
        <v>41284</v>
      </c>
      <c r="C21">
        <v>189</v>
      </c>
      <c r="D21">
        <v>174.3</v>
      </c>
      <c r="E21">
        <v>357.9</v>
      </c>
      <c r="F21">
        <v>270.89999999999998</v>
      </c>
      <c r="G21">
        <f t="shared" si="2"/>
        <v>546.9</v>
      </c>
      <c r="H21">
        <f t="shared" si="3"/>
        <v>445.2</v>
      </c>
    </row>
    <row r="22" spans="1:8" x14ac:dyDescent="0.25">
      <c r="A22" s="35">
        <f t="shared" si="1"/>
        <v>41291</v>
      </c>
      <c r="C22">
        <v>206</v>
      </c>
      <c r="D22">
        <v>234.3</v>
      </c>
      <c r="E22">
        <v>357.9</v>
      </c>
      <c r="F22">
        <v>270.89999999999998</v>
      </c>
      <c r="G22">
        <f t="shared" si="2"/>
        <v>563.9</v>
      </c>
      <c r="H22">
        <f t="shared" si="3"/>
        <v>505.2</v>
      </c>
    </row>
    <row r="23" spans="1:8" x14ac:dyDescent="0.25">
      <c r="A23" s="35">
        <f t="shared" si="1"/>
        <v>41298</v>
      </c>
      <c r="C23">
        <v>246</v>
      </c>
      <c r="D23">
        <v>182.5</v>
      </c>
      <c r="E23">
        <v>357.9</v>
      </c>
      <c r="F23">
        <v>318.39999999999998</v>
      </c>
      <c r="G23">
        <f t="shared" si="2"/>
        <v>603.9</v>
      </c>
      <c r="H23">
        <f t="shared" si="3"/>
        <v>500.9</v>
      </c>
    </row>
    <row r="24" spans="1:8" x14ac:dyDescent="0.25">
      <c r="A24" s="35">
        <f t="shared" si="1"/>
        <v>41305</v>
      </c>
      <c r="C24">
        <v>186</v>
      </c>
      <c r="D24">
        <v>162.19999999999999</v>
      </c>
      <c r="E24">
        <v>414</v>
      </c>
      <c r="F24">
        <v>338.7</v>
      </c>
      <c r="G24">
        <f t="shared" si="2"/>
        <v>600</v>
      </c>
      <c r="H24">
        <f t="shared" si="3"/>
        <v>500.9</v>
      </c>
    </row>
    <row r="25" spans="1:8" x14ac:dyDescent="0.25">
      <c r="A25" s="35">
        <f t="shared" si="1"/>
        <v>41312</v>
      </c>
      <c r="C25">
        <v>195</v>
      </c>
      <c r="D25">
        <v>233.7</v>
      </c>
      <c r="E25">
        <v>414</v>
      </c>
      <c r="F25">
        <v>338.7</v>
      </c>
      <c r="G25">
        <f t="shared" si="2"/>
        <v>609</v>
      </c>
      <c r="H25">
        <f t="shared" si="3"/>
        <v>572.4</v>
      </c>
    </row>
    <row r="26" spans="1:8" x14ac:dyDescent="0.25">
      <c r="A26" s="35">
        <f t="shared" si="1"/>
        <v>41319</v>
      </c>
      <c r="C26">
        <v>177</v>
      </c>
      <c r="D26">
        <v>280.2</v>
      </c>
      <c r="E26">
        <v>433.8</v>
      </c>
      <c r="F26">
        <v>366.5</v>
      </c>
      <c r="G26">
        <f t="shared" si="2"/>
        <v>610.79999999999995</v>
      </c>
      <c r="H26">
        <f t="shared" si="3"/>
        <v>646.70000000000005</v>
      </c>
    </row>
    <row r="27" spans="1:8" x14ac:dyDescent="0.25">
      <c r="A27" s="35">
        <f t="shared" si="1"/>
        <v>41326</v>
      </c>
      <c r="C27">
        <v>187</v>
      </c>
      <c r="D27">
        <v>263.5</v>
      </c>
      <c r="E27">
        <v>444.9</v>
      </c>
      <c r="F27">
        <v>433.3</v>
      </c>
      <c r="G27">
        <f t="shared" si="2"/>
        <v>631.9</v>
      </c>
      <c r="H27">
        <f t="shared" si="3"/>
        <v>696.8</v>
      </c>
    </row>
    <row r="28" spans="1:8" x14ac:dyDescent="0.25">
      <c r="A28" s="35">
        <f t="shared" si="1"/>
        <v>41333</v>
      </c>
      <c r="C28">
        <v>127</v>
      </c>
      <c r="D28">
        <v>233.2</v>
      </c>
      <c r="E28">
        <v>499</v>
      </c>
      <c r="F28">
        <v>466.1</v>
      </c>
      <c r="G28">
        <f t="shared" si="2"/>
        <v>626</v>
      </c>
      <c r="H28">
        <f t="shared" si="3"/>
        <v>699.3</v>
      </c>
    </row>
    <row r="29" spans="1:8" x14ac:dyDescent="0.25">
      <c r="A29" s="35">
        <f t="shared" si="1"/>
        <v>41340</v>
      </c>
      <c r="C29">
        <v>67</v>
      </c>
      <c r="D29">
        <v>156.1</v>
      </c>
      <c r="E29">
        <v>575.5</v>
      </c>
      <c r="F29">
        <v>545.5</v>
      </c>
      <c r="G29">
        <f t="shared" si="2"/>
        <v>642.5</v>
      </c>
      <c r="H29">
        <f t="shared" si="3"/>
        <v>701.6</v>
      </c>
    </row>
    <row r="30" spans="1:8" x14ac:dyDescent="0.25">
      <c r="A30" s="35">
        <f t="shared" si="1"/>
        <v>41347</v>
      </c>
      <c r="C30">
        <v>50</v>
      </c>
      <c r="D30">
        <v>142</v>
      </c>
      <c r="E30">
        <v>595.29999999999995</v>
      </c>
      <c r="F30">
        <v>630.20000000000005</v>
      </c>
      <c r="G30">
        <f t="shared" si="2"/>
        <v>645.29999999999995</v>
      </c>
      <c r="H30">
        <f t="shared" si="3"/>
        <v>772.2</v>
      </c>
    </row>
    <row r="31" spans="1:8" x14ac:dyDescent="0.25">
      <c r="A31" s="35">
        <f t="shared" si="1"/>
        <v>41354</v>
      </c>
      <c r="C31">
        <v>0</v>
      </c>
      <c r="D31">
        <v>142</v>
      </c>
      <c r="E31">
        <v>649</v>
      </c>
      <c r="F31">
        <v>630.20000000000005</v>
      </c>
      <c r="G31">
        <f t="shared" si="2"/>
        <v>649</v>
      </c>
      <c r="H31">
        <f t="shared" si="3"/>
        <v>772.2</v>
      </c>
    </row>
    <row r="32" spans="1:8" x14ac:dyDescent="0.25">
      <c r="A32" s="35">
        <f t="shared" si="1"/>
        <v>41361</v>
      </c>
      <c r="C32">
        <v>0</v>
      </c>
      <c r="D32">
        <v>87</v>
      </c>
      <c r="E32">
        <v>649</v>
      </c>
      <c r="F32">
        <v>716.8</v>
      </c>
      <c r="G32">
        <f t="shared" si="2"/>
        <v>649</v>
      </c>
      <c r="H32">
        <f t="shared" si="3"/>
        <v>803.8</v>
      </c>
    </row>
    <row r="33" spans="1:9" x14ac:dyDescent="0.25">
      <c r="A33" s="35">
        <f t="shared" si="1"/>
        <v>41368</v>
      </c>
      <c r="C33">
        <v>0</v>
      </c>
      <c r="D33">
        <v>93.5</v>
      </c>
      <c r="E33">
        <v>677.3</v>
      </c>
      <c r="F33">
        <v>716.8</v>
      </c>
      <c r="G33">
        <f t="shared" si="2"/>
        <v>677.3</v>
      </c>
      <c r="H33">
        <f t="shared" si="3"/>
        <v>810.3</v>
      </c>
    </row>
    <row r="34" spans="1:9" x14ac:dyDescent="0.25">
      <c r="A34" s="35">
        <f t="shared" si="1"/>
        <v>41375</v>
      </c>
      <c r="C34">
        <v>0</v>
      </c>
      <c r="D34">
        <v>66.5</v>
      </c>
      <c r="E34">
        <v>677.3</v>
      </c>
      <c r="F34">
        <v>745.6</v>
      </c>
      <c r="G34">
        <f t="shared" si="2"/>
        <v>677.3</v>
      </c>
      <c r="H34">
        <f t="shared" si="3"/>
        <v>812.1</v>
      </c>
    </row>
    <row r="35" spans="1:9" x14ac:dyDescent="0.25">
      <c r="A35" s="35">
        <f t="shared" si="1"/>
        <v>41382</v>
      </c>
      <c r="C35">
        <v>0</v>
      </c>
      <c r="D35">
        <v>6.5</v>
      </c>
      <c r="E35">
        <v>677.3</v>
      </c>
      <c r="F35">
        <v>811.3</v>
      </c>
      <c r="G35">
        <f t="shared" si="2"/>
        <v>677.3</v>
      </c>
      <c r="H35">
        <f t="shared" si="3"/>
        <v>817.8</v>
      </c>
    </row>
    <row r="36" spans="1:9" x14ac:dyDescent="0.25">
      <c r="A36" s="35">
        <f t="shared" si="1"/>
        <v>41389</v>
      </c>
      <c r="C36">
        <v>0</v>
      </c>
      <c r="D36">
        <v>8</v>
      </c>
      <c r="E36">
        <v>677.3</v>
      </c>
      <c r="F36">
        <v>848.3</v>
      </c>
      <c r="G36">
        <f t="shared" si="2"/>
        <v>677.3</v>
      </c>
      <c r="H36">
        <f t="shared" si="3"/>
        <v>856.3</v>
      </c>
    </row>
    <row r="37" spans="1:9" x14ac:dyDescent="0.25">
      <c r="A37" s="35">
        <f t="shared" si="1"/>
        <v>41396</v>
      </c>
      <c r="C37">
        <v>0</v>
      </c>
      <c r="D37">
        <v>78</v>
      </c>
      <c r="E37">
        <v>677.3</v>
      </c>
      <c r="F37">
        <v>848.3</v>
      </c>
      <c r="G37">
        <f t="shared" si="2"/>
        <v>677.3</v>
      </c>
      <c r="H37">
        <f t="shared" si="3"/>
        <v>926.3</v>
      </c>
    </row>
    <row r="38" spans="1:9" x14ac:dyDescent="0.25">
      <c r="A38" s="35">
        <f t="shared" si="1"/>
        <v>41403</v>
      </c>
      <c r="C38">
        <v>0</v>
      </c>
      <c r="D38">
        <v>102</v>
      </c>
      <c r="E38">
        <v>677.3</v>
      </c>
      <c r="F38">
        <v>848.3</v>
      </c>
      <c r="G38">
        <f t="shared" si="2"/>
        <v>677.3</v>
      </c>
      <c r="H38">
        <f t="shared" si="3"/>
        <v>950.3</v>
      </c>
    </row>
    <row r="39" spans="1:9" x14ac:dyDescent="0.25">
      <c r="A39" s="35">
        <f t="shared" si="1"/>
        <v>41410</v>
      </c>
      <c r="C39">
        <v>0</v>
      </c>
      <c r="D39">
        <v>138</v>
      </c>
      <c r="E39">
        <v>677.3</v>
      </c>
      <c r="F39">
        <v>881.7</v>
      </c>
      <c r="G39">
        <f t="shared" si="2"/>
        <v>677.3</v>
      </c>
      <c r="H39">
        <f t="shared" si="3"/>
        <v>1019.7</v>
      </c>
      <c r="I39">
        <v>60</v>
      </c>
    </row>
    <row r="40" spans="1:9" x14ac:dyDescent="0.25">
      <c r="A40" s="35">
        <f t="shared" si="1"/>
        <v>41417</v>
      </c>
      <c r="C40">
        <v>0</v>
      </c>
      <c r="D40">
        <v>138</v>
      </c>
      <c r="E40">
        <v>677.3</v>
      </c>
      <c r="F40">
        <v>881.7</v>
      </c>
      <c r="G40">
        <f t="shared" si="2"/>
        <v>677.3</v>
      </c>
      <c r="H40">
        <f t="shared" si="3"/>
        <v>1019.7</v>
      </c>
      <c r="I40">
        <v>60</v>
      </c>
    </row>
    <row r="41" spans="1:9" x14ac:dyDescent="0.25">
      <c r="A41" s="35">
        <f t="shared" si="1"/>
        <v>41424</v>
      </c>
      <c r="C41">
        <v>0</v>
      </c>
      <c r="D41">
        <v>102</v>
      </c>
      <c r="E41">
        <v>677.3</v>
      </c>
      <c r="F41">
        <v>929.4</v>
      </c>
      <c r="G41">
        <f t="shared" si="2"/>
        <v>677.3</v>
      </c>
      <c r="H41">
        <f t="shared" si="3"/>
        <v>1031.4000000000001</v>
      </c>
      <c r="I41">
        <v>60</v>
      </c>
    </row>
    <row r="42" spans="1:9" x14ac:dyDescent="0.25">
      <c r="A42" s="35">
        <f t="shared" si="1"/>
        <v>41431</v>
      </c>
      <c r="C42">
        <v>0</v>
      </c>
      <c r="D42">
        <v>222</v>
      </c>
      <c r="E42">
        <v>677.3</v>
      </c>
      <c r="F42">
        <v>929.4</v>
      </c>
      <c r="G42">
        <f t="shared" si="2"/>
        <v>677.3</v>
      </c>
      <c r="H42">
        <f t="shared" si="3"/>
        <v>1151.4000000000001</v>
      </c>
      <c r="I42">
        <v>60</v>
      </c>
    </row>
    <row r="43" spans="1:9" x14ac:dyDescent="0.25">
      <c r="A43" s="35">
        <f t="shared" si="1"/>
        <v>41438</v>
      </c>
      <c r="C43">
        <v>0</v>
      </c>
      <c r="D43">
        <v>222</v>
      </c>
      <c r="E43">
        <v>677.3</v>
      </c>
      <c r="F43">
        <v>929.4</v>
      </c>
      <c r="G43">
        <f t="shared" si="2"/>
        <v>677.3</v>
      </c>
      <c r="H43">
        <f t="shared" si="3"/>
        <v>1151.4000000000001</v>
      </c>
      <c r="I43">
        <v>60</v>
      </c>
    </row>
    <row r="44" spans="1:9" x14ac:dyDescent="0.25">
      <c r="A44" s="35">
        <f t="shared" si="1"/>
        <v>41445</v>
      </c>
      <c r="C44">
        <v>0</v>
      </c>
      <c r="D44">
        <v>222</v>
      </c>
      <c r="E44">
        <v>677.3</v>
      </c>
      <c r="F44">
        <v>929.4</v>
      </c>
      <c r="G44">
        <f t="shared" si="2"/>
        <v>677.3</v>
      </c>
      <c r="H44">
        <f t="shared" si="3"/>
        <v>1151.4000000000001</v>
      </c>
      <c r="I44">
        <v>60</v>
      </c>
    </row>
    <row r="45" spans="1:9" x14ac:dyDescent="0.25">
      <c r="A45" s="35">
        <f t="shared" si="1"/>
        <v>41452</v>
      </c>
      <c r="C45">
        <v>0</v>
      </c>
      <c r="D45">
        <v>201</v>
      </c>
      <c r="E45">
        <v>677.3</v>
      </c>
      <c r="F45">
        <v>1005.9</v>
      </c>
      <c r="G45">
        <f t="shared" ref="G45:G59" si="4">+C45+E45</f>
        <v>677.3</v>
      </c>
      <c r="H45">
        <f t="shared" ref="H45:H59" si="5">+D45+F45</f>
        <v>1206.9000000000001</v>
      </c>
      <c r="I45">
        <v>60</v>
      </c>
    </row>
    <row r="46" spans="1:9" x14ac:dyDescent="0.25">
      <c r="A46" s="35">
        <f t="shared" si="1"/>
        <v>41459</v>
      </c>
      <c r="C46">
        <v>0</v>
      </c>
      <c r="D46">
        <v>201</v>
      </c>
      <c r="E46">
        <v>677.3</v>
      </c>
      <c r="F46">
        <v>1005.9</v>
      </c>
      <c r="G46">
        <f t="shared" si="4"/>
        <v>677.3</v>
      </c>
      <c r="H46">
        <f t="shared" si="5"/>
        <v>1206.9000000000001</v>
      </c>
      <c r="I46">
        <v>60</v>
      </c>
    </row>
    <row r="47" spans="1:9" x14ac:dyDescent="0.25">
      <c r="A47" s="35">
        <f t="shared" si="1"/>
        <v>41466</v>
      </c>
      <c r="C47">
        <v>0</v>
      </c>
      <c r="D47">
        <v>184</v>
      </c>
      <c r="E47">
        <v>677.3</v>
      </c>
      <c r="F47">
        <v>1025.5999999999999</v>
      </c>
      <c r="G47">
        <f t="shared" si="4"/>
        <v>677.3</v>
      </c>
      <c r="H47">
        <f t="shared" si="5"/>
        <v>1209.5999999999999</v>
      </c>
      <c r="I47">
        <v>60</v>
      </c>
    </row>
    <row r="48" spans="1:9" x14ac:dyDescent="0.25">
      <c r="A48" s="35">
        <f t="shared" si="1"/>
        <v>41473</v>
      </c>
      <c r="C48">
        <v>0</v>
      </c>
      <c r="D48">
        <v>244</v>
      </c>
      <c r="E48">
        <v>677.3</v>
      </c>
      <c r="F48">
        <v>1025.5999999999999</v>
      </c>
      <c r="G48">
        <f t="shared" si="4"/>
        <v>677.3</v>
      </c>
      <c r="H48">
        <f t="shared" si="5"/>
        <v>1269.5999999999999</v>
      </c>
      <c r="I48">
        <v>60</v>
      </c>
    </row>
    <row r="49" spans="1:11" x14ac:dyDescent="0.25">
      <c r="A49" s="35">
        <f t="shared" si="1"/>
        <v>41480</v>
      </c>
      <c r="C49">
        <v>0</v>
      </c>
      <c r="D49">
        <v>84</v>
      </c>
      <c r="E49">
        <v>677.3</v>
      </c>
      <c r="F49">
        <v>1200</v>
      </c>
      <c r="G49">
        <f t="shared" si="4"/>
        <v>677.3</v>
      </c>
      <c r="H49">
        <f t="shared" si="5"/>
        <v>1284</v>
      </c>
      <c r="I49">
        <v>60</v>
      </c>
    </row>
    <row r="50" spans="1:11" x14ac:dyDescent="0.25">
      <c r="A50" s="35">
        <f t="shared" si="1"/>
        <v>41487</v>
      </c>
      <c r="C50">
        <v>0</v>
      </c>
      <c r="D50">
        <v>84</v>
      </c>
      <c r="E50">
        <v>677.3</v>
      </c>
      <c r="F50">
        <v>1200</v>
      </c>
      <c r="G50">
        <f t="shared" si="4"/>
        <v>677.3</v>
      </c>
      <c r="H50">
        <f t="shared" si="5"/>
        <v>1284</v>
      </c>
      <c r="I50">
        <v>120</v>
      </c>
    </row>
    <row r="51" spans="1:11" x14ac:dyDescent="0.25">
      <c r="A51" s="35">
        <f t="shared" si="1"/>
        <v>41494</v>
      </c>
      <c r="C51">
        <v>0</v>
      </c>
      <c r="D51">
        <v>84</v>
      </c>
      <c r="E51">
        <v>677.3</v>
      </c>
      <c r="F51">
        <v>1200</v>
      </c>
      <c r="G51">
        <f t="shared" si="4"/>
        <v>677.3</v>
      </c>
      <c r="H51">
        <f t="shared" si="5"/>
        <v>1284</v>
      </c>
      <c r="I51">
        <v>120</v>
      </c>
    </row>
    <row r="52" spans="1:11" x14ac:dyDescent="0.25">
      <c r="A52" s="35">
        <f t="shared" si="1"/>
        <v>41501</v>
      </c>
      <c r="C52">
        <v>0</v>
      </c>
      <c r="D52">
        <v>68</v>
      </c>
      <c r="E52">
        <v>677.3</v>
      </c>
      <c r="F52">
        <v>1224.0999999999999</v>
      </c>
      <c r="G52">
        <f t="shared" si="4"/>
        <v>677.3</v>
      </c>
      <c r="H52">
        <f t="shared" si="5"/>
        <v>1292.0999999999999</v>
      </c>
      <c r="I52">
        <v>120</v>
      </c>
    </row>
    <row r="53" spans="1:11" x14ac:dyDescent="0.25">
      <c r="A53" s="35">
        <f t="shared" si="1"/>
        <v>41508</v>
      </c>
      <c r="C53">
        <v>0</v>
      </c>
      <c r="D53">
        <v>68</v>
      </c>
      <c r="E53">
        <v>677.3</v>
      </c>
      <c r="F53">
        <v>1224.0999999999999</v>
      </c>
      <c r="G53">
        <f t="shared" si="4"/>
        <v>677.3</v>
      </c>
      <c r="H53">
        <f t="shared" si="5"/>
        <v>1292.0999999999999</v>
      </c>
      <c r="I53">
        <v>120</v>
      </c>
    </row>
    <row r="54" spans="1:11" x14ac:dyDescent="0.25">
      <c r="A54" s="35">
        <f t="shared" si="1"/>
        <v>41515</v>
      </c>
      <c r="C54">
        <v>0</v>
      </c>
      <c r="D54">
        <v>68</v>
      </c>
      <c r="E54">
        <v>677.3</v>
      </c>
      <c r="F54">
        <v>1224.0999999999999</v>
      </c>
      <c r="G54">
        <f t="shared" si="4"/>
        <v>677.3</v>
      </c>
      <c r="H54">
        <f t="shared" si="5"/>
        <v>1292.0999999999999</v>
      </c>
      <c r="I54">
        <v>120</v>
      </c>
    </row>
    <row r="55" spans="1:11" x14ac:dyDescent="0.25">
      <c r="A55" s="35">
        <f t="shared" si="1"/>
        <v>41522</v>
      </c>
      <c r="C55">
        <v>120</v>
      </c>
      <c r="D55">
        <v>86.5</v>
      </c>
      <c r="E55">
        <v>0</v>
      </c>
      <c r="F55">
        <v>66</v>
      </c>
      <c r="G55">
        <f t="shared" si="4"/>
        <v>120</v>
      </c>
      <c r="H55">
        <f t="shared" si="5"/>
        <v>152.5</v>
      </c>
    </row>
    <row r="56" spans="1:11" x14ac:dyDescent="0.25">
      <c r="A56" s="35">
        <f t="shared" si="1"/>
        <v>41529</v>
      </c>
      <c r="C56">
        <v>120</v>
      </c>
      <c r="D56">
        <v>146.5</v>
      </c>
      <c r="E56">
        <v>0</v>
      </c>
      <c r="F56">
        <v>66</v>
      </c>
      <c r="G56">
        <f t="shared" si="4"/>
        <v>120</v>
      </c>
      <c r="H56">
        <f t="shared" si="5"/>
        <v>212.5</v>
      </c>
    </row>
    <row r="57" spans="1:11" x14ac:dyDescent="0.25">
      <c r="A57" s="35">
        <f t="shared" si="1"/>
        <v>41536</v>
      </c>
      <c r="C57">
        <v>180</v>
      </c>
      <c r="D57">
        <v>146.5</v>
      </c>
      <c r="E57">
        <v>0</v>
      </c>
      <c r="F57">
        <v>66</v>
      </c>
      <c r="G57">
        <f t="shared" si="4"/>
        <v>180</v>
      </c>
      <c r="H57">
        <f t="shared" si="5"/>
        <v>212.5</v>
      </c>
    </row>
    <row r="58" spans="1:11" x14ac:dyDescent="0.25">
      <c r="A58" s="35">
        <f t="shared" si="1"/>
        <v>41543</v>
      </c>
      <c r="C58">
        <v>180</v>
      </c>
      <c r="D58">
        <v>146.5</v>
      </c>
      <c r="E58">
        <v>0</v>
      </c>
      <c r="F58">
        <v>66</v>
      </c>
      <c r="G58">
        <f t="shared" si="4"/>
        <v>180</v>
      </c>
      <c r="H58">
        <f t="shared" si="5"/>
        <v>212.5</v>
      </c>
    </row>
    <row r="59" spans="1:11" ht="15" x14ac:dyDescent="0.25">
      <c r="A59" s="35">
        <f t="shared" si="1"/>
        <v>41550</v>
      </c>
      <c r="C59">
        <v>180</v>
      </c>
      <c r="D59">
        <v>146.5</v>
      </c>
      <c r="E59">
        <v>0</v>
      </c>
      <c r="F59">
        <v>66</v>
      </c>
      <c r="G59">
        <f t="shared" si="4"/>
        <v>180</v>
      </c>
      <c r="H59">
        <f t="shared" si="5"/>
        <v>212.5</v>
      </c>
      <c r="K59" s="96"/>
    </row>
    <row r="60" spans="1:11" x14ac:dyDescent="0.25">
      <c r="A60" s="35">
        <f t="shared" si="1"/>
        <v>41557</v>
      </c>
    </row>
    <row r="61" spans="1:11" x14ac:dyDescent="0.25">
      <c r="A61" s="35">
        <f t="shared" si="1"/>
        <v>41564</v>
      </c>
    </row>
    <row r="62" spans="1:11" x14ac:dyDescent="0.25">
      <c r="A62" s="35">
        <f t="shared" si="1"/>
        <v>41571</v>
      </c>
      <c r="C62">
        <v>246</v>
      </c>
      <c r="D62">
        <v>87</v>
      </c>
      <c r="E62">
        <v>0</v>
      </c>
      <c r="F62">
        <v>130.69999999999999</v>
      </c>
      <c r="G62">
        <f t="shared" ref="G62:H64" si="6">+C62+E62</f>
        <v>246</v>
      </c>
      <c r="H62">
        <f t="shared" si="6"/>
        <v>217.7</v>
      </c>
    </row>
    <row r="63" spans="1:11" ht="15" x14ac:dyDescent="0.25">
      <c r="A63" s="35">
        <f t="shared" si="1"/>
        <v>41578</v>
      </c>
      <c r="C63">
        <v>206</v>
      </c>
      <c r="D63">
        <v>163.5</v>
      </c>
      <c r="E63">
        <v>53.4</v>
      </c>
      <c r="F63">
        <v>140.9</v>
      </c>
      <c r="G63">
        <f t="shared" si="6"/>
        <v>259.39999999999998</v>
      </c>
      <c r="H63">
        <f t="shared" si="6"/>
        <v>304.39999999999998</v>
      </c>
      <c r="K63" s="96"/>
    </row>
    <row r="64" spans="1:11" x14ac:dyDescent="0.25">
      <c r="A64" s="35">
        <f t="shared" si="1"/>
        <v>41585</v>
      </c>
      <c r="C64">
        <v>206</v>
      </c>
      <c r="D64">
        <v>137</v>
      </c>
      <c r="E64">
        <v>53.4</v>
      </c>
      <c r="F64">
        <v>199.7</v>
      </c>
      <c r="G64">
        <f t="shared" si="6"/>
        <v>259.39999999999998</v>
      </c>
      <c r="H64">
        <f t="shared" si="6"/>
        <v>336.7</v>
      </c>
    </row>
    <row r="65" spans="1:13" x14ac:dyDescent="0.25">
      <c r="A65" s="35">
        <f t="shared" si="1"/>
        <v>41592</v>
      </c>
      <c r="C65">
        <v>146</v>
      </c>
      <c r="D65">
        <v>137</v>
      </c>
      <c r="E65">
        <v>116.5</v>
      </c>
      <c r="F65">
        <v>199.7</v>
      </c>
      <c r="G65">
        <f t="shared" ref="G65:H79" si="7">+C65+E65</f>
        <v>262.5</v>
      </c>
      <c r="H65">
        <f t="shared" si="7"/>
        <v>336.7</v>
      </c>
    </row>
    <row r="66" spans="1:13" x14ac:dyDescent="0.25">
      <c r="A66" s="35">
        <f t="shared" si="1"/>
        <v>41599</v>
      </c>
      <c r="C66">
        <v>146</v>
      </c>
      <c r="D66">
        <v>77</v>
      </c>
      <c r="E66">
        <v>116.5</v>
      </c>
      <c r="F66">
        <v>263.89999999999998</v>
      </c>
      <c r="G66">
        <f t="shared" si="7"/>
        <v>262.5</v>
      </c>
      <c r="H66">
        <f t="shared" si="7"/>
        <v>340.9</v>
      </c>
    </row>
    <row r="67" spans="1:13" x14ac:dyDescent="0.25">
      <c r="A67" s="35">
        <f t="shared" si="1"/>
        <v>41606</v>
      </c>
      <c r="C67">
        <v>146</v>
      </c>
      <c r="D67">
        <v>77</v>
      </c>
      <c r="E67">
        <v>131.1</v>
      </c>
      <c r="F67">
        <v>263.89999999999998</v>
      </c>
      <c r="G67">
        <f t="shared" si="7"/>
        <v>277.10000000000002</v>
      </c>
      <c r="H67">
        <f t="shared" si="7"/>
        <v>340.9</v>
      </c>
    </row>
    <row r="68" spans="1:13" x14ac:dyDescent="0.25">
      <c r="A68" s="35">
        <f t="shared" si="1"/>
        <v>41613</v>
      </c>
      <c r="C68">
        <v>146</v>
      </c>
      <c r="D68">
        <v>145.5</v>
      </c>
      <c r="E68">
        <v>150.6</v>
      </c>
      <c r="F68">
        <v>263.89999999999998</v>
      </c>
      <c r="G68">
        <f t="shared" si="7"/>
        <v>296.60000000000002</v>
      </c>
      <c r="H68">
        <f t="shared" si="7"/>
        <v>409.4</v>
      </c>
    </row>
    <row r="69" spans="1:13" x14ac:dyDescent="0.25">
      <c r="A69" s="35">
        <f t="shared" si="1"/>
        <v>41620</v>
      </c>
      <c r="C69">
        <v>86</v>
      </c>
      <c r="D69">
        <v>128.5</v>
      </c>
      <c r="E69">
        <v>214.7</v>
      </c>
      <c r="F69">
        <v>285.2</v>
      </c>
      <c r="G69">
        <f t="shared" si="7"/>
        <v>300.7</v>
      </c>
      <c r="H69">
        <f t="shared" si="7"/>
        <v>413.7</v>
      </c>
    </row>
    <row r="70" spans="1:13" x14ac:dyDescent="0.25">
      <c r="A70" s="35">
        <f t="shared" ref="A70:A124" si="8">A69+7</f>
        <v>41627</v>
      </c>
      <c r="C70">
        <v>116</v>
      </c>
      <c r="D70">
        <v>196.5</v>
      </c>
      <c r="E70">
        <v>389.5</v>
      </c>
      <c r="F70" s="123">
        <v>394</v>
      </c>
      <c r="G70">
        <f t="shared" si="7"/>
        <v>505.5</v>
      </c>
      <c r="H70">
        <f t="shared" si="7"/>
        <v>590.5</v>
      </c>
    </row>
    <row r="71" spans="1:13" x14ac:dyDescent="0.25">
      <c r="A71" s="35">
        <f t="shared" si="8"/>
        <v>41634</v>
      </c>
      <c r="C71">
        <v>134</v>
      </c>
      <c r="D71">
        <v>128.5</v>
      </c>
      <c r="E71">
        <v>270.89999999999998</v>
      </c>
      <c r="F71">
        <v>285.2</v>
      </c>
      <c r="G71">
        <f t="shared" si="7"/>
        <v>404.9</v>
      </c>
      <c r="H71">
        <f t="shared" si="7"/>
        <v>413.7</v>
      </c>
    </row>
    <row r="72" spans="1:13" x14ac:dyDescent="0.25">
      <c r="A72" s="35">
        <f t="shared" si="8"/>
        <v>41641</v>
      </c>
      <c r="C72">
        <v>134</v>
      </c>
      <c r="D72">
        <v>68.5</v>
      </c>
      <c r="E72">
        <v>270.89999999999998</v>
      </c>
      <c r="F72">
        <v>347.9</v>
      </c>
      <c r="G72">
        <f t="shared" si="7"/>
        <v>404.9</v>
      </c>
      <c r="H72">
        <f t="shared" si="7"/>
        <v>416.4</v>
      </c>
    </row>
    <row r="73" spans="1:13" ht="15" x14ac:dyDescent="0.25">
      <c r="A73" s="35">
        <f t="shared" si="8"/>
        <v>41648</v>
      </c>
      <c r="C73">
        <v>134</v>
      </c>
      <c r="D73" s="123">
        <v>189</v>
      </c>
      <c r="E73">
        <v>270.89999999999998</v>
      </c>
      <c r="F73">
        <v>357.9</v>
      </c>
      <c r="G73">
        <f t="shared" si="7"/>
        <v>404.9</v>
      </c>
      <c r="H73">
        <f t="shared" si="7"/>
        <v>546.9</v>
      </c>
      <c r="J73" s="96"/>
      <c r="M73" s="96"/>
    </row>
    <row r="74" spans="1:13" ht="15" x14ac:dyDescent="0.25">
      <c r="A74" s="35">
        <f t="shared" si="8"/>
        <v>41655</v>
      </c>
      <c r="C74">
        <v>194</v>
      </c>
      <c r="D74">
        <v>206</v>
      </c>
      <c r="E74">
        <v>270.89999999999998</v>
      </c>
      <c r="F74">
        <v>357.9</v>
      </c>
      <c r="G74">
        <f t="shared" si="7"/>
        <v>464.9</v>
      </c>
      <c r="H74">
        <f t="shared" si="7"/>
        <v>563.9</v>
      </c>
      <c r="J74" s="96"/>
    </row>
    <row r="75" spans="1:13" x14ac:dyDescent="0.25">
      <c r="A75" s="35">
        <f t="shared" si="8"/>
        <v>41662</v>
      </c>
      <c r="C75">
        <v>194</v>
      </c>
      <c r="D75">
        <v>246</v>
      </c>
      <c r="E75">
        <v>270.89999999999998</v>
      </c>
      <c r="F75">
        <v>357.9</v>
      </c>
      <c r="G75">
        <f t="shared" si="7"/>
        <v>464.9</v>
      </c>
      <c r="H75">
        <f t="shared" si="7"/>
        <v>603.9</v>
      </c>
    </row>
    <row r="76" spans="1:13" ht="15" x14ac:dyDescent="0.25">
      <c r="A76" s="35">
        <f t="shared" si="8"/>
        <v>41669</v>
      </c>
      <c r="C76">
        <v>221</v>
      </c>
      <c r="D76">
        <v>186</v>
      </c>
      <c r="E76">
        <v>270.89999999999998</v>
      </c>
      <c r="F76" s="123">
        <v>414</v>
      </c>
      <c r="G76">
        <f t="shared" si="7"/>
        <v>491.9</v>
      </c>
      <c r="H76" s="123">
        <f t="shared" si="7"/>
        <v>600</v>
      </c>
      <c r="J76" s="96"/>
      <c r="K76" s="96"/>
    </row>
    <row r="77" spans="1:13" ht="15" x14ac:dyDescent="0.25">
      <c r="A77" s="35">
        <f t="shared" si="8"/>
        <v>41676</v>
      </c>
      <c r="C77">
        <v>221</v>
      </c>
      <c r="D77">
        <v>195</v>
      </c>
      <c r="E77">
        <v>270.89999999999998</v>
      </c>
      <c r="F77" s="123">
        <v>414</v>
      </c>
      <c r="G77">
        <f t="shared" si="7"/>
        <v>491.9</v>
      </c>
      <c r="H77" s="123">
        <f t="shared" si="7"/>
        <v>609</v>
      </c>
      <c r="J77" s="96"/>
    </row>
    <row r="78" spans="1:13" x14ac:dyDescent="0.25">
      <c r="A78" s="35">
        <f t="shared" si="8"/>
        <v>41683</v>
      </c>
      <c r="C78">
        <v>201</v>
      </c>
      <c r="D78">
        <v>177</v>
      </c>
      <c r="E78">
        <v>293.89999999999998</v>
      </c>
      <c r="F78">
        <v>433.8</v>
      </c>
      <c r="G78">
        <f t="shared" si="7"/>
        <v>494.9</v>
      </c>
      <c r="H78">
        <f t="shared" si="7"/>
        <v>610.79999999999995</v>
      </c>
    </row>
    <row r="79" spans="1:13" x14ac:dyDescent="0.25">
      <c r="A79" s="35">
        <f t="shared" si="8"/>
        <v>41690</v>
      </c>
      <c r="C79">
        <v>174</v>
      </c>
      <c r="D79">
        <v>187</v>
      </c>
      <c r="E79">
        <v>333.8</v>
      </c>
      <c r="F79">
        <v>444.9</v>
      </c>
      <c r="G79">
        <f t="shared" si="7"/>
        <v>507.8</v>
      </c>
      <c r="H79">
        <f t="shared" si="7"/>
        <v>631.9</v>
      </c>
    </row>
    <row r="80" spans="1:13" x14ac:dyDescent="0.25">
      <c r="A80" s="35">
        <f t="shared" si="8"/>
        <v>41697</v>
      </c>
    </row>
    <row r="81" spans="1:1" x14ac:dyDescent="0.25">
      <c r="A81" s="35">
        <f t="shared" si="8"/>
        <v>41704</v>
      </c>
    </row>
    <row r="82" spans="1:1" x14ac:dyDescent="0.25">
      <c r="A82" s="35">
        <f t="shared" si="8"/>
        <v>41711</v>
      </c>
    </row>
    <row r="83" spans="1:1" x14ac:dyDescent="0.25">
      <c r="A83" s="35">
        <f t="shared" si="8"/>
        <v>41718</v>
      </c>
    </row>
    <row r="84" spans="1:1" x14ac:dyDescent="0.25">
      <c r="A84" s="35">
        <f t="shared" si="8"/>
        <v>41725</v>
      </c>
    </row>
    <row r="85" spans="1:1" x14ac:dyDescent="0.25">
      <c r="A85" s="35">
        <f t="shared" si="8"/>
        <v>41732</v>
      </c>
    </row>
    <row r="86" spans="1:1" x14ac:dyDescent="0.25">
      <c r="A86" s="35">
        <f t="shared" si="8"/>
        <v>41739</v>
      </c>
    </row>
    <row r="87" spans="1:1" x14ac:dyDescent="0.25">
      <c r="A87" s="35">
        <f t="shared" si="8"/>
        <v>41746</v>
      </c>
    </row>
    <row r="88" spans="1:1" x14ac:dyDescent="0.25">
      <c r="A88" s="35">
        <f t="shared" si="8"/>
        <v>41753</v>
      </c>
    </row>
    <row r="89" spans="1:1" x14ac:dyDescent="0.25">
      <c r="A89" s="35">
        <f t="shared" si="8"/>
        <v>41760</v>
      </c>
    </row>
    <row r="90" spans="1:1" x14ac:dyDescent="0.25">
      <c r="A90" s="35">
        <f t="shared" si="8"/>
        <v>41767</v>
      </c>
    </row>
    <row r="91" spans="1:1" x14ac:dyDescent="0.25">
      <c r="A91" s="35">
        <f t="shared" si="8"/>
        <v>41774</v>
      </c>
    </row>
    <row r="92" spans="1:1" x14ac:dyDescent="0.25">
      <c r="A92" s="35">
        <f t="shared" si="8"/>
        <v>41781</v>
      </c>
    </row>
    <row r="93" spans="1:1" x14ac:dyDescent="0.25">
      <c r="A93" s="35">
        <f t="shared" si="8"/>
        <v>41788</v>
      </c>
    </row>
    <row r="94" spans="1:1" x14ac:dyDescent="0.25">
      <c r="A94" s="35">
        <f t="shared" si="8"/>
        <v>41795</v>
      </c>
    </row>
    <row r="95" spans="1:1" x14ac:dyDescent="0.25">
      <c r="A95" s="35">
        <f t="shared" si="8"/>
        <v>41802</v>
      </c>
    </row>
    <row r="96" spans="1:1" x14ac:dyDescent="0.25">
      <c r="A96" s="35">
        <f t="shared" si="8"/>
        <v>41809</v>
      </c>
    </row>
    <row r="97" spans="1:1" x14ac:dyDescent="0.25">
      <c r="A97" s="35">
        <f t="shared" si="8"/>
        <v>41816</v>
      </c>
    </row>
    <row r="98" spans="1:1" x14ac:dyDescent="0.25">
      <c r="A98" s="35">
        <f t="shared" si="8"/>
        <v>41823</v>
      </c>
    </row>
    <row r="99" spans="1:1" x14ac:dyDescent="0.25">
      <c r="A99" s="35">
        <f t="shared" si="8"/>
        <v>41830</v>
      </c>
    </row>
    <row r="100" spans="1:1" x14ac:dyDescent="0.25">
      <c r="A100" s="35">
        <f t="shared" si="8"/>
        <v>41837</v>
      </c>
    </row>
    <row r="101" spans="1:1" x14ac:dyDescent="0.25">
      <c r="A101" s="35">
        <f t="shared" si="8"/>
        <v>41844</v>
      </c>
    </row>
    <row r="102" spans="1:1" x14ac:dyDescent="0.25">
      <c r="A102" s="35">
        <f t="shared" si="8"/>
        <v>41851</v>
      </c>
    </row>
    <row r="103" spans="1:1" x14ac:dyDescent="0.25">
      <c r="A103" s="35">
        <f t="shared" si="8"/>
        <v>41858</v>
      </c>
    </row>
    <row r="104" spans="1:1" x14ac:dyDescent="0.25">
      <c r="A104" s="35">
        <f t="shared" si="8"/>
        <v>41865</v>
      </c>
    </row>
    <row r="105" spans="1:1" x14ac:dyDescent="0.25">
      <c r="A105" s="35">
        <f t="shared" si="8"/>
        <v>41872</v>
      </c>
    </row>
    <row r="106" spans="1:1" x14ac:dyDescent="0.25">
      <c r="A106" s="35">
        <f t="shared" si="8"/>
        <v>41879</v>
      </c>
    </row>
    <row r="107" spans="1:1" x14ac:dyDescent="0.25">
      <c r="A107" s="35">
        <f t="shared" si="8"/>
        <v>41886</v>
      </c>
    </row>
    <row r="108" spans="1:1" x14ac:dyDescent="0.25">
      <c r="A108" s="35">
        <f t="shared" si="8"/>
        <v>41893</v>
      </c>
    </row>
    <row r="109" spans="1:1" x14ac:dyDescent="0.25">
      <c r="A109" s="35">
        <f t="shared" si="8"/>
        <v>41900</v>
      </c>
    </row>
    <row r="110" spans="1:1" x14ac:dyDescent="0.25">
      <c r="A110" s="35">
        <f t="shared" si="8"/>
        <v>41907</v>
      </c>
    </row>
    <row r="111" spans="1:1" x14ac:dyDescent="0.25">
      <c r="A111" s="35">
        <f t="shared" si="8"/>
        <v>41914</v>
      </c>
    </row>
    <row r="112" spans="1:1" x14ac:dyDescent="0.25">
      <c r="A112" s="35">
        <f t="shared" si="8"/>
        <v>41921</v>
      </c>
    </row>
    <row r="113" spans="1:1" x14ac:dyDescent="0.25">
      <c r="A113" s="35">
        <f t="shared" si="8"/>
        <v>41928</v>
      </c>
    </row>
    <row r="114" spans="1:1" x14ac:dyDescent="0.25">
      <c r="A114" s="35">
        <f t="shared" si="8"/>
        <v>41935</v>
      </c>
    </row>
    <row r="115" spans="1:1" x14ac:dyDescent="0.25">
      <c r="A115" s="35">
        <f t="shared" si="8"/>
        <v>41942</v>
      </c>
    </row>
    <row r="116" spans="1:1" x14ac:dyDescent="0.25">
      <c r="A116" s="35">
        <f t="shared" si="8"/>
        <v>41949</v>
      </c>
    </row>
    <row r="117" spans="1:1" x14ac:dyDescent="0.25">
      <c r="A117" s="35">
        <f t="shared" si="8"/>
        <v>41956</v>
      </c>
    </row>
    <row r="118" spans="1:1" x14ac:dyDescent="0.25">
      <c r="A118" s="35">
        <f t="shared" si="8"/>
        <v>41963</v>
      </c>
    </row>
    <row r="119" spans="1:1" x14ac:dyDescent="0.25">
      <c r="A119" s="35">
        <f t="shared" si="8"/>
        <v>41970</v>
      </c>
    </row>
    <row r="120" spans="1:1" x14ac:dyDescent="0.25">
      <c r="A120" s="35">
        <f t="shared" si="8"/>
        <v>41977</v>
      </c>
    </row>
    <row r="121" spans="1:1" x14ac:dyDescent="0.25">
      <c r="A121" s="35">
        <f t="shared" si="8"/>
        <v>41984</v>
      </c>
    </row>
    <row r="122" spans="1:1" x14ac:dyDescent="0.25">
      <c r="A122" s="35">
        <f t="shared" si="8"/>
        <v>41991</v>
      </c>
    </row>
    <row r="123" spans="1:1" x14ac:dyDescent="0.25">
      <c r="A123" s="35">
        <f t="shared" si="8"/>
        <v>41998</v>
      </c>
    </row>
    <row r="124" spans="1:1" x14ac:dyDescent="0.25">
      <c r="A124" s="35">
        <f t="shared" si="8"/>
        <v>42005</v>
      </c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  <row r="141" spans="1:1" x14ac:dyDescent="0.25">
      <c r="A141" s="35"/>
    </row>
    <row r="142" spans="1:1" x14ac:dyDescent="0.25">
      <c r="A142" s="35"/>
    </row>
    <row r="143" spans="1:1" x14ac:dyDescent="0.25">
      <c r="A143" s="35"/>
    </row>
    <row r="144" spans="1:1" x14ac:dyDescent="0.25">
      <c r="A144" s="35"/>
    </row>
    <row r="145" spans="1:1" x14ac:dyDescent="0.25">
      <c r="A145" s="35"/>
    </row>
    <row r="146" spans="1:1" x14ac:dyDescent="0.25">
      <c r="A146" s="35"/>
    </row>
    <row r="147" spans="1:1" x14ac:dyDescent="0.25">
      <c r="A147" s="35"/>
    </row>
    <row r="148" spans="1:1" x14ac:dyDescent="0.25">
      <c r="A148" s="35"/>
    </row>
    <row r="149" spans="1:1" x14ac:dyDescent="0.25">
      <c r="A149" s="35"/>
    </row>
    <row r="150" spans="1:1" x14ac:dyDescent="0.25">
      <c r="A150" s="35"/>
    </row>
    <row r="151" spans="1:1" x14ac:dyDescent="0.25">
      <c r="A151" s="35"/>
    </row>
    <row r="152" spans="1:1" x14ac:dyDescent="0.25">
      <c r="A152" s="35"/>
    </row>
    <row r="153" spans="1:1" x14ac:dyDescent="0.25">
      <c r="A153" s="35"/>
    </row>
    <row r="154" spans="1:1" x14ac:dyDescent="0.25">
      <c r="A154" s="35"/>
    </row>
    <row r="155" spans="1:1" x14ac:dyDescent="0.25">
      <c r="A155" s="35"/>
    </row>
    <row r="156" spans="1:1" x14ac:dyDescent="0.25">
      <c r="A156" s="35"/>
    </row>
    <row r="157" spans="1:1" x14ac:dyDescent="0.25">
      <c r="A157" s="35"/>
    </row>
    <row r="158" spans="1:1" x14ac:dyDescent="0.25">
      <c r="A158" s="35"/>
    </row>
    <row r="159" spans="1:1" x14ac:dyDescent="0.25">
      <c r="A159" s="35"/>
    </row>
    <row r="160" spans="1:1" x14ac:dyDescent="0.25">
      <c r="A160" s="35"/>
    </row>
    <row r="161" spans="1:1" x14ac:dyDescent="0.25">
      <c r="A161" s="35"/>
    </row>
    <row r="162" spans="1:1" x14ac:dyDescent="0.25">
      <c r="A162" s="35"/>
    </row>
    <row r="163" spans="1:1" x14ac:dyDescent="0.25">
      <c r="A163" s="35"/>
    </row>
    <row r="164" spans="1:1" x14ac:dyDescent="0.25">
      <c r="A164" s="35"/>
    </row>
    <row r="165" spans="1:1" x14ac:dyDescent="0.25">
      <c r="A165" s="35"/>
    </row>
    <row r="166" spans="1:1" x14ac:dyDescent="0.25">
      <c r="A166" s="35"/>
    </row>
    <row r="167" spans="1:1" x14ac:dyDescent="0.25">
      <c r="A167" s="35"/>
    </row>
    <row r="168" spans="1:1" x14ac:dyDescent="0.25">
      <c r="A168" s="35"/>
    </row>
    <row r="169" spans="1:1" x14ac:dyDescent="0.25">
      <c r="A169" s="35"/>
    </row>
    <row r="170" spans="1:1" x14ac:dyDescent="0.25">
      <c r="A170" s="35"/>
    </row>
    <row r="171" spans="1:1" x14ac:dyDescent="0.25">
      <c r="A171" s="35"/>
    </row>
    <row r="172" spans="1:1" x14ac:dyDescent="0.25">
      <c r="A172" s="35"/>
    </row>
    <row r="173" spans="1:1" x14ac:dyDescent="0.25">
      <c r="A173" s="35"/>
    </row>
    <row r="174" spans="1:1" x14ac:dyDescent="0.25">
      <c r="A174" s="35"/>
    </row>
    <row r="175" spans="1:1" x14ac:dyDescent="0.25">
      <c r="A175" s="35"/>
    </row>
    <row r="176" spans="1:1" x14ac:dyDescent="0.25">
      <c r="A176" s="35"/>
    </row>
    <row r="177" spans="1:1" x14ac:dyDescent="0.25">
      <c r="A177" s="35"/>
    </row>
    <row r="178" spans="1:1" x14ac:dyDescent="0.25">
      <c r="A178" s="35"/>
    </row>
    <row r="179" spans="1:1" x14ac:dyDescent="0.25">
      <c r="A179" s="35"/>
    </row>
    <row r="180" spans="1:1" x14ac:dyDescent="0.25">
      <c r="A180" s="35"/>
    </row>
    <row r="181" spans="1:1" x14ac:dyDescent="0.25">
      <c r="A181" s="35"/>
    </row>
    <row r="182" spans="1:1" x14ac:dyDescent="0.25">
      <c r="A182" s="35"/>
    </row>
    <row r="183" spans="1:1" x14ac:dyDescent="0.25">
      <c r="A183" s="35"/>
    </row>
    <row r="184" spans="1:1" x14ac:dyDescent="0.25">
      <c r="A184" s="35"/>
    </row>
    <row r="185" spans="1:1" x14ac:dyDescent="0.25">
      <c r="A185" s="35"/>
    </row>
    <row r="186" spans="1:1" x14ac:dyDescent="0.25">
      <c r="A186" s="35"/>
    </row>
    <row r="187" spans="1:1" x14ac:dyDescent="0.25">
      <c r="A187" s="35"/>
    </row>
    <row r="188" spans="1:1" x14ac:dyDescent="0.25">
      <c r="A188" s="35"/>
    </row>
    <row r="189" spans="1:1" x14ac:dyDescent="0.25">
      <c r="A189" s="35"/>
    </row>
    <row r="190" spans="1:1" x14ac:dyDescent="0.25">
      <c r="A190" s="35"/>
    </row>
    <row r="191" spans="1:1" x14ac:dyDescent="0.25">
      <c r="A191" s="35"/>
    </row>
    <row r="192" spans="1:1" x14ac:dyDescent="0.25">
      <c r="A192" s="35"/>
    </row>
    <row r="193" spans="1:1" x14ac:dyDescent="0.25">
      <c r="A193" s="35"/>
    </row>
    <row r="194" spans="1:1" x14ac:dyDescent="0.25">
      <c r="A194" s="35"/>
    </row>
    <row r="195" spans="1:1" x14ac:dyDescent="0.25">
      <c r="A195" s="35"/>
    </row>
    <row r="196" spans="1:1" x14ac:dyDescent="0.25">
      <c r="A196" s="35"/>
    </row>
  </sheetData>
  <mergeCells count="2">
    <mergeCell ref="E1:F1"/>
    <mergeCell ref="G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K170"/>
  <sheetViews>
    <sheetView workbookViewId="0"/>
  </sheetViews>
  <sheetFormatPr defaultRowHeight="13.2" x14ac:dyDescent="0.25"/>
  <cols>
    <col min="1" max="1" width="12" customWidth="1"/>
    <col min="2" max="2" width="2.21875" bestFit="1" customWidth="1"/>
    <col min="3" max="3" width="14.33203125" bestFit="1" customWidth="1"/>
    <col min="4" max="4" width="6.6640625" customWidth="1"/>
    <col min="6" max="6" width="7.6640625" customWidth="1"/>
    <col min="8" max="8" width="9.5546875" customWidth="1"/>
    <col min="10" max="10" width="17.6640625" bestFit="1" customWidth="1"/>
    <col min="11" max="11" width="12" bestFit="1" customWidth="1"/>
    <col min="12" max="12" width="11" bestFit="1" customWidth="1"/>
    <col min="13" max="13" width="12" bestFit="1" customWidth="1"/>
    <col min="14" max="14" width="11.109375" customWidth="1"/>
    <col min="16" max="16" width="9.88671875" customWidth="1"/>
    <col min="17" max="17" width="17.109375" customWidth="1"/>
    <col min="19" max="19" width="22.88671875" customWidth="1"/>
  </cols>
  <sheetData>
    <row r="1" spans="1:11" x14ac:dyDescent="0.25">
      <c r="A1" s="93"/>
    </row>
    <row r="2" spans="1:11" x14ac:dyDescent="0.25">
      <c r="A2" s="93"/>
    </row>
    <row r="3" spans="1:11" x14ac:dyDescent="0.25">
      <c r="A3" s="93"/>
    </row>
    <row r="4" spans="1:11" x14ac:dyDescent="0.25">
      <c r="A4" s="93"/>
    </row>
    <row r="5" spans="1:11" x14ac:dyDescent="0.25">
      <c r="A5" s="93" t="s">
        <v>349</v>
      </c>
    </row>
    <row r="6" spans="1:11" x14ac:dyDescent="0.25">
      <c r="A6" s="93" t="s">
        <v>350</v>
      </c>
    </row>
    <row r="7" spans="1:11" x14ac:dyDescent="0.25">
      <c r="A7" s="93" t="s">
        <v>351</v>
      </c>
    </row>
    <row r="8" spans="1:11" x14ac:dyDescent="0.25">
      <c r="A8" s="93"/>
    </row>
    <row r="9" spans="1:11" x14ac:dyDescent="0.25">
      <c r="A9" s="93"/>
    </row>
    <row r="10" spans="1:11" x14ac:dyDescent="0.25">
      <c r="A10" s="93"/>
    </row>
    <row r="11" spans="1:11" x14ac:dyDescent="0.25">
      <c r="A11" s="93" t="s">
        <v>41</v>
      </c>
      <c r="F11" t="s">
        <v>333</v>
      </c>
      <c r="G11" s="35" t="s">
        <v>334</v>
      </c>
      <c r="H11" s="35" t="s">
        <v>327</v>
      </c>
    </row>
    <row r="12" spans="1:11" x14ac:dyDescent="0.25">
      <c r="A12" s="93" t="s">
        <v>323</v>
      </c>
      <c r="B12" t="s">
        <v>324</v>
      </c>
      <c r="C12" t="s">
        <v>308</v>
      </c>
      <c r="D12" t="s">
        <v>114</v>
      </c>
      <c r="E12" t="s">
        <v>340</v>
      </c>
      <c r="F12" t="s">
        <v>335</v>
      </c>
      <c r="G12" t="s">
        <v>336</v>
      </c>
      <c r="H12" t="s">
        <v>328</v>
      </c>
    </row>
    <row r="13" spans="1:11" x14ac:dyDescent="0.25">
      <c r="A13" s="93" t="s">
        <v>42</v>
      </c>
      <c r="C13" t="s">
        <v>341</v>
      </c>
      <c r="D13" t="s">
        <v>352</v>
      </c>
      <c r="E13" t="s">
        <v>353</v>
      </c>
    </row>
    <row r="14" spans="1:11" x14ac:dyDescent="0.25">
      <c r="A14" s="93" t="s">
        <v>325</v>
      </c>
      <c r="B14" t="s">
        <v>43</v>
      </c>
      <c r="C14" t="s">
        <v>98</v>
      </c>
      <c r="D14" t="s">
        <v>95</v>
      </c>
      <c r="E14" t="s">
        <v>115</v>
      </c>
      <c r="F14" t="s">
        <v>98</v>
      </c>
      <c r="G14" t="s">
        <v>151</v>
      </c>
      <c r="H14" t="s">
        <v>115</v>
      </c>
      <c r="K14" s="93" t="s">
        <v>322</v>
      </c>
    </row>
    <row r="15" spans="1:11" x14ac:dyDescent="0.25">
      <c r="A15" s="93"/>
      <c r="B15" t="s">
        <v>44</v>
      </c>
      <c r="C15" t="s">
        <v>227</v>
      </c>
      <c r="D15" t="s">
        <v>342</v>
      </c>
      <c r="E15" t="s">
        <v>326</v>
      </c>
      <c r="G15" t="s">
        <v>329</v>
      </c>
      <c r="H15" t="s">
        <v>326</v>
      </c>
    </row>
    <row r="16" spans="1:11" x14ac:dyDescent="0.25">
      <c r="A16" s="93"/>
      <c r="C16" t="s">
        <v>98</v>
      </c>
      <c r="D16" t="s">
        <v>95</v>
      </c>
      <c r="E16" t="s">
        <v>115</v>
      </c>
      <c r="F16" t="s">
        <v>98</v>
      </c>
      <c r="G16" t="s">
        <v>151</v>
      </c>
      <c r="H16" t="s">
        <v>115</v>
      </c>
    </row>
    <row r="17" spans="1:10" x14ac:dyDescent="0.25">
      <c r="A17" s="93"/>
      <c r="B17" t="s">
        <v>44</v>
      </c>
      <c r="C17" t="s">
        <v>343</v>
      </c>
      <c r="D17" t="s">
        <v>344</v>
      </c>
      <c r="E17" t="s">
        <v>345</v>
      </c>
      <c r="F17" t="s">
        <v>337</v>
      </c>
      <c r="G17" t="s">
        <v>338</v>
      </c>
      <c r="H17" s="35" t="s">
        <v>330</v>
      </c>
    </row>
    <row r="18" spans="1:10" x14ac:dyDescent="0.25">
      <c r="A18" s="93"/>
      <c r="C18" t="s">
        <v>98</v>
      </c>
      <c r="D18" t="s">
        <v>95</v>
      </c>
      <c r="E18" t="s">
        <v>115</v>
      </c>
      <c r="F18" t="s">
        <v>98</v>
      </c>
      <c r="G18" t="s">
        <v>151</v>
      </c>
      <c r="H18" t="s">
        <v>115</v>
      </c>
    </row>
    <row r="19" spans="1:10" x14ac:dyDescent="0.25">
      <c r="A19" s="93" t="s">
        <v>47</v>
      </c>
      <c r="B19" t="s">
        <v>44</v>
      </c>
      <c r="C19" t="s">
        <v>346</v>
      </c>
      <c r="D19" t="s">
        <v>347</v>
      </c>
      <c r="E19" t="s">
        <v>348</v>
      </c>
      <c r="F19" t="s">
        <v>309</v>
      </c>
      <c r="G19" t="s">
        <v>331</v>
      </c>
      <c r="H19" t="s">
        <v>332</v>
      </c>
    </row>
    <row r="20" spans="1:10" x14ac:dyDescent="0.25">
      <c r="A20" s="93" t="s">
        <v>325</v>
      </c>
      <c r="B20" t="s">
        <v>43</v>
      </c>
      <c r="C20" t="s">
        <v>98</v>
      </c>
      <c r="D20" t="s">
        <v>95</v>
      </c>
      <c r="E20" t="s">
        <v>115</v>
      </c>
      <c r="F20" t="s">
        <v>98</v>
      </c>
      <c r="G20" t="s">
        <v>151</v>
      </c>
      <c r="H20" t="s">
        <v>115</v>
      </c>
    </row>
    <row r="21" spans="1:10" x14ac:dyDescent="0.25">
      <c r="A21" s="93"/>
      <c r="B21" t="s">
        <v>44</v>
      </c>
    </row>
    <row r="22" spans="1:10" x14ac:dyDescent="0.25">
      <c r="A22" s="93" t="s">
        <v>48</v>
      </c>
      <c r="B22" t="s">
        <v>44</v>
      </c>
      <c r="C22">
        <v>124.9</v>
      </c>
      <c r="D22">
        <v>232.8</v>
      </c>
      <c r="E22">
        <v>0.1</v>
      </c>
      <c r="F22">
        <v>0.1</v>
      </c>
      <c r="G22">
        <v>0</v>
      </c>
      <c r="H22">
        <v>0</v>
      </c>
    </row>
    <row r="23" spans="1:10" x14ac:dyDescent="0.25">
      <c r="A23" s="93" t="s">
        <v>91</v>
      </c>
      <c r="B23" t="s">
        <v>44</v>
      </c>
      <c r="C23">
        <v>0</v>
      </c>
      <c r="D23">
        <v>60</v>
      </c>
      <c r="E23">
        <v>0</v>
      </c>
      <c r="F23">
        <v>0</v>
      </c>
      <c r="G23">
        <v>0</v>
      </c>
      <c r="H23">
        <v>0</v>
      </c>
      <c r="I23" s="183"/>
    </row>
    <row r="24" spans="1:10" x14ac:dyDescent="0.25">
      <c r="A24" s="93" t="s">
        <v>140</v>
      </c>
      <c r="B24" t="s">
        <v>44</v>
      </c>
      <c r="C24">
        <v>0</v>
      </c>
      <c r="D24">
        <v>0.8</v>
      </c>
      <c r="E24">
        <v>0</v>
      </c>
      <c r="F24">
        <v>0</v>
      </c>
      <c r="G24">
        <v>0</v>
      </c>
      <c r="H24">
        <v>0</v>
      </c>
      <c r="I24" s="183"/>
    </row>
    <row r="25" spans="1:10" x14ac:dyDescent="0.25">
      <c r="A25" s="93" t="s">
        <v>51</v>
      </c>
      <c r="B25" t="s">
        <v>44</v>
      </c>
      <c r="C25">
        <v>55</v>
      </c>
      <c r="D25">
        <v>0</v>
      </c>
      <c r="E25">
        <v>0.1</v>
      </c>
      <c r="F25">
        <v>0.1</v>
      </c>
      <c r="G25">
        <v>0</v>
      </c>
      <c r="H25">
        <v>0</v>
      </c>
      <c r="I25" s="183"/>
    </row>
    <row r="26" spans="1:10" x14ac:dyDescent="0.25">
      <c r="A26" s="93" t="s">
        <v>83</v>
      </c>
      <c r="B26" t="s">
        <v>44</v>
      </c>
      <c r="C26">
        <v>9.9</v>
      </c>
      <c r="D26">
        <v>60</v>
      </c>
      <c r="E26">
        <v>0</v>
      </c>
      <c r="F26">
        <v>0</v>
      </c>
      <c r="G26">
        <v>0</v>
      </c>
      <c r="H26">
        <v>0</v>
      </c>
    </row>
    <row r="27" spans="1:10" x14ac:dyDescent="0.25">
      <c r="A27" s="93" t="s">
        <v>52</v>
      </c>
      <c r="B27" t="s">
        <v>44</v>
      </c>
      <c r="C27">
        <v>60</v>
      </c>
      <c r="D27">
        <v>112</v>
      </c>
      <c r="E27">
        <v>0</v>
      </c>
      <c r="F27">
        <v>0</v>
      </c>
      <c r="G27">
        <v>0</v>
      </c>
      <c r="H27">
        <v>0</v>
      </c>
    </row>
    <row r="28" spans="1:10" x14ac:dyDescent="0.25">
      <c r="A28" s="93"/>
      <c r="B28" t="s">
        <v>44</v>
      </c>
    </row>
    <row r="29" spans="1:10" x14ac:dyDescent="0.25">
      <c r="A29" s="93" t="s">
        <v>53</v>
      </c>
      <c r="B29" t="s">
        <v>44</v>
      </c>
      <c r="C29">
        <v>66</v>
      </c>
      <c r="D29">
        <v>89</v>
      </c>
      <c r="E29">
        <v>0</v>
      </c>
      <c r="F29">
        <v>0</v>
      </c>
      <c r="G29">
        <v>0</v>
      </c>
      <c r="H29">
        <v>0</v>
      </c>
    </row>
    <row r="30" spans="1:10" x14ac:dyDescent="0.25">
      <c r="A30" s="93" t="s">
        <v>105</v>
      </c>
      <c r="B30" t="s">
        <v>44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10" x14ac:dyDescent="0.25">
      <c r="A31" s="93" t="s">
        <v>54</v>
      </c>
      <c r="B31" t="s">
        <v>44</v>
      </c>
      <c r="C31">
        <v>65</v>
      </c>
      <c r="D31">
        <v>89</v>
      </c>
      <c r="E31">
        <v>0</v>
      </c>
      <c r="F31">
        <v>0</v>
      </c>
      <c r="G31">
        <v>0</v>
      </c>
      <c r="H31">
        <v>0</v>
      </c>
      <c r="J31">
        <v>0</v>
      </c>
    </row>
    <row r="32" spans="1:10" x14ac:dyDescent="0.25">
      <c r="A32" s="93"/>
      <c r="B32" t="s">
        <v>44</v>
      </c>
    </row>
    <row r="33" spans="1:21" x14ac:dyDescent="0.25">
      <c r="A33" s="93" t="s">
        <v>102</v>
      </c>
      <c r="B33" t="s">
        <v>44</v>
      </c>
      <c r="C33">
        <v>120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21" ht="13.2" customHeight="1" x14ac:dyDescent="0.25">
      <c r="A34" s="93" t="s">
        <v>142</v>
      </c>
      <c r="B34" t="s">
        <v>44</v>
      </c>
      <c r="C34">
        <v>120</v>
      </c>
      <c r="D34">
        <v>0</v>
      </c>
      <c r="E34">
        <v>0</v>
      </c>
      <c r="F34">
        <v>0</v>
      </c>
      <c r="G34">
        <v>0</v>
      </c>
      <c r="H34">
        <v>0</v>
      </c>
      <c r="K34" s="92" t="s">
        <v>194</v>
      </c>
      <c r="L34" s="92"/>
      <c r="M34" s="92"/>
      <c r="N34" s="92"/>
      <c r="O34" s="92"/>
      <c r="P34" s="92"/>
      <c r="Q34" s="92"/>
      <c r="R34" s="92"/>
      <c r="S34" s="92"/>
    </row>
    <row r="35" spans="1:21" x14ac:dyDescent="0.25">
      <c r="A35" s="93"/>
      <c r="B35" t="s">
        <v>44</v>
      </c>
    </row>
    <row r="36" spans="1:21" x14ac:dyDescent="0.25">
      <c r="A36" s="93" t="s">
        <v>55</v>
      </c>
      <c r="B36" t="s">
        <v>44</v>
      </c>
      <c r="C36">
        <v>380.5</v>
      </c>
      <c r="D36">
        <v>397</v>
      </c>
      <c r="E36">
        <v>23.1</v>
      </c>
      <c r="F36">
        <v>60</v>
      </c>
      <c r="G36">
        <v>0</v>
      </c>
      <c r="H36">
        <v>0</v>
      </c>
    </row>
    <row r="37" spans="1:21" x14ac:dyDescent="0.25">
      <c r="A37" s="93"/>
      <c r="B37" t="s">
        <v>44</v>
      </c>
    </row>
    <row r="38" spans="1:21" x14ac:dyDescent="0.25">
      <c r="A38" s="93" t="s">
        <v>56</v>
      </c>
      <c r="B38" t="s">
        <v>44</v>
      </c>
      <c r="C38">
        <v>410.9</v>
      </c>
      <c r="D38">
        <v>327</v>
      </c>
      <c r="E38">
        <v>7.2</v>
      </c>
      <c r="F38">
        <v>30.2</v>
      </c>
      <c r="G38">
        <v>0</v>
      </c>
      <c r="H38">
        <v>0</v>
      </c>
    </row>
    <row r="39" spans="1:21" x14ac:dyDescent="0.25">
      <c r="A39" s="93"/>
      <c r="B39" t="s">
        <v>44</v>
      </c>
    </row>
    <row r="40" spans="1:21" ht="13.8" thickBot="1" x14ac:dyDescent="0.3">
      <c r="A40" s="93" t="s">
        <v>57</v>
      </c>
      <c r="B40" t="s">
        <v>44</v>
      </c>
      <c r="C40">
        <v>15033.8</v>
      </c>
      <c r="D40">
        <v>13061.3</v>
      </c>
      <c r="E40">
        <v>0.3</v>
      </c>
      <c r="F40">
        <v>295</v>
      </c>
      <c r="G40">
        <v>0</v>
      </c>
      <c r="H40">
        <v>0</v>
      </c>
      <c r="J40" s="77"/>
      <c r="K40" s="78">
        <v>27.215686274509803</v>
      </c>
      <c r="L40" s="79"/>
      <c r="M40" s="216" t="s">
        <v>134</v>
      </c>
      <c r="N40" s="216"/>
      <c r="O40" s="216"/>
      <c r="P40" s="217"/>
      <c r="Q40" s="217"/>
      <c r="R40" s="216"/>
      <c r="S40" s="216"/>
      <c r="T40" s="216"/>
      <c r="U40" s="216"/>
    </row>
    <row r="41" spans="1:21" x14ac:dyDescent="0.25">
      <c r="A41" s="93"/>
      <c r="B41" t="s">
        <v>44</v>
      </c>
      <c r="K41" s="79"/>
      <c r="L41" s="82" t="s">
        <v>139</v>
      </c>
      <c r="M41" s="79"/>
      <c r="N41" s="104" t="s">
        <v>136</v>
      </c>
      <c r="O41" s="108"/>
      <c r="P41" s="112" t="s">
        <v>195</v>
      </c>
      <c r="Q41" s="113" t="s">
        <v>206</v>
      </c>
      <c r="R41" s="110"/>
      <c r="S41" s="79"/>
      <c r="T41" s="79"/>
      <c r="U41" s="79"/>
    </row>
    <row r="42" spans="1:21" x14ac:dyDescent="0.25">
      <c r="A42" s="93" t="s">
        <v>58</v>
      </c>
      <c r="B42" t="s">
        <v>44</v>
      </c>
      <c r="C42">
        <v>566.6</v>
      </c>
      <c r="D42">
        <v>650.20000000000005</v>
      </c>
      <c r="E42">
        <v>66.900000000000006</v>
      </c>
      <c r="F42">
        <v>31.3</v>
      </c>
      <c r="G42">
        <v>0</v>
      </c>
      <c r="H42">
        <v>0</v>
      </c>
      <c r="K42" s="80" t="s">
        <v>135</v>
      </c>
      <c r="L42" s="83" t="s">
        <v>196</v>
      </c>
      <c r="M42" s="83"/>
      <c r="N42" s="105" t="s">
        <v>207</v>
      </c>
      <c r="O42" s="109"/>
      <c r="P42" s="114"/>
      <c r="Q42" s="114"/>
      <c r="R42" s="110"/>
      <c r="S42" s="79"/>
      <c r="T42" s="79"/>
      <c r="U42" s="79"/>
    </row>
    <row r="43" spans="1:21" x14ac:dyDescent="0.25">
      <c r="A43" s="93" t="s">
        <v>190</v>
      </c>
      <c r="B43" t="s">
        <v>44</v>
      </c>
      <c r="C43">
        <v>3.3</v>
      </c>
      <c r="D43">
        <v>0</v>
      </c>
      <c r="E43">
        <v>0</v>
      </c>
      <c r="F43">
        <v>0</v>
      </c>
      <c r="G43">
        <v>0</v>
      </c>
      <c r="H43">
        <v>0</v>
      </c>
      <c r="K43" s="79">
        <v>3250</v>
      </c>
      <c r="L43" s="79">
        <v>1907</v>
      </c>
      <c r="M43" s="79"/>
      <c r="N43" s="106">
        <v>1681</v>
      </c>
      <c r="O43" s="108"/>
      <c r="P43" s="115">
        <v>2550</v>
      </c>
      <c r="Q43" s="116">
        <v>4000</v>
      </c>
      <c r="R43" s="111" t="s">
        <v>210</v>
      </c>
      <c r="S43" s="79"/>
      <c r="T43" s="79"/>
      <c r="U43" s="79"/>
    </row>
    <row r="44" spans="1:21" x14ac:dyDescent="0.25">
      <c r="A44" s="93" t="s">
        <v>59</v>
      </c>
      <c r="B44" t="s">
        <v>44</v>
      </c>
      <c r="C44">
        <v>0.1</v>
      </c>
      <c r="D44">
        <v>0</v>
      </c>
      <c r="E44">
        <v>0</v>
      </c>
      <c r="F44">
        <v>0</v>
      </c>
      <c r="G44">
        <v>0</v>
      </c>
      <c r="H44">
        <v>0</v>
      </c>
      <c r="J44">
        <v>5500.8</v>
      </c>
      <c r="K44" s="79">
        <f>+K43/11.35</f>
        <v>286.34361233480178</v>
      </c>
      <c r="L44" s="79">
        <f>+L43/11.35</f>
        <v>168.01762114537445</v>
      </c>
      <c r="M44" s="79"/>
      <c r="N44" s="106">
        <f>+N43/11.35</f>
        <v>148.10572687224669</v>
      </c>
      <c r="O44" s="108"/>
      <c r="P44" s="115">
        <f>+P43/11.35</f>
        <v>224.66960352422907</v>
      </c>
      <c r="Q44" s="116">
        <f>+Q43/11.35</f>
        <v>352.42290748898682</v>
      </c>
      <c r="R44" s="111" t="s">
        <v>209</v>
      </c>
      <c r="S44" s="79"/>
      <c r="T44" s="79"/>
      <c r="U44" s="79"/>
    </row>
    <row r="45" spans="1:21" ht="13.8" thickBot="1" x14ac:dyDescent="0.3">
      <c r="A45" s="93" t="s">
        <v>60</v>
      </c>
      <c r="B45" t="s">
        <v>44</v>
      </c>
      <c r="C45">
        <v>228.7</v>
      </c>
      <c r="D45">
        <v>182</v>
      </c>
      <c r="E45">
        <v>44.4</v>
      </c>
      <c r="F45">
        <v>12.6</v>
      </c>
      <c r="G45">
        <v>0</v>
      </c>
      <c r="H45">
        <v>0</v>
      </c>
      <c r="K45" s="78">
        <f>+K44*$K$40</f>
        <v>7793.0379200138204</v>
      </c>
      <c r="L45" s="81">
        <f>+L44*$K$40</f>
        <v>4572.7148656819554</v>
      </c>
      <c r="M45" s="78"/>
      <c r="N45" s="107">
        <f>+N44*$K$40</f>
        <v>4030.798998013302</v>
      </c>
      <c r="O45" s="108"/>
      <c r="P45" s="117">
        <f>+P44*$K$40</f>
        <v>6114.5374449339206</v>
      </c>
      <c r="Q45" s="118">
        <f>+Q44*$K$40</f>
        <v>9591.4312861708568</v>
      </c>
      <c r="R45" s="111" t="s">
        <v>208</v>
      </c>
      <c r="S45" s="79"/>
      <c r="T45" s="79"/>
      <c r="U45" s="79"/>
    </row>
    <row r="46" spans="1:21" x14ac:dyDescent="0.25">
      <c r="A46" s="93" t="s">
        <v>61</v>
      </c>
      <c r="B46" t="s">
        <v>44</v>
      </c>
      <c r="C46">
        <v>9</v>
      </c>
      <c r="D46">
        <v>18</v>
      </c>
      <c r="E46">
        <v>0</v>
      </c>
      <c r="F46">
        <v>0</v>
      </c>
      <c r="G46">
        <v>0</v>
      </c>
      <c r="H46">
        <v>0</v>
      </c>
    </row>
    <row r="47" spans="1:21" x14ac:dyDescent="0.25">
      <c r="A47" s="93" t="s">
        <v>62</v>
      </c>
      <c r="B47" t="s">
        <v>44</v>
      </c>
      <c r="C47">
        <v>168.2</v>
      </c>
      <c r="D47">
        <v>75.400000000000006</v>
      </c>
      <c r="E47">
        <v>10.5</v>
      </c>
      <c r="F47">
        <v>0.8</v>
      </c>
      <c r="G47">
        <v>0</v>
      </c>
      <c r="H47" s="41">
        <v>0</v>
      </c>
      <c r="J47" s="76"/>
      <c r="K47">
        <v>1159</v>
      </c>
      <c r="L47">
        <f>+K47/36.743333</f>
        <v>31.543137363178239</v>
      </c>
    </row>
    <row r="48" spans="1:21" x14ac:dyDescent="0.25">
      <c r="A48" s="93" t="s">
        <v>354</v>
      </c>
      <c r="B48" t="s">
        <v>44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37" x14ac:dyDescent="0.25">
      <c r="A49" s="93" t="s">
        <v>63</v>
      </c>
      <c r="B49" t="s">
        <v>44</v>
      </c>
      <c r="C49">
        <v>55.9</v>
      </c>
      <c r="D49">
        <v>125.8</v>
      </c>
      <c r="E49">
        <v>5.7</v>
      </c>
      <c r="F49">
        <v>0.5</v>
      </c>
      <c r="G49">
        <v>0</v>
      </c>
      <c r="H49">
        <v>0</v>
      </c>
    </row>
    <row r="50" spans="1:37" x14ac:dyDescent="0.25">
      <c r="A50" s="93" t="s">
        <v>64</v>
      </c>
      <c r="B50" t="s">
        <v>44</v>
      </c>
      <c r="C50">
        <v>9.1</v>
      </c>
      <c r="D50">
        <v>3.8</v>
      </c>
      <c r="E50">
        <v>0.7</v>
      </c>
      <c r="F50">
        <v>0.1</v>
      </c>
      <c r="G50">
        <v>0</v>
      </c>
      <c r="H50">
        <v>0</v>
      </c>
      <c r="J50" s="5"/>
      <c r="L50" s="69" t="s">
        <v>41</v>
      </c>
    </row>
    <row r="51" spans="1:37" ht="15" x14ac:dyDescent="0.35">
      <c r="A51" s="93" t="s">
        <v>65</v>
      </c>
      <c r="B51" t="s">
        <v>44</v>
      </c>
      <c r="C51">
        <v>5.3</v>
      </c>
      <c r="D51">
        <v>1.6</v>
      </c>
      <c r="E51">
        <v>0.8</v>
      </c>
      <c r="F51">
        <v>2</v>
      </c>
      <c r="G51">
        <v>0</v>
      </c>
      <c r="H51">
        <v>0</v>
      </c>
      <c r="L51" s="69" t="s">
        <v>117</v>
      </c>
      <c r="M51" t="s">
        <v>118</v>
      </c>
      <c r="N51" t="s">
        <v>119</v>
      </c>
      <c r="O51" t="s">
        <v>120</v>
      </c>
      <c r="P51" t="s">
        <v>121</v>
      </c>
      <c r="Q51" t="s">
        <v>122</v>
      </c>
      <c r="S51" s="85" t="s">
        <v>41</v>
      </c>
      <c r="Z51" s="85" t="s">
        <v>155</v>
      </c>
      <c r="AA51" t="s">
        <v>156</v>
      </c>
      <c r="AB51" t="s">
        <v>157</v>
      </c>
      <c r="AC51" t="s">
        <v>158</v>
      </c>
      <c r="AD51" t="s">
        <v>159</v>
      </c>
      <c r="AE51" t="s">
        <v>160</v>
      </c>
      <c r="AF51" t="s">
        <v>161</v>
      </c>
      <c r="AG51" t="s">
        <v>162</v>
      </c>
    </row>
    <row r="52" spans="1:37" ht="15" x14ac:dyDescent="0.35">
      <c r="A52" s="93" t="s">
        <v>66</v>
      </c>
      <c r="B52" t="s">
        <v>44</v>
      </c>
      <c r="C52">
        <v>0</v>
      </c>
      <c r="D52">
        <v>27</v>
      </c>
      <c r="E52">
        <v>0</v>
      </c>
      <c r="F52">
        <v>0</v>
      </c>
      <c r="G52">
        <v>0</v>
      </c>
      <c r="H52">
        <v>0</v>
      </c>
      <c r="L52" s="69" t="s">
        <v>46</v>
      </c>
      <c r="M52" t="s">
        <v>123</v>
      </c>
      <c r="N52" t="s">
        <v>124</v>
      </c>
      <c r="O52" t="s">
        <v>125</v>
      </c>
      <c r="P52" s="17">
        <v>39691</v>
      </c>
      <c r="S52" s="85" t="s">
        <v>146</v>
      </c>
      <c r="T52" t="s">
        <v>147</v>
      </c>
      <c r="U52" t="s">
        <v>119</v>
      </c>
      <c r="V52" t="s">
        <v>120</v>
      </c>
      <c r="W52" t="s">
        <v>121</v>
      </c>
      <c r="X52" t="s">
        <v>122</v>
      </c>
      <c r="Z52" s="85"/>
      <c r="AB52" t="s">
        <v>163</v>
      </c>
      <c r="AC52" t="s">
        <v>164</v>
      </c>
      <c r="AD52" t="s">
        <v>165</v>
      </c>
      <c r="AE52" t="s">
        <v>166</v>
      </c>
      <c r="AF52" t="s">
        <v>167</v>
      </c>
      <c r="AG52" t="s">
        <v>168</v>
      </c>
      <c r="AH52" t="s">
        <v>169</v>
      </c>
      <c r="AI52" s="86">
        <v>40026</v>
      </c>
    </row>
    <row r="53" spans="1:37" ht="15" x14ac:dyDescent="0.35">
      <c r="A53" s="93" t="s">
        <v>67</v>
      </c>
      <c r="B53" t="s">
        <v>44</v>
      </c>
      <c r="C53">
        <v>52</v>
      </c>
      <c r="D53">
        <v>121.9</v>
      </c>
      <c r="E53">
        <v>0.4</v>
      </c>
      <c r="F53">
        <v>9.9</v>
      </c>
      <c r="G53">
        <v>0</v>
      </c>
      <c r="H53">
        <v>0</v>
      </c>
      <c r="L53" s="69" t="s">
        <v>42</v>
      </c>
      <c r="S53" s="85" t="s">
        <v>148</v>
      </c>
      <c r="T53" t="s">
        <v>149</v>
      </c>
      <c r="U53" t="s">
        <v>124</v>
      </c>
      <c r="V53" t="s">
        <v>125</v>
      </c>
      <c r="W53" s="17">
        <v>40056</v>
      </c>
      <c r="Z53" s="85"/>
      <c r="AC53" t="s">
        <v>170</v>
      </c>
      <c r="AD53" t="s">
        <v>171</v>
      </c>
      <c r="AE53" t="s">
        <v>172</v>
      </c>
      <c r="AF53" t="s">
        <v>173</v>
      </c>
      <c r="AG53" t="s">
        <v>174</v>
      </c>
      <c r="AH53" t="s">
        <v>175</v>
      </c>
    </row>
    <row r="54" spans="1:37" ht="15" x14ac:dyDescent="0.35">
      <c r="A54" s="93" t="s">
        <v>68</v>
      </c>
      <c r="B54" t="s">
        <v>44</v>
      </c>
      <c r="C54">
        <v>35</v>
      </c>
      <c r="D54">
        <v>94.8</v>
      </c>
      <c r="E54">
        <v>4.3</v>
      </c>
      <c r="F54">
        <v>5.4</v>
      </c>
      <c r="G54">
        <v>0</v>
      </c>
      <c r="H54">
        <v>0</v>
      </c>
      <c r="L54" s="69" t="s">
        <v>126</v>
      </c>
      <c r="M54" t="s">
        <v>116</v>
      </c>
      <c r="N54" t="s">
        <v>98</v>
      </c>
      <c r="O54" t="s">
        <v>115</v>
      </c>
      <c r="P54" t="s">
        <v>127</v>
      </c>
      <c r="Q54" t="s">
        <v>95</v>
      </c>
      <c r="R54" t="s">
        <v>128</v>
      </c>
      <c r="S54" s="85" t="s">
        <v>42</v>
      </c>
      <c r="Z54" s="85"/>
      <c r="AD54" t="s">
        <v>176</v>
      </c>
      <c r="AE54" t="s">
        <v>177</v>
      </c>
      <c r="AF54" t="s">
        <v>178</v>
      </c>
      <c r="AG54" t="s">
        <v>179</v>
      </c>
    </row>
    <row r="55" spans="1:37" ht="15" x14ac:dyDescent="0.35">
      <c r="A55" s="93"/>
      <c r="B55" t="s">
        <v>44</v>
      </c>
      <c r="L55" s="69"/>
      <c r="M55" t="s">
        <v>44</v>
      </c>
      <c r="N55" t="s">
        <v>129</v>
      </c>
      <c r="O55" t="s">
        <v>130</v>
      </c>
      <c r="P55" t="s">
        <v>131</v>
      </c>
      <c r="Q55" t="s">
        <v>114</v>
      </c>
      <c r="S55" s="85" t="s">
        <v>150</v>
      </c>
      <c r="T55" t="s">
        <v>43</v>
      </c>
      <c r="U55" t="s">
        <v>98</v>
      </c>
      <c r="V55" t="s">
        <v>115</v>
      </c>
      <c r="W55" t="s">
        <v>127</v>
      </c>
      <c r="X55" t="s">
        <v>151</v>
      </c>
      <c r="Y55" t="s">
        <v>152</v>
      </c>
    </row>
    <row r="56" spans="1:37" ht="15" x14ac:dyDescent="0.35">
      <c r="A56" s="93" t="s">
        <v>69</v>
      </c>
      <c r="B56" t="s">
        <v>44</v>
      </c>
      <c r="C56">
        <v>150</v>
      </c>
      <c r="D56">
        <v>161.5</v>
      </c>
      <c r="E56">
        <v>0</v>
      </c>
      <c r="F56">
        <v>66</v>
      </c>
      <c r="G56">
        <v>0</v>
      </c>
      <c r="H56">
        <v>0</v>
      </c>
      <c r="L56" s="69"/>
      <c r="M56" t="s">
        <v>44</v>
      </c>
      <c r="N56" t="s">
        <v>98</v>
      </c>
      <c r="O56" t="s">
        <v>115</v>
      </c>
      <c r="P56" t="s">
        <v>127</v>
      </c>
      <c r="Q56" t="s">
        <v>95</v>
      </c>
      <c r="R56" t="s">
        <v>128</v>
      </c>
      <c r="S56" s="85"/>
      <c r="T56" t="s">
        <v>44</v>
      </c>
      <c r="U56" t="s">
        <v>129</v>
      </c>
      <c r="V56" t="s">
        <v>130</v>
      </c>
      <c r="W56" t="s">
        <v>131</v>
      </c>
      <c r="X56" t="s">
        <v>114</v>
      </c>
      <c r="Z56" s="85"/>
      <c r="AB56" t="s">
        <v>180</v>
      </c>
      <c r="AC56">
        <v>2009</v>
      </c>
      <c r="AD56" t="s">
        <v>181</v>
      </c>
      <c r="AE56">
        <v>2008</v>
      </c>
      <c r="AF56" t="s">
        <v>182</v>
      </c>
      <c r="AG56">
        <v>2007</v>
      </c>
      <c r="AH56" t="s">
        <v>183</v>
      </c>
      <c r="AI56">
        <v>2006</v>
      </c>
      <c r="AJ56" t="s">
        <v>184</v>
      </c>
      <c r="AK56">
        <v>2005</v>
      </c>
    </row>
    <row r="57" spans="1:37" ht="15" x14ac:dyDescent="0.35">
      <c r="A57" s="93" t="s">
        <v>70</v>
      </c>
      <c r="B57" t="s">
        <v>44</v>
      </c>
      <c r="C57">
        <v>120</v>
      </c>
      <c r="D57">
        <v>146.5</v>
      </c>
      <c r="E57">
        <v>0</v>
      </c>
      <c r="F57">
        <v>66</v>
      </c>
      <c r="G57">
        <v>0</v>
      </c>
      <c r="H57">
        <v>0</v>
      </c>
      <c r="J57" s="5"/>
      <c r="L57" s="69" t="s">
        <v>47</v>
      </c>
      <c r="M57" t="s">
        <v>44</v>
      </c>
      <c r="N57" t="s">
        <v>46</v>
      </c>
      <c r="O57" t="s">
        <v>132</v>
      </c>
      <c r="P57" t="s">
        <v>133</v>
      </c>
      <c r="Q57" t="s">
        <v>31</v>
      </c>
      <c r="S57" s="85"/>
      <c r="T57" t="s">
        <v>44</v>
      </c>
      <c r="U57" t="s">
        <v>98</v>
      </c>
      <c r="V57" t="s">
        <v>115</v>
      </c>
      <c r="W57" t="s">
        <v>127</v>
      </c>
      <c r="X57" t="s">
        <v>151</v>
      </c>
      <c r="Y57" t="s">
        <v>152</v>
      </c>
      <c r="Z57" s="85" t="s">
        <v>185</v>
      </c>
      <c r="AB57" t="s">
        <v>114</v>
      </c>
      <c r="AC57" t="s">
        <v>186</v>
      </c>
      <c r="AD57" t="s">
        <v>114</v>
      </c>
      <c r="AE57" t="s">
        <v>186</v>
      </c>
      <c r="AF57" t="s">
        <v>114</v>
      </c>
      <c r="AG57" t="s">
        <v>186</v>
      </c>
      <c r="AH57" t="s">
        <v>114</v>
      </c>
      <c r="AI57" t="s">
        <v>186</v>
      </c>
      <c r="AJ57" t="s">
        <v>114</v>
      </c>
      <c r="AK57" t="s">
        <v>186</v>
      </c>
    </row>
    <row r="58" spans="1:37" ht="15" x14ac:dyDescent="0.35">
      <c r="A58" s="93" t="s">
        <v>71</v>
      </c>
      <c r="B58" t="s">
        <v>44</v>
      </c>
      <c r="C58">
        <v>0</v>
      </c>
      <c r="D58">
        <v>15</v>
      </c>
      <c r="E58">
        <v>0</v>
      </c>
      <c r="F58">
        <v>0</v>
      </c>
      <c r="G58">
        <v>0</v>
      </c>
      <c r="H58">
        <v>0</v>
      </c>
      <c r="J58" s="42"/>
      <c r="L58" s="69" t="s">
        <v>126</v>
      </c>
      <c r="M58" t="s">
        <v>116</v>
      </c>
      <c r="N58" t="s">
        <v>98</v>
      </c>
      <c r="O58" t="s">
        <v>115</v>
      </c>
      <c r="P58" t="s">
        <v>127</v>
      </c>
      <c r="Q58" t="s">
        <v>95</v>
      </c>
      <c r="R58" t="s">
        <v>128</v>
      </c>
      <c r="S58" s="85" t="s">
        <v>47</v>
      </c>
      <c r="T58" t="s">
        <v>44</v>
      </c>
      <c r="U58" t="s">
        <v>110</v>
      </c>
      <c r="V58" t="s">
        <v>153</v>
      </c>
      <c r="W58" t="s">
        <v>154</v>
      </c>
      <c r="X58" t="s">
        <v>46</v>
      </c>
      <c r="Z58" s="85" t="s">
        <v>98</v>
      </c>
      <c r="AA58" t="s">
        <v>187</v>
      </c>
      <c r="AB58" t="s">
        <v>95</v>
      </c>
      <c r="AC58" t="s">
        <v>128</v>
      </c>
      <c r="AD58" t="s">
        <v>95</v>
      </c>
      <c r="AE58" t="s">
        <v>128</v>
      </c>
      <c r="AF58" t="s">
        <v>95</v>
      </c>
      <c r="AG58" t="s">
        <v>128</v>
      </c>
      <c r="AH58" t="s">
        <v>95</v>
      </c>
      <c r="AI58" t="s">
        <v>188</v>
      </c>
      <c r="AJ58" t="s">
        <v>98</v>
      </c>
      <c r="AK58" t="s">
        <v>128</v>
      </c>
    </row>
    <row r="59" spans="1:37" ht="15" x14ac:dyDescent="0.35">
      <c r="A59" s="93" t="s">
        <v>144</v>
      </c>
      <c r="B59" t="s">
        <v>44</v>
      </c>
      <c r="C59">
        <v>30</v>
      </c>
      <c r="D59">
        <v>0</v>
      </c>
      <c r="E59">
        <v>0</v>
      </c>
      <c r="F59">
        <v>0</v>
      </c>
      <c r="G59">
        <v>0</v>
      </c>
      <c r="H59">
        <v>0</v>
      </c>
      <c r="L59" s="69"/>
      <c r="M59" t="s">
        <v>44</v>
      </c>
      <c r="S59" s="85" t="s">
        <v>150</v>
      </c>
      <c r="T59" t="s">
        <v>43</v>
      </c>
      <c r="U59" t="s">
        <v>98</v>
      </c>
      <c r="V59" t="s">
        <v>115</v>
      </c>
      <c r="W59" t="s">
        <v>127</v>
      </c>
      <c r="X59" t="s">
        <v>151</v>
      </c>
      <c r="Y59" t="s">
        <v>152</v>
      </c>
      <c r="Z59" s="85" t="s">
        <v>57</v>
      </c>
      <c r="AA59" t="s">
        <v>44</v>
      </c>
      <c r="AB59" s="57">
        <v>18681.3</v>
      </c>
      <c r="AC59">
        <v>1</v>
      </c>
      <c r="AD59">
        <v>13353.3</v>
      </c>
      <c r="AE59">
        <v>1</v>
      </c>
      <c r="AF59">
        <v>11454.6</v>
      </c>
      <c r="AG59">
        <v>1</v>
      </c>
      <c r="AH59">
        <v>9706.2999999999993</v>
      </c>
      <c r="AI59">
        <v>1</v>
      </c>
      <c r="AJ59">
        <v>11850.5</v>
      </c>
      <c r="AK59">
        <v>1</v>
      </c>
    </row>
    <row r="60" spans="1:37" ht="15" x14ac:dyDescent="0.35">
      <c r="A60" s="93"/>
      <c r="B60" t="s">
        <v>44</v>
      </c>
      <c r="J60" s="5"/>
      <c r="L60" s="69" t="s">
        <v>48</v>
      </c>
      <c r="M60" t="s">
        <v>44</v>
      </c>
      <c r="N60">
        <v>0</v>
      </c>
      <c r="O60" t="s">
        <v>112</v>
      </c>
      <c r="P60">
        <v>3895.6</v>
      </c>
      <c r="Q60">
        <v>3615.2</v>
      </c>
      <c r="S60" s="85"/>
      <c r="T60" t="s">
        <v>44</v>
      </c>
      <c r="AB60" s="57"/>
    </row>
    <row r="61" spans="1:37" ht="15" x14ac:dyDescent="0.35">
      <c r="A61" s="93" t="s">
        <v>72</v>
      </c>
      <c r="B61" t="s">
        <v>44</v>
      </c>
      <c r="C61">
        <v>836.2</v>
      </c>
      <c r="D61">
        <v>923.8</v>
      </c>
      <c r="E61">
        <v>36.799999999999997</v>
      </c>
      <c r="F61">
        <v>64.099999999999994</v>
      </c>
      <c r="G61">
        <v>0</v>
      </c>
      <c r="H61">
        <v>0</v>
      </c>
      <c r="J61" s="5"/>
      <c r="L61" s="69" t="s">
        <v>49</v>
      </c>
      <c r="M61" t="s">
        <v>44</v>
      </c>
      <c r="N61">
        <v>0</v>
      </c>
      <c r="O61">
        <v>0</v>
      </c>
      <c r="P61">
        <v>194.2</v>
      </c>
      <c r="Q61">
        <v>228.3</v>
      </c>
      <c r="S61" s="85" t="s">
        <v>48</v>
      </c>
      <c r="T61" t="s">
        <v>44</v>
      </c>
      <c r="U61">
        <v>6</v>
      </c>
      <c r="V61">
        <v>0</v>
      </c>
      <c r="W61">
        <v>2179.6</v>
      </c>
      <c r="X61">
        <v>3895.6</v>
      </c>
      <c r="Z61" s="85" t="s">
        <v>79</v>
      </c>
      <c r="AA61" t="s">
        <v>44</v>
      </c>
      <c r="AB61" s="57">
        <v>3097.8</v>
      </c>
      <c r="AC61">
        <v>2</v>
      </c>
      <c r="AD61">
        <v>3575</v>
      </c>
      <c r="AE61">
        <v>2</v>
      </c>
      <c r="AF61">
        <v>3853.5</v>
      </c>
      <c r="AG61">
        <v>2</v>
      </c>
      <c r="AH61">
        <v>3594</v>
      </c>
      <c r="AI61">
        <v>2</v>
      </c>
      <c r="AJ61">
        <v>3456.3</v>
      </c>
      <c r="AK61">
        <v>2</v>
      </c>
    </row>
    <row r="62" spans="1:37" ht="15" x14ac:dyDescent="0.35">
      <c r="A62" s="93" t="s">
        <v>73</v>
      </c>
      <c r="B62" t="s">
        <v>44</v>
      </c>
      <c r="C62">
        <v>3.7</v>
      </c>
      <c r="D62">
        <v>4</v>
      </c>
      <c r="E62">
        <v>3.5</v>
      </c>
      <c r="F62">
        <v>0</v>
      </c>
      <c r="G62">
        <v>0</v>
      </c>
      <c r="H62">
        <v>0</v>
      </c>
      <c r="L62" s="69" t="s">
        <v>50</v>
      </c>
      <c r="M62" t="s">
        <v>44</v>
      </c>
      <c r="N62">
        <v>0</v>
      </c>
      <c r="O62">
        <v>0</v>
      </c>
      <c r="P62">
        <v>0</v>
      </c>
      <c r="Q62">
        <v>74.099999999999994</v>
      </c>
      <c r="S62" s="85" t="s">
        <v>49</v>
      </c>
      <c r="T62" t="s">
        <v>44</v>
      </c>
      <c r="U62">
        <v>0</v>
      </c>
      <c r="V62">
        <v>0</v>
      </c>
      <c r="W62">
        <v>0</v>
      </c>
      <c r="X62">
        <v>194.2</v>
      </c>
      <c r="AB62" s="57"/>
    </row>
    <row r="63" spans="1:37" ht="15" x14ac:dyDescent="0.35">
      <c r="A63" s="93" t="s">
        <v>74</v>
      </c>
      <c r="B63" t="s">
        <v>44</v>
      </c>
      <c r="C63">
        <v>45.5</v>
      </c>
      <c r="D63">
        <v>84</v>
      </c>
      <c r="E63">
        <v>0</v>
      </c>
      <c r="F63">
        <v>18</v>
      </c>
      <c r="G63">
        <v>0</v>
      </c>
      <c r="H63">
        <v>0</v>
      </c>
      <c r="L63" s="69" t="s">
        <v>99</v>
      </c>
      <c r="M63" t="s">
        <v>44</v>
      </c>
      <c r="N63">
        <v>0</v>
      </c>
      <c r="O63">
        <v>0</v>
      </c>
      <c r="P63">
        <v>0</v>
      </c>
      <c r="Q63">
        <v>2.5</v>
      </c>
      <c r="S63" s="85" t="s">
        <v>99</v>
      </c>
      <c r="T63" t="s">
        <v>44</v>
      </c>
      <c r="U63">
        <v>0</v>
      </c>
      <c r="V63">
        <v>0</v>
      </c>
      <c r="W63">
        <v>0.2</v>
      </c>
      <c r="X63">
        <v>0</v>
      </c>
      <c r="Z63" s="85" t="s">
        <v>55</v>
      </c>
      <c r="AA63" t="s">
        <v>44</v>
      </c>
      <c r="AB63" s="57">
        <v>2410</v>
      </c>
      <c r="AC63">
        <v>3</v>
      </c>
      <c r="AD63">
        <v>2709.4</v>
      </c>
      <c r="AE63">
        <v>3</v>
      </c>
      <c r="AF63">
        <v>3158.7</v>
      </c>
      <c r="AG63">
        <v>3</v>
      </c>
      <c r="AH63">
        <v>3018.8</v>
      </c>
      <c r="AI63">
        <v>3</v>
      </c>
      <c r="AJ63">
        <v>3121.6</v>
      </c>
      <c r="AK63">
        <v>3</v>
      </c>
    </row>
    <row r="64" spans="1:37" ht="15" x14ac:dyDescent="0.35">
      <c r="A64" s="93" t="s">
        <v>75</v>
      </c>
      <c r="B64" t="s">
        <v>44</v>
      </c>
      <c r="C64">
        <v>78.900000000000006</v>
      </c>
      <c r="D64">
        <v>93.1</v>
      </c>
      <c r="E64">
        <v>1.7</v>
      </c>
      <c r="F64">
        <v>0.5</v>
      </c>
      <c r="G64">
        <v>0</v>
      </c>
      <c r="H64">
        <v>0</v>
      </c>
      <c r="L64" s="69" t="s">
        <v>91</v>
      </c>
      <c r="M64" t="s">
        <v>44</v>
      </c>
      <c r="N64">
        <v>0</v>
      </c>
      <c r="O64">
        <v>0</v>
      </c>
      <c r="P64">
        <v>122.9</v>
      </c>
      <c r="Q64">
        <v>170.2</v>
      </c>
      <c r="S64" s="85" t="s">
        <v>91</v>
      </c>
      <c r="T64" t="s">
        <v>44</v>
      </c>
      <c r="U64">
        <v>0</v>
      </c>
      <c r="V64">
        <v>0</v>
      </c>
      <c r="W64">
        <v>60.9</v>
      </c>
      <c r="X64">
        <v>122.9</v>
      </c>
      <c r="AB64" s="57"/>
    </row>
    <row r="65" spans="1:37" ht="15" x14ac:dyDescent="0.35">
      <c r="A65" s="93" t="s">
        <v>76</v>
      </c>
      <c r="B65" t="s">
        <v>44</v>
      </c>
      <c r="C65">
        <v>22.6</v>
      </c>
      <c r="D65">
        <v>44.5</v>
      </c>
      <c r="E65">
        <v>4.4000000000000004</v>
      </c>
      <c r="F65">
        <v>11.1</v>
      </c>
      <c r="G65">
        <v>0</v>
      </c>
      <c r="H65">
        <v>0</v>
      </c>
      <c r="L65" s="69" t="s">
        <v>82</v>
      </c>
      <c r="M65" t="s">
        <v>44</v>
      </c>
      <c r="N65">
        <v>0</v>
      </c>
      <c r="O65">
        <v>0</v>
      </c>
      <c r="P65">
        <v>1235.5</v>
      </c>
      <c r="Q65">
        <v>1045.8</v>
      </c>
      <c r="S65" s="85" t="s">
        <v>82</v>
      </c>
      <c r="T65" t="s">
        <v>44</v>
      </c>
      <c r="U65">
        <v>0</v>
      </c>
      <c r="V65">
        <v>0</v>
      </c>
      <c r="W65">
        <v>706.7</v>
      </c>
      <c r="X65">
        <v>1235.5</v>
      </c>
      <c r="Z65" s="85" t="s">
        <v>56</v>
      </c>
      <c r="AA65" t="s">
        <v>44</v>
      </c>
      <c r="AB65" s="57">
        <v>1592</v>
      </c>
      <c r="AC65">
        <v>4</v>
      </c>
      <c r="AD65">
        <v>1732.8</v>
      </c>
      <c r="AE65">
        <v>4</v>
      </c>
      <c r="AF65">
        <v>1942</v>
      </c>
      <c r="AG65">
        <v>4</v>
      </c>
      <c r="AH65">
        <v>1850.3</v>
      </c>
      <c r="AI65">
        <v>4</v>
      </c>
      <c r="AJ65">
        <v>1525.4</v>
      </c>
      <c r="AK65">
        <v>5</v>
      </c>
    </row>
    <row r="66" spans="1:37" ht="15" x14ac:dyDescent="0.35">
      <c r="A66" s="93" t="s">
        <v>77</v>
      </c>
      <c r="B66" t="s">
        <v>44</v>
      </c>
      <c r="C66">
        <v>4.3</v>
      </c>
      <c r="D66">
        <v>21</v>
      </c>
      <c r="E66">
        <v>0</v>
      </c>
      <c r="F66">
        <v>0</v>
      </c>
      <c r="G66">
        <v>0</v>
      </c>
      <c r="H66">
        <v>0</v>
      </c>
      <c r="L66" s="69" t="s">
        <v>101</v>
      </c>
      <c r="M66" t="s">
        <v>44</v>
      </c>
      <c r="N66">
        <v>0</v>
      </c>
      <c r="O66">
        <v>0</v>
      </c>
      <c r="P66">
        <v>65.8</v>
      </c>
      <c r="Q66">
        <v>0</v>
      </c>
      <c r="S66" s="85" t="s">
        <v>101</v>
      </c>
      <c r="T66" t="s">
        <v>44</v>
      </c>
      <c r="U66">
        <v>0</v>
      </c>
      <c r="V66">
        <v>0</v>
      </c>
      <c r="W66">
        <v>15</v>
      </c>
      <c r="X66">
        <v>65.8</v>
      </c>
      <c r="AB66" s="57"/>
    </row>
    <row r="67" spans="1:37" ht="15" x14ac:dyDescent="0.35">
      <c r="A67" s="93" t="s">
        <v>78</v>
      </c>
      <c r="B67" t="s">
        <v>44</v>
      </c>
      <c r="C67">
        <v>2</v>
      </c>
      <c r="D67">
        <v>3.3</v>
      </c>
      <c r="E67">
        <v>0</v>
      </c>
      <c r="F67">
        <v>0</v>
      </c>
      <c r="G67">
        <v>0</v>
      </c>
      <c r="H67">
        <v>0</v>
      </c>
      <c r="L67" s="69" t="s">
        <v>51</v>
      </c>
      <c r="M67" t="s">
        <v>44</v>
      </c>
      <c r="N67">
        <v>0</v>
      </c>
      <c r="O67" t="s">
        <v>112</v>
      </c>
      <c r="P67">
        <v>180</v>
      </c>
      <c r="Q67">
        <v>35.700000000000003</v>
      </c>
      <c r="S67" s="85" t="s">
        <v>140</v>
      </c>
      <c r="T67" t="s">
        <v>44</v>
      </c>
      <c r="U67">
        <v>6</v>
      </c>
      <c r="V67">
        <v>0</v>
      </c>
      <c r="W67">
        <v>5</v>
      </c>
      <c r="X67">
        <v>0</v>
      </c>
      <c r="Z67" s="85" t="s">
        <v>60</v>
      </c>
      <c r="AA67" t="s">
        <v>44</v>
      </c>
      <c r="AB67" s="57">
        <v>1340.4</v>
      </c>
      <c r="AC67">
        <v>5</v>
      </c>
      <c r="AD67">
        <v>1068</v>
      </c>
      <c r="AE67">
        <v>7</v>
      </c>
      <c r="AF67">
        <v>1454.3</v>
      </c>
      <c r="AG67">
        <v>5</v>
      </c>
      <c r="AH67">
        <v>1211.0999999999999</v>
      </c>
      <c r="AI67">
        <v>5</v>
      </c>
      <c r="AJ67">
        <v>959.5</v>
      </c>
      <c r="AK67">
        <v>6</v>
      </c>
    </row>
    <row r="68" spans="1:37" ht="15" x14ac:dyDescent="0.35">
      <c r="A68" s="93" t="s">
        <v>79</v>
      </c>
      <c r="B68" t="s">
        <v>44</v>
      </c>
      <c r="C68">
        <v>675.1</v>
      </c>
      <c r="D68">
        <v>653.9</v>
      </c>
      <c r="E68">
        <v>27.2</v>
      </c>
      <c r="F68">
        <v>34.5</v>
      </c>
      <c r="G68">
        <v>0</v>
      </c>
      <c r="H68">
        <v>0</v>
      </c>
      <c r="L68" s="69" t="s">
        <v>83</v>
      </c>
      <c r="M68" t="s">
        <v>44</v>
      </c>
      <c r="N68">
        <v>0</v>
      </c>
      <c r="O68">
        <v>0</v>
      </c>
      <c r="P68">
        <v>1176.7</v>
      </c>
      <c r="Q68">
        <v>1442.2</v>
      </c>
      <c r="S68" s="85" t="s">
        <v>51</v>
      </c>
      <c r="T68" t="s">
        <v>44</v>
      </c>
      <c r="U68">
        <v>0</v>
      </c>
      <c r="V68">
        <v>0</v>
      </c>
      <c r="W68">
        <v>60.7</v>
      </c>
      <c r="X68">
        <v>180</v>
      </c>
      <c r="AB68" s="57"/>
    </row>
    <row r="69" spans="1:37" ht="15" x14ac:dyDescent="0.35">
      <c r="A69" s="93" t="s">
        <v>86</v>
      </c>
      <c r="B69" t="s">
        <v>44</v>
      </c>
      <c r="C69">
        <v>4.2</v>
      </c>
      <c r="D69">
        <v>20</v>
      </c>
      <c r="E69">
        <v>0</v>
      </c>
      <c r="F69">
        <v>0</v>
      </c>
      <c r="G69">
        <v>0</v>
      </c>
      <c r="H69">
        <v>0</v>
      </c>
      <c r="L69" s="69" t="s">
        <v>113</v>
      </c>
      <c r="M69" t="s">
        <v>44</v>
      </c>
      <c r="N69">
        <v>0</v>
      </c>
      <c r="O69">
        <v>0</v>
      </c>
      <c r="P69" t="s">
        <v>112</v>
      </c>
      <c r="Q69">
        <v>0</v>
      </c>
      <c r="S69" s="85" t="s">
        <v>83</v>
      </c>
      <c r="T69" t="s">
        <v>44</v>
      </c>
      <c r="U69">
        <v>0</v>
      </c>
      <c r="V69">
        <v>0</v>
      </c>
      <c r="W69">
        <v>884.9</v>
      </c>
      <c r="X69">
        <v>1176.7</v>
      </c>
      <c r="Z69" s="85" t="s">
        <v>70</v>
      </c>
      <c r="AA69" t="s">
        <v>44</v>
      </c>
      <c r="AB69" s="57">
        <v>1116.9000000000001</v>
      </c>
      <c r="AC69">
        <v>6</v>
      </c>
      <c r="AD69">
        <v>845.5</v>
      </c>
      <c r="AE69">
        <v>8</v>
      </c>
      <c r="AF69">
        <v>763.2</v>
      </c>
      <c r="AG69">
        <v>8</v>
      </c>
      <c r="AH69">
        <v>549.20000000000005</v>
      </c>
      <c r="AI69">
        <v>8</v>
      </c>
      <c r="AJ69">
        <v>452.9</v>
      </c>
      <c r="AK69">
        <v>12</v>
      </c>
    </row>
    <row r="70" spans="1:37" ht="15" x14ac:dyDescent="0.35">
      <c r="A70" s="93" t="s">
        <v>325</v>
      </c>
      <c r="B70" t="s">
        <v>43</v>
      </c>
      <c r="C70" t="s">
        <v>98</v>
      </c>
      <c r="D70" t="s">
        <v>95</v>
      </c>
      <c r="E70" t="s">
        <v>115</v>
      </c>
      <c r="F70" t="s">
        <v>98</v>
      </c>
      <c r="G70" t="s">
        <v>151</v>
      </c>
      <c r="H70" t="s">
        <v>115</v>
      </c>
      <c r="L70" s="69" t="s">
        <v>93</v>
      </c>
      <c r="M70" t="s">
        <v>44</v>
      </c>
      <c r="N70">
        <v>0</v>
      </c>
      <c r="O70">
        <v>0</v>
      </c>
      <c r="P70">
        <v>396.3</v>
      </c>
      <c r="Q70">
        <v>183.7</v>
      </c>
      <c r="S70" s="85" t="s">
        <v>113</v>
      </c>
      <c r="T70" t="s">
        <v>44</v>
      </c>
      <c r="U70">
        <v>0</v>
      </c>
      <c r="V70">
        <v>0</v>
      </c>
      <c r="W70">
        <v>0</v>
      </c>
      <c r="X70" t="s">
        <v>112</v>
      </c>
      <c r="AB70" s="57"/>
    </row>
    <row r="71" spans="1:37" ht="15" x14ac:dyDescent="0.35">
      <c r="A71" s="93" t="s">
        <v>80</v>
      </c>
      <c r="B71" t="s">
        <v>44</v>
      </c>
      <c r="C71">
        <v>17688.900000000001</v>
      </c>
      <c r="D71">
        <v>15842.6</v>
      </c>
      <c r="E71">
        <v>134.30000000000001</v>
      </c>
      <c r="F71">
        <v>546.70000000000005</v>
      </c>
      <c r="G71">
        <v>0</v>
      </c>
      <c r="H71">
        <v>0</v>
      </c>
      <c r="L71" s="69" t="s">
        <v>85</v>
      </c>
      <c r="M71" t="s">
        <v>44</v>
      </c>
      <c r="N71">
        <v>0</v>
      </c>
      <c r="O71">
        <v>0</v>
      </c>
      <c r="P71">
        <v>521.70000000000005</v>
      </c>
      <c r="Q71">
        <v>368.7</v>
      </c>
      <c r="S71" s="85" t="s">
        <v>93</v>
      </c>
      <c r="T71" t="s">
        <v>44</v>
      </c>
      <c r="U71">
        <v>0</v>
      </c>
      <c r="V71">
        <v>0</v>
      </c>
      <c r="W71">
        <v>81.3</v>
      </c>
      <c r="X71">
        <v>396.3</v>
      </c>
      <c r="Z71" s="85" t="s">
        <v>83</v>
      </c>
      <c r="AA71" t="s">
        <v>44</v>
      </c>
      <c r="AB71" s="57">
        <v>884.9</v>
      </c>
      <c r="AC71">
        <v>7</v>
      </c>
      <c r="AD71">
        <v>1176.7</v>
      </c>
      <c r="AE71">
        <v>6</v>
      </c>
      <c r="AF71">
        <v>1442.2</v>
      </c>
      <c r="AG71">
        <v>6</v>
      </c>
      <c r="AH71">
        <v>1096.9000000000001</v>
      </c>
      <c r="AI71">
        <v>6</v>
      </c>
      <c r="AJ71">
        <v>737.4</v>
      </c>
      <c r="AK71">
        <v>9</v>
      </c>
    </row>
    <row r="72" spans="1:37" ht="15" x14ac:dyDescent="0.35">
      <c r="A72" s="93" t="s">
        <v>81</v>
      </c>
      <c r="B72" t="s">
        <v>44</v>
      </c>
      <c r="C72">
        <v>5056.6000000000004</v>
      </c>
      <c r="D72">
        <v>4982.3999999999996</v>
      </c>
      <c r="E72">
        <v>0</v>
      </c>
      <c r="F72">
        <v>0</v>
      </c>
      <c r="G72">
        <v>0</v>
      </c>
      <c r="H72">
        <v>0</v>
      </c>
      <c r="L72" s="69" t="s">
        <v>52</v>
      </c>
      <c r="M72" t="s">
        <v>44</v>
      </c>
      <c r="N72">
        <v>0</v>
      </c>
      <c r="O72">
        <v>0</v>
      </c>
      <c r="P72">
        <v>2.5</v>
      </c>
      <c r="Q72">
        <v>64</v>
      </c>
      <c r="S72" s="85" t="s">
        <v>141</v>
      </c>
      <c r="T72" t="s">
        <v>44</v>
      </c>
      <c r="U72">
        <v>0</v>
      </c>
      <c r="V72">
        <v>0</v>
      </c>
      <c r="W72">
        <v>27.4</v>
      </c>
      <c r="X72">
        <v>0</v>
      </c>
      <c r="AB72" s="57"/>
    </row>
    <row r="73" spans="1:37" ht="15" x14ac:dyDescent="0.35">
      <c r="A73" s="93" t="s">
        <v>325</v>
      </c>
      <c r="B73" t="s">
        <v>43</v>
      </c>
      <c r="C73" t="s">
        <v>98</v>
      </c>
      <c r="D73" t="s">
        <v>95</v>
      </c>
      <c r="E73" t="s">
        <v>115</v>
      </c>
      <c r="F73" t="s">
        <v>98</v>
      </c>
      <c r="G73" t="s">
        <v>151</v>
      </c>
      <c r="H73" t="s">
        <v>115</v>
      </c>
      <c r="L73" s="69"/>
      <c r="M73" t="s">
        <v>44</v>
      </c>
      <c r="S73" s="85" t="s">
        <v>85</v>
      </c>
      <c r="T73" t="s">
        <v>44</v>
      </c>
      <c r="U73">
        <v>0</v>
      </c>
      <c r="V73">
        <v>0</v>
      </c>
      <c r="W73">
        <v>337.6</v>
      </c>
      <c r="X73">
        <v>521.70000000000005</v>
      </c>
      <c r="Z73" s="85" t="s">
        <v>54</v>
      </c>
      <c r="AA73" t="s">
        <v>44</v>
      </c>
      <c r="AB73" s="57">
        <v>736.6</v>
      </c>
      <c r="AC73">
        <v>8</v>
      </c>
      <c r="AD73">
        <v>408.2</v>
      </c>
      <c r="AE73">
        <v>12</v>
      </c>
      <c r="AF73">
        <v>537.4</v>
      </c>
      <c r="AG73">
        <v>10</v>
      </c>
      <c r="AH73">
        <v>650.20000000000005</v>
      </c>
      <c r="AI73">
        <v>7</v>
      </c>
      <c r="AJ73">
        <v>573.4</v>
      </c>
      <c r="AK73">
        <v>10</v>
      </c>
    </row>
    <row r="74" spans="1:37" ht="15" x14ac:dyDescent="0.35">
      <c r="A74" s="93" t="s">
        <v>88</v>
      </c>
      <c r="B74" t="s">
        <v>44</v>
      </c>
      <c r="C74">
        <v>22745.4</v>
      </c>
      <c r="D74">
        <v>20825</v>
      </c>
      <c r="E74">
        <v>134.30000000000001</v>
      </c>
      <c r="F74">
        <v>546.70000000000005</v>
      </c>
      <c r="G74">
        <v>0</v>
      </c>
      <c r="H74">
        <v>0</v>
      </c>
      <c r="L74" s="69" t="s">
        <v>53</v>
      </c>
      <c r="M74" t="s">
        <v>44</v>
      </c>
      <c r="N74">
        <v>0.2</v>
      </c>
      <c r="O74">
        <v>0</v>
      </c>
      <c r="P74">
        <v>425.5</v>
      </c>
      <c r="Q74">
        <v>537.4</v>
      </c>
      <c r="S74" s="85" t="s">
        <v>52</v>
      </c>
      <c r="T74" t="s">
        <v>44</v>
      </c>
      <c r="U74">
        <v>0</v>
      </c>
      <c r="V74">
        <v>0</v>
      </c>
      <c r="W74" t="s">
        <v>112</v>
      </c>
      <c r="X74">
        <v>2.5</v>
      </c>
      <c r="AB74" s="57"/>
    </row>
    <row r="75" spans="1:37" ht="15" x14ac:dyDescent="0.35">
      <c r="A75" s="93" t="s">
        <v>89</v>
      </c>
      <c r="B75" t="s">
        <v>44</v>
      </c>
      <c r="C75" t="s">
        <v>43</v>
      </c>
      <c r="D75" t="s">
        <v>43</v>
      </c>
      <c r="E75">
        <v>0</v>
      </c>
      <c r="F75">
        <v>0</v>
      </c>
      <c r="G75" t="s">
        <v>43</v>
      </c>
      <c r="H75" t="s">
        <v>43</v>
      </c>
      <c r="L75" s="69" t="s">
        <v>105</v>
      </c>
      <c r="M75" t="s">
        <v>44</v>
      </c>
      <c r="N75">
        <v>0.2</v>
      </c>
      <c r="O75">
        <v>0</v>
      </c>
      <c r="P75">
        <v>17.3</v>
      </c>
      <c r="Q75">
        <v>0</v>
      </c>
      <c r="S75" s="85"/>
      <c r="T75" t="s">
        <v>44</v>
      </c>
      <c r="Z75" s="85" t="s">
        <v>82</v>
      </c>
      <c r="AA75" t="s">
        <v>44</v>
      </c>
      <c r="AB75" s="57">
        <v>706.7</v>
      </c>
      <c r="AC75">
        <v>9</v>
      </c>
      <c r="AD75">
        <v>1235.5</v>
      </c>
      <c r="AE75">
        <v>5</v>
      </c>
      <c r="AF75">
        <v>1045.8</v>
      </c>
      <c r="AG75">
        <v>7</v>
      </c>
      <c r="AH75">
        <v>326.2</v>
      </c>
      <c r="AI75">
        <v>10</v>
      </c>
      <c r="AJ75">
        <v>1820.4</v>
      </c>
      <c r="AK75">
        <v>4</v>
      </c>
    </row>
    <row r="76" spans="1:37" ht="15" x14ac:dyDescent="0.35">
      <c r="A76" s="93" t="s">
        <v>90</v>
      </c>
      <c r="B76" t="s">
        <v>44</v>
      </c>
      <c r="C76">
        <v>126</v>
      </c>
      <c r="D76">
        <v>0</v>
      </c>
      <c r="E76" t="s">
        <v>43</v>
      </c>
      <c r="F76" t="s">
        <v>43</v>
      </c>
      <c r="G76">
        <v>0</v>
      </c>
      <c r="H76">
        <v>0</v>
      </c>
      <c r="L76" s="69" t="s">
        <v>54</v>
      </c>
      <c r="M76" t="s">
        <v>44</v>
      </c>
      <c r="N76">
        <v>0</v>
      </c>
      <c r="O76">
        <v>0</v>
      </c>
      <c r="P76">
        <v>408.2</v>
      </c>
      <c r="Q76">
        <v>537.4</v>
      </c>
      <c r="S76" s="85" t="s">
        <v>53</v>
      </c>
      <c r="T76" t="s">
        <v>44</v>
      </c>
      <c r="U76">
        <v>0</v>
      </c>
      <c r="V76">
        <v>0.2</v>
      </c>
      <c r="W76">
        <v>759.5</v>
      </c>
      <c r="X76">
        <v>425.5</v>
      </c>
      <c r="AB76" s="57"/>
    </row>
    <row r="77" spans="1:37" ht="15" x14ac:dyDescent="0.35">
      <c r="A77" s="93" t="s">
        <v>325</v>
      </c>
      <c r="B77" t="s">
        <v>43</v>
      </c>
      <c r="C77" t="s">
        <v>98</v>
      </c>
      <c r="D77" t="s">
        <v>95</v>
      </c>
      <c r="E77" t="s">
        <v>115</v>
      </c>
      <c r="F77" t="s">
        <v>98</v>
      </c>
      <c r="G77" t="s">
        <v>151</v>
      </c>
      <c r="H77" t="s">
        <v>115</v>
      </c>
      <c r="L77" s="69"/>
      <c r="M77" t="s">
        <v>44</v>
      </c>
      <c r="S77" s="85" t="s">
        <v>105</v>
      </c>
      <c r="T77" t="s">
        <v>44</v>
      </c>
      <c r="U77">
        <v>0</v>
      </c>
      <c r="V77">
        <v>0.2</v>
      </c>
      <c r="W77">
        <v>22.9</v>
      </c>
      <c r="X77">
        <v>17.3</v>
      </c>
      <c r="Z77" s="85" t="s">
        <v>66</v>
      </c>
      <c r="AA77" t="s">
        <v>44</v>
      </c>
      <c r="AB77" s="57">
        <v>422.1</v>
      </c>
      <c r="AC77">
        <v>10</v>
      </c>
      <c r="AD77">
        <v>451.3</v>
      </c>
      <c r="AE77">
        <v>11</v>
      </c>
      <c r="AF77">
        <v>249.5</v>
      </c>
      <c r="AG77">
        <v>18</v>
      </c>
      <c r="AH77">
        <v>149.6</v>
      </c>
      <c r="AI77">
        <v>20</v>
      </c>
      <c r="AJ77">
        <v>101.1</v>
      </c>
      <c r="AK77">
        <v>27</v>
      </c>
    </row>
    <row r="78" spans="1:37" ht="15" x14ac:dyDescent="0.35">
      <c r="A78" s="93"/>
      <c r="L78" s="69" t="s">
        <v>102</v>
      </c>
      <c r="M78" t="s">
        <v>44</v>
      </c>
      <c r="N78">
        <v>0</v>
      </c>
      <c r="O78">
        <v>0</v>
      </c>
      <c r="P78">
        <v>0</v>
      </c>
      <c r="Q78">
        <v>0.1</v>
      </c>
      <c r="S78" s="85" t="s">
        <v>54</v>
      </c>
      <c r="T78" t="s">
        <v>44</v>
      </c>
      <c r="U78">
        <v>0</v>
      </c>
      <c r="V78">
        <v>0</v>
      </c>
      <c r="W78">
        <v>736.6</v>
      </c>
      <c r="X78">
        <v>408.2</v>
      </c>
      <c r="AB78" s="57"/>
    </row>
    <row r="79" spans="1:37" ht="15" x14ac:dyDescent="0.35">
      <c r="A79" s="93"/>
      <c r="L79" s="69" t="s">
        <v>103</v>
      </c>
      <c r="M79" t="s">
        <v>44</v>
      </c>
      <c r="N79">
        <v>0</v>
      </c>
      <c r="O79">
        <v>0</v>
      </c>
      <c r="P79">
        <v>0</v>
      </c>
      <c r="Q79">
        <v>0.1</v>
      </c>
      <c r="S79" s="85"/>
      <c r="T79" t="s">
        <v>44</v>
      </c>
      <c r="Z79" s="85" t="s">
        <v>62</v>
      </c>
      <c r="AA79" t="s">
        <v>44</v>
      </c>
      <c r="AB79" s="57">
        <v>346.3</v>
      </c>
      <c r="AC79">
        <v>11</v>
      </c>
      <c r="AD79">
        <v>459</v>
      </c>
      <c r="AE79">
        <v>10</v>
      </c>
      <c r="AF79">
        <v>593.6</v>
      </c>
      <c r="AG79">
        <v>9</v>
      </c>
      <c r="AH79">
        <v>486.8</v>
      </c>
      <c r="AI79">
        <v>9</v>
      </c>
      <c r="AJ79">
        <v>780.1</v>
      </c>
      <c r="AK79">
        <v>7</v>
      </c>
    </row>
    <row r="80" spans="1:37" ht="15" x14ac:dyDescent="0.35">
      <c r="A80" s="93"/>
      <c r="L80" s="69"/>
      <c r="M80" t="s">
        <v>44</v>
      </c>
      <c r="S80" s="85" t="s">
        <v>102</v>
      </c>
      <c r="T80" t="s">
        <v>44</v>
      </c>
      <c r="U80">
        <v>0</v>
      </c>
      <c r="V80">
        <v>0</v>
      </c>
      <c r="W80">
        <v>25.9</v>
      </c>
      <c r="X80">
        <v>0</v>
      </c>
      <c r="AB80" s="57"/>
    </row>
    <row r="81" spans="1:37" ht="15" x14ac:dyDescent="0.35">
      <c r="A81" s="93"/>
      <c r="L81" s="69" t="s">
        <v>55</v>
      </c>
      <c r="M81" t="s">
        <v>44</v>
      </c>
      <c r="N81">
        <v>244</v>
      </c>
      <c r="O81">
        <v>160.80000000000001</v>
      </c>
      <c r="P81">
        <v>2709.4</v>
      </c>
      <c r="Q81">
        <v>3158.7</v>
      </c>
      <c r="S81" s="85" t="s">
        <v>142</v>
      </c>
      <c r="T81" t="s">
        <v>44</v>
      </c>
      <c r="U81">
        <v>0</v>
      </c>
      <c r="V81">
        <v>0</v>
      </c>
      <c r="W81">
        <v>25.9</v>
      </c>
      <c r="X81">
        <v>0</v>
      </c>
      <c r="Z81" s="85" t="s">
        <v>85</v>
      </c>
      <c r="AA81" t="s">
        <v>44</v>
      </c>
      <c r="AB81" s="57">
        <v>337.6</v>
      </c>
      <c r="AC81">
        <v>12</v>
      </c>
      <c r="AD81">
        <v>521.70000000000005</v>
      </c>
      <c r="AE81">
        <v>9</v>
      </c>
      <c r="AF81">
        <v>368.7</v>
      </c>
      <c r="AG81">
        <v>12</v>
      </c>
      <c r="AH81">
        <v>158.30000000000001</v>
      </c>
      <c r="AI81">
        <v>19</v>
      </c>
      <c r="AJ81">
        <v>754.5</v>
      </c>
      <c r="AK81">
        <v>8</v>
      </c>
    </row>
    <row r="82" spans="1:37" ht="15" x14ac:dyDescent="0.35">
      <c r="A82" s="93"/>
      <c r="L82" s="69"/>
      <c r="M82" t="s">
        <v>44</v>
      </c>
      <c r="S82" s="85"/>
      <c r="T82" t="s">
        <v>44</v>
      </c>
      <c r="AB82" s="57"/>
    </row>
    <row r="83" spans="1:37" ht="15" x14ac:dyDescent="0.35">
      <c r="A83" s="93"/>
      <c r="L83" s="69" t="s">
        <v>56</v>
      </c>
      <c r="M83" t="s">
        <v>44</v>
      </c>
      <c r="N83">
        <v>89.8</v>
      </c>
      <c r="O83">
        <v>136.9</v>
      </c>
      <c r="P83">
        <v>1732.8</v>
      </c>
      <c r="Q83">
        <v>1942</v>
      </c>
      <c r="S83" s="85" t="s">
        <v>55</v>
      </c>
      <c r="T83" t="s">
        <v>44</v>
      </c>
      <c r="U83">
        <v>419</v>
      </c>
      <c r="V83">
        <v>244</v>
      </c>
      <c r="W83">
        <v>2410</v>
      </c>
      <c r="X83">
        <v>2709.4</v>
      </c>
      <c r="Z83" s="85" t="s">
        <v>75</v>
      </c>
      <c r="AA83" t="s">
        <v>44</v>
      </c>
      <c r="AB83" s="57">
        <v>294.60000000000002</v>
      </c>
      <c r="AC83">
        <v>13</v>
      </c>
      <c r="AD83">
        <v>190.3</v>
      </c>
      <c r="AE83">
        <v>19</v>
      </c>
      <c r="AF83">
        <v>134.4</v>
      </c>
      <c r="AG83">
        <v>24</v>
      </c>
      <c r="AH83">
        <v>205.8</v>
      </c>
      <c r="AI83">
        <v>17</v>
      </c>
      <c r="AJ83">
        <v>370.9</v>
      </c>
      <c r="AK83">
        <v>13</v>
      </c>
    </row>
    <row r="84" spans="1:37" ht="15" x14ac:dyDescent="0.35">
      <c r="A84" s="93"/>
      <c r="L84" s="69"/>
      <c r="M84" t="s">
        <v>44</v>
      </c>
      <c r="S84" s="85"/>
      <c r="T84" t="s">
        <v>44</v>
      </c>
      <c r="AB84" s="57"/>
    </row>
    <row r="85" spans="1:37" ht="15" x14ac:dyDescent="0.35">
      <c r="A85" s="93"/>
      <c r="L85" s="69" t="s">
        <v>57</v>
      </c>
      <c r="M85" t="s">
        <v>44</v>
      </c>
      <c r="N85">
        <v>170.8</v>
      </c>
      <c r="O85">
        <v>74.5</v>
      </c>
      <c r="P85">
        <v>13353.3</v>
      </c>
      <c r="Q85">
        <v>11454.6</v>
      </c>
      <c r="S85" s="85" t="s">
        <v>56</v>
      </c>
      <c r="T85" t="s">
        <v>44</v>
      </c>
      <c r="U85">
        <v>157.19999999999999</v>
      </c>
      <c r="V85">
        <v>89.8</v>
      </c>
      <c r="W85">
        <v>1592</v>
      </c>
      <c r="X85">
        <v>1732.8</v>
      </c>
      <c r="Z85" s="85" t="s">
        <v>61</v>
      </c>
      <c r="AA85" t="s">
        <v>44</v>
      </c>
      <c r="AB85" s="57">
        <v>219.3</v>
      </c>
      <c r="AC85">
        <v>14</v>
      </c>
      <c r="AD85">
        <v>335.2</v>
      </c>
      <c r="AE85">
        <v>14</v>
      </c>
      <c r="AF85">
        <v>257</v>
      </c>
      <c r="AG85">
        <v>16</v>
      </c>
      <c r="AH85">
        <v>236.3</v>
      </c>
      <c r="AI85">
        <v>14</v>
      </c>
      <c r="AJ85">
        <v>244</v>
      </c>
      <c r="AK85">
        <v>15</v>
      </c>
    </row>
    <row r="86" spans="1:37" ht="15" x14ac:dyDescent="0.35">
      <c r="A86" s="93"/>
      <c r="L86" s="69"/>
      <c r="M86" t="s">
        <v>44</v>
      </c>
      <c r="S86" s="85"/>
      <c r="T86" t="s">
        <v>44</v>
      </c>
      <c r="AB86" s="57"/>
    </row>
    <row r="87" spans="1:37" ht="15" x14ac:dyDescent="0.35">
      <c r="A87" s="93"/>
      <c r="L87" s="69" t="s">
        <v>58</v>
      </c>
      <c r="M87" t="s">
        <v>44</v>
      </c>
      <c r="N87">
        <v>36.6</v>
      </c>
      <c r="O87">
        <v>107.3</v>
      </c>
      <c r="P87">
        <v>2801.2</v>
      </c>
      <c r="Q87">
        <v>3730.3</v>
      </c>
      <c r="S87" s="85" t="s">
        <v>57</v>
      </c>
      <c r="T87" t="s">
        <v>44</v>
      </c>
      <c r="U87">
        <v>1116</v>
      </c>
      <c r="V87">
        <v>170.8</v>
      </c>
      <c r="W87">
        <v>18681.3</v>
      </c>
      <c r="X87">
        <v>13353.3</v>
      </c>
      <c r="Z87" s="85" t="s">
        <v>76</v>
      </c>
      <c r="AA87" t="s">
        <v>44</v>
      </c>
      <c r="AB87" s="57">
        <v>185.5</v>
      </c>
      <c r="AC87">
        <v>15</v>
      </c>
      <c r="AD87">
        <v>276.89999999999998</v>
      </c>
      <c r="AE87">
        <v>15</v>
      </c>
      <c r="AF87">
        <v>328.3</v>
      </c>
      <c r="AG87">
        <v>13</v>
      </c>
      <c r="AH87">
        <v>215.1</v>
      </c>
      <c r="AI87">
        <v>16</v>
      </c>
      <c r="AJ87">
        <v>156.1</v>
      </c>
      <c r="AK87">
        <v>25</v>
      </c>
    </row>
    <row r="88" spans="1:37" ht="15" x14ac:dyDescent="0.35">
      <c r="A88" s="93"/>
      <c r="L88" s="69" t="s">
        <v>59</v>
      </c>
      <c r="M88" t="s">
        <v>44</v>
      </c>
      <c r="N88">
        <v>0</v>
      </c>
      <c r="O88">
        <v>0.1</v>
      </c>
      <c r="P88">
        <v>0.4</v>
      </c>
      <c r="Q88">
        <v>0</v>
      </c>
      <c r="S88" s="85"/>
      <c r="T88" t="s">
        <v>44</v>
      </c>
      <c r="AB88" s="57"/>
    </row>
    <row r="89" spans="1:37" ht="15" x14ac:dyDescent="0.35">
      <c r="A89" s="93"/>
      <c r="L89" s="69" t="s">
        <v>60</v>
      </c>
      <c r="M89" t="s">
        <v>44</v>
      </c>
      <c r="N89">
        <v>30.9</v>
      </c>
      <c r="O89">
        <v>75.599999999999994</v>
      </c>
      <c r="P89">
        <v>1068</v>
      </c>
      <c r="Q89">
        <v>1454.3</v>
      </c>
      <c r="S89" s="85" t="s">
        <v>58</v>
      </c>
      <c r="T89" t="s">
        <v>44</v>
      </c>
      <c r="U89">
        <v>150.19999999999999</v>
      </c>
      <c r="V89">
        <v>36.6</v>
      </c>
      <c r="W89">
        <v>2854.6</v>
      </c>
      <c r="X89">
        <v>2801.2</v>
      </c>
      <c r="Z89" s="85" t="s">
        <v>67</v>
      </c>
      <c r="AA89" t="s">
        <v>44</v>
      </c>
      <c r="AB89" s="57">
        <v>178.1</v>
      </c>
      <c r="AC89">
        <v>16</v>
      </c>
      <c r="AD89">
        <v>145.80000000000001</v>
      </c>
      <c r="AE89">
        <v>21</v>
      </c>
      <c r="AF89">
        <v>531.5</v>
      </c>
      <c r="AG89">
        <v>11</v>
      </c>
      <c r="AH89">
        <v>289.8</v>
      </c>
      <c r="AI89">
        <v>12</v>
      </c>
      <c r="AJ89">
        <v>548.29999999999995</v>
      </c>
      <c r="AK89">
        <v>11</v>
      </c>
    </row>
    <row r="90" spans="1:37" ht="15" x14ac:dyDescent="0.35">
      <c r="A90" s="93"/>
      <c r="L90" s="69" t="s">
        <v>97</v>
      </c>
      <c r="M90" t="s">
        <v>44</v>
      </c>
      <c r="N90">
        <v>0</v>
      </c>
      <c r="O90">
        <v>0</v>
      </c>
      <c r="P90">
        <v>15.4</v>
      </c>
      <c r="Q90">
        <v>0</v>
      </c>
      <c r="S90" s="85" t="s">
        <v>59</v>
      </c>
      <c r="T90" t="s">
        <v>44</v>
      </c>
      <c r="U90">
        <v>0</v>
      </c>
      <c r="V90">
        <v>0</v>
      </c>
      <c r="W90">
        <v>0.3</v>
      </c>
      <c r="X90">
        <v>0.4</v>
      </c>
      <c r="AB90" s="57"/>
    </row>
    <row r="91" spans="1:37" ht="15" x14ac:dyDescent="0.35">
      <c r="A91" s="181"/>
      <c r="L91" s="69" t="s">
        <v>61</v>
      </c>
      <c r="M91" t="s">
        <v>44</v>
      </c>
      <c r="N91">
        <v>0</v>
      </c>
      <c r="O91">
        <v>8.5</v>
      </c>
      <c r="P91">
        <v>335.2</v>
      </c>
      <c r="Q91">
        <v>257</v>
      </c>
      <c r="S91" s="85" t="s">
        <v>60</v>
      </c>
      <c r="T91" t="s">
        <v>44</v>
      </c>
      <c r="U91">
        <v>98.3</v>
      </c>
      <c r="V91">
        <v>30.9</v>
      </c>
      <c r="W91">
        <v>1340.4</v>
      </c>
      <c r="X91">
        <v>1068</v>
      </c>
      <c r="Z91" s="85" t="s">
        <v>74</v>
      </c>
      <c r="AA91" t="s">
        <v>44</v>
      </c>
      <c r="AB91" s="57">
        <v>173.1</v>
      </c>
      <c r="AC91">
        <v>17</v>
      </c>
      <c r="AD91">
        <v>246.6</v>
      </c>
      <c r="AE91">
        <v>16</v>
      </c>
      <c r="AF91">
        <v>272.8</v>
      </c>
      <c r="AG91">
        <v>15</v>
      </c>
      <c r="AH91">
        <v>255.4</v>
      </c>
      <c r="AI91">
        <v>13</v>
      </c>
      <c r="AJ91">
        <v>201.2</v>
      </c>
      <c r="AK91">
        <v>19</v>
      </c>
    </row>
    <row r="92" spans="1:37" ht="15" x14ac:dyDescent="0.35">
      <c r="A92" s="181"/>
      <c r="L92" s="69" t="s">
        <v>62</v>
      </c>
      <c r="M92" t="s">
        <v>44</v>
      </c>
      <c r="N92">
        <v>0</v>
      </c>
      <c r="O92">
        <v>0</v>
      </c>
      <c r="P92">
        <v>459</v>
      </c>
      <c r="Q92">
        <v>593.6</v>
      </c>
      <c r="S92" s="85" t="s">
        <v>97</v>
      </c>
      <c r="T92" t="s">
        <v>44</v>
      </c>
      <c r="U92">
        <v>0</v>
      </c>
      <c r="V92">
        <v>0</v>
      </c>
      <c r="W92">
        <v>130.1</v>
      </c>
      <c r="X92">
        <v>15.4</v>
      </c>
      <c r="AB92" s="57"/>
    </row>
    <row r="93" spans="1:37" ht="15" x14ac:dyDescent="0.35">
      <c r="A93" s="181"/>
      <c r="L93" s="69" t="s">
        <v>84</v>
      </c>
      <c r="M93" t="s">
        <v>44</v>
      </c>
      <c r="N93">
        <v>0</v>
      </c>
      <c r="O93">
        <v>0</v>
      </c>
      <c r="P93">
        <v>10.9</v>
      </c>
      <c r="Q93">
        <v>0</v>
      </c>
      <c r="S93" s="85" t="s">
        <v>61</v>
      </c>
      <c r="T93" t="s">
        <v>44</v>
      </c>
      <c r="U93">
        <v>0</v>
      </c>
      <c r="V93">
        <v>0</v>
      </c>
      <c r="W93">
        <v>219.3</v>
      </c>
      <c r="X93">
        <v>335.2</v>
      </c>
      <c r="Z93" s="85" t="s">
        <v>144</v>
      </c>
      <c r="AA93" t="s">
        <v>44</v>
      </c>
      <c r="AB93" s="57">
        <v>145.69999999999999</v>
      </c>
      <c r="AC93">
        <v>18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ht="15" x14ac:dyDescent="0.35">
      <c r="A94" s="181"/>
      <c r="L94" s="69" t="s">
        <v>63</v>
      </c>
      <c r="M94" t="s">
        <v>44</v>
      </c>
      <c r="N94">
        <v>0</v>
      </c>
      <c r="O94">
        <v>13.6</v>
      </c>
      <c r="P94">
        <v>84.3</v>
      </c>
      <c r="Q94">
        <v>310.5</v>
      </c>
      <c r="S94" s="85" t="s">
        <v>62</v>
      </c>
      <c r="T94" t="s">
        <v>44</v>
      </c>
      <c r="U94">
        <v>13</v>
      </c>
      <c r="V94">
        <v>0</v>
      </c>
      <c r="W94">
        <v>346.3</v>
      </c>
      <c r="X94">
        <v>459</v>
      </c>
      <c r="AB94" s="57"/>
    </row>
    <row r="95" spans="1:37" ht="15" x14ac:dyDescent="0.35">
      <c r="A95" s="182"/>
      <c r="L95" s="69" t="s">
        <v>64</v>
      </c>
      <c r="M95" t="s">
        <v>44</v>
      </c>
      <c r="N95">
        <v>1.7</v>
      </c>
      <c r="O95" t="s">
        <v>112</v>
      </c>
      <c r="P95">
        <v>50.6</v>
      </c>
      <c r="Q95">
        <v>71.900000000000006</v>
      </c>
      <c r="S95" s="85" t="s">
        <v>84</v>
      </c>
      <c r="T95" t="s">
        <v>44</v>
      </c>
      <c r="U95">
        <v>0</v>
      </c>
      <c r="V95">
        <v>0</v>
      </c>
      <c r="W95">
        <v>0</v>
      </c>
      <c r="X95">
        <v>10.9</v>
      </c>
      <c r="Z95" s="85" t="s">
        <v>97</v>
      </c>
      <c r="AA95" t="s">
        <v>44</v>
      </c>
      <c r="AB95" s="57">
        <v>130.1</v>
      </c>
      <c r="AC95">
        <v>19</v>
      </c>
      <c r="AD95">
        <v>15.4</v>
      </c>
      <c r="AE95">
        <v>34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ht="15" x14ac:dyDescent="0.35">
      <c r="A96" s="181"/>
      <c r="L96" s="69" t="s">
        <v>94</v>
      </c>
      <c r="M96" t="s">
        <v>44</v>
      </c>
      <c r="N96">
        <v>0</v>
      </c>
      <c r="O96">
        <v>0</v>
      </c>
      <c r="P96">
        <v>62.5</v>
      </c>
      <c r="Q96">
        <v>0</v>
      </c>
      <c r="S96" s="85" t="s">
        <v>63</v>
      </c>
      <c r="T96" t="s">
        <v>44</v>
      </c>
      <c r="U96">
        <v>2</v>
      </c>
      <c r="V96">
        <v>0</v>
      </c>
      <c r="W96">
        <v>82</v>
      </c>
      <c r="X96">
        <v>84.3</v>
      </c>
      <c r="AB96" s="57"/>
    </row>
    <row r="97" spans="1:37" ht="15" x14ac:dyDescent="0.35">
      <c r="A97" s="181"/>
      <c r="L97" s="69" t="s">
        <v>65</v>
      </c>
      <c r="M97" t="s">
        <v>44</v>
      </c>
      <c r="N97">
        <v>0</v>
      </c>
      <c r="O97">
        <v>0.8</v>
      </c>
      <c r="P97">
        <v>8.4</v>
      </c>
      <c r="Q97">
        <v>0.9</v>
      </c>
      <c r="S97" s="85" t="s">
        <v>143</v>
      </c>
      <c r="T97" t="s">
        <v>44</v>
      </c>
      <c r="U97">
        <v>0</v>
      </c>
      <c r="V97">
        <v>0</v>
      </c>
      <c r="W97" t="s">
        <v>112</v>
      </c>
      <c r="X97">
        <v>0</v>
      </c>
      <c r="Z97" s="85" t="s">
        <v>77</v>
      </c>
      <c r="AA97" t="s">
        <v>44</v>
      </c>
      <c r="AB97" s="57">
        <v>123.9</v>
      </c>
      <c r="AC97">
        <v>20</v>
      </c>
      <c r="AD97">
        <v>111.8</v>
      </c>
      <c r="AE97">
        <v>23</v>
      </c>
      <c r="AF97">
        <v>181.9</v>
      </c>
      <c r="AG97">
        <v>22</v>
      </c>
      <c r="AH97">
        <v>149.19999999999999</v>
      </c>
      <c r="AI97">
        <v>21</v>
      </c>
      <c r="AJ97">
        <v>128.6</v>
      </c>
      <c r="AK97">
        <v>26</v>
      </c>
    </row>
    <row r="98" spans="1:37" ht="15" x14ac:dyDescent="0.35">
      <c r="A98" s="93"/>
      <c r="L98" s="69" t="s">
        <v>66</v>
      </c>
      <c r="M98" t="s">
        <v>44</v>
      </c>
      <c r="N98">
        <v>0</v>
      </c>
      <c r="O98">
        <v>0</v>
      </c>
      <c r="P98">
        <v>451.3</v>
      </c>
      <c r="Q98">
        <v>249.5</v>
      </c>
      <c r="S98" s="85" t="s">
        <v>64</v>
      </c>
      <c r="T98" t="s">
        <v>44</v>
      </c>
      <c r="U98">
        <v>0</v>
      </c>
      <c r="V98">
        <v>1.7</v>
      </c>
      <c r="W98">
        <v>45.1</v>
      </c>
      <c r="X98">
        <v>50.6</v>
      </c>
      <c r="AB98" s="57"/>
    </row>
    <row r="99" spans="1:37" ht="15" x14ac:dyDescent="0.35">
      <c r="A99" s="93"/>
      <c r="L99" s="69" t="s">
        <v>67</v>
      </c>
      <c r="M99" t="s">
        <v>44</v>
      </c>
      <c r="N99" t="s">
        <v>112</v>
      </c>
      <c r="O99">
        <v>0</v>
      </c>
      <c r="P99">
        <v>145.80000000000001</v>
      </c>
      <c r="Q99">
        <v>531.5</v>
      </c>
      <c r="S99" s="85" t="s">
        <v>94</v>
      </c>
      <c r="T99" t="s">
        <v>44</v>
      </c>
      <c r="U99">
        <v>0</v>
      </c>
      <c r="V99">
        <v>0</v>
      </c>
      <c r="W99" t="s">
        <v>112</v>
      </c>
      <c r="X99">
        <v>62.5</v>
      </c>
      <c r="Z99" s="85" t="s">
        <v>71</v>
      </c>
      <c r="AA99" t="s">
        <v>44</v>
      </c>
      <c r="AB99" s="57">
        <v>122.3</v>
      </c>
      <c r="AC99">
        <v>21</v>
      </c>
      <c r="AD99">
        <v>217.2</v>
      </c>
      <c r="AE99">
        <v>17</v>
      </c>
      <c r="AF99">
        <v>253.2</v>
      </c>
      <c r="AG99">
        <v>17</v>
      </c>
      <c r="AH99">
        <v>303.10000000000002</v>
      </c>
      <c r="AI99">
        <v>11</v>
      </c>
      <c r="AJ99">
        <v>202.6</v>
      </c>
      <c r="AK99">
        <v>18</v>
      </c>
    </row>
    <row r="100" spans="1:37" ht="15" x14ac:dyDescent="0.35">
      <c r="A100" s="93"/>
      <c r="L100" s="69" t="s">
        <v>92</v>
      </c>
      <c r="M100" t="s">
        <v>44</v>
      </c>
      <c r="N100">
        <v>0</v>
      </c>
      <c r="O100">
        <v>0</v>
      </c>
      <c r="P100">
        <v>37.5</v>
      </c>
      <c r="Q100">
        <v>248.8</v>
      </c>
      <c r="S100" s="85" t="s">
        <v>65</v>
      </c>
      <c r="T100" t="s">
        <v>44</v>
      </c>
      <c r="U100">
        <v>6</v>
      </c>
      <c r="V100">
        <v>0</v>
      </c>
      <c r="W100">
        <v>3.4</v>
      </c>
      <c r="X100">
        <v>8.4</v>
      </c>
      <c r="AB100" s="57"/>
    </row>
    <row r="101" spans="1:37" ht="15" x14ac:dyDescent="0.35">
      <c r="A101" s="93"/>
      <c r="L101" s="69" t="s">
        <v>68</v>
      </c>
      <c r="M101" t="s">
        <v>44</v>
      </c>
      <c r="N101">
        <v>4</v>
      </c>
      <c r="O101">
        <v>8.6999999999999993</v>
      </c>
      <c r="P101">
        <v>71.900000000000006</v>
      </c>
      <c r="Q101">
        <v>12.4</v>
      </c>
      <c r="S101" s="85" t="s">
        <v>66</v>
      </c>
      <c r="T101" t="s">
        <v>44</v>
      </c>
      <c r="U101">
        <v>9.8000000000000007</v>
      </c>
      <c r="V101">
        <v>0</v>
      </c>
      <c r="W101">
        <v>422.1</v>
      </c>
      <c r="X101">
        <v>451.3</v>
      </c>
      <c r="Z101" s="85" t="s">
        <v>68</v>
      </c>
      <c r="AA101" t="s">
        <v>44</v>
      </c>
      <c r="AB101" s="57">
        <v>87.6</v>
      </c>
      <c r="AC101">
        <v>22</v>
      </c>
      <c r="AD101">
        <v>71.900000000000006</v>
      </c>
      <c r="AE101">
        <v>25</v>
      </c>
      <c r="AF101">
        <v>12.4</v>
      </c>
      <c r="AG101">
        <v>31</v>
      </c>
      <c r="AH101">
        <v>1</v>
      </c>
      <c r="AI101">
        <v>39</v>
      </c>
      <c r="AJ101">
        <v>0</v>
      </c>
      <c r="AK101">
        <v>0</v>
      </c>
    </row>
    <row r="102" spans="1:37" ht="15" x14ac:dyDescent="0.35">
      <c r="A102" s="93"/>
      <c r="L102" s="69"/>
      <c r="M102" t="s">
        <v>44</v>
      </c>
      <c r="S102" s="85" t="s">
        <v>67</v>
      </c>
      <c r="T102" t="s">
        <v>44</v>
      </c>
      <c r="U102">
        <v>14.1</v>
      </c>
      <c r="V102" t="s">
        <v>112</v>
      </c>
      <c r="W102">
        <v>178.1</v>
      </c>
      <c r="X102">
        <v>145.80000000000001</v>
      </c>
      <c r="AB102" s="57"/>
    </row>
    <row r="103" spans="1:37" ht="15" x14ac:dyDescent="0.35">
      <c r="A103" s="93"/>
      <c r="L103" s="69" t="s">
        <v>69</v>
      </c>
      <c r="M103" t="s">
        <v>44</v>
      </c>
      <c r="N103">
        <v>21.4</v>
      </c>
      <c r="O103">
        <v>9.1999999999999993</v>
      </c>
      <c r="P103">
        <v>1062.7</v>
      </c>
      <c r="Q103">
        <v>1016.4</v>
      </c>
      <c r="S103" s="85" t="s">
        <v>92</v>
      </c>
      <c r="T103" t="s">
        <v>44</v>
      </c>
      <c r="U103">
        <v>0</v>
      </c>
      <c r="V103">
        <v>0</v>
      </c>
      <c r="W103">
        <v>0</v>
      </c>
      <c r="X103">
        <v>37.5</v>
      </c>
      <c r="Z103" s="85" t="s">
        <v>63</v>
      </c>
      <c r="AA103" t="s">
        <v>44</v>
      </c>
      <c r="AB103" s="57">
        <v>82</v>
      </c>
      <c r="AC103">
        <v>23</v>
      </c>
      <c r="AD103">
        <v>84.3</v>
      </c>
      <c r="AE103">
        <v>24</v>
      </c>
      <c r="AF103">
        <v>310.5</v>
      </c>
      <c r="AG103">
        <v>14</v>
      </c>
      <c r="AH103">
        <v>226.7</v>
      </c>
      <c r="AI103">
        <v>15</v>
      </c>
      <c r="AJ103">
        <v>173.4</v>
      </c>
      <c r="AK103">
        <v>23</v>
      </c>
    </row>
    <row r="104" spans="1:37" ht="15" x14ac:dyDescent="0.35">
      <c r="A104" s="93"/>
      <c r="L104" s="69" t="s">
        <v>70</v>
      </c>
      <c r="M104" t="s">
        <v>44</v>
      </c>
      <c r="N104">
        <v>21.4</v>
      </c>
      <c r="O104">
        <v>9.1999999999999993</v>
      </c>
      <c r="P104">
        <v>845.5</v>
      </c>
      <c r="Q104">
        <v>763.2</v>
      </c>
      <c r="S104" s="85" t="s">
        <v>68</v>
      </c>
      <c r="T104" t="s">
        <v>44</v>
      </c>
      <c r="U104">
        <v>7</v>
      </c>
      <c r="V104">
        <v>4</v>
      </c>
      <c r="W104">
        <v>87.6</v>
      </c>
      <c r="X104">
        <v>71.900000000000006</v>
      </c>
      <c r="AB104" s="57"/>
    </row>
    <row r="105" spans="1:37" ht="15" x14ac:dyDescent="0.35">
      <c r="A105" s="93"/>
      <c r="L105" s="69" t="s">
        <v>71</v>
      </c>
      <c r="M105" t="s">
        <v>44</v>
      </c>
      <c r="N105">
        <v>0</v>
      </c>
      <c r="O105">
        <v>0</v>
      </c>
      <c r="P105">
        <v>217.2</v>
      </c>
      <c r="Q105">
        <v>253.2</v>
      </c>
      <c r="S105" s="85"/>
      <c r="T105" t="s">
        <v>44</v>
      </c>
      <c r="Z105" s="85" t="s">
        <v>93</v>
      </c>
      <c r="AA105" t="s">
        <v>44</v>
      </c>
      <c r="AB105" s="57">
        <v>81.3</v>
      </c>
      <c r="AC105">
        <v>24</v>
      </c>
      <c r="AD105">
        <v>396.3</v>
      </c>
      <c r="AE105">
        <v>13</v>
      </c>
      <c r="AF105">
        <v>183.7</v>
      </c>
      <c r="AG105">
        <v>21</v>
      </c>
      <c r="AH105">
        <v>129.30000000000001</v>
      </c>
      <c r="AI105">
        <v>22</v>
      </c>
      <c r="AJ105">
        <v>229.3</v>
      </c>
      <c r="AK105">
        <v>16</v>
      </c>
    </row>
    <row r="106" spans="1:37" ht="15" x14ac:dyDescent="0.35">
      <c r="A106" s="93"/>
      <c r="L106" s="69"/>
      <c r="M106" t="s">
        <v>44</v>
      </c>
      <c r="S106" s="85" t="s">
        <v>69</v>
      </c>
      <c r="T106" t="s">
        <v>44</v>
      </c>
      <c r="U106">
        <v>65.3</v>
      </c>
      <c r="V106">
        <v>21.4</v>
      </c>
      <c r="W106">
        <v>1384.8</v>
      </c>
      <c r="X106">
        <v>1062.7</v>
      </c>
      <c r="AB106" s="57"/>
    </row>
    <row r="107" spans="1:37" ht="15" x14ac:dyDescent="0.35">
      <c r="A107" s="181"/>
      <c r="L107" s="69" t="s">
        <v>72</v>
      </c>
      <c r="M107" t="s">
        <v>44</v>
      </c>
      <c r="N107">
        <v>256.60000000000002</v>
      </c>
      <c r="O107">
        <v>245</v>
      </c>
      <c r="P107">
        <v>4468.8999999999996</v>
      </c>
      <c r="Q107">
        <v>4833.8</v>
      </c>
      <c r="S107" s="85" t="s">
        <v>70</v>
      </c>
      <c r="T107" t="s">
        <v>44</v>
      </c>
      <c r="U107">
        <v>38.799999999999997</v>
      </c>
      <c r="V107">
        <v>21.4</v>
      </c>
      <c r="W107">
        <v>1116.9000000000001</v>
      </c>
      <c r="X107">
        <v>845.5</v>
      </c>
      <c r="Z107" s="85" t="s">
        <v>91</v>
      </c>
      <c r="AA107" t="s">
        <v>44</v>
      </c>
      <c r="AB107" s="57">
        <v>60.9</v>
      </c>
      <c r="AC107">
        <v>25</v>
      </c>
      <c r="AD107">
        <v>122.9</v>
      </c>
      <c r="AE107">
        <v>22</v>
      </c>
      <c r="AF107">
        <v>170.2</v>
      </c>
      <c r="AG107">
        <v>23</v>
      </c>
      <c r="AH107">
        <v>60.2</v>
      </c>
      <c r="AI107">
        <v>26</v>
      </c>
      <c r="AJ107">
        <v>181.5</v>
      </c>
      <c r="AK107">
        <v>22</v>
      </c>
    </row>
    <row r="108" spans="1:37" ht="15" x14ac:dyDescent="0.35">
      <c r="A108" s="93"/>
      <c r="L108" s="69" t="s">
        <v>104</v>
      </c>
      <c r="M108" t="s">
        <v>44</v>
      </c>
      <c r="N108">
        <v>0</v>
      </c>
      <c r="O108">
        <v>0</v>
      </c>
      <c r="P108">
        <v>0.4</v>
      </c>
      <c r="Q108">
        <v>0</v>
      </c>
      <c r="S108" s="85" t="s">
        <v>71</v>
      </c>
      <c r="T108" t="s">
        <v>44</v>
      </c>
      <c r="U108">
        <v>26.5</v>
      </c>
      <c r="V108">
        <v>0</v>
      </c>
      <c r="W108">
        <v>122.3</v>
      </c>
      <c r="X108">
        <v>217.2</v>
      </c>
      <c r="AB108" s="57"/>
    </row>
    <row r="109" spans="1:37" ht="15" x14ac:dyDescent="0.35">
      <c r="A109" s="93"/>
      <c r="L109" s="69" t="s">
        <v>73</v>
      </c>
      <c r="M109" t="s">
        <v>44</v>
      </c>
      <c r="N109">
        <v>3.8</v>
      </c>
      <c r="O109">
        <v>0</v>
      </c>
      <c r="P109">
        <v>24.5</v>
      </c>
      <c r="Q109">
        <v>27.1</v>
      </c>
      <c r="S109" s="85" t="s">
        <v>144</v>
      </c>
      <c r="T109" t="s">
        <v>44</v>
      </c>
      <c r="U109">
        <v>0</v>
      </c>
      <c r="V109">
        <v>0</v>
      </c>
      <c r="W109">
        <v>145.69999999999999</v>
      </c>
      <c r="X109">
        <v>0</v>
      </c>
      <c r="Z109" s="85" t="s">
        <v>51</v>
      </c>
      <c r="AA109" t="s">
        <v>44</v>
      </c>
      <c r="AB109" s="57">
        <v>60.7</v>
      </c>
      <c r="AC109">
        <v>26</v>
      </c>
      <c r="AD109">
        <v>180</v>
      </c>
      <c r="AE109">
        <v>20</v>
      </c>
      <c r="AF109">
        <v>35.700000000000003</v>
      </c>
      <c r="AG109">
        <v>28</v>
      </c>
      <c r="AH109">
        <v>20.5</v>
      </c>
      <c r="AI109">
        <v>30</v>
      </c>
      <c r="AJ109">
        <v>228.6</v>
      </c>
      <c r="AK109">
        <v>17</v>
      </c>
    </row>
    <row r="110" spans="1:37" ht="15" x14ac:dyDescent="0.35">
      <c r="A110" s="93"/>
      <c r="L110" s="69" t="s">
        <v>74</v>
      </c>
      <c r="M110" t="s">
        <v>44</v>
      </c>
      <c r="N110">
        <v>0.7</v>
      </c>
      <c r="O110">
        <v>10</v>
      </c>
      <c r="P110">
        <v>246.6</v>
      </c>
      <c r="Q110">
        <v>272.8</v>
      </c>
      <c r="S110" s="85"/>
      <c r="T110" t="s">
        <v>44</v>
      </c>
      <c r="AB110" s="57"/>
    </row>
    <row r="111" spans="1:37" ht="15" x14ac:dyDescent="0.35">
      <c r="A111" s="93"/>
      <c r="C111" s="84"/>
      <c r="L111" s="69" t="s">
        <v>75</v>
      </c>
      <c r="M111" t="s">
        <v>44</v>
      </c>
      <c r="N111">
        <v>18.600000000000001</v>
      </c>
      <c r="O111">
        <v>4.2</v>
      </c>
      <c r="P111">
        <v>190.3</v>
      </c>
      <c r="Q111">
        <v>134.4</v>
      </c>
      <c r="S111" s="85" t="s">
        <v>72</v>
      </c>
      <c r="T111" t="s">
        <v>44</v>
      </c>
      <c r="U111">
        <v>199.6</v>
      </c>
      <c r="V111">
        <v>256.60000000000002</v>
      </c>
      <c r="W111">
        <v>3965.8</v>
      </c>
      <c r="X111">
        <v>4468.8999999999996</v>
      </c>
      <c r="Z111" s="85" t="s">
        <v>64</v>
      </c>
      <c r="AA111" t="s">
        <v>44</v>
      </c>
      <c r="AB111" s="57">
        <v>45.1</v>
      </c>
      <c r="AC111">
        <v>27</v>
      </c>
      <c r="AD111">
        <v>50.6</v>
      </c>
      <c r="AE111">
        <v>28</v>
      </c>
      <c r="AF111">
        <v>71.900000000000006</v>
      </c>
      <c r="AG111">
        <v>26</v>
      </c>
      <c r="AH111">
        <v>104</v>
      </c>
      <c r="AI111">
        <v>23</v>
      </c>
      <c r="AJ111">
        <v>192.7</v>
      </c>
      <c r="AK111">
        <v>21</v>
      </c>
    </row>
    <row r="112" spans="1:37" ht="15" x14ac:dyDescent="0.35">
      <c r="A112" s="93"/>
      <c r="C112" s="84"/>
      <c r="L112" s="69" t="s">
        <v>108</v>
      </c>
      <c r="M112" t="s">
        <v>44</v>
      </c>
      <c r="N112">
        <v>0</v>
      </c>
      <c r="O112">
        <v>0</v>
      </c>
      <c r="P112">
        <v>0</v>
      </c>
      <c r="Q112">
        <v>7.9</v>
      </c>
      <c r="S112" s="85" t="s">
        <v>104</v>
      </c>
      <c r="T112" t="s">
        <v>44</v>
      </c>
      <c r="U112">
        <v>0</v>
      </c>
      <c r="V112">
        <v>0</v>
      </c>
      <c r="W112" t="s">
        <v>112</v>
      </c>
      <c r="X112">
        <v>0.4</v>
      </c>
      <c r="AB112" s="57"/>
    </row>
    <row r="113" spans="1:37" ht="15" x14ac:dyDescent="0.35">
      <c r="A113" s="93"/>
      <c r="L113" s="69" t="s">
        <v>76</v>
      </c>
      <c r="M113" t="s">
        <v>44</v>
      </c>
      <c r="N113">
        <v>12.3</v>
      </c>
      <c r="O113">
        <v>1</v>
      </c>
      <c r="P113">
        <v>276.89999999999998</v>
      </c>
      <c r="Q113">
        <v>328.3</v>
      </c>
      <c r="S113" s="85" t="s">
        <v>73</v>
      </c>
      <c r="T113" t="s">
        <v>44</v>
      </c>
      <c r="U113">
        <v>0</v>
      </c>
      <c r="V113">
        <v>3.8</v>
      </c>
      <c r="W113">
        <v>24.6</v>
      </c>
      <c r="X113">
        <v>24.5</v>
      </c>
      <c r="Z113" s="85" t="s">
        <v>109</v>
      </c>
      <c r="AA113" t="s">
        <v>44</v>
      </c>
      <c r="AB113" s="57">
        <v>44.5</v>
      </c>
      <c r="AC113">
        <v>28</v>
      </c>
      <c r="AD113">
        <v>5</v>
      </c>
      <c r="AE113">
        <v>37</v>
      </c>
      <c r="AF113">
        <v>0</v>
      </c>
      <c r="AG113">
        <v>0</v>
      </c>
      <c r="AH113">
        <v>45</v>
      </c>
      <c r="AI113">
        <v>28</v>
      </c>
      <c r="AJ113">
        <v>9</v>
      </c>
      <c r="AK113">
        <v>36</v>
      </c>
    </row>
    <row r="114" spans="1:37" ht="15" x14ac:dyDescent="0.35">
      <c r="A114" s="93"/>
      <c r="L114" s="69" t="s">
        <v>77</v>
      </c>
      <c r="M114" t="s">
        <v>44</v>
      </c>
      <c r="N114">
        <v>76.3</v>
      </c>
      <c r="O114">
        <v>36</v>
      </c>
      <c r="P114">
        <v>111.8</v>
      </c>
      <c r="Q114">
        <v>181.9</v>
      </c>
      <c r="S114" s="85" t="s">
        <v>74</v>
      </c>
      <c r="T114" t="s">
        <v>44</v>
      </c>
      <c r="U114">
        <v>7.5</v>
      </c>
      <c r="V114">
        <v>0.7</v>
      </c>
      <c r="W114">
        <v>173.1</v>
      </c>
      <c r="X114">
        <v>246.6</v>
      </c>
      <c r="AB114" s="57"/>
    </row>
    <row r="115" spans="1:37" ht="15" x14ac:dyDescent="0.35">
      <c r="A115" s="93"/>
      <c r="L115" s="69" t="s">
        <v>78</v>
      </c>
      <c r="M115" t="s">
        <v>44</v>
      </c>
      <c r="N115">
        <v>1</v>
      </c>
      <c r="O115">
        <v>11.7</v>
      </c>
      <c r="P115">
        <v>17.899999999999999</v>
      </c>
      <c r="Q115">
        <v>13.4</v>
      </c>
      <c r="S115" s="85" t="s">
        <v>75</v>
      </c>
      <c r="T115" t="s">
        <v>44</v>
      </c>
      <c r="U115">
        <v>26.2</v>
      </c>
      <c r="V115">
        <v>18.600000000000001</v>
      </c>
      <c r="W115">
        <v>294.60000000000002</v>
      </c>
      <c r="X115">
        <v>190.3</v>
      </c>
      <c r="Z115" s="85" t="s">
        <v>141</v>
      </c>
      <c r="AA115" t="s">
        <v>44</v>
      </c>
      <c r="AB115" s="57">
        <v>27.4</v>
      </c>
      <c r="AC115">
        <v>29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ht="15" x14ac:dyDescent="0.35">
      <c r="A116" s="93"/>
      <c r="L116" s="69" t="s">
        <v>79</v>
      </c>
      <c r="M116" t="s">
        <v>44</v>
      </c>
      <c r="N116">
        <v>115.8</v>
      </c>
      <c r="O116">
        <v>182.1</v>
      </c>
      <c r="P116">
        <v>3575</v>
      </c>
      <c r="Q116">
        <v>3853.5</v>
      </c>
      <c r="S116" s="85" t="s">
        <v>76</v>
      </c>
      <c r="T116" t="s">
        <v>44</v>
      </c>
      <c r="U116">
        <v>59.2</v>
      </c>
      <c r="V116">
        <v>12.3</v>
      </c>
      <c r="W116">
        <v>185.5</v>
      </c>
      <c r="X116">
        <v>276.89999999999998</v>
      </c>
      <c r="AB116" s="57"/>
    </row>
    <row r="117" spans="1:37" ht="15" x14ac:dyDescent="0.35">
      <c r="A117" s="93"/>
      <c r="L117" s="69" t="s">
        <v>86</v>
      </c>
      <c r="M117" t="s">
        <v>44</v>
      </c>
      <c r="N117">
        <v>0</v>
      </c>
      <c r="O117">
        <v>0</v>
      </c>
      <c r="P117">
        <v>1</v>
      </c>
      <c r="Q117">
        <v>7.8</v>
      </c>
      <c r="S117" s="85" t="s">
        <v>77</v>
      </c>
      <c r="T117" t="s">
        <v>44</v>
      </c>
      <c r="U117">
        <v>29.3</v>
      </c>
      <c r="V117">
        <v>76.3</v>
      </c>
      <c r="W117">
        <v>123.9</v>
      </c>
      <c r="X117">
        <v>111.8</v>
      </c>
      <c r="Z117" s="85" t="s">
        <v>142</v>
      </c>
      <c r="AA117" t="s">
        <v>44</v>
      </c>
      <c r="AB117" s="57">
        <v>25.9</v>
      </c>
      <c r="AC117">
        <v>30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ht="15" x14ac:dyDescent="0.35">
      <c r="A118" s="93"/>
      <c r="L118" s="69" t="s">
        <v>96</v>
      </c>
      <c r="M118" t="s">
        <v>44</v>
      </c>
      <c r="N118">
        <v>28</v>
      </c>
      <c r="O118">
        <v>0</v>
      </c>
      <c r="P118">
        <v>19.3</v>
      </c>
      <c r="Q118">
        <v>6.3</v>
      </c>
      <c r="S118" s="85" t="s">
        <v>145</v>
      </c>
      <c r="T118" t="s">
        <v>44</v>
      </c>
      <c r="U118">
        <v>18</v>
      </c>
      <c r="V118">
        <v>0</v>
      </c>
      <c r="W118">
        <v>0</v>
      </c>
      <c r="X118">
        <v>0</v>
      </c>
      <c r="AB118" s="57"/>
    </row>
    <row r="119" spans="1:37" ht="15" x14ac:dyDescent="0.35">
      <c r="A119" s="93"/>
      <c r="L119" s="69" t="s">
        <v>111</v>
      </c>
      <c r="M119" t="s">
        <v>44</v>
      </c>
      <c r="N119">
        <v>0</v>
      </c>
      <c r="O119">
        <v>0</v>
      </c>
      <c r="P119">
        <v>0</v>
      </c>
      <c r="Q119">
        <v>0.4</v>
      </c>
      <c r="S119" s="85" t="s">
        <v>78</v>
      </c>
      <c r="T119" t="s">
        <v>44</v>
      </c>
      <c r="U119">
        <v>2</v>
      </c>
      <c r="V119">
        <v>1</v>
      </c>
      <c r="W119">
        <v>7.1</v>
      </c>
      <c r="X119">
        <v>17.899999999999999</v>
      </c>
      <c r="Z119" s="85" t="s">
        <v>73</v>
      </c>
      <c r="AA119" t="s">
        <v>44</v>
      </c>
      <c r="AB119" s="57">
        <v>24.6</v>
      </c>
      <c r="AC119">
        <v>31</v>
      </c>
      <c r="AD119">
        <v>24.5</v>
      </c>
      <c r="AE119">
        <v>30</v>
      </c>
      <c r="AF119">
        <v>27.1</v>
      </c>
      <c r="AG119">
        <v>29</v>
      </c>
      <c r="AH119">
        <v>22.1</v>
      </c>
      <c r="AI119">
        <v>29</v>
      </c>
      <c r="AJ119">
        <v>22.8</v>
      </c>
      <c r="AK119">
        <v>32</v>
      </c>
    </row>
    <row r="120" spans="1:37" ht="15" x14ac:dyDescent="0.35">
      <c r="A120" s="93"/>
      <c r="L120" s="69" t="s">
        <v>87</v>
      </c>
      <c r="M120" t="s">
        <v>44</v>
      </c>
      <c r="N120">
        <v>0</v>
      </c>
      <c r="O120">
        <v>0</v>
      </c>
      <c r="P120">
        <v>0</v>
      </c>
      <c r="Q120">
        <v>0</v>
      </c>
      <c r="S120" s="85" t="s">
        <v>79</v>
      </c>
      <c r="T120" t="s">
        <v>44</v>
      </c>
      <c r="U120">
        <v>21.4</v>
      </c>
      <c r="V120">
        <v>115.8</v>
      </c>
      <c r="W120">
        <v>3097.8</v>
      </c>
      <c r="X120">
        <v>3575</v>
      </c>
      <c r="AB120" s="57"/>
    </row>
    <row r="121" spans="1:37" ht="15" x14ac:dyDescent="0.35">
      <c r="A121" s="93"/>
      <c r="L121" s="69" t="s">
        <v>109</v>
      </c>
      <c r="M121" t="s">
        <v>44</v>
      </c>
      <c r="N121">
        <v>0</v>
      </c>
      <c r="O121">
        <v>0</v>
      </c>
      <c r="P121">
        <v>5</v>
      </c>
      <c r="Q121">
        <v>0</v>
      </c>
      <c r="S121" s="85" t="s">
        <v>86</v>
      </c>
      <c r="T121" t="s">
        <v>44</v>
      </c>
      <c r="U121">
        <v>0.5</v>
      </c>
      <c r="V121">
        <v>0</v>
      </c>
      <c r="W121">
        <v>3.7</v>
      </c>
      <c r="X121">
        <v>1</v>
      </c>
      <c r="Z121" s="85" t="s">
        <v>105</v>
      </c>
      <c r="AA121" t="s">
        <v>44</v>
      </c>
      <c r="AB121" s="57">
        <v>22.9</v>
      </c>
      <c r="AC121">
        <v>32</v>
      </c>
      <c r="AD121">
        <v>17.3</v>
      </c>
      <c r="AE121">
        <v>33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ht="15" x14ac:dyDescent="0.35">
      <c r="A122" s="93"/>
      <c r="L122" s="69" t="s">
        <v>126</v>
      </c>
      <c r="M122" t="s">
        <v>116</v>
      </c>
      <c r="N122" t="s">
        <v>98</v>
      </c>
      <c r="O122" t="s">
        <v>115</v>
      </c>
      <c r="P122" t="s">
        <v>127</v>
      </c>
      <c r="Q122" t="s">
        <v>95</v>
      </c>
      <c r="R122" t="s">
        <v>128</v>
      </c>
      <c r="S122" s="85" t="s">
        <v>96</v>
      </c>
      <c r="T122" t="s">
        <v>44</v>
      </c>
      <c r="U122">
        <v>33</v>
      </c>
      <c r="V122">
        <v>28</v>
      </c>
      <c r="W122">
        <v>11</v>
      </c>
      <c r="X122">
        <v>19.3</v>
      </c>
      <c r="AB122" s="57"/>
    </row>
    <row r="123" spans="1:37" ht="15" x14ac:dyDescent="0.35">
      <c r="A123" s="93"/>
      <c r="L123" s="69" t="s">
        <v>80</v>
      </c>
      <c r="M123" t="s">
        <v>44</v>
      </c>
      <c r="N123">
        <v>819.3</v>
      </c>
      <c r="O123">
        <v>733.7</v>
      </c>
      <c r="P123">
        <v>30449.5</v>
      </c>
      <c r="Q123">
        <v>30288.3</v>
      </c>
      <c r="S123" s="85" t="s">
        <v>109</v>
      </c>
      <c r="T123" t="s">
        <v>44</v>
      </c>
      <c r="U123">
        <v>2.5</v>
      </c>
      <c r="V123">
        <v>0</v>
      </c>
      <c r="W123">
        <v>44.5</v>
      </c>
      <c r="X123">
        <v>5</v>
      </c>
      <c r="Z123" s="85" t="s">
        <v>101</v>
      </c>
      <c r="AA123" t="s">
        <v>44</v>
      </c>
      <c r="AB123" s="57">
        <v>15</v>
      </c>
      <c r="AC123">
        <v>33</v>
      </c>
      <c r="AD123">
        <v>65.8</v>
      </c>
      <c r="AE123">
        <v>26</v>
      </c>
      <c r="AF123">
        <v>0</v>
      </c>
      <c r="AG123">
        <v>0</v>
      </c>
      <c r="AH123">
        <v>0</v>
      </c>
      <c r="AI123">
        <v>0</v>
      </c>
      <c r="AJ123">
        <v>38.200000000000003</v>
      </c>
      <c r="AK123">
        <v>31</v>
      </c>
    </row>
    <row r="124" spans="1:37" ht="15" x14ac:dyDescent="0.35">
      <c r="A124" s="93"/>
      <c r="L124" s="69" t="s">
        <v>81</v>
      </c>
      <c r="M124" t="s">
        <v>44</v>
      </c>
      <c r="N124">
        <v>68.7</v>
      </c>
      <c r="O124">
        <v>212.5</v>
      </c>
      <c r="P124">
        <v>0</v>
      </c>
      <c r="Q124">
        <v>0</v>
      </c>
      <c r="S124" s="85" t="s">
        <v>150</v>
      </c>
      <c r="T124" t="s">
        <v>43</v>
      </c>
      <c r="U124" t="s">
        <v>98</v>
      </c>
      <c r="V124" t="s">
        <v>115</v>
      </c>
      <c r="W124" t="s">
        <v>127</v>
      </c>
      <c r="X124" t="s">
        <v>151</v>
      </c>
      <c r="Y124" t="s">
        <v>152</v>
      </c>
      <c r="AB124" s="57"/>
    </row>
    <row r="125" spans="1:37" ht="15" x14ac:dyDescent="0.35">
      <c r="A125" s="69"/>
      <c r="L125" s="69" t="s">
        <v>126</v>
      </c>
      <c r="M125" t="s">
        <v>116</v>
      </c>
      <c r="N125" t="s">
        <v>98</v>
      </c>
      <c r="O125" t="s">
        <v>115</v>
      </c>
      <c r="P125" t="s">
        <v>127</v>
      </c>
      <c r="Q125" t="s">
        <v>95</v>
      </c>
      <c r="R125" t="s">
        <v>128</v>
      </c>
      <c r="S125" s="85" t="s">
        <v>80</v>
      </c>
      <c r="T125" t="s">
        <v>44</v>
      </c>
      <c r="U125">
        <v>2113.1999999999998</v>
      </c>
      <c r="V125">
        <v>819.3</v>
      </c>
      <c r="W125">
        <v>33853.599999999999</v>
      </c>
      <c r="X125">
        <v>30449.5</v>
      </c>
      <c r="Z125" s="85" t="s">
        <v>96</v>
      </c>
      <c r="AA125" t="s">
        <v>44</v>
      </c>
      <c r="AB125" s="57">
        <v>11</v>
      </c>
      <c r="AC125">
        <v>34</v>
      </c>
      <c r="AD125">
        <v>19.3</v>
      </c>
      <c r="AE125">
        <v>31</v>
      </c>
      <c r="AF125">
        <v>6.3</v>
      </c>
      <c r="AG125">
        <v>34</v>
      </c>
      <c r="AH125">
        <v>3.3</v>
      </c>
      <c r="AI125">
        <v>36</v>
      </c>
      <c r="AJ125">
        <v>0</v>
      </c>
      <c r="AK125">
        <v>0</v>
      </c>
    </row>
    <row r="126" spans="1:37" ht="15" x14ac:dyDescent="0.35">
      <c r="A126" s="93"/>
      <c r="L126" s="69" t="s">
        <v>88</v>
      </c>
      <c r="M126" t="s">
        <v>44</v>
      </c>
      <c r="N126">
        <v>888.1</v>
      </c>
      <c r="O126">
        <v>946.3</v>
      </c>
      <c r="P126">
        <v>30449.5</v>
      </c>
      <c r="Q126">
        <v>30288.3</v>
      </c>
      <c r="S126" s="85" t="s">
        <v>81</v>
      </c>
      <c r="T126" t="s">
        <v>44</v>
      </c>
      <c r="U126">
        <v>102.9</v>
      </c>
      <c r="V126">
        <v>68.7</v>
      </c>
      <c r="W126">
        <v>0</v>
      </c>
      <c r="X126">
        <v>0</v>
      </c>
      <c r="AB126" s="57"/>
    </row>
    <row r="127" spans="1:37" ht="15" x14ac:dyDescent="0.35">
      <c r="A127" s="93"/>
      <c r="L127" s="69" t="s">
        <v>89</v>
      </c>
      <c r="M127" t="s">
        <v>44</v>
      </c>
      <c r="N127" t="s">
        <v>43</v>
      </c>
      <c r="O127" t="s">
        <v>43</v>
      </c>
      <c r="P127">
        <v>27</v>
      </c>
      <c r="Q127">
        <v>87.1</v>
      </c>
      <c r="S127" s="85" t="s">
        <v>150</v>
      </c>
      <c r="T127" t="s">
        <v>43</v>
      </c>
      <c r="U127" t="s">
        <v>98</v>
      </c>
      <c r="V127" t="s">
        <v>115</v>
      </c>
      <c r="W127" t="s">
        <v>127</v>
      </c>
      <c r="X127" t="s">
        <v>151</v>
      </c>
      <c r="Y127" t="s">
        <v>152</v>
      </c>
      <c r="Z127" s="85" t="s">
        <v>78</v>
      </c>
      <c r="AA127" t="s">
        <v>44</v>
      </c>
      <c r="AB127" s="57">
        <v>7.1</v>
      </c>
      <c r="AC127">
        <v>35</v>
      </c>
      <c r="AD127">
        <v>17.899999999999999</v>
      </c>
      <c r="AE127">
        <v>32</v>
      </c>
      <c r="AF127">
        <v>13.4</v>
      </c>
      <c r="AG127">
        <v>30</v>
      </c>
      <c r="AH127">
        <v>14.6</v>
      </c>
      <c r="AI127">
        <v>32</v>
      </c>
      <c r="AJ127">
        <v>10.199999999999999</v>
      </c>
      <c r="AK127">
        <v>34</v>
      </c>
    </row>
    <row r="128" spans="1:37" ht="15" x14ac:dyDescent="0.35">
      <c r="A128" s="93"/>
      <c r="L128" s="69" t="s">
        <v>90</v>
      </c>
      <c r="M128" t="s">
        <v>44</v>
      </c>
      <c r="N128">
        <v>0</v>
      </c>
      <c r="O128">
        <v>0</v>
      </c>
      <c r="P128" t="s">
        <v>43</v>
      </c>
      <c r="Q128" t="s">
        <v>43</v>
      </c>
      <c r="S128" s="85" t="s">
        <v>88</v>
      </c>
      <c r="T128" t="s">
        <v>44</v>
      </c>
      <c r="U128">
        <v>2216</v>
      </c>
      <c r="V128">
        <v>888.1</v>
      </c>
      <c r="W128">
        <v>33853.599999999999</v>
      </c>
      <c r="X128">
        <v>30449.5</v>
      </c>
      <c r="AB128" s="57"/>
    </row>
    <row r="129" spans="1:37" ht="15" x14ac:dyDescent="0.35">
      <c r="A129" s="69"/>
      <c r="S129" s="85" t="s">
        <v>89</v>
      </c>
      <c r="T129" t="s">
        <v>44</v>
      </c>
      <c r="U129" t="s">
        <v>43</v>
      </c>
      <c r="V129" t="s">
        <v>43</v>
      </c>
      <c r="W129">
        <v>22.8</v>
      </c>
      <c r="X129">
        <v>27</v>
      </c>
      <c r="Z129" s="85" t="s">
        <v>140</v>
      </c>
      <c r="AA129" t="s">
        <v>44</v>
      </c>
      <c r="AB129" s="57">
        <v>5</v>
      </c>
      <c r="AC129">
        <v>36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2.7</v>
      </c>
      <c r="AK129">
        <v>37</v>
      </c>
    </row>
    <row r="130" spans="1:37" ht="15" x14ac:dyDescent="0.35">
      <c r="A130" s="69"/>
      <c r="S130" s="85" t="s">
        <v>90</v>
      </c>
      <c r="T130" t="s">
        <v>44</v>
      </c>
      <c r="U130">
        <v>0</v>
      </c>
      <c r="V130">
        <v>0</v>
      </c>
      <c r="W130" t="s">
        <v>43</v>
      </c>
      <c r="X130" t="s">
        <v>43</v>
      </c>
      <c r="AB130" s="57"/>
    </row>
    <row r="131" spans="1:37" ht="15" x14ac:dyDescent="0.35">
      <c r="A131" s="69"/>
      <c r="S131" s="85" t="s">
        <v>150</v>
      </c>
      <c r="T131" t="s">
        <v>43</v>
      </c>
      <c r="U131" t="s">
        <v>98</v>
      </c>
      <c r="V131" t="s">
        <v>115</v>
      </c>
      <c r="W131" t="s">
        <v>127</v>
      </c>
      <c r="X131" t="s">
        <v>151</v>
      </c>
      <c r="Y131" t="s">
        <v>152</v>
      </c>
      <c r="Z131" s="85" t="s">
        <v>86</v>
      </c>
      <c r="AA131" t="s">
        <v>44</v>
      </c>
      <c r="AB131" s="57">
        <v>3.7</v>
      </c>
      <c r="AC131">
        <v>37</v>
      </c>
      <c r="AD131">
        <v>1</v>
      </c>
      <c r="AE131">
        <v>39</v>
      </c>
      <c r="AF131">
        <v>7.8</v>
      </c>
      <c r="AG131">
        <v>33</v>
      </c>
      <c r="AH131">
        <v>1.9</v>
      </c>
      <c r="AI131">
        <v>38</v>
      </c>
      <c r="AJ131">
        <v>0</v>
      </c>
      <c r="AK131">
        <v>0</v>
      </c>
    </row>
    <row r="132" spans="1:37" x14ac:dyDescent="0.25">
      <c r="A132" s="69"/>
      <c r="AB132" s="57"/>
    </row>
    <row r="133" spans="1:37" ht="15" x14ac:dyDescent="0.35">
      <c r="A133" s="69"/>
      <c r="Z133" s="85" t="s">
        <v>65</v>
      </c>
      <c r="AA133" t="s">
        <v>44</v>
      </c>
      <c r="AB133" s="57">
        <v>3.4</v>
      </c>
      <c r="AC133">
        <v>38</v>
      </c>
      <c r="AD133">
        <v>8.4</v>
      </c>
      <c r="AE133">
        <v>36</v>
      </c>
      <c r="AF133">
        <v>0.9</v>
      </c>
      <c r="AG133">
        <v>36</v>
      </c>
      <c r="AH133">
        <v>0.2</v>
      </c>
      <c r="AI133">
        <v>41</v>
      </c>
      <c r="AJ133">
        <v>0</v>
      </c>
      <c r="AK133">
        <v>0</v>
      </c>
    </row>
    <row r="134" spans="1:37" x14ac:dyDescent="0.25">
      <c r="A134" s="69"/>
      <c r="AB134" s="57"/>
    </row>
    <row r="135" spans="1:37" ht="15" x14ac:dyDescent="0.35">
      <c r="A135" s="69"/>
      <c r="Z135" s="85" t="s">
        <v>59</v>
      </c>
      <c r="AA135" t="s">
        <v>44</v>
      </c>
      <c r="AB135" s="57">
        <v>0.3</v>
      </c>
      <c r="AC135">
        <v>39</v>
      </c>
      <c r="AD135">
        <v>0.4</v>
      </c>
      <c r="AE135">
        <v>40</v>
      </c>
      <c r="AF135">
        <v>0</v>
      </c>
      <c r="AG135">
        <v>0</v>
      </c>
      <c r="AH135">
        <v>0</v>
      </c>
      <c r="AI135">
        <v>0</v>
      </c>
      <c r="AJ135">
        <v>0.9</v>
      </c>
      <c r="AK135">
        <v>38</v>
      </c>
    </row>
    <row r="136" spans="1:37" x14ac:dyDescent="0.25">
      <c r="A136" s="69"/>
      <c r="AB136" s="57"/>
    </row>
    <row r="137" spans="1:37" ht="15" x14ac:dyDescent="0.35">
      <c r="A137" s="69"/>
      <c r="Z137" s="85" t="s">
        <v>99</v>
      </c>
      <c r="AA137" t="s">
        <v>44</v>
      </c>
      <c r="AB137" s="57">
        <v>0.2</v>
      </c>
      <c r="AC137">
        <v>40</v>
      </c>
      <c r="AD137">
        <v>0</v>
      </c>
      <c r="AE137">
        <v>0</v>
      </c>
      <c r="AF137">
        <v>2.5</v>
      </c>
      <c r="AG137">
        <v>35</v>
      </c>
      <c r="AH137">
        <v>20</v>
      </c>
      <c r="AI137">
        <v>31</v>
      </c>
      <c r="AJ137">
        <v>12.9</v>
      </c>
      <c r="AK137">
        <v>33</v>
      </c>
    </row>
    <row r="138" spans="1:37" x14ac:dyDescent="0.25">
      <c r="A138" s="69"/>
      <c r="AB138" s="57"/>
    </row>
    <row r="139" spans="1:37" ht="15" x14ac:dyDescent="0.35">
      <c r="A139" s="69"/>
      <c r="Z139" s="85" t="s">
        <v>49</v>
      </c>
      <c r="AA139" t="s">
        <v>44</v>
      </c>
      <c r="AB139" s="57">
        <v>0</v>
      </c>
      <c r="AC139">
        <v>0</v>
      </c>
      <c r="AD139">
        <v>194.2</v>
      </c>
      <c r="AE139">
        <v>18</v>
      </c>
      <c r="AF139">
        <v>228.3</v>
      </c>
      <c r="AG139">
        <v>20</v>
      </c>
      <c r="AH139">
        <v>167.3</v>
      </c>
      <c r="AI139">
        <v>18</v>
      </c>
      <c r="AJ139">
        <v>328.5</v>
      </c>
      <c r="AK139">
        <v>14</v>
      </c>
    </row>
    <row r="140" spans="1:37" x14ac:dyDescent="0.25">
      <c r="A140" s="69"/>
      <c r="AB140" s="57"/>
    </row>
    <row r="141" spans="1:37" ht="15" x14ac:dyDescent="0.35">
      <c r="A141" s="69"/>
      <c r="Z141" s="85" t="s">
        <v>94</v>
      </c>
      <c r="AA141" t="s">
        <v>44</v>
      </c>
      <c r="AB141" s="57">
        <v>0</v>
      </c>
      <c r="AC141">
        <v>0</v>
      </c>
      <c r="AD141">
        <v>62.5</v>
      </c>
      <c r="AE141">
        <v>27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s="69"/>
      <c r="AB142" s="57"/>
    </row>
    <row r="143" spans="1:37" ht="15" x14ac:dyDescent="0.35">
      <c r="A143" s="69"/>
      <c r="Z143" s="85" t="s">
        <v>92</v>
      </c>
      <c r="AA143" t="s">
        <v>44</v>
      </c>
      <c r="AB143" s="57">
        <v>0</v>
      </c>
      <c r="AC143">
        <v>0</v>
      </c>
      <c r="AD143">
        <v>37.5</v>
      </c>
      <c r="AE143">
        <v>29</v>
      </c>
      <c r="AF143">
        <v>248.8</v>
      </c>
      <c r="AG143">
        <v>19</v>
      </c>
      <c r="AH143">
        <v>77</v>
      </c>
      <c r="AI143">
        <v>25</v>
      </c>
      <c r="AJ143">
        <v>194.5</v>
      </c>
      <c r="AK143">
        <v>20</v>
      </c>
    </row>
    <row r="144" spans="1:37" x14ac:dyDescent="0.25">
      <c r="A144" s="69"/>
      <c r="AB144" s="57"/>
    </row>
    <row r="145" spans="1:37" ht="15" x14ac:dyDescent="0.35">
      <c r="A145" s="69"/>
      <c r="Z145" s="85" t="s">
        <v>84</v>
      </c>
      <c r="AA145" t="s">
        <v>44</v>
      </c>
      <c r="AB145" s="57">
        <v>0</v>
      </c>
      <c r="AC145">
        <v>0</v>
      </c>
      <c r="AD145">
        <v>10.9</v>
      </c>
      <c r="AE145">
        <v>35</v>
      </c>
      <c r="AF145">
        <v>0</v>
      </c>
      <c r="AG145">
        <v>0</v>
      </c>
      <c r="AH145">
        <v>0</v>
      </c>
      <c r="AI145">
        <v>0</v>
      </c>
      <c r="AJ145">
        <v>42.9</v>
      </c>
      <c r="AK145">
        <v>30</v>
      </c>
    </row>
    <row r="146" spans="1:37" x14ac:dyDescent="0.25">
      <c r="A146" s="69"/>
      <c r="AB146" s="57"/>
    </row>
    <row r="147" spans="1:37" ht="15" x14ac:dyDescent="0.35">
      <c r="A147" s="69"/>
      <c r="Z147" s="85" t="s">
        <v>52</v>
      </c>
      <c r="AA147" t="s">
        <v>44</v>
      </c>
      <c r="AB147" s="57">
        <v>0</v>
      </c>
      <c r="AC147">
        <v>0</v>
      </c>
      <c r="AD147">
        <v>2.5</v>
      </c>
      <c r="AE147">
        <v>38</v>
      </c>
      <c r="AF147">
        <v>64</v>
      </c>
      <c r="AG147">
        <v>27</v>
      </c>
      <c r="AH147">
        <v>47.3</v>
      </c>
      <c r="AI147">
        <v>27</v>
      </c>
      <c r="AJ147">
        <v>162.1</v>
      </c>
      <c r="AK147">
        <v>24</v>
      </c>
    </row>
    <row r="148" spans="1:37" x14ac:dyDescent="0.25">
      <c r="A148" s="69"/>
      <c r="AB148" s="57"/>
    </row>
    <row r="149" spans="1:37" ht="15" x14ac:dyDescent="0.35">
      <c r="A149" s="69"/>
      <c r="Z149" s="85" t="s">
        <v>104</v>
      </c>
      <c r="AA149" t="s">
        <v>44</v>
      </c>
      <c r="AB149" s="57">
        <v>0</v>
      </c>
      <c r="AC149">
        <v>0</v>
      </c>
      <c r="AD149">
        <v>0.4</v>
      </c>
      <c r="AE149">
        <v>41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s="69"/>
      <c r="AB150" s="57"/>
    </row>
    <row r="151" spans="1:37" ht="15" x14ac:dyDescent="0.35">
      <c r="A151" s="69"/>
      <c r="Z151" s="85" t="s">
        <v>50</v>
      </c>
      <c r="AA151" t="s">
        <v>44</v>
      </c>
      <c r="AB151" s="57">
        <v>0</v>
      </c>
      <c r="AC151">
        <v>0</v>
      </c>
      <c r="AD151">
        <v>0</v>
      </c>
      <c r="AE151">
        <v>0</v>
      </c>
      <c r="AF151">
        <v>74.099999999999994</v>
      </c>
      <c r="AG151">
        <v>25</v>
      </c>
      <c r="AH151">
        <v>97</v>
      </c>
      <c r="AI151">
        <v>24</v>
      </c>
      <c r="AJ151">
        <v>73.3</v>
      </c>
      <c r="AK151">
        <v>28</v>
      </c>
    </row>
    <row r="152" spans="1:37" x14ac:dyDescent="0.25">
      <c r="A152" s="69"/>
      <c r="AB152" s="57"/>
    </row>
    <row r="153" spans="1:37" ht="15" x14ac:dyDescent="0.35">
      <c r="A153" s="69"/>
      <c r="Z153" s="85" t="s">
        <v>108</v>
      </c>
      <c r="AA153" t="s">
        <v>44</v>
      </c>
      <c r="AB153" s="57">
        <v>0</v>
      </c>
      <c r="AC153">
        <v>0</v>
      </c>
      <c r="AD153">
        <v>0</v>
      </c>
      <c r="AE153">
        <v>0</v>
      </c>
      <c r="AF153">
        <v>7.9</v>
      </c>
      <c r="AG153">
        <v>32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s="69"/>
      <c r="AB154" s="57"/>
    </row>
    <row r="155" spans="1:37" ht="15" x14ac:dyDescent="0.35">
      <c r="A155" s="69"/>
      <c r="Z155" s="85" t="s">
        <v>111</v>
      </c>
      <c r="AA155" t="s">
        <v>44</v>
      </c>
      <c r="AB155" s="57">
        <v>0</v>
      </c>
      <c r="AC155">
        <v>0</v>
      </c>
      <c r="AD155">
        <v>0</v>
      </c>
      <c r="AE155">
        <v>0</v>
      </c>
      <c r="AF155">
        <v>0.4</v>
      </c>
      <c r="AG155">
        <v>37</v>
      </c>
      <c r="AH155">
        <v>0</v>
      </c>
      <c r="AI155">
        <v>0</v>
      </c>
      <c r="AJ155">
        <v>10.199999999999999</v>
      </c>
      <c r="AK155">
        <v>35</v>
      </c>
    </row>
    <row r="156" spans="1:37" x14ac:dyDescent="0.25">
      <c r="A156" s="69"/>
      <c r="AB156" s="57"/>
    </row>
    <row r="157" spans="1:37" ht="15" x14ac:dyDescent="0.35">
      <c r="A157" s="69"/>
      <c r="Z157" s="85" t="s">
        <v>103</v>
      </c>
      <c r="AA157" t="s">
        <v>44</v>
      </c>
      <c r="AB157" s="57">
        <v>0</v>
      </c>
      <c r="AC157">
        <v>0</v>
      </c>
      <c r="AD157">
        <v>0</v>
      </c>
      <c r="AE157">
        <v>0</v>
      </c>
      <c r="AF157">
        <v>0.1</v>
      </c>
      <c r="AG157">
        <v>38</v>
      </c>
      <c r="AH157">
        <v>0.7</v>
      </c>
      <c r="AI157">
        <v>40</v>
      </c>
      <c r="AJ157">
        <v>0</v>
      </c>
      <c r="AK157">
        <v>0</v>
      </c>
    </row>
    <row r="158" spans="1:37" x14ac:dyDescent="0.25">
      <c r="A158" s="69"/>
      <c r="AB158" s="57"/>
    </row>
    <row r="159" spans="1:37" ht="15" x14ac:dyDescent="0.35">
      <c r="A159" s="69"/>
      <c r="Z159" s="85" t="s">
        <v>189</v>
      </c>
      <c r="AA159" t="s">
        <v>44</v>
      </c>
      <c r="AB159" s="57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6.5</v>
      </c>
      <c r="AI159">
        <v>33</v>
      </c>
      <c r="AJ159">
        <v>0</v>
      </c>
      <c r="AK159">
        <v>0</v>
      </c>
    </row>
    <row r="160" spans="1:37" x14ac:dyDescent="0.25">
      <c r="AB160" s="57"/>
    </row>
    <row r="161" spans="26:37" ht="15" x14ac:dyDescent="0.35">
      <c r="Z161" s="85" t="s">
        <v>87</v>
      </c>
      <c r="AA161" t="s">
        <v>44</v>
      </c>
      <c r="AB161" s="57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5.8</v>
      </c>
      <c r="AI161">
        <v>34</v>
      </c>
      <c r="AJ161">
        <v>67</v>
      </c>
      <c r="AK161">
        <v>29</v>
      </c>
    </row>
    <row r="162" spans="26:37" x14ac:dyDescent="0.25">
      <c r="AB162" s="57"/>
    </row>
    <row r="163" spans="26:37" ht="15" x14ac:dyDescent="0.35">
      <c r="Z163" s="85" t="s">
        <v>190</v>
      </c>
      <c r="AA163" t="s">
        <v>44</v>
      </c>
      <c r="AB163" s="57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4.7</v>
      </c>
      <c r="AI163">
        <v>35</v>
      </c>
      <c r="AJ163">
        <v>0</v>
      </c>
      <c r="AK163">
        <v>0</v>
      </c>
    </row>
    <row r="164" spans="26:37" x14ac:dyDescent="0.25">
      <c r="AB164" s="57"/>
    </row>
    <row r="165" spans="26:37" ht="15" x14ac:dyDescent="0.35">
      <c r="Z165" s="85" t="s">
        <v>191</v>
      </c>
      <c r="AA165" t="s">
        <v>44</v>
      </c>
      <c r="AB165" s="57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3.1</v>
      </c>
      <c r="AI165">
        <v>37</v>
      </c>
      <c r="AJ165">
        <v>0</v>
      </c>
      <c r="AK165">
        <v>0</v>
      </c>
    </row>
    <row r="166" spans="26:37" x14ac:dyDescent="0.25">
      <c r="AB166" s="57"/>
    </row>
    <row r="167" spans="26:37" ht="15" x14ac:dyDescent="0.35">
      <c r="Z167" s="85" t="s">
        <v>192</v>
      </c>
      <c r="AA167" t="s">
        <v>44</v>
      </c>
      <c r="AB167" s="5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0.5</v>
      </c>
      <c r="AK167">
        <v>39</v>
      </c>
    </row>
    <row r="168" spans="26:37" x14ac:dyDescent="0.25">
      <c r="AB168" s="57"/>
    </row>
    <row r="169" spans="26:37" ht="15" x14ac:dyDescent="0.35">
      <c r="Z169" s="85" t="s">
        <v>98</v>
      </c>
      <c r="AA169" t="s">
        <v>187</v>
      </c>
      <c r="AB169" s="57" t="s">
        <v>95</v>
      </c>
      <c r="AC169" t="s">
        <v>128</v>
      </c>
      <c r="AD169" t="s">
        <v>95</v>
      </c>
      <c r="AE169" t="s">
        <v>128</v>
      </c>
      <c r="AF169" t="s">
        <v>95</v>
      </c>
      <c r="AG169" t="s">
        <v>128</v>
      </c>
      <c r="AH169" t="s">
        <v>95</v>
      </c>
      <c r="AI169" t="s">
        <v>188</v>
      </c>
      <c r="AJ169" t="s">
        <v>98</v>
      </c>
      <c r="AK169" t="s">
        <v>128</v>
      </c>
    </row>
    <row r="170" spans="26:37" ht="15" x14ac:dyDescent="0.35">
      <c r="Z170" s="85" t="s">
        <v>193</v>
      </c>
      <c r="AA170" t="s">
        <v>44</v>
      </c>
      <c r="AB170" s="57">
        <v>33853.599999999999</v>
      </c>
      <c r="AD170">
        <v>30449.5</v>
      </c>
      <c r="AF170">
        <v>30288.3</v>
      </c>
      <c r="AH170">
        <v>25510.3</v>
      </c>
      <c r="AJ170">
        <v>29966</v>
      </c>
    </row>
  </sheetData>
  <mergeCells count="1">
    <mergeCell ref="M40:U40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29"/>
  <sheetViews>
    <sheetView workbookViewId="0"/>
  </sheetViews>
  <sheetFormatPr defaultRowHeight="13.2" x14ac:dyDescent="0.25"/>
  <cols>
    <col min="29" max="29" width="2.109375" customWidth="1"/>
    <col min="32" max="32" width="3.6640625" customWidth="1"/>
    <col min="34" max="34" width="2.6640625" customWidth="1"/>
  </cols>
  <sheetData>
    <row r="1" spans="1:49" ht="15" x14ac:dyDescent="0.25">
      <c r="A1" s="93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N1" s="96"/>
      <c r="P1" t="s">
        <v>193</v>
      </c>
      <c r="Q1" t="s">
        <v>197</v>
      </c>
      <c r="R1" t="s">
        <v>198</v>
      </c>
      <c r="S1" t="s">
        <v>199</v>
      </c>
      <c r="T1" t="s">
        <v>200</v>
      </c>
      <c r="U1" t="s">
        <v>201</v>
      </c>
      <c r="V1" t="s">
        <v>185</v>
      </c>
      <c r="AK1" s="96" t="s">
        <v>155</v>
      </c>
      <c r="AL1" t="s">
        <v>156</v>
      </c>
      <c r="AM1" t="s">
        <v>157</v>
      </c>
      <c r="AN1" t="s">
        <v>158</v>
      </c>
      <c r="AO1" t="s">
        <v>159</v>
      </c>
      <c r="AP1" t="s">
        <v>160</v>
      </c>
      <c r="AQ1" t="s">
        <v>161</v>
      </c>
      <c r="AR1" t="s">
        <v>162</v>
      </c>
    </row>
    <row r="2" spans="1:49" ht="15" x14ac:dyDescent="0.25">
      <c r="A2" s="93"/>
      <c r="C2" t="s">
        <v>163</v>
      </c>
      <c r="D2" t="s">
        <v>234</v>
      </c>
      <c r="E2" t="s">
        <v>235</v>
      </c>
      <c r="F2" t="s">
        <v>236</v>
      </c>
      <c r="G2" t="s">
        <v>237</v>
      </c>
      <c r="H2" t="s">
        <v>168</v>
      </c>
      <c r="I2" t="s">
        <v>221</v>
      </c>
      <c r="J2" s="86">
        <v>41306</v>
      </c>
      <c r="N2" s="96"/>
      <c r="P2" t="s">
        <v>163</v>
      </c>
      <c r="Q2" t="s">
        <v>164</v>
      </c>
      <c r="R2" t="s">
        <v>165</v>
      </c>
      <c r="S2" t="s">
        <v>166</v>
      </c>
      <c r="T2" t="s">
        <v>167</v>
      </c>
      <c r="U2" t="s">
        <v>168</v>
      </c>
      <c r="V2" t="s">
        <v>169</v>
      </c>
      <c r="W2" s="86">
        <v>40422</v>
      </c>
      <c r="AK2" s="96"/>
      <c r="AM2" t="s">
        <v>163</v>
      </c>
      <c r="AN2" t="s">
        <v>164</v>
      </c>
      <c r="AO2" t="s">
        <v>165</v>
      </c>
      <c r="AP2" t="s">
        <v>166</v>
      </c>
      <c r="AQ2" t="s">
        <v>167</v>
      </c>
      <c r="AR2" t="s">
        <v>168</v>
      </c>
      <c r="AS2" t="s">
        <v>221</v>
      </c>
      <c r="AT2" t="s">
        <v>222</v>
      </c>
    </row>
    <row r="3" spans="1:49" ht="15" x14ac:dyDescent="0.25">
      <c r="A3" s="93"/>
      <c r="D3" t="s">
        <v>238</v>
      </c>
      <c r="E3" t="s">
        <v>239</v>
      </c>
      <c r="F3" t="s">
        <v>240</v>
      </c>
      <c r="G3" t="s">
        <v>241</v>
      </c>
      <c r="H3" t="s">
        <v>174</v>
      </c>
      <c r="I3" t="s">
        <v>175</v>
      </c>
      <c r="N3" s="96"/>
      <c r="Q3" t="s">
        <v>170</v>
      </c>
      <c r="R3" t="s">
        <v>171</v>
      </c>
      <c r="S3" t="s">
        <v>172</v>
      </c>
      <c r="T3" t="s">
        <v>173</v>
      </c>
      <c r="U3" t="s">
        <v>202</v>
      </c>
      <c r="V3" t="s">
        <v>203</v>
      </c>
      <c r="AC3" s="96" t="s">
        <v>41</v>
      </c>
      <c r="AK3" s="96"/>
      <c r="AN3" t="s">
        <v>170</v>
      </c>
      <c r="AO3" t="s">
        <v>171</v>
      </c>
      <c r="AP3" t="s">
        <v>172</v>
      </c>
      <c r="AQ3" t="s">
        <v>173</v>
      </c>
      <c r="AR3" t="s">
        <v>174</v>
      </c>
      <c r="AS3" t="s">
        <v>175</v>
      </c>
    </row>
    <row r="4" spans="1:49" ht="15" x14ac:dyDescent="0.25">
      <c r="A4" s="93"/>
      <c r="E4" t="s">
        <v>176</v>
      </c>
      <c r="F4" t="s">
        <v>177</v>
      </c>
      <c r="G4" t="s">
        <v>178</v>
      </c>
      <c r="H4" t="s">
        <v>179</v>
      </c>
      <c r="N4" s="96"/>
      <c r="R4" t="s">
        <v>176</v>
      </c>
      <c r="S4" t="s">
        <v>177</v>
      </c>
      <c r="T4" t="s">
        <v>178</v>
      </c>
      <c r="U4" t="s">
        <v>179</v>
      </c>
      <c r="AC4" s="96" t="s">
        <v>146</v>
      </c>
      <c r="AD4" t="s">
        <v>147</v>
      </c>
      <c r="AE4" t="s">
        <v>119</v>
      </c>
      <c r="AF4" t="s">
        <v>120</v>
      </c>
      <c r="AG4" t="s">
        <v>213</v>
      </c>
      <c r="AH4" t="s">
        <v>214</v>
      </c>
      <c r="AK4" s="96"/>
      <c r="AO4" t="s">
        <v>176</v>
      </c>
      <c r="AP4" t="s">
        <v>177</v>
      </c>
      <c r="AQ4" t="s">
        <v>178</v>
      </c>
      <c r="AR4" t="s">
        <v>179</v>
      </c>
    </row>
    <row r="5" spans="1:49" ht="15" x14ac:dyDescent="0.25">
      <c r="A5" s="93"/>
      <c r="N5" s="95"/>
      <c r="AC5" s="96" t="s">
        <v>215</v>
      </c>
      <c r="AD5" t="s">
        <v>149</v>
      </c>
      <c r="AE5" t="s">
        <v>124</v>
      </c>
      <c r="AF5" t="s">
        <v>125</v>
      </c>
      <c r="AG5" s="17">
        <v>37499</v>
      </c>
      <c r="AH5">
        <v>11</v>
      </c>
      <c r="AK5" s="95"/>
    </row>
    <row r="6" spans="1:49" ht="15" x14ac:dyDescent="0.25">
      <c r="A6" s="93"/>
      <c r="C6" t="s">
        <v>339</v>
      </c>
      <c r="D6">
        <v>2013</v>
      </c>
      <c r="E6" t="s">
        <v>242</v>
      </c>
      <c r="F6">
        <v>2012</v>
      </c>
      <c r="G6" t="s">
        <v>223</v>
      </c>
      <c r="H6">
        <v>2011</v>
      </c>
      <c r="I6" t="s">
        <v>204</v>
      </c>
      <c r="J6">
        <v>2010</v>
      </c>
      <c r="K6" t="s">
        <v>180</v>
      </c>
      <c r="L6">
        <v>2009</v>
      </c>
      <c r="N6" s="96"/>
      <c r="P6" t="s">
        <v>204</v>
      </c>
      <c r="Q6">
        <v>2010</v>
      </c>
      <c r="R6" t="s">
        <v>180</v>
      </c>
      <c r="S6">
        <v>2009</v>
      </c>
      <c r="T6" t="s">
        <v>181</v>
      </c>
      <c r="U6">
        <v>2008</v>
      </c>
      <c r="V6" t="s">
        <v>182</v>
      </c>
      <c r="W6">
        <v>2007</v>
      </c>
      <c r="X6" t="s">
        <v>183</v>
      </c>
      <c r="Y6">
        <v>2006</v>
      </c>
      <c r="AC6" s="96" t="s">
        <v>42</v>
      </c>
      <c r="AK6" s="96"/>
      <c r="AM6" t="s">
        <v>223</v>
      </c>
      <c r="AN6">
        <v>2011</v>
      </c>
      <c r="AO6" t="s">
        <v>204</v>
      </c>
      <c r="AP6">
        <v>2010</v>
      </c>
      <c r="AQ6" t="s">
        <v>180</v>
      </c>
      <c r="AR6">
        <v>2009</v>
      </c>
      <c r="AS6" t="s">
        <v>181</v>
      </c>
      <c r="AT6">
        <v>2008</v>
      </c>
      <c r="AU6" t="s">
        <v>182</v>
      </c>
      <c r="AV6">
        <v>2007</v>
      </c>
    </row>
    <row r="7" spans="1:49" ht="15" x14ac:dyDescent="0.25">
      <c r="A7" s="93" t="s">
        <v>185</v>
      </c>
      <c r="C7" t="s">
        <v>114</v>
      </c>
      <c r="D7" t="s">
        <v>186</v>
      </c>
      <c r="E7" t="s">
        <v>114</v>
      </c>
      <c r="F7" t="s">
        <v>224</v>
      </c>
      <c r="G7" t="s">
        <v>243</v>
      </c>
      <c r="H7" t="s">
        <v>186</v>
      </c>
      <c r="I7" t="s">
        <v>114</v>
      </c>
      <c r="J7" t="s">
        <v>186</v>
      </c>
      <c r="K7" t="s">
        <v>114</v>
      </c>
      <c r="L7" t="s">
        <v>186</v>
      </c>
      <c r="N7" s="96" t="s">
        <v>185</v>
      </c>
      <c r="P7" t="s">
        <v>114</v>
      </c>
      <c r="Q7" t="s">
        <v>186</v>
      </c>
      <c r="R7" t="s">
        <v>114</v>
      </c>
      <c r="S7" t="s">
        <v>186</v>
      </c>
      <c r="T7" t="s">
        <v>114</v>
      </c>
      <c r="U7" t="s">
        <v>186</v>
      </c>
      <c r="V7" t="s">
        <v>114</v>
      </c>
      <c r="W7" t="s">
        <v>186</v>
      </c>
      <c r="X7" t="s">
        <v>114</v>
      </c>
      <c r="Y7" t="s">
        <v>186</v>
      </c>
      <c r="AC7" s="96" t="s">
        <v>150</v>
      </c>
      <c r="AD7" t="s">
        <v>43</v>
      </c>
      <c r="AE7" t="s">
        <v>98</v>
      </c>
      <c r="AF7" t="s">
        <v>115</v>
      </c>
      <c r="AG7" t="s">
        <v>216</v>
      </c>
      <c r="AH7" t="s">
        <v>216</v>
      </c>
      <c r="AI7" t="s">
        <v>152</v>
      </c>
      <c r="AK7" s="96" t="s">
        <v>185</v>
      </c>
      <c r="AM7" t="s">
        <v>114</v>
      </c>
      <c r="AN7" t="s">
        <v>186</v>
      </c>
      <c r="AO7" t="s">
        <v>114</v>
      </c>
      <c r="AP7" t="s">
        <v>186</v>
      </c>
      <c r="AQ7" t="s">
        <v>114</v>
      </c>
      <c r="AR7" t="s">
        <v>186</v>
      </c>
      <c r="AS7" t="s">
        <v>114</v>
      </c>
      <c r="AT7" t="s">
        <v>186</v>
      </c>
      <c r="AU7" t="s">
        <v>114</v>
      </c>
      <c r="AV7" t="s">
        <v>224</v>
      </c>
      <c r="AW7" t="s">
        <v>225</v>
      </c>
    </row>
    <row r="8" spans="1:49" ht="15" x14ac:dyDescent="0.25">
      <c r="A8" s="93" t="s">
        <v>98</v>
      </c>
      <c r="B8" t="s">
        <v>187</v>
      </c>
      <c r="C8" t="s">
        <v>95</v>
      </c>
      <c r="D8" t="s">
        <v>188</v>
      </c>
      <c r="E8" t="s">
        <v>98</v>
      </c>
      <c r="F8" t="s">
        <v>152</v>
      </c>
      <c r="G8" t="s">
        <v>151</v>
      </c>
      <c r="H8" t="s">
        <v>128</v>
      </c>
      <c r="I8" t="s">
        <v>95</v>
      </c>
      <c r="J8" t="s">
        <v>188</v>
      </c>
      <c r="K8" t="s">
        <v>98</v>
      </c>
      <c r="L8" t="s">
        <v>128</v>
      </c>
      <c r="N8" s="96" t="s">
        <v>98</v>
      </c>
      <c r="O8" t="s">
        <v>187</v>
      </c>
      <c r="P8" t="s">
        <v>95</v>
      </c>
      <c r="Q8" t="s">
        <v>128</v>
      </c>
      <c r="R8" t="s">
        <v>95</v>
      </c>
      <c r="S8" t="s">
        <v>128</v>
      </c>
      <c r="T8" t="s">
        <v>95</v>
      </c>
      <c r="U8" t="s">
        <v>188</v>
      </c>
      <c r="V8" t="s">
        <v>98</v>
      </c>
      <c r="W8" t="s">
        <v>188</v>
      </c>
      <c r="X8" t="s">
        <v>98</v>
      </c>
      <c r="Y8" t="s">
        <v>128</v>
      </c>
      <c r="AC8" s="96"/>
      <c r="AD8" t="s">
        <v>44</v>
      </c>
      <c r="AE8" t="s">
        <v>129</v>
      </c>
      <c r="AF8" t="s">
        <v>130</v>
      </c>
      <c r="AG8" t="s">
        <v>217</v>
      </c>
      <c r="AH8" t="s">
        <v>218</v>
      </c>
      <c r="AK8" s="96" t="s">
        <v>98</v>
      </c>
      <c r="AL8" t="s">
        <v>187</v>
      </c>
      <c r="AM8" t="s">
        <v>95</v>
      </c>
      <c r="AN8" t="s">
        <v>128</v>
      </c>
      <c r="AO8" t="s">
        <v>95</v>
      </c>
      <c r="AP8" t="s">
        <v>128</v>
      </c>
      <c r="AQ8" t="s">
        <v>95</v>
      </c>
      <c r="AR8" t="s">
        <v>128</v>
      </c>
      <c r="AS8" t="s">
        <v>95</v>
      </c>
      <c r="AT8" t="s">
        <v>188</v>
      </c>
      <c r="AU8" t="s">
        <v>98</v>
      </c>
      <c r="AV8" t="s">
        <v>152</v>
      </c>
      <c r="AW8" t="s">
        <v>43</v>
      </c>
    </row>
    <row r="9" spans="1:49" ht="15" x14ac:dyDescent="0.25">
      <c r="A9" s="93" t="s">
        <v>57</v>
      </c>
      <c r="B9" t="s">
        <v>44</v>
      </c>
      <c r="C9">
        <v>21522.400000000001</v>
      </c>
      <c r="D9">
        <v>1</v>
      </c>
      <c r="E9">
        <v>23506.9</v>
      </c>
      <c r="F9">
        <v>1</v>
      </c>
      <c r="G9">
        <v>24444.7</v>
      </c>
      <c r="H9">
        <v>1</v>
      </c>
      <c r="I9">
        <v>22453.8</v>
      </c>
      <c r="J9">
        <v>1</v>
      </c>
      <c r="K9">
        <v>18681.3</v>
      </c>
      <c r="L9">
        <v>1</v>
      </c>
      <c r="N9" s="96" t="s">
        <v>57</v>
      </c>
      <c r="O9" t="s">
        <v>44</v>
      </c>
      <c r="P9">
        <v>22453.8</v>
      </c>
      <c r="Q9">
        <v>1</v>
      </c>
      <c r="R9">
        <v>18681.3</v>
      </c>
      <c r="S9">
        <v>1</v>
      </c>
      <c r="T9">
        <v>13353.3</v>
      </c>
      <c r="U9">
        <v>1</v>
      </c>
      <c r="V9">
        <v>11454.6</v>
      </c>
      <c r="W9">
        <v>1</v>
      </c>
      <c r="X9">
        <v>9706.2999999999993</v>
      </c>
      <c r="Y9">
        <v>1</v>
      </c>
      <c r="AC9" s="96"/>
      <c r="AD9" t="s">
        <v>44</v>
      </c>
      <c r="AE9" t="s">
        <v>98</v>
      </c>
      <c r="AF9" t="s">
        <v>115</v>
      </c>
      <c r="AG9" t="s">
        <v>216</v>
      </c>
      <c r="AH9" t="s">
        <v>216</v>
      </c>
      <c r="AI9" t="s">
        <v>152</v>
      </c>
      <c r="AK9" s="96" t="s">
        <v>57</v>
      </c>
      <c r="AL9" t="s">
        <v>44</v>
      </c>
      <c r="AM9">
        <v>24444.7</v>
      </c>
      <c r="AN9">
        <v>1</v>
      </c>
      <c r="AO9">
        <v>22453.8</v>
      </c>
      <c r="AP9">
        <v>1</v>
      </c>
      <c r="AQ9">
        <v>18681.3</v>
      </c>
      <c r="AR9">
        <v>1</v>
      </c>
      <c r="AS9">
        <v>13353.3</v>
      </c>
      <c r="AT9">
        <v>1</v>
      </c>
      <c r="AU9">
        <v>11454.6</v>
      </c>
      <c r="AV9">
        <v>1</v>
      </c>
    </row>
    <row r="10" spans="1:49" ht="15" x14ac:dyDescent="0.25">
      <c r="A10" s="93"/>
      <c r="N10" s="95"/>
      <c r="AC10" s="96" t="s">
        <v>47</v>
      </c>
      <c r="AD10" t="s">
        <v>44</v>
      </c>
      <c r="AE10" t="s">
        <v>195</v>
      </c>
      <c r="AF10" t="s">
        <v>219</v>
      </c>
      <c r="AG10" t="s">
        <v>220</v>
      </c>
      <c r="AH10" t="s">
        <v>219</v>
      </c>
      <c r="AK10" s="95"/>
    </row>
    <row r="11" spans="1:49" ht="15" x14ac:dyDescent="0.25">
      <c r="A11" s="93" t="s">
        <v>79</v>
      </c>
      <c r="B11" t="s">
        <v>44</v>
      </c>
      <c r="C11">
        <v>2565.4</v>
      </c>
      <c r="D11">
        <v>2</v>
      </c>
      <c r="E11">
        <v>3153.1</v>
      </c>
      <c r="F11">
        <v>2</v>
      </c>
      <c r="G11">
        <v>3214.7</v>
      </c>
      <c r="H11">
        <v>2</v>
      </c>
      <c r="I11">
        <v>3276.4</v>
      </c>
      <c r="J11">
        <v>2</v>
      </c>
      <c r="K11">
        <v>3097.8</v>
      </c>
      <c r="L11">
        <v>2</v>
      </c>
      <c r="N11" s="96" t="s">
        <v>79</v>
      </c>
      <c r="O11" t="s">
        <v>44</v>
      </c>
      <c r="P11">
        <v>3276.4</v>
      </c>
      <c r="Q11">
        <v>2</v>
      </c>
      <c r="R11">
        <v>3097.8</v>
      </c>
      <c r="S11">
        <v>2</v>
      </c>
      <c r="T11">
        <v>3575</v>
      </c>
      <c r="U11">
        <v>2</v>
      </c>
      <c r="V11">
        <v>3853.5</v>
      </c>
      <c r="W11">
        <v>2</v>
      </c>
      <c r="X11">
        <v>3594</v>
      </c>
      <c r="Y11">
        <v>2</v>
      </c>
      <c r="AC11" s="96" t="s">
        <v>150</v>
      </c>
      <c r="AD11" t="s">
        <v>43</v>
      </c>
      <c r="AE11" t="s">
        <v>98</v>
      </c>
      <c r="AF11" t="s">
        <v>115</v>
      </c>
      <c r="AG11" t="s">
        <v>216</v>
      </c>
      <c r="AH11" t="s">
        <v>216</v>
      </c>
      <c r="AI11" t="s">
        <v>152</v>
      </c>
      <c r="AK11" s="96" t="s">
        <v>79</v>
      </c>
      <c r="AL11" t="s">
        <v>44</v>
      </c>
      <c r="AM11">
        <v>3214.7</v>
      </c>
      <c r="AN11">
        <v>2</v>
      </c>
      <c r="AO11">
        <v>3276.4</v>
      </c>
      <c r="AP11">
        <v>2</v>
      </c>
      <c r="AQ11">
        <v>3097.8</v>
      </c>
      <c r="AR11">
        <v>2</v>
      </c>
      <c r="AS11">
        <v>3575</v>
      </c>
      <c r="AT11">
        <v>2</v>
      </c>
      <c r="AU11">
        <v>3853.5</v>
      </c>
      <c r="AV11">
        <v>2</v>
      </c>
    </row>
    <row r="12" spans="1:49" ht="15" x14ac:dyDescent="0.25">
      <c r="A12" s="93"/>
      <c r="N12" s="95"/>
      <c r="AC12" s="96"/>
      <c r="AD12" t="s">
        <v>44</v>
      </c>
      <c r="AK12" s="95"/>
    </row>
    <row r="13" spans="1:49" ht="15" x14ac:dyDescent="0.25">
      <c r="A13" s="93" t="s">
        <v>55</v>
      </c>
      <c r="B13" t="s">
        <v>44</v>
      </c>
      <c r="C13">
        <v>1751</v>
      </c>
      <c r="D13">
        <v>3</v>
      </c>
      <c r="E13">
        <v>1673.6</v>
      </c>
      <c r="F13">
        <v>4</v>
      </c>
      <c r="G13">
        <v>1887.3</v>
      </c>
      <c r="H13">
        <v>3</v>
      </c>
      <c r="I13">
        <v>2346.6</v>
      </c>
      <c r="J13">
        <v>3</v>
      </c>
      <c r="K13">
        <v>2410</v>
      </c>
      <c r="L13">
        <v>3</v>
      </c>
      <c r="N13" s="96" t="s">
        <v>55</v>
      </c>
      <c r="O13" t="s">
        <v>44</v>
      </c>
      <c r="P13">
        <v>2346.6</v>
      </c>
      <c r="Q13">
        <v>3</v>
      </c>
      <c r="R13">
        <v>2410</v>
      </c>
      <c r="S13">
        <v>3</v>
      </c>
      <c r="T13">
        <v>2709.4</v>
      </c>
      <c r="U13">
        <v>3</v>
      </c>
      <c r="V13">
        <v>3158.7</v>
      </c>
      <c r="W13">
        <v>3</v>
      </c>
      <c r="X13">
        <v>3018.8</v>
      </c>
      <c r="Y13">
        <v>3</v>
      </c>
      <c r="AC13" s="96" t="s">
        <v>48</v>
      </c>
      <c r="AD13" t="s">
        <v>44</v>
      </c>
      <c r="AE13" t="s">
        <v>112</v>
      </c>
      <c r="AF13">
        <v>5.0999999999999996</v>
      </c>
      <c r="AG13">
        <v>2599.3000000000002</v>
      </c>
      <c r="AH13">
        <v>2697.9</v>
      </c>
      <c r="AK13" s="96" t="s">
        <v>55</v>
      </c>
      <c r="AL13" t="s">
        <v>44</v>
      </c>
      <c r="AM13">
        <v>1887.3</v>
      </c>
      <c r="AN13">
        <v>3</v>
      </c>
      <c r="AO13">
        <v>2346.6</v>
      </c>
      <c r="AP13">
        <v>3</v>
      </c>
      <c r="AQ13">
        <v>2410</v>
      </c>
      <c r="AR13">
        <v>3</v>
      </c>
      <c r="AS13">
        <v>2709.4</v>
      </c>
      <c r="AT13">
        <v>3</v>
      </c>
      <c r="AU13">
        <v>3158.7</v>
      </c>
      <c r="AV13">
        <v>3</v>
      </c>
    </row>
    <row r="14" spans="1:49" ht="15" x14ac:dyDescent="0.25">
      <c r="A14" s="93"/>
      <c r="N14" s="95"/>
      <c r="AC14" s="96" t="s">
        <v>49</v>
      </c>
      <c r="AD14" t="s">
        <v>44</v>
      </c>
      <c r="AE14">
        <v>0</v>
      </c>
      <c r="AF14">
        <v>0</v>
      </c>
      <c r="AG14">
        <v>0</v>
      </c>
      <c r="AH14">
        <v>34.799999999999997</v>
      </c>
      <c r="AK14" s="95"/>
    </row>
    <row r="15" spans="1:49" ht="15" x14ac:dyDescent="0.25">
      <c r="A15" s="93" t="s">
        <v>60</v>
      </c>
      <c r="B15" t="s">
        <v>44</v>
      </c>
      <c r="C15">
        <v>1682.4</v>
      </c>
      <c r="D15">
        <v>4</v>
      </c>
      <c r="E15">
        <v>1711</v>
      </c>
      <c r="F15">
        <v>3</v>
      </c>
      <c r="G15">
        <v>1680.1</v>
      </c>
      <c r="H15">
        <v>4</v>
      </c>
      <c r="I15">
        <v>1461.5</v>
      </c>
      <c r="J15">
        <v>5</v>
      </c>
      <c r="K15">
        <v>1340.4</v>
      </c>
      <c r="L15">
        <v>5</v>
      </c>
      <c r="N15" s="96" t="s">
        <v>56</v>
      </c>
      <c r="O15" t="s">
        <v>44</v>
      </c>
      <c r="P15">
        <v>1556.1</v>
      </c>
      <c r="Q15">
        <v>4</v>
      </c>
      <c r="R15">
        <v>1592</v>
      </c>
      <c r="S15">
        <v>4</v>
      </c>
      <c r="T15">
        <v>1732.8</v>
      </c>
      <c r="U15">
        <v>4</v>
      </c>
      <c r="V15">
        <v>1942</v>
      </c>
      <c r="W15">
        <v>4</v>
      </c>
      <c r="X15">
        <v>1850.3</v>
      </c>
      <c r="Y15">
        <v>4</v>
      </c>
      <c r="AC15" s="96" t="s">
        <v>99</v>
      </c>
      <c r="AD15" t="s">
        <v>44</v>
      </c>
      <c r="AE15">
        <v>0</v>
      </c>
      <c r="AF15">
        <v>0</v>
      </c>
      <c r="AG15">
        <v>0</v>
      </c>
      <c r="AH15">
        <v>0.2</v>
      </c>
      <c r="AK15" s="96" t="s">
        <v>60</v>
      </c>
      <c r="AL15" t="s">
        <v>44</v>
      </c>
      <c r="AM15">
        <v>1680.1</v>
      </c>
      <c r="AN15">
        <v>4</v>
      </c>
      <c r="AO15">
        <v>1461.5</v>
      </c>
      <c r="AP15">
        <v>5</v>
      </c>
      <c r="AQ15">
        <v>1340.4</v>
      </c>
      <c r="AR15">
        <v>5</v>
      </c>
      <c r="AS15">
        <v>1068</v>
      </c>
      <c r="AT15">
        <v>7</v>
      </c>
      <c r="AU15">
        <v>1454.3</v>
      </c>
      <c r="AV15">
        <v>5</v>
      </c>
    </row>
    <row r="16" spans="1:49" ht="15" x14ac:dyDescent="0.25">
      <c r="A16" s="93"/>
      <c r="N16" s="95"/>
      <c r="AC16" s="96" t="s">
        <v>91</v>
      </c>
      <c r="AD16" t="s">
        <v>44</v>
      </c>
      <c r="AE16">
        <v>0</v>
      </c>
      <c r="AF16">
        <v>0</v>
      </c>
      <c r="AG16">
        <v>234.5</v>
      </c>
      <c r="AH16">
        <v>225</v>
      </c>
      <c r="AK16" s="95"/>
    </row>
    <row r="17" spans="1:48" ht="15" x14ac:dyDescent="0.25">
      <c r="A17" s="93" t="s">
        <v>56</v>
      </c>
      <c r="B17" t="s">
        <v>44</v>
      </c>
      <c r="C17">
        <v>1120</v>
      </c>
      <c r="D17">
        <v>5</v>
      </c>
      <c r="E17">
        <v>912.6</v>
      </c>
      <c r="F17">
        <v>6</v>
      </c>
      <c r="G17">
        <v>1397.4</v>
      </c>
      <c r="H17">
        <v>5</v>
      </c>
      <c r="I17">
        <v>1556.1</v>
      </c>
      <c r="J17">
        <v>4</v>
      </c>
      <c r="K17">
        <v>1592</v>
      </c>
      <c r="L17">
        <v>4</v>
      </c>
      <c r="N17" s="96" t="s">
        <v>60</v>
      </c>
      <c r="O17" t="s">
        <v>44</v>
      </c>
      <c r="P17">
        <v>1461.5</v>
      </c>
      <c r="Q17">
        <v>5</v>
      </c>
      <c r="R17">
        <v>1340.4</v>
      </c>
      <c r="S17">
        <v>5</v>
      </c>
      <c r="T17">
        <v>1068</v>
      </c>
      <c r="U17">
        <v>7</v>
      </c>
      <c r="V17">
        <v>1454.3</v>
      </c>
      <c r="W17">
        <v>5</v>
      </c>
      <c r="X17">
        <v>1211.0999999999999</v>
      </c>
      <c r="Y17">
        <v>5</v>
      </c>
      <c r="AC17" s="96" t="s">
        <v>82</v>
      </c>
      <c r="AD17" t="s">
        <v>44</v>
      </c>
      <c r="AE17">
        <v>0</v>
      </c>
      <c r="AF17">
        <v>0</v>
      </c>
      <c r="AG17">
        <v>352.8</v>
      </c>
      <c r="AH17">
        <v>657.4</v>
      </c>
      <c r="AK17" s="96" t="s">
        <v>56</v>
      </c>
      <c r="AL17" t="s">
        <v>44</v>
      </c>
      <c r="AM17">
        <v>1397.4</v>
      </c>
      <c r="AN17">
        <v>5</v>
      </c>
      <c r="AO17">
        <v>1556.1</v>
      </c>
      <c r="AP17">
        <v>4</v>
      </c>
      <c r="AQ17">
        <v>1592</v>
      </c>
      <c r="AR17">
        <v>4</v>
      </c>
      <c r="AS17">
        <v>1732.8</v>
      </c>
      <c r="AT17">
        <v>4</v>
      </c>
      <c r="AU17">
        <v>1942</v>
      </c>
      <c r="AV17">
        <v>4</v>
      </c>
    </row>
    <row r="18" spans="1:48" ht="15" x14ac:dyDescent="0.25">
      <c r="A18" s="93"/>
      <c r="N18" s="95"/>
      <c r="AC18" s="96" t="s">
        <v>101</v>
      </c>
      <c r="AD18" t="s">
        <v>44</v>
      </c>
      <c r="AE18">
        <v>0</v>
      </c>
      <c r="AF18">
        <v>0</v>
      </c>
      <c r="AG18">
        <v>38.6</v>
      </c>
      <c r="AH18">
        <v>22.4</v>
      </c>
      <c r="AK18" s="95"/>
    </row>
    <row r="19" spans="1:48" ht="15" x14ac:dyDescent="0.25">
      <c r="A19" s="93" t="s">
        <v>82</v>
      </c>
      <c r="B19" t="s">
        <v>44</v>
      </c>
      <c r="C19">
        <v>1085.2</v>
      </c>
      <c r="D19">
        <v>6</v>
      </c>
      <c r="E19">
        <v>433.5</v>
      </c>
      <c r="F19">
        <v>9</v>
      </c>
      <c r="G19">
        <v>352.8</v>
      </c>
      <c r="H19">
        <v>11</v>
      </c>
      <c r="I19">
        <v>657.4</v>
      </c>
      <c r="J19">
        <v>10</v>
      </c>
      <c r="K19">
        <v>706.7</v>
      </c>
      <c r="L19">
        <v>9</v>
      </c>
      <c r="N19" s="96" t="s">
        <v>70</v>
      </c>
      <c r="O19" t="s">
        <v>44</v>
      </c>
      <c r="P19">
        <v>945</v>
      </c>
      <c r="Q19">
        <v>6</v>
      </c>
      <c r="R19">
        <v>1116.9000000000001</v>
      </c>
      <c r="S19">
        <v>6</v>
      </c>
      <c r="T19">
        <v>845.5</v>
      </c>
      <c r="U19">
        <v>8</v>
      </c>
      <c r="V19">
        <v>763.2</v>
      </c>
      <c r="W19">
        <v>8</v>
      </c>
      <c r="X19">
        <v>549.20000000000005</v>
      </c>
      <c r="Y19">
        <v>8</v>
      </c>
      <c r="AC19" s="96" t="s">
        <v>140</v>
      </c>
      <c r="AD19" t="s">
        <v>44</v>
      </c>
      <c r="AE19">
        <v>0</v>
      </c>
      <c r="AF19">
        <v>5</v>
      </c>
      <c r="AG19">
        <v>12.7</v>
      </c>
      <c r="AH19">
        <v>13.4</v>
      </c>
      <c r="AK19" s="96" t="s">
        <v>83</v>
      </c>
      <c r="AL19" t="s">
        <v>44</v>
      </c>
      <c r="AM19">
        <v>970</v>
      </c>
      <c r="AN19">
        <v>6</v>
      </c>
      <c r="AO19">
        <v>803.6</v>
      </c>
      <c r="AP19">
        <v>8</v>
      </c>
      <c r="AQ19">
        <v>884.9</v>
      </c>
      <c r="AR19">
        <v>7</v>
      </c>
      <c r="AS19">
        <v>1176.7</v>
      </c>
      <c r="AT19">
        <v>6</v>
      </c>
      <c r="AU19">
        <v>1442.2</v>
      </c>
      <c r="AV19">
        <v>6</v>
      </c>
    </row>
    <row r="20" spans="1:48" ht="15" x14ac:dyDescent="0.25">
      <c r="A20" s="93"/>
      <c r="N20" s="95"/>
      <c r="AC20" s="96" t="s">
        <v>51</v>
      </c>
      <c r="AD20" t="s">
        <v>44</v>
      </c>
      <c r="AE20">
        <v>0</v>
      </c>
      <c r="AF20">
        <v>0</v>
      </c>
      <c r="AG20">
        <v>18.2</v>
      </c>
      <c r="AH20">
        <v>195.5</v>
      </c>
      <c r="AK20" s="95"/>
    </row>
    <row r="21" spans="1:48" ht="15" x14ac:dyDescent="0.25">
      <c r="A21" s="93" t="s">
        <v>85</v>
      </c>
      <c r="B21" t="s">
        <v>44</v>
      </c>
      <c r="C21">
        <v>837.8</v>
      </c>
      <c r="D21">
        <v>7</v>
      </c>
      <c r="E21">
        <v>50.9</v>
      </c>
      <c r="F21">
        <v>22</v>
      </c>
      <c r="G21">
        <v>855.8</v>
      </c>
      <c r="H21">
        <v>8</v>
      </c>
      <c r="I21">
        <v>626.70000000000005</v>
      </c>
      <c r="J21">
        <v>11</v>
      </c>
      <c r="K21">
        <v>337.6</v>
      </c>
      <c r="L21">
        <v>12</v>
      </c>
      <c r="N21" s="96" t="s">
        <v>54</v>
      </c>
      <c r="O21" t="s">
        <v>44</v>
      </c>
      <c r="P21">
        <v>890.1</v>
      </c>
      <c r="Q21">
        <v>7</v>
      </c>
      <c r="R21">
        <v>736.6</v>
      </c>
      <c r="S21">
        <v>8</v>
      </c>
      <c r="T21">
        <v>408.2</v>
      </c>
      <c r="U21">
        <v>12</v>
      </c>
      <c r="V21">
        <v>537.4</v>
      </c>
      <c r="W21">
        <v>10</v>
      </c>
      <c r="X21">
        <v>650.20000000000005</v>
      </c>
      <c r="Y21">
        <v>7</v>
      </c>
      <c r="AC21" s="96" t="s">
        <v>83</v>
      </c>
      <c r="AD21" t="s">
        <v>44</v>
      </c>
      <c r="AE21">
        <v>0</v>
      </c>
      <c r="AF21">
        <v>0</v>
      </c>
      <c r="AG21">
        <v>970</v>
      </c>
      <c r="AH21">
        <v>803.6</v>
      </c>
      <c r="AK21" s="96" t="s">
        <v>70</v>
      </c>
      <c r="AL21" t="s">
        <v>44</v>
      </c>
      <c r="AM21">
        <v>897.3</v>
      </c>
      <c r="AN21">
        <v>7</v>
      </c>
      <c r="AO21">
        <v>945</v>
      </c>
      <c r="AP21">
        <v>6</v>
      </c>
      <c r="AQ21">
        <v>1116.9000000000001</v>
      </c>
      <c r="AR21">
        <v>6</v>
      </c>
      <c r="AS21">
        <v>845.5</v>
      </c>
      <c r="AT21">
        <v>8</v>
      </c>
      <c r="AU21">
        <v>763.2</v>
      </c>
      <c r="AV21">
        <v>8</v>
      </c>
    </row>
    <row r="22" spans="1:48" ht="15" x14ac:dyDescent="0.25">
      <c r="A22" s="93"/>
      <c r="N22" s="95"/>
      <c r="AC22" s="96" t="s">
        <v>93</v>
      </c>
      <c r="AD22" t="s">
        <v>44</v>
      </c>
      <c r="AE22">
        <v>0</v>
      </c>
      <c r="AF22">
        <v>0</v>
      </c>
      <c r="AG22">
        <v>41.8</v>
      </c>
      <c r="AH22">
        <v>52.4</v>
      </c>
      <c r="AK22" s="95"/>
    </row>
    <row r="23" spans="1:48" ht="15" x14ac:dyDescent="0.25">
      <c r="A23" s="93" t="s">
        <v>83</v>
      </c>
      <c r="B23" t="s">
        <v>44</v>
      </c>
      <c r="C23">
        <v>734.6</v>
      </c>
      <c r="D23">
        <v>8</v>
      </c>
      <c r="E23">
        <v>606.79999999999995</v>
      </c>
      <c r="F23">
        <v>7</v>
      </c>
      <c r="G23">
        <v>970</v>
      </c>
      <c r="H23">
        <v>6</v>
      </c>
      <c r="I23">
        <v>803.6</v>
      </c>
      <c r="J23">
        <v>8</v>
      </c>
      <c r="K23">
        <v>884.9</v>
      </c>
      <c r="L23">
        <v>7</v>
      </c>
      <c r="N23" s="96" t="s">
        <v>83</v>
      </c>
      <c r="O23" t="s">
        <v>44</v>
      </c>
      <c r="P23">
        <v>803.6</v>
      </c>
      <c r="Q23">
        <v>8</v>
      </c>
      <c r="R23">
        <v>884.9</v>
      </c>
      <c r="S23">
        <v>7</v>
      </c>
      <c r="T23">
        <v>1176.7</v>
      </c>
      <c r="U23">
        <v>6</v>
      </c>
      <c r="V23">
        <v>1442.2</v>
      </c>
      <c r="W23">
        <v>6</v>
      </c>
      <c r="X23">
        <v>1096.9000000000001</v>
      </c>
      <c r="Y23">
        <v>6</v>
      </c>
      <c r="AC23" s="96" t="s">
        <v>141</v>
      </c>
      <c r="AD23" t="s">
        <v>44</v>
      </c>
      <c r="AE23">
        <v>0</v>
      </c>
      <c r="AF23">
        <v>0</v>
      </c>
      <c r="AG23">
        <v>0</v>
      </c>
      <c r="AH23">
        <v>17.100000000000001</v>
      </c>
      <c r="AK23" s="96" t="s">
        <v>85</v>
      </c>
      <c r="AL23" t="s">
        <v>44</v>
      </c>
      <c r="AM23">
        <v>855.8</v>
      </c>
      <c r="AN23">
        <v>8</v>
      </c>
      <c r="AO23">
        <v>626.70000000000005</v>
      </c>
      <c r="AP23">
        <v>11</v>
      </c>
      <c r="AQ23">
        <v>337.6</v>
      </c>
      <c r="AR23">
        <v>12</v>
      </c>
      <c r="AS23">
        <v>521.70000000000005</v>
      </c>
      <c r="AT23">
        <v>9</v>
      </c>
      <c r="AU23">
        <v>368.7</v>
      </c>
      <c r="AV23">
        <v>12</v>
      </c>
    </row>
    <row r="24" spans="1:48" ht="15" x14ac:dyDescent="0.25">
      <c r="A24" s="93"/>
      <c r="N24" s="95"/>
      <c r="AC24" s="96" t="s">
        <v>85</v>
      </c>
      <c r="AD24" t="s">
        <v>44</v>
      </c>
      <c r="AE24" t="s">
        <v>112</v>
      </c>
      <c r="AF24">
        <v>0.1</v>
      </c>
      <c r="AG24">
        <v>855.8</v>
      </c>
      <c r="AH24">
        <v>626.70000000000005</v>
      </c>
      <c r="AK24" s="95"/>
    </row>
    <row r="25" spans="1:48" ht="15" x14ac:dyDescent="0.25">
      <c r="A25" s="93" t="s">
        <v>70</v>
      </c>
      <c r="B25" t="s">
        <v>44</v>
      </c>
      <c r="C25">
        <v>677.3</v>
      </c>
      <c r="D25">
        <v>9</v>
      </c>
      <c r="E25">
        <v>1224.0999999999999</v>
      </c>
      <c r="F25">
        <v>5</v>
      </c>
      <c r="G25">
        <v>897.3</v>
      </c>
      <c r="H25">
        <v>7</v>
      </c>
      <c r="I25">
        <v>945</v>
      </c>
      <c r="J25">
        <v>6</v>
      </c>
      <c r="K25">
        <v>1116.9000000000001</v>
      </c>
      <c r="L25">
        <v>6</v>
      </c>
      <c r="N25" s="96" t="s">
        <v>62</v>
      </c>
      <c r="O25" t="s">
        <v>44</v>
      </c>
      <c r="P25">
        <v>683.4</v>
      </c>
      <c r="Q25">
        <v>9</v>
      </c>
      <c r="R25">
        <v>346.3</v>
      </c>
      <c r="S25">
        <v>11</v>
      </c>
      <c r="T25">
        <v>459</v>
      </c>
      <c r="U25">
        <v>10</v>
      </c>
      <c r="V25">
        <v>593.6</v>
      </c>
      <c r="W25">
        <v>9</v>
      </c>
      <c r="X25">
        <v>486.8</v>
      </c>
      <c r="Y25">
        <v>9</v>
      </c>
      <c r="AC25" s="96" t="s">
        <v>211</v>
      </c>
      <c r="AD25" t="s">
        <v>44</v>
      </c>
      <c r="AE25">
        <v>0</v>
      </c>
      <c r="AF25">
        <v>0</v>
      </c>
      <c r="AG25" t="s">
        <v>112</v>
      </c>
      <c r="AH25">
        <v>0</v>
      </c>
      <c r="AK25" s="96" t="s">
        <v>62</v>
      </c>
      <c r="AL25" t="s">
        <v>44</v>
      </c>
      <c r="AM25">
        <v>690.8</v>
      </c>
      <c r="AN25">
        <v>9</v>
      </c>
      <c r="AO25">
        <v>683.4</v>
      </c>
      <c r="AP25">
        <v>9</v>
      </c>
      <c r="AQ25">
        <v>346.3</v>
      </c>
      <c r="AR25">
        <v>11</v>
      </c>
      <c r="AS25">
        <v>459</v>
      </c>
      <c r="AT25">
        <v>10</v>
      </c>
      <c r="AU25">
        <v>593.6</v>
      </c>
      <c r="AV25">
        <v>9</v>
      </c>
    </row>
    <row r="26" spans="1:48" ht="15" x14ac:dyDescent="0.25">
      <c r="A26" s="93"/>
      <c r="N26" s="95"/>
      <c r="AC26" s="96" t="s">
        <v>52</v>
      </c>
      <c r="AD26" t="s">
        <v>44</v>
      </c>
      <c r="AE26">
        <v>0</v>
      </c>
      <c r="AF26">
        <v>0</v>
      </c>
      <c r="AG26">
        <v>75</v>
      </c>
      <c r="AH26">
        <v>49.5</v>
      </c>
      <c r="AK26" s="95"/>
    </row>
    <row r="27" spans="1:48" ht="15" x14ac:dyDescent="0.25">
      <c r="A27" s="93" t="s">
        <v>68</v>
      </c>
      <c r="B27" t="s">
        <v>44</v>
      </c>
      <c r="C27">
        <v>607.6</v>
      </c>
      <c r="D27">
        <v>10</v>
      </c>
      <c r="E27">
        <v>296.8</v>
      </c>
      <c r="F27">
        <v>13</v>
      </c>
      <c r="G27">
        <v>178.3</v>
      </c>
      <c r="H27">
        <v>20</v>
      </c>
      <c r="I27">
        <v>81.2</v>
      </c>
      <c r="J27">
        <v>28</v>
      </c>
      <c r="K27">
        <v>87.6</v>
      </c>
      <c r="L27">
        <v>22</v>
      </c>
      <c r="N27" s="96" t="s">
        <v>82</v>
      </c>
      <c r="O27" t="s">
        <v>44</v>
      </c>
      <c r="P27">
        <v>657.4</v>
      </c>
      <c r="Q27">
        <v>10</v>
      </c>
      <c r="R27">
        <v>706.7</v>
      </c>
      <c r="S27">
        <v>9</v>
      </c>
      <c r="T27">
        <v>1235.5</v>
      </c>
      <c r="U27">
        <v>5</v>
      </c>
      <c r="V27">
        <v>1045.8</v>
      </c>
      <c r="W27">
        <v>7</v>
      </c>
      <c r="X27">
        <v>326.2</v>
      </c>
      <c r="Y27">
        <v>10</v>
      </c>
      <c r="AC27" s="96"/>
      <c r="AD27" t="s">
        <v>44</v>
      </c>
      <c r="AK27" s="96" t="s">
        <v>67</v>
      </c>
      <c r="AL27" t="s">
        <v>44</v>
      </c>
      <c r="AM27">
        <v>485.2</v>
      </c>
      <c r="AN27">
        <v>10</v>
      </c>
      <c r="AO27">
        <v>423</v>
      </c>
      <c r="AP27">
        <v>12</v>
      </c>
      <c r="AQ27">
        <v>178.1</v>
      </c>
      <c r="AR27">
        <v>16</v>
      </c>
      <c r="AS27">
        <v>145.80000000000001</v>
      </c>
      <c r="AT27">
        <v>21</v>
      </c>
      <c r="AU27">
        <v>531.5</v>
      </c>
      <c r="AV27">
        <v>11</v>
      </c>
    </row>
    <row r="28" spans="1:48" ht="15" x14ac:dyDescent="0.25">
      <c r="A28" s="93"/>
      <c r="N28" s="95"/>
      <c r="AC28" s="96" t="s">
        <v>53</v>
      </c>
      <c r="AD28" t="s">
        <v>44</v>
      </c>
      <c r="AE28">
        <v>0</v>
      </c>
      <c r="AF28">
        <v>0</v>
      </c>
      <c r="AG28">
        <v>276.8</v>
      </c>
      <c r="AH28">
        <v>905.4</v>
      </c>
      <c r="AK28" s="95"/>
    </row>
    <row r="29" spans="1:48" ht="15" x14ac:dyDescent="0.25">
      <c r="A29" s="93" t="s">
        <v>67</v>
      </c>
      <c r="B29" t="s">
        <v>44</v>
      </c>
      <c r="C29">
        <v>567.9</v>
      </c>
      <c r="D29">
        <v>11</v>
      </c>
      <c r="E29">
        <v>359.2</v>
      </c>
      <c r="F29">
        <v>11</v>
      </c>
      <c r="G29">
        <v>485.2</v>
      </c>
      <c r="H29">
        <v>10</v>
      </c>
      <c r="I29">
        <v>423.1</v>
      </c>
      <c r="J29">
        <v>12</v>
      </c>
      <c r="K29">
        <v>178.2</v>
      </c>
      <c r="L29">
        <v>16</v>
      </c>
      <c r="N29" s="96" t="s">
        <v>85</v>
      </c>
      <c r="O29" t="s">
        <v>44</v>
      </c>
      <c r="P29">
        <v>626.70000000000005</v>
      </c>
      <c r="Q29">
        <v>11</v>
      </c>
      <c r="R29">
        <v>337.6</v>
      </c>
      <c r="S29">
        <v>12</v>
      </c>
      <c r="T29">
        <v>521.70000000000005</v>
      </c>
      <c r="U29">
        <v>9</v>
      </c>
      <c r="V29">
        <v>368.7</v>
      </c>
      <c r="W29">
        <v>12</v>
      </c>
      <c r="X29">
        <v>158.30000000000001</v>
      </c>
      <c r="Y29">
        <v>19</v>
      </c>
      <c r="AC29" s="96" t="s">
        <v>105</v>
      </c>
      <c r="AD29" t="s">
        <v>44</v>
      </c>
      <c r="AE29">
        <v>0</v>
      </c>
      <c r="AF29">
        <v>0</v>
      </c>
      <c r="AG29">
        <v>7.1</v>
      </c>
      <c r="AH29">
        <v>15.3</v>
      </c>
      <c r="AK29" s="96" t="s">
        <v>82</v>
      </c>
      <c r="AL29" t="s">
        <v>44</v>
      </c>
      <c r="AM29">
        <v>352.8</v>
      </c>
      <c r="AN29">
        <v>11</v>
      </c>
      <c r="AO29">
        <v>657.4</v>
      </c>
      <c r="AP29">
        <v>10</v>
      </c>
      <c r="AQ29">
        <v>706.7</v>
      </c>
      <c r="AR29">
        <v>9</v>
      </c>
      <c r="AS29">
        <v>1235.5</v>
      </c>
      <c r="AT29">
        <v>5</v>
      </c>
      <c r="AU29">
        <v>1045.8</v>
      </c>
      <c r="AV29">
        <v>7</v>
      </c>
    </row>
    <row r="30" spans="1:48" ht="15" x14ac:dyDescent="0.25">
      <c r="A30" s="93"/>
      <c r="N30" s="95"/>
      <c r="AC30" s="96" t="s">
        <v>54</v>
      </c>
      <c r="AD30" t="s">
        <v>44</v>
      </c>
      <c r="AE30">
        <v>0</v>
      </c>
      <c r="AF30">
        <v>0</v>
      </c>
      <c r="AG30">
        <v>269.8</v>
      </c>
      <c r="AH30">
        <v>890.1</v>
      </c>
      <c r="AK30" s="95"/>
    </row>
    <row r="31" spans="1:48" ht="15" x14ac:dyDescent="0.25">
      <c r="A31" s="93" t="s">
        <v>62</v>
      </c>
      <c r="B31" t="s">
        <v>44</v>
      </c>
      <c r="C31">
        <v>561.79999999999995</v>
      </c>
      <c r="D31">
        <v>12</v>
      </c>
      <c r="E31">
        <v>298.2</v>
      </c>
      <c r="F31">
        <v>12</v>
      </c>
      <c r="G31">
        <v>690.8</v>
      </c>
      <c r="H31">
        <v>9</v>
      </c>
      <c r="I31">
        <v>683.4</v>
      </c>
      <c r="J31">
        <v>9</v>
      </c>
      <c r="K31">
        <v>346.3</v>
      </c>
      <c r="L31">
        <v>11</v>
      </c>
      <c r="N31" s="96" t="s">
        <v>67</v>
      </c>
      <c r="O31" t="s">
        <v>44</v>
      </c>
      <c r="P31">
        <v>423</v>
      </c>
      <c r="Q31">
        <v>12</v>
      </c>
      <c r="R31">
        <v>178.1</v>
      </c>
      <c r="S31">
        <v>16</v>
      </c>
      <c r="T31">
        <v>145.80000000000001</v>
      </c>
      <c r="U31">
        <v>21</v>
      </c>
      <c r="V31">
        <v>531.5</v>
      </c>
      <c r="W31">
        <v>11</v>
      </c>
      <c r="X31">
        <v>289.8</v>
      </c>
      <c r="Y31">
        <v>12</v>
      </c>
      <c r="AC31" s="96"/>
      <c r="AD31" t="s">
        <v>44</v>
      </c>
      <c r="AK31" s="96" t="s">
        <v>75</v>
      </c>
      <c r="AL31" t="s">
        <v>44</v>
      </c>
      <c r="AM31">
        <v>279</v>
      </c>
      <c r="AN31">
        <v>12</v>
      </c>
      <c r="AO31">
        <v>338.4</v>
      </c>
      <c r="AP31">
        <v>14</v>
      </c>
      <c r="AQ31">
        <v>294.60000000000002</v>
      </c>
      <c r="AR31">
        <v>13</v>
      </c>
      <c r="AS31">
        <v>190.3</v>
      </c>
      <c r="AT31">
        <v>19</v>
      </c>
      <c r="AU31">
        <v>134.4</v>
      </c>
      <c r="AV31">
        <v>24</v>
      </c>
    </row>
    <row r="32" spans="1:48" ht="15" x14ac:dyDescent="0.25">
      <c r="A32" s="93"/>
      <c r="N32" s="95"/>
      <c r="AC32" s="96" t="s">
        <v>102</v>
      </c>
      <c r="AD32" t="s">
        <v>44</v>
      </c>
      <c r="AE32">
        <v>0</v>
      </c>
      <c r="AF32">
        <v>0</v>
      </c>
      <c r="AG32">
        <v>52.5</v>
      </c>
      <c r="AH32">
        <v>98.4</v>
      </c>
      <c r="AK32" s="95"/>
    </row>
    <row r="33" spans="1:48" ht="15" x14ac:dyDescent="0.25">
      <c r="A33" s="93" t="s">
        <v>54</v>
      </c>
      <c r="B33" t="s">
        <v>44</v>
      </c>
      <c r="C33">
        <v>381.6</v>
      </c>
      <c r="D33">
        <v>13</v>
      </c>
      <c r="E33">
        <v>604.29999999999995</v>
      </c>
      <c r="F33">
        <v>8</v>
      </c>
      <c r="G33">
        <v>269.8</v>
      </c>
      <c r="H33">
        <v>13</v>
      </c>
      <c r="I33">
        <v>890.1</v>
      </c>
      <c r="J33">
        <v>7</v>
      </c>
      <c r="K33">
        <v>736.6</v>
      </c>
      <c r="L33">
        <v>8</v>
      </c>
      <c r="N33" s="96" t="s">
        <v>66</v>
      </c>
      <c r="O33" t="s">
        <v>44</v>
      </c>
      <c r="P33">
        <v>350</v>
      </c>
      <c r="Q33">
        <v>13</v>
      </c>
      <c r="R33">
        <v>422.1</v>
      </c>
      <c r="S33">
        <v>10</v>
      </c>
      <c r="T33">
        <v>451.3</v>
      </c>
      <c r="U33">
        <v>11</v>
      </c>
      <c r="V33">
        <v>249.5</v>
      </c>
      <c r="W33">
        <v>18</v>
      </c>
      <c r="X33">
        <v>149.6</v>
      </c>
      <c r="Y33">
        <v>20</v>
      </c>
      <c r="AC33" s="96" t="s">
        <v>142</v>
      </c>
      <c r="AD33" t="s">
        <v>44</v>
      </c>
      <c r="AE33">
        <v>0</v>
      </c>
      <c r="AF33">
        <v>0</v>
      </c>
      <c r="AG33">
        <v>52.5</v>
      </c>
      <c r="AH33">
        <v>98.4</v>
      </c>
      <c r="AK33" s="96" t="s">
        <v>54</v>
      </c>
      <c r="AL33" t="s">
        <v>44</v>
      </c>
      <c r="AM33">
        <v>269.8</v>
      </c>
      <c r="AN33">
        <v>13</v>
      </c>
      <c r="AO33">
        <v>890.1</v>
      </c>
      <c r="AP33">
        <v>7</v>
      </c>
      <c r="AQ33">
        <v>736.6</v>
      </c>
      <c r="AR33">
        <v>8</v>
      </c>
      <c r="AS33">
        <v>408.2</v>
      </c>
      <c r="AT33">
        <v>12</v>
      </c>
      <c r="AU33">
        <v>537.4</v>
      </c>
      <c r="AV33">
        <v>10</v>
      </c>
    </row>
    <row r="34" spans="1:48" ht="15" x14ac:dyDescent="0.25">
      <c r="A34" s="93"/>
      <c r="N34" s="95"/>
      <c r="AC34" s="96"/>
      <c r="AD34" t="s">
        <v>44</v>
      </c>
      <c r="AK34" s="95"/>
    </row>
    <row r="35" spans="1:48" ht="15" x14ac:dyDescent="0.25">
      <c r="A35" s="93" t="s">
        <v>63</v>
      </c>
      <c r="B35" t="s">
        <v>44</v>
      </c>
      <c r="C35">
        <v>267.2</v>
      </c>
      <c r="D35">
        <v>14</v>
      </c>
      <c r="E35">
        <v>246</v>
      </c>
      <c r="F35">
        <v>16</v>
      </c>
      <c r="G35">
        <v>250.4</v>
      </c>
      <c r="H35">
        <v>14</v>
      </c>
      <c r="I35">
        <v>237.5</v>
      </c>
      <c r="J35">
        <v>16</v>
      </c>
      <c r="K35">
        <v>82</v>
      </c>
      <c r="L35">
        <v>23</v>
      </c>
      <c r="N35" s="96" t="s">
        <v>75</v>
      </c>
      <c r="O35" t="s">
        <v>44</v>
      </c>
      <c r="P35">
        <v>338.4</v>
      </c>
      <c r="Q35">
        <v>14</v>
      </c>
      <c r="R35">
        <v>294.60000000000002</v>
      </c>
      <c r="S35">
        <v>13</v>
      </c>
      <c r="T35">
        <v>190.3</v>
      </c>
      <c r="U35">
        <v>19</v>
      </c>
      <c r="V35">
        <v>134.4</v>
      </c>
      <c r="W35">
        <v>24</v>
      </c>
      <c r="X35">
        <v>205.8</v>
      </c>
      <c r="Y35">
        <v>17</v>
      </c>
      <c r="AC35" s="96" t="s">
        <v>55</v>
      </c>
      <c r="AD35" t="s">
        <v>44</v>
      </c>
      <c r="AE35">
        <v>366.5</v>
      </c>
      <c r="AF35">
        <v>262.10000000000002</v>
      </c>
      <c r="AG35">
        <v>1887.3</v>
      </c>
      <c r="AH35">
        <v>2346.6</v>
      </c>
      <c r="AK35" s="96" t="s">
        <v>63</v>
      </c>
      <c r="AL35" t="s">
        <v>44</v>
      </c>
      <c r="AM35">
        <v>250.4</v>
      </c>
      <c r="AN35">
        <v>14</v>
      </c>
      <c r="AO35">
        <v>237.5</v>
      </c>
      <c r="AP35">
        <v>16</v>
      </c>
      <c r="AQ35">
        <v>82</v>
      </c>
      <c r="AR35">
        <v>23</v>
      </c>
      <c r="AS35">
        <v>84.3</v>
      </c>
      <c r="AT35">
        <v>24</v>
      </c>
      <c r="AU35">
        <v>310.5</v>
      </c>
      <c r="AV35">
        <v>14</v>
      </c>
    </row>
    <row r="36" spans="1:48" ht="15" x14ac:dyDescent="0.25">
      <c r="A36" s="93"/>
      <c r="N36" s="95"/>
      <c r="AC36" s="96"/>
      <c r="AD36" t="s">
        <v>44</v>
      </c>
      <c r="AK36" s="95"/>
    </row>
    <row r="37" spans="1:48" ht="15" x14ac:dyDescent="0.25">
      <c r="A37" s="93" t="s">
        <v>94</v>
      </c>
      <c r="B37" t="s">
        <v>44</v>
      </c>
      <c r="C37">
        <v>213.5</v>
      </c>
      <c r="D37">
        <v>15</v>
      </c>
      <c r="E37">
        <v>146.4</v>
      </c>
      <c r="F37">
        <v>17</v>
      </c>
      <c r="G37">
        <v>157.19999999999999</v>
      </c>
      <c r="H37">
        <v>21</v>
      </c>
      <c r="I37">
        <v>120.6</v>
      </c>
      <c r="J37">
        <v>24</v>
      </c>
      <c r="K37">
        <v>0</v>
      </c>
      <c r="L37">
        <v>0</v>
      </c>
      <c r="N37" s="96" t="s">
        <v>97</v>
      </c>
      <c r="O37" t="s">
        <v>44</v>
      </c>
      <c r="P37">
        <v>297</v>
      </c>
      <c r="Q37">
        <v>15</v>
      </c>
      <c r="R37">
        <v>130.1</v>
      </c>
      <c r="S37">
        <v>19</v>
      </c>
      <c r="T37">
        <v>15.4</v>
      </c>
      <c r="U37">
        <v>34</v>
      </c>
      <c r="V37">
        <v>0</v>
      </c>
      <c r="W37">
        <v>0</v>
      </c>
      <c r="X37">
        <v>0</v>
      </c>
      <c r="Y37">
        <v>0</v>
      </c>
      <c r="AC37" s="96" t="s">
        <v>56</v>
      </c>
      <c r="AD37" t="s">
        <v>44</v>
      </c>
      <c r="AE37">
        <v>92.7</v>
      </c>
      <c r="AF37">
        <v>21.5</v>
      </c>
      <c r="AG37">
        <v>1397.4</v>
      </c>
      <c r="AH37">
        <v>1556.1</v>
      </c>
      <c r="AK37" s="96" t="s">
        <v>144</v>
      </c>
      <c r="AL37" t="s">
        <v>44</v>
      </c>
      <c r="AM37">
        <v>249.2</v>
      </c>
      <c r="AN37">
        <v>15</v>
      </c>
      <c r="AO37">
        <v>232.9</v>
      </c>
      <c r="AP37">
        <v>17</v>
      </c>
      <c r="AQ37">
        <v>145.69999999999999</v>
      </c>
      <c r="AR37">
        <v>18</v>
      </c>
      <c r="AS37">
        <v>0</v>
      </c>
      <c r="AT37">
        <v>0</v>
      </c>
      <c r="AU37">
        <v>0</v>
      </c>
      <c r="AV37">
        <v>0</v>
      </c>
    </row>
    <row r="38" spans="1:48" ht="15" x14ac:dyDescent="0.25">
      <c r="A38" s="93"/>
      <c r="N38" s="95"/>
      <c r="AC38" s="96"/>
      <c r="AD38" t="s">
        <v>44</v>
      </c>
      <c r="AK38" s="95"/>
    </row>
    <row r="39" spans="1:48" ht="15" x14ac:dyDescent="0.25">
      <c r="A39" s="93" t="s">
        <v>75</v>
      </c>
      <c r="B39" t="s">
        <v>44</v>
      </c>
      <c r="C39">
        <v>208.2</v>
      </c>
      <c r="D39">
        <v>16</v>
      </c>
      <c r="E39">
        <v>367.2</v>
      </c>
      <c r="F39">
        <v>10</v>
      </c>
      <c r="G39">
        <v>279</v>
      </c>
      <c r="H39">
        <v>12</v>
      </c>
      <c r="I39">
        <v>338.4</v>
      </c>
      <c r="J39">
        <v>14</v>
      </c>
      <c r="K39">
        <v>294.60000000000002</v>
      </c>
      <c r="L39">
        <v>13</v>
      </c>
      <c r="N39" s="96" t="s">
        <v>63</v>
      </c>
      <c r="O39" t="s">
        <v>44</v>
      </c>
      <c r="P39">
        <v>237.5</v>
      </c>
      <c r="Q39">
        <v>16</v>
      </c>
      <c r="R39">
        <v>82</v>
      </c>
      <c r="S39">
        <v>23</v>
      </c>
      <c r="T39">
        <v>84.3</v>
      </c>
      <c r="U39">
        <v>24</v>
      </c>
      <c r="V39">
        <v>310.5</v>
      </c>
      <c r="W39">
        <v>14</v>
      </c>
      <c r="X39">
        <v>226.7</v>
      </c>
      <c r="Y39">
        <v>15</v>
      </c>
      <c r="AC39" s="96" t="s">
        <v>57</v>
      </c>
      <c r="AD39" t="s">
        <v>44</v>
      </c>
      <c r="AE39">
        <v>1182</v>
      </c>
      <c r="AF39">
        <v>746.5</v>
      </c>
      <c r="AG39">
        <v>24444.7</v>
      </c>
      <c r="AH39">
        <v>22453.8</v>
      </c>
      <c r="AK39" s="96" t="s">
        <v>74</v>
      </c>
      <c r="AL39" t="s">
        <v>44</v>
      </c>
      <c r="AM39">
        <v>248.4</v>
      </c>
      <c r="AN39">
        <v>16</v>
      </c>
      <c r="AO39">
        <v>221.2</v>
      </c>
      <c r="AP39">
        <v>19</v>
      </c>
      <c r="AQ39">
        <v>173.1</v>
      </c>
      <c r="AR39">
        <v>17</v>
      </c>
      <c r="AS39">
        <v>246.6</v>
      </c>
      <c r="AT39">
        <v>16</v>
      </c>
      <c r="AU39">
        <v>272.8</v>
      </c>
      <c r="AV39">
        <v>15</v>
      </c>
    </row>
    <row r="40" spans="1:48" ht="15" x14ac:dyDescent="0.25">
      <c r="A40" s="93"/>
      <c r="N40" s="95"/>
      <c r="AC40" s="96"/>
      <c r="AD40" t="s">
        <v>44</v>
      </c>
      <c r="AK40" s="95"/>
    </row>
    <row r="41" spans="1:48" ht="15" x14ac:dyDescent="0.25">
      <c r="A41" s="93" t="s">
        <v>52</v>
      </c>
      <c r="B41" t="s">
        <v>44</v>
      </c>
      <c r="C41">
        <v>188.3</v>
      </c>
      <c r="D41">
        <v>17</v>
      </c>
      <c r="E41">
        <v>0</v>
      </c>
      <c r="F41">
        <v>0</v>
      </c>
      <c r="G41">
        <v>75</v>
      </c>
      <c r="H41">
        <v>25</v>
      </c>
      <c r="I41">
        <v>49.5</v>
      </c>
      <c r="J41">
        <v>31</v>
      </c>
      <c r="K41">
        <v>0</v>
      </c>
      <c r="L41">
        <v>0</v>
      </c>
      <c r="N41" s="96" t="s">
        <v>144</v>
      </c>
      <c r="O41" t="s">
        <v>44</v>
      </c>
      <c r="P41">
        <v>232.9</v>
      </c>
      <c r="Q41">
        <v>17</v>
      </c>
      <c r="R41">
        <v>145.69999999999999</v>
      </c>
      <c r="S41">
        <v>18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C41" s="96" t="s">
        <v>58</v>
      </c>
      <c r="AD41" t="s">
        <v>44</v>
      </c>
      <c r="AE41">
        <v>216.7</v>
      </c>
      <c r="AF41">
        <v>182.2</v>
      </c>
      <c r="AG41">
        <v>4009.9</v>
      </c>
      <c r="AH41">
        <v>3922.2</v>
      </c>
      <c r="AK41" s="96" t="s">
        <v>91</v>
      </c>
      <c r="AL41" t="s">
        <v>44</v>
      </c>
      <c r="AM41">
        <v>234.5</v>
      </c>
      <c r="AN41">
        <v>17</v>
      </c>
      <c r="AO41">
        <v>225</v>
      </c>
      <c r="AP41">
        <v>18</v>
      </c>
      <c r="AQ41">
        <v>60.9</v>
      </c>
      <c r="AR41">
        <v>25</v>
      </c>
      <c r="AS41">
        <v>122.9</v>
      </c>
      <c r="AT41">
        <v>22</v>
      </c>
      <c r="AU41">
        <v>170.2</v>
      </c>
      <c r="AV41">
        <v>23</v>
      </c>
    </row>
    <row r="42" spans="1:48" ht="15" x14ac:dyDescent="0.25">
      <c r="A42" s="93"/>
      <c r="N42" s="95"/>
      <c r="AC42" s="96" t="s">
        <v>190</v>
      </c>
      <c r="AD42" t="s">
        <v>44</v>
      </c>
      <c r="AE42">
        <v>0</v>
      </c>
      <c r="AF42">
        <v>0</v>
      </c>
      <c r="AG42">
        <v>49.5</v>
      </c>
      <c r="AH42">
        <v>0</v>
      </c>
      <c r="AK42" s="95"/>
    </row>
    <row r="43" spans="1:48" ht="15" x14ac:dyDescent="0.25">
      <c r="A43" s="93" t="s">
        <v>76</v>
      </c>
      <c r="B43" t="s">
        <v>44</v>
      </c>
      <c r="C43">
        <v>176.8</v>
      </c>
      <c r="D43">
        <v>18</v>
      </c>
      <c r="E43">
        <v>83.9</v>
      </c>
      <c r="F43">
        <v>21</v>
      </c>
      <c r="G43">
        <v>125.7</v>
      </c>
      <c r="H43">
        <v>22</v>
      </c>
      <c r="I43">
        <v>217.3</v>
      </c>
      <c r="J43">
        <v>20</v>
      </c>
      <c r="K43">
        <v>185.5</v>
      </c>
      <c r="L43">
        <v>15</v>
      </c>
      <c r="N43" s="96" t="s">
        <v>91</v>
      </c>
      <c r="O43" t="s">
        <v>44</v>
      </c>
      <c r="P43">
        <v>225</v>
      </c>
      <c r="Q43">
        <v>18</v>
      </c>
      <c r="R43">
        <v>60.9</v>
      </c>
      <c r="S43">
        <v>25</v>
      </c>
      <c r="T43">
        <v>122.9</v>
      </c>
      <c r="U43">
        <v>22</v>
      </c>
      <c r="V43">
        <v>170.2</v>
      </c>
      <c r="W43">
        <v>23</v>
      </c>
      <c r="X43">
        <v>60.2</v>
      </c>
      <c r="Y43">
        <v>26</v>
      </c>
      <c r="AC43" s="96" t="s">
        <v>59</v>
      </c>
      <c r="AD43" t="s">
        <v>44</v>
      </c>
      <c r="AE43">
        <v>0</v>
      </c>
      <c r="AF43">
        <v>0</v>
      </c>
      <c r="AG43">
        <v>10.1</v>
      </c>
      <c r="AH43" t="s">
        <v>112</v>
      </c>
      <c r="AK43" s="96" t="s">
        <v>61</v>
      </c>
      <c r="AL43" t="s">
        <v>44</v>
      </c>
      <c r="AM43">
        <v>225.4</v>
      </c>
      <c r="AN43">
        <v>18</v>
      </c>
      <c r="AO43">
        <v>187.2</v>
      </c>
      <c r="AP43">
        <v>22</v>
      </c>
      <c r="AQ43">
        <v>219.3</v>
      </c>
      <c r="AR43">
        <v>14</v>
      </c>
      <c r="AS43">
        <v>335.2</v>
      </c>
      <c r="AT43">
        <v>14</v>
      </c>
      <c r="AU43">
        <v>257</v>
      </c>
      <c r="AV43">
        <v>16</v>
      </c>
    </row>
    <row r="44" spans="1:48" ht="15" x14ac:dyDescent="0.25">
      <c r="A44" s="93"/>
      <c r="N44" s="95"/>
      <c r="AC44" s="96" t="s">
        <v>60</v>
      </c>
      <c r="AD44" t="s">
        <v>44</v>
      </c>
      <c r="AE44">
        <v>147</v>
      </c>
      <c r="AF44">
        <v>50.7</v>
      </c>
      <c r="AG44">
        <v>1680.1</v>
      </c>
      <c r="AH44">
        <v>1461.5</v>
      </c>
      <c r="AK44" s="95"/>
    </row>
    <row r="45" spans="1:48" ht="15" x14ac:dyDescent="0.25">
      <c r="A45" s="93" t="s">
        <v>144</v>
      </c>
      <c r="B45" t="s">
        <v>44</v>
      </c>
      <c r="C45">
        <v>158.30000000000001</v>
      </c>
      <c r="D45">
        <v>19</v>
      </c>
      <c r="E45">
        <v>268.8</v>
      </c>
      <c r="F45">
        <v>14</v>
      </c>
      <c r="G45">
        <v>249.2</v>
      </c>
      <c r="H45">
        <v>15</v>
      </c>
      <c r="I45">
        <v>232.9</v>
      </c>
      <c r="J45">
        <v>17</v>
      </c>
      <c r="K45">
        <v>145.69999999999999</v>
      </c>
      <c r="L45">
        <v>18</v>
      </c>
      <c r="N45" s="96" t="s">
        <v>74</v>
      </c>
      <c r="O45" t="s">
        <v>44</v>
      </c>
      <c r="P45">
        <v>221.2</v>
      </c>
      <c r="Q45">
        <v>19</v>
      </c>
      <c r="R45">
        <v>173.1</v>
      </c>
      <c r="S45">
        <v>17</v>
      </c>
      <c r="T45">
        <v>246.6</v>
      </c>
      <c r="U45">
        <v>16</v>
      </c>
      <c r="V45">
        <v>272.8</v>
      </c>
      <c r="W45">
        <v>15</v>
      </c>
      <c r="X45">
        <v>255.4</v>
      </c>
      <c r="Y45">
        <v>13</v>
      </c>
      <c r="AC45" s="96" t="s">
        <v>97</v>
      </c>
      <c r="AD45" t="s">
        <v>44</v>
      </c>
      <c r="AE45">
        <v>0</v>
      </c>
      <c r="AF45">
        <v>0</v>
      </c>
      <c r="AG45">
        <v>0</v>
      </c>
      <c r="AH45">
        <v>297</v>
      </c>
      <c r="AK45" s="96" t="s">
        <v>66</v>
      </c>
      <c r="AL45" t="s">
        <v>44</v>
      </c>
      <c r="AM45">
        <v>218.3</v>
      </c>
      <c r="AN45">
        <v>19</v>
      </c>
      <c r="AO45">
        <v>350</v>
      </c>
      <c r="AP45">
        <v>13</v>
      </c>
      <c r="AQ45">
        <v>422.1</v>
      </c>
      <c r="AR45">
        <v>10</v>
      </c>
      <c r="AS45">
        <v>451.3</v>
      </c>
      <c r="AT45">
        <v>11</v>
      </c>
      <c r="AU45">
        <v>249.5</v>
      </c>
      <c r="AV45">
        <v>18</v>
      </c>
    </row>
    <row r="46" spans="1:48" ht="15" x14ac:dyDescent="0.25">
      <c r="A46" s="93"/>
      <c r="N46" s="95"/>
      <c r="AC46" s="96" t="s">
        <v>61</v>
      </c>
      <c r="AD46" t="s">
        <v>44</v>
      </c>
      <c r="AE46">
        <v>0</v>
      </c>
      <c r="AF46">
        <v>0</v>
      </c>
      <c r="AG46">
        <v>225.4</v>
      </c>
      <c r="AH46">
        <v>187.2</v>
      </c>
      <c r="AK46" s="95"/>
    </row>
    <row r="47" spans="1:48" ht="15" x14ac:dyDescent="0.25">
      <c r="A47" s="93" t="s">
        <v>74</v>
      </c>
      <c r="B47" t="s">
        <v>44</v>
      </c>
      <c r="C47">
        <v>156.69999999999999</v>
      </c>
      <c r="D47">
        <v>20</v>
      </c>
      <c r="E47">
        <v>260.10000000000002</v>
      </c>
      <c r="F47">
        <v>15</v>
      </c>
      <c r="G47">
        <v>248.5</v>
      </c>
      <c r="H47">
        <v>16</v>
      </c>
      <c r="I47">
        <v>221.2</v>
      </c>
      <c r="J47">
        <v>19</v>
      </c>
      <c r="K47">
        <v>173.1</v>
      </c>
      <c r="L47">
        <v>17</v>
      </c>
      <c r="N47" s="96" t="s">
        <v>76</v>
      </c>
      <c r="O47" t="s">
        <v>44</v>
      </c>
      <c r="P47">
        <v>217.3</v>
      </c>
      <c r="Q47">
        <v>20</v>
      </c>
      <c r="R47">
        <v>185.5</v>
      </c>
      <c r="S47">
        <v>15</v>
      </c>
      <c r="T47">
        <v>276.89999999999998</v>
      </c>
      <c r="U47">
        <v>15</v>
      </c>
      <c r="V47">
        <v>328.3</v>
      </c>
      <c r="W47">
        <v>13</v>
      </c>
      <c r="X47">
        <v>215.1</v>
      </c>
      <c r="Y47">
        <v>16</v>
      </c>
      <c r="AC47" s="96" t="s">
        <v>62</v>
      </c>
      <c r="AD47" t="s">
        <v>44</v>
      </c>
      <c r="AE47">
        <v>15.8</v>
      </c>
      <c r="AF47">
        <v>73</v>
      </c>
      <c r="AG47">
        <v>690.8</v>
      </c>
      <c r="AH47">
        <v>683.4</v>
      </c>
      <c r="AK47" s="96" t="s">
        <v>68</v>
      </c>
      <c r="AL47" t="s">
        <v>44</v>
      </c>
      <c r="AM47">
        <v>178.3</v>
      </c>
      <c r="AN47">
        <v>20</v>
      </c>
      <c r="AO47">
        <v>81.2</v>
      </c>
      <c r="AP47">
        <v>28</v>
      </c>
      <c r="AQ47">
        <v>87.6</v>
      </c>
      <c r="AR47">
        <v>22</v>
      </c>
      <c r="AS47">
        <v>71.900000000000006</v>
      </c>
      <c r="AT47">
        <v>25</v>
      </c>
      <c r="AU47">
        <v>12.4</v>
      </c>
      <c r="AV47">
        <v>31</v>
      </c>
    </row>
    <row r="48" spans="1:48" ht="15" x14ac:dyDescent="0.25">
      <c r="A48" s="93"/>
      <c r="N48" s="95"/>
      <c r="AC48" s="96" t="s">
        <v>63</v>
      </c>
      <c r="AD48" t="s">
        <v>44</v>
      </c>
      <c r="AE48">
        <v>2.4</v>
      </c>
      <c r="AF48">
        <v>0</v>
      </c>
      <c r="AG48">
        <v>250.4</v>
      </c>
      <c r="AH48">
        <v>237.5</v>
      </c>
      <c r="AK48" s="95"/>
    </row>
    <row r="49" spans="1:48" ht="15" x14ac:dyDescent="0.25">
      <c r="A49" s="93" t="s">
        <v>91</v>
      </c>
      <c r="B49" t="s">
        <v>44</v>
      </c>
      <c r="C49">
        <v>129.9</v>
      </c>
      <c r="D49">
        <v>21</v>
      </c>
      <c r="E49">
        <v>45.6</v>
      </c>
      <c r="F49">
        <v>23</v>
      </c>
      <c r="G49">
        <v>234.5</v>
      </c>
      <c r="H49">
        <v>17</v>
      </c>
      <c r="I49">
        <v>225</v>
      </c>
      <c r="J49">
        <v>18</v>
      </c>
      <c r="K49">
        <v>60.9</v>
      </c>
      <c r="L49">
        <v>25</v>
      </c>
      <c r="N49" s="96" t="s">
        <v>51</v>
      </c>
      <c r="O49" t="s">
        <v>44</v>
      </c>
      <c r="P49">
        <v>195.5</v>
      </c>
      <c r="Q49">
        <v>21</v>
      </c>
      <c r="R49">
        <v>60.7</v>
      </c>
      <c r="S49">
        <v>26</v>
      </c>
      <c r="T49">
        <v>180</v>
      </c>
      <c r="U49">
        <v>20</v>
      </c>
      <c r="V49">
        <v>35.700000000000003</v>
      </c>
      <c r="W49">
        <v>28</v>
      </c>
      <c r="X49">
        <v>20.5</v>
      </c>
      <c r="Y49">
        <v>30</v>
      </c>
      <c r="AC49" s="96" t="s">
        <v>64</v>
      </c>
      <c r="AD49" t="s">
        <v>44</v>
      </c>
      <c r="AE49">
        <v>0.2</v>
      </c>
      <c r="AF49">
        <v>1.1000000000000001</v>
      </c>
      <c r="AG49">
        <v>44.3</v>
      </c>
      <c r="AH49">
        <v>54.5</v>
      </c>
      <c r="AK49" s="96" t="s">
        <v>94</v>
      </c>
      <c r="AL49" t="s">
        <v>44</v>
      </c>
      <c r="AM49">
        <v>157.19999999999999</v>
      </c>
      <c r="AN49">
        <v>21</v>
      </c>
      <c r="AO49">
        <v>120.6</v>
      </c>
      <c r="AP49">
        <v>24</v>
      </c>
      <c r="AQ49">
        <v>0</v>
      </c>
      <c r="AR49">
        <v>0</v>
      </c>
      <c r="AS49">
        <v>62.5</v>
      </c>
      <c r="AT49">
        <v>27</v>
      </c>
      <c r="AU49">
        <v>0</v>
      </c>
      <c r="AV49">
        <v>0</v>
      </c>
    </row>
    <row r="50" spans="1:48" ht="15" x14ac:dyDescent="0.25">
      <c r="A50" s="93"/>
      <c r="N50" s="95"/>
      <c r="AC50" s="96" t="s">
        <v>94</v>
      </c>
      <c r="AD50" t="s">
        <v>44</v>
      </c>
      <c r="AE50">
        <v>0</v>
      </c>
      <c r="AF50">
        <v>0</v>
      </c>
      <c r="AG50">
        <v>157.19999999999999</v>
      </c>
      <c r="AH50">
        <v>120.6</v>
      </c>
      <c r="AK50" s="95"/>
    </row>
    <row r="51" spans="1:48" ht="15" x14ac:dyDescent="0.25">
      <c r="A51" s="93" t="s">
        <v>61</v>
      </c>
      <c r="B51" t="s">
        <v>44</v>
      </c>
      <c r="C51">
        <v>99.8</v>
      </c>
      <c r="D51">
        <v>22</v>
      </c>
      <c r="E51">
        <v>106.6</v>
      </c>
      <c r="F51">
        <v>18</v>
      </c>
      <c r="G51">
        <v>225.4</v>
      </c>
      <c r="H51">
        <v>18</v>
      </c>
      <c r="I51">
        <v>187.2</v>
      </c>
      <c r="J51">
        <v>22</v>
      </c>
      <c r="K51">
        <v>219.3</v>
      </c>
      <c r="L51">
        <v>14</v>
      </c>
      <c r="N51" s="96" t="s">
        <v>61</v>
      </c>
      <c r="O51" t="s">
        <v>44</v>
      </c>
      <c r="P51">
        <v>187.2</v>
      </c>
      <c r="Q51">
        <v>22</v>
      </c>
      <c r="R51">
        <v>219.3</v>
      </c>
      <c r="S51">
        <v>14</v>
      </c>
      <c r="T51">
        <v>335.2</v>
      </c>
      <c r="U51">
        <v>14</v>
      </c>
      <c r="V51">
        <v>257</v>
      </c>
      <c r="W51">
        <v>16</v>
      </c>
      <c r="X51">
        <v>236.3</v>
      </c>
      <c r="Y51">
        <v>14</v>
      </c>
      <c r="AC51" s="96" t="s">
        <v>65</v>
      </c>
      <c r="AD51" t="s">
        <v>44</v>
      </c>
      <c r="AE51">
        <v>5.5</v>
      </c>
      <c r="AF51" t="s">
        <v>112</v>
      </c>
      <c r="AG51">
        <v>20.100000000000001</v>
      </c>
      <c r="AH51">
        <v>26.2</v>
      </c>
      <c r="AK51" s="96" t="s">
        <v>76</v>
      </c>
      <c r="AL51" t="s">
        <v>44</v>
      </c>
      <c r="AM51">
        <v>125.7</v>
      </c>
      <c r="AN51">
        <v>22</v>
      </c>
      <c r="AO51">
        <v>217.3</v>
      </c>
      <c r="AP51">
        <v>20</v>
      </c>
      <c r="AQ51">
        <v>185.5</v>
      </c>
      <c r="AR51">
        <v>15</v>
      </c>
      <c r="AS51">
        <v>276.89999999999998</v>
      </c>
      <c r="AT51">
        <v>15</v>
      </c>
      <c r="AU51">
        <v>328.3</v>
      </c>
      <c r="AV51">
        <v>13</v>
      </c>
    </row>
    <row r="52" spans="1:48" ht="15" x14ac:dyDescent="0.25">
      <c r="A52" s="93"/>
      <c r="N52" s="95"/>
      <c r="AC52" s="96" t="s">
        <v>66</v>
      </c>
      <c r="AD52" t="s">
        <v>44</v>
      </c>
      <c r="AE52">
        <v>0</v>
      </c>
      <c r="AF52">
        <v>25</v>
      </c>
      <c r="AG52">
        <v>218.3</v>
      </c>
      <c r="AH52">
        <v>350</v>
      </c>
      <c r="AK52" s="95"/>
    </row>
    <row r="53" spans="1:48" ht="15" x14ac:dyDescent="0.25">
      <c r="A53" s="93" t="s">
        <v>71</v>
      </c>
      <c r="B53" t="s">
        <v>44</v>
      </c>
      <c r="C53">
        <v>92.3</v>
      </c>
      <c r="D53">
        <v>23</v>
      </c>
      <c r="E53">
        <v>0</v>
      </c>
      <c r="F53">
        <v>0</v>
      </c>
      <c r="G53">
        <v>95.8</v>
      </c>
      <c r="H53">
        <v>24</v>
      </c>
      <c r="I53">
        <v>105.3</v>
      </c>
      <c r="J53">
        <v>25</v>
      </c>
      <c r="K53">
        <v>122.3</v>
      </c>
      <c r="L53">
        <v>21</v>
      </c>
      <c r="N53" s="96" t="s">
        <v>77</v>
      </c>
      <c r="O53" t="s">
        <v>44</v>
      </c>
      <c r="P53">
        <v>148.4</v>
      </c>
      <c r="Q53">
        <v>23</v>
      </c>
      <c r="R53">
        <v>123.9</v>
      </c>
      <c r="S53">
        <v>20</v>
      </c>
      <c r="T53">
        <v>111.8</v>
      </c>
      <c r="U53">
        <v>23</v>
      </c>
      <c r="V53">
        <v>181.9</v>
      </c>
      <c r="W53">
        <v>22</v>
      </c>
      <c r="X53">
        <v>149.19999999999999</v>
      </c>
      <c r="Y53">
        <v>21</v>
      </c>
      <c r="AC53" s="96" t="s">
        <v>67</v>
      </c>
      <c r="AD53" t="s">
        <v>44</v>
      </c>
      <c r="AE53">
        <v>16</v>
      </c>
      <c r="AF53">
        <v>24.5</v>
      </c>
      <c r="AG53">
        <v>485.2</v>
      </c>
      <c r="AH53">
        <v>423</v>
      </c>
      <c r="AK53" s="96" t="s">
        <v>77</v>
      </c>
      <c r="AL53" t="s">
        <v>44</v>
      </c>
      <c r="AM53">
        <v>120.6</v>
      </c>
      <c r="AN53">
        <v>23</v>
      </c>
      <c r="AO53">
        <v>148.4</v>
      </c>
      <c r="AP53">
        <v>23</v>
      </c>
      <c r="AQ53">
        <v>123.9</v>
      </c>
      <c r="AR53">
        <v>20</v>
      </c>
      <c r="AS53">
        <v>111.8</v>
      </c>
      <c r="AT53">
        <v>23</v>
      </c>
      <c r="AU53">
        <v>181.9</v>
      </c>
      <c r="AV53">
        <v>22</v>
      </c>
    </row>
    <row r="54" spans="1:48" ht="15" x14ac:dyDescent="0.25">
      <c r="A54" s="93"/>
      <c r="N54" s="95"/>
      <c r="AC54" s="96" t="s">
        <v>68</v>
      </c>
      <c r="AD54" t="s">
        <v>44</v>
      </c>
      <c r="AE54">
        <v>29.8</v>
      </c>
      <c r="AF54">
        <v>7.8</v>
      </c>
      <c r="AG54">
        <v>178.3</v>
      </c>
      <c r="AH54">
        <v>81.2</v>
      </c>
      <c r="AK54" s="95"/>
    </row>
    <row r="55" spans="1:48" ht="15" x14ac:dyDescent="0.25">
      <c r="A55" s="93" t="s">
        <v>77</v>
      </c>
      <c r="B55" t="s">
        <v>44</v>
      </c>
      <c r="C55">
        <v>91.4</v>
      </c>
      <c r="D55">
        <v>24</v>
      </c>
      <c r="E55">
        <v>100.4</v>
      </c>
      <c r="F55">
        <v>19</v>
      </c>
      <c r="G55">
        <v>120.6</v>
      </c>
      <c r="H55">
        <v>23</v>
      </c>
      <c r="I55">
        <v>148.4</v>
      </c>
      <c r="J55">
        <v>23</v>
      </c>
      <c r="K55">
        <v>123.9</v>
      </c>
      <c r="L55">
        <v>20</v>
      </c>
      <c r="N55" s="96" t="s">
        <v>94</v>
      </c>
      <c r="O55" t="s">
        <v>44</v>
      </c>
      <c r="P55">
        <v>120.6</v>
      </c>
      <c r="Q55">
        <v>24</v>
      </c>
      <c r="R55">
        <v>0</v>
      </c>
      <c r="S55">
        <v>0</v>
      </c>
      <c r="T55">
        <v>62.5</v>
      </c>
      <c r="U55">
        <v>27</v>
      </c>
      <c r="V55">
        <v>0</v>
      </c>
      <c r="W55">
        <v>0</v>
      </c>
      <c r="X55">
        <v>0</v>
      </c>
      <c r="Y55">
        <v>0</v>
      </c>
      <c r="AC55" s="96"/>
      <c r="AD55" t="s">
        <v>44</v>
      </c>
      <c r="AK55" s="96" t="s">
        <v>71</v>
      </c>
      <c r="AL55" t="s">
        <v>44</v>
      </c>
      <c r="AM55">
        <v>95.8</v>
      </c>
      <c r="AN55">
        <v>24</v>
      </c>
      <c r="AO55">
        <v>105.3</v>
      </c>
      <c r="AP55">
        <v>25</v>
      </c>
      <c r="AQ55">
        <v>122.3</v>
      </c>
      <c r="AR55">
        <v>21</v>
      </c>
      <c r="AS55">
        <v>217.2</v>
      </c>
      <c r="AT55">
        <v>17</v>
      </c>
      <c r="AU55">
        <v>253.2</v>
      </c>
      <c r="AV55">
        <v>17</v>
      </c>
    </row>
    <row r="56" spans="1:48" ht="15" x14ac:dyDescent="0.25">
      <c r="A56" s="93"/>
      <c r="N56" s="95"/>
      <c r="AC56" s="96" t="s">
        <v>69</v>
      </c>
      <c r="AD56" t="s">
        <v>44</v>
      </c>
      <c r="AE56">
        <v>0</v>
      </c>
      <c r="AF56">
        <v>60</v>
      </c>
      <c r="AG56">
        <v>1242.3</v>
      </c>
      <c r="AH56">
        <v>1283.3</v>
      </c>
      <c r="AK56" s="95"/>
    </row>
    <row r="57" spans="1:48" ht="15" x14ac:dyDescent="0.25">
      <c r="A57" s="93" t="s">
        <v>142</v>
      </c>
      <c r="B57" t="s">
        <v>44</v>
      </c>
      <c r="C57">
        <v>81</v>
      </c>
      <c r="D57">
        <v>25</v>
      </c>
      <c r="E57">
        <v>30.3</v>
      </c>
      <c r="F57">
        <v>26</v>
      </c>
      <c r="G57">
        <v>52.5</v>
      </c>
      <c r="H57">
        <v>26</v>
      </c>
      <c r="I57">
        <v>98.5</v>
      </c>
      <c r="J57">
        <v>27</v>
      </c>
      <c r="K57">
        <v>25.9</v>
      </c>
      <c r="L57">
        <v>30</v>
      </c>
      <c r="N57" s="96" t="s">
        <v>71</v>
      </c>
      <c r="O57" t="s">
        <v>44</v>
      </c>
      <c r="P57">
        <v>105.3</v>
      </c>
      <c r="Q57">
        <v>25</v>
      </c>
      <c r="R57">
        <v>122.3</v>
      </c>
      <c r="S57">
        <v>21</v>
      </c>
      <c r="T57">
        <v>217.2</v>
      </c>
      <c r="U57">
        <v>17</v>
      </c>
      <c r="V57">
        <v>253.2</v>
      </c>
      <c r="W57">
        <v>17</v>
      </c>
      <c r="X57">
        <v>303.10000000000002</v>
      </c>
      <c r="Y57">
        <v>11</v>
      </c>
      <c r="AC57" s="96" t="s">
        <v>70</v>
      </c>
      <c r="AD57" t="s">
        <v>44</v>
      </c>
      <c r="AE57">
        <v>0</v>
      </c>
      <c r="AF57">
        <v>60</v>
      </c>
      <c r="AG57">
        <v>897.3</v>
      </c>
      <c r="AH57">
        <v>945</v>
      </c>
      <c r="AK57" s="96" t="s">
        <v>52</v>
      </c>
      <c r="AL57" t="s">
        <v>44</v>
      </c>
      <c r="AM57">
        <v>75</v>
      </c>
      <c r="AN57">
        <v>25</v>
      </c>
      <c r="AO57">
        <v>49.5</v>
      </c>
      <c r="AP57">
        <v>31</v>
      </c>
      <c r="AQ57">
        <v>0</v>
      </c>
      <c r="AR57">
        <v>0</v>
      </c>
      <c r="AS57">
        <v>2.5</v>
      </c>
      <c r="AT57">
        <v>38</v>
      </c>
      <c r="AU57">
        <v>64</v>
      </c>
      <c r="AV57">
        <v>27</v>
      </c>
    </row>
    <row r="58" spans="1:48" ht="15" x14ac:dyDescent="0.25">
      <c r="A58" s="93"/>
      <c r="N58" s="95"/>
      <c r="AC58" s="96" t="s">
        <v>71</v>
      </c>
      <c r="AD58" t="s">
        <v>44</v>
      </c>
      <c r="AE58">
        <v>0</v>
      </c>
      <c r="AF58">
        <v>0</v>
      </c>
      <c r="AG58">
        <v>95.8</v>
      </c>
      <c r="AH58">
        <v>105.3</v>
      </c>
      <c r="AK58" s="95"/>
    </row>
    <row r="59" spans="1:48" ht="15" x14ac:dyDescent="0.25">
      <c r="A59" s="93" t="s">
        <v>109</v>
      </c>
      <c r="B59" t="s">
        <v>44</v>
      </c>
      <c r="C59">
        <v>72</v>
      </c>
      <c r="D59">
        <v>26</v>
      </c>
      <c r="E59">
        <v>41.9</v>
      </c>
      <c r="F59">
        <v>24</v>
      </c>
      <c r="G59">
        <v>39</v>
      </c>
      <c r="H59">
        <v>30</v>
      </c>
      <c r="I59">
        <v>104.6</v>
      </c>
      <c r="J59">
        <v>26</v>
      </c>
      <c r="K59">
        <v>44.5</v>
      </c>
      <c r="L59">
        <v>28</v>
      </c>
      <c r="N59" s="96" t="s">
        <v>109</v>
      </c>
      <c r="O59" t="s">
        <v>44</v>
      </c>
      <c r="P59">
        <v>104.6</v>
      </c>
      <c r="Q59">
        <v>26</v>
      </c>
      <c r="R59">
        <v>44.5</v>
      </c>
      <c r="S59">
        <v>28</v>
      </c>
      <c r="T59">
        <v>5</v>
      </c>
      <c r="U59">
        <v>37</v>
      </c>
      <c r="V59">
        <v>0</v>
      </c>
      <c r="W59">
        <v>0</v>
      </c>
      <c r="X59">
        <v>45</v>
      </c>
      <c r="Y59">
        <v>28</v>
      </c>
      <c r="AC59" s="96" t="s">
        <v>144</v>
      </c>
      <c r="AD59" t="s">
        <v>44</v>
      </c>
      <c r="AE59">
        <v>0</v>
      </c>
      <c r="AF59">
        <v>0</v>
      </c>
      <c r="AG59">
        <v>249.2</v>
      </c>
      <c r="AH59">
        <v>232.9</v>
      </c>
      <c r="AK59" s="96" t="s">
        <v>142</v>
      </c>
      <c r="AL59" t="s">
        <v>44</v>
      </c>
      <c r="AM59">
        <v>52.5</v>
      </c>
      <c r="AN59">
        <v>26</v>
      </c>
      <c r="AO59">
        <v>98.4</v>
      </c>
      <c r="AP59">
        <v>27</v>
      </c>
      <c r="AQ59">
        <v>25.9</v>
      </c>
      <c r="AR59">
        <v>30</v>
      </c>
      <c r="AS59">
        <v>0</v>
      </c>
      <c r="AT59">
        <v>0</v>
      </c>
      <c r="AU59">
        <v>0</v>
      </c>
      <c r="AV59">
        <v>0</v>
      </c>
    </row>
    <row r="60" spans="1:48" ht="15" x14ac:dyDescent="0.25">
      <c r="A60" s="93"/>
      <c r="N60" s="95"/>
      <c r="AC60" s="96"/>
      <c r="AD60" t="s">
        <v>44</v>
      </c>
      <c r="AK60" s="95"/>
    </row>
    <row r="61" spans="1:48" ht="15" x14ac:dyDescent="0.25">
      <c r="A61" s="93" t="s">
        <v>190</v>
      </c>
      <c r="B61" t="s">
        <v>44</v>
      </c>
      <c r="C61">
        <v>55.5</v>
      </c>
      <c r="D61">
        <v>27</v>
      </c>
      <c r="E61">
        <v>0.5</v>
      </c>
      <c r="F61">
        <v>35</v>
      </c>
      <c r="G61">
        <v>49.5</v>
      </c>
      <c r="H61">
        <v>27</v>
      </c>
      <c r="I61">
        <v>0</v>
      </c>
      <c r="J61">
        <v>0</v>
      </c>
      <c r="K61">
        <v>0</v>
      </c>
      <c r="L61">
        <v>0</v>
      </c>
      <c r="N61" s="96" t="s">
        <v>142</v>
      </c>
      <c r="O61" t="s">
        <v>44</v>
      </c>
      <c r="P61">
        <v>98.4</v>
      </c>
      <c r="Q61">
        <v>27</v>
      </c>
      <c r="R61">
        <v>25.9</v>
      </c>
      <c r="S61">
        <v>30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AC61" s="96" t="s">
        <v>72</v>
      </c>
      <c r="AD61" t="s">
        <v>44</v>
      </c>
      <c r="AE61">
        <v>156.9</v>
      </c>
      <c r="AF61">
        <v>141.6</v>
      </c>
      <c r="AG61">
        <v>4082.9</v>
      </c>
      <c r="AH61">
        <v>4378.3999999999996</v>
      </c>
      <c r="AK61" s="96" t="s">
        <v>190</v>
      </c>
      <c r="AL61" t="s">
        <v>44</v>
      </c>
      <c r="AM61">
        <v>49.5</v>
      </c>
      <c r="AN61">
        <v>27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ht="15" x14ac:dyDescent="0.25">
      <c r="A62" s="93"/>
      <c r="N62" s="95"/>
      <c r="AC62" s="96" t="s">
        <v>73</v>
      </c>
      <c r="AD62" t="s">
        <v>44</v>
      </c>
      <c r="AE62">
        <v>0.2</v>
      </c>
      <c r="AF62">
        <v>0.1</v>
      </c>
      <c r="AG62">
        <v>23.3</v>
      </c>
      <c r="AH62">
        <v>25.2</v>
      </c>
      <c r="AK62" s="95"/>
    </row>
    <row r="63" spans="1:48" ht="15" x14ac:dyDescent="0.25">
      <c r="A63" s="93" t="s">
        <v>51</v>
      </c>
      <c r="B63" t="s">
        <v>44</v>
      </c>
      <c r="C63">
        <v>50.3</v>
      </c>
      <c r="D63">
        <v>28</v>
      </c>
      <c r="E63">
        <v>1.8</v>
      </c>
      <c r="F63">
        <v>33</v>
      </c>
      <c r="G63">
        <v>18.2</v>
      </c>
      <c r="H63">
        <v>35</v>
      </c>
      <c r="I63">
        <v>195.5</v>
      </c>
      <c r="J63">
        <v>21</v>
      </c>
      <c r="K63">
        <v>60.7</v>
      </c>
      <c r="L63">
        <v>26</v>
      </c>
      <c r="N63" s="96" t="s">
        <v>68</v>
      </c>
      <c r="O63" t="s">
        <v>44</v>
      </c>
      <c r="P63">
        <v>81.2</v>
      </c>
      <c r="Q63">
        <v>28</v>
      </c>
      <c r="R63">
        <v>87.6</v>
      </c>
      <c r="S63">
        <v>22</v>
      </c>
      <c r="T63">
        <v>71.900000000000006</v>
      </c>
      <c r="U63">
        <v>25</v>
      </c>
      <c r="V63">
        <v>12.4</v>
      </c>
      <c r="W63">
        <v>31</v>
      </c>
      <c r="X63">
        <v>1</v>
      </c>
      <c r="Y63">
        <v>39</v>
      </c>
      <c r="AC63" s="96" t="s">
        <v>74</v>
      </c>
      <c r="AD63" t="s">
        <v>44</v>
      </c>
      <c r="AE63">
        <v>31</v>
      </c>
      <c r="AF63">
        <v>12.5</v>
      </c>
      <c r="AG63">
        <v>248.4</v>
      </c>
      <c r="AH63">
        <v>221.2</v>
      </c>
      <c r="AK63" s="96" t="s">
        <v>64</v>
      </c>
      <c r="AL63" t="s">
        <v>44</v>
      </c>
      <c r="AM63">
        <v>44.3</v>
      </c>
      <c r="AN63">
        <v>28</v>
      </c>
      <c r="AO63">
        <v>54.5</v>
      </c>
      <c r="AP63">
        <v>29</v>
      </c>
      <c r="AQ63">
        <v>45.1</v>
      </c>
      <c r="AR63">
        <v>27</v>
      </c>
      <c r="AS63">
        <v>50.6</v>
      </c>
      <c r="AT63">
        <v>28</v>
      </c>
      <c r="AU63">
        <v>71.900000000000006</v>
      </c>
      <c r="AV63">
        <v>26</v>
      </c>
    </row>
    <row r="64" spans="1:48" ht="15" x14ac:dyDescent="0.25">
      <c r="A64" s="93"/>
      <c r="N64" s="95"/>
      <c r="AC64" s="96" t="s">
        <v>75</v>
      </c>
      <c r="AD64" t="s">
        <v>44</v>
      </c>
      <c r="AE64">
        <v>28.1</v>
      </c>
      <c r="AF64">
        <v>25.6</v>
      </c>
      <c r="AG64">
        <v>279</v>
      </c>
      <c r="AH64">
        <v>338.4</v>
      </c>
      <c r="AK64" s="95"/>
    </row>
    <row r="65" spans="1:48" ht="15" x14ac:dyDescent="0.25">
      <c r="A65" s="93" t="s">
        <v>64</v>
      </c>
      <c r="B65" t="s">
        <v>44</v>
      </c>
      <c r="C65">
        <v>38</v>
      </c>
      <c r="D65">
        <v>29</v>
      </c>
      <c r="E65">
        <v>41.5</v>
      </c>
      <c r="F65">
        <v>25</v>
      </c>
      <c r="G65">
        <v>44.3</v>
      </c>
      <c r="H65">
        <v>28</v>
      </c>
      <c r="I65">
        <v>54.5</v>
      </c>
      <c r="J65">
        <v>29</v>
      </c>
      <c r="K65">
        <v>45.1</v>
      </c>
      <c r="L65">
        <v>27</v>
      </c>
      <c r="N65" s="96" t="s">
        <v>64</v>
      </c>
      <c r="O65" t="s">
        <v>44</v>
      </c>
      <c r="P65">
        <v>54.5</v>
      </c>
      <c r="Q65">
        <v>29</v>
      </c>
      <c r="R65">
        <v>45.1</v>
      </c>
      <c r="S65">
        <v>27</v>
      </c>
      <c r="T65">
        <v>50.6</v>
      </c>
      <c r="U65">
        <v>28</v>
      </c>
      <c r="V65">
        <v>71.900000000000006</v>
      </c>
      <c r="W65">
        <v>26</v>
      </c>
      <c r="X65">
        <v>104</v>
      </c>
      <c r="Y65">
        <v>23</v>
      </c>
      <c r="AC65" s="96" t="s">
        <v>76</v>
      </c>
      <c r="AD65" t="s">
        <v>44</v>
      </c>
      <c r="AE65">
        <v>7</v>
      </c>
      <c r="AF65">
        <v>33</v>
      </c>
      <c r="AG65">
        <v>125.7</v>
      </c>
      <c r="AH65">
        <v>217.3</v>
      </c>
      <c r="AK65" s="96" t="s">
        <v>93</v>
      </c>
      <c r="AL65" t="s">
        <v>44</v>
      </c>
      <c r="AM65">
        <v>41.8</v>
      </c>
      <c r="AN65">
        <v>29</v>
      </c>
      <c r="AO65">
        <v>52.4</v>
      </c>
      <c r="AP65">
        <v>30</v>
      </c>
      <c r="AQ65">
        <v>81.3</v>
      </c>
      <c r="AR65">
        <v>24</v>
      </c>
      <c r="AS65">
        <v>396.3</v>
      </c>
      <c r="AT65">
        <v>13</v>
      </c>
      <c r="AU65">
        <v>183.7</v>
      </c>
      <c r="AV65">
        <v>21</v>
      </c>
    </row>
    <row r="66" spans="1:48" ht="15" x14ac:dyDescent="0.25">
      <c r="A66" s="93"/>
      <c r="N66" s="95"/>
      <c r="AC66" s="96" t="s">
        <v>77</v>
      </c>
      <c r="AD66" t="s">
        <v>44</v>
      </c>
      <c r="AE66">
        <v>8</v>
      </c>
      <c r="AF66">
        <v>15.2</v>
      </c>
      <c r="AG66">
        <v>120.6</v>
      </c>
      <c r="AH66">
        <v>148.4</v>
      </c>
      <c r="AK66" s="95"/>
    </row>
    <row r="67" spans="1:48" ht="15" x14ac:dyDescent="0.25">
      <c r="A67" s="93" t="s">
        <v>73</v>
      </c>
      <c r="B67" t="s">
        <v>44</v>
      </c>
      <c r="C67">
        <v>19.8</v>
      </c>
      <c r="D67">
        <v>30</v>
      </c>
      <c r="E67">
        <v>23.8</v>
      </c>
      <c r="F67">
        <v>28</v>
      </c>
      <c r="G67">
        <v>23.3</v>
      </c>
      <c r="H67">
        <v>32</v>
      </c>
      <c r="I67">
        <v>25.2</v>
      </c>
      <c r="J67">
        <v>35</v>
      </c>
      <c r="K67">
        <v>24.6</v>
      </c>
      <c r="L67">
        <v>31</v>
      </c>
      <c r="N67" s="96" t="s">
        <v>93</v>
      </c>
      <c r="O67" t="s">
        <v>44</v>
      </c>
      <c r="P67">
        <v>52.4</v>
      </c>
      <c r="Q67">
        <v>30</v>
      </c>
      <c r="R67">
        <v>81.3</v>
      </c>
      <c r="S67">
        <v>24</v>
      </c>
      <c r="T67">
        <v>396.3</v>
      </c>
      <c r="U67">
        <v>13</v>
      </c>
      <c r="V67">
        <v>183.7</v>
      </c>
      <c r="W67">
        <v>21</v>
      </c>
      <c r="X67">
        <v>129.30000000000001</v>
      </c>
      <c r="Y67">
        <v>22</v>
      </c>
      <c r="AC67" s="96" t="s">
        <v>78</v>
      </c>
      <c r="AD67" t="s">
        <v>44</v>
      </c>
      <c r="AE67">
        <v>1.9</v>
      </c>
      <c r="AF67">
        <v>3.7</v>
      </c>
      <c r="AG67">
        <v>7.7</v>
      </c>
      <c r="AH67">
        <v>14.4</v>
      </c>
      <c r="AK67" s="96" t="s">
        <v>109</v>
      </c>
      <c r="AL67" t="s">
        <v>44</v>
      </c>
      <c r="AM67">
        <v>39</v>
      </c>
      <c r="AN67">
        <v>30</v>
      </c>
      <c r="AO67">
        <v>104.6</v>
      </c>
      <c r="AP67">
        <v>26</v>
      </c>
      <c r="AQ67">
        <v>44.5</v>
      </c>
      <c r="AR67">
        <v>28</v>
      </c>
      <c r="AS67">
        <v>5</v>
      </c>
      <c r="AT67">
        <v>37</v>
      </c>
      <c r="AU67">
        <v>0</v>
      </c>
      <c r="AV67">
        <v>0</v>
      </c>
    </row>
    <row r="68" spans="1:48" ht="15" x14ac:dyDescent="0.25">
      <c r="A68" s="93"/>
      <c r="N68" s="95"/>
      <c r="AC68" s="96" t="s">
        <v>189</v>
      </c>
      <c r="AD68" t="s">
        <v>44</v>
      </c>
      <c r="AE68">
        <v>0</v>
      </c>
      <c r="AF68">
        <v>0</v>
      </c>
      <c r="AG68">
        <v>0.3</v>
      </c>
      <c r="AH68">
        <v>0</v>
      </c>
      <c r="AK68" s="95"/>
    </row>
    <row r="69" spans="1:48" ht="15" x14ac:dyDescent="0.25">
      <c r="A69" s="93" t="s">
        <v>93</v>
      </c>
      <c r="B69" t="s">
        <v>44</v>
      </c>
      <c r="C69">
        <v>17.600000000000001</v>
      </c>
      <c r="D69">
        <v>31</v>
      </c>
      <c r="E69">
        <v>83.9</v>
      </c>
      <c r="F69">
        <v>20</v>
      </c>
      <c r="G69">
        <v>41.8</v>
      </c>
      <c r="H69">
        <v>29</v>
      </c>
      <c r="I69">
        <v>52.4</v>
      </c>
      <c r="J69">
        <v>30</v>
      </c>
      <c r="K69">
        <v>81.3</v>
      </c>
      <c r="L69">
        <v>24</v>
      </c>
      <c r="N69" s="96" t="s">
        <v>52</v>
      </c>
      <c r="O69" t="s">
        <v>44</v>
      </c>
      <c r="P69">
        <v>49.5</v>
      </c>
      <c r="Q69">
        <v>31</v>
      </c>
      <c r="R69">
        <v>0</v>
      </c>
      <c r="S69">
        <v>0</v>
      </c>
      <c r="T69">
        <v>2.5</v>
      </c>
      <c r="U69">
        <v>38</v>
      </c>
      <c r="V69">
        <v>64</v>
      </c>
      <c r="W69">
        <v>27</v>
      </c>
      <c r="X69">
        <v>47.3</v>
      </c>
      <c r="Y69">
        <v>27</v>
      </c>
      <c r="AC69" s="96" t="s">
        <v>79</v>
      </c>
      <c r="AD69" t="s">
        <v>44</v>
      </c>
      <c r="AE69">
        <v>80.7</v>
      </c>
      <c r="AF69">
        <v>51.5</v>
      </c>
      <c r="AG69">
        <v>3214.7</v>
      </c>
      <c r="AH69">
        <v>3276.4</v>
      </c>
      <c r="AK69" s="96" t="s">
        <v>101</v>
      </c>
      <c r="AL69" t="s">
        <v>44</v>
      </c>
      <c r="AM69">
        <v>38.6</v>
      </c>
      <c r="AN69">
        <v>31</v>
      </c>
      <c r="AO69">
        <v>22.4</v>
      </c>
      <c r="AP69">
        <v>36</v>
      </c>
      <c r="AQ69">
        <v>15</v>
      </c>
      <c r="AR69">
        <v>33</v>
      </c>
      <c r="AS69">
        <v>65.8</v>
      </c>
      <c r="AT69">
        <v>26</v>
      </c>
      <c r="AU69">
        <v>0</v>
      </c>
      <c r="AV69">
        <v>0</v>
      </c>
    </row>
    <row r="70" spans="1:48" ht="15" x14ac:dyDescent="0.25">
      <c r="A70" s="93"/>
      <c r="N70" s="95"/>
      <c r="AC70" s="96" t="s">
        <v>86</v>
      </c>
      <c r="AD70" t="s">
        <v>44</v>
      </c>
      <c r="AE70">
        <v>0</v>
      </c>
      <c r="AF70">
        <v>0</v>
      </c>
      <c r="AG70">
        <v>2.8</v>
      </c>
      <c r="AH70">
        <v>6.6</v>
      </c>
      <c r="AK70" s="95"/>
    </row>
    <row r="71" spans="1:48" ht="15" x14ac:dyDescent="0.25">
      <c r="A71" s="93" t="s">
        <v>78</v>
      </c>
      <c r="B71" t="s">
        <v>44</v>
      </c>
      <c r="C71">
        <v>14</v>
      </c>
      <c r="D71">
        <v>32</v>
      </c>
      <c r="E71">
        <v>13.8</v>
      </c>
      <c r="F71">
        <v>29</v>
      </c>
      <c r="G71">
        <v>7.7</v>
      </c>
      <c r="H71">
        <v>38</v>
      </c>
      <c r="I71">
        <v>14.4</v>
      </c>
      <c r="J71">
        <v>39</v>
      </c>
      <c r="K71">
        <v>7.1</v>
      </c>
      <c r="L71">
        <v>35</v>
      </c>
      <c r="N71" s="96" t="s">
        <v>49</v>
      </c>
      <c r="O71" t="s">
        <v>44</v>
      </c>
      <c r="P71">
        <v>34.799999999999997</v>
      </c>
      <c r="Q71">
        <v>32</v>
      </c>
      <c r="R71">
        <v>0</v>
      </c>
      <c r="S71">
        <v>0</v>
      </c>
      <c r="T71">
        <v>194.2</v>
      </c>
      <c r="U71">
        <v>18</v>
      </c>
      <c r="V71">
        <v>228.3</v>
      </c>
      <c r="W71">
        <v>20</v>
      </c>
      <c r="X71">
        <v>167.3</v>
      </c>
      <c r="Y71">
        <v>18</v>
      </c>
      <c r="AC71" s="96" t="s">
        <v>96</v>
      </c>
      <c r="AD71" t="s">
        <v>44</v>
      </c>
      <c r="AE71">
        <v>0</v>
      </c>
      <c r="AF71">
        <v>0</v>
      </c>
      <c r="AG71">
        <v>21.5</v>
      </c>
      <c r="AH71">
        <v>25.8</v>
      </c>
      <c r="AK71" s="96" t="s">
        <v>73</v>
      </c>
      <c r="AL71" t="s">
        <v>44</v>
      </c>
      <c r="AM71">
        <v>23.3</v>
      </c>
      <c r="AN71">
        <v>32</v>
      </c>
      <c r="AO71">
        <v>25.2</v>
      </c>
      <c r="AP71">
        <v>35</v>
      </c>
      <c r="AQ71">
        <v>24.6</v>
      </c>
      <c r="AR71">
        <v>31</v>
      </c>
      <c r="AS71">
        <v>24.5</v>
      </c>
      <c r="AT71">
        <v>30</v>
      </c>
      <c r="AU71">
        <v>27.1</v>
      </c>
      <c r="AV71">
        <v>29</v>
      </c>
    </row>
    <row r="72" spans="1:48" ht="15" x14ac:dyDescent="0.25">
      <c r="A72" s="93"/>
      <c r="N72" s="95"/>
      <c r="AC72" s="96" t="s">
        <v>109</v>
      </c>
      <c r="AD72" t="s">
        <v>44</v>
      </c>
      <c r="AE72">
        <v>0</v>
      </c>
      <c r="AF72">
        <v>0</v>
      </c>
      <c r="AG72">
        <v>39</v>
      </c>
      <c r="AH72">
        <v>104.6</v>
      </c>
      <c r="AK72" s="95"/>
    </row>
    <row r="73" spans="1:48" ht="15" x14ac:dyDescent="0.25">
      <c r="A73" s="93" t="s">
        <v>65</v>
      </c>
      <c r="B73" t="s">
        <v>44</v>
      </c>
      <c r="C73">
        <v>8.5</v>
      </c>
      <c r="D73">
        <v>33</v>
      </c>
      <c r="E73">
        <v>29.7</v>
      </c>
      <c r="F73">
        <v>27</v>
      </c>
      <c r="G73">
        <v>20.2</v>
      </c>
      <c r="H73">
        <v>34</v>
      </c>
      <c r="I73">
        <v>26.2</v>
      </c>
      <c r="J73">
        <v>33</v>
      </c>
      <c r="K73">
        <v>3.4</v>
      </c>
      <c r="L73">
        <v>38</v>
      </c>
      <c r="N73" s="96" t="s">
        <v>65</v>
      </c>
      <c r="O73" t="s">
        <v>44</v>
      </c>
      <c r="P73">
        <v>26.2</v>
      </c>
      <c r="Q73">
        <v>33</v>
      </c>
      <c r="R73">
        <v>3.4</v>
      </c>
      <c r="S73">
        <v>38</v>
      </c>
      <c r="T73">
        <v>8.4</v>
      </c>
      <c r="U73">
        <v>36</v>
      </c>
      <c r="V73">
        <v>0.9</v>
      </c>
      <c r="W73">
        <v>36</v>
      </c>
      <c r="X73">
        <v>0.2</v>
      </c>
      <c r="Y73">
        <v>41</v>
      </c>
      <c r="AC73" s="96" t="s">
        <v>150</v>
      </c>
      <c r="AD73" t="s">
        <v>43</v>
      </c>
      <c r="AE73" t="s">
        <v>98</v>
      </c>
      <c r="AF73" t="s">
        <v>115</v>
      </c>
      <c r="AG73" t="s">
        <v>216</v>
      </c>
      <c r="AH73" t="s">
        <v>216</v>
      </c>
      <c r="AI73" t="s">
        <v>152</v>
      </c>
      <c r="AK73" s="96" t="s">
        <v>96</v>
      </c>
      <c r="AL73" t="s">
        <v>44</v>
      </c>
      <c r="AM73">
        <v>21.5</v>
      </c>
      <c r="AN73">
        <v>33</v>
      </c>
      <c r="AO73">
        <v>25.8</v>
      </c>
      <c r="AP73">
        <v>34</v>
      </c>
      <c r="AQ73">
        <v>11</v>
      </c>
      <c r="AR73">
        <v>34</v>
      </c>
      <c r="AS73">
        <v>19.3</v>
      </c>
      <c r="AT73">
        <v>31</v>
      </c>
      <c r="AU73">
        <v>6.3</v>
      </c>
      <c r="AV73">
        <v>34</v>
      </c>
    </row>
    <row r="74" spans="1:48" ht="15" x14ac:dyDescent="0.25">
      <c r="A74" s="93"/>
      <c r="N74" s="95"/>
      <c r="AC74" s="96" t="s">
        <v>80</v>
      </c>
      <c r="AD74" t="s">
        <v>44</v>
      </c>
      <c r="AE74">
        <v>2014.9</v>
      </c>
      <c r="AF74">
        <v>1418.9</v>
      </c>
      <c r="AG74">
        <v>39993.1</v>
      </c>
      <c r="AH74">
        <v>39642.199999999997</v>
      </c>
      <c r="AK74" s="95"/>
    </row>
    <row r="75" spans="1:48" ht="15" x14ac:dyDescent="0.25">
      <c r="A75" s="93" t="s">
        <v>86</v>
      </c>
      <c r="B75" t="s">
        <v>44</v>
      </c>
      <c r="C75">
        <v>8.5</v>
      </c>
      <c r="D75">
        <v>34</v>
      </c>
      <c r="E75">
        <v>2.8</v>
      </c>
      <c r="F75">
        <v>32</v>
      </c>
      <c r="G75">
        <v>2.8</v>
      </c>
      <c r="H75">
        <v>40</v>
      </c>
      <c r="I75">
        <v>6.6</v>
      </c>
      <c r="J75">
        <v>41</v>
      </c>
      <c r="K75">
        <v>3.7</v>
      </c>
      <c r="L75">
        <v>37</v>
      </c>
      <c r="N75" s="96" t="s">
        <v>96</v>
      </c>
      <c r="O75" t="s">
        <v>44</v>
      </c>
      <c r="P75">
        <v>25.8</v>
      </c>
      <c r="Q75">
        <v>34</v>
      </c>
      <c r="R75">
        <v>11</v>
      </c>
      <c r="S75">
        <v>34</v>
      </c>
      <c r="T75">
        <v>19.3</v>
      </c>
      <c r="U75">
        <v>31</v>
      </c>
      <c r="V75">
        <v>6.3</v>
      </c>
      <c r="W75">
        <v>34</v>
      </c>
      <c r="X75">
        <v>3.3</v>
      </c>
      <c r="Y75">
        <v>36</v>
      </c>
      <c r="AC75" s="96" t="s">
        <v>81</v>
      </c>
      <c r="AD75" t="s">
        <v>44</v>
      </c>
      <c r="AE75">
        <v>267</v>
      </c>
      <c r="AF75">
        <v>204.2</v>
      </c>
      <c r="AG75">
        <v>0</v>
      </c>
      <c r="AH75">
        <v>0</v>
      </c>
      <c r="AK75" s="96" t="s">
        <v>65</v>
      </c>
      <c r="AL75" t="s">
        <v>44</v>
      </c>
      <c r="AM75">
        <v>20.100000000000001</v>
      </c>
      <c r="AN75">
        <v>34</v>
      </c>
      <c r="AO75">
        <v>26.2</v>
      </c>
      <c r="AP75">
        <v>33</v>
      </c>
      <c r="AQ75">
        <v>3.4</v>
      </c>
      <c r="AR75">
        <v>38</v>
      </c>
      <c r="AS75">
        <v>8.4</v>
      </c>
      <c r="AT75">
        <v>36</v>
      </c>
      <c r="AU75">
        <v>0.9</v>
      </c>
      <c r="AV75">
        <v>36</v>
      </c>
    </row>
    <row r="76" spans="1:48" ht="15" x14ac:dyDescent="0.25">
      <c r="A76" s="93"/>
      <c r="N76" s="95"/>
      <c r="AC76" s="96" t="s">
        <v>150</v>
      </c>
      <c r="AD76" t="s">
        <v>43</v>
      </c>
      <c r="AE76" t="s">
        <v>98</v>
      </c>
      <c r="AF76" t="s">
        <v>115</v>
      </c>
      <c r="AG76" t="s">
        <v>216</v>
      </c>
      <c r="AH76" t="s">
        <v>216</v>
      </c>
      <c r="AI76" t="s">
        <v>152</v>
      </c>
      <c r="AK76" s="95"/>
    </row>
    <row r="77" spans="1:48" ht="15" x14ac:dyDescent="0.25">
      <c r="A77" s="93" t="s">
        <v>189</v>
      </c>
      <c r="B77" t="s">
        <v>44</v>
      </c>
      <c r="C77">
        <v>0.4</v>
      </c>
      <c r="D77">
        <v>35</v>
      </c>
      <c r="E77">
        <v>0.4</v>
      </c>
      <c r="F77">
        <v>36</v>
      </c>
      <c r="G77">
        <v>0.3</v>
      </c>
      <c r="H77">
        <v>41</v>
      </c>
      <c r="I77">
        <v>0</v>
      </c>
      <c r="J77">
        <v>0</v>
      </c>
      <c r="K77">
        <v>0</v>
      </c>
      <c r="L77">
        <v>0</v>
      </c>
      <c r="N77" s="96" t="s">
        <v>73</v>
      </c>
      <c r="O77" t="s">
        <v>44</v>
      </c>
      <c r="P77">
        <v>25.2</v>
      </c>
      <c r="Q77">
        <v>35</v>
      </c>
      <c r="R77">
        <v>24.6</v>
      </c>
      <c r="S77">
        <v>31</v>
      </c>
      <c r="T77">
        <v>24.5</v>
      </c>
      <c r="U77">
        <v>30</v>
      </c>
      <c r="V77">
        <v>27.1</v>
      </c>
      <c r="W77">
        <v>29</v>
      </c>
      <c r="X77">
        <v>22.1</v>
      </c>
      <c r="Y77">
        <v>29</v>
      </c>
      <c r="AC77" s="96" t="s">
        <v>88</v>
      </c>
      <c r="AD77" t="s">
        <v>44</v>
      </c>
      <c r="AE77">
        <v>2281.9</v>
      </c>
      <c r="AF77">
        <v>1623.1</v>
      </c>
      <c r="AG77">
        <v>39993.1</v>
      </c>
      <c r="AH77">
        <v>39642.199999999997</v>
      </c>
      <c r="AK77" s="96" t="s">
        <v>51</v>
      </c>
      <c r="AL77" t="s">
        <v>44</v>
      </c>
      <c r="AM77">
        <v>18.2</v>
      </c>
      <c r="AN77">
        <v>35</v>
      </c>
      <c r="AO77">
        <v>195.5</v>
      </c>
      <c r="AP77">
        <v>21</v>
      </c>
      <c r="AQ77">
        <v>60.7</v>
      </c>
      <c r="AR77">
        <v>26</v>
      </c>
      <c r="AS77">
        <v>180</v>
      </c>
      <c r="AT77">
        <v>20</v>
      </c>
      <c r="AU77">
        <v>35.700000000000003</v>
      </c>
      <c r="AV77">
        <v>28</v>
      </c>
    </row>
    <row r="78" spans="1:48" ht="15" x14ac:dyDescent="0.25">
      <c r="A78" s="93"/>
      <c r="N78" s="95"/>
      <c r="AC78" s="96" t="s">
        <v>89</v>
      </c>
      <c r="AD78" t="s">
        <v>44</v>
      </c>
      <c r="AE78" t="s">
        <v>43</v>
      </c>
      <c r="AF78" t="s">
        <v>43</v>
      </c>
      <c r="AG78">
        <v>0</v>
      </c>
      <c r="AH78">
        <v>22.8</v>
      </c>
      <c r="AK78" s="95"/>
    </row>
    <row r="79" spans="1:48" ht="15" x14ac:dyDescent="0.25">
      <c r="A79" s="93" t="s">
        <v>59</v>
      </c>
      <c r="B79" t="s">
        <v>44</v>
      </c>
      <c r="C79">
        <v>0.2</v>
      </c>
      <c r="D79">
        <v>36</v>
      </c>
      <c r="E79">
        <v>5.0999999999999996</v>
      </c>
      <c r="F79">
        <v>31</v>
      </c>
      <c r="G79">
        <v>10.1</v>
      </c>
      <c r="H79">
        <v>37</v>
      </c>
      <c r="I79">
        <v>0</v>
      </c>
      <c r="J79">
        <v>0</v>
      </c>
      <c r="K79">
        <v>0.3</v>
      </c>
      <c r="L79">
        <v>39</v>
      </c>
      <c r="N79" s="96" t="s">
        <v>101</v>
      </c>
      <c r="O79" t="s">
        <v>44</v>
      </c>
      <c r="P79">
        <v>22.4</v>
      </c>
      <c r="Q79">
        <v>36</v>
      </c>
      <c r="R79">
        <v>15</v>
      </c>
      <c r="S79">
        <v>33</v>
      </c>
      <c r="T79">
        <v>65.8</v>
      </c>
      <c r="U79">
        <v>26</v>
      </c>
      <c r="V79">
        <v>0</v>
      </c>
      <c r="W79">
        <v>0</v>
      </c>
      <c r="X79">
        <v>0</v>
      </c>
      <c r="Y79">
        <v>0</v>
      </c>
      <c r="AC79" s="96" t="s">
        <v>90</v>
      </c>
      <c r="AD79" t="s">
        <v>44</v>
      </c>
      <c r="AE79">
        <v>0</v>
      </c>
      <c r="AF79">
        <v>0</v>
      </c>
      <c r="AG79" t="s">
        <v>43</v>
      </c>
      <c r="AH79" t="s">
        <v>43</v>
      </c>
      <c r="AK79" s="96" t="s">
        <v>140</v>
      </c>
      <c r="AL79" t="s">
        <v>44</v>
      </c>
      <c r="AM79">
        <v>12.7</v>
      </c>
      <c r="AN79">
        <v>36</v>
      </c>
      <c r="AO79">
        <v>13.4</v>
      </c>
      <c r="AP79">
        <v>40</v>
      </c>
      <c r="AQ79">
        <v>5</v>
      </c>
      <c r="AR79">
        <v>36</v>
      </c>
      <c r="AS79">
        <v>0</v>
      </c>
      <c r="AT79">
        <v>0</v>
      </c>
      <c r="AU79">
        <v>0</v>
      </c>
      <c r="AV79">
        <v>0</v>
      </c>
    </row>
    <row r="80" spans="1:48" ht="15" x14ac:dyDescent="0.25">
      <c r="A80" s="93"/>
      <c r="N80" s="95"/>
      <c r="AC80" s="96" t="s">
        <v>150</v>
      </c>
      <c r="AD80" t="s">
        <v>43</v>
      </c>
      <c r="AE80" t="s">
        <v>98</v>
      </c>
      <c r="AF80" t="s">
        <v>115</v>
      </c>
      <c r="AG80" t="s">
        <v>216</v>
      </c>
      <c r="AH80" t="s">
        <v>216</v>
      </c>
      <c r="AI80" t="s">
        <v>152</v>
      </c>
      <c r="AK80" s="95"/>
    </row>
    <row r="81" spans="1:48" ht="15" x14ac:dyDescent="0.25">
      <c r="A81" s="93" t="s">
        <v>140</v>
      </c>
      <c r="B81" t="s">
        <v>44</v>
      </c>
      <c r="C81">
        <v>0</v>
      </c>
      <c r="D81">
        <v>0</v>
      </c>
      <c r="E81">
        <v>7.3</v>
      </c>
      <c r="F81">
        <v>30</v>
      </c>
      <c r="G81">
        <v>12.7</v>
      </c>
      <c r="H81">
        <v>36</v>
      </c>
      <c r="I81">
        <v>13.4</v>
      </c>
      <c r="J81">
        <v>40</v>
      </c>
      <c r="K81">
        <v>5</v>
      </c>
      <c r="L81">
        <v>36</v>
      </c>
      <c r="N81" s="96" t="s">
        <v>141</v>
      </c>
      <c r="O81" t="s">
        <v>44</v>
      </c>
      <c r="P81">
        <v>17.100000000000001</v>
      </c>
      <c r="Q81">
        <v>37</v>
      </c>
      <c r="R81">
        <v>27.4</v>
      </c>
      <c r="S81">
        <v>29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AK81" s="96" t="s">
        <v>59</v>
      </c>
      <c r="AL81" t="s">
        <v>44</v>
      </c>
      <c r="AM81">
        <v>10.1</v>
      </c>
      <c r="AN81">
        <v>37</v>
      </c>
      <c r="AO81">
        <v>0</v>
      </c>
      <c r="AP81">
        <v>0</v>
      </c>
      <c r="AQ81">
        <v>0.3</v>
      </c>
      <c r="AR81">
        <v>39</v>
      </c>
      <c r="AS81">
        <v>0.4</v>
      </c>
      <c r="AT81">
        <v>40</v>
      </c>
      <c r="AU81">
        <v>0</v>
      </c>
      <c r="AV81">
        <v>0</v>
      </c>
    </row>
    <row r="82" spans="1:48" x14ac:dyDescent="0.25">
      <c r="A82" s="93"/>
      <c r="N82" s="95"/>
      <c r="AK82" s="95"/>
    </row>
    <row r="83" spans="1:48" ht="15" x14ac:dyDescent="0.25">
      <c r="A83" s="93" t="s">
        <v>105</v>
      </c>
      <c r="B83" t="s">
        <v>44</v>
      </c>
      <c r="C83">
        <v>0</v>
      </c>
      <c r="D83">
        <v>0</v>
      </c>
      <c r="E83">
        <v>1</v>
      </c>
      <c r="F83">
        <v>34</v>
      </c>
      <c r="G83">
        <v>7.1</v>
      </c>
      <c r="H83">
        <v>39</v>
      </c>
      <c r="I83">
        <v>15.3</v>
      </c>
      <c r="J83">
        <v>38</v>
      </c>
      <c r="K83">
        <v>22.9</v>
      </c>
      <c r="L83">
        <v>32</v>
      </c>
      <c r="N83" s="96" t="s">
        <v>105</v>
      </c>
      <c r="O83" t="s">
        <v>44</v>
      </c>
      <c r="P83">
        <v>15.3</v>
      </c>
      <c r="Q83">
        <v>38</v>
      </c>
      <c r="R83">
        <v>22.9</v>
      </c>
      <c r="S83">
        <v>32</v>
      </c>
      <c r="T83">
        <v>17.3</v>
      </c>
      <c r="U83">
        <v>33</v>
      </c>
      <c r="V83">
        <v>0</v>
      </c>
      <c r="W83">
        <v>0</v>
      </c>
      <c r="X83">
        <v>0</v>
      </c>
      <c r="Y83">
        <v>0</v>
      </c>
      <c r="AK83" s="96" t="s">
        <v>78</v>
      </c>
      <c r="AL83" t="s">
        <v>44</v>
      </c>
      <c r="AM83">
        <v>7.7</v>
      </c>
      <c r="AN83">
        <v>38</v>
      </c>
      <c r="AO83">
        <v>14.4</v>
      </c>
      <c r="AP83">
        <v>39</v>
      </c>
      <c r="AQ83">
        <v>7.1</v>
      </c>
      <c r="AR83">
        <v>35</v>
      </c>
      <c r="AS83">
        <v>17.899999999999999</v>
      </c>
      <c r="AT83">
        <v>32</v>
      </c>
      <c r="AU83">
        <v>13.4</v>
      </c>
      <c r="AV83">
        <v>30</v>
      </c>
    </row>
    <row r="84" spans="1:48" x14ac:dyDescent="0.25">
      <c r="A84" s="93"/>
      <c r="N84" s="95"/>
      <c r="AK84" s="95"/>
    </row>
    <row r="85" spans="1:48" ht="15" x14ac:dyDescent="0.25">
      <c r="A85" s="93" t="s">
        <v>99</v>
      </c>
      <c r="B85" t="s">
        <v>44</v>
      </c>
      <c r="C85">
        <v>0</v>
      </c>
      <c r="D85">
        <v>0</v>
      </c>
      <c r="E85">
        <v>0.1</v>
      </c>
      <c r="F85">
        <v>37</v>
      </c>
      <c r="G85">
        <v>0</v>
      </c>
      <c r="H85">
        <v>0</v>
      </c>
      <c r="I85">
        <v>0.2</v>
      </c>
      <c r="J85">
        <v>42</v>
      </c>
      <c r="K85">
        <v>0.2</v>
      </c>
      <c r="L85">
        <v>40</v>
      </c>
      <c r="N85" s="96" t="s">
        <v>78</v>
      </c>
      <c r="O85" t="s">
        <v>44</v>
      </c>
      <c r="P85">
        <v>14.4</v>
      </c>
      <c r="Q85">
        <v>39</v>
      </c>
      <c r="R85">
        <v>7.1</v>
      </c>
      <c r="S85">
        <v>35</v>
      </c>
      <c r="T85">
        <v>17.899999999999999</v>
      </c>
      <c r="U85">
        <v>32</v>
      </c>
      <c r="V85">
        <v>13.4</v>
      </c>
      <c r="W85">
        <v>30</v>
      </c>
      <c r="X85">
        <v>14.6</v>
      </c>
      <c r="Y85">
        <v>32</v>
      </c>
      <c r="AK85" s="96" t="s">
        <v>105</v>
      </c>
      <c r="AL85" t="s">
        <v>44</v>
      </c>
      <c r="AM85">
        <v>7.1</v>
      </c>
      <c r="AN85">
        <v>39</v>
      </c>
      <c r="AO85">
        <v>15.3</v>
      </c>
      <c r="AP85">
        <v>38</v>
      </c>
      <c r="AQ85">
        <v>22.9</v>
      </c>
      <c r="AR85">
        <v>32</v>
      </c>
      <c r="AS85">
        <v>17.3</v>
      </c>
      <c r="AT85">
        <v>33</v>
      </c>
      <c r="AU85">
        <v>0</v>
      </c>
      <c r="AV85">
        <v>0</v>
      </c>
    </row>
    <row r="86" spans="1:48" x14ac:dyDescent="0.25">
      <c r="A86" s="93"/>
      <c r="N86" s="95"/>
      <c r="AK86" s="95"/>
    </row>
    <row r="87" spans="1:48" ht="15" x14ac:dyDescent="0.25">
      <c r="A87" s="93" t="s">
        <v>66</v>
      </c>
      <c r="B87" t="s">
        <v>44</v>
      </c>
      <c r="C87">
        <v>0</v>
      </c>
      <c r="D87">
        <v>0</v>
      </c>
      <c r="E87">
        <v>0</v>
      </c>
      <c r="F87">
        <v>0</v>
      </c>
      <c r="G87">
        <v>218.3</v>
      </c>
      <c r="H87">
        <v>19</v>
      </c>
      <c r="I87">
        <v>350</v>
      </c>
      <c r="J87">
        <v>13</v>
      </c>
      <c r="K87">
        <v>422.1</v>
      </c>
      <c r="L87">
        <v>10</v>
      </c>
      <c r="N87" s="96" t="s">
        <v>140</v>
      </c>
      <c r="O87" t="s">
        <v>44</v>
      </c>
      <c r="P87">
        <v>13.4</v>
      </c>
      <c r="Q87">
        <v>40</v>
      </c>
      <c r="R87">
        <v>5</v>
      </c>
      <c r="S87">
        <v>36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AK87" s="96" t="s">
        <v>86</v>
      </c>
      <c r="AL87" t="s">
        <v>44</v>
      </c>
      <c r="AM87">
        <v>2.8</v>
      </c>
      <c r="AN87">
        <v>40</v>
      </c>
      <c r="AO87">
        <v>6.6</v>
      </c>
      <c r="AP87">
        <v>41</v>
      </c>
      <c r="AQ87">
        <v>3.7</v>
      </c>
      <c r="AR87">
        <v>37</v>
      </c>
      <c r="AS87">
        <v>1</v>
      </c>
      <c r="AT87">
        <v>39</v>
      </c>
      <c r="AU87">
        <v>7.8</v>
      </c>
      <c r="AV87">
        <v>33</v>
      </c>
    </row>
    <row r="88" spans="1:48" x14ac:dyDescent="0.25">
      <c r="A88" s="93"/>
      <c r="N88" s="95"/>
      <c r="AK88" s="95"/>
    </row>
    <row r="89" spans="1:48" ht="15" x14ac:dyDescent="0.25">
      <c r="A89" s="93" t="s">
        <v>101</v>
      </c>
      <c r="B89" t="s">
        <v>44</v>
      </c>
      <c r="C89">
        <v>0</v>
      </c>
      <c r="D89">
        <v>0</v>
      </c>
      <c r="E89">
        <v>0</v>
      </c>
      <c r="F89">
        <v>0</v>
      </c>
      <c r="G89">
        <v>38.6</v>
      </c>
      <c r="H89">
        <v>31</v>
      </c>
      <c r="I89">
        <v>22.4</v>
      </c>
      <c r="J89">
        <v>36</v>
      </c>
      <c r="K89">
        <v>15</v>
      </c>
      <c r="L89">
        <v>33</v>
      </c>
      <c r="N89" s="96" t="s">
        <v>86</v>
      </c>
      <c r="O89" t="s">
        <v>44</v>
      </c>
      <c r="P89">
        <v>6.6</v>
      </c>
      <c r="Q89">
        <v>41</v>
      </c>
      <c r="R89">
        <v>3.7</v>
      </c>
      <c r="S89">
        <v>37</v>
      </c>
      <c r="T89">
        <v>1</v>
      </c>
      <c r="U89">
        <v>39</v>
      </c>
      <c r="V89">
        <v>7.8</v>
      </c>
      <c r="W89">
        <v>33</v>
      </c>
      <c r="X89">
        <v>1.9</v>
      </c>
      <c r="Y89">
        <v>38</v>
      </c>
      <c r="AK89" s="96" t="s">
        <v>189</v>
      </c>
      <c r="AL89" t="s">
        <v>44</v>
      </c>
      <c r="AM89">
        <v>0.3</v>
      </c>
      <c r="AN89">
        <v>41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 x14ac:dyDescent="0.25">
      <c r="A90" s="93"/>
      <c r="N90" s="95"/>
      <c r="AK90" s="95"/>
    </row>
    <row r="91" spans="1:48" ht="15" x14ac:dyDescent="0.25">
      <c r="A91" s="93" t="s">
        <v>96</v>
      </c>
      <c r="B91" t="s">
        <v>44</v>
      </c>
      <c r="C91">
        <v>0</v>
      </c>
      <c r="D91">
        <v>0</v>
      </c>
      <c r="E91">
        <v>0</v>
      </c>
      <c r="F91">
        <v>0</v>
      </c>
      <c r="G91">
        <v>21.5</v>
      </c>
      <c r="H91">
        <v>33</v>
      </c>
      <c r="I91">
        <v>25.8</v>
      </c>
      <c r="J91">
        <v>34</v>
      </c>
      <c r="K91">
        <v>11</v>
      </c>
      <c r="L91">
        <v>34</v>
      </c>
      <c r="N91" s="96" t="s">
        <v>99</v>
      </c>
      <c r="O91" t="s">
        <v>44</v>
      </c>
      <c r="P91">
        <v>0.2</v>
      </c>
      <c r="Q91">
        <v>42</v>
      </c>
      <c r="R91">
        <v>0.2</v>
      </c>
      <c r="S91">
        <v>40</v>
      </c>
      <c r="T91">
        <v>0</v>
      </c>
      <c r="U91">
        <v>0</v>
      </c>
      <c r="V91">
        <v>2.5</v>
      </c>
      <c r="W91">
        <v>35</v>
      </c>
      <c r="X91">
        <v>20</v>
      </c>
      <c r="Y91">
        <v>31</v>
      </c>
      <c r="AK91" s="96" t="s">
        <v>97</v>
      </c>
      <c r="AL91" t="s">
        <v>44</v>
      </c>
      <c r="AM91">
        <v>0</v>
      </c>
      <c r="AN91">
        <v>0</v>
      </c>
      <c r="AO91">
        <v>297</v>
      </c>
      <c r="AP91">
        <v>15</v>
      </c>
      <c r="AQ91">
        <v>130.1</v>
      </c>
      <c r="AR91">
        <v>19</v>
      </c>
      <c r="AS91">
        <v>15.4</v>
      </c>
      <c r="AT91">
        <v>34</v>
      </c>
      <c r="AU91">
        <v>0</v>
      </c>
      <c r="AV91">
        <v>0</v>
      </c>
    </row>
    <row r="92" spans="1:48" x14ac:dyDescent="0.25">
      <c r="A92" s="93"/>
      <c r="N92" s="95"/>
      <c r="AK92" s="95"/>
    </row>
    <row r="93" spans="1:48" ht="15" x14ac:dyDescent="0.25">
      <c r="A93" s="93" t="s">
        <v>97</v>
      </c>
      <c r="B93" t="s">
        <v>44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297</v>
      </c>
      <c r="J93">
        <v>15</v>
      </c>
      <c r="K93">
        <v>130.1</v>
      </c>
      <c r="L93">
        <v>19</v>
      </c>
      <c r="N93" s="96" t="s">
        <v>59</v>
      </c>
      <c r="O93" t="s">
        <v>44</v>
      </c>
      <c r="P93">
        <v>0</v>
      </c>
      <c r="Q93">
        <v>0</v>
      </c>
      <c r="R93">
        <v>0.3</v>
      </c>
      <c r="S93">
        <v>39</v>
      </c>
      <c r="T93">
        <v>0.4</v>
      </c>
      <c r="U93">
        <v>40</v>
      </c>
      <c r="V93">
        <v>0</v>
      </c>
      <c r="W93">
        <v>0</v>
      </c>
      <c r="X93">
        <v>0</v>
      </c>
      <c r="Y93">
        <v>0</v>
      </c>
      <c r="AK93" s="96" t="s">
        <v>49</v>
      </c>
      <c r="AL93" t="s">
        <v>44</v>
      </c>
      <c r="AM93">
        <v>0</v>
      </c>
      <c r="AN93">
        <v>0</v>
      </c>
      <c r="AO93">
        <v>34.799999999999997</v>
      </c>
      <c r="AP93">
        <v>32</v>
      </c>
      <c r="AQ93">
        <v>0</v>
      </c>
      <c r="AR93">
        <v>0</v>
      </c>
      <c r="AS93">
        <v>194.2</v>
      </c>
      <c r="AT93">
        <v>18</v>
      </c>
      <c r="AU93">
        <v>228.3</v>
      </c>
      <c r="AV93">
        <v>20</v>
      </c>
    </row>
    <row r="94" spans="1:48" x14ac:dyDescent="0.25">
      <c r="A94" s="93"/>
      <c r="N94" s="95"/>
      <c r="AK94" s="95"/>
    </row>
    <row r="95" spans="1:48" ht="15" x14ac:dyDescent="0.25">
      <c r="A95" s="93" t="s">
        <v>49</v>
      </c>
      <c r="B95" t="s">
        <v>44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34.799999999999997</v>
      </c>
      <c r="J95">
        <v>32</v>
      </c>
      <c r="K95">
        <v>0</v>
      </c>
      <c r="L95">
        <v>0</v>
      </c>
      <c r="N95" s="96" t="s">
        <v>92</v>
      </c>
      <c r="O95" t="s">
        <v>44</v>
      </c>
      <c r="P95">
        <v>0</v>
      </c>
      <c r="Q95">
        <v>0</v>
      </c>
      <c r="R95">
        <v>0</v>
      </c>
      <c r="S95">
        <v>0</v>
      </c>
      <c r="T95">
        <v>37.5</v>
      </c>
      <c r="U95">
        <v>29</v>
      </c>
      <c r="V95">
        <v>248.8</v>
      </c>
      <c r="W95">
        <v>19</v>
      </c>
      <c r="X95">
        <v>77</v>
      </c>
      <c r="Y95">
        <v>25</v>
      </c>
      <c r="AK95" s="96" t="s">
        <v>141</v>
      </c>
      <c r="AL95" t="s">
        <v>44</v>
      </c>
      <c r="AM95">
        <v>0</v>
      </c>
      <c r="AN95">
        <v>0</v>
      </c>
      <c r="AO95">
        <v>17.100000000000001</v>
      </c>
      <c r="AP95">
        <v>37</v>
      </c>
      <c r="AQ95">
        <v>27.4</v>
      </c>
      <c r="AR95">
        <v>29</v>
      </c>
      <c r="AS95">
        <v>0</v>
      </c>
      <c r="AT95">
        <v>0</v>
      </c>
      <c r="AU95">
        <v>0</v>
      </c>
      <c r="AV95">
        <v>0</v>
      </c>
    </row>
    <row r="96" spans="1:48" x14ac:dyDescent="0.25">
      <c r="A96" s="93"/>
      <c r="N96" s="95"/>
      <c r="AK96" s="95"/>
    </row>
    <row r="97" spans="1:48" ht="15" x14ac:dyDescent="0.25">
      <c r="A97" s="93" t="s">
        <v>98</v>
      </c>
      <c r="B97" t="s">
        <v>187</v>
      </c>
      <c r="C97" t="s">
        <v>95</v>
      </c>
      <c r="D97" t="s">
        <v>188</v>
      </c>
      <c r="E97" t="s">
        <v>98</v>
      </c>
      <c r="F97" t="s">
        <v>152</v>
      </c>
      <c r="G97" t="s">
        <v>151</v>
      </c>
      <c r="H97" t="s">
        <v>128</v>
      </c>
      <c r="I97" t="s">
        <v>95</v>
      </c>
      <c r="J97" t="s">
        <v>188</v>
      </c>
      <c r="K97" t="s">
        <v>98</v>
      </c>
      <c r="L97" t="s">
        <v>128</v>
      </c>
      <c r="N97" s="96" t="s">
        <v>84</v>
      </c>
      <c r="O97" t="s">
        <v>44</v>
      </c>
      <c r="P97">
        <v>0</v>
      </c>
      <c r="Q97">
        <v>0</v>
      </c>
      <c r="R97">
        <v>0</v>
      </c>
      <c r="S97">
        <v>0</v>
      </c>
      <c r="T97">
        <v>10.9</v>
      </c>
      <c r="U97">
        <v>35</v>
      </c>
      <c r="V97">
        <v>0</v>
      </c>
      <c r="W97">
        <v>0</v>
      </c>
      <c r="X97">
        <v>0</v>
      </c>
      <c r="Y97">
        <v>0</v>
      </c>
      <c r="AK97" s="96" t="s">
        <v>99</v>
      </c>
      <c r="AL97" t="s">
        <v>44</v>
      </c>
      <c r="AM97">
        <v>0</v>
      </c>
      <c r="AN97">
        <v>0</v>
      </c>
      <c r="AO97">
        <v>0.2</v>
      </c>
      <c r="AP97">
        <v>42</v>
      </c>
      <c r="AQ97">
        <v>0.2</v>
      </c>
      <c r="AR97">
        <v>40</v>
      </c>
      <c r="AS97">
        <v>0</v>
      </c>
      <c r="AT97">
        <v>0</v>
      </c>
      <c r="AU97">
        <v>2.5</v>
      </c>
      <c r="AV97">
        <v>35</v>
      </c>
    </row>
    <row r="98" spans="1:48" x14ac:dyDescent="0.25">
      <c r="A98" s="93" t="s">
        <v>193</v>
      </c>
      <c r="B98" t="s">
        <v>44</v>
      </c>
      <c r="C98">
        <v>36243</v>
      </c>
      <c r="E98">
        <v>36739.300000000003</v>
      </c>
      <c r="G98">
        <v>39993.1</v>
      </c>
      <c r="I98">
        <v>39642.199999999997</v>
      </c>
      <c r="K98">
        <v>33853.599999999999</v>
      </c>
      <c r="N98" s="95"/>
      <c r="AK98" s="95"/>
    </row>
    <row r="99" spans="1:48" ht="15" x14ac:dyDescent="0.25">
      <c r="A99" s="93"/>
      <c r="N99" s="96" t="s">
        <v>104</v>
      </c>
      <c r="O99" t="s">
        <v>44</v>
      </c>
      <c r="P99">
        <v>0</v>
      </c>
      <c r="Q99">
        <v>0</v>
      </c>
      <c r="R99">
        <v>0</v>
      </c>
      <c r="S99">
        <v>0</v>
      </c>
      <c r="T99">
        <v>0.4</v>
      </c>
      <c r="U99">
        <v>41</v>
      </c>
      <c r="V99">
        <v>0</v>
      </c>
      <c r="W99">
        <v>0</v>
      </c>
      <c r="X99">
        <v>0</v>
      </c>
      <c r="Y99">
        <v>0</v>
      </c>
      <c r="AK99" s="96" t="s">
        <v>92</v>
      </c>
      <c r="AL99" t="s">
        <v>44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37.5</v>
      </c>
      <c r="AT99">
        <v>29</v>
      </c>
      <c r="AU99">
        <v>248.8</v>
      </c>
      <c r="AV99">
        <v>19</v>
      </c>
    </row>
    <row r="100" spans="1:48" x14ac:dyDescent="0.25">
      <c r="A100" s="193"/>
      <c r="N100" s="95"/>
      <c r="AK100" s="95"/>
    </row>
    <row r="101" spans="1:48" ht="15" x14ac:dyDescent="0.25">
      <c r="N101" s="96" t="s">
        <v>50</v>
      </c>
      <c r="O101" t="s">
        <v>44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74.099999999999994</v>
      </c>
      <c r="W101">
        <v>25</v>
      </c>
      <c r="X101">
        <v>97</v>
      </c>
      <c r="Y101">
        <v>24</v>
      </c>
      <c r="AK101" s="96" t="s">
        <v>84</v>
      </c>
      <c r="AL101" t="s">
        <v>44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10.9</v>
      </c>
      <c r="AT101">
        <v>35</v>
      </c>
      <c r="AU101">
        <v>0</v>
      </c>
      <c r="AV101">
        <v>0</v>
      </c>
    </row>
    <row r="102" spans="1:48" x14ac:dyDescent="0.25">
      <c r="N102" s="95"/>
      <c r="AK102" s="95"/>
    </row>
    <row r="103" spans="1:48" ht="15" x14ac:dyDescent="0.25">
      <c r="N103" s="96" t="s">
        <v>108</v>
      </c>
      <c r="O103" t="s">
        <v>44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7.9</v>
      </c>
      <c r="W103">
        <v>32</v>
      </c>
      <c r="X103">
        <v>0</v>
      </c>
      <c r="Y103">
        <v>0</v>
      </c>
      <c r="AK103" s="96" t="s">
        <v>104</v>
      </c>
      <c r="AL103" t="s">
        <v>44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0.4</v>
      </c>
      <c r="AT103">
        <v>41</v>
      </c>
      <c r="AU103">
        <v>0</v>
      </c>
      <c r="AV103">
        <v>0</v>
      </c>
    </row>
    <row r="104" spans="1:48" x14ac:dyDescent="0.25">
      <c r="N104" s="95"/>
      <c r="AK104" s="95"/>
    </row>
    <row r="105" spans="1:48" ht="15" x14ac:dyDescent="0.25">
      <c r="N105" s="96" t="s">
        <v>111</v>
      </c>
      <c r="O105" t="s">
        <v>44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0.4</v>
      </c>
      <c r="W105">
        <v>37</v>
      </c>
      <c r="X105">
        <v>0</v>
      </c>
      <c r="Y105">
        <v>0</v>
      </c>
      <c r="AK105" s="96" t="s">
        <v>50</v>
      </c>
      <c r="AL105" t="s">
        <v>44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74.099999999999994</v>
      </c>
      <c r="AV105">
        <v>25</v>
      </c>
    </row>
    <row r="106" spans="1:48" x14ac:dyDescent="0.25">
      <c r="N106" s="95"/>
      <c r="AK106" s="95"/>
    </row>
    <row r="107" spans="1:48" ht="15" x14ac:dyDescent="0.25">
      <c r="N107" s="96" t="s">
        <v>103</v>
      </c>
      <c r="O107" t="s">
        <v>44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0.1</v>
      </c>
      <c r="W107">
        <v>38</v>
      </c>
      <c r="X107">
        <v>0.7</v>
      </c>
      <c r="Y107">
        <v>40</v>
      </c>
      <c r="AK107" s="96" t="s">
        <v>108</v>
      </c>
      <c r="AL107" t="s">
        <v>44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7.9</v>
      </c>
      <c r="AV107">
        <v>32</v>
      </c>
    </row>
    <row r="108" spans="1:48" x14ac:dyDescent="0.25">
      <c r="N108" s="95"/>
      <c r="AK108" s="95"/>
    </row>
    <row r="109" spans="1:48" ht="15" x14ac:dyDescent="0.25">
      <c r="N109" s="96" t="s">
        <v>189</v>
      </c>
      <c r="O109" t="s">
        <v>44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6.5</v>
      </c>
      <c r="Y109">
        <v>33</v>
      </c>
      <c r="AK109" s="96" t="s">
        <v>111</v>
      </c>
      <c r="AL109" t="s">
        <v>44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0.4</v>
      </c>
      <c r="AV109">
        <v>37</v>
      </c>
    </row>
    <row r="110" spans="1:48" x14ac:dyDescent="0.25">
      <c r="N110" s="95"/>
      <c r="AK110" s="95"/>
    </row>
    <row r="111" spans="1:48" ht="15" x14ac:dyDescent="0.25">
      <c r="N111" s="96" t="s">
        <v>87</v>
      </c>
      <c r="O111" t="s">
        <v>44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5.8</v>
      </c>
      <c r="Y111">
        <v>34</v>
      </c>
      <c r="AK111" s="96" t="s">
        <v>103</v>
      </c>
      <c r="AL111" t="s">
        <v>44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0.1</v>
      </c>
      <c r="AV111">
        <v>38</v>
      </c>
    </row>
    <row r="112" spans="1:48" x14ac:dyDescent="0.25">
      <c r="N112" s="95"/>
      <c r="AK112" s="95"/>
    </row>
    <row r="113" spans="14:49" ht="15" x14ac:dyDescent="0.25">
      <c r="N113" s="96" t="s">
        <v>190</v>
      </c>
      <c r="O113" t="s">
        <v>44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4.7</v>
      </c>
      <c r="Y113">
        <v>35</v>
      </c>
      <c r="AK113" s="96" t="s">
        <v>98</v>
      </c>
      <c r="AL113" t="s">
        <v>187</v>
      </c>
      <c r="AM113" t="s">
        <v>95</v>
      </c>
      <c r="AN113" t="s">
        <v>128</v>
      </c>
      <c r="AO113" t="s">
        <v>95</v>
      </c>
      <c r="AP113" t="s">
        <v>128</v>
      </c>
      <c r="AQ113" t="s">
        <v>95</v>
      </c>
      <c r="AR113" t="s">
        <v>128</v>
      </c>
      <c r="AS113" t="s">
        <v>95</v>
      </c>
      <c r="AT113" t="s">
        <v>188</v>
      </c>
      <c r="AU113" t="s">
        <v>98</v>
      </c>
      <c r="AV113" t="s">
        <v>152</v>
      </c>
      <c r="AW113" t="s">
        <v>43</v>
      </c>
    </row>
    <row r="114" spans="14:49" ht="15" x14ac:dyDescent="0.25">
      <c r="N114" s="95"/>
      <c r="AK114" s="96" t="s">
        <v>193</v>
      </c>
      <c r="AL114" t="s">
        <v>44</v>
      </c>
      <c r="AM114">
        <v>39993.1</v>
      </c>
      <c r="AO114">
        <v>39642.199999999997</v>
      </c>
      <c r="AQ114">
        <v>33853.599999999999</v>
      </c>
      <c r="AS114">
        <v>30449.5</v>
      </c>
      <c r="AU114">
        <v>30288.3</v>
      </c>
    </row>
    <row r="115" spans="14:49" ht="15" x14ac:dyDescent="0.25">
      <c r="N115" s="96" t="s">
        <v>191</v>
      </c>
      <c r="O115" t="s">
        <v>44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3.1</v>
      </c>
      <c r="Y115">
        <v>37</v>
      </c>
    </row>
    <row r="116" spans="14:49" x14ac:dyDescent="0.25">
      <c r="N116" s="95"/>
    </row>
    <row r="117" spans="14:49" ht="15" x14ac:dyDescent="0.25">
      <c r="N117" s="96" t="s">
        <v>98</v>
      </c>
      <c r="O117" t="s">
        <v>187</v>
      </c>
      <c r="P117" t="s">
        <v>95</v>
      </c>
      <c r="Q117" t="s">
        <v>128</v>
      </c>
      <c r="R117" t="s">
        <v>95</v>
      </c>
      <c r="S117" t="s">
        <v>128</v>
      </c>
      <c r="T117" t="s">
        <v>95</v>
      </c>
      <c r="U117" t="s">
        <v>188</v>
      </c>
      <c r="V117" t="s">
        <v>98</v>
      </c>
      <c r="W117" t="s">
        <v>188</v>
      </c>
      <c r="X117" t="s">
        <v>98</v>
      </c>
      <c r="Y117" t="s">
        <v>128</v>
      </c>
    </row>
    <row r="118" spans="14:49" ht="15" x14ac:dyDescent="0.25">
      <c r="N118" s="96" t="s">
        <v>193</v>
      </c>
      <c r="O118" t="s">
        <v>44</v>
      </c>
      <c r="P118">
        <v>39642.199999999997</v>
      </c>
      <c r="R118">
        <v>33853.599999999999</v>
      </c>
      <c r="T118">
        <v>30449.5</v>
      </c>
      <c r="V118">
        <v>30288.3</v>
      </c>
      <c r="X118">
        <v>25510.3</v>
      </c>
    </row>
    <row r="120" spans="14:49" ht="15" x14ac:dyDescent="0.25">
      <c r="N120" s="96" t="s">
        <v>27</v>
      </c>
      <c r="P120">
        <f>+P101+P91+P87+P83+P79+P23+P27+P29+P43+P49+P67+P71</f>
        <v>2646.7000000000003</v>
      </c>
    </row>
    <row r="126" spans="14:49" ht="15" x14ac:dyDescent="0.25">
      <c r="N126" s="96" t="s">
        <v>226</v>
      </c>
      <c r="O126" t="s">
        <v>227</v>
      </c>
      <c r="P126" t="s">
        <v>228</v>
      </c>
      <c r="Q126" t="s">
        <v>229</v>
      </c>
      <c r="R126" t="s">
        <v>230</v>
      </c>
      <c r="S126" t="s">
        <v>231</v>
      </c>
      <c r="T126" t="s">
        <v>232</v>
      </c>
      <c r="U126" t="s">
        <v>233</v>
      </c>
    </row>
    <row r="127" spans="14:49" ht="15" x14ac:dyDescent="0.25">
      <c r="N127" s="96"/>
      <c r="P127" t="s">
        <v>163</v>
      </c>
      <c r="Q127" t="s">
        <v>234</v>
      </c>
      <c r="R127" t="s">
        <v>235</v>
      </c>
      <c r="S127" t="s">
        <v>236</v>
      </c>
      <c r="T127" t="s">
        <v>237</v>
      </c>
      <c r="U127" t="s">
        <v>168</v>
      </c>
      <c r="V127" t="s">
        <v>221</v>
      </c>
      <c r="W127" s="86">
        <v>40909</v>
      </c>
    </row>
    <row r="128" spans="14:49" ht="15" x14ac:dyDescent="0.25">
      <c r="N128" s="96"/>
      <c r="Q128" t="s">
        <v>238</v>
      </c>
      <c r="R128" t="s">
        <v>239</v>
      </c>
      <c r="S128" t="s">
        <v>240</v>
      </c>
      <c r="T128" t="s">
        <v>241</v>
      </c>
      <c r="U128" t="s">
        <v>174</v>
      </c>
      <c r="V128" t="s">
        <v>175</v>
      </c>
    </row>
    <row r="129" spans="14:37" ht="15" x14ac:dyDescent="0.25">
      <c r="N129" s="96"/>
      <c r="R129" t="s">
        <v>176</v>
      </c>
      <c r="S129" t="s">
        <v>177</v>
      </c>
      <c r="T129" t="s">
        <v>178</v>
      </c>
      <c r="U129" t="s">
        <v>179</v>
      </c>
      <c r="AB129" s="96" t="s">
        <v>41</v>
      </c>
    </row>
    <row r="130" spans="14:37" ht="15" x14ac:dyDescent="0.25">
      <c r="N130" s="95"/>
      <c r="AB130" s="96" t="s">
        <v>117</v>
      </c>
      <c r="AC130" t="s">
        <v>118</v>
      </c>
      <c r="AD130" t="s">
        <v>119</v>
      </c>
      <c r="AE130" t="s">
        <v>120</v>
      </c>
      <c r="AF130" t="s">
        <v>244</v>
      </c>
      <c r="AG130" t="s">
        <v>245</v>
      </c>
      <c r="AH130" t="s">
        <v>118</v>
      </c>
      <c r="AI130" t="s">
        <v>122</v>
      </c>
    </row>
    <row r="131" spans="14:37" ht="15" x14ac:dyDescent="0.25">
      <c r="N131" s="96"/>
      <c r="P131" t="s">
        <v>242</v>
      </c>
      <c r="Q131">
        <v>2012</v>
      </c>
      <c r="R131" t="s">
        <v>223</v>
      </c>
      <c r="S131">
        <v>2011</v>
      </c>
      <c r="T131" t="s">
        <v>204</v>
      </c>
      <c r="U131">
        <v>2010</v>
      </c>
      <c r="V131" t="s">
        <v>180</v>
      </c>
      <c r="W131">
        <v>2009</v>
      </c>
      <c r="X131" t="s">
        <v>181</v>
      </c>
      <c r="Y131">
        <v>2008</v>
      </c>
      <c r="AB131" s="96" t="s">
        <v>206</v>
      </c>
      <c r="AC131" t="s">
        <v>123</v>
      </c>
      <c r="AD131" t="s">
        <v>124</v>
      </c>
      <c r="AE131" t="s">
        <v>125</v>
      </c>
      <c r="AF131" t="s">
        <v>246</v>
      </c>
      <c r="AG131" t="s">
        <v>247</v>
      </c>
      <c r="AH131">
        <v>12</v>
      </c>
    </row>
    <row r="132" spans="14:37" ht="15" x14ac:dyDescent="0.25">
      <c r="N132" s="96" t="s">
        <v>185</v>
      </c>
      <c r="P132" t="s">
        <v>114</v>
      </c>
      <c r="Q132" t="s">
        <v>186</v>
      </c>
      <c r="R132" t="s">
        <v>114</v>
      </c>
      <c r="S132" t="s">
        <v>224</v>
      </c>
      <c r="T132" t="s">
        <v>243</v>
      </c>
      <c r="U132" t="s">
        <v>186</v>
      </c>
      <c r="V132" t="s">
        <v>114</v>
      </c>
      <c r="W132" t="s">
        <v>186</v>
      </c>
      <c r="X132" t="s">
        <v>114</v>
      </c>
      <c r="Y132" t="s">
        <v>186</v>
      </c>
      <c r="AB132" s="96" t="s">
        <v>42</v>
      </c>
    </row>
    <row r="133" spans="14:37" ht="15" x14ac:dyDescent="0.25">
      <c r="N133" s="96" t="s">
        <v>98</v>
      </c>
      <c r="O133" t="s">
        <v>187</v>
      </c>
      <c r="P133" t="s">
        <v>95</v>
      </c>
      <c r="Q133" t="s">
        <v>188</v>
      </c>
      <c r="R133" t="s">
        <v>98</v>
      </c>
      <c r="S133" t="s">
        <v>152</v>
      </c>
      <c r="T133" t="s">
        <v>151</v>
      </c>
      <c r="U133" t="s">
        <v>128</v>
      </c>
      <c r="V133" t="s">
        <v>95</v>
      </c>
      <c r="W133" t="s">
        <v>188</v>
      </c>
      <c r="X133" t="s">
        <v>98</v>
      </c>
      <c r="Y133" t="s">
        <v>128</v>
      </c>
      <c r="AB133" s="96" t="s">
        <v>126</v>
      </c>
      <c r="AC133" t="s">
        <v>116</v>
      </c>
      <c r="AD133" t="s">
        <v>98</v>
      </c>
      <c r="AE133" t="s">
        <v>115</v>
      </c>
      <c r="AF133" t="s">
        <v>152</v>
      </c>
      <c r="AG133" t="s">
        <v>95</v>
      </c>
      <c r="AH133" t="s">
        <v>116</v>
      </c>
      <c r="AI133" t="s">
        <v>248</v>
      </c>
    </row>
    <row r="134" spans="14:37" ht="15" x14ac:dyDescent="0.25">
      <c r="N134" s="96" t="s">
        <v>57</v>
      </c>
      <c r="O134" t="s">
        <v>44</v>
      </c>
      <c r="P134">
        <v>23506.9</v>
      </c>
      <c r="Q134">
        <v>1</v>
      </c>
      <c r="R134">
        <v>24444.7</v>
      </c>
      <c r="S134">
        <v>1</v>
      </c>
      <c r="T134">
        <v>22453.8</v>
      </c>
      <c r="U134">
        <v>1</v>
      </c>
      <c r="V134">
        <v>18681.3</v>
      </c>
      <c r="W134">
        <v>1</v>
      </c>
      <c r="X134">
        <v>13353.3</v>
      </c>
      <c r="Y134">
        <v>1</v>
      </c>
      <c r="AB134" s="96"/>
      <c r="AC134" t="s">
        <v>44</v>
      </c>
      <c r="AD134" t="s">
        <v>129</v>
      </c>
      <c r="AE134" t="s">
        <v>130</v>
      </c>
      <c r="AF134" t="s">
        <v>44</v>
      </c>
      <c r="AG134" t="s">
        <v>249</v>
      </c>
      <c r="AH134" t="s">
        <v>250</v>
      </c>
      <c r="AI134" t="s">
        <v>114</v>
      </c>
    </row>
    <row r="135" spans="14:37" ht="15" x14ac:dyDescent="0.25">
      <c r="N135" s="95"/>
      <c r="AB135" s="96"/>
      <c r="AC135" t="s">
        <v>44</v>
      </c>
      <c r="AD135" t="s">
        <v>98</v>
      </c>
      <c r="AE135" t="s">
        <v>115</v>
      </c>
      <c r="AF135" t="s">
        <v>152</v>
      </c>
      <c r="AG135" t="s">
        <v>95</v>
      </c>
      <c r="AH135" t="s">
        <v>116</v>
      </c>
      <c r="AI135" t="s">
        <v>248</v>
      </c>
    </row>
    <row r="136" spans="14:37" ht="15" x14ac:dyDescent="0.25">
      <c r="N136" s="96" t="s">
        <v>79</v>
      </c>
      <c r="O136" t="s">
        <v>44</v>
      </c>
      <c r="P136">
        <v>3153.1</v>
      </c>
      <c r="Q136">
        <v>2</v>
      </c>
      <c r="R136">
        <v>3214.7</v>
      </c>
      <c r="S136">
        <v>2</v>
      </c>
      <c r="T136">
        <v>3276.4</v>
      </c>
      <c r="U136">
        <v>2</v>
      </c>
      <c r="V136">
        <v>3097.8</v>
      </c>
      <c r="W136">
        <v>2</v>
      </c>
      <c r="X136">
        <v>3575</v>
      </c>
      <c r="Y136">
        <v>2</v>
      </c>
      <c r="AB136" s="96" t="s">
        <v>47</v>
      </c>
      <c r="AC136" t="s">
        <v>44</v>
      </c>
      <c r="AD136" t="s">
        <v>206</v>
      </c>
      <c r="AE136" t="s">
        <v>220</v>
      </c>
      <c r="AF136" t="s">
        <v>44</v>
      </c>
      <c r="AG136" t="s">
        <v>206</v>
      </c>
      <c r="AH136" t="s">
        <v>44</v>
      </c>
      <c r="AI136" t="s">
        <v>195</v>
      </c>
    </row>
    <row r="137" spans="14:37" ht="15" x14ac:dyDescent="0.25">
      <c r="N137" s="95"/>
      <c r="AB137" s="96" t="s">
        <v>126</v>
      </c>
      <c r="AC137" t="s">
        <v>116</v>
      </c>
      <c r="AD137" t="s">
        <v>98</v>
      </c>
      <c r="AE137" t="s">
        <v>115</v>
      </c>
      <c r="AF137" t="s">
        <v>152</v>
      </c>
      <c r="AG137" t="s">
        <v>95</v>
      </c>
      <c r="AH137" t="s">
        <v>116</v>
      </c>
      <c r="AI137" t="s">
        <v>248</v>
      </c>
    </row>
    <row r="138" spans="14:37" ht="15" x14ac:dyDescent="0.25">
      <c r="N138" s="96" t="s">
        <v>60</v>
      </c>
      <c r="O138" t="s">
        <v>44</v>
      </c>
      <c r="P138">
        <v>1711</v>
      </c>
      <c r="Q138">
        <v>3</v>
      </c>
      <c r="R138">
        <v>1680.1</v>
      </c>
      <c r="S138">
        <v>4</v>
      </c>
      <c r="T138">
        <v>1461.5</v>
      </c>
      <c r="U138">
        <v>5</v>
      </c>
      <c r="V138">
        <v>1340.4</v>
      </c>
      <c r="W138">
        <v>5</v>
      </c>
      <c r="X138">
        <v>1068</v>
      </c>
      <c r="Y138">
        <v>7</v>
      </c>
      <c r="AB138" s="96"/>
      <c r="AC138" t="s">
        <v>44</v>
      </c>
    </row>
    <row r="139" spans="14:37" ht="15" x14ac:dyDescent="0.25">
      <c r="N139" s="95"/>
      <c r="AB139" s="96" t="s">
        <v>48</v>
      </c>
      <c r="AC139" t="s">
        <v>44</v>
      </c>
      <c r="AD139">
        <v>0.8</v>
      </c>
      <c r="AE139" t="s">
        <v>112</v>
      </c>
      <c r="AG139">
        <v>1229.7</v>
      </c>
      <c r="AI139">
        <v>2599.3000000000002</v>
      </c>
      <c r="AK139">
        <f>+AG139+AD139</f>
        <v>1230.5</v>
      </c>
    </row>
    <row r="140" spans="14:37" ht="15" x14ac:dyDescent="0.25">
      <c r="N140" s="96" t="s">
        <v>55</v>
      </c>
      <c r="O140" t="s">
        <v>44</v>
      </c>
      <c r="P140">
        <v>1673.6</v>
      </c>
      <c r="Q140">
        <v>4</v>
      </c>
      <c r="R140">
        <v>1887.3</v>
      </c>
      <c r="S140">
        <v>3</v>
      </c>
      <c r="T140">
        <v>2346.6</v>
      </c>
      <c r="U140">
        <v>3</v>
      </c>
      <c r="V140">
        <v>2410</v>
      </c>
      <c r="W140">
        <v>3</v>
      </c>
      <c r="X140">
        <v>2709.4</v>
      </c>
      <c r="Y140">
        <v>3</v>
      </c>
      <c r="AB140" s="96" t="s">
        <v>99</v>
      </c>
      <c r="AC140" t="s">
        <v>44</v>
      </c>
      <c r="AD140">
        <v>0</v>
      </c>
      <c r="AE140">
        <v>0</v>
      </c>
      <c r="AG140">
        <v>0.1</v>
      </c>
      <c r="AI140">
        <v>0</v>
      </c>
    </row>
    <row r="141" spans="14:37" ht="15" x14ac:dyDescent="0.25">
      <c r="N141" s="95"/>
      <c r="AB141" s="96" t="s">
        <v>91</v>
      </c>
      <c r="AC141" t="s">
        <v>44</v>
      </c>
      <c r="AD141">
        <v>0</v>
      </c>
      <c r="AE141">
        <v>0</v>
      </c>
      <c r="AG141">
        <v>45.6</v>
      </c>
      <c r="AI141">
        <v>234.5</v>
      </c>
    </row>
    <row r="142" spans="14:37" ht="15" x14ac:dyDescent="0.25">
      <c r="N142" s="96" t="s">
        <v>70</v>
      </c>
      <c r="O142" t="s">
        <v>44</v>
      </c>
      <c r="P142">
        <v>1224.0999999999999</v>
      </c>
      <c r="Q142">
        <v>5</v>
      </c>
      <c r="R142">
        <v>897.3</v>
      </c>
      <c r="S142">
        <v>7</v>
      </c>
      <c r="T142">
        <v>945</v>
      </c>
      <c r="U142">
        <v>6</v>
      </c>
      <c r="V142">
        <v>1116.9000000000001</v>
      </c>
      <c r="W142">
        <v>6</v>
      </c>
      <c r="X142">
        <v>845.5</v>
      </c>
      <c r="Y142">
        <v>8</v>
      </c>
      <c r="AB142" s="96" t="s">
        <v>82</v>
      </c>
      <c r="AC142" t="s">
        <v>44</v>
      </c>
      <c r="AD142">
        <v>0</v>
      </c>
      <c r="AE142">
        <v>0</v>
      </c>
      <c r="AG142">
        <v>433.5</v>
      </c>
      <c r="AI142">
        <v>352.8</v>
      </c>
    </row>
    <row r="143" spans="14:37" ht="15" x14ac:dyDescent="0.25">
      <c r="N143" s="95"/>
      <c r="AB143" s="96" t="s">
        <v>101</v>
      </c>
      <c r="AC143" t="s">
        <v>44</v>
      </c>
      <c r="AD143">
        <v>0</v>
      </c>
      <c r="AE143">
        <v>0</v>
      </c>
      <c r="AG143">
        <v>0</v>
      </c>
      <c r="AI143">
        <v>38.6</v>
      </c>
    </row>
    <row r="144" spans="14:37" ht="15" x14ac:dyDescent="0.25">
      <c r="N144" s="96" t="s">
        <v>56</v>
      </c>
      <c r="O144" t="s">
        <v>44</v>
      </c>
      <c r="P144">
        <v>912.6</v>
      </c>
      <c r="Q144">
        <v>6</v>
      </c>
      <c r="R144">
        <v>1397.4</v>
      </c>
      <c r="S144">
        <v>5</v>
      </c>
      <c r="T144">
        <v>1556.1</v>
      </c>
      <c r="U144">
        <v>4</v>
      </c>
      <c r="V144">
        <v>1592</v>
      </c>
      <c r="W144">
        <v>4</v>
      </c>
      <c r="X144">
        <v>1732.8</v>
      </c>
      <c r="Y144">
        <v>4</v>
      </c>
      <c r="AB144" s="96" t="s">
        <v>140</v>
      </c>
      <c r="AC144" t="s">
        <v>44</v>
      </c>
      <c r="AD144">
        <v>0.8</v>
      </c>
      <c r="AE144">
        <v>0</v>
      </c>
      <c r="AG144">
        <v>7.3</v>
      </c>
      <c r="AI144">
        <v>12.7</v>
      </c>
    </row>
    <row r="145" spans="14:37" ht="15" x14ac:dyDescent="0.25">
      <c r="N145" s="95"/>
      <c r="AB145" s="96" t="s">
        <v>51</v>
      </c>
      <c r="AC145" t="s">
        <v>44</v>
      </c>
      <c r="AD145">
        <v>0</v>
      </c>
      <c r="AE145">
        <v>0</v>
      </c>
      <c r="AG145">
        <v>1.8</v>
      </c>
      <c r="AI145">
        <v>18.2</v>
      </c>
    </row>
    <row r="146" spans="14:37" ht="15" x14ac:dyDescent="0.25">
      <c r="N146" s="96" t="s">
        <v>83</v>
      </c>
      <c r="O146" t="s">
        <v>44</v>
      </c>
      <c r="P146">
        <v>606.79999999999995</v>
      </c>
      <c r="Q146">
        <v>7</v>
      </c>
      <c r="R146">
        <v>970</v>
      </c>
      <c r="S146">
        <v>6</v>
      </c>
      <c r="T146">
        <v>803.6</v>
      </c>
      <c r="U146">
        <v>8</v>
      </c>
      <c r="V146">
        <v>884.9</v>
      </c>
      <c r="W146">
        <v>7</v>
      </c>
      <c r="X146">
        <v>1176.7</v>
      </c>
      <c r="Y146">
        <v>6</v>
      </c>
      <c r="AB146" s="96" t="s">
        <v>83</v>
      </c>
      <c r="AC146" t="s">
        <v>44</v>
      </c>
      <c r="AD146">
        <v>0</v>
      </c>
      <c r="AE146">
        <v>0</v>
      </c>
      <c r="AG146">
        <v>606.79999999999995</v>
      </c>
      <c r="AI146">
        <v>970</v>
      </c>
    </row>
    <row r="147" spans="14:37" ht="15" x14ac:dyDescent="0.25">
      <c r="N147" s="95"/>
      <c r="AB147" s="96" t="s">
        <v>93</v>
      </c>
      <c r="AC147" t="s">
        <v>44</v>
      </c>
      <c r="AD147">
        <v>0</v>
      </c>
      <c r="AE147">
        <v>0</v>
      </c>
      <c r="AG147">
        <v>83.9</v>
      </c>
      <c r="AI147">
        <v>41.8</v>
      </c>
    </row>
    <row r="148" spans="14:37" ht="15" x14ac:dyDescent="0.25">
      <c r="N148" s="96" t="s">
        <v>54</v>
      </c>
      <c r="O148" t="s">
        <v>44</v>
      </c>
      <c r="P148">
        <v>604.29999999999995</v>
      </c>
      <c r="Q148">
        <v>8</v>
      </c>
      <c r="R148">
        <v>269.8</v>
      </c>
      <c r="S148">
        <v>13</v>
      </c>
      <c r="T148">
        <v>890.1</v>
      </c>
      <c r="U148">
        <v>7</v>
      </c>
      <c r="V148">
        <v>736.6</v>
      </c>
      <c r="W148">
        <v>8</v>
      </c>
      <c r="X148">
        <v>408.2</v>
      </c>
      <c r="Y148">
        <v>12</v>
      </c>
      <c r="AB148" s="96" t="s">
        <v>85</v>
      </c>
      <c r="AC148" t="s">
        <v>44</v>
      </c>
      <c r="AD148">
        <v>0</v>
      </c>
      <c r="AE148" t="s">
        <v>112</v>
      </c>
      <c r="AG148">
        <v>50.9</v>
      </c>
      <c r="AI148">
        <v>855.8</v>
      </c>
    </row>
    <row r="149" spans="14:37" ht="15" x14ac:dyDescent="0.25">
      <c r="N149" s="95"/>
      <c r="AB149" s="96" t="s">
        <v>211</v>
      </c>
      <c r="AC149" t="s">
        <v>44</v>
      </c>
      <c r="AD149">
        <v>0</v>
      </c>
      <c r="AE149">
        <v>0</v>
      </c>
      <c r="AG149">
        <v>0</v>
      </c>
      <c r="AI149" t="s">
        <v>112</v>
      </c>
    </row>
    <row r="150" spans="14:37" ht="15" x14ac:dyDescent="0.25">
      <c r="N150" s="96" t="s">
        <v>82</v>
      </c>
      <c r="O150" t="s">
        <v>44</v>
      </c>
      <c r="P150">
        <v>433.5</v>
      </c>
      <c r="Q150">
        <v>9</v>
      </c>
      <c r="R150">
        <v>352.8</v>
      </c>
      <c r="S150">
        <v>11</v>
      </c>
      <c r="T150">
        <v>657.4</v>
      </c>
      <c r="U150">
        <v>10</v>
      </c>
      <c r="V150">
        <v>706.7</v>
      </c>
      <c r="W150">
        <v>9</v>
      </c>
      <c r="X150">
        <v>1235.5</v>
      </c>
      <c r="Y150">
        <v>5</v>
      </c>
      <c r="AB150" s="96" t="s">
        <v>52</v>
      </c>
      <c r="AC150" t="s">
        <v>44</v>
      </c>
      <c r="AD150">
        <v>0</v>
      </c>
      <c r="AE150">
        <v>0</v>
      </c>
      <c r="AG150">
        <v>0</v>
      </c>
      <c r="AI150">
        <v>75</v>
      </c>
    </row>
    <row r="151" spans="14:37" ht="15" x14ac:dyDescent="0.25">
      <c r="N151" s="95"/>
      <c r="AB151" s="96"/>
      <c r="AC151" t="s">
        <v>44</v>
      </c>
    </row>
    <row r="152" spans="14:37" ht="15" x14ac:dyDescent="0.25">
      <c r="N152" s="96" t="s">
        <v>75</v>
      </c>
      <c r="O152" t="s">
        <v>44</v>
      </c>
      <c r="P152">
        <v>367.2</v>
      </c>
      <c r="Q152">
        <v>10</v>
      </c>
      <c r="R152">
        <v>279</v>
      </c>
      <c r="S152">
        <v>12</v>
      </c>
      <c r="T152">
        <v>338.4</v>
      </c>
      <c r="U152">
        <v>14</v>
      </c>
      <c r="V152">
        <v>294.60000000000002</v>
      </c>
      <c r="W152">
        <v>13</v>
      </c>
      <c r="X152">
        <v>190.3</v>
      </c>
      <c r="Y152">
        <v>19</v>
      </c>
      <c r="AB152" s="96" t="s">
        <v>53</v>
      </c>
      <c r="AC152" t="s">
        <v>44</v>
      </c>
      <c r="AD152">
        <v>16</v>
      </c>
      <c r="AE152">
        <v>0</v>
      </c>
      <c r="AG152">
        <v>605.29999999999995</v>
      </c>
      <c r="AI152">
        <v>276.8</v>
      </c>
    </row>
    <row r="153" spans="14:37" ht="15" x14ac:dyDescent="0.25">
      <c r="N153" s="95"/>
      <c r="AB153" s="96" t="s">
        <v>105</v>
      </c>
      <c r="AC153" t="s">
        <v>44</v>
      </c>
      <c r="AD153">
        <v>0</v>
      </c>
      <c r="AE153">
        <v>0</v>
      </c>
      <c r="AG153">
        <v>1</v>
      </c>
      <c r="AI153">
        <v>7.1</v>
      </c>
    </row>
    <row r="154" spans="14:37" ht="15" x14ac:dyDescent="0.25">
      <c r="N154" s="96" t="s">
        <v>67</v>
      </c>
      <c r="O154" t="s">
        <v>44</v>
      </c>
      <c r="P154">
        <v>359.2</v>
      </c>
      <c r="Q154">
        <v>11</v>
      </c>
      <c r="R154">
        <v>485.2</v>
      </c>
      <c r="S154">
        <v>10</v>
      </c>
      <c r="T154">
        <v>423.1</v>
      </c>
      <c r="U154">
        <v>12</v>
      </c>
      <c r="V154">
        <v>178.2</v>
      </c>
      <c r="W154">
        <v>16</v>
      </c>
      <c r="X154">
        <v>145.80000000000001</v>
      </c>
      <c r="Y154">
        <v>21</v>
      </c>
      <c r="AB154" s="96" t="s">
        <v>54</v>
      </c>
      <c r="AC154" t="s">
        <v>44</v>
      </c>
      <c r="AD154">
        <v>16</v>
      </c>
      <c r="AE154">
        <v>0</v>
      </c>
      <c r="AG154">
        <v>604.29999999999995</v>
      </c>
      <c r="AI154">
        <v>269.8</v>
      </c>
    </row>
    <row r="155" spans="14:37" ht="15" x14ac:dyDescent="0.25">
      <c r="N155" s="95"/>
      <c r="AB155" s="96"/>
      <c r="AC155" t="s">
        <v>44</v>
      </c>
    </row>
    <row r="156" spans="14:37" ht="15" x14ac:dyDescent="0.25">
      <c r="N156" s="96" t="s">
        <v>62</v>
      </c>
      <c r="O156" t="s">
        <v>44</v>
      </c>
      <c r="P156">
        <v>298.2</v>
      </c>
      <c r="Q156">
        <v>12</v>
      </c>
      <c r="R156">
        <v>690.8</v>
      </c>
      <c r="S156">
        <v>9</v>
      </c>
      <c r="T156">
        <v>683.4</v>
      </c>
      <c r="U156">
        <v>9</v>
      </c>
      <c r="V156">
        <v>346.3</v>
      </c>
      <c r="W156">
        <v>11</v>
      </c>
      <c r="X156">
        <v>459</v>
      </c>
      <c r="Y156">
        <v>10</v>
      </c>
      <c r="AB156" s="96" t="s">
        <v>102</v>
      </c>
      <c r="AC156" t="s">
        <v>44</v>
      </c>
      <c r="AD156">
        <v>0</v>
      </c>
      <c r="AE156">
        <v>0</v>
      </c>
      <c r="AG156">
        <v>30.3</v>
      </c>
      <c r="AI156">
        <v>52.5</v>
      </c>
    </row>
    <row r="157" spans="14:37" ht="15" x14ac:dyDescent="0.25">
      <c r="N157" s="95"/>
      <c r="AB157" s="96" t="s">
        <v>142</v>
      </c>
      <c r="AC157" t="s">
        <v>44</v>
      </c>
      <c r="AD157">
        <v>0</v>
      </c>
      <c r="AE157">
        <v>0</v>
      </c>
      <c r="AG157">
        <v>30.3</v>
      </c>
      <c r="AI157">
        <v>52.5</v>
      </c>
    </row>
    <row r="158" spans="14:37" ht="15" x14ac:dyDescent="0.25">
      <c r="N158" s="96" t="s">
        <v>68</v>
      </c>
      <c r="O158" t="s">
        <v>44</v>
      </c>
      <c r="P158">
        <v>296.8</v>
      </c>
      <c r="Q158">
        <v>13</v>
      </c>
      <c r="R158">
        <v>178.3</v>
      </c>
      <c r="S158">
        <v>20</v>
      </c>
      <c r="T158">
        <v>81.2</v>
      </c>
      <c r="U158">
        <v>28</v>
      </c>
      <c r="V158">
        <v>87.6</v>
      </c>
      <c r="W158">
        <v>22</v>
      </c>
      <c r="X158">
        <v>72</v>
      </c>
      <c r="Y158">
        <v>25</v>
      </c>
      <c r="AB158" s="96"/>
      <c r="AC158" t="s">
        <v>44</v>
      </c>
    </row>
    <row r="159" spans="14:37" ht="15" x14ac:dyDescent="0.25">
      <c r="N159" s="95"/>
      <c r="AB159" s="96" t="s">
        <v>55</v>
      </c>
      <c r="AC159" t="s">
        <v>44</v>
      </c>
      <c r="AD159">
        <v>216.9</v>
      </c>
      <c r="AE159">
        <v>366.5</v>
      </c>
      <c r="AG159">
        <v>1673.6</v>
      </c>
      <c r="AI159">
        <v>1887.3</v>
      </c>
      <c r="AK159">
        <f>+AG159+AD159</f>
        <v>1890.5</v>
      </c>
    </row>
    <row r="160" spans="14:37" ht="15" x14ac:dyDescent="0.25">
      <c r="N160" s="96" t="s">
        <v>144</v>
      </c>
      <c r="O160" t="s">
        <v>44</v>
      </c>
      <c r="P160">
        <v>268.8</v>
      </c>
      <c r="Q160">
        <v>14</v>
      </c>
      <c r="R160">
        <v>249.2</v>
      </c>
      <c r="S160">
        <v>15</v>
      </c>
      <c r="T160">
        <v>232.9</v>
      </c>
      <c r="U160">
        <v>17</v>
      </c>
      <c r="V160">
        <v>145.69999999999999</v>
      </c>
      <c r="W160">
        <v>18</v>
      </c>
      <c r="X160">
        <v>0</v>
      </c>
      <c r="Y160">
        <v>0</v>
      </c>
      <c r="AB160" s="96"/>
      <c r="AC160" t="s">
        <v>44</v>
      </c>
    </row>
    <row r="161" spans="14:37" ht="15" x14ac:dyDescent="0.25">
      <c r="N161" s="95"/>
      <c r="AB161" s="96" t="s">
        <v>56</v>
      </c>
      <c r="AC161" t="s">
        <v>44</v>
      </c>
      <c r="AD161">
        <v>87.4</v>
      </c>
      <c r="AE161">
        <v>92.7</v>
      </c>
      <c r="AG161">
        <v>912.6</v>
      </c>
      <c r="AI161">
        <v>1397.4</v>
      </c>
      <c r="AK161">
        <f>+AG161+AD161</f>
        <v>1000</v>
      </c>
    </row>
    <row r="162" spans="14:37" ht="15" x14ac:dyDescent="0.25">
      <c r="N162" s="96" t="s">
        <v>74</v>
      </c>
      <c r="O162" t="s">
        <v>44</v>
      </c>
      <c r="P162">
        <v>260.10000000000002</v>
      </c>
      <c r="Q162">
        <v>15</v>
      </c>
      <c r="R162">
        <v>248.5</v>
      </c>
      <c r="S162">
        <v>16</v>
      </c>
      <c r="T162">
        <v>221.2</v>
      </c>
      <c r="U162">
        <v>19</v>
      </c>
      <c r="V162">
        <v>173.1</v>
      </c>
      <c r="W162">
        <v>17</v>
      </c>
      <c r="X162">
        <v>246.6</v>
      </c>
      <c r="Y162">
        <v>16</v>
      </c>
      <c r="AB162" s="96"/>
      <c r="AC162" t="s">
        <v>44</v>
      </c>
    </row>
    <row r="163" spans="14:37" ht="15" x14ac:dyDescent="0.25">
      <c r="N163" s="95"/>
      <c r="AB163" s="96" t="s">
        <v>57</v>
      </c>
      <c r="AC163" t="s">
        <v>44</v>
      </c>
      <c r="AD163">
        <v>1095.5</v>
      </c>
      <c r="AE163">
        <v>1182</v>
      </c>
      <c r="AG163">
        <v>23506.9</v>
      </c>
      <c r="AI163">
        <v>24444.7</v>
      </c>
      <c r="AK163">
        <f>+AG163+AD163</f>
        <v>24602.400000000001</v>
      </c>
    </row>
    <row r="164" spans="14:37" ht="15" x14ac:dyDescent="0.25">
      <c r="N164" s="96" t="s">
        <v>63</v>
      </c>
      <c r="O164" t="s">
        <v>44</v>
      </c>
      <c r="P164">
        <v>246</v>
      </c>
      <c r="Q164">
        <v>16</v>
      </c>
      <c r="R164">
        <v>250.4</v>
      </c>
      <c r="S164">
        <v>14</v>
      </c>
      <c r="T164">
        <v>237.5</v>
      </c>
      <c r="U164">
        <v>16</v>
      </c>
      <c r="V164">
        <v>82</v>
      </c>
      <c r="W164">
        <v>23</v>
      </c>
      <c r="X164">
        <v>84.3</v>
      </c>
      <c r="Y164">
        <v>24</v>
      </c>
      <c r="AB164" s="96"/>
      <c r="AC164" t="s">
        <v>44</v>
      </c>
    </row>
    <row r="165" spans="14:37" ht="15" x14ac:dyDescent="0.25">
      <c r="N165" s="95"/>
      <c r="AB165" s="96" t="s">
        <v>58</v>
      </c>
      <c r="AC165" t="s">
        <v>44</v>
      </c>
      <c r="AD165">
        <v>108.1</v>
      </c>
      <c r="AE165">
        <v>216.7</v>
      </c>
      <c r="AG165">
        <v>3240.8</v>
      </c>
      <c r="AI165">
        <v>4009.9</v>
      </c>
    </row>
    <row r="166" spans="14:37" ht="15" x14ac:dyDescent="0.25">
      <c r="N166" s="96" t="s">
        <v>94</v>
      </c>
      <c r="O166" t="s">
        <v>44</v>
      </c>
      <c r="P166">
        <v>146.4</v>
      </c>
      <c r="Q166">
        <v>17</v>
      </c>
      <c r="R166">
        <v>157.19999999999999</v>
      </c>
      <c r="S166">
        <v>21</v>
      </c>
      <c r="T166">
        <v>120.6</v>
      </c>
      <c r="U166">
        <v>24</v>
      </c>
      <c r="V166">
        <v>0</v>
      </c>
      <c r="W166">
        <v>0</v>
      </c>
      <c r="X166">
        <v>62.5</v>
      </c>
      <c r="Y166">
        <v>27</v>
      </c>
      <c r="AB166" s="96" t="s">
        <v>190</v>
      </c>
      <c r="AC166" t="s">
        <v>44</v>
      </c>
      <c r="AD166">
        <v>0</v>
      </c>
      <c r="AE166">
        <v>0</v>
      </c>
      <c r="AG166">
        <v>0.5</v>
      </c>
      <c r="AI166">
        <v>49.5</v>
      </c>
    </row>
    <row r="167" spans="14:37" ht="15" x14ac:dyDescent="0.25">
      <c r="N167" s="95"/>
      <c r="AB167" s="96" t="s">
        <v>59</v>
      </c>
      <c r="AC167" t="s">
        <v>44</v>
      </c>
      <c r="AD167">
        <v>0</v>
      </c>
      <c r="AE167">
        <v>0</v>
      </c>
      <c r="AG167">
        <v>5.0999999999999996</v>
      </c>
      <c r="AI167">
        <v>10.1</v>
      </c>
    </row>
    <row r="168" spans="14:37" ht="15" x14ac:dyDescent="0.25">
      <c r="N168" s="96" t="s">
        <v>61</v>
      </c>
      <c r="O168" t="s">
        <v>44</v>
      </c>
      <c r="P168">
        <v>106.6</v>
      </c>
      <c r="Q168">
        <v>18</v>
      </c>
      <c r="R168">
        <v>225.4</v>
      </c>
      <c r="S168">
        <v>18</v>
      </c>
      <c r="T168">
        <v>187.2</v>
      </c>
      <c r="U168">
        <v>22</v>
      </c>
      <c r="V168">
        <v>219.3</v>
      </c>
      <c r="W168">
        <v>14</v>
      </c>
      <c r="X168">
        <v>335.2</v>
      </c>
      <c r="Y168">
        <v>14</v>
      </c>
      <c r="AB168" s="96" t="s">
        <v>60</v>
      </c>
      <c r="AC168" t="s">
        <v>44</v>
      </c>
      <c r="AD168">
        <v>30.4</v>
      </c>
      <c r="AE168">
        <v>147</v>
      </c>
      <c r="AG168">
        <v>1711</v>
      </c>
      <c r="AI168">
        <v>1680.1</v>
      </c>
      <c r="AK168">
        <f>+AG168+AD168</f>
        <v>1741.4</v>
      </c>
    </row>
    <row r="169" spans="14:37" ht="15" x14ac:dyDescent="0.25">
      <c r="N169" s="95"/>
      <c r="AB169" s="96" t="s">
        <v>61</v>
      </c>
      <c r="AC169" t="s">
        <v>44</v>
      </c>
      <c r="AD169">
        <v>0</v>
      </c>
      <c r="AE169">
        <v>0</v>
      </c>
      <c r="AG169">
        <v>106.6</v>
      </c>
      <c r="AI169">
        <v>225.4</v>
      </c>
    </row>
    <row r="170" spans="14:37" ht="15" x14ac:dyDescent="0.25">
      <c r="N170" s="96" t="s">
        <v>77</v>
      </c>
      <c r="O170" t="s">
        <v>44</v>
      </c>
      <c r="P170">
        <v>100.4</v>
      </c>
      <c r="Q170">
        <v>19</v>
      </c>
      <c r="R170">
        <v>120.6</v>
      </c>
      <c r="S170">
        <v>23</v>
      </c>
      <c r="T170">
        <v>148.4</v>
      </c>
      <c r="U170">
        <v>23</v>
      </c>
      <c r="V170">
        <v>123.9</v>
      </c>
      <c r="W170">
        <v>20</v>
      </c>
      <c r="X170">
        <v>111.8</v>
      </c>
      <c r="Y170">
        <v>23</v>
      </c>
      <c r="AB170" s="96" t="s">
        <v>62</v>
      </c>
      <c r="AC170" t="s">
        <v>44</v>
      </c>
      <c r="AD170">
        <v>5.5</v>
      </c>
      <c r="AE170">
        <v>15.8</v>
      </c>
      <c r="AG170">
        <v>298.2</v>
      </c>
      <c r="AI170">
        <v>690.8</v>
      </c>
    </row>
    <row r="171" spans="14:37" ht="15" x14ac:dyDescent="0.25">
      <c r="N171" s="95"/>
      <c r="AB171" s="96" t="s">
        <v>63</v>
      </c>
      <c r="AC171" t="s">
        <v>44</v>
      </c>
      <c r="AD171">
        <v>2.2999999999999998</v>
      </c>
      <c r="AE171">
        <v>2.4</v>
      </c>
      <c r="AG171">
        <v>246</v>
      </c>
      <c r="AI171">
        <v>250.4</v>
      </c>
    </row>
    <row r="172" spans="14:37" ht="15" x14ac:dyDescent="0.25">
      <c r="N172" s="96" t="s">
        <v>93</v>
      </c>
      <c r="O172" t="s">
        <v>44</v>
      </c>
      <c r="P172">
        <v>83.9</v>
      </c>
      <c r="Q172">
        <v>20</v>
      </c>
      <c r="R172">
        <v>41.8</v>
      </c>
      <c r="S172">
        <v>29</v>
      </c>
      <c r="T172">
        <v>52.4</v>
      </c>
      <c r="U172">
        <v>30</v>
      </c>
      <c r="V172">
        <v>81.3</v>
      </c>
      <c r="W172">
        <v>24</v>
      </c>
      <c r="X172">
        <v>396.3</v>
      </c>
      <c r="Y172">
        <v>13</v>
      </c>
      <c r="AB172" s="96" t="s">
        <v>64</v>
      </c>
      <c r="AC172" t="s">
        <v>44</v>
      </c>
      <c r="AD172">
        <v>2.2000000000000002</v>
      </c>
      <c r="AE172">
        <v>0.2</v>
      </c>
      <c r="AG172">
        <v>41.5</v>
      </c>
      <c r="AI172">
        <v>44.3</v>
      </c>
    </row>
    <row r="173" spans="14:37" ht="15" x14ac:dyDescent="0.25">
      <c r="N173" s="95"/>
      <c r="AB173" s="96" t="s">
        <v>94</v>
      </c>
      <c r="AC173" t="s">
        <v>44</v>
      </c>
      <c r="AD173">
        <v>0</v>
      </c>
      <c r="AE173">
        <v>0</v>
      </c>
      <c r="AG173">
        <v>146.4</v>
      </c>
      <c r="AI173">
        <v>157.19999999999999</v>
      </c>
    </row>
    <row r="174" spans="14:37" ht="15" x14ac:dyDescent="0.25">
      <c r="N174" s="96" t="s">
        <v>76</v>
      </c>
      <c r="O174" t="s">
        <v>44</v>
      </c>
      <c r="P174">
        <v>83.9</v>
      </c>
      <c r="Q174">
        <v>21</v>
      </c>
      <c r="R174">
        <v>125.7</v>
      </c>
      <c r="S174">
        <v>22</v>
      </c>
      <c r="T174">
        <v>217.3</v>
      </c>
      <c r="U174">
        <v>20</v>
      </c>
      <c r="V174">
        <v>185.5</v>
      </c>
      <c r="W174">
        <v>15</v>
      </c>
      <c r="X174">
        <v>276.89999999999998</v>
      </c>
      <c r="Y174">
        <v>15</v>
      </c>
      <c r="AB174" s="96" t="s">
        <v>65</v>
      </c>
      <c r="AC174" t="s">
        <v>44</v>
      </c>
      <c r="AD174">
        <v>3.6</v>
      </c>
      <c r="AE174">
        <v>5.5</v>
      </c>
      <c r="AG174">
        <v>29.7</v>
      </c>
      <c r="AI174">
        <v>20.2</v>
      </c>
    </row>
    <row r="175" spans="14:37" ht="15" x14ac:dyDescent="0.25">
      <c r="N175" s="95"/>
      <c r="AB175" s="96" t="s">
        <v>66</v>
      </c>
      <c r="AC175" t="s">
        <v>44</v>
      </c>
      <c r="AD175">
        <v>27</v>
      </c>
      <c r="AE175">
        <v>0</v>
      </c>
      <c r="AG175">
        <v>0</v>
      </c>
      <c r="AI175">
        <v>218.3</v>
      </c>
    </row>
    <row r="176" spans="14:37" ht="15" x14ac:dyDescent="0.25">
      <c r="N176" s="96" t="s">
        <v>85</v>
      </c>
      <c r="O176" t="s">
        <v>44</v>
      </c>
      <c r="P176">
        <v>50.9</v>
      </c>
      <c r="Q176">
        <v>22</v>
      </c>
      <c r="R176">
        <v>855.8</v>
      </c>
      <c r="S176">
        <v>8</v>
      </c>
      <c r="T176">
        <v>626.70000000000005</v>
      </c>
      <c r="U176">
        <v>11</v>
      </c>
      <c r="V176">
        <v>337.6</v>
      </c>
      <c r="W176">
        <v>12</v>
      </c>
      <c r="X176">
        <v>521.70000000000005</v>
      </c>
      <c r="Y176">
        <v>9</v>
      </c>
      <c r="AB176" s="96" t="s">
        <v>67</v>
      </c>
      <c r="AC176" t="s">
        <v>44</v>
      </c>
      <c r="AD176">
        <v>18.2</v>
      </c>
      <c r="AE176">
        <v>16</v>
      </c>
      <c r="AG176">
        <v>359.2</v>
      </c>
      <c r="AI176">
        <v>485.2</v>
      </c>
    </row>
    <row r="177" spans="14:37" ht="15" x14ac:dyDescent="0.25">
      <c r="N177" s="95"/>
      <c r="AB177" s="96" t="s">
        <v>68</v>
      </c>
      <c r="AC177" t="s">
        <v>44</v>
      </c>
      <c r="AD177">
        <v>19</v>
      </c>
      <c r="AE177">
        <v>29.8</v>
      </c>
      <c r="AG177">
        <v>296.8</v>
      </c>
      <c r="AI177">
        <v>178.3</v>
      </c>
    </row>
    <row r="178" spans="14:37" ht="15" x14ac:dyDescent="0.25">
      <c r="N178" s="96" t="s">
        <v>91</v>
      </c>
      <c r="O178" t="s">
        <v>44</v>
      </c>
      <c r="P178">
        <v>45.6</v>
      </c>
      <c r="Q178">
        <v>23</v>
      </c>
      <c r="R178">
        <v>234.5</v>
      </c>
      <c r="S178">
        <v>17</v>
      </c>
      <c r="T178">
        <v>225</v>
      </c>
      <c r="U178">
        <v>18</v>
      </c>
      <c r="V178">
        <v>60.9</v>
      </c>
      <c r="W178">
        <v>25</v>
      </c>
      <c r="X178">
        <v>122.9</v>
      </c>
      <c r="Y178">
        <v>22</v>
      </c>
      <c r="AB178" s="96"/>
      <c r="AC178" t="s">
        <v>44</v>
      </c>
    </row>
    <row r="179" spans="14:37" ht="15" x14ac:dyDescent="0.25">
      <c r="N179" s="95"/>
      <c r="AB179" s="96" t="s">
        <v>69</v>
      </c>
      <c r="AC179" t="s">
        <v>44</v>
      </c>
      <c r="AD179">
        <v>68</v>
      </c>
      <c r="AE179">
        <v>0</v>
      </c>
      <c r="AG179">
        <v>1492.9</v>
      </c>
      <c r="AI179">
        <v>1242.3</v>
      </c>
    </row>
    <row r="180" spans="14:37" ht="15" x14ac:dyDescent="0.25">
      <c r="N180" s="96" t="s">
        <v>109</v>
      </c>
      <c r="O180" t="s">
        <v>44</v>
      </c>
      <c r="P180">
        <v>41.9</v>
      </c>
      <c r="Q180">
        <v>24</v>
      </c>
      <c r="R180">
        <v>39</v>
      </c>
      <c r="S180">
        <v>30</v>
      </c>
      <c r="T180">
        <v>104.6</v>
      </c>
      <c r="U180">
        <v>26</v>
      </c>
      <c r="V180">
        <v>44.5</v>
      </c>
      <c r="W180">
        <v>28</v>
      </c>
      <c r="X180">
        <v>5</v>
      </c>
      <c r="Y180">
        <v>37</v>
      </c>
      <c r="AB180" s="96" t="s">
        <v>70</v>
      </c>
      <c r="AC180" t="s">
        <v>44</v>
      </c>
      <c r="AD180">
        <v>68</v>
      </c>
      <c r="AE180">
        <v>0</v>
      </c>
      <c r="AG180">
        <v>1224.0999999999999</v>
      </c>
      <c r="AI180">
        <v>897.3</v>
      </c>
      <c r="AK180">
        <f>+AG180+AD180</f>
        <v>1292.0999999999999</v>
      </c>
    </row>
    <row r="181" spans="14:37" ht="15" x14ac:dyDescent="0.25">
      <c r="N181" s="95"/>
      <c r="AB181" s="96" t="s">
        <v>71</v>
      </c>
      <c r="AC181" t="s">
        <v>44</v>
      </c>
      <c r="AD181">
        <v>0</v>
      </c>
      <c r="AE181">
        <v>0</v>
      </c>
      <c r="AG181">
        <v>0</v>
      </c>
      <c r="AI181">
        <v>95.8</v>
      </c>
    </row>
    <row r="182" spans="14:37" ht="15" x14ac:dyDescent="0.25">
      <c r="N182" s="96" t="s">
        <v>64</v>
      </c>
      <c r="O182" t="s">
        <v>44</v>
      </c>
      <c r="P182">
        <v>41.5</v>
      </c>
      <c r="Q182">
        <v>25</v>
      </c>
      <c r="R182">
        <v>44.3</v>
      </c>
      <c r="S182">
        <v>28</v>
      </c>
      <c r="T182">
        <v>54.5</v>
      </c>
      <c r="U182">
        <v>29</v>
      </c>
      <c r="V182">
        <v>45.1</v>
      </c>
      <c r="W182">
        <v>27</v>
      </c>
      <c r="X182">
        <v>50.6</v>
      </c>
      <c r="Y182">
        <v>28</v>
      </c>
      <c r="AB182" s="96" t="s">
        <v>144</v>
      </c>
      <c r="AC182" t="s">
        <v>44</v>
      </c>
      <c r="AD182">
        <v>0</v>
      </c>
      <c r="AE182">
        <v>0</v>
      </c>
      <c r="AG182">
        <v>268.8</v>
      </c>
      <c r="AI182">
        <v>249.2</v>
      </c>
    </row>
    <row r="183" spans="14:37" ht="15" x14ac:dyDescent="0.25">
      <c r="N183" s="95"/>
      <c r="AB183" s="96"/>
      <c r="AC183" t="s">
        <v>44</v>
      </c>
    </row>
    <row r="184" spans="14:37" ht="15" x14ac:dyDescent="0.25">
      <c r="N184" s="96" t="s">
        <v>142</v>
      </c>
      <c r="O184" t="s">
        <v>44</v>
      </c>
      <c r="P184">
        <v>30.3</v>
      </c>
      <c r="Q184">
        <v>26</v>
      </c>
      <c r="R184">
        <v>52.5</v>
      </c>
      <c r="S184">
        <v>26</v>
      </c>
      <c r="T184">
        <v>98.5</v>
      </c>
      <c r="U184">
        <v>27</v>
      </c>
      <c r="V184">
        <v>25.9</v>
      </c>
      <c r="W184">
        <v>30</v>
      </c>
      <c r="X184">
        <v>0</v>
      </c>
      <c r="Y184">
        <v>0</v>
      </c>
      <c r="AB184" s="96" t="s">
        <v>72</v>
      </c>
      <c r="AC184" t="s">
        <v>44</v>
      </c>
      <c r="AD184">
        <v>172.7</v>
      </c>
      <c r="AE184">
        <v>156.9</v>
      </c>
      <c r="AG184">
        <v>4047.3</v>
      </c>
      <c r="AI184">
        <v>4083</v>
      </c>
    </row>
    <row r="185" spans="14:37" ht="15" x14ac:dyDescent="0.25">
      <c r="N185" s="95"/>
      <c r="AB185" s="96" t="s">
        <v>73</v>
      </c>
      <c r="AC185" t="s">
        <v>44</v>
      </c>
      <c r="AD185">
        <v>0</v>
      </c>
      <c r="AE185">
        <v>0.2</v>
      </c>
      <c r="AG185">
        <v>23.8</v>
      </c>
      <c r="AI185">
        <v>23.3</v>
      </c>
    </row>
    <row r="186" spans="14:37" ht="15" x14ac:dyDescent="0.25">
      <c r="N186" s="96" t="s">
        <v>65</v>
      </c>
      <c r="O186" t="s">
        <v>44</v>
      </c>
      <c r="P186">
        <v>29.7</v>
      </c>
      <c r="Q186">
        <v>27</v>
      </c>
      <c r="R186">
        <v>20.2</v>
      </c>
      <c r="S186">
        <v>34</v>
      </c>
      <c r="T186">
        <v>26.2</v>
      </c>
      <c r="U186">
        <v>33</v>
      </c>
      <c r="V186">
        <v>3.4</v>
      </c>
      <c r="W186">
        <v>38</v>
      </c>
      <c r="X186">
        <v>8.5</v>
      </c>
      <c r="Y186">
        <v>36</v>
      </c>
      <c r="AB186" s="96" t="s">
        <v>74</v>
      </c>
      <c r="AC186" t="s">
        <v>44</v>
      </c>
      <c r="AD186">
        <v>46</v>
      </c>
      <c r="AE186">
        <v>31</v>
      </c>
      <c r="AG186">
        <v>260.10000000000002</v>
      </c>
      <c r="AI186">
        <v>248.5</v>
      </c>
    </row>
    <row r="187" spans="14:37" ht="15" x14ac:dyDescent="0.25">
      <c r="N187" s="95"/>
      <c r="AB187" s="96" t="s">
        <v>75</v>
      </c>
      <c r="AC187" t="s">
        <v>44</v>
      </c>
      <c r="AD187">
        <v>51.9</v>
      </c>
      <c r="AE187">
        <v>28.2</v>
      </c>
      <c r="AG187">
        <v>367.2</v>
      </c>
      <c r="AI187">
        <v>279</v>
      </c>
    </row>
    <row r="188" spans="14:37" ht="15" x14ac:dyDescent="0.25">
      <c r="N188" s="96" t="s">
        <v>73</v>
      </c>
      <c r="O188" t="s">
        <v>44</v>
      </c>
      <c r="P188">
        <v>23.8</v>
      </c>
      <c r="Q188">
        <v>28</v>
      </c>
      <c r="R188">
        <v>23.3</v>
      </c>
      <c r="S188">
        <v>32</v>
      </c>
      <c r="T188">
        <v>25.2</v>
      </c>
      <c r="U188">
        <v>35</v>
      </c>
      <c r="V188">
        <v>24.6</v>
      </c>
      <c r="W188">
        <v>31</v>
      </c>
      <c r="X188">
        <v>24.6</v>
      </c>
      <c r="Y188">
        <v>30</v>
      </c>
      <c r="AB188" s="96" t="s">
        <v>76</v>
      </c>
      <c r="AC188" t="s">
        <v>44</v>
      </c>
      <c r="AD188">
        <v>28.2</v>
      </c>
      <c r="AE188">
        <v>7</v>
      </c>
      <c r="AG188">
        <v>83.9</v>
      </c>
      <c r="AI188">
        <v>125.7</v>
      </c>
    </row>
    <row r="189" spans="14:37" ht="15" x14ac:dyDescent="0.25">
      <c r="N189" s="95"/>
      <c r="AB189" s="96" t="s">
        <v>77</v>
      </c>
      <c r="AC189" t="s">
        <v>44</v>
      </c>
      <c r="AD189">
        <v>0</v>
      </c>
      <c r="AE189">
        <v>8</v>
      </c>
      <c r="AG189">
        <v>100.4</v>
      </c>
      <c r="AI189">
        <v>120.6</v>
      </c>
    </row>
    <row r="190" spans="14:37" ht="15" x14ac:dyDescent="0.25">
      <c r="N190" s="96" t="s">
        <v>78</v>
      </c>
      <c r="O190" t="s">
        <v>44</v>
      </c>
      <c r="P190">
        <v>13.8</v>
      </c>
      <c r="Q190">
        <v>29</v>
      </c>
      <c r="R190">
        <v>7.7</v>
      </c>
      <c r="S190">
        <v>38</v>
      </c>
      <c r="T190">
        <v>14.4</v>
      </c>
      <c r="U190">
        <v>39</v>
      </c>
      <c r="V190">
        <v>7.1</v>
      </c>
      <c r="W190">
        <v>35</v>
      </c>
      <c r="X190">
        <v>17.899999999999999</v>
      </c>
      <c r="Y190">
        <v>32</v>
      </c>
      <c r="AB190" s="96" t="s">
        <v>78</v>
      </c>
      <c r="AC190" t="s">
        <v>44</v>
      </c>
      <c r="AD190">
        <v>0</v>
      </c>
      <c r="AE190">
        <v>1.9</v>
      </c>
      <c r="AG190">
        <v>13.8</v>
      </c>
      <c r="AI190">
        <v>7.7</v>
      </c>
    </row>
    <row r="191" spans="14:37" ht="15" x14ac:dyDescent="0.25">
      <c r="N191" s="95"/>
      <c r="AB191" s="96" t="s">
        <v>189</v>
      </c>
      <c r="AC191" t="s">
        <v>44</v>
      </c>
      <c r="AD191">
        <v>0</v>
      </c>
      <c r="AE191">
        <v>0</v>
      </c>
      <c r="AG191">
        <v>0.4</v>
      </c>
      <c r="AI191">
        <v>0.3</v>
      </c>
    </row>
    <row r="192" spans="14:37" ht="15" x14ac:dyDescent="0.25">
      <c r="N192" s="96" t="s">
        <v>140</v>
      </c>
      <c r="O192" t="s">
        <v>44</v>
      </c>
      <c r="P192">
        <v>7.3</v>
      </c>
      <c r="Q192">
        <v>30</v>
      </c>
      <c r="R192">
        <v>12.7</v>
      </c>
      <c r="S192">
        <v>36</v>
      </c>
      <c r="T192">
        <v>13.4</v>
      </c>
      <c r="U192">
        <v>40</v>
      </c>
      <c r="V192">
        <v>5</v>
      </c>
      <c r="W192">
        <v>36</v>
      </c>
      <c r="X192">
        <v>0</v>
      </c>
      <c r="Y192">
        <v>0</v>
      </c>
      <c r="AB192" s="96" t="s">
        <v>79</v>
      </c>
      <c r="AC192" t="s">
        <v>44</v>
      </c>
      <c r="AD192">
        <v>26.7</v>
      </c>
      <c r="AE192">
        <v>80.7</v>
      </c>
      <c r="AG192">
        <v>3153.1</v>
      </c>
      <c r="AI192">
        <v>3214.7</v>
      </c>
      <c r="AK192">
        <f>+AG192+AD192</f>
        <v>3179.7999999999997</v>
      </c>
    </row>
    <row r="193" spans="14:35" ht="15" x14ac:dyDescent="0.25">
      <c r="N193" s="95"/>
      <c r="AB193" s="96" t="s">
        <v>86</v>
      </c>
      <c r="AC193" t="s">
        <v>44</v>
      </c>
      <c r="AD193">
        <v>20</v>
      </c>
      <c r="AE193">
        <v>0</v>
      </c>
      <c r="AG193">
        <v>2.8</v>
      </c>
      <c r="AI193">
        <v>2.8</v>
      </c>
    </row>
    <row r="194" spans="14:35" ht="15" x14ac:dyDescent="0.25">
      <c r="N194" s="96" t="s">
        <v>59</v>
      </c>
      <c r="O194" t="s">
        <v>44</v>
      </c>
      <c r="P194">
        <v>5.0999999999999996</v>
      </c>
      <c r="Q194">
        <v>31</v>
      </c>
      <c r="R194">
        <v>10.1</v>
      </c>
      <c r="S194">
        <v>37</v>
      </c>
      <c r="T194">
        <v>0</v>
      </c>
      <c r="U194">
        <v>0</v>
      </c>
      <c r="V194">
        <v>0.3</v>
      </c>
      <c r="W194">
        <v>39</v>
      </c>
      <c r="X194">
        <v>0.4</v>
      </c>
      <c r="Y194">
        <v>40</v>
      </c>
      <c r="AB194" s="96" t="s">
        <v>96</v>
      </c>
      <c r="AC194" t="s">
        <v>44</v>
      </c>
      <c r="AD194">
        <v>0</v>
      </c>
      <c r="AE194">
        <v>0</v>
      </c>
      <c r="AG194">
        <v>0</v>
      </c>
      <c r="AI194">
        <v>21.5</v>
      </c>
    </row>
    <row r="195" spans="14:35" ht="15" x14ac:dyDescent="0.25">
      <c r="N195" s="95"/>
      <c r="AB195" s="96" t="s">
        <v>109</v>
      </c>
      <c r="AC195" t="s">
        <v>44</v>
      </c>
      <c r="AD195">
        <v>0</v>
      </c>
      <c r="AE195">
        <v>0</v>
      </c>
      <c r="AG195">
        <v>41.9</v>
      </c>
      <c r="AI195">
        <v>39</v>
      </c>
    </row>
    <row r="196" spans="14:35" ht="15" x14ac:dyDescent="0.25">
      <c r="N196" s="96" t="s">
        <v>86</v>
      </c>
      <c r="O196" t="s">
        <v>44</v>
      </c>
      <c r="P196">
        <v>2.8</v>
      </c>
      <c r="Q196">
        <v>32</v>
      </c>
      <c r="R196">
        <v>2.8</v>
      </c>
      <c r="S196">
        <v>40</v>
      </c>
      <c r="T196">
        <v>6.6</v>
      </c>
      <c r="U196">
        <v>41</v>
      </c>
      <c r="V196">
        <v>3.7</v>
      </c>
      <c r="W196">
        <v>37</v>
      </c>
      <c r="X196">
        <v>1.1000000000000001</v>
      </c>
      <c r="Y196">
        <v>39</v>
      </c>
      <c r="AB196" s="96" t="s">
        <v>126</v>
      </c>
      <c r="AC196" t="s">
        <v>116</v>
      </c>
      <c r="AD196" t="s">
        <v>98</v>
      </c>
      <c r="AE196" t="s">
        <v>115</v>
      </c>
      <c r="AF196" t="s">
        <v>152</v>
      </c>
      <c r="AG196" t="s">
        <v>95</v>
      </c>
      <c r="AH196" t="s">
        <v>116</v>
      </c>
      <c r="AI196" t="s">
        <v>248</v>
      </c>
    </row>
    <row r="197" spans="14:35" ht="15" x14ac:dyDescent="0.25">
      <c r="N197" s="95"/>
      <c r="AB197" s="96" t="s">
        <v>80</v>
      </c>
      <c r="AC197" t="s">
        <v>44</v>
      </c>
      <c r="AD197">
        <v>1765.4</v>
      </c>
      <c r="AE197">
        <v>2014.9</v>
      </c>
      <c r="AG197">
        <v>36739.300000000003</v>
      </c>
      <c r="AI197">
        <v>39993.1</v>
      </c>
    </row>
    <row r="198" spans="14:35" ht="15" x14ac:dyDescent="0.25">
      <c r="N198" s="96" t="s">
        <v>51</v>
      </c>
      <c r="O198" t="s">
        <v>44</v>
      </c>
      <c r="P198">
        <v>1.8</v>
      </c>
      <c r="Q198">
        <v>33</v>
      </c>
      <c r="R198">
        <v>18.2</v>
      </c>
      <c r="S198">
        <v>35</v>
      </c>
      <c r="T198">
        <v>195.5</v>
      </c>
      <c r="U198">
        <v>21</v>
      </c>
      <c r="V198">
        <v>60.7</v>
      </c>
      <c r="W198">
        <v>26</v>
      </c>
      <c r="X198">
        <v>180</v>
      </c>
      <c r="Y198">
        <v>20</v>
      </c>
      <c r="AB198" s="96" t="s">
        <v>81</v>
      </c>
      <c r="AC198" t="s">
        <v>44</v>
      </c>
      <c r="AD198">
        <v>251.5</v>
      </c>
      <c r="AE198">
        <v>267</v>
      </c>
      <c r="AG198">
        <v>0</v>
      </c>
      <c r="AI198">
        <v>0</v>
      </c>
    </row>
    <row r="199" spans="14:35" ht="15" x14ac:dyDescent="0.25">
      <c r="N199" s="95"/>
      <c r="AB199" s="96" t="s">
        <v>126</v>
      </c>
      <c r="AC199" t="s">
        <v>116</v>
      </c>
      <c r="AD199" t="s">
        <v>98</v>
      </c>
      <c r="AE199" t="s">
        <v>115</v>
      </c>
      <c r="AF199" t="s">
        <v>152</v>
      </c>
      <c r="AG199" t="s">
        <v>95</v>
      </c>
      <c r="AH199" t="s">
        <v>116</v>
      </c>
      <c r="AI199" t="s">
        <v>248</v>
      </c>
    </row>
    <row r="200" spans="14:35" ht="15" x14ac:dyDescent="0.25">
      <c r="N200" s="96" t="s">
        <v>105</v>
      </c>
      <c r="O200" t="s">
        <v>44</v>
      </c>
      <c r="P200">
        <v>1</v>
      </c>
      <c r="Q200">
        <v>34</v>
      </c>
      <c r="R200">
        <v>7.1</v>
      </c>
      <c r="S200">
        <v>39</v>
      </c>
      <c r="T200">
        <v>15.3</v>
      </c>
      <c r="U200">
        <v>38</v>
      </c>
      <c r="V200">
        <v>22.9</v>
      </c>
      <c r="W200">
        <v>32</v>
      </c>
      <c r="X200">
        <v>17.3</v>
      </c>
      <c r="Y200">
        <v>33</v>
      </c>
      <c r="AB200" s="96" t="s">
        <v>88</v>
      </c>
      <c r="AC200" t="s">
        <v>44</v>
      </c>
      <c r="AD200">
        <v>2016.9</v>
      </c>
      <c r="AE200">
        <v>2281.9</v>
      </c>
      <c r="AG200">
        <v>36739.300000000003</v>
      </c>
      <c r="AI200">
        <v>39993.1</v>
      </c>
    </row>
    <row r="201" spans="14:35" ht="15" x14ac:dyDescent="0.25">
      <c r="N201" s="95"/>
      <c r="AB201" s="96" t="s">
        <v>89</v>
      </c>
      <c r="AC201" t="s">
        <v>44</v>
      </c>
      <c r="AD201">
        <v>0</v>
      </c>
      <c r="AE201">
        <v>0</v>
      </c>
      <c r="AG201">
        <v>0</v>
      </c>
      <c r="AI201">
        <v>0</v>
      </c>
    </row>
    <row r="202" spans="14:35" ht="15" x14ac:dyDescent="0.25">
      <c r="N202" s="96" t="s">
        <v>190</v>
      </c>
      <c r="O202" t="s">
        <v>44</v>
      </c>
      <c r="P202">
        <v>0.5</v>
      </c>
      <c r="Q202">
        <v>35</v>
      </c>
      <c r="R202">
        <v>49.5</v>
      </c>
      <c r="S202">
        <v>27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AB202" s="96" t="s">
        <v>90</v>
      </c>
      <c r="AC202" t="s">
        <v>44</v>
      </c>
      <c r="AD202">
        <v>0</v>
      </c>
      <c r="AE202">
        <v>0</v>
      </c>
      <c r="AG202">
        <v>0</v>
      </c>
      <c r="AI202">
        <v>0</v>
      </c>
    </row>
    <row r="203" spans="14:35" ht="15" x14ac:dyDescent="0.25">
      <c r="N203" s="95"/>
      <c r="AB203" s="96" t="s">
        <v>126</v>
      </c>
      <c r="AC203" t="s">
        <v>116</v>
      </c>
      <c r="AD203" t="s">
        <v>98</v>
      </c>
      <c r="AE203" t="s">
        <v>115</v>
      </c>
      <c r="AF203" t="s">
        <v>152</v>
      </c>
      <c r="AG203" t="s">
        <v>95</v>
      </c>
      <c r="AH203" t="s">
        <v>116</v>
      </c>
      <c r="AI203" t="s">
        <v>248</v>
      </c>
    </row>
    <row r="204" spans="14:35" ht="15" x14ac:dyDescent="0.25">
      <c r="N204" s="96" t="s">
        <v>189</v>
      </c>
      <c r="O204" t="s">
        <v>44</v>
      </c>
      <c r="P204">
        <v>0.4</v>
      </c>
      <c r="Q204">
        <v>36</v>
      </c>
      <c r="R204">
        <v>0.3</v>
      </c>
      <c r="S204">
        <v>41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4:35" x14ac:dyDescent="0.25">
      <c r="N205" s="95"/>
    </row>
    <row r="206" spans="14:35" ht="15" x14ac:dyDescent="0.25">
      <c r="N206" s="96" t="s">
        <v>99</v>
      </c>
      <c r="O206" t="s">
        <v>44</v>
      </c>
      <c r="P206">
        <v>0.1</v>
      </c>
      <c r="Q206">
        <v>37</v>
      </c>
      <c r="R206">
        <v>0</v>
      </c>
      <c r="S206">
        <v>0</v>
      </c>
      <c r="T206">
        <v>0.2</v>
      </c>
      <c r="U206">
        <v>42</v>
      </c>
      <c r="V206">
        <v>0.2</v>
      </c>
      <c r="W206">
        <v>40</v>
      </c>
      <c r="X206">
        <v>0</v>
      </c>
      <c r="Y206">
        <v>0</v>
      </c>
    </row>
    <row r="207" spans="14:35" x14ac:dyDescent="0.25">
      <c r="N207" s="95"/>
    </row>
    <row r="208" spans="14:35" ht="15" x14ac:dyDescent="0.25">
      <c r="N208" s="96" t="s">
        <v>66</v>
      </c>
      <c r="O208" t="s">
        <v>44</v>
      </c>
      <c r="P208">
        <v>0</v>
      </c>
      <c r="Q208">
        <v>0</v>
      </c>
      <c r="R208">
        <v>218.3</v>
      </c>
      <c r="S208">
        <v>19</v>
      </c>
      <c r="T208">
        <v>350</v>
      </c>
      <c r="U208">
        <v>13</v>
      </c>
      <c r="V208">
        <v>422.1</v>
      </c>
      <c r="W208">
        <v>10</v>
      </c>
      <c r="X208">
        <v>451.3</v>
      </c>
      <c r="Y208">
        <v>11</v>
      </c>
    </row>
    <row r="209" spans="14:25" x14ac:dyDescent="0.25">
      <c r="N209" s="95"/>
    </row>
    <row r="210" spans="14:25" ht="15" x14ac:dyDescent="0.25">
      <c r="N210" s="96" t="s">
        <v>71</v>
      </c>
      <c r="O210" t="s">
        <v>44</v>
      </c>
      <c r="P210">
        <v>0</v>
      </c>
      <c r="Q210">
        <v>0</v>
      </c>
      <c r="R210">
        <v>95.8</v>
      </c>
      <c r="S210">
        <v>24</v>
      </c>
      <c r="T210">
        <v>105.3</v>
      </c>
      <c r="U210">
        <v>25</v>
      </c>
      <c r="V210">
        <v>122.3</v>
      </c>
      <c r="W210">
        <v>21</v>
      </c>
      <c r="X210">
        <v>217.2</v>
      </c>
      <c r="Y210">
        <v>17</v>
      </c>
    </row>
    <row r="211" spans="14:25" x14ac:dyDescent="0.25">
      <c r="N211" s="95"/>
    </row>
    <row r="212" spans="14:25" ht="15" x14ac:dyDescent="0.25">
      <c r="N212" s="96" t="s">
        <v>52</v>
      </c>
      <c r="O212" t="s">
        <v>44</v>
      </c>
      <c r="P212">
        <v>0</v>
      </c>
      <c r="Q212">
        <v>0</v>
      </c>
      <c r="R212">
        <v>75</v>
      </c>
      <c r="S212">
        <v>25</v>
      </c>
      <c r="T212">
        <v>49.5</v>
      </c>
      <c r="U212">
        <v>31</v>
      </c>
      <c r="V212">
        <v>0</v>
      </c>
      <c r="W212">
        <v>0</v>
      </c>
      <c r="X212">
        <v>2.5</v>
      </c>
      <c r="Y212">
        <v>38</v>
      </c>
    </row>
    <row r="213" spans="14:25" x14ac:dyDescent="0.25">
      <c r="N213" s="95"/>
    </row>
    <row r="214" spans="14:25" ht="15" x14ac:dyDescent="0.25">
      <c r="N214" s="96" t="s">
        <v>101</v>
      </c>
      <c r="O214" t="s">
        <v>44</v>
      </c>
      <c r="P214">
        <v>0</v>
      </c>
      <c r="Q214">
        <v>0</v>
      </c>
      <c r="R214">
        <v>38.6</v>
      </c>
      <c r="S214">
        <v>31</v>
      </c>
      <c r="T214">
        <v>22.4</v>
      </c>
      <c r="U214">
        <v>36</v>
      </c>
      <c r="V214">
        <v>15</v>
      </c>
      <c r="W214">
        <v>33</v>
      </c>
      <c r="X214">
        <v>65.8</v>
      </c>
      <c r="Y214">
        <v>26</v>
      </c>
    </row>
    <row r="215" spans="14:25" x14ac:dyDescent="0.25">
      <c r="N215" s="95"/>
    </row>
    <row r="216" spans="14:25" ht="15" x14ac:dyDescent="0.25">
      <c r="N216" s="96" t="s">
        <v>96</v>
      </c>
      <c r="O216" t="s">
        <v>44</v>
      </c>
      <c r="P216">
        <v>0</v>
      </c>
      <c r="Q216">
        <v>0</v>
      </c>
      <c r="R216">
        <v>21.5</v>
      </c>
      <c r="S216">
        <v>33</v>
      </c>
      <c r="T216">
        <v>25.8</v>
      </c>
      <c r="U216">
        <v>34</v>
      </c>
      <c r="V216">
        <v>11</v>
      </c>
      <c r="W216">
        <v>34</v>
      </c>
      <c r="X216">
        <v>19.3</v>
      </c>
      <c r="Y216">
        <v>31</v>
      </c>
    </row>
    <row r="217" spans="14:25" x14ac:dyDescent="0.25">
      <c r="N217" s="95"/>
    </row>
    <row r="218" spans="14:25" ht="15" x14ac:dyDescent="0.25">
      <c r="N218" s="96" t="s">
        <v>97</v>
      </c>
      <c r="O218" t="s">
        <v>44</v>
      </c>
      <c r="P218">
        <v>0</v>
      </c>
      <c r="Q218">
        <v>0</v>
      </c>
      <c r="R218">
        <v>0</v>
      </c>
      <c r="S218">
        <v>0</v>
      </c>
      <c r="T218">
        <v>297</v>
      </c>
      <c r="U218">
        <v>15</v>
      </c>
      <c r="V218">
        <v>130.1</v>
      </c>
      <c r="W218">
        <v>19</v>
      </c>
      <c r="X218">
        <v>15.4</v>
      </c>
      <c r="Y218">
        <v>34</v>
      </c>
    </row>
    <row r="219" spans="14:25" x14ac:dyDescent="0.25">
      <c r="N219" s="95"/>
    </row>
    <row r="220" spans="14:25" ht="15" x14ac:dyDescent="0.25">
      <c r="N220" s="96" t="s">
        <v>49</v>
      </c>
      <c r="O220" t="s">
        <v>44</v>
      </c>
      <c r="P220">
        <v>0</v>
      </c>
      <c r="Q220">
        <v>0</v>
      </c>
      <c r="R220">
        <v>0</v>
      </c>
      <c r="S220">
        <v>0</v>
      </c>
      <c r="T220">
        <v>34.799999999999997</v>
      </c>
      <c r="U220">
        <v>32</v>
      </c>
      <c r="V220">
        <v>0</v>
      </c>
      <c r="W220">
        <v>0</v>
      </c>
      <c r="X220">
        <v>194.2</v>
      </c>
      <c r="Y220">
        <v>18</v>
      </c>
    </row>
    <row r="221" spans="14:25" x14ac:dyDescent="0.25">
      <c r="N221" s="95"/>
    </row>
    <row r="222" spans="14:25" ht="15" x14ac:dyDescent="0.25">
      <c r="N222" s="96" t="s">
        <v>141</v>
      </c>
      <c r="O222" t="s">
        <v>44</v>
      </c>
      <c r="P222">
        <v>0</v>
      </c>
      <c r="Q222">
        <v>0</v>
      </c>
      <c r="R222">
        <v>0</v>
      </c>
      <c r="S222">
        <v>0</v>
      </c>
      <c r="T222">
        <v>17.100000000000001</v>
      </c>
      <c r="U222">
        <v>37</v>
      </c>
      <c r="V222">
        <v>27.4</v>
      </c>
      <c r="W222">
        <v>29</v>
      </c>
      <c r="X222">
        <v>0</v>
      </c>
      <c r="Y222">
        <v>0</v>
      </c>
    </row>
    <row r="223" spans="14:25" x14ac:dyDescent="0.25">
      <c r="N223" s="95"/>
    </row>
    <row r="224" spans="14:25" ht="15" x14ac:dyDescent="0.25">
      <c r="N224" s="96" t="s">
        <v>92</v>
      </c>
      <c r="O224" t="s">
        <v>44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37.5</v>
      </c>
      <c r="Y224">
        <v>29</v>
      </c>
    </row>
    <row r="225" spans="14:25" x14ac:dyDescent="0.25">
      <c r="N225" s="95"/>
    </row>
    <row r="226" spans="14:25" ht="15" x14ac:dyDescent="0.25">
      <c r="N226" s="96" t="s">
        <v>84</v>
      </c>
      <c r="O226" t="s">
        <v>44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10.9</v>
      </c>
      <c r="Y226">
        <v>35</v>
      </c>
    </row>
    <row r="227" spans="14:25" x14ac:dyDescent="0.25">
      <c r="N227" s="95"/>
    </row>
    <row r="228" spans="14:25" ht="15" x14ac:dyDescent="0.25">
      <c r="N228" s="96" t="s">
        <v>98</v>
      </c>
      <c r="O228" t="s">
        <v>187</v>
      </c>
      <c r="P228" t="s">
        <v>95</v>
      </c>
      <c r="Q228" t="s">
        <v>188</v>
      </c>
      <c r="R228" t="s">
        <v>98</v>
      </c>
      <c r="S228" t="s">
        <v>152</v>
      </c>
      <c r="T228" t="s">
        <v>151</v>
      </c>
      <c r="U228" t="s">
        <v>128</v>
      </c>
      <c r="V228" t="s">
        <v>95</v>
      </c>
      <c r="W228" t="s">
        <v>188</v>
      </c>
      <c r="X228" t="s">
        <v>98</v>
      </c>
      <c r="Y228" t="s">
        <v>128</v>
      </c>
    </row>
    <row r="229" spans="14:25" ht="15" x14ac:dyDescent="0.25">
      <c r="N229" s="96" t="s">
        <v>193</v>
      </c>
      <c r="O229" t="s">
        <v>44</v>
      </c>
      <c r="P229">
        <v>36739.300000000003</v>
      </c>
      <c r="R229">
        <v>39993.1</v>
      </c>
      <c r="T229">
        <v>39642.199999999997</v>
      </c>
      <c r="V229">
        <v>33853.599999999999</v>
      </c>
      <c r="X229">
        <v>30449.5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U66"/>
  <sheetViews>
    <sheetView workbookViewId="0"/>
  </sheetViews>
  <sheetFormatPr defaultRowHeight="13.2" x14ac:dyDescent="0.25"/>
  <cols>
    <col min="3" max="3" width="11.109375" customWidth="1"/>
    <col min="4" max="4" width="12" customWidth="1"/>
    <col min="5" max="5" width="13.33203125" customWidth="1"/>
    <col min="6" max="6" width="11.109375" customWidth="1"/>
    <col min="7" max="7" width="12.88671875" customWidth="1"/>
    <col min="8" max="8" width="11.109375" customWidth="1"/>
    <col min="9" max="9" width="11.44140625" customWidth="1"/>
    <col min="10" max="10" width="11.44140625" bestFit="1" customWidth="1"/>
    <col min="11" max="11" width="14.33203125" customWidth="1"/>
    <col min="12" max="12" width="11.44140625" bestFit="1" customWidth="1"/>
    <col min="13" max="13" width="14.109375" customWidth="1"/>
    <col min="14" max="14" width="11.44140625" bestFit="1" customWidth="1"/>
    <col min="15" max="15" width="12.109375" customWidth="1"/>
    <col min="20" max="20" width="11.88671875" customWidth="1"/>
  </cols>
  <sheetData>
    <row r="10" spans="3:21" x14ac:dyDescent="0.25">
      <c r="D10" s="3" t="s">
        <v>270</v>
      </c>
      <c r="E10" s="3"/>
      <c r="F10" s="3"/>
      <c r="H10" s="3"/>
      <c r="J10" s="3" t="s">
        <v>269</v>
      </c>
    </row>
    <row r="11" spans="3:21" x14ac:dyDescent="0.25">
      <c r="C11" s="218" t="s">
        <v>255</v>
      </c>
      <c r="D11" s="209"/>
      <c r="E11" s="219" t="s">
        <v>252</v>
      </c>
      <c r="F11" s="220"/>
      <c r="G11" s="221"/>
      <c r="H11" s="221"/>
      <c r="I11" s="222"/>
      <c r="J11" s="223" t="s">
        <v>256</v>
      </c>
      <c r="K11" s="223"/>
      <c r="L11" s="223"/>
      <c r="M11" s="223"/>
      <c r="N11" s="223"/>
      <c r="O11" s="223"/>
      <c r="P11" s="224" t="s">
        <v>257</v>
      </c>
      <c r="Q11" s="224"/>
      <c r="R11" s="224"/>
      <c r="S11" s="224"/>
      <c r="T11" s="224"/>
      <c r="U11" s="224"/>
    </row>
    <row r="12" spans="3:21" ht="49.95" customHeight="1" x14ac:dyDescent="0.25">
      <c r="C12" s="138" t="s">
        <v>258</v>
      </c>
      <c r="D12" s="139" t="s">
        <v>259</v>
      </c>
      <c r="E12" s="149" t="s">
        <v>271</v>
      </c>
      <c r="F12" s="149" t="s">
        <v>272</v>
      </c>
      <c r="G12" s="149" t="s">
        <v>273</v>
      </c>
      <c r="H12" s="150" t="s">
        <v>107</v>
      </c>
      <c r="I12" s="150" t="s">
        <v>260</v>
      </c>
      <c r="J12" s="140" t="s">
        <v>261</v>
      </c>
      <c r="K12" s="140" t="s">
        <v>262</v>
      </c>
      <c r="L12" s="140" t="s">
        <v>263</v>
      </c>
      <c r="M12" s="140" t="s">
        <v>264</v>
      </c>
      <c r="N12" s="140" t="s">
        <v>265</v>
      </c>
      <c r="O12" s="140" t="s">
        <v>264</v>
      </c>
      <c r="P12" s="141" t="s">
        <v>261</v>
      </c>
      <c r="Q12" s="141" t="s">
        <v>262</v>
      </c>
      <c r="R12" s="141" t="s">
        <v>263</v>
      </c>
      <c r="S12" s="141" t="s">
        <v>264</v>
      </c>
      <c r="T12" s="151" t="s">
        <v>274</v>
      </c>
      <c r="U12" s="141" t="s">
        <v>264</v>
      </c>
    </row>
    <row r="13" spans="3:21" x14ac:dyDescent="0.25">
      <c r="C13">
        <v>52</v>
      </c>
      <c r="D13" s="146">
        <f>+[1]Total!A360</f>
        <v>41158</v>
      </c>
      <c r="E13" s="152">
        <f>+G13</f>
        <v>20724.7</v>
      </c>
      <c r="F13" s="152">
        <f>+H13</f>
        <v>339.4</v>
      </c>
      <c r="G13" s="2">
        <f>+US!F331</f>
        <v>20724.7</v>
      </c>
      <c r="H13" s="2">
        <f>+US!D331</f>
        <v>339.4</v>
      </c>
      <c r="I13" s="2">
        <f t="shared" ref="I13:I27" si="0">+G13-H13</f>
        <v>20385.3</v>
      </c>
      <c r="J13" s="143">
        <f>SUM('[2]River Analysis'!$G$6:$G6)</f>
        <v>10999</v>
      </c>
      <c r="K13" s="143">
        <f>SUM('[2]River Analysis'!P$6:$P6)</f>
        <v>7645.666666666667</v>
      </c>
      <c r="L13" s="143">
        <f>SUM('[2]River Analysis'!$D$6:$D6)</f>
        <v>463</v>
      </c>
      <c r="M13" s="143">
        <f>SUM('[2]River Analysis'!$M$6:$M6)</f>
        <v>2413</v>
      </c>
      <c r="N13" s="143">
        <f>SUM('[2]River Analysis'!$J$6:$J6)</f>
        <v>12968</v>
      </c>
      <c r="O13" s="143">
        <f>SUM('[2]River Analysis'!$S$6:$S6)</f>
        <v>12510</v>
      </c>
      <c r="P13" s="143">
        <f t="shared" ref="P13:P27" si="1">+J13/36.7</f>
        <v>299.70027247956403</v>
      </c>
      <c r="Q13" s="143">
        <f t="shared" ref="Q13:Q27" si="2">+K13/36.7</f>
        <v>208.32879200726612</v>
      </c>
      <c r="R13" s="143">
        <f t="shared" ref="R13:R27" si="3">+L13/36.7</f>
        <v>12.615803814713896</v>
      </c>
      <c r="S13" s="143">
        <f t="shared" ref="S13:S27" si="4">+M13/36.7</f>
        <v>65.749318801089913</v>
      </c>
      <c r="T13" s="143">
        <f>SUM('[2]River Analysis'!$AB$6:$AB6)</f>
        <v>353.35149863760216</v>
      </c>
      <c r="U13" s="143">
        <f>SUM('[2]River Analysis'!$AJ$6:$AJ6)</f>
        <v>962.76505513146731</v>
      </c>
    </row>
    <row r="14" spans="3:21" x14ac:dyDescent="0.25">
      <c r="C14">
        <v>51</v>
      </c>
      <c r="D14" s="146">
        <f>+[1]Total!A361</f>
        <v>41165</v>
      </c>
      <c r="E14" s="153">
        <f>+E13+E$66</f>
        <v>20318.333333333336</v>
      </c>
      <c r="F14" s="153">
        <f>+F13+F$66</f>
        <v>332.74509803921569</v>
      </c>
      <c r="G14" s="2">
        <f>+US!F332</f>
        <v>21437</v>
      </c>
      <c r="H14" s="2">
        <f>+US!D332</f>
        <v>612</v>
      </c>
      <c r="I14" s="2">
        <f t="shared" si="0"/>
        <v>20825</v>
      </c>
      <c r="J14" s="143">
        <f>SUM('[2]River Analysis'!$G$6:$G7)</f>
        <v>19898</v>
      </c>
      <c r="K14" s="143">
        <f>SUM('[2]River Analysis'!P$6:$P7)</f>
        <v>13596.666666666668</v>
      </c>
      <c r="L14" s="143">
        <f>SUM('[2]River Analysis'!$D$6:$D7)</f>
        <v>472</v>
      </c>
      <c r="M14" s="143">
        <f>SUM('[2]River Analysis'!$M$6:$M7)</f>
        <v>4926.3333333333339</v>
      </c>
      <c r="N14" s="143">
        <f>SUM('[2]River Analysis'!$J$6:$J7)</f>
        <v>23001</v>
      </c>
      <c r="O14" s="143">
        <f>SUM('[2]River Analysis'!$S$6:$S7)</f>
        <v>22310.666666666664</v>
      </c>
      <c r="P14" s="143">
        <f t="shared" si="1"/>
        <v>542.17983651226155</v>
      </c>
      <c r="Q14" s="143">
        <f t="shared" si="2"/>
        <v>370.48138056312445</v>
      </c>
      <c r="R14" s="143">
        <f t="shared" si="3"/>
        <v>12.861035422343324</v>
      </c>
      <c r="S14" s="143">
        <f t="shared" si="4"/>
        <v>134.23251589464124</v>
      </c>
      <c r="T14" s="143">
        <f>SUM('[2]River Analysis'!$AB$6:$AB7)</f>
        <v>626.73024523160757</v>
      </c>
      <c r="U14" s="143">
        <f>SUM('[2]River Analysis'!$AJ$6:$AJ7)</f>
        <v>1852.1882951653945</v>
      </c>
    </row>
    <row r="15" spans="3:21" x14ac:dyDescent="0.25">
      <c r="C15">
        <v>50</v>
      </c>
      <c r="D15" s="146">
        <f>+[1]Total!A362</f>
        <v>41172</v>
      </c>
      <c r="E15" s="153">
        <f t="shared" ref="E15:E64" si="5">+E14+E$66</f>
        <v>19911.966666666671</v>
      </c>
      <c r="F15" s="153">
        <f t="shared" ref="F15:F64" si="6">+F14+F$66</f>
        <v>326.0901960784314</v>
      </c>
      <c r="G15" s="2">
        <f>+US!F333</f>
        <v>22236.5</v>
      </c>
      <c r="H15" s="2">
        <f>+US!D333</f>
        <v>940.9</v>
      </c>
      <c r="I15" s="2">
        <f t="shared" si="0"/>
        <v>21295.599999999999</v>
      </c>
      <c r="J15" s="143">
        <f>SUM('[2]River Analysis'!$G$6:$G8)</f>
        <v>30872</v>
      </c>
      <c r="K15" s="143">
        <f>SUM('[2]River Analysis'!P$6:$P8)</f>
        <v>20183</v>
      </c>
      <c r="L15" s="143">
        <f>SUM('[2]River Analysis'!$D$6:$D8)</f>
        <v>472</v>
      </c>
      <c r="M15" s="143">
        <f>SUM('[2]River Analysis'!$M$6:$M8)</f>
        <v>4926.3333333333339</v>
      </c>
      <c r="N15" s="143">
        <f>SUM('[2]River Analysis'!$J$6:$J8)</f>
        <v>35551</v>
      </c>
      <c r="O15" s="143">
        <f>SUM('[2]River Analysis'!$S$6:$S8)</f>
        <v>30572.666666666664</v>
      </c>
      <c r="P15" s="143">
        <f t="shared" si="1"/>
        <v>841.19891008174375</v>
      </c>
      <c r="Q15" s="143">
        <f t="shared" si="2"/>
        <v>549.9455040871934</v>
      </c>
      <c r="R15" s="143">
        <f t="shared" si="3"/>
        <v>12.861035422343324</v>
      </c>
      <c r="S15" s="143">
        <f t="shared" si="4"/>
        <v>134.23251589464124</v>
      </c>
      <c r="T15" s="143">
        <f>SUM('[2]River Analysis'!$AB$6:$AB8)</f>
        <v>968.69209809264294</v>
      </c>
      <c r="U15" s="143">
        <f>SUM('[2]River Analysis'!$AJ$6:$AJ8)</f>
        <v>2711.4843087362174</v>
      </c>
    </row>
    <row r="16" spans="3:21" x14ac:dyDescent="0.25">
      <c r="C16">
        <v>49</v>
      </c>
      <c r="D16" s="146">
        <f>+[1]Total!A363</f>
        <v>41179</v>
      </c>
      <c r="E16" s="153">
        <f t="shared" si="5"/>
        <v>19505.600000000006</v>
      </c>
      <c r="F16" s="153">
        <f t="shared" si="6"/>
        <v>319.43529411764712</v>
      </c>
      <c r="G16" s="2">
        <f>+US!F334</f>
        <v>23467.899999999998</v>
      </c>
      <c r="H16" s="2">
        <f>+US!D334</f>
        <v>2052.6</v>
      </c>
      <c r="I16" s="2">
        <f t="shared" si="0"/>
        <v>21415.3</v>
      </c>
      <c r="J16" s="143">
        <f>SUM('[2]River Analysis'!$G$6:$G9)</f>
        <v>55413</v>
      </c>
      <c r="K16" s="143">
        <f>SUM('[2]River Analysis'!P$6:$P9)</f>
        <v>30712.333333333336</v>
      </c>
      <c r="L16" s="143">
        <f>SUM('[2]River Analysis'!$D$6:$D9)</f>
        <v>12024</v>
      </c>
      <c r="M16" s="143">
        <f>SUM('[2]River Analysis'!$M$6:$M9)</f>
        <v>5763.666666666667</v>
      </c>
      <c r="N16" s="143">
        <f>SUM('[2]River Analysis'!$J$6:$J9)</f>
        <v>77415</v>
      </c>
      <c r="O16" s="143">
        <f>SUM('[2]River Analysis'!$S$6:$S9)</f>
        <v>42867</v>
      </c>
      <c r="P16" s="143">
        <f t="shared" si="1"/>
        <v>1509.8910081743868</v>
      </c>
      <c r="Q16" s="143">
        <f t="shared" si="2"/>
        <v>836.84831970935511</v>
      </c>
      <c r="R16" s="143">
        <f t="shared" si="3"/>
        <v>327.62942779291552</v>
      </c>
      <c r="S16" s="143">
        <f t="shared" si="4"/>
        <v>157.04813805631244</v>
      </c>
      <c r="T16" s="143">
        <f>SUM('[2]River Analysis'!$AB$6:$AB9)</f>
        <v>2109.4005449591277</v>
      </c>
      <c r="U16" s="143">
        <f>SUM('[2]River Analysis'!$AJ$6:$AJ9)</f>
        <v>3607.8117048346057</v>
      </c>
    </row>
    <row r="17" spans="3:21" x14ac:dyDescent="0.25">
      <c r="C17">
        <v>48</v>
      </c>
      <c r="D17" s="146">
        <f>+[1]Total!A364</f>
        <v>41186</v>
      </c>
      <c r="E17" s="153">
        <f t="shared" si="5"/>
        <v>19099.233333333341</v>
      </c>
      <c r="F17" s="153">
        <f t="shared" si="6"/>
        <v>312.78039215686283</v>
      </c>
      <c r="G17" s="2">
        <f>+US!F335</f>
        <v>23968.5</v>
      </c>
      <c r="H17" s="2">
        <f>+US!D335</f>
        <v>3231.6</v>
      </c>
      <c r="I17" s="2">
        <f t="shared" si="0"/>
        <v>20736.900000000001</v>
      </c>
      <c r="J17" s="143">
        <f>SUM('[2]River Analysis'!$G$6:$G10)</f>
        <v>75762</v>
      </c>
      <c r="K17" s="143">
        <f>SUM('[2]River Analysis'!P$6:$P10)</f>
        <v>43113</v>
      </c>
      <c r="L17" s="143">
        <f>SUM('[2]River Analysis'!$D$6:$D10)</f>
        <v>28978</v>
      </c>
      <c r="M17" s="143">
        <f>SUM('[2]River Analysis'!$M$6:$M10)</f>
        <v>6525.666666666667</v>
      </c>
      <c r="N17" s="143">
        <f>SUM('[2]River Analysis'!$J$6:$J10)</f>
        <v>123160</v>
      </c>
      <c r="O17" s="143">
        <f>SUM('[2]River Analysis'!$S$6:$S10)</f>
        <v>59254.333333333328</v>
      </c>
      <c r="P17" s="143">
        <f t="shared" si="1"/>
        <v>2064.3596730245231</v>
      </c>
      <c r="Q17" s="143">
        <f t="shared" si="2"/>
        <v>1174.741144414169</v>
      </c>
      <c r="R17" s="143">
        <f t="shared" si="3"/>
        <v>789.59128065395089</v>
      </c>
      <c r="S17" s="143">
        <f t="shared" si="4"/>
        <v>177.811080835604</v>
      </c>
      <c r="T17" s="143">
        <f>SUM('[2]River Analysis'!$AB$6:$AB10)</f>
        <v>3355.8583106267024</v>
      </c>
      <c r="U17" s="143">
        <f>SUM('[2]River Analysis'!$AJ$6:$AJ10)</f>
        <v>4569.7540288379987</v>
      </c>
    </row>
    <row r="18" spans="3:21" x14ac:dyDescent="0.25">
      <c r="C18">
        <v>47</v>
      </c>
      <c r="D18" s="146">
        <f>+[1]Total!A365</f>
        <v>41193</v>
      </c>
      <c r="E18" s="153">
        <f t="shared" si="5"/>
        <v>18692.866666666676</v>
      </c>
      <c r="F18" s="153">
        <f t="shared" si="6"/>
        <v>306.12549019607854</v>
      </c>
      <c r="G18" s="2">
        <f>+US!F336</f>
        <v>24491.800000000003</v>
      </c>
      <c r="H18" s="2">
        <f>+US!D336</f>
        <v>4701.3999999999996</v>
      </c>
      <c r="I18" s="2">
        <f t="shared" si="0"/>
        <v>19790.400000000001</v>
      </c>
      <c r="J18" s="143">
        <f>SUM('[2]River Analysis'!$G$6:$G11)</f>
        <v>100605</v>
      </c>
      <c r="K18" s="143">
        <f>SUM('[2]River Analysis'!P$6:$P11)</f>
        <v>58186.666666666664</v>
      </c>
      <c r="L18" s="143">
        <f>SUM('[2]River Analysis'!$D$6:$D11)</f>
        <v>49830</v>
      </c>
      <c r="M18" s="143">
        <f>SUM('[2]River Analysis'!$M$6:$M11)</f>
        <v>15602</v>
      </c>
      <c r="N18" s="143">
        <f>SUM('[2]River Analysis'!$J$6:$J11)</f>
        <v>181231</v>
      </c>
      <c r="O18" s="143">
        <f>SUM('[2]River Analysis'!$S$6:$S11)</f>
        <v>91977.666666666657</v>
      </c>
      <c r="P18" s="143">
        <f t="shared" si="1"/>
        <v>2741.2806539509534</v>
      </c>
      <c r="Q18" s="143">
        <f t="shared" si="2"/>
        <v>1585.4677565849227</v>
      </c>
      <c r="R18" s="143">
        <f t="shared" si="3"/>
        <v>1357.7656675749317</v>
      </c>
      <c r="S18" s="143">
        <f t="shared" si="4"/>
        <v>425.12261580381465</v>
      </c>
      <c r="T18" s="143">
        <f>SUM('[2]River Analysis'!$AB$6:$AB11)</f>
        <v>4938.1743869209804</v>
      </c>
      <c r="U18" s="143">
        <f>SUM('[2]River Analysis'!$AJ$6:$AJ11)</f>
        <v>5329.1009329940634</v>
      </c>
    </row>
    <row r="19" spans="3:21" x14ac:dyDescent="0.25">
      <c r="C19">
        <v>46</v>
      </c>
      <c r="D19" s="146">
        <f>+[1]Total!A366</f>
        <v>41200</v>
      </c>
      <c r="E19" s="153">
        <f t="shared" si="5"/>
        <v>18286.500000000011</v>
      </c>
      <c r="F19" s="153">
        <f t="shared" si="6"/>
        <v>299.47058823529426</v>
      </c>
      <c r="G19" s="2">
        <f>+US!F337</f>
        <v>25014.1</v>
      </c>
      <c r="H19" s="2">
        <f>+US!D337</f>
        <v>6343.1</v>
      </c>
      <c r="I19" s="2">
        <f t="shared" si="0"/>
        <v>18671</v>
      </c>
      <c r="J19" s="143">
        <f>SUM('[2]River Analysis'!$G$6:$G12)</f>
        <v>136998</v>
      </c>
      <c r="K19" s="143">
        <f>SUM('[2]River Analysis'!P$6:$P12)</f>
        <v>79110.666666666657</v>
      </c>
      <c r="L19" s="143">
        <f>SUM('[2]River Analysis'!$D$6:$D12)</f>
        <v>65213</v>
      </c>
      <c r="M19" s="143">
        <f>SUM('[2]River Analysis'!$M$6:$M12)</f>
        <v>34713.333333333328</v>
      </c>
      <c r="N19" s="143">
        <f>SUM('[2]River Analysis'!$J$6:$J12)</f>
        <v>244694</v>
      </c>
      <c r="O19" s="143">
        <f>SUM('[2]River Analysis'!$S$6:$S12)</f>
        <v>142052.66666666666</v>
      </c>
      <c r="P19" s="143">
        <f t="shared" si="1"/>
        <v>3732.9155313351494</v>
      </c>
      <c r="Q19" s="143">
        <f t="shared" si="2"/>
        <v>2155.6039963669386</v>
      </c>
      <c r="R19" s="143">
        <f t="shared" si="3"/>
        <v>1776.9209809264303</v>
      </c>
      <c r="S19" s="143">
        <f t="shared" si="4"/>
        <v>945.8673932788372</v>
      </c>
      <c r="T19" s="143">
        <f>SUM('[2]River Analysis'!$AB$6:$AB12)</f>
        <v>6667.4114441416887</v>
      </c>
      <c r="U19" s="143">
        <f>SUM('[2]River Analysis'!$AJ$6:$AJ12)</f>
        <v>6028.5326547921977</v>
      </c>
    </row>
    <row r="20" spans="3:21" x14ac:dyDescent="0.25">
      <c r="C20">
        <v>45</v>
      </c>
      <c r="D20" s="146">
        <f>+[1]Total!A367</f>
        <v>41207</v>
      </c>
      <c r="E20" s="153">
        <f t="shared" si="5"/>
        <v>17880.133333333346</v>
      </c>
      <c r="F20" s="153">
        <f t="shared" si="6"/>
        <v>292.81568627450997</v>
      </c>
      <c r="G20" s="2">
        <f>+US!F338</f>
        <v>25755.200000000001</v>
      </c>
      <c r="H20" s="2">
        <f>+US!D338</f>
        <v>8056.5</v>
      </c>
      <c r="I20" s="2">
        <f t="shared" si="0"/>
        <v>17698.7</v>
      </c>
      <c r="J20" s="143">
        <f>SUM('[2]River Analysis'!$G$6:$G13)</f>
        <v>172475</v>
      </c>
      <c r="K20" s="143">
        <f>SUM('[2]River Analysis'!P$6:$P13)</f>
        <v>101638.33333333333</v>
      </c>
      <c r="L20" s="143">
        <f>SUM('[2]River Analysis'!$D$6:$D13)</f>
        <v>81193</v>
      </c>
      <c r="M20" s="143">
        <f>SUM('[2]River Analysis'!$M$6:$M13)</f>
        <v>54528</v>
      </c>
      <c r="N20" s="143">
        <f>SUM('[2]River Analysis'!$J$6:$J13)</f>
        <v>308591</v>
      </c>
      <c r="O20" s="143">
        <f>SUM('[2]River Analysis'!$S$6:$S13)</f>
        <v>196920</v>
      </c>
      <c r="P20" s="143">
        <f t="shared" si="1"/>
        <v>4699.5912806539509</v>
      </c>
      <c r="Q20" s="143">
        <f t="shared" si="2"/>
        <v>2769.4368755676655</v>
      </c>
      <c r="R20" s="143">
        <f t="shared" si="3"/>
        <v>2212.3433242506812</v>
      </c>
      <c r="S20" s="143">
        <f t="shared" si="4"/>
        <v>1485.7765667574931</v>
      </c>
      <c r="T20" s="143">
        <f>SUM('[2]River Analysis'!$AB$6:$AB13)</f>
        <v>8408.4741144414165</v>
      </c>
      <c r="U20" s="143">
        <f>SUM('[2]River Analysis'!$AJ$6:$AJ13)</f>
        <v>6706.6327396098395</v>
      </c>
    </row>
    <row r="21" spans="3:21" x14ac:dyDescent="0.25">
      <c r="C21">
        <v>44</v>
      </c>
      <c r="D21" s="146">
        <f>+[1]Total!A368</f>
        <v>41214</v>
      </c>
      <c r="E21" s="153">
        <f t="shared" si="5"/>
        <v>17473.766666666681</v>
      </c>
      <c r="F21" s="153">
        <f t="shared" si="6"/>
        <v>286.16078431372569</v>
      </c>
      <c r="G21" s="2">
        <f>+US!F339</f>
        <v>25941.599999999999</v>
      </c>
      <c r="H21" s="2">
        <f>+US!D339</f>
        <v>9805.1</v>
      </c>
      <c r="I21" s="2">
        <f t="shared" si="0"/>
        <v>16136.499999999998</v>
      </c>
      <c r="J21" s="143">
        <f>SUM('[2]River Analysis'!$G$6:$G14)</f>
        <v>210984</v>
      </c>
      <c r="K21" s="143">
        <f>SUM('[2]River Analysis'!P$6:$P14)</f>
        <v>131756</v>
      </c>
      <c r="L21" s="143">
        <f>SUM('[2]River Analysis'!$D$6:$D14)</f>
        <v>92810</v>
      </c>
      <c r="M21" s="143">
        <f>SUM('[2]River Analysis'!$M$6:$M14)</f>
        <v>74385.333333333328</v>
      </c>
      <c r="N21" s="143">
        <f>SUM('[2]River Analysis'!$J$6:$J14)</f>
        <v>366398</v>
      </c>
      <c r="O21" s="143">
        <f>SUM('[2]River Analysis'!$S$6:$S14)</f>
        <v>259286.66666666666</v>
      </c>
      <c r="P21" s="143">
        <f t="shared" si="1"/>
        <v>5748.8828337874656</v>
      </c>
      <c r="Q21" s="143">
        <f t="shared" si="2"/>
        <v>3590.0817438692097</v>
      </c>
      <c r="R21" s="143">
        <f t="shared" si="3"/>
        <v>2528.8828337874656</v>
      </c>
      <c r="S21" s="143">
        <f t="shared" si="4"/>
        <v>2026.8483197093549</v>
      </c>
      <c r="T21" s="143">
        <f>SUM('[2]River Analysis'!$AB$6:$AB14)</f>
        <v>9983.5967302452318</v>
      </c>
      <c r="U21" s="143">
        <f>SUM('[2]River Analysis'!$AJ$6:$AJ14)</f>
        <v>7449.9236641221378</v>
      </c>
    </row>
    <row r="22" spans="3:21" x14ac:dyDescent="0.25">
      <c r="C22">
        <v>43</v>
      </c>
      <c r="D22" s="146">
        <f>+[1]Total!A369</f>
        <v>41221</v>
      </c>
      <c r="E22" s="153">
        <f t="shared" si="5"/>
        <v>17067.400000000016</v>
      </c>
      <c r="F22" s="153">
        <f t="shared" si="6"/>
        <v>279.5058823529414</v>
      </c>
      <c r="G22" s="2">
        <f>+US!F340</f>
        <v>26501.3</v>
      </c>
      <c r="H22" s="2">
        <f>+US!D340</f>
        <v>11619.5</v>
      </c>
      <c r="I22" s="2">
        <f t="shared" si="0"/>
        <v>14881.8</v>
      </c>
      <c r="J22" s="143">
        <f>SUM('[2]River Analysis'!$G$6:$G15)</f>
        <v>249206</v>
      </c>
      <c r="K22" s="143">
        <f>SUM('[2]River Analysis'!P$6:$P15)</f>
        <v>161470.66666666666</v>
      </c>
      <c r="L22" s="143">
        <f>SUM('[2]River Analysis'!$D$6:$D15)</f>
        <v>109092</v>
      </c>
      <c r="M22" s="143">
        <f>SUM('[2]River Analysis'!$M$6:$M15)</f>
        <v>90190.666666666657</v>
      </c>
      <c r="N22" s="143">
        <f>SUM('[2]River Analysis'!$J$6:$J15)</f>
        <v>428882</v>
      </c>
      <c r="O22" s="143">
        <f>SUM('[2]River Analysis'!$S$6:$S15)</f>
        <v>316743.66666666663</v>
      </c>
      <c r="P22" s="143">
        <f t="shared" si="1"/>
        <v>6790.3542234332417</v>
      </c>
      <c r="Q22" s="143">
        <f t="shared" si="2"/>
        <v>4399.7456857402358</v>
      </c>
      <c r="R22" s="143">
        <f t="shared" si="3"/>
        <v>2972.5340599455039</v>
      </c>
      <c r="S22" s="143">
        <f t="shared" si="4"/>
        <v>2457.5113533151675</v>
      </c>
      <c r="T22" s="143">
        <f>SUM('[2]River Analysis'!$AB$6:$AB15)</f>
        <v>11686.158038147139</v>
      </c>
      <c r="U22" s="143">
        <f>SUM('[2]River Analysis'!$AJ$6:$AJ15)</f>
        <v>8162.6972010178124</v>
      </c>
    </row>
    <row r="23" spans="3:21" x14ac:dyDescent="0.25">
      <c r="C23">
        <v>42</v>
      </c>
      <c r="D23" s="146">
        <f>+[1]Total!A370</f>
        <v>41228</v>
      </c>
      <c r="E23" s="153">
        <f t="shared" si="5"/>
        <v>16661.033333333351</v>
      </c>
      <c r="F23" s="153">
        <f t="shared" si="6"/>
        <v>272.85098039215711</v>
      </c>
      <c r="G23" s="2">
        <f>+US!F341</f>
        <v>27044.9</v>
      </c>
      <c r="H23" s="2">
        <f>+US!D341</f>
        <v>13595.9</v>
      </c>
      <c r="I23" s="2">
        <f t="shared" si="0"/>
        <v>13449.000000000002</v>
      </c>
      <c r="J23" s="143">
        <f>SUM('[2]River Analysis'!$G$6:$G16)</f>
        <v>289033</v>
      </c>
      <c r="K23" s="143">
        <f>SUM('[2]River Analysis'!P$6:$P16)</f>
        <v>198715</v>
      </c>
      <c r="L23" s="143">
        <f>SUM('[2]River Analysis'!$D$6:$D16)</f>
        <v>123121</v>
      </c>
      <c r="M23" s="143">
        <f>SUM('[2]River Analysis'!$M$6:$M16)</f>
        <v>104235.99999999999</v>
      </c>
      <c r="N23" s="143">
        <f>SUM('[2]River Analysis'!$J$6:$J16)</f>
        <v>493654</v>
      </c>
      <c r="O23" s="143">
        <f>SUM('[2]River Analysis'!$S$6:$S16)</f>
        <v>381198.66666666663</v>
      </c>
      <c r="P23" s="143">
        <f t="shared" si="1"/>
        <v>7875.5585831062663</v>
      </c>
      <c r="Q23" s="143">
        <f t="shared" si="2"/>
        <v>5414.5776566757486</v>
      </c>
      <c r="R23" s="143">
        <f t="shared" si="3"/>
        <v>3354.795640326975</v>
      </c>
      <c r="S23" s="143">
        <f t="shared" si="4"/>
        <v>2840.2179836512255</v>
      </c>
      <c r="T23" s="143">
        <f>SUM('[2]River Analysis'!$AB$6:$AB16)</f>
        <v>13451.062670299729</v>
      </c>
      <c r="U23" s="143">
        <f>SUM('[2]River Analysis'!$AJ$6:$AJ16)</f>
        <v>8938.371501272266</v>
      </c>
    </row>
    <row r="24" spans="3:21" x14ac:dyDescent="0.25">
      <c r="C24">
        <v>41</v>
      </c>
      <c r="D24" s="146">
        <f>+[1]Total!A371</f>
        <v>41235</v>
      </c>
      <c r="E24" s="153">
        <f t="shared" si="5"/>
        <v>16254.666666666684</v>
      </c>
      <c r="F24" s="153">
        <f t="shared" si="6"/>
        <v>266.19607843137283</v>
      </c>
      <c r="G24" s="2">
        <f>+US!F342</f>
        <v>27360</v>
      </c>
      <c r="H24" s="2">
        <f>+US!D342</f>
        <v>14945.9</v>
      </c>
      <c r="I24" s="2">
        <f t="shared" si="0"/>
        <v>12414.1</v>
      </c>
      <c r="J24" s="143">
        <f>SUM('[2]River Analysis'!$G$6:$G17)</f>
        <v>321711</v>
      </c>
      <c r="K24" s="143">
        <f>SUM('[2]River Analysis'!P$6:$P17)</f>
        <v>233162</v>
      </c>
      <c r="L24" s="143">
        <f>SUM('[2]River Analysis'!$D$6:$D17)</f>
        <v>132851</v>
      </c>
      <c r="M24" s="143">
        <f>SUM('[2]River Analysis'!$M$6:$M17)</f>
        <v>116206.66666666666</v>
      </c>
      <c r="N24" s="143">
        <f>SUM('[2]River Analysis'!$J$6:$J17)</f>
        <v>540334</v>
      </c>
      <c r="O24" s="143">
        <f>SUM('[2]River Analysis'!$S$6:$S17)</f>
        <v>440327.33333333331</v>
      </c>
      <c r="P24" s="143">
        <f t="shared" si="1"/>
        <v>8765.9673024523163</v>
      </c>
      <c r="Q24" s="143">
        <f t="shared" si="2"/>
        <v>6353.1880108991818</v>
      </c>
      <c r="R24" s="143">
        <f t="shared" si="3"/>
        <v>3619.9182561307898</v>
      </c>
      <c r="S24" s="143">
        <f t="shared" si="4"/>
        <v>3166.3941871026336</v>
      </c>
      <c r="T24" s="143">
        <f>SUM('[2]River Analysis'!$AB$6:$AB17)</f>
        <v>14722.997275204361</v>
      </c>
      <c r="U24" s="143">
        <f>SUM('[2]River Analysis'!$AJ$6:$AJ17)</f>
        <v>9748.6005089058544</v>
      </c>
    </row>
    <row r="25" spans="3:21" x14ac:dyDescent="0.25">
      <c r="C25">
        <v>40</v>
      </c>
      <c r="D25" s="146">
        <f>+[1]Total!A372</f>
        <v>41242</v>
      </c>
      <c r="E25" s="153">
        <f t="shared" si="5"/>
        <v>15848.300000000017</v>
      </c>
      <c r="F25" s="153">
        <f t="shared" si="6"/>
        <v>259.54117647058854</v>
      </c>
      <c r="G25" s="2">
        <f>+US!F343</f>
        <v>28404.2</v>
      </c>
      <c r="H25" s="2">
        <f>+US!D343</f>
        <v>16400.2</v>
      </c>
      <c r="I25" s="2">
        <f t="shared" si="0"/>
        <v>12004</v>
      </c>
      <c r="J25" s="143">
        <f>SUM('[2]River Analysis'!$G$6:$G18)</f>
        <v>356146</v>
      </c>
      <c r="K25" s="143">
        <f>SUM('[2]River Analysis'!P$6:$P18)</f>
        <v>264122</v>
      </c>
      <c r="L25" s="143">
        <f>SUM('[2]River Analysis'!$D$6:$D18)</f>
        <v>142408</v>
      </c>
      <c r="M25" s="143">
        <f>SUM('[2]River Analysis'!$M$6:$M18)</f>
        <v>125538.99999999999</v>
      </c>
      <c r="N25" s="143">
        <f>SUM('[2]River Analysis'!$J$6:$J18)</f>
        <v>590436</v>
      </c>
      <c r="O25" s="143">
        <f>SUM('[2]River Analysis'!$S$6:$S18)</f>
        <v>490646.33333333331</v>
      </c>
      <c r="P25" s="143">
        <f t="shared" si="1"/>
        <v>9704.2506811989097</v>
      </c>
      <c r="Q25" s="143">
        <f t="shared" si="2"/>
        <v>7196.7847411444136</v>
      </c>
      <c r="R25" s="143">
        <f t="shared" si="3"/>
        <v>3880.3269754768389</v>
      </c>
      <c r="S25" s="143">
        <f t="shared" si="4"/>
        <v>3420.6811989100811</v>
      </c>
      <c r="T25" s="143">
        <f>SUM('[2]River Analysis'!$AB$6:$AB18)</f>
        <v>16088.174386920982</v>
      </c>
      <c r="U25" s="143">
        <f>SUM('[2]River Analysis'!$AJ$6:$AJ18)</f>
        <v>10582.714164546227</v>
      </c>
    </row>
    <row r="26" spans="3:21" x14ac:dyDescent="0.25">
      <c r="C26">
        <v>39</v>
      </c>
      <c r="D26" s="146">
        <f>+[1]Total!A373</f>
        <v>41249</v>
      </c>
      <c r="E26" s="153">
        <f t="shared" si="5"/>
        <v>15441.933333333351</v>
      </c>
      <c r="F26" s="153">
        <f t="shared" si="6"/>
        <v>252.88627450980422</v>
      </c>
      <c r="G26" s="2">
        <f>+US!F344</f>
        <v>29723.599999999999</v>
      </c>
      <c r="H26" s="2">
        <f>+US!D344</f>
        <v>17559.3</v>
      </c>
      <c r="I26" s="2">
        <f t="shared" si="0"/>
        <v>12164.3</v>
      </c>
      <c r="J26" s="143">
        <f>SUM('[2]River Analysis'!$G$6:$G19)</f>
        <v>385204</v>
      </c>
      <c r="K26" s="143">
        <f>SUM('[2]River Analysis'!P$6:$P19)</f>
        <v>289518</v>
      </c>
      <c r="L26" s="143">
        <f>SUM('[2]River Analysis'!$D$6:$D19)</f>
        <v>151826</v>
      </c>
      <c r="M26" s="143">
        <f>SUM('[2]River Analysis'!$M$6:$M19)</f>
        <v>138178.66666666666</v>
      </c>
      <c r="N26" s="143">
        <f>SUM('[2]River Analysis'!$J$6:$J19)</f>
        <v>637818</v>
      </c>
      <c r="O26" s="143">
        <f>SUM('[2]River Analysis'!$S$6:$S19)</f>
        <v>537754.33333333326</v>
      </c>
      <c r="P26" s="143">
        <f t="shared" si="1"/>
        <v>10496.021798365122</v>
      </c>
      <c r="Q26" s="143">
        <f t="shared" si="2"/>
        <v>7888.7738419618527</v>
      </c>
      <c r="R26" s="143">
        <f t="shared" si="3"/>
        <v>4136.9482288828331</v>
      </c>
      <c r="S26" s="143">
        <f t="shared" si="4"/>
        <v>3765.0862851952766</v>
      </c>
      <c r="T26" s="143">
        <f>SUM('[2]River Analysis'!$AB$6:$AB19)</f>
        <v>17379.237057220711</v>
      </c>
      <c r="U26" s="143">
        <f>SUM('[2]River Analysis'!$AJ$6:$AJ19)</f>
        <v>11391.721798134013</v>
      </c>
    </row>
    <row r="27" spans="3:21" x14ac:dyDescent="0.25">
      <c r="C27">
        <v>38</v>
      </c>
      <c r="D27" s="146">
        <f>+[1]Total!A374</f>
        <v>41256</v>
      </c>
      <c r="E27" s="153">
        <f t="shared" si="5"/>
        <v>15035.566666666684</v>
      </c>
      <c r="F27" s="153">
        <f t="shared" si="6"/>
        <v>246.23137254901991</v>
      </c>
      <c r="G27" s="2">
        <f>+US!F345</f>
        <v>30343.1</v>
      </c>
      <c r="H27" s="2">
        <f>+US!D345</f>
        <v>18908.099999999999</v>
      </c>
      <c r="I27" s="2">
        <f t="shared" si="0"/>
        <v>11435</v>
      </c>
      <c r="J27" s="143">
        <f>SUM('[2]River Analysis'!$G$6:$G20)</f>
        <v>411611</v>
      </c>
      <c r="K27" s="143">
        <f>SUM('[2]River Analysis'!P$6:$P20)</f>
        <v>315355.33333333331</v>
      </c>
      <c r="L27" s="143">
        <f>SUM('[2]River Analysis'!$D$6:$D20)</f>
        <v>154664</v>
      </c>
      <c r="M27" s="143">
        <f>SUM('[2]River Analysis'!$M$6:$M20)</f>
        <v>149970</v>
      </c>
      <c r="N27" s="143">
        <f>SUM('[2]River Analysis'!$J$6:$J20)</f>
        <v>676864</v>
      </c>
      <c r="O27" s="143">
        <f>SUM('[2]River Analysis'!$S$6:$S20)</f>
        <v>584351.33333333326</v>
      </c>
      <c r="P27" s="143">
        <f t="shared" si="1"/>
        <v>11215.558583106265</v>
      </c>
      <c r="Q27" s="143">
        <f t="shared" si="2"/>
        <v>8592.7883742052672</v>
      </c>
      <c r="R27" s="143">
        <f t="shared" si="3"/>
        <v>4214.2779291553134</v>
      </c>
      <c r="S27" s="143">
        <f t="shared" si="4"/>
        <v>4086.3760217983649</v>
      </c>
      <c r="T27" s="143">
        <f>SUM('[2]River Analysis'!$AB$6:$AB20)</f>
        <v>18443.160762942782</v>
      </c>
      <c r="U27" s="143">
        <f>SUM('[2]River Analysis'!$AJ$6:$AJ20)</f>
        <v>12247.675996607295</v>
      </c>
    </row>
    <row r="28" spans="3:21" x14ac:dyDescent="0.25">
      <c r="C28">
        <v>37</v>
      </c>
      <c r="D28" s="146">
        <f>+[1]Total!A375</f>
        <v>41263</v>
      </c>
      <c r="E28" s="153">
        <f t="shared" si="5"/>
        <v>14629.200000000017</v>
      </c>
      <c r="F28" s="153">
        <f t="shared" si="6"/>
        <v>239.57647058823559</v>
      </c>
      <c r="G28" s="2">
        <f>+US!F346</f>
        <v>30430.100000000002</v>
      </c>
      <c r="H28" s="2">
        <f>+US!D346</f>
        <v>20061.900000000001</v>
      </c>
      <c r="I28" s="2">
        <f>+G28-H28</f>
        <v>10368.200000000001</v>
      </c>
      <c r="J28" s="143">
        <f>SUM('[2]River Analysis'!$G$6:$G21)</f>
        <v>442105</v>
      </c>
      <c r="K28" s="143">
        <f>SUM('[2]River Analysis'!P$6:$P21)</f>
        <v>335724.33333333331</v>
      </c>
      <c r="L28" s="143">
        <f>SUM('[2]River Analysis'!$D$6:$D21)</f>
        <v>159452</v>
      </c>
      <c r="M28" s="143">
        <f>SUM('[2]River Analysis'!$M$6:$M21)</f>
        <v>160034.66666666666</v>
      </c>
      <c r="N28" s="143">
        <f>SUM('[2]River Analysis'!$J$6:$J21)</f>
        <v>722260</v>
      </c>
      <c r="O28" s="143">
        <f>SUM('[2]River Analysis'!$S$6:$S21)</f>
        <v>623147.33333333326</v>
      </c>
      <c r="P28" s="143">
        <f>+J28/36.7</f>
        <v>12046.457765667574</v>
      </c>
      <c r="Q28" s="143">
        <f>+K28/36.7</f>
        <v>9147.8019981834677</v>
      </c>
      <c r="R28" s="143">
        <f>+L28/36.7</f>
        <v>4344.741144414169</v>
      </c>
      <c r="S28" s="143">
        <f>+M28/36.7</f>
        <v>4360.6176203451405</v>
      </c>
      <c r="T28" s="143">
        <f>SUM('[2]River Analysis'!$AB$6:$AB21)</f>
        <v>19680.108991825615</v>
      </c>
      <c r="U28" s="143">
        <f>SUM('[2]River Analysis'!$AJ$6:$AJ21)</f>
        <v>13058.481764206956</v>
      </c>
    </row>
    <row r="29" spans="3:21" x14ac:dyDescent="0.25">
      <c r="C29">
        <v>36</v>
      </c>
      <c r="D29" s="146">
        <f>+[1]Total!A376</f>
        <v>41270</v>
      </c>
      <c r="E29" s="153">
        <f t="shared" si="5"/>
        <v>14222.83333333335</v>
      </c>
      <c r="F29" s="153">
        <f t="shared" si="6"/>
        <v>232.92156862745128</v>
      </c>
      <c r="G29" s="2">
        <f>+US!F347</f>
        <v>30769.4</v>
      </c>
      <c r="H29" s="148"/>
      <c r="I29" s="2"/>
      <c r="J29" s="143">
        <f>SUM('[2]River Analysis'!$G$6:$G22)</f>
        <v>462033</v>
      </c>
      <c r="K29" s="2">
        <f>SUM('[2]River Analysis'!P$6:$P22)</f>
        <v>362082.33333333331</v>
      </c>
      <c r="L29" s="2">
        <f>SUM('[2]River Analysis'!$D$6:$D22)</f>
        <v>171410</v>
      </c>
      <c r="M29" s="2">
        <f>SUM('[2]River Analysis'!$M$6:$M22)</f>
        <v>168636</v>
      </c>
      <c r="N29" s="2">
        <f>SUM('[2]River Analysis'!$J$6:$J22)</f>
        <v>758151</v>
      </c>
      <c r="O29" s="2">
        <f>SUM('[2]River Analysis'!$S$6:$S22)</f>
        <v>668672.66666666663</v>
      </c>
      <c r="P29" s="143">
        <f>SUM('[2]River Analysis'!$X$6:$X22)</f>
        <v>4838.1933842239187</v>
      </c>
      <c r="Q29" s="143">
        <f t="shared" ref="Q29:Q64" si="7">+K29/36.7</f>
        <v>9866.0036330608527</v>
      </c>
      <c r="R29" s="143">
        <f>SUM('[2]River Analysis'!$U$6:$U22)</f>
        <v>602.18829516539438</v>
      </c>
      <c r="S29" s="143">
        <f t="shared" ref="S29:S64" si="8">+M29/36.7</f>
        <v>4594.9863760217977</v>
      </c>
      <c r="T29" s="143">
        <f>SUM('[2]River Analysis'!$AB$6:$AB22)</f>
        <v>20658.065395095371</v>
      </c>
      <c r="U29" s="143">
        <f>SUM('[2]River Analysis'!$AJ$6:$AJ22)</f>
        <v>14042.290076335878</v>
      </c>
    </row>
    <row r="30" spans="3:21" x14ac:dyDescent="0.25">
      <c r="C30">
        <v>35</v>
      </c>
      <c r="D30" s="144">
        <f>+[1]Total!A377</f>
        <v>41277</v>
      </c>
      <c r="E30" s="153">
        <f t="shared" si="5"/>
        <v>13816.466666666684</v>
      </c>
      <c r="F30" s="153">
        <f t="shared" si="6"/>
        <v>226.26666666666696</v>
      </c>
      <c r="G30" s="148"/>
      <c r="H30" s="148"/>
      <c r="I30" s="2"/>
      <c r="J30" s="2"/>
      <c r="K30" s="2">
        <f>SUM('[2]River Analysis'!P$6:$P23)</f>
        <v>384062.66666666663</v>
      </c>
      <c r="L30" s="2"/>
      <c r="M30" s="2">
        <f>SUM('[2]River Analysis'!$M$6:$M23)</f>
        <v>174092.66666666666</v>
      </c>
      <c r="N30" s="2"/>
      <c r="O30" s="2">
        <f>SUM('[2]River Analysis'!$S$6:$S23)</f>
        <v>700348.33333333326</v>
      </c>
      <c r="Q30" s="143">
        <f t="shared" si="7"/>
        <v>10464.922797456855</v>
      </c>
      <c r="S30" s="143">
        <f t="shared" si="8"/>
        <v>4743.6693914623065</v>
      </c>
      <c r="U30" s="143">
        <f>SUM('[2]River Analysis'!$AJ$6:$AJ23)</f>
        <v>14697.201017811705</v>
      </c>
    </row>
    <row r="31" spans="3:21" x14ac:dyDescent="0.25">
      <c r="C31">
        <v>34</v>
      </c>
      <c r="D31" s="144">
        <f>+[1]Total!A378</f>
        <v>41284</v>
      </c>
      <c r="E31" s="153">
        <f t="shared" si="5"/>
        <v>13410.100000000017</v>
      </c>
      <c r="F31" s="153">
        <f t="shared" si="6"/>
        <v>219.61176470588265</v>
      </c>
      <c r="G31" s="148"/>
      <c r="H31" s="148"/>
      <c r="I31" s="2"/>
      <c r="J31" s="2"/>
      <c r="K31" s="2">
        <f>SUM('[2]River Analysis'!P$6:$P24)</f>
        <v>406364.99999999994</v>
      </c>
      <c r="L31" s="2"/>
      <c r="M31" s="2">
        <f>SUM('[2]River Analysis'!$M$6:$M24)</f>
        <v>181620.33333333331</v>
      </c>
      <c r="N31" s="2"/>
      <c r="O31" s="2">
        <f>SUM('[2]River Analysis'!$S$6:$S24)</f>
        <v>734466.66666666663</v>
      </c>
      <c r="Q31" s="143">
        <f t="shared" si="7"/>
        <v>11072.615803814711</v>
      </c>
      <c r="S31" s="143">
        <f t="shared" si="8"/>
        <v>4948.7829246139863</v>
      </c>
      <c r="U31" s="143">
        <f>SUM('[2]River Analysis'!$AJ$6:$AJ24)</f>
        <v>15155.445292620865</v>
      </c>
    </row>
    <row r="32" spans="3:21" x14ac:dyDescent="0.25">
      <c r="C32">
        <v>33</v>
      </c>
      <c r="D32" s="144">
        <f>+[1]Total!A379</f>
        <v>41291</v>
      </c>
      <c r="E32" s="153">
        <f t="shared" si="5"/>
        <v>13003.73333333335</v>
      </c>
      <c r="F32" s="153">
        <f t="shared" si="6"/>
        <v>212.95686274509833</v>
      </c>
      <c r="G32" s="148"/>
      <c r="H32" s="148"/>
      <c r="I32" s="2"/>
      <c r="J32" s="2"/>
      <c r="K32" s="2">
        <f>SUM('[2]River Analysis'!P$6:$P25)</f>
        <v>437302.99999999994</v>
      </c>
      <c r="L32" s="2"/>
      <c r="M32" s="2">
        <f>SUM('[2]River Analysis'!$M$6:$M25)</f>
        <v>188586.33333333331</v>
      </c>
      <c r="N32" s="2"/>
      <c r="O32" s="2">
        <f>SUM('[2]River Analysis'!$S$6:$S25)</f>
        <v>779681</v>
      </c>
      <c r="Q32" s="143">
        <f t="shared" si="7"/>
        <v>11915.613079019071</v>
      </c>
      <c r="S32" s="143">
        <f t="shared" si="8"/>
        <v>5138.5921889191632</v>
      </c>
      <c r="U32" s="143">
        <f>SUM('[2]River Analysis'!$AJ$6:$AJ25)</f>
        <v>15887.794741306192</v>
      </c>
    </row>
    <row r="33" spans="3:21" x14ac:dyDescent="0.25">
      <c r="C33">
        <v>32</v>
      </c>
      <c r="D33" s="144">
        <f>+[1]Total!A380</f>
        <v>41298</v>
      </c>
      <c r="E33" s="153">
        <f t="shared" si="5"/>
        <v>12597.366666666683</v>
      </c>
      <c r="F33" s="153">
        <f t="shared" si="6"/>
        <v>206.30196078431402</v>
      </c>
      <c r="G33" s="148"/>
      <c r="H33" s="148"/>
      <c r="I33" s="2"/>
      <c r="J33" s="2"/>
      <c r="K33" s="2">
        <f>SUM('[2]River Analysis'!P$6:$P26)</f>
        <v>461653.99999999994</v>
      </c>
      <c r="L33" s="2"/>
      <c r="M33" s="2">
        <f>SUM('[2]River Analysis'!$M$6:$M26)</f>
        <v>199433.66666666666</v>
      </c>
      <c r="N33" s="2"/>
      <c r="O33" s="2">
        <f>SUM('[2]River Analysis'!$S$6:$S26)</f>
        <v>822922</v>
      </c>
      <c r="Q33" s="143">
        <f t="shared" si="7"/>
        <v>12579.128065395093</v>
      </c>
      <c r="S33" s="143">
        <f t="shared" si="8"/>
        <v>5434.1598546775649</v>
      </c>
      <c r="U33" s="143">
        <f>SUM('[2]River Analysis'!$AJ$6:$AJ26)</f>
        <v>16647.031382527566</v>
      </c>
    </row>
    <row r="34" spans="3:21" x14ac:dyDescent="0.25">
      <c r="C34">
        <v>31</v>
      </c>
      <c r="D34" s="144">
        <f>+[1]Total!A381</f>
        <v>41305</v>
      </c>
      <c r="E34" s="153">
        <f t="shared" si="5"/>
        <v>12191.000000000016</v>
      </c>
      <c r="F34" s="153">
        <f t="shared" si="6"/>
        <v>199.6470588235297</v>
      </c>
      <c r="G34" s="148"/>
      <c r="H34" s="148"/>
      <c r="I34" s="2"/>
      <c r="J34" s="2"/>
      <c r="K34" s="2">
        <f>SUM('[2]River Analysis'!P$6:$P27)</f>
        <v>486944.99999999994</v>
      </c>
      <c r="L34" s="2"/>
      <c r="M34" s="2">
        <f>SUM('[2]River Analysis'!$M$6:$M27)</f>
        <v>208843.66666666666</v>
      </c>
      <c r="N34" s="2"/>
      <c r="O34" s="2">
        <f>SUM('[2]River Analysis'!$S$6:$S27)</f>
        <v>865550.33333333337</v>
      </c>
      <c r="Q34" s="143">
        <f t="shared" si="7"/>
        <v>13268.256130790189</v>
      </c>
      <c r="S34" s="143">
        <f t="shared" si="8"/>
        <v>5690.5631244323331</v>
      </c>
      <c r="U34" s="143">
        <f>SUM('[2]River Analysis'!$AJ$6:$AJ27)</f>
        <v>17442.349448685327</v>
      </c>
    </row>
    <row r="35" spans="3:21" x14ac:dyDescent="0.25">
      <c r="C35">
        <v>30</v>
      </c>
      <c r="D35" s="144">
        <f>+[1]Total!A382</f>
        <v>41312</v>
      </c>
      <c r="E35" s="153">
        <f t="shared" si="5"/>
        <v>11784.63333333335</v>
      </c>
      <c r="F35" s="153">
        <f t="shared" si="6"/>
        <v>192.99215686274539</v>
      </c>
      <c r="G35" s="148"/>
      <c r="H35" s="148"/>
      <c r="I35" s="2"/>
      <c r="J35" s="2"/>
      <c r="K35" s="2">
        <f>SUM('[2]River Analysis'!P$6:$P28)</f>
        <v>512569.66666666663</v>
      </c>
      <c r="L35" s="2"/>
      <c r="M35" s="2">
        <f>SUM('[2]River Analysis'!$M$6:$M28)</f>
        <v>218792.66666666666</v>
      </c>
      <c r="N35" s="2"/>
      <c r="O35" s="2">
        <f>SUM('[2]River Analysis'!$S$6:$S28)</f>
        <v>906448.33333333337</v>
      </c>
      <c r="Q35" s="143">
        <f t="shared" si="7"/>
        <v>13966.475930971841</v>
      </c>
      <c r="S35" s="143">
        <f t="shared" si="8"/>
        <v>5961.6530426884647</v>
      </c>
      <c r="U35" s="143">
        <f>SUM('[2]River Analysis'!$AJ$6:$AJ28)</f>
        <v>18300.848176420695</v>
      </c>
    </row>
    <row r="36" spans="3:21" x14ac:dyDescent="0.25">
      <c r="C36">
        <v>29</v>
      </c>
      <c r="D36" s="144">
        <f>+[1]Total!A383</f>
        <v>41319</v>
      </c>
      <c r="E36" s="153">
        <f t="shared" si="5"/>
        <v>11378.266666666683</v>
      </c>
      <c r="F36" s="153">
        <f t="shared" si="6"/>
        <v>186.33725490196107</v>
      </c>
      <c r="G36" s="148"/>
      <c r="H36" s="148"/>
      <c r="I36" s="2"/>
      <c r="J36" s="2"/>
      <c r="K36" s="2">
        <f>SUM('[2]River Analysis'!P$6:$P29)</f>
        <v>536062</v>
      </c>
      <c r="L36" s="2"/>
      <c r="M36" s="2">
        <f>SUM('[2]River Analysis'!$M$6:$M29)</f>
        <v>227073.66666666666</v>
      </c>
      <c r="N36" s="2"/>
      <c r="O36" s="2">
        <f>SUM('[2]River Analysis'!$S$6:$S29)</f>
        <v>943700</v>
      </c>
      <c r="Q36" s="143">
        <f t="shared" si="7"/>
        <v>14606.59400544959</v>
      </c>
      <c r="S36" s="143">
        <f t="shared" si="8"/>
        <v>6187.2933696639411</v>
      </c>
      <c r="U36" s="143">
        <f>SUM('[2]River Analysis'!$AJ$6:$AJ29)</f>
        <v>18994.57167090755</v>
      </c>
    </row>
    <row r="37" spans="3:21" x14ac:dyDescent="0.25">
      <c r="C37">
        <v>28</v>
      </c>
      <c r="D37" s="144">
        <f>+[1]Total!A384</f>
        <v>41326</v>
      </c>
      <c r="E37" s="153">
        <f t="shared" si="5"/>
        <v>10971.900000000016</v>
      </c>
      <c r="F37" s="153">
        <f t="shared" si="6"/>
        <v>179.68235294117676</v>
      </c>
      <c r="G37" s="148"/>
      <c r="H37" s="148"/>
      <c r="I37" s="2"/>
      <c r="J37" s="2"/>
      <c r="K37" s="2">
        <f>SUM('[2]River Analysis'!P$6:$P30)</f>
        <v>561070.33333333337</v>
      </c>
      <c r="L37" s="2"/>
      <c r="M37" s="2">
        <f>SUM('[2]River Analysis'!$M$6:$M30)</f>
        <v>236262</v>
      </c>
      <c r="N37" s="2"/>
      <c r="O37" s="2">
        <f>SUM('[2]River Analysis'!$S$6:$S30)</f>
        <v>984228.33333333337</v>
      </c>
      <c r="Q37" s="143">
        <f t="shared" si="7"/>
        <v>15288.019981834695</v>
      </c>
      <c r="S37" s="143">
        <f t="shared" si="8"/>
        <v>6437.6566757493183</v>
      </c>
      <c r="U37" s="143">
        <f>SUM('[2]River Analysis'!$AJ$6:$AJ30)</f>
        <v>19986.200169635285</v>
      </c>
    </row>
    <row r="38" spans="3:21" x14ac:dyDescent="0.25">
      <c r="C38">
        <v>27</v>
      </c>
      <c r="D38" s="144">
        <f>+[1]Total!A385</f>
        <v>41333</v>
      </c>
      <c r="E38" s="153">
        <f t="shared" si="5"/>
        <v>10565.533333333349</v>
      </c>
      <c r="F38" s="153">
        <f t="shared" si="6"/>
        <v>173.02745098039244</v>
      </c>
      <c r="G38" s="148"/>
      <c r="H38" s="148"/>
      <c r="I38" s="2"/>
      <c r="J38" s="2"/>
      <c r="K38" s="2">
        <f>SUM('[2]River Analysis'!P$6:$P31)</f>
        <v>583575.33333333337</v>
      </c>
      <c r="L38" s="2"/>
      <c r="M38" s="2">
        <f>SUM('[2]River Analysis'!$M$6:$M31)</f>
        <v>250133</v>
      </c>
      <c r="N38" s="2"/>
      <c r="O38" s="2">
        <f>SUM('[2]River Analysis'!$S$6:$S31)</f>
        <v>1026865.6666666667</v>
      </c>
      <c r="Q38" s="143">
        <f t="shared" si="7"/>
        <v>15901.235240690281</v>
      </c>
      <c r="S38" s="143">
        <f t="shared" si="8"/>
        <v>6815.6130790190728</v>
      </c>
      <c r="U38" s="143">
        <f>SUM('[2]River Analysis'!$AJ$6:$AJ31)</f>
        <v>20804.147582697202</v>
      </c>
    </row>
    <row r="39" spans="3:21" x14ac:dyDescent="0.25">
      <c r="C39">
        <v>26</v>
      </c>
      <c r="D39" s="144">
        <f>+[1]Total!A386</f>
        <v>41340</v>
      </c>
      <c r="E39" s="153">
        <f t="shared" si="5"/>
        <v>10159.166666666682</v>
      </c>
      <c r="F39" s="153">
        <f t="shared" si="6"/>
        <v>166.37254901960813</v>
      </c>
      <c r="G39" s="148"/>
      <c r="H39" s="148"/>
      <c r="I39" s="2"/>
      <c r="J39" s="2"/>
      <c r="K39" s="2">
        <f>SUM('[2]River Analysis'!P$6:$P32)</f>
        <v>602461</v>
      </c>
      <c r="L39" s="2"/>
      <c r="M39" s="2">
        <f>SUM('[2]River Analysis'!$M$6:$M32)</f>
        <v>258060.33333333334</v>
      </c>
      <c r="N39" s="2"/>
      <c r="O39" s="2">
        <f>SUM('[2]River Analysis'!$S$6:$S32)</f>
        <v>1058223.3333333335</v>
      </c>
      <c r="Q39" s="143">
        <f t="shared" si="7"/>
        <v>16415.831062670299</v>
      </c>
      <c r="S39" s="143">
        <f t="shared" si="8"/>
        <v>7031.6167120799273</v>
      </c>
      <c r="U39" s="143">
        <f>SUM('[2]River Analysis'!$AJ$6:$AJ32)</f>
        <v>21785.063613231552</v>
      </c>
    </row>
    <row r="40" spans="3:21" x14ac:dyDescent="0.25">
      <c r="C40">
        <v>25</v>
      </c>
      <c r="D40" s="144">
        <f>+[1]Total!A387</f>
        <v>41347</v>
      </c>
      <c r="E40" s="153">
        <f t="shared" si="5"/>
        <v>9752.8000000000156</v>
      </c>
      <c r="F40" s="153">
        <f t="shared" si="6"/>
        <v>159.71764705882381</v>
      </c>
      <c r="G40" s="148"/>
      <c r="H40" s="148"/>
      <c r="I40" s="2"/>
      <c r="J40" s="2"/>
      <c r="K40" s="2">
        <f>SUM('[2]River Analysis'!P$6:$P33)</f>
        <v>619549</v>
      </c>
      <c r="L40" s="2"/>
      <c r="M40" s="2">
        <f>SUM('[2]River Analysis'!$M$6:$M33)</f>
        <v>264674.66666666669</v>
      </c>
      <c r="N40" s="2"/>
      <c r="O40" s="2">
        <f>SUM('[2]River Analysis'!$S$6:$S33)</f>
        <v>1087091.0000000002</v>
      </c>
      <c r="Q40" s="143">
        <f t="shared" si="7"/>
        <v>16881.444141689371</v>
      </c>
      <c r="S40" s="143">
        <f t="shared" si="8"/>
        <v>7211.8437783832878</v>
      </c>
      <c r="U40" s="143">
        <f>SUM('[2]River Analysis'!$AJ$6:$AJ33)</f>
        <v>22779.516539440203</v>
      </c>
    </row>
    <row r="41" spans="3:21" x14ac:dyDescent="0.25">
      <c r="C41">
        <v>24</v>
      </c>
      <c r="D41" s="144">
        <f>+[1]Total!A388</f>
        <v>41354</v>
      </c>
      <c r="E41" s="153">
        <f t="shared" si="5"/>
        <v>9346.4333333333489</v>
      </c>
      <c r="F41" s="153">
        <f t="shared" si="6"/>
        <v>153.0627450980395</v>
      </c>
      <c r="G41" s="148"/>
      <c r="H41" s="148"/>
      <c r="I41" s="2"/>
      <c r="J41" s="2"/>
      <c r="K41" s="2">
        <f>SUM('[2]River Analysis'!P$6:$P34)</f>
        <v>634892.33333333337</v>
      </c>
      <c r="L41" s="2"/>
      <c r="M41" s="2">
        <f>SUM('[2]River Analysis'!$M$6:$M34)</f>
        <v>273565.66666666669</v>
      </c>
      <c r="N41" s="2"/>
      <c r="O41" s="2">
        <f>SUM('[2]River Analysis'!$S$6:$S34)</f>
        <v>1115997.3333333335</v>
      </c>
      <c r="Q41" s="143">
        <f t="shared" si="7"/>
        <v>17299.518619436876</v>
      </c>
      <c r="S41" s="143">
        <f t="shared" si="8"/>
        <v>7454.1053587647593</v>
      </c>
      <c r="U41" s="143">
        <f>SUM('[2]River Analysis'!$AJ$6:$AJ34)</f>
        <v>23623.7828668363</v>
      </c>
    </row>
    <row r="42" spans="3:21" x14ac:dyDescent="0.25">
      <c r="C42">
        <v>23</v>
      </c>
      <c r="D42" s="144">
        <f>+[1]Total!A389</f>
        <v>41361</v>
      </c>
      <c r="E42" s="153">
        <f t="shared" si="5"/>
        <v>8940.0666666666821</v>
      </c>
      <c r="F42" s="153">
        <f t="shared" si="6"/>
        <v>146.40784313725518</v>
      </c>
      <c r="G42" s="148"/>
      <c r="H42" s="148"/>
      <c r="I42" s="2"/>
      <c r="J42" s="2"/>
      <c r="K42" s="2">
        <f>SUM('[2]River Analysis'!P$6:$P35)</f>
        <v>649519.66666666674</v>
      </c>
      <c r="L42" s="2"/>
      <c r="M42" s="2">
        <f>SUM('[2]River Analysis'!$M$6:$M35)</f>
        <v>283236.33333333337</v>
      </c>
      <c r="N42" s="2"/>
      <c r="O42" s="2">
        <f>SUM('[2]River Analysis'!$S$6:$S35)</f>
        <v>1144415.6666666667</v>
      </c>
      <c r="Q42" s="143">
        <f t="shared" si="7"/>
        <v>17698.083560399638</v>
      </c>
      <c r="S42" s="143">
        <f t="shared" si="8"/>
        <v>7717.6112624886473</v>
      </c>
      <c r="U42" s="143">
        <f>SUM('[2]River Analysis'!$AJ$6:$AJ35)</f>
        <v>24542.646310432567</v>
      </c>
    </row>
    <row r="43" spans="3:21" x14ac:dyDescent="0.25">
      <c r="C43">
        <v>22</v>
      </c>
      <c r="D43" s="144">
        <f>+[1]Total!A390</f>
        <v>41368</v>
      </c>
      <c r="E43" s="153">
        <f t="shared" si="5"/>
        <v>8533.7000000000153</v>
      </c>
      <c r="F43" s="153">
        <f t="shared" si="6"/>
        <v>139.75294117647087</v>
      </c>
      <c r="G43" s="148"/>
      <c r="H43" s="148"/>
      <c r="I43" s="2"/>
      <c r="J43" s="2"/>
      <c r="K43" s="2">
        <f>SUM('[2]River Analysis'!P$6:$P36)</f>
        <v>659965.66666666674</v>
      </c>
      <c r="L43" s="2"/>
      <c r="M43" s="2">
        <f>SUM('[2]River Analysis'!$M$6:$M36)</f>
        <v>291031.66666666669</v>
      </c>
      <c r="N43" s="2"/>
      <c r="O43" s="2">
        <f>SUM('[2]River Analysis'!$S$6:$S36)</f>
        <v>1167594.6666666667</v>
      </c>
      <c r="Q43" s="143">
        <f t="shared" si="7"/>
        <v>17982.715712988193</v>
      </c>
      <c r="S43" s="143">
        <f t="shared" si="8"/>
        <v>7930.0181653042691</v>
      </c>
      <c r="U43" s="143">
        <f>SUM('[2]River Analysis'!$AJ$6:$AJ36)</f>
        <v>25514.563189143337</v>
      </c>
    </row>
    <row r="44" spans="3:21" x14ac:dyDescent="0.25">
      <c r="C44">
        <v>21</v>
      </c>
      <c r="D44" s="144">
        <f>+[1]Total!A391</f>
        <v>41375</v>
      </c>
      <c r="E44" s="153">
        <f t="shared" si="5"/>
        <v>8127.3333333333485</v>
      </c>
      <c r="F44" s="153">
        <f t="shared" si="6"/>
        <v>133.09803921568655</v>
      </c>
      <c r="G44" s="148"/>
      <c r="H44" s="148"/>
      <c r="I44" s="2"/>
      <c r="J44" s="2"/>
      <c r="K44" s="2">
        <f>SUM('[2]River Analysis'!P$6:$P37)</f>
        <v>671177.33333333337</v>
      </c>
      <c r="L44" s="2"/>
      <c r="M44" s="2">
        <f>SUM('[2]River Analysis'!$M$6:$M37)</f>
        <v>297614.66666666669</v>
      </c>
      <c r="N44" s="2"/>
      <c r="O44" s="2">
        <f>SUM('[2]River Analysis'!$S$6:$S37)</f>
        <v>1188879.6666666667</v>
      </c>
      <c r="Q44" s="143">
        <f t="shared" si="7"/>
        <v>18288.210717529517</v>
      </c>
      <c r="S44" s="143">
        <f t="shared" si="8"/>
        <v>8109.3914623069932</v>
      </c>
      <c r="U44" s="143">
        <f>SUM('[2]River Analysis'!$AJ$6:$AJ37)</f>
        <v>26404.681933842236</v>
      </c>
    </row>
    <row r="45" spans="3:21" x14ac:dyDescent="0.25">
      <c r="C45">
        <v>20</v>
      </c>
      <c r="D45" s="144">
        <f>+[1]Total!A392</f>
        <v>41382</v>
      </c>
      <c r="E45" s="153">
        <f t="shared" si="5"/>
        <v>7720.9666666666817</v>
      </c>
      <c r="F45" s="153">
        <f t="shared" si="6"/>
        <v>126.44313725490224</v>
      </c>
      <c r="G45" s="148"/>
      <c r="H45" s="148"/>
      <c r="I45" s="2"/>
      <c r="J45" s="2"/>
      <c r="K45" s="2">
        <f>SUM('[2]River Analysis'!P$6:$P38)</f>
        <v>678890.66666666674</v>
      </c>
      <c r="L45" s="2"/>
      <c r="M45" s="2">
        <f>SUM('[2]River Analysis'!$M$6:$M38)</f>
        <v>303746</v>
      </c>
      <c r="N45" s="2"/>
      <c r="O45" s="2">
        <f>SUM('[2]River Analysis'!$S$6:$S38)</f>
        <v>1206008</v>
      </c>
      <c r="Q45" s="143">
        <f t="shared" si="7"/>
        <v>18498.383287920075</v>
      </c>
      <c r="S45" s="143">
        <f t="shared" si="8"/>
        <v>8276.4577656675738</v>
      </c>
      <c r="U45" s="143">
        <f>SUM('[2]River Analysis'!$AJ$6:$AJ38)</f>
        <v>27431.925360474976</v>
      </c>
    </row>
    <row r="46" spans="3:21" x14ac:dyDescent="0.25">
      <c r="C46">
        <v>19</v>
      </c>
      <c r="D46" s="144">
        <f>+[1]Total!A393</f>
        <v>41389</v>
      </c>
      <c r="E46" s="153">
        <f t="shared" si="5"/>
        <v>7314.6000000000149</v>
      </c>
      <c r="F46" s="153">
        <f t="shared" si="6"/>
        <v>119.78823529411792</v>
      </c>
      <c r="G46" s="148"/>
      <c r="H46" s="148"/>
      <c r="I46" s="2"/>
      <c r="J46" s="2"/>
      <c r="K46" s="2">
        <f>SUM('[2]River Analysis'!P$6:$P39)</f>
        <v>681932.33333333337</v>
      </c>
      <c r="L46" s="2"/>
      <c r="M46" s="2">
        <f>SUM('[2]River Analysis'!$M$6:$M39)</f>
        <v>308286.33333333331</v>
      </c>
      <c r="N46" s="2"/>
      <c r="O46" s="2">
        <f>SUM('[2]River Analysis'!$S$6:$S39)</f>
        <v>1217568</v>
      </c>
      <c r="Q46" s="143">
        <f t="shared" si="7"/>
        <v>18581.262488646684</v>
      </c>
      <c r="S46" s="143">
        <f t="shared" si="8"/>
        <v>8400.1725703905522</v>
      </c>
      <c r="U46" s="143">
        <f>SUM('[2]River Analysis'!$AJ$6:$AJ39)</f>
        <v>28325.572519083966</v>
      </c>
    </row>
    <row r="47" spans="3:21" x14ac:dyDescent="0.25">
      <c r="C47">
        <v>18</v>
      </c>
      <c r="D47" s="144">
        <f>+[1]Total!A394</f>
        <v>41396</v>
      </c>
      <c r="E47" s="153">
        <f t="shared" si="5"/>
        <v>6908.2333333333481</v>
      </c>
      <c r="F47" s="153">
        <f t="shared" si="6"/>
        <v>113.13333333333361</v>
      </c>
      <c r="G47" s="148"/>
      <c r="H47" s="148"/>
      <c r="I47" s="2"/>
      <c r="J47" s="2"/>
      <c r="K47" s="2">
        <f>SUM('[2]River Analysis'!P$6:$P40)</f>
        <v>688718</v>
      </c>
      <c r="L47" s="2"/>
      <c r="M47" s="2">
        <f>SUM('[2]River Analysis'!$M$6:$M40)</f>
        <v>309102.33333333331</v>
      </c>
      <c r="N47" s="2"/>
      <c r="O47" s="2">
        <f>SUM('[2]River Analysis'!$S$6:$S40)</f>
        <v>1228482.3333333333</v>
      </c>
      <c r="Q47" s="143">
        <f t="shared" si="7"/>
        <v>18766.158038147136</v>
      </c>
      <c r="S47" s="143">
        <f t="shared" si="8"/>
        <v>8422.4069028156209</v>
      </c>
      <c r="U47" s="143">
        <f>SUM('[2]River Analysis'!$AJ$6:$AJ40)</f>
        <v>29126.505513146731</v>
      </c>
    </row>
    <row r="48" spans="3:21" x14ac:dyDescent="0.25">
      <c r="C48">
        <v>17</v>
      </c>
      <c r="D48" s="144">
        <f>+[1]Total!A395</f>
        <v>41403</v>
      </c>
      <c r="E48" s="153">
        <f t="shared" si="5"/>
        <v>6501.8666666666813</v>
      </c>
      <c r="F48" s="153">
        <f t="shared" si="6"/>
        <v>106.4784313725493</v>
      </c>
      <c r="G48" s="148"/>
      <c r="H48" s="148"/>
      <c r="I48" s="2"/>
      <c r="J48" s="2"/>
      <c r="K48" s="2">
        <f>SUM('[2]River Analysis'!P$6:$P41)</f>
        <v>691857.33333333337</v>
      </c>
      <c r="L48" s="2"/>
      <c r="M48" s="2">
        <f>SUM('[2]River Analysis'!$M$6:$M41)</f>
        <v>311200.33333333331</v>
      </c>
      <c r="N48" s="2"/>
      <c r="O48" s="2">
        <f>SUM('[2]River Analysis'!$S$6:$S41)</f>
        <v>1237724.6666666665</v>
      </c>
      <c r="Q48" s="143">
        <f t="shared" si="7"/>
        <v>18851.698455949136</v>
      </c>
      <c r="S48" s="143">
        <f t="shared" si="8"/>
        <v>8479.5731153496818</v>
      </c>
      <c r="U48" s="143">
        <f>SUM('[2]River Analysis'!$AJ$6:$AJ41)</f>
        <v>29969.482612383374</v>
      </c>
    </row>
    <row r="49" spans="3:21" x14ac:dyDescent="0.25">
      <c r="C49">
        <v>16</v>
      </c>
      <c r="D49" s="144">
        <f>+[1]Total!A396</f>
        <v>41410</v>
      </c>
      <c r="E49" s="153">
        <f t="shared" si="5"/>
        <v>6095.5000000000146</v>
      </c>
      <c r="F49" s="153">
        <f t="shared" si="6"/>
        <v>99.82352941176498</v>
      </c>
      <c r="G49" s="148"/>
      <c r="H49" s="148"/>
      <c r="I49" s="2"/>
      <c r="J49" s="2"/>
      <c r="K49" s="2">
        <f>SUM('[2]River Analysis'!P$6:$P42)</f>
        <v>698184</v>
      </c>
      <c r="L49" s="2"/>
      <c r="M49" s="2">
        <f>SUM('[2]River Analysis'!$M$6:$M42)</f>
        <v>313978</v>
      </c>
      <c r="N49" s="2"/>
      <c r="O49" s="2">
        <f>SUM('[2]River Analysis'!$S$6:$S42)</f>
        <v>1249798.3333333333</v>
      </c>
      <c r="Q49" s="143">
        <f t="shared" si="7"/>
        <v>19024.087193460487</v>
      </c>
      <c r="S49" s="143">
        <f t="shared" si="8"/>
        <v>8555.258855585831</v>
      </c>
      <c r="U49" s="143">
        <f>SUM('[2]River Analysis'!$AJ$6:$AJ42)</f>
        <v>30855.072094995758</v>
      </c>
    </row>
    <row r="50" spans="3:21" x14ac:dyDescent="0.25">
      <c r="C50">
        <v>15</v>
      </c>
      <c r="D50" s="144">
        <f>+[1]Total!A397</f>
        <v>41417</v>
      </c>
      <c r="E50" s="153">
        <f t="shared" si="5"/>
        <v>5689.1333333333478</v>
      </c>
      <c r="F50" s="153">
        <f t="shared" si="6"/>
        <v>93.168627450980665</v>
      </c>
      <c r="G50" s="148"/>
      <c r="H50" s="148"/>
      <c r="I50" s="2"/>
      <c r="J50" s="2"/>
      <c r="K50" s="2">
        <f>SUM('[2]River Analysis'!P$6:$P43)</f>
        <v>701843.33333333337</v>
      </c>
      <c r="L50" s="2"/>
      <c r="M50" s="2">
        <f>SUM('[2]River Analysis'!$M$6:$M43)</f>
        <v>316547.33333333331</v>
      </c>
      <c r="N50" s="2"/>
      <c r="O50" s="2">
        <f>SUM('[2]River Analysis'!$S$6:$S43)</f>
        <v>1258833</v>
      </c>
      <c r="Q50" s="143">
        <f t="shared" si="7"/>
        <v>19123.796548592189</v>
      </c>
      <c r="S50" s="143">
        <f t="shared" si="8"/>
        <v>8625.2679382379647</v>
      </c>
      <c r="U50" s="143">
        <f>SUM('[2]River Analysis'!$AJ$6:$AJ43)</f>
        <v>31765.258693808311</v>
      </c>
    </row>
    <row r="51" spans="3:21" x14ac:dyDescent="0.25">
      <c r="C51">
        <v>14</v>
      </c>
      <c r="D51" s="144">
        <f>+[1]Total!A398</f>
        <v>41424</v>
      </c>
      <c r="E51" s="153">
        <f t="shared" si="5"/>
        <v>5282.766666666681</v>
      </c>
      <c r="F51" s="153">
        <f t="shared" si="6"/>
        <v>86.51372549019635</v>
      </c>
      <c r="G51" s="148"/>
      <c r="H51" s="148"/>
      <c r="I51" s="2"/>
      <c r="J51" s="2"/>
      <c r="K51" s="2">
        <f>SUM('[2]River Analysis'!P$6:$P44)</f>
        <v>706278.66666666674</v>
      </c>
      <c r="L51" s="2"/>
      <c r="M51" s="2">
        <f>SUM('[2]River Analysis'!$M$6:$M44)</f>
        <v>319144.33333333331</v>
      </c>
      <c r="N51" s="2"/>
      <c r="O51" s="2">
        <f>SUM('[2]River Analysis'!$S$6:$S44)</f>
        <v>1268686</v>
      </c>
      <c r="Q51" s="143">
        <f t="shared" si="7"/>
        <v>19244.650317892825</v>
      </c>
      <c r="S51" s="143">
        <f t="shared" si="8"/>
        <v>8696.0308810172555</v>
      </c>
      <c r="U51" s="143">
        <f>SUM('[2]River Analysis'!$AJ$6:$AJ44)</f>
        <v>32746.709075487699</v>
      </c>
    </row>
    <row r="52" spans="3:21" x14ac:dyDescent="0.25">
      <c r="C52">
        <v>13</v>
      </c>
      <c r="D52" s="144">
        <f>+[1]Total!A399</f>
        <v>41431</v>
      </c>
      <c r="E52" s="153">
        <f t="shared" si="5"/>
        <v>4876.4000000000142</v>
      </c>
      <c r="F52" s="153">
        <f t="shared" si="6"/>
        <v>79.858823529412035</v>
      </c>
      <c r="G52" s="148"/>
      <c r="H52" s="148"/>
      <c r="I52" s="2"/>
      <c r="J52" s="2"/>
      <c r="K52" s="2">
        <f>SUM('[2]River Analysis'!P$6:$P45)</f>
        <v>711646.66666666674</v>
      </c>
      <c r="L52" s="2"/>
      <c r="M52" s="2">
        <f>SUM('[2]River Analysis'!$M$6:$M45)</f>
        <v>319917</v>
      </c>
      <c r="N52" s="2"/>
      <c r="O52" s="2">
        <f>SUM('[2]River Analysis'!$S$6:$S45)</f>
        <v>1277346.3333333333</v>
      </c>
      <c r="Q52" s="143">
        <f t="shared" si="7"/>
        <v>19390.917347865576</v>
      </c>
      <c r="S52" s="143">
        <f t="shared" si="8"/>
        <v>8717.0844686648488</v>
      </c>
      <c r="U52" s="143">
        <f>SUM('[2]River Analysis'!$AJ$6:$AJ45)</f>
        <v>33612.222222222219</v>
      </c>
    </row>
    <row r="53" spans="3:21" x14ac:dyDescent="0.25">
      <c r="C53">
        <v>12</v>
      </c>
      <c r="D53" s="144">
        <f>+[1]Total!A400</f>
        <v>41438</v>
      </c>
      <c r="E53" s="153">
        <f t="shared" si="5"/>
        <v>4470.0333333333474</v>
      </c>
      <c r="F53" s="153">
        <f t="shared" si="6"/>
        <v>73.20392156862772</v>
      </c>
      <c r="G53" s="148"/>
      <c r="H53" s="148"/>
      <c r="I53" s="2"/>
      <c r="J53" s="2"/>
      <c r="K53" s="2">
        <f>SUM('[2]River Analysis'!P$6:$P46)</f>
        <v>715038.33333333337</v>
      </c>
      <c r="L53" s="2"/>
      <c r="M53" s="2">
        <f>SUM('[2]River Analysis'!$M$6:$M46)</f>
        <v>323898.66666666669</v>
      </c>
      <c r="N53" s="2"/>
      <c r="O53" s="2">
        <f>SUM('[2]River Analysis'!$S$6:$S46)</f>
        <v>1287406.3333333333</v>
      </c>
      <c r="Q53" s="143">
        <f t="shared" si="7"/>
        <v>19483.333333333332</v>
      </c>
      <c r="S53" s="143">
        <f t="shared" si="8"/>
        <v>8825.5767484105363</v>
      </c>
      <c r="U53" s="143">
        <f>SUM('[2]River Analysis'!$AJ$6:$AJ46)</f>
        <v>34406.064461407972</v>
      </c>
    </row>
    <row r="54" spans="3:21" x14ac:dyDescent="0.25">
      <c r="C54">
        <v>11</v>
      </c>
      <c r="D54" s="144">
        <f>+[1]Total!A401</f>
        <v>41445</v>
      </c>
      <c r="E54" s="153">
        <f t="shared" si="5"/>
        <v>4063.6666666666806</v>
      </c>
      <c r="F54" s="153">
        <f t="shared" si="6"/>
        <v>66.549019607843405</v>
      </c>
      <c r="G54" s="148"/>
      <c r="H54" s="148"/>
      <c r="I54" s="2"/>
      <c r="J54" s="2"/>
      <c r="K54" s="2">
        <f>SUM('[2]River Analysis'!P$6:$P47)</f>
        <v>718309</v>
      </c>
      <c r="L54" s="2"/>
      <c r="M54" s="2">
        <f>SUM('[2]River Analysis'!$M$6:$M47)</f>
        <v>326379</v>
      </c>
      <c r="N54" s="2"/>
      <c r="O54" s="2">
        <f>SUM('[2]River Analysis'!$S$6:$S47)</f>
        <v>1295963.6666666665</v>
      </c>
      <c r="Q54" s="143">
        <f t="shared" si="7"/>
        <v>19572.452316076291</v>
      </c>
      <c r="S54" s="143">
        <f t="shared" si="8"/>
        <v>8893.1607629427781</v>
      </c>
      <c r="U54" s="143">
        <f>SUM('[2]River Analysis'!$AJ$6:$AJ47)</f>
        <v>35259.075487701441</v>
      </c>
    </row>
    <row r="55" spans="3:21" x14ac:dyDescent="0.25">
      <c r="C55">
        <v>10</v>
      </c>
      <c r="D55" s="144">
        <f>+[1]Total!A402</f>
        <v>41452</v>
      </c>
      <c r="E55" s="153">
        <f t="shared" si="5"/>
        <v>3657.3000000000138</v>
      </c>
      <c r="F55" s="153">
        <f t="shared" si="6"/>
        <v>59.89411764705909</v>
      </c>
      <c r="G55" s="148"/>
      <c r="H55" s="148"/>
      <c r="I55" s="2"/>
      <c r="J55" s="2"/>
      <c r="K55" s="2">
        <f>SUM('[2]River Analysis'!P$6:$P48)</f>
        <v>722295.66666666663</v>
      </c>
      <c r="L55" s="2"/>
      <c r="M55" s="2">
        <f>SUM('[2]River Analysis'!$M$6:$M48)</f>
        <v>327419</v>
      </c>
      <c r="N55" s="2"/>
      <c r="O55" s="2">
        <f>SUM('[2]River Analysis'!$S$6:$S48)</f>
        <v>1303024.6666666665</v>
      </c>
      <c r="Q55" s="143">
        <f t="shared" si="7"/>
        <v>19681.080835603992</v>
      </c>
      <c r="S55" s="143">
        <f t="shared" si="8"/>
        <v>8921.4986376021789</v>
      </c>
      <c r="U55" s="143">
        <f>SUM('[2]River Analysis'!$AJ$6:$AJ48)</f>
        <v>36110.737913486002</v>
      </c>
    </row>
    <row r="56" spans="3:21" x14ac:dyDescent="0.25">
      <c r="C56">
        <v>9</v>
      </c>
      <c r="D56" s="144">
        <f>+[1]Total!A403</f>
        <v>41459</v>
      </c>
      <c r="E56" s="153">
        <f t="shared" si="5"/>
        <v>3250.933333333347</v>
      </c>
      <c r="F56" s="153">
        <f t="shared" si="6"/>
        <v>53.239215686274775</v>
      </c>
      <c r="G56" s="148"/>
      <c r="H56" s="148"/>
      <c r="I56" s="2"/>
      <c r="J56" s="2"/>
      <c r="K56" s="2">
        <f>SUM('[2]River Analysis'!P$6:$P49)</f>
        <v>725567.33333333326</v>
      </c>
      <c r="L56" s="2"/>
      <c r="M56" s="2">
        <f>SUM('[2]River Analysis'!$M$6:$M49)</f>
        <v>329286.33333333331</v>
      </c>
      <c r="N56" s="2"/>
      <c r="O56" s="2">
        <f>SUM('[2]River Analysis'!$S$6:$S49)</f>
        <v>1310868.3333333333</v>
      </c>
      <c r="Q56" s="143">
        <f t="shared" si="7"/>
        <v>19770.227066303356</v>
      </c>
      <c r="S56" s="143">
        <f t="shared" si="8"/>
        <v>8972.3796548592181</v>
      </c>
      <c r="U56" s="143">
        <f>SUM('[2]River Analysis'!$AJ$6:$AJ49)</f>
        <v>36967.463952502119</v>
      </c>
    </row>
    <row r="57" spans="3:21" x14ac:dyDescent="0.25">
      <c r="C57">
        <v>8</v>
      </c>
      <c r="D57" s="144">
        <f>+[1]Total!A404</f>
        <v>41466</v>
      </c>
      <c r="E57" s="153">
        <f t="shared" si="5"/>
        <v>2844.5666666666802</v>
      </c>
      <c r="F57" s="153">
        <f t="shared" si="6"/>
        <v>46.58431372549046</v>
      </c>
      <c r="G57" s="148"/>
      <c r="H57" s="148"/>
      <c r="I57" s="2"/>
      <c r="J57" s="2"/>
      <c r="K57" s="2">
        <f>SUM('[2]River Analysis'!P$6:$P50)</f>
        <v>731923.99999999988</v>
      </c>
      <c r="L57" s="2"/>
      <c r="M57" s="2">
        <f>SUM('[2]River Analysis'!$M$6:$M50)</f>
        <v>331214.33333333331</v>
      </c>
      <c r="N57" s="2"/>
      <c r="O57" s="2">
        <f>SUM('[2]River Analysis'!$S$6:$S50)</f>
        <v>1321826.3333333333</v>
      </c>
      <c r="Q57" s="143">
        <f t="shared" si="7"/>
        <v>19943.433242506806</v>
      </c>
      <c r="S57" s="143">
        <f t="shared" si="8"/>
        <v>9024.9137148047212</v>
      </c>
      <c r="U57" s="143">
        <f>SUM('[2]River Analysis'!$AJ$6:$AJ50)</f>
        <v>37798.015267175571</v>
      </c>
    </row>
    <row r="58" spans="3:21" x14ac:dyDescent="0.25">
      <c r="C58">
        <v>7</v>
      </c>
      <c r="D58" s="144">
        <f>+[1]Total!A405</f>
        <v>41473</v>
      </c>
      <c r="E58" s="153">
        <f t="shared" si="5"/>
        <v>2438.2000000000135</v>
      </c>
      <c r="F58" s="153">
        <f t="shared" si="6"/>
        <v>39.929411764706146</v>
      </c>
      <c r="G58" s="148"/>
      <c r="H58" s="148"/>
      <c r="I58" s="2"/>
      <c r="J58" s="2"/>
      <c r="K58" s="2">
        <f>SUM('[2]River Analysis'!P$6:$P51)</f>
        <v>736594.99999999988</v>
      </c>
      <c r="L58" s="2"/>
      <c r="M58" s="2">
        <f>SUM('[2]River Analysis'!$M$6:$M51)</f>
        <v>333918.33333333331</v>
      </c>
      <c r="N58" s="2"/>
      <c r="O58" s="2">
        <f>SUM('[2]River Analysis'!$S$6:$S51)</f>
        <v>1331417.3333333333</v>
      </c>
      <c r="Q58" s="143">
        <f t="shared" si="7"/>
        <v>20070.70844686648</v>
      </c>
      <c r="S58" s="143">
        <f t="shared" si="8"/>
        <v>9098.5921889191632</v>
      </c>
      <c r="U58" s="143">
        <f>SUM('[2]River Analysis'!$AJ$6:$AJ51)</f>
        <v>38637.319762510604</v>
      </c>
    </row>
    <row r="59" spans="3:21" x14ac:dyDescent="0.25">
      <c r="C59">
        <v>6</v>
      </c>
      <c r="D59" s="144">
        <f>+[1]Total!A406</f>
        <v>41480</v>
      </c>
      <c r="E59" s="153">
        <f t="shared" si="5"/>
        <v>2031.8333333333467</v>
      </c>
      <c r="F59" s="153">
        <f t="shared" si="6"/>
        <v>33.274509803921831</v>
      </c>
      <c r="G59" s="148"/>
      <c r="H59" s="148"/>
      <c r="I59" s="2"/>
      <c r="J59" s="2"/>
      <c r="K59" s="2">
        <f>SUM('[2]River Analysis'!P$6:$P52)</f>
        <v>743304.33333333326</v>
      </c>
      <c r="L59" s="2"/>
      <c r="M59" s="2">
        <f>SUM('[2]River Analysis'!$M$6:$M52)</f>
        <v>334704.33333333331</v>
      </c>
      <c r="N59" s="2"/>
      <c r="O59" s="2">
        <f>SUM('[2]River Analysis'!$S$6:$S52)</f>
        <v>1341250</v>
      </c>
      <c r="Q59" s="143">
        <f t="shared" si="7"/>
        <v>20253.524069028153</v>
      </c>
      <c r="S59" s="143">
        <f t="shared" si="8"/>
        <v>9120.0090826521337</v>
      </c>
      <c r="U59" s="143">
        <f>SUM('[2]River Analysis'!$AJ$6:$AJ52)</f>
        <v>39496.471586089909</v>
      </c>
    </row>
    <row r="60" spans="3:21" x14ac:dyDescent="0.25">
      <c r="C60">
        <v>5</v>
      </c>
      <c r="D60" s="144">
        <f>+[1]Total!A407</f>
        <v>41487</v>
      </c>
      <c r="E60" s="153">
        <f t="shared" si="5"/>
        <v>1625.4666666666799</v>
      </c>
      <c r="F60" s="153">
        <f t="shared" si="6"/>
        <v>26.619607843137516</v>
      </c>
      <c r="G60" s="148"/>
      <c r="H60" s="148"/>
      <c r="I60" s="2"/>
      <c r="J60" s="2"/>
      <c r="K60" s="2">
        <f>SUM('[2]River Analysis'!P$6:$P53)</f>
        <v>748464.66666666663</v>
      </c>
      <c r="L60" s="2"/>
      <c r="M60" s="2">
        <f>SUM('[2]River Analysis'!$M$6:$M53)</f>
        <v>337755.66666666663</v>
      </c>
      <c r="N60" s="2"/>
      <c r="O60" s="2">
        <f>SUM('[2]River Analysis'!$S$6:$S53)</f>
        <v>1352490.3333333333</v>
      </c>
      <c r="Q60" s="143">
        <f t="shared" si="7"/>
        <v>20394.132606721159</v>
      </c>
      <c r="S60" s="143">
        <f t="shared" si="8"/>
        <v>9203.1516802906426</v>
      </c>
      <c r="U60" s="143">
        <f>SUM('[2]River Analysis'!$AJ$6:$AJ53)</f>
        <v>40271.051738761664</v>
      </c>
    </row>
    <row r="61" spans="3:21" x14ac:dyDescent="0.25">
      <c r="C61">
        <v>4</v>
      </c>
      <c r="D61" s="144">
        <f>+[1]Total!A408</f>
        <v>41494</v>
      </c>
      <c r="E61" s="153">
        <f t="shared" si="5"/>
        <v>1219.1000000000131</v>
      </c>
      <c r="F61" s="153">
        <f t="shared" si="6"/>
        <v>19.964705882353201</v>
      </c>
      <c r="G61" s="148"/>
      <c r="H61" s="148"/>
      <c r="I61" s="2"/>
      <c r="J61" s="2"/>
      <c r="K61" s="2">
        <f>SUM('[2]River Analysis'!P$6:$P54)</f>
        <v>753584</v>
      </c>
      <c r="L61" s="2"/>
      <c r="M61" s="2">
        <f>SUM('[2]River Analysis'!$M$6:$M54)</f>
        <v>339562.66666666663</v>
      </c>
      <c r="N61" s="2"/>
      <c r="O61" s="2">
        <f>SUM('[2]River Analysis'!$S$6:$S54)</f>
        <v>1361337.3333333333</v>
      </c>
      <c r="Q61" s="143">
        <f t="shared" si="7"/>
        <v>20533.623978201635</v>
      </c>
      <c r="S61" s="143">
        <f t="shared" si="8"/>
        <v>9252.3887375113518</v>
      </c>
      <c r="U61" s="143">
        <f>SUM('[2]River Analysis'!$AJ$6:$AJ54)</f>
        <v>41131.382527565736</v>
      </c>
    </row>
    <row r="62" spans="3:21" x14ac:dyDescent="0.25">
      <c r="C62">
        <v>3</v>
      </c>
      <c r="D62" s="144">
        <f>+[1]Total!A409</f>
        <v>41501</v>
      </c>
      <c r="E62" s="153">
        <f t="shared" si="5"/>
        <v>812.73333333334642</v>
      </c>
      <c r="F62" s="153">
        <f t="shared" si="6"/>
        <v>13.309803921568887</v>
      </c>
      <c r="G62" s="148"/>
      <c r="H62" s="148"/>
      <c r="I62" s="2"/>
      <c r="J62" s="2"/>
      <c r="K62" s="2">
        <f>SUM('[2]River Analysis'!P$6:$P55)</f>
        <v>761919</v>
      </c>
      <c r="L62" s="2"/>
      <c r="M62" s="2">
        <f>SUM('[2]River Analysis'!$M$6:$M55)</f>
        <v>341896.33333333331</v>
      </c>
      <c r="N62" s="2"/>
      <c r="O62" s="2">
        <f>SUM('[2]River Analysis'!$S$6:$S55)</f>
        <v>1374602</v>
      </c>
      <c r="Q62" s="143">
        <f t="shared" si="7"/>
        <v>20760.735694822888</v>
      </c>
      <c r="S62" s="143">
        <f t="shared" si="8"/>
        <v>9315.9763851044499</v>
      </c>
      <c r="U62" s="143">
        <f>SUM('[2]River Analysis'!$AJ$6:$AJ55)</f>
        <v>41944.792196776929</v>
      </c>
    </row>
    <row r="63" spans="3:21" x14ac:dyDescent="0.25">
      <c r="C63">
        <v>2</v>
      </c>
      <c r="D63" s="144">
        <f>+[1]Total!A410</f>
        <v>41508</v>
      </c>
      <c r="E63" s="153">
        <f t="shared" si="5"/>
        <v>406.36666666667975</v>
      </c>
      <c r="F63" s="153">
        <f t="shared" si="6"/>
        <v>6.6549019607845743</v>
      </c>
      <c r="G63" s="148"/>
      <c r="H63" s="148"/>
      <c r="I63" s="2"/>
      <c r="J63" s="2"/>
      <c r="K63" s="2">
        <f>SUM('[2]River Analysis'!P$6:$P56)</f>
        <v>772685.33333333337</v>
      </c>
      <c r="L63" s="2"/>
      <c r="M63" s="2">
        <f>SUM('[2]River Analysis'!$M$6:$M56)</f>
        <v>344269.33333333331</v>
      </c>
      <c r="N63" s="2"/>
      <c r="O63" s="2">
        <f>SUM('[2]River Analysis'!$S$6:$S56)</f>
        <v>1389600.6666666667</v>
      </c>
      <c r="Q63" s="143">
        <f t="shared" si="7"/>
        <v>21054.096276112625</v>
      </c>
      <c r="S63" s="143">
        <f t="shared" si="8"/>
        <v>9380.6357856494087</v>
      </c>
      <c r="U63" s="143">
        <f>SUM('[2]River Analysis'!$AJ$6:$AJ56)</f>
        <v>42777.073791348601</v>
      </c>
    </row>
    <row r="64" spans="3:21" x14ac:dyDescent="0.25">
      <c r="C64">
        <v>1</v>
      </c>
      <c r="D64" s="144">
        <f>+[1]Total!A411</f>
        <v>41515</v>
      </c>
      <c r="E64" s="153">
        <f t="shared" si="5"/>
        <v>1.3073986337985843E-11</v>
      </c>
      <c r="F64" s="153">
        <f t="shared" si="6"/>
        <v>2.6112445539183682E-13</v>
      </c>
      <c r="G64" s="148"/>
      <c r="H64" s="148"/>
      <c r="I64" s="2"/>
      <c r="J64" s="2"/>
      <c r="K64" s="2">
        <f>SUM('[2]River Analysis'!P$6:$P57)</f>
        <v>779698.33333333337</v>
      </c>
      <c r="L64" s="2"/>
      <c r="M64" s="2">
        <f>SUM('[2]River Analysis'!$M$6:$M57)</f>
        <v>346754.33333333331</v>
      </c>
      <c r="N64" s="2"/>
      <c r="O64" s="2">
        <f>SUM('[2]River Analysis'!$S$6:$S57)</f>
        <v>1401103</v>
      </c>
      <c r="Q64" s="143">
        <f t="shared" si="7"/>
        <v>21245.186194368755</v>
      </c>
      <c r="S64" s="143">
        <f t="shared" si="8"/>
        <v>9448.3469573115344</v>
      </c>
      <c r="U64" s="143">
        <f>SUM('[2]River Analysis'!$AJ$6:$AJ57)</f>
        <v>43612.773536895678</v>
      </c>
    </row>
    <row r="65" spans="3:21" x14ac:dyDescent="0.25">
      <c r="D65" s="142" t="s">
        <v>266</v>
      </c>
      <c r="E65" s="145">
        <f>+'GTR Soybean Table'!C17</f>
        <v>0</v>
      </c>
      <c r="F65" s="145">
        <f>+E65</f>
        <v>0</v>
      </c>
      <c r="G65" s="148"/>
      <c r="H65" s="2"/>
      <c r="I65" s="2"/>
      <c r="J65" s="2"/>
      <c r="K65" s="2"/>
      <c r="L65" s="2"/>
      <c r="M65" s="2"/>
      <c r="N65" s="2"/>
      <c r="O65" s="2"/>
    </row>
    <row r="66" spans="3:21" x14ac:dyDescent="0.25">
      <c r="C66" s="146" t="s">
        <v>267</v>
      </c>
      <c r="D66" s="146" t="s">
        <v>268</v>
      </c>
      <c r="E66" s="73">
        <f>+(E65-E13)/51</f>
        <v>-406.36666666666667</v>
      </c>
      <c r="F66" s="73">
        <f>+(F65-F13)/51</f>
        <v>-6.6549019607843132</v>
      </c>
      <c r="G66" s="147">
        <f>+G29-G28</f>
        <v>339.29999999999927</v>
      </c>
      <c r="H66" s="147">
        <f>+H29-H28</f>
        <v>-20061.900000000001</v>
      </c>
      <c r="I66" s="2"/>
      <c r="J66" s="2"/>
      <c r="K66" s="147">
        <f>+K29-K28</f>
        <v>26358</v>
      </c>
      <c r="L66" s="2"/>
      <c r="M66" s="147">
        <f>+M29-M28</f>
        <v>8601.333333333343</v>
      </c>
      <c r="N66" s="2"/>
      <c r="O66" s="147">
        <f>+O29-O28</f>
        <v>45525.333333333372</v>
      </c>
      <c r="Q66" s="147">
        <f>+Q29-Q28</f>
        <v>718.201634877385</v>
      </c>
      <c r="S66" s="147">
        <f>+S29-S28</f>
        <v>234.3687556766572</v>
      </c>
      <c r="U66" s="147">
        <f>+U29-U28</f>
        <v>983.8083121289219</v>
      </c>
    </row>
  </sheetData>
  <mergeCells count="4">
    <mergeCell ref="C11:D11"/>
    <mergeCell ref="E11:I11"/>
    <mergeCell ref="J11:O11"/>
    <mergeCell ref="P11:U11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3.2" x14ac:dyDescent="0.25"/>
  <sheetData>
    <row r="1" spans="1:14" x14ac:dyDescent="0.25">
      <c r="A1" s="93" t="s">
        <v>319</v>
      </c>
    </row>
    <row r="2" spans="1:14" x14ac:dyDescent="0.25">
      <c r="A2" s="93" t="s">
        <v>320</v>
      </c>
    </row>
    <row r="3" spans="1:14" x14ac:dyDescent="0.25">
      <c r="A3" s="93" t="s">
        <v>321</v>
      </c>
    </row>
    <row r="4" spans="1:14" x14ac:dyDescent="0.25">
      <c r="A4" s="93" t="s">
        <v>322</v>
      </c>
    </row>
    <row r="5" spans="1:14" x14ac:dyDescent="0.25">
      <c r="A5" s="225">
        <v>41338</v>
      </c>
      <c r="B5" s="225"/>
      <c r="C5" s="225"/>
      <c r="D5" s="225"/>
      <c r="E5" s="225"/>
      <c r="F5" s="189"/>
      <c r="G5" s="189"/>
      <c r="H5" s="190" t="s">
        <v>312</v>
      </c>
      <c r="I5" s="190" t="s">
        <v>312</v>
      </c>
      <c r="J5" s="190" t="s">
        <v>312</v>
      </c>
      <c r="K5" s="190" t="s">
        <v>312</v>
      </c>
      <c r="L5" s="190" t="s">
        <v>313</v>
      </c>
      <c r="M5" s="190" t="s">
        <v>313</v>
      </c>
      <c r="N5" s="189"/>
    </row>
    <row r="6" spans="1:14" x14ac:dyDescent="0.25">
      <c r="A6" s="189"/>
      <c r="B6" s="189"/>
      <c r="C6" s="189"/>
      <c r="D6" s="189"/>
      <c r="E6" s="189"/>
      <c r="F6" s="226" t="s">
        <v>26</v>
      </c>
      <c r="G6" s="226" t="s">
        <v>314</v>
      </c>
      <c r="H6" s="226" t="s">
        <v>315</v>
      </c>
      <c r="I6" s="226" t="s">
        <v>316</v>
      </c>
      <c r="J6" s="226" t="s">
        <v>317</v>
      </c>
      <c r="K6" s="226" t="s">
        <v>265</v>
      </c>
      <c r="L6" s="226" t="s">
        <v>315</v>
      </c>
      <c r="M6" s="226" t="s">
        <v>317</v>
      </c>
      <c r="N6" s="189"/>
    </row>
    <row r="7" spans="1:14" x14ac:dyDescent="0.25">
      <c r="A7" s="189"/>
      <c r="B7" s="189"/>
      <c r="C7" s="189"/>
      <c r="D7" s="189"/>
      <c r="E7" s="189"/>
      <c r="F7" s="226"/>
      <c r="G7" s="226"/>
      <c r="H7" s="226"/>
      <c r="I7" s="226"/>
      <c r="J7" s="226"/>
      <c r="K7" s="226"/>
      <c r="L7" s="226"/>
      <c r="M7" s="226"/>
      <c r="N7" s="189"/>
    </row>
    <row r="8" spans="1:14" ht="26.4" x14ac:dyDescent="0.25">
      <c r="A8" s="227" t="s">
        <v>291</v>
      </c>
      <c r="B8" s="227"/>
      <c r="C8" s="227" t="s">
        <v>259</v>
      </c>
      <c r="D8" s="227"/>
      <c r="E8" s="191" t="s">
        <v>293</v>
      </c>
      <c r="F8" s="190" t="s">
        <v>5</v>
      </c>
      <c r="G8" s="190" t="s">
        <v>5</v>
      </c>
      <c r="H8" s="190" t="s">
        <v>21</v>
      </c>
      <c r="I8" s="190" t="s">
        <v>21</v>
      </c>
      <c r="J8" s="190" t="s">
        <v>21</v>
      </c>
      <c r="K8" s="190" t="s">
        <v>37</v>
      </c>
      <c r="L8" s="190" t="s">
        <v>21</v>
      </c>
      <c r="M8" s="190" t="s">
        <v>21</v>
      </c>
      <c r="N8" s="190" t="s">
        <v>318</v>
      </c>
    </row>
    <row r="10" spans="1:14" s="184" customFormat="1" ht="24" x14ac:dyDescent="0.25">
      <c r="B10" s="185" t="s">
        <v>288</v>
      </c>
      <c r="C10" s="186">
        <v>41319</v>
      </c>
      <c r="E10" s="185" t="s">
        <v>310</v>
      </c>
      <c r="F10" s="187">
        <v>956073</v>
      </c>
      <c r="G10" s="187">
        <v>29141315</v>
      </c>
      <c r="H10" s="187">
        <v>4768910</v>
      </c>
      <c r="I10" s="187">
        <v>217157</v>
      </c>
      <c r="J10" s="187">
        <v>-119526</v>
      </c>
      <c r="K10" s="187">
        <v>33910225</v>
      </c>
      <c r="L10" s="187">
        <v>3064941</v>
      </c>
      <c r="M10" s="187">
        <v>62000</v>
      </c>
      <c r="N10" s="188" t="s">
        <v>311</v>
      </c>
    </row>
  </sheetData>
  <mergeCells count="11">
    <mergeCell ref="M6:M7"/>
    <mergeCell ref="A8:B8"/>
    <mergeCell ref="C8:D8"/>
    <mergeCell ref="J6:J7"/>
    <mergeCell ref="K6:K7"/>
    <mergeCell ref="A5:E5"/>
    <mergeCell ref="F6:F7"/>
    <mergeCell ref="G6:G7"/>
    <mergeCell ref="H6:H7"/>
    <mergeCell ref="I6:I7"/>
    <mergeCell ref="L6:L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GTR Soybean Table</vt:lpstr>
      <vt:lpstr>US</vt:lpstr>
      <vt:lpstr>China</vt:lpstr>
      <vt:lpstr>Mexico</vt:lpstr>
      <vt:lpstr>Japan</vt:lpstr>
      <vt:lpstr>Taiwan</vt:lpstr>
      <vt:lpstr>Indonesia</vt:lpstr>
      <vt:lpstr>Korea</vt:lpstr>
      <vt:lpstr>EU</vt:lpstr>
      <vt:lpstr>Egypt</vt:lpstr>
      <vt:lpstr>Data</vt:lpstr>
      <vt:lpstr>Sheet1</vt:lpstr>
      <vt:lpstr>2012-13 weekly analysis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McKinney, Christie Lynn</dc:creator>
  <cp:lastModifiedBy>Johnny Hill</cp:lastModifiedBy>
  <cp:lastPrinted>2013-01-17T18:35:50Z</cp:lastPrinted>
  <dcterms:created xsi:type="dcterms:W3CDTF">2005-11-09T12:31:30Z</dcterms:created>
  <dcterms:modified xsi:type="dcterms:W3CDTF">2014-03-03T13:58:26Z</dcterms:modified>
</cp:coreProperties>
</file>