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2100" yWindow="1425" windowWidth="13335" windowHeight="9105" tabRatio="752" firstSheet="1" activeTab="1"/>
  </bookViews>
  <sheets>
    <sheet name="Calendar 2003" sheetId="5" state="hidden" r:id="rId1"/>
    <sheet name="Calendar 2013" sheetId="16" r:id="rId2"/>
    <sheet name="Calendar 2012" sheetId="15" r:id="rId3"/>
    <sheet name="2008 - 2011" sheetId="11" r:id="rId4"/>
    <sheet name="Calendar 2008" sheetId="10" state="hidden" r:id="rId5"/>
    <sheet name="Calendar 2007" sheetId="9" state="hidden" r:id="rId6"/>
    <sheet name="Calendar 2006" sheetId="8" state="hidden" r:id="rId7"/>
    <sheet name="Calendar 2005" sheetId="7" state="hidden" r:id="rId8"/>
  </sheets>
  <definedNames>
    <definedName name="_xlnm.Print_Area" localSheetId="3">'2008 - 2011'!$A$1:$K$48</definedName>
    <definedName name="_xlnm.Print_Area" localSheetId="4">'Calendar 2008'!$A$1:$L$48</definedName>
    <definedName name="_xlnm.Print_Area" localSheetId="2">'Calendar 2012'!$A$1:$M$49</definedName>
    <definedName name="_xlnm.Print_Area" localSheetId="1">'Calendar 2013'!$A$1:$K$47</definedName>
  </definedNames>
  <calcPr calcId="125725"/>
</workbook>
</file>

<file path=xl/calcChain.xml><?xml version="1.0" encoding="utf-8"?>
<calcChain xmlns="http://schemas.openxmlformats.org/spreadsheetml/2006/main">
  <c r="J26" i="10"/>
  <c r="H26"/>
  <c r="J28"/>
  <c r="J11"/>
  <c r="J19"/>
  <c r="J20"/>
  <c r="J24"/>
  <c r="J29"/>
  <c r="J31"/>
  <c r="J33"/>
  <c r="J22"/>
  <c r="H28"/>
  <c r="H11"/>
  <c r="H20"/>
  <c r="H24"/>
  <c r="H29"/>
  <c r="H31"/>
  <c r="H33"/>
  <c r="F26"/>
  <c r="D26"/>
  <c r="L26"/>
  <c r="L28"/>
  <c r="L27"/>
  <c r="F28"/>
  <c r="L9"/>
  <c r="L10"/>
  <c r="L11"/>
  <c r="L13"/>
  <c r="L14"/>
  <c r="L15"/>
  <c r="L16"/>
  <c r="L18"/>
  <c r="L19"/>
  <c r="F11"/>
  <c r="F20"/>
  <c r="L13" i="9"/>
  <c r="L16"/>
  <c r="L9"/>
  <c r="L10"/>
  <c r="L14"/>
  <c r="L15"/>
  <c r="L18"/>
  <c r="L19"/>
  <c r="J11"/>
  <c r="J20"/>
  <c r="J37"/>
  <c r="H11"/>
  <c r="H20"/>
  <c r="H37"/>
  <c r="F11"/>
  <c r="F20"/>
  <c r="F37"/>
  <c r="D11"/>
  <c r="D20"/>
  <c r="D37"/>
  <c r="N11" i="8"/>
  <c r="N20"/>
  <c r="L9"/>
  <c r="L10"/>
  <c r="L11"/>
  <c r="L13"/>
  <c r="L14"/>
  <c r="L15"/>
  <c r="L16"/>
  <c r="L18"/>
  <c r="L19"/>
  <c r="J11"/>
  <c r="J20"/>
  <c r="H11"/>
  <c r="H20"/>
  <c r="F11"/>
  <c r="F20"/>
  <c r="D11"/>
  <c r="D20"/>
  <c r="D11" i="10"/>
  <c r="D20"/>
  <c r="D22"/>
  <c r="L22" i="9"/>
  <c r="L22" i="10"/>
  <c r="L21"/>
  <c r="L30"/>
  <c r="L32"/>
  <c r="L25" i="9"/>
  <c r="L21"/>
  <c r="L27"/>
  <c r="L29"/>
  <c r="D26"/>
  <c r="D28"/>
  <c r="D30"/>
  <c r="N11" i="7"/>
  <c r="N20"/>
  <c r="N24"/>
  <c r="N26"/>
  <c r="N28"/>
  <c r="N31"/>
  <c r="N14"/>
  <c r="N15"/>
  <c r="L9"/>
  <c r="L10"/>
  <c r="L11"/>
  <c r="L20"/>
  <c r="L24"/>
  <c r="L26"/>
  <c r="L28"/>
  <c r="L31"/>
  <c r="L13"/>
  <c r="L14"/>
  <c r="L15"/>
  <c r="L16"/>
  <c r="L18"/>
  <c r="L19"/>
  <c r="L21"/>
  <c r="L22"/>
  <c r="L25"/>
  <c r="L27"/>
  <c r="L29"/>
  <c r="J11"/>
  <c r="J20"/>
  <c r="J24"/>
  <c r="J26"/>
  <c r="J28"/>
  <c r="J31"/>
  <c r="H11"/>
  <c r="H20"/>
  <c r="H24"/>
  <c r="H26"/>
  <c r="H28"/>
  <c r="H31"/>
  <c r="F11"/>
  <c r="F20"/>
  <c r="F24"/>
  <c r="F26"/>
  <c r="F28"/>
  <c r="F31"/>
  <c r="D11"/>
  <c r="D20"/>
  <c r="D24"/>
  <c r="D26"/>
  <c r="D28"/>
  <c r="D31"/>
  <c r="L30" i="8"/>
  <c r="L23"/>
  <c r="L22"/>
  <c r="L21"/>
  <c r="L26"/>
  <c r="L28"/>
  <c r="D28" i="10"/>
  <c r="H40"/>
  <c r="N38" i="8"/>
  <c r="N25"/>
  <c r="N27"/>
  <c r="N29"/>
  <c r="N31"/>
  <c r="D25"/>
  <c r="D27"/>
  <c r="D29"/>
  <c r="D31"/>
  <c r="D38"/>
  <c r="L20"/>
  <c r="L25"/>
  <c r="L27"/>
  <c r="L29"/>
  <c r="L31"/>
  <c r="H25"/>
  <c r="H27"/>
  <c r="H29"/>
  <c r="H31"/>
  <c r="H38"/>
  <c r="F38"/>
  <c r="F25"/>
  <c r="F27"/>
  <c r="F29"/>
  <c r="F31"/>
  <c r="J38"/>
  <c r="J25"/>
  <c r="J27"/>
  <c r="J29"/>
  <c r="J31"/>
  <c r="J24" i="9"/>
  <c r="J26"/>
  <c r="J28"/>
  <c r="J30"/>
  <c r="L11"/>
  <c r="L20"/>
  <c r="L37"/>
  <c r="H24"/>
  <c r="H26"/>
  <c r="H28"/>
  <c r="H30"/>
  <c r="F24"/>
  <c r="F26"/>
  <c r="F28"/>
  <c r="F30"/>
  <c r="D24" i="10"/>
  <c r="D29"/>
  <c r="D31"/>
  <c r="D33"/>
  <c r="D40"/>
  <c r="L20"/>
  <c r="L24"/>
  <c r="L29"/>
  <c r="L31"/>
  <c r="L33"/>
  <c r="F40"/>
  <c r="F24"/>
  <c r="F29"/>
  <c r="F31"/>
  <c r="F33"/>
  <c r="L40"/>
  <c r="J40"/>
  <c r="L38" i="8"/>
  <c r="L24" i="9"/>
  <c r="L26"/>
  <c r="L28"/>
  <c r="L30"/>
</calcChain>
</file>

<file path=xl/sharedStrings.xml><?xml version="1.0" encoding="utf-8"?>
<sst xmlns="http://schemas.openxmlformats.org/spreadsheetml/2006/main" count="371" uniqueCount="149">
  <si>
    <t>PEABODY ENERGY CORPORATION</t>
  </si>
  <si>
    <t>REVENUES</t>
  </si>
  <si>
    <t>OPERATING COSTS AND EXPENSES</t>
  </si>
  <si>
    <t>OPERATING PROFIT</t>
  </si>
  <si>
    <t>March 31,</t>
  </si>
  <si>
    <t>June 30,</t>
  </si>
  <si>
    <t xml:space="preserve">INCOME (LOSS) BEFORE INCOME TAXES </t>
  </si>
  <si>
    <t xml:space="preserve">  AND MINORITY INTERESTS</t>
  </si>
  <si>
    <t>EBITDA</t>
  </si>
  <si>
    <t xml:space="preserve">    Interest income</t>
  </si>
  <si>
    <t xml:space="preserve">    Income tax provision (benefit)</t>
  </si>
  <si>
    <t xml:space="preserve">    Minority interests</t>
  </si>
  <si>
    <t xml:space="preserve">    Interest expense</t>
  </si>
  <si>
    <t xml:space="preserve">    Selling and administrative expenses</t>
  </si>
  <si>
    <t xml:space="preserve">    Depreciation, depletion and amortization</t>
  </si>
  <si>
    <t xml:space="preserve">    Operating costs and expenses</t>
  </si>
  <si>
    <t xml:space="preserve">    Other revenues</t>
  </si>
  <si>
    <t xml:space="preserve">    Sales</t>
  </si>
  <si>
    <t xml:space="preserve">           Total revenues</t>
  </si>
  <si>
    <t>Calendar</t>
  </si>
  <si>
    <t>Sept. 30,</t>
  </si>
  <si>
    <t>Dec. 31,</t>
  </si>
  <si>
    <t xml:space="preserve">    Asset retirement obligation expense</t>
  </si>
  <si>
    <t xml:space="preserve">    Early debt extinguishment costs</t>
  </si>
  <si>
    <t>INCOME (LOSS) BEFORE CUMULATIVE EFFECT</t>
  </si>
  <si>
    <t xml:space="preserve">  OF ACCOUNTING CHANGES</t>
  </si>
  <si>
    <t xml:space="preserve">    Cumulative effect of accounting changes, net of taxes</t>
  </si>
  <si>
    <t xml:space="preserve">INCOME BEFORE EARLY DEBT EXTINGUISHMENT </t>
  </si>
  <si>
    <t xml:space="preserve">Diluted EPS - Income before early debt extinguishment </t>
  </si>
  <si>
    <t xml:space="preserve">For a better comparison with 2002 results, we have presented a pro forma measure of income and EPS </t>
  </si>
  <si>
    <t xml:space="preserve">excluding the charges related to the early debt extinguishment incurred in 2003. Statement of Financial </t>
  </si>
  <si>
    <t>Accounting Standards No. 145, effective Jan. 1, 2003, requires the classification of costs related to</t>
  </si>
  <si>
    <t>early debt extinguishment, which were previously considered extraordinary items, in results from operations.</t>
  </si>
  <si>
    <t>Quarters Ended (Unaudited)</t>
  </si>
  <si>
    <t>Quarterly Consolidated Statements of Operations</t>
  </si>
  <si>
    <t>NET INCOME</t>
  </si>
  <si>
    <t>INCOME FROM CONTINUING OPERATIONS</t>
  </si>
  <si>
    <t xml:space="preserve">    Other operating income:</t>
  </si>
  <si>
    <t>1</t>
  </si>
  <si>
    <t>2</t>
  </si>
  <si>
    <r>
      <t>Diluted number of shares (weighted average in millions)</t>
    </r>
    <r>
      <rPr>
        <vertAlign val="superscript"/>
        <sz val="12"/>
        <rFont val="Arial"/>
        <family val="2"/>
      </rPr>
      <t>1</t>
    </r>
  </si>
  <si>
    <r>
      <t>EPS - Income (loss) before accounting changes</t>
    </r>
    <r>
      <rPr>
        <vertAlign val="superscript"/>
        <sz val="12"/>
        <rFont val="Arial"/>
        <family val="2"/>
      </rPr>
      <t>1</t>
    </r>
  </si>
  <si>
    <r>
      <t>EPS - Net income (loss)</t>
    </r>
    <r>
      <rPr>
        <vertAlign val="superscript"/>
        <sz val="12"/>
        <rFont val="Arial"/>
        <family val="2"/>
      </rPr>
      <t>1</t>
    </r>
  </si>
  <si>
    <r>
      <t xml:space="preserve">  COSTS AND ACCOUNTING CHANGES</t>
    </r>
    <r>
      <rPr>
        <vertAlign val="superscript"/>
        <sz val="12"/>
        <rFont val="Arial"/>
        <family val="2"/>
      </rPr>
      <t>2</t>
    </r>
  </si>
  <si>
    <r>
      <t xml:space="preserve">  costs and accounting changes</t>
    </r>
    <r>
      <rPr>
        <vertAlign val="superscript"/>
        <sz val="12"/>
        <rFont val="Arial"/>
        <family val="2"/>
      </rPr>
      <t>2</t>
    </r>
  </si>
  <si>
    <t xml:space="preserve">        Net gain on disposal of assets</t>
  </si>
  <si>
    <t xml:space="preserve">        Income from equity affiliates</t>
  </si>
  <si>
    <t>COSTS AND EXPENSES</t>
  </si>
  <si>
    <t>(Audited)</t>
  </si>
  <si>
    <t>Reflects the company's March 30, 2005 and February 22, 2006 two-for-one stock splits.</t>
  </si>
  <si>
    <t>Reflects the company's February 22, 2006 two-for-one stock split.</t>
  </si>
  <si>
    <t>Quarterly Consolidated Income Statements</t>
  </si>
  <si>
    <t xml:space="preserve">        Net gain on disposal or exchange of assets</t>
  </si>
  <si>
    <t>(Unaudited)</t>
  </si>
  <si>
    <t xml:space="preserve">    Early debt extinguishment costs (gains) </t>
  </si>
  <si>
    <t>This information is intended to be reviewed in conjunction with the company's filings with the Securities and Exchange Commission.</t>
  </si>
  <si>
    <r>
      <t xml:space="preserve">Diluted EPS </t>
    </r>
    <r>
      <rPr>
        <vertAlign val="superscript"/>
        <sz val="12"/>
        <rFont val="Arial"/>
        <family val="2"/>
      </rPr>
      <t>1</t>
    </r>
  </si>
  <si>
    <t>Year Ended</t>
  </si>
  <si>
    <t>Peabody</t>
  </si>
  <si>
    <t>Continuing</t>
  </si>
  <si>
    <t>NET INCOME (LOSS)</t>
  </si>
  <si>
    <t>3</t>
  </si>
  <si>
    <r>
      <t>Operations</t>
    </r>
    <r>
      <rPr>
        <vertAlign val="superscript"/>
        <sz val="12"/>
        <rFont val="Arial"/>
        <family val="2"/>
      </rPr>
      <t>3</t>
    </r>
  </si>
  <si>
    <r>
      <t>Operations</t>
    </r>
    <r>
      <rPr>
        <vertAlign val="superscript"/>
        <sz val="12"/>
        <rFont val="Arial"/>
        <family val="2"/>
      </rPr>
      <t>2</t>
    </r>
  </si>
  <si>
    <t xml:space="preserve">    Income tax provision </t>
  </si>
  <si>
    <t>(Dollars in millions, except per share data)</t>
  </si>
  <si>
    <t>Gain (loss) from discontinued operations, net of taxes</t>
  </si>
  <si>
    <t>Adjusted for discontinued operations of Patriot Coal Corporation and the assets held for sale.</t>
  </si>
  <si>
    <t xml:space="preserve">        (Income) loss from equity affiliates</t>
  </si>
  <si>
    <t>INCOME FROM CONTINUING OPERATIONS, NET OF TAX</t>
  </si>
  <si>
    <t xml:space="preserve">  BEFORE INCOME TAXES</t>
  </si>
  <si>
    <t>Less: net income attributable to the noncontrolling interest</t>
  </si>
  <si>
    <t>Gain from discontinued operations, net of tax</t>
  </si>
  <si>
    <t>NET INCOME ATTRIBUTABLE TO COMMON</t>
  </si>
  <si>
    <t>SHAREHOLDERS</t>
  </si>
  <si>
    <t>NET INCOME ATTRIBUTABLE TO COMMON STOCKHOLDERS</t>
  </si>
  <si>
    <t xml:space="preserve">    Income tax provision:</t>
  </si>
  <si>
    <t xml:space="preserve">        Provision</t>
  </si>
  <si>
    <t>Diluted EPS from Continuing Operations</t>
  </si>
  <si>
    <t>(1)</t>
  </si>
  <si>
    <t xml:space="preserve">Quarter Ended </t>
  </si>
  <si>
    <t xml:space="preserve">    Other operating (income) loss:</t>
  </si>
  <si>
    <t>Interest expense</t>
  </si>
  <si>
    <t>INCOME FROM CONTINUING OPERATIONS, NET OF INCOME TAXES</t>
  </si>
  <si>
    <t>Loss from discontinued operations, net of income taxes</t>
  </si>
  <si>
    <t>Less: net income attributable to noncontrolling interests</t>
  </si>
  <si>
    <t xml:space="preserve">We compute EPS using a two-class method using an earnings allocation method that determines EPS separately for common stock and participating securities. As a result, it may not be possible to recalculate EPS as presented in our condensed consolidated statements of operations.  </t>
  </si>
  <si>
    <t>EBITDA (also called Adjusted EBITDA) is defined as income from continuing operations before deducting net interest expense, income taxes, asset retirement obligation expense, and depreciation, depletion and amortization.  EBITDA, which is not calculated identically by all companies, is not a substitute for operating income, net income or cash flow as determined in accordance with United States generally accepted accounting principles.  Management uses EBITDA as a key measure of operating performance and also believes it is a useful indicator of the company’s ability to meet debt service and capital expenditure requirements.</t>
  </si>
  <si>
    <t>(2)</t>
  </si>
  <si>
    <r>
      <t xml:space="preserve">Diluted number of shares (weighted average in millions) </t>
    </r>
    <r>
      <rPr>
        <vertAlign val="superscript"/>
        <sz val="12"/>
        <rFont val="Arial"/>
        <family val="2"/>
      </rPr>
      <t>(1)</t>
    </r>
  </si>
  <si>
    <r>
      <t xml:space="preserve">EBITDA </t>
    </r>
    <r>
      <rPr>
        <vertAlign val="superscript"/>
        <sz val="12"/>
        <rFont val="Arial"/>
        <family val="2"/>
      </rPr>
      <t>(2)</t>
    </r>
  </si>
  <si>
    <t xml:space="preserve">        Remeasurement expense (benefit) related to foreign income tax accounts</t>
  </si>
  <si>
    <t>Income (loss) from discontinued operations, net of income taxes</t>
  </si>
  <si>
    <t>Income (loss) from discontinued operations, net of incomes taxes</t>
  </si>
  <si>
    <t>Gain from discontinued operations, net of incomes taxes</t>
  </si>
  <si>
    <t>Less: net income (loss) attributable to noncontrolling interests</t>
  </si>
  <si>
    <r>
      <t xml:space="preserve">EBITDA </t>
    </r>
    <r>
      <rPr>
        <vertAlign val="superscript"/>
        <sz val="12"/>
        <rFont val="Arial"/>
        <family val="2"/>
      </rPr>
      <t>(3)</t>
    </r>
  </si>
  <si>
    <t>(3)</t>
  </si>
  <si>
    <t>(4)</t>
  </si>
  <si>
    <r>
      <t>Operations</t>
    </r>
    <r>
      <rPr>
        <vertAlign val="superscript"/>
        <sz val="12"/>
        <rFont val="Arial"/>
        <family val="2"/>
      </rPr>
      <t>4</t>
    </r>
  </si>
  <si>
    <r>
      <t xml:space="preserve">Diluted EPS from Continuing Operations </t>
    </r>
    <r>
      <rPr>
        <vertAlign val="superscript"/>
        <sz val="12"/>
        <rFont val="Arial"/>
        <family val="2"/>
      </rPr>
      <t>(2)</t>
    </r>
  </si>
  <si>
    <t>Interest income</t>
  </si>
  <si>
    <t>December 31,</t>
  </si>
  <si>
    <t>September 30,</t>
  </si>
  <si>
    <r>
      <t xml:space="preserve">Adjusted EBITDA </t>
    </r>
    <r>
      <rPr>
        <vertAlign val="superscript"/>
        <sz val="12"/>
        <rFont val="Arial"/>
        <family val="2"/>
      </rPr>
      <t>(2)</t>
    </r>
  </si>
  <si>
    <t xml:space="preserve">        Provision (benefit)</t>
  </si>
  <si>
    <t xml:space="preserve">    Income tax provision (benefit):</t>
  </si>
  <si>
    <t xml:space="preserve">Year Ended </t>
  </si>
  <si>
    <t xml:space="preserve">        Asset impairment and mine closure costs</t>
  </si>
  <si>
    <t xml:space="preserve">        Tax benefit related to asset impairment and mine closure costs</t>
  </si>
  <si>
    <t>OPERATING PROFIT (LOSS)</t>
  </si>
  <si>
    <t>INCOME (LOSS) FROM CONTINUING OPERATIONS, NET OF INCOME TAXES</t>
  </si>
  <si>
    <t>NET INCOME (LOSS) ATTRIBUTABLE TO COMMON STOCKHOLDERS</t>
  </si>
  <si>
    <t>Quarterly and Annual Condensed Consolidated Statements of Operations</t>
  </si>
  <si>
    <t>Less: Net income (loss) attributable to noncontrolling interests</t>
  </si>
  <si>
    <t>(In millions, except per share data)</t>
  </si>
  <si>
    <t>Less: Net income attributable to noncontrolling interests</t>
  </si>
  <si>
    <t xml:space="preserve">    Asset retirement obligation expenses</t>
  </si>
  <si>
    <t xml:space="preserve">We compute EPS using the two-class method, which is an earnings allocation method that determines EPS separately for common stock and participating securities. As a result, it may not be possible to recalculate EPS directly from information presented in our condensed consolidated statements of operations.  </t>
  </si>
  <si>
    <t xml:space="preserve">    Acquisition costs related to Macarthur Coal Limited</t>
  </si>
  <si>
    <t>(Loss) income from discontinued operations, net of income taxes</t>
  </si>
  <si>
    <t>Condensed Consolidated Statements of Operations</t>
  </si>
  <si>
    <t xml:space="preserve">        Remeasurement (benefit) expense related to foreign income tax accounts</t>
  </si>
  <si>
    <t>Less: Net (loss) income attributable to noncontrolling interests</t>
  </si>
  <si>
    <t xml:space="preserve">        Loss from equity affiliates:</t>
  </si>
  <si>
    <t xml:space="preserve">           Amortization of basis difference  </t>
  </si>
  <si>
    <t xml:space="preserve">           Results of operations</t>
  </si>
  <si>
    <t xml:space="preserve">        Remeasurement expense related to foreign income tax accounts</t>
  </si>
  <si>
    <t>LOSS FROM CONTINUING OPERATIONS, NET OF INCOME TAXES</t>
  </si>
  <si>
    <t>LOSS FROM CONTINUING OPERATIONS  BEFORE INCOME TAXES</t>
  </si>
  <si>
    <t>NET LOSS</t>
  </si>
  <si>
    <t>NET LOSS ATTRIBUTABLE TO COMMON STOCKHOLDERS</t>
  </si>
  <si>
    <t xml:space="preserve">           Amortization of basis difference</t>
  </si>
  <si>
    <t>INCOME (LOSS) FROM CONTINUING OPERATIONS BEFORE INCOME TAXES</t>
  </si>
  <si>
    <t>Quarterly Condensed Consolidated Statements of Operations</t>
  </si>
  <si>
    <t xml:space="preserve">Diluted shares outstanding (weighted average in millions) </t>
  </si>
  <si>
    <t>Adjusted EBITDA is defined as (loss) income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</si>
  <si>
    <r>
      <t xml:space="preserve">Diluted EPS - Loss from Continuing Operations </t>
    </r>
    <r>
      <rPr>
        <vertAlign val="superscript"/>
        <sz val="12"/>
        <rFont val="Arial"/>
        <family val="2"/>
      </rPr>
      <t>(1)</t>
    </r>
  </si>
  <si>
    <t xml:space="preserve">            Income tax provision (benefit)</t>
  </si>
  <si>
    <t xml:space="preserve">               Loss from equity affiliates</t>
  </si>
  <si>
    <t xml:space="preserve">            Income tax provision</t>
  </si>
  <si>
    <t>Adjusted EBITDA is defined as income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</si>
  <si>
    <t>Adjusted EBITDA is defined as income (loss)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</si>
  <si>
    <r>
      <t xml:space="preserve">Diluted EPS - Income (Loss) from Continuing Operations </t>
    </r>
    <r>
      <rPr>
        <vertAlign val="superscript"/>
        <sz val="12"/>
        <rFont val="Arial"/>
        <family val="2"/>
      </rPr>
      <t>(1)</t>
    </r>
  </si>
  <si>
    <t>INCOME FROM CONTINUING OPERATIONSBEFORE INCOME TAXES</t>
  </si>
  <si>
    <t xml:space="preserve">            Loss from equity affiliates</t>
  </si>
  <si>
    <t xml:space="preserve">            Income tax provision </t>
  </si>
  <si>
    <t>Diluted shares outstanding (weighted average in millions)</t>
  </si>
  <si>
    <r>
      <t xml:space="preserve">Diluted EPS - Income from Continuing Operations </t>
    </r>
    <r>
      <rPr>
        <vertAlign val="superscript"/>
        <sz val="12"/>
        <rFont val="Arial"/>
        <family val="2"/>
      </rPr>
      <t>(1)</t>
    </r>
  </si>
</sst>
</file>

<file path=xl/styles.xml><?xml version="1.0" encoding="utf-8"?>
<styleSheet xmlns="http://schemas.openxmlformats.org/spreadsheetml/2006/main">
  <numFmts count="8">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quot;$&quot;* #,##0.0_);_(&quot;$&quot;* \(#,##0.0\);_(&quot;$&quot;* &quot;-&quot;??_);_(@_)"/>
    <numFmt numFmtId="167" formatCode="_(* #,##0.0_);_(* \(#,##0.0\);_(* &quot;-&quot;??_);_(@_)"/>
    <numFmt numFmtId="168" formatCode="0.0"/>
  </numFmts>
  <fonts count="9">
    <font>
      <sz val="10"/>
      <name val="Arial"/>
    </font>
    <font>
      <sz val="10"/>
      <name val="Arial"/>
      <family val="2"/>
    </font>
    <font>
      <sz val="12"/>
      <name val="Times New Roman"/>
      <family val="1"/>
    </font>
    <font>
      <b/>
      <sz val="12"/>
      <name val="Arial"/>
      <family val="2"/>
    </font>
    <font>
      <sz val="12"/>
      <name val="Arial"/>
      <family val="2"/>
    </font>
    <font>
      <vertAlign val="superscript"/>
      <sz val="12"/>
      <name val="Arial"/>
      <family val="2"/>
    </font>
    <font>
      <i/>
      <sz val="12"/>
      <name val="Arial"/>
      <family val="2"/>
    </font>
    <font>
      <sz val="8"/>
      <name val="Arial"/>
      <family val="2"/>
    </font>
    <font>
      <sz val="14"/>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xf numFmtId="0" fontId="8" fillId="0" borderId="0"/>
  </cellStyleXfs>
  <cellXfs count="90">
    <xf numFmtId="0" fontId="0" fillId="0" borderId="0" xfId="0"/>
    <xf numFmtId="0" fontId="3" fillId="0" borderId="0" xfId="3" applyFont="1" applyAlignment="1">
      <alignment horizontal="left"/>
    </xf>
    <xf numFmtId="0" fontId="4" fillId="0" borderId="0" xfId="0" applyFont="1"/>
    <xf numFmtId="0" fontId="4" fillId="0" borderId="0" xfId="3" quotePrefix="1" applyFont="1" applyAlignment="1">
      <alignment horizontal="left"/>
    </xf>
    <xf numFmtId="0" fontId="4" fillId="0" borderId="0" xfId="3" applyFont="1"/>
    <xf numFmtId="0" fontId="4" fillId="0" borderId="0" xfId="0" applyFont="1" applyAlignment="1">
      <alignment horizontal="center"/>
    </xf>
    <xf numFmtId="164" fontId="4" fillId="0" borderId="0" xfId="2" applyNumberFormat="1" applyFont="1"/>
    <xf numFmtId="165" fontId="4" fillId="0" borderId="0" xfId="1" applyNumberFormat="1" applyFont="1" applyBorder="1"/>
    <xf numFmtId="165" fontId="4" fillId="0" borderId="0" xfId="1" applyNumberFormat="1" applyFont="1"/>
    <xf numFmtId="0" fontId="4" fillId="0" borderId="0" xfId="3" applyFont="1" applyAlignment="1">
      <alignment horizontal="left"/>
    </xf>
    <xf numFmtId="0" fontId="4" fillId="0" borderId="0" xfId="3" applyFont="1" applyBorder="1"/>
    <xf numFmtId="0" fontId="4" fillId="0" borderId="0" xfId="3" applyFont="1" applyAlignment="1">
      <alignment wrapText="1"/>
    </xf>
    <xf numFmtId="0" fontId="4" fillId="0" borderId="1" xfId="0" applyFont="1" applyBorder="1" applyAlignment="1">
      <alignment horizontal="center"/>
    </xf>
    <xf numFmtId="0" fontId="4" fillId="0" borderId="0" xfId="3" applyFont="1" applyAlignment="1"/>
    <xf numFmtId="0" fontId="4" fillId="0" borderId="0" xfId="0" applyFont="1" applyBorder="1" applyAlignment="1">
      <alignment horizontal="center"/>
    </xf>
    <xf numFmtId="167" fontId="4" fillId="0" borderId="0" xfId="1" applyNumberFormat="1" applyFont="1"/>
    <xf numFmtId="164" fontId="4" fillId="0" borderId="0" xfId="2" applyNumberFormat="1" applyFont="1" applyBorder="1"/>
    <xf numFmtId="2" fontId="4" fillId="0" borderId="0" xfId="2" applyNumberFormat="1" applyFont="1" applyBorder="1"/>
    <xf numFmtId="2" fontId="4" fillId="0" borderId="0" xfId="0" applyNumberFormat="1" applyFont="1"/>
    <xf numFmtId="44" fontId="4" fillId="0" borderId="0" xfId="2" applyFont="1"/>
    <xf numFmtId="44" fontId="4" fillId="0" borderId="0" xfId="2" applyFont="1" applyBorder="1"/>
    <xf numFmtId="0" fontId="4" fillId="0" borderId="0" xfId="0" applyFont="1" applyBorder="1"/>
    <xf numFmtId="0" fontId="3" fillId="0" borderId="0" xfId="3" quotePrefix="1" applyFont="1" applyAlignment="1">
      <alignment horizontal="left"/>
    </xf>
    <xf numFmtId="165" fontId="4" fillId="0" borderId="0" xfId="0" applyNumberFormat="1" applyFont="1"/>
    <xf numFmtId="0" fontId="4" fillId="0" borderId="0" xfId="0" applyFont="1" applyFill="1"/>
    <xf numFmtId="0" fontId="6" fillId="0" borderId="0" xfId="0" applyFont="1"/>
    <xf numFmtId="0" fontId="0" fillId="0" borderId="0" xfId="0" applyBorder="1"/>
    <xf numFmtId="2" fontId="4" fillId="0" borderId="0" xfId="0" applyNumberFormat="1" applyFont="1" applyFill="1"/>
    <xf numFmtId="44" fontId="4" fillId="0" borderId="0" xfId="2" applyFont="1" applyFill="1" applyBorder="1"/>
    <xf numFmtId="0" fontId="0" fillId="0" borderId="0" xfId="0" applyFill="1" applyBorder="1"/>
    <xf numFmtId="2" fontId="4" fillId="0" borderId="0" xfId="2" applyNumberFormat="1" applyFont="1" applyFill="1" applyBorder="1"/>
    <xf numFmtId="164" fontId="4" fillId="0" borderId="0" xfId="2" applyNumberFormat="1" applyFont="1" applyFill="1" applyBorder="1"/>
    <xf numFmtId="0" fontId="4" fillId="0" borderId="1" xfId="0" applyFont="1" applyFill="1" applyBorder="1" applyAlignment="1">
      <alignment horizontal="center"/>
    </xf>
    <xf numFmtId="0" fontId="4" fillId="0" borderId="0" xfId="0" applyFont="1" applyFill="1" applyAlignment="1">
      <alignment horizontal="center"/>
    </xf>
    <xf numFmtId="167" fontId="4" fillId="0" borderId="0" xfId="1" applyNumberFormat="1" applyFont="1" applyFill="1"/>
    <xf numFmtId="165" fontId="4" fillId="0" borderId="0" xfId="0" applyNumberFormat="1" applyFont="1" applyFill="1"/>
    <xf numFmtId="167" fontId="4" fillId="0" borderId="0" xfId="1" applyNumberFormat="1" applyFont="1" applyAlignment="1">
      <alignment vertical="top"/>
    </xf>
    <xf numFmtId="167" fontId="5" fillId="0" borderId="0" xfId="1" quotePrefix="1" applyNumberFormat="1" applyFont="1" applyAlignment="1">
      <alignment horizontal="left" vertical="top"/>
    </xf>
    <xf numFmtId="0" fontId="4" fillId="0" borderId="0" xfId="0" applyFont="1" applyFill="1" applyBorder="1"/>
    <xf numFmtId="0" fontId="4" fillId="0" borderId="0" xfId="0" applyFont="1" applyFill="1" applyBorder="1" applyAlignment="1">
      <alignment horizontal="center"/>
    </xf>
    <xf numFmtId="0" fontId="4" fillId="0" borderId="0" xfId="3" applyFont="1" applyFill="1" applyAlignment="1">
      <alignment horizontal="left"/>
    </xf>
    <xf numFmtId="0" fontId="4" fillId="0" borderId="0" xfId="3" applyFont="1" applyFill="1"/>
    <xf numFmtId="41" fontId="4" fillId="0" borderId="0" xfId="0" applyNumberFormat="1" applyFont="1"/>
    <xf numFmtId="43" fontId="4" fillId="0" borderId="0" xfId="1" applyNumberFormat="1" applyFont="1"/>
    <xf numFmtId="44" fontId="4" fillId="0" borderId="0" xfId="2" applyNumberFormat="1" applyFont="1" applyFill="1" applyBorder="1"/>
    <xf numFmtId="168" fontId="4" fillId="0" borderId="0" xfId="0" applyNumberFormat="1" applyFont="1"/>
    <xf numFmtId="167" fontId="4" fillId="0" borderId="1" xfId="1" applyNumberFormat="1" applyFont="1" applyBorder="1"/>
    <xf numFmtId="167" fontId="4" fillId="0" borderId="0" xfId="1" applyNumberFormat="1" applyFont="1" applyBorder="1"/>
    <xf numFmtId="166" fontId="4" fillId="0" borderId="0" xfId="2" applyNumberFormat="1" applyFont="1"/>
    <xf numFmtId="166" fontId="4" fillId="0" borderId="0" xfId="0" applyNumberFormat="1" applyFont="1"/>
    <xf numFmtId="166" fontId="4" fillId="0" borderId="2" xfId="2" applyNumberFormat="1" applyFont="1" applyBorder="1"/>
    <xf numFmtId="167" fontId="4" fillId="0" borderId="0" xfId="0" applyNumberFormat="1" applyFont="1"/>
    <xf numFmtId="166" fontId="4" fillId="0" borderId="0" xfId="2" applyNumberFormat="1" applyFont="1" applyBorder="1"/>
    <xf numFmtId="167" fontId="4" fillId="0" borderId="0" xfId="2" applyNumberFormat="1" applyFont="1"/>
    <xf numFmtId="166" fontId="4" fillId="0" borderId="0" xfId="2" applyNumberFormat="1" applyFont="1" applyFill="1"/>
    <xf numFmtId="167" fontId="4" fillId="0" borderId="1" xfId="1" applyNumberFormat="1" applyFont="1" applyFill="1" applyBorder="1"/>
    <xf numFmtId="167" fontId="4" fillId="0" borderId="0" xfId="1" applyNumberFormat="1" applyFont="1" applyFill="1" applyBorder="1"/>
    <xf numFmtId="167" fontId="4" fillId="0" borderId="0" xfId="0" applyNumberFormat="1" applyFont="1" applyFill="1"/>
    <xf numFmtId="166" fontId="4" fillId="0" borderId="2" xfId="2" applyNumberFormat="1" applyFont="1" applyFill="1" applyBorder="1"/>
    <xf numFmtId="166" fontId="4" fillId="0" borderId="0" xfId="0" applyNumberFormat="1" applyFont="1" applyBorder="1"/>
    <xf numFmtId="166" fontId="4" fillId="0" borderId="0" xfId="2" applyNumberFormat="1" applyFont="1" applyFill="1" applyBorder="1"/>
    <xf numFmtId="167" fontId="4" fillId="0" borderId="0" xfId="0" applyNumberFormat="1" applyFont="1" applyBorder="1"/>
    <xf numFmtId="167" fontId="4" fillId="0" borderId="0" xfId="0" applyNumberFormat="1" applyFont="1" applyFill="1" applyBorder="1"/>
    <xf numFmtId="167" fontId="5" fillId="0" borderId="0" xfId="1" quotePrefix="1" applyNumberFormat="1" applyFont="1" applyFill="1" applyAlignment="1">
      <alignment horizontal="left" vertical="top"/>
    </xf>
    <xf numFmtId="167" fontId="4" fillId="0" borderId="0" xfId="1" applyNumberFormat="1" applyFont="1" applyFill="1" applyAlignment="1">
      <alignment vertical="top"/>
    </xf>
    <xf numFmtId="166" fontId="4" fillId="0" borderId="0" xfId="0" applyNumberFormat="1" applyFont="1" applyFill="1"/>
    <xf numFmtId="167" fontId="4" fillId="0" borderId="1" xfId="0" applyNumberFormat="1" applyFont="1" applyFill="1" applyBorder="1"/>
    <xf numFmtId="43" fontId="4" fillId="0" borderId="0" xfId="0" applyNumberFormat="1" applyFont="1"/>
    <xf numFmtId="166" fontId="4" fillId="0" borderId="0" xfId="0" applyNumberFormat="1" applyFont="1" applyFill="1" applyBorder="1"/>
    <xf numFmtId="44" fontId="4" fillId="0" borderId="0" xfId="2" applyFont="1" applyFill="1"/>
    <xf numFmtId="43" fontId="4" fillId="0" borderId="0" xfId="0" applyNumberFormat="1" applyFont="1" applyFill="1"/>
    <xf numFmtId="166" fontId="4" fillId="0" borderId="3" xfId="2" applyNumberFormat="1" applyFont="1" applyFill="1" applyBorder="1"/>
    <xf numFmtId="0" fontId="4" fillId="0" borderId="0" xfId="0" applyFont="1" applyFill="1" applyBorder="1" applyAlignment="1"/>
    <xf numFmtId="168" fontId="4" fillId="0" borderId="0" xfId="2" applyNumberFormat="1" applyFont="1" applyFill="1" applyBorder="1"/>
    <xf numFmtId="168" fontId="4" fillId="0" borderId="0" xfId="0" applyNumberFormat="1" applyFont="1" applyFill="1"/>
    <xf numFmtId="0" fontId="4" fillId="0" borderId="0" xfId="0" applyFont="1" applyAlignment="1">
      <alignment horizontal="left"/>
    </xf>
    <xf numFmtId="0" fontId="5" fillId="0" borderId="0" xfId="0" quotePrefix="1" applyFont="1" applyAlignment="1">
      <alignment vertical="top"/>
    </xf>
    <xf numFmtId="168" fontId="4" fillId="2" borderId="0" xfId="2" applyNumberFormat="1" applyFont="1" applyFill="1" applyBorder="1"/>
    <xf numFmtId="44" fontId="4" fillId="2" borderId="0" xfId="2" applyNumberFormat="1" applyFont="1" applyFill="1" applyBorder="1"/>
    <xf numFmtId="49" fontId="4" fillId="0" borderId="0" xfId="4" applyNumberFormat="1" applyFont="1" applyFill="1" applyBorder="1" applyAlignment="1">
      <alignment horizontal="center" wrapText="1"/>
    </xf>
    <xf numFmtId="0" fontId="3" fillId="0" borderId="0" xfId="0" applyFont="1" applyFill="1" applyAlignment="1">
      <alignment horizontal="left"/>
    </xf>
    <xf numFmtId="167" fontId="4" fillId="0" borderId="4" xfId="1" applyNumberFormat="1" applyFont="1" applyFill="1" applyBorder="1"/>
    <xf numFmtId="0" fontId="4" fillId="0" borderId="1" xfId="0" applyFont="1" applyFill="1" applyBorder="1" applyAlignment="1">
      <alignment horizontal="center"/>
    </xf>
    <xf numFmtId="0" fontId="4" fillId="0" borderId="0" xfId="3" applyFont="1" applyFill="1" applyAlignment="1">
      <alignment horizontal="left" indent="1"/>
    </xf>
    <xf numFmtId="168" fontId="4" fillId="0" borderId="0" xfId="0" applyNumberFormat="1" applyFont="1" applyFill="1" applyBorder="1"/>
    <xf numFmtId="2" fontId="4" fillId="0" borderId="0" xfId="0" applyNumberFormat="1" applyFont="1" applyBorder="1"/>
    <xf numFmtId="0" fontId="4" fillId="0" borderId="1" xfId="0" applyFont="1" applyBorder="1" applyAlignment="1">
      <alignment horizontal="center"/>
    </xf>
    <xf numFmtId="0" fontId="4" fillId="0" borderId="0" xfId="0" applyFont="1" applyFill="1" applyAlignment="1">
      <alignment horizontal="left" vertical="top" wrapText="1"/>
    </xf>
    <xf numFmtId="0" fontId="4" fillId="0" borderId="0" xfId="0" applyFont="1" applyAlignment="1">
      <alignment horizontal="left" vertical="top" wrapText="1"/>
    </xf>
    <xf numFmtId="0" fontId="4" fillId="0" borderId="1" xfId="0" applyFont="1" applyFill="1" applyBorder="1" applyAlignment="1">
      <alignment horizontal="center"/>
    </xf>
  </cellXfs>
  <cellStyles count="5">
    <cellStyle name="Comma" xfId="1" builtinId="3"/>
    <cellStyle name="Currency" xfId="2" builtinId="4"/>
    <cellStyle name="Normal" xfId="0" builtinId="0"/>
    <cellStyle name="Normal_fin92598" xfId="4"/>
    <cellStyle name="Normal_Sheet1" xfId="3"/>
  </cellStyles>
  <dxfs count="0"/>
  <tableStyles count="0" defaultTableStyle="TableStyleMedium9" defaultPivotStyle="PivotStyleLight16"/>
  <colors>
    <mruColors>
      <color rgb="FF0000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pageSetUpPr fitToPage="1"/>
  </sheetPr>
  <dimension ref="A1:P69"/>
  <sheetViews>
    <sheetView zoomScale="80" workbookViewId="0">
      <selection activeCell="N27" sqref="N27"/>
    </sheetView>
  </sheetViews>
  <sheetFormatPr defaultRowHeight="15"/>
  <cols>
    <col min="1" max="1" width="2.5703125" style="2" customWidth="1"/>
    <col min="2" max="2" width="2.42578125" style="2" customWidth="1"/>
    <col min="3" max="3" width="58.42578125" style="2" customWidth="1"/>
    <col min="4" max="4" width="15" style="2" customWidth="1"/>
    <col min="5" max="5" width="3.5703125" style="2" customWidth="1"/>
    <col min="6" max="6" width="15.28515625" style="2" customWidth="1"/>
    <col min="7" max="7" width="3.42578125" style="2" customWidth="1"/>
    <col min="8" max="8" width="15.28515625" style="2" customWidth="1"/>
    <col min="9" max="9" width="2.7109375" style="2" customWidth="1"/>
    <col min="10" max="10" width="15.42578125" style="2" customWidth="1"/>
    <col min="11" max="11" width="2.7109375" style="2" customWidth="1"/>
    <col min="12" max="12" width="15" style="2" customWidth="1"/>
    <col min="13" max="13" width="2.7109375" style="2" customWidth="1"/>
    <col min="14" max="14" width="15" style="2" customWidth="1"/>
    <col min="15" max="15" width="9.140625" style="2" customWidth="1"/>
    <col min="16" max="16" width="10.28515625" style="2" customWidth="1"/>
    <col min="17" max="16384" width="9.140625" style="2"/>
  </cols>
  <sheetData>
    <row r="1" spans="1:16" ht="15.75">
      <c r="A1" s="1" t="s">
        <v>0</v>
      </c>
      <c r="B1" s="1"/>
      <c r="C1" s="1"/>
    </row>
    <row r="2" spans="1:16" ht="15.75">
      <c r="A2" s="1" t="s">
        <v>34</v>
      </c>
      <c r="B2" s="1"/>
      <c r="C2" s="1"/>
    </row>
    <row r="3" spans="1:16" ht="15.75">
      <c r="A3" s="22" t="s">
        <v>65</v>
      </c>
      <c r="B3" s="3"/>
      <c r="C3" s="3"/>
    </row>
    <row r="4" spans="1:16">
      <c r="A4" s="3"/>
      <c r="B4" s="3"/>
      <c r="C4" s="3"/>
      <c r="L4" s="5"/>
    </row>
    <row r="5" spans="1:16">
      <c r="A5" s="3"/>
      <c r="B5" s="3"/>
      <c r="C5" s="3"/>
      <c r="D5" s="86" t="s">
        <v>33</v>
      </c>
      <c r="E5" s="86"/>
      <c r="F5" s="86"/>
      <c r="G5" s="86"/>
      <c r="H5" s="86"/>
      <c r="I5" s="86"/>
      <c r="J5" s="86"/>
      <c r="L5" s="5" t="s">
        <v>48</v>
      </c>
      <c r="N5" s="5" t="s">
        <v>58</v>
      </c>
    </row>
    <row r="6" spans="1:16">
      <c r="A6" s="4"/>
      <c r="B6" s="4"/>
      <c r="C6" s="4"/>
      <c r="D6" s="5" t="s">
        <v>4</v>
      </c>
      <c r="F6" s="5" t="s">
        <v>5</v>
      </c>
      <c r="G6" s="5"/>
      <c r="H6" s="5" t="s">
        <v>20</v>
      </c>
      <c r="J6" s="5" t="s">
        <v>21</v>
      </c>
      <c r="L6" s="5" t="s">
        <v>19</v>
      </c>
      <c r="N6" s="5" t="s">
        <v>59</v>
      </c>
    </row>
    <row r="7" spans="1:16" ht="18">
      <c r="A7" s="4"/>
      <c r="B7" s="4"/>
      <c r="C7" s="4"/>
      <c r="D7" s="12">
        <v>2003</v>
      </c>
      <c r="F7" s="12">
        <v>2003</v>
      </c>
      <c r="G7" s="14"/>
      <c r="H7" s="12">
        <v>2003</v>
      </c>
      <c r="J7" s="12">
        <v>2003</v>
      </c>
      <c r="L7" s="12">
        <v>2003</v>
      </c>
      <c r="N7" s="12" t="s">
        <v>62</v>
      </c>
    </row>
    <row r="8" spans="1:16" ht="24" customHeight="1">
      <c r="A8" s="4" t="s">
        <v>1</v>
      </c>
      <c r="B8" s="4"/>
      <c r="C8" s="4"/>
      <c r="D8" s="15"/>
    </row>
    <row r="9" spans="1:16" ht="15" customHeight="1">
      <c r="A9" s="4" t="s">
        <v>17</v>
      </c>
      <c r="B9" s="4"/>
      <c r="C9" s="4"/>
      <c r="D9" s="48">
        <v>657.8</v>
      </c>
      <c r="F9" s="48">
        <v>671</v>
      </c>
      <c r="G9" s="6"/>
      <c r="H9" s="48">
        <v>682</v>
      </c>
      <c r="J9" s="48">
        <v>718.5</v>
      </c>
      <c r="K9" s="49"/>
      <c r="L9" s="48">
        <v>2729.3</v>
      </c>
      <c r="M9" s="49"/>
      <c r="N9" s="65">
        <v>2142.8000000000002</v>
      </c>
      <c r="P9" s="45"/>
    </row>
    <row r="10" spans="1:16" ht="15" customHeight="1">
      <c r="A10" s="4" t="s">
        <v>16</v>
      </c>
      <c r="B10" s="4"/>
      <c r="C10" s="4"/>
      <c r="D10" s="46">
        <v>22.4</v>
      </c>
      <c r="F10" s="46">
        <v>20.399999999999999</v>
      </c>
      <c r="G10" s="7"/>
      <c r="H10" s="46">
        <v>17.899999999999999</v>
      </c>
      <c r="I10" s="51"/>
      <c r="J10" s="46">
        <v>25.3</v>
      </c>
      <c r="L10" s="46">
        <v>86</v>
      </c>
      <c r="M10" s="51"/>
      <c r="N10" s="66">
        <v>82.8</v>
      </c>
      <c r="P10" s="45"/>
    </row>
    <row r="11" spans="1:16">
      <c r="A11" s="4" t="s">
        <v>18</v>
      </c>
      <c r="B11" s="4"/>
      <c r="C11" s="4"/>
      <c r="D11" s="15">
        <v>680.2</v>
      </c>
      <c r="F11" s="15">
        <v>691.4</v>
      </c>
      <c r="G11" s="8"/>
      <c r="H11" s="15">
        <v>699.9</v>
      </c>
      <c r="I11" s="51"/>
      <c r="J11" s="15">
        <v>743.8</v>
      </c>
      <c r="L11" s="15">
        <v>2815.3</v>
      </c>
      <c r="M11" s="51"/>
      <c r="N11" s="34">
        <v>2225.6</v>
      </c>
      <c r="P11" s="45"/>
    </row>
    <row r="12" spans="1:16" ht="24" customHeight="1">
      <c r="A12" s="4" t="s">
        <v>2</v>
      </c>
      <c r="B12" s="4"/>
      <c r="C12" s="4"/>
      <c r="D12" s="15"/>
      <c r="F12" s="15"/>
      <c r="G12" s="8"/>
      <c r="H12" s="15"/>
      <c r="I12" s="51"/>
      <c r="J12" s="15"/>
      <c r="L12" s="15"/>
      <c r="M12" s="51"/>
      <c r="N12" s="57"/>
      <c r="P12" s="45"/>
    </row>
    <row r="13" spans="1:16" ht="15" customHeight="1">
      <c r="A13" s="9" t="s">
        <v>15</v>
      </c>
      <c r="B13" s="9"/>
      <c r="C13" s="9"/>
      <c r="D13" s="47">
        <v>565.70000000000005</v>
      </c>
      <c r="F13" s="47">
        <v>579.1</v>
      </c>
      <c r="G13" s="7"/>
      <c r="H13" s="47">
        <v>578.20000000000005</v>
      </c>
      <c r="I13" s="47"/>
      <c r="J13" s="47">
        <v>609.20000000000005</v>
      </c>
      <c r="K13" s="7"/>
      <c r="L13" s="47">
        <v>2332.1999999999998</v>
      </c>
      <c r="M13" s="51"/>
      <c r="N13" s="57">
        <v>1745.7</v>
      </c>
      <c r="P13" s="45"/>
    </row>
    <row r="14" spans="1:16" ht="15" customHeight="1">
      <c r="A14" s="4" t="s">
        <v>14</v>
      </c>
      <c r="B14" s="4"/>
      <c r="C14" s="4"/>
      <c r="D14" s="47">
        <v>56.1</v>
      </c>
      <c r="F14" s="47">
        <v>59.5</v>
      </c>
      <c r="G14" s="7"/>
      <c r="H14" s="47">
        <v>61.2</v>
      </c>
      <c r="I14" s="51"/>
      <c r="J14" s="47">
        <v>57.5</v>
      </c>
      <c r="L14" s="47">
        <v>234.3</v>
      </c>
      <c r="M14" s="51"/>
      <c r="N14" s="57">
        <v>180.3</v>
      </c>
      <c r="P14" s="45"/>
    </row>
    <row r="15" spans="1:16" ht="15" customHeight="1">
      <c r="A15" s="4" t="s">
        <v>22</v>
      </c>
      <c r="B15" s="4"/>
      <c r="C15" s="4"/>
      <c r="D15" s="47">
        <v>6.5</v>
      </c>
      <c r="F15" s="47">
        <v>6.6</v>
      </c>
      <c r="G15" s="7"/>
      <c r="H15" s="47">
        <v>7.5</v>
      </c>
      <c r="I15" s="51"/>
      <c r="J15" s="47">
        <v>10.6</v>
      </c>
      <c r="L15" s="47">
        <v>31.2</v>
      </c>
      <c r="M15" s="51"/>
      <c r="N15" s="57">
        <v>13.2</v>
      </c>
      <c r="P15" s="45"/>
    </row>
    <row r="16" spans="1:16" ht="15" customHeight="1">
      <c r="A16" s="4" t="s">
        <v>13</v>
      </c>
      <c r="B16" s="4"/>
      <c r="C16" s="4"/>
      <c r="D16" s="47">
        <v>25.3</v>
      </c>
      <c r="F16" s="47">
        <v>28.5</v>
      </c>
      <c r="G16" s="7"/>
      <c r="H16" s="47">
        <v>22.6</v>
      </c>
      <c r="I16" s="53"/>
      <c r="J16" s="47">
        <v>32.1</v>
      </c>
      <c r="K16" s="19"/>
      <c r="L16" s="47">
        <v>108.5</v>
      </c>
      <c r="M16" s="51"/>
      <c r="N16" s="57">
        <v>66.7</v>
      </c>
      <c r="P16" s="45"/>
    </row>
    <row r="17" spans="1:16" ht="15" customHeight="1">
      <c r="A17" s="4" t="s">
        <v>37</v>
      </c>
      <c r="B17" s="4"/>
      <c r="C17" s="4"/>
      <c r="D17" s="47"/>
      <c r="F17" s="47"/>
      <c r="G17" s="7"/>
      <c r="H17" s="47"/>
      <c r="I17" s="53"/>
      <c r="J17" s="47"/>
      <c r="K17" s="19"/>
      <c r="L17" s="47"/>
      <c r="M17" s="51"/>
      <c r="N17" s="57"/>
      <c r="P17" s="45"/>
    </row>
    <row r="18" spans="1:16" ht="15" customHeight="1">
      <c r="A18" s="4" t="s">
        <v>45</v>
      </c>
      <c r="B18" s="4"/>
      <c r="C18" s="4"/>
      <c r="D18" s="47">
        <v>-7.7</v>
      </c>
      <c r="F18" s="47">
        <v>-11.7</v>
      </c>
      <c r="G18" s="7"/>
      <c r="H18" s="47">
        <v>-4</v>
      </c>
      <c r="I18" s="53"/>
      <c r="J18" s="47">
        <v>-9.4</v>
      </c>
      <c r="K18" s="19"/>
      <c r="L18" s="47">
        <v>-32.799999999999997</v>
      </c>
      <c r="M18" s="51"/>
      <c r="N18" s="57">
        <v>-9.4</v>
      </c>
      <c r="P18" s="45"/>
    </row>
    <row r="19" spans="1:16" ht="15" customHeight="1">
      <c r="A19" s="4" t="s">
        <v>46</v>
      </c>
      <c r="B19" s="4"/>
      <c r="C19" s="4"/>
      <c r="D19" s="46">
        <v>-0.2</v>
      </c>
      <c r="F19" s="46">
        <v>-0.9</v>
      </c>
      <c r="G19" s="7"/>
      <c r="H19" s="46">
        <v>-1.2</v>
      </c>
      <c r="I19" s="51"/>
      <c r="J19" s="46">
        <v>-0.6</v>
      </c>
      <c r="L19" s="46">
        <v>-2.9</v>
      </c>
      <c r="M19" s="51"/>
      <c r="N19" s="66">
        <v>0.5</v>
      </c>
      <c r="P19" s="45"/>
    </row>
    <row r="20" spans="1:16" ht="24" customHeight="1">
      <c r="A20" s="4" t="s">
        <v>3</v>
      </c>
      <c r="B20" s="4"/>
      <c r="C20" s="4"/>
      <c r="D20" s="15">
        <v>34.5</v>
      </c>
      <c r="F20" s="15">
        <v>30.3</v>
      </c>
      <c r="G20" s="8"/>
      <c r="H20" s="15">
        <v>35.599999999999909</v>
      </c>
      <c r="I20" s="51"/>
      <c r="J20" s="15">
        <v>44.399999999999864</v>
      </c>
      <c r="L20" s="15">
        <v>144.80000000000001</v>
      </c>
      <c r="M20" s="51"/>
      <c r="N20" s="34">
        <v>228.6</v>
      </c>
      <c r="P20" s="45"/>
    </row>
    <row r="21" spans="1:16" ht="15" customHeight="1">
      <c r="A21" s="4" t="s">
        <v>12</v>
      </c>
      <c r="B21" s="4"/>
      <c r="C21" s="4"/>
      <c r="D21" s="47">
        <v>26.2</v>
      </c>
      <c r="F21" s="47">
        <v>28.9</v>
      </c>
      <c r="G21" s="7"/>
      <c r="H21" s="47">
        <v>22.4</v>
      </c>
      <c r="I21" s="51"/>
      <c r="J21" s="47">
        <v>21.1</v>
      </c>
      <c r="L21" s="47">
        <v>98.6</v>
      </c>
      <c r="M21" s="51"/>
      <c r="N21" s="57">
        <v>90.8</v>
      </c>
      <c r="P21" s="45"/>
    </row>
    <row r="22" spans="1:16" ht="15" customHeight="1">
      <c r="A22" s="4" t="s">
        <v>23</v>
      </c>
      <c r="B22" s="4"/>
      <c r="C22" s="4"/>
      <c r="D22" s="47">
        <v>21.1</v>
      </c>
      <c r="F22" s="47">
        <v>32.299999999999997</v>
      </c>
      <c r="G22" s="7"/>
      <c r="H22" s="47">
        <v>0</v>
      </c>
      <c r="I22" s="51"/>
      <c r="J22" s="47">
        <v>0</v>
      </c>
      <c r="L22" s="47">
        <v>53.4</v>
      </c>
      <c r="M22" s="51"/>
      <c r="N22" s="57">
        <v>53.5</v>
      </c>
      <c r="P22" s="45"/>
    </row>
    <row r="23" spans="1:16" ht="15" customHeight="1">
      <c r="A23" s="4" t="s">
        <v>9</v>
      </c>
      <c r="B23" s="4"/>
      <c r="C23" s="4"/>
      <c r="D23" s="46">
        <v>-0.7</v>
      </c>
      <c r="F23" s="46">
        <v>-1.5</v>
      </c>
      <c r="G23" s="7"/>
      <c r="H23" s="46">
        <v>-0.4</v>
      </c>
      <c r="I23" s="51"/>
      <c r="J23" s="46">
        <v>-1.5</v>
      </c>
      <c r="L23" s="46">
        <v>-4.0999999999999996</v>
      </c>
      <c r="M23" s="51"/>
      <c r="N23" s="66">
        <v>-2.1</v>
      </c>
      <c r="P23" s="45"/>
    </row>
    <row r="24" spans="1:16" ht="24" customHeight="1">
      <c r="A24" s="13" t="s">
        <v>6</v>
      </c>
      <c r="B24" s="11"/>
      <c r="C24" s="11"/>
      <c r="D24" s="51"/>
      <c r="F24" s="51"/>
      <c r="H24" s="51"/>
      <c r="I24" s="51"/>
      <c r="J24" s="51"/>
      <c r="L24" s="51"/>
      <c r="M24" s="51"/>
      <c r="N24" s="57"/>
      <c r="P24" s="45"/>
    </row>
    <row r="25" spans="1:16" ht="15.75" customHeight="1">
      <c r="A25" s="13" t="s">
        <v>7</v>
      </c>
      <c r="B25" s="11"/>
      <c r="C25" s="11"/>
      <c r="D25" s="15">
        <v>-12.1</v>
      </c>
      <c r="F25" s="15">
        <v>-29.4</v>
      </c>
      <c r="G25" s="8"/>
      <c r="H25" s="15">
        <v>13.599999999999909</v>
      </c>
      <c r="I25" s="51"/>
      <c r="J25" s="15">
        <v>24.799999999999862</v>
      </c>
      <c r="L25" s="15">
        <v>-3.1</v>
      </c>
      <c r="M25" s="51"/>
      <c r="N25" s="34">
        <v>86.4</v>
      </c>
      <c r="P25" s="45"/>
    </row>
    <row r="26" spans="1:16" ht="15" customHeight="1">
      <c r="A26" s="10" t="s">
        <v>10</v>
      </c>
      <c r="B26" s="10"/>
      <c r="C26" s="10"/>
      <c r="D26" s="47">
        <v>-12.3</v>
      </c>
      <c r="F26" s="47">
        <v>-28.8</v>
      </c>
      <c r="G26" s="7"/>
      <c r="H26" s="47">
        <v>-8.6</v>
      </c>
      <c r="I26" s="51"/>
      <c r="J26" s="47">
        <v>2</v>
      </c>
      <c r="L26" s="47">
        <v>-47.7</v>
      </c>
      <c r="M26" s="51"/>
      <c r="N26" s="57">
        <v>-8</v>
      </c>
      <c r="P26" s="45"/>
    </row>
    <row r="27" spans="1:16" ht="15" customHeight="1">
      <c r="A27" s="4" t="s">
        <v>11</v>
      </c>
      <c r="B27" s="4"/>
      <c r="C27" s="4"/>
      <c r="D27" s="46">
        <v>1.1000000000000001</v>
      </c>
      <c r="F27" s="46">
        <v>0.7</v>
      </c>
      <c r="G27" s="7"/>
      <c r="H27" s="46">
        <v>0.7</v>
      </c>
      <c r="I27" s="51"/>
      <c r="J27" s="46">
        <v>0.6</v>
      </c>
      <c r="L27" s="46">
        <v>3.1</v>
      </c>
      <c r="M27" s="51"/>
      <c r="N27" s="66">
        <v>3</v>
      </c>
      <c r="P27" s="45"/>
    </row>
    <row r="28" spans="1:16" ht="15" customHeight="1">
      <c r="A28" s="13" t="s">
        <v>24</v>
      </c>
      <c r="B28" s="4"/>
      <c r="C28" s="4"/>
      <c r="D28" s="47"/>
      <c r="F28" s="47"/>
      <c r="G28" s="7"/>
      <c r="H28" s="47"/>
      <c r="I28" s="51"/>
      <c r="J28" s="47"/>
      <c r="L28" s="47"/>
      <c r="M28" s="51"/>
      <c r="N28" s="57"/>
      <c r="P28" s="45"/>
    </row>
    <row r="29" spans="1:16" ht="15" customHeight="1">
      <c r="A29" s="4" t="s">
        <v>25</v>
      </c>
      <c r="B29" s="4"/>
      <c r="C29" s="4"/>
      <c r="D29" s="47">
        <v>-0.89999999999999369</v>
      </c>
      <c r="F29" s="47">
        <v>-1.3000000000000405</v>
      </c>
      <c r="G29" s="7"/>
      <c r="H29" s="47">
        <v>21.499999999999911</v>
      </c>
      <c r="I29" s="51"/>
      <c r="J29" s="47">
        <v>22.199999999999861</v>
      </c>
      <c r="L29" s="47">
        <v>41.5</v>
      </c>
      <c r="M29" s="51"/>
      <c r="N29" s="56">
        <v>91.4</v>
      </c>
      <c r="P29" s="45"/>
    </row>
    <row r="30" spans="1:16" ht="15" customHeight="1">
      <c r="A30" s="4" t="s">
        <v>26</v>
      </c>
      <c r="B30" s="4"/>
      <c r="C30" s="4"/>
      <c r="D30" s="46">
        <v>-10.199999999999999</v>
      </c>
      <c r="F30" s="46">
        <v>0</v>
      </c>
      <c r="G30" s="7"/>
      <c r="H30" s="46">
        <v>0</v>
      </c>
      <c r="I30" s="51"/>
      <c r="J30" s="46">
        <v>0</v>
      </c>
      <c r="L30" s="46">
        <v>-10.199999999999999</v>
      </c>
      <c r="M30" s="51"/>
      <c r="N30" s="66">
        <v>-10.199999999999999</v>
      </c>
      <c r="P30" s="45"/>
    </row>
    <row r="31" spans="1:16" ht="24" customHeight="1">
      <c r="A31" s="4" t="s">
        <v>36</v>
      </c>
      <c r="B31" s="4"/>
      <c r="C31" s="4"/>
      <c r="D31" s="47">
        <v>-11.1</v>
      </c>
      <c r="F31" s="47">
        <v>-1.3000000000000405</v>
      </c>
      <c r="G31" s="7"/>
      <c r="H31" s="47">
        <v>21.499999999999911</v>
      </c>
      <c r="I31" s="51"/>
      <c r="J31" s="47">
        <v>22.199999999999861</v>
      </c>
      <c r="L31" s="47">
        <v>31.3</v>
      </c>
      <c r="M31" s="51"/>
      <c r="N31" s="56">
        <v>81.2</v>
      </c>
      <c r="P31" s="45"/>
    </row>
    <row r="32" spans="1:16" ht="14.25" customHeight="1">
      <c r="A32" s="4"/>
      <c r="B32" s="4" t="s">
        <v>66</v>
      </c>
      <c r="C32" s="4"/>
      <c r="D32" s="47">
        <v>0</v>
      </c>
      <c r="F32" s="47">
        <v>0</v>
      </c>
      <c r="G32" s="7"/>
      <c r="H32" s="47">
        <v>0</v>
      </c>
      <c r="I32" s="51"/>
      <c r="J32" s="47">
        <v>0</v>
      </c>
      <c r="L32" s="47">
        <v>0</v>
      </c>
      <c r="M32" s="51"/>
      <c r="N32" s="56">
        <v>-49.9</v>
      </c>
      <c r="P32" s="45"/>
    </row>
    <row r="33" spans="1:16" ht="24" customHeight="1" thickBot="1">
      <c r="A33" s="4" t="s">
        <v>60</v>
      </c>
      <c r="B33" s="4"/>
      <c r="C33" s="4"/>
      <c r="D33" s="50">
        <v>-11.1</v>
      </c>
      <c r="F33" s="50">
        <v>-1.3000000000000405</v>
      </c>
      <c r="G33" s="16"/>
      <c r="H33" s="50">
        <v>21.499999999999911</v>
      </c>
      <c r="I33" s="49"/>
      <c r="J33" s="50">
        <v>22.199999999999861</v>
      </c>
      <c r="L33" s="50">
        <v>31.3</v>
      </c>
      <c r="M33" s="49"/>
      <c r="N33" s="58">
        <v>31.3</v>
      </c>
      <c r="P33" s="45"/>
    </row>
    <row r="34" spans="1:16" ht="24" customHeight="1" thickTop="1">
      <c r="B34" s="11"/>
      <c r="C34" s="11"/>
      <c r="D34" s="16"/>
      <c r="F34" s="16"/>
      <c r="G34" s="16"/>
      <c r="H34" s="16"/>
      <c r="J34" s="16"/>
      <c r="L34" s="16"/>
    </row>
    <row r="35" spans="1:16" ht="16.5" customHeight="1">
      <c r="D35" s="16"/>
      <c r="F35" s="16"/>
      <c r="G35" s="16"/>
      <c r="H35" s="16"/>
      <c r="J35" s="16"/>
      <c r="L35" s="16"/>
    </row>
    <row r="36" spans="1:16" s="18" customFormat="1" ht="24" customHeight="1">
      <c r="A36" s="18" t="s">
        <v>40</v>
      </c>
      <c r="D36" s="30">
        <v>209.66</v>
      </c>
      <c r="E36" s="27"/>
      <c r="F36" s="30">
        <v>211.01</v>
      </c>
      <c r="G36" s="30"/>
      <c r="H36" s="30">
        <v>220.9</v>
      </c>
      <c r="I36" s="27"/>
      <c r="J36" s="30">
        <v>222.74</v>
      </c>
      <c r="K36" s="27"/>
      <c r="L36" s="30">
        <v>219.34</v>
      </c>
      <c r="M36" s="27"/>
    </row>
    <row r="37" spans="1:16" s="18" customFormat="1" ht="8.4499999999999993" customHeight="1">
      <c r="D37" s="17"/>
      <c r="F37" s="17"/>
      <c r="G37" s="17"/>
      <c r="H37" s="17"/>
      <c r="J37" s="30"/>
      <c r="K37" s="27"/>
      <c r="L37" s="30"/>
    </row>
    <row r="38" spans="1:16" s="18" customFormat="1" ht="24" customHeight="1">
      <c r="A38" s="18" t="s">
        <v>41</v>
      </c>
      <c r="D38" s="20">
        <v>0</v>
      </c>
      <c r="E38" s="20"/>
      <c r="F38" s="20">
        <v>-0.01</v>
      </c>
      <c r="G38" s="20"/>
      <c r="H38" s="20">
        <v>0.1</v>
      </c>
      <c r="I38" s="20"/>
      <c r="J38" s="20">
        <v>0.1</v>
      </c>
      <c r="K38" s="28"/>
      <c r="L38" s="20">
        <v>0.19</v>
      </c>
    </row>
    <row r="39" spans="1:16" customFormat="1" ht="4.7" customHeight="1">
      <c r="D39" s="26"/>
      <c r="E39" s="26"/>
      <c r="F39" s="26"/>
      <c r="G39" s="26"/>
      <c r="H39" s="26"/>
      <c r="I39" s="26"/>
      <c r="J39" s="26"/>
      <c r="K39" s="29"/>
      <c r="L39" s="26"/>
    </row>
    <row r="40" spans="1:16" s="19" customFormat="1" ht="24" customHeight="1">
      <c r="A40" s="18" t="s">
        <v>42</v>
      </c>
      <c r="D40" s="20">
        <v>-0.05</v>
      </c>
      <c r="E40" s="20"/>
      <c r="F40" s="20">
        <v>-0.01</v>
      </c>
      <c r="G40" s="20"/>
      <c r="H40" s="20">
        <v>0.1</v>
      </c>
      <c r="I40" s="20"/>
      <c r="J40" s="20">
        <v>0.1</v>
      </c>
      <c r="K40" s="28"/>
      <c r="L40" s="20">
        <v>0.14000000000000001</v>
      </c>
    </row>
    <row r="41" spans="1:16" s="19" customFormat="1" ht="17.45" customHeight="1">
      <c r="D41" s="20"/>
      <c r="E41" s="20"/>
      <c r="F41" s="20"/>
      <c r="G41" s="20"/>
      <c r="H41" s="20"/>
      <c r="I41" s="20"/>
      <c r="J41" s="20"/>
      <c r="K41" s="28"/>
      <c r="L41" s="20"/>
    </row>
    <row r="42" spans="1:16">
      <c r="A42" s="2" t="s">
        <v>8</v>
      </c>
      <c r="D42" s="52">
        <v>97.1</v>
      </c>
      <c r="E42" s="21"/>
      <c r="F42" s="52">
        <v>96.399999999999949</v>
      </c>
      <c r="G42" s="16"/>
      <c r="H42" s="52">
        <v>104.3</v>
      </c>
      <c r="I42" s="21"/>
      <c r="J42" s="52">
        <v>112.5</v>
      </c>
      <c r="K42" s="38"/>
      <c r="L42" s="52">
        <v>410.3</v>
      </c>
    </row>
    <row r="43" spans="1:16" ht="22.7" customHeight="1">
      <c r="A43" s="2" t="s">
        <v>27</v>
      </c>
      <c r="D43" s="16"/>
      <c r="E43" s="21"/>
      <c r="F43" s="16"/>
      <c r="G43" s="16"/>
      <c r="H43" s="16"/>
      <c r="I43" s="21"/>
      <c r="J43" s="16"/>
      <c r="K43" s="38"/>
      <c r="L43" s="16"/>
    </row>
    <row r="44" spans="1:16" ht="18">
      <c r="A44" s="2" t="s">
        <v>43</v>
      </c>
      <c r="D44" s="52">
        <v>20.2</v>
      </c>
      <c r="E44" s="21"/>
      <c r="F44" s="52">
        <v>31</v>
      </c>
      <c r="G44" s="16"/>
      <c r="H44" s="52">
        <v>21.499999999999911</v>
      </c>
      <c r="I44" s="21"/>
      <c r="J44" s="52">
        <v>22.199999999999861</v>
      </c>
      <c r="K44" s="38"/>
      <c r="L44" s="52">
        <v>94.900000000000176</v>
      </c>
    </row>
    <row r="45" spans="1:16" ht="21.75" customHeight="1">
      <c r="A45" s="18" t="s">
        <v>28</v>
      </c>
      <c r="B45" s="19"/>
      <c r="C45" s="19"/>
      <c r="D45" s="20"/>
      <c r="E45" s="21"/>
      <c r="F45" s="20"/>
      <c r="G45" s="21"/>
      <c r="H45" s="20"/>
      <c r="I45" s="21"/>
      <c r="J45" s="20"/>
      <c r="K45" s="38"/>
      <c r="L45" s="20"/>
    </row>
    <row r="46" spans="1:16" ht="18">
      <c r="A46" s="2" t="s">
        <v>44</v>
      </c>
      <c r="D46" s="20">
        <v>9.6348303888274159E-2</v>
      </c>
      <c r="E46" s="21"/>
      <c r="F46" s="20">
        <v>0.14786125844240067</v>
      </c>
      <c r="G46" s="20"/>
      <c r="H46" s="20">
        <v>0.10254893730682599</v>
      </c>
      <c r="I46" s="21"/>
      <c r="J46" s="20">
        <v>0.10588773991681545</v>
      </c>
      <c r="K46" s="38"/>
      <c r="L46" s="20">
        <v>0.45264623955431837</v>
      </c>
    </row>
    <row r="47" spans="1:16">
      <c r="D47" s="20"/>
      <c r="F47" s="20"/>
      <c r="G47" s="20"/>
      <c r="H47" s="20"/>
      <c r="K47" s="24"/>
      <c r="L47" s="20"/>
    </row>
    <row r="48" spans="1:16">
      <c r="D48" s="20"/>
      <c r="F48" s="20"/>
      <c r="G48" s="20"/>
      <c r="H48" s="20"/>
      <c r="K48" s="24"/>
      <c r="L48" s="20"/>
    </row>
    <row r="49" spans="1:12" ht="18">
      <c r="A49" s="37" t="s">
        <v>38</v>
      </c>
      <c r="B49" s="36" t="s">
        <v>49</v>
      </c>
      <c r="D49" s="20"/>
      <c r="F49" s="20"/>
      <c r="G49" s="20"/>
      <c r="H49" s="20"/>
      <c r="J49" s="43"/>
      <c r="K49" s="24"/>
      <c r="L49" s="20"/>
    </row>
    <row r="50" spans="1:12">
      <c r="J50" s="43"/>
      <c r="L50" s="20"/>
    </row>
    <row r="51" spans="1:12" ht="18">
      <c r="A51" s="37" t="s">
        <v>39</v>
      </c>
      <c r="B51" s="36" t="s">
        <v>29</v>
      </c>
      <c r="J51" s="43"/>
      <c r="L51" s="20"/>
    </row>
    <row r="52" spans="1:12">
      <c r="B52" s="36" t="s">
        <v>30</v>
      </c>
      <c r="J52" s="43"/>
      <c r="L52" s="20"/>
    </row>
    <row r="53" spans="1:12">
      <c r="B53" s="36" t="s">
        <v>31</v>
      </c>
      <c r="J53" s="43"/>
      <c r="L53" s="20"/>
    </row>
    <row r="54" spans="1:12">
      <c r="B54" s="36" t="s">
        <v>32</v>
      </c>
      <c r="J54" s="43"/>
    </row>
    <row r="55" spans="1:12">
      <c r="B55" s="24"/>
    </row>
    <row r="56" spans="1:12" ht="18">
      <c r="A56" s="63" t="s">
        <v>61</v>
      </c>
      <c r="B56" s="36" t="s">
        <v>67</v>
      </c>
      <c r="C56" s="24"/>
    </row>
    <row r="57" spans="1:12">
      <c r="A57" s="36"/>
      <c r="B57" s="36"/>
    </row>
    <row r="58" spans="1:12">
      <c r="A58" s="36"/>
    </row>
    <row r="59" spans="1:12">
      <c r="A59" s="25" t="s">
        <v>55</v>
      </c>
    </row>
    <row r="68" spans="4:13">
      <c r="D68" s="42"/>
      <c r="E68" s="42"/>
      <c r="F68" s="42"/>
      <c r="G68" s="42"/>
      <c r="H68" s="42"/>
      <c r="I68" s="42"/>
      <c r="J68" s="42"/>
      <c r="K68" s="42"/>
      <c r="L68" s="42"/>
      <c r="M68" s="42"/>
    </row>
    <row r="69" spans="4:13">
      <c r="D69" s="42"/>
      <c r="E69" s="42"/>
      <c r="F69" s="42"/>
      <c r="G69" s="42"/>
      <c r="H69" s="42"/>
      <c r="I69" s="42"/>
      <c r="J69" s="42"/>
      <c r="K69" s="42"/>
      <c r="L69" s="42"/>
      <c r="M69" s="42"/>
    </row>
  </sheetData>
  <mergeCells count="1">
    <mergeCell ref="D5:J5"/>
  </mergeCells>
  <phoneticPr fontId="0" type="noConversion"/>
  <printOptions horizontalCentered="1"/>
  <pageMargins left="0.5" right="0.5" top="0.5" bottom="0.5" header="0.5" footer="0.5"/>
  <pageSetup scale="55" orientation="landscape" r:id="rId1"/>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Q46"/>
  <sheetViews>
    <sheetView showGridLines="0" tabSelected="1" zoomScale="70" zoomScaleNormal="70" workbookViewId="0"/>
  </sheetViews>
  <sheetFormatPr defaultRowHeight="15"/>
  <cols>
    <col min="1" max="1" width="3.140625" style="2" customWidth="1"/>
    <col min="2" max="2" width="2.42578125" style="2" customWidth="1"/>
    <col min="3" max="3" width="87.140625" style="2" customWidth="1"/>
    <col min="4" max="4" width="13.42578125" style="2" customWidth="1"/>
    <col min="5" max="5" width="19.7109375" style="24" customWidth="1"/>
    <col min="6" max="6" width="3.5703125" style="24" customWidth="1"/>
    <col min="7" max="7" width="19.7109375" style="24" customWidth="1"/>
    <col min="8" max="9" width="3.5703125" style="24" customWidth="1"/>
    <col min="10" max="10" width="19.7109375" style="24" customWidth="1"/>
    <col min="11" max="11" width="9.140625" style="2"/>
    <col min="12" max="12" width="13" style="2" customWidth="1"/>
    <col min="13" max="13" width="14.85546875" style="2" customWidth="1"/>
    <col min="14" max="16384" width="9.140625" style="2"/>
  </cols>
  <sheetData>
    <row r="1" spans="1:14" ht="15.75">
      <c r="A1" s="1" t="s">
        <v>0</v>
      </c>
      <c r="B1" s="1"/>
      <c r="C1" s="1"/>
      <c r="D1" s="1"/>
    </row>
    <row r="2" spans="1:14" ht="15.75">
      <c r="A2" s="1" t="s">
        <v>134</v>
      </c>
      <c r="B2" s="1"/>
      <c r="C2" s="1"/>
      <c r="D2" s="1"/>
    </row>
    <row r="3" spans="1:14" ht="15.75">
      <c r="A3" s="22" t="s">
        <v>115</v>
      </c>
      <c r="B3" s="3"/>
      <c r="C3" s="3"/>
      <c r="D3" s="3"/>
      <c r="E3" s="35"/>
      <c r="G3" s="35"/>
      <c r="J3" s="79"/>
    </row>
    <row r="4" spans="1:14" ht="15.75">
      <c r="A4" s="22" t="s">
        <v>53</v>
      </c>
      <c r="B4" s="3"/>
      <c r="C4" s="3"/>
      <c r="D4" s="3"/>
      <c r="E4" s="33"/>
      <c r="G4" s="39"/>
      <c r="H4" s="38"/>
      <c r="I4" s="38"/>
      <c r="J4" s="39"/>
      <c r="K4" s="21"/>
      <c r="L4" s="21"/>
      <c r="M4" s="21"/>
      <c r="N4" s="21"/>
    </row>
    <row r="5" spans="1:14" ht="15" customHeight="1">
      <c r="A5" s="24"/>
      <c r="B5" s="3"/>
      <c r="C5" s="3"/>
      <c r="D5" s="3"/>
      <c r="E5" s="39" t="s">
        <v>80</v>
      </c>
      <c r="F5" s="72"/>
      <c r="G5" s="39"/>
      <c r="H5" s="72"/>
      <c r="I5" s="72"/>
      <c r="J5" s="39"/>
      <c r="K5" s="21"/>
      <c r="L5" s="21"/>
      <c r="M5" s="21"/>
      <c r="N5" s="21"/>
    </row>
    <row r="6" spans="1:14">
      <c r="A6" s="4"/>
      <c r="B6" s="4"/>
      <c r="C6" s="4"/>
      <c r="D6" s="4"/>
      <c r="E6" s="33" t="s">
        <v>4</v>
      </c>
      <c r="G6" s="39"/>
      <c r="H6" s="38"/>
      <c r="I6" s="38"/>
      <c r="J6" s="39"/>
      <c r="K6" s="21"/>
      <c r="L6" s="21"/>
      <c r="M6" s="21"/>
      <c r="N6" s="21"/>
    </row>
    <row r="7" spans="1:14" ht="15" customHeight="1">
      <c r="A7" s="4"/>
      <c r="B7" s="4"/>
      <c r="C7" s="4"/>
      <c r="D7" s="4"/>
      <c r="E7" s="82">
        <v>2013</v>
      </c>
      <c r="G7" s="39"/>
      <c r="H7" s="38"/>
      <c r="I7" s="38"/>
      <c r="J7" s="39"/>
      <c r="K7" s="21"/>
      <c r="L7" s="21"/>
      <c r="M7" s="21"/>
      <c r="N7" s="21"/>
    </row>
    <row r="8" spans="1:14" ht="24" customHeight="1">
      <c r="A8" s="4"/>
      <c r="B8" s="4"/>
      <c r="C8" s="4"/>
      <c r="D8" s="4"/>
      <c r="E8" s="34"/>
      <c r="G8" s="56"/>
      <c r="H8" s="38"/>
      <c r="I8" s="38"/>
      <c r="J8" s="56"/>
      <c r="K8" s="21"/>
      <c r="L8" s="21"/>
      <c r="M8" s="21"/>
      <c r="N8" s="21"/>
    </row>
    <row r="9" spans="1:14">
      <c r="A9" s="4" t="s">
        <v>1</v>
      </c>
      <c r="B9" s="4"/>
      <c r="C9" s="4"/>
      <c r="D9" s="4"/>
      <c r="E9" s="54">
        <v>1748</v>
      </c>
      <c r="F9" s="54"/>
      <c r="G9" s="60"/>
      <c r="H9" s="60"/>
      <c r="I9" s="60"/>
      <c r="J9" s="60"/>
      <c r="K9" s="21"/>
      <c r="L9" s="60"/>
      <c r="M9" s="60"/>
      <c r="N9" s="21"/>
    </row>
    <row r="10" spans="1:14" ht="24" customHeight="1">
      <c r="A10" s="4" t="s">
        <v>47</v>
      </c>
      <c r="B10" s="4"/>
      <c r="C10" s="4"/>
      <c r="D10" s="4"/>
      <c r="E10" s="34"/>
      <c r="F10" s="57"/>
      <c r="G10" s="56"/>
      <c r="H10" s="62"/>
      <c r="I10" s="62"/>
      <c r="J10" s="56"/>
      <c r="K10" s="21"/>
      <c r="L10" s="56"/>
      <c r="M10" s="56"/>
      <c r="N10" s="21"/>
    </row>
    <row r="11" spans="1:14" ht="15" customHeight="1">
      <c r="A11" s="9" t="s">
        <v>15</v>
      </c>
      <c r="B11" s="9"/>
      <c r="C11" s="40"/>
      <c r="D11" s="40"/>
      <c r="E11" s="56">
        <v>1389.4</v>
      </c>
      <c r="F11" s="57"/>
      <c r="G11" s="56"/>
      <c r="H11" s="62"/>
      <c r="I11" s="62"/>
      <c r="J11" s="56"/>
      <c r="K11" s="21"/>
      <c r="L11" s="56"/>
      <c r="M11" s="56"/>
      <c r="N11" s="21"/>
    </row>
    <row r="12" spans="1:14" ht="15" customHeight="1">
      <c r="A12" s="4" t="s">
        <v>14</v>
      </c>
      <c r="B12" s="4"/>
      <c r="C12" s="41"/>
      <c r="D12" s="41"/>
      <c r="E12" s="56">
        <v>170.7</v>
      </c>
      <c r="F12" s="57"/>
      <c r="G12" s="56"/>
      <c r="H12" s="62"/>
      <c r="I12" s="62"/>
      <c r="J12" s="56"/>
      <c r="K12" s="21"/>
      <c r="L12" s="56"/>
      <c r="M12" s="56"/>
      <c r="N12" s="21"/>
    </row>
    <row r="13" spans="1:14" ht="15" customHeight="1">
      <c r="A13" s="4" t="s">
        <v>117</v>
      </c>
      <c r="B13" s="4"/>
      <c r="C13" s="41"/>
      <c r="D13" s="41"/>
      <c r="E13" s="56">
        <v>19</v>
      </c>
      <c r="F13" s="57"/>
      <c r="G13" s="56"/>
      <c r="H13" s="62"/>
      <c r="I13" s="62"/>
      <c r="J13" s="56"/>
      <c r="K13" s="21"/>
      <c r="L13" s="56"/>
      <c r="M13" s="56"/>
      <c r="N13" s="21"/>
    </row>
    <row r="14" spans="1:14" ht="15" customHeight="1">
      <c r="A14" s="4" t="s">
        <v>13</v>
      </c>
      <c r="B14" s="4"/>
      <c r="C14" s="41"/>
      <c r="D14" s="41"/>
      <c r="E14" s="56">
        <v>65.099999999999994</v>
      </c>
      <c r="F14" s="57"/>
      <c r="G14" s="56"/>
      <c r="H14" s="62"/>
      <c r="I14" s="62"/>
      <c r="J14" s="56"/>
      <c r="K14" s="21"/>
      <c r="L14" s="56"/>
      <c r="M14" s="56"/>
      <c r="N14" s="21"/>
    </row>
    <row r="15" spans="1:14" ht="15" customHeight="1">
      <c r="A15" s="4" t="s">
        <v>81</v>
      </c>
      <c r="B15" s="4"/>
      <c r="C15" s="41"/>
      <c r="D15" s="41"/>
      <c r="E15" s="56"/>
      <c r="F15" s="57"/>
      <c r="G15" s="56"/>
      <c r="H15" s="62"/>
      <c r="I15" s="62"/>
      <c r="J15" s="56"/>
      <c r="K15" s="21"/>
      <c r="L15" s="56"/>
      <c r="M15" s="56"/>
      <c r="N15" s="21"/>
    </row>
    <row r="16" spans="1:14" ht="15" customHeight="1">
      <c r="A16" s="4" t="s">
        <v>52</v>
      </c>
      <c r="B16" s="4"/>
      <c r="C16" s="41"/>
      <c r="D16" s="41"/>
      <c r="E16" s="56">
        <v>-2.6</v>
      </c>
      <c r="F16" s="57"/>
      <c r="G16" s="56"/>
      <c r="H16" s="62"/>
      <c r="I16" s="62"/>
      <c r="J16" s="56"/>
      <c r="K16" s="21"/>
      <c r="L16" s="56"/>
      <c r="M16" s="56"/>
      <c r="N16" s="21"/>
    </row>
    <row r="17" spans="1:14" ht="15" customHeight="1">
      <c r="A17" s="4" t="s">
        <v>124</v>
      </c>
      <c r="B17" s="4"/>
      <c r="C17" s="41"/>
      <c r="D17" s="41"/>
      <c r="E17" s="56"/>
      <c r="F17" s="57"/>
      <c r="G17" s="56"/>
      <c r="H17" s="62"/>
      <c r="I17" s="62"/>
      <c r="J17" s="56"/>
      <c r="K17" s="21"/>
      <c r="L17" s="56"/>
      <c r="M17" s="56"/>
      <c r="N17" s="21"/>
    </row>
    <row r="18" spans="1:14" ht="15" customHeight="1">
      <c r="A18" s="41" t="s">
        <v>126</v>
      </c>
      <c r="B18" s="4"/>
      <c r="E18" s="56">
        <v>16</v>
      </c>
      <c r="F18" s="62"/>
      <c r="G18" s="56"/>
      <c r="H18" s="62"/>
      <c r="I18" s="62"/>
      <c r="J18" s="56"/>
      <c r="K18" s="21"/>
      <c r="L18" s="56"/>
      <c r="M18" s="56"/>
      <c r="N18" s="21"/>
    </row>
    <row r="19" spans="1:14" ht="15" customHeight="1">
      <c r="A19" s="41" t="s">
        <v>125</v>
      </c>
      <c r="B19" s="4"/>
      <c r="E19" s="56">
        <v>1.6</v>
      </c>
      <c r="F19" s="62"/>
      <c r="G19" s="56"/>
      <c r="H19" s="62"/>
      <c r="I19" s="62"/>
      <c r="J19" s="56"/>
      <c r="K19" s="21"/>
      <c r="L19" s="56"/>
      <c r="M19" s="56"/>
      <c r="N19" s="21"/>
    </row>
    <row r="20" spans="1:14" ht="15" customHeight="1">
      <c r="A20" s="4" t="s">
        <v>139</v>
      </c>
      <c r="B20" s="4"/>
      <c r="C20" s="83"/>
      <c r="D20" s="41"/>
      <c r="E20" s="81">
        <v>17.600000000000001</v>
      </c>
      <c r="F20" s="57"/>
      <c r="G20" s="56"/>
      <c r="H20" s="62"/>
      <c r="I20" s="62"/>
      <c r="J20" s="56"/>
      <c r="K20" s="21"/>
      <c r="L20" s="56"/>
      <c r="M20" s="56"/>
      <c r="N20" s="21"/>
    </row>
    <row r="21" spans="1:14" ht="24" customHeight="1">
      <c r="A21" s="4" t="s">
        <v>3</v>
      </c>
      <c r="B21" s="4"/>
      <c r="C21" s="4"/>
      <c r="D21" s="4"/>
      <c r="E21" s="34">
        <v>88.799999999999955</v>
      </c>
      <c r="F21" s="57"/>
      <c r="G21" s="56"/>
      <c r="H21" s="62"/>
      <c r="I21" s="62"/>
      <c r="J21" s="56"/>
      <c r="K21" s="21"/>
      <c r="L21" s="56"/>
      <c r="M21" s="56"/>
      <c r="N21" s="21"/>
    </row>
    <row r="22" spans="1:14" ht="15" customHeight="1">
      <c r="A22" s="4"/>
      <c r="B22" s="4" t="s">
        <v>101</v>
      </c>
      <c r="C22" s="4"/>
      <c r="D22" s="4"/>
      <c r="E22" s="56">
        <v>-5.9</v>
      </c>
      <c r="F22" s="57"/>
      <c r="G22" s="56"/>
      <c r="H22" s="62"/>
      <c r="I22" s="62"/>
      <c r="J22" s="56"/>
      <c r="K22" s="21"/>
      <c r="L22" s="56"/>
      <c r="M22" s="56"/>
      <c r="N22" s="21"/>
    </row>
    <row r="23" spans="1:14" ht="15" customHeight="1">
      <c r="A23" s="4"/>
      <c r="B23" s="4" t="s">
        <v>82</v>
      </c>
      <c r="C23" s="4"/>
      <c r="D23" s="4"/>
      <c r="E23" s="55">
        <v>101.3</v>
      </c>
      <c r="F23" s="57"/>
      <c r="G23" s="56"/>
      <c r="H23" s="62"/>
      <c r="I23" s="62"/>
      <c r="J23" s="56"/>
      <c r="K23" s="21"/>
      <c r="L23" s="56"/>
      <c r="M23" s="56"/>
      <c r="N23" s="21"/>
    </row>
    <row r="24" spans="1:14" ht="15.75" customHeight="1">
      <c r="A24" s="13" t="s">
        <v>129</v>
      </c>
      <c r="B24" s="11"/>
      <c r="C24" s="11"/>
      <c r="D24" s="11"/>
      <c r="E24" s="34">
        <v>-6.6000000000000369</v>
      </c>
      <c r="F24" s="57"/>
      <c r="G24" s="56"/>
      <c r="H24" s="62"/>
      <c r="I24" s="62"/>
      <c r="J24" s="56"/>
      <c r="K24" s="21"/>
      <c r="L24" s="56"/>
      <c r="M24" s="56"/>
      <c r="N24" s="21"/>
    </row>
    <row r="25" spans="1:14" ht="15.75" customHeight="1">
      <c r="A25" s="4" t="s">
        <v>76</v>
      </c>
      <c r="B25" s="4"/>
      <c r="C25" s="11"/>
      <c r="D25" s="11"/>
      <c r="E25" s="34"/>
      <c r="F25" s="57"/>
      <c r="G25" s="56"/>
      <c r="H25" s="62"/>
      <c r="I25" s="62"/>
      <c r="J25" s="56"/>
      <c r="K25" s="21"/>
      <c r="L25" s="56"/>
      <c r="M25" s="56"/>
      <c r="N25" s="21"/>
    </row>
    <row r="26" spans="1:14" ht="15.75" customHeight="1">
      <c r="A26" s="4" t="s">
        <v>77</v>
      </c>
      <c r="B26" s="11"/>
      <c r="C26" s="11"/>
      <c r="D26" s="11"/>
      <c r="E26" s="34">
        <v>2.1</v>
      </c>
      <c r="F26" s="57"/>
      <c r="G26" s="56"/>
      <c r="H26" s="62"/>
      <c r="I26" s="62"/>
      <c r="J26" s="56"/>
      <c r="K26" s="21"/>
      <c r="L26" s="56"/>
      <c r="M26" s="56"/>
      <c r="N26" s="21"/>
    </row>
    <row r="27" spans="1:14" ht="15.75" customHeight="1">
      <c r="A27" s="4" t="s">
        <v>127</v>
      </c>
      <c r="B27" s="11"/>
      <c r="C27" s="11"/>
      <c r="D27" s="11"/>
      <c r="E27" s="55">
        <v>1.6</v>
      </c>
      <c r="F27" s="57"/>
      <c r="G27" s="56"/>
      <c r="H27" s="62"/>
      <c r="I27" s="62"/>
      <c r="J27" s="56"/>
      <c r="K27" s="21"/>
      <c r="L27" s="56"/>
      <c r="M27" s="56"/>
      <c r="N27" s="21"/>
    </row>
    <row r="28" spans="1:14" ht="15" customHeight="1">
      <c r="A28" s="10" t="s">
        <v>140</v>
      </c>
      <c r="B28" s="10"/>
      <c r="C28" s="10"/>
      <c r="D28" s="10"/>
      <c r="E28" s="55">
        <v>3.7</v>
      </c>
      <c r="F28" s="57"/>
      <c r="G28" s="56"/>
      <c r="H28" s="62"/>
      <c r="I28" s="62"/>
      <c r="J28" s="56"/>
      <c r="K28" s="21"/>
      <c r="L28" s="56"/>
      <c r="M28" s="56"/>
      <c r="N28" s="21"/>
    </row>
    <row r="29" spans="1:14" ht="15" customHeight="1">
      <c r="A29" s="4" t="s">
        <v>128</v>
      </c>
      <c r="B29" s="10"/>
      <c r="C29" s="10"/>
      <c r="D29" s="10"/>
      <c r="E29" s="56">
        <v>-10.300000000000036</v>
      </c>
      <c r="F29" s="57"/>
      <c r="G29" s="56"/>
      <c r="H29" s="62"/>
      <c r="I29" s="62"/>
      <c r="J29" s="56"/>
      <c r="K29" s="21"/>
      <c r="L29" s="56"/>
      <c r="M29" s="56"/>
      <c r="N29" s="21"/>
    </row>
    <row r="30" spans="1:14" ht="18.75" customHeight="1">
      <c r="A30" s="4"/>
      <c r="B30" s="4" t="s">
        <v>84</v>
      </c>
      <c r="C30" s="4"/>
      <c r="D30" s="4"/>
      <c r="E30" s="55">
        <v>-9.1</v>
      </c>
      <c r="F30" s="57"/>
      <c r="G30" s="56"/>
      <c r="H30" s="62"/>
      <c r="I30" s="62"/>
      <c r="J30" s="56"/>
      <c r="K30" s="21"/>
      <c r="L30" s="56"/>
      <c r="M30" s="56"/>
      <c r="N30" s="21"/>
    </row>
    <row r="31" spans="1:14" ht="18.75" customHeight="1">
      <c r="A31" s="4" t="s">
        <v>130</v>
      </c>
      <c r="B31" s="4"/>
      <c r="C31" s="4"/>
      <c r="D31" s="4"/>
      <c r="E31" s="56">
        <v>-19.400000000000034</v>
      </c>
      <c r="F31" s="65"/>
      <c r="G31" s="56"/>
      <c r="H31" s="68"/>
      <c r="I31" s="68"/>
      <c r="J31" s="56"/>
      <c r="K31" s="21"/>
      <c r="L31" s="56"/>
      <c r="M31" s="56"/>
      <c r="N31" s="21"/>
    </row>
    <row r="32" spans="1:14" ht="15" customHeight="1">
      <c r="A32" s="4"/>
      <c r="B32" s="4" t="s">
        <v>116</v>
      </c>
      <c r="C32" s="4"/>
      <c r="D32" s="4"/>
      <c r="E32" s="55">
        <v>4</v>
      </c>
      <c r="F32" s="57"/>
      <c r="G32" s="56"/>
      <c r="H32" s="62"/>
      <c r="I32" s="62"/>
      <c r="J32" s="56"/>
      <c r="K32" s="21"/>
      <c r="L32" s="56"/>
      <c r="M32" s="56"/>
      <c r="N32" s="21"/>
    </row>
    <row r="33" spans="1:17" ht="18.75" customHeight="1" thickBot="1">
      <c r="A33" s="10" t="s">
        <v>131</v>
      </c>
      <c r="B33" s="10"/>
      <c r="C33" s="4"/>
      <c r="D33" s="4"/>
      <c r="E33" s="71">
        <v>-23.400000000000034</v>
      </c>
      <c r="G33" s="60"/>
      <c r="H33" s="38"/>
      <c r="I33" s="38"/>
      <c r="J33" s="60"/>
      <c r="K33" s="21"/>
      <c r="L33" s="60"/>
      <c r="M33" s="60"/>
      <c r="N33" s="21"/>
    </row>
    <row r="34" spans="1:17" ht="15.75" thickTop="1">
      <c r="B34" s="4"/>
      <c r="G34" s="38"/>
      <c r="H34" s="38"/>
      <c r="I34" s="38"/>
      <c r="J34" s="38"/>
      <c r="K34" s="21"/>
      <c r="L34" s="21"/>
      <c r="M34" s="21"/>
      <c r="N34" s="21"/>
    </row>
    <row r="35" spans="1:17" ht="16.5" customHeight="1">
      <c r="A35" s="4"/>
      <c r="B35" s="4"/>
      <c r="C35" s="4"/>
      <c r="D35" s="4"/>
      <c r="E35" s="31"/>
      <c r="G35" s="31"/>
      <c r="H35" s="38"/>
      <c r="I35" s="38"/>
      <c r="J35" s="31"/>
      <c r="K35" s="21"/>
      <c r="L35" s="21"/>
      <c r="M35" s="21"/>
      <c r="N35" s="21"/>
    </row>
    <row r="36" spans="1:17" s="18" customFormat="1" ht="18.75" customHeight="1">
      <c r="A36" s="18" t="s">
        <v>135</v>
      </c>
      <c r="E36" s="73">
        <v>266.89999999999998</v>
      </c>
      <c r="F36" s="74"/>
      <c r="G36" s="73"/>
      <c r="H36" s="84"/>
      <c r="I36" s="84"/>
      <c r="J36" s="73"/>
      <c r="K36" s="85"/>
      <c r="L36" s="73"/>
      <c r="M36" s="56"/>
      <c r="N36" s="85"/>
    </row>
    <row r="37" spans="1:17" s="18" customFormat="1" ht="13.5" customHeight="1">
      <c r="E37" s="73"/>
      <c r="F37" s="74"/>
      <c r="G37" s="73"/>
      <c r="H37" s="84"/>
      <c r="I37" s="84"/>
      <c r="J37" s="73"/>
      <c r="K37" s="85"/>
      <c r="L37" s="73"/>
      <c r="M37" s="85"/>
      <c r="N37" s="85"/>
    </row>
    <row r="38" spans="1:17" s="19" customFormat="1" ht="20.25" customHeight="1">
      <c r="A38" s="18" t="s">
        <v>137</v>
      </c>
      <c r="E38" s="44">
        <v>-0.05</v>
      </c>
      <c r="F38" s="28"/>
      <c r="G38" s="44"/>
      <c r="H38" s="28"/>
      <c r="I38" s="28"/>
      <c r="J38" s="44"/>
      <c r="K38" s="20"/>
      <c r="L38" s="44"/>
      <c r="M38" s="56"/>
      <c r="N38" s="20"/>
    </row>
    <row r="39" spans="1:17" s="19" customFormat="1" ht="17.45" customHeight="1">
      <c r="E39" s="28"/>
      <c r="F39" s="28"/>
      <c r="G39" s="28"/>
      <c r="H39" s="28"/>
      <c r="I39" s="28"/>
      <c r="J39" s="28"/>
      <c r="K39" s="20"/>
      <c r="L39" s="20"/>
      <c r="M39" s="20"/>
      <c r="N39" s="20"/>
    </row>
    <row r="40" spans="1:17" s="24" customFormat="1" ht="18">
      <c r="A40" s="75" t="s">
        <v>104</v>
      </c>
      <c r="E40" s="60">
        <v>280.09999999999997</v>
      </c>
      <c r="F40" s="60"/>
      <c r="G40" s="60"/>
      <c r="H40" s="60"/>
      <c r="I40" s="60"/>
      <c r="J40" s="60"/>
      <c r="K40" s="38"/>
      <c r="L40" s="60"/>
      <c r="M40" s="56"/>
      <c r="N40" s="60"/>
      <c r="O40" s="60"/>
      <c r="Q40" s="60"/>
    </row>
    <row r="41" spans="1:17">
      <c r="A41" s="24"/>
      <c r="E41" s="60"/>
      <c r="F41" s="60"/>
      <c r="G41" s="60"/>
      <c r="H41" s="60"/>
      <c r="I41" s="60"/>
      <c r="J41" s="60"/>
    </row>
    <row r="42" spans="1:17" ht="39" customHeight="1">
      <c r="A42" s="76" t="s">
        <v>79</v>
      </c>
      <c r="B42" s="87" t="s">
        <v>118</v>
      </c>
      <c r="C42" s="87"/>
      <c r="D42" s="87"/>
      <c r="E42" s="87"/>
      <c r="F42" s="87"/>
      <c r="G42" s="87"/>
      <c r="H42" s="87"/>
      <c r="I42" s="87"/>
      <c r="J42" s="87"/>
    </row>
    <row r="43" spans="1:17">
      <c r="B43" s="24"/>
      <c r="E43" s="35"/>
      <c r="G43" s="35"/>
      <c r="J43" s="35"/>
    </row>
    <row r="44" spans="1:17" ht="89.25" customHeight="1">
      <c r="A44" s="76" t="s">
        <v>88</v>
      </c>
      <c r="B44" s="87" t="s">
        <v>136</v>
      </c>
      <c r="C44" s="87"/>
      <c r="D44" s="87"/>
      <c r="E44" s="87"/>
      <c r="F44" s="87"/>
      <c r="G44" s="87"/>
      <c r="H44" s="87"/>
      <c r="I44" s="87"/>
      <c r="J44" s="87"/>
    </row>
    <row r="46" spans="1:17">
      <c r="A46" s="25" t="s">
        <v>55</v>
      </c>
    </row>
  </sheetData>
  <mergeCells count="2">
    <mergeCell ref="B42:J42"/>
    <mergeCell ref="B44:J44"/>
  </mergeCells>
  <pageMargins left="0.84" right="0.27" top="1" bottom="1" header="0.5" footer="0.5"/>
  <pageSetup scale="53" orientation="landscape" r:id="rId1"/>
  <headerFooter alignWithMargins="0"/>
  <ignoredErrors>
    <ignoredError sqref="A42:A44" numberStoredAsText="1"/>
  </ignoredErrors>
</worksheet>
</file>

<file path=xl/worksheets/sheet3.xml><?xml version="1.0" encoding="utf-8"?>
<worksheet xmlns="http://schemas.openxmlformats.org/spreadsheetml/2006/main" xmlns:r="http://schemas.openxmlformats.org/officeDocument/2006/relationships">
  <sheetPr codeName="Sheet2">
    <pageSetUpPr fitToPage="1"/>
  </sheetPr>
  <dimension ref="A1:Q48"/>
  <sheetViews>
    <sheetView showGridLines="0" zoomScale="70" zoomScaleNormal="70" workbookViewId="0"/>
  </sheetViews>
  <sheetFormatPr defaultRowHeight="15"/>
  <cols>
    <col min="1" max="1" width="3.140625" style="2" customWidth="1"/>
    <col min="2" max="2" width="2.42578125" style="2" customWidth="1"/>
    <col min="3" max="3" width="87.140625" style="2" customWidth="1"/>
    <col min="4" max="4" width="19.7109375" style="24" customWidth="1"/>
    <col min="5" max="5" width="3.5703125" style="24" customWidth="1"/>
    <col min="6" max="6" width="19.7109375" style="24" customWidth="1"/>
    <col min="7" max="7" width="3.5703125" style="24" customWidth="1"/>
    <col min="8" max="8" width="19.7109375" style="24" customWidth="1"/>
    <col min="9" max="9" width="3.5703125" style="24" customWidth="1"/>
    <col min="10" max="10" width="19.7109375" style="24" customWidth="1"/>
    <col min="11" max="11" width="3.5703125" style="24" customWidth="1"/>
    <col min="12" max="12" width="19.7109375" style="24" customWidth="1"/>
    <col min="13" max="16384" width="9.140625" style="2"/>
  </cols>
  <sheetData>
    <row r="1" spans="1:12" ht="15.75">
      <c r="A1" s="1" t="s">
        <v>0</v>
      </c>
      <c r="B1" s="1"/>
      <c r="C1" s="1"/>
    </row>
    <row r="2" spans="1:12" ht="15.75">
      <c r="A2" s="1" t="s">
        <v>113</v>
      </c>
      <c r="B2" s="1"/>
      <c r="C2" s="1"/>
    </row>
    <row r="3" spans="1:12" ht="15.75">
      <c r="A3" s="22" t="s">
        <v>115</v>
      </c>
      <c r="B3" s="3"/>
      <c r="C3" s="3"/>
      <c r="D3" s="35"/>
      <c r="F3" s="35"/>
      <c r="H3" s="35"/>
      <c r="J3" s="35"/>
      <c r="L3" s="79"/>
    </row>
    <row r="4" spans="1:12" ht="15.75">
      <c r="A4" s="22" t="s">
        <v>53</v>
      </c>
      <c r="B4" s="3"/>
      <c r="C4" s="3"/>
      <c r="D4" s="33"/>
      <c r="F4" s="33"/>
      <c r="H4" s="33"/>
      <c r="J4" s="33"/>
      <c r="L4" s="33" t="s">
        <v>48</v>
      </c>
    </row>
    <row r="5" spans="1:12" ht="15" customHeight="1">
      <c r="A5" s="24"/>
      <c r="B5" s="3"/>
      <c r="C5" s="3"/>
      <c r="D5" s="39" t="s">
        <v>80</v>
      </c>
      <c r="E5" s="72"/>
      <c r="F5" s="39" t="s">
        <v>80</v>
      </c>
      <c r="G5" s="72"/>
      <c r="H5" s="39" t="s">
        <v>80</v>
      </c>
      <c r="I5" s="72"/>
      <c r="J5" s="39" t="s">
        <v>80</v>
      </c>
      <c r="K5" s="72"/>
      <c r="L5" s="39" t="s">
        <v>107</v>
      </c>
    </row>
    <row r="6" spans="1:12">
      <c r="A6" s="4"/>
      <c r="B6" s="4"/>
      <c r="C6" s="4"/>
      <c r="D6" s="33" t="s">
        <v>4</v>
      </c>
      <c r="F6" s="33" t="s">
        <v>5</v>
      </c>
      <c r="H6" s="33" t="s">
        <v>103</v>
      </c>
      <c r="J6" s="33" t="s">
        <v>102</v>
      </c>
      <c r="L6" s="33" t="s">
        <v>102</v>
      </c>
    </row>
    <row r="7" spans="1:12" ht="15" customHeight="1">
      <c r="A7" s="4"/>
      <c r="B7" s="4"/>
      <c r="C7" s="4"/>
      <c r="D7" s="82">
        <v>2012</v>
      </c>
      <c r="F7" s="82">
        <v>2012</v>
      </c>
      <c r="H7" s="82">
        <v>2012</v>
      </c>
      <c r="J7" s="82">
        <v>2012</v>
      </c>
      <c r="L7" s="82">
        <v>2012</v>
      </c>
    </row>
    <row r="8" spans="1:12" ht="24" customHeight="1">
      <c r="A8" s="4"/>
      <c r="B8" s="4"/>
      <c r="C8" s="4"/>
      <c r="D8" s="34"/>
      <c r="F8" s="34"/>
      <c r="H8" s="34"/>
      <c r="J8" s="34"/>
      <c r="L8" s="34"/>
    </row>
    <row r="9" spans="1:12">
      <c r="A9" s="4" t="s">
        <v>1</v>
      </c>
      <c r="B9" s="4"/>
      <c r="C9" s="4"/>
      <c r="D9" s="54">
        <v>2020.7000000000003</v>
      </c>
      <c r="E9" s="54"/>
      <c r="F9" s="54">
        <v>1981.1</v>
      </c>
      <c r="G9" s="54"/>
      <c r="H9" s="54">
        <v>2058.8000000000002</v>
      </c>
      <c r="I9" s="54"/>
      <c r="J9" s="54">
        <v>2016.9</v>
      </c>
      <c r="K9" s="54"/>
      <c r="L9" s="54">
        <v>8077.5</v>
      </c>
    </row>
    <row r="10" spans="1:12" ht="24" customHeight="1">
      <c r="A10" s="4" t="s">
        <v>47</v>
      </c>
      <c r="B10" s="4"/>
      <c r="C10" s="4"/>
      <c r="D10" s="34"/>
      <c r="E10" s="57"/>
      <c r="F10" s="34"/>
      <c r="G10" s="57"/>
      <c r="H10" s="34"/>
      <c r="I10" s="57"/>
      <c r="J10" s="34"/>
      <c r="K10" s="57"/>
      <c r="L10" s="34"/>
    </row>
    <row r="11" spans="1:12" ht="15" customHeight="1">
      <c r="A11" s="9" t="s">
        <v>15</v>
      </c>
      <c r="B11" s="9"/>
      <c r="C11" s="40"/>
      <c r="D11" s="56">
        <v>1421.8000000000002</v>
      </c>
      <c r="E11" s="57"/>
      <c r="F11" s="56">
        <v>1466</v>
      </c>
      <c r="G11" s="57"/>
      <c r="H11" s="56">
        <v>1501.3</v>
      </c>
      <c r="I11" s="57"/>
      <c r="J11" s="56">
        <v>1543.6</v>
      </c>
      <c r="K11" s="57"/>
      <c r="L11" s="56">
        <v>5932.7000000000007</v>
      </c>
    </row>
    <row r="12" spans="1:12" ht="15" customHeight="1">
      <c r="A12" s="4" t="s">
        <v>14</v>
      </c>
      <c r="B12" s="4"/>
      <c r="C12" s="41"/>
      <c r="D12" s="56">
        <v>142.89999999999998</v>
      </c>
      <c r="E12" s="57"/>
      <c r="F12" s="56">
        <v>155.30000000000001</v>
      </c>
      <c r="G12" s="57"/>
      <c r="H12" s="56">
        <v>172.5</v>
      </c>
      <c r="I12" s="57"/>
      <c r="J12" s="56">
        <v>192.7</v>
      </c>
      <c r="K12" s="57"/>
      <c r="L12" s="56">
        <v>663.4</v>
      </c>
    </row>
    <row r="13" spans="1:12" ht="15" customHeight="1">
      <c r="A13" s="4" t="s">
        <v>117</v>
      </c>
      <c r="B13" s="4"/>
      <c r="C13" s="41"/>
      <c r="D13" s="56">
        <v>14.999999999999996</v>
      </c>
      <c r="E13" s="57"/>
      <c r="F13" s="56">
        <v>17.2</v>
      </c>
      <c r="G13" s="57"/>
      <c r="H13" s="56">
        <v>21.1</v>
      </c>
      <c r="I13" s="57"/>
      <c r="J13" s="56">
        <v>13.7</v>
      </c>
      <c r="K13" s="57"/>
      <c r="L13" s="56">
        <v>67</v>
      </c>
    </row>
    <row r="14" spans="1:12" ht="15" customHeight="1">
      <c r="A14" s="4" t="s">
        <v>13</v>
      </c>
      <c r="B14" s="4"/>
      <c r="C14" s="41"/>
      <c r="D14" s="56">
        <v>70.999999999999986</v>
      </c>
      <c r="E14" s="57"/>
      <c r="F14" s="56">
        <v>62.7</v>
      </c>
      <c r="G14" s="57"/>
      <c r="H14" s="56">
        <v>68.7</v>
      </c>
      <c r="I14" s="57"/>
      <c r="J14" s="56">
        <v>66.400000000000006</v>
      </c>
      <c r="K14" s="57"/>
      <c r="L14" s="56">
        <v>268.79999999999995</v>
      </c>
    </row>
    <row r="15" spans="1:12" ht="15" customHeight="1">
      <c r="A15" s="4" t="s">
        <v>81</v>
      </c>
      <c r="B15" s="4"/>
      <c r="C15" s="41"/>
      <c r="D15" s="56"/>
      <c r="E15" s="57"/>
      <c r="F15" s="56"/>
      <c r="G15" s="57"/>
      <c r="H15" s="56"/>
      <c r="I15" s="57"/>
      <c r="J15" s="56"/>
      <c r="K15" s="57"/>
      <c r="L15" s="56"/>
    </row>
    <row r="16" spans="1:12" ht="15" customHeight="1">
      <c r="A16" s="4" t="s">
        <v>52</v>
      </c>
      <c r="B16" s="4"/>
      <c r="C16" s="41"/>
      <c r="D16" s="56">
        <v>-3.9999999999999996</v>
      </c>
      <c r="E16" s="57"/>
      <c r="F16" s="56">
        <v>-3.4</v>
      </c>
      <c r="G16" s="57"/>
      <c r="H16" s="56">
        <v>-0.2</v>
      </c>
      <c r="I16" s="57"/>
      <c r="J16" s="56">
        <v>-9.5</v>
      </c>
      <c r="K16" s="57"/>
      <c r="L16" s="56">
        <v>-17.100000000000001</v>
      </c>
    </row>
    <row r="17" spans="1:13" ht="15" customHeight="1">
      <c r="A17" s="4" t="s">
        <v>108</v>
      </c>
      <c r="B17" s="4"/>
      <c r="C17" s="41"/>
      <c r="D17" s="56">
        <v>0</v>
      </c>
      <c r="E17" s="57"/>
      <c r="F17" s="56">
        <v>0</v>
      </c>
      <c r="G17" s="57"/>
      <c r="H17" s="56">
        <v>7.7</v>
      </c>
      <c r="I17" s="57"/>
      <c r="J17" s="56">
        <v>921.3</v>
      </c>
      <c r="K17" s="57"/>
      <c r="L17" s="56">
        <v>929</v>
      </c>
    </row>
    <row r="18" spans="1:13" ht="15" customHeight="1">
      <c r="A18" s="4" t="s">
        <v>124</v>
      </c>
      <c r="B18" s="4"/>
      <c r="C18" s="41"/>
      <c r="D18" s="56"/>
      <c r="E18" s="57"/>
      <c r="F18" s="56"/>
      <c r="G18" s="57"/>
      <c r="H18" s="56"/>
      <c r="I18" s="57"/>
      <c r="J18" s="56"/>
      <c r="K18" s="57"/>
      <c r="L18" s="56"/>
    </row>
    <row r="19" spans="1:13" ht="15" customHeight="1">
      <c r="A19" s="41" t="s">
        <v>126</v>
      </c>
      <c r="B19" s="4"/>
      <c r="C19" s="41"/>
      <c r="D19" s="56">
        <v>20.399999999999999</v>
      </c>
      <c r="E19" s="57"/>
      <c r="F19" s="56">
        <v>5.7</v>
      </c>
      <c r="G19" s="57"/>
      <c r="H19" s="56">
        <v>21.4</v>
      </c>
      <c r="I19" s="57"/>
      <c r="J19" s="56">
        <v>9.1</v>
      </c>
      <c r="K19" s="57"/>
      <c r="L19" s="56">
        <v>56.6</v>
      </c>
    </row>
    <row r="20" spans="1:13" ht="15" customHeight="1">
      <c r="A20" s="41" t="s">
        <v>132</v>
      </c>
      <c r="B20" s="4"/>
      <c r="D20" s="56">
        <v>2.3000000000000003</v>
      </c>
      <c r="E20" s="62"/>
      <c r="F20" s="56">
        <v>0.9</v>
      </c>
      <c r="G20" s="62"/>
      <c r="H20" s="56">
        <v>-0.2</v>
      </c>
      <c r="I20" s="62"/>
      <c r="J20" s="56">
        <v>1.6</v>
      </c>
      <c r="K20" s="62"/>
      <c r="L20" s="56">
        <v>4.5999999999999996</v>
      </c>
      <c r="M20" s="21"/>
    </row>
    <row r="21" spans="1:13" ht="15" customHeight="1">
      <c r="A21" s="4" t="s">
        <v>139</v>
      </c>
      <c r="B21" s="4"/>
      <c r="C21" s="41"/>
      <c r="D21" s="81">
        <v>22.7</v>
      </c>
      <c r="E21" s="57"/>
      <c r="F21" s="81">
        <v>6.6000000000000005</v>
      </c>
      <c r="G21" s="57"/>
      <c r="H21" s="81">
        <v>21.2</v>
      </c>
      <c r="I21" s="57"/>
      <c r="J21" s="81">
        <v>10.7</v>
      </c>
      <c r="K21" s="57"/>
      <c r="L21" s="81">
        <v>61.2</v>
      </c>
    </row>
    <row r="22" spans="1:13" ht="24" customHeight="1">
      <c r="A22" s="4" t="s">
        <v>110</v>
      </c>
      <c r="B22" s="4"/>
      <c r="C22" s="4"/>
      <c r="D22" s="34">
        <v>351.29999999999995</v>
      </c>
      <c r="E22" s="57"/>
      <c r="F22" s="34">
        <v>276.69999999999982</v>
      </c>
      <c r="G22" s="57"/>
      <c r="H22" s="34">
        <v>266.50000000000023</v>
      </c>
      <c r="I22" s="57"/>
      <c r="J22" s="34">
        <v>-721.99999999999955</v>
      </c>
      <c r="K22" s="57"/>
      <c r="L22" s="34">
        <v>172.49999999999909</v>
      </c>
    </row>
    <row r="23" spans="1:13" ht="15" customHeight="1">
      <c r="A23" s="4"/>
      <c r="B23" s="4" t="s">
        <v>101</v>
      </c>
      <c r="C23" s="4"/>
      <c r="D23" s="56">
        <v>-8.1</v>
      </c>
      <c r="E23" s="57"/>
      <c r="F23" s="56">
        <v>-6.5</v>
      </c>
      <c r="G23" s="57"/>
      <c r="H23" s="56">
        <v>-5.0999999999999996</v>
      </c>
      <c r="I23" s="57"/>
      <c r="J23" s="56">
        <v>-4.8</v>
      </c>
      <c r="K23" s="57"/>
      <c r="L23" s="56">
        <v>-24.5</v>
      </c>
    </row>
    <row r="24" spans="1:13" ht="15" customHeight="1">
      <c r="A24" s="4"/>
      <c r="B24" s="4" t="s">
        <v>82</v>
      </c>
      <c r="C24" s="4"/>
      <c r="D24" s="55">
        <v>102.00000000000001</v>
      </c>
      <c r="E24" s="57"/>
      <c r="F24" s="55">
        <v>106.89999999999999</v>
      </c>
      <c r="G24" s="57"/>
      <c r="H24" s="55">
        <v>99.4</v>
      </c>
      <c r="I24" s="57"/>
      <c r="J24" s="55">
        <v>97.3</v>
      </c>
      <c r="K24" s="57"/>
      <c r="L24" s="55">
        <v>405.6</v>
      </c>
    </row>
    <row r="25" spans="1:13" ht="15.75" customHeight="1">
      <c r="A25" s="13" t="s">
        <v>133</v>
      </c>
      <c r="B25" s="11"/>
      <c r="C25" s="11"/>
      <c r="D25" s="34">
        <v>257.39999999999992</v>
      </c>
      <c r="E25" s="57"/>
      <c r="F25" s="34">
        <v>176.29999999999984</v>
      </c>
      <c r="G25" s="57"/>
      <c r="H25" s="34">
        <v>172.20000000000022</v>
      </c>
      <c r="I25" s="57"/>
      <c r="J25" s="34">
        <v>-814.49999999999955</v>
      </c>
      <c r="K25" s="57"/>
      <c r="L25" s="34">
        <v>-208.60000000000093</v>
      </c>
    </row>
    <row r="26" spans="1:13" ht="15.75" customHeight="1">
      <c r="A26" s="4" t="s">
        <v>106</v>
      </c>
      <c r="B26" s="4"/>
      <c r="C26" s="11"/>
      <c r="D26" s="34"/>
      <c r="E26" s="57"/>
      <c r="F26" s="34"/>
      <c r="G26" s="57"/>
      <c r="H26" s="34"/>
      <c r="I26" s="57"/>
      <c r="J26" s="34"/>
      <c r="K26" s="57"/>
      <c r="L26" s="34"/>
    </row>
    <row r="27" spans="1:13" ht="15.75" customHeight="1">
      <c r="A27" s="4" t="s">
        <v>105</v>
      </c>
      <c r="B27" s="11"/>
      <c r="C27" s="11"/>
      <c r="D27" s="34">
        <v>65.5</v>
      </c>
      <c r="E27" s="57"/>
      <c r="F27" s="34">
        <v>-24.4</v>
      </c>
      <c r="G27" s="57"/>
      <c r="H27" s="34">
        <v>38.6</v>
      </c>
      <c r="I27" s="57"/>
      <c r="J27" s="34">
        <v>402</v>
      </c>
      <c r="K27" s="57"/>
      <c r="L27" s="34">
        <v>481.7</v>
      </c>
    </row>
    <row r="28" spans="1:13" ht="15.75" customHeight="1">
      <c r="A28" s="4" t="s">
        <v>109</v>
      </c>
      <c r="B28" s="11"/>
      <c r="C28" s="11"/>
      <c r="D28" s="34">
        <v>0</v>
      </c>
      <c r="E28" s="57"/>
      <c r="F28" s="34">
        <v>0</v>
      </c>
      <c r="G28" s="57"/>
      <c r="H28" s="34">
        <v>-2.9</v>
      </c>
      <c r="I28" s="57"/>
      <c r="J28" s="34">
        <v>-224.4</v>
      </c>
      <c r="K28" s="57"/>
      <c r="L28" s="34">
        <v>-227.3</v>
      </c>
    </row>
    <row r="29" spans="1:13" ht="15.75" customHeight="1">
      <c r="A29" s="4" t="s">
        <v>91</v>
      </c>
      <c r="B29" s="11"/>
      <c r="C29" s="11"/>
      <c r="D29" s="55">
        <v>8.9</v>
      </c>
      <c r="E29" s="57"/>
      <c r="F29" s="55">
        <v>-13.8</v>
      </c>
      <c r="G29" s="57"/>
      <c r="H29" s="55">
        <v>13.6</v>
      </c>
      <c r="I29" s="57"/>
      <c r="J29" s="55">
        <v>-0.8</v>
      </c>
      <c r="K29" s="57"/>
      <c r="L29" s="55">
        <v>7.8999999999999995</v>
      </c>
    </row>
    <row r="30" spans="1:13" ht="15" customHeight="1">
      <c r="A30" s="10" t="s">
        <v>138</v>
      </c>
      <c r="B30" s="10"/>
      <c r="C30" s="10"/>
      <c r="D30" s="55">
        <v>74.400000000000006</v>
      </c>
      <c r="E30" s="57"/>
      <c r="F30" s="55">
        <v>-38.200000000000003</v>
      </c>
      <c r="G30" s="57"/>
      <c r="H30" s="55">
        <v>49.300000000000004</v>
      </c>
      <c r="I30" s="57"/>
      <c r="J30" s="55">
        <v>176.79999999999998</v>
      </c>
      <c r="K30" s="57"/>
      <c r="L30" s="55">
        <v>262.29999999999995</v>
      </c>
    </row>
    <row r="31" spans="1:13" ht="15" customHeight="1">
      <c r="A31" s="4" t="s">
        <v>111</v>
      </c>
      <c r="B31" s="10"/>
      <c r="C31" s="10"/>
      <c r="D31" s="56">
        <v>182.99999999999991</v>
      </c>
      <c r="E31" s="57"/>
      <c r="F31" s="56">
        <v>214.49999999999983</v>
      </c>
      <c r="G31" s="57"/>
      <c r="H31" s="56">
        <v>122.9000000000002</v>
      </c>
      <c r="I31" s="57"/>
      <c r="J31" s="56">
        <v>-991.2999999999995</v>
      </c>
      <c r="K31" s="57"/>
      <c r="L31" s="56">
        <v>-470.90000000000089</v>
      </c>
    </row>
    <row r="32" spans="1:13" ht="18.75" customHeight="1">
      <c r="A32" s="4"/>
      <c r="B32" s="4" t="s">
        <v>84</v>
      </c>
      <c r="C32" s="4"/>
      <c r="D32" s="55">
        <v>-4.7000000000000055</v>
      </c>
      <c r="E32" s="57"/>
      <c r="F32" s="55">
        <v>-6.7</v>
      </c>
      <c r="G32" s="57"/>
      <c r="H32" s="55">
        <v>-81.3</v>
      </c>
      <c r="I32" s="57"/>
      <c r="J32" s="55">
        <v>-11.5</v>
      </c>
      <c r="K32" s="57"/>
      <c r="L32" s="55">
        <v>-104.2</v>
      </c>
    </row>
    <row r="33" spans="1:17" ht="18.75" customHeight="1">
      <c r="A33" s="4" t="s">
        <v>60</v>
      </c>
      <c r="B33" s="4"/>
      <c r="C33" s="4"/>
      <c r="D33" s="56">
        <v>178.2999999999999</v>
      </c>
      <c r="E33" s="65"/>
      <c r="F33" s="56">
        <v>207.79999999999984</v>
      </c>
      <c r="G33" s="65"/>
      <c r="H33" s="56">
        <v>41.600000000000207</v>
      </c>
      <c r="I33" s="65"/>
      <c r="J33" s="56">
        <v>-1002.7999999999995</v>
      </c>
      <c r="K33" s="65"/>
      <c r="L33" s="56">
        <v>-575.10000000000093</v>
      </c>
    </row>
    <row r="34" spans="1:17" ht="15" customHeight="1">
      <c r="A34" s="4"/>
      <c r="B34" s="4" t="s">
        <v>114</v>
      </c>
      <c r="C34" s="4"/>
      <c r="D34" s="55">
        <v>5.6000000000000014</v>
      </c>
      <c r="E34" s="57"/>
      <c r="F34" s="55">
        <v>3.1</v>
      </c>
      <c r="G34" s="57"/>
      <c r="H34" s="55">
        <v>-1.3</v>
      </c>
      <c r="I34" s="57"/>
      <c r="J34" s="55">
        <v>3.2</v>
      </c>
      <c r="K34" s="57"/>
      <c r="L34" s="55">
        <v>10.600000000000001</v>
      </c>
    </row>
    <row r="35" spans="1:17" ht="18.75" customHeight="1" thickBot="1">
      <c r="A35" s="10" t="s">
        <v>112</v>
      </c>
      <c r="B35" s="10"/>
      <c r="C35" s="4"/>
      <c r="D35" s="71">
        <v>172.6999999999999</v>
      </c>
      <c r="F35" s="71">
        <v>204.69999999999985</v>
      </c>
      <c r="H35" s="71">
        <v>42.900000000000205</v>
      </c>
      <c r="J35" s="71">
        <v>-1005.9999999999995</v>
      </c>
      <c r="L35" s="71">
        <v>-585.70000000000095</v>
      </c>
    </row>
    <row r="36" spans="1:17" ht="15.75" thickTop="1">
      <c r="B36" s="4"/>
    </row>
    <row r="37" spans="1:17" ht="16.5" customHeight="1">
      <c r="A37" s="4"/>
      <c r="B37" s="4"/>
      <c r="C37" s="4"/>
      <c r="D37" s="31"/>
      <c r="F37" s="31"/>
      <c r="H37" s="31"/>
      <c r="J37" s="31"/>
      <c r="L37" s="31"/>
    </row>
    <row r="38" spans="1:17" s="18" customFormat="1" ht="18.75" customHeight="1">
      <c r="A38" s="18" t="s">
        <v>135</v>
      </c>
      <c r="D38" s="73">
        <v>270.89999999999998</v>
      </c>
      <c r="E38" s="74"/>
      <c r="F38" s="73">
        <v>269.8</v>
      </c>
      <c r="G38" s="74"/>
      <c r="H38" s="73">
        <v>266.8</v>
      </c>
      <c r="I38" s="74"/>
      <c r="J38" s="77">
        <v>266.3</v>
      </c>
      <c r="K38" s="74"/>
      <c r="L38" s="73">
        <v>268</v>
      </c>
    </row>
    <row r="39" spans="1:17" s="18" customFormat="1" ht="13.5" customHeight="1">
      <c r="D39" s="73"/>
      <c r="E39" s="74"/>
      <c r="F39" s="73"/>
      <c r="G39" s="74"/>
      <c r="H39" s="73"/>
      <c r="I39" s="74"/>
      <c r="J39" s="73"/>
      <c r="K39" s="74"/>
      <c r="L39" s="73"/>
    </row>
    <row r="40" spans="1:17" s="19" customFormat="1" ht="20.25" customHeight="1">
      <c r="A40" s="18" t="s">
        <v>143</v>
      </c>
      <c r="D40" s="44">
        <v>0.65</v>
      </c>
      <c r="E40" s="28"/>
      <c r="F40" s="44">
        <v>0.78</v>
      </c>
      <c r="G40" s="28"/>
      <c r="H40" s="44">
        <v>0.46</v>
      </c>
      <c r="I40" s="28"/>
      <c r="J40" s="78">
        <v>-3.73</v>
      </c>
      <c r="K40" s="28"/>
      <c r="L40" s="44">
        <v>-1.8</v>
      </c>
    </row>
    <row r="41" spans="1:17" s="19" customFormat="1" ht="17.45" customHeight="1">
      <c r="D41" s="28"/>
      <c r="E41" s="28"/>
      <c r="F41" s="28"/>
      <c r="G41" s="28"/>
      <c r="H41" s="28"/>
      <c r="I41" s="28"/>
      <c r="J41" s="28"/>
      <c r="K41" s="28"/>
      <c r="L41" s="28"/>
    </row>
    <row r="42" spans="1:17" s="24" customFormat="1" ht="18">
      <c r="A42" s="75" t="s">
        <v>104</v>
      </c>
      <c r="D42" s="60">
        <v>511.49999999999994</v>
      </c>
      <c r="E42" s="60"/>
      <c r="F42" s="60">
        <v>450.0999999999998</v>
      </c>
      <c r="G42" s="60"/>
      <c r="H42" s="60">
        <v>467.60000000000025</v>
      </c>
      <c r="I42" s="60"/>
      <c r="J42" s="60">
        <v>407.30000000000052</v>
      </c>
      <c r="K42" s="60"/>
      <c r="L42" s="60">
        <v>1836.4999999999991</v>
      </c>
      <c r="N42" s="60"/>
      <c r="O42" s="60"/>
      <c r="Q42" s="60"/>
    </row>
    <row r="43" spans="1:17">
      <c r="A43" s="24"/>
      <c r="D43" s="60"/>
      <c r="E43" s="60"/>
      <c r="F43" s="60"/>
      <c r="G43" s="60"/>
      <c r="H43" s="60"/>
      <c r="I43" s="60"/>
      <c r="J43" s="60"/>
      <c r="K43" s="60"/>
      <c r="L43" s="60"/>
    </row>
    <row r="44" spans="1:17" ht="39.75" customHeight="1">
      <c r="A44" s="76" t="s">
        <v>79</v>
      </c>
      <c r="B44" s="87" t="s">
        <v>118</v>
      </c>
      <c r="C44" s="87"/>
      <c r="D44" s="87"/>
      <c r="E44" s="87"/>
      <c r="F44" s="87"/>
      <c r="G44" s="87"/>
      <c r="H44" s="87"/>
      <c r="I44" s="87"/>
      <c r="J44" s="87"/>
      <c r="K44" s="87"/>
      <c r="L44" s="87"/>
    </row>
    <row r="45" spans="1:17">
      <c r="B45" s="24"/>
      <c r="D45" s="35"/>
      <c r="F45" s="35"/>
      <c r="H45" s="35"/>
      <c r="J45" s="35"/>
      <c r="L45" s="35"/>
    </row>
    <row r="46" spans="1:17" ht="70.5" customHeight="1">
      <c r="A46" s="76" t="s">
        <v>88</v>
      </c>
      <c r="B46" s="87" t="s">
        <v>142</v>
      </c>
      <c r="C46" s="87"/>
      <c r="D46" s="87"/>
      <c r="E46" s="87"/>
      <c r="F46" s="87"/>
      <c r="G46" s="87"/>
      <c r="H46" s="87"/>
      <c r="I46" s="87"/>
      <c r="J46" s="87"/>
      <c r="K46" s="87"/>
      <c r="L46" s="87"/>
    </row>
    <row r="48" spans="1:17">
      <c r="A48" s="25" t="s">
        <v>55</v>
      </c>
    </row>
  </sheetData>
  <mergeCells count="2">
    <mergeCell ref="B44:L44"/>
    <mergeCell ref="B46:L46"/>
  </mergeCells>
  <pageMargins left="0.84" right="0.27" top="1" bottom="1" header="0.5" footer="0.5"/>
  <pageSetup scale="54" orientation="landscape" r:id="rId1"/>
  <headerFooter alignWithMargins="0"/>
  <ignoredErrors>
    <ignoredError sqref="A44:A46" numberStoredAsText="1"/>
  </ignoredErrors>
</worksheet>
</file>

<file path=xl/worksheets/sheet4.xml><?xml version="1.0" encoding="utf-8"?>
<worksheet xmlns="http://schemas.openxmlformats.org/spreadsheetml/2006/main" xmlns:r="http://schemas.openxmlformats.org/officeDocument/2006/relationships">
  <sheetPr codeName="Sheet4">
    <pageSetUpPr fitToPage="1"/>
  </sheetPr>
  <dimension ref="A1:L47"/>
  <sheetViews>
    <sheetView showGridLines="0" zoomScale="70" zoomScaleNormal="70" workbookViewId="0"/>
  </sheetViews>
  <sheetFormatPr defaultRowHeight="15"/>
  <cols>
    <col min="1" max="2" width="2.42578125" style="2" customWidth="1"/>
    <col min="3" max="3" width="86.28515625" style="2" customWidth="1"/>
    <col min="4" max="4" width="19.7109375" style="2" customWidth="1"/>
    <col min="5" max="5" width="3.5703125" style="2" customWidth="1"/>
    <col min="6" max="6" width="19.7109375" style="2" customWidth="1"/>
    <col min="7" max="7" width="3.5703125" style="2" customWidth="1"/>
    <col min="8" max="8" width="19.7109375" style="24" customWidth="1"/>
    <col min="9" max="9" width="3.5703125" style="24" customWidth="1"/>
    <col min="10" max="10" width="19.7109375" style="24" customWidth="1"/>
    <col min="11" max="11" width="3.5703125" style="24" customWidth="1"/>
    <col min="12" max="12" width="11.7109375" style="2" bestFit="1" customWidth="1"/>
    <col min="13" max="16384" width="9.140625" style="2"/>
  </cols>
  <sheetData>
    <row r="1" spans="1:11" ht="15.75">
      <c r="A1" s="1" t="s">
        <v>0</v>
      </c>
      <c r="B1" s="1"/>
      <c r="C1" s="1"/>
      <c r="D1" s="1"/>
      <c r="E1" s="1"/>
      <c r="F1" s="1"/>
      <c r="G1" s="1"/>
    </row>
    <row r="2" spans="1:11" ht="15.75">
      <c r="A2" s="1" t="s">
        <v>121</v>
      </c>
      <c r="B2" s="1"/>
      <c r="C2" s="1"/>
      <c r="D2" s="1"/>
      <c r="E2" s="1"/>
      <c r="F2" s="1"/>
      <c r="G2" s="1"/>
    </row>
    <row r="3" spans="1:11" ht="15.75">
      <c r="A3" s="22" t="s">
        <v>115</v>
      </c>
      <c r="B3" s="3"/>
      <c r="C3" s="3"/>
      <c r="D3" s="3"/>
      <c r="E3" s="3"/>
      <c r="F3" s="3"/>
      <c r="G3" s="3"/>
      <c r="H3" s="35"/>
      <c r="J3" s="35"/>
    </row>
    <row r="4" spans="1:11" ht="15.75">
      <c r="A4" s="80" t="s">
        <v>48</v>
      </c>
      <c r="B4" s="3"/>
      <c r="C4" s="3"/>
      <c r="D4" s="33"/>
      <c r="E4" s="3"/>
      <c r="F4" s="33"/>
      <c r="G4" s="3"/>
      <c r="H4" s="33"/>
      <c r="J4" s="33"/>
    </row>
    <row r="5" spans="1:11" ht="15" customHeight="1">
      <c r="A5" s="24"/>
      <c r="B5" s="3"/>
      <c r="C5" s="3"/>
      <c r="D5" s="39" t="s">
        <v>57</v>
      </c>
      <c r="E5" s="3"/>
      <c r="F5" s="39" t="s">
        <v>57</v>
      </c>
      <c r="G5" s="3"/>
      <c r="H5" s="39" t="s">
        <v>57</v>
      </c>
      <c r="I5" s="72"/>
      <c r="J5" s="39" t="s">
        <v>57</v>
      </c>
      <c r="K5" s="72"/>
    </row>
    <row r="6" spans="1:11">
      <c r="A6" s="4"/>
      <c r="B6" s="4"/>
      <c r="C6" s="4"/>
      <c r="D6" s="33" t="s">
        <v>102</v>
      </c>
      <c r="E6" s="4"/>
      <c r="F6" s="33" t="s">
        <v>102</v>
      </c>
      <c r="G6" s="4"/>
      <c r="H6" s="33" t="s">
        <v>102</v>
      </c>
      <c r="J6" s="33" t="s">
        <v>102</v>
      </c>
    </row>
    <row r="7" spans="1:11" ht="15" customHeight="1">
      <c r="A7" s="4"/>
      <c r="B7" s="4"/>
      <c r="C7" s="4"/>
      <c r="D7" s="82">
        <v>2011</v>
      </c>
      <c r="E7" s="41"/>
      <c r="F7" s="82">
        <v>2010</v>
      </c>
      <c r="G7" s="41"/>
      <c r="H7" s="82">
        <v>2009</v>
      </c>
      <c r="J7" s="82">
        <v>2008</v>
      </c>
    </row>
    <row r="8" spans="1:11" ht="24" customHeight="1">
      <c r="A8" s="4"/>
      <c r="B8" s="4"/>
      <c r="C8" s="4"/>
      <c r="D8" s="4"/>
      <c r="E8" s="4"/>
      <c r="F8" s="4"/>
      <c r="G8" s="4"/>
      <c r="H8" s="34"/>
      <c r="J8" s="34"/>
    </row>
    <row r="9" spans="1:11">
      <c r="A9" s="4" t="s">
        <v>1</v>
      </c>
      <c r="B9" s="4"/>
      <c r="C9" s="4"/>
      <c r="D9" s="54">
        <v>7895.9</v>
      </c>
      <c r="E9" s="4"/>
      <c r="F9" s="54">
        <v>6668.2</v>
      </c>
      <c r="G9" s="4"/>
      <c r="H9" s="54">
        <v>5746.4</v>
      </c>
      <c r="I9" s="54"/>
      <c r="J9" s="54">
        <v>6237.6</v>
      </c>
      <c r="K9" s="54"/>
    </row>
    <row r="10" spans="1:11" ht="24" customHeight="1">
      <c r="A10" s="4" t="s">
        <v>47</v>
      </c>
      <c r="B10" s="4"/>
      <c r="C10" s="4"/>
      <c r="D10" s="34"/>
      <c r="E10" s="4"/>
      <c r="F10" s="34"/>
      <c r="G10" s="4"/>
      <c r="H10" s="34"/>
      <c r="I10" s="57"/>
      <c r="J10" s="34"/>
      <c r="K10" s="57"/>
    </row>
    <row r="11" spans="1:11" ht="15" customHeight="1">
      <c r="A11" s="9" t="s">
        <v>15</v>
      </c>
      <c r="B11" s="9"/>
      <c r="C11" s="40"/>
      <c r="D11" s="56">
        <v>5477.6</v>
      </c>
      <c r="E11" s="40"/>
      <c r="F11" s="56">
        <v>4637.7</v>
      </c>
      <c r="G11" s="40"/>
      <c r="H11" s="56">
        <v>4244.8999999999996</v>
      </c>
      <c r="I11" s="57"/>
      <c r="J11" s="56">
        <v>4385.3999999999996</v>
      </c>
      <c r="K11" s="57"/>
    </row>
    <row r="12" spans="1:11" ht="15" customHeight="1">
      <c r="A12" s="4" t="s">
        <v>14</v>
      </c>
      <c r="B12" s="4"/>
      <c r="C12" s="41"/>
      <c r="D12" s="56">
        <v>474.3</v>
      </c>
      <c r="E12" s="41"/>
      <c r="F12" s="56">
        <v>429.5</v>
      </c>
      <c r="G12" s="41"/>
      <c r="H12" s="56">
        <v>390.8</v>
      </c>
      <c r="I12" s="57"/>
      <c r="J12" s="56">
        <v>387.2</v>
      </c>
      <c r="K12" s="57"/>
    </row>
    <row r="13" spans="1:11" ht="15" customHeight="1">
      <c r="A13" s="4" t="s">
        <v>117</v>
      </c>
      <c r="B13" s="4"/>
      <c r="C13" s="41"/>
      <c r="D13" s="56">
        <v>52.6</v>
      </c>
      <c r="E13" s="41"/>
      <c r="F13" s="56">
        <v>45.9</v>
      </c>
      <c r="G13" s="41"/>
      <c r="H13" s="56">
        <v>38.9</v>
      </c>
      <c r="I13" s="57"/>
      <c r="J13" s="56">
        <v>47.2</v>
      </c>
      <c r="K13" s="57"/>
    </row>
    <row r="14" spans="1:11" ht="15" customHeight="1">
      <c r="A14" s="4" t="s">
        <v>13</v>
      </c>
      <c r="B14" s="4"/>
      <c r="C14" s="41"/>
      <c r="D14" s="56">
        <v>268.20000000000005</v>
      </c>
      <c r="E14" s="41"/>
      <c r="F14" s="56">
        <v>232.2</v>
      </c>
      <c r="G14" s="41"/>
      <c r="H14" s="56">
        <v>199.1</v>
      </c>
      <c r="I14" s="57"/>
      <c r="J14" s="56">
        <v>197.3</v>
      </c>
      <c r="K14" s="57"/>
    </row>
    <row r="15" spans="1:11" ht="15" customHeight="1">
      <c r="A15" s="4" t="s">
        <v>119</v>
      </c>
      <c r="B15" s="4"/>
      <c r="C15" s="41"/>
      <c r="D15" s="56">
        <v>85.199999999999989</v>
      </c>
      <c r="E15" s="41"/>
      <c r="F15" s="56"/>
      <c r="G15" s="41"/>
      <c r="H15" s="56"/>
      <c r="I15" s="57"/>
      <c r="J15" s="56"/>
      <c r="K15" s="57"/>
    </row>
    <row r="16" spans="1:11" ht="15" customHeight="1">
      <c r="A16" s="4" t="s">
        <v>81</v>
      </c>
      <c r="B16" s="4"/>
      <c r="C16" s="41"/>
      <c r="D16" s="56"/>
      <c r="E16" s="41"/>
      <c r="F16" s="56"/>
      <c r="G16" s="41"/>
      <c r="H16" s="56"/>
      <c r="I16" s="57"/>
      <c r="J16" s="56"/>
      <c r="K16" s="57"/>
    </row>
    <row r="17" spans="1:11" ht="15" customHeight="1">
      <c r="A17" s="4" t="s">
        <v>52</v>
      </c>
      <c r="B17" s="4"/>
      <c r="C17" s="41"/>
      <c r="D17" s="56">
        <v>-76.900000000000006</v>
      </c>
      <c r="E17" s="41"/>
      <c r="F17" s="56">
        <v>-29.9</v>
      </c>
      <c r="G17" s="41"/>
      <c r="H17" s="56">
        <v>-23.2</v>
      </c>
      <c r="I17" s="57"/>
      <c r="J17" s="56">
        <v>-72.8</v>
      </c>
      <c r="K17" s="57"/>
    </row>
    <row r="18" spans="1:11" ht="15" customHeight="1">
      <c r="A18" s="4" t="s">
        <v>108</v>
      </c>
      <c r="B18" s="4"/>
      <c r="C18" s="41"/>
      <c r="D18" s="56">
        <v>0</v>
      </c>
      <c r="E18" s="41"/>
      <c r="F18" s="56">
        <v>0</v>
      </c>
      <c r="G18" s="41"/>
      <c r="H18" s="56">
        <v>34.700000000000003</v>
      </c>
      <c r="I18" s="57"/>
      <c r="J18" s="56">
        <v>0</v>
      </c>
      <c r="K18" s="57"/>
    </row>
    <row r="19" spans="1:11" ht="15" customHeight="1">
      <c r="A19" s="4" t="s">
        <v>145</v>
      </c>
      <c r="B19" s="4"/>
      <c r="C19" s="41"/>
      <c r="D19" s="55">
        <v>19.2</v>
      </c>
      <c r="E19" s="41"/>
      <c r="F19" s="55">
        <v>1.6999999999999993</v>
      </c>
      <c r="G19" s="41"/>
      <c r="H19" s="55">
        <v>34.399999999999991</v>
      </c>
      <c r="I19" s="57"/>
      <c r="J19" s="55">
        <v>0</v>
      </c>
      <c r="K19" s="57"/>
    </row>
    <row r="20" spans="1:11" ht="24" customHeight="1">
      <c r="A20" s="4" t="s">
        <v>3</v>
      </c>
      <c r="B20" s="4"/>
      <c r="C20" s="4"/>
      <c r="D20" s="34">
        <v>1595.6999999999989</v>
      </c>
      <c r="E20" s="4"/>
      <c r="F20" s="34">
        <v>1351.1000000000004</v>
      </c>
      <c r="G20" s="4"/>
      <c r="H20" s="34">
        <v>826.80000000000018</v>
      </c>
      <c r="I20" s="57"/>
      <c r="J20" s="34">
        <v>1293.3000000000011</v>
      </c>
      <c r="K20" s="57"/>
    </row>
    <row r="21" spans="1:11" ht="15" customHeight="1">
      <c r="A21" s="4" t="s">
        <v>9</v>
      </c>
      <c r="B21" s="4"/>
      <c r="C21" s="4"/>
      <c r="D21" s="56">
        <v>-18.899999999999999</v>
      </c>
      <c r="E21" s="4"/>
      <c r="F21" s="56">
        <v>-9.6000000000000014</v>
      </c>
      <c r="G21" s="4"/>
      <c r="H21" s="56">
        <v>-8.1</v>
      </c>
      <c r="I21" s="57"/>
      <c r="J21" s="56">
        <v>-9.9</v>
      </c>
      <c r="K21" s="57"/>
    </row>
    <row r="22" spans="1:11" ht="15" customHeight="1">
      <c r="A22" s="4" t="s">
        <v>12</v>
      </c>
      <c r="B22" s="4"/>
      <c r="C22" s="4"/>
      <c r="D22" s="55">
        <v>238.60000000000002</v>
      </c>
      <c r="E22" s="4"/>
      <c r="F22" s="55">
        <v>222</v>
      </c>
      <c r="G22" s="4"/>
      <c r="H22" s="55">
        <v>201.1</v>
      </c>
      <c r="I22" s="62"/>
      <c r="J22" s="55">
        <v>227</v>
      </c>
      <c r="K22" s="62"/>
    </row>
    <row r="23" spans="1:11" ht="15.75" customHeight="1">
      <c r="A23" s="13" t="s">
        <v>144</v>
      </c>
      <c r="B23" s="11"/>
      <c r="C23" s="11"/>
      <c r="D23" s="34">
        <v>1375.9999999999991</v>
      </c>
      <c r="E23" s="11"/>
      <c r="F23" s="34">
        <v>1138.7000000000003</v>
      </c>
      <c r="G23" s="11"/>
      <c r="H23" s="34">
        <v>633.80000000000018</v>
      </c>
      <c r="I23" s="57"/>
      <c r="J23" s="34">
        <v>1076.2000000000012</v>
      </c>
      <c r="K23" s="57"/>
    </row>
    <row r="24" spans="1:11" ht="15.75" customHeight="1">
      <c r="A24" s="4" t="s">
        <v>76</v>
      </c>
      <c r="B24" s="4"/>
      <c r="C24" s="11"/>
      <c r="D24" s="34"/>
      <c r="E24" s="11"/>
      <c r="F24" s="34"/>
      <c r="G24" s="11"/>
      <c r="H24" s="34"/>
      <c r="I24" s="57"/>
      <c r="J24" s="34"/>
      <c r="K24" s="57"/>
    </row>
    <row r="25" spans="1:11" ht="15.75" customHeight="1">
      <c r="A25" s="4" t="s">
        <v>77</v>
      </c>
      <c r="B25" s="11"/>
      <c r="C25" s="11"/>
      <c r="D25" s="34">
        <v>364.1</v>
      </c>
      <c r="E25" s="11"/>
      <c r="F25" s="34">
        <v>265.8</v>
      </c>
      <c r="G25" s="11"/>
      <c r="H25" s="34">
        <v>125.5</v>
      </c>
      <c r="I25" s="57"/>
      <c r="J25" s="34">
        <v>229.1</v>
      </c>
      <c r="K25" s="57"/>
    </row>
    <row r="26" spans="1:11" ht="15.75" customHeight="1">
      <c r="A26" s="4" t="s">
        <v>109</v>
      </c>
      <c r="B26" s="11"/>
      <c r="C26" s="11"/>
      <c r="D26" s="34">
        <v>0</v>
      </c>
      <c r="E26" s="11"/>
      <c r="F26" s="34">
        <v>0</v>
      </c>
      <c r="G26" s="11"/>
      <c r="H26" s="34">
        <v>-12.1</v>
      </c>
      <c r="I26" s="57"/>
      <c r="J26" s="34">
        <v>0</v>
      </c>
      <c r="K26" s="57"/>
    </row>
    <row r="27" spans="1:11" ht="15.75" customHeight="1">
      <c r="A27" s="4" t="s">
        <v>122</v>
      </c>
      <c r="B27" s="11"/>
      <c r="C27" s="11"/>
      <c r="D27" s="55">
        <v>-0.90000000000000213</v>
      </c>
      <c r="E27" s="11"/>
      <c r="F27" s="55">
        <v>47.9</v>
      </c>
      <c r="G27" s="11"/>
      <c r="H27" s="55">
        <v>74.400000000000006</v>
      </c>
      <c r="I27" s="57"/>
      <c r="J27" s="55">
        <v>-65.2</v>
      </c>
      <c r="K27" s="57"/>
    </row>
    <row r="28" spans="1:11" ht="15" customHeight="1">
      <c r="A28" s="10" t="s">
        <v>146</v>
      </c>
      <c r="B28" s="10"/>
      <c r="C28" s="10"/>
      <c r="D28" s="55">
        <v>363.20000000000005</v>
      </c>
      <c r="E28" s="10"/>
      <c r="F28" s="55">
        <v>313.7</v>
      </c>
      <c r="G28" s="10"/>
      <c r="H28" s="55">
        <v>187.8</v>
      </c>
      <c r="I28" s="57"/>
      <c r="J28" s="55">
        <v>163.89999999999998</v>
      </c>
      <c r="K28" s="57"/>
    </row>
    <row r="29" spans="1:11" ht="15" customHeight="1">
      <c r="A29" s="4" t="s">
        <v>83</v>
      </c>
      <c r="B29" s="10"/>
      <c r="C29" s="10"/>
      <c r="D29" s="56">
        <v>1012.799999999999</v>
      </c>
      <c r="E29" s="10"/>
      <c r="F29" s="56">
        <v>825.00000000000023</v>
      </c>
      <c r="G29" s="10"/>
      <c r="H29" s="56">
        <v>446.00000000000017</v>
      </c>
      <c r="I29" s="57"/>
      <c r="J29" s="56">
        <v>912.30000000000121</v>
      </c>
      <c r="K29" s="57"/>
    </row>
    <row r="30" spans="1:11" ht="18.75" customHeight="1">
      <c r="A30" s="4"/>
      <c r="B30" s="4" t="s">
        <v>120</v>
      </c>
      <c r="C30" s="4"/>
      <c r="D30" s="55">
        <v>-66.5</v>
      </c>
      <c r="E30" s="4"/>
      <c r="F30" s="55">
        <v>-22.8</v>
      </c>
      <c r="G30" s="4"/>
      <c r="H30" s="55">
        <v>17</v>
      </c>
      <c r="I30" s="57"/>
      <c r="J30" s="55">
        <v>46.8</v>
      </c>
      <c r="K30" s="57"/>
    </row>
    <row r="31" spans="1:11" ht="18.75" customHeight="1">
      <c r="A31" s="4" t="s">
        <v>35</v>
      </c>
      <c r="B31" s="4"/>
      <c r="C31" s="4"/>
      <c r="D31" s="56">
        <v>946.29999999999905</v>
      </c>
      <c r="E31" s="4"/>
      <c r="F31" s="56">
        <v>802.20000000000027</v>
      </c>
      <c r="G31" s="4"/>
      <c r="H31" s="56">
        <v>463.00000000000017</v>
      </c>
      <c r="I31" s="65"/>
      <c r="J31" s="56">
        <v>959.10000000000116</v>
      </c>
      <c r="K31" s="65"/>
    </row>
    <row r="32" spans="1:11" ht="15" customHeight="1">
      <c r="A32" s="4"/>
      <c r="B32" s="4" t="s">
        <v>123</v>
      </c>
      <c r="C32" s="4"/>
      <c r="D32" s="55">
        <v>-11.399999999999999</v>
      </c>
      <c r="E32" s="4"/>
      <c r="F32" s="55">
        <v>28.2</v>
      </c>
      <c r="G32" s="4"/>
      <c r="H32" s="55">
        <v>14.8</v>
      </c>
      <c r="I32" s="57"/>
      <c r="J32" s="55">
        <v>6.2</v>
      </c>
      <c r="K32" s="57"/>
    </row>
    <row r="33" spans="1:12" ht="18.75" customHeight="1" thickBot="1">
      <c r="A33" s="10" t="s">
        <v>75</v>
      </c>
      <c r="B33" s="10"/>
      <c r="C33" s="4"/>
      <c r="D33" s="71">
        <v>957.69999999999902</v>
      </c>
      <c r="E33" s="4"/>
      <c r="F33" s="71">
        <v>774.00000000000023</v>
      </c>
      <c r="G33" s="4"/>
      <c r="H33" s="71">
        <v>448.20000000000016</v>
      </c>
      <c r="I33" s="57"/>
      <c r="J33" s="71">
        <v>952.90000000000111</v>
      </c>
      <c r="K33" s="57"/>
    </row>
    <row r="34" spans="1:12" ht="15.75" thickTop="1">
      <c r="B34" s="4"/>
      <c r="D34" s="24"/>
      <c r="F34" s="24"/>
    </row>
    <row r="35" spans="1:12" ht="16.5" customHeight="1">
      <c r="A35" s="4"/>
      <c r="B35" s="4"/>
      <c r="C35" s="4"/>
      <c r="D35" s="31"/>
      <c r="E35" s="4"/>
      <c r="F35" s="31"/>
      <c r="G35" s="4"/>
      <c r="H35" s="31"/>
      <c r="J35" s="31"/>
    </row>
    <row r="36" spans="1:12" s="18" customFormat="1" ht="18.75" customHeight="1">
      <c r="A36" s="18" t="s">
        <v>147</v>
      </c>
      <c r="D36" s="73">
        <v>270.3</v>
      </c>
      <c r="F36" s="73">
        <v>269.89999999999998</v>
      </c>
      <c r="H36" s="73">
        <v>267.5</v>
      </c>
      <c r="I36" s="27"/>
      <c r="J36" s="73">
        <v>270.7</v>
      </c>
      <c r="K36" s="27"/>
    </row>
    <row r="37" spans="1:12" s="18" customFormat="1" ht="18" customHeight="1">
      <c r="D37" s="73"/>
      <c r="F37" s="73"/>
      <c r="H37" s="73"/>
      <c r="I37" s="27"/>
      <c r="J37" s="73"/>
      <c r="K37" s="27"/>
    </row>
    <row r="38" spans="1:12" s="19" customFormat="1" ht="20.25" customHeight="1">
      <c r="A38" s="18" t="s">
        <v>148</v>
      </c>
      <c r="D38" s="44">
        <v>3.77</v>
      </c>
      <c r="F38" s="44">
        <v>2.92</v>
      </c>
      <c r="H38" s="44">
        <v>1.6</v>
      </c>
      <c r="I38" s="28"/>
      <c r="J38" s="44">
        <v>3.33</v>
      </c>
      <c r="K38" s="28"/>
    </row>
    <row r="39" spans="1:12" s="19" customFormat="1" ht="17.45" customHeight="1">
      <c r="D39" s="28"/>
      <c r="F39" s="28"/>
      <c r="H39" s="28"/>
      <c r="I39" s="28"/>
      <c r="J39" s="28"/>
      <c r="K39" s="28"/>
    </row>
    <row r="40" spans="1:12" s="24" customFormat="1" ht="18">
      <c r="A40" s="75" t="s">
        <v>104</v>
      </c>
      <c r="D40" s="60">
        <v>2122.599999999999</v>
      </c>
      <c r="F40" s="60">
        <v>1826.5000000000005</v>
      </c>
      <c r="H40" s="60">
        <v>1291.2</v>
      </c>
      <c r="I40" s="60"/>
      <c r="J40" s="60">
        <v>1727.7</v>
      </c>
      <c r="K40" s="60"/>
      <c r="L40" s="70"/>
    </row>
    <row r="41" spans="1:12">
      <c r="I41" s="60"/>
      <c r="J41" s="60"/>
      <c r="K41" s="60"/>
    </row>
    <row r="42" spans="1:12">
      <c r="B42" s="24"/>
      <c r="H42" s="35"/>
      <c r="J42" s="35"/>
    </row>
    <row r="43" spans="1:12" ht="45" customHeight="1">
      <c r="A43" s="76" t="s">
        <v>79</v>
      </c>
      <c r="B43" s="87" t="s">
        <v>118</v>
      </c>
      <c r="C43" s="87"/>
      <c r="D43" s="87"/>
      <c r="E43" s="87"/>
      <c r="F43" s="87"/>
      <c r="G43" s="87"/>
      <c r="H43" s="87"/>
      <c r="I43" s="88"/>
      <c r="J43" s="88"/>
      <c r="K43" s="38"/>
    </row>
    <row r="44" spans="1:12">
      <c r="B44" s="24"/>
      <c r="H44" s="35"/>
      <c r="J44" s="35"/>
    </row>
    <row r="45" spans="1:12" ht="79.5" customHeight="1">
      <c r="A45" s="76" t="s">
        <v>88</v>
      </c>
      <c r="B45" s="87" t="s">
        <v>141</v>
      </c>
      <c r="C45" s="87"/>
      <c r="D45" s="87"/>
      <c r="E45" s="87"/>
      <c r="F45" s="87"/>
      <c r="G45" s="87"/>
      <c r="H45" s="87"/>
      <c r="I45" s="87"/>
      <c r="J45" s="87"/>
      <c r="K45" s="88"/>
    </row>
    <row r="47" spans="1:12">
      <c r="A47" s="25" t="s">
        <v>55</v>
      </c>
    </row>
  </sheetData>
  <mergeCells count="2">
    <mergeCell ref="B43:J43"/>
    <mergeCell ref="B45:K45"/>
  </mergeCells>
  <phoneticPr fontId="7" type="noConversion"/>
  <pageMargins left="0.84" right="0.27" top="1" bottom="1" header="0.5" footer="0.5"/>
  <pageSetup scale="53" orientation="landscape" r:id="rId1"/>
  <headerFooter alignWithMargins="0"/>
  <ignoredErrors>
    <ignoredError sqref="A43:A45" numberStoredAsText="1"/>
  </ignoredErrors>
</worksheet>
</file>

<file path=xl/worksheets/sheet5.xml><?xml version="1.0" encoding="utf-8"?>
<worksheet xmlns="http://schemas.openxmlformats.org/spreadsheetml/2006/main" xmlns:r="http://schemas.openxmlformats.org/officeDocument/2006/relationships">
  <sheetPr codeName="Sheet5">
    <pageSetUpPr fitToPage="1"/>
  </sheetPr>
  <dimension ref="A1:M47"/>
  <sheetViews>
    <sheetView zoomScale="70" zoomScaleNormal="70" workbookViewId="0">
      <pane xSplit="3" ySplit="7" topLeftCell="D8" activePane="bottomRight" state="frozen"/>
      <selection activeCell="D8" sqref="D8"/>
      <selection pane="topRight" activeCell="D8" sqref="D8"/>
      <selection pane="bottomLeft" activeCell="D8" sqref="D8"/>
      <selection pane="bottomRight" activeCell="D8" sqref="D8"/>
    </sheetView>
  </sheetViews>
  <sheetFormatPr defaultRowHeight="15" outlineLevelRow="1"/>
  <cols>
    <col min="1" max="2" width="2.42578125" style="2" customWidth="1"/>
    <col min="3" max="3" width="87.42578125" style="2" customWidth="1"/>
    <col min="4" max="4" width="15.140625" style="24" customWidth="1"/>
    <col min="5" max="5" width="3.5703125" style="24" customWidth="1"/>
    <col min="6" max="6" width="15.140625" style="24" customWidth="1"/>
    <col min="7" max="7" width="3.140625" style="24" customWidth="1"/>
    <col min="8" max="8" width="15.140625" style="24" customWidth="1"/>
    <col min="9" max="9" width="3.140625" style="24" customWidth="1"/>
    <col min="10" max="10" width="15.140625" style="24" customWidth="1"/>
    <col min="11" max="11" width="2.7109375" style="24" customWidth="1"/>
    <col min="12" max="12" width="15.140625" style="24" customWidth="1"/>
    <col min="13" max="13" width="9.85546875" style="2" customWidth="1"/>
    <col min="14" max="16384" width="9.140625" style="2"/>
  </cols>
  <sheetData>
    <row r="1" spans="1:12" ht="15.75">
      <c r="A1" s="1" t="s">
        <v>0</v>
      </c>
      <c r="B1" s="1"/>
      <c r="C1" s="1"/>
    </row>
    <row r="2" spans="1:12" ht="15.75">
      <c r="A2" s="1" t="s">
        <v>51</v>
      </c>
      <c r="B2" s="1"/>
      <c r="C2" s="1"/>
    </row>
    <row r="3" spans="1:12" ht="15.75">
      <c r="A3" s="22" t="s">
        <v>65</v>
      </c>
      <c r="B3" s="3"/>
      <c r="C3" s="3"/>
      <c r="D3" s="35"/>
      <c r="F3" s="35"/>
    </row>
    <row r="4" spans="1:12" ht="15.75">
      <c r="A4" s="22"/>
      <c r="B4" s="3"/>
      <c r="C4" s="3"/>
      <c r="D4" s="33"/>
      <c r="L4" s="33" t="s">
        <v>48</v>
      </c>
    </row>
    <row r="5" spans="1:12" ht="15" customHeight="1">
      <c r="B5" s="3"/>
      <c r="C5" s="3"/>
      <c r="D5" s="89" t="s">
        <v>33</v>
      </c>
      <c r="E5" s="89"/>
      <c r="F5" s="89"/>
      <c r="G5" s="89"/>
      <c r="H5" s="89"/>
      <c r="I5" s="89"/>
      <c r="J5" s="89"/>
      <c r="L5" s="39" t="s">
        <v>57</v>
      </c>
    </row>
    <row r="6" spans="1:12">
      <c r="A6" s="4"/>
      <c r="B6" s="4"/>
      <c r="C6" s="4"/>
      <c r="D6" s="33" t="s">
        <v>4</v>
      </c>
      <c r="F6" s="33" t="s">
        <v>5</v>
      </c>
      <c r="H6" s="33" t="s">
        <v>20</v>
      </c>
      <c r="J6" s="33" t="s">
        <v>21</v>
      </c>
      <c r="L6" s="33" t="s">
        <v>21</v>
      </c>
    </row>
    <row r="7" spans="1:12" ht="15" customHeight="1">
      <c r="A7" s="4"/>
      <c r="B7" s="4"/>
      <c r="C7" s="4"/>
      <c r="D7" s="32">
        <v>2008</v>
      </c>
      <c r="F7" s="32">
        <v>2008</v>
      </c>
      <c r="H7" s="32">
        <v>2008</v>
      </c>
      <c r="J7" s="32">
        <v>2008</v>
      </c>
      <c r="L7" s="32">
        <v>2008</v>
      </c>
    </row>
    <row r="8" spans="1:12" ht="24" customHeight="1">
      <c r="A8" s="4"/>
      <c r="B8" s="4"/>
      <c r="C8" s="4"/>
      <c r="D8" s="34"/>
      <c r="F8" s="34"/>
      <c r="H8" s="34"/>
      <c r="J8" s="34"/>
      <c r="L8" s="34"/>
    </row>
    <row r="9" spans="1:12" ht="15" hidden="1" customHeight="1" outlineLevel="1">
      <c r="A9" s="4" t="s">
        <v>17</v>
      </c>
      <c r="B9" s="4"/>
      <c r="C9" s="4"/>
      <c r="D9" s="54">
        <v>1173.7</v>
      </c>
      <c r="E9" s="65"/>
      <c r="F9" s="54">
        <v>1408.7</v>
      </c>
      <c r="G9" s="65"/>
      <c r="H9" s="54">
        <v>1745.8</v>
      </c>
      <c r="I9" s="65"/>
      <c r="J9" s="54">
        <v>1675.8</v>
      </c>
      <c r="K9" s="65"/>
      <c r="L9" s="54">
        <f>+SUM(D9:J9)</f>
        <v>6004</v>
      </c>
    </row>
    <row r="10" spans="1:12" ht="15" hidden="1" customHeight="1" outlineLevel="1">
      <c r="A10" s="4" t="s">
        <v>16</v>
      </c>
      <c r="B10" s="4"/>
      <c r="C10" s="4"/>
      <c r="D10" s="55">
        <v>86.2</v>
      </c>
      <c r="E10" s="57"/>
      <c r="F10" s="55">
        <v>108.9</v>
      </c>
      <c r="G10" s="57"/>
      <c r="H10" s="55">
        <v>143.80000000000001</v>
      </c>
      <c r="I10" s="57"/>
      <c r="J10" s="55">
        <v>218.1</v>
      </c>
      <c r="K10" s="57"/>
      <c r="L10" s="55">
        <f>+SUM(D10:J10)</f>
        <v>557</v>
      </c>
    </row>
    <row r="11" spans="1:12" collapsed="1">
      <c r="A11" s="4" t="s">
        <v>1</v>
      </c>
      <c r="B11" s="4"/>
      <c r="C11" s="4"/>
      <c r="D11" s="54">
        <f>+D9+D10</f>
        <v>1259.9000000000001</v>
      </c>
      <c r="E11" s="54"/>
      <c r="F11" s="54">
        <f>+F9+F10</f>
        <v>1517.6000000000001</v>
      </c>
      <c r="G11" s="54"/>
      <c r="H11" s="54">
        <f>+H9+H10</f>
        <v>1889.6</v>
      </c>
      <c r="I11" s="54"/>
      <c r="J11" s="54">
        <f>+J9+J10</f>
        <v>1893.8999999999999</v>
      </c>
      <c r="K11" s="54"/>
      <c r="L11" s="54">
        <f>+L9+L10</f>
        <v>6561</v>
      </c>
    </row>
    <row r="12" spans="1:12" ht="24" customHeight="1">
      <c r="A12" s="4" t="s">
        <v>47</v>
      </c>
      <c r="B12" s="4"/>
      <c r="C12" s="4"/>
      <c r="D12" s="34"/>
      <c r="E12" s="57"/>
      <c r="F12" s="34"/>
      <c r="G12" s="57"/>
      <c r="H12" s="34"/>
      <c r="I12" s="57"/>
      <c r="J12" s="34"/>
      <c r="K12" s="57"/>
      <c r="L12" s="34"/>
    </row>
    <row r="13" spans="1:12" ht="15" customHeight="1">
      <c r="A13" s="9" t="s">
        <v>15</v>
      </c>
      <c r="B13" s="9"/>
      <c r="C13" s="40"/>
      <c r="D13" s="56">
        <v>989.4</v>
      </c>
      <c r="E13" s="57"/>
      <c r="F13" s="56">
        <v>1036.3</v>
      </c>
      <c r="G13" s="57"/>
      <c r="H13" s="56">
        <v>1234.0999999999999</v>
      </c>
      <c r="I13" s="57"/>
      <c r="J13" s="56">
        <v>1329.9</v>
      </c>
      <c r="K13" s="57"/>
      <c r="L13" s="56">
        <f>+SUM(D13:J13)</f>
        <v>4589.7</v>
      </c>
    </row>
    <row r="14" spans="1:12" ht="15" customHeight="1">
      <c r="A14" s="4" t="s">
        <v>14</v>
      </c>
      <c r="B14" s="4"/>
      <c r="C14" s="41"/>
      <c r="D14" s="56">
        <v>90.8</v>
      </c>
      <c r="E14" s="57"/>
      <c r="F14" s="56">
        <v>91.9</v>
      </c>
      <c r="G14" s="57"/>
      <c r="H14" s="56">
        <v>101.7</v>
      </c>
      <c r="I14" s="57"/>
      <c r="J14" s="56">
        <v>118</v>
      </c>
      <c r="K14" s="57"/>
      <c r="L14" s="56">
        <f>+SUM(D14:J14)</f>
        <v>402.4</v>
      </c>
    </row>
    <row r="15" spans="1:12" ht="15" customHeight="1">
      <c r="A15" s="4" t="s">
        <v>22</v>
      </c>
      <c r="B15" s="4"/>
      <c r="C15" s="41"/>
      <c r="D15" s="56">
        <v>6.7</v>
      </c>
      <c r="E15" s="57"/>
      <c r="F15" s="56">
        <v>9</v>
      </c>
      <c r="G15" s="57"/>
      <c r="H15" s="56">
        <v>15.5</v>
      </c>
      <c r="I15" s="57"/>
      <c r="J15" s="56">
        <v>17</v>
      </c>
      <c r="K15" s="57"/>
      <c r="L15" s="56">
        <f>+SUM(D15:J15)</f>
        <v>48.2</v>
      </c>
    </row>
    <row r="16" spans="1:12" ht="15" customHeight="1">
      <c r="A16" s="4" t="s">
        <v>13</v>
      </c>
      <c r="B16" s="4"/>
      <c r="C16" s="41"/>
      <c r="D16" s="56">
        <v>50.1</v>
      </c>
      <c r="E16" s="57"/>
      <c r="F16" s="56">
        <v>41.7</v>
      </c>
      <c r="G16" s="57"/>
      <c r="H16" s="56">
        <v>43</v>
      </c>
      <c r="I16" s="57"/>
      <c r="J16" s="56">
        <v>62.5</v>
      </c>
      <c r="K16" s="57"/>
      <c r="L16" s="56">
        <f>+SUM(D16:J16)</f>
        <v>197.3</v>
      </c>
    </row>
    <row r="17" spans="1:12" ht="15" customHeight="1">
      <c r="A17" s="4" t="s">
        <v>37</v>
      </c>
      <c r="B17" s="4"/>
      <c r="C17" s="41"/>
      <c r="D17" s="56"/>
      <c r="E17" s="57"/>
      <c r="F17" s="56"/>
      <c r="G17" s="57"/>
      <c r="H17" s="56"/>
      <c r="I17" s="57"/>
      <c r="J17" s="56"/>
      <c r="K17" s="57"/>
      <c r="L17" s="56"/>
    </row>
    <row r="18" spans="1:12" ht="15" customHeight="1">
      <c r="A18" s="4" t="s">
        <v>52</v>
      </c>
      <c r="B18" s="4"/>
      <c r="C18" s="41"/>
      <c r="D18" s="56">
        <v>-59.4</v>
      </c>
      <c r="E18" s="57"/>
      <c r="F18" s="56">
        <v>-3.6</v>
      </c>
      <c r="G18" s="57"/>
      <c r="H18" s="56">
        <v>-4.8</v>
      </c>
      <c r="I18" s="57"/>
      <c r="J18" s="56">
        <v>-5.0999999999999996</v>
      </c>
      <c r="K18" s="57"/>
      <c r="L18" s="56">
        <f>+SUM(D18:J18)</f>
        <v>-72.899999999999991</v>
      </c>
    </row>
    <row r="19" spans="1:12" ht="15" customHeight="1">
      <c r="A19" s="4" t="s">
        <v>68</v>
      </c>
      <c r="B19" s="4"/>
      <c r="C19" s="41"/>
      <c r="D19" s="55">
        <v>-2.7</v>
      </c>
      <c r="E19" s="57"/>
      <c r="F19" s="55">
        <v>-3.7</v>
      </c>
      <c r="G19" s="57"/>
      <c r="H19" s="55">
        <v>3.5</v>
      </c>
      <c r="I19" s="57"/>
      <c r="J19" s="55">
        <f>2.9</f>
        <v>2.9</v>
      </c>
      <c r="K19" s="57"/>
      <c r="L19" s="55">
        <f>+SUM(D19:J19)</f>
        <v>0</v>
      </c>
    </row>
    <row r="20" spans="1:12" ht="24" customHeight="1">
      <c r="A20" s="4" t="s">
        <v>3</v>
      </c>
      <c r="B20" s="4"/>
      <c r="C20" s="4"/>
      <c r="D20" s="34">
        <f>+D11-SUM(D13:D19)</f>
        <v>185.00000000000023</v>
      </c>
      <c r="E20" s="57"/>
      <c r="F20" s="34">
        <f>+F11-SUM(F13:F19)</f>
        <v>346</v>
      </c>
      <c r="G20" s="57"/>
      <c r="H20" s="34">
        <f>+H11-SUM(H13:H19)</f>
        <v>496.59999999999991</v>
      </c>
      <c r="I20" s="57"/>
      <c r="J20" s="34">
        <f>+J11-SUM(J13:J19)</f>
        <v>368.69999999999959</v>
      </c>
      <c r="K20" s="57"/>
      <c r="L20" s="34">
        <f>+L11-SUM(L13:L19)</f>
        <v>1396.3000000000002</v>
      </c>
    </row>
    <row r="21" spans="1:12" ht="15" customHeight="1">
      <c r="A21" s="4" t="s">
        <v>9</v>
      </c>
      <c r="B21" s="4"/>
      <c r="C21" s="4"/>
      <c r="D21" s="56">
        <v>-1.1000000000000001</v>
      </c>
      <c r="E21" s="57"/>
      <c r="F21" s="56">
        <v>-2.4</v>
      </c>
      <c r="G21" s="57"/>
      <c r="H21" s="56">
        <v>-3.5</v>
      </c>
      <c r="I21" s="57"/>
      <c r="J21" s="56">
        <v>-3</v>
      </c>
      <c r="K21" s="57"/>
      <c r="L21" s="56">
        <f>+SUM(D21:J21)</f>
        <v>-10</v>
      </c>
    </row>
    <row r="22" spans="1:12" ht="15" customHeight="1">
      <c r="A22" s="4" t="s">
        <v>12</v>
      </c>
      <c r="B22" s="4"/>
      <c r="C22" s="4"/>
      <c r="D22" s="55">
        <f>58.3+1.3-0.1</f>
        <v>59.499999999999993</v>
      </c>
      <c r="E22" s="62"/>
      <c r="F22" s="55">
        <v>57.7</v>
      </c>
      <c r="G22" s="62"/>
      <c r="H22" s="55">
        <v>54.4</v>
      </c>
      <c r="I22" s="62"/>
      <c r="J22" s="55">
        <f>53.7+1.7</f>
        <v>55.400000000000006</v>
      </c>
      <c r="K22" s="62"/>
      <c r="L22" s="55">
        <f>+SUM(D22:J22)</f>
        <v>227</v>
      </c>
    </row>
    <row r="23" spans="1:12" ht="24" customHeight="1">
      <c r="A23" s="13" t="s">
        <v>36</v>
      </c>
      <c r="B23" s="11"/>
      <c r="C23" s="11"/>
      <c r="D23" s="62"/>
      <c r="E23" s="62"/>
      <c r="F23" s="62"/>
      <c r="G23" s="62"/>
      <c r="H23" s="62"/>
      <c r="I23" s="62"/>
      <c r="J23" s="62"/>
      <c r="K23" s="62"/>
      <c r="L23" s="62"/>
    </row>
    <row r="24" spans="1:12" ht="15.75" customHeight="1">
      <c r="A24" s="13" t="s">
        <v>70</v>
      </c>
      <c r="B24" s="11"/>
      <c r="C24" s="11"/>
      <c r="D24" s="34">
        <f>+D20-D22-D21</f>
        <v>126.60000000000022</v>
      </c>
      <c r="E24" s="57"/>
      <c r="F24" s="34">
        <f>+F20-F22-F21</f>
        <v>290.7</v>
      </c>
      <c r="G24" s="57"/>
      <c r="H24" s="34">
        <f>+H20-H22-H21</f>
        <v>445.69999999999993</v>
      </c>
      <c r="I24" s="57"/>
      <c r="J24" s="34">
        <f>+J20-J22-J21</f>
        <v>316.29999999999961</v>
      </c>
      <c r="K24" s="57"/>
      <c r="L24" s="34">
        <f>+L20-L22-L21</f>
        <v>1179.3000000000002</v>
      </c>
    </row>
    <row r="25" spans="1:12" ht="15.75" customHeight="1">
      <c r="A25" s="4" t="s">
        <v>76</v>
      </c>
      <c r="B25" s="4"/>
      <c r="C25" s="11"/>
      <c r="D25" s="34"/>
      <c r="E25" s="57"/>
      <c r="F25" s="34"/>
      <c r="G25" s="57"/>
      <c r="H25" s="34"/>
      <c r="I25" s="57"/>
      <c r="J25" s="34"/>
      <c r="K25" s="57"/>
      <c r="L25" s="34"/>
    </row>
    <row r="26" spans="1:12" ht="15.75" customHeight="1">
      <c r="A26" s="4" t="s">
        <v>77</v>
      </c>
      <c r="B26" s="11"/>
      <c r="C26" s="11"/>
      <c r="D26" s="34">
        <f>47.1-D27</f>
        <v>31.3</v>
      </c>
      <c r="E26" s="57"/>
      <c r="F26" s="34">
        <f>45.8-F27</f>
        <v>28.199999999999996</v>
      </c>
      <c r="G26" s="57"/>
      <c r="H26" s="34">
        <f>62.5-H27</f>
        <v>125.2</v>
      </c>
      <c r="I26" s="57"/>
      <c r="J26" s="34">
        <f>36-J27</f>
        <v>71.900000000000006</v>
      </c>
      <c r="K26" s="57"/>
      <c r="L26" s="34">
        <f>+SUM(D26:J26)</f>
        <v>256.60000000000002</v>
      </c>
    </row>
    <row r="27" spans="1:12" ht="15.75" customHeight="1">
      <c r="A27" s="4" t="s">
        <v>91</v>
      </c>
      <c r="B27" s="11"/>
      <c r="C27" s="11"/>
      <c r="D27" s="55">
        <v>15.8</v>
      </c>
      <c r="E27" s="57"/>
      <c r="F27" s="55">
        <v>17.600000000000001</v>
      </c>
      <c r="G27" s="57"/>
      <c r="H27" s="55">
        <v>-62.7</v>
      </c>
      <c r="I27" s="57"/>
      <c r="J27" s="55">
        <v>-35.9</v>
      </c>
      <c r="K27" s="57"/>
      <c r="L27" s="55">
        <f>+SUM(D27:J27)</f>
        <v>-65.199999999999989</v>
      </c>
    </row>
    <row r="28" spans="1:12" ht="15" customHeight="1">
      <c r="A28" s="10" t="s">
        <v>64</v>
      </c>
      <c r="B28" s="10"/>
      <c r="C28" s="10"/>
      <c r="D28" s="55">
        <f>SUM(D26:D27)</f>
        <v>47.1</v>
      </c>
      <c r="E28" s="57"/>
      <c r="F28" s="55">
        <f>SUM(F26:F27)</f>
        <v>45.8</v>
      </c>
      <c r="G28" s="57"/>
      <c r="H28" s="55">
        <f>SUM(H26:H27)</f>
        <v>62.5</v>
      </c>
      <c r="I28" s="57"/>
      <c r="J28" s="55">
        <f>SUM(J26:J27)</f>
        <v>36.000000000000007</v>
      </c>
      <c r="K28" s="57"/>
      <c r="L28" s="55">
        <f>SUM(L26:L27)</f>
        <v>191.40000000000003</v>
      </c>
    </row>
    <row r="29" spans="1:12" ht="15" customHeight="1">
      <c r="A29" s="4" t="s">
        <v>83</v>
      </c>
      <c r="B29" s="10"/>
      <c r="C29" s="10"/>
      <c r="D29" s="56">
        <f>+D24-D28</f>
        <v>79.500000000000227</v>
      </c>
      <c r="E29" s="57"/>
      <c r="F29" s="56">
        <f>+F24-F28</f>
        <v>244.89999999999998</v>
      </c>
      <c r="G29" s="57"/>
      <c r="H29" s="56">
        <f>+H24-H28</f>
        <v>383.19999999999993</v>
      </c>
      <c r="I29" s="57"/>
      <c r="J29" s="56">
        <f>+J24-J28</f>
        <v>280.29999999999961</v>
      </c>
      <c r="K29" s="57"/>
      <c r="L29" s="56">
        <f>+L24-L28</f>
        <v>987.90000000000009</v>
      </c>
    </row>
    <row r="30" spans="1:12" ht="18.75" customHeight="1">
      <c r="A30" s="4"/>
      <c r="B30" s="4" t="s">
        <v>92</v>
      </c>
      <c r="C30" s="4"/>
      <c r="D30" s="55">
        <v>-21.6</v>
      </c>
      <c r="E30" s="57"/>
      <c r="F30" s="55">
        <v>-9.1</v>
      </c>
      <c r="G30" s="57"/>
      <c r="H30" s="55">
        <v>-11.4</v>
      </c>
      <c r="I30" s="57"/>
      <c r="J30" s="55">
        <v>13.3</v>
      </c>
      <c r="K30" s="57"/>
      <c r="L30" s="55">
        <f>+SUM(D30:J30)</f>
        <v>-28.8</v>
      </c>
    </row>
    <row r="31" spans="1:12" ht="18.75" customHeight="1">
      <c r="A31" s="4" t="s">
        <v>35</v>
      </c>
      <c r="B31" s="4"/>
      <c r="C31" s="4"/>
      <c r="D31" s="56">
        <f>+D29+D30</f>
        <v>57.900000000000226</v>
      </c>
      <c r="E31" s="65"/>
      <c r="F31" s="56">
        <f>+F29+F30</f>
        <v>235.79999999999998</v>
      </c>
      <c r="G31" s="65"/>
      <c r="H31" s="56">
        <f>+H29+H30</f>
        <v>371.79999999999995</v>
      </c>
      <c r="I31" s="65"/>
      <c r="J31" s="56">
        <f>+J29+J30</f>
        <v>293.59999999999962</v>
      </c>
      <c r="K31" s="65"/>
      <c r="L31" s="56">
        <f>+L29+L30</f>
        <v>959.10000000000014</v>
      </c>
    </row>
    <row r="32" spans="1:12" ht="15" customHeight="1">
      <c r="A32" s="4"/>
      <c r="B32" s="4" t="s">
        <v>85</v>
      </c>
      <c r="C32" s="4"/>
      <c r="D32" s="55">
        <v>0.9</v>
      </c>
      <c r="E32" s="57"/>
      <c r="F32" s="55">
        <v>2.5</v>
      </c>
      <c r="G32" s="57"/>
      <c r="H32" s="55">
        <v>2.2999999999999998</v>
      </c>
      <c r="I32" s="57"/>
      <c r="J32" s="55">
        <v>0.5</v>
      </c>
      <c r="K32" s="57"/>
      <c r="L32" s="55">
        <f>+SUM(D32:J32)</f>
        <v>6.1999999999999993</v>
      </c>
    </row>
    <row r="33" spans="1:13" ht="18.75" customHeight="1" thickBot="1">
      <c r="A33" s="10" t="s">
        <v>75</v>
      </c>
      <c r="B33" s="10"/>
      <c r="C33" s="10"/>
      <c r="D33" s="71">
        <f>+D31-D32</f>
        <v>57.000000000000227</v>
      </c>
      <c r="F33" s="71">
        <f>+F31-F32</f>
        <v>233.29999999999998</v>
      </c>
      <c r="H33" s="71">
        <f>+H31-H32</f>
        <v>369.49999999999994</v>
      </c>
      <c r="J33" s="71">
        <f>+J31-J32</f>
        <v>293.09999999999962</v>
      </c>
      <c r="L33" s="71">
        <f>+L31-L32</f>
        <v>952.90000000000009</v>
      </c>
    </row>
    <row r="34" spans="1:13" ht="15.75" thickTop="1">
      <c r="B34" s="4"/>
    </row>
    <row r="35" spans="1:13">
      <c r="A35" s="4"/>
      <c r="B35" s="4"/>
      <c r="C35" s="4"/>
      <c r="D35" s="31"/>
      <c r="F35" s="31"/>
      <c r="H35" s="31"/>
      <c r="J35" s="31"/>
      <c r="L35" s="31"/>
    </row>
    <row r="36" spans="1:13" s="18" customFormat="1" ht="18" customHeight="1">
      <c r="A36" s="18" t="s">
        <v>89</v>
      </c>
      <c r="D36" s="73">
        <v>271.5</v>
      </c>
      <c r="E36" s="74"/>
      <c r="F36" s="73">
        <v>271.89999999999998</v>
      </c>
      <c r="G36" s="74"/>
      <c r="H36" s="73">
        <v>271.8</v>
      </c>
      <c r="I36" s="74"/>
      <c r="J36" s="73">
        <v>267.2</v>
      </c>
      <c r="K36" s="74"/>
      <c r="L36" s="73">
        <v>270.7</v>
      </c>
      <c r="M36" s="74"/>
    </row>
    <row r="37" spans="1:13" s="18" customFormat="1">
      <c r="D37" s="73"/>
      <c r="E37" s="74"/>
      <c r="F37" s="73"/>
      <c r="G37" s="74"/>
      <c r="H37" s="73"/>
      <c r="I37" s="74"/>
      <c r="J37" s="73"/>
      <c r="K37" s="74"/>
      <c r="L37" s="73"/>
      <c r="M37" s="74"/>
    </row>
    <row r="38" spans="1:13" s="19" customFormat="1" ht="16.5" customHeight="1">
      <c r="A38" s="18" t="s">
        <v>78</v>
      </c>
      <c r="D38" s="44">
        <v>0.28999999999999998</v>
      </c>
      <c r="E38" s="28"/>
      <c r="F38" s="44">
        <v>0.89</v>
      </c>
      <c r="G38" s="28"/>
      <c r="H38" s="28">
        <v>1.39</v>
      </c>
      <c r="I38" s="28"/>
      <c r="J38" s="28">
        <v>1.04</v>
      </c>
      <c r="K38" s="28"/>
      <c r="L38" s="44">
        <v>3.6</v>
      </c>
      <c r="M38" s="69"/>
    </row>
    <row r="39" spans="1:13" s="19" customFormat="1">
      <c r="D39" s="44"/>
      <c r="E39" s="28"/>
      <c r="F39" s="44"/>
      <c r="G39" s="28"/>
      <c r="H39" s="44"/>
      <c r="I39" s="28"/>
      <c r="J39" s="44"/>
      <c r="K39" s="28"/>
      <c r="L39" s="44"/>
      <c r="M39" s="69"/>
    </row>
    <row r="40" spans="1:13" ht="18">
      <c r="A40" s="75" t="s">
        <v>90</v>
      </c>
      <c r="D40" s="60">
        <f>+D20+D14+D15</f>
        <v>282.50000000000023</v>
      </c>
      <c r="E40" s="60"/>
      <c r="F40" s="60">
        <f>+F20+F14+F15</f>
        <v>446.9</v>
      </c>
      <c r="G40" s="60"/>
      <c r="H40" s="60">
        <f>+H20+H14+H15</f>
        <v>613.79999999999995</v>
      </c>
      <c r="I40" s="60"/>
      <c r="J40" s="60">
        <f>+J20+J14+J15</f>
        <v>503.69999999999959</v>
      </c>
      <c r="K40" s="68"/>
      <c r="L40" s="60">
        <f>+L20+L14+L15</f>
        <v>1846.9000000000003</v>
      </c>
    </row>
    <row r="41" spans="1:13">
      <c r="D41" s="2"/>
      <c r="E41" s="2"/>
      <c r="F41" s="2"/>
      <c r="G41" s="2"/>
      <c r="H41" s="2"/>
      <c r="I41" s="2"/>
      <c r="J41" s="2"/>
      <c r="K41" s="2"/>
      <c r="L41" s="2"/>
    </row>
    <row r="42" spans="1:13">
      <c r="B42" s="24"/>
    </row>
    <row r="43" spans="1:13" ht="45" customHeight="1">
      <c r="A43" s="76" t="s">
        <v>79</v>
      </c>
      <c r="B43" s="87" t="s">
        <v>86</v>
      </c>
      <c r="C43" s="87"/>
      <c r="D43" s="87"/>
      <c r="E43" s="87"/>
      <c r="F43" s="87"/>
      <c r="G43" s="87"/>
      <c r="H43" s="87"/>
      <c r="I43" s="88"/>
      <c r="J43" s="88"/>
      <c r="K43" s="88"/>
      <c r="L43" s="88"/>
      <c r="M43" s="38"/>
    </row>
    <row r="44" spans="1:13">
      <c r="B44" s="24"/>
      <c r="D44" s="35"/>
      <c r="F44" s="35"/>
      <c r="H44" s="35"/>
      <c r="J44" s="35"/>
      <c r="L44" s="35"/>
      <c r="M44" s="38"/>
    </row>
    <row r="45" spans="1:13" ht="73.5" customHeight="1">
      <c r="A45" s="76" t="s">
        <v>88</v>
      </c>
      <c r="B45" s="87" t="s">
        <v>87</v>
      </c>
      <c r="C45" s="87"/>
      <c r="D45" s="87"/>
      <c r="E45" s="87"/>
      <c r="F45" s="87"/>
      <c r="G45" s="87"/>
      <c r="H45" s="87"/>
      <c r="I45" s="88"/>
      <c r="J45" s="88"/>
      <c r="K45" s="88"/>
      <c r="L45" s="88"/>
      <c r="M45" s="38"/>
    </row>
    <row r="47" spans="1:13">
      <c r="A47" s="25" t="s">
        <v>55</v>
      </c>
    </row>
  </sheetData>
  <mergeCells count="3">
    <mergeCell ref="D5:J5"/>
    <mergeCell ref="B43:L43"/>
    <mergeCell ref="B45:L45"/>
  </mergeCells>
  <phoneticPr fontId="7" type="noConversion"/>
  <pageMargins left="0.78" right="0.27" top="1" bottom="1" header="0.5" footer="0.5"/>
  <pageSetup scale="57" orientation="landscape" r:id="rId1"/>
  <headerFooter alignWithMargins="0"/>
</worksheet>
</file>

<file path=xl/worksheets/sheet6.xml><?xml version="1.0" encoding="utf-8"?>
<worksheet xmlns="http://schemas.openxmlformats.org/spreadsheetml/2006/main" xmlns:r="http://schemas.openxmlformats.org/officeDocument/2006/relationships">
  <sheetPr codeName="Sheet6">
    <pageSetUpPr fitToPage="1"/>
  </sheetPr>
  <dimension ref="A1:M43"/>
  <sheetViews>
    <sheetView zoomScale="70" zoomScaleNormal="70" workbookViewId="0">
      <pane xSplit="3" ySplit="7" topLeftCell="D8" activePane="bottomRight" state="frozen"/>
      <selection activeCell="D8" sqref="D8"/>
      <selection pane="topRight" activeCell="D8" sqref="D8"/>
      <selection pane="bottomLeft" activeCell="D8" sqref="D8"/>
      <selection pane="bottomRight" activeCell="D8" sqref="D8"/>
    </sheetView>
  </sheetViews>
  <sheetFormatPr defaultRowHeight="15" outlineLevelRow="1"/>
  <cols>
    <col min="1" max="2" width="2.42578125" style="2" customWidth="1"/>
    <col min="3" max="3" width="87.42578125" style="2" customWidth="1"/>
    <col min="4" max="4" width="15.140625" style="24" customWidth="1"/>
    <col min="5" max="5" width="3.5703125" style="24" customWidth="1"/>
    <col min="6" max="6" width="15.140625" style="24" customWidth="1"/>
    <col min="7" max="7" width="3.5703125" style="24" customWidth="1"/>
    <col min="8" max="8" width="15.140625" style="24" customWidth="1"/>
    <col min="9" max="9" width="3.5703125" style="24" customWidth="1"/>
    <col min="10" max="10" width="15.140625" style="24" customWidth="1"/>
    <col min="11" max="11" width="3.5703125" style="24" customWidth="1"/>
    <col min="12" max="12" width="15.140625" style="24" customWidth="1"/>
    <col min="13" max="13" width="4.42578125" style="2" customWidth="1"/>
    <col min="14" max="16384" width="9.140625" style="2"/>
  </cols>
  <sheetData>
    <row r="1" spans="1:12" ht="15.75">
      <c r="A1" s="1" t="s">
        <v>0</v>
      </c>
      <c r="B1" s="1"/>
      <c r="C1" s="1"/>
    </row>
    <row r="2" spans="1:12" ht="15.75">
      <c r="A2" s="1" t="s">
        <v>51</v>
      </c>
      <c r="B2" s="1"/>
      <c r="C2" s="1"/>
    </row>
    <row r="3" spans="1:12" ht="15.75">
      <c r="A3" s="22" t="s">
        <v>65</v>
      </c>
      <c r="B3" s="3"/>
      <c r="C3" s="3"/>
      <c r="D3" s="35"/>
      <c r="F3" s="35"/>
    </row>
    <row r="4" spans="1:12" ht="15.75">
      <c r="A4" s="22"/>
      <c r="B4" s="3"/>
      <c r="C4" s="3"/>
      <c r="D4" s="33"/>
      <c r="L4" s="33" t="s">
        <v>48</v>
      </c>
    </row>
    <row r="5" spans="1:12" ht="15" customHeight="1">
      <c r="B5" s="3"/>
      <c r="C5" s="3"/>
      <c r="D5" s="89" t="s">
        <v>33</v>
      </c>
      <c r="E5" s="89"/>
      <c r="F5" s="89"/>
      <c r="G5" s="89"/>
      <c r="H5" s="89"/>
      <c r="I5" s="89"/>
      <c r="J5" s="89"/>
      <c r="L5" s="39" t="s">
        <v>57</v>
      </c>
    </row>
    <row r="6" spans="1:12">
      <c r="A6" s="4"/>
      <c r="B6" s="4"/>
      <c r="C6" s="4"/>
      <c r="D6" s="33" t="s">
        <v>4</v>
      </c>
      <c r="F6" s="33" t="s">
        <v>5</v>
      </c>
      <c r="H6" s="33" t="s">
        <v>20</v>
      </c>
      <c r="I6" s="33"/>
      <c r="J6" s="33" t="s">
        <v>21</v>
      </c>
      <c r="L6" s="33" t="s">
        <v>21</v>
      </c>
    </row>
    <row r="7" spans="1:12" ht="15" customHeight="1">
      <c r="A7" s="4"/>
      <c r="B7" s="4"/>
      <c r="C7" s="4"/>
      <c r="D7" s="32">
        <v>2007</v>
      </c>
      <c r="F7" s="32">
        <v>2007</v>
      </c>
      <c r="H7" s="32">
        <v>2007</v>
      </c>
      <c r="I7" s="39"/>
      <c r="J7" s="32">
        <v>2007</v>
      </c>
      <c r="L7" s="32">
        <v>2007</v>
      </c>
    </row>
    <row r="8" spans="1:12" ht="24" customHeight="1">
      <c r="A8" s="4"/>
      <c r="B8" s="4"/>
      <c r="C8" s="4"/>
      <c r="D8" s="34"/>
      <c r="F8" s="34"/>
      <c r="H8" s="34"/>
      <c r="I8" s="34"/>
      <c r="J8" s="34"/>
      <c r="L8" s="34"/>
    </row>
    <row r="9" spans="1:12" ht="15" hidden="1" customHeight="1" outlineLevel="1">
      <c r="A9" s="4" t="s">
        <v>17</v>
      </c>
      <c r="B9" s="4"/>
      <c r="C9" s="4"/>
      <c r="D9" s="54">
        <v>1039.3</v>
      </c>
      <c r="E9" s="65"/>
      <c r="F9" s="54">
        <v>1011.8</v>
      </c>
      <c r="G9" s="65"/>
      <c r="H9" s="54">
        <v>1123.4000000000001</v>
      </c>
      <c r="I9" s="54"/>
      <c r="J9" s="54">
        <v>1139.4000000000001</v>
      </c>
      <c r="K9" s="65"/>
      <c r="L9" s="54">
        <f>+SUM(D9:J9)</f>
        <v>4313.8999999999996</v>
      </c>
    </row>
    <row r="10" spans="1:12" ht="15" hidden="1" customHeight="1" outlineLevel="1">
      <c r="A10" s="4" t="s">
        <v>16</v>
      </c>
      <c r="B10" s="4"/>
      <c r="C10" s="4"/>
      <c r="D10" s="55">
        <v>50.3</v>
      </c>
      <c r="E10" s="57"/>
      <c r="F10" s="55">
        <v>45.2</v>
      </c>
      <c r="G10" s="57"/>
      <c r="H10" s="55">
        <v>60.5</v>
      </c>
      <c r="I10" s="56"/>
      <c r="J10" s="55">
        <v>53.9</v>
      </c>
      <c r="K10" s="57"/>
      <c r="L10" s="55">
        <f>+SUM(D10:J10)</f>
        <v>209.9</v>
      </c>
    </row>
    <row r="11" spans="1:12" collapsed="1">
      <c r="A11" s="4" t="s">
        <v>1</v>
      </c>
      <c r="B11" s="4"/>
      <c r="C11" s="4"/>
      <c r="D11" s="54">
        <f>+D9+D10</f>
        <v>1089.5999999999999</v>
      </c>
      <c r="E11" s="54"/>
      <c r="F11" s="54">
        <f>+F9+F10</f>
        <v>1057</v>
      </c>
      <c r="G11" s="54"/>
      <c r="H11" s="54">
        <f>+H9+H10</f>
        <v>1183.9000000000001</v>
      </c>
      <c r="I11" s="54"/>
      <c r="J11" s="54">
        <f>+J9+J10</f>
        <v>1193.3000000000002</v>
      </c>
      <c r="K11" s="54"/>
      <c r="L11" s="54">
        <f>+L9+L10</f>
        <v>4523.7999999999993</v>
      </c>
    </row>
    <row r="12" spans="1:12" ht="24" customHeight="1">
      <c r="A12" s="4" t="s">
        <v>47</v>
      </c>
      <c r="B12" s="4"/>
      <c r="C12" s="4"/>
      <c r="D12" s="34"/>
      <c r="E12" s="57"/>
      <c r="F12" s="34"/>
      <c r="G12" s="57"/>
      <c r="H12" s="34"/>
      <c r="I12" s="34"/>
      <c r="J12" s="34"/>
      <c r="K12" s="57"/>
      <c r="L12" s="34"/>
    </row>
    <row r="13" spans="1:12" ht="15" customHeight="1">
      <c r="A13" s="9" t="s">
        <v>15</v>
      </c>
      <c r="B13" s="9"/>
      <c r="C13" s="40"/>
      <c r="D13" s="56">
        <v>825.1</v>
      </c>
      <c r="E13" s="57"/>
      <c r="F13" s="56">
        <v>810.5</v>
      </c>
      <c r="G13" s="57"/>
      <c r="H13" s="56">
        <v>962.8</v>
      </c>
      <c r="I13" s="56"/>
      <c r="J13" s="56">
        <v>911.7</v>
      </c>
      <c r="K13" s="57"/>
      <c r="L13" s="56">
        <f>+SUM(D13:J13)</f>
        <v>3510.0999999999995</v>
      </c>
    </row>
    <row r="14" spans="1:12" ht="15" customHeight="1">
      <c r="A14" s="4" t="s">
        <v>14</v>
      </c>
      <c r="B14" s="4"/>
      <c r="C14" s="41"/>
      <c r="D14" s="56">
        <v>77.7</v>
      </c>
      <c r="E14" s="57"/>
      <c r="F14" s="56">
        <v>86.2</v>
      </c>
      <c r="G14" s="57"/>
      <c r="H14" s="56">
        <v>86.4</v>
      </c>
      <c r="I14" s="56"/>
      <c r="J14" s="56">
        <v>96</v>
      </c>
      <c r="K14" s="57"/>
      <c r="L14" s="56">
        <f>+SUM(D14:J14)</f>
        <v>346.3</v>
      </c>
    </row>
    <row r="15" spans="1:12" ht="15" customHeight="1">
      <c r="A15" s="4" t="s">
        <v>22</v>
      </c>
      <c r="B15" s="4"/>
      <c r="C15" s="41"/>
      <c r="D15" s="56">
        <v>5.6</v>
      </c>
      <c r="E15" s="57"/>
      <c r="F15" s="56">
        <v>3.7</v>
      </c>
      <c r="G15" s="57"/>
      <c r="H15" s="56">
        <v>4.9000000000000004</v>
      </c>
      <c r="I15" s="56"/>
      <c r="J15" s="56">
        <v>9.5</v>
      </c>
      <c r="K15" s="57"/>
      <c r="L15" s="56">
        <f>+SUM(D15:J15)</f>
        <v>23.700000000000003</v>
      </c>
    </row>
    <row r="16" spans="1:12" ht="15" customHeight="1">
      <c r="A16" s="4" t="s">
        <v>13</v>
      </c>
      <c r="B16" s="4"/>
      <c r="C16" s="41"/>
      <c r="D16" s="56">
        <v>31.7</v>
      </c>
      <c r="E16" s="57"/>
      <c r="F16" s="56">
        <v>32.1</v>
      </c>
      <c r="G16" s="57"/>
      <c r="H16" s="56">
        <v>33.200000000000003</v>
      </c>
      <c r="I16" s="56"/>
      <c r="J16" s="56">
        <v>50.1</v>
      </c>
      <c r="K16" s="57"/>
      <c r="L16" s="56">
        <f>+SUM(D16:J16)</f>
        <v>147.1</v>
      </c>
    </row>
    <row r="17" spans="1:12" ht="15" customHeight="1">
      <c r="A17" s="4" t="s">
        <v>37</v>
      </c>
      <c r="B17" s="4"/>
      <c r="C17" s="41"/>
      <c r="D17" s="56"/>
      <c r="E17" s="57"/>
      <c r="F17" s="56"/>
      <c r="G17" s="57"/>
      <c r="H17" s="56"/>
      <c r="I17" s="56"/>
      <c r="J17" s="56"/>
      <c r="K17" s="57"/>
      <c r="L17" s="56"/>
    </row>
    <row r="18" spans="1:12" ht="15" customHeight="1">
      <c r="A18" s="4" t="s">
        <v>52</v>
      </c>
      <c r="B18" s="4"/>
      <c r="C18" s="41"/>
      <c r="D18" s="56">
        <v>-1.4</v>
      </c>
      <c r="E18" s="57"/>
      <c r="F18" s="56">
        <v>-53</v>
      </c>
      <c r="G18" s="57"/>
      <c r="H18" s="56">
        <v>-21.9</v>
      </c>
      <c r="I18" s="56"/>
      <c r="J18" s="56">
        <v>-12.3</v>
      </c>
      <c r="K18" s="57"/>
      <c r="L18" s="56">
        <f>+SUM(D18:J18)</f>
        <v>-88.6</v>
      </c>
    </row>
    <row r="19" spans="1:12" ht="15" customHeight="1">
      <c r="A19" s="4" t="s">
        <v>46</v>
      </c>
      <c r="B19" s="4"/>
      <c r="C19" s="41"/>
      <c r="D19" s="55">
        <v>-2.2999999999999998</v>
      </c>
      <c r="E19" s="57"/>
      <c r="F19" s="55">
        <v>-4.3</v>
      </c>
      <c r="G19" s="57"/>
      <c r="H19" s="55">
        <v>-2.9</v>
      </c>
      <c r="I19" s="56"/>
      <c r="J19" s="55">
        <v>-5</v>
      </c>
      <c r="K19" s="57"/>
      <c r="L19" s="55">
        <f>+SUM(D19:J19)</f>
        <v>-14.5</v>
      </c>
    </row>
    <row r="20" spans="1:12" ht="24" customHeight="1">
      <c r="A20" s="4" t="s">
        <v>3</v>
      </c>
      <c r="B20" s="4"/>
      <c r="C20" s="4"/>
      <c r="D20" s="34">
        <f>+D11-SUM(D13:D19)</f>
        <v>153.1999999999997</v>
      </c>
      <c r="E20" s="57"/>
      <c r="F20" s="34">
        <f>+F11-SUM(F13:F19)</f>
        <v>181.79999999999984</v>
      </c>
      <c r="G20" s="57"/>
      <c r="H20" s="34">
        <f>+H11-SUM(H13:H19)</f>
        <v>121.40000000000009</v>
      </c>
      <c r="I20" s="34"/>
      <c r="J20" s="34">
        <f>+J11-SUM(J13:J19)</f>
        <v>143.30000000000018</v>
      </c>
      <c r="K20" s="57"/>
      <c r="L20" s="34">
        <f>+L11-SUM(L13:L19)</f>
        <v>599.69999999999982</v>
      </c>
    </row>
    <row r="21" spans="1:12" ht="15" customHeight="1">
      <c r="A21" s="4" t="s">
        <v>9</v>
      </c>
      <c r="B21" s="4"/>
      <c r="C21" s="4"/>
      <c r="D21" s="56">
        <v>-2.8</v>
      </c>
      <c r="E21" s="57"/>
      <c r="F21" s="56">
        <v>-1.5</v>
      </c>
      <c r="G21" s="57"/>
      <c r="H21" s="56">
        <v>-1.5</v>
      </c>
      <c r="I21" s="56"/>
      <c r="J21" s="56">
        <v>-1.2</v>
      </c>
      <c r="K21" s="57"/>
      <c r="L21" s="56">
        <f>+SUM(D21:J21)</f>
        <v>-7</v>
      </c>
    </row>
    <row r="22" spans="1:12" ht="15" customHeight="1">
      <c r="A22" s="4" t="s">
        <v>12</v>
      </c>
      <c r="B22" s="4"/>
      <c r="C22" s="4"/>
      <c r="D22" s="55">
        <v>57.7</v>
      </c>
      <c r="E22" s="62"/>
      <c r="F22" s="55">
        <v>58.8</v>
      </c>
      <c r="G22" s="62"/>
      <c r="H22" s="55">
        <v>58.9</v>
      </c>
      <c r="I22" s="56"/>
      <c r="J22" s="55">
        <v>60.4</v>
      </c>
      <c r="K22" s="62"/>
      <c r="L22" s="55">
        <f>+SUM(D22:J22)</f>
        <v>235.8</v>
      </c>
    </row>
    <row r="23" spans="1:12" ht="24" customHeight="1">
      <c r="A23" s="13" t="s">
        <v>36</v>
      </c>
      <c r="B23" s="11"/>
      <c r="C23" s="11"/>
      <c r="D23" s="62"/>
      <c r="E23" s="62"/>
      <c r="F23" s="62"/>
      <c r="G23" s="62"/>
      <c r="H23" s="62"/>
      <c r="I23" s="62"/>
      <c r="J23" s="62"/>
      <c r="K23" s="62"/>
      <c r="L23" s="62"/>
    </row>
    <row r="24" spans="1:12" ht="15.75" customHeight="1">
      <c r="A24" s="13" t="s">
        <v>70</v>
      </c>
      <c r="B24" s="11"/>
      <c r="C24" s="11"/>
      <c r="D24" s="34">
        <v>98.3</v>
      </c>
      <c r="E24" s="57"/>
      <c r="F24" s="34">
        <f>+F20-F22-F21</f>
        <v>124.49999999999984</v>
      </c>
      <c r="G24" s="57"/>
      <c r="H24" s="34">
        <f>+H20-H22-H21</f>
        <v>64.000000000000085</v>
      </c>
      <c r="I24" s="34"/>
      <c r="J24" s="34">
        <f>+J20-J22-J21</f>
        <v>84.100000000000179</v>
      </c>
      <c r="K24" s="57"/>
      <c r="L24" s="34">
        <f>+L20-L22-L21</f>
        <v>370.89999999999981</v>
      </c>
    </row>
    <row r="25" spans="1:12" ht="15" customHeight="1">
      <c r="A25" s="10" t="s">
        <v>10</v>
      </c>
      <c r="B25" s="10"/>
      <c r="C25" s="10"/>
      <c r="D25" s="55">
        <v>12.6</v>
      </c>
      <c r="E25" s="57"/>
      <c r="F25" s="55">
        <v>18.600000000000001</v>
      </c>
      <c r="G25" s="57"/>
      <c r="H25" s="55">
        <v>8.8000000000000007</v>
      </c>
      <c r="I25" s="56"/>
      <c r="J25" s="55">
        <v>-110.7</v>
      </c>
      <c r="K25" s="57"/>
      <c r="L25" s="55">
        <f>+SUM(D25:J25)</f>
        <v>-70.7</v>
      </c>
    </row>
    <row r="26" spans="1:12" ht="15" customHeight="1">
      <c r="A26" s="4" t="s">
        <v>83</v>
      </c>
      <c r="B26" s="10"/>
      <c r="C26" s="10"/>
      <c r="D26" s="56">
        <f>+D24-D25</f>
        <v>85.7</v>
      </c>
      <c r="E26" s="57"/>
      <c r="F26" s="56">
        <f>+F24-F25</f>
        <v>105.89999999999984</v>
      </c>
      <c r="G26" s="57"/>
      <c r="H26" s="56">
        <f>+H24-H25</f>
        <v>55.200000000000088</v>
      </c>
      <c r="I26" s="56"/>
      <c r="J26" s="56">
        <f>+J24-J25</f>
        <v>194.80000000000018</v>
      </c>
      <c r="K26" s="57"/>
      <c r="L26" s="56">
        <f>+L24-L25</f>
        <v>441.5999999999998</v>
      </c>
    </row>
    <row r="27" spans="1:12" ht="18.75" customHeight="1">
      <c r="A27" s="4"/>
      <c r="B27" s="4" t="s">
        <v>93</v>
      </c>
      <c r="C27" s="4"/>
      <c r="D27" s="55">
        <v>2.4</v>
      </c>
      <c r="E27" s="57"/>
      <c r="F27" s="55">
        <v>6.5</v>
      </c>
      <c r="G27" s="57"/>
      <c r="H27" s="55">
        <v>-26.2</v>
      </c>
      <c r="I27" s="34"/>
      <c r="J27" s="55">
        <v>-162.80000000000001</v>
      </c>
      <c r="K27" s="57"/>
      <c r="L27" s="55">
        <f>+SUM(D27:J27)</f>
        <v>-180.10000000000002</v>
      </c>
    </row>
    <row r="28" spans="1:12" ht="18.75" customHeight="1">
      <c r="A28" s="4" t="s">
        <v>35</v>
      </c>
      <c r="B28" s="4"/>
      <c r="C28" s="4"/>
      <c r="D28" s="56">
        <f>+D26+D27</f>
        <v>88.100000000000009</v>
      </c>
      <c r="E28" s="65"/>
      <c r="F28" s="56">
        <f>+F26+F27</f>
        <v>112.39999999999984</v>
      </c>
      <c r="G28" s="65"/>
      <c r="H28" s="56">
        <f>+H26+H27</f>
        <v>29.000000000000089</v>
      </c>
      <c r="I28" s="60"/>
      <c r="J28" s="56">
        <f>+J26+J27</f>
        <v>32.000000000000171</v>
      </c>
      <c r="K28" s="65"/>
      <c r="L28" s="56">
        <f>+L26+L27</f>
        <v>261.49999999999977</v>
      </c>
    </row>
    <row r="29" spans="1:12" ht="15" customHeight="1">
      <c r="A29" s="4"/>
      <c r="B29" s="4" t="s">
        <v>95</v>
      </c>
      <c r="C29" s="4"/>
      <c r="D29" s="55">
        <v>-0.3</v>
      </c>
      <c r="E29" s="57"/>
      <c r="F29" s="55">
        <v>4.8</v>
      </c>
      <c r="G29" s="57"/>
      <c r="H29" s="55">
        <v>-3.2</v>
      </c>
      <c r="I29" s="56"/>
      <c r="J29" s="55">
        <v>-3.6</v>
      </c>
      <c r="K29" s="57"/>
      <c r="L29" s="55">
        <f>+SUM(D29:J29)</f>
        <v>-2.3000000000000003</v>
      </c>
    </row>
    <row r="30" spans="1:12" ht="18.75" customHeight="1" thickBot="1">
      <c r="A30" s="10" t="s">
        <v>75</v>
      </c>
      <c r="B30" s="10"/>
      <c r="C30" s="10"/>
      <c r="D30" s="71">
        <f>+D28-D29</f>
        <v>88.4</v>
      </c>
      <c r="F30" s="71">
        <f>+F28-F29</f>
        <v>107.59999999999984</v>
      </c>
      <c r="H30" s="71">
        <f>+H28-H29</f>
        <v>32.200000000000088</v>
      </c>
      <c r="J30" s="71">
        <f>+J28-J29</f>
        <v>35.600000000000172</v>
      </c>
      <c r="L30" s="71">
        <f>+L28-L29</f>
        <v>263.79999999999978</v>
      </c>
    </row>
    <row r="31" spans="1:12" ht="15.75" thickTop="1">
      <c r="B31" s="4"/>
    </row>
    <row r="32" spans="1:12" ht="18.75" customHeight="1">
      <c r="A32" s="4"/>
      <c r="B32" s="4"/>
      <c r="C32" s="4"/>
      <c r="D32" s="31"/>
      <c r="F32" s="31"/>
      <c r="H32" s="31"/>
      <c r="I32" s="31"/>
      <c r="J32" s="31"/>
      <c r="L32" s="31"/>
    </row>
    <row r="33" spans="1:13" s="18" customFormat="1" ht="18">
      <c r="A33" s="18" t="s">
        <v>89</v>
      </c>
      <c r="D33" s="73">
        <v>267.8</v>
      </c>
      <c r="E33" s="74"/>
      <c r="F33" s="73">
        <v>268.39999999999998</v>
      </c>
      <c r="G33" s="74"/>
      <c r="H33" s="73">
        <v>268.60000000000002</v>
      </c>
      <c r="I33" s="73"/>
      <c r="J33" s="73">
        <v>270</v>
      </c>
      <c r="K33" s="74"/>
      <c r="L33" s="73">
        <v>268.60000000000002</v>
      </c>
      <c r="M33" s="74"/>
    </row>
    <row r="34" spans="1:13" s="19" customFormat="1" ht="17.45" customHeight="1">
      <c r="D34" s="28"/>
      <c r="E34" s="28"/>
      <c r="F34" s="28"/>
      <c r="G34" s="28"/>
      <c r="H34" s="28"/>
      <c r="I34" s="28"/>
      <c r="J34" s="28"/>
      <c r="K34" s="28"/>
      <c r="L34" s="28"/>
    </row>
    <row r="35" spans="1:13" s="19" customFormat="1" ht="17.45" customHeight="1">
      <c r="A35" s="18" t="s">
        <v>78</v>
      </c>
      <c r="B35" s="18"/>
      <c r="D35" s="44">
        <v>0.3200149365197909</v>
      </c>
      <c r="E35" s="28"/>
      <c r="F35" s="44">
        <v>0.39456035767511122</v>
      </c>
      <c r="G35" s="28"/>
      <c r="H35" s="44">
        <v>0.20551005212211498</v>
      </c>
      <c r="I35" s="28"/>
      <c r="J35" s="44">
        <v>0.72148148148148217</v>
      </c>
      <c r="K35" s="28"/>
      <c r="L35" s="28">
        <v>1.64</v>
      </c>
    </row>
    <row r="36" spans="1:13" s="19" customFormat="1" ht="17.45" customHeight="1">
      <c r="E36" s="28"/>
      <c r="F36" s="28"/>
      <c r="G36" s="28"/>
      <c r="H36" s="28"/>
      <c r="I36" s="28"/>
      <c r="J36" s="28"/>
      <c r="K36" s="28"/>
      <c r="L36" s="28"/>
    </row>
    <row r="37" spans="1:13" ht="18">
      <c r="A37" s="75" t="s">
        <v>90</v>
      </c>
      <c r="D37" s="60">
        <f>+D20+D14+D15</f>
        <v>236.49999999999969</v>
      </c>
      <c r="E37" s="68"/>
      <c r="F37" s="60">
        <f>+F20+F14+F15</f>
        <v>271.69999999999982</v>
      </c>
      <c r="G37" s="68"/>
      <c r="H37" s="60">
        <f>+H20+H14+H15</f>
        <v>212.7000000000001</v>
      </c>
      <c r="I37" s="60"/>
      <c r="J37" s="60">
        <f>+J20+J14+J15</f>
        <v>248.80000000000018</v>
      </c>
      <c r="K37" s="68"/>
      <c r="L37" s="60">
        <f>+L20+L14+L15</f>
        <v>969.69999999999982</v>
      </c>
    </row>
    <row r="39" spans="1:13" ht="45" customHeight="1">
      <c r="A39" s="76" t="s">
        <v>79</v>
      </c>
      <c r="B39" s="87" t="s">
        <v>86</v>
      </c>
      <c r="C39" s="87"/>
      <c r="D39" s="87"/>
      <c r="E39" s="87"/>
      <c r="F39" s="87"/>
      <c r="G39" s="87"/>
      <c r="H39" s="87"/>
      <c r="I39" s="88"/>
      <c r="J39" s="88"/>
      <c r="K39" s="88"/>
      <c r="L39" s="88"/>
      <c r="M39" s="38"/>
    </row>
    <row r="40" spans="1:13">
      <c r="B40" s="24"/>
      <c r="D40" s="35"/>
      <c r="F40" s="35"/>
      <c r="H40" s="35"/>
      <c r="J40" s="35"/>
      <c r="L40" s="35"/>
      <c r="M40" s="38"/>
    </row>
    <row r="41" spans="1:13" ht="73.5" customHeight="1">
      <c r="A41" s="76" t="s">
        <v>88</v>
      </c>
      <c r="B41" s="87" t="s">
        <v>87</v>
      </c>
      <c r="C41" s="87"/>
      <c r="D41" s="87"/>
      <c r="E41" s="87"/>
      <c r="F41" s="87"/>
      <c r="G41" s="87"/>
      <c r="H41" s="87"/>
      <c r="I41" s="88"/>
      <c r="J41" s="88"/>
      <c r="K41" s="88"/>
      <c r="L41" s="88"/>
      <c r="M41" s="38"/>
    </row>
    <row r="42" spans="1:13">
      <c r="B42" s="24"/>
      <c r="J42" s="70"/>
    </row>
    <row r="43" spans="1:13">
      <c r="A43" s="25" t="s">
        <v>55</v>
      </c>
    </row>
  </sheetData>
  <mergeCells count="3">
    <mergeCell ref="D5:J5"/>
    <mergeCell ref="B39:L39"/>
    <mergeCell ref="B41:L41"/>
  </mergeCells>
  <phoneticPr fontId="0" type="noConversion"/>
  <printOptions horizontalCentered="1"/>
  <pageMargins left="0.5" right="0.5" top="0.5" bottom="0.5" header="0.5" footer="0.5"/>
  <pageSetup scale="71" orientation="landscape" r:id="rId1"/>
  <headerFooter alignWithMargins="0"/>
</worksheet>
</file>

<file path=xl/worksheets/sheet7.xml><?xml version="1.0" encoding="utf-8"?>
<worksheet xmlns="http://schemas.openxmlformats.org/spreadsheetml/2006/main" xmlns:r="http://schemas.openxmlformats.org/officeDocument/2006/relationships">
  <sheetPr codeName="Sheet7">
    <pageSetUpPr fitToPage="1"/>
  </sheetPr>
  <dimension ref="A1:O54"/>
  <sheetViews>
    <sheetView zoomScale="70" zoomScaleNormal="70" workbookViewId="0">
      <pane xSplit="3" ySplit="7" topLeftCell="D8" activePane="bottomRight" state="frozen"/>
      <selection activeCell="D8" sqref="D8"/>
      <selection pane="topRight" activeCell="D8" sqref="D8"/>
      <selection pane="bottomLeft" activeCell="D8" sqref="D8"/>
      <selection pane="bottomRight" activeCell="D8" sqref="D8"/>
    </sheetView>
  </sheetViews>
  <sheetFormatPr defaultRowHeight="15" outlineLevelRow="1"/>
  <cols>
    <col min="1" max="2" width="2.42578125" style="2" customWidth="1"/>
    <col min="3" max="3" width="87.42578125" style="2" customWidth="1"/>
    <col min="4" max="4" width="14.85546875" style="24" customWidth="1"/>
    <col min="5" max="5" width="3.5703125" style="24" customWidth="1"/>
    <col min="6" max="6" width="14.85546875" style="24" customWidth="1"/>
    <col min="7" max="7" width="3.5703125" style="2" customWidth="1"/>
    <col min="8" max="8" width="14.85546875" style="2" customWidth="1"/>
    <col min="9" max="9" width="3.5703125" style="2" customWidth="1"/>
    <col min="10" max="10" width="14.85546875" style="2" customWidth="1"/>
    <col min="11" max="11" width="3.5703125" style="2" customWidth="1"/>
    <col min="12" max="12" width="16.5703125" style="2" customWidth="1"/>
    <col min="13" max="13" width="3.5703125" style="2" customWidth="1"/>
    <col min="14" max="14" width="16.7109375" style="24" customWidth="1"/>
    <col min="15" max="15" width="9.7109375" style="2" bestFit="1" customWidth="1"/>
    <col min="16" max="16384" width="9.140625" style="2"/>
  </cols>
  <sheetData>
    <row r="1" spans="1:15" ht="15.75">
      <c r="A1" s="1" t="s">
        <v>0</v>
      </c>
      <c r="B1" s="1"/>
      <c r="C1" s="1"/>
      <c r="E1" s="2"/>
    </row>
    <row r="2" spans="1:15" ht="15.75">
      <c r="A2" s="1" t="s">
        <v>51</v>
      </c>
      <c r="B2" s="1"/>
      <c r="C2" s="1"/>
      <c r="E2" s="2"/>
    </row>
    <row r="3" spans="1:15" ht="15.75">
      <c r="A3" s="22" t="s">
        <v>65</v>
      </c>
      <c r="B3" s="3"/>
      <c r="C3" s="3"/>
      <c r="D3" s="35"/>
      <c r="E3" s="2"/>
      <c r="F3" s="35"/>
    </row>
    <row r="4" spans="1:15" ht="15.75">
      <c r="A4" s="22"/>
      <c r="B4" s="3"/>
      <c r="C4" s="3"/>
      <c r="D4" s="33"/>
      <c r="G4" s="24"/>
      <c r="H4" s="24"/>
      <c r="I4" s="24"/>
      <c r="J4" s="24"/>
      <c r="K4" s="24"/>
      <c r="L4" s="33" t="s">
        <v>48</v>
      </c>
    </row>
    <row r="5" spans="1:15" ht="15" customHeight="1">
      <c r="B5" s="3"/>
      <c r="C5" s="3"/>
      <c r="D5" s="89" t="s">
        <v>33</v>
      </c>
      <c r="E5" s="89"/>
      <c r="F5" s="89"/>
      <c r="G5" s="89"/>
      <c r="H5" s="89"/>
      <c r="I5" s="89"/>
      <c r="J5" s="89"/>
      <c r="K5" s="24"/>
      <c r="L5" s="39" t="s">
        <v>57</v>
      </c>
      <c r="N5" s="33" t="s">
        <v>58</v>
      </c>
    </row>
    <row r="6" spans="1:15">
      <c r="A6" s="4"/>
      <c r="B6" s="4"/>
      <c r="C6" s="4"/>
      <c r="D6" s="33" t="s">
        <v>4</v>
      </c>
      <c r="F6" s="33" t="s">
        <v>5</v>
      </c>
      <c r="G6" s="24"/>
      <c r="H6" s="33" t="s">
        <v>20</v>
      </c>
      <c r="I6" s="33"/>
      <c r="J6" s="33" t="s">
        <v>21</v>
      </c>
      <c r="K6" s="24"/>
      <c r="L6" s="33" t="s">
        <v>21</v>
      </c>
      <c r="N6" s="33" t="s">
        <v>59</v>
      </c>
    </row>
    <row r="7" spans="1:15" ht="15" customHeight="1">
      <c r="A7" s="4"/>
      <c r="B7" s="4"/>
      <c r="C7" s="4"/>
      <c r="D7" s="32">
        <v>2006</v>
      </c>
      <c r="F7" s="32">
        <v>2006</v>
      </c>
      <c r="G7" s="24"/>
      <c r="H7" s="32">
        <v>2006</v>
      </c>
      <c r="I7" s="39"/>
      <c r="J7" s="32">
        <v>2006</v>
      </c>
      <c r="K7" s="24"/>
      <c r="L7" s="32">
        <v>2006</v>
      </c>
      <c r="N7" s="32" t="s">
        <v>99</v>
      </c>
    </row>
    <row r="8" spans="1:15" ht="24" customHeight="1">
      <c r="A8" s="4"/>
      <c r="B8" s="4"/>
      <c r="C8" s="4"/>
      <c r="D8" s="34"/>
      <c r="F8" s="34"/>
      <c r="G8" s="24"/>
      <c r="H8" s="34"/>
      <c r="I8" s="34"/>
      <c r="J8" s="34"/>
      <c r="K8" s="24"/>
      <c r="L8" s="34"/>
    </row>
    <row r="9" spans="1:15" ht="15" hidden="1" customHeight="1" outlineLevel="1">
      <c r="A9" s="4" t="s">
        <v>17</v>
      </c>
      <c r="B9" s="4"/>
      <c r="C9" s="4"/>
      <c r="D9" s="54">
        <v>1288.9000000000001</v>
      </c>
      <c r="E9" s="49"/>
      <c r="F9" s="54">
        <v>1293.7</v>
      </c>
      <c r="G9" s="49"/>
      <c r="H9" s="54">
        <v>1223.3</v>
      </c>
      <c r="I9" s="54"/>
      <c r="J9" s="54">
        <v>1339.1</v>
      </c>
      <c r="K9" s="49"/>
      <c r="L9" s="54">
        <f>+SUM(D9:J9)</f>
        <v>5145</v>
      </c>
      <c r="M9" s="49"/>
      <c r="N9" s="54">
        <v>3939.7</v>
      </c>
    </row>
    <row r="10" spans="1:15" ht="15" hidden="1" customHeight="1" outlineLevel="1">
      <c r="A10" s="4" t="s">
        <v>16</v>
      </c>
      <c r="B10" s="4"/>
      <c r="C10" s="4"/>
      <c r="D10" s="55">
        <v>22.9</v>
      </c>
      <c r="E10" s="51"/>
      <c r="F10" s="55">
        <v>22.7</v>
      </c>
      <c r="G10" s="51"/>
      <c r="H10" s="55">
        <v>41.7</v>
      </c>
      <c r="I10" s="56"/>
      <c r="J10" s="55">
        <v>24</v>
      </c>
      <c r="K10" s="51"/>
      <c r="L10" s="55">
        <f>+SUM(D10:J10)</f>
        <v>111.3</v>
      </c>
      <c r="M10" s="51"/>
      <c r="N10" s="55">
        <v>105.9</v>
      </c>
    </row>
    <row r="11" spans="1:15" collapsed="1">
      <c r="A11" s="4" t="s">
        <v>1</v>
      </c>
      <c r="B11" s="4"/>
      <c r="C11" s="4"/>
      <c r="D11" s="54">
        <f>+D9+D10</f>
        <v>1311.8000000000002</v>
      </c>
      <c r="E11" s="48"/>
      <c r="F11" s="54">
        <f>+F9+F10</f>
        <v>1316.4</v>
      </c>
      <c r="G11" s="48"/>
      <c r="H11" s="54">
        <f>+H9+H10</f>
        <v>1265</v>
      </c>
      <c r="I11" s="54"/>
      <c r="J11" s="54">
        <f>+J9+J10</f>
        <v>1363.1</v>
      </c>
      <c r="K11" s="48"/>
      <c r="L11" s="54">
        <f>+L9+L10</f>
        <v>5256.3</v>
      </c>
      <c r="M11" s="48"/>
      <c r="N11" s="54">
        <f>+N9+N10</f>
        <v>4045.6</v>
      </c>
    </row>
    <row r="12" spans="1:15" ht="24" customHeight="1">
      <c r="A12" s="4" t="s">
        <v>47</v>
      </c>
      <c r="B12" s="4"/>
      <c r="C12" s="4"/>
      <c r="D12" s="34"/>
      <c r="E12" s="51"/>
      <c r="F12" s="34"/>
      <c r="G12" s="51"/>
      <c r="H12" s="34"/>
      <c r="I12" s="34"/>
      <c r="J12" s="34"/>
      <c r="K12" s="51"/>
      <c r="L12" s="34"/>
      <c r="M12" s="51"/>
      <c r="N12" s="34"/>
    </row>
    <row r="13" spans="1:15" ht="15" customHeight="1">
      <c r="A13" s="9" t="s">
        <v>15</v>
      </c>
      <c r="B13" s="9"/>
      <c r="C13" s="40"/>
      <c r="D13" s="56">
        <v>1022.4</v>
      </c>
      <c r="E13" s="57"/>
      <c r="F13" s="56">
        <v>1053.5</v>
      </c>
      <c r="G13" s="57"/>
      <c r="H13" s="56">
        <v>1003</v>
      </c>
      <c r="I13" s="56"/>
      <c r="J13" s="56">
        <v>1077.0999999999999</v>
      </c>
      <c r="K13" s="51"/>
      <c r="L13" s="56">
        <f t="shared" ref="L13:L21" si="0">+SUM(D13:J13)</f>
        <v>4156</v>
      </c>
      <c r="M13" s="51"/>
      <c r="N13" s="56">
        <v>3084.2</v>
      </c>
      <c r="O13" s="67"/>
    </row>
    <row r="14" spans="1:15" ht="15" customHeight="1">
      <c r="A14" s="4" t="s">
        <v>14</v>
      </c>
      <c r="B14" s="4"/>
      <c r="C14" s="41"/>
      <c r="D14" s="56">
        <v>81</v>
      </c>
      <c r="E14" s="57"/>
      <c r="F14" s="56">
        <v>91.5</v>
      </c>
      <c r="G14" s="57"/>
      <c r="H14" s="56">
        <v>90.6</v>
      </c>
      <c r="I14" s="56"/>
      <c r="J14" s="56">
        <v>114.1</v>
      </c>
      <c r="K14" s="51"/>
      <c r="L14" s="56">
        <f t="shared" si="0"/>
        <v>377.20000000000005</v>
      </c>
      <c r="M14" s="51"/>
      <c r="N14" s="56">
        <v>282.7</v>
      </c>
    </row>
    <row r="15" spans="1:15" ht="15" customHeight="1">
      <c r="A15" s="4" t="s">
        <v>22</v>
      </c>
      <c r="B15" s="4"/>
      <c r="C15" s="41"/>
      <c r="D15" s="56">
        <v>7.2</v>
      </c>
      <c r="E15" s="57"/>
      <c r="F15" s="56">
        <v>11.6</v>
      </c>
      <c r="G15" s="57"/>
      <c r="H15" s="56">
        <v>7.1</v>
      </c>
      <c r="I15" s="56"/>
      <c r="J15" s="56">
        <v>14.2</v>
      </c>
      <c r="K15" s="51"/>
      <c r="L15" s="56">
        <f t="shared" si="0"/>
        <v>40.099999999999994</v>
      </c>
      <c r="M15" s="51"/>
      <c r="N15" s="56">
        <v>14.2</v>
      </c>
    </row>
    <row r="16" spans="1:15" ht="15" customHeight="1">
      <c r="A16" s="4" t="s">
        <v>13</v>
      </c>
      <c r="B16" s="4"/>
      <c r="C16" s="41"/>
      <c r="D16" s="56">
        <v>46.5</v>
      </c>
      <c r="E16" s="57"/>
      <c r="F16" s="56">
        <v>40.799999999999997</v>
      </c>
      <c r="G16" s="57"/>
      <c r="H16" s="56">
        <v>31.5</v>
      </c>
      <c r="I16" s="56"/>
      <c r="J16" s="56">
        <v>57.1</v>
      </c>
      <c r="K16" s="51"/>
      <c r="L16" s="56">
        <f t="shared" si="0"/>
        <v>175.9</v>
      </c>
      <c r="M16" s="51"/>
      <c r="N16" s="56">
        <v>128</v>
      </c>
    </row>
    <row r="17" spans="1:15" ht="15" customHeight="1">
      <c r="A17" s="4" t="s">
        <v>37</v>
      </c>
      <c r="B17" s="4"/>
      <c r="C17" s="41"/>
      <c r="D17" s="56"/>
      <c r="E17" s="57"/>
      <c r="F17" s="56"/>
      <c r="G17" s="57"/>
      <c r="H17" s="56"/>
      <c r="I17" s="56"/>
      <c r="J17" s="56"/>
      <c r="K17" s="51"/>
      <c r="L17" s="56"/>
      <c r="M17" s="51"/>
      <c r="N17" s="56"/>
    </row>
    <row r="18" spans="1:15" ht="15" customHeight="1">
      <c r="A18" s="4" t="s">
        <v>52</v>
      </c>
      <c r="B18" s="4"/>
      <c r="C18" s="41"/>
      <c r="D18" s="56">
        <v>-9.1999999999999993</v>
      </c>
      <c r="E18" s="57"/>
      <c r="F18" s="56">
        <v>-50</v>
      </c>
      <c r="G18" s="57"/>
      <c r="H18" s="56">
        <v>-35</v>
      </c>
      <c r="I18" s="56"/>
      <c r="J18" s="56">
        <v>-37.9</v>
      </c>
      <c r="K18" s="51"/>
      <c r="L18" s="56">
        <f t="shared" si="0"/>
        <v>-132.1</v>
      </c>
      <c r="M18" s="51"/>
      <c r="N18" s="56">
        <v>-53.5</v>
      </c>
    </row>
    <row r="19" spans="1:15" ht="15" customHeight="1">
      <c r="A19" s="4" t="s">
        <v>46</v>
      </c>
      <c r="B19" s="4"/>
      <c r="C19" s="41"/>
      <c r="D19" s="55">
        <v>-7.3</v>
      </c>
      <c r="E19" s="57"/>
      <c r="F19" s="55">
        <v>-6.7</v>
      </c>
      <c r="G19" s="57"/>
      <c r="H19" s="55">
        <v>-5.2</v>
      </c>
      <c r="I19" s="56"/>
      <c r="J19" s="55">
        <v>-4.7</v>
      </c>
      <c r="K19" s="51"/>
      <c r="L19" s="55">
        <f t="shared" si="0"/>
        <v>-23.9</v>
      </c>
      <c r="M19" s="51"/>
      <c r="N19" s="55">
        <v>-22.8</v>
      </c>
    </row>
    <row r="20" spans="1:15" ht="24" customHeight="1">
      <c r="A20" s="4" t="s">
        <v>3</v>
      </c>
      <c r="B20" s="4"/>
      <c r="C20" s="4"/>
      <c r="D20" s="34">
        <f>+D11-SUM(D13:D19)</f>
        <v>171.20000000000005</v>
      </c>
      <c r="E20" s="51"/>
      <c r="F20" s="34">
        <f>+F11-SUM(F13:F19)</f>
        <v>175.70000000000027</v>
      </c>
      <c r="G20" s="51"/>
      <c r="H20" s="34">
        <f>+H11-SUM(H13:H19)</f>
        <v>173.00000000000023</v>
      </c>
      <c r="I20" s="34"/>
      <c r="J20" s="34">
        <f>+J11-SUM(J13:J19)</f>
        <v>143.20000000000027</v>
      </c>
      <c r="K20" s="51"/>
      <c r="L20" s="34">
        <f>+L11-SUM(L13:L19)</f>
        <v>663.10000000000036</v>
      </c>
      <c r="M20" s="51"/>
      <c r="N20" s="34">
        <f>+N11-SUM(N13:N19)</f>
        <v>612.80000000000064</v>
      </c>
    </row>
    <row r="21" spans="1:15" ht="15" customHeight="1">
      <c r="A21" s="4" t="s">
        <v>9</v>
      </c>
      <c r="B21" s="4"/>
      <c r="C21" s="4"/>
      <c r="D21" s="56">
        <v>-2.6</v>
      </c>
      <c r="E21" s="57"/>
      <c r="F21" s="56">
        <v>-1.5</v>
      </c>
      <c r="G21" s="57"/>
      <c r="H21" s="56">
        <v>-1.9</v>
      </c>
      <c r="I21" s="56"/>
      <c r="J21" s="56">
        <v>-6.7</v>
      </c>
      <c r="K21" s="51"/>
      <c r="L21" s="56">
        <f t="shared" si="0"/>
        <v>-12.7</v>
      </c>
      <c r="M21" s="51"/>
      <c r="N21" s="56">
        <v>-11.3</v>
      </c>
    </row>
    <row r="22" spans="1:15">
      <c r="A22" s="4" t="s">
        <v>54</v>
      </c>
      <c r="B22" s="4"/>
      <c r="C22" s="4"/>
      <c r="D22" s="56">
        <v>0</v>
      </c>
      <c r="E22" s="51"/>
      <c r="F22" s="56">
        <v>-0.4</v>
      </c>
      <c r="G22" s="51"/>
      <c r="H22" s="56">
        <v>0</v>
      </c>
      <c r="I22" s="56"/>
      <c r="J22" s="56">
        <v>1.8</v>
      </c>
      <c r="K22" s="51"/>
      <c r="L22" s="56">
        <f>+SUM(D22:J22)</f>
        <v>1.4</v>
      </c>
      <c r="M22" s="51"/>
      <c r="N22" s="56">
        <v>1.4</v>
      </c>
    </row>
    <row r="23" spans="1:15" ht="15" customHeight="1">
      <c r="A23" s="4" t="s">
        <v>12</v>
      </c>
      <c r="B23" s="4"/>
      <c r="C23" s="4"/>
      <c r="D23" s="55">
        <v>27.4</v>
      </c>
      <c r="E23" s="61"/>
      <c r="F23" s="55">
        <v>25.7</v>
      </c>
      <c r="G23" s="61"/>
      <c r="H23" s="55">
        <v>26.4</v>
      </c>
      <c r="I23" s="56"/>
      <c r="J23" s="55">
        <v>63.9</v>
      </c>
      <c r="K23" s="61"/>
      <c r="L23" s="55">
        <f>+SUM(D23:J23)</f>
        <v>143.4</v>
      </c>
      <c r="M23" s="51"/>
      <c r="N23" s="55">
        <v>137.69999999999999</v>
      </c>
    </row>
    <row r="24" spans="1:15" ht="24" customHeight="1">
      <c r="A24" s="13" t="s">
        <v>36</v>
      </c>
      <c r="B24" s="11"/>
      <c r="C24" s="11"/>
      <c r="D24" s="62"/>
      <c r="E24" s="61"/>
      <c r="F24" s="62"/>
      <c r="G24" s="61"/>
      <c r="H24" s="62"/>
      <c r="I24" s="62"/>
      <c r="J24" s="62"/>
      <c r="K24" s="61"/>
      <c r="L24" s="62"/>
      <c r="M24" s="51"/>
      <c r="N24" s="62"/>
    </row>
    <row r="25" spans="1:15" ht="15.75" customHeight="1">
      <c r="A25" s="13" t="s">
        <v>70</v>
      </c>
      <c r="B25" s="11"/>
      <c r="C25" s="11"/>
      <c r="D25" s="34">
        <f>+D20-D23-D22-D21</f>
        <v>146.40000000000003</v>
      </c>
      <c r="E25" s="51"/>
      <c r="F25" s="34">
        <f>+F20-F23-F22-F21</f>
        <v>151.90000000000029</v>
      </c>
      <c r="G25" s="51"/>
      <c r="H25" s="34">
        <f>+H20-H23-H22-H21</f>
        <v>148.50000000000023</v>
      </c>
      <c r="I25" s="34"/>
      <c r="J25" s="34">
        <f>+J20-J23-J22-J21</f>
        <v>84.200000000000273</v>
      </c>
      <c r="K25" s="51"/>
      <c r="L25" s="34">
        <f>+L20-L23-L22-L21</f>
        <v>531.00000000000045</v>
      </c>
      <c r="M25" s="51"/>
      <c r="N25" s="34">
        <f>+N20-N23-N22-N21</f>
        <v>485.00000000000068</v>
      </c>
    </row>
    <row r="26" spans="1:15" ht="15" customHeight="1">
      <c r="A26" s="10" t="s">
        <v>10</v>
      </c>
      <c r="B26" s="10"/>
      <c r="C26" s="10"/>
      <c r="D26" s="55">
        <v>11.5</v>
      </c>
      <c r="E26" s="51"/>
      <c r="F26" s="55">
        <v>-3.3</v>
      </c>
      <c r="G26" s="51"/>
      <c r="H26" s="55">
        <v>2.74</v>
      </c>
      <c r="I26" s="56"/>
      <c r="J26" s="55">
        <v>-92.4</v>
      </c>
      <c r="K26" s="51"/>
      <c r="L26" s="55">
        <f>+SUM(D26:J26)</f>
        <v>-81.460000000000008</v>
      </c>
      <c r="M26" s="51"/>
      <c r="N26" s="55">
        <v>-85.6</v>
      </c>
    </row>
    <row r="27" spans="1:15" ht="15" customHeight="1">
      <c r="A27" s="4" t="s">
        <v>83</v>
      </c>
      <c r="B27" s="10"/>
      <c r="C27" s="10"/>
      <c r="D27" s="56">
        <f>+D25-D26</f>
        <v>134.90000000000003</v>
      </c>
      <c r="E27" s="51"/>
      <c r="F27" s="56">
        <f>+F25-F26</f>
        <v>155.2000000000003</v>
      </c>
      <c r="G27" s="51"/>
      <c r="H27" s="56">
        <f>+H25-H26</f>
        <v>145.76000000000022</v>
      </c>
      <c r="I27" s="56"/>
      <c r="J27" s="56">
        <f>+J25-J26</f>
        <v>176.60000000000028</v>
      </c>
      <c r="K27" s="51"/>
      <c r="L27" s="56">
        <f>+L25-L26</f>
        <v>612.46000000000049</v>
      </c>
      <c r="M27" s="51"/>
      <c r="N27" s="56">
        <f>+N25-N26</f>
        <v>570.6000000000007</v>
      </c>
    </row>
    <row r="28" spans="1:15" ht="15" customHeight="1">
      <c r="A28" s="4"/>
      <c r="B28" s="4" t="s">
        <v>94</v>
      </c>
      <c r="C28" s="4"/>
      <c r="D28" s="55">
        <v>0</v>
      </c>
      <c r="E28" s="61"/>
      <c r="F28" s="55">
        <v>0</v>
      </c>
      <c r="G28" s="34"/>
      <c r="H28" s="55">
        <v>0</v>
      </c>
      <c r="I28" s="34"/>
      <c r="J28" s="55">
        <v>0</v>
      </c>
      <c r="K28" s="34"/>
      <c r="L28" s="55">
        <f>+SUM(D28:J28)</f>
        <v>0</v>
      </c>
      <c r="M28" s="51"/>
      <c r="N28" s="55">
        <v>30.7</v>
      </c>
    </row>
    <row r="29" spans="1:15" ht="24.75" customHeight="1">
      <c r="A29" s="4" t="s">
        <v>35</v>
      </c>
      <c r="B29" s="4"/>
      <c r="C29" s="4"/>
      <c r="D29" s="56">
        <f>+D27+D28</f>
        <v>134.90000000000003</v>
      </c>
      <c r="E29" s="51"/>
      <c r="F29" s="56">
        <f>+F27+F28</f>
        <v>155.2000000000003</v>
      </c>
      <c r="G29" s="51"/>
      <c r="H29" s="56">
        <f>+H27+H28</f>
        <v>145.76000000000022</v>
      </c>
      <c r="I29" s="56"/>
      <c r="J29" s="56">
        <f>+J27+J28</f>
        <v>176.60000000000028</v>
      </c>
      <c r="K29" s="51"/>
      <c r="L29" s="56">
        <f>+L27+L28</f>
        <v>612.46000000000049</v>
      </c>
      <c r="M29" s="51"/>
      <c r="N29" s="56">
        <f>+N27+N28</f>
        <v>601.30000000000075</v>
      </c>
    </row>
    <row r="30" spans="1:15" ht="15" customHeight="1">
      <c r="B30" s="4" t="s">
        <v>85</v>
      </c>
      <c r="C30" s="4"/>
      <c r="D30" s="55">
        <v>4.7</v>
      </c>
      <c r="E30" s="61"/>
      <c r="F30" s="55">
        <v>1.8</v>
      </c>
      <c r="G30" s="34"/>
      <c r="H30" s="55">
        <v>3.8</v>
      </c>
      <c r="I30" s="34"/>
      <c r="J30" s="55">
        <v>1.5</v>
      </c>
      <c r="K30" s="34"/>
      <c r="L30" s="55">
        <f>+SUM(D30:J30)</f>
        <v>11.8</v>
      </c>
      <c r="M30" s="51"/>
      <c r="N30" s="55">
        <v>0.6</v>
      </c>
    </row>
    <row r="31" spans="1:15" ht="15.75" thickBot="1">
      <c r="A31" s="10" t="s">
        <v>75</v>
      </c>
      <c r="B31" s="10"/>
      <c r="C31" s="10"/>
      <c r="D31" s="71">
        <f>+D29-D30</f>
        <v>130.20000000000005</v>
      </c>
      <c r="E31" s="59"/>
      <c r="F31" s="71">
        <f>+F29-F30</f>
        <v>153.40000000000029</v>
      </c>
      <c r="G31" s="59"/>
      <c r="H31" s="71">
        <f>+H29-H30</f>
        <v>141.96000000000021</v>
      </c>
      <c r="I31" s="60"/>
      <c r="J31" s="71">
        <f>+J29-J30</f>
        <v>175.10000000000028</v>
      </c>
      <c r="K31" s="59"/>
      <c r="L31" s="71">
        <f>+L29-L30</f>
        <v>600.66000000000054</v>
      </c>
      <c r="M31" s="49"/>
      <c r="N31" s="71">
        <f>+N29-N30</f>
        <v>600.70000000000073</v>
      </c>
      <c r="O31" s="21"/>
    </row>
    <row r="32" spans="1:15" ht="15.75" thickTop="1">
      <c r="B32" s="4"/>
    </row>
    <row r="33" spans="1:15" ht="16.5" customHeight="1">
      <c r="D33" s="31"/>
      <c r="E33" s="2"/>
      <c r="F33" s="31"/>
      <c r="H33" s="31"/>
      <c r="I33" s="31"/>
      <c r="J33" s="31"/>
      <c r="L33" s="31"/>
    </row>
    <row r="34" spans="1:15" s="18" customFormat="1" ht="18">
      <c r="A34" s="18" t="s">
        <v>89</v>
      </c>
      <c r="D34" s="73"/>
      <c r="E34" s="45"/>
      <c r="F34" s="73"/>
      <c r="G34" s="45"/>
      <c r="H34" s="73"/>
      <c r="I34" s="73"/>
      <c r="J34" s="73"/>
      <c r="K34" s="45"/>
      <c r="L34" s="73"/>
      <c r="M34" s="45"/>
      <c r="N34" s="74">
        <v>268.8</v>
      </c>
      <c r="O34" s="45"/>
    </row>
    <row r="35" spans="1:15" s="18" customFormat="1">
      <c r="D35" s="73"/>
      <c r="E35" s="45"/>
      <c r="F35" s="73"/>
      <c r="G35" s="45"/>
      <c r="H35" s="73"/>
      <c r="I35" s="73"/>
      <c r="J35" s="73"/>
      <c r="K35" s="45"/>
      <c r="L35" s="73"/>
      <c r="M35" s="45"/>
      <c r="N35" s="74"/>
      <c r="O35" s="45"/>
    </row>
    <row r="36" spans="1:15" s="19" customFormat="1" ht="18">
      <c r="A36" s="18" t="s">
        <v>100</v>
      </c>
      <c r="D36" s="28"/>
      <c r="E36" s="20"/>
      <c r="F36" s="28"/>
      <c r="G36" s="20"/>
      <c r="H36" s="28"/>
      <c r="I36" s="28"/>
      <c r="J36" s="28"/>
      <c r="K36" s="20"/>
      <c r="L36" s="28"/>
      <c r="N36" s="28">
        <v>2.11</v>
      </c>
    </row>
    <row r="37" spans="1:15" s="19" customFormat="1">
      <c r="D37" s="28"/>
      <c r="E37" s="20"/>
      <c r="F37" s="28"/>
      <c r="G37" s="20"/>
      <c r="H37" s="28"/>
      <c r="I37" s="28"/>
      <c r="J37" s="28"/>
      <c r="K37" s="20"/>
      <c r="L37" s="28"/>
      <c r="N37" s="28"/>
    </row>
    <row r="38" spans="1:15" ht="18">
      <c r="A38" s="75" t="s">
        <v>96</v>
      </c>
      <c r="D38" s="60">
        <f>+D20+D14+D15</f>
        <v>259.40000000000003</v>
      </c>
      <c r="E38" s="59"/>
      <c r="F38" s="60">
        <f>+F20+F14+F15</f>
        <v>278.8000000000003</v>
      </c>
      <c r="G38" s="59"/>
      <c r="H38" s="60">
        <f>+H20+H14+H15</f>
        <v>270.70000000000027</v>
      </c>
      <c r="I38" s="60"/>
      <c r="J38" s="60">
        <f>+J20+J14+J15</f>
        <v>271.50000000000028</v>
      </c>
      <c r="K38" s="59"/>
      <c r="L38" s="60">
        <f>+L20+L14+L15</f>
        <v>1080.4000000000003</v>
      </c>
      <c r="N38" s="60">
        <f>+N20+N14+N15</f>
        <v>909.70000000000073</v>
      </c>
    </row>
    <row r="39" spans="1:15">
      <c r="E39" s="2"/>
      <c r="H39" s="24"/>
      <c r="I39" s="24"/>
      <c r="J39" s="24"/>
      <c r="L39" s="24"/>
    </row>
    <row r="40" spans="1:15" ht="45" customHeight="1">
      <c r="A40" s="76" t="s">
        <v>79</v>
      </c>
      <c r="B40" s="87" t="s">
        <v>86</v>
      </c>
      <c r="C40" s="87"/>
      <c r="D40" s="87"/>
      <c r="E40" s="87"/>
      <c r="F40" s="87"/>
      <c r="G40" s="87"/>
      <c r="H40" s="87"/>
      <c r="I40" s="88"/>
      <c r="J40" s="88"/>
      <c r="K40" s="88"/>
      <c r="L40" s="88"/>
      <c r="M40" s="38"/>
      <c r="N40" s="2"/>
    </row>
    <row r="41" spans="1:15">
      <c r="B41" s="24"/>
      <c r="D41" s="35"/>
      <c r="F41" s="35"/>
      <c r="G41" s="24"/>
      <c r="H41" s="35"/>
      <c r="I41" s="24"/>
      <c r="J41" s="35"/>
      <c r="K41" s="24"/>
      <c r="L41" s="35"/>
      <c r="M41" s="38"/>
      <c r="N41" s="2"/>
    </row>
    <row r="42" spans="1:15" ht="18">
      <c r="A42" s="76" t="s">
        <v>88</v>
      </c>
      <c r="B42" s="36" t="s">
        <v>50</v>
      </c>
      <c r="E42" s="2"/>
      <c r="H42" s="24"/>
      <c r="I42" s="24"/>
      <c r="J42" s="24"/>
    </row>
    <row r="43" spans="1:15">
      <c r="B43" s="24"/>
      <c r="E43" s="2"/>
      <c r="H43" s="24"/>
      <c r="I43" s="24"/>
      <c r="J43" s="24"/>
    </row>
    <row r="44" spans="1:15" ht="73.5" customHeight="1">
      <c r="A44" s="76" t="s">
        <v>97</v>
      </c>
      <c r="B44" s="87" t="s">
        <v>87</v>
      </c>
      <c r="C44" s="87"/>
      <c r="D44" s="87"/>
      <c r="E44" s="87"/>
      <c r="F44" s="87"/>
      <c r="G44" s="87"/>
      <c r="H44" s="87"/>
      <c r="I44" s="88"/>
      <c r="J44" s="88"/>
      <c r="K44" s="88"/>
      <c r="L44" s="88"/>
      <c r="M44" s="38"/>
      <c r="N44" s="2"/>
    </row>
    <row r="45" spans="1:15" ht="18">
      <c r="A45" s="76" t="s">
        <v>98</v>
      </c>
      <c r="B45" s="64" t="s">
        <v>67</v>
      </c>
      <c r="D45" s="35"/>
      <c r="E45" s="2"/>
      <c r="F45" s="35"/>
      <c r="H45" s="35"/>
      <c r="I45" s="35"/>
      <c r="J45" s="35"/>
      <c r="L45" s="23"/>
    </row>
    <row r="46" spans="1:15">
      <c r="E46" s="2"/>
      <c r="H46" s="24"/>
      <c r="I46" s="24"/>
      <c r="J46" s="24"/>
    </row>
    <row r="47" spans="1:15">
      <c r="A47" s="25" t="s">
        <v>55</v>
      </c>
      <c r="E47" s="2"/>
    </row>
    <row r="48" spans="1:15">
      <c r="E48" s="2"/>
    </row>
    <row r="49" spans="5:5">
      <c r="E49" s="2"/>
    </row>
    <row r="50" spans="5:5">
      <c r="E50" s="2"/>
    </row>
    <row r="51" spans="5:5">
      <c r="E51" s="2"/>
    </row>
    <row r="52" spans="5:5">
      <c r="E52" s="2"/>
    </row>
    <row r="53" spans="5:5">
      <c r="E53" s="2"/>
    </row>
    <row r="54" spans="5:5">
      <c r="E54" s="2"/>
    </row>
  </sheetData>
  <mergeCells count="3">
    <mergeCell ref="D5:J5"/>
    <mergeCell ref="B40:L40"/>
    <mergeCell ref="B44:L44"/>
  </mergeCells>
  <phoneticPr fontId="0" type="noConversion"/>
  <printOptions horizontalCentered="1"/>
  <pageMargins left="0.5" right="0.5" top="0.5" bottom="0.5" header="0.5" footer="0.5"/>
  <pageSetup scale="64" orientation="landscape" r:id="rId1"/>
  <headerFooter alignWithMargins="0"/>
</worksheet>
</file>

<file path=xl/worksheets/sheet8.xml><?xml version="1.0" encoding="utf-8"?>
<worksheet xmlns="http://schemas.openxmlformats.org/spreadsheetml/2006/main" xmlns:r="http://schemas.openxmlformats.org/officeDocument/2006/relationships">
  <sheetPr codeName="Sheet8">
    <pageSetUpPr fitToPage="1"/>
  </sheetPr>
  <dimension ref="A1:O45"/>
  <sheetViews>
    <sheetView zoomScale="65" workbookViewId="0"/>
  </sheetViews>
  <sheetFormatPr defaultRowHeight="15" outlineLevelRow="1"/>
  <cols>
    <col min="1" max="2" width="2.42578125" style="2" customWidth="1"/>
    <col min="3" max="3" width="65.5703125" style="2" customWidth="1"/>
    <col min="4" max="4" width="14.85546875" style="24" customWidth="1"/>
    <col min="5" max="5" width="3.5703125" style="24" customWidth="1"/>
    <col min="6" max="6" width="14.85546875" style="24" customWidth="1"/>
    <col min="7" max="7" width="3.5703125" style="2" customWidth="1"/>
    <col min="8" max="8" width="14.85546875" style="2" customWidth="1"/>
    <col min="9" max="9" width="3.5703125" style="2" customWidth="1"/>
    <col min="10" max="10" width="14.85546875" style="2" customWidth="1"/>
    <col min="11" max="11" width="3.5703125" style="2" customWidth="1"/>
    <col min="12" max="12" width="16.5703125" style="2" customWidth="1"/>
    <col min="13" max="13" width="3.5703125" style="2" customWidth="1"/>
    <col min="14" max="14" width="16.5703125" style="24" customWidth="1"/>
    <col min="15" max="16384" width="9.140625" style="2"/>
  </cols>
  <sheetData>
    <row r="1" spans="1:14" ht="15.75">
      <c r="A1" s="1" t="s">
        <v>0</v>
      </c>
      <c r="B1" s="1"/>
      <c r="C1" s="1"/>
      <c r="E1" s="2"/>
    </row>
    <row r="2" spans="1:14" ht="15.75">
      <c r="A2" s="1" t="s">
        <v>51</v>
      </c>
      <c r="B2" s="1"/>
      <c r="C2" s="1"/>
      <c r="E2" s="2"/>
    </row>
    <row r="3" spans="1:14" ht="15.75">
      <c r="A3" s="22" t="s">
        <v>65</v>
      </c>
      <c r="B3" s="3"/>
      <c r="C3" s="3"/>
      <c r="D3" s="35"/>
      <c r="E3" s="2"/>
      <c r="F3" s="35"/>
    </row>
    <row r="4" spans="1:14" ht="15.75">
      <c r="A4" s="22"/>
      <c r="B4" s="3"/>
      <c r="C4" s="3"/>
      <c r="E4" s="2"/>
      <c r="L4" s="33" t="s">
        <v>48</v>
      </c>
    </row>
    <row r="5" spans="1:14" ht="15" customHeight="1">
      <c r="A5" s="3"/>
      <c r="B5" s="3"/>
      <c r="C5" s="3"/>
      <c r="D5" s="89" t="s">
        <v>33</v>
      </c>
      <c r="E5" s="89"/>
      <c r="F5" s="89"/>
      <c r="G5" s="89"/>
      <c r="H5" s="89"/>
      <c r="I5" s="89"/>
      <c r="J5" s="89"/>
      <c r="K5" s="24"/>
      <c r="L5" s="39" t="s">
        <v>57</v>
      </c>
      <c r="N5" s="33" t="s">
        <v>58</v>
      </c>
    </row>
    <row r="6" spans="1:14">
      <c r="A6" s="4"/>
      <c r="B6" s="4"/>
      <c r="C6" s="4"/>
      <c r="D6" s="33" t="s">
        <v>4</v>
      </c>
      <c r="F6" s="33" t="s">
        <v>5</v>
      </c>
      <c r="G6" s="24"/>
      <c r="H6" s="33" t="s">
        <v>20</v>
      </c>
      <c r="I6" s="33"/>
      <c r="J6" s="33" t="s">
        <v>21</v>
      </c>
      <c r="K6" s="24"/>
      <c r="L6" s="33" t="s">
        <v>21</v>
      </c>
      <c r="N6" s="33" t="s">
        <v>59</v>
      </c>
    </row>
    <row r="7" spans="1:14" ht="15" customHeight="1">
      <c r="A7" s="4"/>
      <c r="B7" s="4"/>
      <c r="C7" s="4"/>
      <c r="D7" s="32">
        <v>2005</v>
      </c>
      <c r="F7" s="32">
        <v>2005</v>
      </c>
      <c r="G7" s="24"/>
      <c r="H7" s="32">
        <v>2005</v>
      </c>
      <c r="I7" s="39"/>
      <c r="J7" s="32">
        <v>2005</v>
      </c>
      <c r="K7" s="24"/>
      <c r="L7" s="32">
        <v>2005</v>
      </c>
      <c r="N7" s="32" t="s">
        <v>63</v>
      </c>
    </row>
    <row r="8" spans="1:14" ht="24" customHeight="1">
      <c r="A8" s="4"/>
      <c r="B8" s="4"/>
      <c r="C8" s="4"/>
      <c r="D8" s="34"/>
      <c r="E8" s="2"/>
      <c r="F8" s="34"/>
      <c r="H8" s="34"/>
      <c r="I8" s="34"/>
      <c r="J8" s="34"/>
      <c r="L8" s="34"/>
    </row>
    <row r="9" spans="1:14" ht="15" hidden="1" customHeight="1" outlineLevel="1">
      <c r="A9" s="4" t="s">
        <v>17</v>
      </c>
      <c r="B9" s="4"/>
      <c r="C9" s="4"/>
      <c r="D9" s="54">
        <v>1062.5</v>
      </c>
      <c r="E9" s="49"/>
      <c r="F9" s="54">
        <v>1089.8</v>
      </c>
      <c r="G9" s="49"/>
      <c r="H9" s="54">
        <v>1191.3</v>
      </c>
      <c r="I9" s="54"/>
      <c r="J9" s="54">
        <v>1201.7</v>
      </c>
      <c r="K9" s="49"/>
      <c r="L9" s="54">
        <f>+SUM(D9:J9)</f>
        <v>4545.3</v>
      </c>
      <c r="M9" s="49"/>
      <c r="N9" s="65">
        <v>3516.1</v>
      </c>
    </row>
    <row r="10" spans="1:14" ht="15" hidden="1" customHeight="1" outlineLevel="1">
      <c r="A10" s="4" t="s">
        <v>16</v>
      </c>
      <c r="B10" s="4"/>
      <c r="C10" s="4"/>
      <c r="D10" s="55">
        <v>15</v>
      </c>
      <c r="E10" s="51"/>
      <c r="F10" s="55">
        <v>19</v>
      </c>
      <c r="G10" s="51"/>
      <c r="H10" s="55">
        <v>32.200000000000003</v>
      </c>
      <c r="I10" s="56"/>
      <c r="J10" s="55">
        <v>33</v>
      </c>
      <c r="K10" s="51"/>
      <c r="L10" s="55">
        <f>+SUM(D10:J10)</f>
        <v>99.2</v>
      </c>
      <c r="M10" s="51"/>
      <c r="N10" s="66">
        <v>81.8</v>
      </c>
    </row>
    <row r="11" spans="1:14" collapsed="1">
      <c r="A11" s="4" t="s">
        <v>1</v>
      </c>
      <c r="B11" s="4"/>
      <c r="C11" s="4"/>
      <c r="D11" s="54">
        <f>+D9+D10</f>
        <v>1077.5</v>
      </c>
      <c r="E11" s="48"/>
      <c r="F11" s="54">
        <f>+F9+F10</f>
        <v>1108.8</v>
      </c>
      <c r="G11" s="48"/>
      <c r="H11" s="54">
        <f>+H9+H10</f>
        <v>1223.5</v>
      </c>
      <c r="I11" s="54"/>
      <c r="J11" s="54">
        <f>+J9+J10</f>
        <v>1234.7</v>
      </c>
      <c r="K11" s="48"/>
      <c r="L11" s="54">
        <f>+L9+L10</f>
        <v>4644.5</v>
      </c>
      <c r="M11" s="48"/>
      <c r="N11" s="54">
        <f>+N9+N10</f>
        <v>3597.9</v>
      </c>
    </row>
    <row r="12" spans="1:14" ht="24" customHeight="1">
      <c r="A12" s="4" t="s">
        <v>47</v>
      </c>
      <c r="B12" s="4"/>
      <c r="C12" s="4"/>
      <c r="D12" s="34"/>
      <c r="E12" s="51"/>
      <c r="F12" s="34"/>
      <c r="G12" s="51"/>
      <c r="H12" s="34"/>
      <c r="I12" s="34"/>
      <c r="J12" s="34"/>
      <c r="K12" s="51"/>
      <c r="L12" s="34"/>
      <c r="M12" s="51"/>
      <c r="N12" s="57"/>
    </row>
    <row r="13" spans="1:14" ht="15" customHeight="1">
      <c r="A13" s="9" t="s">
        <v>15</v>
      </c>
      <c r="B13" s="9"/>
      <c r="C13" s="40"/>
      <c r="D13" s="56">
        <v>912.9</v>
      </c>
      <c r="E13" s="57"/>
      <c r="F13" s="56">
        <v>879</v>
      </c>
      <c r="G13" s="57"/>
      <c r="H13" s="56">
        <v>986.2</v>
      </c>
      <c r="I13" s="56"/>
      <c r="J13" s="56">
        <v>937.7</v>
      </c>
      <c r="K13" s="51"/>
      <c r="L13" s="56">
        <f t="shared" ref="L13:L22" si="0">+SUM(D13:J13)</f>
        <v>3715.8</v>
      </c>
      <c r="M13" s="51"/>
      <c r="N13" s="57">
        <v>2828.5</v>
      </c>
    </row>
    <row r="14" spans="1:14" ht="15" customHeight="1">
      <c r="A14" s="4" t="s">
        <v>14</v>
      </c>
      <c r="B14" s="4"/>
      <c r="C14" s="41"/>
      <c r="D14" s="56">
        <v>76</v>
      </c>
      <c r="E14" s="57"/>
      <c r="F14" s="56">
        <v>79.3</v>
      </c>
      <c r="G14" s="57"/>
      <c r="H14" s="56">
        <v>77.099999999999994</v>
      </c>
      <c r="I14" s="56"/>
      <c r="J14" s="56">
        <v>83.7</v>
      </c>
      <c r="K14" s="51"/>
      <c r="L14" s="56">
        <f t="shared" si="0"/>
        <v>316.10000000000002</v>
      </c>
      <c r="M14" s="51"/>
      <c r="N14" s="57">
        <f>253.8-8.9</f>
        <v>244.9</v>
      </c>
    </row>
    <row r="15" spans="1:14" ht="15" customHeight="1">
      <c r="A15" s="4" t="s">
        <v>22</v>
      </c>
      <c r="B15" s="4"/>
      <c r="C15" s="41"/>
      <c r="D15" s="56">
        <v>9.1999999999999993</v>
      </c>
      <c r="E15" s="57"/>
      <c r="F15" s="56">
        <v>7.2</v>
      </c>
      <c r="G15" s="57"/>
      <c r="H15" s="56">
        <v>7.4</v>
      </c>
      <c r="I15" s="56"/>
      <c r="J15" s="56">
        <v>12.1</v>
      </c>
      <c r="K15" s="51"/>
      <c r="L15" s="56">
        <f t="shared" si="0"/>
        <v>35.9</v>
      </c>
      <c r="M15" s="51"/>
      <c r="N15" s="57">
        <f>20.3-0.4</f>
        <v>19.900000000000002</v>
      </c>
    </row>
    <row r="16" spans="1:14" ht="15" customHeight="1">
      <c r="A16" s="4" t="s">
        <v>13</v>
      </c>
      <c r="B16" s="4"/>
      <c r="C16" s="41"/>
      <c r="D16" s="56">
        <v>37.799999999999997</v>
      </c>
      <c r="E16" s="57"/>
      <c r="F16" s="56">
        <v>40.700000000000003</v>
      </c>
      <c r="G16" s="57"/>
      <c r="H16" s="56">
        <v>57</v>
      </c>
      <c r="I16" s="56"/>
      <c r="J16" s="56">
        <v>54.4</v>
      </c>
      <c r="K16" s="51"/>
      <c r="L16" s="56">
        <f t="shared" si="0"/>
        <v>189.9</v>
      </c>
      <c r="M16" s="51"/>
      <c r="N16" s="57">
        <v>132.6</v>
      </c>
    </row>
    <row r="17" spans="1:15" ht="15" customHeight="1">
      <c r="A17" s="4" t="s">
        <v>37</v>
      </c>
      <c r="B17" s="4"/>
      <c r="C17" s="41"/>
      <c r="D17" s="56"/>
      <c r="E17" s="57"/>
      <c r="F17" s="56"/>
      <c r="G17" s="57"/>
      <c r="H17" s="56"/>
      <c r="I17" s="56"/>
      <c r="J17" s="56"/>
      <c r="K17" s="51"/>
      <c r="L17" s="56"/>
      <c r="M17" s="51"/>
      <c r="N17" s="57"/>
    </row>
    <row r="18" spans="1:15" ht="15" customHeight="1">
      <c r="A18" s="4" t="s">
        <v>52</v>
      </c>
      <c r="B18" s="4"/>
      <c r="C18" s="41"/>
      <c r="D18" s="56">
        <v>-31.1</v>
      </c>
      <c r="E18" s="57"/>
      <c r="F18" s="56">
        <v>-16.5</v>
      </c>
      <c r="G18" s="57"/>
      <c r="H18" s="56">
        <v>-47.6</v>
      </c>
      <c r="I18" s="56"/>
      <c r="J18" s="56">
        <v>-6.3</v>
      </c>
      <c r="K18" s="51"/>
      <c r="L18" s="56">
        <f t="shared" si="0"/>
        <v>-101.5</v>
      </c>
      <c r="M18" s="51"/>
      <c r="N18" s="57">
        <v>-44.4</v>
      </c>
    </row>
    <row r="19" spans="1:15" ht="15" customHeight="1">
      <c r="A19" s="4" t="s">
        <v>46</v>
      </c>
      <c r="B19" s="4"/>
      <c r="C19" s="41"/>
      <c r="D19" s="55">
        <v>-8.1</v>
      </c>
      <c r="E19" s="57"/>
      <c r="F19" s="55">
        <v>-10.199999999999999</v>
      </c>
      <c r="G19" s="57"/>
      <c r="H19" s="55">
        <v>-7.5</v>
      </c>
      <c r="I19" s="56"/>
      <c r="J19" s="55">
        <v>-4.3</v>
      </c>
      <c r="K19" s="51"/>
      <c r="L19" s="55">
        <f t="shared" si="0"/>
        <v>-30.099999999999998</v>
      </c>
      <c r="M19" s="51"/>
      <c r="N19" s="66">
        <v>-15.2</v>
      </c>
    </row>
    <row r="20" spans="1:15" ht="24" customHeight="1">
      <c r="A20" s="4" t="s">
        <v>3</v>
      </c>
      <c r="B20" s="4"/>
      <c r="C20" s="4"/>
      <c r="D20" s="34">
        <f>+D11-SUM(D13:D19)</f>
        <v>80.799999999999955</v>
      </c>
      <c r="E20" s="51"/>
      <c r="F20" s="34">
        <f>+F11-SUM(F13:F19)</f>
        <v>129.29999999999995</v>
      </c>
      <c r="G20" s="51"/>
      <c r="H20" s="34">
        <f>+H11-SUM(H13:H19)</f>
        <v>150.89999999999986</v>
      </c>
      <c r="I20" s="34"/>
      <c r="J20" s="34">
        <f>+J11-SUM(J13:J19)</f>
        <v>157.39999999999986</v>
      </c>
      <c r="K20" s="51"/>
      <c r="L20" s="34">
        <f>+L11-SUM(L13:L19)</f>
        <v>518.40000000000055</v>
      </c>
      <c r="M20" s="51"/>
      <c r="N20" s="34">
        <f>+N11-SUM(N13:N19)</f>
        <v>431.59999999999991</v>
      </c>
    </row>
    <row r="21" spans="1:15" ht="15" customHeight="1">
      <c r="A21" s="4" t="s">
        <v>12</v>
      </c>
      <c r="B21" s="4"/>
      <c r="C21" s="4"/>
      <c r="D21" s="56">
        <v>25.6</v>
      </c>
      <c r="E21" s="51"/>
      <c r="F21" s="56">
        <v>25.2</v>
      </c>
      <c r="G21" s="51"/>
      <c r="H21" s="56">
        <v>25.3</v>
      </c>
      <c r="I21" s="56"/>
      <c r="J21" s="56">
        <v>26.8</v>
      </c>
      <c r="K21" s="51"/>
      <c r="L21" s="56">
        <f t="shared" si="0"/>
        <v>102.89999999999999</v>
      </c>
      <c r="M21" s="51"/>
      <c r="N21" s="57">
        <v>98</v>
      </c>
    </row>
    <row r="22" spans="1:15" ht="15" customHeight="1">
      <c r="A22" s="4" t="s">
        <v>9</v>
      </c>
      <c r="B22" s="4"/>
      <c r="C22" s="4"/>
      <c r="D22" s="55">
        <v>-1.4</v>
      </c>
      <c r="E22" s="61"/>
      <c r="F22" s="55">
        <v>-1.8</v>
      </c>
      <c r="G22" s="61"/>
      <c r="H22" s="55">
        <v>-3.2</v>
      </c>
      <c r="I22" s="56"/>
      <c r="J22" s="55">
        <v>-4.2</v>
      </c>
      <c r="K22" s="61"/>
      <c r="L22" s="55">
        <f t="shared" si="0"/>
        <v>-10.600000000000001</v>
      </c>
      <c r="M22" s="51"/>
      <c r="N22" s="66">
        <v>-9.1</v>
      </c>
    </row>
    <row r="23" spans="1:15" ht="24" customHeight="1">
      <c r="A23" s="13" t="s">
        <v>36</v>
      </c>
      <c r="B23" s="11"/>
      <c r="C23" s="11"/>
      <c r="D23" s="62"/>
      <c r="E23" s="61"/>
      <c r="F23" s="62"/>
      <c r="G23" s="61"/>
      <c r="H23" s="62"/>
      <c r="I23" s="62"/>
      <c r="J23" s="62"/>
      <c r="K23" s="61"/>
      <c r="L23" s="62"/>
      <c r="M23" s="51"/>
      <c r="N23" s="57"/>
    </row>
    <row r="24" spans="1:15" ht="15.75" customHeight="1">
      <c r="A24" s="13" t="s">
        <v>70</v>
      </c>
      <c r="B24" s="11"/>
      <c r="C24" s="11"/>
      <c r="D24" s="34">
        <f>+D20-D21-D22</f>
        <v>56.599999999999952</v>
      </c>
      <c r="E24" s="51"/>
      <c r="F24" s="34">
        <f>+F20-F21-F22</f>
        <v>105.89999999999995</v>
      </c>
      <c r="G24" s="51"/>
      <c r="H24" s="34">
        <f>+H20-H21-H22</f>
        <v>128.79999999999987</v>
      </c>
      <c r="I24" s="34"/>
      <c r="J24" s="34">
        <f>+J20-J21-J22</f>
        <v>134.79999999999984</v>
      </c>
      <c r="K24" s="51"/>
      <c r="L24" s="34">
        <f>+L20-L21-L22</f>
        <v>426.10000000000059</v>
      </c>
      <c r="M24" s="51"/>
      <c r="N24" s="34">
        <f>+N20-N21-N22</f>
        <v>342.69999999999993</v>
      </c>
    </row>
    <row r="25" spans="1:15" ht="15" customHeight="1">
      <c r="A25" s="10" t="s">
        <v>10</v>
      </c>
      <c r="B25" s="10"/>
      <c r="C25" s="10"/>
      <c r="D25" s="55">
        <v>4.4000000000000004</v>
      </c>
      <c r="E25" s="51"/>
      <c r="F25" s="55">
        <v>10.1</v>
      </c>
      <c r="G25" s="51"/>
      <c r="H25" s="55">
        <v>14.8</v>
      </c>
      <c r="I25" s="56"/>
      <c r="J25" s="55">
        <v>-28.4</v>
      </c>
      <c r="K25" s="51"/>
      <c r="L25" s="55">
        <f>+SUM(D25:J25)</f>
        <v>0.90000000000000213</v>
      </c>
      <c r="M25" s="51"/>
      <c r="N25" s="66">
        <v>62.3</v>
      </c>
    </row>
    <row r="26" spans="1:15" ht="15" customHeight="1">
      <c r="A26" s="4" t="s">
        <v>69</v>
      </c>
      <c r="B26" s="10"/>
      <c r="C26" s="10"/>
      <c r="D26" s="56">
        <f>+D24-D25</f>
        <v>52.199999999999953</v>
      </c>
      <c r="E26" s="51"/>
      <c r="F26" s="56">
        <f>+F24-F25</f>
        <v>95.799999999999955</v>
      </c>
      <c r="G26" s="51"/>
      <c r="H26" s="56">
        <f>+H24-H25</f>
        <v>113.99999999999987</v>
      </c>
      <c r="I26" s="56"/>
      <c r="J26" s="56">
        <f>+J24-J25</f>
        <v>163.19999999999985</v>
      </c>
      <c r="K26" s="51"/>
      <c r="L26" s="56">
        <f>+L24-L25</f>
        <v>425.20000000000061</v>
      </c>
      <c r="M26" s="51"/>
      <c r="N26" s="56">
        <f>+N24-N25</f>
        <v>280.39999999999992</v>
      </c>
    </row>
    <row r="27" spans="1:15" ht="18.75" customHeight="1">
      <c r="A27" s="4"/>
      <c r="B27" s="4" t="s">
        <v>72</v>
      </c>
      <c r="C27" s="4"/>
      <c r="D27" s="55">
        <v>0</v>
      </c>
      <c r="E27" s="51"/>
      <c r="F27" s="55">
        <v>0</v>
      </c>
      <c r="G27" s="51"/>
      <c r="H27" s="55">
        <v>0</v>
      </c>
      <c r="I27" s="56"/>
      <c r="J27" s="55">
        <v>0</v>
      </c>
      <c r="K27" s="51"/>
      <c r="L27" s="55">
        <f>+SUM(D27:J27)</f>
        <v>0</v>
      </c>
      <c r="M27" s="51"/>
      <c r="N27" s="55">
        <v>144.80000000000001</v>
      </c>
    </row>
    <row r="28" spans="1:15" ht="18.75" customHeight="1">
      <c r="A28" s="4" t="s">
        <v>35</v>
      </c>
      <c r="B28" s="4"/>
      <c r="C28" s="4"/>
      <c r="D28" s="56">
        <f>+D26+D27</f>
        <v>52.199999999999953</v>
      </c>
      <c r="E28" s="51"/>
      <c r="F28" s="56">
        <f>+F26+F27</f>
        <v>95.799999999999955</v>
      </c>
      <c r="G28" s="51"/>
      <c r="H28" s="56">
        <f>+H26+H27</f>
        <v>113.99999999999987</v>
      </c>
      <c r="I28" s="56"/>
      <c r="J28" s="56">
        <f>+J26+J27</f>
        <v>163.19999999999985</v>
      </c>
      <c r="K28" s="51"/>
      <c r="L28" s="56">
        <f>+L26+L27</f>
        <v>425.20000000000061</v>
      </c>
      <c r="M28" s="51"/>
      <c r="N28" s="56">
        <f>+N26+N27</f>
        <v>425.19999999999993</v>
      </c>
    </row>
    <row r="29" spans="1:15" ht="15" customHeight="1">
      <c r="A29" s="4" t="s">
        <v>11</v>
      </c>
      <c r="B29" s="4" t="s">
        <v>71</v>
      </c>
      <c r="C29" s="4"/>
      <c r="D29" s="55">
        <v>0.3</v>
      </c>
      <c r="E29" s="59"/>
      <c r="F29" s="55">
        <v>0.5</v>
      </c>
      <c r="G29" s="59"/>
      <c r="H29" s="55">
        <v>0.7</v>
      </c>
      <c r="I29" s="60"/>
      <c r="J29" s="55">
        <v>1</v>
      </c>
      <c r="K29" s="59"/>
      <c r="L29" s="55">
        <f>+SUM(D29:J29)</f>
        <v>2.5</v>
      </c>
      <c r="M29" s="49"/>
      <c r="N29" s="55">
        <v>2.5</v>
      </c>
    </row>
    <row r="30" spans="1:15">
      <c r="A30" s="10" t="s">
        <v>73</v>
      </c>
      <c r="B30" s="10"/>
      <c r="C30" s="10"/>
      <c r="D30" s="38"/>
      <c r="E30" s="38"/>
      <c r="F30" s="38"/>
      <c r="G30" s="21"/>
      <c r="H30" s="21"/>
      <c r="I30" s="21"/>
      <c r="J30" s="21"/>
      <c r="K30" s="21"/>
      <c r="L30" s="21"/>
      <c r="M30" s="21"/>
      <c r="N30" s="38"/>
      <c r="O30" s="21"/>
    </row>
    <row r="31" spans="1:15" ht="18.75" customHeight="1" thickBot="1">
      <c r="B31" s="4" t="s">
        <v>74</v>
      </c>
      <c r="D31" s="71">
        <f>+D28-D29</f>
        <v>51.899999999999956</v>
      </c>
      <c r="E31" s="59"/>
      <c r="F31" s="71">
        <f>+F28-F29</f>
        <v>95.299999999999955</v>
      </c>
      <c r="G31" s="59"/>
      <c r="H31" s="71">
        <f>+H28-H29</f>
        <v>113.29999999999987</v>
      </c>
      <c r="I31" s="60"/>
      <c r="J31" s="71">
        <f>+J28-J29</f>
        <v>162.19999999999985</v>
      </c>
      <c r="K31" s="59"/>
      <c r="L31" s="71">
        <f>+L28-L29</f>
        <v>422.70000000000061</v>
      </c>
      <c r="M31" s="49"/>
      <c r="N31" s="71">
        <f>+N28-N29</f>
        <v>422.69999999999993</v>
      </c>
    </row>
    <row r="32" spans="1:15" ht="15.75" thickTop="1"/>
    <row r="34" spans="1:15" ht="16.5" customHeight="1">
      <c r="D34" s="31"/>
      <c r="E34" s="2"/>
      <c r="F34" s="31"/>
      <c r="H34" s="31"/>
      <c r="I34" s="31"/>
      <c r="J34" s="31"/>
      <c r="L34" s="31"/>
    </row>
    <row r="35" spans="1:15" s="18" customFormat="1" ht="24" customHeight="1">
      <c r="A35" s="18" t="s">
        <v>40</v>
      </c>
      <c r="D35" s="56"/>
      <c r="E35" s="15"/>
      <c r="F35" s="56"/>
      <c r="G35" s="15"/>
      <c r="H35" s="56"/>
      <c r="I35" s="56"/>
      <c r="J35" s="56"/>
      <c r="K35" s="15"/>
      <c r="L35" s="56"/>
      <c r="M35" s="15"/>
      <c r="N35" s="56">
        <v>267.3</v>
      </c>
      <c r="O35" s="15"/>
    </row>
    <row r="36" spans="1:15" s="19" customFormat="1" ht="24" customHeight="1">
      <c r="A36" s="18" t="s">
        <v>56</v>
      </c>
      <c r="D36" s="28"/>
      <c r="E36" s="20"/>
      <c r="F36" s="28"/>
      <c r="G36" s="20"/>
      <c r="H36" s="28"/>
      <c r="I36" s="28"/>
      <c r="J36" s="28"/>
      <c r="K36" s="20"/>
      <c r="L36" s="28"/>
      <c r="N36" s="28">
        <v>1.04</v>
      </c>
    </row>
    <row r="37" spans="1:15" s="19" customFormat="1" ht="17.45" customHeight="1">
      <c r="D37" s="28"/>
      <c r="E37" s="20"/>
      <c r="F37" s="28"/>
      <c r="G37" s="20"/>
      <c r="H37" s="28"/>
      <c r="I37" s="28"/>
      <c r="J37" s="28"/>
      <c r="K37" s="20"/>
      <c r="L37" s="28"/>
      <c r="N37" s="28"/>
    </row>
    <row r="38" spans="1:15">
      <c r="A38" s="2" t="s">
        <v>8</v>
      </c>
      <c r="D38" s="60">
        <v>166</v>
      </c>
      <c r="E38" s="21"/>
      <c r="F38" s="60">
        <v>215.8</v>
      </c>
      <c r="G38" s="59"/>
      <c r="H38" s="60">
        <v>235.4</v>
      </c>
      <c r="I38" s="60"/>
      <c r="J38" s="60">
        <v>253.2</v>
      </c>
      <c r="K38" s="59"/>
      <c r="L38" s="60">
        <v>870.40000000000055</v>
      </c>
      <c r="N38" s="60">
        <v>696.4</v>
      </c>
    </row>
    <row r="39" spans="1:15">
      <c r="E39" s="2"/>
      <c r="H39" s="24"/>
      <c r="I39" s="24"/>
      <c r="J39" s="24"/>
      <c r="L39" s="24"/>
    </row>
    <row r="40" spans="1:15" ht="18">
      <c r="A40" s="37" t="s">
        <v>38</v>
      </c>
      <c r="B40" s="36" t="s">
        <v>49</v>
      </c>
      <c r="E40" s="2"/>
      <c r="H40" s="24"/>
      <c r="I40" s="24"/>
      <c r="J40" s="24"/>
    </row>
    <row r="41" spans="1:15">
      <c r="B41" s="24"/>
      <c r="E41" s="2"/>
      <c r="H41" s="24"/>
      <c r="I41" s="24"/>
      <c r="J41" s="24"/>
    </row>
    <row r="42" spans="1:15" ht="18">
      <c r="A42" s="63" t="s">
        <v>39</v>
      </c>
      <c r="B42" s="64" t="s">
        <v>67</v>
      </c>
      <c r="C42" s="24"/>
      <c r="D42" s="35"/>
      <c r="E42" s="2"/>
      <c r="F42" s="35"/>
      <c r="H42" s="35"/>
      <c r="I42" s="35"/>
      <c r="J42" s="35"/>
      <c r="L42" s="23"/>
    </row>
    <row r="43" spans="1:15">
      <c r="B43" s="36"/>
      <c r="E43" s="2"/>
      <c r="H43" s="24"/>
      <c r="I43" s="24"/>
      <c r="J43" s="24"/>
    </row>
    <row r="44" spans="1:15">
      <c r="E44" s="2"/>
      <c r="H44" s="24"/>
      <c r="I44" s="24"/>
      <c r="J44" s="24"/>
    </row>
    <row r="45" spans="1:15">
      <c r="A45" s="25" t="s">
        <v>55</v>
      </c>
      <c r="E45" s="2"/>
    </row>
  </sheetData>
  <mergeCells count="1">
    <mergeCell ref="D5:J5"/>
  </mergeCells>
  <phoneticPr fontId="0" type="noConversion"/>
  <printOptions horizontalCentered="1"/>
  <pageMargins left="0.5" right="0.5" top="0.5" bottom="0.5" header="0.5" footer="0.5"/>
  <pageSetup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Calendar 2003</vt:lpstr>
      <vt:lpstr>Calendar 2013</vt:lpstr>
      <vt:lpstr>Calendar 2012</vt:lpstr>
      <vt:lpstr>2008 - 2011</vt:lpstr>
      <vt:lpstr>Calendar 2008</vt:lpstr>
      <vt:lpstr>Calendar 2007</vt:lpstr>
      <vt:lpstr>Calendar 2006</vt:lpstr>
      <vt:lpstr>Calendar 2005</vt:lpstr>
      <vt:lpstr>'2008 - 2011'!Print_Area</vt:lpstr>
      <vt:lpstr>'Calendar 2008'!Print_Area</vt:lpstr>
      <vt:lpstr>'Calendar 2012'!Print_Area</vt:lpstr>
      <vt:lpstr>'Calendar 2013'!Print_Area</vt:lpstr>
    </vt:vector>
  </TitlesOfParts>
  <Company>Peabody Group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Crews</dc:creator>
  <cp:lastModifiedBy>Margaret Lyons</cp:lastModifiedBy>
  <cp:lastPrinted>2013-04-11T20:53:23Z</cp:lastPrinted>
  <dcterms:created xsi:type="dcterms:W3CDTF">2001-07-31T20:19:24Z</dcterms:created>
  <dcterms:modified xsi:type="dcterms:W3CDTF">2013-04-18T15:24:42Z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Website Income stmt - Q1 2013.xlsx</vt:lpwstr>
  </property>
</Properties>
</file>