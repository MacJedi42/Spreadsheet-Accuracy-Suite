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-15" yWindow="-15" windowWidth="25230" windowHeight="12390"/>
  </bookViews>
  <sheets>
    <sheet name="SchoolDistricts" sheetId="2" r:id="rId1"/>
    <sheet name="CharterSchools" sheetId="7" r:id="rId2"/>
  </sheets>
  <definedNames>
    <definedName name="_xlnm.Print_Titles" localSheetId="1">CharterSchools!$1:$2</definedName>
  </definedNames>
  <calcPr calcId="152511"/>
</workbook>
</file>

<file path=xl/calcChain.xml><?xml version="1.0" encoding="utf-8"?>
<calcChain xmlns="http://schemas.openxmlformats.org/spreadsheetml/2006/main">
  <c r="R87" i="7" l="1"/>
  <c r="R45" i="2" s="1"/>
  <c r="R47" i="2" s="1"/>
  <c r="R44" i="2"/>
  <c r="P44" i="2"/>
  <c r="I44" i="2"/>
  <c r="I47" i="2" s="1"/>
  <c r="H44" i="2"/>
  <c r="Q87" i="7"/>
  <c r="Q45" i="2"/>
  <c r="Q44" i="2"/>
  <c r="Q47" i="2" s="1"/>
  <c r="P87" i="7"/>
  <c r="P45" i="2"/>
  <c r="O87" i="7"/>
  <c r="O45" i="2"/>
  <c r="O44" i="2"/>
  <c r="N87" i="7"/>
  <c r="N45" i="2"/>
  <c r="N44" i="2"/>
  <c r="N47" i="2" s="1"/>
  <c r="M87" i="7"/>
  <c r="M45" i="2"/>
  <c r="M44" i="2"/>
  <c r="M47" i="2" s="1"/>
  <c r="L87" i="7"/>
  <c r="L45" i="2" s="1"/>
  <c r="L47" i="2" s="1"/>
  <c r="L44" i="2"/>
  <c r="K87" i="7"/>
  <c r="K45" i="2"/>
  <c r="K44" i="2"/>
  <c r="J87" i="7"/>
  <c r="J45" i="2"/>
  <c r="J44" i="2"/>
  <c r="J47" i="2" s="1"/>
  <c r="I87" i="7"/>
  <c r="I45" i="2"/>
  <c r="H87" i="7"/>
  <c r="H45" i="2"/>
  <c r="H47" i="2" s="1"/>
  <c r="G87" i="7"/>
  <c r="G45" i="2"/>
  <c r="G44" i="2"/>
  <c r="F87" i="7"/>
  <c r="F45" i="2" s="1"/>
  <c r="F47" i="2" s="1"/>
  <c r="F44" i="2"/>
  <c r="E87" i="7"/>
  <c r="E45" i="2"/>
  <c r="E47" i="2" s="1"/>
  <c r="E44" i="2"/>
  <c r="D87" i="7"/>
  <c r="D45" i="2"/>
  <c r="D44" i="2"/>
  <c r="D47" i="2" s="1"/>
  <c r="C87" i="7"/>
  <c r="C45" i="2"/>
  <c r="C44" i="2"/>
  <c r="C47" i="2" s="1"/>
  <c r="K47" i="2"/>
  <c r="P47" i="2"/>
  <c r="G47" i="2"/>
  <c r="O47" i="2"/>
</calcChain>
</file>

<file path=xl/sharedStrings.xml><?xml version="1.0" encoding="utf-8"?>
<sst xmlns="http://schemas.openxmlformats.org/spreadsheetml/2006/main" count="238" uniqueCount="219">
  <si>
    <t>Alpine District</t>
  </si>
  <si>
    <t>Beaver District</t>
  </si>
  <si>
    <t>Box Elder District</t>
  </si>
  <si>
    <t>Cache District</t>
  </si>
  <si>
    <t>Canyons District</t>
  </si>
  <si>
    <t>Carbon District</t>
  </si>
  <si>
    <t>Daggett District</t>
  </si>
  <si>
    <t>Davis District</t>
  </si>
  <si>
    <t>Duchesne District</t>
  </si>
  <si>
    <t>Emery District</t>
  </si>
  <si>
    <t>Garfield District</t>
  </si>
  <si>
    <t>Grand District</t>
  </si>
  <si>
    <t>Granite District</t>
  </si>
  <si>
    <t>Iron District</t>
  </si>
  <si>
    <t>Jordan District</t>
  </si>
  <si>
    <t>Juab District</t>
  </si>
  <si>
    <t>Kane District</t>
  </si>
  <si>
    <t>Millard District</t>
  </si>
  <si>
    <t>Morgan District</t>
  </si>
  <si>
    <t>Murray District</t>
  </si>
  <si>
    <t>Nebo District</t>
  </si>
  <si>
    <t>North Sanpete District</t>
  </si>
  <si>
    <t>North Summit District</t>
  </si>
  <si>
    <t>Park City District</t>
  </si>
  <si>
    <t>Piute District</t>
  </si>
  <si>
    <t>Provo District</t>
  </si>
  <si>
    <t>Rich District</t>
  </si>
  <si>
    <t>Salt Lake District</t>
  </si>
  <si>
    <t>San Juan District</t>
  </si>
  <si>
    <t>Sevier District</t>
  </si>
  <si>
    <t>South Sanpete District</t>
  </si>
  <si>
    <t>South Summit District</t>
  </si>
  <si>
    <t>Tintic District</t>
  </si>
  <si>
    <t>Tooele District</t>
  </si>
  <si>
    <t>Uintah District</t>
  </si>
  <si>
    <t>Wasatch District</t>
  </si>
  <si>
    <t>Washington District</t>
  </si>
  <si>
    <t>Wayne District</t>
  </si>
  <si>
    <t>Weber District</t>
  </si>
  <si>
    <t>Ogden Preparatory Academy</t>
  </si>
  <si>
    <t>Walden School Of Liberal Arts</t>
  </si>
  <si>
    <t>Freedom Academy</t>
  </si>
  <si>
    <t>Pinnacle Canyon Academy</t>
  </si>
  <si>
    <t>City Academy</t>
  </si>
  <si>
    <t>Soldier Hollow Charter School</t>
  </si>
  <si>
    <t>Uintah River High</t>
  </si>
  <si>
    <t>John Hancock Charter School</t>
  </si>
  <si>
    <t>Timpanogos Academy</t>
  </si>
  <si>
    <t>Salt Lake Arts Academy</t>
  </si>
  <si>
    <t>Fast Forward High</t>
  </si>
  <si>
    <t>1B</t>
  </si>
  <si>
    <t>1C</t>
  </si>
  <si>
    <t>Odyssey Charter School</t>
  </si>
  <si>
    <t>1D</t>
  </si>
  <si>
    <t>Renaissance Academy</t>
  </si>
  <si>
    <t>1E</t>
  </si>
  <si>
    <t>Guadalupe School</t>
  </si>
  <si>
    <t>1F</t>
  </si>
  <si>
    <t>Quest Academy</t>
  </si>
  <si>
    <t>1G</t>
  </si>
  <si>
    <t>2B</t>
  </si>
  <si>
    <t>Lincoln Academy</t>
  </si>
  <si>
    <t>2C</t>
  </si>
  <si>
    <t>Intech Collegiate High School</t>
  </si>
  <si>
    <t>2D</t>
  </si>
  <si>
    <t>Channing Hall</t>
  </si>
  <si>
    <t>2E</t>
  </si>
  <si>
    <t>Karl G Maeser Preparatory Academy</t>
  </si>
  <si>
    <t>2F</t>
  </si>
  <si>
    <t>Rockwell Charter High School</t>
  </si>
  <si>
    <t>2G</t>
  </si>
  <si>
    <t>3B</t>
  </si>
  <si>
    <t>3C</t>
  </si>
  <si>
    <t>Entheos Academy</t>
  </si>
  <si>
    <t>3D</t>
  </si>
  <si>
    <t>Spectrum Academy</t>
  </si>
  <si>
    <t>3E</t>
  </si>
  <si>
    <t>Cs Lewis Academy</t>
  </si>
  <si>
    <t>3F</t>
  </si>
  <si>
    <t>Venture Academy</t>
  </si>
  <si>
    <t>4B</t>
  </si>
  <si>
    <t>Wasatch Peak Academy</t>
  </si>
  <si>
    <t>4C</t>
  </si>
  <si>
    <t>Lakeview Academy</t>
  </si>
  <si>
    <t>4D</t>
  </si>
  <si>
    <t>Syracuse Arts Academy</t>
  </si>
  <si>
    <t>4E</t>
  </si>
  <si>
    <t>Dual Immersion Academy</t>
  </si>
  <si>
    <t>4F</t>
  </si>
  <si>
    <t>Salt Lake Center For Science Education</t>
  </si>
  <si>
    <t>5B</t>
  </si>
  <si>
    <t>North Star Academy</t>
  </si>
  <si>
    <t>5C</t>
  </si>
  <si>
    <t>Legacy Preparatory Academy</t>
  </si>
  <si>
    <t>5D</t>
  </si>
  <si>
    <t>George Washington Academy</t>
  </si>
  <si>
    <t>5E</t>
  </si>
  <si>
    <t>Edith Bowen Laboratory School</t>
  </si>
  <si>
    <t>5F</t>
  </si>
  <si>
    <t>Utah Virtual Academy</t>
  </si>
  <si>
    <t>6C</t>
  </si>
  <si>
    <t>Liberty Academy</t>
  </si>
  <si>
    <t>6D</t>
  </si>
  <si>
    <t>Noah Webster Academy</t>
  </si>
  <si>
    <t>6F</t>
  </si>
  <si>
    <t>Early Light Academy At Daybreak</t>
  </si>
  <si>
    <t>7B</t>
  </si>
  <si>
    <t>Reagan Academy</t>
  </si>
  <si>
    <t>7C</t>
  </si>
  <si>
    <t>Monticello Academy</t>
  </si>
  <si>
    <t>7D</t>
  </si>
  <si>
    <t>7E</t>
  </si>
  <si>
    <t>Gateway Preparatory Academy</t>
  </si>
  <si>
    <t>7F</t>
  </si>
  <si>
    <t>Excelsior Academy</t>
  </si>
  <si>
    <t>8B</t>
  </si>
  <si>
    <t>American Leadership Academy</t>
  </si>
  <si>
    <t>8C</t>
  </si>
  <si>
    <t>Mountainville Academy</t>
  </si>
  <si>
    <t>8D</t>
  </si>
  <si>
    <t>Open Classroom</t>
  </si>
  <si>
    <t>8E</t>
  </si>
  <si>
    <t>Merit College Preparatory Academy</t>
  </si>
  <si>
    <t>8F</t>
  </si>
  <si>
    <t>Hawthorn Academy</t>
  </si>
  <si>
    <t>9B</t>
  </si>
  <si>
    <t>Navigator Pointe Academy</t>
  </si>
  <si>
    <t>9C</t>
  </si>
  <si>
    <t>Paradigm High School</t>
  </si>
  <si>
    <t>9D</t>
  </si>
  <si>
    <t>Canyon Rim Academy</t>
  </si>
  <si>
    <t>9E</t>
  </si>
  <si>
    <t>Providence Hall</t>
  </si>
  <si>
    <t>9F</t>
  </si>
  <si>
    <t>A1</t>
  </si>
  <si>
    <t>A2</t>
  </si>
  <si>
    <t>Ranches Academy</t>
  </si>
  <si>
    <t>A3</t>
  </si>
  <si>
    <t>Davinci Academy</t>
  </si>
  <si>
    <t>A4</t>
  </si>
  <si>
    <t>Summit Academy</t>
  </si>
  <si>
    <t>A5</t>
  </si>
  <si>
    <t>Itineris Early College High</t>
  </si>
  <si>
    <t>A6</t>
  </si>
  <si>
    <t>North Davis Preparatory Academy</t>
  </si>
  <si>
    <t>A7</t>
  </si>
  <si>
    <t>A8</t>
  </si>
  <si>
    <t>East Hollywood High</t>
  </si>
  <si>
    <t>A9</t>
  </si>
  <si>
    <t>Success Academy</t>
  </si>
  <si>
    <t>Bear River Charter School</t>
  </si>
  <si>
    <t>Good Foundations Academy</t>
  </si>
  <si>
    <t>Maria Montessori Academy</t>
  </si>
  <si>
    <t>Moab Charter School</t>
  </si>
  <si>
    <t>Quail Run Primary School</t>
  </si>
  <si>
    <t>Summit Academy High School</t>
  </si>
  <si>
    <t>3G</t>
  </si>
  <si>
    <t>4G</t>
  </si>
  <si>
    <t>5G</t>
  </si>
  <si>
    <t>6G</t>
  </si>
  <si>
    <t>Weilenmann School Of Discovery</t>
  </si>
  <si>
    <t>7G</t>
  </si>
  <si>
    <t>8G</t>
  </si>
  <si>
    <t>Ogden City District</t>
  </si>
  <si>
    <t>Logan City District</t>
  </si>
  <si>
    <t>9G</t>
  </si>
  <si>
    <t>2H</t>
  </si>
  <si>
    <t>3H</t>
  </si>
  <si>
    <t>Utah Connections Academy</t>
  </si>
  <si>
    <t>Alianza Academy</t>
  </si>
  <si>
    <t>Endeavor Hall</t>
  </si>
  <si>
    <t>4H</t>
  </si>
  <si>
    <t>5H</t>
  </si>
  <si>
    <t>6H</t>
  </si>
  <si>
    <t>7H</t>
  </si>
  <si>
    <t>8H</t>
  </si>
  <si>
    <t>9H</t>
  </si>
  <si>
    <t>Mountain Heights Academy</t>
  </si>
  <si>
    <t>Aristotle Academy</t>
  </si>
  <si>
    <t>Highmark Charter School</t>
  </si>
  <si>
    <t>Pacific Heritage Academy</t>
  </si>
  <si>
    <t>Valley Academy</t>
  </si>
  <si>
    <t>Thomas Edison - LEA</t>
  </si>
  <si>
    <t>K</t>
  </si>
  <si>
    <t>American Preparatory Academy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</si>
  <si>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</si>
  <si>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</si>
  <si>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</si>
  <si>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</si>
  <si>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</si>
  <si>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</si>
  <si>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</si>
  <si>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</si>
  <si>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</si>
  <si>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</si>
  <si>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</si>
  <si>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</si>
  <si>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Resource</t>
  </si>
  <si>
    <t>DISTRICT SUBTOTAL</t>
  </si>
  <si>
    <t>CHARTER SUBTOTAL</t>
  </si>
  <si>
    <t>Utah Schools for Deaf &amp; Blind</t>
  </si>
  <si>
    <t>STATE TOTAL</t>
  </si>
  <si>
    <t>Utah County Academy Of Science (UCAS)</t>
  </si>
  <si>
    <t>Regular Education</t>
  </si>
  <si>
    <t>Total</t>
  </si>
  <si>
    <t>K-12 + SC</t>
  </si>
  <si>
    <t>ID</t>
  </si>
  <si>
    <t>Self-Cont.</t>
  </si>
  <si>
    <t xml:space="preserve">                     Special Education</t>
  </si>
  <si>
    <t xml:space="preserve">         Special Education</t>
  </si>
  <si>
    <t>Beehive Schience &amp; Tech Acad</t>
  </si>
  <si>
    <t>Acad for Math Engineering Sci</t>
  </si>
  <si>
    <t>Jefferson Academy</t>
  </si>
  <si>
    <t>NUAMES</t>
  </si>
  <si>
    <t>Promontory School of EL</t>
  </si>
  <si>
    <t>Pioneer HS for the Performing Arts</t>
  </si>
  <si>
    <t>Vista School</t>
  </si>
  <si>
    <t>Tuacahn HS For The Performing Arts</t>
  </si>
  <si>
    <t>SL School For The Performing 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</si>
</sst>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_);\(#,##0.000\)"/>
    <numFmt numFmtId="165" formatCode="General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sz val="10"/>
      <name val="Courier"/>
      <family val="3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6">
    <xf numFmtId="0" fontId="0" fillId="0" borderId="0"/>
    <xf numFmtId="0" fontId="4" fillId="0" borderId="0"/>
    <xf numFmtId="43" fontId="4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8" fillId="0" borderId="0" applyNumberFormat="0" applyFill="0" applyBorder="0" applyAlignment="0" applyProtection="0"/>
    <xf numFmtId="0" fontId="9" fillId="2" borderId="0" applyNumberFormat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4" applyNumberFormat="0" applyAlignment="0" applyProtection="0"/>
    <xf numFmtId="0" fontId="13" fillId="6" borderId="5" applyNumberFormat="0" applyAlignment="0" applyProtection="0"/>
    <xf numFmtId="0" fontId="14" fillId="6" borderId="4" applyNumberFormat="0" applyAlignment="0" applyProtection="0"/>
    <xf numFmtId="0" fontId="15" fillId="0" borderId="6" applyNumberFormat="0" applyFill="0" applyAlignment="0" applyProtection="0"/>
    <xf numFmtId="0" fontId="16" fillId="7" borderId="7" applyNumberFormat="0" applyAlignment="0" applyProtection="0"/>
    <xf numFmtId="0" fontId="17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  <xf numFmtId="0" fontId="20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0" fillId="24" borderId="0" applyNumberFormat="0" applyBorder="0" applyAlignment="0" applyProtection="0"/>
    <xf numFmtId="0" fontId="20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0" fillId="28" borderId="0" applyNumberFormat="0" applyBorder="0" applyAlignment="0" applyProtection="0"/>
    <xf numFmtId="0" fontId="20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0" fillId="32" borderId="0" applyNumberFormat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1" fillId="0" borderId="0"/>
    <xf numFmtId="0" fontId="1" fillId="0" borderId="0"/>
    <xf numFmtId="44" fontId="3" fillId="0" borderId="0" applyFont="0" applyFill="0" applyBorder="0" applyAlignment="0" applyProtection="0"/>
    <xf numFmtId="165" fontId="22" fillId="0" borderId="0"/>
    <xf numFmtId="40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6" fontId="23" fillId="0" borderId="0" applyFont="0" applyFill="0" applyBorder="0" applyAlignment="0" applyProtection="0"/>
    <xf numFmtId="0" fontId="1" fillId="0" borderId="0"/>
    <xf numFmtId="9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8" fontId="23" fillId="0" borderId="0" applyFont="0" applyFill="0" applyBorder="0" applyAlignment="0" applyProtection="0"/>
    <xf numFmtId="165" fontId="24" fillId="0" borderId="0"/>
    <xf numFmtId="0" fontId="3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21" fillId="0" borderId="0" applyFont="0" applyFill="0" applyBorder="0" applyAlignment="0" applyProtection="0"/>
    <xf numFmtId="165" fontId="22" fillId="0" borderId="0"/>
  </cellStyleXfs>
  <cellXfs count="46">
    <xf numFmtId="0" fontId="0" fillId="0" borderId="0" xfId="0"/>
    <xf numFmtId="0" fontId="25" fillId="33" borderId="0" xfId="0" applyFont="1" applyFill="1" applyBorder="1" applyAlignment="1">
      <alignment horizontal="right"/>
    </xf>
    <xf numFmtId="0" fontId="25" fillId="33" borderId="0" xfId="0" applyFont="1" applyFill="1" applyBorder="1"/>
    <xf numFmtId="0" fontId="26" fillId="33" borderId="0" xfId="0" applyFont="1" applyFill="1" applyBorder="1"/>
    <xf numFmtId="0" fontId="26" fillId="33" borderId="18" xfId="0" applyFont="1" applyFill="1" applyBorder="1" applyAlignment="1">
      <alignment horizontal="center"/>
    </xf>
    <xf numFmtId="164" fontId="25" fillId="33" borderId="10" xfId="0" applyNumberFormat="1" applyFont="1" applyFill="1" applyBorder="1"/>
    <xf numFmtId="164" fontId="25" fillId="33" borderId="11" xfId="0" applyNumberFormat="1" applyFont="1" applyFill="1" applyBorder="1"/>
    <xf numFmtId="164" fontId="25" fillId="33" borderId="12" xfId="0" applyNumberFormat="1" applyFont="1" applyFill="1" applyBorder="1"/>
    <xf numFmtId="164" fontId="25" fillId="33" borderId="13" xfId="0" applyNumberFormat="1" applyFont="1" applyFill="1" applyBorder="1"/>
    <xf numFmtId="164" fontId="25" fillId="33" borderId="14" xfId="0" applyNumberFormat="1" applyFont="1" applyFill="1" applyBorder="1"/>
    <xf numFmtId="164" fontId="27" fillId="33" borderId="12" xfId="0" applyNumberFormat="1" applyFont="1" applyFill="1" applyBorder="1"/>
    <xf numFmtId="164" fontId="25" fillId="33" borderId="0" xfId="0" applyNumberFormat="1" applyFont="1" applyFill="1" applyBorder="1"/>
    <xf numFmtId="164" fontId="25" fillId="33" borderId="15" xfId="0" applyNumberFormat="1" applyFont="1" applyFill="1" applyBorder="1"/>
    <xf numFmtId="164" fontId="25" fillId="33" borderId="16" xfId="0" applyNumberFormat="1" applyFont="1" applyFill="1" applyBorder="1"/>
    <xf numFmtId="164" fontId="25" fillId="33" borderId="17" xfId="0" applyNumberFormat="1" applyFont="1" applyFill="1" applyBorder="1"/>
    <xf numFmtId="0" fontId="27" fillId="33" borderId="0" xfId="0" applyFont="1" applyFill="1" applyBorder="1"/>
    <xf numFmtId="164" fontId="27" fillId="33" borderId="0" xfId="0" applyNumberFormat="1" applyFont="1" applyFill="1" applyBorder="1"/>
    <xf numFmtId="164" fontId="27" fillId="33" borderId="11" xfId="0" applyNumberFormat="1" applyFont="1" applyFill="1" applyBorder="1"/>
    <xf numFmtId="164" fontId="27" fillId="33" borderId="16" xfId="0" applyNumberFormat="1" applyFont="1" applyFill="1" applyBorder="1"/>
    <xf numFmtId="0" fontId="25" fillId="33" borderId="0" xfId="0" applyFont="1" applyFill="1"/>
    <xf numFmtId="0" fontId="26" fillId="33" borderId="16" xfId="0" applyFont="1" applyFill="1" applyBorder="1"/>
    <xf numFmtId="0" fontId="27" fillId="33" borderId="0" xfId="0" applyFont="1" applyFill="1"/>
    <xf numFmtId="0" fontId="27" fillId="33" borderId="18" xfId="0" applyFont="1" applyFill="1" applyBorder="1"/>
    <xf numFmtId="0" fontId="25" fillId="33" borderId="11" xfId="0" applyFont="1" applyFill="1" applyBorder="1"/>
    <xf numFmtId="0" fontId="25" fillId="33" borderId="18" xfId="0" applyFont="1" applyFill="1" applyBorder="1"/>
    <xf numFmtId="0" fontId="26" fillId="33" borderId="16" xfId="0" applyFont="1" applyFill="1" applyBorder="1" applyAlignment="1">
      <alignment horizontal="center"/>
    </xf>
    <xf numFmtId="0" fontId="27" fillId="33" borderId="11" xfId="0" applyFont="1" applyFill="1" applyBorder="1" applyAlignment="1">
      <alignment horizontal="center"/>
    </xf>
    <xf numFmtId="0" fontId="25" fillId="33" borderId="0" xfId="0" applyFont="1" applyFill="1" applyAlignment="1">
      <alignment horizontal="right"/>
    </xf>
    <xf numFmtId="0" fontId="26" fillId="33" borderId="0" xfId="0" applyFont="1" applyFill="1"/>
    <xf numFmtId="0" fontId="25" fillId="33" borderId="16" xfId="0" applyFont="1" applyFill="1" applyBorder="1" applyAlignment="1">
      <alignment horizontal="right"/>
    </xf>
    <xf numFmtId="0" fontId="26" fillId="33" borderId="16" xfId="0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7" fillId="33" borderId="18" xfId="0" applyFont="1" applyFill="1" applyBorder="1" applyAlignment="1">
      <alignment horizontal="center" vertical="center"/>
    </xf>
    <xf numFmtId="0" fontId="25" fillId="33" borderId="18" xfId="0" applyFont="1" applyFill="1" applyBorder="1" applyAlignment="1">
      <alignment horizontal="center" vertical="top"/>
    </xf>
    <xf numFmtId="0" fontId="27" fillId="33" borderId="18" xfId="0" applyFont="1" applyFill="1" applyBorder="1" applyAlignment="1">
      <alignment horizontal="center" vertical="top"/>
    </xf>
    <xf numFmtId="0" fontId="27" fillId="0" borderId="16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7" fillId="33" borderId="0" xfId="0" applyFont="1" applyFill="1" applyBorder="1" applyAlignment="1">
      <alignment horizontal="right"/>
    </xf>
    <xf numFmtId="0" fontId="27" fillId="33" borderId="19" xfId="0" applyFont="1" applyFill="1" applyBorder="1"/>
    <xf numFmtId="164" fontId="27" fillId="33" borderId="19" xfId="0" applyNumberFormat="1" applyFont="1" applyFill="1" applyBorder="1"/>
    <xf numFmtId="0" fontId="27" fillId="33" borderId="20" xfId="0" applyFont="1" applyFill="1" applyBorder="1"/>
    <xf numFmtId="164" fontId="27" fillId="33" borderId="18" xfId="0" applyNumberFormat="1" applyFont="1" applyFill="1" applyBorder="1"/>
    <xf numFmtId="164" fontId="27" fillId="33" borderId="21" xfId="0" applyNumberFormat="1" applyFont="1" applyFill="1" applyBorder="1"/>
    <xf numFmtId="0" fontId="25" fillId="33" borderId="16" xfId="0" applyFont="1" applyFill="1" applyBorder="1"/>
    <xf numFmtId="0" fontId="25" fillId="33" borderId="10" xfId="0" applyFont="1" applyFill="1" applyBorder="1"/>
    <xf numFmtId="0" fontId="25" fillId="33" borderId="13" xfId="0" applyFont="1" applyFill="1" applyBorder="1"/>
  </cellXfs>
  <cellStyles count="86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 2" xfId="2"/>
    <cellStyle name="Comma 2 2" xfId="45"/>
    <cellStyle name="Comma 3" xfId="46"/>
    <cellStyle name="Comma 4" xfId="51"/>
    <cellStyle name="Comma 4 2" xfId="83"/>
    <cellStyle name="Comma 5" xfId="81"/>
    <cellStyle name="Currency [0] 2" xfId="53"/>
    <cellStyle name="Currency 10" xfId="60"/>
    <cellStyle name="Currency 11" xfId="63"/>
    <cellStyle name="Currency 12" xfId="64"/>
    <cellStyle name="Currency 13" xfId="65"/>
    <cellStyle name="Currency 14" xfId="66"/>
    <cellStyle name="Currency 15" xfId="67"/>
    <cellStyle name="Currency 16" xfId="68"/>
    <cellStyle name="Currency 17" xfId="69"/>
    <cellStyle name="Currency 18" xfId="70"/>
    <cellStyle name="Currency 19" xfId="71"/>
    <cellStyle name="Currency 2" xfId="49"/>
    <cellStyle name="Currency 20" xfId="72"/>
    <cellStyle name="Currency 21" xfId="73"/>
    <cellStyle name="Currency 22" xfId="74"/>
    <cellStyle name="Currency 23" xfId="75"/>
    <cellStyle name="Currency 24" xfId="76"/>
    <cellStyle name="Currency 25" xfId="77"/>
    <cellStyle name="Currency 26" xfId="78"/>
    <cellStyle name="Currency 27" xfId="82"/>
    <cellStyle name="Currency 28" xfId="84"/>
    <cellStyle name="Currency 3" xfId="52"/>
    <cellStyle name="Currency 4" xfId="57"/>
    <cellStyle name="Currency 5" xfId="59"/>
    <cellStyle name="Currency 6" xfId="58"/>
    <cellStyle name="Currency 7" xfId="62"/>
    <cellStyle name="Currency 8" xfId="56"/>
    <cellStyle name="Currency 9" xfId="61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1"/>
    <cellStyle name="Normal 2 2" xfId="44"/>
    <cellStyle name="Normal 2 3" xfId="54"/>
    <cellStyle name="Normal 3" xfId="48"/>
    <cellStyle name="Normal 4" xfId="47"/>
    <cellStyle name="Normal 4 2" xfId="80"/>
    <cellStyle name="Normal 5" xfId="50"/>
    <cellStyle name="Normal 5 2" xfId="79"/>
    <cellStyle name="Normal 5 2 2" xfId="85"/>
    <cellStyle name="Note" xfId="17" builtinId="10" customBuiltin="1"/>
    <cellStyle name="Output" xfId="12" builtinId="21" customBuiltin="1"/>
    <cellStyle name="Percent 2" xfId="55"/>
    <cellStyle name="Title" xfId="3" builtinId="15" customBuiltin="1"/>
    <cellStyle name="Total" xfId="19" builtinId="25" customBuiltin="1"/>
    <cellStyle name="Warning Text" xfId="16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47"/>
  <sheetViews>
    <sheetView tabSelected="1" zoomScaleNormal="100" workbookViewId="0"/>
  </sheetViews>
  <sheetFormatPr defaultColWidth="10.85546875" defaultRowHeight="12.75" x14ac:dyDescent="0.2"/>
  <cols>
    <col min="1" max="1" width="0.140625" style="1" customWidth="1"/>
    <col min="2" max="2" width="32.140625" style="2" customWidth="1"/>
    <col min="3" max="11" width="10.42578125" style="2" customWidth="1"/>
    <col min="12" max="12" width="10.28515625" style="2" customWidth="1"/>
    <col min="13" max="13" width="10.42578125" style="2" customWidth="1"/>
    <col min="14" max="14" width="10.28515625" style="2" customWidth="1"/>
    <col min="15" max="15" width="10.42578125" style="2" customWidth="1"/>
    <col min="16" max="18" width="11.28515625" style="2" customWidth="1"/>
    <col min="19" max="16384" width="10.85546875" style="2"/>
  </cols>
  <sheetData>
    <row r="1" spans="1:18" ht="15" customHeight="1" x14ac:dyDescent="0.2">
      <c r="B1" s="23"/>
      <c r="C1" s="24"/>
      <c r="D1" s="24"/>
      <c r="E1" s="24"/>
      <c r="F1" s="24"/>
      <c r="G1" s="24"/>
      <c r="H1" s="22" t="s">
        <v>203</v>
      </c>
      <c r="I1" s="24"/>
      <c r="J1" s="24"/>
      <c r="K1" s="24"/>
      <c r="L1" s="24"/>
      <c r="M1" s="24"/>
      <c r="N1" s="24"/>
      <c r="O1" s="24"/>
      <c r="P1" s="22" t="s">
        <v>209</v>
      </c>
      <c r="Q1" s="24"/>
      <c r="R1" s="26" t="s">
        <v>204</v>
      </c>
    </row>
    <row r="2" spans="1:18" s="3" customFormat="1" ht="12.75" customHeight="1" x14ac:dyDescent="0.2">
      <c r="A2" s="30" t="s">
        <v>206</v>
      </c>
      <c r="B2" s="20"/>
      <c r="C2" s="25" t="s">
        <v>183</v>
      </c>
      <c r="D2" s="25" t="s">
        <v>185</v>
      </c>
      <c r="E2" s="25" t="s">
        <v>186</v>
      </c>
      <c r="F2" s="25" t="s">
        <v>187</v>
      </c>
      <c r="G2" s="25" t="s">
        <v>188</v>
      </c>
      <c r="H2" s="25" t="s">
        <v>189</v>
      </c>
      <c r="I2" s="25" t="s">
        <v>190</v>
      </c>
      <c r="J2" s="25" t="s">
        <v>191</v>
      </c>
      <c r="K2" s="25" t="s">
        <v>192</v>
      </c>
      <c r="L2" s="25" t="s">
        <v>193</v>
      </c>
      <c r="M2" s="25" t="s">
        <v>194</v>
      </c>
      <c r="N2" s="25" t="s">
        <v>195</v>
      </c>
      <c r="O2" s="25" t="s">
        <v>196</v>
      </c>
      <c r="P2" s="36" t="s">
        <v>207</v>
      </c>
      <c r="Q2" s="25" t="s">
        <v>197</v>
      </c>
      <c r="R2" s="4" t="s">
        <v>205</v>
      </c>
    </row>
    <row r="3" spans="1:18" ht="10.9" customHeight="1" x14ac:dyDescent="0.2">
      <c r="A3" s="31">
        <v>1</v>
      </c>
      <c r="B3" s="23" t="s">
        <v>0</v>
      </c>
      <c r="C3" s="7">
        <v>5977.7666666666664</v>
      </c>
      <c r="D3" s="6">
        <v>5857.1055555555558</v>
      </c>
      <c r="E3" s="6">
        <v>5679.9555555555553</v>
      </c>
      <c r="F3" s="6">
        <v>5711.6222222222223</v>
      </c>
      <c r="G3" s="6">
        <v>5620.8222222222221</v>
      </c>
      <c r="H3" s="6">
        <v>5318.5222222222219</v>
      </c>
      <c r="I3" s="7">
        <v>5391.5777777777776</v>
      </c>
      <c r="J3" s="6">
        <v>5273.9277777777779</v>
      </c>
      <c r="K3" s="7">
        <v>5299.7222222222226</v>
      </c>
      <c r="L3" s="6">
        <v>4937.2444444444445</v>
      </c>
      <c r="M3" s="6">
        <v>4804.5444444444447</v>
      </c>
      <c r="N3" s="6">
        <v>4557.2166666666662</v>
      </c>
      <c r="O3" s="7">
        <v>4283.1722222222224</v>
      </c>
      <c r="P3" s="6">
        <v>1514.9722222222222</v>
      </c>
      <c r="Q3" s="7">
        <v>5638.1277777777777</v>
      </c>
      <c r="R3" s="16">
        <v>70228.172222222202</v>
      </c>
    </row>
    <row r="4" spans="1:18" ht="10.9" customHeight="1" x14ac:dyDescent="0.2">
      <c r="A4" s="1">
        <v>2</v>
      </c>
      <c r="B4" s="2" t="s">
        <v>1</v>
      </c>
      <c r="C4" s="9">
        <v>108.91111111111111</v>
      </c>
      <c r="D4" s="11">
        <v>108.67222222222222</v>
      </c>
      <c r="E4" s="11">
        <v>125.82777777777778</v>
      </c>
      <c r="F4" s="11">
        <v>128.87222222222223</v>
      </c>
      <c r="G4" s="11">
        <v>133.44444444444446</v>
      </c>
      <c r="H4" s="11">
        <v>111.83888888888889</v>
      </c>
      <c r="I4" s="9">
        <v>105.14444444444445</v>
      </c>
      <c r="J4" s="11">
        <v>131.1888888888889</v>
      </c>
      <c r="K4" s="9">
        <v>112.66666666666667</v>
      </c>
      <c r="L4" s="11">
        <v>129.77222222222221</v>
      </c>
      <c r="M4" s="11">
        <v>119.08333333333333</v>
      </c>
      <c r="N4" s="11">
        <v>113.93333333333334</v>
      </c>
      <c r="O4" s="9">
        <v>101.75555555555556</v>
      </c>
      <c r="P4" s="11">
        <v>17.022222222222222</v>
      </c>
      <c r="Q4" s="9">
        <v>178.06666666666666</v>
      </c>
      <c r="R4" s="16">
        <v>1548.1333333333332</v>
      </c>
    </row>
    <row r="5" spans="1:18" ht="10.9" customHeight="1" x14ac:dyDescent="0.2">
      <c r="A5" s="1">
        <v>3</v>
      </c>
      <c r="B5" s="2" t="s">
        <v>2</v>
      </c>
      <c r="C5" s="9">
        <v>885.41666666666663</v>
      </c>
      <c r="D5" s="11">
        <v>912.12222222222226</v>
      </c>
      <c r="E5" s="11">
        <v>825.88888888888891</v>
      </c>
      <c r="F5" s="11">
        <v>866.18888888888887</v>
      </c>
      <c r="G5" s="11">
        <v>843.94444444444446</v>
      </c>
      <c r="H5" s="11">
        <v>812.07777777777778</v>
      </c>
      <c r="I5" s="9">
        <v>821.11111111111109</v>
      </c>
      <c r="J5" s="11">
        <v>787.71111111111111</v>
      </c>
      <c r="K5" s="9">
        <v>837.84444444444443</v>
      </c>
      <c r="L5" s="11">
        <v>806.37777777777774</v>
      </c>
      <c r="M5" s="11">
        <v>782.01666666666665</v>
      </c>
      <c r="N5" s="11">
        <v>752.58888888888885</v>
      </c>
      <c r="O5" s="9">
        <v>680.75555555555559</v>
      </c>
      <c r="P5" s="11">
        <v>251.77222222222221</v>
      </c>
      <c r="Q5" s="9">
        <v>1005.7</v>
      </c>
      <c r="R5" s="16">
        <v>10865.816666666666</v>
      </c>
    </row>
    <row r="6" spans="1:18" ht="10.9" customHeight="1" x14ac:dyDescent="0.2">
      <c r="A6" s="1">
        <v>4</v>
      </c>
      <c r="B6" s="2" t="s">
        <v>3</v>
      </c>
      <c r="C6" s="9">
        <v>1212.2833333333333</v>
      </c>
      <c r="D6" s="11">
        <v>1254.6777777777777</v>
      </c>
      <c r="E6" s="11">
        <v>1217.0111111111112</v>
      </c>
      <c r="F6" s="11">
        <v>1342.5222222222221</v>
      </c>
      <c r="G6" s="11">
        <v>1199.7166666666667</v>
      </c>
      <c r="H6" s="11">
        <v>1261.5111111111112</v>
      </c>
      <c r="I6" s="9">
        <v>1167.7</v>
      </c>
      <c r="J6" s="11">
        <v>1252.3888888888889</v>
      </c>
      <c r="K6" s="9">
        <v>1127.6222222222223</v>
      </c>
      <c r="L6" s="11">
        <v>1149.588888888889</v>
      </c>
      <c r="M6" s="11">
        <v>1141.7111111111112</v>
      </c>
      <c r="N6" s="11">
        <v>1074.1444444444444</v>
      </c>
      <c r="O6" s="9">
        <v>974.9666666666667</v>
      </c>
      <c r="P6" s="11">
        <v>339.46666666666664</v>
      </c>
      <c r="Q6" s="9">
        <v>1449.4777777777779</v>
      </c>
      <c r="R6" s="16">
        <v>15715.311111111112</v>
      </c>
    </row>
    <row r="7" spans="1:18" ht="10.9" customHeight="1" x14ac:dyDescent="0.2">
      <c r="A7" s="29">
        <v>42</v>
      </c>
      <c r="B7" s="43" t="s">
        <v>4</v>
      </c>
      <c r="C7" s="14">
        <v>2551.5388888888888</v>
      </c>
      <c r="D7" s="13">
        <v>2632.3888888888887</v>
      </c>
      <c r="E7" s="13">
        <v>2607.7777777777778</v>
      </c>
      <c r="F7" s="13">
        <v>2664.2777777777778</v>
      </c>
      <c r="G7" s="13">
        <v>2566.338888888889</v>
      </c>
      <c r="H7" s="13">
        <v>2640.5333333333333</v>
      </c>
      <c r="I7" s="14">
        <v>2581.5500000000002</v>
      </c>
      <c r="J7" s="13">
        <v>2573.9166666666665</v>
      </c>
      <c r="K7" s="14">
        <v>2414.35</v>
      </c>
      <c r="L7" s="13">
        <v>2407.338888888889</v>
      </c>
      <c r="M7" s="13">
        <v>2540.7722222222224</v>
      </c>
      <c r="N7" s="13">
        <v>2347.9277777777779</v>
      </c>
      <c r="O7" s="14">
        <v>2366.0611111111111</v>
      </c>
      <c r="P7" s="13">
        <v>731.75</v>
      </c>
      <c r="Q7" s="14">
        <v>2591.6166666666668</v>
      </c>
      <c r="R7" s="16">
        <v>33626.522222222222</v>
      </c>
    </row>
    <row r="8" spans="1:18" ht="10.9" customHeight="1" x14ac:dyDescent="0.2">
      <c r="A8" s="31">
        <v>5</v>
      </c>
      <c r="B8" s="23" t="s">
        <v>5</v>
      </c>
      <c r="C8" s="7">
        <v>347.98333333333335</v>
      </c>
      <c r="D8" s="6">
        <v>262.98888888888888</v>
      </c>
      <c r="E8" s="6">
        <v>265.35000000000002</v>
      </c>
      <c r="F8" s="6">
        <v>310.70555555555558</v>
      </c>
      <c r="G8" s="6">
        <v>262.78333333333336</v>
      </c>
      <c r="H8" s="6">
        <v>271.36111111111109</v>
      </c>
      <c r="I8" s="7">
        <v>259.25</v>
      </c>
      <c r="J8" s="6">
        <v>247.5611111111111</v>
      </c>
      <c r="K8" s="7">
        <v>241.15555555555557</v>
      </c>
      <c r="L8" s="6">
        <v>208.45</v>
      </c>
      <c r="M8" s="6">
        <v>223.23333333333332</v>
      </c>
      <c r="N8" s="6">
        <v>201.32777777777778</v>
      </c>
      <c r="O8" s="7">
        <v>194.35555555555555</v>
      </c>
      <c r="P8" s="6">
        <v>102.19444444444444</v>
      </c>
      <c r="Q8" s="7">
        <v>423.18888888888887</v>
      </c>
      <c r="R8" s="17">
        <v>3398.6999999999994</v>
      </c>
    </row>
    <row r="9" spans="1:18" ht="10.9" customHeight="1" x14ac:dyDescent="0.2">
      <c r="A9" s="1">
        <v>6</v>
      </c>
      <c r="B9" s="2" t="s">
        <v>6</v>
      </c>
      <c r="C9" s="9">
        <v>22.772222222222222</v>
      </c>
      <c r="D9" s="11">
        <v>13.28888888888889</v>
      </c>
      <c r="E9" s="11">
        <v>19.422222222222221</v>
      </c>
      <c r="F9" s="11">
        <v>13.9</v>
      </c>
      <c r="G9" s="11">
        <v>19.744444444444444</v>
      </c>
      <c r="H9" s="11">
        <v>11.155555555555555</v>
      </c>
      <c r="I9" s="9">
        <v>8.2388888888888889</v>
      </c>
      <c r="J9" s="11">
        <v>10.972222222222221</v>
      </c>
      <c r="K9" s="9">
        <v>18.55</v>
      </c>
      <c r="L9" s="11">
        <v>11</v>
      </c>
      <c r="M9" s="11">
        <v>10.25</v>
      </c>
      <c r="N9" s="11">
        <v>10</v>
      </c>
      <c r="O9" s="9">
        <v>9.6444444444444439</v>
      </c>
      <c r="P9" s="11">
        <v>1</v>
      </c>
      <c r="Q9" s="9">
        <v>21.06111111111111</v>
      </c>
      <c r="R9" s="16">
        <v>179.9388888888889</v>
      </c>
    </row>
    <row r="10" spans="1:18" ht="10.9" customHeight="1" x14ac:dyDescent="0.2">
      <c r="A10" s="1">
        <v>7</v>
      </c>
      <c r="B10" s="2" t="s">
        <v>7</v>
      </c>
      <c r="C10" s="9">
        <v>5590.6611111111115</v>
      </c>
      <c r="D10" s="11">
        <v>5575.35</v>
      </c>
      <c r="E10" s="11">
        <v>5416.0055555555555</v>
      </c>
      <c r="F10" s="11">
        <v>5470.4666666666662</v>
      </c>
      <c r="G10" s="11">
        <v>5208.1166666666668</v>
      </c>
      <c r="H10" s="11">
        <v>5186.1833333333334</v>
      </c>
      <c r="I10" s="9">
        <v>5117.7611111111109</v>
      </c>
      <c r="J10" s="11">
        <v>5027.9833333333336</v>
      </c>
      <c r="K10" s="9">
        <v>5036.7</v>
      </c>
      <c r="L10" s="11">
        <v>4789.1166666666668</v>
      </c>
      <c r="M10" s="11">
        <v>4744.0444444444447</v>
      </c>
      <c r="N10" s="11">
        <v>4541.95</v>
      </c>
      <c r="O10" s="9">
        <v>4428.1777777777779</v>
      </c>
      <c r="P10" s="11">
        <v>1855.2055555555555</v>
      </c>
      <c r="Q10" s="9">
        <v>5165.3055555555557</v>
      </c>
      <c r="R10" s="16">
        <v>67987.722222222219</v>
      </c>
    </row>
    <row r="11" spans="1:18" ht="10.9" customHeight="1" x14ac:dyDescent="0.2">
      <c r="A11" s="1">
        <v>8</v>
      </c>
      <c r="B11" s="2" t="s">
        <v>8</v>
      </c>
      <c r="C11" s="9">
        <v>434.78333333333336</v>
      </c>
      <c r="D11" s="11">
        <v>415.03333333333336</v>
      </c>
      <c r="E11" s="11">
        <v>366.78888888888889</v>
      </c>
      <c r="F11" s="11">
        <v>377.40555555555557</v>
      </c>
      <c r="G11" s="11">
        <v>357.19444444444446</v>
      </c>
      <c r="H11" s="11">
        <v>349.37222222222221</v>
      </c>
      <c r="I11" s="9">
        <v>372.96111111111111</v>
      </c>
      <c r="J11" s="11">
        <v>351.02222222222224</v>
      </c>
      <c r="K11" s="9">
        <v>379.89444444444399</v>
      </c>
      <c r="L11" s="11">
        <v>328.53333333333336</v>
      </c>
      <c r="M11" s="11">
        <v>294.13333333333333</v>
      </c>
      <c r="N11" s="11">
        <v>286.92777777777781</v>
      </c>
      <c r="O11" s="9">
        <v>253.55</v>
      </c>
      <c r="P11" s="11">
        <v>198.54444444444445</v>
      </c>
      <c r="Q11" s="9">
        <v>479.46666666666664</v>
      </c>
      <c r="R11" s="16">
        <v>4766.1444444444451</v>
      </c>
    </row>
    <row r="12" spans="1:18" ht="10.9" customHeight="1" x14ac:dyDescent="0.2">
      <c r="A12" s="29">
        <v>9</v>
      </c>
      <c r="B12" s="43" t="s">
        <v>9</v>
      </c>
      <c r="C12" s="14">
        <v>194.28888888888889</v>
      </c>
      <c r="D12" s="13">
        <v>189.81666666666666</v>
      </c>
      <c r="E12" s="13">
        <v>169.98333333333332</v>
      </c>
      <c r="F12" s="13">
        <v>170.67222222222222</v>
      </c>
      <c r="G12" s="13">
        <v>199.52777777777777</v>
      </c>
      <c r="H12" s="13">
        <v>174.28888888888889</v>
      </c>
      <c r="I12" s="14">
        <v>175.22777777777779</v>
      </c>
      <c r="J12" s="13">
        <v>159.17222222222222</v>
      </c>
      <c r="K12" s="14">
        <v>168.64444444444445</v>
      </c>
      <c r="L12" s="13">
        <v>174.02222222222221</v>
      </c>
      <c r="M12" s="13">
        <v>169.1888888888889</v>
      </c>
      <c r="N12" s="13">
        <v>139.70555555555555</v>
      </c>
      <c r="O12" s="14">
        <v>146.61111111111111</v>
      </c>
      <c r="P12" s="13">
        <v>56.95</v>
      </c>
      <c r="Q12" s="14">
        <v>342.94444444444446</v>
      </c>
      <c r="R12" s="16">
        <v>2288.1000000000004</v>
      </c>
    </row>
    <row r="13" spans="1:18" ht="10.9" customHeight="1" x14ac:dyDescent="0.2">
      <c r="A13" s="31">
        <v>10</v>
      </c>
      <c r="B13" s="23" t="s">
        <v>10</v>
      </c>
      <c r="C13" s="7">
        <v>87.944444444444443</v>
      </c>
      <c r="D13" s="6">
        <v>70.427777777777777</v>
      </c>
      <c r="E13" s="6">
        <v>72.083333333333329</v>
      </c>
      <c r="F13" s="6">
        <v>77.533333333333331</v>
      </c>
      <c r="G13" s="6">
        <v>65.427777777777777</v>
      </c>
      <c r="H13" s="6">
        <v>69.394444444444446</v>
      </c>
      <c r="I13" s="7">
        <v>64.911111111111111</v>
      </c>
      <c r="J13" s="6">
        <v>71.027777777777771</v>
      </c>
      <c r="K13" s="7">
        <v>73.961111111111109</v>
      </c>
      <c r="L13" s="6">
        <v>76.333333333333329</v>
      </c>
      <c r="M13" s="6">
        <v>64.277777777777771</v>
      </c>
      <c r="N13" s="6">
        <v>64.705555555555549</v>
      </c>
      <c r="O13" s="7">
        <v>64.2</v>
      </c>
      <c r="P13" s="6">
        <v>13.855555555555556</v>
      </c>
      <c r="Q13" s="7">
        <v>98.37222222222222</v>
      </c>
      <c r="R13" s="17">
        <v>936.08333333333348</v>
      </c>
    </row>
    <row r="14" spans="1:18" ht="10.9" customHeight="1" x14ac:dyDescent="0.2">
      <c r="A14" s="1">
        <v>11</v>
      </c>
      <c r="B14" s="2" t="s">
        <v>11</v>
      </c>
      <c r="C14" s="9">
        <v>98.388888888888886</v>
      </c>
      <c r="D14" s="11">
        <v>84.8</v>
      </c>
      <c r="E14" s="11">
        <v>119.93333333333334</v>
      </c>
      <c r="F14" s="11">
        <v>100.83888888888889</v>
      </c>
      <c r="G14" s="11">
        <v>110.98333333333333</v>
      </c>
      <c r="H14" s="11">
        <v>109.66111111111111</v>
      </c>
      <c r="I14" s="9">
        <v>114.64444444444445</v>
      </c>
      <c r="J14" s="11">
        <v>102.35</v>
      </c>
      <c r="K14" s="9">
        <v>104.96666666666667</v>
      </c>
      <c r="L14" s="11">
        <v>114.82777777777778</v>
      </c>
      <c r="M14" s="11">
        <v>101.48333333333333</v>
      </c>
      <c r="N14" s="11">
        <v>125.44444444444444</v>
      </c>
      <c r="O14" s="9">
        <v>83.405555555555551</v>
      </c>
      <c r="P14" s="11">
        <v>41.62777777777778</v>
      </c>
      <c r="Q14" s="9">
        <v>131.27222222222221</v>
      </c>
      <c r="R14" s="16">
        <v>1413.3555555555556</v>
      </c>
    </row>
    <row r="15" spans="1:18" ht="10.9" customHeight="1" x14ac:dyDescent="0.2">
      <c r="A15" s="1">
        <v>12</v>
      </c>
      <c r="B15" s="2" t="s">
        <v>12</v>
      </c>
      <c r="C15" s="9">
        <v>5573.0055555555555</v>
      </c>
      <c r="D15" s="11">
        <v>5565.8166666666666</v>
      </c>
      <c r="E15" s="11">
        <v>5478.0111111111109</v>
      </c>
      <c r="F15" s="11">
        <v>5314.333333333333</v>
      </c>
      <c r="G15" s="11">
        <v>5298.0277777777774</v>
      </c>
      <c r="H15" s="11">
        <v>4968.7388888888891</v>
      </c>
      <c r="I15" s="9">
        <v>5094.0333333333338</v>
      </c>
      <c r="J15" s="11">
        <v>5002.1611111111115</v>
      </c>
      <c r="K15" s="9">
        <v>4915.0611111111111</v>
      </c>
      <c r="L15" s="11">
        <v>4757.416666666667</v>
      </c>
      <c r="M15" s="11">
        <v>4599.7</v>
      </c>
      <c r="N15" s="11">
        <v>4414.3555555555558</v>
      </c>
      <c r="O15" s="9">
        <v>3816.2888888888888</v>
      </c>
      <c r="P15" s="11">
        <v>1587.7166666666667</v>
      </c>
      <c r="Q15" s="9">
        <v>5692.5</v>
      </c>
      <c r="R15" s="16">
        <v>66384.666666666657</v>
      </c>
    </row>
    <row r="16" spans="1:18" ht="10.9" customHeight="1" x14ac:dyDescent="0.2">
      <c r="A16" s="1">
        <v>13</v>
      </c>
      <c r="B16" s="2" t="s">
        <v>13</v>
      </c>
      <c r="C16" s="9">
        <v>714.46111111111111</v>
      </c>
      <c r="D16" s="11">
        <v>694.83888888888885</v>
      </c>
      <c r="E16" s="11">
        <v>686.45555555555552</v>
      </c>
      <c r="F16" s="11">
        <v>662.65</v>
      </c>
      <c r="G16" s="11">
        <v>656.76666666666665</v>
      </c>
      <c r="H16" s="11">
        <v>647.82222222222219</v>
      </c>
      <c r="I16" s="9">
        <v>613.62777777777774</v>
      </c>
      <c r="J16" s="11">
        <v>662.92777777777781</v>
      </c>
      <c r="K16" s="9">
        <v>670.23888888888894</v>
      </c>
      <c r="L16" s="11">
        <v>622.85555555555561</v>
      </c>
      <c r="M16" s="11">
        <v>568.52777777777783</v>
      </c>
      <c r="N16" s="11">
        <v>579.4</v>
      </c>
      <c r="O16" s="9">
        <v>531.94444444444446</v>
      </c>
      <c r="P16" s="11">
        <v>154.38888888888889</v>
      </c>
      <c r="Q16" s="9">
        <v>921.37222222222226</v>
      </c>
      <c r="R16" s="16">
        <v>8466.9055555555569</v>
      </c>
    </row>
    <row r="17" spans="1:18" ht="10.9" customHeight="1" x14ac:dyDescent="0.2">
      <c r="A17" s="29">
        <v>14</v>
      </c>
      <c r="B17" s="43" t="s">
        <v>14</v>
      </c>
      <c r="C17" s="14">
        <v>4167.0166666666664</v>
      </c>
      <c r="D17" s="13">
        <v>4221.6277777777777</v>
      </c>
      <c r="E17" s="13">
        <v>4106.9833333333336</v>
      </c>
      <c r="F17" s="13">
        <v>4085.3</v>
      </c>
      <c r="G17" s="13">
        <v>4145.0222222222219</v>
      </c>
      <c r="H17" s="13">
        <v>4039.338888888889</v>
      </c>
      <c r="I17" s="14">
        <v>3957.8</v>
      </c>
      <c r="J17" s="13">
        <v>3883.15</v>
      </c>
      <c r="K17" s="14">
        <v>3682.0333333333333</v>
      </c>
      <c r="L17" s="13">
        <v>3610.3222222222221</v>
      </c>
      <c r="M17" s="13">
        <v>3683.8555555555554</v>
      </c>
      <c r="N17" s="13">
        <v>3529.7</v>
      </c>
      <c r="O17" s="14">
        <v>3389.5611111111111</v>
      </c>
      <c r="P17" s="13">
        <v>1488.8555555555556</v>
      </c>
      <c r="Q17" s="14">
        <v>4085.3611111111113</v>
      </c>
      <c r="R17" s="16">
        <v>51990.566666666666</v>
      </c>
    </row>
    <row r="18" spans="1:18" ht="10.9" customHeight="1" x14ac:dyDescent="0.2">
      <c r="A18" s="31">
        <v>15</v>
      </c>
      <c r="B18" s="23" t="s">
        <v>15</v>
      </c>
      <c r="C18" s="7">
        <v>161.30000000000001</v>
      </c>
      <c r="D18" s="6">
        <v>183.23888888888888</v>
      </c>
      <c r="E18" s="6">
        <v>173.3111111111111</v>
      </c>
      <c r="F18" s="6">
        <v>156.49444444444444</v>
      </c>
      <c r="G18" s="6">
        <v>182.85</v>
      </c>
      <c r="H18" s="6">
        <v>177.31666666666666</v>
      </c>
      <c r="I18" s="7">
        <v>165.46666666666667</v>
      </c>
      <c r="J18" s="6">
        <v>173.20555555555555</v>
      </c>
      <c r="K18" s="7">
        <v>182.15555555555557</v>
      </c>
      <c r="L18" s="6">
        <v>161.85</v>
      </c>
      <c r="M18" s="6">
        <v>158.6888888888889</v>
      </c>
      <c r="N18" s="6">
        <v>178.03333333333333</v>
      </c>
      <c r="O18" s="7">
        <v>144.71666666666667</v>
      </c>
      <c r="P18" s="6">
        <v>75.944444444444443</v>
      </c>
      <c r="Q18" s="7">
        <v>192.25555555555556</v>
      </c>
      <c r="R18" s="17">
        <v>2274.5722222222221</v>
      </c>
    </row>
    <row r="19" spans="1:18" ht="10.9" customHeight="1" x14ac:dyDescent="0.2">
      <c r="A19" s="1">
        <v>16</v>
      </c>
      <c r="B19" s="2" t="s">
        <v>16</v>
      </c>
      <c r="C19" s="9">
        <v>98.99444444444444</v>
      </c>
      <c r="D19" s="11">
        <v>90.961111111111109</v>
      </c>
      <c r="E19" s="11">
        <v>106.57777777777778</v>
      </c>
      <c r="F19" s="11">
        <v>90.327777777777783</v>
      </c>
      <c r="G19" s="11">
        <v>103.21666666666667</v>
      </c>
      <c r="H19" s="11">
        <v>90.24444444444444</v>
      </c>
      <c r="I19" s="9">
        <v>73.25</v>
      </c>
      <c r="J19" s="11">
        <v>84.522222222222226</v>
      </c>
      <c r="K19" s="9">
        <v>97.277777777777771</v>
      </c>
      <c r="L19" s="11">
        <v>90.938888888888883</v>
      </c>
      <c r="M19" s="11">
        <v>81.472222222222229</v>
      </c>
      <c r="N19" s="11">
        <v>94.805555555555557</v>
      </c>
      <c r="O19" s="9">
        <v>89.777777777777771</v>
      </c>
      <c r="P19" s="11">
        <v>13.838888888888889</v>
      </c>
      <c r="Q19" s="9">
        <v>133.97777777777779</v>
      </c>
      <c r="R19" s="16">
        <v>1206.2055555555555</v>
      </c>
    </row>
    <row r="20" spans="1:18" ht="10.9" customHeight="1" x14ac:dyDescent="0.2">
      <c r="A20" s="1">
        <v>39</v>
      </c>
      <c r="B20" s="2" t="s">
        <v>164</v>
      </c>
      <c r="C20" s="9">
        <v>557.99444444444441</v>
      </c>
      <c r="D20" s="11">
        <v>572.06111111111113</v>
      </c>
      <c r="E20" s="11">
        <v>471.62222222222221</v>
      </c>
      <c r="F20" s="11">
        <v>491.52222222222224</v>
      </c>
      <c r="G20" s="11">
        <v>485.36111111111109</v>
      </c>
      <c r="H20" s="11">
        <v>417.35</v>
      </c>
      <c r="I20" s="9">
        <v>453.1611111111111</v>
      </c>
      <c r="J20" s="11">
        <v>402.49444444444447</v>
      </c>
      <c r="K20" s="9">
        <v>428.79444444444442</v>
      </c>
      <c r="L20" s="11">
        <v>419.21666666666664</v>
      </c>
      <c r="M20" s="11">
        <v>428.04444444444442</v>
      </c>
      <c r="N20" s="11">
        <v>401.45555555555558</v>
      </c>
      <c r="O20" s="9">
        <v>383.97222222222223</v>
      </c>
      <c r="P20" s="11">
        <v>111.53888888888889</v>
      </c>
      <c r="Q20" s="9">
        <v>642.80555555555554</v>
      </c>
      <c r="R20" s="16">
        <v>6024.5888888888894</v>
      </c>
    </row>
    <row r="21" spans="1:18" ht="10.9" customHeight="1" x14ac:dyDescent="0.2">
      <c r="A21" s="1">
        <v>17</v>
      </c>
      <c r="B21" s="2" t="s">
        <v>17</v>
      </c>
      <c r="C21" s="9">
        <v>207.83333333333334</v>
      </c>
      <c r="D21" s="11">
        <v>221.53333333333333</v>
      </c>
      <c r="E21" s="11">
        <v>204.82777777777778</v>
      </c>
      <c r="F21" s="11">
        <v>217.67222222222222</v>
      </c>
      <c r="G21" s="11">
        <v>201.63333333333333</v>
      </c>
      <c r="H21" s="11">
        <v>200.75555555555556</v>
      </c>
      <c r="I21" s="9">
        <v>214.8</v>
      </c>
      <c r="J21" s="11">
        <v>203.05555555555554</v>
      </c>
      <c r="K21" s="9">
        <v>210.03333333333333</v>
      </c>
      <c r="L21" s="11">
        <v>220.99444444444444</v>
      </c>
      <c r="M21" s="11">
        <v>236.40555555555557</v>
      </c>
      <c r="N21" s="11">
        <v>189.31666666666666</v>
      </c>
      <c r="O21" s="9">
        <v>208.89444444444445</v>
      </c>
      <c r="P21" s="11">
        <v>44.722222222222221</v>
      </c>
      <c r="Q21" s="9">
        <v>396.95</v>
      </c>
      <c r="R21" s="16">
        <v>2782.4777777777776</v>
      </c>
    </row>
    <row r="22" spans="1:18" ht="10.9" customHeight="1" x14ac:dyDescent="0.2">
      <c r="A22" s="29">
        <v>18</v>
      </c>
      <c r="B22" s="43" t="s">
        <v>18</v>
      </c>
      <c r="C22" s="14">
        <v>224.6611111111111</v>
      </c>
      <c r="D22" s="13">
        <v>185.61111111111111</v>
      </c>
      <c r="E22" s="13">
        <v>201.72222222222223</v>
      </c>
      <c r="F22" s="13">
        <v>200.65555555555557</v>
      </c>
      <c r="G22" s="13">
        <v>193.52222222222221</v>
      </c>
      <c r="H22" s="13">
        <v>189.89444444444445</v>
      </c>
      <c r="I22" s="14">
        <v>176.78333333333333</v>
      </c>
      <c r="J22" s="13">
        <v>198.32777777777778</v>
      </c>
      <c r="K22" s="14">
        <v>186.15</v>
      </c>
      <c r="L22" s="13">
        <v>196.32222222222222</v>
      </c>
      <c r="M22" s="13">
        <v>179.53888888888889</v>
      </c>
      <c r="N22" s="13">
        <v>195.7</v>
      </c>
      <c r="O22" s="14">
        <v>163.26666666666668</v>
      </c>
      <c r="P22" s="13">
        <v>32.255555555555553</v>
      </c>
      <c r="Q22" s="14">
        <v>155.38888888888889</v>
      </c>
      <c r="R22" s="16">
        <v>2524.411111111111</v>
      </c>
    </row>
    <row r="23" spans="1:18" ht="10.9" customHeight="1" x14ac:dyDescent="0.2">
      <c r="A23" s="31">
        <v>40</v>
      </c>
      <c r="B23" s="23" t="s">
        <v>19</v>
      </c>
      <c r="C23" s="7">
        <v>526.57777777777778</v>
      </c>
      <c r="D23" s="6">
        <v>498.26111111111112</v>
      </c>
      <c r="E23" s="6">
        <v>486.52222222222224</v>
      </c>
      <c r="F23" s="6">
        <v>491.60555555555555</v>
      </c>
      <c r="G23" s="6">
        <v>456.39444444444445</v>
      </c>
      <c r="H23" s="6">
        <v>472.93888888888887</v>
      </c>
      <c r="I23" s="7">
        <v>462.85</v>
      </c>
      <c r="J23" s="6">
        <v>485.83333333333331</v>
      </c>
      <c r="K23" s="7">
        <v>518.61111111111109</v>
      </c>
      <c r="L23" s="6">
        <v>485</v>
      </c>
      <c r="M23" s="6">
        <v>469.55555555555554</v>
      </c>
      <c r="N23" s="6">
        <v>472.99444444444447</v>
      </c>
      <c r="O23" s="7">
        <v>427.77777777777777</v>
      </c>
      <c r="P23" s="6">
        <v>127.95</v>
      </c>
      <c r="Q23" s="7">
        <v>521.23888888888894</v>
      </c>
      <c r="R23" s="17">
        <v>6382.8722222222223</v>
      </c>
    </row>
    <row r="24" spans="1:18" ht="10.9" customHeight="1" x14ac:dyDescent="0.2">
      <c r="A24" s="1">
        <v>19</v>
      </c>
      <c r="B24" s="2" t="s">
        <v>20</v>
      </c>
      <c r="C24" s="9">
        <v>2498.5666666666666</v>
      </c>
      <c r="D24" s="11">
        <v>2445.9944444444445</v>
      </c>
      <c r="E24" s="11">
        <v>2419.1277777777777</v>
      </c>
      <c r="F24" s="11">
        <v>2332.0944444444444</v>
      </c>
      <c r="G24" s="11">
        <v>2425.1388888888887</v>
      </c>
      <c r="H24" s="11">
        <v>2302.5777777777776</v>
      </c>
      <c r="I24" s="9">
        <v>2314.3111111111111</v>
      </c>
      <c r="J24" s="11">
        <v>2205.0222222222224</v>
      </c>
      <c r="K24" s="9">
        <v>2302.1222222222223</v>
      </c>
      <c r="L24" s="11">
        <v>2176.5222222222224</v>
      </c>
      <c r="M24" s="11">
        <v>2119.2111111111112</v>
      </c>
      <c r="N24" s="11">
        <v>2085.35</v>
      </c>
      <c r="O24" s="9">
        <v>1853.4888888888888</v>
      </c>
      <c r="P24" s="11">
        <v>798.63333333333333</v>
      </c>
      <c r="Q24" s="9">
        <v>2909.0944444444444</v>
      </c>
      <c r="R24" s="16">
        <v>30278.161111111109</v>
      </c>
    </row>
    <row r="25" spans="1:18" ht="10.9" customHeight="1" x14ac:dyDescent="0.2">
      <c r="A25" s="1">
        <v>20</v>
      </c>
      <c r="B25" s="2" t="s">
        <v>21</v>
      </c>
      <c r="C25" s="9">
        <v>184.02222222222221</v>
      </c>
      <c r="D25" s="11">
        <v>203.58333333333334</v>
      </c>
      <c r="E25" s="11">
        <v>203.93333333333334</v>
      </c>
      <c r="F25" s="11">
        <v>182.34444444444443</v>
      </c>
      <c r="G25" s="11">
        <v>169.82222222222222</v>
      </c>
      <c r="H25" s="11">
        <v>169.15555555555557</v>
      </c>
      <c r="I25" s="9">
        <v>182.06666666666666</v>
      </c>
      <c r="J25" s="11">
        <v>168.5611111111111</v>
      </c>
      <c r="K25" s="9">
        <v>175.4388888888889</v>
      </c>
      <c r="L25" s="11">
        <v>154.12777777777777</v>
      </c>
      <c r="M25" s="11">
        <v>177.76111111111112</v>
      </c>
      <c r="N25" s="11">
        <v>144.78333333333333</v>
      </c>
      <c r="O25" s="9">
        <v>144.5</v>
      </c>
      <c r="P25" s="11">
        <v>39.299999999999997</v>
      </c>
      <c r="Q25" s="9">
        <v>245.33333333333334</v>
      </c>
      <c r="R25" s="16">
        <v>2299.4</v>
      </c>
    </row>
    <row r="26" spans="1:18" ht="10.9" customHeight="1" x14ac:dyDescent="0.2">
      <c r="A26" s="1">
        <v>21</v>
      </c>
      <c r="B26" s="2" t="s">
        <v>22</v>
      </c>
      <c r="C26" s="9">
        <v>73.38333333333334</v>
      </c>
      <c r="D26" s="11">
        <v>76.666666666666671</v>
      </c>
      <c r="E26" s="11">
        <v>68.522222222222226</v>
      </c>
      <c r="F26" s="11">
        <v>89.777777777777771</v>
      </c>
      <c r="G26" s="11">
        <v>83.694444444444443</v>
      </c>
      <c r="H26" s="11">
        <v>77.027777777777771</v>
      </c>
      <c r="I26" s="9">
        <v>81.433333333333337</v>
      </c>
      <c r="J26" s="11">
        <v>76.083333333333329</v>
      </c>
      <c r="K26" s="9">
        <v>70.961111111111109</v>
      </c>
      <c r="L26" s="11">
        <v>78.583333333333329</v>
      </c>
      <c r="M26" s="11">
        <v>65.083333333333329</v>
      </c>
      <c r="N26" s="11">
        <v>63.166666666666664</v>
      </c>
      <c r="O26" s="9">
        <v>66.827777777777783</v>
      </c>
      <c r="P26" s="11">
        <v>4.9777777777777779</v>
      </c>
      <c r="Q26" s="9">
        <v>96.794444444444451</v>
      </c>
      <c r="R26" s="16">
        <v>976.18888888888898</v>
      </c>
    </row>
    <row r="27" spans="1:18" ht="10.9" customHeight="1" x14ac:dyDescent="0.2">
      <c r="A27" s="29">
        <v>37</v>
      </c>
      <c r="B27" s="43" t="s">
        <v>163</v>
      </c>
      <c r="C27" s="14">
        <v>1172.3055555555557</v>
      </c>
      <c r="D27" s="13">
        <v>1084.3666666666666</v>
      </c>
      <c r="E27" s="13">
        <v>1036.8722222222223</v>
      </c>
      <c r="F27" s="13">
        <v>999.18333333333328</v>
      </c>
      <c r="G27" s="13">
        <v>984.47222222222217</v>
      </c>
      <c r="H27" s="13">
        <v>975.06666666666672</v>
      </c>
      <c r="I27" s="14">
        <v>876.85</v>
      </c>
      <c r="J27" s="13">
        <v>845.56111111111113</v>
      </c>
      <c r="K27" s="14">
        <v>835.76111111111106</v>
      </c>
      <c r="L27" s="13">
        <v>844.20555555555552</v>
      </c>
      <c r="M27" s="13">
        <v>853.2</v>
      </c>
      <c r="N27" s="13">
        <v>773.66666666666663</v>
      </c>
      <c r="O27" s="14">
        <v>748.31111111111113</v>
      </c>
      <c r="P27" s="13">
        <v>322.85555555555555</v>
      </c>
      <c r="Q27" s="14">
        <v>979.51111111111106</v>
      </c>
      <c r="R27" s="16">
        <v>12352.677777777779</v>
      </c>
    </row>
    <row r="28" spans="1:18" ht="10.9" customHeight="1" x14ac:dyDescent="0.2">
      <c r="A28" s="31">
        <v>22</v>
      </c>
      <c r="B28" s="23" t="s">
        <v>23</v>
      </c>
      <c r="C28" s="7">
        <v>298.74444444444447</v>
      </c>
      <c r="D28" s="6">
        <v>316.06666666666666</v>
      </c>
      <c r="E28" s="6">
        <v>314.08333333333331</v>
      </c>
      <c r="F28" s="6">
        <v>330.79444444444442</v>
      </c>
      <c r="G28" s="6">
        <v>341.1</v>
      </c>
      <c r="H28" s="6">
        <v>332.73888888888888</v>
      </c>
      <c r="I28" s="7">
        <v>323.60555555555555</v>
      </c>
      <c r="J28" s="6">
        <v>357.48888888888888</v>
      </c>
      <c r="K28" s="7">
        <v>362.52222222222224</v>
      </c>
      <c r="L28" s="6">
        <v>331.73888888888888</v>
      </c>
      <c r="M28" s="6">
        <v>364.28888888888889</v>
      </c>
      <c r="N28" s="6">
        <v>363.21111111111111</v>
      </c>
      <c r="O28" s="7">
        <v>313.6611111111111</v>
      </c>
      <c r="P28" s="6">
        <v>59.711111111111109</v>
      </c>
      <c r="Q28" s="7">
        <v>282.97777777777776</v>
      </c>
      <c r="R28" s="17">
        <v>4409.7555555555564</v>
      </c>
    </row>
    <row r="29" spans="1:18" ht="10.9" customHeight="1" x14ac:dyDescent="0.2">
      <c r="A29" s="1">
        <v>23</v>
      </c>
      <c r="B29" s="2" t="s">
        <v>24</v>
      </c>
      <c r="C29" s="9">
        <v>23.044444444444444</v>
      </c>
      <c r="D29" s="11">
        <v>18.972222222222221</v>
      </c>
      <c r="E29" s="11">
        <v>18.338888888888889</v>
      </c>
      <c r="F29" s="11">
        <v>20.194444444444443</v>
      </c>
      <c r="G29" s="11">
        <v>22.244444444444444</v>
      </c>
      <c r="H29" s="11">
        <v>21.733333333333334</v>
      </c>
      <c r="I29" s="9">
        <v>20.622222222222224</v>
      </c>
      <c r="J29" s="11">
        <v>29.18888888888889</v>
      </c>
      <c r="K29" s="9">
        <v>23.044444444444444</v>
      </c>
      <c r="L29" s="11">
        <v>22.111111111111111</v>
      </c>
      <c r="M29" s="11">
        <v>36.68333333333333</v>
      </c>
      <c r="N29" s="11">
        <v>21.183333333333334</v>
      </c>
      <c r="O29" s="9">
        <v>23.616666666666667</v>
      </c>
      <c r="P29" s="11">
        <v>4</v>
      </c>
      <c r="Q29" s="9">
        <v>42.322222222222223</v>
      </c>
      <c r="R29" s="16">
        <v>304.97777777777782</v>
      </c>
    </row>
    <row r="30" spans="1:18" ht="10.9" customHeight="1" x14ac:dyDescent="0.2">
      <c r="A30" s="1">
        <v>38</v>
      </c>
      <c r="B30" s="2" t="s">
        <v>25</v>
      </c>
      <c r="C30" s="9">
        <v>1260.6444444444444</v>
      </c>
      <c r="D30" s="11">
        <v>1224.0166666666667</v>
      </c>
      <c r="E30" s="11">
        <v>1140.1944444444443</v>
      </c>
      <c r="F30" s="11">
        <v>1063.2</v>
      </c>
      <c r="G30" s="11">
        <v>1097.9055555555556</v>
      </c>
      <c r="H30" s="11">
        <v>964.23333333333335</v>
      </c>
      <c r="I30" s="9">
        <v>984.35</v>
      </c>
      <c r="J30" s="11">
        <v>985.18888888888887</v>
      </c>
      <c r="K30" s="9">
        <v>973.47777777777776</v>
      </c>
      <c r="L30" s="11">
        <v>1005.4833333333333</v>
      </c>
      <c r="M30" s="11">
        <v>938.75555555555559</v>
      </c>
      <c r="N30" s="11">
        <v>886.02777777777783</v>
      </c>
      <c r="O30" s="9">
        <v>877.77777777777783</v>
      </c>
      <c r="P30" s="11">
        <v>673.33333333333337</v>
      </c>
      <c r="Q30" s="9">
        <v>1306.4222222222222</v>
      </c>
      <c r="R30" s="16">
        <v>14074.588888888888</v>
      </c>
    </row>
    <row r="31" spans="1:18" ht="10.9" customHeight="1" x14ac:dyDescent="0.2">
      <c r="A31" s="1">
        <v>24</v>
      </c>
      <c r="B31" s="2" t="s">
        <v>26</v>
      </c>
      <c r="C31" s="9">
        <v>44.022222222222226</v>
      </c>
      <c r="D31" s="11">
        <v>42.06666666666667</v>
      </c>
      <c r="E31" s="11">
        <v>38.722222222222221</v>
      </c>
      <c r="F31" s="11">
        <v>42.56111111111111</v>
      </c>
      <c r="G31" s="11">
        <v>47.45</v>
      </c>
      <c r="H31" s="11">
        <v>28.194444444444443</v>
      </c>
      <c r="I31" s="9">
        <v>34.727777777777774</v>
      </c>
      <c r="J31" s="11">
        <v>38.294444444444444</v>
      </c>
      <c r="K31" s="9">
        <v>37.155555555555559</v>
      </c>
      <c r="L31" s="11">
        <v>31.133333333333333</v>
      </c>
      <c r="M31" s="11">
        <v>30.905555555555555</v>
      </c>
      <c r="N31" s="11">
        <v>32.055555555555557</v>
      </c>
      <c r="O31" s="9">
        <v>26.261111111111113</v>
      </c>
      <c r="P31" s="11">
        <v>4.8166666666666664</v>
      </c>
      <c r="Q31" s="9">
        <v>61.161111111111111</v>
      </c>
      <c r="R31" s="16">
        <v>478.36666666666667</v>
      </c>
    </row>
    <row r="32" spans="1:18" ht="10.9" customHeight="1" x14ac:dyDescent="0.2">
      <c r="A32" s="29">
        <v>36</v>
      </c>
      <c r="B32" s="43" t="s">
        <v>27</v>
      </c>
      <c r="C32" s="14">
        <v>2092.838888888889</v>
      </c>
      <c r="D32" s="13">
        <v>2076.8888888888887</v>
      </c>
      <c r="E32" s="13">
        <v>1974.2388888888888</v>
      </c>
      <c r="F32" s="13">
        <v>1920.9277777777777</v>
      </c>
      <c r="G32" s="13">
        <v>1962.9055555555556</v>
      </c>
      <c r="H32" s="13">
        <v>1761.8555555555556</v>
      </c>
      <c r="I32" s="14">
        <v>1641.6</v>
      </c>
      <c r="J32" s="13">
        <v>1600.6833333333334</v>
      </c>
      <c r="K32" s="14">
        <v>1406.1666666666667</v>
      </c>
      <c r="L32" s="13">
        <v>1546.8722222222223</v>
      </c>
      <c r="M32" s="13">
        <v>1525.8222222222223</v>
      </c>
      <c r="N32" s="13">
        <v>1567.3888888888889</v>
      </c>
      <c r="O32" s="14">
        <v>1471.5222222222221</v>
      </c>
      <c r="P32" s="13">
        <v>887.5</v>
      </c>
      <c r="Q32" s="14">
        <v>2001.2722222222221</v>
      </c>
      <c r="R32" s="16">
        <v>23437.211111111112</v>
      </c>
    </row>
    <row r="33" spans="1:18" ht="10.9" customHeight="1" x14ac:dyDescent="0.2">
      <c r="A33" s="31">
        <v>25</v>
      </c>
      <c r="B33" s="23" t="s">
        <v>28</v>
      </c>
      <c r="C33" s="7">
        <v>245.35555555555555</v>
      </c>
      <c r="D33" s="6">
        <v>230.62222222222223</v>
      </c>
      <c r="E33" s="6">
        <v>225.21666666666667</v>
      </c>
      <c r="F33" s="6">
        <v>206.46111111111111</v>
      </c>
      <c r="G33" s="6">
        <v>262.92222222222222</v>
      </c>
      <c r="H33" s="6">
        <v>210.39444444444445</v>
      </c>
      <c r="I33" s="7">
        <v>212.8</v>
      </c>
      <c r="J33" s="6">
        <v>244.97222222222223</v>
      </c>
      <c r="K33" s="7">
        <v>248.49444444444444</v>
      </c>
      <c r="L33" s="6">
        <v>246.17777777777778</v>
      </c>
      <c r="M33" s="6">
        <v>236.6888888888889</v>
      </c>
      <c r="N33" s="6">
        <v>224.18333333333334</v>
      </c>
      <c r="O33" s="7">
        <v>216.61666666666667</v>
      </c>
      <c r="P33" s="6">
        <v>21.566666666666666</v>
      </c>
      <c r="Q33" s="7">
        <v>305.81111111111113</v>
      </c>
      <c r="R33" s="17">
        <v>3032.4722222222226</v>
      </c>
    </row>
    <row r="34" spans="1:18" ht="10.9" customHeight="1" x14ac:dyDescent="0.2">
      <c r="A34" s="1">
        <v>26</v>
      </c>
      <c r="B34" s="2" t="s">
        <v>29</v>
      </c>
      <c r="C34" s="9">
        <v>380.1</v>
      </c>
      <c r="D34" s="11">
        <v>360.92777777777781</v>
      </c>
      <c r="E34" s="11">
        <v>362.76666666666665</v>
      </c>
      <c r="F34" s="11">
        <v>370.96666666666664</v>
      </c>
      <c r="G34" s="11">
        <v>366.59444444444443</v>
      </c>
      <c r="H34" s="11">
        <v>384.31666666666666</v>
      </c>
      <c r="I34" s="9">
        <v>342.53888888888889</v>
      </c>
      <c r="J34" s="11">
        <v>345.1</v>
      </c>
      <c r="K34" s="9">
        <v>329.73333333333335</v>
      </c>
      <c r="L34" s="11">
        <v>352.18888888888887</v>
      </c>
      <c r="M34" s="11">
        <v>346.26111111111112</v>
      </c>
      <c r="N34" s="11">
        <v>307.33333333333331</v>
      </c>
      <c r="O34" s="9">
        <v>296.23888888888888</v>
      </c>
      <c r="P34" s="11">
        <v>62.883333333333333</v>
      </c>
      <c r="Q34" s="9">
        <v>476.9</v>
      </c>
      <c r="R34" s="16">
        <v>4607.95</v>
      </c>
    </row>
    <row r="35" spans="1:18" ht="10.9" customHeight="1" x14ac:dyDescent="0.2">
      <c r="A35" s="1">
        <v>27</v>
      </c>
      <c r="B35" s="2" t="s">
        <v>30</v>
      </c>
      <c r="C35" s="9">
        <v>265.32777777777778</v>
      </c>
      <c r="D35" s="11">
        <v>242.27777777777777</v>
      </c>
      <c r="E35" s="11">
        <v>247.75</v>
      </c>
      <c r="F35" s="11">
        <v>234.17777777777778</v>
      </c>
      <c r="G35" s="11">
        <v>253.04444444444445</v>
      </c>
      <c r="H35" s="11">
        <v>230.42777777777778</v>
      </c>
      <c r="I35" s="9">
        <v>236.51111111111112</v>
      </c>
      <c r="J35" s="11">
        <v>246.41666666666666</v>
      </c>
      <c r="K35" s="9">
        <v>226.78333333333333</v>
      </c>
      <c r="L35" s="11">
        <v>231.26111111111112</v>
      </c>
      <c r="M35" s="11">
        <v>244.03333333333333</v>
      </c>
      <c r="N35" s="11">
        <v>208.30555555555554</v>
      </c>
      <c r="O35" s="9">
        <v>214.11666666666667</v>
      </c>
      <c r="P35" s="11">
        <v>55.361111111111114</v>
      </c>
      <c r="Q35" s="9">
        <v>376.35555555555555</v>
      </c>
      <c r="R35" s="16">
        <v>3135.7944444444447</v>
      </c>
    </row>
    <row r="36" spans="1:18" ht="10.9" customHeight="1" x14ac:dyDescent="0.2">
      <c r="A36" s="1">
        <v>28</v>
      </c>
      <c r="B36" s="2" t="s">
        <v>31</v>
      </c>
      <c r="C36" s="9">
        <v>116.55555555555556</v>
      </c>
      <c r="D36" s="11">
        <v>118.71111111111111</v>
      </c>
      <c r="E36" s="11">
        <v>117.31111111111112</v>
      </c>
      <c r="F36" s="11">
        <v>118.27222222222223</v>
      </c>
      <c r="G36" s="11">
        <v>114.35555555555555</v>
      </c>
      <c r="H36" s="11">
        <v>125.70555555555555</v>
      </c>
      <c r="I36" s="9">
        <v>93.472222222222229</v>
      </c>
      <c r="J36" s="11">
        <v>117.72777777777777</v>
      </c>
      <c r="K36" s="9">
        <v>106.5</v>
      </c>
      <c r="L36" s="11">
        <v>108.66111111111111</v>
      </c>
      <c r="M36" s="11">
        <v>121.66111111111111</v>
      </c>
      <c r="N36" s="11">
        <v>106.02777777777777</v>
      </c>
      <c r="O36" s="9">
        <v>98</v>
      </c>
      <c r="P36" s="11">
        <v>8</v>
      </c>
      <c r="Q36" s="9">
        <v>150.75</v>
      </c>
      <c r="R36" s="16">
        <v>1470.9611111111108</v>
      </c>
    </row>
    <row r="37" spans="1:18" ht="10.9" customHeight="1" x14ac:dyDescent="0.2">
      <c r="A37" s="29">
        <v>29</v>
      </c>
      <c r="B37" s="43" t="s">
        <v>32</v>
      </c>
      <c r="C37" s="14">
        <v>12.327777777777778</v>
      </c>
      <c r="D37" s="13">
        <v>17.616666666666667</v>
      </c>
      <c r="E37" s="13">
        <v>10.28888888888889</v>
      </c>
      <c r="F37" s="13">
        <v>15.883333333333333</v>
      </c>
      <c r="G37" s="13">
        <v>11.466666666666667</v>
      </c>
      <c r="H37" s="13">
        <v>16.405555555555555</v>
      </c>
      <c r="I37" s="14">
        <v>12.9</v>
      </c>
      <c r="J37" s="13">
        <v>30.844444444444445</v>
      </c>
      <c r="K37" s="14">
        <v>23.144444444444446</v>
      </c>
      <c r="L37" s="13">
        <v>27.85</v>
      </c>
      <c r="M37" s="13">
        <v>22.594444444444445</v>
      </c>
      <c r="N37" s="13">
        <v>14.055555555555555</v>
      </c>
      <c r="O37" s="14">
        <v>14.255555555555556</v>
      </c>
      <c r="P37" s="13">
        <v>2</v>
      </c>
      <c r="Q37" s="14">
        <v>27.244444444444444</v>
      </c>
      <c r="R37" s="16">
        <v>231.6333333333333</v>
      </c>
    </row>
    <row r="38" spans="1:18" ht="10.9" customHeight="1" x14ac:dyDescent="0.2">
      <c r="A38" s="31">
        <v>30</v>
      </c>
      <c r="B38" s="23" t="s">
        <v>33</v>
      </c>
      <c r="C38" s="7">
        <v>1146.7444444444445</v>
      </c>
      <c r="D38" s="6">
        <v>1089.9666666666667</v>
      </c>
      <c r="E38" s="6">
        <v>1080.7111111111112</v>
      </c>
      <c r="F38" s="6">
        <v>1113.6666666666667</v>
      </c>
      <c r="G38" s="6">
        <v>1098.1500000000001</v>
      </c>
      <c r="H38" s="6">
        <v>1059.4777777777779</v>
      </c>
      <c r="I38" s="7">
        <v>1102.5777777777778</v>
      </c>
      <c r="J38" s="6">
        <v>1044.1333333333334</v>
      </c>
      <c r="K38" s="7">
        <v>1015.2388888888889</v>
      </c>
      <c r="L38" s="6">
        <v>1015.4444444444445</v>
      </c>
      <c r="M38" s="6">
        <v>1000.8722222222223</v>
      </c>
      <c r="N38" s="6">
        <v>908.07222222222219</v>
      </c>
      <c r="O38" s="7">
        <v>835.91666666666663</v>
      </c>
      <c r="P38" s="6">
        <v>455.4</v>
      </c>
      <c r="Q38" s="7">
        <v>1184.0055555555555</v>
      </c>
      <c r="R38" s="17">
        <v>13966.372222222224</v>
      </c>
    </row>
    <row r="39" spans="1:18" ht="10.9" customHeight="1" x14ac:dyDescent="0.2">
      <c r="A39" s="1">
        <v>31</v>
      </c>
      <c r="B39" s="2" t="s">
        <v>34</v>
      </c>
      <c r="C39" s="9">
        <v>696.90555555555557</v>
      </c>
      <c r="D39" s="11">
        <v>752.90555555555557</v>
      </c>
      <c r="E39" s="11">
        <v>647.68333333333328</v>
      </c>
      <c r="F39" s="11">
        <v>632.86111111111109</v>
      </c>
      <c r="G39" s="11">
        <v>634.79444444444448</v>
      </c>
      <c r="H39" s="11">
        <v>580.4</v>
      </c>
      <c r="I39" s="9">
        <v>545.85555555555561</v>
      </c>
      <c r="J39" s="11">
        <v>500.55</v>
      </c>
      <c r="K39" s="9">
        <v>512.55555555555554</v>
      </c>
      <c r="L39" s="11">
        <v>464.32777777777778</v>
      </c>
      <c r="M39" s="11">
        <v>388.12777777777779</v>
      </c>
      <c r="N39" s="11">
        <v>367.26666666666665</v>
      </c>
      <c r="O39" s="9">
        <v>302.65555555555557</v>
      </c>
      <c r="P39" s="11">
        <v>145.66666666666666</v>
      </c>
      <c r="Q39" s="9">
        <v>624.87222222222226</v>
      </c>
      <c r="R39" s="11">
        <v>7172.5555555555547</v>
      </c>
    </row>
    <row r="40" spans="1:18" ht="10.9" customHeight="1" x14ac:dyDescent="0.2">
      <c r="A40" s="1">
        <v>32</v>
      </c>
      <c r="B40" s="2" t="s">
        <v>35</v>
      </c>
      <c r="C40" s="9">
        <v>480.53888888888889</v>
      </c>
      <c r="D40" s="11">
        <v>414.88888888888891</v>
      </c>
      <c r="E40" s="11">
        <v>434.98888888888888</v>
      </c>
      <c r="F40" s="11">
        <v>470.21111111111111</v>
      </c>
      <c r="G40" s="11">
        <v>405.48888888888888</v>
      </c>
      <c r="H40" s="11">
        <v>432.67777777777781</v>
      </c>
      <c r="I40" s="9">
        <v>411.11111111111109</v>
      </c>
      <c r="J40" s="11">
        <v>443.52777777777777</v>
      </c>
      <c r="K40" s="9">
        <v>395.73333333333335</v>
      </c>
      <c r="L40" s="11">
        <v>466.21111111111111</v>
      </c>
      <c r="M40" s="11">
        <v>384.99444444444447</v>
      </c>
      <c r="N40" s="11">
        <v>407.30555555555554</v>
      </c>
      <c r="O40" s="9">
        <v>358.31111111111113</v>
      </c>
      <c r="P40" s="11">
        <v>79.038888888888891</v>
      </c>
      <c r="Q40" s="9">
        <v>657.73888888888894</v>
      </c>
      <c r="R40" s="11">
        <v>5585.0277777777774</v>
      </c>
    </row>
    <row r="41" spans="1:18" ht="10.9" customHeight="1" x14ac:dyDescent="0.2">
      <c r="A41" s="1">
        <v>33</v>
      </c>
      <c r="B41" s="2" t="s">
        <v>36</v>
      </c>
      <c r="C41" s="9">
        <v>2154.7111111111112</v>
      </c>
      <c r="D41" s="11">
        <v>2135.5166666666669</v>
      </c>
      <c r="E41" s="11">
        <v>1978.9388888888889</v>
      </c>
      <c r="F41" s="11">
        <v>2101.7888888888888</v>
      </c>
      <c r="G41" s="11">
        <v>2026.2944444444445</v>
      </c>
      <c r="H41" s="11">
        <v>2008.4277777777777</v>
      </c>
      <c r="I41" s="9">
        <v>1903.9</v>
      </c>
      <c r="J41" s="11">
        <v>1990.8611111111111</v>
      </c>
      <c r="K41" s="9">
        <v>2087.5611111111111</v>
      </c>
      <c r="L41" s="11">
        <v>2034.0166666666667</v>
      </c>
      <c r="M41" s="11">
        <v>1853.1333333333334</v>
      </c>
      <c r="N41" s="11">
        <v>1821.9166666666667</v>
      </c>
      <c r="O41" s="9">
        <v>1587.9166666666667</v>
      </c>
      <c r="P41" s="11">
        <v>564.1</v>
      </c>
      <c r="Q41" s="9">
        <v>2457.6666666666665</v>
      </c>
      <c r="R41" s="11">
        <v>26249.083333333336</v>
      </c>
    </row>
    <row r="42" spans="1:18" ht="10.9" customHeight="1" x14ac:dyDescent="0.2">
      <c r="A42" s="1">
        <v>34</v>
      </c>
      <c r="B42" s="2" t="s">
        <v>37</v>
      </c>
      <c r="C42" s="9">
        <v>38.43333333333333</v>
      </c>
      <c r="D42" s="11">
        <v>38.777777777777779</v>
      </c>
      <c r="E42" s="11">
        <v>41.283333333333331</v>
      </c>
      <c r="F42" s="11">
        <v>40.572222222222223</v>
      </c>
      <c r="G42" s="11">
        <v>43.055555555555557</v>
      </c>
      <c r="H42" s="11">
        <v>35.905555555555559</v>
      </c>
      <c r="I42" s="9">
        <v>38.033333333333331</v>
      </c>
      <c r="J42" s="11">
        <v>38.011111111111113</v>
      </c>
      <c r="K42" s="9">
        <v>43.68333333333333</v>
      </c>
      <c r="L42" s="11">
        <v>37.488888888888887</v>
      </c>
      <c r="M42" s="11">
        <v>37.205555555555556</v>
      </c>
      <c r="N42" s="11">
        <v>39.616666666666667</v>
      </c>
      <c r="O42" s="9">
        <v>32.644444444444446</v>
      </c>
      <c r="P42" s="11">
        <v>13.472222222222221</v>
      </c>
      <c r="Q42" s="9">
        <v>64.36666666666666</v>
      </c>
      <c r="R42" s="11">
        <v>518.18333333333339</v>
      </c>
    </row>
    <row r="43" spans="1:18" ht="10.9" customHeight="1" x14ac:dyDescent="0.2">
      <c r="A43" s="29">
        <v>35</v>
      </c>
      <c r="B43" s="43" t="s">
        <v>38</v>
      </c>
      <c r="C43" s="9">
        <v>2294.7611111111109</v>
      </c>
      <c r="D43" s="13">
        <v>2266.161111111111</v>
      </c>
      <c r="E43" s="13">
        <v>2317.1444444444446</v>
      </c>
      <c r="F43" s="13">
        <v>2317.1333333333332</v>
      </c>
      <c r="G43" s="13">
        <v>2317.9722222222222</v>
      </c>
      <c r="H43" s="13">
        <v>2302.588888888889</v>
      </c>
      <c r="I43" s="14">
        <v>2288.8777777777777</v>
      </c>
      <c r="J43" s="13">
        <v>2477.7166666666667</v>
      </c>
      <c r="K43" s="14">
        <v>2348.1111111111113</v>
      </c>
      <c r="L43" s="13">
        <v>2366.4055555555556</v>
      </c>
      <c r="M43" s="13">
        <v>2258.15</v>
      </c>
      <c r="N43" s="13">
        <v>2130.6166666666668</v>
      </c>
      <c r="O43" s="14">
        <v>2124.1166666666668</v>
      </c>
      <c r="P43" s="13">
        <v>817.36111111111109</v>
      </c>
      <c r="Q43" s="14">
        <v>3061.0722222222221</v>
      </c>
      <c r="R43" s="11">
        <v>30627.116666666669</v>
      </c>
    </row>
    <row r="44" spans="1:18" ht="10.9" customHeight="1" x14ac:dyDescent="0.2">
      <c r="A44" s="31"/>
      <c r="B44" s="38" t="s">
        <v>198</v>
      </c>
      <c r="C44" s="39">
        <f t="shared" ref="C44:Q44" si="0">SUM(C3:C43)</f>
        <v>45223.91666666665</v>
      </c>
      <c r="D44" s="39">
        <f t="shared" si="0"/>
        <v>44767.616666666669</v>
      </c>
      <c r="E44" s="39">
        <f t="shared" si="0"/>
        <v>43480.177777777775</v>
      </c>
      <c r="F44" s="39">
        <f t="shared" si="0"/>
        <v>43548.638888888876</v>
      </c>
      <c r="G44" s="39">
        <f t="shared" si="0"/>
        <v>42979.711111111108</v>
      </c>
      <c r="H44" s="39">
        <f t="shared" si="0"/>
        <v>41539.611111111088</v>
      </c>
      <c r="I44" s="39">
        <f t="shared" si="0"/>
        <v>41039.994444444441</v>
      </c>
      <c r="J44" s="39">
        <f t="shared" si="0"/>
        <v>40870.833333333328</v>
      </c>
      <c r="K44" s="39">
        <f t="shared" si="0"/>
        <v>40230.622222222213</v>
      </c>
      <c r="L44" s="39">
        <f t="shared" si="0"/>
        <v>39238.333333333336</v>
      </c>
      <c r="M44" s="39">
        <f t="shared" si="0"/>
        <v>38405.961111111108</v>
      </c>
      <c r="N44" s="39">
        <f t="shared" si="0"/>
        <v>36743.166666666672</v>
      </c>
      <c r="O44" s="39">
        <f t="shared" si="0"/>
        <v>34349.611111111109</v>
      </c>
      <c r="P44" s="39">
        <f t="shared" si="0"/>
        <v>13781.550000000005</v>
      </c>
      <c r="Q44" s="39">
        <f t="shared" si="0"/>
        <v>47578.122222222235</v>
      </c>
      <c r="R44" s="39">
        <f>SUM(R3:R43)</f>
        <v>546199.74444444431</v>
      </c>
    </row>
    <row r="45" spans="1:18" ht="10.9" customHeight="1" x14ac:dyDescent="0.2">
      <c r="B45" s="38" t="s">
        <v>199</v>
      </c>
      <c r="C45" s="39">
        <f>CharterSchools!C87</f>
        <v>4277.8999999999996</v>
      </c>
      <c r="D45" s="39">
        <f>CharterSchools!D87</f>
        <v>4591.4555555555562</v>
      </c>
      <c r="E45" s="39">
        <f>CharterSchools!E87</f>
        <v>4536.5388888888883</v>
      </c>
      <c r="F45" s="39">
        <f>CharterSchools!F87</f>
        <v>4465.7888888888911</v>
      </c>
      <c r="G45" s="39">
        <f>CharterSchools!G87</f>
        <v>4323.5611111111111</v>
      </c>
      <c r="H45" s="39">
        <f>CharterSchools!H87</f>
        <v>4384.9333333333334</v>
      </c>
      <c r="I45" s="39">
        <f>CharterSchools!I87</f>
        <v>4424.5611111111102</v>
      </c>
      <c r="J45" s="39">
        <f>CharterSchools!J87</f>
        <v>4132.8166666666666</v>
      </c>
      <c r="K45" s="39">
        <f>CharterSchools!K87</f>
        <v>3868.755555555555</v>
      </c>
      <c r="L45" s="39">
        <f>CharterSchools!L87</f>
        <v>3512.2277777777772</v>
      </c>
      <c r="M45" s="39">
        <f>CharterSchools!M87</f>
        <v>2520.1166666666668</v>
      </c>
      <c r="N45" s="39">
        <f>CharterSchools!N87</f>
        <v>2140.8222222222221</v>
      </c>
      <c r="O45" s="39">
        <f>CharterSchools!O87</f>
        <v>1748.5</v>
      </c>
      <c r="P45" s="39">
        <f>CharterSchools!P87</f>
        <v>451.63333333333338</v>
      </c>
      <c r="Q45" s="39">
        <f>CharterSchools!Q87</f>
        <v>4973.8888888888887</v>
      </c>
      <c r="R45" s="39">
        <f>CharterSchools!R87</f>
        <v>49379.611111111139</v>
      </c>
    </row>
    <row r="46" spans="1:18" ht="10.9" customHeight="1" x14ac:dyDescent="0.2">
      <c r="B46" s="38" t="s">
        <v>200</v>
      </c>
      <c r="C46" s="39">
        <v>1.0055555555555555</v>
      </c>
      <c r="D46" s="39">
        <v>1</v>
      </c>
      <c r="E46" s="39">
        <v>0</v>
      </c>
      <c r="F46" s="39">
        <v>0.37777777777777777</v>
      </c>
      <c r="G46" s="39">
        <v>1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3.888888888888889E-2</v>
      </c>
      <c r="N46" s="39">
        <v>0</v>
      </c>
      <c r="O46" s="39">
        <v>0.98333333333333328</v>
      </c>
      <c r="P46" s="39">
        <v>216.09444444444443</v>
      </c>
      <c r="Q46" s="39">
        <v>0</v>
      </c>
      <c r="R46" s="39">
        <v>220.49999999999997</v>
      </c>
    </row>
    <row r="47" spans="1:18" s="15" customFormat="1" ht="10.9" customHeight="1" x14ac:dyDescent="0.2">
      <c r="A47" s="37"/>
      <c r="B47" s="38" t="s">
        <v>201</v>
      </c>
      <c r="C47" s="39">
        <f t="shared" ref="C47:Q47" si="1">SUM(C44:C46)</f>
        <v>49502.82222222221</v>
      </c>
      <c r="D47" s="39">
        <f t="shared" si="1"/>
        <v>49360.072222222225</v>
      </c>
      <c r="E47" s="39">
        <f t="shared" si="1"/>
        <v>48016.71666666666</v>
      </c>
      <c r="F47" s="39">
        <f t="shared" si="1"/>
        <v>48014.805555555547</v>
      </c>
      <c r="G47" s="39">
        <f t="shared" si="1"/>
        <v>47304.272222222222</v>
      </c>
      <c r="H47" s="39">
        <f t="shared" si="1"/>
        <v>45924.544444444422</v>
      </c>
      <c r="I47" s="39">
        <f t="shared" si="1"/>
        <v>45464.555555555547</v>
      </c>
      <c r="J47" s="39">
        <f t="shared" si="1"/>
        <v>45003.649999999994</v>
      </c>
      <c r="K47" s="39">
        <f t="shared" si="1"/>
        <v>44099.377777777765</v>
      </c>
      <c r="L47" s="39">
        <f t="shared" si="1"/>
        <v>42750.561111111114</v>
      </c>
      <c r="M47" s="39">
        <f t="shared" si="1"/>
        <v>40926.116666666669</v>
      </c>
      <c r="N47" s="39">
        <f t="shared" si="1"/>
        <v>38883.988888888896</v>
      </c>
      <c r="O47" s="39">
        <f t="shared" si="1"/>
        <v>36099.094444444439</v>
      </c>
      <c r="P47" s="39">
        <f t="shared" si="1"/>
        <v>14449.277777777783</v>
      </c>
      <c r="Q47" s="39">
        <f t="shared" si="1"/>
        <v>52552.011111111126</v>
      </c>
      <c r="R47" s="39">
        <f>SUM(R44:R46)</f>
        <v>595799.85555555543</v>
      </c>
    </row>
  </sheetData>
  <sheetProtection password="EB3F" sheet="1" objects="1" scenarios="1"/>
  <sortState ref="A2:S42">
    <sortCondition ref="B2:B42"/>
  </sortState>
  <pageMargins left="0.25" right="0.25" top="0.75" bottom="0.75" header="0.3" footer="0.3"/>
  <pageSetup scale="66" orientation="landscape" horizontalDpi="1200" r:id="rId1"/>
  <headerFooter>
    <oddHeader>&amp;C&amp;"-,Bold"&amp;12Average Daily Membership
School Year 2012-13
Districts</oddHeader>
    <oddFooter xml:space="preserve">&amp;L&amp;8Compiler: USOE/Data &amp; Statistics
Source: Year End 2013 UTREX 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7"/>
  <sheetViews>
    <sheetView topLeftCell="B1" zoomScaleNormal="100" workbookViewId="0">
      <selection activeCell="C38" sqref="C38"/>
    </sheetView>
  </sheetViews>
  <sheetFormatPr defaultColWidth="9.140625" defaultRowHeight="12.75" x14ac:dyDescent="0.2"/>
  <cols>
    <col min="1" max="1" width="3" style="27" hidden="1" customWidth="1"/>
    <col min="2" max="2" width="32.140625" style="19" customWidth="1"/>
    <col min="3" max="3" width="9.140625" style="19" customWidth="1"/>
    <col min="4" max="15" width="10.42578125" style="19" customWidth="1"/>
    <col min="16" max="18" width="11.28515625" style="19" customWidth="1"/>
    <col min="19" max="16384" width="9.140625" style="19"/>
  </cols>
  <sheetData>
    <row r="1" spans="1:18" x14ac:dyDescent="0.2">
      <c r="A1" s="31"/>
      <c r="B1" s="23"/>
      <c r="C1" s="24"/>
      <c r="D1" s="24"/>
      <c r="E1" s="24"/>
      <c r="F1" s="24"/>
      <c r="G1" s="24"/>
      <c r="H1" s="24"/>
      <c r="I1" s="22" t="s">
        <v>203</v>
      </c>
      <c r="J1" s="24"/>
      <c r="K1" s="24"/>
      <c r="L1" s="24"/>
      <c r="M1" s="24"/>
      <c r="N1" s="24"/>
      <c r="O1" s="24"/>
      <c r="P1" s="34" t="s">
        <v>208</v>
      </c>
      <c r="Q1" s="33"/>
      <c r="R1" s="32" t="s">
        <v>204</v>
      </c>
    </row>
    <row r="2" spans="1:18" s="28" customFormat="1" x14ac:dyDescent="0.2">
      <c r="A2" s="30"/>
      <c r="B2" s="20"/>
      <c r="C2" s="25" t="s">
        <v>183</v>
      </c>
      <c r="D2" s="25" t="s">
        <v>185</v>
      </c>
      <c r="E2" s="25" t="s">
        <v>186</v>
      </c>
      <c r="F2" s="25" t="s">
        <v>187</v>
      </c>
      <c r="G2" s="25" t="s">
        <v>188</v>
      </c>
      <c r="H2" s="25" t="s">
        <v>189</v>
      </c>
      <c r="I2" s="25" t="s">
        <v>190</v>
      </c>
      <c r="J2" s="25" t="s">
        <v>191</v>
      </c>
      <c r="K2" s="25" t="s">
        <v>192</v>
      </c>
      <c r="L2" s="25" t="s">
        <v>193</v>
      </c>
      <c r="M2" s="25" t="s">
        <v>194</v>
      </c>
      <c r="N2" s="25" t="s">
        <v>195</v>
      </c>
      <c r="O2" s="25" t="s">
        <v>196</v>
      </c>
      <c r="P2" s="35" t="s">
        <v>207</v>
      </c>
      <c r="Q2" s="25" t="s">
        <v>197</v>
      </c>
      <c r="R2" s="36" t="s">
        <v>205</v>
      </c>
    </row>
    <row r="3" spans="1:18" x14ac:dyDescent="0.2">
      <c r="A3" s="1">
        <v>83</v>
      </c>
      <c r="B3" s="2" t="s">
        <v>211</v>
      </c>
      <c r="C3" s="9">
        <v>0</v>
      </c>
      <c r="D3" s="11">
        <v>0</v>
      </c>
      <c r="E3" s="11">
        <v>0</v>
      </c>
      <c r="F3" s="11">
        <v>0</v>
      </c>
      <c r="G3" s="11">
        <v>0</v>
      </c>
      <c r="H3" s="11">
        <v>0</v>
      </c>
      <c r="I3" s="9">
        <v>0</v>
      </c>
      <c r="J3" s="8">
        <v>0</v>
      </c>
      <c r="K3" s="7">
        <v>0</v>
      </c>
      <c r="L3" s="11">
        <v>127.08888888888889</v>
      </c>
      <c r="M3" s="11">
        <v>132.23333333333332</v>
      </c>
      <c r="N3" s="11">
        <v>115.17222222222222</v>
      </c>
      <c r="O3" s="11">
        <v>107.52222222222223</v>
      </c>
      <c r="P3" s="5">
        <v>0</v>
      </c>
      <c r="Q3" s="7">
        <v>23.994444444444444</v>
      </c>
      <c r="R3" s="16">
        <v>482.01666666666665</v>
      </c>
    </row>
    <row r="4" spans="1:18" x14ac:dyDescent="0.2">
      <c r="A4" s="1" t="s">
        <v>165</v>
      </c>
      <c r="B4" s="2" t="s">
        <v>169</v>
      </c>
      <c r="C4" s="9">
        <v>51.916666666666664</v>
      </c>
      <c r="D4" s="11">
        <v>65.333333333333329</v>
      </c>
      <c r="E4" s="11">
        <v>57.038888888888891</v>
      </c>
      <c r="F4" s="11">
        <v>48.155555555555559</v>
      </c>
      <c r="G4" s="11">
        <v>47.355555555555554</v>
      </c>
      <c r="H4" s="11">
        <v>54.166666666666664</v>
      </c>
      <c r="I4" s="9">
        <v>64.538888888888891</v>
      </c>
      <c r="J4" s="8">
        <v>49.611111111111114</v>
      </c>
      <c r="K4" s="9">
        <v>33.155555555555559</v>
      </c>
      <c r="L4" s="11">
        <v>0</v>
      </c>
      <c r="M4" s="11">
        <v>0</v>
      </c>
      <c r="N4" s="11">
        <v>0</v>
      </c>
      <c r="O4" s="11">
        <v>0</v>
      </c>
      <c r="P4" s="8">
        <v>1.461111111111111</v>
      </c>
      <c r="Q4" s="9">
        <v>56.266666666666666</v>
      </c>
      <c r="R4" s="16">
        <v>472.73333333333335</v>
      </c>
    </row>
    <row r="5" spans="1:18" x14ac:dyDescent="0.2">
      <c r="A5" s="1" t="s">
        <v>115</v>
      </c>
      <c r="B5" s="2" t="s">
        <v>116</v>
      </c>
      <c r="C5" s="9">
        <v>106.58333333333333</v>
      </c>
      <c r="D5" s="11">
        <v>121.3</v>
      </c>
      <c r="E5" s="11">
        <v>99.477777777777774</v>
      </c>
      <c r="F5" s="11">
        <v>109.95555555555555</v>
      </c>
      <c r="G5" s="11">
        <v>103.02222222222223</v>
      </c>
      <c r="H5" s="11">
        <v>125.56666666666666</v>
      </c>
      <c r="I5" s="9">
        <v>121.59444444444445</v>
      </c>
      <c r="J5" s="8">
        <v>161.34444444444443</v>
      </c>
      <c r="K5" s="9">
        <v>180.73888888888888</v>
      </c>
      <c r="L5" s="11">
        <v>173.94444444444446</v>
      </c>
      <c r="M5" s="11">
        <v>150.25</v>
      </c>
      <c r="N5" s="11">
        <v>120.90555555555555</v>
      </c>
      <c r="O5" s="11">
        <v>102.78333333333333</v>
      </c>
      <c r="P5" s="8">
        <v>28.877777777777776</v>
      </c>
      <c r="Q5" s="9">
        <v>185.34444444444443</v>
      </c>
      <c r="R5" s="16">
        <v>1706.3444444444444</v>
      </c>
    </row>
    <row r="6" spans="1:18" x14ac:dyDescent="0.2">
      <c r="A6" s="1">
        <v>74</v>
      </c>
      <c r="B6" s="2" t="s">
        <v>184</v>
      </c>
      <c r="C6" s="9">
        <v>176.8</v>
      </c>
      <c r="D6" s="11">
        <v>201.35555555555555</v>
      </c>
      <c r="E6" s="11">
        <v>204.27222222222221</v>
      </c>
      <c r="F6" s="11">
        <v>203.79444444444445</v>
      </c>
      <c r="G6" s="11">
        <v>211.06666666666666</v>
      </c>
      <c r="H6" s="11">
        <v>206.43333333333334</v>
      </c>
      <c r="I6" s="9">
        <v>216.0888888888889</v>
      </c>
      <c r="J6" s="8">
        <v>279.01666666666665</v>
      </c>
      <c r="K6" s="9">
        <v>229.42222222222222</v>
      </c>
      <c r="L6" s="11">
        <v>185.97222222222223</v>
      </c>
      <c r="M6" s="11">
        <v>85.077777777777783</v>
      </c>
      <c r="N6" s="11">
        <v>43.444444444444443</v>
      </c>
      <c r="O6" s="11">
        <v>0</v>
      </c>
      <c r="P6" s="8">
        <v>2</v>
      </c>
      <c r="Q6" s="9">
        <v>214.3111111111111</v>
      </c>
      <c r="R6" s="16">
        <v>2244.7444444444445</v>
      </c>
    </row>
    <row r="7" spans="1:18" x14ac:dyDescent="0.2">
      <c r="A7" s="29" t="s">
        <v>171</v>
      </c>
      <c r="B7" s="43" t="s">
        <v>178</v>
      </c>
      <c r="C7" s="14">
        <v>43.388888888888886</v>
      </c>
      <c r="D7" s="13">
        <v>25.372222222222224</v>
      </c>
      <c r="E7" s="13">
        <v>38.861111111111114</v>
      </c>
      <c r="F7" s="13">
        <v>26.738888888888887</v>
      </c>
      <c r="G7" s="13">
        <v>25.788888888888888</v>
      </c>
      <c r="H7" s="13">
        <v>25.216666666666665</v>
      </c>
      <c r="I7" s="14">
        <v>16.388888888888889</v>
      </c>
      <c r="J7" s="12">
        <v>17.738888888888887</v>
      </c>
      <c r="K7" s="14">
        <v>1.2222222222222223</v>
      </c>
      <c r="L7" s="13">
        <v>0</v>
      </c>
      <c r="M7" s="13">
        <v>0</v>
      </c>
      <c r="N7" s="13">
        <v>0</v>
      </c>
      <c r="O7" s="13">
        <v>0</v>
      </c>
      <c r="P7" s="12">
        <v>2.3277777777777779</v>
      </c>
      <c r="Q7" s="14">
        <v>34.43888888888889</v>
      </c>
      <c r="R7" s="18">
        <v>223.04444444444445</v>
      </c>
    </row>
    <row r="8" spans="1:18" x14ac:dyDescent="0.2">
      <c r="A8" s="1" t="s">
        <v>156</v>
      </c>
      <c r="B8" s="23" t="s">
        <v>150</v>
      </c>
      <c r="C8" s="7">
        <v>19.483333333333334</v>
      </c>
      <c r="D8" s="6">
        <v>19.3</v>
      </c>
      <c r="E8" s="6">
        <v>19.511111111111113</v>
      </c>
      <c r="F8" s="6">
        <v>21.4</v>
      </c>
      <c r="G8" s="6">
        <v>16.972222222222221</v>
      </c>
      <c r="H8" s="6">
        <v>19.705555555555556</v>
      </c>
      <c r="I8" s="7">
        <v>20</v>
      </c>
      <c r="J8" s="5">
        <v>20</v>
      </c>
      <c r="K8" s="7">
        <v>19.961111111111112</v>
      </c>
      <c r="L8" s="6">
        <v>0</v>
      </c>
      <c r="M8" s="6">
        <v>0</v>
      </c>
      <c r="N8" s="6">
        <v>0</v>
      </c>
      <c r="O8" s="6">
        <v>0</v>
      </c>
      <c r="P8" s="8">
        <v>2.2777777777777777</v>
      </c>
      <c r="Q8" s="9">
        <v>21.177777777777777</v>
      </c>
      <c r="R8" s="16">
        <v>178.61111111111111</v>
      </c>
    </row>
    <row r="9" spans="1:18" x14ac:dyDescent="0.2">
      <c r="A9" s="1" t="s">
        <v>71</v>
      </c>
      <c r="B9" s="2" t="s">
        <v>210</v>
      </c>
      <c r="C9" s="9">
        <v>0</v>
      </c>
      <c r="D9" s="11">
        <v>0</v>
      </c>
      <c r="E9" s="11">
        <v>0</v>
      </c>
      <c r="F9" s="11">
        <v>0</v>
      </c>
      <c r="G9" s="11">
        <v>0</v>
      </c>
      <c r="H9" s="11">
        <v>0</v>
      </c>
      <c r="I9" s="9">
        <v>0</v>
      </c>
      <c r="J9" s="8">
        <v>75.261111111111106</v>
      </c>
      <c r="K9" s="9">
        <v>53.238888888888887</v>
      </c>
      <c r="L9" s="11">
        <v>43.516666666666666</v>
      </c>
      <c r="M9" s="11">
        <v>24.261111111111113</v>
      </c>
      <c r="N9" s="11">
        <v>16.105555555555554</v>
      </c>
      <c r="O9" s="11">
        <v>6.7111111111111112</v>
      </c>
      <c r="P9" s="8">
        <v>0</v>
      </c>
      <c r="Q9" s="9">
        <v>38.961111111111109</v>
      </c>
      <c r="R9" s="16">
        <v>219.09444444444443</v>
      </c>
    </row>
    <row r="10" spans="1:18" x14ac:dyDescent="0.2">
      <c r="A10" s="1" t="s">
        <v>129</v>
      </c>
      <c r="B10" s="2" t="s">
        <v>130</v>
      </c>
      <c r="C10" s="9">
        <v>77.788888888888891</v>
      </c>
      <c r="D10" s="11">
        <v>75</v>
      </c>
      <c r="E10" s="11">
        <v>72.766666666666666</v>
      </c>
      <c r="F10" s="11">
        <v>75</v>
      </c>
      <c r="G10" s="11">
        <v>75</v>
      </c>
      <c r="H10" s="11">
        <v>73.322222222222223</v>
      </c>
      <c r="I10" s="9">
        <v>74.644444444444446</v>
      </c>
      <c r="J10" s="8">
        <v>0</v>
      </c>
      <c r="K10" s="9">
        <v>0</v>
      </c>
      <c r="L10" s="11">
        <v>0</v>
      </c>
      <c r="M10" s="11">
        <v>0</v>
      </c>
      <c r="N10" s="11">
        <v>0</v>
      </c>
      <c r="O10" s="11">
        <v>0</v>
      </c>
      <c r="P10" s="8">
        <v>2.6777777777777776</v>
      </c>
      <c r="Q10" s="9">
        <v>50.427777777777777</v>
      </c>
      <c r="R10" s="16">
        <v>526.20000000000005</v>
      </c>
    </row>
    <row r="11" spans="1:18" x14ac:dyDescent="0.2">
      <c r="A11" s="1" t="s">
        <v>64</v>
      </c>
      <c r="B11" s="2" t="s">
        <v>65</v>
      </c>
      <c r="C11" s="9">
        <v>74.572222222222223</v>
      </c>
      <c r="D11" s="11">
        <v>76.87777777777778</v>
      </c>
      <c r="E11" s="11">
        <v>75.472222222222229</v>
      </c>
      <c r="F11" s="11">
        <v>76.322222222222223</v>
      </c>
      <c r="G11" s="11">
        <v>77.638888888888886</v>
      </c>
      <c r="H11" s="11">
        <v>77.2</v>
      </c>
      <c r="I11" s="9">
        <v>73.527777777777771</v>
      </c>
      <c r="J11" s="8">
        <v>69</v>
      </c>
      <c r="K11" s="9">
        <v>58.494444444444447</v>
      </c>
      <c r="L11" s="11">
        <v>0</v>
      </c>
      <c r="M11" s="11">
        <v>0</v>
      </c>
      <c r="N11" s="11">
        <v>0</v>
      </c>
      <c r="O11" s="11">
        <v>0</v>
      </c>
      <c r="P11" s="8">
        <v>1.1333333333333333</v>
      </c>
      <c r="Q11" s="9">
        <v>63.544444444444444</v>
      </c>
      <c r="R11" s="16">
        <v>660.23888888888882</v>
      </c>
    </row>
    <row r="12" spans="1:18" x14ac:dyDescent="0.2">
      <c r="A12" s="29">
        <v>87</v>
      </c>
      <c r="B12" s="43" t="s">
        <v>43</v>
      </c>
      <c r="C12" s="14">
        <v>0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4">
        <v>0</v>
      </c>
      <c r="J12" s="12">
        <v>0</v>
      </c>
      <c r="K12" s="14">
        <v>22.677777777777777</v>
      </c>
      <c r="L12" s="13">
        <v>51.788888888888891</v>
      </c>
      <c r="M12" s="13">
        <v>41.538888888888891</v>
      </c>
      <c r="N12" s="13">
        <v>40.505555555555553</v>
      </c>
      <c r="O12" s="13">
        <v>35.694444444444443</v>
      </c>
      <c r="P12" s="12">
        <v>8.9833333333333325</v>
      </c>
      <c r="Q12" s="14">
        <v>30.011111111111113</v>
      </c>
      <c r="R12" s="18">
        <v>201.18888888888887</v>
      </c>
    </row>
    <row r="13" spans="1:18" x14ac:dyDescent="0.2">
      <c r="A13" s="1" t="s">
        <v>76</v>
      </c>
      <c r="B13" s="23" t="s">
        <v>77</v>
      </c>
      <c r="C13" s="7">
        <v>34.06111111111111</v>
      </c>
      <c r="D13" s="6">
        <v>90.75</v>
      </c>
      <c r="E13" s="6">
        <v>77.194444444444443</v>
      </c>
      <c r="F13" s="6">
        <v>58.016666666666666</v>
      </c>
      <c r="G13" s="6">
        <v>69.077777777777783</v>
      </c>
      <c r="H13" s="6">
        <v>60.583333333333336</v>
      </c>
      <c r="I13" s="7">
        <v>40.93888888888889</v>
      </c>
      <c r="J13" s="5">
        <v>0</v>
      </c>
      <c r="K13" s="7">
        <v>0</v>
      </c>
      <c r="L13" s="6">
        <v>0</v>
      </c>
      <c r="M13" s="6">
        <v>0</v>
      </c>
      <c r="N13" s="6">
        <v>0</v>
      </c>
      <c r="O13" s="6">
        <v>0</v>
      </c>
      <c r="P13" s="8">
        <v>5.5555555555555558E-3</v>
      </c>
      <c r="Q13" s="9">
        <v>37.411111111111111</v>
      </c>
      <c r="R13" s="16">
        <v>430.62777777777774</v>
      </c>
    </row>
    <row r="14" spans="1:18" x14ac:dyDescent="0.2">
      <c r="A14" s="1" t="s">
        <v>137</v>
      </c>
      <c r="B14" s="2" t="s">
        <v>138</v>
      </c>
      <c r="C14" s="9">
        <v>0</v>
      </c>
      <c r="D14" s="11">
        <v>133.65555555555557</v>
      </c>
      <c r="E14" s="11">
        <v>130.38333333333333</v>
      </c>
      <c r="F14" s="11">
        <v>122.38888888888889</v>
      </c>
      <c r="G14" s="11">
        <v>81.427777777777777</v>
      </c>
      <c r="H14" s="11">
        <v>83.794444444444451</v>
      </c>
      <c r="I14" s="9">
        <v>98.555555555555557</v>
      </c>
      <c r="J14" s="8">
        <v>47.044444444444444</v>
      </c>
      <c r="K14" s="9">
        <v>77.099999999999994</v>
      </c>
      <c r="L14" s="11">
        <v>74.37777777777778</v>
      </c>
      <c r="M14" s="11">
        <v>64.011111111111106</v>
      </c>
      <c r="N14" s="11">
        <v>55.138888888888886</v>
      </c>
      <c r="O14" s="11">
        <v>39.083333333333336</v>
      </c>
      <c r="P14" s="8">
        <v>16.827777777777779</v>
      </c>
      <c r="Q14" s="9">
        <v>49.711111111111109</v>
      </c>
      <c r="R14" s="16">
        <v>1023.788888888889</v>
      </c>
    </row>
    <row r="15" spans="1:18" x14ac:dyDescent="0.2">
      <c r="A15" s="1" t="s">
        <v>86</v>
      </c>
      <c r="B15" s="2" t="s">
        <v>87</v>
      </c>
      <c r="C15" s="9">
        <v>75.416666666666671</v>
      </c>
      <c r="D15" s="11">
        <v>71.061111111111117</v>
      </c>
      <c r="E15" s="11">
        <v>50.716666666666669</v>
      </c>
      <c r="F15" s="11">
        <v>54.18888888888889</v>
      </c>
      <c r="G15" s="11">
        <v>46.022222222222226</v>
      </c>
      <c r="H15" s="11">
        <v>37.922222222222224</v>
      </c>
      <c r="I15" s="9">
        <v>36.799999999999997</v>
      </c>
      <c r="J15" s="8">
        <v>19.788888888888888</v>
      </c>
      <c r="K15" s="9">
        <v>21.988888888888887</v>
      </c>
      <c r="L15" s="11">
        <v>0</v>
      </c>
      <c r="M15" s="11">
        <v>0</v>
      </c>
      <c r="N15" s="11">
        <v>0</v>
      </c>
      <c r="O15" s="11">
        <v>0</v>
      </c>
      <c r="P15" s="8">
        <v>0</v>
      </c>
      <c r="Q15" s="9">
        <v>34.794444444444444</v>
      </c>
      <c r="R15" s="16">
        <v>413.90555555555557</v>
      </c>
    </row>
    <row r="16" spans="1:18" x14ac:dyDescent="0.2">
      <c r="A16" s="1" t="s">
        <v>104</v>
      </c>
      <c r="B16" s="2" t="s">
        <v>105</v>
      </c>
      <c r="C16" s="9">
        <v>70.655555555555551</v>
      </c>
      <c r="D16" s="11">
        <v>74.144444444444446</v>
      </c>
      <c r="E16" s="11">
        <v>74.966666666666669</v>
      </c>
      <c r="F16" s="11">
        <v>73.811111111111117</v>
      </c>
      <c r="G16" s="11">
        <v>74.016666666666666</v>
      </c>
      <c r="H16" s="11">
        <v>73.63333333333334</v>
      </c>
      <c r="I16" s="9">
        <v>71.188888888888883</v>
      </c>
      <c r="J16" s="8">
        <v>75.911111111111111</v>
      </c>
      <c r="K16" s="9">
        <v>75.016666666666666</v>
      </c>
      <c r="L16" s="11">
        <v>68.183333333333337</v>
      </c>
      <c r="M16" s="11">
        <v>0</v>
      </c>
      <c r="N16" s="11">
        <v>0</v>
      </c>
      <c r="O16" s="11">
        <v>0</v>
      </c>
      <c r="P16" s="8">
        <v>5.6444444444444448</v>
      </c>
      <c r="Q16" s="9">
        <v>81.466666666666669</v>
      </c>
      <c r="R16" s="16">
        <v>737.17222222222222</v>
      </c>
    </row>
    <row r="17" spans="1:18" x14ac:dyDescent="0.2">
      <c r="A17" s="29" t="s">
        <v>146</v>
      </c>
      <c r="B17" s="43" t="s">
        <v>147</v>
      </c>
      <c r="C17" s="14">
        <v>0</v>
      </c>
      <c r="D17" s="13">
        <v>0</v>
      </c>
      <c r="E17" s="13">
        <v>0</v>
      </c>
      <c r="F17" s="13">
        <v>0</v>
      </c>
      <c r="G17" s="13">
        <v>0</v>
      </c>
      <c r="H17" s="13">
        <v>0</v>
      </c>
      <c r="I17" s="14">
        <v>0</v>
      </c>
      <c r="J17" s="12">
        <v>0</v>
      </c>
      <c r="K17" s="14">
        <v>0</v>
      </c>
      <c r="L17" s="13">
        <v>56.616666666666667</v>
      </c>
      <c r="M17" s="13">
        <v>84.36666666666666</v>
      </c>
      <c r="N17" s="13">
        <v>77.849999999999994</v>
      </c>
      <c r="O17" s="13">
        <v>87.688888888888883</v>
      </c>
      <c r="P17" s="12">
        <v>2.5777777777777779</v>
      </c>
      <c r="Q17" s="14">
        <v>45.916666666666664</v>
      </c>
      <c r="R17" s="18">
        <v>309.09999999999997</v>
      </c>
    </row>
    <row r="18" spans="1:18" x14ac:dyDescent="0.2">
      <c r="A18" s="1" t="s">
        <v>96</v>
      </c>
      <c r="B18" s="23" t="s">
        <v>97</v>
      </c>
      <c r="C18" s="7">
        <v>46.894444444444446</v>
      </c>
      <c r="D18" s="6">
        <v>46.43888888888889</v>
      </c>
      <c r="E18" s="6">
        <v>48.927777777777777</v>
      </c>
      <c r="F18" s="6">
        <v>51.238888888888887</v>
      </c>
      <c r="G18" s="6">
        <v>52.37222222222222</v>
      </c>
      <c r="H18" s="6">
        <v>54.366666666666667</v>
      </c>
      <c r="I18" s="7">
        <v>0</v>
      </c>
      <c r="J18" s="5">
        <v>0</v>
      </c>
      <c r="K18" s="7">
        <v>0</v>
      </c>
      <c r="L18" s="6">
        <v>0</v>
      </c>
      <c r="M18" s="6">
        <v>0</v>
      </c>
      <c r="N18" s="6">
        <v>0</v>
      </c>
      <c r="O18" s="6">
        <v>0</v>
      </c>
      <c r="P18" s="8">
        <v>2.7833333333333332</v>
      </c>
      <c r="Q18" s="9">
        <v>44.944444444444443</v>
      </c>
      <c r="R18" s="16">
        <v>303.02222222222224</v>
      </c>
    </row>
    <row r="19" spans="1:18" x14ac:dyDescent="0.2">
      <c r="A19" s="1" t="s">
        <v>167</v>
      </c>
      <c r="B19" s="2" t="s">
        <v>170</v>
      </c>
      <c r="C19" s="9">
        <v>77.305555555555557</v>
      </c>
      <c r="D19" s="11">
        <v>74.205555555555549</v>
      </c>
      <c r="E19" s="11">
        <v>75.961111111111109</v>
      </c>
      <c r="F19" s="11">
        <v>74.655555555555551</v>
      </c>
      <c r="G19" s="11">
        <v>71.794444444444451</v>
      </c>
      <c r="H19" s="11">
        <v>71.833333333333329</v>
      </c>
      <c r="I19" s="9">
        <v>66.166666666666671</v>
      </c>
      <c r="J19" s="8">
        <v>44.694444444444443</v>
      </c>
      <c r="K19" s="9">
        <v>0</v>
      </c>
      <c r="L19" s="11">
        <v>0</v>
      </c>
      <c r="M19" s="11">
        <v>0</v>
      </c>
      <c r="N19" s="11">
        <v>0</v>
      </c>
      <c r="O19" s="11">
        <v>0</v>
      </c>
      <c r="P19" s="8">
        <v>5.5555555555555558E-3</v>
      </c>
      <c r="Q19" s="9">
        <v>50.15</v>
      </c>
      <c r="R19" s="16">
        <v>556.62222222222226</v>
      </c>
    </row>
    <row r="20" spans="1:18" x14ac:dyDescent="0.2">
      <c r="A20" s="1" t="s">
        <v>72</v>
      </c>
      <c r="B20" s="2" t="s">
        <v>73</v>
      </c>
      <c r="C20" s="9">
        <v>102.73333333333333</v>
      </c>
      <c r="D20" s="11">
        <v>103.54444444444445</v>
      </c>
      <c r="E20" s="11">
        <v>101.79444444444445</v>
      </c>
      <c r="F20" s="11">
        <v>104.35555555555555</v>
      </c>
      <c r="G20" s="11">
        <v>102.04444444444445</v>
      </c>
      <c r="H20" s="11">
        <v>104.04444444444445</v>
      </c>
      <c r="I20" s="9">
        <v>104.91666666666667</v>
      </c>
      <c r="J20" s="8">
        <v>107.14444444444445</v>
      </c>
      <c r="K20" s="9">
        <v>92.277777777777771</v>
      </c>
      <c r="L20" s="11">
        <v>63.81666666666667</v>
      </c>
      <c r="M20" s="11">
        <v>0</v>
      </c>
      <c r="N20" s="11">
        <v>0</v>
      </c>
      <c r="O20" s="11">
        <v>0</v>
      </c>
      <c r="P20" s="8">
        <v>1.2611111111111111</v>
      </c>
      <c r="Q20" s="9">
        <v>92.733333333333334</v>
      </c>
      <c r="R20" s="16">
        <v>987.93333333333351</v>
      </c>
    </row>
    <row r="21" spans="1:18" x14ac:dyDescent="0.2">
      <c r="A21" s="1" t="s">
        <v>113</v>
      </c>
      <c r="B21" s="2" t="s">
        <v>114</v>
      </c>
      <c r="C21" s="9">
        <v>76.444444444444443</v>
      </c>
      <c r="D21" s="11">
        <v>75.938888888888883</v>
      </c>
      <c r="E21" s="11">
        <v>78.822222222222223</v>
      </c>
      <c r="F21" s="11">
        <v>74.599999999999994</v>
      </c>
      <c r="G21" s="11">
        <v>77.322222222222223</v>
      </c>
      <c r="H21" s="11">
        <v>74.400000000000006</v>
      </c>
      <c r="I21" s="9">
        <v>76.099999999999994</v>
      </c>
      <c r="J21" s="8">
        <v>68.911111111111111</v>
      </c>
      <c r="K21" s="9">
        <v>56.355555555555554</v>
      </c>
      <c r="L21" s="11">
        <v>0</v>
      </c>
      <c r="M21" s="11">
        <v>0</v>
      </c>
      <c r="N21" s="11">
        <v>0</v>
      </c>
      <c r="O21" s="11">
        <v>0</v>
      </c>
      <c r="P21" s="8">
        <v>1.8222222222222222</v>
      </c>
      <c r="Q21" s="9">
        <v>70.811111111111117</v>
      </c>
      <c r="R21" s="16">
        <v>660.7166666666667</v>
      </c>
    </row>
    <row r="22" spans="1:18" x14ac:dyDescent="0.2">
      <c r="A22" s="29">
        <v>98</v>
      </c>
      <c r="B22" s="43" t="s">
        <v>49</v>
      </c>
      <c r="C22" s="14">
        <v>0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4">
        <v>0</v>
      </c>
      <c r="J22" s="12">
        <v>0</v>
      </c>
      <c r="K22" s="14">
        <v>0</v>
      </c>
      <c r="L22" s="13">
        <v>33.43888888888889</v>
      </c>
      <c r="M22" s="13">
        <v>51.366666666666667</v>
      </c>
      <c r="N22" s="13">
        <v>61.905555555555559</v>
      </c>
      <c r="O22" s="13">
        <v>71.961111111111109</v>
      </c>
      <c r="P22" s="12">
        <v>0</v>
      </c>
      <c r="Q22" s="14">
        <v>32.361111111111114</v>
      </c>
      <c r="R22" s="18">
        <v>218.67222222222222</v>
      </c>
    </row>
    <row r="23" spans="1:18" x14ac:dyDescent="0.2">
      <c r="A23" s="1">
        <v>82</v>
      </c>
      <c r="B23" s="23" t="s">
        <v>41</v>
      </c>
      <c r="C23" s="7">
        <v>77.733333333333334</v>
      </c>
      <c r="D23" s="6">
        <v>100.35555555555555</v>
      </c>
      <c r="E23" s="6">
        <v>75.894444444444446</v>
      </c>
      <c r="F23" s="6">
        <v>76.738888888888894</v>
      </c>
      <c r="G23" s="6">
        <v>75.583333333333329</v>
      </c>
      <c r="H23" s="6">
        <v>74.933333333333337</v>
      </c>
      <c r="I23" s="7">
        <v>72.466666666666669</v>
      </c>
      <c r="J23" s="5">
        <v>69.316666666666663</v>
      </c>
      <c r="K23" s="7">
        <v>75.661111111111111</v>
      </c>
      <c r="L23" s="6">
        <v>39.205555555555556</v>
      </c>
      <c r="M23" s="6">
        <v>0</v>
      </c>
      <c r="N23" s="6">
        <v>0</v>
      </c>
      <c r="O23" s="11">
        <v>0</v>
      </c>
      <c r="P23" s="8">
        <v>7.2111111111111112</v>
      </c>
      <c r="Q23" s="9">
        <v>58.244444444444447</v>
      </c>
      <c r="R23" s="16">
        <v>745.1</v>
      </c>
    </row>
    <row r="24" spans="1:18" x14ac:dyDescent="0.2">
      <c r="A24" s="1" t="s">
        <v>111</v>
      </c>
      <c r="B24" s="2" t="s">
        <v>112</v>
      </c>
      <c r="C24" s="9">
        <v>67.8</v>
      </c>
      <c r="D24" s="11">
        <v>89.65</v>
      </c>
      <c r="E24" s="11">
        <v>89.63333333333334</v>
      </c>
      <c r="F24" s="11">
        <v>78.288888888888891</v>
      </c>
      <c r="G24" s="11">
        <v>95.716666666666669</v>
      </c>
      <c r="H24" s="11">
        <v>78.75</v>
      </c>
      <c r="I24" s="9">
        <v>83.45</v>
      </c>
      <c r="J24" s="8">
        <v>35.538888888888891</v>
      </c>
      <c r="K24" s="9">
        <v>33.716666666666669</v>
      </c>
      <c r="L24" s="11">
        <v>0</v>
      </c>
      <c r="M24" s="11">
        <v>0</v>
      </c>
      <c r="N24" s="11">
        <v>0</v>
      </c>
      <c r="O24" s="11">
        <v>0</v>
      </c>
      <c r="P24" s="8">
        <v>15.266666666666667</v>
      </c>
      <c r="Q24" s="9">
        <v>73.033333333333331</v>
      </c>
      <c r="R24" s="16">
        <v>667.81111111111125</v>
      </c>
    </row>
    <row r="25" spans="1:18" x14ac:dyDescent="0.2">
      <c r="A25" s="1" t="s">
        <v>94</v>
      </c>
      <c r="B25" s="2" t="s">
        <v>95</v>
      </c>
      <c r="C25" s="9">
        <v>122.87222222222222</v>
      </c>
      <c r="D25" s="11">
        <v>128.26111111111112</v>
      </c>
      <c r="E25" s="11">
        <v>151.72222222222223</v>
      </c>
      <c r="F25" s="11">
        <v>128.46111111111111</v>
      </c>
      <c r="G25" s="11">
        <v>109.24444444444444</v>
      </c>
      <c r="H25" s="11">
        <v>129.36666666666667</v>
      </c>
      <c r="I25" s="9">
        <v>86.95</v>
      </c>
      <c r="J25" s="8">
        <v>61.35</v>
      </c>
      <c r="K25" s="9">
        <v>39.522222222222226</v>
      </c>
      <c r="L25" s="11">
        <v>0</v>
      </c>
      <c r="M25" s="11">
        <v>0</v>
      </c>
      <c r="N25" s="11">
        <v>0</v>
      </c>
      <c r="O25" s="11">
        <v>0</v>
      </c>
      <c r="P25" s="8">
        <v>4.9833333333333334</v>
      </c>
      <c r="Q25" s="9">
        <v>75.283333333333331</v>
      </c>
      <c r="R25" s="16">
        <v>962.73333333333335</v>
      </c>
    </row>
    <row r="26" spans="1:18" x14ac:dyDescent="0.2">
      <c r="A26" s="1" t="s">
        <v>162</v>
      </c>
      <c r="B26" s="2" t="s">
        <v>151</v>
      </c>
      <c r="C26" s="9">
        <v>61.772222222222226</v>
      </c>
      <c r="D26" s="11">
        <v>68.105555555555554</v>
      </c>
      <c r="E26" s="11">
        <v>71.388888888888886</v>
      </c>
      <c r="F26" s="11">
        <v>68.344444444444449</v>
      </c>
      <c r="G26" s="11">
        <v>58.25</v>
      </c>
      <c r="H26" s="11">
        <v>59.233333333333334</v>
      </c>
      <c r="I26" s="9">
        <v>36.799999999999997</v>
      </c>
      <c r="J26" s="8">
        <v>0</v>
      </c>
      <c r="K26" s="9">
        <v>0</v>
      </c>
      <c r="L26" s="11">
        <v>0</v>
      </c>
      <c r="M26" s="11">
        <v>0</v>
      </c>
      <c r="N26" s="11">
        <v>0</v>
      </c>
      <c r="O26" s="11">
        <v>0</v>
      </c>
      <c r="P26" s="8">
        <v>0.19444444444444445</v>
      </c>
      <c r="Q26" s="9">
        <v>35.56666666666667</v>
      </c>
      <c r="R26" s="16">
        <v>424.0888888888889</v>
      </c>
    </row>
    <row r="27" spans="1:18" x14ac:dyDescent="0.2">
      <c r="A27" s="29" t="s">
        <v>55</v>
      </c>
      <c r="B27" s="43" t="s">
        <v>56</v>
      </c>
      <c r="C27" s="14">
        <v>25.255555555555556</v>
      </c>
      <c r="D27" s="13">
        <v>22.655555555555555</v>
      </c>
      <c r="E27" s="13">
        <v>23.93888888888889</v>
      </c>
      <c r="F27" s="13">
        <v>22.261111111111113</v>
      </c>
      <c r="G27" s="13">
        <v>23.044444444444444</v>
      </c>
      <c r="H27" s="13">
        <v>0</v>
      </c>
      <c r="I27" s="14">
        <v>0</v>
      </c>
      <c r="J27" s="12">
        <v>0</v>
      </c>
      <c r="K27" s="14">
        <v>0</v>
      </c>
      <c r="L27" s="13">
        <v>0</v>
      </c>
      <c r="M27" s="13">
        <v>0</v>
      </c>
      <c r="N27" s="13">
        <v>0</v>
      </c>
      <c r="O27" s="13">
        <v>0</v>
      </c>
      <c r="P27" s="12">
        <v>3.1333333333333333</v>
      </c>
      <c r="Q27" s="14">
        <v>8.2388888888888889</v>
      </c>
      <c r="R27" s="18">
        <v>120.28888888888889</v>
      </c>
    </row>
    <row r="28" spans="1:18" x14ac:dyDescent="0.2">
      <c r="A28" s="1" t="s">
        <v>123</v>
      </c>
      <c r="B28" s="23" t="s">
        <v>124</v>
      </c>
      <c r="C28" s="7">
        <v>76.527777777777771</v>
      </c>
      <c r="D28" s="6">
        <v>76.166666666666671</v>
      </c>
      <c r="E28" s="6">
        <v>76.944444444444443</v>
      </c>
      <c r="F28" s="6">
        <v>76.944444444444443</v>
      </c>
      <c r="G28" s="6">
        <v>75.894444444444446</v>
      </c>
      <c r="H28" s="6">
        <v>76.36666666666666</v>
      </c>
      <c r="I28" s="7">
        <v>102.57777777777778</v>
      </c>
      <c r="J28" s="5">
        <v>92.1</v>
      </c>
      <c r="K28" s="7">
        <v>81.172222222222217</v>
      </c>
      <c r="L28" s="6">
        <v>62.244444444444447</v>
      </c>
      <c r="M28" s="6">
        <v>0</v>
      </c>
      <c r="N28" s="6">
        <v>0</v>
      </c>
      <c r="O28" s="11">
        <v>0</v>
      </c>
      <c r="P28" s="8">
        <v>6</v>
      </c>
      <c r="Q28" s="9">
        <v>89.2</v>
      </c>
      <c r="R28" s="16">
        <v>802.93888888888887</v>
      </c>
    </row>
    <row r="29" spans="1:18" x14ac:dyDescent="0.2">
      <c r="A29" s="1" t="s">
        <v>172</v>
      </c>
      <c r="B29" s="2" t="s">
        <v>179</v>
      </c>
      <c r="C29" s="9">
        <v>49.383333333333333</v>
      </c>
      <c r="D29" s="11">
        <v>66.905555555555551</v>
      </c>
      <c r="E29" s="11">
        <v>45.93333333333333</v>
      </c>
      <c r="F29" s="11">
        <v>69.972222222222229</v>
      </c>
      <c r="G29" s="11">
        <v>52.272222222222226</v>
      </c>
      <c r="H29" s="11">
        <v>48.305555555555557</v>
      </c>
      <c r="I29" s="9">
        <v>53.344444444444441</v>
      </c>
      <c r="J29" s="8">
        <v>83.338888888888889</v>
      </c>
      <c r="K29" s="9">
        <v>70.288888888888891</v>
      </c>
      <c r="L29" s="11">
        <v>0</v>
      </c>
      <c r="M29" s="11">
        <v>0</v>
      </c>
      <c r="N29" s="11">
        <v>0</v>
      </c>
      <c r="O29" s="11">
        <v>0</v>
      </c>
      <c r="P29" s="8">
        <v>0</v>
      </c>
      <c r="Q29" s="9">
        <v>50.483333333333334</v>
      </c>
      <c r="R29" s="16">
        <v>539.74444444444453</v>
      </c>
    </row>
    <row r="30" spans="1:18" x14ac:dyDescent="0.2">
      <c r="A30" s="1" t="s">
        <v>62</v>
      </c>
      <c r="B30" s="2" t="s">
        <v>63</v>
      </c>
      <c r="C30" s="9">
        <v>0</v>
      </c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9">
        <v>0</v>
      </c>
      <c r="J30" s="8">
        <v>0</v>
      </c>
      <c r="K30" s="9">
        <v>0</v>
      </c>
      <c r="L30" s="11">
        <v>58.888888888888886</v>
      </c>
      <c r="M30" s="11">
        <v>43.355555555555554</v>
      </c>
      <c r="N30" s="11">
        <v>31.233333333333334</v>
      </c>
      <c r="O30" s="11">
        <v>21.56111111111111</v>
      </c>
      <c r="P30" s="8">
        <v>0</v>
      </c>
      <c r="Q30" s="9">
        <v>18.294444444444444</v>
      </c>
      <c r="R30" s="16">
        <v>155.03888888888886</v>
      </c>
    </row>
    <row r="31" spans="1:18" x14ac:dyDescent="0.2">
      <c r="A31" s="1" t="s">
        <v>141</v>
      </c>
      <c r="B31" s="2" t="s">
        <v>142</v>
      </c>
      <c r="C31" s="9">
        <v>0</v>
      </c>
      <c r="D31" s="11">
        <v>0</v>
      </c>
      <c r="E31" s="11">
        <v>0</v>
      </c>
      <c r="F31" s="11">
        <v>0</v>
      </c>
      <c r="G31" s="11">
        <v>0</v>
      </c>
      <c r="H31" s="11">
        <v>0</v>
      </c>
      <c r="I31" s="9">
        <v>0</v>
      </c>
      <c r="J31" s="8">
        <v>0</v>
      </c>
      <c r="K31" s="9">
        <v>0</v>
      </c>
      <c r="L31" s="11">
        <v>0</v>
      </c>
      <c r="M31" s="11">
        <v>0</v>
      </c>
      <c r="N31" s="11">
        <v>115.26666666666667</v>
      </c>
      <c r="O31" s="11">
        <v>117.80555555555556</v>
      </c>
      <c r="P31" s="8">
        <v>0</v>
      </c>
      <c r="Q31" s="9">
        <v>3.1333333333333333</v>
      </c>
      <c r="R31" s="16">
        <v>233.07222222222222</v>
      </c>
    </row>
    <row r="32" spans="1:18" x14ac:dyDescent="0.2">
      <c r="A32" s="29" t="s">
        <v>59</v>
      </c>
      <c r="B32" s="43" t="s">
        <v>212</v>
      </c>
      <c r="C32" s="14">
        <v>80.422222222222217</v>
      </c>
      <c r="D32" s="13">
        <v>101.2</v>
      </c>
      <c r="E32" s="13">
        <v>100.02777777777777</v>
      </c>
      <c r="F32" s="13">
        <v>104.21666666666667</v>
      </c>
      <c r="G32" s="13">
        <v>97.738888888888894</v>
      </c>
      <c r="H32" s="13">
        <v>94.961111111111109</v>
      </c>
      <c r="I32" s="14">
        <v>67.011111111111106</v>
      </c>
      <c r="J32" s="12">
        <v>46.077777777777776</v>
      </c>
      <c r="K32" s="14">
        <v>39.383333333333333</v>
      </c>
      <c r="L32" s="13">
        <v>18.394444444444446</v>
      </c>
      <c r="M32" s="13">
        <v>0</v>
      </c>
      <c r="N32" s="13">
        <v>0</v>
      </c>
      <c r="O32" s="13">
        <v>0</v>
      </c>
      <c r="P32" s="12">
        <v>7.2111111111111112</v>
      </c>
      <c r="Q32" s="14">
        <v>76.188888888888883</v>
      </c>
      <c r="R32" s="18">
        <v>756.64444444444439</v>
      </c>
    </row>
    <row r="33" spans="1:18" x14ac:dyDescent="0.2">
      <c r="A33" s="1">
        <v>93</v>
      </c>
      <c r="B33" s="23" t="s">
        <v>46</v>
      </c>
      <c r="C33" s="7">
        <v>20</v>
      </c>
      <c r="D33" s="6">
        <v>19.388888888888889</v>
      </c>
      <c r="E33" s="6">
        <v>21</v>
      </c>
      <c r="F33" s="6">
        <v>22.111111111111111</v>
      </c>
      <c r="G33" s="6">
        <v>21.761111111111113</v>
      </c>
      <c r="H33" s="6">
        <v>18.472222222222221</v>
      </c>
      <c r="I33" s="7">
        <v>21.461111111111112</v>
      </c>
      <c r="J33" s="5">
        <v>22</v>
      </c>
      <c r="K33" s="7">
        <v>12.627777777777778</v>
      </c>
      <c r="L33" s="6">
        <v>0</v>
      </c>
      <c r="M33" s="6">
        <v>0</v>
      </c>
      <c r="N33" s="6">
        <v>0</v>
      </c>
      <c r="O33" s="6">
        <v>0</v>
      </c>
      <c r="P33" s="8">
        <v>3</v>
      </c>
      <c r="Q33" s="9">
        <v>19.427777777777777</v>
      </c>
      <c r="R33" s="16">
        <v>181.82222222222222</v>
      </c>
    </row>
    <row r="34" spans="1:18" x14ac:dyDescent="0.2">
      <c r="A34" s="1" t="s">
        <v>66</v>
      </c>
      <c r="B34" s="2" t="s">
        <v>67</v>
      </c>
      <c r="C34" s="9">
        <v>0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9">
        <v>0</v>
      </c>
      <c r="J34" s="8">
        <v>102.16666666666667</v>
      </c>
      <c r="K34" s="9">
        <v>98.077777777777783</v>
      </c>
      <c r="L34" s="11">
        <v>125.01666666666667</v>
      </c>
      <c r="M34" s="11">
        <v>106.12777777777778</v>
      </c>
      <c r="N34" s="11">
        <v>87.888888888888886</v>
      </c>
      <c r="O34" s="11">
        <v>63.238888888888887</v>
      </c>
      <c r="P34" s="8">
        <v>0</v>
      </c>
      <c r="Q34" s="9">
        <v>41.755555555555553</v>
      </c>
      <c r="R34" s="16">
        <v>582.51666666666677</v>
      </c>
    </row>
    <row r="35" spans="1:18" x14ac:dyDescent="0.2">
      <c r="A35" s="1" t="s">
        <v>82</v>
      </c>
      <c r="B35" s="2" t="s">
        <v>83</v>
      </c>
      <c r="C35" s="9">
        <v>97.49444444444444</v>
      </c>
      <c r="D35" s="11">
        <v>74.37777777777778</v>
      </c>
      <c r="E35" s="11">
        <v>98.15</v>
      </c>
      <c r="F35" s="11">
        <v>96.4</v>
      </c>
      <c r="G35" s="11">
        <v>96.75555555555556</v>
      </c>
      <c r="H35" s="11">
        <v>98.95</v>
      </c>
      <c r="I35" s="9">
        <v>99.016666666666666</v>
      </c>
      <c r="J35" s="8">
        <v>71.24444444444444</v>
      </c>
      <c r="K35" s="9">
        <v>56.261111111111113</v>
      </c>
      <c r="L35" s="11">
        <v>26.005555555555556</v>
      </c>
      <c r="M35" s="11">
        <v>0</v>
      </c>
      <c r="N35" s="11">
        <v>0</v>
      </c>
      <c r="O35" s="11">
        <v>0</v>
      </c>
      <c r="P35" s="8">
        <v>4.5777777777777775</v>
      </c>
      <c r="Q35" s="9">
        <v>68.155555555555551</v>
      </c>
      <c r="R35" s="16">
        <v>819.23333333333335</v>
      </c>
    </row>
    <row r="36" spans="1:18" x14ac:dyDescent="0.2">
      <c r="A36" s="1" t="s">
        <v>92</v>
      </c>
      <c r="B36" s="2" t="s">
        <v>93</v>
      </c>
      <c r="C36" s="9">
        <v>107.99444444444444</v>
      </c>
      <c r="D36" s="11">
        <v>106.79444444444445</v>
      </c>
      <c r="E36" s="11">
        <v>80.444444444444443</v>
      </c>
      <c r="F36" s="11">
        <v>81</v>
      </c>
      <c r="G36" s="11">
        <v>77.400000000000006</v>
      </c>
      <c r="H36" s="11">
        <v>77.816666666666663</v>
      </c>
      <c r="I36" s="9">
        <v>75.283333333333331</v>
      </c>
      <c r="J36" s="8">
        <v>124.18888888888888</v>
      </c>
      <c r="K36" s="9">
        <v>108.38333333333334</v>
      </c>
      <c r="L36" s="11">
        <v>102.31666666666666</v>
      </c>
      <c r="M36" s="11">
        <v>41.81666666666667</v>
      </c>
      <c r="N36" s="11">
        <v>53.272222222222226</v>
      </c>
      <c r="O36" s="11">
        <v>34.18333333333333</v>
      </c>
      <c r="P36" s="8">
        <v>7</v>
      </c>
      <c r="Q36" s="9">
        <v>74.25555555555556</v>
      </c>
      <c r="R36" s="16">
        <v>1077.8944444444446</v>
      </c>
    </row>
    <row r="37" spans="1:18" x14ac:dyDescent="0.2">
      <c r="A37" s="29" t="s">
        <v>100</v>
      </c>
      <c r="B37" s="43" t="s">
        <v>101</v>
      </c>
      <c r="C37" s="14">
        <v>52.722222222222221</v>
      </c>
      <c r="D37" s="13">
        <v>50.222222222222221</v>
      </c>
      <c r="E37" s="13">
        <v>41.766666666666666</v>
      </c>
      <c r="F37" s="13">
        <v>46.727777777777774</v>
      </c>
      <c r="G37" s="13">
        <v>41.894444444444446</v>
      </c>
      <c r="H37" s="13">
        <v>39.144444444444446</v>
      </c>
      <c r="I37" s="14">
        <v>39.583333333333336</v>
      </c>
      <c r="J37" s="12">
        <v>26.694444444444443</v>
      </c>
      <c r="K37" s="14">
        <v>20.611111111111111</v>
      </c>
      <c r="L37" s="13">
        <v>16.677777777777777</v>
      </c>
      <c r="M37" s="13">
        <v>9.3611111111111107</v>
      </c>
      <c r="N37" s="13">
        <v>6.5055555555555555</v>
      </c>
      <c r="O37" s="13">
        <v>9.3777777777777782</v>
      </c>
      <c r="P37" s="12">
        <v>16.288888888888888</v>
      </c>
      <c r="Q37" s="14">
        <v>64.077777777777783</v>
      </c>
      <c r="R37" s="18">
        <v>417.57777777777767</v>
      </c>
    </row>
    <row r="38" spans="1:18" x14ac:dyDescent="0.2">
      <c r="A38" s="1" t="s">
        <v>60</v>
      </c>
      <c r="B38" s="23" t="s">
        <v>61</v>
      </c>
      <c r="C38" s="7">
        <v>45.705555555555556</v>
      </c>
      <c r="D38" s="6">
        <v>46.255555555555553</v>
      </c>
      <c r="E38" s="6">
        <v>51.488888888888887</v>
      </c>
      <c r="F38" s="6">
        <v>51.922222222222224</v>
      </c>
      <c r="G38" s="6">
        <v>49.255555555555553</v>
      </c>
      <c r="H38" s="6">
        <v>76.733333333333334</v>
      </c>
      <c r="I38" s="7">
        <v>78.038888888888891</v>
      </c>
      <c r="J38" s="5">
        <v>89.75</v>
      </c>
      <c r="K38" s="7">
        <v>80.272222222222226</v>
      </c>
      <c r="L38" s="6">
        <v>60.505555555555553</v>
      </c>
      <c r="M38" s="6">
        <v>0</v>
      </c>
      <c r="N38" s="6">
        <v>0</v>
      </c>
      <c r="O38" s="6">
        <v>0</v>
      </c>
      <c r="P38" s="8">
        <v>9.3166666666666664</v>
      </c>
      <c r="Q38" s="9">
        <v>68.194444444444443</v>
      </c>
      <c r="R38" s="16">
        <v>639.24444444444441</v>
      </c>
    </row>
    <row r="39" spans="1:18" x14ac:dyDescent="0.2">
      <c r="A39" s="1" t="s">
        <v>157</v>
      </c>
      <c r="B39" s="2" t="s">
        <v>152</v>
      </c>
      <c r="C39" s="9">
        <v>76.594444444444449</v>
      </c>
      <c r="D39" s="11">
        <v>65.077777777777783</v>
      </c>
      <c r="E39" s="11">
        <v>64.027777777777771</v>
      </c>
      <c r="F39" s="11">
        <v>66.233333333333334</v>
      </c>
      <c r="G39" s="11">
        <v>63.322222222222223</v>
      </c>
      <c r="H39" s="11">
        <v>59.31111111111111</v>
      </c>
      <c r="I39" s="9">
        <v>62.361111111111114</v>
      </c>
      <c r="J39" s="8">
        <v>0</v>
      </c>
      <c r="K39" s="9">
        <v>0</v>
      </c>
      <c r="L39" s="11">
        <v>0</v>
      </c>
      <c r="M39" s="11">
        <v>0</v>
      </c>
      <c r="N39" s="11">
        <v>0</v>
      </c>
      <c r="O39" s="11">
        <v>0</v>
      </c>
      <c r="P39" s="8">
        <v>14.5</v>
      </c>
      <c r="Q39" s="9">
        <v>51.094444444444441</v>
      </c>
      <c r="R39" s="16">
        <v>471.42777777777781</v>
      </c>
    </row>
    <row r="40" spans="1:18" x14ac:dyDescent="0.2">
      <c r="A40" s="1" t="s">
        <v>121</v>
      </c>
      <c r="B40" s="2" t="s">
        <v>122</v>
      </c>
      <c r="C40" s="9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9">
        <v>0</v>
      </c>
      <c r="J40" s="8">
        <v>83.477777777777774</v>
      </c>
      <c r="K40" s="9">
        <v>76.75</v>
      </c>
      <c r="L40" s="11">
        <v>106.38888888888889</v>
      </c>
      <c r="M40" s="11">
        <v>93.072222222222223</v>
      </c>
      <c r="N40" s="11">
        <v>90.9</v>
      </c>
      <c r="O40" s="11">
        <v>75.983333333333334</v>
      </c>
      <c r="P40" s="8">
        <v>16.394444444444446</v>
      </c>
      <c r="Q40" s="9">
        <v>48.25</v>
      </c>
      <c r="R40" s="16">
        <v>542.96666666666658</v>
      </c>
    </row>
    <row r="41" spans="1:18" x14ac:dyDescent="0.2">
      <c r="A41" s="1" t="s">
        <v>145</v>
      </c>
      <c r="B41" s="2" t="s">
        <v>153</v>
      </c>
      <c r="C41" s="9">
        <v>19.566666666666666</v>
      </c>
      <c r="D41" s="11">
        <v>19.055555555555557</v>
      </c>
      <c r="E41" s="11">
        <v>19.477777777777778</v>
      </c>
      <c r="F41" s="11">
        <v>19.488888888888887</v>
      </c>
      <c r="G41" s="11">
        <v>9.6999999999999993</v>
      </c>
      <c r="H41" s="11">
        <v>9.1111111111111107</v>
      </c>
      <c r="I41" s="9">
        <v>8</v>
      </c>
      <c r="J41" s="8">
        <v>0</v>
      </c>
      <c r="K41" s="9">
        <v>0</v>
      </c>
      <c r="L41" s="11">
        <v>0</v>
      </c>
      <c r="M41" s="11">
        <v>0</v>
      </c>
      <c r="N41" s="11">
        <v>0</v>
      </c>
      <c r="O41" s="11">
        <v>0</v>
      </c>
      <c r="P41" s="8">
        <v>0</v>
      </c>
      <c r="Q41" s="9">
        <v>9.75</v>
      </c>
      <c r="R41" s="16">
        <v>104.39999999999999</v>
      </c>
    </row>
    <row r="42" spans="1:18" x14ac:dyDescent="0.2">
      <c r="A42" s="29" t="s">
        <v>108</v>
      </c>
      <c r="B42" s="43" t="s">
        <v>109</v>
      </c>
      <c r="C42" s="14">
        <v>73.388888888888886</v>
      </c>
      <c r="D42" s="13">
        <v>74.7</v>
      </c>
      <c r="E42" s="13">
        <v>73.738888888888894</v>
      </c>
      <c r="F42" s="13">
        <v>72.37222222222222</v>
      </c>
      <c r="G42" s="13">
        <v>74.361111111111114</v>
      </c>
      <c r="H42" s="13">
        <v>74.333333333333329</v>
      </c>
      <c r="I42" s="14">
        <v>76.316666666666663</v>
      </c>
      <c r="J42" s="12">
        <v>74.227777777777774</v>
      </c>
      <c r="K42" s="14">
        <v>76.388888888888886</v>
      </c>
      <c r="L42" s="13">
        <v>62.605555555555554</v>
      </c>
      <c r="M42" s="13">
        <v>0</v>
      </c>
      <c r="N42" s="13">
        <v>0</v>
      </c>
      <c r="O42" s="13">
        <v>0</v>
      </c>
      <c r="P42" s="12">
        <v>7.333333333333333</v>
      </c>
      <c r="Q42" s="14">
        <v>47.155555555555559</v>
      </c>
      <c r="R42" s="18">
        <v>739.76666666666665</v>
      </c>
    </row>
    <row r="43" spans="1:18" x14ac:dyDescent="0.2">
      <c r="A43" s="1" t="s">
        <v>133</v>
      </c>
      <c r="B43" s="23" t="s">
        <v>177</v>
      </c>
      <c r="C43" s="7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7">
        <v>0</v>
      </c>
      <c r="J43" s="5">
        <v>0</v>
      </c>
      <c r="K43" s="7">
        <v>0</v>
      </c>
      <c r="L43" s="6">
        <v>45.37777777777778</v>
      </c>
      <c r="M43" s="6">
        <v>75.87777777777778</v>
      </c>
      <c r="N43" s="6">
        <v>85.472222222222229</v>
      </c>
      <c r="O43" s="6">
        <v>79.405555555555551</v>
      </c>
      <c r="P43" s="5">
        <v>3.5166666666666666</v>
      </c>
      <c r="Q43" s="7">
        <v>25.866666666666667</v>
      </c>
      <c r="R43" s="17">
        <v>289.65000000000003</v>
      </c>
    </row>
    <row r="44" spans="1:18" x14ac:dyDescent="0.2">
      <c r="A44" s="1" t="s">
        <v>117</v>
      </c>
      <c r="B44" s="2" t="s">
        <v>118</v>
      </c>
      <c r="C44" s="9">
        <v>73.650000000000006</v>
      </c>
      <c r="D44" s="11">
        <v>72.788888888888891</v>
      </c>
      <c r="E44" s="11">
        <v>80.45</v>
      </c>
      <c r="F44" s="11">
        <v>79.533333333333331</v>
      </c>
      <c r="G44" s="11">
        <v>79.216666666666669</v>
      </c>
      <c r="H44" s="11">
        <v>102.91666666666667</v>
      </c>
      <c r="I44" s="9">
        <v>96.86666666666666</v>
      </c>
      <c r="J44" s="8">
        <v>57.694444444444443</v>
      </c>
      <c r="K44" s="9">
        <v>55.81111111111111</v>
      </c>
      <c r="L44" s="11">
        <v>32.37777777777778</v>
      </c>
      <c r="M44" s="11">
        <v>0</v>
      </c>
      <c r="N44" s="11">
        <v>0</v>
      </c>
      <c r="O44" s="11">
        <v>0</v>
      </c>
      <c r="P44" s="8">
        <v>3.6166666666666667</v>
      </c>
      <c r="Q44" s="9">
        <v>63.277777777777779</v>
      </c>
      <c r="R44" s="16">
        <v>734.92222222222222</v>
      </c>
    </row>
    <row r="45" spans="1:18" x14ac:dyDescent="0.2">
      <c r="A45" s="1" t="s">
        <v>125</v>
      </c>
      <c r="B45" s="2" t="s">
        <v>126</v>
      </c>
      <c r="C45" s="9">
        <v>54.327777777777776</v>
      </c>
      <c r="D45" s="11">
        <v>52.844444444444441</v>
      </c>
      <c r="E45" s="11">
        <v>56</v>
      </c>
      <c r="F45" s="11">
        <v>70.738888888888894</v>
      </c>
      <c r="G45" s="11">
        <v>51.711111111111109</v>
      </c>
      <c r="H45" s="11">
        <v>49.922222222222224</v>
      </c>
      <c r="I45" s="9">
        <v>50.855555555555554</v>
      </c>
      <c r="J45" s="8">
        <v>52.172222222222224</v>
      </c>
      <c r="K45" s="9">
        <v>48.011111111111113</v>
      </c>
      <c r="L45" s="11">
        <v>26.005555555555556</v>
      </c>
      <c r="M45" s="11">
        <v>0</v>
      </c>
      <c r="N45" s="11">
        <v>0</v>
      </c>
      <c r="O45" s="11">
        <v>0</v>
      </c>
      <c r="P45" s="8">
        <v>6.9777777777777779</v>
      </c>
      <c r="Q45" s="9">
        <v>44.394444444444446</v>
      </c>
      <c r="R45" s="16">
        <v>519.56666666666672</v>
      </c>
    </row>
    <row r="46" spans="1:18" x14ac:dyDescent="0.2">
      <c r="A46" s="1" t="s">
        <v>134</v>
      </c>
      <c r="B46" s="2" t="s">
        <v>213</v>
      </c>
      <c r="C46" s="9">
        <v>0</v>
      </c>
      <c r="D46" s="11">
        <v>0</v>
      </c>
      <c r="E46" s="11">
        <v>0</v>
      </c>
      <c r="F46" s="11">
        <v>0</v>
      </c>
      <c r="G46" s="11">
        <v>0</v>
      </c>
      <c r="H46" s="11">
        <v>0</v>
      </c>
      <c r="I46" s="9">
        <v>0</v>
      </c>
      <c r="J46" s="8">
        <v>0</v>
      </c>
      <c r="K46" s="9">
        <v>0</v>
      </c>
      <c r="L46" s="11">
        <v>0</v>
      </c>
      <c r="M46" s="11">
        <v>206.31666666666666</v>
      </c>
      <c r="N46" s="11">
        <v>151.75</v>
      </c>
      <c r="O46" s="11">
        <v>129.4111111111111</v>
      </c>
      <c r="P46" s="8">
        <v>0</v>
      </c>
      <c r="Q46" s="9">
        <v>3.0388888888888888</v>
      </c>
      <c r="R46" s="16">
        <v>487.47777777777776</v>
      </c>
    </row>
    <row r="47" spans="1:18" x14ac:dyDescent="0.2">
      <c r="A47" s="29" t="s">
        <v>102</v>
      </c>
      <c r="B47" s="43" t="s">
        <v>103</v>
      </c>
      <c r="C47" s="14">
        <v>85.37777777777778</v>
      </c>
      <c r="D47" s="13">
        <v>84.072222222222223</v>
      </c>
      <c r="E47" s="13">
        <v>84.45</v>
      </c>
      <c r="F47" s="13">
        <v>82.272222222222226</v>
      </c>
      <c r="G47" s="13">
        <v>83.65</v>
      </c>
      <c r="H47" s="13">
        <v>77.86666666666666</v>
      </c>
      <c r="I47" s="14">
        <v>75.327777777777783</v>
      </c>
      <c r="J47" s="12">
        <v>0</v>
      </c>
      <c r="K47" s="14">
        <v>0</v>
      </c>
      <c r="L47" s="13">
        <v>0</v>
      </c>
      <c r="M47" s="13">
        <v>0</v>
      </c>
      <c r="N47" s="13">
        <v>0</v>
      </c>
      <c r="O47" s="13">
        <v>0</v>
      </c>
      <c r="P47" s="12">
        <v>3</v>
      </c>
      <c r="Q47" s="14">
        <v>54.6</v>
      </c>
      <c r="R47" s="18">
        <v>576.01666666666665</v>
      </c>
    </row>
    <row r="48" spans="1:18" x14ac:dyDescent="0.2">
      <c r="A48" s="1" t="s">
        <v>143</v>
      </c>
      <c r="B48" s="44" t="s">
        <v>144</v>
      </c>
      <c r="C48" s="7">
        <v>97.055555555555557</v>
      </c>
      <c r="D48" s="6">
        <v>105.7</v>
      </c>
      <c r="E48" s="6">
        <v>111.81111111111112</v>
      </c>
      <c r="F48" s="6">
        <v>110.15</v>
      </c>
      <c r="G48" s="6">
        <v>109.73333333333333</v>
      </c>
      <c r="H48" s="6">
        <v>108.46111111111111</v>
      </c>
      <c r="I48" s="7">
        <v>108.93333333333334</v>
      </c>
      <c r="J48" s="5">
        <v>91.027777777777771</v>
      </c>
      <c r="K48" s="7">
        <v>94.05</v>
      </c>
      <c r="L48" s="6">
        <v>55.022222222222226</v>
      </c>
      <c r="M48" s="6">
        <v>0</v>
      </c>
      <c r="N48" s="6">
        <v>0</v>
      </c>
      <c r="O48" s="6">
        <v>0</v>
      </c>
      <c r="P48" s="5">
        <v>0.56111111111111112</v>
      </c>
      <c r="Q48" s="7">
        <v>80.511111111111106</v>
      </c>
      <c r="R48" s="10">
        <v>992.50555555555559</v>
      </c>
    </row>
    <row r="49" spans="1:18" x14ac:dyDescent="0.2">
      <c r="A49" s="1" t="s">
        <v>90</v>
      </c>
      <c r="B49" s="45" t="s">
        <v>91</v>
      </c>
      <c r="C49" s="9">
        <v>49.233333333333334</v>
      </c>
      <c r="D49" s="11">
        <v>51</v>
      </c>
      <c r="E49" s="11">
        <v>49.977777777777774</v>
      </c>
      <c r="F49" s="11">
        <v>51</v>
      </c>
      <c r="G49" s="11">
        <v>51.93888888888889</v>
      </c>
      <c r="H49" s="11">
        <v>52.005555555555553</v>
      </c>
      <c r="I49" s="9">
        <v>51.994444444444447</v>
      </c>
      <c r="J49" s="8">
        <v>53.972222222222221</v>
      </c>
      <c r="K49" s="9">
        <v>54</v>
      </c>
      <c r="L49" s="11">
        <v>42.522222222222226</v>
      </c>
      <c r="M49" s="11">
        <v>0</v>
      </c>
      <c r="N49" s="11">
        <v>0</v>
      </c>
      <c r="O49" s="11">
        <v>0</v>
      </c>
      <c r="P49" s="8">
        <v>1</v>
      </c>
      <c r="Q49" s="9">
        <v>40.538888888888891</v>
      </c>
      <c r="R49" s="9">
        <v>508.6444444444445</v>
      </c>
    </row>
    <row r="50" spans="1:18" x14ac:dyDescent="0.2">
      <c r="A50" s="1" t="s">
        <v>51</v>
      </c>
      <c r="B50" s="2" t="s">
        <v>52</v>
      </c>
      <c r="C50" s="9">
        <v>97.111111111111114</v>
      </c>
      <c r="D50" s="11">
        <v>99.333333333333329</v>
      </c>
      <c r="E50" s="11">
        <v>93.87222222222222</v>
      </c>
      <c r="F50" s="11">
        <v>70.400000000000006</v>
      </c>
      <c r="G50" s="11">
        <v>48.43888888888889</v>
      </c>
      <c r="H50" s="11">
        <v>59.12777777777778</v>
      </c>
      <c r="I50" s="9">
        <v>39.450000000000003</v>
      </c>
      <c r="J50" s="8">
        <v>0</v>
      </c>
      <c r="K50" s="9">
        <v>0</v>
      </c>
      <c r="L50" s="11">
        <v>0</v>
      </c>
      <c r="M50" s="11">
        <v>0</v>
      </c>
      <c r="N50" s="11">
        <v>0</v>
      </c>
      <c r="O50" s="11">
        <v>0</v>
      </c>
      <c r="P50" s="8">
        <v>7.8</v>
      </c>
      <c r="Q50" s="9">
        <v>51.527777777777779</v>
      </c>
      <c r="R50" s="16">
        <v>515.5333333333333</v>
      </c>
    </row>
    <row r="51" spans="1:18" x14ac:dyDescent="0.2">
      <c r="A51" s="1">
        <v>68</v>
      </c>
      <c r="B51" s="2" t="s">
        <v>39</v>
      </c>
      <c r="C51" s="9">
        <v>102.07222222222222</v>
      </c>
      <c r="D51" s="11">
        <v>103.65555555555555</v>
      </c>
      <c r="E51" s="11">
        <v>101.25</v>
      </c>
      <c r="F51" s="11">
        <v>101.96666666666667</v>
      </c>
      <c r="G51" s="11">
        <v>100.73888888888889</v>
      </c>
      <c r="H51" s="11">
        <v>106.9</v>
      </c>
      <c r="I51" s="9">
        <v>100.71111111111111</v>
      </c>
      <c r="J51" s="8">
        <v>95.061111111111117</v>
      </c>
      <c r="K51" s="9">
        <v>91.5</v>
      </c>
      <c r="L51" s="11">
        <v>91.88333333333334</v>
      </c>
      <c r="M51" s="11">
        <v>0</v>
      </c>
      <c r="N51" s="11">
        <v>0</v>
      </c>
      <c r="O51" s="11">
        <v>0</v>
      </c>
      <c r="P51" s="8">
        <v>4.8444444444444441</v>
      </c>
      <c r="Q51" s="9">
        <v>79.788888888888891</v>
      </c>
      <c r="R51" s="16">
        <v>1000.5833333333334</v>
      </c>
    </row>
    <row r="52" spans="1:18" x14ac:dyDescent="0.2">
      <c r="A52" s="29" t="s">
        <v>119</v>
      </c>
      <c r="B52" s="43" t="s">
        <v>120</v>
      </c>
      <c r="C52" s="14">
        <v>37.955555555555556</v>
      </c>
      <c r="D52" s="13">
        <v>45.916666666666664</v>
      </c>
      <c r="E52" s="13">
        <v>63.511111111111113</v>
      </c>
      <c r="F52" s="13">
        <v>40.988888888888887</v>
      </c>
      <c r="G52" s="13">
        <v>62.005555555555553</v>
      </c>
      <c r="H52" s="13">
        <v>34.116666666666667</v>
      </c>
      <c r="I52" s="14">
        <v>24.988888888888887</v>
      </c>
      <c r="J52" s="12">
        <v>31.066666666666666</v>
      </c>
      <c r="K52" s="14">
        <v>20.56111111111111</v>
      </c>
      <c r="L52" s="13">
        <v>0</v>
      </c>
      <c r="M52" s="13">
        <v>0</v>
      </c>
      <c r="N52" s="13">
        <v>0</v>
      </c>
      <c r="O52" s="13">
        <v>0</v>
      </c>
      <c r="P52" s="12">
        <v>12.316666666666666</v>
      </c>
      <c r="Q52" s="14">
        <v>26.038888888888888</v>
      </c>
      <c r="R52" s="18">
        <v>373.42777777777781</v>
      </c>
    </row>
    <row r="53" spans="1:18" x14ac:dyDescent="0.2">
      <c r="A53" s="1" t="s">
        <v>174</v>
      </c>
      <c r="B53" s="23" t="s">
        <v>180</v>
      </c>
      <c r="C53" s="7">
        <v>36.1</v>
      </c>
      <c r="D53" s="6">
        <v>52.9</v>
      </c>
      <c r="E53" s="6">
        <v>44.344444444444441</v>
      </c>
      <c r="F53" s="6">
        <v>39.672222222222224</v>
      </c>
      <c r="G53" s="6">
        <v>52.638888888888886</v>
      </c>
      <c r="H53" s="6">
        <v>33.038888888888891</v>
      </c>
      <c r="I53" s="7">
        <v>47.37222222222222</v>
      </c>
      <c r="J53" s="5">
        <v>33.911111111111111</v>
      </c>
      <c r="K53" s="7">
        <v>29.927777777777777</v>
      </c>
      <c r="L53" s="6">
        <v>0</v>
      </c>
      <c r="M53" s="6">
        <v>0</v>
      </c>
      <c r="N53" s="6">
        <v>0</v>
      </c>
      <c r="O53" s="11">
        <v>0</v>
      </c>
      <c r="P53" s="8">
        <v>0.4777777777777778</v>
      </c>
      <c r="Q53" s="9">
        <v>32.883333333333333</v>
      </c>
      <c r="R53" s="16">
        <v>370.38333333333333</v>
      </c>
    </row>
    <row r="54" spans="1:18" x14ac:dyDescent="0.2">
      <c r="A54" s="1" t="s">
        <v>127</v>
      </c>
      <c r="B54" s="2" t="s">
        <v>128</v>
      </c>
      <c r="C54" s="9">
        <v>0</v>
      </c>
      <c r="D54" s="11">
        <v>0</v>
      </c>
      <c r="E54" s="11">
        <v>0</v>
      </c>
      <c r="F54" s="11">
        <v>0</v>
      </c>
      <c r="G54" s="11">
        <v>0</v>
      </c>
      <c r="H54" s="11">
        <v>0</v>
      </c>
      <c r="I54" s="9">
        <v>0</v>
      </c>
      <c r="J54" s="8">
        <v>0</v>
      </c>
      <c r="K54" s="9">
        <v>0</v>
      </c>
      <c r="L54" s="11">
        <v>121.46666666666667</v>
      </c>
      <c r="M54" s="11">
        <v>153.57777777777778</v>
      </c>
      <c r="N54" s="11">
        <v>116.17777777777778</v>
      </c>
      <c r="O54" s="11">
        <v>115.87222222222222</v>
      </c>
      <c r="P54" s="8">
        <v>1.05</v>
      </c>
      <c r="Q54" s="9">
        <v>54.233333333333334</v>
      </c>
      <c r="R54" s="16">
        <v>508.14444444444445</v>
      </c>
    </row>
    <row r="55" spans="1:18" x14ac:dyDescent="0.2">
      <c r="A55" s="1">
        <v>86</v>
      </c>
      <c r="B55" s="2" t="s">
        <v>42</v>
      </c>
      <c r="C55" s="9">
        <v>20.588888888888889</v>
      </c>
      <c r="D55" s="11">
        <v>31.9</v>
      </c>
      <c r="E55" s="11">
        <v>28.283333333333335</v>
      </c>
      <c r="F55" s="11">
        <v>40.427777777777777</v>
      </c>
      <c r="G55" s="11">
        <v>28.794444444444444</v>
      </c>
      <c r="H55" s="11">
        <v>44.072222222222223</v>
      </c>
      <c r="I55" s="9">
        <v>26.877777777777776</v>
      </c>
      <c r="J55" s="8">
        <v>37.62222222222222</v>
      </c>
      <c r="K55" s="9">
        <v>55.327777777777776</v>
      </c>
      <c r="L55" s="11">
        <v>56.161111111111111</v>
      </c>
      <c r="M55" s="11">
        <v>38.038888888888891</v>
      </c>
      <c r="N55" s="11">
        <v>35.461111111111109</v>
      </c>
      <c r="O55" s="11">
        <v>29.066666666666666</v>
      </c>
      <c r="P55" s="8">
        <v>30.766666666666666</v>
      </c>
      <c r="Q55" s="9">
        <v>94.922222222222217</v>
      </c>
      <c r="R55" s="16">
        <v>503.38888888888886</v>
      </c>
    </row>
    <row r="56" spans="1:18" x14ac:dyDescent="0.2">
      <c r="A56" s="1" t="s">
        <v>176</v>
      </c>
      <c r="B56" s="2" t="s">
        <v>215</v>
      </c>
      <c r="C56" s="9">
        <v>0</v>
      </c>
      <c r="D56" s="11">
        <v>0</v>
      </c>
      <c r="E56" s="11">
        <v>0</v>
      </c>
      <c r="F56" s="11">
        <v>0</v>
      </c>
      <c r="G56" s="11">
        <v>0</v>
      </c>
      <c r="H56" s="11">
        <v>0</v>
      </c>
      <c r="I56" s="9">
        <v>0</v>
      </c>
      <c r="J56" s="8">
        <v>0</v>
      </c>
      <c r="K56" s="9">
        <v>0</v>
      </c>
      <c r="L56" s="11">
        <v>84.977777777777774</v>
      </c>
      <c r="M56" s="11">
        <v>56.37777777777778</v>
      </c>
      <c r="N56" s="11">
        <v>38.283333333333331</v>
      </c>
      <c r="O56" s="11">
        <v>27.31111111111111</v>
      </c>
      <c r="P56" s="8">
        <v>0</v>
      </c>
      <c r="Q56" s="9">
        <v>4.95</v>
      </c>
      <c r="R56" s="16">
        <v>206.95</v>
      </c>
    </row>
    <row r="57" spans="1:18" x14ac:dyDescent="0.2">
      <c r="A57" s="29" t="s">
        <v>173</v>
      </c>
      <c r="B57" s="43" t="s">
        <v>214</v>
      </c>
      <c r="C57" s="14">
        <v>49.916666666666664</v>
      </c>
      <c r="D57" s="13">
        <v>50</v>
      </c>
      <c r="E57" s="13">
        <v>49.994444444444447</v>
      </c>
      <c r="F57" s="13">
        <v>49.85</v>
      </c>
      <c r="G57" s="13">
        <v>49.35</v>
      </c>
      <c r="H57" s="13">
        <v>50.194444444444443</v>
      </c>
      <c r="I57" s="14">
        <v>49.994444444444447</v>
      </c>
      <c r="J57" s="12">
        <v>47.594444444444441</v>
      </c>
      <c r="K57" s="14">
        <v>49.261111111111113</v>
      </c>
      <c r="L57" s="13">
        <v>0</v>
      </c>
      <c r="M57" s="13">
        <v>0</v>
      </c>
      <c r="N57" s="13">
        <v>0</v>
      </c>
      <c r="O57" s="13">
        <v>0</v>
      </c>
      <c r="P57" s="12">
        <v>2.6555555555555554</v>
      </c>
      <c r="Q57" s="14">
        <v>30.594444444444445</v>
      </c>
      <c r="R57" s="18">
        <v>448.81111111111113</v>
      </c>
    </row>
    <row r="58" spans="1:18" x14ac:dyDescent="0.2">
      <c r="A58" s="1" t="s">
        <v>131</v>
      </c>
      <c r="B58" s="23" t="s">
        <v>132</v>
      </c>
      <c r="C58" s="7">
        <v>122.98333333333333</v>
      </c>
      <c r="D58" s="6">
        <v>124.37222222222222</v>
      </c>
      <c r="E58" s="6">
        <v>124.71111111111111</v>
      </c>
      <c r="F58" s="6">
        <v>125.94444444444444</v>
      </c>
      <c r="G58" s="6">
        <v>125.38888888888889</v>
      </c>
      <c r="H58" s="6">
        <v>125.78888888888889</v>
      </c>
      <c r="I58" s="7">
        <v>167.04444444444445</v>
      </c>
      <c r="J58" s="5">
        <v>208.02777777777777</v>
      </c>
      <c r="K58" s="7">
        <v>207.32222222222222</v>
      </c>
      <c r="L58" s="6">
        <v>122.13333333333334</v>
      </c>
      <c r="M58" s="6">
        <v>0</v>
      </c>
      <c r="N58" s="6">
        <v>0</v>
      </c>
      <c r="O58" s="6">
        <v>0</v>
      </c>
      <c r="P58" s="8">
        <v>0</v>
      </c>
      <c r="Q58" s="9">
        <v>161.30555555555554</v>
      </c>
      <c r="R58" s="16">
        <v>1453.7166666666669</v>
      </c>
    </row>
    <row r="59" spans="1:18" x14ac:dyDescent="0.2">
      <c r="A59" s="1" t="s">
        <v>158</v>
      </c>
      <c r="B59" s="2" t="s">
        <v>154</v>
      </c>
      <c r="C59" s="9">
        <v>47.055555555555557</v>
      </c>
      <c r="D59" s="11">
        <v>49.56111111111111</v>
      </c>
      <c r="E59" s="11">
        <v>42.605555555555554</v>
      </c>
      <c r="F59" s="11">
        <v>48.283333333333331</v>
      </c>
      <c r="G59" s="11">
        <v>47.35</v>
      </c>
      <c r="H59" s="11">
        <v>23.605555555555554</v>
      </c>
      <c r="I59" s="9">
        <v>34.916666666666664</v>
      </c>
      <c r="J59" s="8">
        <v>18.866666666666667</v>
      </c>
      <c r="K59" s="9">
        <v>10.594444444444445</v>
      </c>
      <c r="L59" s="11">
        <v>20.244444444444444</v>
      </c>
      <c r="M59" s="11">
        <v>0</v>
      </c>
      <c r="N59" s="11">
        <v>0</v>
      </c>
      <c r="O59" s="11">
        <v>0</v>
      </c>
      <c r="P59" s="8">
        <v>4.1611111111111114</v>
      </c>
      <c r="Q59" s="9">
        <v>44.477777777777774</v>
      </c>
      <c r="R59" s="16">
        <v>347.24444444444447</v>
      </c>
    </row>
    <row r="60" spans="1:18" x14ac:dyDescent="0.2">
      <c r="A60" s="1" t="s">
        <v>57</v>
      </c>
      <c r="B60" s="2" t="s">
        <v>58</v>
      </c>
      <c r="C60" s="9">
        <v>104.68888888888888</v>
      </c>
      <c r="D60" s="11">
        <v>104.99444444444444</v>
      </c>
      <c r="E60" s="11">
        <v>102.43333333333334</v>
      </c>
      <c r="F60" s="11">
        <v>117.21666666666667</v>
      </c>
      <c r="G60" s="11">
        <v>116.52777777777777</v>
      </c>
      <c r="H60" s="11">
        <v>106.2</v>
      </c>
      <c r="I60" s="9">
        <v>106.67222222222222</v>
      </c>
      <c r="J60" s="8">
        <v>53.744444444444447</v>
      </c>
      <c r="K60" s="9">
        <v>32.155555555555559</v>
      </c>
      <c r="L60" s="11">
        <v>15.28888888888889</v>
      </c>
      <c r="M60" s="11">
        <v>0</v>
      </c>
      <c r="N60" s="11">
        <v>0</v>
      </c>
      <c r="O60" s="11">
        <v>0</v>
      </c>
      <c r="P60" s="8">
        <v>18.866666666666667</v>
      </c>
      <c r="Q60" s="9">
        <v>91.683333333333337</v>
      </c>
      <c r="R60" s="16">
        <v>878.78888888888901</v>
      </c>
    </row>
    <row r="61" spans="1:18" x14ac:dyDescent="0.2">
      <c r="A61" s="1" t="s">
        <v>135</v>
      </c>
      <c r="B61" s="2" t="s">
        <v>136</v>
      </c>
      <c r="C61" s="9">
        <v>51.45</v>
      </c>
      <c r="D61" s="11">
        <v>51.694444444444443</v>
      </c>
      <c r="E61" s="11">
        <v>51.87222222222222</v>
      </c>
      <c r="F61" s="11">
        <v>51.75</v>
      </c>
      <c r="G61" s="11">
        <v>51.711111111111109</v>
      </c>
      <c r="H61" s="11">
        <v>51.488888888888887</v>
      </c>
      <c r="I61" s="9">
        <v>50.322222222222223</v>
      </c>
      <c r="J61" s="8">
        <v>0</v>
      </c>
      <c r="K61" s="9">
        <v>0</v>
      </c>
      <c r="L61" s="11">
        <v>0</v>
      </c>
      <c r="M61" s="11">
        <v>0</v>
      </c>
      <c r="N61" s="11">
        <v>0</v>
      </c>
      <c r="O61" s="11">
        <v>0</v>
      </c>
      <c r="P61" s="8">
        <v>0</v>
      </c>
      <c r="Q61" s="9">
        <v>43.85</v>
      </c>
      <c r="R61" s="16">
        <v>360.28888888888889</v>
      </c>
    </row>
    <row r="62" spans="1:18" x14ac:dyDescent="0.2">
      <c r="A62" s="29" t="s">
        <v>106</v>
      </c>
      <c r="B62" s="43" t="s">
        <v>107</v>
      </c>
      <c r="C62" s="14">
        <v>79.172222222222217</v>
      </c>
      <c r="D62" s="13">
        <v>77.594444444444449</v>
      </c>
      <c r="E62" s="13">
        <v>78.144444444444446</v>
      </c>
      <c r="F62" s="13">
        <v>75.566666666666663</v>
      </c>
      <c r="G62" s="13">
        <v>78.761111111111106</v>
      </c>
      <c r="H62" s="13">
        <v>74.416666666666671</v>
      </c>
      <c r="I62" s="14">
        <v>77.25555555555556</v>
      </c>
      <c r="J62" s="12">
        <v>72.45</v>
      </c>
      <c r="K62" s="14">
        <v>53.833333333333336</v>
      </c>
      <c r="L62" s="13">
        <v>0</v>
      </c>
      <c r="M62" s="13">
        <v>0</v>
      </c>
      <c r="N62" s="13">
        <v>0</v>
      </c>
      <c r="O62" s="13">
        <v>0</v>
      </c>
      <c r="P62" s="12">
        <v>4</v>
      </c>
      <c r="Q62" s="14">
        <v>97.888888888888886</v>
      </c>
      <c r="R62" s="18">
        <v>671.19444444444457</v>
      </c>
    </row>
    <row r="63" spans="1:18" x14ac:dyDescent="0.2">
      <c r="A63" s="1" t="s">
        <v>53</v>
      </c>
      <c r="B63" s="23" t="s">
        <v>54</v>
      </c>
      <c r="C63" s="7">
        <v>93.62777777777778</v>
      </c>
      <c r="D63" s="6">
        <v>100.17222222222222</v>
      </c>
      <c r="E63" s="6">
        <v>76.655555555555551</v>
      </c>
      <c r="F63" s="6">
        <v>82.966666666666669</v>
      </c>
      <c r="G63" s="6">
        <v>73.033333333333331</v>
      </c>
      <c r="H63" s="6">
        <v>69.61666666666666</v>
      </c>
      <c r="I63" s="7">
        <v>67.650000000000006</v>
      </c>
      <c r="J63" s="5">
        <v>44.833333333333336</v>
      </c>
      <c r="K63" s="7">
        <v>35.87222222222222</v>
      </c>
      <c r="L63" s="6">
        <v>14.166666666666666</v>
      </c>
      <c r="M63" s="6">
        <v>0</v>
      </c>
      <c r="N63" s="6">
        <v>0</v>
      </c>
      <c r="O63" s="6">
        <v>0</v>
      </c>
      <c r="P63" s="8">
        <v>1</v>
      </c>
      <c r="Q63" s="9">
        <v>36.31111111111111</v>
      </c>
      <c r="R63" s="16">
        <v>659.59444444444443</v>
      </c>
    </row>
    <row r="64" spans="1:18" x14ac:dyDescent="0.2">
      <c r="A64" s="1" t="s">
        <v>68</v>
      </c>
      <c r="B64" s="2" t="s">
        <v>69</v>
      </c>
      <c r="C64" s="9">
        <v>0</v>
      </c>
      <c r="D64" s="11">
        <v>0</v>
      </c>
      <c r="E64" s="11">
        <v>0</v>
      </c>
      <c r="F64" s="11">
        <v>0</v>
      </c>
      <c r="G64" s="11">
        <v>0</v>
      </c>
      <c r="H64" s="11">
        <v>0</v>
      </c>
      <c r="I64" s="9">
        <v>0</v>
      </c>
      <c r="J64" s="8">
        <v>144.17222222222222</v>
      </c>
      <c r="K64" s="9">
        <v>154.61666666666667</v>
      </c>
      <c r="L64" s="11">
        <v>134.24444444444444</v>
      </c>
      <c r="M64" s="11">
        <v>104.29444444444445</v>
      </c>
      <c r="N64" s="11">
        <v>89.677777777777777</v>
      </c>
      <c r="O64" s="11">
        <v>56.277777777777779</v>
      </c>
      <c r="P64" s="8">
        <v>5.1944444444444446</v>
      </c>
      <c r="Q64" s="9">
        <v>77.561111111111117</v>
      </c>
      <c r="R64" s="16">
        <v>688.47777777777787</v>
      </c>
    </row>
    <row r="65" spans="1:18" x14ac:dyDescent="0.2">
      <c r="A65" s="1">
        <v>97</v>
      </c>
      <c r="B65" s="2" t="s">
        <v>48</v>
      </c>
      <c r="C65" s="9">
        <v>0</v>
      </c>
      <c r="D65" s="11">
        <v>0</v>
      </c>
      <c r="E65" s="11">
        <v>0</v>
      </c>
      <c r="F65" s="11">
        <v>0</v>
      </c>
      <c r="G65" s="11">
        <v>0</v>
      </c>
      <c r="H65" s="11">
        <v>74.761111111111106</v>
      </c>
      <c r="I65" s="9">
        <v>73.688888888888883</v>
      </c>
      <c r="J65" s="8">
        <v>73.62222222222222</v>
      </c>
      <c r="K65" s="9">
        <v>77.983333333333334</v>
      </c>
      <c r="L65" s="11">
        <v>0</v>
      </c>
      <c r="M65" s="11">
        <v>0</v>
      </c>
      <c r="N65" s="11">
        <v>0</v>
      </c>
      <c r="O65" s="11">
        <v>0</v>
      </c>
      <c r="P65" s="8">
        <v>0</v>
      </c>
      <c r="Q65" s="9">
        <v>17.827777777777779</v>
      </c>
      <c r="R65" s="16">
        <v>300.05555555555554</v>
      </c>
    </row>
    <row r="66" spans="1:18" x14ac:dyDescent="0.2">
      <c r="A66" s="1" t="s">
        <v>88</v>
      </c>
      <c r="B66" s="2" t="s">
        <v>89</v>
      </c>
      <c r="C66" s="9">
        <v>0</v>
      </c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9">
        <v>61.327777777777776</v>
      </c>
      <c r="J66" s="8">
        <v>62.716666666666669</v>
      </c>
      <c r="K66" s="9">
        <v>63.68888888888889</v>
      </c>
      <c r="L66" s="11">
        <v>54.7</v>
      </c>
      <c r="M66" s="11">
        <v>46.12222222222222</v>
      </c>
      <c r="N66" s="11">
        <v>43.583333333333336</v>
      </c>
      <c r="O66" s="11">
        <v>16</v>
      </c>
      <c r="P66" s="8">
        <v>0</v>
      </c>
      <c r="Q66" s="9">
        <v>31.372222222222224</v>
      </c>
      <c r="R66" s="16">
        <v>348.13888888888886</v>
      </c>
    </row>
    <row r="67" spans="1:18" x14ac:dyDescent="0.2">
      <c r="A67" s="29" t="s">
        <v>110</v>
      </c>
      <c r="B67" s="43" t="s">
        <v>218</v>
      </c>
      <c r="C67" s="14">
        <v>0</v>
      </c>
      <c r="D67" s="13">
        <v>0</v>
      </c>
      <c r="E67" s="13">
        <v>0</v>
      </c>
      <c r="F67" s="13">
        <v>0</v>
      </c>
      <c r="G67" s="13">
        <v>0</v>
      </c>
      <c r="H67" s="13">
        <v>0</v>
      </c>
      <c r="I67" s="14">
        <v>0</v>
      </c>
      <c r="J67" s="12">
        <v>0</v>
      </c>
      <c r="K67" s="14">
        <v>0</v>
      </c>
      <c r="L67" s="13">
        <v>82.261111111111106</v>
      </c>
      <c r="M67" s="13">
        <v>60.55</v>
      </c>
      <c r="N67" s="13">
        <v>49.866666666666667</v>
      </c>
      <c r="O67" s="13">
        <v>31.727777777777778</v>
      </c>
      <c r="P67" s="12">
        <v>0</v>
      </c>
      <c r="Q67" s="14">
        <v>16.361111111111111</v>
      </c>
      <c r="R67" s="18">
        <v>224.40555555555557</v>
      </c>
    </row>
    <row r="68" spans="1:18" x14ac:dyDescent="0.2">
      <c r="A68" s="1">
        <v>89</v>
      </c>
      <c r="B68" s="23" t="s">
        <v>44</v>
      </c>
      <c r="C68" s="7">
        <v>41.05</v>
      </c>
      <c r="D68" s="6">
        <v>35.355555555555554</v>
      </c>
      <c r="E68" s="6">
        <v>40.794444444444444</v>
      </c>
      <c r="F68" s="6">
        <v>38</v>
      </c>
      <c r="G68" s="6">
        <v>28.361111111111111</v>
      </c>
      <c r="H68" s="6">
        <v>36.466666666666669</v>
      </c>
      <c r="I68" s="7">
        <v>34.177777777777777</v>
      </c>
      <c r="J68" s="5">
        <v>16.722222222222221</v>
      </c>
      <c r="K68" s="7">
        <v>8.1611111111111114</v>
      </c>
      <c r="L68" s="6">
        <v>0</v>
      </c>
      <c r="M68" s="6">
        <v>0</v>
      </c>
      <c r="N68" s="6">
        <v>0</v>
      </c>
      <c r="O68" s="6">
        <v>0</v>
      </c>
      <c r="P68" s="8">
        <v>0</v>
      </c>
      <c r="Q68" s="9">
        <v>49.766666666666666</v>
      </c>
      <c r="R68" s="16">
        <v>279.08888888888885</v>
      </c>
    </row>
    <row r="69" spans="1:18" x14ac:dyDescent="0.2">
      <c r="A69" s="1" t="s">
        <v>74</v>
      </c>
      <c r="B69" s="2" t="s">
        <v>75</v>
      </c>
      <c r="C69" s="9">
        <v>25.272222222222222</v>
      </c>
      <c r="D69" s="11">
        <v>32.177777777777777</v>
      </c>
      <c r="E69" s="11">
        <v>29.888888888888889</v>
      </c>
      <c r="F69" s="11">
        <v>31.961111111111112</v>
      </c>
      <c r="G69" s="11">
        <v>26.933333333333334</v>
      </c>
      <c r="H69" s="11">
        <v>28.855555555555554</v>
      </c>
      <c r="I69" s="9">
        <v>44.18888888888889</v>
      </c>
      <c r="J69" s="8">
        <v>54.077777777777776</v>
      </c>
      <c r="K69" s="9">
        <v>39.68333333333333</v>
      </c>
      <c r="L69" s="11">
        <v>44.844444444444441</v>
      </c>
      <c r="M69" s="11">
        <v>29.8</v>
      </c>
      <c r="N69" s="11">
        <v>26.011111111111113</v>
      </c>
      <c r="O69" s="11">
        <v>21.677777777777777</v>
      </c>
      <c r="P69" s="8">
        <v>44.222222222222221</v>
      </c>
      <c r="Q69" s="9">
        <v>334.63888888888891</v>
      </c>
      <c r="R69" s="16">
        <v>479.59444444444443</v>
      </c>
    </row>
    <row r="70" spans="1:18" x14ac:dyDescent="0.2">
      <c r="A70" s="1" t="s">
        <v>148</v>
      </c>
      <c r="B70" s="2" t="s">
        <v>149</v>
      </c>
      <c r="C70" s="9">
        <v>0</v>
      </c>
      <c r="D70" s="11">
        <v>0</v>
      </c>
      <c r="E70" s="11">
        <v>0</v>
      </c>
      <c r="F70" s="11">
        <v>0</v>
      </c>
      <c r="G70" s="11">
        <v>0</v>
      </c>
      <c r="H70" s="11">
        <v>0</v>
      </c>
      <c r="I70" s="9">
        <v>0</v>
      </c>
      <c r="J70" s="8">
        <v>0</v>
      </c>
      <c r="K70" s="9">
        <v>0</v>
      </c>
      <c r="L70" s="11">
        <v>61.272222222222226</v>
      </c>
      <c r="M70" s="11">
        <v>103.17777777777778</v>
      </c>
      <c r="N70" s="11">
        <v>102.63888888888889</v>
      </c>
      <c r="O70" s="11">
        <v>93.977777777777774</v>
      </c>
      <c r="P70" s="8">
        <v>0</v>
      </c>
      <c r="Q70" s="9">
        <v>2</v>
      </c>
      <c r="R70" s="16">
        <v>361.06666666666661</v>
      </c>
    </row>
    <row r="71" spans="1:18" x14ac:dyDescent="0.2">
      <c r="A71" s="1" t="s">
        <v>139</v>
      </c>
      <c r="B71" s="2" t="s">
        <v>140</v>
      </c>
      <c r="C71" s="9">
        <v>99.15</v>
      </c>
      <c r="D71" s="11">
        <v>101.95555555555555</v>
      </c>
      <c r="E71" s="11">
        <v>103.17222222222222</v>
      </c>
      <c r="F71" s="11">
        <v>103.62222222222222</v>
      </c>
      <c r="G71" s="11">
        <v>104</v>
      </c>
      <c r="H71" s="11">
        <v>103.92777777777778</v>
      </c>
      <c r="I71" s="9">
        <v>129.51111111111112</v>
      </c>
      <c r="J71" s="8">
        <v>124.88888888888889</v>
      </c>
      <c r="K71" s="9">
        <v>127.02777777777777</v>
      </c>
      <c r="L71" s="11">
        <v>0</v>
      </c>
      <c r="M71" s="11">
        <v>0</v>
      </c>
      <c r="N71" s="11">
        <v>0</v>
      </c>
      <c r="O71" s="11">
        <v>0</v>
      </c>
      <c r="P71" s="8">
        <v>0</v>
      </c>
      <c r="Q71" s="9">
        <v>64.938888888888883</v>
      </c>
      <c r="R71" s="16">
        <v>997.2555555555557</v>
      </c>
    </row>
    <row r="72" spans="1:18" x14ac:dyDescent="0.2">
      <c r="A72" s="29" t="s">
        <v>161</v>
      </c>
      <c r="B72" s="43" t="s">
        <v>155</v>
      </c>
      <c r="C72" s="14">
        <v>0</v>
      </c>
      <c r="D72" s="13">
        <v>0</v>
      </c>
      <c r="E72" s="13">
        <v>0</v>
      </c>
      <c r="F72" s="13">
        <v>0</v>
      </c>
      <c r="G72" s="13">
        <v>0</v>
      </c>
      <c r="H72" s="13">
        <v>0</v>
      </c>
      <c r="I72" s="14">
        <v>0</v>
      </c>
      <c r="J72" s="12">
        <v>0</v>
      </c>
      <c r="K72" s="14">
        <v>0</v>
      </c>
      <c r="L72" s="13">
        <v>262.21666666666664</v>
      </c>
      <c r="M72" s="13">
        <v>192.5</v>
      </c>
      <c r="N72" s="13">
        <v>94.11666666666666</v>
      </c>
      <c r="O72" s="13">
        <v>52.427777777777777</v>
      </c>
      <c r="P72" s="12">
        <v>8.0722222222222229</v>
      </c>
      <c r="Q72" s="14">
        <v>48.3</v>
      </c>
      <c r="R72" s="18">
        <v>609.33333333333337</v>
      </c>
    </row>
    <row r="73" spans="1:18" x14ac:dyDescent="0.2">
      <c r="A73" s="1" t="s">
        <v>84</v>
      </c>
      <c r="B73" s="23" t="s">
        <v>85</v>
      </c>
      <c r="C73" s="7">
        <v>108</v>
      </c>
      <c r="D73" s="6">
        <v>104.43888888888888</v>
      </c>
      <c r="E73" s="6">
        <v>106.24444444444444</v>
      </c>
      <c r="F73" s="6">
        <v>106.67222222222222</v>
      </c>
      <c r="G73" s="6">
        <v>105.25</v>
      </c>
      <c r="H73" s="6">
        <v>107.86666666666666</v>
      </c>
      <c r="I73" s="7">
        <v>107.12777777777778</v>
      </c>
      <c r="J73" s="5">
        <v>94.038888888888891</v>
      </c>
      <c r="K73" s="7">
        <v>83.338888888888889</v>
      </c>
      <c r="L73" s="6">
        <v>79.833333333333329</v>
      </c>
      <c r="M73" s="6">
        <v>0</v>
      </c>
      <c r="N73" s="6">
        <v>0</v>
      </c>
      <c r="O73" s="11">
        <v>0</v>
      </c>
      <c r="P73" s="8">
        <v>3.4666666666666668</v>
      </c>
      <c r="Q73" s="9">
        <v>94.011111111111106</v>
      </c>
      <c r="R73" s="16">
        <v>1006.2777777777777</v>
      </c>
    </row>
    <row r="74" spans="1:18" x14ac:dyDescent="0.2">
      <c r="A74" s="1">
        <v>94</v>
      </c>
      <c r="B74" s="2" t="s">
        <v>182</v>
      </c>
      <c r="C74" s="9">
        <v>154.53888888888889</v>
      </c>
      <c r="D74" s="11">
        <v>139.45555555555555</v>
      </c>
      <c r="E74" s="11">
        <v>147.57777777777778</v>
      </c>
      <c r="F74" s="11">
        <v>130.26666666666668</v>
      </c>
      <c r="G74" s="11">
        <v>137.19444444444446</v>
      </c>
      <c r="H74" s="11">
        <v>110.81666666666666</v>
      </c>
      <c r="I74" s="9">
        <v>141.48888888888888</v>
      </c>
      <c r="J74" s="8">
        <v>103.71666666666667</v>
      </c>
      <c r="K74" s="9">
        <v>101.98333333333333</v>
      </c>
      <c r="L74" s="11">
        <v>17.455555555555556</v>
      </c>
      <c r="M74" s="11">
        <v>0</v>
      </c>
      <c r="N74" s="11">
        <v>0</v>
      </c>
      <c r="O74" s="11">
        <v>0</v>
      </c>
      <c r="P74" s="8">
        <v>19.194444444444443</v>
      </c>
      <c r="Q74" s="9">
        <v>117.79444444444445</v>
      </c>
      <c r="R74" s="16">
        <v>1203.6888888888889</v>
      </c>
    </row>
    <row r="75" spans="1:18" x14ac:dyDescent="0.2">
      <c r="A75" s="1">
        <v>95</v>
      </c>
      <c r="B75" s="2" t="s">
        <v>47</v>
      </c>
      <c r="C75" s="9">
        <v>24.872222222222224</v>
      </c>
      <c r="D75" s="11">
        <v>49.644444444444446</v>
      </c>
      <c r="E75" s="11">
        <v>50.416666666666664</v>
      </c>
      <c r="F75" s="11">
        <v>50</v>
      </c>
      <c r="G75" s="11">
        <v>49</v>
      </c>
      <c r="H75" s="11">
        <v>49.711111111111109</v>
      </c>
      <c r="I75" s="9">
        <v>59.172222222222224</v>
      </c>
      <c r="J75" s="8">
        <v>40.166666666666664</v>
      </c>
      <c r="K75" s="9">
        <v>46.055555555555557</v>
      </c>
      <c r="L75" s="11">
        <v>0</v>
      </c>
      <c r="M75" s="11">
        <v>0</v>
      </c>
      <c r="N75" s="11">
        <v>0</v>
      </c>
      <c r="O75" s="11">
        <v>0</v>
      </c>
      <c r="P75" s="8">
        <v>1</v>
      </c>
      <c r="Q75" s="9">
        <v>43.738888888888887</v>
      </c>
      <c r="R75" s="16">
        <v>420.03888888888889</v>
      </c>
    </row>
    <row r="76" spans="1:18" x14ac:dyDescent="0.2">
      <c r="A76" s="1">
        <v>90</v>
      </c>
      <c r="B76" s="2" t="s">
        <v>217</v>
      </c>
      <c r="C76" s="9">
        <v>0</v>
      </c>
      <c r="D76" s="11">
        <v>0</v>
      </c>
      <c r="E76" s="11">
        <v>0</v>
      </c>
      <c r="F76" s="11">
        <v>0</v>
      </c>
      <c r="G76" s="11">
        <v>0</v>
      </c>
      <c r="H76" s="11">
        <v>0</v>
      </c>
      <c r="I76" s="9">
        <v>0</v>
      </c>
      <c r="J76" s="8">
        <v>0</v>
      </c>
      <c r="K76" s="9">
        <v>0</v>
      </c>
      <c r="L76" s="11">
        <v>99.2</v>
      </c>
      <c r="M76" s="11">
        <v>96.977777777777774</v>
      </c>
      <c r="N76" s="11">
        <v>75.188888888888883</v>
      </c>
      <c r="O76" s="11">
        <v>80.577777777777783</v>
      </c>
      <c r="P76" s="8">
        <v>0</v>
      </c>
      <c r="Q76" s="9">
        <v>29.127777777777776</v>
      </c>
      <c r="R76" s="16">
        <v>351.94444444444446</v>
      </c>
    </row>
    <row r="77" spans="1:18" x14ac:dyDescent="0.2">
      <c r="A77" s="29">
        <v>92</v>
      </c>
      <c r="B77" s="43" t="s">
        <v>45</v>
      </c>
      <c r="C77" s="14">
        <v>0</v>
      </c>
      <c r="D77" s="13">
        <v>0</v>
      </c>
      <c r="E77" s="13">
        <v>0</v>
      </c>
      <c r="F77" s="13">
        <v>0</v>
      </c>
      <c r="G77" s="13">
        <v>0</v>
      </c>
      <c r="H77" s="13">
        <v>0</v>
      </c>
      <c r="I77" s="14">
        <v>0</v>
      </c>
      <c r="J77" s="12">
        <v>0</v>
      </c>
      <c r="K77" s="14">
        <v>0</v>
      </c>
      <c r="L77" s="13">
        <v>14.055555555555555</v>
      </c>
      <c r="M77" s="13">
        <v>15.644444444444444</v>
      </c>
      <c r="N77" s="13">
        <v>17.75</v>
      </c>
      <c r="O77" s="13">
        <v>8.3055555555555554</v>
      </c>
      <c r="P77" s="12">
        <v>0</v>
      </c>
      <c r="Q77" s="14">
        <v>8.1611111111111114</v>
      </c>
      <c r="R77" s="18">
        <v>55.75555555555556</v>
      </c>
    </row>
    <row r="78" spans="1:18" x14ac:dyDescent="0.2">
      <c r="A78" s="1" t="s">
        <v>166</v>
      </c>
      <c r="B78" s="23" t="s">
        <v>168</v>
      </c>
      <c r="C78" s="7">
        <v>19.18888888888889</v>
      </c>
      <c r="D78" s="6">
        <v>11.927777777777777</v>
      </c>
      <c r="E78" s="6">
        <v>24.488888888888887</v>
      </c>
      <c r="F78" s="6">
        <v>19.022222222222222</v>
      </c>
      <c r="G78" s="6">
        <v>25.616666666666667</v>
      </c>
      <c r="H78" s="6">
        <v>33.211111111111109</v>
      </c>
      <c r="I78" s="7">
        <v>33.666666666666664</v>
      </c>
      <c r="J78" s="5">
        <v>53.994444444444447</v>
      </c>
      <c r="K78" s="7">
        <v>71.327777777777783</v>
      </c>
      <c r="L78" s="6">
        <v>74.316666666666663</v>
      </c>
      <c r="M78" s="6">
        <v>46.9</v>
      </c>
      <c r="N78" s="6">
        <v>25.566666666666666</v>
      </c>
      <c r="O78" s="6">
        <v>10.772222222222222</v>
      </c>
      <c r="P78" s="8">
        <v>0</v>
      </c>
      <c r="Q78" s="9">
        <v>45.95</v>
      </c>
      <c r="R78" s="16">
        <v>450</v>
      </c>
    </row>
    <row r="79" spans="1:18" x14ac:dyDescent="0.2">
      <c r="A79" s="1" t="s">
        <v>50</v>
      </c>
      <c r="B79" s="2" t="s">
        <v>202</v>
      </c>
      <c r="C79" s="9">
        <v>0</v>
      </c>
      <c r="D79" s="11">
        <v>0</v>
      </c>
      <c r="E79" s="11">
        <v>0</v>
      </c>
      <c r="F79" s="11">
        <v>0</v>
      </c>
      <c r="G79" s="11">
        <v>0</v>
      </c>
      <c r="H79" s="11">
        <v>0</v>
      </c>
      <c r="I79" s="9">
        <v>0</v>
      </c>
      <c r="J79" s="8">
        <v>0</v>
      </c>
      <c r="K79" s="9">
        <v>0</v>
      </c>
      <c r="L79" s="11">
        <v>0</v>
      </c>
      <c r="M79" s="11">
        <v>140.37777777777777</v>
      </c>
      <c r="N79" s="11">
        <v>134.58333333333334</v>
      </c>
      <c r="O79" s="11">
        <v>112.5</v>
      </c>
      <c r="P79" s="8">
        <v>0</v>
      </c>
      <c r="Q79" s="9">
        <v>5</v>
      </c>
      <c r="R79" s="16">
        <v>387.46111111111111</v>
      </c>
    </row>
    <row r="80" spans="1:18" x14ac:dyDescent="0.2">
      <c r="A80" s="1" t="s">
        <v>98</v>
      </c>
      <c r="B80" s="2" t="s">
        <v>99</v>
      </c>
      <c r="C80" s="9">
        <v>109.44444444444444</v>
      </c>
      <c r="D80" s="11">
        <v>120.61666666666666</v>
      </c>
      <c r="E80" s="11">
        <v>127.06111111111112</v>
      </c>
      <c r="F80" s="11">
        <v>125.93333333333334</v>
      </c>
      <c r="G80" s="11">
        <v>118.42222222222222</v>
      </c>
      <c r="H80" s="11">
        <v>166.6611111111111</v>
      </c>
      <c r="I80" s="9">
        <v>169.03333333333333</v>
      </c>
      <c r="J80" s="8">
        <v>196.98888888888888</v>
      </c>
      <c r="K80" s="9">
        <v>278.53333333333336</v>
      </c>
      <c r="L80" s="11">
        <v>205.86111111111111</v>
      </c>
      <c r="M80" s="11">
        <v>140.83333333333334</v>
      </c>
      <c r="N80" s="11">
        <v>116.66666666666667</v>
      </c>
      <c r="O80" s="11">
        <v>84.144444444444446</v>
      </c>
      <c r="P80" s="8">
        <v>30.633333333333333</v>
      </c>
      <c r="Q80" s="9">
        <v>242.41666666666666</v>
      </c>
      <c r="R80" s="16">
        <v>1990.833333333333</v>
      </c>
    </row>
    <row r="81" spans="1:18" x14ac:dyDescent="0.2">
      <c r="A81" s="1" t="s">
        <v>175</v>
      </c>
      <c r="B81" s="2" t="s">
        <v>181</v>
      </c>
      <c r="C81" s="9">
        <v>74.572222222222223</v>
      </c>
      <c r="D81" s="11">
        <v>39.538888888888891</v>
      </c>
      <c r="E81" s="11">
        <v>47.766666666666666</v>
      </c>
      <c r="F81" s="11">
        <v>54.416666666666664</v>
      </c>
      <c r="G81" s="11">
        <v>57.255555555555553</v>
      </c>
      <c r="H81" s="11">
        <v>46.722222222222221</v>
      </c>
      <c r="I81" s="9">
        <v>51.2</v>
      </c>
      <c r="J81" s="8">
        <v>46.016666666666666</v>
      </c>
      <c r="K81" s="9">
        <v>0</v>
      </c>
      <c r="L81" s="11">
        <v>0</v>
      </c>
      <c r="M81" s="11">
        <v>0</v>
      </c>
      <c r="N81" s="11">
        <v>0</v>
      </c>
      <c r="O81" s="11">
        <v>0</v>
      </c>
      <c r="P81" s="8">
        <v>4.0666666666666664</v>
      </c>
      <c r="Q81" s="9">
        <v>39.894444444444446</v>
      </c>
      <c r="R81" s="16">
        <v>421.55555555555554</v>
      </c>
    </row>
    <row r="82" spans="1:18" x14ac:dyDescent="0.2">
      <c r="A82" s="29" t="s">
        <v>78</v>
      </c>
      <c r="B82" s="43" t="s">
        <v>79</v>
      </c>
      <c r="C82" s="14">
        <v>49.68333333333333</v>
      </c>
      <c r="D82" s="13">
        <v>46.68333333333333</v>
      </c>
      <c r="E82" s="13">
        <v>48.427777777777777</v>
      </c>
      <c r="F82" s="13">
        <v>45.75</v>
      </c>
      <c r="G82" s="13">
        <v>48.222222222222221</v>
      </c>
      <c r="H82" s="13">
        <v>50.761111111111113</v>
      </c>
      <c r="I82" s="14">
        <v>50.9</v>
      </c>
      <c r="J82" s="12">
        <v>52.327777777777776</v>
      </c>
      <c r="K82" s="14">
        <v>44.766666666666666</v>
      </c>
      <c r="L82" s="13">
        <v>75.86666666666666</v>
      </c>
      <c r="M82" s="13">
        <v>59.544444444444444</v>
      </c>
      <c r="N82" s="13">
        <v>0</v>
      </c>
      <c r="O82" s="13">
        <v>0</v>
      </c>
      <c r="P82" s="12">
        <v>7.0333333333333332</v>
      </c>
      <c r="Q82" s="14">
        <v>51.87777777777778</v>
      </c>
      <c r="R82" s="18">
        <v>579.9666666666667</v>
      </c>
    </row>
    <row r="83" spans="1:18" x14ac:dyDescent="0.2">
      <c r="A83" s="31" t="s">
        <v>70</v>
      </c>
      <c r="B83" s="23" t="s">
        <v>216</v>
      </c>
      <c r="C83" s="7">
        <v>91.638888888888886</v>
      </c>
      <c r="D83" s="6">
        <v>96.511111111111106</v>
      </c>
      <c r="E83" s="6">
        <v>97.25</v>
      </c>
      <c r="F83" s="6">
        <v>101.00555555555556</v>
      </c>
      <c r="G83" s="6">
        <v>86.027777777777771</v>
      </c>
      <c r="H83" s="6">
        <v>89.388888888888886</v>
      </c>
      <c r="I83" s="7">
        <v>89.13333333333334</v>
      </c>
      <c r="J83" s="5">
        <v>88.555555555555557</v>
      </c>
      <c r="K83" s="7">
        <v>71.555555555555557</v>
      </c>
      <c r="L83" s="6">
        <v>0</v>
      </c>
      <c r="M83" s="6">
        <v>0</v>
      </c>
      <c r="N83" s="6">
        <v>0</v>
      </c>
      <c r="O83" s="6">
        <v>0</v>
      </c>
      <c r="P83" s="5">
        <v>9.8666666666666671</v>
      </c>
      <c r="Q83" s="7">
        <v>89.288888888888891</v>
      </c>
      <c r="R83" s="17">
        <v>820.93333333333328</v>
      </c>
    </row>
    <row r="84" spans="1:18" x14ac:dyDescent="0.2">
      <c r="A84" s="1">
        <v>81</v>
      </c>
      <c r="B84" s="2" t="s">
        <v>40</v>
      </c>
      <c r="C84" s="9">
        <v>77.661111111111111</v>
      </c>
      <c r="D84" s="11">
        <v>59.694444444444443</v>
      </c>
      <c r="E84" s="11">
        <v>57.855555555555554</v>
      </c>
      <c r="F84" s="11">
        <v>44.233333333333334</v>
      </c>
      <c r="G84" s="11">
        <v>49.733333333333334</v>
      </c>
      <c r="H84" s="11">
        <v>37.43333333333333</v>
      </c>
      <c r="I84" s="9">
        <v>48.172222222222224</v>
      </c>
      <c r="J84" s="8">
        <v>17.427777777777777</v>
      </c>
      <c r="K84" s="9">
        <v>23.888888888888889</v>
      </c>
      <c r="L84" s="11">
        <v>21.477777777777778</v>
      </c>
      <c r="M84" s="11">
        <v>26.366666666666667</v>
      </c>
      <c r="N84" s="11">
        <v>21.933333333333334</v>
      </c>
      <c r="O84" s="11">
        <v>25.45</v>
      </c>
      <c r="P84" s="8">
        <v>6.4055555555555559</v>
      </c>
      <c r="Q84" s="9">
        <v>64.233333333333334</v>
      </c>
      <c r="R84" s="16">
        <v>517.73333333333335</v>
      </c>
    </row>
    <row r="85" spans="1:18" x14ac:dyDescent="0.2">
      <c r="A85" s="1" t="s">
        <v>80</v>
      </c>
      <c r="B85" s="2" t="s">
        <v>81</v>
      </c>
      <c r="C85" s="9">
        <v>49.35</v>
      </c>
      <c r="D85" s="11">
        <v>73.155555555555551</v>
      </c>
      <c r="E85" s="11">
        <v>50.594444444444441</v>
      </c>
      <c r="F85" s="11">
        <v>50.794444444444444</v>
      </c>
      <c r="G85" s="11">
        <v>50</v>
      </c>
      <c r="H85" s="11">
        <v>50.466666666666669</v>
      </c>
      <c r="I85" s="9">
        <v>48.844444444444441</v>
      </c>
      <c r="J85" s="8">
        <v>0</v>
      </c>
      <c r="K85" s="9">
        <v>0</v>
      </c>
      <c r="L85" s="11">
        <v>0</v>
      </c>
      <c r="M85" s="11">
        <v>0</v>
      </c>
      <c r="N85" s="11">
        <v>0</v>
      </c>
      <c r="O85" s="11">
        <v>0</v>
      </c>
      <c r="P85" s="8">
        <v>0</v>
      </c>
      <c r="Q85" s="9">
        <v>40.638888888888886</v>
      </c>
      <c r="R85" s="16">
        <v>373.20555555555552</v>
      </c>
    </row>
    <row r="86" spans="1:18" x14ac:dyDescent="0.2">
      <c r="A86" s="29" t="s">
        <v>159</v>
      </c>
      <c r="B86" s="43" t="s">
        <v>160</v>
      </c>
      <c r="C86" s="14">
        <v>61.833333333333336</v>
      </c>
      <c r="D86" s="12">
        <v>58.35</v>
      </c>
      <c r="E86" s="13">
        <v>72.888888888888886</v>
      </c>
      <c r="F86" s="13">
        <v>69.277777777777771</v>
      </c>
      <c r="G86" s="13">
        <v>73.438888888888883</v>
      </c>
      <c r="H86" s="13">
        <v>70.166666666666671</v>
      </c>
      <c r="I86" s="14">
        <v>61.583333333333336</v>
      </c>
      <c r="J86" s="12">
        <v>48.4</v>
      </c>
      <c r="K86" s="14">
        <v>47.15</v>
      </c>
      <c r="L86" s="13">
        <v>0</v>
      </c>
      <c r="M86" s="13">
        <v>0</v>
      </c>
      <c r="N86" s="13">
        <v>0</v>
      </c>
      <c r="O86" s="13">
        <v>0</v>
      </c>
      <c r="P86" s="12">
        <v>2.7888888888888888</v>
      </c>
      <c r="Q86" s="14">
        <v>57.744444444444447</v>
      </c>
      <c r="R86" s="18">
        <v>565.87777777777774</v>
      </c>
    </row>
    <row r="87" spans="1:18" s="21" customFormat="1" x14ac:dyDescent="0.2">
      <c r="A87" s="37"/>
      <c r="B87" s="40" t="s">
        <v>199</v>
      </c>
      <c r="C87" s="41">
        <f>SUM(C3:C86)</f>
        <v>4277.8999999999996</v>
      </c>
      <c r="D87" s="41">
        <f t="shared" ref="D87:Q87" si="0">SUM(D3:D86)</f>
        <v>4591.4555555555562</v>
      </c>
      <c r="E87" s="41">
        <f t="shared" si="0"/>
        <v>4536.5388888888883</v>
      </c>
      <c r="F87" s="41">
        <f t="shared" si="0"/>
        <v>4465.7888888888911</v>
      </c>
      <c r="G87" s="41">
        <f t="shared" si="0"/>
        <v>4323.5611111111111</v>
      </c>
      <c r="H87" s="41">
        <f t="shared" si="0"/>
        <v>4384.9333333333334</v>
      </c>
      <c r="I87" s="41">
        <f t="shared" si="0"/>
        <v>4424.5611111111102</v>
      </c>
      <c r="J87" s="41">
        <f t="shared" si="0"/>
        <v>4132.8166666666666</v>
      </c>
      <c r="K87" s="41">
        <f>SUM(K3:K86)</f>
        <v>3868.755555555555</v>
      </c>
      <c r="L87" s="41">
        <f t="shared" si="0"/>
        <v>3512.2277777777772</v>
      </c>
      <c r="M87" s="41">
        <f t="shared" si="0"/>
        <v>2520.1166666666668</v>
      </c>
      <c r="N87" s="41">
        <f t="shared" si="0"/>
        <v>2140.8222222222221</v>
      </c>
      <c r="O87" s="41">
        <f t="shared" si="0"/>
        <v>1748.5</v>
      </c>
      <c r="P87" s="41">
        <f t="shared" si="0"/>
        <v>451.63333333333338</v>
      </c>
      <c r="Q87" s="41">
        <f t="shared" si="0"/>
        <v>4973.8888888888887</v>
      </c>
      <c r="R87" s="42">
        <f t="shared" ref="R87" si="1">SUM(R3:R86)</f>
        <v>49379.611111111139</v>
      </c>
    </row>
  </sheetData>
  <sheetProtection password="EB3F" sheet="1" objects="1" scenarios="1"/>
  <sortState ref="A3:S86">
    <sortCondition ref="B3:B86"/>
  </sortState>
  <printOptions horizontalCentered="1"/>
  <pageMargins left="0.25" right="0.25" top="0.75" bottom="0.75" header="0.3" footer="0.3"/>
  <pageSetup scale="68" fitToHeight="2" orientation="landscape" r:id="rId1"/>
  <headerFooter>
    <oddHeader xml:space="preserve">&amp;C&amp;"-,Bold"&amp;12Average Daily Membership
School Year 2012-13
Charters
</oddHeader>
    <oddFooter xml:space="preserve">&amp;L&amp;8Compiler: USOE/Data &amp; Statistics
Source: Year End 2013 UTREX  </oddFooter>
  </headerFooter>
  <rowBreaks count="1" manualBreakCount="1">
    <brk id="47" min="1" max="1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SchoolDistricts</vt:lpstr>
      <vt:lpstr>CharterSchools</vt:lpstr>
      <vt:lpstr>CharterSchools!Print_Titles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Emily Eyre</dc:creator>
  <cp:lastModifiedBy>Morandy, Tina</cp:lastModifiedBy>
  <cp:lastPrinted>2013-12-17T22:44:00Z</cp:lastPrinted>
  <dcterms:created xsi:type="dcterms:W3CDTF">2010-07-16T14:52:35Z</dcterms:created>
  <dcterms:modified xsi:type="dcterms:W3CDTF">2013-12-20T17:18:27Z</dcterms:modified>
</cp:coreProperties>
</file>