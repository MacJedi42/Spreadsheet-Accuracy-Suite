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540" windowWidth="17235" windowHeight="9045"/>
  </bookViews>
  <sheets>
    <sheet name="Summary" sheetId="60" r:id="rId1"/>
    <sheet name="Rate History" sheetId="66" r:id="rId2"/>
    <sheet name="FTSE Summary" sheetId="65" r:id="rId3"/>
    <sheet name="Discipline Summary" sheetId="62" r:id="rId4"/>
    <sheet name="Discipline Analysis" sheetId="63" r:id="rId5"/>
    <sheet name="Neutral" sheetId="67" r:id="rId6"/>
    <sheet name="1" sheetId="57" r:id="rId7"/>
    <sheet name="2" sheetId="56" r:id="rId8"/>
    <sheet name="3" sheetId="55" r:id="rId9"/>
    <sheet name="4" sheetId="54" r:id="rId10"/>
    <sheet name="5" sheetId="53" r:id="rId11"/>
    <sheet name="6" sheetId="52" r:id="rId12"/>
    <sheet name="7" sheetId="51" r:id="rId13"/>
    <sheet name="8" sheetId="50" r:id="rId14"/>
    <sheet name="9" sheetId="49" r:id="rId15"/>
    <sheet name="10" sheetId="48" r:id="rId16"/>
    <sheet name="11" sheetId="47" r:id="rId17"/>
    <sheet name="12" sheetId="46" r:id="rId18"/>
    <sheet name="13" sheetId="45" r:id="rId19"/>
    <sheet name="14" sheetId="44" r:id="rId20"/>
    <sheet name="15" sheetId="43" r:id="rId21"/>
    <sheet name="16" sheetId="42" r:id="rId22"/>
    <sheet name="17" sheetId="41" r:id="rId23"/>
    <sheet name="18" sheetId="40" r:id="rId24"/>
    <sheet name="19" sheetId="39" r:id="rId25"/>
    <sheet name="20" sheetId="38" r:id="rId26"/>
    <sheet name="21" sheetId="37" r:id="rId27"/>
    <sheet name="22" sheetId="36" r:id="rId28"/>
    <sheet name="23" sheetId="35" r:id="rId29"/>
    <sheet name="24" sheetId="34" r:id="rId30"/>
    <sheet name="25" sheetId="33" r:id="rId31"/>
    <sheet name="26" sheetId="32" r:id="rId32"/>
    <sheet name="27" sheetId="31" r:id="rId33"/>
    <sheet name="28" sheetId="30" r:id="rId34"/>
    <sheet name="29" sheetId="29" r:id="rId35"/>
    <sheet name="30" sheetId="28" r:id="rId36"/>
    <sheet name="31" sheetId="27" r:id="rId37"/>
    <sheet name="32" sheetId="26" r:id="rId38"/>
    <sheet name="33" sheetId="25" r:id="rId39"/>
    <sheet name="34" sheetId="24" r:id="rId40"/>
    <sheet name="35" sheetId="23" r:id="rId41"/>
    <sheet name="36" sheetId="22" r:id="rId42"/>
    <sheet name="37" sheetId="21" r:id="rId43"/>
    <sheet name="38" sheetId="20" r:id="rId44"/>
    <sheet name="39" sheetId="19" r:id="rId45"/>
    <sheet name="40" sheetId="18" r:id="rId46"/>
    <sheet name="41" sheetId="17" r:id="rId47"/>
    <sheet name="42" sheetId="16" r:id="rId48"/>
    <sheet name="43" sheetId="15" r:id="rId49"/>
    <sheet name="44" sheetId="14" r:id="rId50"/>
    <sheet name="45" sheetId="13" r:id="rId51"/>
    <sheet name="46" sheetId="12" r:id="rId52"/>
    <sheet name="47" sheetId="11" r:id="rId53"/>
    <sheet name="48" sheetId="10" r:id="rId54"/>
    <sheet name="49" sheetId="9" r:id="rId55"/>
    <sheet name="50" sheetId="8" r:id="rId56"/>
    <sheet name="51" sheetId="7" r:id="rId57"/>
    <sheet name="52" sheetId="6" r:id="rId58"/>
    <sheet name="53" sheetId="5" r:id="rId59"/>
    <sheet name="54" sheetId="4" r:id="rId60"/>
    <sheet name="55" sheetId="3" r:id="rId61"/>
    <sheet name="56" sheetId="59" r:id="rId62"/>
    <sheet name="57" sheetId="1" r:id="rId63"/>
    <sheet name="Data" sheetId="2" r:id="rId64"/>
  </sheets>
  <externalReferences>
    <externalReference r:id="rId65"/>
  </externalReferences>
  <definedNames>
    <definedName name="Broadway_AP_FRP_RFOE_CCSurvey" localSheetId="63" hidden="1">Data!$A$4:$LB$61</definedName>
    <definedName name="_xlnm.Print_Area" localSheetId="4">'Discipline Analysis'!$A$1:$V$64</definedName>
    <definedName name="_xlnm.Print_Titles" localSheetId="4">'Discipline Analysis'!$A:$A,'Discipline Analysis'!$5:$5</definedName>
    <definedName name="_xlnm.Print_Titles" localSheetId="3">'Discipline Summary'!$A:$A,'Discipline Summary'!$3:$3</definedName>
    <definedName name="_xlnm.Print_Titles" localSheetId="2">'FTSE Summary'!$3:$3</definedName>
    <definedName name="_xlnm.Print_Titles" localSheetId="5">Neutral!$4:$4</definedName>
    <definedName name="_xlnm.Print_Titles" localSheetId="1">'Rate History'!$B:$B</definedName>
  </definedNames>
  <calcPr calcId="145621"/>
</workbook>
</file>

<file path=xl/calcChain.xml><?xml version="1.0" encoding="utf-8"?>
<calcChain xmlns="http://schemas.openxmlformats.org/spreadsheetml/2006/main">
  <c r="B4" i="67" l="1"/>
  <c r="F34" i="66" l="1"/>
  <c r="F33" i="66"/>
  <c r="F32" i="66"/>
  <c r="C62" i="67"/>
  <c r="B62" i="67"/>
  <c r="C61" i="67"/>
  <c r="B61" i="67"/>
  <c r="C60" i="67"/>
  <c r="B60" i="67"/>
  <c r="C59" i="67"/>
  <c r="B59" i="67"/>
  <c r="C58" i="67"/>
  <c r="B58" i="67"/>
  <c r="C57" i="67"/>
  <c r="B57" i="67"/>
  <c r="C56" i="67"/>
  <c r="B56" i="67"/>
  <c r="C55" i="67"/>
  <c r="B55" i="67"/>
  <c r="C54" i="67"/>
  <c r="B54" i="67"/>
  <c r="C53" i="67"/>
  <c r="B53" i="67"/>
  <c r="C52" i="67"/>
  <c r="B52" i="67"/>
  <c r="C51" i="67"/>
  <c r="B51" i="67"/>
  <c r="C50" i="67"/>
  <c r="B50" i="67"/>
  <c r="C49" i="67"/>
  <c r="B49" i="67"/>
  <c r="C48" i="67"/>
  <c r="B48" i="67"/>
  <c r="C47" i="67"/>
  <c r="B47" i="67"/>
  <c r="C46" i="67"/>
  <c r="B46" i="67"/>
  <c r="C45" i="67"/>
  <c r="B45" i="67"/>
  <c r="C44" i="67"/>
  <c r="B44" i="67"/>
  <c r="C43" i="67"/>
  <c r="B43" i="67"/>
  <c r="C42" i="67"/>
  <c r="B42" i="67"/>
  <c r="C41" i="67"/>
  <c r="B41" i="67"/>
  <c r="C40" i="67"/>
  <c r="B40" i="67"/>
  <c r="C39" i="67"/>
  <c r="B39" i="67"/>
  <c r="C38" i="67"/>
  <c r="B38" i="67"/>
  <c r="C37" i="67"/>
  <c r="B37" i="67"/>
  <c r="C36" i="67"/>
  <c r="B36" i="67"/>
  <c r="C35" i="67"/>
  <c r="B35" i="67"/>
  <c r="C34" i="67"/>
  <c r="B34" i="67"/>
  <c r="C33" i="67"/>
  <c r="B33" i="67"/>
  <c r="C32" i="67"/>
  <c r="B32" i="67"/>
  <c r="C31" i="67"/>
  <c r="B31" i="67"/>
  <c r="C30" i="67"/>
  <c r="B30" i="67"/>
  <c r="C29" i="67"/>
  <c r="B29" i="67"/>
  <c r="C28" i="67"/>
  <c r="B28" i="67"/>
  <c r="C27" i="67"/>
  <c r="B27" i="67"/>
  <c r="C26" i="67"/>
  <c r="B26" i="67"/>
  <c r="C25" i="67"/>
  <c r="B25" i="67"/>
  <c r="C24" i="67"/>
  <c r="B24" i="67"/>
  <c r="C23" i="67"/>
  <c r="B23" i="67"/>
  <c r="C22" i="67"/>
  <c r="B22" i="67"/>
  <c r="C21" i="67"/>
  <c r="B21" i="67"/>
  <c r="C20" i="67"/>
  <c r="B20" i="67"/>
  <c r="C19" i="67"/>
  <c r="B19" i="67"/>
  <c r="C18" i="67"/>
  <c r="B18" i="67"/>
  <c r="C17" i="67"/>
  <c r="B17" i="67"/>
  <c r="C16" i="67"/>
  <c r="B16" i="67"/>
  <c r="C15" i="67"/>
  <c r="B15" i="67"/>
  <c r="C14" i="67"/>
  <c r="B14" i="67"/>
  <c r="C13" i="67"/>
  <c r="B13" i="67"/>
  <c r="C12" i="67"/>
  <c r="B12" i="67"/>
  <c r="C11" i="67"/>
  <c r="B11" i="67"/>
  <c r="C10" i="67"/>
  <c r="B10" i="67"/>
  <c r="C9" i="67"/>
  <c r="B9" i="67"/>
  <c r="C8" i="67"/>
  <c r="B8" i="67"/>
  <c r="C7" i="67"/>
  <c r="B7" i="67"/>
  <c r="C6" i="67"/>
  <c r="B6" i="67"/>
  <c r="C4" i="67"/>
  <c r="A1" i="67"/>
  <c r="D5" i="67"/>
  <c r="F31" i="66"/>
  <c r="F30" i="66"/>
  <c r="C31" i="66"/>
  <c r="C30" i="66"/>
  <c r="D34" i="66"/>
  <c r="A1" i="66"/>
  <c r="D47" i="67" l="1"/>
  <c r="E47" i="67" s="1"/>
  <c r="D15" i="67"/>
  <c r="E15" i="67" s="1"/>
  <c r="D31" i="67"/>
  <c r="E31" i="67" s="1"/>
  <c r="B63" i="67"/>
  <c r="D7" i="67"/>
  <c r="E7" i="67" s="1"/>
  <c r="D8" i="67"/>
  <c r="E8" i="67" s="1"/>
  <c r="D9" i="67"/>
  <c r="E9" i="67" s="1"/>
  <c r="D10" i="67"/>
  <c r="E10" i="67" s="1"/>
  <c r="D11" i="67"/>
  <c r="E11" i="67" s="1"/>
  <c r="D12" i="67"/>
  <c r="E12" i="67" s="1"/>
  <c r="D13" i="67"/>
  <c r="E13" i="67" s="1"/>
  <c r="D14" i="67"/>
  <c r="E14" i="67" s="1"/>
  <c r="D16" i="67"/>
  <c r="E16" i="67" s="1"/>
  <c r="D17" i="67"/>
  <c r="E17" i="67" s="1"/>
  <c r="D18" i="67"/>
  <c r="E18" i="67" s="1"/>
  <c r="D19" i="67"/>
  <c r="E19" i="67" s="1"/>
  <c r="D20" i="67"/>
  <c r="E20" i="67" s="1"/>
  <c r="D21" i="67"/>
  <c r="E21" i="67" s="1"/>
  <c r="D22" i="67"/>
  <c r="E22" i="67" s="1"/>
  <c r="D23" i="67"/>
  <c r="E23" i="67" s="1"/>
  <c r="D24" i="67"/>
  <c r="E24" i="67" s="1"/>
  <c r="D25" i="67"/>
  <c r="E25" i="67" s="1"/>
  <c r="D26" i="67"/>
  <c r="E26" i="67" s="1"/>
  <c r="D27" i="67"/>
  <c r="E27" i="67" s="1"/>
  <c r="D28" i="67"/>
  <c r="E28" i="67" s="1"/>
  <c r="D29" i="67"/>
  <c r="E29" i="67" s="1"/>
  <c r="D30" i="67"/>
  <c r="E30" i="67" s="1"/>
  <c r="D32" i="67"/>
  <c r="E32" i="67" s="1"/>
  <c r="D33" i="67"/>
  <c r="E33" i="67" s="1"/>
  <c r="D34" i="67"/>
  <c r="E34" i="67" s="1"/>
  <c r="D35" i="67"/>
  <c r="E35" i="67" s="1"/>
  <c r="D36" i="67"/>
  <c r="E36" i="67" s="1"/>
  <c r="D37" i="67"/>
  <c r="E37" i="67" s="1"/>
  <c r="D38" i="67"/>
  <c r="E38" i="67" s="1"/>
  <c r="D39" i="67"/>
  <c r="E39" i="67" s="1"/>
  <c r="D40" i="67"/>
  <c r="E40" i="67" s="1"/>
  <c r="D41" i="67"/>
  <c r="E41" i="67" s="1"/>
  <c r="D42" i="67"/>
  <c r="E42" i="67" s="1"/>
  <c r="D43" i="67"/>
  <c r="E43" i="67" s="1"/>
  <c r="D44" i="67"/>
  <c r="E44" i="67" s="1"/>
  <c r="D45" i="67"/>
  <c r="E45" i="67" s="1"/>
  <c r="D46" i="67"/>
  <c r="E46" i="67" s="1"/>
  <c r="D48" i="67"/>
  <c r="E48" i="67" s="1"/>
  <c r="D49" i="67"/>
  <c r="E49" i="67" s="1"/>
  <c r="D50" i="67"/>
  <c r="E50" i="67" s="1"/>
  <c r="D51" i="67"/>
  <c r="E51" i="67" s="1"/>
  <c r="D52" i="67"/>
  <c r="E52" i="67" s="1"/>
  <c r="D53" i="67"/>
  <c r="E53" i="67" s="1"/>
  <c r="D54" i="67"/>
  <c r="E54" i="67" s="1"/>
  <c r="D55" i="67"/>
  <c r="E55" i="67" s="1"/>
  <c r="D56" i="67"/>
  <c r="E56" i="67" s="1"/>
  <c r="D57" i="67"/>
  <c r="E57" i="67" s="1"/>
  <c r="D58" i="67"/>
  <c r="E58" i="67" s="1"/>
  <c r="D59" i="67"/>
  <c r="E59" i="67" s="1"/>
  <c r="D60" i="67"/>
  <c r="E60" i="67" s="1"/>
  <c r="D61" i="67"/>
  <c r="E61" i="67" s="1"/>
  <c r="D62" i="67"/>
  <c r="E62" i="67" s="1"/>
  <c r="C63" i="67"/>
  <c r="D63" i="67" s="1"/>
  <c r="E63" i="67" s="1"/>
  <c r="D6" i="67"/>
  <c r="E6" i="67" s="1"/>
  <c r="D33" i="66"/>
  <c r="D32" i="66"/>
  <c r="F3" i="1" l="1"/>
  <c r="B2" i="1"/>
  <c r="A1" i="1"/>
  <c r="F3" i="59"/>
  <c r="B2" i="59"/>
  <c r="A1" i="59"/>
  <c r="F3" i="3"/>
  <c r="B2" i="3"/>
  <c r="A1" i="3"/>
  <c r="F3" i="4"/>
  <c r="B2" i="4"/>
  <c r="A1" i="4"/>
  <c r="F3" i="5"/>
  <c r="B2" i="5"/>
  <c r="A1" i="5"/>
  <c r="F3" i="6"/>
  <c r="B2" i="6"/>
  <c r="A1" i="6"/>
  <c r="F3" i="7"/>
  <c r="B2" i="7"/>
  <c r="A1" i="7"/>
  <c r="F3" i="8"/>
  <c r="B2" i="8"/>
  <c r="A1" i="8"/>
  <c r="F3" i="9"/>
  <c r="B2" i="9"/>
  <c r="A1" i="9"/>
  <c r="F3" i="10"/>
  <c r="B2" i="10"/>
  <c r="A1" i="10"/>
  <c r="F3" i="11"/>
  <c r="B2" i="11"/>
  <c r="A1" i="11"/>
  <c r="F3" i="12"/>
  <c r="B2" i="12"/>
  <c r="A1" i="12"/>
  <c r="F3" i="13"/>
  <c r="B2" i="13"/>
  <c r="A1" i="13"/>
  <c r="F3" i="14"/>
  <c r="B2" i="14"/>
  <c r="A1" i="14"/>
  <c r="F3" i="15"/>
  <c r="B2" i="15"/>
  <c r="A1" i="15"/>
  <c r="F3" i="16"/>
  <c r="B2" i="16"/>
  <c r="A1" i="16"/>
  <c r="F3" i="17"/>
  <c r="B2" i="17"/>
  <c r="A1" i="17"/>
  <c r="F3" i="18"/>
  <c r="B2" i="18"/>
  <c r="A1" i="18"/>
  <c r="F3" i="19"/>
  <c r="B2" i="19"/>
  <c r="A1" i="19"/>
  <c r="F3" i="20"/>
  <c r="B2" i="20"/>
  <c r="A1" i="20"/>
  <c r="F3" i="21"/>
  <c r="B2" i="21"/>
  <c r="A1" i="21"/>
  <c r="F3" i="22"/>
  <c r="B2" i="22"/>
  <c r="A1" i="22"/>
  <c r="F3" i="23"/>
  <c r="B2" i="23"/>
  <c r="A1" i="23"/>
  <c r="F3" i="24"/>
  <c r="B2" i="24"/>
  <c r="A1" i="24"/>
  <c r="F3" i="25"/>
  <c r="B2" i="25"/>
  <c r="A1" i="25"/>
  <c r="F3" i="26"/>
  <c r="B2" i="26"/>
  <c r="A1" i="26"/>
  <c r="F3" i="27"/>
  <c r="B2" i="27"/>
  <c r="A1" i="27"/>
  <c r="F3" i="28"/>
  <c r="B2" i="28"/>
  <c r="A1" i="28"/>
  <c r="F3" i="29"/>
  <c r="B2" i="29"/>
  <c r="A1" i="29"/>
  <c r="F3" i="30"/>
  <c r="B2" i="30"/>
  <c r="A1" i="30"/>
  <c r="F3" i="31"/>
  <c r="B2" i="31"/>
  <c r="A1" i="31"/>
  <c r="F3" i="32"/>
  <c r="B2" i="32"/>
  <c r="A1" i="32"/>
  <c r="F3" i="33"/>
  <c r="B2" i="33"/>
  <c r="A1" i="33"/>
  <c r="F3" i="34"/>
  <c r="B2" i="34"/>
  <c r="A1" i="34"/>
  <c r="F3" i="35"/>
  <c r="B2" i="35"/>
  <c r="A1" i="35"/>
  <c r="F3" i="36"/>
  <c r="B2" i="36"/>
  <c r="A1" i="36"/>
  <c r="F3" i="37"/>
  <c r="B2" i="37"/>
  <c r="A1" i="37"/>
  <c r="F3" i="38"/>
  <c r="B2" i="38"/>
  <c r="A1" i="38"/>
  <c r="F3" i="39"/>
  <c r="B2" i="39"/>
  <c r="A1" i="39"/>
  <c r="F3" i="40"/>
  <c r="B2" i="40"/>
  <c r="A1" i="40"/>
  <c r="F3" i="41"/>
  <c r="B2" i="41"/>
  <c r="A1" i="41"/>
  <c r="F3" i="42"/>
  <c r="B2" i="42"/>
  <c r="A1" i="42"/>
  <c r="F3" i="43"/>
  <c r="B2" i="43"/>
  <c r="A1" i="43"/>
  <c r="F3" i="44"/>
  <c r="B2" i="44"/>
  <c r="A1" i="44"/>
  <c r="F3" i="45"/>
  <c r="B2" i="45"/>
  <c r="A1" i="45"/>
  <c r="F3" i="46"/>
  <c r="B2" i="46"/>
  <c r="A1" i="46"/>
  <c r="F3" i="47"/>
  <c r="B2" i="47"/>
  <c r="A1" i="47"/>
  <c r="F3" i="48"/>
  <c r="B2" i="48"/>
  <c r="A1" i="48"/>
  <c r="F3" i="49"/>
  <c r="B2" i="49"/>
  <c r="A1" i="49"/>
  <c r="F3" i="50"/>
  <c r="B2" i="50"/>
  <c r="A1" i="50"/>
  <c r="F3" i="51"/>
  <c r="B2" i="51"/>
  <c r="A1" i="51"/>
  <c r="F3" i="52"/>
  <c r="B2" i="52"/>
  <c r="A1" i="52"/>
  <c r="F3" i="53"/>
  <c r="B2" i="53"/>
  <c r="A1" i="53"/>
  <c r="F3" i="54"/>
  <c r="B2" i="54"/>
  <c r="A1" i="54"/>
  <c r="F3" i="55"/>
  <c r="B2" i="55"/>
  <c r="A1" i="55"/>
  <c r="F3" i="56"/>
  <c r="B2" i="56"/>
  <c r="A1" i="56"/>
  <c r="F3" i="57"/>
  <c r="B2" i="57"/>
  <c r="A1" i="57"/>
  <c r="A1" i="63"/>
  <c r="A1" i="62"/>
  <c r="C60" i="65"/>
  <c r="C59" i="65"/>
  <c r="C58" i="65"/>
  <c r="C57" i="65"/>
  <c r="C56" i="65"/>
  <c r="C55" i="65"/>
  <c r="C54" i="65"/>
  <c r="C53" i="65"/>
  <c r="C52" i="65"/>
  <c r="C51" i="65"/>
  <c r="C50" i="65"/>
  <c r="C49" i="65"/>
  <c r="C48" i="65"/>
  <c r="C47" i="65"/>
  <c r="C46" i="65"/>
  <c r="C45" i="65"/>
  <c r="C44" i="65"/>
  <c r="C43" i="65"/>
  <c r="C42" i="65"/>
  <c r="C41" i="65"/>
  <c r="C40" i="65"/>
  <c r="C39" i="65"/>
  <c r="C38" i="65"/>
  <c r="C37" i="65"/>
  <c r="C36" i="65"/>
  <c r="C35" i="65"/>
  <c r="C34" i="65"/>
  <c r="C33" i="65"/>
  <c r="C32" i="65"/>
  <c r="C31" i="65"/>
  <c r="C30" i="65"/>
  <c r="C29" i="65"/>
  <c r="C28" i="65"/>
  <c r="C27" i="65"/>
  <c r="C26" i="65"/>
  <c r="C25" i="65"/>
  <c r="C24" i="65"/>
  <c r="C23" i="65"/>
  <c r="C22" i="65"/>
  <c r="C21" i="65"/>
  <c r="C20" i="65"/>
  <c r="C19" i="65"/>
  <c r="C18" i="65"/>
  <c r="C17" i="65"/>
  <c r="C16" i="65"/>
  <c r="C15" i="65"/>
  <c r="C14" i="65"/>
  <c r="C13" i="65"/>
  <c r="C12" i="65"/>
  <c r="C11" i="65"/>
  <c r="C10" i="65"/>
  <c r="C9" i="65"/>
  <c r="C8" i="65"/>
  <c r="C7" i="65"/>
  <c r="C6" i="65"/>
  <c r="C5" i="65"/>
  <c r="C4" i="65"/>
  <c r="A1" i="65"/>
  <c r="D120" i="60"/>
  <c r="C120" i="60"/>
  <c r="E117" i="60"/>
  <c r="C117" i="60"/>
  <c r="D116" i="60"/>
  <c r="D114" i="60"/>
  <c r="D113" i="60"/>
  <c r="D112" i="60"/>
  <c r="D111" i="60"/>
  <c r="D110" i="60"/>
  <c r="E62" i="56" l="1"/>
  <c r="E60" i="56"/>
  <c r="E58" i="56"/>
  <c r="E56" i="56"/>
  <c r="E54" i="56"/>
  <c r="E52" i="56"/>
  <c r="E50" i="56"/>
  <c r="E48" i="56"/>
  <c r="E46" i="56"/>
  <c r="E44" i="56"/>
  <c r="E42" i="56"/>
  <c r="E40" i="56"/>
  <c r="E38" i="56"/>
  <c r="E36" i="56"/>
  <c r="E63" i="56"/>
  <c r="E61" i="56"/>
  <c r="E59" i="56"/>
  <c r="E57" i="56"/>
  <c r="E55" i="56"/>
  <c r="E53" i="56"/>
  <c r="E51" i="56"/>
  <c r="E49" i="56"/>
  <c r="E47" i="56"/>
  <c r="E45" i="56"/>
  <c r="E43" i="56"/>
  <c r="E41" i="56"/>
  <c r="E39" i="56"/>
  <c r="E37" i="56"/>
  <c r="E62" i="54"/>
  <c r="E60" i="54"/>
  <c r="E58" i="54"/>
  <c r="E56" i="54"/>
  <c r="E54" i="54"/>
  <c r="E52" i="54"/>
  <c r="E50" i="54"/>
  <c r="E48" i="54"/>
  <c r="E46" i="54"/>
  <c r="E44" i="54"/>
  <c r="E42" i="54"/>
  <c r="E40" i="54"/>
  <c r="E38" i="54"/>
  <c r="E36" i="54"/>
  <c r="E63" i="54"/>
  <c r="E59" i="54"/>
  <c r="E55" i="54"/>
  <c r="E51" i="54"/>
  <c r="E47" i="54"/>
  <c r="E43" i="54"/>
  <c r="E39" i="54"/>
  <c r="E61" i="54"/>
  <c r="E57" i="54"/>
  <c r="E53" i="54"/>
  <c r="E49" i="54"/>
  <c r="E45" i="54"/>
  <c r="E41" i="54"/>
  <c r="E37" i="54"/>
  <c r="E62" i="52"/>
  <c r="E60" i="52"/>
  <c r="E58" i="52"/>
  <c r="E56" i="52"/>
  <c r="E54" i="52"/>
  <c r="E52" i="52"/>
  <c r="E50" i="52"/>
  <c r="E48" i="52"/>
  <c r="E46" i="52"/>
  <c r="E44" i="52"/>
  <c r="E42" i="52"/>
  <c r="E40" i="52"/>
  <c r="E38" i="52"/>
  <c r="E36" i="52"/>
  <c r="E63" i="52"/>
  <c r="E59" i="52"/>
  <c r="E55" i="52"/>
  <c r="E51" i="52"/>
  <c r="E47" i="52"/>
  <c r="E43" i="52"/>
  <c r="E39" i="52"/>
  <c r="E61" i="52"/>
  <c r="E57" i="52"/>
  <c r="E53" i="52"/>
  <c r="E49" i="52"/>
  <c r="E45" i="52"/>
  <c r="E41" i="52"/>
  <c r="E37" i="52"/>
  <c r="E62" i="50"/>
  <c r="E60" i="50"/>
  <c r="E58" i="50"/>
  <c r="E56" i="50"/>
  <c r="E54" i="50"/>
  <c r="E52" i="50"/>
  <c r="E50" i="50"/>
  <c r="E48" i="50"/>
  <c r="E46" i="50"/>
  <c r="E44" i="50"/>
  <c r="E42" i="50"/>
  <c r="E40" i="50"/>
  <c r="E38" i="50"/>
  <c r="E36" i="50"/>
  <c r="E63" i="50"/>
  <c r="E59" i="50"/>
  <c r="E55" i="50"/>
  <c r="E51" i="50"/>
  <c r="E47" i="50"/>
  <c r="E43" i="50"/>
  <c r="E39" i="50"/>
  <c r="E61" i="50"/>
  <c r="E57" i="50"/>
  <c r="E53" i="50"/>
  <c r="E49" i="50"/>
  <c r="E45" i="50"/>
  <c r="E41" i="50"/>
  <c r="E37" i="50"/>
  <c r="E62" i="48"/>
  <c r="E60" i="48"/>
  <c r="E58" i="48"/>
  <c r="E56" i="48"/>
  <c r="E54" i="48"/>
  <c r="E52" i="48"/>
  <c r="E50" i="48"/>
  <c r="E48" i="48"/>
  <c r="E46" i="48"/>
  <c r="E44" i="48"/>
  <c r="E42" i="48"/>
  <c r="E40" i="48"/>
  <c r="E38" i="48"/>
  <c r="E36" i="48"/>
  <c r="E63" i="48"/>
  <c r="E61" i="48"/>
  <c r="E59" i="48"/>
  <c r="E57" i="48"/>
  <c r="E55" i="48"/>
  <c r="E53" i="48"/>
  <c r="E51" i="48"/>
  <c r="E49" i="48"/>
  <c r="E47" i="48"/>
  <c r="E45" i="48"/>
  <c r="E43" i="48"/>
  <c r="E41" i="48"/>
  <c r="E39" i="48"/>
  <c r="E37" i="48"/>
  <c r="E62" i="46"/>
  <c r="E63" i="46"/>
  <c r="E61" i="46"/>
  <c r="E59" i="46"/>
  <c r="E57" i="46"/>
  <c r="E55" i="46"/>
  <c r="E53" i="46"/>
  <c r="E51" i="46"/>
  <c r="E49" i="46"/>
  <c r="E47" i="46"/>
  <c r="E45" i="46"/>
  <c r="E43" i="46"/>
  <c r="E41" i="46"/>
  <c r="E39" i="46"/>
  <c r="E37" i="46"/>
  <c r="E60" i="46"/>
  <c r="E56" i="46"/>
  <c r="E52" i="46"/>
  <c r="E48" i="46"/>
  <c r="E44" i="46"/>
  <c r="E40" i="46"/>
  <c r="E36" i="46"/>
  <c r="E58" i="46"/>
  <c r="E54" i="46"/>
  <c r="E50" i="46"/>
  <c r="E46" i="46"/>
  <c r="E42" i="46"/>
  <c r="E38" i="46"/>
  <c r="E63" i="44"/>
  <c r="E61" i="44"/>
  <c r="E59" i="44"/>
  <c r="E57" i="44"/>
  <c r="E60" i="44"/>
  <c r="E56" i="44"/>
  <c r="E54" i="44"/>
  <c r="E52" i="44"/>
  <c r="E50" i="44"/>
  <c r="E48" i="44"/>
  <c r="E46" i="44"/>
  <c r="E44" i="44"/>
  <c r="E42" i="44"/>
  <c r="E40" i="44"/>
  <c r="E38" i="44"/>
  <c r="E36" i="44"/>
  <c r="E62" i="44"/>
  <c r="E58" i="44"/>
  <c r="E55" i="44"/>
  <c r="E53" i="44"/>
  <c r="E51" i="44"/>
  <c r="E49" i="44"/>
  <c r="E47" i="44"/>
  <c r="E45" i="44"/>
  <c r="E43" i="44"/>
  <c r="E41" i="44"/>
  <c r="E39" i="44"/>
  <c r="E37" i="44"/>
  <c r="E62" i="42"/>
  <c r="E60" i="42"/>
  <c r="E58" i="42"/>
  <c r="E56" i="42"/>
  <c r="E54" i="42"/>
  <c r="E52" i="42"/>
  <c r="E50" i="42"/>
  <c r="E48" i="42"/>
  <c r="E46" i="42"/>
  <c r="E44" i="42"/>
  <c r="E42" i="42"/>
  <c r="E40" i="42"/>
  <c r="E38" i="42"/>
  <c r="E36" i="42"/>
  <c r="E63" i="42"/>
  <c r="E61" i="42"/>
  <c r="E59" i="42"/>
  <c r="E57" i="42"/>
  <c r="E55" i="42"/>
  <c r="E53" i="42"/>
  <c r="E51" i="42"/>
  <c r="E49" i="42"/>
  <c r="E47" i="42"/>
  <c r="E45" i="42"/>
  <c r="E43" i="42"/>
  <c r="E41" i="42"/>
  <c r="E39" i="42"/>
  <c r="E37" i="42"/>
  <c r="E62" i="40"/>
  <c r="E60" i="40"/>
  <c r="E58" i="40"/>
  <c r="E56" i="40"/>
  <c r="E54" i="40"/>
  <c r="E52" i="40"/>
  <c r="E50" i="40"/>
  <c r="E48" i="40"/>
  <c r="E46" i="40"/>
  <c r="E44" i="40"/>
  <c r="E42" i="40"/>
  <c r="E40" i="40"/>
  <c r="E38" i="40"/>
  <c r="E36" i="40"/>
  <c r="E63" i="40"/>
  <c r="E61" i="40"/>
  <c r="E59" i="40"/>
  <c r="E57" i="40"/>
  <c r="E55" i="40"/>
  <c r="E53" i="40"/>
  <c r="E51" i="40"/>
  <c r="E49" i="40"/>
  <c r="E47" i="40"/>
  <c r="E45" i="40"/>
  <c r="E43" i="40"/>
  <c r="E41" i="40"/>
  <c r="E39" i="40"/>
  <c r="E37" i="40"/>
  <c r="E62" i="38"/>
  <c r="E60" i="38"/>
  <c r="E58" i="38"/>
  <c r="E56" i="38"/>
  <c r="E54" i="38"/>
  <c r="E52" i="38"/>
  <c r="E50" i="38"/>
  <c r="E48" i="38"/>
  <c r="E46" i="38"/>
  <c r="E44" i="38"/>
  <c r="E42" i="38"/>
  <c r="E40" i="38"/>
  <c r="E38" i="38"/>
  <c r="E36" i="38"/>
  <c r="E63" i="38"/>
  <c r="E61" i="38"/>
  <c r="E59" i="38"/>
  <c r="E57" i="38"/>
  <c r="E55" i="38"/>
  <c r="E53" i="38"/>
  <c r="E51" i="38"/>
  <c r="E49" i="38"/>
  <c r="E47" i="38"/>
  <c r="E45" i="38"/>
  <c r="E43" i="38"/>
  <c r="E39" i="38"/>
  <c r="E41" i="38"/>
  <c r="E37" i="38"/>
  <c r="E62" i="36"/>
  <c r="E60" i="36"/>
  <c r="E58" i="36"/>
  <c r="E56" i="36"/>
  <c r="E54" i="36"/>
  <c r="E52" i="36"/>
  <c r="E50" i="36"/>
  <c r="E48" i="36"/>
  <c r="E46" i="36"/>
  <c r="E44" i="36"/>
  <c r="E42" i="36"/>
  <c r="E40" i="36"/>
  <c r="E38" i="36"/>
  <c r="E36" i="36"/>
  <c r="E63" i="36"/>
  <c r="E59" i="36"/>
  <c r="E55" i="36"/>
  <c r="E51" i="36"/>
  <c r="E47" i="36"/>
  <c r="E43" i="36"/>
  <c r="E39" i="36"/>
  <c r="E61" i="36"/>
  <c r="E57" i="36"/>
  <c r="E53" i="36"/>
  <c r="E49" i="36"/>
  <c r="E45" i="36"/>
  <c r="E41" i="36"/>
  <c r="E37" i="36"/>
  <c r="E62" i="34"/>
  <c r="E60" i="34"/>
  <c r="E58" i="34"/>
  <c r="E56" i="34"/>
  <c r="E54" i="34"/>
  <c r="E52" i="34"/>
  <c r="E50" i="34"/>
  <c r="E48" i="34"/>
  <c r="E46" i="34"/>
  <c r="E44" i="34"/>
  <c r="E42" i="34"/>
  <c r="E40" i="34"/>
  <c r="E38" i="34"/>
  <c r="E36" i="34"/>
  <c r="E63" i="34"/>
  <c r="E59" i="34"/>
  <c r="E55" i="34"/>
  <c r="E51" i="34"/>
  <c r="E47" i="34"/>
  <c r="E43" i="34"/>
  <c r="E39" i="34"/>
  <c r="E61" i="34"/>
  <c r="E57" i="34"/>
  <c r="E53" i="34"/>
  <c r="E49" i="34"/>
  <c r="E45" i="34"/>
  <c r="E41" i="34"/>
  <c r="E37" i="34"/>
  <c r="E63" i="32"/>
  <c r="E61" i="32"/>
  <c r="E59" i="32"/>
  <c r="E57" i="32"/>
  <c r="E55" i="32"/>
  <c r="E53" i="32"/>
  <c r="E51" i="32"/>
  <c r="E49" i="32"/>
  <c r="E47" i="32"/>
  <c r="E45" i="32"/>
  <c r="E43" i="32"/>
  <c r="E41" i="32"/>
  <c r="E39" i="32"/>
  <c r="E37" i="32"/>
  <c r="E62" i="32"/>
  <c r="E60" i="32"/>
  <c r="E58" i="32"/>
  <c r="E56" i="32"/>
  <c r="E54" i="32"/>
  <c r="E52" i="32"/>
  <c r="E50" i="32"/>
  <c r="E48" i="32"/>
  <c r="E46" i="32"/>
  <c r="E44" i="32"/>
  <c r="E42" i="32"/>
  <c r="E40" i="32"/>
  <c r="E38" i="32"/>
  <c r="E36" i="32"/>
  <c r="E63" i="30"/>
  <c r="E61" i="30"/>
  <c r="E59" i="30"/>
  <c r="E57" i="30"/>
  <c r="E55" i="30"/>
  <c r="E53" i="30"/>
  <c r="E51" i="30"/>
  <c r="E49" i="30"/>
  <c r="E47" i="30"/>
  <c r="E45" i="30"/>
  <c r="E43" i="30"/>
  <c r="E41" i="30"/>
  <c r="E39" i="30"/>
  <c r="E37" i="30"/>
  <c r="E62" i="30"/>
  <c r="E60" i="30"/>
  <c r="E58" i="30"/>
  <c r="E56" i="30"/>
  <c r="E54" i="30"/>
  <c r="E52" i="30"/>
  <c r="E50" i="30"/>
  <c r="E48" i="30"/>
  <c r="E46" i="30"/>
  <c r="E44" i="30"/>
  <c r="E42" i="30"/>
  <c r="E40" i="30"/>
  <c r="E38" i="30"/>
  <c r="E36" i="30"/>
  <c r="E63" i="28"/>
  <c r="E61" i="28"/>
  <c r="E59" i="28"/>
  <c r="E57" i="28"/>
  <c r="E55" i="28"/>
  <c r="E53" i="28"/>
  <c r="E51" i="28"/>
  <c r="E49" i="28"/>
  <c r="E47" i="28"/>
  <c r="E45" i="28"/>
  <c r="E43" i="28"/>
  <c r="E41" i="28"/>
  <c r="E39" i="28"/>
  <c r="E37" i="28"/>
  <c r="E62" i="28"/>
  <c r="E60" i="28"/>
  <c r="E58" i="28"/>
  <c r="E56" i="28"/>
  <c r="E54" i="28"/>
  <c r="E52" i="28"/>
  <c r="E50" i="28"/>
  <c r="E48" i="28"/>
  <c r="E46" i="28"/>
  <c r="E44" i="28"/>
  <c r="E42" i="28"/>
  <c r="E40" i="28"/>
  <c r="E38" i="28"/>
  <c r="E36" i="28"/>
  <c r="E63" i="26"/>
  <c r="E61" i="26"/>
  <c r="E59" i="26"/>
  <c r="E57" i="26"/>
  <c r="E55" i="26"/>
  <c r="E53" i="26"/>
  <c r="E51" i="26"/>
  <c r="E49" i="26"/>
  <c r="E47" i="26"/>
  <c r="E45" i="26"/>
  <c r="E43" i="26"/>
  <c r="E41" i="26"/>
  <c r="E39" i="26"/>
  <c r="E37" i="26"/>
  <c r="E62" i="26"/>
  <c r="E60" i="26"/>
  <c r="E58" i="26"/>
  <c r="E56" i="26"/>
  <c r="E54" i="26"/>
  <c r="E52" i="26"/>
  <c r="E50" i="26"/>
  <c r="E48" i="26"/>
  <c r="E46" i="26"/>
  <c r="E44" i="26"/>
  <c r="E42" i="26"/>
  <c r="E40" i="26"/>
  <c r="E38" i="26"/>
  <c r="E36" i="26"/>
  <c r="E63" i="24"/>
  <c r="E61" i="24"/>
  <c r="E59" i="24"/>
  <c r="E57" i="24"/>
  <c r="E55" i="24"/>
  <c r="E53" i="24"/>
  <c r="E51" i="24"/>
  <c r="E49" i="24"/>
  <c r="E47" i="24"/>
  <c r="E45" i="24"/>
  <c r="E43" i="24"/>
  <c r="E41" i="24"/>
  <c r="E39" i="24"/>
  <c r="E37" i="24"/>
  <c r="E62" i="24"/>
  <c r="E60" i="24"/>
  <c r="E58" i="24"/>
  <c r="E56" i="24"/>
  <c r="E54" i="24"/>
  <c r="E52" i="24"/>
  <c r="E50" i="24"/>
  <c r="E48" i="24"/>
  <c r="E46" i="24"/>
  <c r="E44" i="24"/>
  <c r="E42" i="24"/>
  <c r="E40" i="24"/>
  <c r="E38" i="24"/>
  <c r="E36" i="24"/>
  <c r="E62" i="22"/>
  <c r="E60" i="22"/>
  <c r="E58" i="22"/>
  <c r="E56" i="22"/>
  <c r="E54" i="22"/>
  <c r="E52" i="22"/>
  <c r="E50" i="22"/>
  <c r="E48" i="22"/>
  <c r="E46" i="22"/>
  <c r="E44" i="22"/>
  <c r="E42" i="22"/>
  <c r="E40" i="22"/>
  <c r="E38" i="22"/>
  <c r="E36" i="22"/>
  <c r="E63" i="22"/>
  <c r="E61" i="22"/>
  <c r="E59" i="22"/>
  <c r="E57" i="22"/>
  <c r="E55" i="22"/>
  <c r="E53" i="22"/>
  <c r="E51" i="22"/>
  <c r="E49" i="22"/>
  <c r="E47" i="22"/>
  <c r="E45" i="22"/>
  <c r="E43" i="22"/>
  <c r="E41" i="22"/>
  <c r="E39" i="22"/>
  <c r="E37" i="22"/>
  <c r="E62" i="20"/>
  <c r="E60" i="20"/>
  <c r="E58" i="20"/>
  <c r="E56" i="20"/>
  <c r="E54" i="20"/>
  <c r="E52" i="20"/>
  <c r="E50" i="20"/>
  <c r="E48" i="20"/>
  <c r="E46" i="20"/>
  <c r="E44" i="20"/>
  <c r="E42" i="20"/>
  <c r="E40" i="20"/>
  <c r="E38" i="20"/>
  <c r="E36" i="20"/>
  <c r="E63" i="20"/>
  <c r="E61" i="20"/>
  <c r="E59" i="20"/>
  <c r="E57" i="20"/>
  <c r="E55" i="20"/>
  <c r="E53" i="20"/>
  <c r="E51" i="20"/>
  <c r="E49" i="20"/>
  <c r="E47" i="20"/>
  <c r="E45" i="20"/>
  <c r="E43" i="20"/>
  <c r="E41" i="20"/>
  <c r="E39" i="20"/>
  <c r="E37" i="20"/>
  <c r="E62" i="18"/>
  <c r="E60" i="18"/>
  <c r="E58" i="18"/>
  <c r="E56" i="18"/>
  <c r="E54" i="18"/>
  <c r="E52" i="18"/>
  <c r="E50" i="18"/>
  <c r="E48" i="18"/>
  <c r="E46" i="18"/>
  <c r="E44" i="18"/>
  <c r="E42" i="18"/>
  <c r="E40" i="18"/>
  <c r="E38" i="18"/>
  <c r="E36" i="18"/>
  <c r="E63" i="18"/>
  <c r="E61" i="18"/>
  <c r="E59" i="18"/>
  <c r="E57" i="18"/>
  <c r="E55" i="18"/>
  <c r="E53" i="18"/>
  <c r="E51" i="18"/>
  <c r="E49" i="18"/>
  <c r="E47" i="18"/>
  <c r="E45" i="18"/>
  <c r="E43" i="18"/>
  <c r="E41" i="18"/>
  <c r="E39" i="18"/>
  <c r="E37" i="18"/>
  <c r="E62" i="16"/>
  <c r="E60" i="16"/>
  <c r="E58" i="16"/>
  <c r="E56" i="16"/>
  <c r="E54" i="16"/>
  <c r="E52" i="16"/>
  <c r="E50" i="16"/>
  <c r="E48" i="16"/>
  <c r="E46" i="16"/>
  <c r="E44" i="16"/>
  <c r="E42" i="16"/>
  <c r="E40" i="16"/>
  <c r="E38" i="16"/>
  <c r="E36" i="16"/>
  <c r="E63" i="16"/>
  <c r="E61" i="16"/>
  <c r="E59" i="16"/>
  <c r="E57" i="16"/>
  <c r="E55" i="16"/>
  <c r="E53" i="16"/>
  <c r="E51" i="16"/>
  <c r="E49" i="16"/>
  <c r="E47" i="16"/>
  <c r="E45" i="16"/>
  <c r="E43" i="16"/>
  <c r="E41" i="16"/>
  <c r="E39" i="16"/>
  <c r="E37" i="16"/>
  <c r="E62" i="14"/>
  <c r="E60" i="14"/>
  <c r="E58" i="14"/>
  <c r="E56" i="14"/>
  <c r="E54" i="14"/>
  <c r="E52" i="14"/>
  <c r="E50" i="14"/>
  <c r="E48" i="14"/>
  <c r="E46" i="14"/>
  <c r="E44" i="14"/>
  <c r="E42" i="14"/>
  <c r="E40" i="14"/>
  <c r="E38" i="14"/>
  <c r="E36" i="14"/>
  <c r="E63" i="14"/>
  <c r="E61" i="14"/>
  <c r="E59" i="14"/>
  <c r="E57" i="14"/>
  <c r="E55" i="14"/>
  <c r="E53" i="14"/>
  <c r="E51" i="14"/>
  <c r="E49" i="14"/>
  <c r="E47" i="14"/>
  <c r="E45" i="14"/>
  <c r="E43" i="14"/>
  <c r="E41" i="14"/>
  <c r="E39" i="14"/>
  <c r="E37" i="14"/>
  <c r="E62" i="12"/>
  <c r="E60" i="12"/>
  <c r="E58" i="12"/>
  <c r="E56" i="12"/>
  <c r="E54" i="12"/>
  <c r="E52" i="12"/>
  <c r="E50" i="12"/>
  <c r="E48" i="12"/>
  <c r="E46" i="12"/>
  <c r="E44" i="12"/>
  <c r="E42" i="12"/>
  <c r="E40" i="12"/>
  <c r="E38" i="12"/>
  <c r="E36" i="12"/>
  <c r="E63" i="12"/>
  <c r="E61" i="12"/>
  <c r="E59" i="12"/>
  <c r="E57" i="12"/>
  <c r="E55" i="12"/>
  <c r="E53" i="12"/>
  <c r="E51" i="12"/>
  <c r="E49" i="12"/>
  <c r="E47" i="12"/>
  <c r="E45" i="12"/>
  <c r="E43" i="12"/>
  <c r="E41" i="12"/>
  <c r="E39" i="12"/>
  <c r="E37" i="12"/>
  <c r="E62" i="10"/>
  <c r="E60" i="10"/>
  <c r="E58" i="10"/>
  <c r="E56" i="10"/>
  <c r="E54" i="10"/>
  <c r="E52" i="10"/>
  <c r="E50" i="10"/>
  <c r="E48" i="10"/>
  <c r="E46" i="10"/>
  <c r="E44" i="10"/>
  <c r="E42" i="10"/>
  <c r="E40" i="10"/>
  <c r="E38" i="10"/>
  <c r="E36" i="10"/>
  <c r="E63" i="10"/>
  <c r="E61" i="10"/>
  <c r="E59" i="10"/>
  <c r="E57" i="10"/>
  <c r="E55" i="10"/>
  <c r="E53" i="10"/>
  <c r="E51" i="10"/>
  <c r="E49" i="10"/>
  <c r="E47" i="10"/>
  <c r="E45" i="10"/>
  <c r="E43" i="10"/>
  <c r="E41" i="10"/>
  <c r="E39" i="10"/>
  <c r="E37" i="10"/>
  <c r="E62" i="8"/>
  <c r="E60" i="8"/>
  <c r="E58" i="8"/>
  <c r="E56" i="8"/>
  <c r="E54" i="8"/>
  <c r="E52" i="8"/>
  <c r="E50" i="8"/>
  <c r="E48" i="8"/>
  <c r="E46" i="8"/>
  <c r="E44" i="8"/>
  <c r="E42" i="8"/>
  <c r="E40" i="8"/>
  <c r="E38" i="8"/>
  <c r="E36" i="8"/>
  <c r="E63" i="8"/>
  <c r="E61" i="8"/>
  <c r="E59" i="8"/>
  <c r="E57" i="8"/>
  <c r="E55" i="8"/>
  <c r="E53" i="8"/>
  <c r="E51" i="8"/>
  <c r="E49" i="8"/>
  <c r="E47" i="8"/>
  <c r="E45" i="8"/>
  <c r="E43" i="8"/>
  <c r="E41" i="8"/>
  <c r="E39" i="8"/>
  <c r="E37" i="8"/>
  <c r="E62" i="6"/>
  <c r="E60" i="6"/>
  <c r="E58" i="6"/>
  <c r="E56" i="6"/>
  <c r="E54" i="6"/>
  <c r="E52" i="6"/>
  <c r="E50" i="6"/>
  <c r="E48" i="6"/>
  <c r="E46" i="6"/>
  <c r="E44" i="6"/>
  <c r="E42" i="6"/>
  <c r="E40" i="6"/>
  <c r="E38" i="6"/>
  <c r="E36" i="6"/>
  <c r="E63" i="6"/>
  <c r="E61" i="6"/>
  <c r="E59" i="6"/>
  <c r="E57" i="6"/>
  <c r="E55" i="6"/>
  <c r="E53" i="6"/>
  <c r="E51" i="6"/>
  <c r="E49" i="6"/>
  <c r="E47" i="6"/>
  <c r="E45" i="6"/>
  <c r="E43" i="6"/>
  <c r="E41" i="6"/>
  <c r="E39" i="6"/>
  <c r="E37" i="6"/>
  <c r="E62" i="4"/>
  <c r="E60" i="4"/>
  <c r="E58" i="4"/>
  <c r="E56" i="4"/>
  <c r="E54" i="4"/>
  <c r="E52" i="4"/>
  <c r="E50" i="4"/>
  <c r="E48" i="4"/>
  <c r="E46" i="4"/>
  <c r="E44" i="4"/>
  <c r="E42" i="4"/>
  <c r="E40" i="4"/>
  <c r="E38" i="4"/>
  <c r="E36" i="4"/>
  <c r="E63" i="4"/>
  <c r="E61" i="4"/>
  <c r="E59" i="4"/>
  <c r="E57" i="4"/>
  <c r="E55" i="4"/>
  <c r="E53" i="4"/>
  <c r="E51" i="4"/>
  <c r="E49" i="4"/>
  <c r="E47" i="4"/>
  <c r="E45" i="4"/>
  <c r="E43" i="4"/>
  <c r="E41" i="4"/>
  <c r="E39" i="4"/>
  <c r="E37" i="4"/>
  <c r="E62" i="59"/>
  <c r="E60" i="59"/>
  <c r="E58" i="59"/>
  <c r="E56" i="59"/>
  <c r="E54" i="59"/>
  <c r="E52" i="59"/>
  <c r="E50" i="59"/>
  <c r="E48" i="59"/>
  <c r="E46" i="59"/>
  <c r="E44" i="59"/>
  <c r="E42" i="59"/>
  <c r="E40" i="59"/>
  <c r="E38" i="59"/>
  <c r="E36" i="59"/>
  <c r="E63" i="59"/>
  <c r="E61" i="59"/>
  <c r="E59" i="59"/>
  <c r="E57" i="59"/>
  <c r="E55" i="59"/>
  <c r="E53" i="59"/>
  <c r="E51" i="59"/>
  <c r="E49" i="59"/>
  <c r="E47" i="59"/>
  <c r="E45" i="59"/>
  <c r="E43" i="59"/>
  <c r="E41" i="59"/>
  <c r="E39" i="59"/>
  <c r="E37" i="59"/>
  <c r="E62" i="57"/>
  <c r="E60" i="57"/>
  <c r="E58" i="57"/>
  <c r="E56" i="57"/>
  <c r="E54" i="57"/>
  <c r="E52" i="57"/>
  <c r="E50" i="57"/>
  <c r="E63" i="57"/>
  <c r="E61" i="57"/>
  <c r="E59" i="57"/>
  <c r="E57" i="57"/>
  <c r="E55" i="57"/>
  <c r="E53" i="57"/>
  <c r="E51" i="57"/>
  <c r="E49" i="57"/>
  <c r="E47" i="57"/>
  <c r="E45" i="57"/>
  <c r="E43" i="57"/>
  <c r="E41" i="57"/>
  <c r="E39" i="57"/>
  <c r="E37" i="57"/>
  <c r="E48" i="57"/>
  <c r="E46" i="57"/>
  <c r="E44" i="57"/>
  <c r="E42" i="57"/>
  <c r="E40" i="57"/>
  <c r="E38" i="57"/>
  <c r="E36" i="57"/>
  <c r="E62" i="55"/>
  <c r="E60" i="55"/>
  <c r="E58" i="55"/>
  <c r="E56" i="55"/>
  <c r="E54" i="55"/>
  <c r="E52" i="55"/>
  <c r="E50" i="55"/>
  <c r="E48" i="55"/>
  <c r="E46" i="55"/>
  <c r="E44" i="55"/>
  <c r="E42" i="55"/>
  <c r="E40" i="55"/>
  <c r="E38" i="55"/>
  <c r="E36" i="55"/>
  <c r="E63" i="55"/>
  <c r="E59" i="55"/>
  <c r="E55" i="55"/>
  <c r="E51" i="55"/>
  <c r="E47" i="55"/>
  <c r="E43" i="55"/>
  <c r="E39" i="55"/>
  <c r="E61" i="55"/>
  <c r="E57" i="55"/>
  <c r="E53" i="55"/>
  <c r="E49" i="55"/>
  <c r="E45" i="55"/>
  <c r="E41" i="55"/>
  <c r="E37" i="55"/>
  <c r="E62" i="53"/>
  <c r="E60" i="53"/>
  <c r="E58" i="53"/>
  <c r="E56" i="53"/>
  <c r="E54" i="53"/>
  <c r="E52" i="53"/>
  <c r="E50" i="53"/>
  <c r="E48" i="53"/>
  <c r="E46" i="53"/>
  <c r="E44" i="53"/>
  <c r="E42" i="53"/>
  <c r="E40" i="53"/>
  <c r="E38" i="53"/>
  <c r="E36" i="53"/>
  <c r="E63" i="53"/>
  <c r="E59" i="53"/>
  <c r="E55" i="53"/>
  <c r="E51" i="53"/>
  <c r="E47" i="53"/>
  <c r="E43" i="53"/>
  <c r="E39" i="53"/>
  <c r="E61" i="53"/>
  <c r="E57" i="53"/>
  <c r="E53" i="53"/>
  <c r="E49" i="53"/>
  <c r="E45" i="53"/>
  <c r="E41" i="53"/>
  <c r="E37" i="53"/>
  <c r="E62" i="51"/>
  <c r="E60" i="51"/>
  <c r="E58" i="51"/>
  <c r="E56" i="51"/>
  <c r="E54" i="51"/>
  <c r="E52" i="51"/>
  <c r="E50" i="51"/>
  <c r="E48" i="51"/>
  <c r="E46" i="51"/>
  <c r="E44" i="51"/>
  <c r="E42" i="51"/>
  <c r="E40" i="51"/>
  <c r="E38" i="51"/>
  <c r="E36" i="51"/>
  <c r="E63" i="51"/>
  <c r="E59" i="51"/>
  <c r="E55" i="51"/>
  <c r="E51" i="51"/>
  <c r="E47" i="51"/>
  <c r="E43" i="51"/>
  <c r="E39" i="51"/>
  <c r="E61" i="51"/>
  <c r="E57" i="51"/>
  <c r="E53" i="51"/>
  <c r="E49" i="51"/>
  <c r="E45" i="51"/>
  <c r="E41" i="51"/>
  <c r="E37" i="51"/>
  <c r="E62" i="49"/>
  <c r="E63" i="49"/>
  <c r="E60" i="49"/>
  <c r="E58" i="49"/>
  <c r="E56" i="49"/>
  <c r="E54" i="49"/>
  <c r="E52" i="49"/>
  <c r="E50" i="49"/>
  <c r="E48" i="49"/>
  <c r="E46" i="49"/>
  <c r="E44" i="49"/>
  <c r="E42" i="49"/>
  <c r="E40" i="49"/>
  <c r="E38" i="49"/>
  <c r="E36" i="49"/>
  <c r="E61" i="49"/>
  <c r="E59" i="49"/>
  <c r="E57" i="49"/>
  <c r="E55" i="49"/>
  <c r="E53" i="49"/>
  <c r="E51" i="49"/>
  <c r="E49" i="49"/>
  <c r="E47" i="49"/>
  <c r="E45" i="49"/>
  <c r="E43" i="49"/>
  <c r="E41" i="49"/>
  <c r="E39" i="49"/>
  <c r="E37" i="49"/>
  <c r="E62" i="47"/>
  <c r="E60" i="47"/>
  <c r="E58" i="47"/>
  <c r="E56" i="47"/>
  <c r="E54" i="47"/>
  <c r="E52" i="47"/>
  <c r="E50" i="47"/>
  <c r="E48" i="47"/>
  <c r="E46" i="47"/>
  <c r="E44" i="47"/>
  <c r="E42" i="47"/>
  <c r="E40" i="47"/>
  <c r="E38" i="47"/>
  <c r="E36" i="47"/>
  <c r="E63" i="47"/>
  <c r="E61" i="47"/>
  <c r="E59" i="47"/>
  <c r="E57" i="47"/>
  <c r="E55" i="47"/>
  <c r="E53" i="47"/>
  <c r="E51" i="47"/>
  <c r="E49" i="47"/>
  <c r="E47" i="47"/>
  <c r="E45" i="47"/>
  <c r="E43" i="47"/>
  <c r="E41" i="47"/>
  <c r="E39" i="47"/>
  <c r="E37" i="47"/>
  <c r="E63" i="45"/>
  <c r="E61" i="45"/>
  <c r="E59" i="45"/>
  <c r="E57" i="45"/>
  <c r="E55" i="45"/>
  <c r="E53" i="45"/>
  <c r="E51" i="45"/>
  <c r="E49" i="45"/>
  <c r="E47" i="45"/>
  <c r="E45" i="45"/>
  <c r="E43" i="45"/>
  <c r="E41" i="45"/>
  <c r="E39" i="45"/>
  <c r="E37" i="45"/>
  <c r="E60" i="45"/>
  <c r="E56" i="45"/>
  <c r="E52" i="45"/>
  <c r="E48" i="45"/>
  <c r="E44" i="45"/>
  <c r="E40" i="45"/>
  <c r="E36" i="45"/>
  <c r="E62" i="45"/>
  <c r="E58" i="45"/>
  <c r="E54" i="45"/>
  <c r="E50" i="45"/>
  <c r="E46" i="45"/>
  <c r="E42" i="45"/>
  <c r="E38" i="45"/>
  <c r="E62" i="43"/>
  <c r="E60" i="43"/>
  <c r="E58" i="43"/>
  <c r="E56" i="43"/>
  <c r="E54" i="43"/>
  <c r="E52" i="43"/>
  <c r="E50" i="43"/>
  <c r="E48" i="43"/>
  <c r="E46" i="43"/>
  <c r="E44" i="43"/>
  <c r="E42" i="43"/>
  <c r="E40" i="43"/>
  <c r="E38" i="43"/>
  <c r="E36" i="43"/>
  <c r="E63" i="43"/>
  <c r="E61" i="43"/>
  <c r="E59" i="43"/>
  <c r="E57" i="43"/>
  <c r="E55" i="43"/>
  <c r="E53" i="43"/>
  <c r="E51" i="43"/>
  <c r="E49" i="43"/>
  <c r="E47" i="43"/>
  <c r="E45" i="43"/>
  <c r="E43" i="43"/>
  <c r="E41" i="43"/>
  <c r="E39" i="43"/>
  <c r="E37" i="43"/>
  <c r="E62" i="41"/>
  <c r="E60" i="41"/>
  <c r="E58" i="41"/>
  <c r="E56" i="41"/>
  <c r="E54" i="41"/>
  <c r="E52" i="41"/>
  <c r="E50" i="41"/>
  <c r="E48" i="41"/>
  <c r="E46" i="41"/>
  <c r="E44" i="41"/>
  <c r="E42" i="41"/>
  <c r="E40" i="41"/>
  <c r="E38" i="41"/>
  <c r="E36" i="41"/>
  <c r="E63" i="41"/>
  <c r="E61" i="41"/>
  <c r="E59" i="41"/>
  <c r="E57" i="41"/>
  <c r="E55" i="41"/>
  <c r="E53" i="41"/>
  <c r="E51" i="41"/>
  <c r="E49" i="41"/>
  <c r="E47" i="41"/>
  <c r="E45" i="41"/>
  <c r="E43" i="41"/>
  <c r="E41" i="41"/>
  <c r="E39" i="41"/>
  <c r="E37" i="41"/>
  <c r="E62" i="39"/>
  <c r="E60" i="39"/>
  <c r="E58" i="39"/>
  <c r="E56" i="39"/>
  <c r="E54" i="39"/>
  <c r="E52" i="39"/>
  <c r="E50" i="39"/>
  <c r="E48" i="39"/>
  <c r="E46" i="39"/>
  <c r="E44" i="39"/>
  <c r="E42" i="39"/>
  <c r="E40" i="39"/>
  <c r="E38" i="39"/>
  <c r="E36" i="39"/>
  <c r="E63" i="39"/>
  <c r="E61" i="39"/>
  <c r="E59" i="39"/>
  <c r="E57" i="39"/>
  <c r="E55" i="39"/>
  <c r="E53" i="39"/>
  <c r="E51" i="39"/>
  <c r="E49" i="39"/>
  <c r="E47" i="39"/>
  <c r="E45" i="39"/>
  <c r="E43" i="39"/>
  <c r="E41" i="39"/>
  <c r="E39" i="39"/>
  <c r="E37" i="39"/>
  <c r="E62" i="37"/>
  <c r="E60" i="37"/>
  <c r="E58" i="37"/>
  <c r="E56" i="37"/>
  <c r="E54" i="37"/>
  <c r="E52" i="37"/>
  <c r="E50" i="37"/>
  <c r="E48" i="37"/>
  <c r="E46" i="37"/>
  <c r="E44" i="37"/>
  <c r="E42" i="37"/>
  <c r="E40" i="37"/>
  <c r="E38" i="37"/>
  <c r="E36" i="37"/>
  <c r="E63" i="37"/>
  <c r="E59" i="37"/>
  <c r="E55" i="37"/>
  <c r="E51" i="37"/>
  <c r="E47" i="37"/>
  <c r="E43" i="37"/>
  <c r="E39" i="37"/>
  <c r="E61" i="37"/>
  <c r="E57" i="37"/>
  <c r="E53" i="37"/>
  <c r="E49" i="37"/>
  <c r="E45" i="37"/>
  <c r="E41" i="37"/>
  <c r="E37" i="37"/>
  <c r="E62" i="35"/>
  <c r="E60" i="35"/>
  <c r="E58" i="35"/>
  <c r="E56" i="35"/>
  <c r="E54" i="35"/>
  <c r="E52" i="35"/>
  <c r="E50" i="35"/>
  <c r="E48" i="35"/>
  <c r="E46" i="35"/>
  <c r="E44" i="35"/>
  <c r="E42" i="35"/>
  <c r="E40" i="35"/>
  <c r="E38" i="35"/>
  <c r="E36" i="35"/>
  <c r="E63" i="35"/>
  <c r="E59" i="35"/>
  <c r="E55" i="35"/>
  <c r="E51" i="35"/>
  <c r="E47" i="35"/>
  <c r="E43" i="35"/>
  <c r="E39" i="35"/>
  <c r="E61" i="35"/>
  <c r="E57" i="35"/>
  <c r="E53" i="35"/>
  <c r="E49" i="35"/>
  <c r="E45" i="35"/>
  <c r="E41" i="35"/>
  <c r="E37" i="35"/>
  <c r="E62" i="33"/>
  <c r="E60" i="33"/>
  <c r="E58" i="33"/>
  <c r="E56" i="33"/>
  <c r="E63" i="33"/>
  <c r="E59" i="33"/>
  <c r="E55" i="33"/>
  <c r="E53" i="33"/>
  <c r="E51" i="33"/>
  <c r="E49" i="33"/>
  <c r="E47" i="33"/>
  <c r="E45" i="33"/>
  <c r="E43" i="33"/>
  <c r="E41" i="33"/>
  <c r="E39" i="33"/>
  <c r="E37" i="33"/>
  <c r="E61" i="33"/>
  <c r="E57" i="33"/>
  <c r="E54" i="33"/>
  <c r="E52" i="33"/>
  <c r="E50" i="33"/>
  <c r="E48" i="33"/>
  <c r="E46" i="33"/>
  <c r="E44" i="33"/>
  <c r="E42" i="33"/>
  <c r="E40" i="33"/>
  <c r="E38" i="33"/>
  <c r="E36" i="33"/>
  <c r="E63" i="31"/>
  <c r="E61" i="31"/>
  <c r="E59" i="31"/>
  <c r="E57" i="31"/>
  <c r="E55" i="31"/>
  <c r="E53" i="31"/>
  <c r="E51" i="31"/>
  <c r="E49" i="31"/>
  <c r="E47" i="31"/>
  <c r="E45" i="31"/>
  <c r="E43" i="31"/>
  <c r="E41" i="31"/>
  <c r="E39" i="31"/>
  <c r="E37" i="31"/>
  <c r="E62" i="31"/>
  <c r="E60" i="31"/>
  <c r="E58" i="31"/>
  <c r="E56" i="31"/>
  <c r="E54" i="31"/>
  <c r="E52" i="31"/>
  <c r="E50" i="31"/>
  <c r="E48" i="31"/>
  <c r="E46" i="31"/>
  <c r="E44" i="31"/>
  <c r="E42" i="31"/>
  <c r="E40" i="31"/>
  <c r="E38" i="31"/>
  <c r="E36" i="31"/>
  <c r="E63" i="29"/>
  <c r="E61" i="29"/>
  <c r="E59" i="29"/>
  <c r="E57" i="29"/>
  <c r="E55" i="29"/>
  <c r="E53" i="29"/>
  <c r="E51" i="29"/>
  <c r="E49" i="29"/>
  <c r="E47" i="29"/>
  <c r="E45" i="29"/>
  <c r="E43" i="29"/>
  <c r="E41" i="29"/>
  <c r="E39" i="29"/>
  <c r="E37" i="29"/>
  <c r="E62" i="29"/>
  <c r="E60" i="29"/>
  <c r="E58" i="29"/>
  <c r="E56" i="29"/>
  <c r="E54" i="29"/>
  <c r="E52" i="29"/>
  <c r="E50" i="29"/>
  <c r="E48" i="29"/>
  <c r="E46" i="29"/>
  <c r="E44" i="29"/>
  <c r="E42" i="29"/>
  <c r="E40" i="29"/>
  <c r="E38" i="29"/>
  <c r="E36" i="29"/>
  <c r="E63" i="27"/>
  <c r="E61" i="27"/>
  <c r="E59" i="27"/>
  <c r="E57" i="27"/>
  <c r="E55" i="27"/>
  <c r="E53" i="27"/>
  <c r="E51" i="27"/>
  <c r="E49" i="27"/>
  <c r="E47" i="27"/>
  <c r="E45" i="27"/>
  <c r="E43" i="27"/>
  <c r="E41" i="27"/>
  <c r="E39" i="27"/>
  <c r="E37" i="27"/>
  <c r="E62" i="27"/>
  <c r="E60" i="27"/>
  <c r="E58" i="27"/>
  <c r="E56" i="27"/>
  <c r="E54" i="27"/>
  <c r="E52" i="27"/>
  <c r="E50" i="27"/>
  <c r="E48" i="27"/>
  <c r="E46" i="27"/>
  <c r="E44" i="27"/>
  <c r="E42" i="27"/>
  <c r="E40" i="27"/>
  <c r="E38" i="27"/>
  <c r="E36" i="27"/>
  <c r="E63" i="25"/>
  <c r="E61" i="25"/>
  <c r="E59" i="25"/>
  <c r="E57" i="25"/>
  <c r="E55" i="25"/>
  <c r="E53" i="25"/>
  <c r="E51" i="25"/>
  <c r="E49" i="25"/>
  <c r="E47" i="25"/>
  <c r="E45" i="25"/>
  <c r="E43" i="25"/>
  <c r="E41" i="25"/>
  <c r="E39" i="25"/>
  <c r="E37" i="25"/>
  <c r="E62" i="25"/>
  <c r="E60" i="25"/>
  <c r="E58" i="25"/>
  <c r="E56" i="25"/>
  <c r="E54" i="25"/>
  <c r="E52" i="25"/>
  <c r="E50" i="25"/>
  <c r="E48" i="25"/>
  <c r="E46" i="25"/>
  <c r="E44" i="25"/>
  <c r="E42" i="25"/>
  <c r="E40" i="25"/>
  <c r="E38" i="25"/>
  <c r="E36" i="25"/>
  <c r="E63" i="23"/>
  <c r="E61" i="23"/>
  <c r="E59" i="23"/>
  <c r="E62" i="23"/>
  <c r="E60" i="23"/>
  <c r="E58" i="23"/>
  <c r="E56" i="23"/>
  <c r="E54" i="23"/>
  <c r="E52" i="23"/>
  <c r="E50" i="23"/>
  <c r="E48" i="23"/>
  <c r="E46" i="23"/>
  <c r="E44" i="23"/>
  <c r="E42" i="23"/>
  <c r="E40" i="23"/>
  <c r="E38" i="23"/>
  <c r="E36" i="23"/>
  <c r="E57" i="23"/>
  <c r="E55" i="23"/>
  <c r="E53" i="23"/>
  <c r="E51" i="23"/>
  <c r="E49" i="23"/>
  <c r="E47" i="23"/>
  <c r="E45" i="23"/>
  <c r="E43" i="23"/>
  <c r="E41" i="23"/>
  <c r="E39" i="23"/>
  <c r="E37" i="23"/>
  <c r="E62" i="21"/>
  <c r="E60" i="21"/>
  <c r="E58" i="21"/>
  <c r="E56" i="21"/>
  <c r="E54" i="21"/>
  <c r="E52" i="21"/>
  <c r="E50" i="21"/>
  <c r="E48" i="21"/>
  <c r="E46" i="21"/>
  <c r="E44" i="21"/>
  <c r="E42" i="21"/>
  <c r="E40" i="21"/>
  <c r="E38" i="21"/>
  <c r="E36" i="21"/>
  <c r="E63" i="21"/>
  <c r="E61" i="21"/>
  <c r="E59" i="21"/>
  <c r="E57" i="21"/>
  <c r="E55" i="21"/>
  <c r="E53" i="21"/>
  <c r="E51" i="21"/>
  <c r="E49" i="21"/>
  <c r="E47" i="21"/>
  <c r="E45" i="21"/>
  <c r="E43" i="21"/>
  <c r="E41" i="21"/>
  <c r="E39" i="21"/>
  <c r="E37" i="21"/>
  <c r="E62" i="19"/>
  <c r="E60" i="19"/>
  <c r="E58" i="19"/>
  <c r="E56" i="19"/>
  <c r="E54" i="19"/>
  <c r="E52" i="19"/>
  <c r="E50" i="19"/>
  <c r="E48" i="19"/>
  <c r="E46" i="19"/>
  <c r="E44" i="19"/>
  <c r="E42" i="19"/>
  <c r="E40" i="19"/>
  <c r="E38" i="19"/>
  <c r="E36" i="19"/>
  <c r="E63" i="19"/>
  <c r="E61" i="19"/>
  <c r="E59" i="19"/>
  <c r="E57" i="19"/>
  <c r="E55" i="19"/>
  <c r="E53" i="19"/>
  <c r="E51" i="19"/>
  <c r="E49" i="19"/>
  <c r="E47" i="19"/>
  <c r="E45" i="19"/>
  <c r="E43" i="19"/>
  <c r="E41" i="19"/>
  <c r="E39" i="19"/>
  <c r="E37" i="19"/>
  <c r="E62" i="17"/>
  <c r="E60" i="17"/>
  <c r="E58" i="17"/>
  <c r="E56" i="17"/>
  <c r="E54" i="17"/>
  <c r="E52" i="17"/>
  <c r="E50" i="17"/>
  <c r="E48" i="17"/>
  <c r="E46" i="17"/>
  <c r="E44" i="17"/>
  <c r="E42" i="17"/>
  <c r="E40" i="17"/>
  <c r="E38" i="17"/>
  <c r="E36" i="17"/>
  <c r="E63" i="17"/>
  <c r="E61" i="17"/>
  <c r="E59" i="17"/>
  <c r="E57" i="17"/>
  <c r="E55" i="17"/>
  <c r="E53" i="17"/>
  <c r="E51" i="17"/>
  <c r="E49" i="17"/>
  <c r="E47" i="17"/>
  <c r="E45" i="17"/>
  <c r="E43" i="17"/>
  <c r="E41" i="17"/>
  <c r="E39" i="17"/>
  <c r="E37" i="17"/>
  <c r="E62" i="15"/>
  <c r="E60" i="15"/>
  <c r="E58" i="15"/>
  <c r="E56" i="15"/>
  <c r="E54" i="15"/>
  <c r="E52" i="15"/>
  <c r="E50" i="15"/>
  <c r="E48" i="15"/>
  <c r="E46" i="15"/>
  <c r="E44" i="15"/>
  <c r="E42" i="15"/>
  <c r="E40" i="15"/>
  <c r="E38" i="15"/>
  <c r="E36" i="15"/>
  <c r="E63" i="15"/>
  <c r="E61" i="15"/>
  <c r="E59" i="15"/>
  <c r="E57" i="15"/>
  <c r="E55" i="15"/>
  <c r="E53" i="15"/>
  <c r="E51" i="15"/>
  <c r="E49" i="15"/>
  <c r="E47" i="15"/>
  <c r="E45" i="15"/>
  <c r="E43" i="15"/>
  <c r="E41" i="15"/>
  <c r="E39" i="15"/>
  <c r="E37" i="15"/>
  <c r="E62" i="13"/>
  <c r="E60" i="13"/>
  <c r="E58" i="13"/>
  <c r="E56" i="13"/>
  <c r="E54" i="13"/>
  <c r="E52" i="13"/>
  <c r="E50" i="13"/>
  <c r="E48" i="13"/>
  <c r="E46" i="13"/>
  <c r="E44" i="13"/>
  <c r="E42" i="13"/>
  <c r="E40" i="13"/>
  <c r="E38" i="13"/>
  <c r="E36" i="13"/>
  <c r="E63" i="13"/>
  <c r="E61" i="13"/>
  <c r="E59" i="13"/>
  <c r="E57" i="13"/>
  <c r="E55" i="13"/>
  <c r="E53" i="13"/>
  <c r="E51" i="13"/>
  <c r="E49" i="13"/>
  <c r="E47" i="13"/>
  <c r="E45" i="13"/>
  <c r="E43" i="13"/>
  <c r="E41" i="13"/>
  <c r="E39" i="13"/>
  <c r="E37" i="13"/>
  <c r="E62" i="11"/>
  <c r="E60" i="11"/>
  <c r="E58" i="11"/>
  <c r="E56" i="11"/>
  <c r="E54" i="11"/>
  <c r="E52" i="11"/>
  <c r="E50" i="11"/>
  <c r="E48" i="11"/>
  <c r="E46" i="11"/>
  <c r="E44" i="11"/>
  <c r="E42" i="11"/>
  <c r="E40" i="11"/>
  <c r="E38" i="11"/>
  <c r="E36" i="11"/>
  <c r="E63" i="11"/>
  <c r="E61" i="11"/>
  <c r="E59" i="11"/>
  <c r="E57" i="11"/>
  <c r="E55" i="11"/>
  <c r="E53" i="11"/>
  <c r="E51" i="11"/>
  <c r="E49" i="11"/>
  <c r="E47" i="11"/>
  <c r="E45" i="11"/>
  <c r="E43" i="11"/>
  <c r="E41" i="11"/>
  <c r="E39" i="11"/>
  <c r="E37" i="11"/>
  <c r="E62" i="9"/>
  <c r="E60" i="9"/>
  <c r="E58" i="9"/>
  <c r="E56" i="9"/>
  <c r="E54" i="9"/>
  <c r="E52" i="9"/>
  <c r="E50" i="9"/>
  <c r="E48" i="9"/>
  <c r="E46" i="9"/>
  <c r="E44" i="9"/>
  <c r="E42" i="9"/>
  <c r="E40" i="9"/>
  <c r="E38" i="9"/>
  <c r="E36" i="9"/>
  <c r="E63" i="9"/>
  <c r="E61" i="9"/>
  <c r="E59" i="9"/>
  <c r="E57" i="9"/>
  <c r="E55" i="9"/>
  <c r="E53" i="9"/>
  <c r="E51" i="9"/>
  <c r="E49" i="9"/>
  <c r="E47" i="9"/>
  <c r="E45" i="9"/>
  <c r="E43" i="9"/>
  <c r="E41" i="9"/>
  <c r="E39" i="9"/>
  <c r="E37" i="9"/>
  <c r="E62" i="7"/>
  <c r="E60" i="7"/>
  <c r="E58" i="7"/>
  <c r="E56" i="7"/>
  <c r="E54" i="7"/>
  <c r="E52" i="7"/>
  <c r="E50" i="7"/>
  <c r="E48" i="7"/>
  <c r="E46" i="7"/>
  <c r="E44" i="7"/>
  <c r="E42" i="7"/>
  <c r="E40" i="7"/>
  <c r="E38" i="7"/>
  <c r="E36" i="7"/>
  <c r="E63" i="7"/>
  <c r="E61" i="7"/>
  <c r="E59" i="7"/>
  <c r="E57" i="7"/>
  <c r="E55" i="7"/>
  <c r="E53" i="7"/>
  <c r="E51" i="7"/>
  <c r="E49" i="7"/>
  <c r="E47" i="7"/>
  <c r="E45" i="7"/>
  <c r="E43" i="7"/>
  <c r="E41" i="7"/>
  <c r="E39" i="7"/>
  <c r="E37" i="7"/>
  <c r="E62" i="5"/>
  <c r="E60" i="5"/>
  <c r="E58" i="5"/>
  <c r="E56" i="5"/>
  <c r="E54" i="5"/>
  <c r="E52" i="5"/>
  <c r="E50" i="5"/>
  <c r="E48" i="5"/>
  <c r="E46" i="5"/>
  <c r="E44" i="5"/>
  <c r="E42" i="5"/>
  <c r="E40" i="5"/>
  <c r="E38" i="5"/>
  <c r="E36" i="5"/>
  <c r="E63" i="5"/>
  <c r="E61" i="5"/>
  <c r="E59" i="5"/>
  <c r="E57" i="5"/>
  <c r="E55" i="5"/>
  <c r="E53" i="5"/>
  <c r="E51" i="5"/>
  <c r="E49" i="5"/>
  <c r="E47" i="5"/>
  <c r="E45" i="5"/>
  <c r="E43" i="5"/>
  <c r="E41" i="5"/>
  <c r="E39" i="5"/>
  <c r="E37" i="5"/>
  <c r="E62" i="3"/>
  <c r="E60" i="3"/>
  <c r="E58" i="3"/>
  <c r="E56" i="3"/>
  <c r="E54" i="3"/>
  <c r="E52" i="3"/>
  <c r="E50" i="3"/>
  <c r="E48" i="3"/>
  <c r="E46" i="3"/>
  <c r="E44" i="3"/>
  <c r="E42" i="3"/>
  <c r="E40" i="3"/>
  <c r="E38" i="3"/>
  <c r="E36" i="3"/>
  <c r="E63" i="3"/>
  <c r="E61" i="3"/>
  <c r="E59" i="3"/>
  <c r="E57" i="3"/>
  <c r="E55" i="3"/>
  <c r="E53" i="3"/>
  <c r="E51" i="3"/>
  <c r="E49" i="3"/>
  <c r="E47" i="3"/>
  <c r="E45" i="3"/>
  <c r="E43" i="3"/>
  <c r="E41" i="3"/>
  <c r="E39" i="3"/>
  <c r="E37" i="3"/>
  <c r="E62" i="1"/>
  <c r="E60" i="1"/>
  <c r="E58" i="1"/>
  <c r="E56" i="1"/>
  <c r="E54" i="1"/>
  <c r="E52" i="1"/>
  <c r="E50" i="1"/>
  <c r="E48" i="1"/>
  <c r="E46" i="1"/>
  <c r="E44" i="1"/>
  <c r="E42" i="1"/>
  <c r="E40" i="1"/>
  <c r="E38" i="1"/>
  <c r="E36" i="1"/>
  <c r="E63" i="1"/>
  <c r="E61" i="1"/>
  <c r="E59" i="1"/>
  <c r="E57" i="1"/>
  <c r="E55" i="1"/>
  <c r="E53" i="1"/>
  <c r="E51" i="1"/>
  <c r="E49" i="1"/>
  <c r="E47" i="1"/>
  <c r="E45" i="1"/>
  <c r="E43" i="1"/>
  <c r="E43" i="60" s="1"/>
  <c r="E41" i="1"/>
  <c r="E39" i="1"/>
  <c r="E39" i="60" s="1"/>
  <c r="E37" i="1"/>
  <c r="E104" i="55"/>
  <c r="C114" i="53"/>
  <c r="E103" i="51"/>
  <c r="C113" i="49"/>
  <c r="E113" i="45"/>
  <c r="E113" i="43"/>
  <c r="D115" i="41"/>
  <c r="C110" i="39"/>
  <c r="E114" i="35"/>
  <c r="D115" i="33"/>
  <c r="E98" i="31"/>
  <c r="C115" i="23"/>
  <c r="E115" i="21"/>
  <c r="E120" i="11"/>
  <c r="F120" i="11" s="1"/>
  <c r="C116" i="7"/>
  <c r="C116" i="5"/>
  <c r="E120" i="3"/>
  <c r="F120" i="3" s="1"/>
  <c r="C116" i="1"/>
  <c r="C116" i="56"/>
  <c r="D115" i="54"/>
  <c r="C116" i="52"/>
  <c r="D117" i="50"/>
  <c r="F117" i="50" s="1"/>
  <c r="C116" i="48"/>
  <c r="D117" i="46"/>
  <c r="F117" i="46" s="1"/>
  <c r="E120" i="44"/>
  <c r="F120" i="44" s="1"/>
  <c r="C114" i="42"/>
  <c r="D115" i="40"/>
  <c r="E111" i="38"/>
  <c r="C113" i="36"/>
  <c r="E84" i="32"/>
  <c r="C114" i="30"/>
  <c r="C116" i="22"/>
  <c r="E120" i="20"/>
  <c r="E120" i="18"/>
  <c r="F120" i="18" s="1"/>
  <c r="C116" i="14"/>
  <c r="E120" i="12"/>
  <c r="F120" i="12" s="1"/>
  <c r="C116" i="10"/>
  <c r="E120" i="8"/>
  <c r="F120" i="8" s="1"/>
  <c r="D117" i="6"/>
  <c r="F117" i="6" s="1"/>
  <c r="E120" i="4"/>
  <c r="F120" i="4" s="1"/>
  <c r="C113" i="59"/>
  <c r="E120" i="57"/>
  <c r="F120" i="57" s="1"/>
  <c r="E77" i="55"/>
  <c r="D50" i="49"/>
  <c r="D81" i="49" s="1"/>
  <c r="E77" i="42"/>
  <c r="E77" i="22"/>
  <c r="C112" i="55"/>
  <c r="E77" i="50"/>
  <c r="E111" i="42"/>
  <c r="C113" i="22"/>
  <c r="C112" i="50"/>
  <c r="E81" i="31"/>
  <c r="D42" i="51"/>
  <c r="D73" i="51" s="1"/>
  <c r="D50" i="51"/>
  <c r="D81" i="51" s="1"/>
  <c r="D58" i="51"/>
  <c r="D89" i="51" s="1"/>
  <c r="E84" i="51"/>
  <c r="E115" i="51"/>
  <c r="E67" i="48"/>
  <c r="E83" i="48"/>
  <c r="E102" i="48"/>
  <c r="D115" i="48"/>
  <c r="E70" i="40"/>
  <c r="D41" i="33"/>
  <c r="D72" i="33" s="1"/>
  <c r="D49" i="33"/>
  <c r="D80" i="33" s="1"/>
  <c r="D57" i="33"/>
  <c r="D88" i="33" s="1"/>
  <c r="E70" i="33"/>
  <c r="E86" i="33"/>
  <c r="E104" i="33"/>
  <c r="D117" i="32"/>
  <c r="F117" i="32" s="1"/>
  <c r="E93" i="30"/>
  <c r="E91" i="44"/>
  <c r="E93" i="55"/>
  <c r="D38" i="51"/>
  <c r="D46" i="51"/>
  <c r="D77" i="51" s="1"/>
  <c r="D54" i="51"/>
  <c r="D85" i="51" s="1"/>
  <c r="E68" i="51"/>
  <c r="E93" i="50"/>
  <c r="E75" i="48"/>
  <c r="E91" i="48"/>
  <c r="E111" i="48"/>
  <c r="E75" i="44"/>
  <c r="C112" i="44"/>
  <c r="E93" i="42"/>
  <c r="D48" i="40"/>
  <c r="D79" i="40" s="1"/>
  <c r="E104" i="40"/>
  <c r="D37" i="33"/>
  <c r="D68" i="33" s="1"/>
  <c r="D45" i="33"/>
  <c r="D76" i="33" s="1"/>
  <c r="D53" i="33"/>
  <c r="D84" i="33" s="1"/>
  <c r="D61" i="33"/>
  <c r="D92" i="33" s="1"/>
  <c r="E78" i="33"/>
  <c r="E94" i="33"/>
  <c r="C112" i="33"/>
  <c r="E113" i="31"/>
  <c r="E77" i="30"/>
  <c r="E111" i="30"/>
  <c r="E93" i="22"/>
  <c r="E115" i="47"/>
  <c r="E110" i="47"/>
  <c r="E86" i="47"/>
  <c r="E70" i="47"/>
  <c r="D56" i="47"/>
  <c r="D48" i="47"/>
  <c r="D79" i="47" s="1"/>
  <c r="D40" i="47"/>
  <c r="D44" i="47"/>
  <c r="D60" i="47"/>
  <c r="E94" i="47"/>
  <c r="E100" i="53"/>
  <c r="E69" i="55"/>
  <c r="E85" i="55"/>
  <c r="E81" i="53"/>
  <c r="E120" i="51"/>
  <c r="F120" i="51" s="1"/>
  <c r="E114" i="51"/>
  <c r="E110" i="51"/>
  <c r="E99" i="51"/>
  <c r="E88" i="51"/>
  <c r="E80" i="51"/>
  <c r="E72" i="51"/>
  <c r="D62" i="51"/>
  <c r="D93" i="51" s="1"/>
  <c r="D36" i="51"/>
  <c r="D67" i="51" s="1"/>
  <c r="D40" i="51"/>
  <c r="D71" i="51" s="1"/>
  <c r="D44" i="51"/>
  <c r="D48" i="51"/>
  <c r="D52" i="51"/>
  <c r="D56" i="51"/>
  <c r="D87" i="51" s="1"/>
  <c r="D60" i="51"/>
  <c r="E76" i="51"/>
  <c r="E92" i="51"/>
  <c r="E112" i="51"/>
  <c r="E90" i="49"/>
  <c r="D58" i="49"/>
  <c r="D89" i="49" s="1"/>
  <c r="D42" i="49"/>
  <c r="D73" i="49" s="1"/>
  <c r="E74" i="49"/>
  <c r="D36" i="47"/>
  <c r="D52" i="47"/>
  <c r="E78" i="47"/>
  <c r="E114" i="47"/>
  <c r="E69" i="50"/>
  <c r="E85" i="50"/>
  <c r="E104" i="50"/>
  <c r="E71" i="48"/>
  <c r="E79" i="48"/>
  <c r="E87" i="48"/>
  <c r="E98" i="48"/>
  <c r="D109" i="48"/>
  <c r="E113" i="48"/>
  <c r="E120" i="48"/>
  <c r="F120" i="48" s="1"/>
  <c r="E67" i="44"/>
  <c r="E83" i="44"/>
  <c r="E102" i="44"/>
  <c r="D117" i="44"/>
  <c r="F117" i="44" s="1"/>
  <c r="E69" i="42"/>
  <c r="E85" i="42"/>
  <c r="E104" i="42"/>
  <c r="D115" i="42"/>
  <c r="D40" i="40"/>
  <c r="D71" i="40" s="1"/>
  <c r="D56" i="40"/>
  <c r="E86" i="40"/>
  <c r="D36" i="35"/>
  <c r="D40" i="35"/>
  <c r="D9" i="35" s="1"/>
  <c r="D46" i="35"/>
  <c r="D54" i="35"/>
  <c r="D62" i="35"/>
  <c r="E80" i="35"/>
  <c r="E99" i="35"/>
  <c r="E120" i="32"/>
  <c r="F120" i="32" s="1"/>
  <c r="C112" i="32"/>
  <c r="E92" i="32"/>
  <c r="E76" i="32"/>
  <c r="E68" i="32"/>
  <c r="E102" i="32"/>
  <c r="D41" i="23"/>
  <c r="D57" i="23"/>
  <c r="E84" i="23"/>
  <c r="D40" i="21"/>
  <c r="D48" i="21"/>
  <c r="D56" i="21"/>
  <c r="E68" i="21"/>
  <c r="E84" i="21"/>
  <c r="E103" i="21"/>
  <c r="C114" i="17"/>
  <c r="E111" i="17"/>
  <c r="E93" i="17"/>
  <c r="E77" i="17"/>
  <c r="E69" i="17"/>
  <c r="E104" i="17"/>
  <c r="E120" i="35"/>
  <c r="F120" i="35" s="1"/>
  <c r="E115" i="35"/>
  <c r="E112" i="35"/>
  <c r="E103" i="35"/>
  <c r="E92" i="35"/>
  <c r="E84" i="35"/>
  <c r="E76" i="35"/>
  <c r="E68" i="35"/>
  <c r="D60" i="35"/>
  <c r="D29" i="35" s="1"/>
  <c r="D56" i="35"/>
  <c r="D25" i="35" s="1"/>
  <c r="D52" i="35"/>
  <c r="D48" i="35"/>
  <c r="D17" i="35" s="1"/>
  <c r="D44" i="35"/>
  <c r="D38" i="35"/>
  <c r="D42" i="35"/>
  <c r="D50" i="35"/>
  <c r="D58" i="35"/>
  <c r="E72" i="35"/>
  <c r="E88" i="35"/>
  <c r="E110" i="35"/>
  <c r="C116" i="23"/>
  <c r="C111" i="23"/>
  <c r="E92" i="23"/>
  <c r="E76" i="23"/>
  <c r="D61" i="23"/>
  <c r="D53" i="23"/>
  <c r="D45" i="23"/>
  <c r="D37" i="23"/>
  <c r="D49" i="23"/>
  <c r="E68" i="23"/>
  <c r="E103" i="23"/>
  <c r="E120" i="21"/>
  <c r="F120" i="21" s="1"/>
  <c r="E114" i="21"/>
  <c r="E110" i="21"/>
  <c r="E99" i="21"/>
  <c r="E88" i="21"/>
  <c r="E80" i="21"/>
  <c r="E72" i="21"/>
  <c r="D62" i="21"/>
  <c r="D58" i="21"/>
  <c r="D54" i="21"/>
  <c r="D50" i="21"/>
  <c r="D46" i="21"/>
  <c r="D42" i="21"/>
  <c r="D38" i="21"/>
  <c r="D36" i="21"/>
  <c r="D44" i="21"/>
  <c r="D52" i="21"/>
  <c r="D60" i="21"/>
  <c r="E76" i="21"/>
  <c r="E92" i="21"/>
  <c r="E112" i="21"/>
  <c r="E85" i="17"/>
  <c r="D115" i="17"/>
  <c r="D39" i="33"/>
  <c r="D70" i="33" s="1"/>
  <c r="F70" i="33" s="1"/>
  <c r="D43" i="33"/>
  <c r="D74" i="33" s="1"/>
  <c r="D47" i="33"/>
  <c r="D78" i="33" s="1"/>
  <c r="F78" i="33" s="1"/>
  <c r="D51" i="33"/>
  <c r="D82" i="33" s="1"/>
  <c r="D55" i="33"/>
  <c r="D86" i="33" s="1"/>
  <c r="D59" i="33"/>
  <c r="D90" i="33" s="1"/>
  <c r="D63" i="33"/>
  <c r="D94" i="33" s="1"/>
  <c r="E74" i="33"/>
  <c r="E82" i="33"/>
  <c r="E90" i="33"/>
  <c r="E101" i="33"/>
  <c r="C110" i="33"/>
  <c r="E69" i="30"/>
  <c r="E85" i="30"/>
  <c r="E104" i="30"/>
  <c r="D115" i="30"/>
  <c r="E69" i="22"/>
  <c r="E85" i="22"/>
  <c r="E109" i="22"/>
  <c r="D37" i="57"/>
  <c r="D39" i="57"/>
  <c r="D41" i="57"/>
  <c r="D43" i="57"/>
  <c r="D45" i="57"/>
  <c r="D47" i="57"/>
  <c r="D49" i="57"/>
  <c r="D51" i="57"/>
  <c r="D53" i="57"/>
  <c r="D55" i="57"/>
  <c r="D57" i="57"/>
  <c r="D59" i="57"/>
  <c r="D61" i="57"/>
  <c r="D63" i="57"/>
  <c r="E70" i="57"/>
  <c r="E78" i="57"/>
  <c r="E83" i="57"/>
  <c r="E90" i="57"/>
  <c r="D109" i="57"/>
  <c r="E113" i="57"/>
  <c r="C116" i="55"/>
  <c r="D117" i="55"/>
  <c r="F117" i="55" s="1"/>
  <c r="D115" i="55"/>
  <c r="E113" i="55"/>
  <c r="E111" i="55"/>
  <c r="D109" i="55"/>
  <c r="E102" i="55"/>
  <c r="E98" i="55"/>
  <c r="E91" i="55"/>
  <c r="E87" i="55"/>
  <c r="E83" i="55"/>
  <c r="E79" i="55"/>
  <c r="E75" i="55"/>
  <c r="E71" i="55"/>
  <c r="E67" i="55"/>
  <c r="E73" i="55"/>
  <c r="E81" i="55"/>
  <c r="E89" i="55"/>
  <c r="E100" i="55"/>
  <c r="C110" i="55"/>
  <c r="C114" i="55"/>
  <c r="E120" i="55"/>
  <c r="F120" i="55" s="1"/>
  <c r="D115" i="53"/>
  <c r="E111" i="53"/>
  <c r="E104" i="53"/>
  <c r="E93" i="53"/>
  <c r="E85" i="53"/>
  <c r="E77" i="53"/>
  <c r="E69" i="53"/>
  <c r="E73" i="53"/>
  <c r="E89" i="53"/>
  <c r="C110" i="53"/>
  <c r="D9" i="51"/>
  <c r="D25" i="51"/>
  <c r="C116" i="50"/>
  <c r="E120" i="50"/>
  <c r="F120" i="50" s="1"/>
  <c r="D115" i="50"/>
  <c r="E113" i="50"/>
  <c r="E111" i="50"/>
  <c r="D109" i="50"/>
  <c r="E102" i="50"/>
  <c r="E98" i="50"/>
  <c r="E91" i="50"/>
  <c r="E87" i="50"/>
  <c r="E83" i="50"/>
  <c r="E79" i="50"/>
  <c r="E75" i="50"/>
  <c r="E71" i="50"/>
  <c r="E67" i="50"/>
  <c r="E73" i="50"/>
  <c r="E81" i="50"/>
  <c r="E89" i="50"/>
  <c r="E100" i="50"/>
  <c r="C110" i="50"/>
  <c r="C114" i="50"/>
  <c r="E114" i="49"/>
  <c r="E110" i="49"/>
  <c r="E94" i="49"/>
  <c r="E86" i="49"/>
  <c r="E78" i="49"/>
  <c r="E70" i="49"/>
  <c r="D60" i="49"/>
  <c r="D56" i="49"/>
  <c r="D52" i="49"/>
  <c r="D48" i="49"/>
  <c r="D44" i="49"/>
  <c r="D40" i="49"/>
  <c r="D36" i="49"/>
  <c r="D38" i="49"/>
  <c r="D46" i="49"/>
  <c r="D77" i="49" s="1"/>
  <c r="D54" i="49"/>
  <c r="D85" i="49" s="1"/>
  <c r="D62" i="49"/>
  <c r="D93" i="49" s="1"/>
  <c r="E82" i="49"/>
  <c r="E101" i="49"/>
  <c r="E115" i="49"/>
  <c r="D17" i="47"/>
  <c r="D75" i="47"/>
  <c r="D13" i="47"/>
  <c r="D83" i="47"/>
  <c r="D21" i="47"/>
  <c r="D91" i="47"/>
  <c r="D29" i="47"/>
  <c r="E69" i="46"/>
  <c r="E77" i="46"/>
  <c r="E85" i="46"/>
  <c r="E93" i="46"/>
  <c r="E104" i="46"/>
  <c r="C112" i="46"/>
  <c r="E79" i="45"/>
  <c r="E98" i="45"/>
  <c r="D39" i="43"/>
  <c r="D70" i="43" s="1"/>
  <c r="D47" i="43"/>
  <c r="D55" i="43"/>
  <c r="D63" i="43"/>
  <c r="E80" i="43"/>
  <c r="E99" i="43"/>
  <c r="C114" i="40"/>
  <c r="C110" i="40"/>
  <c r="E101" i="40"/>
  <c r="E90" i="40"/>
  <c r="E82" i="40"/>
  <c r="E74" i="40"/>
  <c r="D62" i="40"/>
  <c r="D93" i="40" s="1"/>
  <c r="D58" i="40"/>
  <c r="D89" i="40" s="1"/>
  <c r="D54" i="40"/>
  <c r="D85" i="40" s="1"/>
  <c r="D50" i="40"/>
  <c r="D81" i="40" s="1"/>
  <c r="D46" i="40"/>
  <c r="D77" i="40" s="1"/>
  <c r="D42" i="40"/>
  <c r="D73" i="40" s="1"/>
  <c r="D38" i="40"/>
  <c r="D69" i="40" s="1"/>
  <c r="D36" i="40"/>
  <c r="D67" i="40" s="1"/>
  <c r="D44" i="40"/>
  <c r="D75" i="40" s="1"/>
  <c r="D52" i="40"/>
  <c r="D60" i="40"/>
  <c r="E78" i="40"/>
  <c r="E94" i="40"/>
  <c r="E111" i="40"/>
  <c r="E79" i="36"/>
  <c r="E98" i="36"/>
  <c r="C116" i="57"/>
  <c r="D117" i="57"/>
  <c r="F117" i="57" s="1"/>
  <c r="C114" i="57"/>
  <c r="C112" i="57"/>
  <c r="C110" i="57"/>
  <c r="E102" i="57"/>
  <c r="E91" i="57"/>
  <c r="E86" i="57"/>
  <c r="E82" i="57"/>
  <c r="E79" i="57"/>
  <c r="E75" i="57"/>
  <c r="D36" i="57"/>
  <c r="D5" i="57" s="1"/>
  <c r="D38" i="57"/>
  <c r="D40" i="57"/>
  <c r="D9" i="57" s="1"/>
  <c r="D42" i="57"/>
  <c r="D73" i="57" s="1"/>
  <c r="D44" i="57"/>
  <c r="D13" i="57" s="1"/>
  <c r="D46" i="57"/>
  <c r="D48" i="57"/>
  <c r="D17" i="57" s="1"/>
  <c r="D50" i="57"/>
  <c r="D81" i="57" s="1"/>
  <c r="D52" i="57"/>
  <c r="D21" i="57" s="1"/>
  <c r="D54" i="57"/>
  <c r="D56" i="57"/>
  <c r="D25" i="57" s="1"/>
  <c r="D58" i="57"/>
  <c r="D89" i="57" s="1"/>
  <c r="D60" i="57"/>
  <c r="D29" i="57" s="1"/>
  <c r="D62" i="57"/>
  <c r="E67" i="57"/>
  <c r="E71" i="57"/>
  <c r="E74" i="57"/>
  <c r="E87" i="57"/>
  <c r="E94" i="57"/>
  <c r="E111" i="57"/>
  <c r="D115" i="57"/>
  <c r="D75" i="51"/>
  <c r="D13" i="51"/>
  <c r="D83" i="51"/>
  <c r="D21" i="51"/>
  <c r="D91" i="51"/>
  <c r="D29" i="51"/>
  <c r="C116" i="46"/>
  <c r="E120" i="46"/>
  <c r="F120" i="46" s="1"/>
  <c r="D115" i="46"/>
  <c r="E113" i="46"/>
  <c r="E111" i="46"/>
  <c r="D109" i="46"/>
  <c r="E102" i="46"/>
  <c r="E98" i="46"/>
  <c r="E91" i="46"/>
  <c r="E87" i="46"/>
  <c r="E83" i="46"/>
  <c r="E79" i="46"/>
  <c r="E75" i="46"/>
  <c r="E71" i="46"/>
  <c r="E67" i="46"/>
  <c r="E73" i="46"/>
  <c r="E81" i="46"/>
  <c r="E89" i="46"/>
  <c r="E100" i="46"/>
  <c r="C110" i="46"/>
  <c r="C114" i="46"/>
  <c r="D117" i="45"/>
  <c r="F117" i="45" s="1"/>
  <c r="C112" i="45"/>
  <c r="E102" i="45"/>
  <c r="E91" i="45"/>
  <c r="E83" i="45"/>
  <c r="E75" i="45"/>
  <c r="E67" i="45"/>
  <c r="E71" i="45"/>
  <c r="E87" i="45"/>
  <c r="D109" i="45"/>
  <c r="E120" i="45"/>
  <c r="F120" i="45" s="1"/>
  <c r="D117" i="43"/>
  <c r="F117" i="43" s="1"/>
  <c r="C112" i="43"/>
  <c r="E103" i="43"/>
  <c r="E92" i="43"/>
  <c r="E84" i="43"/>
  <c r="E76" i="43"/>
  <c r="E68" i="43"/>
  <c r="D61" i="43"/>
  <c r="D57" i="43"/>
  <c r="D53" i="43"/>
  <c r="D49" i="43"/>
  <c r="D45" i="43"/>
  <c r="D76" i="43" s="1"/>
  <c r="F76" i="43" s="1"/>
  <c r="D41" i="43"/>
  <c r="D72" i="43" s="1"/>
  <c r="D37" i="43"/>
  <c r="D68" i="43" s="1"/>
  <c r="D43" i="43"/>
  <c r="D74" i="43" s="1"/>
  <c r="D51" i="43"/>
  <c r="D59" i="43"/>
  <c r="E72" i="43"/>
  <c r="E88" i="43"/>
  <c r="D109" i="43"/>
  <c r="E120" i="43"/>
  <c r="F120" i="43" s="1"/>
  <c r="E114" i="36"/>
  <c r="E110" i="36"/>
  <c r="E100" i="36"/>
  <c r="E92" i="36"/>
  <c r="E84" i="36"/>
  <c r="E76" i="36"/>
  <c r="E68" i="36"/>
  <c r="E71" i="36"/>
  <c r="E87" i="36"/>
  <c r="E103" i="36"/>
  <c r="E115" i="36"/>
  <c r="E120" i="34"/>
  <c r="F120" i="34" s="1"/>
  <c r="E115" i="34"/>
  <c r="E114" i="34"/>
  <c r="E112" i="34"/>
  <c r="E110" i="34"/>
  <c r="E103" i="34"/>
  <c r="E99" i="34"/>
  <c r="E92" i="34"/>
  <c r="E88" i="34"/>
  <c r="E84" i="34"/>
  <c r="E80" i="34"/>
  <c r="E76" i="34"/>
  <c r="E72" i="34"/>
  <c r="E68" i="34"/>
  <c r="D62" i="34"/>
  <c r="D60" i="34"/>
  <c r="D58" i="34"/>
  <c r="D89" i="34" s="1"/>
  <c r="D56" i="34"/>
  <c r="D87" i="34" s="1"/>
  <c r="D54" i="34"/>
  <c r="D85" i="34" s="1"/>
  <c r="D52" i="34"/>
  <c r="D83" i="34" s="1"/>
  <c r="D50" i="34"/>
  <c r="D81" i="34" s="1"/>
  <c r="D48" i="34"/>
  <c r="D79" i="34" s="1"/>
  <c r="D46" i="34"/>
  <c r="D77" i="34" s="1"/>
  <c r="D44" i="34"/>
  <c r="D75" i="34" s="1"/>
  <c r="D42" i="34"/>
  <c r="D73" i="34" s="1"/>
  <c r="D40" i="34"/>
  <c r="D71" i="34" s="1"/>
  <c r="D38" i="34"/>
  <c r="D69" i="34" s="1"/>
  <c r="D36" i="34"/>
  <c r="D67" i="34" s="1"/>
  <c r="D39" i="34"/>
  <c r="D43" i="34"/>
  <c r="D47" i="34"/>
  <c r="D51" i="34"/>
  <c r="D55" i="34"/>
  <c r="D59" i="34"/>
  <c r="D63" i="34"/>
  <c r="E74" i="34"/>
  <c r="E82" i="34"/>
  <c r="E90" i="34"/>
  <c r="E101" i="34"/>
  <c r="C111" i="34"/>
  <c r="C115" i="34"/>
  <c r="D117" i="24"/>
  <c r="F117" i="24" s="1"/>
  <c r="C112" i="24"/>
  <c r="E102" i="24"/>
  <c r="E91" i="24"/>
  <c r="E83" i="24"/>
  <c r="E75" i="24"/>
  <c r="E67" i="24"/>
  <c r="E120" i="24"/>
  <c r="F120" i="24" s="1"/>
  <c r="D109" i="24"/>
  <c r="E87" i="24"/>
  <c r="E71" i="24"/>
  <c r="E98" i="24"/>
  <c r="D37" i="51"/>
  <c r="D39" i="51"/>
  <c r="D41" i="51"/>
  <c r="D43" i="51"/>
  <c r="D45" i="51"/>
  <c r="D47" i="51"/>
  <c r="D49" i="51"/>
  <c r="D51" i="51"/>
  <c r="D53" i="51"/>
  <c r="D55" i="51"/>
  <c r="D57" i="51"/>
  <c r="D59" i="51"/>
  <c r="D61" i="51"/>
  <c r="D63" i="51"/>
  <c r="E70" i="51"/>
  <c r="E74" i="51"/>
  <c r="E78" i="51"/>
  <c r="E82" i="51"/>
  <c r="E86" i="51"/>
  <c r="E90" i="51"/>
  <c r="E94" i="51"/>
  <c r="E101" i="51"/>
  <c r="E109" i="51"/>
  <c r="C111" i="51"/>
  <c r="C113" i="51"/>
  <c r="C115" i="51"/>
  <c r="C116" i="51"/>
  <c r="E69" i="48"/>
  <c r="E73" i="48"/>
  <c r="E77" i="48"/>
  <c r="E81" i="48"/>
  <c r="E85" i="48"/>
  <c r="E89" i="48"/>
  <c r="E93" i="48"/>
  <c r="E100" i="48"/>
  <c r="E104" i="48"/>
  <c r="C110" i="48"/>
  <c r="C112" i="48"/>
  <c r="C114" i="48"/>
  <c r="D117" i="48"/>
  <c r="F117" i="48" s="1"/>
  <c r="D38" i="47"/>
  <c r="D42" i="47"/>
  <c r="D73" i="47" s="1"/>
  <c r="D46" i="47"/>
  <c r="D77" i="47" s="1"/>
  <c r="D50" i="47"/>
  <c r="D81" i="47" s="1"/>
  <c r="D54" i="47"/>
  <c r="D85" i="47" s="1"/>
  <c r="D58" i="47"/>
  <c r="D89" i="47" s="1"/>
  <c r="D62" i="47"/>
  <c r="D93" i="47" s="1"/>
  <c r="E74" i="47"/>
  <c r="E82" i="47"/>
  <c r="E90" i="47"/>
  <c r="E101" i="47"/>
  <c r="C113" i="47"/>
  <c r="E71" i="44"/>
  <c r="E79" i="44"/>
  <c r="E87" i="44"/>
  <c r="E98" i="44"/>
  <c r="D109" i="44"/>
  <c r="E113" i="44"/>
  <c r="E73" i="42"/>
  <c r="E81" i="42"/>
  <c r="E89" i="42"/>
  <c r="E100" i="42"/>
  <c r="C110" i="42"/>
  <c r="D37" i="35"/>
  <c r="D68" i="35" s="1"/>
  <c r="F68" i="35" s="1"/>
  <c r="D39" i="35"/>
  <c r="D70" i="35" s="1"/>
  <c r="D41" i="35"/>
  <c r="D72" i="35" s="1"/>
  <c r="F72" i="35" s="1"/>
  <c r="D43" i="35"/>
  <c r="D74" i="35" s="1"/>
  <c r="D45" i="35"/>
  <c r="D76" i="35" s="1"/>
  <c r="F76" i="35" s="1"/>
  <c r="D47" i="35"/>
  <c r="D78" i="35" s="1"/>
  <c r="D49" i="35"/>
  <c r="D80" i="35" s="1"/>
  <c r="F80" i="35" s="1"/>
  <c r="D51" i="35"/>
  <c r="D82" i="35" s="1"/>
  <c r="D53" i="35"/>
  <c r="D84" i="35" s="1"/>
  <c r="F84" i="35" s="1"/>
  <c r="D55" i="35"/>
  <c r="D86" i="35" s="1"/>
  <c r="D57" i="35"/>
  <c r="D59" i="35"/>
  <c r="D61" i="35"/>
  <c r="D63" i="35"/>
  <c r="E70" i="35"/>
  <c r="E74" i="35"/>
  <c r="E78" i="35"/>
  <c r="E82" i="35"/>
  <c r="E86" i="35"/>
  <c r="E90" i="35"/>
  <c r="E94" i="35"/>
  <c r="E101" i="35"/>
  <c r="E109" i="35"/>
  <c r="C111" i="35"/>
  <c r="C113" i="35"/>
  <c r="C115" i="35"/>
  <c r="C116" i="35"/>
  <c r="D37" i="34"/>
  <c r="D41" i="34"/>
  <c r="D10" i="34" s="1"/>
  <c r="D45" i="34"/>
  <c r="D49" i="34"/>
  <c r="D18" i="34" s="1"/>
  <c r="D53" i="34"/>
  <c r="D57" i="34"/>
  <c r="D26" i="34" s="1"/>
  <c r="D61" i="34"/>
  <c r="E70" i="34"/>
  <c r="E78" i="34"/>
  <c r="E86" i="34"/>
  <c r="E94" i="34"/>
  <c r="E109" i="34"/>
  <c r="C113" i="34"/>
  <c r="C116" i="34"/>
  <c r="E79" i="24"/>
  <c r="E113" i="24"/>
  <c r="C116" i="33"/>
  <c r="D117" i="33"/>
  <c r="F117" i="33" s="1"/>
  <c r="C114" i="33"/>
  <c r="D36" i="33"/>
  <c r="D5" i="33" s="1"/>
  <c r="D38" i="33"/>
  <c r="D40" i="33"/>
  <c r="D9" i="33" s="1"/>
  <c r="D42" i="33"/>
  <c r="D44" i="33"/>
  <c r="D13" i="33" s="1"/>
  <c r="D46" i="33"/>
  <c r="D48" i="33"/>
  <c r="D17" i="33" s="1"/>
  <c r="D50" i="33"/>
  <c r="D52" i="33"/>
  <c r="D21" i="33" s="1"/>
  <c r="D54" i="33"/>
  <c r="D56" i="33"/>
  <c r="D25" i="33" s="1"/>
  <c r="D58" i="33"/>
  <c r="D60" i="33"/>
  <c r="D29" i="33" s="1"/>
  <c r="D62" i="33"/>
  <c r="E68" i="33"/>
  <c r="F68" i="33" s="1"/>
  <c r="E72" i="33"/>
  <c r="F72" i="33" s="1"/>
  <c r="E76" i="33"/>
  <c r="F76" i="33" s="1"/>
  <c r="E80" i="33"/>
  <c r="F80" i="33" s="1"/>
  <c r="E84" i="33"/>
  <c r="F84" i="33" s="1"/>
  <c r="E88" i="33"/>
  <c r="F88" i="33" s="1"/>
  <c r="E92" i="33"/>
  <c r="F92" i="33" s="1"/>
  <c r="E99" i="33"/>
  <c r="E103" i="33"/>
  <c r="D109" i="33"/>
  <c r="D118" i="33" s="1"/>
  <c r="E111" i="33"/>
  <c r="E113" i="33"/>
  <c r="E120" i="33"/>
  <c r="F120" i="33" s="1"/>
  <c r="D117" i="31"/>
  <c r="F117" i="31" s="1"/>
  <c r="C112" i="31"/>
  <c r="E102" i="31"/>
  <c r="E92" i="31"/>
  <c r="E84" i="31"/>
  <c r="E76" i="31"/>
  <c r="E68" i="31"/>
  <c r="E73" i="31"/>
  <c r="E89" i="31"/>
  <c r="D109" i="31"/>
  <c r="E120" i="31"/>
  <c r="F120" i="31" s="1"/>
  <c r="E120" i="22"/>
  <c r="F120" i="22" s="1"/>
  <c r="E115" i="22"/>
  <c r="E114" i="22"/>
  <c r="E112" i="22"/>
  <c r="E110" i="22"/>
  <c r="E102" i="22"/>
  <c r="E98" i="22"/>
  <c r="E91" i="22"/>
  <c r="E87" i="22"/>
  <c r="E83" i="22"/>
  <c r="E79" i="22"/>
  <c r="E75" i="22"/>
  <c r="E71" i="22"/>
  <c r="E67" i="22"/>
  <c r="E73" i="22"/>
  <c r="E81" i="22"/>
  <c r="E89" i="22"/>
  <c r="E100" i="22"/>
  <c r="C111" i="22"/>
  <c r="C115" i="22"/>
  <c r="D69" i="21"/>
  <c r="D7" i="21"/>
  <c r="D73" i="21"/>
  <c r="D11" i="21"/>
  <c r="D77" i="21"/>
  <c r="D15" i="21"/>
  <c r="D81" i="21"/>
  <c r="D19" i="21"/>
  <c r="D85" i="21"/>
  <c r="D23" i="21"/>
  <c r="D89" i="21"/>
  <c r="D27" i="21"/>
  <c r="D93" i="21"/>
  <c r="D31" i="21"/>
  <c r="E120" i="15"/>
  <c r="F120" i="15" s="1"/>
  <c r="E115" i="15"/>
  <c r="E114" i="15"/>
  <c r="E112" i="15"/>
  <c r="E110" i="15"/>
  <c r="E103" i="15"/>
  <c r="E99" i="15"/>
  <c r="E92" i="15"/>
  <c r="E88" i="15"/>
  <c r="E84" i="15"/>
  <c r="E80" i="15"/>
  <c r="E76" i="15"/>
  <c r="E72" i="15"/>
  <c r="E68" i="15"/>
  <c r="D62" i="15"/>
  <c r="D60" i="15"/>
  <c r="D58" i="15"/>
  <c r="D56" i="15"/>
  <c r="D54" i="15"/>
  <c r="D52" i="15"/>
  <c r="D36" i="15"/>
  <c r="D38" i="15"/>
  <c r="D40" i="15"/>
  <c r="D42" i="15"/>
  <c r="D44" i="15"/>
  <c r="D46" i="15"/>
  <c r="D48" i="15"/>
  <c r="D50" i="15"/>
  <c r="D53" i="15"/>
  <c r="D57" i="15"/>
  <c r="D61" i="15"/>
  <c r="E70" i="15"/>
  <c r="E78" i="15"/>
  <c r="E86" i="15"/>
  <c r="E94" i="15"/>
  <c r="E109" i="15"/>
  <c r="C113" i="15"/>
  <c r="C116" i="15"/>
  <c r="E71" i="32"/>
  <c r="E79" i="32"/>
  <c r="E87" i="32"/>
  <c r="E98" i="32"/>
  <c r="D109" i="32"/>
  <c r="E113" i="32"/>
  <c r="E72" i="30"/>
  <c r="E80" i="30"/>
  <c r="E88" i="30"/>
  <c r="E100" i="30"/>
  <c r="C110" i="30"/>
  <c r="D39" i="23"/>
  <c r="D43" i="23"/>
  <c r="D47" i="23"/>
  <c r="D51" i="23"/>
  <c r="D55" i="23"/>
  <c r="D59" i="23"/>
  <c r="D63" i="23"/>
  <c r="E72" i="23"/>
  <c r="E80" i="23"/>
  <c r="E88" i="23"/>
  <c r="E99" i="23"/>
  <c r="E109" i="23"/>
  <c r="E112" i="23"/>
  <c r="D37" i="21"/>
  <c r="D39" i="21"/>
  <c r="D41" i="21"/>
  <c r="D43" i="21"/>
  <c r="D45" i="21"/>
  <c r="D47" i="21"/>
  <c r="D49" i="21"/>
  <c r="D51" i="21"/>
  <c r="D53" i="21"/>
  <c r="D55" i="21"/>
  <c r="D57" i="21"/>
  <c r="D59" i="21"/>
  <c r="D61" i="21"/>
  <c r="D63" i="21"/>
  <c r="E70" i="21"/>
  <c r="E74" i="21"/>
  <c r="E78" i="21"/>
  <c r="E82" i="21"/>
  <c r="E86" i="21"/>
  <c r="E90" i="21"/>
  <c r="E94" i="21"/>
  <c r="E101" i="21"/>
  <c r="E109" i="21"/>
  <c r="C111" i="21"/>
  <c r="C113" i="21"/>
  <c r="C115" i="21"/>
  <c r="C116" i="21"/>
  <c r="E73" i="17"/>
  <c r="E81" i="17"/>
  <c r="E89" i="17"/>
  <c r="E100" i="17"/>
  <c r="C110" i="17"/>
  <c r="D37" i="15"/>
  <c r="D39" i="15"/>
  <c r="D41" i="15"/>
  <c r="D43" i="15"/>
  <c r="D45" i="15"/>
  <c r="D47" i="15"/>
  <c r="D49" i="15"/>
  <c r="D51" i="15"/>
  <c r="D55" i="15"/>
  <c r="D59" i="15"/>
  <c r="D63" i="15"/>
  <c r="E74" i="15"/>
  <c r="E82" i="15"/>
  <c r="E90" i="15"/>
  <c r="E101" i="15"/>
  <c r="C111" i="15"/>
  <c r="C115" i="15"/>
  <c r="E69" i="6"/>
  <c r="E73" i="6"/>
  <c r="E79" i="6"/>
  <c r="E87" i="6"/>
  <c r="E98" i="6"/>
  <c r="D109" i="6"/>
  <c r="E113" i="6"/>
  <c r="E120" i="6"/>
  <c r="F120" i="6" s="1"/>
  <c r="D37" i="4"/>
  <c r="D39" i="4"/>
  <c r="D41" i="4"/>
  <c r="D43" i="4"/>
  <c r="D45" i="4"/>
  <c r="D47" i="4"/>
  <c r="D49" i="4"/>
  <c r="D51" i="4"/>
  <c r="D53" i="4"/>
  <c r="D55" i="4"/>
  <c r="D57" i="4"/>
  <c r="D59" i="4"/>
  <c r="D61" i="4"/>
  <c r="D63" i="4"/>
  <c r="E70" i="4"/>
  <c r="E74" i="4"/>
  <c r="E78" i="4"/>
  <c r="E82" i="4"/>
  <c r="E86" i="4"/>
  <c r="E90" i="4"/>
  <c r="E94" i="4"/>
  <c r="E101" i="4"/>
  <c r="E109" i="4"/>
  <c r="C111" i="4"/>
  <c r="C113" i="4"/>
  <c r="C115" i="4"/>
  <c r="C116" i="4"/>
  <c r="E67" i="6"/>
  <c r="E71" i="6"/>
  <c r="E75" i="6"/>
  <c r="E83" i="6"/>
  <c r="E91" i="6"/>
  <c r="E102" i="6"/>
  <c r="C112" i="6"/>
  <c r="D36" i="4"/>
  <c r="D5" i="4" s="1"/>
  <c r="D38" i="4"/>
  <c r="D7" i="4" s="1"/>
  <c r="D40" i="4"/>
  <c r="D9" i="4" s="1"/>
  <c r="D42" i="4"/>
  <c r="D11" i="4" s="1"/>
  <c r="D44" i="4"/>
  <c r="D13" i="4" s="1"/>
  <c r="D46" i="4"/>
  <c r="D15" i="4" s="1"/>
  <c r="D48" i="4"/>
  <c r="D17" i="4" s="1"/>
  <c r="D50" i="4"/>
  <c r="D19" i="4" s="1"/>
  <c r="D52" i="4"/>
  <c r="D21" i="4" s="1"/>
  <c r="D54" i="4"/>
  <c r="D23" i="4" s="1"/>
  <c r="D56" i="4"/>
  <c r="D25" i="4" s="1"/>
  <c r="D58" i="4"/>
  <c r="D27" i="4" s="1"/>
  <c r="D60" i="4"/>
  <c r="D29" i="4" s="1"/>
  <c r="D62" i="4"/>
  <c r="D31" i="4" s="1"/>
  <c r="E68" i="4"/>
  <c r="E72" i="4"/>
  <c r="E76" i="4"/>
  <c r="E80" i="4"/>
  <c r="E84" i="4"/>
  <c r="E88" i="4"/>
  <c r="E92" i="4"/>
  <c r="E99" i="4"/>
  <c r="E103" i="4"/>
  <c r="E110" i="4"/>
  <c r="E112" i="4"/>
  <c r="E114" i="4"/>
  <c r="E115" i="4"/>
  <c r="D38" i="56"/>
  <c r="D42" i="56"/>
  <c r="D44" i="56"/>
  <c r="D48" i="56"/>
  <c r="D52" i="56"/>
  <c r="D54" i="56"/>
  <c r="D58" i="56"/>
  <c r="D62" i="56"/>
  <c r="E70" i="56"/>
  <c r="E86" i="56"/>
  <c r="E67" i="52"/>
  <c r="E71" i="52"/>
  <c r="E83" i="52"/>
  <c r="E87" i="52"/>
  <c r="C113" i="52"/>
  <c r="E115" i="52"/>
  <c r="D69" i="51"/>
  <c r="D7" i="51"/>
  <c r="D67" i="49"/>
  <c r="D5" i="49"/>
  <c r="D71" i="49"/>
  <c r="D9" i="49"/>
  <c r="E64" i="46"/>
  <c r="M18" i="63" s="1"/>
  <c r="D64" i="57"/>
  <c r="D67" i="57"/>
  <c r="D7" i="57"/>
  <c r="D71" i="57"/>
  <c r="F71" i="57" s="1"/>
  <c r="D11" i="57"/>
  <c r="D75" i="57"/>
  <c r="F75" i="57" s="1"/>
  <c r="D15" i="57"/>
  <c r="D79" i="57"/>
  <c r="F79" i="57" s="1"/>
  <c r="D19" i="57"/>
  <c r="D83" i="57"/>
  <c r="F83" i="57" s="1"/>
  <c r="D23" i="57"/>
  <c r="D87" i="57"/>
  <c r="F87" i="57" s="1"/>
  <c r="D27" i="57"/>
  <c r="D91" i="57"/>
  <c r="F91" i="57" s="1"/>
  <c r="D31" i="57"/>
  <c r="D69" i="57"/>
  <c r="D77" i="57"/>
  <c r="D85" i="57"/>
  <c r="D93" i="57"/>
  <c r="D37" i="56"/>
  <c r="D39" i="56"/>
  <c r="D41" i="56"/>
  <c r="D43" i="56"/>
  <c r="D45" i="56"/>
  <c r="D47" i="56"/>
  <c r="D49" i="56"/>
  <c r="D51" i="56"/>
  <c r="D53" i="56"/>
  <c r="D55" i="56"/>
  <c r="D57" i="56"/>
  <c r="D59" i="56"/>
  <c r="D61" i="56"/>
  <c r="D63" i="56"/>
  <c r="E68" i="56"/>
  <c r="E72" i="56"/>
  <c r="E76" i="56"/>
  <c r="E80" i="56"/>
  <c r="E84" i="56"/>
  <c r="E88" i="56"/>
  <c r="E92" i="56"/>
  <c r="E99" i="56"/>
  <c r="E103" i="56"/>
  <c r="E109" i="56"/>
  <c r="C111" i="56"/>
  <c r="E112" i="56"/>
  <c r="C115" i="56"/>
  <c r="E69" i="54"/>
  <c r="E73" i="54"/>
  <c r="E77" i="54"/>
  <c r="E81" i="54"/>
  <c r="E85" i="54"/>
  <c r="E89" i="54"/>
  <c r="E93" i="54"/>
  <c r="E100" i="54"/>
  <c r="E104" i="54"/>
  <c r="C110" i="54"/>
  <c r="E111" i="54"/>
  <c r="C114" i="54"/>
  <c r="C116" i="53"/>
  <c r="E115" i="53"/>
  <c r="C115" i="53"/>
  <c r="E114" i="53"/>
  <c r="F114" i="53" s="1"/>
  <c r="C113" i="53"/>
  <c r="E112" i="53"/>
  <c r="C111" i="53"/>
  <c r="F111" i="53" s="1"/>
  <c r="E110" i="53"/>
  <c r="F110" i="53" s="1"/>
  <c r="E109" i="53"/>
  <c r="E103" i="53"/>
  <c r="E101" i="53"/>
  <c r="E99" i="53"/>
  <c r="E94" i="53"/>
  <c r="E92" i="53"/>
  <c r="E90" i="53"/>
  <c r="E88" i="53"/>
  <c r="E86" i="53"/>
  <c r="E84" i="53"/>
  <c r="E82" i="53"/>
  <c r="E80" i="53"/>
  <c r="E78" i="53"/>
  <c r="E76" i="53"/>
  <c r="E74" i="53"/>
  <c r="E72" i="53"/>
  <c r="E70" i="53"/>
  <c r="E68" i="53"/>
  <c r="D63" i="53"/>
  <c r="D62" i="53"/>
  <c r="D61" i="53"/>
  <c r="D60" i="53"/>
  <c r="D59" i="53"/>
  <c r="D58" i="53"/>
  <c r="D57" i="53"/>
  <c r="D56" i="53"/>
  <c r="D55" i="53"/>
  <c r="D54" i="53"/>
  <c r="D53" i="53"/>
  <c r="D52" i="53"/>
  <c r="D51" i="53"/>
  <c r="D50" i="53"/>
  <c r="D49" i="53"/>
  <c r="D48" i="53"/>
  <c r="D47" i="53"/>
  <c r="D46" i="53"/>
  <c r="D45" i="53"/>
  <c r="D44" i="53"/>
  <c r="D43" i="53"/>
  <c r="D42" i="53"/>
  <c r="D41" i="53"/>
  <c r="D40" i="53"/>
  <c r="D39" i="53"/>
  <c r="F39" i="53" s="1"/>
  <c r="D38" i="53"/>
  <c r="D37" i="53"/>
  <c r="F37" i="53" s="1"/>
  <c r="D36" i="53"/>
  <c r="E67" i="53"/>
  <c r="E71" i="53"/>
  <c r="E75" i="53"/>
  <c r="E79" i="53"/>
  <c r="E83" i="53"/>
  <c r="E87" i="53"/>
  <c r="E91" i="53"/>
  <c r="E98" i="53"/>
  <c r="E102" i="53"/>
  <c r="D109" i="53"/>
  <c r="D118" i="53" s="1"/>
  <c r="C112" i="53"/>
  <c r="F112" i="53" s="1"/>
  <c r="E113" i="53"/>
  <c r="D117" i="53"/>
  <c r="F117" i="53" s="1"/>
  <c r="E120" i="53"/>
  <c r="F120" i="53" s="1"/>
  <c r="E69" i="52"/>
  <c r="E73" i="52"/>
  <c r="E77" i="52"/>
  <c r="E81" i="52"/>
  <c r="E85" i="52"/>
  <c r="E89" i="52"/>
  <c r="E93" i="52"/>
  <c r="E100" i="52"/>
  <c r="E109" i="52"/>
  <c r="C111" i="52"/>
  <c r="E112" i="52"/>
  <c r="C115" i="52"/>
  <c r="D5" i="51"/>
  <c r="D11" i="51"/>
  <c r="D15" i="51"/>
  <c r="D19" i="51"/>
  <c r="D23" i="51"/>
  <c r="D27" i="51"/>
  <c r="D31" i="51"/>
  <c r="D10" i="51"/>
  <c r="D12" i="51"/>
  <c r="D14" i="51"/>
  <c r="D16" i="51"/>
  <c r="D18" i="51"/>
  <c r="D20" i="51"/>
  <c r="D22" i="51"/>
  <c r="D24" i="51"/>
  <c r="D26" i="51"/>
  <c r="D28" i="51"/>
  <c r="D30" i="51"/>
  <c r="D32" i="51"/>
  <c r="E120" i="49"/>
  <c r="F120" i="49" s="1"/>
  <c r="D117" i="49"/>
  <c r="F117" i="49" s="1"/>
  <c r="D115" i="49"/>
  <c r="C114" i="49"/>
  <c r="F114" i="49" s="1"/>
  <c r="E113" i="49"/>
  <c r="F113" i="49" s="1"/>
  <c r="C112" i="49"/>
  <c r="E111" i="49"/>
  <c r="C110" i="49"/>
  <c r="F110" i="49" s="1"/>
  <c r="D109" i="49"/>
  <c r="D118" i="49" s="1"/>
  <c r="E104" i="49"/>
  <c r="E102" i="49"/>
  <c r="E100" i="49"/>
  <c r="E98" i="49"/>
  <c r="E93" i="49"/>
  <c r="E91" i="49"/>
  <c r="E89" i="49"/>
  <c r="E87" i="49"/>
  <c r="E85" i="49"/>
  <c r="E83" i="49"/>
  <c r="E81" i="49"/>
  <c r="E79" i="49"/>
  <c r="E77" i="49"/>
  <c r="E75" i="49"/>
  <c r="E73" i="49"/>
  <c r="E71" i="49"/>
  <c r="E69" i="49"/>
  <c r="E67" i="49"/>
  <c r="D11" i="49"/>
  <c r="D15" i="49"/>
  <c r="D19" i="49"/>
  <c r="D23" i="49"/>
  <c r="D27" i="49"/>
  <c r="D31" i="49"/>
  <c r="D37" i="49"/>
  <c r="F37" i="49" s="1"/>
  <c r="D39" i="49"/>
  <c r="D41" i="49"/>
  <c r="F41" i="49" s="1"/>
  <c r="D43" i="49"/>
  <c r="D45" i="49"/>
  <c r="D47" i="49"/>
  <c r="D49" i="49"/>
  <c r="D51" i="49"/>
  <c r="D53" i="49"/>
  <c r="D55" i="49"/>
  <c r="D57" i="49"/>
  <c r="D59" i="49"/>
  <c r="D61" i="49"/>
  <c r="D63" i="49"/>
  <c r="E68" i="49"/>
  <c r="E72" i="49"/>
  <c r="E76" i="49"/>
  <c r="E80" i="49"/>
  <c r="E84" i="49"/>
  <c r="E88" i="49"/>
  <c r="E92" i="49"/>
  <c r="E99" i="49"/>
  <c r="E103" i="49"/>
  <c r="E109" i="49"/>
  <c r="C111" i="49"/>
  <c r="E112" i="49"/>
  <c r="C115" i="49"/>
  <c r="F115" i="49" s="1"/>
  <c r="C116" i="49"/>
  <c r="E120" i="47"/>
  <c r="F120" i="47" s="1"/>
  <c r="D117" i="47"/>
  <c r="F117" i="47" s="1"/>
  <c r="D115" i="47"/>
  <c r="C114" i="47"/>
  <c r="F114" i="47" s="1"/>
  <c r="E113" i="47"/>
  <c r="F113" i="47" s="1"/>
  <c r="C112" i="47"/>
  <c r="E111" i="47"/>
  <c r="C110" i="47"/>
  <c r="F110" i="47" s="1"/>
  <c r="D109" i="47"/>
  <c r="D118" i="47" s="1"/>
  <c r="E104" i="47"/>
  <c r="E102" i="47"/>
  <c r="E100" i="47"/>
  <c r="E98" i="47"/>
  <c r="E93" i="47"/>
  <c r="F93" i="47" s="1"/>
  <c r="E91" i="47"/>
  <c r="E89" i="47"/>
  <c r="F89" i="47" s="1"/>
  <c r="E87" i="47"/>
  <c r="E85" i="47"/>
  <c r="F85" i="47" s="1"/>
  <c r="E83" i="47"/>
  <c r="E81" i="47"/>
  <c r="F81" i="47" s="1"/>
  <c r="E79" i="47"/>
  <c r="E77" i="47"/>
  <c r="F77" i="47" s="1"/>
  <c r="E75" i="47"/>
  <c r="E73" i="47"/>
  <c r="F73" i="47" s="1"/>
  <c r="E71" i="47"/>
  <c r="E69" i="47"/>
  <c r="E67" i="47"/>
  <c r="D11" i="47"/>
  <c r="D15" i="47"/>
  <c r="D19" i="47"/>
  <c r="D23" i="47"/>
  <c r="D27" i="47"/>
  <c r="D31" i="47"/>
  <c r="D37" i="47"/>
  <c r="F37" i="47" s="1"/>
  <c r="D39" i="47"/>
  <c r="D41" i="47"/>
  <c r="F41" i="47" s="1"/>
  <c r="D43" i="47"/>
  <c r="D45" i="47"/>
  <c r="D47" i="47"/>
  <c r="D49" i="47"/>
  <c r="D51" i="47"/>
  <c r="D53" i="47"/>
  <c r="D55" i="47"/>
  <c r="D57" i="47"/>
  <c r="D59" i="47"/>
  <c r="D61" i="47"/>
  <c r="D63" i="47"/>
  <c r="E68" i="47"/>
  <c r="E72" i="47"/>
  <c r="E76" i="47"/>
  <c r="E80" i="47"/>
  <c r="E84" i="47"/>
  <c r="E88" i="47"/>
  <c r="E92" i="47"/>
  <c r="E99" i="47"/>
  <c r="E103" i="47"/>
  <c r="E109" i="47"/>
  <c r="C111" i="47"/>
  <c r="E112" i="47"/>
  <c r="C115" i="47"/>
  <c r="C116" i="47"/>
  <c r="C116" i="45"/>
  <c r="E115" i="45"/>
  <c r="C115" i="45"/>
  <c r="E114" i="45"/>
  <c r="C113" i="45"/>
  <c r="F113" i="45" s="1"/>
  <c r="E112" i="45"/>
  <c r="F112" i="45" s="1"/>
  <c r="C111" i="45"/>
  <c r="E110" i="45"/>
  <c r="E109" i="45"/>
  <c r="E103" i="45"/>
  <c r="E101" i="45"/>
  <c r="E99" i="45"/>
  <c r="E94" i="45"/>
  <c r="E92" i="45"/>
  <c r="E90" i="45"/>
  <c r="E88" i="45"/>
  <c r="E86" i="45"/>
  <c r="E84" i="45"/>
  <c r="E82" i="45"/>
  <c r="E80" i="45"/>
  <c r="E78" i="45"/>
  <c r="E76" i="45"/>
  <c r="E74" i="45"/>
  <c r="E72" i="45"/>
  <c r="E70" i="45"/>
  <c r="E68" i="45"/>
  <c r="D63" i="45"/>
  <c r="D62" i="45"/>
  <c r="D61" i="45"/>
  <c r="D60" i="45"/>
  <c r="D59" i="45"/>
  <c r="D58" i="45"/>
  <c r="D57" i="45"/>
  <c r="D56" i="45"/>
  <c r="D55" i="45"/>
  <c r="D54" i="45"/>
  <c r="D53" i="45"/>
  <c r="D52" i="45"/>
  <c r="D51" i="45"/>
  <c r="D50" i="45"/>
  <c r="D49" i="45"/>
  <c r="D48" i="45"/>
  <c r="D47" i="45"/>
  <c r="D46" i="45"/>
  <c r="D45" i="45"/>
  <c r="D44" i="45"/>
  <c r="D43" i="45"/>
  <c r="D42" i="45"/>
  <c r="D41" i="45"/>
  <c r="D40" i="45"/>
  <c r="D39" i="45"/>
  <c r="D38" i="45"/>
  <c r="D37" i="45"/>
  <c r="D36" i="45"/>
  <c r="E69" i="45"/>
  <c r="E73" i="45"/>
  <c r="E77" i="45"/>
  <c r="E81" i="45"/>
  <c r="E85" i="45"/>
  <c r="E89" i="45"/>
  <c r="E93" i="45"/>
  <c r="E100" i="45"/>
  <c r="E104" i="45"/>
  <c r="C110" i="45"/>
  <c r="F110" i="45" s="1"/>
  <c r="E111" i="45"/>
  <c r="C114" i="45"/>
  <c r="F114" i="45" s="1"/>
  <c r="D115" i="45"/>
  <c r="D118" i="45" s="1"/>
  <c r="C116" i="44"/>
  <c r="E115" i="44"/>
  <c r="C115" i="44"/>
  <c r="E114" i="44"/>
  <c r="C113" i="44"/>
  <c r="F113" i="44" s="1"/>
  <c r="E112" i="44"/>
  <c r="F112" i="44" s="1"/>
  <c r="C111" i="44"/>
  <c r="E110" i="44"/>
  <c r="E109" i="44"/>
  <c r="E103" i="44"/>
  <c r="E101" i="44"/>
  <c r="E99" i="44"/>
  <c r="E94" i="44"/>
  <c r="E92" i="44"/>
  <c r="E90" i="44"/>
  <c r="E88" i="44"/>
  <c r="E86" i="44"/>
  <c r="E84" i="44"/>
  <c r="E82" i="44"/>
  <c r="E80" i="44"/>
  <c r="E78" i="44"/>
  <c r="E76" i="44"/>
  <c r="E74" i="44"/>
  <c r="E72" i="44"/>
  <c r="E95" i="44" s="1"/>
  <c r="C109" i="44" s="1"/>
  <c r="E70" i="44"/>
  <c r="E68" i="44"/>
  <c r="D63" i="44"/>
  <c r="D62" i="44"/>
  <c r="D61" i="44"/>
  <c r="D60" i="44"/>
  <c r="D59" i="44"/>
  <c r="D58" i="44"/>
  <c r="D57" i="44"/>
  <c r="D56" i="44"/>
  <c r="D55" i="44"/>
  <c r="D54" i="44"/>
  <c r="D53" i="44"/>
  <c r="D52" i="44"/>
  <c r="D51" i="44"/>
  <c r="D50" i="44"/>
  <c r="D49" i="44"/>
  <c r="D48" i="44"/>
  <c r="D47" i="44"/>
  <c r="D46" i="44"/>
  <c r="D45" i="44"/>
  <c r="D44" i="44"/>
  <c r="D43" i="44"/>
  <c r="D42" i="44"/>
  <c r="F42" i="44" s="1"/>
  <c r="D41" i="44"/>
  <c r="D40" i="44"/>
  <c r="F40" i="44" s="1"/>
  <c r="D39" i="44"/>
  <c r="D38" i="44"/>
  <c r="F38" i="44" s="1"/>
  <c r="D37" i="44"/>
  <c r="D36" i="44"/>
  <c r="E69" i="44"/>
  <c r="E73" i="44"/>
  <c r="E77" i="44"/>
  <c r="E81" i="44"/>
  <c r="E85" i="44"/>
  <c r="E89" i="44"/>
  <c r="E93" i="44"/>
  <c r="E100" i="44"/>
  <c r="E104" i="44"/>
  <c r="C110" i="44"/>
  <c r="F110" i="44" s="1"/>
  <c r="E111" i="44"/>
  <c r="C114" i="44"/>
  <c r="F114" i="44" s="1"/>
  <c r="D115" i="44"/>
  <c r="D118" i="44" s="1"/>
  <c r="C116" i="43"/>
  <c r="E115" i="43"/>
  <c r="C115" i="43"/>
  <c r="E114" i="43"/>
  <c r="C113" i="43"/>
  <c r="F113" i="43" s="1"/>
  <c r="E112" i="43"/>
  <c r="F112" i="43" s="1"/>
  <c r="C111" i="43"/>
  <c r="E110" i="43"/>
  <c r="E109" i="43"/>
  <c r="E102" i="43"/>
  <c r="E100" i="43"/>
  <c r="E98" i="43"/>
  <c r="E93" i="43"/>
  <c r="E91" i="43"/>
  <c r="E89" i="43"/>
  <c r="E87" i="43"/>
  <c r="E85" i="43"/>
  <c r="E83" i="43"/>
  <c r="E81" i="43"/>
  <c r="E79" i="43"/>
  <c r="E77" i="43"/>
  <c r="E75" i="43"/>
  <c r="E73" i="43"/>
  <c r="E71" i="43"/>
  <c r="E69" i="43"/>
  <c r="E67" i="43"/>
  <c r="D36" i="43"/>
  <c r="D38" i="43"/>
  <c r="D40" i="43"/>
  <c r="D42" i="43"/>
  <c r="D44" i="43"/>
  <c r="D46" i="43"/>
  <c r="D48" i="43"/>
  <c r="D50" i="43"/>
  <c r="D52" i="43"/>
  <c r="D54" i="43"/>
  <c r="D56" i="43"/>
  <c r="D58" i="43"/>
  <c r="D60" i="43"/>
  <c r="D62" i="43"/>
  <c r="E70" i="43"/>
  <c r="E74" i="43"/>
  <c r="E78" i="43"/>
  <c r="E82" i="43"/>
  <c r="E86" i="43"/>
  <c r="E90" i="43"/>
  <c r="E94" i="43"/>
  <c r="E101" i="43"/>
  <c r="E104" i="43"/>
  <c r="C110" i="43"/>
  <c r="F110" i="43" s="1"/>
  <c r="E111" i="43"/>
  <c r="C114" i="43"/>
  <c r="F114" i="43" s="1"/>
  <c r="D115" i="43"/>
  <c r="D118" i="43" s="1"/>
  <c r="C116" i="42"/>
  <c r="E115" i="42"/>
  <c r="C115" i="42"/>
  <c r="E114" i="42"/>
  <c r="F114" i="42" s="1"/>
  <c r="C113" i="42"/>
  <c r="E112" i="42"/>
  <c r="C111" i="42"/>
  <c r="F111" i="42" s="1"/>
  <c r="E110" i="42"/>
  <c r="F110" i="42" s="1"/>
  <c r="E109" i="42"/>
  <c r="E103" i="42"/>
  <c r="E101" i="42"/>
  <c r="E99" i="42"/>
  <c r="E94" i="42"/>
  <c r="E92" i="42"/>
  <c r="E90" i="42"/>
  <c r="E88" i="42"/>
  <c r="E86" i="42"/>
  <c r="E84" i="42"/>
  <c r="E82" i="42"/>
  <c r="E80" i="42"/>
  <c r="E78" i="42"/>
  <c r="E76" i="42"/>
  <c r="E74" i="42"/>
  <c r="E72" i="42"/>
  <c r="E70" i="42"/>
  <c r="E68" i="42"/>
  <c r="D63" i="42"/>
  <c r="D62" i="42"/>
  <c r="D61" i="42"/>
  <c r="D60" i="42"/>
  <c r="D59" i="42"/>
  <c r="D58" i="42"/>
  <c r="D57" i="42"/>
  <c r="D56" i="42"/>
  <c r="D55" i="42"/>
  <c r="D54" i="42"/>
  <c r="D53" i="42"/>
  <c r="D52" i="42"/>
  <c r="D51" i="42"/>
  <c r="D50" i="42"/>
  <c r="D49" i="42"/>
  <c r="D48" i="42"/>
  <c r="D47" i="42"/>
  <c r="D46" i="42"/>
  <c r="D77" i="42" s="1"/>
  <c r="F77" i="42" s="1"/>
  <c r="D45" i="42"/>
  <c r="D44" i="42"/>
  <c r="D75" i="42" s="1"/>
  <c r="D43" i="42"/>
  <c r="D42" i="42"/>
  <c r="D73" i="42" s="1"/>
  <c r="F73" i="42" s="1"/>
  <c r="D41" i="42"/>
  <c r="D40" i="42"/>
  <c r="D71" i="42" s="1"/>
  <c r="D39" i="42"/>
  <c r="D38" i="42"/>
  <c r="D69" i="42" s="1"/>
  <c r="F69" i="42" s="1"/>
  <c r="D37" i="42"/>
  <c r="D36" i="42"/>
  <c r="D67" i="42" s="1"/>
  <c r="E67" i="42"/>
  <c r="E71" i="42"/>
  <c r="E75" i="42"/>
  <c r="E79" i="42"/>
  <c r="E83" i="42"/>
  <c r="E87" i="42"/>
  <c r="E91" i="42"/>
  <c r="E98" i="42"/>
  <c r="E102" i="42"/>
  <c r="D109" i="42"/>
  <c r="D118" i="42" s="1"/>
  <c r="C112" i="42"/>
  <c r="F112" i="42" s="1"/>
  <c r="E113" i="42"/>
  <c r="D117" i="42"/>
  <c r="F117" i="42" s="1"/>
  <c r="E120" i="42"/>
  <c r="F120" i="42" s="1"/>
  <c r="E69" i="41"/>
  <c r="E73" i="41"/>
  <c r="E77" i="41"/>
  <c r="E81" i="41"/>
  <c r="E85" i="41"/>
  <c r="E89" i="41"/>
  <c r="E93" i="41"/>
  <c r="E100" i="41"/>
  <c r="E104" i="41"/>
  <c r="C110" i="41"/>
  <c r="E111" i="41"/>
  <c r="C114" i="41"/>
  <c r="C116" i="40"/>
  <c r="E115" i="40"/>
  <c r="C115" i="40"/>
  <c r="E114" i="40"/>
  <c r="F114" i="40" s="1"/>
  <c r="C113" i="40"/>
  <c r="E112" i="40"/>
  <c r="C111" i="40"/>
  <c r="F111" i="40" s="1"/>
  <c r="E110" i="40"/>
  <c r="F110" i="40" s="1"/>
  <c r="E109" i="40"/>
  <c r="E102" i="40"/>
  <c r="E100" i="40"/>
  <c r="E98" i="40"/>
  <c r="E93" i="40"/>
  <c r="E91" i="40"/>
  <c r="E89" i="40"/>
  <c r="E87" i="40"/>
  <c r="E85" i="40"/>
  <c r="E83" i="40"/>
  <c r="E81" i="40"/>
  <c r="E79" i="40"/>
  <c r="E77" i="40"/>
  <c r="E75" i="40"/>
  <c r="E73" i="40"/>
  <c r="E71" i="40"/>
  <c r="E69" i="40"/>
  <c r="E67" i="40"/>
  <c r="D19" i="40"/>
  <c r="D23" i="40"/>
  <c r="D27" i="40"/>
  <c r="D31" i="40"/>
  <c r="D37" i="40"/>
  <c r="D39" i="40"/>
  <c r="D41" i="40"/>
  <c r="D43" i="40"/>
  <c r="D45" i="40"/>
  <c r="D47" i="40"/>
  <c r="D49" i="40"/>
  <c r="D51" i="40"/>
  <c r="D53" i="40"/>
  <c r="D55" i="40"/>
  <c r="D57" i="40"/>
  <c r="D59" i="40"/>
  <c r="D61" i="40"/>
  <c r="D63" i="40"/>
  <c r="E68" i="40"/>
  <c r="E72" i="40"/>
  <c r="E76" i="40"/>
  <c r="E80" i="40"/>
  <c r="E84" i="40"/>
  <c r="E88" i="40"/>
  <c r="E92" i="40"/>
  <c r="E99" i="40"/>
  <c r="E103" i="40"/>
  <c r="D109" i="40"/>
  <c r="D118" i="40" s="1"/>
  <c r="C112" i="40"/>
  <c r="E113" i="40"/>
  <c r="D117" i="40"/>
  <c r="F117" i="40" s="1"/>
  <c r="E120" i="40"/>
  <c r="F120" i="40" s="1"/>
  <c r="E73" i="39"/>
  <c r="E81" i="39"/>
  <c r="E89" i="39"/>
  <c r="E100" i="39"/>
  <c r="E120" i="56"/>
  <c r="F120" i="56" s="1"/>
  <c r="D117" i="56"/>
  <c r="F117" i="56" s="1"/>
  <c r="D115" i="56"/>
  <c r="C114" i="56"/>
  <c r="E113" i="56"/>
  <c r="C112" i="56"/>
  <c r="F112" i="56" s="1"/>
  <c r="E111" i="56"/>
  <c r="C110" i="56"/>
  <c r="D109" i="56"/>
  <c r="D118" i="56" s="1"/>
  <c r="E104" i="56"/>
  <c r="E102" i="56"/>
  <c r="E100" i="56"/>
  <c r="E98" i="56"/>
  <c r="E93" i="56"/>
  <c r="E91" i="56"/>
  <c r="E89" i="56"/>
  <c r="E87" i="56"/>
  <c r="E85" i="56"/>
  <c r="E83" i="56"/>
  <c r="E81" i="56"/>
  <c r="E79" i="56"/>
  <c r="E77" i="56"/>
  <c r="E75" i="56"/>
  <c r="E73" i="56"/>
  <c r="E71" i="56"/>
  <c r="E69" i="56"/>
  <c r="E67" i="56"/>
  <c r="D36" i="56"/>
  <c r="D40" i="56"/>
  <c r="D46" i="56"/>
  <c r="D50" i="56"/>
  <c r="D56" i="56"/>
  <c r="D60" i="56"/>
  <c r="E74" i="56"/>
  <c r="E78" i="56"/>
  <c r="E82" i="56"/>
  <c r="E90" i="56"/>
  <c r="E94" i="56"/>
  <c r="E101" i="56"/>
  <c r="E110" i="56"/>
  <c r="C113" i="56"/>
  <c r="F113" i="56" s="1"/>
  <c r="E114" i="56"/>
  <c r="E115" i="56"/>
  <c r="C116" i="54"/>
  <c r="E115" i="54"/>
  <c r="C115" i="54"/>
  <c r="E114" i="54"/>
  <c r="C113" i="54"/>
  <c r="E112" i="54"/>
  <c r="C111" i="54"/>
  <c r="F111" i="54" s="1"/>
  <c r="E110" i="54"/>
  <c r="E109" i="54"/>
  <c r="E103" i="54"/>
  <c r="E101" i="54"/>
  <c r="E99" i="54"/>
  <c r="E94" i="54"/>
  <c r="E92" i="54"/>
  <c r="E90" i="54"/>
  <c r="E88" i="54"/>
  <c r="E86" i="54"/>
  <c r="E84" i="54"/>
  <c r="E82" i="54"/>
  <c r="E80" i="54"/>
  <c r="E78" i="54"/>
  <c r="E76" i="54"/>
  <c r="E74" i="54"/>
  <c r="E72" i="54"/>
  <c r="E70" i="54"/>
  <c r="E68" i="54"/>
  <c r="D63" i="54"/>
  <c r="D62" i="54"/>
  <c r="D61" i="54"/>
  <c r="D60" i="54"/>
  <c r="D59" i="54"/>
  <c r="D58" i="54"/>
  <c r="D57" i="54"/>
  <c r="D56" i="54"/>
  <c r="D55" i="54"/>
  <c r="D54" i="54"/>
  <c r="D53" i="54"/>
  <c r="D52" i="54"/>
  <c r="D51" i="54"/>
  <c r="D50" i="54"/>
  <c r="D49" i="54"/>
  <c r="D48" i="54"/>
  <c r="D47" i="54"/>
  <c r="D46" i="54"/>
  <c r="D45" i="54"/>
  <c r="D44" i="54"/>
  <c r="D43" i="54"/>
  <c r="D42" i="54"/>
  <c r="D41" i="54"/>
  <c r="D40" i="54"/>
  <c r="D39" i="54"/>
  <c r="D38" i="54"/>
  <c r="D37" i="54"/>
  <c r="D36" i="54"/>
  <c r="E67" i="54"/>
  <c r="E71" i="54"/>
  <c r="E75" i="54"/>
  <c r="E79" i="54"/>
  <c r="E83" i="54"/>
  <c r="E87" i="54"/>
  <c r="E91" i="54"/>
  <c r="E98" i="54"/>
  <c r="E102" i="54"/>
  <c r="D109" i="54"/>
  <c r="D118" i="54" s="1"/>
  <c r="C112" i="54"/>
  <c r="E113" i="54"/>
  <c r="D117" i="54"/>
  <c r="F117" i="54" s="1"/>
  <c r="E120" i="54"/>
  <c r="F120" i="54" s="1"/>
  <c r="E120" i="52"/>
  <c r="F120" i="52" s="1"/>
  <c r="D117" i="52"/>
  <c r="F117" i="52" s="1"/>
  <c r="D115" i="52"/>
  <c r="C114" i="52"/>
  <c r="E113" i="52"/>
  <c r="C112" i="52"/>
  <c r="F112" i="52" s="1"/>
  <c r="E111" i="52"/>
  <c r="C110" i="52"/>
  <c r="D109" i="52"/>
  <c r="D118" i="52" s="1"/>
  <c r="E104" i="52"/>
  <c r="E103" i="52"/>
  <c r="E101" i="52"/>
  <c r="E99" i="52"/>
  <c r="E94" i="52"/>
  <c r="E92" i="52"/>
  <c r="E90" i="52"/>
  <c r="E88" i="52"/>
  <c r="E86" i="52"/>
  <c r="E84" i="52"/>
  <c r="E82" i="52"/>
  <c r="E80" i="52"/>
  <c r="E78" i="52"/>
  <c r="E76" i="52"/>
  <c r="E74" i="52"/>
  <c r="E72" i="52"/>
  <c r="E70" i="52"/>
  <c r="E68" i="52"/>
  <c r="D63" i="52"/>
  <c r="D62" i="52"/>
  <c r="D61" i="52"/>
  <c r="D60" i="52"/>
  <c r="D59" i="52"/>
  <c r="D58" i="52"/>
  <c r="D57" i="52"/>
  <c r="D56" i="52"/>
  <c r="D55" i="52"/>
  <c r="D54" i="52"/>
  <c r="D53" i="52"/>
  <c r="D52" i="52"/>
  <c r="D51" i="52"/>
  <c r="D50" i="52"/>
  <c r="D49" i="52"/>
  <c r="D48" i="52"/>
  <c r="D47" i="52"/>
  <c r="D46" i="52"/>
  <c r="D45" i="52"/>
  <c r="D44" i="52"/>
  <c r="D43" i="52"/>
  <c r="D42" i="52"/>
  <c r="D41" i="52"/>
  <c r="D40" i="52"/>
  <c r="D39" i="52"/>
  <c r="D38" i="52"/>
  <c r="F38" i="52" s="1"/>
  <c r="D37" i="52"/>
  <c r="D36" i="52"/>
  <c r="E75" i="52"/>
  <c r="E79" i="52"/>
  <c r="E91" i="52"/>
  <c r="E98" i="52"/>
  <c r="E102" i="52"/>
  <c r="E110" i="52"/>
  <c r="E114" i="52"/>
  <c r="F73" i="49"/>
  <c r="F77" i="49"/>
  <c r="F81" i="49"/>
  <c r="F85" i="49"/>
  <c r="F89" i="49"/>
  <c r="F93" i="49"/>
  <c r="D67" i="47"/>
  <c r="D5" i="47"/>
  <c r="D71" i="47"/>
  <c r="F71" i="47" s="1"/>
  <c r="D9" i="47"/>
  <c r="F75" i="47"/>
  <c r="F79" i="47"/>
  <c r="F83" i="47"/>
  <c r="F91" i="47"/>
  <c r="E64" i="45"/>
  <c r="E95" i="45"/>
  <c r="C109" i="45" s="1"/>
  <c r="E64" i="44"/>
  <c r="F70" i="43"/>
  <c r="D78" i="43"/>
  <c r="F78" i="43" s="1"/>
  <c r="D16" i="43"/>
  <c r="D80" i="43"/>
  <c r="F80" i="43" s="1"/>
  <c r="D18" i="43"/>
  <c r="D82" i="43"/>
  <c r="F82" i="43" s="1"/>
  <c r="D20" i="43"/>
  <c r="D84" i="43"/>
  <c r="F84" i="43" s="1"/>
  <c r="D22" i="43"/>
  <c r="D86" i="43"/>
  <c r="F86" i="43" s="1"/>
  <c r="D24" i="43"/>
  <c r="D88" i="43"/>
  <c r="F88" i="43" s="1"/>
  <c r="D26" i="43"/>
  <c r="D90" i="43"/>
  <c r="F90" i="43" s="1"/>
  <c r="D28" i="43"/>
  <c r="D92" i="43"/>
  <c r="F92" i="43" s="1"/>
  <c r="D30" i="43"/>
  <c r="D94" i="43"/>
  <c r="F94" i="43" s="1"/>
  <c r="D32" i="43"/>
  <c r="C116" i="41"/>
  <c r="E115" i="41"/>
  <c r="C115" i="41"/>
  <c r="E114" i="41"/>
  <c r="C113" i="41"/>
  <c r="E112" i="41"/>
  <c r="C111" i="41"/>
  <c r="F111" i="41" s="1"/>
  <c r="E110" i="41"/>
  <c r="E109" i="41"/>
  <c r="E103" i="41"/>
  <c r="F103" i="41" s="1"/>
  <c r="E101" i="41"/>
  <c r="E99" i="41"/>
  <c r="E94" i="41"/>
  <c r="E92" i="41"/>
  <c r="E90" i="41"/>
  <c r="E88" i="41"/>
  <c r="E86" i="41"/>
  <c r="E84" i="41"/>
  <c r="E82" i="41"/>
  <c r="E80" i="41"/>
  <c r="E78" i="41"/>
  <c r="E76" i="41"/>
  <c r="E74" i="41"/>
  <c r="E72" i="41"/>
  <c r="E70" i="41"/>
  <c r="E68" i="41"/>
  <c r="D63" i="41"/>
  <c r="D62" i="41"/>
  <c r="D61" i="41"/>
  <c r="D60" i="41"/>
  <c r="D59" i="41"/>
  <c r="D58" i="41"/>
  <c r="D57" i="41"/>
  <c r="D56" i="41"/>
  <c r="D55" i="41"/>
  <c r="D54" i="41"/>
  <c r="D53" i="41"/>
  <c r="D52" i="41"/>
  <c r="D51" i="41"/>
  <c r="D50" i="41"/>
  <c r="D49" i="41"/>
  <c r="D48" i="41"/>
  <c r="D47" i="41"/>
  <c r="D78" i="41" s="1"/>
  <c r="F78" i="41" s="1"/>
  <c r="D46" i="41"/>
  <c r="D45" i="41"/>
  <c r="D76" i="41" s="1"/>
  <c r="D44" i="41"/>
  <c r="D43" i="41"/>
  <c r="D74" i="41" s="1"/>
  <c r="F74" i="41" s="1"/>
  <c r="D42" i="41"/>
  <c r="D41" i="41"/>
  <c r="D72" i="41" s="1"/>
  <c r="D40" i="41"/>
  <c r="D39" i="41"/>
  <c r="D70" i="41" s="1"/>
  <c r="F70" i="41" s="1"/>
  <c r="D38" i="41"/>
  <c r="D37" i="41"/>
  <c r="D68" i="41" s="1"/>
  <c r="D36" i="41"/>
  <c r="E67" i="41"/>
  <c r="E71" i="41"/>
  <c r="E75" i="41"/>
  <c r="E79" i="41"/>
  <c r="E83" i="41"/>
  <c r="E87" i="41"/>
  <c r="E91" i="41"/>
  <c r="E98" i="41"/>
  <c r="E102" i="41"/>
  <c r="D109" i="41"/>
  <c r="D118" i="41" s="1"/>
  <c r="C112" i="41"/>
  <c r="E113" i="41"/>
  <c r="D117" i="41"/>
  <c r="F117" i="41" s="1"/>
  <c r="E120" i="41"/>
  <c r="F120" i="41" s="1"/>
  <c r="F69" i="40"/>
  <c r="F71" i="40"/>
  <c r="F73" i="40"/>
  <c r="F75" i="40"/>
  <c r="F77" i="40"/>
  <c r="F79" i="40"/>
  <c r="F81" i="40"/>
  <c r="F85" i="40"/>
  <c r="F89" i="40"/>
  <c r="F93" i="40"/>
  <c r="C116" i="39"/>
  <c r="E115" i="39"/>
  <c r="C115" i="39"/>
  <c r="E114" i="39"/>
  <c r="C113" i="39"/>
  <c r="E112" i="39"/>
  <c r="C111" i="39"/>
  <c r="E110" i="39"/>
  <c r="F110" i="39" s="1"/>
  <c r="E109" i="39"/>
  <c r="E103" i="39"/>
  <c r="E101" i="39"/>
  <c r="E99" i="39"/>
  <c r="E94" i="39"/>
  <c r="E92" i="39"/>
  <c r="E90" i="39"/>
  <c r="E88" i="39"/>
  <c r="E86" i="39"/>
  <c r="E84" i="39"/>
  <c r="E82" i="39"/>
  <c r="E80" i="39"/>
  <c r="E78" i="39"/>
  <c r="E76" i="39"/>
  <c r="E74" i="39"/>
  <c r="E72" i="39"/>
  <c r="E70" i="39"/>
  <c r="E68" i="39"/>
  <c r="D63" i="39"/>
  <c r="D62" i="39"/>
  <c r="D61" i="39"/>
  <c r="D60" i="39"/>
  <c r="D59" i="39"/>
  <c r="D58" i="39"/>
  <c r="D57" i="39"/>
  <c r="D56" i="39"/>
  <c r="D55" i="39"/>
  <c r="D54" i="39"/>
  <c r="D53" i="39"/>
  <c r="D52" i="39"/>
  <c r="D51" i="39"/>
  <c r="D82" i="39" s="1"/>
  <c r="F82" i="39" s="1"/>
  <c r="D50" i="39"/>
  <c r="D49" i="39"/>
  <c r="D80" i="39" s="1"/>
  <c r="D48" i="39"/>
  <c r="D47" i="39"/>
  <c r="D78" i="39" s="1"/>
  <c r="F78" i="39" s="1"/>
  <c r="D46" i="39"/>
  <c r="D45" i="39"/>
  <c r="D76" i="39" s="1"/>
  <c r="D44" i="39"/>
  <c r="D43" i="39"/>
  <c r="D74" i="39" s="1"/>
  <c r="F74" i="39" s="1"/>
  <c r="D42" i="39"/>
  <c r="D41" i="39"/>
  <c r="D72" i="39" s="1"/>
  <c r="D40" i="39"/>
  <c r="D39" i="39"/>
  <c r="D70" i="39" s="1"/>
  <c r="F70" i="39" s="1"/>
  <c r="D38" i="39"/>
  <c r="D37" i="39"/>
  <c r="D68" i="39" s="1"/>
  <c r="D36" i="39"/>
  <c r="E120" i="39"/>
  <c r="F120" i="39" s="1"/>
  <c r="D117" i="39"/>
  <c r="F117" i="39" s="1"/>
  <c r="E113" i="39"/>
  <c r="C112" i="39"/>
  <c r="F112" i="39" s="1"/>
  <c r="D109" i="39"/>
  <c r="E102" i="39"/>
  <c r="E98" i="39"/>
  <c r="E91" i="39"/>
  <c r="E87" i="39"/>
  <c r="E83" i="39"/>
  <c r="E79" i="39"/>
  <c r="E75" i="39"/>
  <c r="E71" i="39"/>
  <c r="E67" i="39"/>
  <c r="D115" i="39"/>
  <c r="C114" i="39"/>
  <c r="F114" i="39" s="1"/>
  <c r="E111" i="39"/>
  <c r="E69" i="39"/>
  <c r="E77" i="39"/>
  <c r="E85" i="39"/>
  <c r="E93" i="39"/>
  <c r="E104" i="39"/>
  <c r="E73" i="38"/>
  <c r="E77" i="38"/>
  <c r="E85" i="38"/>
  <c r="E100" i="38"/>
  <c r="C116" i="37"/>
  <c r="E115" i="37"/>
  <c r="C115" i="37"/>
  <c r="E114" i="37"/>
  <c r="C113" i="37"/>
  <c r="E112" i="37"/>
  <c r="C111" i="37"/>
  <c r="E110" i="37"/>
  <c r="E109" i="37"/>
  <c r="E103" i="37"/>
  <c r="E101" i="37"/>
  <c r="E99" i="37"/>
  <c r="E94" i="37"/>
  <c r="E92" i="37"/>
  <c r="E90" i="37"/>
  <c r="E88" i="37"/>
  <c r="E86" i="37"/>
  <c r="E84" i="37"/>
  <c r="E82" i="37"/>
  <c r="E80" i="37"/>
  <c r="E78" i="37"/>
  <c r="E76" i="37"/>
  <c r="E74" i="37"/>
  <c r="E72" i="37"/>
  <c r="E70" i="37"/>
  <c r="E68" i="37"/>
  <c r="D63" i="37"/>
  <c r="D62" i="37"/>
  <c r="D61" i="37"/>
  <c r="D60" i="37"/>
  <c r="D59" i="37"/>
  <c r="D58" i="37"/>
  <c r="D57" i="37"/>
  <c r="D56" i="37"/>
  <c r="D55" i="37"/>
  <c r="D86" i="37" s="1"/>
  <c r="F86" i="37" s="1"/>
  <c r="D54" i="37"/>
  <c r="D53" i="37"/>
  <c r="D84" i="37" s="1"/>
  <c r="D52" i="37"/>
  <c r="D51" i="37"/>
  <c r="D82" i="37" s="1"/>
  <c r="F82" i="37" s="1"/>
  <c r="D50" i="37"/>
  <c r="D49" i="37"/>
  <c r="D80" i="37" s="1"/>
  <c r="D48" i="37"/>
  <c r="D47" i="37"/>
  <c r="D78" i="37" s="1"/>
  <c r="F78" i="37" s="1"/>
  <c r="D46" i="37"/>
  <c r="D45" i="37"/>
  <c r="D76" i="37" s="1"/>
  <c r="D44" i="37"/>
  <c r="D43" i="37"/>
  <c r="D74" i="37" s="1"/>
  <c r="F74" i="37" s="1"/>
  <c r="D42" i="37"/>
  <c r="D41" i="37"/>
  <c r="D72" i="37" s="1"/>
  <c r="D40" i="37"/>
  <c r="D39" i="37"/>
  <c r="D70" i="37" s="1"/>
  <c r="F70" i="37" s="1"/>
  <c r="D38" i="37"/>
  <c r="D37" i="37"/>
  <c r="D68" i="37" s="1"/>
  <c r="D36" i="37"/>
  <c r="E67" i="37"/>
  <c r="E71" i="37"/>
  <c r="E75" i="37"/>
  <c r="E79" i="37"/>
  <c r="E83" i="37"/>
  <c r="E87" i="37"/>
  <c r="E91" i="37"/>
  <c r="E98" i="37"/>
  <c r="E102" i="37"/>
  <c r="D109" i="37"/>
  <c r="C112" i="37"/>
  <c r="E113" i="37"/>
  <c r="D117" i="37"/>
  <c r="F117" i="37" s="1"/>
  <c r="E120" i="37"/>
  <c r="F120" i="37" s="1"/>
  <c r="D8" i="34"/>
  <c r="D12" i="34"/>
  <c r="D16" i="34"/>
  <c r="D20" i="34"/>
  <c r="D24" i="34"/>
  <c r="D28" i="34"/>
  <c r="D32" i="34"/>
  <c r="C116" i="29"/>
  <c r="E115" i="29"/>
  <c r="C115" i="29"/>
  <c r="E114" i="29"/>
  <c r="C113" i="29"/>
  <c r="E112" i="29"/>
  <c r="C111" i="29"/>
  <c r="E110" i="29"/>
  <c r="E109" i="29"/>
  <c r="E103" i="29"/>
  <c r="E101" i="29"/>
  <c r="E99" i="29"/>
  <c r="E94" i="29"/>
  <c r="E93" i="29"/>
  <c r="E90" i="29"/>
  <c r="E89" i="29"/>
  <c r="E86" i="29"/>
  <c r="E85" i="29"/>
  <c r="E82" i="29"/>
  <c r="E81" i="29"/>
  <c r="E78" i="29"/>
  <c r="E77" i="29"/>
  <c r="E74" i="29"/>
  <c r="E73" i="29"/>
  <c r="E70" i="29"/>
  <c r="E69" i="29"/>
  <c r="D63" i="29"/>
  <c r="D62" i="29"/>
  <c r="D61" i="29"/>
  <c r="D60" i="29"/>
  <c r="D59" i="29"/>
  <c r="D58" i="29"/>
  <c r="D57" i="29"/>
  <c r="D56" i="29"/>
  <c r="D55" i="29"/>
  <c r="D54" i="29"/>
  <c r="D53" i="29"/>
  <c r="D52" i="29"/>
  <c r="D51" i="29"/>
  <c r="D50" i="29"/>
  <c r="D49" i="29"/>
  <c r="D48" i="29"/>
  <c r="D47" i="29"/>
  <c r="D46" i="29"/>
  <c r="D45" i="29"/>
  <c r="D44" i="29"/>
  <c r="D43" i="29"/>
  <c r="D42" i="29"/>
  <c r="D41" i="29"/>
  <c r="D40" i="29"/>
  <c r="D39" i="29"/>
  <c r="D38" i="29"/>
  <c r="D37" i="29"/>
  <c r="D36" i="29"/>
  <c r="E67" i="29"/>
  <c r="E72" i="29"/>
  <c r="E75" i="29"/>
  <c r="E80" i="29"/>
  <c r="E83" i="29"/>
  <c r="E88" i="29"/>
  <c r="E91" i="29"/>
  <c r="E100" i="29"/>
  <c r="E104" i="29"/>
  <c r="C110" i="29"/>
  <c r="F110" i="29" s="1"/>
  <c r="E111" i="29"/>
  <c r="C114" i="29"/>
  <c r="F114" i="29" s="1"/>
  <c r="D115" i="29"/>
  <c r="C116" i="28"/>
  <c r="E115" i="28"/>
  <c r="C115" i="28"/>
  <c r="E114" i="28"/>
  <c r="C113" i="28"/>
  <c r="E112" i="28"/>
  <c r="C111" i="28"/>
  <c r="E110" i="28"/>
  <c r="E109" i="28"/>
  <c r="E103" i="28"/>
  <c r="E101" i="28"/>
  <c r="E99" i="28"/>
  <c r="E94" i="28"/>
  <c r="E91" i="28"/>
  <c r="E90" i="28"/>
  <c r="E87" i="28"/>
  <c r="E86" i="28"/>
  <c r="E83" i="28"/>
  <c r="E82" i="28"/>
  <c r="E79" i="28"/>
  <c r="E78" i="28"/>
  <c r="E75" i="28"/>
  <c r="E74" i="28"/>
  <c r="E71" i="28"/>
  <c r="E70" i="28"/>
  <c r="E67" i="28"/>
  <c r="D63" i="28"/>
  <c r="D62" i="28"/>
  <c r="D61" i="28"/>
  <c r="D60" i="28"/>
  <c r="D59" i="28"/>
  <c r="D58" i="28"/>
  <c r="D57" i="28"/>
  <c r="D56" i="28"/>
  <c r="D55" i="28"/>
  <c r="D54" i="28"/>
  <c r="D53" i="28"/>
  <c r="D52" i="28"/>
  <c r="D51" i="28"/>
  <c r="D50" i="28"/>
  <c r="D49" i="28"/>
  <c r="D48" i="28"/>
  <c r="D47" i="28"/>
  <c r="D46" i="28"/>
  <c r="D45" i="28"/>
  <c r="D44" i="28"/>
  <c r="D43" i="28"/>
  <c r="D42" i="28"/>
  <c r="D41" i="28"/>
  <c r="D40" i="28"/>
  <c r="D39" i="28"/>
  <c r="D38" i="28"/>
  <c r="D37" i="28"/>
  <c r="D36" i="28"/>
  <c r="E69" i="28"/>
  <c r="E72" i="28"/>
  <c r="E77" i="28"/>
  <c r="E80" i="28"/>
  <c r="E85" i="28"/>
  <c r="E88" i="28"/>
  <c r="E93" i="28"/>
  <c r="E100" i="28"/>
  <c r="E104" i="28"/>
  <c r="C110" i="28"/>
  <c r="F110" i="28" s="1"/>
  <c r="E111" i="28"/>
  <c r="C114" i="28"/>
  <c r="F114" i="28" s="1"/>
  <c r="D115" i="28"/>
  <c r="C116" i="27"/>
  <c r="E115" i="27"/>
  <c r="C115" i="27"/>
  <c r="E114" i="27"/>
  <c r="C113" i="27"/>
  <c r="E112" i="27"/>
  <c r="C111" i="27"/>
  <c r="E110" i="27"/>
  <c r="E109" i="27"/>
  <c r="E103" i="27"/>
  <c r="E101" i="27"/>
  <c r="E99" i="27"/>
  <c r="E94" i="27"/>
  <c r="E92" i="27"/>
  <c r="E90" i="27"/>
  <c r="E88" i="27"/>
  <c r="E86" i="27"/>
  <c r="E84" i="27"/>
  <c r="E82" i="27"/>
  <c r="E80" i="27"/>
  <c r="E78" i="27"/>
  <c r="E76" i="27"/>
  <c r="E74" i="27"/>
  <c r="E72" i="27"/>
  <c r="E70" i="27"/>
  <c r="E68" i="27"/>
  <c r="D63" i="27"/>
  <c r="D62" i="27"/>
  <c r="D61" i="27"/>
  <c r="D60" i="27"/>
  <c r="D59" i="27"/>
  <c r="D58" i="27"/>
  <c r="D57" i="27"/>
  <c r="D56" i="27"/>
  <c r="D55" i="27"/>
  <c r="D54" i="27"/>
  <c r="D53" i="27"/>
  <c r="D52" i="27"/>
  <c r="D51" i="27"/>
  <c r="D50" i="27"/>
  <c r="D49" i="27"/>
  <c r="D48" i="27"/>
  <c r="D47" i="27"/>
  <c r="D46" i="27"/>
  <c r="D45" i="27"/>
  <c r="D44" i="27"/>
  <c r="D43" i="27"/>
  <c r="D42" i="27"/>
  <c r="D41" i="27"/>
  <c r="D40" i="27"/>
  <c r="D39" i="27"/>
  <c r="D38" i="27"/>
  <c r="D37" i="27"/>
  <c r="D36" i="27"/>
  <c r="E69" i="27"/>
  <c r="E73" i="27"/>
  <c r="E77" i="27"/>
  <c r="E81" i="27"/>
  <c r="E85" i="27"/>
  <c r="E89" i="27"/>
  <c r="E93" i="27"/>
  <c r="E100" i="27"/>
  <c r="E104" i="27"/>
  <c r="C110" i="27"/>
  <c r="F110" i="27" s="1"/>
  <c r="E111" i="27"/>
  <c r="C114" i="27"/>
  <c r="F114" i="27" s="1"/>
  <c r="D115" i="27"/>
  <c r="C116" i="26"/>
  <c r="E115" i="26"/>
  <c r="C115" i="26"/>
  <c r="E114" i="26"/>
  <c r="C113" i="26"/>
  <c r="E112" i="26"/>
  <c r="C111" i="26"/>
  <c r="E110" i="26"/>
  <c r="E109" i="26"/>
  <c r="E103" i="26"/>
  <c r="E101" i="26"/>
  <c r="E99" i="26"/>
  <c r="E94" i="26"/>
  <c r="E92" i="26"/>
  <c r="E90" i="26"/>
  <c r="E88" i="26"/>
  <c r="E86" i="26"/>
  <c r="E84" i="26"/>
  <c r="E82" i="26"/>
  <c r="E80" i="26"/>
  <c r="E78" i="26"/>
  <c r="E76" i="26"/>
  <c r="E74" i="26"/>
  <c r="E72" i="26"/>
  <c r="E70" i="26"/>
  <c r="E68" i="26"/>
  <c r="D63" i="26"/>
  <c r="D62" i="26"/>
  <c r="D61" i="26"/>
  <c r="D60" i="26"/>
  <c r="D59" i="26"/>
  <c r="D58" i="26"/>
  <c r="D57" i="26"/>
  <c r="D56" i="26"/>
  <c r="D55" i="26"/>
  <c r="D54" i="26"/>
  <c r="D53" i="26"/>
  <c r="D52" i="26"/>
  <c r="D51" i="26"/>
  <c r="D50" i="26"/>
  <c r="D49" i="26"/>
  <c r="D48" i="26"/>
  <c r="D47" i="26"/>
  <c r="D46" i="26"/>
  <c r="D45" i="26"/>
  <c r="D44" i="26"/>
  <c r="D43" i="26"/>
  <c r="D42" i="26"/>
  <c r="D41" i="26"/>
  <c r="D40" i="26"/>
  <c r="D39" i="26"/>
  <c r="D38" i="26"/>
  <c r="D37" i="26"/>
  <c r="D36" i="26"/>
  <c r="E69" i="26"/>
  <c r="E73" i="26"/>
  <c r="E77" i="26"/>
  <c r="E81" i="26"/>
  <c r="E85" i="26"/>
  <c r="E89" i="26"/>
  <c r="E93" i="26"/>
  <c r="E100" i="26"/>
  <c r="E104" i="26"/>
  <c r="C110" i="26"/>
  <c r="F110" i="26" s="1"/>
  <c r="E111" i="26"/>
  <c r="C114" i="26"/>
  <c r="F114" i="26" s="1"/>
  <c r="D115" i="26"/>
  <c r="E120" i="25"/>
  <c r="F120" i="25" s="1"/>
  <c r="D117" i="25"/>
  <c r="F117" i="25" s="1"/>
  <c r="D115" i="25"/>
  <c r="C114" i="25"/>
  <c r="E113" i="25"/>
  <c r="C112" i="25"/>
  <c r="E111" i="25"/>
  <c r="C110" i="25"/>
  <c r="D109" i="25"/>
  <c r="D118" i="25" s="1"/>
  <c r="E102" i="25"/>
  <c r="E94" i="25"/>
  <c r="E93" i="25"/>
  <c r="E90" i="25"/>
  <c r="E89" i="25"/>
  <c r="E86" i="25"/>
  <c r="E85" i="25"/>
  <c r="E82" i="25"/>
  <c r="E81" i="25"/>
  <c r="E78" i="25"/>
  <c r="E77" i="25"/>
  <c r="E74" i="25"/>
  <c r="E73" i="25"/>
  <c r="E70" i="25"/>
  <c r="E69" i="25"/>
  <c r="D63" i="25"/>
  <c r="D62" i="25"/>
  <c r="D61" i="25"/>
  <c r="D60" i="25"/>
  <c r="D59" i="25"/>
  <c r="D58" i="25"/>
  <c r="D57" i="25"/>
  <c r="D56" i="25"/>
  <c r="D55" i="25"/>
  <c r="D54" i="25"/>
  <c r="D53" i="25"/>
  <c r="D52" i="25"/>
  <c r="D51" i="25"/>
  <c r="D50" i="25"/>
  <c r="D49" i="25"/>
  <c r="D48" i="25"/>
  <c r="D47" i="25"/>
  <c r="D46" i="25"/>
  <c r="D45" i="25"/>
  <c r="D44" i="25"/>
  <c r="D43" i="25"/>
  <c r="D42" i="25"/>
  <c r="D41" i="25"/>
  <c r="D40" i="25"/>
  <c r="D39" i="25"/>
  <c r="D38" i="25"/>
  <c r="D37" i="25"/>
  <c r="D36" i="25"/>
  <c r="E67" i="25"/>
  <c r="E72" i="25"/>
  <c r="E75" i="25"/>
  <c r="E80" i="25"/>
  <c r="E83" i="25"/>
  <c r="E88" i="25"/>
  <c r="E91" i="25"/>
  <c r="E99" i="25"/>
  <c r="E101" i="25"/>
  <c r="E104" i="25"/>
  <c r="E109" i="25"/>
  <c r="C111" i="25"/>
  <c r="E112" i="25"/>
  <c r="C115" i="25"/>
  <c r="C116" i="25"/>
  <c r="D70" i="23"/>
  <c r="D8" i="23"/>
  <c r="D74" i="23"/>
  <c r="D12" i="23"/>
  <c r="D78" i="23"/>
  <c r="D16" i="23"/>
  <c r="D82" i="23"/>
  <c r="D20" i="23"/>
  <c r="D86" i="23"/>
  <c r="D24" i="23"/>
  <c r="D90" i="23"/>
  <c r="D28" i="23"/>
  <c r="D94" i="23"/>
  <c r="D32" i="23"/>
  <c r="C116" i="38"/>
  <c r="E115" i="38"/>
  <c r="C115" i="38"/>
  <c r="E114" i="38"/>
  <c r="C113" i="38"/>
  <c r="E112" i="38"/>
  <c r="C111" i="38"/>
  <c r="F111" i="38" s="1"/>
  <c r="E110" i="38"/>
  <c r="E109" i="38"/>
  <c r="E103" i="38"/>
  <c r="E101" i="38"/>
  <c r="E99" i="38"/>
  <c r="E94" i="38"/>
  <c r="E92" i="38"/>
  <c r="E90" i="38"/>
  <c r="E88" i="38"/>
  <c r="E86" i="38"/>
  <c r="E84" i="38"/>
  <c r="E82" i="38"/>
  <c r="E80" i="38"/>
  <c r="E78" i="38"/>
  <c r="E76" i="38"/>
  <c r="E74" i="38"/>
  <c r="E72" i="38"/>
  <c r="E70" i="38"/>
  <c r="E68" i="38"/>
  <c r="D63" i="38"/>
  <c r="D62" i="38"/>
  <c r="D61" i="38"/>
  <c r="D60" i="38"/>
  <c r="D59" i="38"/>
  <c r="D58" i="38"/>
  <c r="D57" i="38"/>
  <c r="D56" i="38"/>
  <c r="D55" i="38"/>
  <c r="D54" i="38"/>
  <c r="D53" i="38"/>
  <c r="D52" i="38"/>
  <c r="D51" i="38"/>
  <c r="D50" i="38"/>
  <c r="D81" i="38" s="1"/>
  <c r="D49" i="38"/>
  <c r="D48" i="38"/>
  <c r="D79" i="38" s="1"/>
  <c r="D47" i="38"/>
  <c r="D46" i="38"/>
  <c r="D77" i="38" s="1"/>
  <c r="F77" i="38" s="1"/>
  <c r="D45" i="38"/>
  <c r="D44" i="38"/>
  <c r="D75" i="38" s="1"/>
  <c r="D43" i="38"/>
  <c r="D42" i="38"/>
  <c r="D73" i="38" s="1"/>
  <c r="F73" i="38" s="1"/>
  <c r="D41" i="38"/>
  <c r="D40" i="38"/>
  <c r="D71" i="38" s="1"/>
  <c r="D39" i="38"/>
  <c r="D38" i="38"/>
  <c r="D69" i="38" s="1"/>
  <c r="D37" i="38"/>
  <c r="D36" i="38"/>
  <c r="D67" i="38" s="1"/>
  <c r="E69" i="38"/>
  <c r="E81" i="38"/>
  <c r="E89" i="38"/>
  <c r="E93" i="38"/>
  <c r="E104" i="38"/>
  <c r="C110" i="38"/>
  <c r="F110" i="38" s="1"/>
  <c r="C114" i="38"/>
  <c r="D115" i="38"/>
  <c r="D7" i="35"/>
  <c r="D11" i="35"/>
  <c r="D15" i="35"/>
  <c r="D19" i="35"/>
  <c r="D23" i="35"/>
  <c r="D30" i="34"/>
  <c r="F37" i="57"/>
  <c r="F39" i="57"/>
  <c r="F40" i="57"/>
  <c r="F41" i="57"/>
  <c r="F43" i="57"/>
  <c r="F44" i="57"/>
  <c r="F45" i="57"/>
  <c r="F46" i="57"/>
  <c r="F47" i="57"/>
  <c r="F49" i="57"/>
  <c r="F51" i="57"/>
  <c r="F52" i="57"/>
  <c r="F53" i="57"/>
  <c r="F55" i="57"/>
  <c r="F56" i="57"/>
  <c r="F57" i="57"/>
  <c r="F58" i="57"/>
  <c r="F59" i="57"/>
  <c r="F60" i="57"/>
  <c r="F61" i="57"/>
  <c r="F62" i="57"/>
  <c r="F63" i="57"/>
  <c r="E68" i="57"/>
  <c r="E69" i="57"/>
  <c r="E72" i="57"/>
  <c r="E73" i="57"/>
  <c r="F73" i="57" s="1"/>
  <c r="E76" i="57"/>
  <c r="E77" i="57"/>
  <c r="E80" i="57"/>
  <c r="E81" i="57"/>
  <c r="F81" i="57" s="1"/>
  <c r="E84" i="57"/>
  <c r="E85" i="57"/>
  <c r="E88" i="57"/>
  <c r="E89" i="57"/>
  <c r="F89" i="57" s="1"/>
  <c r="E92" i="57"/>
  <c r="E93" i="57"/>
  <c r="E98" i="57"/>
  <c r="E99" i="57"/>
  <c r="E100" i="57"/>
  <c r="E101" i="57"/>
  <c r="E103" i="57"/>
  <c r="E104" i="57"/>
  <c r="E109" i="57"/>
  <c r="E110" i="57"/>
  <c r="F110" i="57" s="1"/>
  <c r="C111" i="57"/>
  <c r="F111" i="57" s="1"/>
  <c r="E112" i="57"/>
  <c r="F112" i="57" s="1"/>
  <c r="C113" i="57"/>
  <c r="F113" i="57" s="1"/>
  <c r="E114" i="57"/>
  <c r="F114" i="57" s="1"/>
  <c r="C115" i="57"/>
  <c r="E115" i="57"/>
  <c r="D36" i="55"/>
  <c r="D37" i="55"/>
  <c r="F37" i="55" s="1"/>
  <c r="D38" i="55"/>
  <c r="D39" i="55"/>
  <c r="D40" i="55"/>
  <c r="D41" i="55"/>
  <c r="D42" i="55"/>
  <c r="D43" i="55"/>
  <c r="D44" i="55"/>
  <c r="D45" i="55"/>
  <c r="D46" i="55"/>
  <c r="D47" i="55"/>
  <c r="D48" i="55"/>
  <c r="D49" i="55"/>
  <c r="D50" i="55"/>
  <c r="D51" i="55"/>
  <c r="D52" i="55"/>
  <c r="D53" i="55"/>
  <c r="D54" i="55"/>
  <c r="D55" i="55"/>
  <c r="D56" i="55"/>
  <c r="D57" i="55"/>
  <c r="D58" i="55"/>
  <c r="D59" i="55"/>
  <c r="D60" i="55"/>
  <c r="D61" i="55"/>
  <c r="D62" i="55"/>
  <c r="D63" i="55"/>
  <c r="E68" i="55"/>
  <c r="E70" i="55"/>
  <c r="E72" i="55"/>
  <c r="E74" i="55"/>
  <c r="E76" i="55"/>
  <c r="E78" i="55"/>
  <c r="E80" i="55"/>
  <c r="E82" i="55"/>
  <c r="E84" i="55"/>
  <c r="E86" i="55"/>
  <c r="E88" i="55"/>
  <c r="E90" i="55"/>
  <c r="E92" i="55"/>
  <c r="E94" i="55"/>
  <c r="E99" i="55"/>
  <c r="E101" i="55"/>
  <c r="E103" i="55"/>
  <c r="E109" i="55"/>
  <c r="E110" i="55"/>
  <c r="F110" i="55" s="1"/>
  <c r="C111" i="55"/>
  <c r="F111" i="55" s="1"/>
  <c r="E112" i="55"/>
  <c r="F112" i="55" s="1"/>
  <c r="C113" i="55"/>
  <c r="F113" i="55" s="1"/>
  <c r="E114" i="55"/>
  <c r="F114" i="55" s="1"/>
  <c r="C115" i="55"/>
  <c r="E115" i="55"/>
  <c r="F37" i="51"/>
  <c r="F39" i="51"/>
  <c r="F41" i="51"/>
  <c r="F43" i="51"/>
  <c r="F45" i="51"/>
  <c r="F47" i="51"/>
  <c r="F49" i="51"/>
  <c r="F51" i="51"/>
  <c r="F53" i="51"/>
  <c r="F57" i="51"/>
  <c r="F59" i="51"/>
  <c r="F61" i="51"/>
  <c r="F63" i="51"/>
  <c r="E67" i="51"/>
  <c r="E69" i="51"/>
  <c r="E71" i="51"/>
  <c r="F71" i="51" s="1"/>
  <c r="E73" i="51"/>
  <c r="F73" i="51" s="1"/>
  <c r="E75" i="51"/>
  <c r="F75" i="51" s="1"/>
  <c r="E77" i="51"/>
  <c r="F77" i="51" s="1"/>
  <c r="E79" i="51"/>
  <c r="E81" i="51"/>
  <c r="F81" i="51" s="1"/>
  <c r="E83" i="51"/>
  <c r="F83" i="51" s="1"/>
  <c r="E85" i="51"/>
  <c r="F85" i="51" s="1"/>
  <c r="E87" i="51"/>
  <c r="E89" i="51"/>
  <c r="F89" i="51" s="1"/>
  <c r="E91" i="51"/>
  <c r="F91" i="51" s="1"/>
  <c r="E93" i="51"/>
  <c r="F93" i="51" s="1"/>
  <c r="E98" i="51"/>
  <c r="E100" i="51"/>
  <c r="E102" i="51"/>
  <c r="E104" i="51"/>
  <c r="D109" i="51"/>
  <c r="C110" i="51"/>
  <c r="F110" i="51" s="1"/>
  <c r="E111" i="51"/>
  <c r="F111" i="51" s="1"/>
  <c r="C112" i="51"/>
  <c r="F112" i="51" s="1"/>
  <c r="E113" i="51"/>
  <c r="F113" i="51" s="1"/>
  <c r="C114" i="51"/>
  <c r="F114" i="51" s="1"/>
  <c r="D115" i="51"/>
  <c r="F115" i="51" s="1"/>
  <c r="D117" i="51"/>
  <c r="F117" i="51" s="1"/>
  <c r="D36" i="50"/>
  <c r="D37" i="50"/>
  <c r="D38" i="50"/>
  <c r="F38" i="50" s="1"/>
  <c r="D39" i="50"/>
  <c r="D40" i="50"/>
  <c r="F40" i="50" s="1"/>
  <c r="D41" i="50"/>
  <c r="D42" i="50"/>
  <c r="D43" i="50"/>
  <c r="D44" i="50"/>
  <c r="D45" i="50"/>
  <c r="D46" i="50"/>
  <c r="D47" i="50"/>
  <c r="D48" i="50"/>
  <c r="D49" i="50"/>
  <c r="D50" i="50"/>
  <c r="D51" i="50"/>
  <c r="D52" i="50"/>
  <c r="D53" i="50"/>
  <c r="D54" i="50"/>
  <c r="D55" i="50"/>
  <c r="D56" i="50"/>
  <c r="D57" i="50"/>
  <c r="D58" i="50"/>
  <c r="D59" i="50"/>
  <c r="D60" i="50"/>
  <c r="D61" i="50"/>
  <c r="D62" i="50"/>
  <c r="D63" i="50"/>
  <c r="E68" i="50"/>
  <c r="E70" i="50"/>
  <c r="E72" i="50"/>
  <c r="E74" i="50"/>
  <c r="E76" i="50"/>
  <c r="E78" i="50"/>
  <c r="E80" i="50"/>
  <c r="E82" i="50"/>
  <c r="E84" i="50"/>
  <c r="E86" i="50"/>
  <c r="E88" i="50"/>
  <c r="E90" i="50"/>
  <c r="E92" i="50"/>
  <c r="E94" i="50"/>
  <c r="E99" i="50"/>
  <c r="E101" i="50"/>
  <c r="E103" i="50"/>
  <c r="E109" i="50"/>
  <c r="E110" i="50"/>
  <c r="F110" i="50" s="1"/>
  <c r="C111" i="50"/>
  <c r="F111" i="50" s="1"/>
  <c r="E112" i="50"/>
  <c r="F112" i="50" s="1"/>
  <c r="C113" i="50"/>
  <c r="F113" i="50" s="1"/>
  <c r="E114" i="50"/>
  <c r="F114" i="50" s="1"/>
  <c r="C115" i="50"/>
  <c r="E115" i="50"/>
  <c r="D36" i="48"/>
  <c r="D37" i="48"/>
  <c r="D38" i="48"/>
  <c r="F38" i="48" s="1"/>
  <c r="D39" i="48"/>
  <c r="D40" i="48"/>
  <c r="F40" i="48" s="1"/>
  <c r="D41" i="48"/>
  <c r="D42" i="48"/>
  <c r="D43" i="48"/>
  <c r="D44" i="48"/>
  <c r="D45" i="48"/>
  <c r="D46" i="48"/>
  <c r="D47" i="48"/>
  <c r="D48" i="48"/>
  <c r="D49" i="48"/>
  <c r="D50" i="48"/>
  <c r="D51" i="48"/>
  <c r="D52" i="48"/>
  <c r="D53" i="48"/>
  <c r="D54" i="48"/>
  <c r="D55" i="48"/>
  <c r="D56" i="48"/>
  <c r="D57" i="48"/>
  <c r="D58" i="48"/>
  <c r="D59" i="48"/>
  <c r="D60" i="48"/>
  <c r="D61" i="48"/>
  <c r="D62" i="48"/>
  <c r="D63" i="48"/>
  <c r="E68" i="48"/>
  <c r="E70" i="48"/>
  <c r="E72" i="48"/>
  <c r="E74" i="48"/>
  <c r="E76" i="48"/>
  <c r="E78" i="48"/>
  <c r="E80" i="48"/>
  <c r="E82" i="48"/>
  <c r="E84" i="48"/>
  <c r="E86" i="48"/>
  <c r="E88" i="48"/>
  <c r="E90" i="48"/>
  <c r="E92" i="48"/>
  <c r="E94" i="48"/>
  <c r="E99" i="48"/>
  <c r="E101" i="48"/>
  <c r="E103" i="48"/>
  <c r="E109" i="48"/>
  <c r="E110" i="48"/>
  <c r="F110" i="48" s="1"/>
  <c r="C111" i="48"/>
  <c r="F111" i="48" s="1"/>
  <c r="E112" i="48"/>
  <c r="F112" i="48" s="1"/>
  <c r="C113" i="48"/>
  <c r="F113" i="48" s="1"/>
  <c r="E114" i="48"/>
  <c r="F114" i="48" s="1"/>
  <c r="C115" i="48"/>
  <c r="E115" i="48"/>
  <c r="D36" i="46"/>
  <c r="D37" i="46"/>
  <c r="D38" i="46"/>
  <c r="F38" i="46" s="1"/>
  <c r="D39" i="46"/>
  <c r="D40" i="46"/>
  <c r="F40" i="46" s="1"/>
  <c r="D41" i="46"/>
  <c r="D42" i="46"/>
  <c r="D43" i="46"/>
  <c r="D44" i="46"/>
  <c r="D45" i="46"/>
  <c r="D46" i="46"/>
  <c r="D47" i="46"/>
  <c r="D48" i="46"/>
  <c r="D49" i="46"/>
  <c r="D50" i="46"/>
  <c r="D51" i="46"/>
  <c r="D52" i="46"/>
  <c r="D53" i="46"/>
  <c r="D54" i="46"/>
  <c r="D55" i="46"/>
  <c r="D56" i="46"/>
  <c r="D57" i="46"/>
  <c r="D58" i="46"/>
  <c r="D59" i="46"/>
  <c r="D60" i="46"/>
  <c r="D61" i="46"/>
  <c r="D62" i="46"/>
  <c r="D63" i="46"/>
  <c r="E68" i="46"/>
  <c r="E70" i="46"/>
  <c r="E72" i="46"/>
  <c r="E74" i="46"/>
  <c r="E76" i="46"/>
  <c r="E78" i="46"/>
  <c r="E80" i="46"/>
  <c r="E82" i="46"/>
  <c r="E84" i="46"/>
  <c r="E86" i="46"/>
  <c r="E88" i="46"/>
  <c r="E90" i="46"/>
  <c r="E92" i="46"/>
  <c r="E94" i="46"/>
  <c r="E99" i="46"/>
  <c r="E101" i="46"/>
  <c r="E103" i="46"/>
  <c r="E109" i="46"/>
  <c r="E110" i="46"/>
  <c r="F110" i="46" s="1"/>
  <c r="C111" i="46"/>
  <c r="F111" i="46" s="1"/>
  <c r="E112" i="46"/>
  <c r="F112" i="46" s="1"/>
  <c r="C113" i="46"/>
  <c r="F113" i="46" s="1"/>
  <c r="E114" i="46"/>
  <c r="F114" i="46" s="1"/>
  <c r="C115" i="46"/>
  <c r="E115" i="46"/>
  <c r="E67" i="38"/>
  <c r="E71" i="38"/>
  <c r="E75" i="38"/>
  <c r="E79" i="38"/>
  <c r="E83" i="38"/>
  <c r="E87" i="38"/>
  <c r="E91" i="38"/>
  <c r="E98" i="38"/>
  <c r="E102" i="38"/>
  <c r="D109" i="38"/>
  <c r="D118" i="38" s="1"/>
  <c r="C112" i="38"/>
  <c r="F112" i="38" s="1"/>
  <c r="E113" i="38"/>
  <c r="D117" i="38"/>
  <c r="F117" i="38" s="1"/>
  <c r="E120" i="38"/>
  <c r="F120" i="38" s="1"/>
  <c r="E69" i="37"/>
  <c r="E73" i="37"/>
  <c r="E77" i="37"/>
  <c r="E81" i="37"/>
  <c r="E85" i="37"/>
  <c r="E89" i="37"/>
  <c r="E93" i="37"/>
  <c r="E100" i="37"/>
  <c r="E104" i="37"/>
  <c r="C110" i="37"/>
  <c r="F110" i="37" s="1"/>
  <c r="E111" i="37"/>
  <c r="C114" i="37"/>
  <c r="F114" i="37" s="1"/>
  <c r="D115" i="37"/>
  <c r="E120" i="36"/>
  <c r="F120" i="36" s="1"/>
  <c r="D117" i="36"/>
  <c r="F117" i="36" s="1"/>
  <c r="D115" i="36"/>
  <c r="C114" i="36"/>
  <c r="F114" i="36" s="1"/>
  <c r="E113" i="36"/>
  <c r="F113" i="36" s="1"/>
  <c r="C112" i="36"/>
  <c r="E111" i="36"/>
  <c r="C110" i="36"/>
  <c r="F110" i="36" s="1"/>
  <c r="D109" i="36"/>
  <c r="D118" i="36" s="1"/>
  <c r="E102" i="36"/>
  <c r="E94" i="36"/>
  <c r="E93" i="36"/>
  <c r="E90" i="36"/>
  <c r="E89" i="36"/>
  <c r="E86" i="36"/>
  <c r="E85" i="36"/>
  <c r="E82" i="36"/>
  <c r="E81" i="36"/>
  <c r="E78" i="36"/>
  <c r="E77" i="36"/>
  <c r="E74" i="36"/>
  <c r="E73" i="36"/>
  <c r="E70" i="36"/>
  <c r="E69" i="36"/>
  <c r="D63" i="36"/>
  <c r="D62" i="36"/>
  <c r="D93" i="36" s="1"/>
  <c r="F93" i="36" s="1"/>
  <c r="D61" i="36"/>
  <c r="D60" i="36"/>
  <c r="D91" i="36" s="1"/>
  <c r="D59" i="36"/>
  <c r="D58" i="36"/>
  <c r="D89" i="36" s="1"/>
  <c r="F89" i="36" s="1"/>
  <c r="D57" i="36"/>
  <c r="D56" i="36"/>
  <c r="D87" i="36" s="1"/>
  <c r="F87" i="36" s="1"/>
  <c r="D55" i="36"/>
  <c r="D54" i="36"/>
  <c r="D85" i="36" s="1"/>
  <c r="F85" i="36" s="1"/>
  <c r="D53" i="36"/>
  <c r="D52" i="36"/>
  <c r="D83" i="36" s="1"/>
  <c r="D51" i="36"/>
  <c r="D50" i="36"/>
  <c r="D81" i="36" s="1"/>
  <c r="F81" i="36" s="1"/>
  <c r="D49" i="36"/>
  <c r="D48" i="36"/>
  <c r="D79" i="36" s="1"/>
  <c r="F79" i="36" s="1"/>
  <c r="D47" i="36"/>
  <c r="D46" i="36"/>
  <c r="D77" i="36" s="1"/>
  <c r="F77" i="36" s="1"/>
  <c r="D45" i="36"/>
  <c r="D44" i="36"/>
  <c r="D75" i="36" s="1"/>
  <c r="D43" i="36"/>
  <c r="D42" i="36"/>
  <c r="D73" i="36" s="1"/>
  <c r="F73" i="36" s="1"/>
  <c r="D41" i="36"/>
  <c r="D40" i="36"/>
  <c r="D71" i="36" s="1"/>
  <c r="F71" i="36" s="1"/>
  <c r="D39" i="36"/>
  <c r="D38" i="36"/>
  <c r="D69" i="36" s="1"/>
  <c r="F69" i="36" s="1"/>
  <c r="D37" i="36"/>
  <c r="D36" i="36"/>
  <c r="D67" i="36" s="1"/>
  <c r="E67" i="36"/>
  <c r="E72" i="36"/>
  <c r="E75" i="36"/>
  <c r="E80" i="36"/>
  <c r="E83" i="36"/>
  <c r="E88" i="36"/>
  <c r="E91" i="36"/>
  <c r="E99" i="36"/>
  <c r="E101" i="36"/>
  <c r="E104" i="36"/>
  <c r="E109" i="36"/>
  <c r="C111" i="36"/>
  <c r="E112" i="36"/>
  <c r="C115" i="36"/>
  <c r="C116" i="36"/>
  <c r="D5" i="35"/>
  <c r="D13" i="35"/>
  <c r="D21" i="35"/>
  <c r="D27" i="35"/>
  <c r="D31" i="35"/>
  <c r="F70" i="35"/>
  <c r="F78" i="35"/>
  <c r="F82" i="35"/>
  <c r="F86" i="35"/>
  <c r="D88" i="35"/>
  <c r="F88" i="35" s="1"/>
  <c r="D26" i="35"/>
  <c r="D90" i="35"/>
  <c r="F90" i="35" s="1"/>
  <c r="D28" i="35"/>
  <c r="D92" i="35"/>
  <c r="F92" i="35" s="1"/>
  <c r="D30" i="35"/>
  <c r="D94" i="35"/>
  <c r="F94" i="35" s="1"/>
  <c r="D32" i="35"/>
  <c r="D6" i="34"/>
  <c r="D14" i="34"/>
  <c r="D22" i="34"/>
  <c r="D64" i="33"/>
  <c r="D7" i="33"/>
  <c r="D11" i="33"/>
  <c r="D15" i="33"/>
  <c r="D19" i="33"/>
  <c r="D23" i="33"/>
  <c r="D27" i="33"/>
  <c r="D31" i="33"/>
  <c r="C116" i="32"/>
  <c r="E115" i="32"/>
  <c r="C115" i="32"/>
  <c r="E114" i="32"/>
  <c r="C113" i="32"/>
  <c r="F113" i="32" s="1"/>
  <c r="E112" i="32"/>
  <c r="F112" i="32" s="1"/>
  <c r="C111" i="32"/>
  <c r="E110" i="32"/>
  <c r="E109" i="32"/>
  <c r="E103" i="32"/>
  <c r="E101" i="32"/>
  <c r="E99" i="32"/>
  <c r="E94" i="32"/>
  <c r="E93" i="32"/>
  <c r="E90" i="32"/>
  <c r="E89" i="32"/>
  <c r="E86" i="32"/>
  <c r="E85" i="32"/>
  <c r="E82" i="32"/>
  <c r="E81" i="32"/>
  <c r="E78" i="32"/>
  <c r="E77" i="32"/>
  <c r="E74" i="32"/>
  <c r="E73" i="32"/>
  <c r="E70" i="32"/>
  <c r="E69" i="32"/>
  <c r="D63" i="32"/>
  <c r="D62" i="32"/>
  <c r="D93" i="32" s="1"/>
  <c r="F93" i="32" s="1"/>
  <c r="D61" i="32"/>
  <c r="D60" i="32"/>
  <c r="D91" i="32" s="1"/>
  <c r="D59" i="32"/>
  <c r="D58" i="32"/>
  <c r="D89" i="32" s="1"/>
  <c r="F89" i="32" s="1"/>
  <c r="D57" i="32"/>
  <c r="D56" i="32"/>
  <c r="D87" i="32" s="1"/>
  <c r="F87" i="32" s="1"/>
  <c r="D55" i="32"/>
  <c r="D54" i="32"/>
  <c r="D85" i="32" s="1"/>
  <c r="F85" i="32" s="1"/>
  <c r="D53" i="32"/>
  <c r="D52" i="32"/>
  <c r="D83" i="32" s="1"/>
  <c r="D51" i="32"/>
  <c r="D50" i="32"/>
  <c r="D81" i="32" s="1"/>
  <c r="F81" i="32" s="1"/>
  <c r="D49" i="32"/>
  <c r="D48" i="32"/>
  <c r="D79" i="32" s="1"/>
  <c r="F79" i="32" s="1"/>
  <c r="D47" i="32"/>
  <c r="D46" i="32"/>
  <c r="D77" i="32" s="1"/>
  <c r="F77" i="32" s="1"/>
  <c r="D45" i="32"/>
  <c r="D44" i="32"/>
  <c r="D75" i="32" s="1"/>
  <c r="D43" i="32"/>
  <c r="D42" i="32"/>
  <c r="D73" i="32" s="1"/>
  <c r="F73" i="32" s="1"/>
  <c r="D41" i="32"/>
  <c r="D40" i="32"/>
  <c r="D71" i="32" s="1"/>
  <c r="F71" i="32" s="1"/>
  <c r="D39" i="32"/>
  <c r="D38" i="32"/>
  <c r="D69" i="32" s="1"/>
  <c r="F69" i="32" s="1"/>
  <c r="D37" i="32"/>
  <c r="D36" i="32"/>
  <c r="D67" i="32" s="1"/>
  <c r="E67" i="32"/>
  <c r="E72" i="32"/>
  <c r="E75" i="32"/>
  <c r="E80" i="32"/>
  <c r="E83" i="32"/>
  <c r="E88" i="32"/>
  <c r="E91" i="32"/>
  <c r="E100" i="32"/>
  <c r="E104" i="32"/>
  <c r="C110" i="32"/>
  <c r="F110" i="32" s="1"/>
  <c r="E111" i="32"/>
  <c r="C114" i="32"/>
  <c r="F114" i="32" s="1"/>
  <c r="D115" i="32"/>
  <c r="D118" i="32" s="1"/>
  <c r="C116" i="31"/>
  <c r="E115" i="31"/>
  <c r="C115" i="31"/>
  <c r="E114" i="31"/>
  <c r="C113" i="31"/>
  <c r="F113" i="31" s="1"/>
  <c r="E112" i="31"/>
  <c r="F112" i="31" s="1"/>
  <c r="C111" i="31"/>
  <c r="E110" i="31"/>
  <c r="E109" i="31"/>
  <c r="E103" i="31"/>
  <c r="E101" i="31"/>
  <c r="E99" i="31"/>
  <c r="E94" i="31"/>
  <c r="E91" i="31"/>
  <c r="E90" i="31"/>
  <c r="E87" i="31"/>
  <c r="E86" i="31"/>
  <c r="E83" i="31"/>
  <c r="E82" i="31"/>
  <c r="E79" i="31"/>
  <c r="E78" i="31"/>
  <c r="E75" i="31"/>
  <c r="E74" i="31"/>
  <c r="E71" i="31"/>
  <c r="E70" i="31"/>
  <c r="E67" i="31"/>
  <c r="D63" i="31"/>
  <c r="D94" i="31" s="1"/>
  <c r="F94" i="31" s="1"/>
  <c r="D62" i="31"/>
  <c r="D61" i="31"/>
  <c r="D92" i="31" s="1"/>
  <c r="F92" i="31" s="1"/>
  <c r="D60" i="31"/>
  <c r="D59" i="31"/>
  <c r="D90" i="31" s="1"/>
  <c r="F90" i="31" s="1"/>
  <c r="D58" i="31"/>
  <c r="D57" i="31"/>
  <c r="D88" i="31" s="1"/>
  <c r="D56" i="31"/>
  <c r="D55" i="31"/>
  <c r="D86" i="31" s="1"/>
  <c r="F86" i="31" s="1"/>
  <c r="D54" i="31"/>
  <c r="D53" i="31"/>
  <c r="D84" i="31" s="1"/>
  <c r="F84" i="31" s="1"/>
  <c r="D52" i="31"/>
  <c r="D51" i="31"/>
  <c r="D82" i="31" s="1"/>
  <c r="F82" i="31" s="1"/>
  <c r="D50" i="31"/>
  <c r="D49" i="31"/>
  <c r="D80" i="31" s="1"/>
  <c r="D48" i="31"/>
  <c r="D47" i="31"/>
  <c r="D78" i="31" s="1"/>
  <c r="F78" i="31" s="1"/>
  <c r="D46" i="31"/>
  <c r="D45" i="31"/>
  <c r="D76" i="31" s="1"/>
  <c r="F76" i="31" s="1"/>
  <c r="D44" i="31"/>
  <c r="D43" i="31"/>
  <c r="D74" i="31" s="1"/>
  <c r="F74" i="31" s="1"/>
  <c r="D42" i="31"/>
  <c r="D41" i="31"/>
  <c r="D72" i="31" s="1"/>
  <c r="D40" i="31"/>
  <c r="D39" i="31"/>
  <c r="D70" i="31" s="1"/>
  <c r="F70" i="31" s="1"/>
  <c r="D38" i="31"/>
  <c r="D37" i="31"/>
  <c r="D68" i="31" s="1"/>
  <c r="F68" i="31" s="1"/>
  <c r="D36" i="31"/>
  <c r="E69" i="31"/>
  <c r="E72" i="31"/>
  <c r="E77" i="31"/>
  <c r="E80" i="31"/>
  <c r="E85" i="31"/>
  <c r="E88" i="31"/>
  <c r="E93" i="31"/>
  <c r="E100" i="31"/>
  <c r="E104" i="31"/>
  <c r="C110" i="31"/>
  <c r="F110" i="31" s="1"/>
  <c r="E111" i="31"/>
  <c r="C114" i="31"/>
  <c r="F114" i="31" s="1"/>
  <c r="D115" i="31"/>
  <c r="D118" i="31" s="1"/>
  <c r="C116" i="30"/>
  <c r="E115" i="30"/>
  <c r="C115" i="30"/>
  <c r="E114" i="30"/>
  <c r="F114" i="30" s="1"/>
  <c r="C113" i="30"/>
  <c r="E112" i="30"/>
  <c r="C111" i="30"/>
  <c r="F111" i="30" s="1"/>
  <c r="E110" i="30"/>
  <c r="F110" i="30" s="1"/>
  <c r="E109" i="30"/>
  <c r="E103" i="30"/>
  <c r="E101" i="30"/>
  <c r="E99" i="30"/>
  <c r="E94" i="30"/>
  <c r="E91" i="30"/>
  <c r="E90" i="30"/>
  <c r="E87" i="30"/>
  <c r="E86" i="30"/>
  <c r="E83" i="30"/>
  <c r="E82" i="30"/>
  <c r="E79" i="30"/>
  <c r="E78" i="30"/>
  <c r="E75" i="30"/>
  <c r="E74" i="30"/>
  <c r="E71" i="30"/>
  <c r="E70" i="30"/>
  <c r="E68" i="30"/>
  <c r="D63" i="30"/>
  <c r="D62" i="30"/>
  <c r="D61" i="30"/>
  <c r="D60" i="30"/>
  <c r="D59" i="30"/>
  <c r="D58" i="30"/>
  <c r="D57" i="30"/>
  <c r="D56" i="30"/>
  <c r="D55" i="30"/>
  <c r="D54" i="30"/>
  <c r="D53" i="30"/>
  <c r="D52" i="30"/>
  <c r="D51" i="30"/>
  <c r="D50" i="30"/>
  <c r="D49" i="30"/>
  <c r="D48" i="30"/>
  <c r="D47" i="30"/>
  <c r="D46" i="30"/>
  <c r="D45" i="30"/>
  <c r="D44" i="30"/>
  <c r="D43" i="30"/>
  <c r="D42" i="30"/>
  <c r="D41" i="30"/>
  <c r="D40" i="30"/>
  <c r="D39" i="30"/>
  <c r="D38" i="30"/>
  <c r="D69" i="30" s="1"/>
  <c r="F69" i="30" s="1"/>
  <c r="D37" i="30"/>
  <c r="D36" i="30"/>
  <c r="E67" i="30"/>
  <c r="E73" i="30"/>
  <c r="E76" i="30"/>
  <c r="E81" i="30"/>
  <c r="E84" i="30"/>
  <c r="E89" i="30"/>
  <c r="E92" i="30"/>
  <c r="E98" i="30"/>
  <c r="E102" i="30"/>
  <c r="D109" i="30"/>
  <c r="D118" i="30" s="1"/>
  <c r="C112" i="30"/>
  <c r="E113" i="30"/>
  <c r="D117" i="30"/>
  <c r="F117" i="30" s="1"/>
  <c r="E120" i="30"/>
  <c r="F120" i="30" s="1"/>
  <c r="E68" i="29"/>
  <c r="E71" i="29"/>
  <c r="E76" i="29"/>
  <c r="E79" i="29"/>
  <c r="E84" i="29"/>
  <c r="E87" i="29"/>
  <c r="E92" i="29"/>
  <c r="E98" i="29"/>
  <c r="E102" i="29"/>
  <c r="D109" i="29"/>
  <c r="D118" i="29" s="1"/>
  <c r="C112" i="29"/>
  <c r="F112" i="29" s="1"/>
  <c r="E113" i="29"/>
  <c r="D117" i="29"/>
  <c r="F117" i="29" s="1"/>
  <c r="E120" i="29"/>
  <c r="F120" i="29" s="1"/>
  <c r="E68" i="28"/>
  <c r="E73" i="28"/>
  <c r="E76" i="28"/>
  <c r="E81" i="28"/>
  <c r="E84" i="28"/>
  <c r="E89" i="28"/>
  <c r="E92" i="28"/>
  <c r="E98" i="28"/>
  <c r="E102" i="28"/>
  <c r="D109" i="28"/>
  <c r="D118" i="28" s="1"/>
  <c r="C112" i="28"/>
  <c r="F112" i="28" s="1"/>
  <c r="E113" i="28"/>
  <c r="D117" i="28"/>
  <c r="F117" i="28" s="1"/>
  <c r="E120" i="28"/>
  <c r="F120" i="28" s="1"/>
  <c r="E67" i="27"/>
  <c r="E71" i="27"/>
  <c r="E75" i="27"/>
  <c r="E79" i="27"/>
  <c r="E83" i="27"/>
  <c r="E87" i="27"/>
  <c r="E91" i="27"/>
  <c r="E98" i="27"/>
  <c r="E102" i="27"/>
  <c r="D109" i="27"/>
  <c r="D118" i="27" s="1"/>
  <c r="C112" i="27"/>
  <c r="F112" i="27" s="1"/>
  <c r="E113" i="27"/>
  <c r="D117" i="27"/>
  <c r="F117" i="27" s="1"/>
  <c r="E120" i="27"/>
  <c r="F120" i="27" s="1"/>
  <c r="E67" i="26"/>
  <c r="E71" i="26"/>
  <c r="E75" i="26"/>
  <c r="E79" i="26"/>
  <c r="E83" i="26"/>
  <c r="E87" i="26"/>
  <c r="E91" i="26"/>
  <c r="E98" i="26"/>
  <c r="E102" i="26"/>
  <c r="D109" i="26"/>
  <c r="D118" i="26" s="1"/>
  <c r="C112" i="26"/>
  <c r="F112" i="26" s="1"/>
  <c r="E113" i="26"/>
  <c r="D117" i="26"/>
  <c r="F117" i="26" s="1"/>
  <c r="E120" i="26"/>
  <c r="F120" i="26" s="1"/>
  <c r="E68" i="25"/>
  <c r="E71" i="25"/>
  <c r="E76" i="25"/>
  <c r="E79" i="25"/>
  <c r="E84" i="25"/>
  <c r="E87" i="25"/>
  <c r="E92" i="25"/>
  <c r="E98" i="25"/>
  <c r="E100" i="25"/>
  <c r="E103" i="25"/>
  <c r="E110" i="25"/>
  <c r="C113" i="25"/>
  <c r="F113" i="25" s="1"/>
  <c r="E114" i="25"/>
  <c r="E115" i="25"/>
  <c r="D68" i="23"/>
  <c r="F68" i="23" s="1"/>
  <c r="D6" i="23"/>
  <c r="D72" i="23"/>
  <c r="F72" i="23" s="1"/>
  <c r="D10" i="23"/>
  <c r="D76" i="23"/>
  <c r="F76" i="23" s="1"/>
  <c r="D14" i="23"/>
  <c r="D80" i="23"/>
  <c r="F80" i="23" s="1"/>
  <c r="D18" i="23"/>
  <c r="D84" i="23"/>
  <c r="F84" i="23" s="1"/>
  <c r="D22" i="23"/>
  <c r="D88" i="23"/>
  <c r="F88" i="23" s="1"/>
  <c r="D26" i="23"/>
  <c r="D92" i="23"/>
  <c r="F92" i="23" s="1"/>
  <c r="D30" i="23"/>
  <c r="D6" i="21"/>
  <c r="D8" i="21"/>
  <c r="D10" i="21"/>
  <c r="D12" i="21"/>
  <c r="D14" i="21"/>
  <c r="D16" i="21"/>
  <c r="D18" i="21"/>
  <c r="D20" i="21"/>
  <c r="D22" i="21"/>
  <c r="D24" i="21"/>
  <c r="D26" i="21"/>
  <c r="D28" i="21"/>
  <c r="D30" i="21"/>
  <c r="D32" i="21"/>
  <c r="E120" i="19"/>
  <c r="F120" i="19" s="1"/>
  <c r="D117" i="19"/>
  <c r="F117" i="19" s="1"/>
  <c r="D115" i="19"/>
  <c r="C114" i="19"/>
  <c r="E113" i="19"/>
  <c r="C112" i="19"/>
  <c r="E111" i="19"/>
  <c r="C110" i="19"/>
  <c r="D109" i="19"/>
  <c r="D118" i="19" s="1"/>
  <c r="E104" i="19"/>
  <c r="E103" i="19"/>
  <c r="E101" i="19"/>
  <c r="E99" i="19"/>
  <c r="E94" i="19"/>
  <c r="E92" i="19"/>
  <c r="E90" i="19"/>
  <c r="E88" i="19"/>
  <c r="E86" i="19"/>
  <c r="E84" i="19"/>
  <c r="E82" i="19"/>
  <c r="E80" i="19"/>
  <c r="E78" i="19"/>
  <c r="E76" i="19"/>
  <c r="E74" i="19"/>
  <c r="E72" i="19"/>
  <c r="E70" i="19"/>
  <c r="E68" i="19"/>
  <c r="D63" i="19"/>
  <c r="D62" i="19"/>
  <c r="D61" i="19"/>
  <c r="D60" i="19"/>
  <c r="D59" i="19"/>
  <c r="D58" i="19"/>
  <c r="D57" i="19"/>
  <c r="D56" i="19"/>
  <c r="D55" i="19"/>
  <c r="D54" i="19"/>
  <c r="D53" i="19"/>
  <c r="D52" i="19"/>
  <c r="D51" i="19"/>
  <c r="D50" i="19"/>
  <c r="D49" i="19"/>
  <c r="D48" i="19"/>
  <c r="D47" i="19"/>
  <c r="D46" i="19"/>
  <c r="D45" i="19"/>
  <c r="D44" i="19"/>
  <c r="D43" i="19"/>
  <c r="D42" i="19"/>
  <c r="D41" i="19"/>
  <c r="D40" i="19"/>
  <c r="D39" i="19"/>
  <c r="D38" i="19"/>
  <c r="D37" i="19"/>
  <c r="D36" i="19"/>
  <c r="E67" i="19"/>
  <c r="E71" i="19"/>
  <c r="E75" i="19"/>
  <c r="E79" i="19"/>
  <c r="E83" i="19"/>
  <c r="E87" i="19"/>
  <c r="E91" i="19"/>
  <c r="E98" i="19"/>
  <c r="E102" i="19"/>
  <c r="E110" i="19"/>
  <c r="C113" i="19"/>
  <c r="E114" i="19"/>
  <c r="E115" i="19"/>
  <c r="E120" i="16"/>
  <c r="F120" i="16" s="1"/>
  <c r="D117" i="16"/>
  <c r="F117" i="16" s="1"/>
  <c r="D115" i="16"/>
  <c r="C114" i="16"/>
  <c r="E113" i="16"/>
  <c r="C112" i="16"/>
  <c r="E111" i="16"/>
  <c r="C110" i="16"/>
  <c r="D109" i="16"/>
  <c r="D118" i="16" s="1"/>
  <c r="E102" i="16"/>
  <c r="E94" i="16"/>
  <c r="E93" i="16"/>
  <c r="E90" i="16"/>
  <c r="E89" i="16"/>
  <c r="E86" i="16"/>
  <c r="E85" i="16"/>
  <c r="E82" i="16"/>
  <c r="E81" i="16"/>
  <c r="E78" i="16"/>
  <c r="E77" i="16"/>
  <c r="E74" i="16"/>
  <c r="E73" i="16"/>
  <c r="E70" i="16"/>
  <c r="E69"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E67" i="16"/>
  <c r="E72" i="16"/>
  <c r="E75" i="16"/>
  <c r="E80" i="16"/>
  <c r="E83" i="16"/>
  <c r="E88" i="16"/>
  <c r="E91" i="16"/>
  <c r="E99" i="16"/>
  <c r="E101" i="16"/>
  <c r="E104" i="16"/>
  <c r="E109" i="16"/>
  <c r="C111" i="16"/>
  <c r="E112" i="16"/>
  <c r="C115" i="16"/>
  <c r="C116" i="16"/>
  <c r="D10" i="15"/>
  <c r="D12" i="15"/>
  <c r="D14" i="15"/>
  <c r="D16" i="15"/>
  <c r="D18" i="15"/>
  <c r="D20" i="15"/>
  <c r="D22" i="15"/>
  <c r="D24" i="15"/>
  <c r="D26" i="15"/>
  <c r="D28" i="15"/>
  <c r="D30" i="15"/>
  <c r="D32" i="15"/>
  <c r="F38" i="35"/>
  <c r="F40" i="35"/>
  <c r="F42" i="35"/>
  <c r="F44" i="35"/>
  <c r="F46" i="35"/>
  <c r="F48" i="35"/>
  <c r="F52" i="35"/>
  <c r="F54" i="35"/>
  <c r="F56" i="35"/>
  <c r="F58" i="35"/>
  <c r="F60" i="35"/>
  <c r="F62" i="35"/>
  <c r="E67" i="35"/>
  <c r="E69" i="35"/>
  <c r="E71" i="35"/>
  <c r="E73" i="35"/>
  <c r="E75" i="35"/>
  <c r="E77" i="35"/>
  <c r="E79" i="35"/>
  <c r="E81" i="35"/>
  <c r="E83" i="35"/>
  <c r="E85" i="35"/>
  <c r="E87" i="35"/>
  <c r="E89" i="35"/>
  <c r="E91" i="35"/>
  <c r="E93" i="35"/>
  <c r="E98" i="35"/>
  <c r="E100" i="35"/>
  <c r="E102" i="35"/>
  <c r="E104" i="35"/>
  <c r="D109" i="35"/>
  <c r="C110" i="35"/>
  <c r="F110" i="35" s="1"/>
  <c r="E111" i="35"/>
  <c r="F111" i="35" s="1"/>
  <c r="C112" i="35"/>
  <c r="F112" i="35" s="1"/>
  <c r="E113" i="35"/>
  <c r="F113" i="35" s="1"/>
  <c r="C114" i="35"/>
  <c r="F114" i="35" s="1"/>
  <c r="D115" i="35"/>
  <c r="F115" i="35" s="1"/>
  <c r="D117" i="35"/>
  <c r="F117" i="35" s="1"/>
  <c r="F37" i="34"/>
  <c r="F39" i="34"/>
  <c r="F41" i="34"/>
  <c r="F43" i="34"/>
  <c r="F45" i="34"/>
  <c r="F47" i="34"/>
  <c r="F49" i="34"/>
  <c r="F51" i="34"/>
  <c r="F53" i="34"/>
  <c r="F57" i="34"/>
  <c r="F59" i="34"/>
  <c r="F61" i="34"/>
  <c r="F63" i="34"/>
  <c r="E67" i="34"/>
  <c r="E69" i="34"/>
  <c r="F69" i="34" s="1"/>
  <c r="E71" i="34"/>
  <c r="F71" i="34" s="1"/>
  <c r="E73" i="34"/>
  <c r="F73" i="34" s="1"/>
  <c r="E75" i="34"/>
  <c r="F75" i="34" s="1"/>
  <c r="E77" i="34"/>
  <c r="F77" i="34" s="1"/>
  <c r="E79" i="34"/>
  <c r="F79" i="34" s="1"/>
  <c r="E81" i="34"/>
  <c r="F81" i="34" s="1"/>
  <c r="E83" i="34"/>
  <c r="F83" i="34" s="1"/>
  <c r="E85" i="34"/>
  <c r="F85" i="34" s="1"/>
  <c r="E87" i="34"/>
  <c r="E89" i="34"/>
  <c r="F89" i="34" s="1"/>
  <c r="E91" i="34"/>
  <c r="E93" i="34"/>
  <c r="E98" i="34"/>
  <c r="E100" i="34"/>
  <c r="E102" i="34"/>
  <c r="E104" i="34"/>
  <c r="D109" i="34"/>
  <c r="C110" i="34"/>
  <c r="F110" i="34" s="1"/>
  <c r="E111" i="34"/>
  <c r="F111" i="34" s="1"/>
  <c r="C112" i="34"/>
  <c r="F112" i="34" s="1"/>
  <c r="E113" i="34"/>
  <c r="F113" i="34" s="1"/>
  <c r="C114" i="34"/>
  <c r="F114" i="34" s="1"/>
  <c r="D115" i="34"/>
  <c r="F115" i="34" s="1"/>
  <c r="D117" i="34"/>
  <c r="F117" i="34" s="1"/>
  <c r="F38" i="33"/>
  <c r="F40" i="33"/>
  <c r="F42" i="33"/>
  <c r="F44" i="33"/>
  <c r="F46" i="33"/>
  <c r="F48" i="33"/>
  <c r="F50" i="33"/>
  <c r="F52" i="33"/>
  <c r="F54" i="33"/>
  <c r="F56" i="33"/>
  <c r="F58" i="33"/>
  <c r="F60" i="33"/>
  <c r="F62" i="33"/>
  <c r="E67" i="33"/>
  <c r="E69" i="33"/>
  <c r="E71" i="33"/>
  <c r="E73" i="33"/>
  <c r="E75" i="33"/>
  <c r="E77" i="33"/>
  <c r="E79" i="33"/>
  <c r="E81" i="33"/>
  <c r="E83" i="33"/>
  <c r="E85" i="33"/>
  <c r="E87" i="33"/>
  <c r="E89" i="33"/>
  <c r="E91" i="33"/>
  <c r="E93" i="33"/>
  <c r="E98" i="33"/>
  <c r="E100" i="33"/>
  <c r="E102" i="33"/>
  <c r="E109" i="33"/>
  <c r="E110" i="33"/>
  <c r="F110" i="33" s="1"/>
  <c r="C111" i="33"/>
  <c r="F111" i="33" s="1"/>
  <c r="E112" i="33"/>
  <c r="F112" i="33" s="1"/>
  <c r="C113" i="33"/>
  <c r="F113" i="33" s="1"/>
  <c r="E114" i="33"/>
  <c r="F114" i="33" s="1"/>
  <c r="C115" i="33"/>
  <c r="E115" i="33"/>
  <c r="C116" i="24"/>
  <c r="E115" i="24"/>
  <c r="C115" i="24"/>
  <c r="E114" i="24"/>
  <c r="C113" i="24"/>
  <c r="F113" i="24" s="1"/>
  <c r="E112" i="24"/>
  <c r="F112" i="24" s="1"/>
  <c r="C111" i="24"/>
  <c r="E110" i="24"/>
  <c r="E109" i="24"/>
  <c r="E103" i="24"/>
  <c r="E101" i="24"/>
  <c r="E99" i="24"/>
  <c r="E94" i="24"/>
  <c r="E92" i="24"/>
  <c r="E90" i="24"/>
  <c r="E88" i="24"/>
  <c r="E86" i="24"/>
  <c r="E84" i="24"/>
  <c r="E82" i="24"/>
  <c r="E80" i="24"/>
  <c r="E78" i="24"/>
  <c r="E76" i="24"/>
  <c r="E74" i="24"/>
  <c r="E72" i="24"/>
  <c r="E70" i="24"/>
  <c r="E68" i="24"/>
  <c r="D63" i="24"/>
  <c r="D62" i="24"/>
  <c r="D61" i="24"/>
  <c r="D60" i="24"/>
  <c r="D59" i="24"/>
  <c r="D58" i="24"/>
  <c r="D57" i="24"/>
  <c r="D56" i="24"/>
  <c r="D55" i="24"/>
  <c r="D54" i="24"/>
  <c r="D53" i="24"/>
  <c r="D52" i="24"/>
  <c r="D51" i="24"/>
  <c r="D50" i="24"/>
  <c r="D49" i="24"/>
  <c r="D48" i="24"/>
  <c r="D47" i="24"/>
  <c r="D46" i="24"/>
  <c r="D45" i="24"/>
  <c r="D44" i="24"/>
  <c r="D43" i="24"/>
  <c r="D42" i="24"/>
  <c r="D41" i="24"/>
  <c r="D36" i="24"/>
  <c r="D37" i="24"/>
  <c r="F37" i="24" s="1"/>
  <c r="D38" i="24"/>
  <c r="D39" i="24"/>
  <c r="D40" i="24"/>
  <c r="E69" i="24"/>
  <c r="E73" i="24"/>
  <c r="E77" i="24"/>
  <c r="E81" i="24"/>
  <c r="E85" i="24"/>
  <c r="E89" i="24"/>
  <c r="E93" i="24"/>
  <c r="E100" i="24"/>
  <c r="E104" i="24"/>
  <c r="C110" i="24"/>
  <c r="F110" i="24" s="1"/>
  <c r="E111" i="24"/>
  <c r="C114" i="24"/>
  <c r="F114" i="24" s="1"/>
  <c r="D115" i="24"/>
  <c r="D118" i="24" s="1"/>
  <c r="E120" i="23"/>
  <c r="F120" i="23" s="1"/>
  <c r="D117" i="23"/>
  <c r="F117" i="23" s="1"/>
  <c r="D115" i="23"/>
  <c r="C114" i="23"/>
  <c r="E113" i="23"/>
  <c r="C112" i="23"/>
  <c r="F112" i="23" s="1"/>
  <c r="E111" i="23"/>
  <c r="F111" i="23" s="1"/>
  <c r="C110" i="23"/>
  <c r="D109" i="23"/>
  <c r="D118" i="23" s="1"/>
  <c r="E104" i="23"/>
  <c r="E102" i="23"/>
  <c r="E100" i="23"/>
  <c r="E98" i="23"/>
  <c r="E93" i="23"/>
  <c r="E91" i="23"/>
  <c r="E89" i="23"/>
  <c r="E87" i="23"/>
  <c r="E85" i="23"/>
  <c r="E83" i="23"/>
  <c r="E81" i="23"/>
  <c r="E79" i="23"/>
  <c r="E77" i="23"/>
  <c r="E75" i="23"/>
  <c r="E73" i="23"/>
  <c r="E71" i="23"/>
  <c r="E69" i="23"/>
  <c r="E67" i="23"/>
  <c r="D36" i="23"/>
  <c r="D38" i="23"/>
  <c r="D40" i="23"/>
  <c r="D42" i="23"/>
  <c r="D44" i="23"/>
  <c r="D46" i="23"/>
  <c r="D48" i="23"/>
  <c r="D50" i="23"/>
  <c r="D52" i="23"/>
  <c r="D54" i="23"/>
  <c r="D56" i="23"/>
  <c r="D58" i="23"/>
  <c r="D60" i="23"/>
  <c r="D62" i="23"/>
  <c r="E70" i="23"/>
  <c r="E74" i="23"/>
  <c r="E78" i="23"/>
  <c r="E82" i="23"/>
  <c r="E86" i="23"/>
  <c r="E90" i="23"/>
  <c r="E94" i="23"/>
  <c r="E101" i="23"/>
  <c r="E110" i="23"/>
  <c r="C113" i="23"/>
  <c r="F113" i="23" s="1"/>
  <c r="E114" i="23"/>
  <c r="E115" i="23"/>
  <c r="E69" i="19"/>
  <c r="E73" i="19"/>
  <c r="E77" i="19"/>
  <c r="E81" i="19"/>
  <c r="E85" i="19"/>
  <c r="E89" i="19"/>
  <c r="E93" i="19"/>
  <c r="E100" i="19"/>
  <c r="E109" i="19"/>
  <c r="C111" i="19"/>
  <c r="F111" i="19" s="1"/>
  <c r="E112" i="19"/>
  <c r="C115" i="19"/>
  <c r="F115" i="19" s="1"/>
  <c r="C116" i="19"/>
  <c r="C116" i="17"/>
  <c r="E115" i="17"/>
  <c r="C115" i="17"/>
  <c r="E114" i="17"/>
  <c r="F114" i="17" s="1"/>
  <c r="C113" i="17"/>
  <c r="E112" i="17"/>
  <c r="C111" i="17"/>
  <c r="F111" i="17" s="1"/>
  <c r="E110" i="17"/>
  <c r="F110" i="17" s="1"/>
  <c r="E109" i="17"/>
  <c r="E103" i="17"/>
  <c r="E101" i="17"/>
  <c r="E99" i="17"/>
  <c r="E94" i="17"/>
  <c r="E92" i="17"/>
  <c r="E90" i="17"/>
  <c r="E88" i="17"/>
  <c r="E86" i="17"/>
  <c r="E84" i="17"/>
  <c r="E82" i="17"/>
  <c r="E80" i="17"/>
  <c r="E78" i="17"/>
  <c r="E76" i="17"/>
  <c r="E74" i="17"/>
  <c r="E72" i="17"/>
  <c r="E70" i="17"/>
  <c r="E68" i="17"/>
  <c r="D63" i="17"/>
  <c r="D62" i="17"/>
  <c r="D61" i="17"/>
  <c r="D60" i="17"/>
  <c r="D59" i="17"/>
  <c r="D58" i="17"/>
  <c r="D57" i="17"/>
  <c r="D56" i="17"/>
  <c r="D55" i="17"/>
  <c r="D54" i="17"/>
  <c r="D53" i="17"/>
  <c r="D52" i="17"/>
  <c r="D51" i="17"/>
  <c r="D50" i="17"/>
  <c r="D49" i="17"/>
  <c r="D48" i="17"/>
  <c r="D47" i="17"/>
  <c r="D46" i="17"/>
  <c r="D45" i="17"/>
  <c r="D44" i="17"/>
  <c r="D43" i="17"/>
  <c r="D42" i="17"/>
  <c r="D41" i="17"/>
  <c r="D40" i="17"/>
  <c r="D39" i="17"/>
  <c r="F39" i="17" s="1"/>
  <c r="D38" i="17"/>
  <c r="D37" i="17"/>
  <c r="F37" i="17" s="1"/>
  <c r="D36" i="17"/>
  <c r="E67" i="17"/>
  <c r="E71" i="17"/>
  <c r="E75" i="17"/>
  <c r="E79" i="17"/>
  <c r="E83" i="17"/>
  <c r="E87" i="17"/>
  <c r="E91" i="17"/>
  <c r="E98" i="17"/>
  <c r="E102" i="17"/>
  <c r="D109" i="17"/>
  <c r="D118" i="17" s="1"/>
  <c r="C112" i="17"/>
  <c r="E113" i="17"/>
  <c r="D117" i="17"/>
  <c r="F117" i="17" s="1"/>
  <c r="E120" i="17"/>
  <c r="F120" i="17" s="1"/>
  <c r="E68" i="16"/>
  <c r="E71" i="16"/>
  <c r="E76" i="16"/>
  <c r="E79" i="16"/>
  <c r="E84" i="16"/>
  <c r="E87" i="16"/>
  <c r="E92" i="16"/>
  <c r="E98" i="16"/>
  <c r="E100" i="16"/>
  <c r="E103" i="16"/>
  <c r="F103" i="16" s="1"/>
  <c r="E110" i="16"/>
  <c r="C113" i="16"/>
  <c r="F113" i="16" s="1"/>
  <c r="E114" i="16"/>
  <c r="E115" i="16"/>
  <c r="D69" i="15"/>
  <c r="D7" i="15"/>
  <c r="E67" i="14"/>
  <c r="E69" i="14"/>
  <c r="E71" i="14"/>
  <c r="E73" i="14"/>
  <c r="E75" i="14"/>
  <c r="E77" i="14"/>
  <c r="E79" i="14"/>
  <c r="E81" i="14"/>
  <c r="E83" i="14"/>
  <c r="E85" i="14"/>
  <c r="E87" i="14"/>
  <c r="E89" i="14"/>
  <c r="E91" i="14"/>
  <c r="E93" i="14"/>
  <c r="E98" i="14"/>
  <c r="E100" i="14"/>
  <c r="E102" i="14"/>
  <c r="E104" i="14"/>
  <c r="D109" i="14"/>
  <c r="C110" i="14"/>
  <c r="E111" i="14"/>
  <c r="C112" i="14"/>
  <c r="E113" i="14"/>
  <c r="C114" i="14"/>
  <c r="D115" i="14"/>
  <c r="D117" i="14"/>
  <c r="F117" i="14" s="1"/>
  <c r="E120" i="14"/>
  <c r="F120" i="14" s="1"/>
  <c r="E120" i="13"/>
  <c r="F120" i="13" s="1"/>
  <c r="D117" i="13"/>
  <c r="F117" i="13" s="1"/>
  <c r="D115" i="13"/>
  <c r="C114" i="13"/>
  <c r="E113" i="13"/>
  <c r="C112" i="13"/>
  <c r="E111" i="13"/>
  <c r="C110" i="13"/>
  <c r="D109" i="13"/>
  <c r="D118" i="13" s="1"/>
  <c r="E104" i="13"/>
  <c r="E102" i="13"/>
  <c r="E100" i="13"/>
  <c r="E98" i="13"/>
  <c r="E93" i="13"/>
  <c r="E91" i="13"/>
  <c r="E89" i="13"/>
  <c r="E87" i="13"/>
  <c r="E85" i="13"/>
  <c r="E83" i="13"/>
  <c r="E81" i="13"/>
  <c r="E79" i="13"/>
  <c r="E77" i="13"/>
  <c r="E75" i="13"/>
  <c r="E73" i="13"/>
  <c r="E71" i="13"/>
  <c r="E69" i="13"/>
  <c r="E67" i="13"/>
  <c r="C116" i="13"/>
  <c r="E115" i="13"/>
  <c r="C115" i="13"/>
  <c r="E114" i="13"/>
  <c r="C113" i="13"/>
  <c r="E112" i="13"/>
  <c r="C111" i="13"/>
  <c r="E110" i="13"/>
  <c r="E109" i="13"/>
  <c r="E103" i="13"/>
  <c r="E101" i="13"/>
  <c r="E99" i="13"/>
  <c r="E94" i="13"/>
  <c r="E92" i="13"/>
  <c r="E90" i="13"/>
  <c r="E88" i="13"/>
  <c r="E86" i="13"/>
  <c r="E84" i="13"/>
  <c r="E82" i="13"/>
  <c r="E80" i="13"/>
  <c r="E78" i="13"/>
  <c r="E76" i="13"/>
  <c r="E74" i="13"/>
  <c r="E72" i="13"/>
  <c r="E70" i="13"/>
  <c r="E68" i="13"/>
  <c r="D63" i="13"/>
  <c r="D62" i="13"/>
  <c r="D61" i="13"/>
  <c r="D60" i="13"/>
  <c r="D59" i="13"/>
  <c r="D58" i="13"/>
  <c r="D57" i="13"/>
  <c r="D56" i="13"/>
  <c r="D55" i="13"/>
  <c r="D54" i="13"/>
  <c r="D53" i="13"/>
  <c r="D52" i="13"/>
  <c r="D51" i="13"/>
  <c r="D50" i="13"/>
  <c r="D49" i="13"/>
  <c r="D48" i="13"/>
  <c r="D47" i="13"/>
  <c r="D46" i="13"/>
  <c r="D45" i="13"/>
  <c r="D36" i="22"/>
  <c r="D37" i="22"/>
  <c r="F37" i="22" s="1"/>
  <c r="D38" i="22"/>
  <c r="D39" i="22"/>
  <c r="D40" i="22"/>
  <c r="D41" i="22"/>
  <c r="D42" i="22"/>
  <c r="D43" i="22"/>
  <c r="D44" i="22"/>
  <c r="D45" i="22"/>
  <c r="D46" i="22"/>
  <c r="D47" i="22"/>
  <c r="D48" i="22"/>
  <c r="D49" i="22"/>
  <c r="D50" i="22"/>
  <c r="D51" i="22"/>
  <c r="D52" i="22"/>
  <c r="D53" i="22"/>
  <c r="D54" i="22"/>
  <c r="D55" i="22"/>
  <c r="D56" i="22"/>
  <c r="D57" i="22"/>
  <c r="D58" i="22"/>
  <c r="D59" i="22"/>
  <c r="D60" i="22"/>
  <c r="D61" i="22"/>
  <c r="D62" i="22"/>
  <c r="D63" i="22"/>
  <c r="E68" i="22"/>
  <c r="E70" i="22"/>
  <c r="E72" i="22"/>
  <c r="E74" i="22"/>
  <c r="E76" i="22"/>
  <c r="E78" i="22"/>
  <c r="E80" i="22"/>
  <c r="E82" i="22"/>
  <c r="E84" i="22"/>
  <c r="E86" i="22"/>
  <c r="E88" i="22"/>
  <c r="E90" i="22"/>
  <c r="E92" i="22"/>
  <c r="E94" i="22"/>
  <c r="E99" i="22"/>
  <c r="E101" i="22"/>
  <c r="E103" i="22"/>
  <c r="E104" i="22"/>
  <c r="D109" i="22"/>
  <c r="C110" i="22"/>
  <c r="F110" i="22" s="1"/>
  <c r="E111" i="22"/>
  <c r="F111" i="22" s="1"/>
  <c r="C112" i="22"/>
  <c r="F112" i="22" s="1"/>
  <c r="E113" i="22"/>
  <c r="F113" i="22" s="1"/>
  <c r="C114" i="22"/>
  <c r="F114" i="22" s="1"/>
  <c r="D115" i="22"/>
  <c r="F115" i="22" s="1"/>
  <c r="D117" i="22"/>
  <c r="F117" i="22" s="1"/>
  <c r="F37" i="21"/>
  <c r="F39" i="21"/>
  <c r="F41" i="21"/>
  <c r="F45" i="21"/>
  <c r="F47" i="21"/>
  <c r="F49" i="21"/>
  <c r="F51" i="21"/>
  <c r="F53" i="21"/>
  <c r="F55" i="21"/>
  <c r="F57" i="21"/>
  <c r="F59" i="21"/>
  <c r="F61" i="21"/>
  <c r="F63" i="21"/>
  <c r="E67" i="21"/>
  <c r="E69" i="21"/>
  <c r="F69" i="21" s="1"/>
  <c r="E71" i="21"/>
  <c r="E73" i="21"/>
  <c r="F73" i="21" s="1"/>
  <c r="E75" i="21"/>
  <c r="E77" i="21"/>
  <c r="F77" i="21" s="1"/>
  <c r="E79" i="21"/>
  <c r="E81" i="21"/>
  <c r="F81" i="21" s="1"/>
  <c r="E83" i="21"/>
  <c r="E85" i="21"/>
  <c r="F85" i="21" s="1"/>
  <c r="E87" i="21"/>
  <c r="E89" i="21"/>
  <c r="F89" i="21" s="1"/>
  <c r="E91" i="21"/>
  <c r="E93" i="21"/>
  <c r="F93" i="21" s="1"/>
  <c r="E98" i="21"/>
  <c r="E100" i="21"/>
  <c r="E102" i="21"/>
  <c r="E104" i="21"/>
  <c r="D109" i="21"/>
  <c r="C110" i="21"/>
  <c r="F110" i="21" s="1"/>
  <c r="E111" i="21"/>
  <c r="F111" i="21" s="1"/>
  <c r="C112" i="21"/>
  <c r="F112" i="21" s="1"/>
  <c r="E113" i="21"/>
  <c r="F113" i="21" s="1"/>
  <c r="C114" i="21"/>
  <c r="F114" i="21" s="1"/>
  <c r="D115" i="21"/>
  <c r="F115" i="21" s="1"/>
  <c r="D117" i="21"/>
  <c r="F117" i="21" s="1"/>
  <c r="F37" i="15"/>
  <c r="F39" i="15"/>
  <c r="F41" i="15"/>
  <c r="F45" i="15"/>
  <c r="F47" i="15"/>
  <c r="F49" i="15"/>
  <c r="F53" i="15"/>
  <c r="F57" i="15"/>
  <c r="F59" i="15"/>
  <c r="F61" i="15"/>
  <c r="F63" i="15"/>
  <c r="E67" i="15"/>
  <c r="E69" i="15"/>
  <c r="E71" i="15"/>
  <c r="E73" i="15"/>
  <c r="E75" i="15"/>
  <c r="E77" i="15"/>
  <c r="E79" i="15"/>
  <c r="E81" i="15"/>
  <c r="E83" i="15"/>
  <c r="E85" i="15"/>
  <c r="E87" i="15"/>
  <c r="E89" i="15"/>
  <c r="E91" i="15"/>
  <c r="E93" i="15"/>
  <c r="E98" i="15"/>
  <c r="E100" i="15"/>
  <c r="E102" i="15"/>
  <c r="E104" i="15"/>
  <c r="D109" i="15"/>
  <c r="C110" i="15"/>
  <c r="F110" i="15" s="1"/>
  <c r="E111" i="15"/>
  <c r="C112" i="15"/>
  <c r="F112" i="15" s="1"/>
  <c r="E113" i="15"/>
  <c r="F113" i="15" s="1"/>
  <c r="C114" i="15"/>
  <c r="F114" i="15" s="1"/>
  <c r="D115" i="15"/>
  <c r="F115" i="15" s="1"/>
  <c r="D117" i="15"/>
  <c r="F117" i="15" s="1"/>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31" i="14" s="1"/>
  <c r="D63" i="14"/>
  <c r="E68" i="14"/>
  <c r="E70" i="14"/>
  <c r="E72" i="14"/>
  <c r="E74" i="14"/>
  <c r="E76" i="14"/>
  <c r="E78" i="14"/>
  <c r="E80" i="14"/>
  <c r="E82" i="14"/>
  <c r="E84" i="14"/>
  <c r="E86" i="14"/>
  <c r="E88" i="14"/>
  <c r="E90" i="14"/>
  <c r="E92" i="14"/>
  <c r="E94" i="14"/>
  <c r="E99" i="14"/>
  <c r="E101" i="14"/>
  <c r="E103" i="14"/>
  <c r="E109" i="14"/>
  <c r="E110" i="14"/>
  <c r="C111" i="14"/>
  <c r="F111" i="14" s="1"/>
  <c r="E112" i="14"/>
  <c r="C113" i="14"/>
  <c r="F113" i="14" s="1"/>
  <c r="E114" i="14"/>
  <c r="C115" i="14"/>
  <c r="E115" i="14"/>
  <c r="D36" i="13"/>
  <c r="D37" i="13"/>
  <c r="D38" i="13"/>
  <c r="D39" i="13"/>
  <c r="D40" i="13"/>
  <c r="D41" i="13"/>
  <c r="D42" i="13"/>
  <c r="D43" i="13"/>
  <c r="D44" i="13"/>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E68" i="12"/>
  <c r="E70" i="12"/>
  <c r="E72" i="12"/>
  <c r="E74" i="12"/>
  <c r="E76" i="12"/>
  <c r="E78" i="12"/>
  <c r="E80" i="12"/>
  <c r="E82" i="12"/>
  <c r="E84" i="12"/>
  <c r="E86" i="12"/>
  <c r="E88" i="12"/>
  <c r="E90" i="12"/>
  <c r="E92" i="12"/>
  <c r="E94" i="12"/>
  <c r="E99" i="12"/>
  <c r="E101" i="12"/>
  <c r="E103" i="12"/>
  <c r="E109" i="12"/>
  <c r="E110" i="12"/>
  <c r="C111" i="12"/>
  <c r="E112" i="12"/>
  <c r="C113" i="12"/>
  <c r="E114" i="12"/>
  <c r="C115" i="12"/>
  <c r="E115" i="12"/>
  <c r="C116" i="12"/>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E68" i="11"/>
  <c r="E70" i="11"/>
  <c r="E72" i="11"/>
  <c r="E74" i="11"/>
  <c r="E76" i="11"/>
  <c r="E78" i="11"/>
  <c r="E80" i="11"/>
  <c r="E82" i="11"/>
  <c r="E84" i="11"/>
  <c r="E86" i="11"/>
  <c r="E88" i="11"/>
  <c r="E90" i="11"/>
  <c r="E92" i="11"/>
  <c r="E94" i="11"/>
  <c r="E99" i="11"/>
  <c r="E101" i="11"/>
  <c r="E103" i="11"/>
  <c r="E109" i="11"/>
  <c r="E110" i="11"/>
  <c r="C111" i="11"/>
  <c r="E112" i="11"/>
  <c r="C113" i="11"/>
  <c r="E114" i="11"/>
  <c r="C115" i="11"/>
  <c r="E115" i="11"/>
  <c r="C116" i="11"/>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E68" i="10"/>
  <c r="E70" i="10"/>
  <c r="E72" i="10"/>
  <c r="E74" i="10"/>
  <c r="E76" i="10"/>
  <c r="E78" i="10"/>
  <c r="E80" i="10"/>
  <c r="E82" i="10"/>
  <c r="E84" i="10"/>
  <c r="E86" i="10"/>
  <c r="E88" i="10"/>
  <c r="E90" i="10"/>
  <c r="E92" i="10"/>
  <c r="E94" i="10"/>
  <c r="E99" i="10"/>
  <c r="E101" i="10"/>
  <c r="E103" i="10"/>
  <c r="D109" i="10"/>
  <c r="C110" i="10"/>
  <c r="E111" i="10"/>
  <c r="C112" i="10"/>
  <c r="E113" i="10"/>
  <c r="C114" i="10"/>
  <c r="D115" i="10"/>
  <c r="D117" i="10"/>
  <c r="F117" i="10" s="1"/>
  <c r="E120" i="10"/>
  <c r="F120" i="10" s="1"/>
  <c r="C116" i="9"/>
  <c r="E115" i="9"/>
  <c r="C115" i="9"/>
  <c r="E114" i="9"/>
  <c r="C113" i="9"/>
  <c r="E112" i="9"/>
  <c r="C111" i="9"/>
  <c r="E110" i="9"/>
  <c r="E120" i="9"/>
  <c r="F120" i="9" s="1"/>
  <c r="D117" i="9"/>
  <c r="F117" i="9" s="1"/>
  <c r="D115" i="9"/>
  <c r="C114" i="9"/>
  <c r="F114" i="9" s="1"/>
  <c r="E113" i="9"/>
  <c r="C112" i="9"/>
  <c r="F112" i="9" s="1"/>
  <c r="E111" i="9"/>
  <c r="C110" i="9"/>
  <c r="F110" i="9" s="1"/>
  <c r="D109" i="9"/>
  <c r="D118" i="9" s="1"/>
  <c r="D36" i="9"/>
  <c r="D67" i="9" s="1"/>
  <c r="D37" i="9"/>
  <c r="D38" i="9"/>
  <c r="D39" i="9"/>
  <c r="D40" i="9"/>
  <c r="D41" i="9"/>
  <c r="D42" i="9"/>
  <c r="D43" i="9"/>
  <c r="D44" i="9"/>
  <c r="D45" i="9"/>
  <c r="D46" i="9"/>
  <c r="D47" i="9"/>
  <c r="D48" i="9"/>
  <c r="D49" i="9"/>
  <c r="D50" i="9"/>
  <c r="D51" i="9"/>
  <c r="D52" i="9"/>
  <c r="D53" i="9"/>
  <c r="D54" i="9"/>
  <c r="D55" i="9"/>
  <c r="D56" i="9"/>
  <c r="D57" i="9"/>
  <c r="D58" i="9"/>
  <c r="D59" i="9"/>
  <c r="D60" i="9"/>
  <c r="D61" i="9"/>
  <c r="D62" i="9"/>
  <c r="D63" i="9"/>
  <c r="E68" i="9"/>
  <c r="E70" i="9"/>
  <c r="E72" i="9"/>
  <c r="E74" i="9"/>
  <c r="E76" i="9"/>
  <c r="E78" i="9"/>
  <c r="E80" i="9"/>
  <c r="E82" i="9"/>
  <c r="E84" i="9"/>
  <c r="E86" i="9"/>
  <c r="E88" i="9"/>
  <c r="E90" i="9"/>
  <c r="E92" i="9"/>
  <c r="E94" i="9"/>
  <c r="E99" i="9"/>
  <c r="E101" i="9"/>
  <c r="E103" i="9"/>
  <c r="F103" i="9" s="1"/>
  <c r="E67" i="12"/>
  <c r="E69" i="12"/>
  <c r="E71" i="12"/>
  <c r="E73" i="12"/>
  <c r="E75" i="12"/>
  <c r="E77" i="12"/>
  <c r="E79" i="12"/>
  <c r="E81" i="12"/>
  <c r="E83" i="12"/>
  <c r="E85" i="12"/>
  <c r="E87" i="12"/>
  <c r="E89" i="12"/>
  <c r="E91" i="12"/>
  <c r="E93" i="12"/>
  <c r="E98" i="12"/>
  <c r="E100" i="12"/>
  <c r="E102" i="12"/>
  <c r="E104" i="12"/>
  <c r="D109" i="12"/>
  <c r="C110" i="12"/>
  <c r="E111" i="12"/>
  <c r="C112" i="12"/>
  <c r="E113" i="12"/>
  <c r="C114" i="12"/>
  <c r="D115" i="12"/>
  <c r="D117" i="12"/>
  <c r="F117" i="12" s="1"/>
  <c r="E67" i="11"/>
  <c r="E69" i="11"/>
  <c r="E71" i="11"/>
  <c r="E73" i="11"/>
  <c r="E75" i="11"/>
  <c r="E77" i="11"/>
  <c r="E79" i="11"/>
  <c r="E81" i="11"/>
  <c r="E83" i="11"/>
  <c r="E85" i="11"/>
  <c r="E87" i="11"/>
  <c r="E89" i="11"/>
  <c r="E91" i="11"/>
  <c r="E93" i="11"/>
  <c r="E98" i="11"/>
  <c r="E100" i="11"/>
  <c r="E102" i="11"/>
  <c r="E104" i="11"/>
  <c r="D109" i="11"/>
  <c r="C110" i="11"/>
  <c r="E111" i="11"/>
  <c r="C112" i="11"/>
  <c r="E113" i="11"/>
  <c r="C114" i="11"/>
  <c r="D115" i="11"/>
  <c r="D117" i="11"/>
  <c r="F117" i="11" s="1"/>
  <c r="E67" i="10"/>
  <c r="E69" i="10"/>
  <c r="E71" i="10"/>
  <c r="E73" i="10"/>
  <c r="E75" i="10"/>
  <c r="E77" i="10"/>
  <c r="E79" i="10"/>
  <c r="E81" i="10"/>
  <c r="E83" i="10"/>
  <c r="E85" i="10"/>
  <c r="E87" i="10"/>
  <c r="E89" i="10"/>
  <c r="E91" i="10"/>
  <c r="E93" i="10"/>
  <c r="E98" i="10"/>
  <c r="E100" i="10"/>
  <c r="E102" i="10"/>
  <c r="E104" i="10"/>
  <c r="E109" i="10"/>
  <c r="E110" i="10"/>
  <c r="C111" i="10"/>
  <c r="F111" i="10" s="1"/>
  <c r="E112" i="10"/>
  <c r="C113" i="10"/>
  <c r="F113" i="10" s="1"/>
  <c r="E114" i="10"/>
  <c r="C115" i="10"/>
  <c r="E115" i="10"/>
  <c r="E67" i="9"/>
  <c r="E69" i="9"/>
  <c r="E71" i="9"/>
  <c r="E73" i="9"/>
  <c r="E75" i="9"/>
  <c r="E77" i="9"/>
  <c r="E79" i="9"/>
  <c r="E81" i="9"/>
  <c r="E83" i="9"/>
  <c r="E85" i="9"/>
  <c r="E87" i="9"/>
  <c r="E89" i="9"/>
  <c r="E91" i="9"/>
  <c r="E93" i="9"/>
  <c r="E98" i="9"/>
  <c r="E100" i="9"/>
  <c r="E102" i="9"/>
  <c r="E104" i="9"/>
  <c r="E109" i="9"/>
  <c r="D36" i="8"/>
  <c r="D37" i="8"/>
  <c r="D68" i="8" s="1"/>
  <c r="D38" i="8"/>
  <c r="D39" i="8"/>
  <c r="D40" i="8"/>
  <c r="D41" i="8"/>
  <c r="D42" i="8"/>
  <c r="D43" i="8"/>
  <c r="D44" i="8"/>
  <c r="D45" i="8"/>
  <c r="D46" i="8"/>
  <c r="D47" i="8"/>
  <c r="D48" i="8"/>
  <c r="D49" i="8"/>
  <c r="D50" i="8"/>
  <c r="D51" i="8"/>
  <c r="D52" i="8"/>
  <c r="D53" i="8"/>
  <c r="D54" i="8"/>
  <c r="D55" i="8"/>
  <c r="D56" i="8"/>
  <c r="D57" i="8"/>
  <c r="D58" i="8"/>
  <c r="D59" i="8"/>
  <c r="D60" i="8"/>
  <c r="D61" i="8"/>
  <c r="D62" i="8"/>
  <c r="D63" i="8"/>
  <c r="E68" i="8"/>
  <c r="E70" i="8"/>
  <c r="E72" i="8"/>
  <c r="E74" i="8"/>
  <c r="E76" i="8"/>
  <c r="E78" i="8"/>
  <c r="E80" i="8"/>
  <c r="E82" i="8"/>
  <c r="E84" i="8"/>
  <c r="E86" i="8"/>
  <c r="E88" i="8"/>
  <c r="E90" i="8"/>
  <c r="E92" i="8"/>
  <c r="E94" i="8"/>
  <c r="E99" i="8"/>
  <c r="E101" i="8"/>
  <c r="E103" i="8"/>
  <c r="E109" i="8"/>
  <c r="E110" i="8"/>
  <c r="C111" i="8"/>
  <c r="E112" i="8"/>
  <c r="C113" i="8"/>
  <c r="E114" i="8"/>
  <c r="C115" i="8"/>
  <c r="E115" i="8"/>
  <c r="C116" i="8"/>
  <c r="D36" i="7"/>
  <c r="D67" i="7" s="1"/>
  <c r="D37" i="7"/>
  <c r="D38" i="7"/>
  <c r="D69" i="7" s="1"/>
  <c r="D39" i="7"/>
  <c r="D40" i="7"/>
  <c r="D41" i="7"/>
  <c r="D42" i="7"/>
  <c r="D43" i="7"/>
  <c r="D44" i="7"/>
  <c r="D45" i="7"/>
  <c r="D46" i="7"/>
  <c r="D47" i="7"/>
  <c r="D48" i="7"/>
  <c r="D49" i="7"/>
  <c r="D50" i="7"/>
  <c r="D51" i="7"/>
  <c r="D52" i="7"/>
  <c r="D53" i="7"/>
  <c r="D54" i="7"/>
  <c r="D55" i="7"/>
  <c r="D56" i="7"/>
  <c r="D57" i="7"/>
  <c r="D58" i="7"/>
  <c r="D59" i="7"/>
  <c r="D60" i="7"/>
  <c r="D61" i="7"/>
  <c r="D62" i="7"/>
  <c r="D63" i="7"/>
  <c r="E68" i="7"/>
  <c r="E70" i="7"/>
  <c r="E72" i="7"/>
  <c r="E74" i="7"/>
  <c r="E76" i="7"/>
  <c r="E78" i="7"/>
  <c r="E80" i="7"/>
  <c r="E82" i="7"/>
  <c r="E84" i="7"/>
  <c r="E86" i="7"/>
  <c r="E88" i="7"/>
  <c r="E90" i="7"/>
  <c r="E92" i="7"/>
  <c r="E94" i="7"/>
  <c r="E99" i="7"/>
  <c r="E101" i="7"/>
  <c r="E103" i="7"/>
  <c r="E109" i="7"/>
  <c r="E110" i="7"/>
  <c r="C111" i="7"/>
  <c r="E112" i="7"/>
  <c r="C113" i="7"/>
  <c r="C115" i="7"/>
  <c r="E64" i="6"/>
  <c r="E67" i="8"/>
  <c r="E69" i="8"/>
  <c r="E71" i="8"/>
  <c r="E73" i="8"/>
  <c r="E75" i="8"/>
  <c r="E77" i="8"/>
  <c r="E79" i="8"/>
  <c r="E81" i="8"/>
  <c r="E83" i="8"/>
  <c r="E85" i="8"/>
  <c r="E87" i="8"/>
  <c r="E89" i="8"/>
  <c r="E91" i="8"/>
  <c r="E93" i="8"/>
  <c r="E98" i="8"/>
  <c r="E100" i="8"/>
  <c r="E102" i="8"/>
  <c r="E104" i="8"/>
  <c r="D109" i="8"/>
  <c r="C110" i="8"/>
  <c r="E111" i="8"/>
  <c r="C112" i="8"/>
  <c r="E113" i="8"/>
  <c r="C114" i="8"/>
  <c r="D115" i="8"/>
  <c r="D117" i="8"/>
  <c r="F117" i="8" s="1"/>
  <c r="E120" i="7"/>
  <c r="F120" i="7" s="1"/>
  <c r="D117" i="7"/>
  <c r="F117" i="7" s="1"/>
  <c r="D115" i="7"/>
  <c r="C114" i="7"/>
  <c r="E67" i="7"/>
  <c r="E69" i="7"/>
  <c r="E71" i="7"/>
  <c r="E73" i="7"/>
  <c r="E75" i="7"/>
  <c r="E77" i="7"/>
  <c r="E79" i="7"/>
  <c r="E81" i="7"/>
  <c r="E83" i="7"/>
  <c r="E85" i="7"/>
  <c r="E87" i="7"/>
  <c r="E89" i="7"/>
  <c r="E91" i="7"/>
  <c r="E93" i="7"/>
  <c r="E98" i="7"/>
  <c r="E100" i="7"/>
  <c r="E102" i="7"/>
  <c r="E104" i="7"/>
  <c r="D109" i="7"/>
  <c r="D118" i="7" s="1"/>
  <c r="C110" i="7"/>
  <c r="E111" i="7"/>
  <c r="C112" i="7"/>
  <c r="E113" i="7"/>
  <c r="E114" i="7"/>
  <c r="E115" i="7"/>
  <c r="D68" i="4"/>
  <c r="F68" i="4" s="1"/>
  <c r="D6" i="4"/>
  <c r="D70" i="4"/>
  <c r="F70" i="4" s="1"/>
  <c r="D8" i="4"/>
  <c r="D72" i="4"/>
  <c r="F72" i="4" s="1"/>
  <c r="D10" i="4"/>
  <c r="D74" i="4"/>
  <c r="F74" i="4" s="1"/>
  <c r="D12" i="4"/>
  <c r="D76" i="4"/>
  <c r="F76" i="4" s="1"/>
  <c r="D14" i="4"/>
  <c r="D78" i="4"/>
  <c r="F78" i="4" s="1"/>
  <c r="D16" i="4"/>
  <c r="D80" i="4"/>
  <c r="F80" i="4" s="1"/>
  <c r="D18" i="4"/>
  <c r="D82" i="4"/>
  <c r="F82" i="4" s="1"/>
  <c r="D20" i="4"/>
  <c r="D84" i="4"/>
  <c r="F84" i="4" s="1"/>
  <c r="D22" i="4"/>
  <c r="D86" i="4"/>
  <c r="F86" i="4" s="1"/>
  <c r="D24" i="4"/>
  <c r="D88" i="4"/>
  <c r="F88" i="4" s="1"/>
  <c r="D26" i="4"/>
  <c r="D90" i="4"/>
  <c r="F90" i="4" s="1"/>
  <c r="D28" i="4"/>
  <c r="D92" i="4"/>
  <c r="F92" i="4" s="1"/>
  <c r="D30" i="4"/>
  <c r="D94" i="4"/>
  <c r="F94" i="4" s="1"/>
  <c r="D32" i="4"/>
  <c r="C116" i="6"/>
  <c r="E115" i="6"/>
  <c r="C115" i="6"/>
  <c r="E114" i="6"/>
  <c r="C113" i="6"/>
  <c r="F113" i="6" s="1"/>
  <c r="E112" i="6"/>
  <c r="F112" i="6" s="1"/>
  <c r="C111" i="6"/>
  <c r="E110" i="6"/>
  <c r="E109" i="6"/>
  <c r="E103" i="6"/>
  <c r="E101" i="6"/>
  <c r="E99" i="6"/>
  <c r="E94" i="6"/>
  <c r="E92" i="6"/>
  <c r="E90" i="6"/>
  <c r="E88" i="6"/>
  <c r="E86" i="6"/>
  <c r="E84" i="6"/>
  <c r="E82" i="6"/>
  <c r="E80" i="6"/>
  <c r="E78" i="6"/>
  <c r="E76"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E68" i="6"/>
  <c r="E70" i="6"/>
  <c r="E72" i="6"/>
  <c r="E74" i="6"/>
  <c r="E77" i="6"/>
  <c r="E81" i="6"/>
  <c r="E85" i="6"/>
  <c r="E89" i="6"/>
  <c r="E93" i="6"/>
  <c r="E100" i="6"/>
  <c r="E104" i="6"/>
  <c r="C110" i="6"/>
  <c r="F110" i="6" s="1"/>
  <c r="E111" i="6"/>
  <c r="C114" i="6"/>
  <c r="F114" i="6" s="1"/>
  <c r="D115" i="6"/>
  <c r="D118" i="6" s="1"/>
  <c r="D64" i="4"/>
  <c r="F38" i="4"/>
  <c r="F40" i="4"/>
  <c r="F42" i="4"/>
  <c r="F44" i="4"/>
  <c r="F46" i="4"/>
  <c r="F48" i="4"/>
  <c r="F50" i="4"/>
  <c r="F52" i="4"/>
  <c r="F54" i="4"/>
  <c r="F56" i="4"/>
  <c r="F58" i="4"/>
  <c r="F60" i="4"/>
  <c r="F62" i="4"/>
  <c r="E67" i="4"/>
  <c r="E69" i="4"/>
  <c r="E71" i="4"/>
  <c r="E73" i="4"/>
  <c r="E75" i="4"/>
  <c r="E77" i="4"/>
  <c r="E79" i="4"/>
  <c r="E81" i="4"/>
  <c r="E83" i="4"/>
  <c r="E85" i="4"/>
  <c r="E87" i="4"/>
  <c r="E89" i="4"/>
  <c r="E91" i="4"/>
  <c r="E93" i="4"/>
  <c r="E98" i="4"/>
  <c r="E100" i="4"/>
  <c r="E102" i="4"/>
  <c r="E104" i="4"/>
  <c r="D109" i="4"/>
  <c r="C110" i="4"/>
  <c r="F110" i="4" s="1"/>
  <c r="E111" i="4"/>
  <c r="F111" i="4" s="1"/>
  <c r="C112" i="4"/>
  <c r="F112" i="4" s="1"/>
  <c r="E113" i="4"/>
  <c r="F113" i="4" s="1"/>
  <c r="C114" i="4"/>
  <c r="F114" i="4" s="1"/>
  <c r="D115" i="4"/>
  <c r="F115" i="4" s="1"/>
  <c r="D117" i="4"/>
  <c r="F117" i="4" s="1"/>
  <c r="E67" i="59"/>
  <c r="E69" i="59"/>
  <c r="E71" i="59"/>
  <c r="E73" i="59"/>
  <c r="E75" i="59"/>
  <c r="E77" i="59"/>
  <c r="E79" i="59"/>
  <c r="E81" i="59"/>
  <c r="E83" i="59"/>
  <c r="E85" i="59"/>
  <c r="E87" i="59"/>
  <c r="E89" i="59"/>
  <c r="E91" i="59"/>
  <c r="E93" i="59"/>
  <c r="E98" i="59"/>
  <c r="E100" i="59"/>
  <c r="E102" i="59"/>
  <c r="E104" i="59"/>
  <c r="D109" i="59"/>
  <c r="C110" i="59"/>
  <c r="E111" i="59"/>
  <c r="C112" i="59"/>
  <c r="C116" i="59"/>
  <c r="E115" i="59"/>
  <c r="C115" i="59"/>
  <c r="E114" i="59"/>
  <c r="E120" i="59"/>
  <c r="F120" i="59" s="1"/>
  <c r="D117" i="59"/>
  <c r="F117" i="59" s="1"/>
  <c r="D115" i="59"/>
  <c r="C114" i="59"/>
  <c r="F114" i="59" s="1"/>
  <c r="E113" i="59"/>
  <c r="F113" i="59" s="1"/>
  <c r="D36" i="59"/>
  <c r="D37" i="59"/>
  <c r="F37" i="59" s="1"/>
  <c r="D38" i="59"/>
  <c r="D39" i="59"/>
  <c r="D40" i="59"/>
  <c r="D41" i="59"/>
  <c r="D42" i="59"/>
  <c r="D43" i="59"/>
  <c r="D44" i="59"/>
  <c r="D45" i="59"/>
  <c r="D46" i="59"/>
  <c r="D47" i="59"/>
  <c r="D48" i="59"/>
  <c r="D49" i="59"/>
  <c r="D50" i="59"/>
  <c r="D51" i="59"/>
  <c r="D52" i="59"/>
  <c r="D53" i="59"/>
  <c r="D54" i="59"/>
  <c r="D55" i="59"/>
  <c r="D56" i="59"/>
  <c r="D57" i="59"/>
  <c r="D58" i="59"/>
  <c r="D59" i="59"/>
  <c r="D60" i="59"/>
  <c r="D61" i="59"/>
  <c r="D62" i="59"/>
  <c r="D63" i="59"/>
  <c r="E68" i="59"/>
  <c r="E70" i="59"/>
  <c r="E72" i="59"/>
  <c r="E74" i="59"/>
  <c r="E76" i="59"/>
  <c r="E78" i="59"/>
  <c r="E80" i="59"/>
  <c r="E82" i="59"/>
  <c r="E84" i="59"/>
  <c r="E86" i="59"/>
  <c r="E88" i="59"/>
  <c r="E90" i="59"/>
  <c r="E92" i="59"/>
  <c r="E94" i="59"/>
  <c r="E99" i="59"/>
  <c r="E101" i="59"/>
  <c r="E103" i="59"/>
  <c r="E109" i="59"/>
  <c r="E110" i="59"/>
  <c r="C111" i="59"/>
  <c r="F111" i="59" s="1"/>
  <c r="E112" i="59"/>
  <c r="E67" i="1"/>
  <c r="E69" i="1"/>
  <c r="E71" i="1"/>
  <c r="E73" i="1"/>
  <c r="E75" i="1"/>
  <c r="E77" i="1"/>
  <c r="E79" i="1"/>
  <c r="E81" i="1"/>
  <c r="E83" i="1"/>
  <c r="E85" i="1"/>
  <c r="E87" i="1"/>
  <c r="E89" i="1"/>
  <c r="E91" i="1"/>
  <c r="E93" i="1"/>
  <c r="E98" i="1"/>
  <c r="E100" i="1"/>
  <c r="E102" i="1"/>
  <c r="E104" i="1"/>
  <c r="D109" i="1"/>
  <c r="C110" i="1"/>
  <c r="E111" i="1"/>
  <c r="C112" i="1"/>
  <c r="E113" i="1"/>
  <c r="C114" i="1"/>
  <c r="D115" i="1"/>
  <c r="D117" i="1"/>
  <c r="F117" i="1" s="1"/>
  <c r="E120" i="1"/>
  <c r="F120" i="1" s="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E68" i="1"/>
  <c r="E70" i="1"/>
  <c r="E72" i="1"/>
  <c r="E74" i="1"/>
  <c r="E76" i="1"/>
  <c r="E78" i="1"/>
  <c r="E80" i="1"/>
  <c r="E82" i="1"/>
  <c r="E84" i="1"/>
  <c r="E86" i="1"/>
  <c r="E88" i="1"/>
  <c r="E90" i="1"/>
  <c r="E92" i="1"/>
  <c r="E94" i="1"/>
  <c r="E99" i="1"/>
  <c r="E101" i="1"/>
  <c r="E103" i="1"/>
  <c r="E109" i="1"/>
  <c r="E110" i="1"/>
  <c r="C111" i="1"/>
  <c r="F111" i="1" s="1"/>
  <c r="E112" i="1"/>
  <c r="C113" i="1"/>
  <c r="F113" i="1" s="1"/>
  <c r="E114" i="1"/>
  <c r="C115" i="1"/>
  <c r="E115" i="1"/>
  <c r="E67" i="3"/>
  <c r="E69" i="3"/>
  <c r="E71" i="3"/>
  <c r="E73" i="3"/>
  <c r="E75" i="3"/>
  <c r="E77" i="3"/>
  <c r="E79" i="3"/>
  <c r="E81" i="3"/>
  <c r="E83" i="3"/>
  <c r="E85" i="3"/>
  <c r="E87" i="3"/>
  <c r="E89" i="3"/>
  <c r="E91" i="3"/>
  <c r="E93" i="3"/>
  <c r="E98" i="3"/>
  <c r="E99" i="3"/>
  <c r="E100" i="3"/>
  <c r="E101" i="3"/>
  <c r="E103" i="3"/>
  <c r="E104" i="3"/>
  <c r="E109" i="3"/>
  <c r="E110" i="3"/>
  <c r="C111" i="3"/>
  <c r="E112" i="3"/>
  <c r="C113" i="3"/>
  <c r="E114" i="3"/>
  <c r="C115" i="3"/>
  <c r="E115" i="3"/>
  <c r="C116"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E68" i="3"/>
  <c r="E70" i="3"/>
  <c r="E72" i="3"/>
  <c r="E74" i="3"/>
  <c r="E76" i="3"/>
  <c r="E78" i="3"/>
  <c r="E80" i="3"/>
  <c r="E82" i="3"/>
  <c r="E84" i="3"/>
  <c r="E86" i="3"/>
  <c r="E88" i="3"/>
  <c r="E90" i="3"/>
  <c r="E92" i="3"/>
  <c r="E94" i="3"/>
  <c r="E102" i="3"/>
  <c r="D109" i="3"/>
  <c r="C110" i="3"/>
  <c r="F110" i="3" s="1"/>
  <c r="E111" i="3"/>
  <c r="C112" i="3"/>
  <c r="F112" i="3" s="1"/>
  <c r="E113" i="3"/>
  <c r="C114" i="3"/>
  <c r="F114" i="3" s="1"/>
  <c r="D115" i="3"/>
  <c r="D117" i="3"/>
  <c r="F117" i="3" s="1"/>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E67" i="5"/>
  <c r="E70" i="5"/>
  <c r="E71" i="5"/>
  <c r="E74" i="5"/>
  <c r="E75" i="5"/>
  <c r="E78" i="5"/>
  <c r="E79" i="5"/>
  <c r="E82" i="5"/>
  <c r="E83" i="5"/>
  <c r="E86" i="5"/>
  <c r="E87" i="5"/>
  <c r="E90" i="5"/>
  <c r="E91" i="5"/>
  <c r="E94" i="5"/>
  <c r="E102" i="5"/>
  <c r="D109" i="5"/>
  <c r="C110" i="5"/>
  <c r="E111" i="5"/>
  <c r="C112" i="5"/>
  <c r="E113" i="5"/>
  <c r="C114" i="5"/>
  <c r="D115" i="5"/>
  <c r="D117" i="5"/>
  <c r="F117" i="5" s="1"/>
  <c r="E120" i="5"/>
  <c r="F120" i="5" s="1"/>
  <c r="E68" i="5"/>
  <c r="E69" i="5"/>
  <c r="E72" i="5"/>
  <c r="E73" i="5"/>
  <c r="E76" i="5"/>
  <c r="E77" i="5"/>
  <c r="E80" i="5"/>
  <c r="E81" i="5"/>
  <c r="E84" i="5"/>
  <c r="E85" i="5"/>
  <c r="E88" i="5"/>
  <c r="E89" i="5"/>
  <c r="E92" i="5"/>
  <c r="E93" i="5"/>
  <c r="E98" i="5"/>
  <c r="E99" i="5"/>
  <c r="E100" i="5"/>
  <c r="E101" i="5"/>
  <c r="E103" i="5"/>
  <c r="E104" i="5"/>
  <c r="E109" i="5"/>
  <c r="E110" i="5"/>
  <c r="C111" i="5"/>
  <c r="E112" i="5"/>
  <c r="C113" i="5"/>
  <c r="E114" i="5"/>
  <c r="C115" i="5"/>
  <c r="E115" i="5"/>
  <c r="E67" i="18"/>
  <c r="E68" i="18"/>
  <c r="E71" i="18"/>
  <c r="E72" i="18"/>
  <c r="E75" i="18"/>
  <c r="E76" i="18"/>
  <c r="E79" i="18"/>
  <c r="E80" i="18"/>
  <c r="E83" i="18"/>
  <c r="E84" i="18"/>
  <c r="E87" i="18"/>
  <c r="E88" i="18"/>
  <c r="E91" i="18"/>
  <c r="E92" i="18"/>
  <c r="E98" i="18"/>
  <c r="E99" i="18"/>
  <c r="E100" i="18"/>
  <c r="E101" i="18"/>
  <c r="E103" i="18"/>
  <c r="E104" i="18"/>
  <c r="E109" i="18"/>
  <c r="E110" i="18"/>
  <c r="C111" i="18"/>
  <c r="E112" i="18"/>
  <c r="C113" i="18"/>
  <c r="E114" i="18"/>
  <c r="C115" i="18"/>
  <c r="E115" i="18"/>
  <c r="C116" i="18"/>
  <c r="D36" i="18"/>
  <c r="D5" i="18" s="1"/>
  <c r="D37" i="18"/>
  <c r="D38" i="18"/>
  <c r="D7" i="18" s="1"/>
  <c r="D39" i="18"/>
  <c r="D40" i="18"/>
  <c r="D71" i="18" s="1"/>
  <c r="D41" i="18"/>
  <c r="D42" i="18"/>
  <c r="D11" i="18" s="1"/>
  <c r="D43" i="18"/>
  <c r="D44" i="18"/>
  <c r="D13" i="18" s="1"/>
  <c r="D45" i="18"/>
  <c r="D46" i="18"/>
  <c r="D15" i="18" s="1"/>
  <c r="D47" i="18"/>
  <c r="D48" i="18"/>
  <c r="D79" i="18" s="1"/>
  <c r="D49" i="18"/>
  <c r="D50" i="18"/>
  <c r="D19" i="18" s="1"/>
  <c r="D51" i="18"/>
  <c r="D52" i="18"/>
  <c r="D21" i="18" s="1"/>
  <c r="D53" i="18"/>
  <c r="D54" i="18"/>
  <c r="D23" i="18" s="1"/>
  <c r="D55" i="18"/>
  <c r="D56" i="18"/>
  <c r="D87" i="18" s="1"/>
  <c r="D57" i="18"/>
  <c r="D58" i="18"/>
  <c r="D27" i="18" s="1"/>
  <c r="D59" i="18"/>
  <c r="D60" i="18"/>
  <c r="D29" i="18" s="1"/>
  <c r="D61" i="18"/>
  <c r="D62" i="18"/>
  <c r="D31" i="18" s="1"/>
  <c r="D63" i="18"/>
  <c r="E69" i="18"/>
  <c r="E70" i="18"/>
  <c r="E73" i="18"/>
  <c r="E74" i="18"/>
  <c r="E77" i="18"/>
  <c r="E78" i="18"/>
  <c r="E81" i="18"/>
  <c r="E82" i="18"/>
  <c r="E85" i="18"/>
  <c r="E86" i="18"/>
  <c r="E89" i="18"/>
  <c r="E90" i="18"/>
  <c r="E93" i="18"/>
  <c r="E94" i="18"/>
  <c r="E102" i="18"/>
  <c r="D109" i="18"/>
  <c r="C110" i="18"/>
  <c r="F110" i="18" s="1"/>
  <c r="E111" i="18"/>
  <c r="C112" i="18"/>
  <c r="F112" i="18" s="1"/>
  <c r="E113" i="18"/>
  <c r="C114" i="18"/>
  <c r="F114" i="18" s="1"/>
  <c r="D115" i="18"/>
  <c r="D117" i="18"/>
  <c r="F117" i="18" s="1"/>
  <c r="F120" i="20"/>
  <c r="E37" i="60"/>
  <c r="E41" i="60"/>
  <c r="E45" i="60"/>
  <c r="E49" i="60"/>
  <c r="E53" i="60"/>
  <c r="E57" i="60"/>
  <c r="E59" i="60"/>
  <c r="E61" i="60"/>
  <c r="E63" i="60"/>
  <c r="E67" i="20"/>
  <c r="E68" i="20"/>
  <c r="E71" i="20"/>
  <c r="E72" i="20"/>
  <c r="E75" i="20"/>
  <c r="E76" i="20"/>
  <c r="E79" i="20"/>
  <c r="E80" i="20"/>
  <c r="E83" i="20"/>
  <c r="E84" i="20"/>
  <c r="E87" i="20"/>
  <c r="E88" i="20"/>
  <c r="E91" i="20"/>
  <c r="E92" i="20"/>
  <c r="E98" i="20"/>
  <c r="E99" i="20"/>
  <c r="E100" i="20"/>
  <c r="E101" i="20"/>
  <c r="E103" i="20"/>
  <c r="E104" i="20"/>
  <c r="E109" i="20"/>
  <c r="E110" i="20"/>
  <c r="E110" i="60" s="1"/>
  <c r="C111" i="20"/>
  <c r="E112" i="20"/>
  <c r="E112" i="60" s="1"/>
  <c r="C113" i="20"/>
  <c r="E114" i="20"/>
  <c r="E114" i="60" s="1"/>
  <c r="C115" i="20"/>
  <c r="E115" i="20"/>
  <c r="E115" i="60" s="1"/>
  <c r="C116" i="20"/>
  <c r="D36" i="20"/>
  <c r="F36" i="20" s="1"/>
  <c r="D37" i="20"/>
  <c r="D38" i="20"/>
  <c r="D7" i="20" s="1"/>
  <c r="D39" i="20"/>
  <c r="D40" i="20"/>
  <c r="D9" i="20" s="1"/>
  <c r="D41" i="20"/>
  <c r="D42" i="20"/>
  <c r="D11" i="20" s="1"/>
  <c r="D43" i="20"/>
  <c r="D44" i="20"/>
  <c r="D75" i="20" s="1"/>
  <c r="D45" i="20"/>
  <c r="D46" i="20"/>
  <c r="D15" i="20" s="1"/>
  <c r="D47" i="20"/>
  <c r="D48" i="20"/>
  <c r="D17" i="20" s="1"/>
  <c r="D49" i="20"/>
  <c r="D50" i="20"/>
  <c r="D19" i="20" s="1"/>
  <c r="D51" i="20"/>
  <c r="D52" i="20"/>
  <c r="D83" i="20" s="1"/>
  <c r="D53" i="20"/>
  <c r="D54" i="20"/>
  <c r="D23" i="20" s="1"/>
  <c r="D55" i="20"/>
  <c r="D56" i="20"/>
  <c r="D25" i="20" s="1"/>
  <c r="D57" i="20"/>
  <c r="D58" i="20"/>
  <c r="D27" i="20" s="1"/>
  <c r="D59" i="20"/>
  <c r="D60" i="20"/>
  <c r="D91" i="20" s="1"/>
  <c r="D61" i="20"/>
  <c r="D62" i="20"/>
  <c r="D31" i="20" s="1"/>
  <c r="D63" i="20"/>
  <c r="E69" i="20"/>
  <c r="E69" i="60" s="1"/>
  <c r="E70" i="20"/>
  <c r="E73" i="20"/>
  <c r="E73" i="60" s="1"/>
  <c r="E74" i="20"/>
  <c r="E77" i="20"/>
  <c r="E77" i="60" s="1"/>
  <c r="E78" i="20"/>
  <c r="E81" i="20"/>
  <c r="E81" i="60" s="1"/>
  <c r="E82" i="20"/>
  <c r="E85" i="20"/>
  <c r="E85" i="60" s="1"/>
  <c r="E86" i="20"/>
  <c r="E89" i="20"/>
  <c r="E89" i="60" s="1"/>
  <c r="E90" i="20"/>
  <c r="E93" i="20"/>
  <c r="E93" i="60" s="1"/>
  <c r="E94" i="20"/>
  <c r="E102" i="20"/>
  <c r="F102" i="20" s="1"/>
  <c r="D109" i="20"/>
  <c r="C110" i="20"/>
  <c r="E111" i="20"/>
  <c r="C112" i="20"/>
  <c r="E113" i="20"/>
  <c r="C114" i="20"/>
  <c r="D115" i="20"/>
  <c r="D117" i="20"/>
  <c r="F67" i="51"/>
  <c r="F67" i="49"/>
  <c r="F67" i="47"/>
  <c r="C118" i="45"/>
  <c r="F109" i="45"/>
  <c r="D6" i="57"/>
  <c r="D8" i="57"/>
  <c r="D10" i="57"/>
  <c r="D12" i="57"/>
  <c r="D14" i="57"/>
  <c r="D16" i="57"/>
  <c r="D18" i="57"/>
  <c r="D20" i="57"/>
  <c r="D22" i="57"/>
  <c r="D24" i="57"/>
  <c r="D26" i="57"/>
  <c r="D28" i="57"/>
  <c r="D30" i="57"/>
  <c r="D32" i="57"/>
  <c r="F36" i="57"/>
  <c r="D68" i="57"/>
  <c r="F68" i="57" s="1"/>
  <c r="D70" i="57"/>
  <c r="F70" i="57" s="1"/>
  <c r="D72" i="57"/>
  <c r="F72" i="57" s="1"/>
  <c r="D74" i="57"/>
  <c r="F74" i="57" s="1"/>
  <c r="D76" i="57"/>
  <c r="F76" i="57" s="1"/>
  <c r="D78" i="57"/>
  <c r="F78" i="57" s="1"/>
  <c r="D80" i="57"/>
  <c r="F80" i="57" s="1"/>
  <c r="D82" i="57"/>
  <c r="F82" i="57" s="1"/>
  <c r="D84" i="57"/>
  <c r="F84" i="57" s="1"/>
  <c r="D86" i="57"/>
  <c r="F86" i="57" s="1"/>
  <c r="D88" i="57"/>
  <c r="F88" i="57" s="1"/>
  <c r="D90" i="57"/>
  <c r="F90" i="57" s="1"/>
  <c r="D92" i="57"/>
  <c r="F92" i="57" s="1"/>
  <c r="D94" i="57"/>
  <c r="F94" i="57" s="1"/>
  <c r="D5" i="56"/>
  <c r="F37" i="56"/>
  <c r="F39" i="56"/>
  <c r="F41" i="56"/>
  <c r="F43" i="56"/>
  <c r="F45" i="56"/>
  <c r="F47" i="56"/>
  <c r="F49" i="56"/>
  <c r="F51" i="56"/>
  <c r="F53" i="56"/>
  <c r="F55" i="56"/>
  <c r="F57" i="56"/>
  <c r="F59" i="56"/>
  <c r="F61" i="56"/>
  <c r="F63" i="56"/>
  <c r="D67" i="56"/>
  <c r="D69" i="56"/>
  <c r="F69" i="56" s="1"/>
  <c r="D71" i="56"/>
  <c r="F71" i="56" s="1"/>
  <c r="D73" i="56"/>
  <c r="F73" i="56" s="1"/>
  <c r="D75" i="56"/>
  <c r="F75" i="56" s="1"/>
  <c r="D77" i="56"/>
  <c r="F77" i="56" s="1"/>
  <c r="D79" i="56"/>
  <c r="F79" i="56" s="1"/>
  <c r="D81" i="56"/>
  <c r="F81" i="56" s="1"/>
  <c r="D83" i="56"/>
  <c r="F83" i="56" s="1"/>
  <c r="D85" i="56"/>
  <c r="F85" i="56" s="1"/>
  <c r="D87" i="56"/>
  <c r="F87" i="56" s="1"/>
  <c r="D89" i="56"/>
  <c r="F89" i="56" s="1"/>
  <c r="D91" i="56"/>
  <c r="F91" i="56" s="1"/>
  <c r="D93" i="56"/>
  <c r="F93" i="56" s="1"/>
  <c r="D6" i="55"/>
  <c r="F36" i="55"/>
  <c r="F38" i="55"/>
  <c r="F40" i="55"/>
  <c r="F42" i="55"/>
  <c r="F44" i="55"/>
  <c r="F46" i="55"/>
  <c r="F48" i="55"/>
  <c r="F50" i="55"/>
  <c r="F52" i="55"/>
  <c r="F54" i="55"/>
  <c r="F56" i="55"/>
  <c r="F58" i="55"/>
  <c r="F60" i="55"/>
  <c r="F62" i="55"/>
  <c r="D64" i="55"/>
  <c r="D68" i="55"/>
  <c r="F68" i="55" s="1"/>
  <c r="D70" i="55"/>
  <c r="F70" i="55" s="1"/>
  <c r="D72" i="55"/>
  <c r="F72" i="55" s="1"/>
  <c r="D74" i="55"/>
  <c r="F74" i="55" s="1"/>
  <c r="D76" i="55"/>
  <c r="F76" i="55" s="1"/>
  <c r="D78" i="55"/>
  <c r="F78" i="55" s="1"/>
  <c r="D80" i="55"/>
  <c r="F80" i="55" s="1"/>
  <c r="D82" i="55"/>
  <c r="F82" i="55" s="1"/>
  <c r="D84" i="55"/>
  <c r="F84" i="55" s="1"/>
  <c r="D86" i="55"/>
  <c r="F86" i="55" s="1"/>
  <c r="D88" i="55"/>
  <c r="F88" i="55" s="1"/>
  <c r="D90" i="55"/>
  <c r="F90" i="55" s="1"/>
  <c r="D92" i="55"/>
  <c r="F92" i="55" s="1"/>
  <c r="D94" i="55"/>
  <c r="F94" i="55" s="1"/>
  <c r="D5" i="54"/>
  <c r="D7" i="54"/>
  <c r="F37" i="54"/>
  <c r="F39" i="54"/>
  <c r="F41" i="54"/>
  <c r="F43" i="54"/>
  <c r="F45" i="54"/>
  <c r="F47" i="54"/>
  <c r="F49" i="54"/>
  <c r="F51" i="54"/>
  <c r="F53" i="54"/>
  <c r="F55" i="54"/>
  <c r="F57" i="54"/>
  <c r="F59" i="54"/>
  <c r="F61" i="54"/>
  <c r="F63" i="54"/>
  <c r="D67" i="54"/>
  <c r="D69" i="54"/>
  <c r="F69" i="54" s="1"/>
  <c r="D71" i="54"/>
  <c r="F71" i="54" s="1"/>
  <c r="D73" i="54"/>
  <c r="F73" i="54" s="1"/>
  <c r="D75" i="54"/>
  <c r="F75" i="54" s="1"/>
  <c r="D77" i="54"/>
  <c r="F77" i="54" s="1"/>
  <c r="D79" i="54"/>
  <c r="F79" i="54" s="1"/>
  <c r="D81" i="54"/>
  <c r="F81" i="54" s="1"/>
  <c r="D83" i="54"/>
  <c r="F83" i="54" s="1"/>
  <c r="D85" i="54"/>
  <c r="F85" i="54" s="1"/>
  <c r="D87" i="54"/>
  <c r="F87" i="54" s="1"/>
  <c r="D89" i="54"/>
  <c r="F89" i="54" s="1"/>
  <c r="D91" i="54"/>
  <c r="F91" i="54" s="1"/>
  <c r="D93" i="54"/>
  <c r="F93" i="54" s="1"/>
  <c r="D6" i="53"/>
  <c r="D8" i="53"/>
  <c r="F36" i="53"/>
  <c r="F38" i="53"/>
  <c r="F40" i="53"/>
  <c r="F42" i="53"/>
  <c r="F44" i="53"/>
  <c r="F46" i="53"/>
  <c r="F48" i="53"/>
  <c r="F52" i="53"/>
  <c r="F54" i="53"/>
  <c r="F56" i="53"/>
  <c r="F58" i="53"/>
  <c r="F60" i="53"/>
  <c r="F62" i="53"/>
  <c r="D64" i="53"/>
  <c r="D68" i="53"/>
  <c r="F68" i="53" s="1"/>
  <c r="D70" i="53"/>
  <c r="F70" i="53" s="1"/>
  <c r="D72" i="53"/>
  <c r="F72" i="53" s="1"/>
  <c r="D74" i="53"/>
  <c r="F74" i="53" s="1"/>
  <c r="D76" i="53"/>
  <c r="F76" i="53" s="1"/>
  <c r="D78" i="53"/>
  <c r="F78" i="53" s="1"/>
  <c r="D80" i="53"/>
  <c r="F80" i="53" s="1"/>
  <c r="D82" i="53"/>
  <c r="F82" i="53" s="1"/>
  <c r="D84" i="53"/>
  <c r="F84" i="53" s="1"/>
  <c r="D86" i="53"/>
  <c r="F86" i="53" s="1"/>
  <c r="D88" i="53"/>
  <c r="F88" i="53" s="1"/>
  <c r="D90" i="53"/>
  <c r="F90" i="53" s="1"/>
  <c r="D92" i="53"/>
  <c r="F92" i="53" s="1"/>
  <c r="D94" i="53"/>
  <c r="F94" i="53" s="1"/>
  <c r="D5" i="52"/>
  <c r="D7" i="52"/>
  <c r="F37" i="52"/>
  <c r="F39" i="52"/>
  <c r="F41" i="52"/>
  <c r="F43" i="52"/>
  <c r="F45" i="52"/>
  <c r="F47" i="52"/>
  <c r="F49" i="52"/>
  <c r="F51" i="52"/>
  <c r="F53" i="52"/>
  <c r="F57" i="52"/>
  <c r="F59" i="52"/>
  <c r="F61" i="52"/>
  <c r="F63" i="52"/>
  <c r="D67" i="52"/>
  <c r="D69" i="52"/>
  <c r="F69" i="52" s="1"/>
  <c r="D71" i="52"/>
  <c r="F71" i="52" s="1"/>
  <c r="D73" i="52"/>
  <c r="F73" i="52" s="1"/>
  <c r="D75" i="52"/>
  <c r="F75" i="52" s="1"/>
  <c r="D77" i="52"/>
  <c r="F77" i="52" s="1"/>
  <c r="D79" i="52"/>
  <c r="F79" i="52" s="1"/>
  <c r="D81" i="52"/>
  <c r="F81" i="52" s="1"/>
  <c r="D83" i="52"/>
  <c r="F83" i="52" s="1"/>
  <c r="D85" i="52"/>
  <c r="F85" i="52" s="1"/>
  <c r="D87" i="52"/>
  <c r="F87" i="52" s="1"/>
  <c r="D89" i="52"/>
  <c r="F89" i="52" s="1"/>
  <c r="D91" i="52"/>
  <c r="F91" i="52" s="1"/>
  <c r="D93" i="52"/>
  <c r="F93" i="52" s="1"/>
  <c r="D6" i="51"/>
  <c r="D8" i="51"/>
  <c r="F36" i="51"/>
  <c r="F38" i="51"/>
  <c r="F40" i="51"/>
  <c r="F42" i="51"/>
  <c r="F44" i="51"/>
  <c r="F46" i="51"/>
  <c r="F48" i="51"/>
  <c r="F52" i="51"/>
  <c r="F54" i="51"/>
  <c r="F56" i="51"/>
  <c r="F58" i="51"/>
  <c r="F60" i="51"/>
  <c r="F62" i="51"/>
  <c r="D64" i="51"/>
  <c r="D68" i="51"/>
  <c r="F68" i="51" s="1"/>
  <c r="D70" i="51"/>
  <c r="F70" i="51" s="1"/>
  <c r="D72" i="51"/>
  <c r="F72" i="51" s="1"/>
  <c r="D74" i="51"/>
  <c r="F74" i="51" s="1"/>
  <c r="D76" i="51"/>
  <c r="F76" i="51" s="1"/>
  <c r="D78" i="51"/>
  <c r="F78" i="51" s="1"/>
  <c r="D80" i="51"/>
  <c r="F80" i="51" s="1"/>
  <c r="D82" i="51"/>
  <c r="F82" i="51" s="1"/>
  <c r="D84" i="51"/>
  <c r="F84" i="51" s="1"/>
  <c r="D86" i="51"/>
  <c r="F86" i="51" s="1"/>
  <c r="D88" i="51"/>
  <c r="F88" i="51" s="1"/>
  <c r="D90" i="51"/>
  <c r="F90" i="51" s="1"/>
  <c r="D92" i="51"/>
  <c r="F92" i="51" s="1"/>
  <c r="D94" i="51"/>
  <c r="F94" i="51" s="1"/>
  <c r="D5" i="50"/>
  <c r="D7" i="50"/>
  <c r="D9" i="50"/>
  <c r="F37" i="50"/>
  <c r="F39" i="50"/>
  <c r="F41" i="50"/>
  <c r="F43" i="50"/>
  <c r="F45" i="50"/>
  <c r="F47" i="50"/>
  <c r="F49" i="50"/>
  <c r="F51" i="50"/>
  <c r="F53" i="50"/>
  <c r="F55" i="50"/>
  <c r="F57" i="50"/>
  <c r="F59" i="50"/>
  <c r="F61" i="50"/>
  <c r="F63" i="50"/>
  <c r="D67" i="50"/>
  <c r="D69" i="50"/>
  <c r="F69" i="50" s="1"/>
  <c r="D71" i="50"/>
  <c r="F71" i="50" s="1"/>
  <c r="D73" i="50"/>
  <c r="F73" i="50" s="1"/>
  <c r="D75" i="50"/>
  <c r="F75" i="50" s="1"/>
  <c r="D77" i="50"/>
  <c r="F77" i="50" s="1"/>
  <c r="D79" i="50"/>
  <c r="F79" i="50" s="1"/>
  <c r="D81" i="50"/>
  <c r="F81" i="50" s="1"/>
  <c r="D83" i="50"/>
  <c r="F83" i="50" s="1"/>
  <c r="D85" i="50"/>
  <c r="F85" i="50" s="1"/>
  <c r="D87" i="50"/>
  <c r="F87" i="50" s="1"/>
  <c r="D89" i="50"/>
  <c r="F89" i="50" s="1"/>
  <c r="D91" i="50"/>
  <c r="F91" i="50" s="1"/>
  <c r="D93" i="50"/>
  <c r="F93" i="50" s="1"/>
  <c r="D6" i="49"/>
  <c r="D8" i="49"/>
  <c r="D10" i="49"/>
  <c r="F36" i="49"/>
  <c r="F38" i="49"/>
  <c r="F40" i="49"/>
  <c r="F42" i="49"/>
  <c r="F44" i="49"/>
  <c r="F46" i="49"/>
  <c r="F48" i="49"/>
  <c r="F50" i="49"/>
  <c r="F52" i="49"/>
  <c r="F54" i="49"/>
  <c r="F56" i="49"/>
  <c r="F58" i="49"/>
  <c r="F60" i="49"/>
  <c r="F62" i="49"/>
  <c r="D64" i="49"/>
  <c r="D68" i="49"/>
  <c r="F68" i="49" s="1"/>
  <c r="D70" i="49"/>
  <c r="F70" i="49" s="1"/>
  <c r="D72" i="49"/>
  <c r="F72" i="49" s="1"/>
  <c r="D74" i="49"/>
  <c r="F74" i="49" s="1"/>
  <c r="D76" i="49"/>
  <c r="F76" i="49" s="1"/>
  <c r="D78" i="49"/>
  <c r="F78" i="49" s="1"/>
  <c r="D80" i="49"/>
  <c r="F80" i="49" s="1"/>
  <c r="D82" i="49"/>
  <c r="F82" i="49" s="1"/>
  <c r="D84" i="49"/>
  <c r="F84" i="49" s="1"/>
  <c r="D86" i="49"/>
  <c r="F86" i="49" s="1"/>
  <c r="D88" i="49"/>
  <c r="F88" i="49" s="1"/>
  <c r="D90" i="49"/>
  <c r="F90" i="49" s="1"/>
  <c r="D92" i="49"/>
  <c r="F92" i="49" s="1"/>
  <c r="D94" i="49"/>
  <c r="F94" i="49" s="1"/>
  <c r="D5" i="48"/>
  <c r="D7" i="48"/>
  <c r="D9" i="48"/>
  <c r="F37" i="48"/>
  <c r="F39" i="48"/>
  <c r="F41" i="48"/>
  <c r="F43" i="48"/>
  <c r="F45" i="48"/>
  <c r="F47" i="48"/>
  <c r="F49" i="48"/>
  <c r="F51" i="48"/>
  <c r="F53" i="48"/>
  <c r="F57" i="48"/>
  <c r="F59" i="48"/>
  <c r="F61" i="48"/>
  <c r="F63" i="48"/>
  <c r="D67" i="48"/>
  <c r="D69" i="48"/>
  <c r="F69" i="48" s="1"/>
  <c r="D71" i="48"/>
  <c r="F71" i="48" s="1"/>
  <c r="D73" i="48"/>
  <c r="F73" i="48" s="1"/>
  <c r="D75" i="48"/>
  <c r="F75" i="48" s="1"/>
  <c r="D77" i="48"/>
  <c r="F77" i="48" s="1"/>
  <c r="D79" i="48"/>
  <c r="F79" i="48" s="1"/>
  <c r="D81" i="48"/>
  <c r="F81" i="48" s="1"/>
  <c r="D83" i="48"/>
  <c r="F83" i="48" s="1"/>
  <c r="D85" i="48"/>
  <c r="F85" i="48" s="1"/>
  <c r="D87" i="48"/>
  <c r="F87" i="48" s="1"/>
  <c r="D89" i="48"/>
  <c r="F89" i="48" s="1"/>
  <c r="D91" i="48"/>
  <c r="F91" i="48" s="1"/>
  <c r="D93" i="48"/>
  <c r="F93" i="48" s="1"/>
  <c r="D6" i="47"/>
  <c r="D8" i="47"/>
  <c r="D10" i="47"/>
  <c r="F36" i="47"/>
  <c r="F38" i="47"/>
  <c r="F40" i="47"/>
  <c r="F42" i="47"/>
  <c r="F44" i="47"/>
  <c r="F46" i="47"/>
  <c r="F48" i="47"/>
  <c r="F52" i="47"/>
  <c r="F54" i="47"/>
  <c r="F56" i="47"/>
  <c r="F58" i="47"/>
  <c r="F60" i="47"/>
  <c r="F62" i="47"/>
  <c r="D64" i="47"/>
  <c r="D68" i="47"/>
  <c r="F68" i="47" s="1"/>
  <c r="D70" i="47"/>
  <c r="F70" i="47" s="1"/>
  <c r="D72" i="47"/>
  <c r="F72" i="47" s="1"/>
  <c r="D74" i="47"/>
  <c r="F74" i="47" s="1"/>
  <c r="D76" i="47"/>
  <c r="F76" i="47" s="1"/>
  <c r="D78" i="47"/>
  <c r="F78" i="47" s="1"/>
  <c r="D80" i="47"/>
  <c r="F80" i="47" s="1"/>
  <c r="D82" i="47"/>
  <c r="F82" i="47" s="1"/>
  <c r="D84" i="47"/>
  <c r="F84" i="47" s="1"/>
  <c r="D86" i="47"/>
  <c r="F86" i="47" s="1"/>
  <c r="D88" i="47"/>
  <c r="F88" i="47" s="1"/>
  <c r="D90" i="47"/>
  <c r="F90" i="47" s="1"/>
  <c r="D92" i="47"/>
  <c r="F92" i="47" s="1"/>
  <c r="D94" i="47"/>
  <c r="F94" i="47" s="1"/>
  <c r="D5" i="46"/>
  <c r="D7" i="46"/>
  <c r="D9" i="46"/>
  <c r="F37" i="46"/>
  <c r="F39" i="46"/>
  <c r="F41" i="46"/>
  <c r="F43" i="46"/>
  <c r="F45" i="46"/>
  <c r="F47" i="46"/>
  <c r="F49" i="46"/>
  <c r="F51" i="46"/>
  <c r="F53" i="46"/>
  <c r="F55" i="46"/>
  <c r="F57" i="46"/>
  <c r="F59" i="46"/>
  <c r="F61" i="46"/>
  <c r="F63" i="46"/>
  <c r="D67" i="46"/>
  <c r="D69" i="46"/>
  <c r="F69" i="46" s="1"/>
  <c r="D71" i="46"/>
  <c r="F71" i="46" s="1"/>
  <c r="D73" i="46"/>
  <c r="F73" i="46" s="1"/>
  <c r="D75" i="46"/>
  <c r="F75" i="46" s="1"/>
  <c r="D77" i="46"/>
  <c r="F77" i="46" s="1"/>
  <c r="D79" i="46"/>
  <c r="F79" i="46" s="1"/>
  <c r="D81" i="46"/>
  <c r="F81" i="46" s="1"/>
  <c r="D83" i="46"/>
  <c r="F83" i="46" s="1"/>
  <c r="D85" i="46"/>
  <c r="F85" i="46" s="1"/>
  <c r="D87" i="46"/>
  <c r="F87" i="46" s="1"/>
  <c r="D89" i="46"/>
  <c r="F89" i="46" s="1"/>
  <c r="D91" i="46"/>
  <c r="F91" i="46" s="1"/>
  <c r="D93" i="46"/>
  <c r="F93" i="46" s="1"/>
  <c r="D6" i="45"/>
  <c r="D8" i="45"/>
  <c r="D10" i="45"/>
  <c r="D12" i="45"/>
  <c r="F36" i="45"/>
  <c r="F38" i="45"/>
  <c r="F40" i="45"/>
  <c r="F42" i="45"/>
  <c r="F44" i="45"/>
  <c r="F46" i="45"/>
  <c r="F48" i="45"/>
  <c r="F52" i="45"/>
  <c r="F54" i="45"/>
  <c r="F56" i="45"/>
  <c r="F58" i="45"/>
  <c r="F60" i="45"/>
  <c r="F62" i="45"/>
  <c r="D64" i="45"/>
  <c r="D68" i="45"/>
  <c r="F68" i="45" s="1"/>
  <c r="D70" i="45"/>
  <c r="F70" i="45" s="1"/>
  <c r="D72" i="45"/>
  <c r="F72" i="45" s="1"/>
  <c r="D74" i="45"/>
  <c r="F74" i="45" s="1"/>
  <c r="D76" i="45"/>
  <c r="F76" i="45" s="1"/>
  <c r="D78" i="45"/>
  <c r="F78" i="45" s="1"/>
  <c r="D80" i="45"/>
  <c r="F80" i="45" s="1"/>
  <c r="D82" i="45"/>
  <c r="F82" i="45" s="1"/>
  <c r="D84" i="45"/>
  <c r="F84" i="45" s="1"/>
  <c r="D86" i="45"/>
  <c r="F86" i="45" s="1"/>
  <c r="D88" i="45"/>
  <c r="F88" i="45" s="1"/>
  <c r="D90" i="45"/>
  <c r="F90" i="45" s="1"/>
  <c r="D92" i="45"/>
  <c r="F92" i="45" s="1"/>
  <c r="D94" i="45"/>
  <c r="F94" i="45" s="1"/>
  <c r="D5" i="44"/>
  <c r="D7" i="44"/>
  <c r="D9" i="44"/>
  <c r="D11" i="44"/>
  <c r="F37" i="44"/>
  <c r="F39" i="44"/>
  <c r="F41" i="44"/>
  <c r="F43" i="44"/>
  <c r="F45" i="44"/>
  <c r="F47" i="44"/>
  <c r="F49" i="44"/>
  <c r="F51" i="44"/>
  <c r="F53" i="44"/>
  <c r="F57" i="44"/>
  <c r="F59" i="44"/>
  <c r="F61" i="44"/>
  <c r="F63" i="44"/>
  <c r="D67" i="44"/>
  <c r="D69" i="44"/>
  <c r="F69" i="44" s="1"/>
  <c r="D71" i="44"/>
  <c r="F71" i="44" s="1"/>
  <c r="D73" i="44"/>
  <c r="F73" i="44" s="1"/>
  <c r="D75" i="44"/>
  <c r="F75" i="44" s="1"/>
  <c r="D77" i="44"/>
  <c r="F77" i="44" s="1"/>
  <c r="D79" i="44"/>
  <c r="F79" i="44" s="1"/>
  <c r="F67" i="42"/>
  <c r="F67" i="38"/>
  <c r="F67" i="36"/>
  <c r="F67" i="32"/>
  <c r="F67" i="57"/>
  <c r="F36" i="56"/>
  <c r="F36" i="54"/>
  <c r="F36" i="52"/>
  <c r="F36" i="50"/>
  <c r="F36" i="48"/>
  <c r="F36" i="46"/>
  <c r="F36" i="44"/>
  <c r="F52" i="44"/>
  <c r="F54" i="44"/>
  <c r="F56" i="44"/>
  <c r="F58" i="44"/>
  <c r="F60" i="44"/>
  <c r="F62" i="44"/>
  <c r="F67" i="40"/>
  <c r="F67" i="34"/>
  <c r="F37" i="43"/>
  <c r="F39" i="43"/>
  <c r="F41" i="43"/>
  <c r="F45" i="43"/>
  <c r="F47" i="43"/>
  <c r="F49" i="43"/>
  <c r="F51" i="43"/>
  <c r="F53" i="43"/>
  <c r="F57" i="43"/>
  <c r="F59" i="43"/>
  <c r="F61" i="43"/>
  <c r="F63" i="43"/>
  <c r="D67" i="43"/>
  <c r="D69" i="43"/>
  <c r="F69" i="43" s="1"/>
  <c r="D71" i="43"/>
  <c r="F71" i="43" s="1"/>
  <c r="D73" i="43"/>
  <c r="F73" i="43" s="1"/>
  <c r="D75" i="43"/>
  <c r="F75" i="43" s="1"/>
  <c r="D77" i="43"/>
  <c r="F77" i="43" s="1"/>
  <c r="D79" i="43"/>
  <c r="F79" i="43" s="1"/>
  <c r="D81" i="43"/>
  <c r="F81" i="43" s="1"/>
  <c r="D83" i="43"/>
  <c r="F83" i="43" s="1"/>
  <c r="D85" i="43"/>
  <c r="F85" i="43" s="1"/>
  <c r="D87" i="43"/>
  <c r="F87" i="43" s="1"/>
  <c r="D89" i="43"/>
  <c r="F89" i="43" s="1"/>
  <c r="D91" i="43"/>
  <c r="F91" i="43" s="1"/>
  <c r="D93" i="43"/>
  <c r="F93" i="43" s="1"/>
  <c r="F36" i="42"/>
  <c r="F38" i="42"/>
  <c r="F40" i="42"/>
  <c r="F42" i="42"/>
  <c r="F44" i="42"/>
  <c r="F46" i="42"/>
  <c r="F48" i="42"/>
  <c r="F52" i="42"/>
  <c r="F54" i="42"/>
  <c r="F56" i="42"/>
  <c r="F58" i="42"/>
  <c r="F60" i="42"/>
  <c r="F62" i="42"/>
  <c r="D64" i="42"/>
  <c r="D68" i="42"/>
  <c r="F68" i="42" s="1"/>
  <c r="D70" i="42"/>
  <c r="F70" i="42" s="1"/>
  <c r="D72" i="42"/>
  <c r="F72" i="42" s="1"/>
  <c r="D74" i="42"/>
  <c r="F74" i="42" s="1"/>
  <c r="D76" i="42"/>
  <c r="F76" i="42" s="1"/>
  <c r="D78" i="42"/>
  <c r="F78" i="42" s="1"/>
  <c r="D80" i="42"/>
  <c r="F80" i="42" s="1"/>
  <c r="D82" i="42"/>
  <c r="F82" i="42" s="1"/>
  <c r="D84" i="42"/>
  <c r="F84" i="42" s="1"/>
  <c r="D86" i="42"/>
  <c r="F86" i="42" s="1"/>
  <c r="D88" i="42"/>
  <c r="F88" i="42" s="1"/>
  <c r="D90" i="42"/>
  <c r="F90" i="42" s="1"/>
  <c r="D92" i="42"/>
  <c r="F92" i="42" s="1"/>
  <c r="D94" i="42"/>
  <c r="F94" i="42" s="1"/>
  <c r="F37" i="41"/>
  <c r="F39" i="41"/>
  <c r="F41" i="41"/>
  <c r="F45" i="41"/>
  <c r="F47" i="41"/>
  <c r="F49" i="41"/>
  <c r="F51" i="41"/>
  <c r="F53" i="41"/>
  <c r="F55" i="41"/>
  <c r="F57" i="41"/>
  <c r="F59" i="41"/>
  <c r="F61" i="41"/>
  <c r="F63" i="41"/>
  <c r="D67" i="41"/>
  <c r="D69" i="41"/>
  <c r="F69" i="41" s="1"/>
  <c r="D71" i="41"/>
  <c r="F71" i="41" s="1"/>
  <c r="D73" i="41"/>
  <c r="F73" i="41" s="1"/>
  <c r="D75" i="41"/>
  <c r="F75" i="41" s="1"/>
  <c r="D77" i="41"/>
  <c r="F77" i="41" s="1"/>
  <c r="D79" i="41"/>
  <c r="F79" i="41" s="1"/>
  <c r="D81" i="41"/>
  <c r="F81" i="41" s="1"/>
  <c r="D83" i="41"/>
  <c r="F83" i="41" s="1"/>
  <c r="D85" i="41"/>
  <c r="F85" i="41" s="1"/>
  <c r="D87" i="41"/>
  <c r="F87" i="41" s="1"/>
  <c r="D89" i="41"/>
  <c r="F89" i="41" s="1"/>
  <c r="D91" i="41"/>
  <c r="F91" i="41" s="1"/>
  <c r="D93" i="41"/>
  <c r="F93" i="41" s="1"/>
  <c r="F36" i="40"/>
  <c r="F38" i="40"/>
  <c r="F40" i="40"/>
  <c r="F42" i="40"/>
  <c r="F44" i="40"/>
  <c r="F46" i="40"/>
  <c r="F48" i="40"/>
  <c r="F52" i="40"/>
  <c r="F54" i="40"/>
  <c r="F56" i="40"/>
  <c r="F58" i="40"/>
  <c r="F60" i="40"/>
  <c r="F62" i="40"/>
  <c r="D64" i="40"/>
  <c r="D68" i="40"/>
  <c r="F68" i="40" s="1"/>
  <c r="D70" i="40"/>
  <c r="F70" i="40" s="1"/>
  <c r="D72" i="40"/>
  <c r="F72" i="40" s="1"/>
  <c r="D74" i="40"/>
  <c r="F74" i="40" s="1"/>
  <c r="D76" i="40"/>
  <c r="F76" i="40" s="1"/>
  <c r="D78" i="40"/>
  <c r="F78" i="40" s="1"/>
  <c r="D80" i="40"/>
  <c r="F80" i="40" s="1"/>
  <c r="D82" i="40"/>
  <c r="F82" i="40" s="1"/>
  <c r="D84" i="40"/>
  <c r="F84" i="40" s="1"/>
  <c r="D86" i="40"/>
  <c r="F86" i="40" s="1"/>
  <c r="D88" i="40"/>
  <c r="F88" i="40" s="1"/>
  <c r="D90" i="40"/>
  <c r="F90" i="40" s="1"/>
  <c r="D92" i="40"/>
  <c r="F92" i="40" s="1"/>
  <c r="D94" i="40"/>
  <c r="F94" i="40" s="1"/>
  <c r="F37" i="39"/>
  <c r="F39" i="39"/>
  <c r="F41" i="39"/>
  <c r="F45" i="39"/>
  <c r="F47" i="39"/>
  <c r="F49" i="39"/>
  <c r="F51" i="39"/>
  <c r="F53" i="39"/>
  <c r="F57" i="39"/>
  <c r="F59" i="39"/>
  <c r="F61" i="39"/>
  <c r="F63" i="39"/>
  <c r="D67" i="39"/>
  <c r="D69" i="39"/>
  <c r="F69" i="39" s="1"/>
  <c r="D71" i="39"/>
  <c r="F71" i="39" s="1"/>
  <c r="D73" i="39"/>
  <c r="F73" i="39" s="1"/>
  <c r="D75" i="39"/>
  <c r="F75" i="39" s="1"/>
  <c r="D77" i="39"/>
  <c r="F77" i="39" s="1"/>
  <c r="D79" i="39"/>
  <c r="F79" i="39" s="1"/>
  <c r="D81" i="39"/>
  <c r="F81" i="39" s="1"/>
  <c r="D83" i="39"/>
  <c r="F83" i="39" s="1"/>
  <c r="D85" i="39"/>
  <c r="F85" i="39" s="1"/>
  <c r="D87" i="39"/>
  <c r="F87" i="39" s="1"/>
  <c r="D89" i="39"/>
  <c r="F89" i="39" s="1"/>
  <c r="D91" i="39"/>
  <c r="F91" i="39" s="1"/>
  <c r="D93" i="39"/>
  <c r="F93" i="39" s="1"/>
  <c r="F36" i="38"/>
  <c r="F38" i="38"/>
  <c r="F40" i="38"/>
  <c r="F42" i="38"/>
  <c r="F44" i="38"/>
  <c r="F46" i="38"/>
  <c r="F48" i="38"/>
  <c r="F52" i="38"/>
  <c r="F54" i="38"/>
  <c r="F56" i="38"/>
  <c r="F58" i="38"/>
  <c r="F60" i="38"/>
  <c r="F62" i="38"/>
  <c r="D64" i="38"/>
  <c r="D68" i="38"/>
  <c r="F68" i="38" s="1"/>
  <c r="D70" i="38"/>
  <c r="F70" i="38" s="1"/>
  <c r="D72" i="38"/>
  <c r="F72" i="38" s="1"/>
  <c r="D74" i="38"/>
  <c r="F74" i="38" s="1"/>
  <c r="D76" i="38"/>
  <c r="F76" i="38" s="1"/>
  <c r="D78" i="38"/>
  <c r="F78" i="38" s="1"/>
  <c r="D80" i="38"/>
  <c r="F80" i="38" s="1"/>
  <c r="D82" i="38"/>
  <c r="F82" i="38" s="1"/>
  <c r="D84" i="38"/>
  <c r="F84" i="38" s="1"/>
  <c r="D86" i="38"/>
  <c r="F86" i="38" s="1"/>
  <c r="D88" i="38"/>
  <c r="F88" i="38" s="1"/>
  <c r="D90" i="38"/>
  <c r="F90" i="38" s="1"/>
  <c r="D92" i="38"/>
  <c r="F92" i="38" s="1"/>
  <c r="D94" i="38"/>
  <c r="F94" i="38" s="1"/>
  <c r="F37" i="37"/>
  <c r="F39" i="37"/>
  <c r="F41" i="37"/>
  <c r="F43" i="37"/>
  <c r="F45" i="37"/>
  <c r="F47" i="37"/>
  <c r="F49" i="37"/>
  <c r="F51" i="37"/>
  <c r="F53" i="37"/>
  <c r="F57" i="37"/>
  <c r="F59" i="37"/>
  <c r="F61" i="37"/>
  <c r="F63" i="37"/>
  <c r="D67" i="37"/>
  <c r="D69" i="37"/>
  <c r="F69" i="37" s="1"/>
  <c r="D71" i="37"/>
  <c r="F71" i="37" s="1"/>
  <c r="D73" i="37"/>
  <c r="F73" i="37" s="1"/>
  <c r="D75" i="37"/>
  <c r="F75" i="37" s="1"/>
  <c r="D77" i="37"/>
  <c r="F77" i="37" s="1"/>
  <c r="D79" i="37"/>
  <c r="F79" i="37" s="1"/>
  <c r="D81" i="37"/>
  <c r="F81" i="37" s="1"/>
  <c r="D83" i="37"/>
  <c r="F83" i="37" s="1"/>
  <c r="D85" i="37"/>
  <c r="F85" i="37" s="1"/>
  <c r="D87" i="37"/>
  <c r="F87" i="37" s="1"/>
  <c r="D89" i="37"/>
  <c r="F89" i="37" s="1"/>
  <c r="D91" i="37"/>
  <c r="F91" i="37" s="1"/>
  <c r="D93" i="37"/>
  <c r="F93" i="37" s="1"/>
  <c r="F36" i="36"/>
  <c r="F38" i="36"/>
  <c r="F40" i="36"/>
  <c r="F42" i="36"/>
  <c r="F44" i="36"/>
  <c r="F46" i="36"/>
  <c r="F48" i="36"/>
  <c r="F52" i="36"/>
  <c r="F54" i="36"/>
  <c r="F56" i="36"/>
  <c r="F58" i="36"/>
  <c r="F60" i="36"/>
  <c r="F62" i="36"/>
  <c r="D64" i="36"/>
  <c r="F37" i="35"/>
  <c r="F39" i="35"/>
  <c r="F41" i="35"/>
  <c r="F43" i="35"/>
  <c r="F45" i="35"/>
  <c r="F47" i="35"/>
  <c r="F49" i="35"/>
  <c r="F51" i="35"/>
  <c r="F53" i="35"/>
  <c r="F57" i="35"/>
  <c r="F59" i="35"/>
  <c r="F61" i="35"/>
  <c r="F63" i="35"/>
  <c r="D67" i="35"/>
  <c r="D69" i="35"/>
  <c r="F69" i="35" s="1"/>
  <c r="D71" i="35"/>
  <c r="F71" i="35" s="1"/>
  <c r="D73" i="35"/>
  <c r="F73" i="35" s="1"/>
  <c r="D75" i="35"/>
  <c r="F75" i="35" s="1"/>
  <c r="D77" i="35"/>
  <c r="F77" i="35" s="1"/>
  <c r="D79" i="35"/>
  <c r="F79" i="35" s="1"/>
  <c r="D81" i="35"/>
  <c r="F81" i="35" s="1"/>
  <c r="D83" i="35"/>
  <c r="F83" i="35" s="1"/>
  <c r="D85" i="35"/>
  <c r="F85" i="35" s="1"/>
  <c r="D87" i="35"/>
  <c r="F87" i="35" s="1"/>
  <c r="D89" i="35"/>
  <c r="F89" i="35" s="1"/>
  <c r="D91" i="35"/>
  <c r="F91" i="35" s="1"/>
  <c r="D93" i="35"/>
  <c r="F93" i="35" s="1"/>
  <c r="F36" i="34"/>
  <c r="F38" i="34"/>
  <c r="F40" i="34"/>
  <c r="F42" i="34"/>
  <c r="F44" i="34"/>
  <c r="F46" i="34"/>
  <c r="F48" i="34"/>
  <c r="F52" i="34"/>
  <c r="F54" i="34"/>
  <c r="F56" i="34"/>
  <c r="F58" i="34"/>
  <c r="F60" i="34"/>
  <c r="F62" i="34"/>
  <c r="D64" i="34"/>
  <c r="D68" i="34"/>
  <c r="F68" i="34" s="1"/>
  <c r="D70" i="34"/>
  <c r="F70" i="34" s="1"/>
  <c r="D72" i="34"/>
  <c r="F72" i="34" s="1"/>
  <c r="D74" i="34"/>
  <c r="F74" i="34" s="1"/>
  <c r="D76" i="34"/>
  <c r="F76" i="34" s="1"/>
  <c r="D78" i="34"/>
  <c r="F78" i="34" s="1"/>
  <c r="D80" i="34"/>
  <c r="F80" i="34" s="1"/>
  <c r="D82" i="34"/>
  <c r="F82" i="34" s="1"/>
  <c r="D84" i="34"/>
  <c r="F84" i="34" s="1"/>
  <c r="D86" i="34"/>
  <c r="F86" i="34" s="1"/>
  <c r="D88" i="34"/>
  <c r="F88" i="34" s="1"/>
  <c r="D90" i="34"/>
  <c r="F90" i="34" s="1"/>
  <c r="D92" i="34"/>
  <c r="F92" i="34" s="1"/>
  <c r="D94" i="34"/>
  <c r="F94" i="34" s="1"/>
  <c r="F37" i="33"/>
  <c r="F39" i="33"/>
  <c r="F41" i="33"/>
  <c r="F43" i="33"/>
  <c r="F45" i="33"/>
  <c r="F47" i="33"/>
  <c r="F49" i="33"/>
  <c r="F51" i="33"/>
  <c r="F53" i="33"/>
  <c r="F57" i="33"/>
  <c r="F59" i="33"/>
  <c r="F61" i="33"/>
  <c r="F63" i="33"/>
  <c r="D67" i="33"/>
  <c r="D69" i="33"/>
  <c r="F69" i="33" s="1"/>
  <c r="D71" i="33"/>
  <c r="F71" i="33" s="1"/>
  <c r="D73" i="33"/>
  <c r="F73" i="33" s="1"/>
  <c r="D75" i="33"/>
  <c r="F75" i="33" s="1"/>
  <c r="D77" i="33"/>
  <c r="F77" i="33" s="1"/>
  <c r="D79" i="33"/>
  <c r="F79" i="33" s="1"/>
  <c r="D81" i="33"/>
  <c r="F81" i="33" s="1"/>
  <c r="D83" i="33"/>
  <c r="F83" i="33" s="1"/>
  <c r="D85" i="33"/>
  <c r="F85" i="33" s="1"/>
  <c r="D87" i="33"/>
  <c r="F87" i="33" s="1"/>
  <c r="D89" i="33"/>
  <c r="F89" i="33" s="1"/>
  <c r="D91" i="33"/>
  <c r="F91" i="33" s="1"/>
  <c r="D93" i="33"/>
  <c r="F93" i="33" s="1"/>
  <c r="F36" i="32"/>
  <c r="F38" i="32"/>
  <c r="F40" i="32"/>
  <c r="F42" i="32"/>
  <c r="F44" i="32"/>
  <c r="F46" i="32"/>
  <c r="F48" i="32"/>
  <c r="F52" i="32"/>
  <c r="F54" i="32"/>
  <c r="F56" i="32"/>
  <c r="F58" i="32"/>
  <c r="F60" i="32"/>
  <c r="F62" i="32"/>
  <c r="D64" i="32"/>
  <c r="F37" i="31"/>
  <c r="F39" i="31"/>
  <c r="F41" i="31"/>
  <c r="F45" i="31"/>
  <c r="F47" i="31"/>
  <c r="F49" i="31"/>
  <c r="F51" i="31"/>
  <c r="F53" i="31"/>
  <c r="F55" i="31"/>
  <c r="F57" i="31"/>
  <c r="F59" i="31"/>
  <c r="F61" i="31"/>
  <c r="F63" i="31"/>
  <c r="F36" i="30"/>
  <c r="F38" i="30"/>
  <c r="F41" i="30"/>
  <c r="F45" i="30"/>
  <c r="F49" i="30"/>
  <c r="F53" i="30"/>
  <c r="F57" i="30"/>
  <c r="F61" i="30"/>
  <c r="D6" i="43"/>
  <c r="D8" i="43"/>
  <c r="D10" i="43"/>
  <c r="D12" i="43"/>
  <c r="D14" i="43"/>
  <c r="F36" i="43"/>
  <c r="D5" i="42"/>
  <c r="D7" i="42"/>
  <c r="D9" i="42"/>
  <c r="D11" i="42"/>
  <c r="D13" i="42"/>
  <c r="D15" i="42"/>
  <c r="D6" i="41"/>
  <c r="D8" i="41"/>
  <c r="D10" i="41"/>
  <c r="D12" i="41"/>
  <c r="D14" i="41"/>
  <c r="D16" i="41"/>
  <c r="F36" i="41"/>
  <c r="D5" i="40"/>
  <c r="D7" i="40"/>
  <c r="D9" i="40"/>
  <c r="D11" i="40"/>
  <c r="D13" i="40"/>
  <c r="D15" i="40"/>
  <c r="D17" i="40"/>
  <c r="D6" i="39"/>
  <c r="D8" i="39"/>
  <c r="D10" i="39"/>
  <c r="D12" i="39"/>
  <c r="D14" i="39"/>
  <c r="D16" i="39"/>
  <c r="D18" i="39"/>
  <c r="D20" i="39"/>
  <c r="F36" i="39"/>
  <c r="D5" i="38"/>
  <c r="D7" i="38"/>
  <c r="D9" i="38"/>
  <c r="D11" i="38"/>
  <c r="D13" i="38"/>
  <c r="D15" i="38"/>
  <c r="D17" i="38"/>
  <c r="D19" i="38"/>
  <c r="D6" i="37"/>
  <c r="D8" i="37"/>
  <c r="D10" i="37"/>
  <c r="D12" i="37"/>
  <c r="D14" i="37"/>
  <c r="D16" i="37"/>
  <c r="D18" i="37"/>
  <c r="D20" i="37"/>
  <c r="D22" i="37"/>
  <c r="D24" i="37"/>
  <c r="F36" i="37"/>
  <c r="D5" i="36"/>
  <c r="D7" i="36"/>
  <c r="D9" i="36"/>
  <c r="D11" i="36"/>
  <c r="D13" i="36"/>
  <c r="D15" i="36"/>
  <c r="D17" i="36"/>
  <c r="D19" i="36"/>
  <c r="D21" i="36"/>
  <c r="D23" i="36"/>
  <c r="D25" i="36"/>
  <c r="D27" i="36"/>
  <c r="D29" i="36"/>
  <c r="D31" i="36"/>
  <c r="D6" i="35"/>
  <c r="D8" i="35"/>
  <c r="D10" i="35"/>
  <c r="D12" i="35"/>
  <c r="D14" i="35"/>
  <c r="D16" i="35"/>
  <c r="D18" i="35"/>
  <c r="D20" i="35"/>
  <c r="D22" i="35"/>
  <c r="D24" i="35"/>
  <c r="F36" i="35"/>
  <c r="D5" i="34"/>
  <c r="D7" i="34"/>
  <c r="D9" i="34"/>
  <c r="D11" i="34"/>
  <c r="D13" i="34"/>
  <c r="D15" i="34"/>
  <c r="D17" i="34"/>
  <c r="D19" i="34"/>
  <c r="D21" i="34"/>
  <c r="D23" i="34"/>
  <c r="D25" i="34"/>
  <c r="D27" i="34"/>
  <c r="D6" i="33"/>
  <c r="D8" i="33"/>
  <c r="D10" i="33"/>
  <c r="D12" i="33"/>
  <c r="D14" i="33"/>
  <c r="D16" i="33"/>
  <c r="D18" i="33"/>
  <c r="D20" i="33"/>
  <c r="D22" i="33"/>
  <c r="D24" i="33"/>
  <c r="D26" i="33"/>
  <c r="D28" i="33"/>
  <c r="D30" i="33"/>
  <c r="D32" i="33"/>
  <c r="F36" i="33"/>
  <c r="D5" i="32"/>
  <c r="D7" i="32"/>
  <c r="D9" i="32"/>
  <c r="D11" i="32"/>
  <c r="D13" i="32"/>
  <c r="D15" i="32"/>
  <c r="D17" i="32"/>
  <c r="D19" i="32"/>
  <c r="D21" i="32"/>
  <c r="D23" i="32"/>
  <c r="D25" i="32"/>
  <c r="D27" i="32"/>
  <c r="D29" i="32"/>
  <c r="D31" i="32"/>
  <c r="D6" i="31"/>
  <c r="D8" i="31"/>
  <c r="D10" i="31"/>
  <c r="D12" i="31"/>
  <c r="D14" i="31"/>
  <c r="D16" i="31"/>
  <c r="D18" i="31"/>
  <c r="D20" i="31"/>
  <c r="D22" i="31"/>
  <c r="D24" i="31"/>
  <c r="D26" i="31"/>
  <c r="D28" i="31"/>
  <c r="D30" i="31"/>
  <c r="D32" i="31"/>
  <c r="F36" i="31"/>
  <c r="D5" i="30"/>
  <c r="D7" i="30"/>
  <c r="F37" i="30"/>
  <c r="F39" i="30"/>
  <c r="F43" i="30"/>
  <c r="F47" i="30"/>
  <c r="F51" i="30"/>
  <c r="F59" i="30"/>
  <c r="F63" i="30"/>
  <c r="D67" i="30"/>
  <c r="D5" i="29"/>
  <c r="D7" i="29"/>
  <c r="D9" i="29"/>
  <c r="D11" i="29"/>
  <c r="D13" i="29"/>
  <c r="D15" i="29"/>
  <c r="D17" i="29"/>
  <c r="D19" i="29"/>
  <c r="D21" i="29"/>
  <c r="D23" i="29"/>
  <c r="D25" i="29"/>
  <c r="D27" i="29"/>
  <c r="D29" i="29"/>
  <c r="D31" i="29"/>
  <c r="D67" i="29"/>
  <c r="D69" i="29"/>
  <c r="F69" i="29" s="1"/>
  <c r="D71" i="29"/>
  <c r="F71" i="29" s="1"/>
  <c r="D73" i="29"/>
  <c r="F73" i="29" s="1"/>
  <c r="D75" i="29"/>
  <c r="F75" i="29" s="1"/>
  <c r="D77" i="29"/>
  <c r="F77" i="29" s="1"/>
  <c r="D79" i="29"/>
  <c r="F79" i="29" s="1"/>
  <c r="D81" i="29"/>
  <c r="F81" i="29" s="1"/>
  <c r="D83" i="29"/>
  <c r="F83" i="29" s="1"/>
  <c r="D85" i="29"/>
  <c r="F85" i="29" s="1"/>
  <c r="D87" i="29"/>
  <c r="F87" i="29" s="1"/>
  <c r="D89" i="29"/>
  <c r="F89" i="29" s="1"/>
  <c r="D91" i="29"/>
  <c r="F91" i="29" s="1"/>
  <c r="D93" i="29"/>
  <c r="F93" i="29" s="1"/>
  <c r="D6" i="28"/>
  <c r="D8" i="28"/>
  <c r="D10" i="28"/>
  <c r="D12" i="28"/>
  <c r="D14" i="28"/>
  <c r="D16" i="28"/>
  <c r="D18" i="28"/>
  <c r="D20" i="28"/>
  <c r="D22" i="28"/>
  <c r="D24" i="28"/>
  <c r="D26" i="28"/>
  <c r="D28" i="28"/>
  <c r="D30" i="28"/>
  <c r="D32" i="28"/>
  <c r="F36" i="28"/>
  <c r="D68" i="28"/>
  <c r="F68" i="28" s="1"/>
  <c r="D70" i="28"/>
  <c r="F70" i="28" s="1"/>
  <c r="D72" i="28"/>
  <c r="F72" i="28" s="1"/>
  <c r="D74" i="28"/>
  <c r="F74" i="28" s="1"/>
  <c r="D76" i="28"/>
  <c r="F76" i="28" s="1"/>
  <c r="D78" i="28"/>
  <c r="F78" i="28" s="1"/>
  <c r="D80" i="28"/>
  <c r="F80" i="28" s="1"/>
  <c r="D82" i="28"/>
  <c r="F82" i="28" s="1"/>
  <c r="D84" i="28"/>
  <c r="F84" i="28" s="1"/>
  <c r="D86" i="28"/>
  <c r="F86" i="28" s="1"/>
  <c r="D88" i="28"/>
  <c r="F88" i="28" s="1"/>
  <c r="D90" i="28"/>
  <c r="F90" i="28" s="1"/>
  <c r="D92" i="28"/>
  <c r="F92" i="28" s="1"/>
  <c r="D94" i="28"/>
  <c r="F94" i="28" s="1"/>
  <c r="D5" i="27"/>
  <c r="D7" i="27"/>
  <c r="D9" i="27"/>
  <c r="D11" i="27"/>
  <c r="D13" i="27"/>
  <c r="D15" i="27"/>
  <c r="D17" i="27"/>
  <c r="D19" i="27"/>
  <c r="F37" i="27"/>
  <c r="F39" i="27"/>
  <c r="F41" i="27"/>
  <c r="F45" i="27"/>
  <c r="F47" i="27"/>
  <c r="F49" i="27"/>
  <c r="F53" i="27"/>
  <c r="F55" i="27"/>
  <c r="F57" i="27"/>
  <c r="F59" i="27"/>
  <c r="F61" i="27"/>
  <c r="F63" i="27"/>
  <c r="D67" i="27"/>
  <c r="D69" i="27"/>
  <c r="F69" i="27" s="1"/>
  <c r="D71" i="27"/>
  <c r="F71" i="27" s="1"/>
  <c r="D73" i="27"/>
  <c r="F73" i="27" s="1"/>
  <c r="D75" i="27"/>
  <c r="F75" i="27" s="1"/>
  <c r="D77" i="27"/>
  <c r="F77" i="27" s="1"/>
  <c r="D79" i="27"/>
  <c r="F79" i="27" s="1"/>
  <c r="D81" i="27"/>
  <c r="F81" i="27" s="1"/>
  <c r="D83" i="27"/>
  <c r="F83" i="27" s="1"/>
  <c r="D85" i="27"/>
  <c r="F85" i="27" s="1"/>
  <c r="D87" i="27"/>
  <c r="F87" i="27" s="1"/>
  <c r="D89" i="27"/>
  <c r="F89" i="27" s="1"/>
  <c r="D91" i="27"/>
  <c r="F91" i="27" s="1"/>
  <c r="D93" i="27"/>
  <c r="F93" i="27" s="1"/>
  <c r="F36" i="26"/>
  <c r="F38" i="26"/>
  <c r="F40" i="26"/>
  <c r="F42" i="26"/>
  <c r="F44" i="26"/>
  <c r="F46" i="26"/>
  <c r="F48" i="26"/>
  <c r="F52" i="26"/>
  <c r="F54" i="26"/>
  <c r="F56" i="26"/>
  <c r="F58" i="26"/>
  <c r="F60" i="26"/>
  <c r="F62" i="26"/>
  <c r="D64" i="26"/>
  <c r="D68" i="26"/>
  <c r="F68" i="26" s="1"/>
  <c r="D70" i="26"/>
  <c r="F70" i="26" s="1"/>
  <c r="D72" i="26"/>
  <c r="F72" i="26" s="1"/>
  <c r="D74" i="26"/>
  <c r="F74" i="26" s="1"/>
  <c r="D76" i="26"/>
  <c r="F76" i="26" s="1"/>
  <c r="D78" i="26"/>
  <c r="F78" i="26" s="1"/>
  <c r="D80" i="26"/>
  <c r="F80" i="26" s="1"/>
  <c r="D82" i="26"/>
  <c r="F82" i="26" s="1"/>
  <c r="D84" i="26"/>
  <c r="F84" i="26" s="1"/>
  <c r="D86" i="26"/>
  <c r="F86" i="26" s="1"/>
  <c r="D88" i="26"/>
  <c r="F88" i="26" s="1"/>
  <c r="D90" i="26"/>
  <c r="F90" i="26" s="1"/>
  <c r="D92" i="26"/>
  <c r="F92" i="26" s="1"/>
  <c r="D94" i="26"/>
  <c r="F94" i="26" s="1"/>
  <c r="D5" i="25"/>
  <c r="D7" i="25"/>
  <c r="D9" i="25"/>
  <c r="D11" i="25"/>
  <c r="D13" i="25"/>
  <c r="D15" i="25"/>
  <c r="D17" i="25"/>
  <c r="D19" i="25"/>
  <c r="D21" i="25"/>
  <c r="D23" i="25"/>
  <c r="D25" i="25"/>
  <c r="D27" i="25"/>
  <c r="D29" i="25"/>
  <c r="D31" i="25"/>
  <c r="D67" i="25"/>
  <c r="D69" i="25"/>
  <c r="F69" i="25" s="1"/>
  <c r="D71" i="25"/>
  <c r="F71" i="25" s="1"/>
  <c r="D73" i="25"/>
  <c r="F73" i="25" s="1"/>
  <c r="D75" i="25"/>
  <c r="F75" i="25" s="1"/>
  <c r="D77" i="25"/>
  <c r="F77" i="25" s="1"/>
  <c r="D79" i="25"/>
  <c r="F79" i="25" s="1"/>
  <c r="D81" i="25"/>
  <c r="F81" i="25" s="1"/>
  <c r="D83" i="25"/>
  <c r="F83" i="25" s="1"/>
  <c r="D85" i="25"/>
  <c r="F85" i="25" s="1"/>
  <c r="D87" i="25"/>
  <c r="F87" i="25" s="1"/>
  <c r="D89" i="25"/>
  <c r="F89" i="25" s="1"/>
  <c r="D91" i="25"/>
  <c r="F91" i="25" s="1"/>
  <c r="D93" i="25"/>
  <c r="F93" i="25" s="1"/>
  <c r="D6" i="24"/>
  <c r="F36" i="24"/>
  <c r="F38" i="24"/>
  <c r="F40" i="24"/>
  <c r="F42" i="24"/>
  <c r="F44" i="24"/>
  <c r="F46" i="24"/>
  <c r="F48" i="24"/>
  <c r="F52" i="24"/>
  <c r="F54" i="24"/>
  <c r="F56" i="24"/>
  <c r="F58" i="24"/>
  <c r="F60" i="24"/>
  <c r="F62" i="24"/>
  <c r="D64" i="24"/>
  <c r="D68" i="24"/>
  <c r="F68" i="24" s="1"/>
  <c r="D70" i="24"/>
  <c r="F70" i="24" s="1"/>
  <c r="D72" i="24"/>
  <c r="F72" i="24" s="1"/>
  <c r="D74" i="24"/>
  <c r="F74" i="24" s="1"/>
  <c r="D76" i="24"/>
  <c r="F76" i="24" s="1"/>
  <c r="D78" i="24"/>
  <c r="F78" i="24" s="1"/>
  <c r="D80" i="24"/>
  <c r="F80" i="24" s="1"/>
  <c r="D82" i="24"/>
  <c r="F82" i="24" s="1"/>
  <c r="D84" i="24"/>
  <c r="F84" i="24" s="1"/>
  <c r="D86" i="24"/>
  <c r="F86" i="24" s="1"/>
  <c r="D88" i="24"/>
  <c r="F88" i="24" s="1"/>
  <c r="D90" i="24"/>
  <c r="F90" i="24" s="1"/>
  <c r="D92" i="24"/>
  <c r="F92" i="24" s="1"/>
  <c r="D94" i="24"/>
  <c r="F94" i="24" s="1"/>
  <c r="D5" i="23"/>
  <c r="F37" i="23"/>
  <c r="F39" i="23"/>
  <c r="F41" i="23"/>
  <c r="F45" i="23"/>
  <c r="F47" i="23"/>
  <c r="F49" i="23"/>
  <c r="F51" i="23"/>
  <c r="F53" i="23"/>
  <c r="F57" i="23"/>
  <c r="F59" i="23"/>
  <c r="F61" i="23"/>
  <c r="F63" i="23"/>
  <c r="D67" i="23"/>
  <c r="D69" i="23"/>
  <c r="F69" i="23" s="1"/>
  <c r="D71" i="23"/>
  <c r="F71" i="23" s="1"/>
  <c r="D73" i="23"/>
  <c r="F73" i="23" s="1"/>
  <c r="D75" i="23"/>
  <c r="F75" i="23" s="1"/>
  <c r="D77" i="23"/>
  <c r="F77" i="23" s="1"/>
  <c r="D79" i="23"/>
  <c r="F79" i="23" s="1"/>
  <c r="D81" i="23"/>
  <c r="F81" i="23" s="1"/>
  <c r="D83" i="23"/>
  <c r="F83" i="23" s="1"/>
  <c r="D85" i="23"/>
  <c r="F85" i="23" s="1"/>
  <c r="D87" i="23"/>
  <c r="F87" i="23" s="1"/>
  <c r="D89" i="23"/>
  <c r="F89" i="23" s="1"/>
  <c r="D91" i="23"/>
  <c r="F91" i="23" s="1"/>
  <c r="D93" i="23"/>
  <c r="F93" i="23" s="1"/>
  <c r="D6" i="22"/>
  <c r="F36" i="22"/>
  <c r="F38" i="22"/>
  <c r="F40" i="22"/>
  <c r="F42" i="22"/>
  <c r="F44" i="22"/>
  <c r="F46" i="22"/>
  <c r="F48" i="22"/>
  <c r="F52" i="22"/>
  <c r="F54" i="22"/>
  <c r="F56" i="22"/>
  <c r="F58" i="22"/>
  <c r="F60" i="22"/>
  <c r="F62" i="22"/>
  <c r="D64" i="22"/>
  <c r="D68" i="22"/>
  <c r="F68" i="22" s="1"/>
  <c r="D70" i="22"/>
  <c r="F70" i="22" s="1"/>
  <c r="D72" i="22"/>
  <c r="F72" i="22" s="1"/>
  <c r="D74" i="22"/>
  <c r="D76" i="22"/>
  <c r="F76" i="22" s="1"/>
  <c r="D78" i="22"/>
  <c r="F78" i="22" s="1"/>
  <c r="D80" i="22"/>
  <c r="F80" i="22" s="1"/>
  <c r="D82" i="22"/>
  <c r="F82" i="22" s="1"/>
  <c r="D84" i="22"/>
  <c r="F84" i="22" s="1"/>
  <c r="D86" i="22"/>
  <c r="F86" i="22" s="1"/>
  <c r="D88" i="22"/>
  <c r="F88" i="22" s="1"/>
  <c r="D90" i="22"/>
  <c r="F90" i="22" s="1"/>
  <c r="D92" i="22"/>
  <c r="F92" i="22" s="1"/>
  <c r="D94" i="22"/>
  <c r="F94" i="22" s="1"/>
  <c r="F36" i="29"/>
  <c r="F36" i="27"/>
  <c r="F36" i="25"/>
  <c r="F36" i="23"/>
  <c r="F36" i="21"/>
  <c r="F38" i="21"/>
  <c r="F40" i="21"/>
  <c r="F42" i="21"/>
  <c r="F44" i="21"/>
  <c r="F46" i="21"/>
  <c r="F48" i="21"/>
  <c r="F52" i="21"/>
  <c r="F54" i="21"/>
  <c r="F56" i="21"/>
  <c r="F58" i="21"/>
  <c r="F60" i="21"/>
  <c r="F62" i="21"/>
  <c r="D64" i="21"/>
  <c r="D68" i="21"/>
  <c r="F68" i="21" s="1"/>
  <c r="D70" i="21"/>
  <c r="F70" i="21" s="1"/>
  <c r="D72" i="21"/>
  <c r="F72" i="21" s="1"/>
  <c r="D74" i="21"/>
  <c r="F74" i="21" s="1"/>
  <c r="D76" i="21"/>
  <c r="F76" i="21" s="1"/>
  <c r="D78" i="21"/>
  <c r="F78" i="21" s="1"/>
  <c r="D80" i="21"/>
  <c r="F80" i="21" s="1"/>
  <c r="D82" i="21"/>
  <c r="F82" i="21" s="1"/>
  <c r="D84" i="21"/>
  <c r="F84" i="21" s="1"/>
  <c r="D86" i="21"/>
  <c r="F86" i="21" s="1"/>
  <c r="D88" i="21"/>
  <c r="F88" i="21" s="1"/>
  <c r="D90" i="21"/>
  <c r="F90" i="21" s="1"/>
  <c r="D92" i="21"/>
  <c r="F92" i="21" s="1"/>
  <c r="D94" i="21"/>
  <c r="F94" i="21" s="1"/>
  <c r="D5" i="20"/>
  <c r="D71" i="20"/>
  <c r="F71" i="20" s="1"/>
  <c r="D6" i="19"/>
  <c r="D8" i="19"/>
  <c r="F36" i="19"/>
  <c r="F38" i="19"/>
  <c r="F40" i="19"/>
  <c r="F42" i="19"/>
  <c r="F44" i="19"/>
  <c r="F46" i="19"/>
  <c r="F48" i="19"/>
  <c r="F52" i="19"/>
  <c r="F54" i="19"/>
  <c r="F56" i="19"/>
  <c r="F58" i="19"/>
  <c r="F60" i="19"/>
  <c r="F62" i="19"/>
  <c r="D64" i="19"/>
  <c r="D68" i="19"/>
  <c r="F68" i="19" s="1"/>
  <c r="D70" i="19"/>
  <c r="F70" i="19" s="1"/>
  <c r="D72" i="19"/>
  <c r="F72" i="19" s="1"/>
  <c r="D74" i="19"/>
  <c r="D76" i="19"/>
  <c r="F76" i="19" s="1"/>
  <c r="D78" i="19"/>
  <c r="F78" i="19" s="1"/>
  <c r="D80" i="19"/>
  <c r="F80" i="19" s="1"/>
  <c r="D82" i="19"/>
  <c r="F82" i="19" s="1"/>
  <c r="D84" i="19"/>
  <c r="F84" i="19" s="1"/>
  <c r="D86" i="19"/>
  <c r="F86" i="19" s="1"/>
  <c r="D88" i="19"/>
  <c r="F88" i="19" s="1"/>
  <c r="D90" i="19"/>
  <c r="F90" i="19" s="1"/>
  <c r="D92" i="19"/>
  <c r="F92" i="19" s="1"/>
  <c r="D94" i="19"/>
  <c r="F94" i="19" s="1"/>
  <c r="D9" i="18"/>
  <c r="D17" i="18"/>
  <c r="D25" i="18"/>
  <c r="D67" i="18"/>
  <c r="D75" i="18"/>
  <c r="F75" i="18" s="1"/>
  <c r="D83" i="18"/>
  <c r="F83" i="18" s="1"/>
  <c r="D91" i="18"/>
  <c r="F91" i="18" s="1"/>
  <c r="D6" i="17"/>
  <c r="D8" i="17"/>
  <c r="F36" i="17"/>
  <c r="F38" i="17"/>
  <c r="F40" i="17"/>
  <c r="F42" i="17"/>
  <c r="F44" i="17"/>
  <c r="F46" i="17"/>
  <c r="F48" i="17"/>
  <c r="F52" i="17"/>
  <c r="F54" i="17"/>
  <c r="F56" i="17"/>
  <c r="F58" i="17"/>
  <c r="F60" i="17"/>
  <c r="F62" i="17"/>
  <c r="D64" i="17"/>
  <c r="D68" i="17"/>
  <c r="F68" i="17" s="1"/>
  <c r="D70" i="17"/>
  <c r="F70" i="17" s="1"/>
  <c r="D72" i="17"/>
  <c r="F72" i="17" s="1"/>
  <c r="D74" i="17"/>
  <c r="D76" i="17"/>
  <c r="F76" i="17" s="1"/>
  <c r="D78" i="17"/>
  <c r="F78" i="17" s="1"/>
  <c r="D80" i="17"/>
  <c r="F80" i="17" s="1"/>
  <c r="D82" i="17"/>
  <c r="F82" i="17" s="1"/>
  <c r="D84" i="17"/>
  <c r="F84" i="17" s="1"/>
  <c r="D86" i="17"/>
  <c r="F86" i="17" s="1"/>
  <c r="D88" i="17"/>
  <c r="F88" i="17" s="1"/>
  <c r="D90" i="17"/>
  <c r="F90" i="17" s="1"/>
  <c r="D92" i="17"/>
  <c r="F92" i="17" s="1"/>
  <c r="D94" i="17"/>
  <c r="F94" i="17" s="1"/>
  <c r="D5" i="16"/>
  <c r="D7" i="16"/>
  <c r="D9" i="16"/>
  <c r="D11" i="16"/>
  <c r="D13" i="16"/>
  <c r="D15" i="16"/>
  <c r="D17" i="16"/>
  <c r="D19" i="16"/>
  <c r="D21" i="16"/>
  <c r="D23" i="16"/>
  <c r="D25" i="16"/>
  <c r="D27" i="16"/>
  <c r="D29" i="16"/>
  <c r="D31" i="16"/>
  <c r="D67" i="16"/>
  <c r="D69" i="16"/>
  <c r="F69" i="16" s="1"/>
  <c r="D71" i="16"/>
  <c r="F71" i="16" s="1"/>
  <c r="D73" i="16"/>
  <c r="F73" i="16" s="1"/>
  <c r="D75" i="16"/>
  <c r="F75" i="16" s="1"/>
  <c r="D77" i="16"/>
  <c r="F77" i="16" s="1"/>
  <c r="D79" i="16"/>
  <c r="F79" i="16" s="1"/>
  <c r="D81" i="16"/>
  <c r="F81" i="16" s="1"/>
  <c r="D83" i="16"/>
  <c r="F83" i="16" s="1"/>
  <c r="D85" i="16"/>
  <c r="F85" i="16" s="1"/>
  <c r="D87" i="16"/>
  <c r="F87" i="16" s="1"/>
  <c r="D89" i="16"/>
  <c r="F89" i="16" s="1"/>
  <c r="D91" i="16"/>
  <c r="F91" i="16" s="1"/>
  <c r="D93" i="16"/>
  <c r="F93" i="16" s="1"/>
  <c r="D6" i="15"/>
  <c r="D8" i="15"/>
  <c r="F36" i="15"/>
  <c r="F38" i="15"/>
  <c r="F40" i="15"/>
  <c r="F42" i="15"/>
  <c r="F44" i="15"/>
  <c r="F46" i="15"/>
  <c r="F48" i="15"/>
  <c r="F52" i="15"/>
  <c r="F54" i="15"/>
  <c r="F56" i="15"/>
  <c r="F58" i="15"/>
  <c r="F60" i="15"/>
  <c r="F62" i="15"/>
  <c r="D64" i="15"/>
  <c r="D68" i="15"/>
  <c r="F68" i="15" s="1"/>
  <c r="D70" i="15"/>
  <c r="F70" i="15" s="1"/>
  <c r="D72" i="15"/>
  <c r="F72" i="15" s="1"/>
  <c r="D74" i="15"/>
  <c r="F74" i="15" s="1"/>
  <c r="D76" i="15"/>
  <c r="F76" i="15" s="1"/>
  <c r="D78" i="15"/>
  <c r="F78" i="15" s="1"/>
  <c r="D80" i="15"/>
  <c r="F80" i="15" s="1"/>
  <c r="D82" i="15"/>
  <c r="F82" i="15" s="1"/>
  <c r="D84" i="15"/>
  <c r="F84" i="15" s="1"/>
  <c r="D86" i="15"/>
  <c r="F86" i="15" s="1"/>
  <c r="D88" i="15"/>
  <c r="F88" i="15" s="1"/>
  <c r="D90" i="15"/>
  <c r="F90" i="15" s="1"/>
  <c r="D92" i="15"/>
  <c r="F92" i="15" s="1"/>
  <c r="D94" i="15"/>
  <c r="F94" i="15" s="1"/>
  <c r="D5" i="14"/>
  <c r="F37" i="14"/>
  <c r="F39" i="14"/>
  <c r="F41" i="14"/>
  <c r="F45" i="14"/>
  <c r="F47" i="14"/>
  <c r="F49" i="14"/>
  <c r="F51" i="14"/>
  <c r="F53" i="14"/>
  <c r="F57" i="14"/>
  <c r="F59" i="14"/>
  <c r="F61" i="14"/>
  <c r="F36" i="16"/>
  <c r="F36" i="14"/>
  <c r="F38" i="14"/>
  <c r="F40" i="14"/>
  <c r="F42" i="14"/>
  <c r="F44" i="14"/>
  <c r="F46" i="14"/>
  <c r="F48" i="14"/>
  <c r="F52" i="14"/>
  <c r="F54" i="14"/>
  <c r="F56" i="14"/>
  <c r="F58" i="14"/>
  <c r="F60" i="14"/>
  <c r="D93" i="14"/>
  <c r="F93" i="14" s="1"/>
  <c r="F62" i="14"/>
  <c r="F63" i="14"/>
  <c r="D67" i="14"/>
  <c r="F37" i="13"/>
  <c r="F39" i="13"/>
  <c r="F41" i="13"/>
  <c r="F45" i="13"/>
  <c r="F47" i="13"/>
  <c r="F49" i="13"/>
  <c r="F53" i="13"/>
  <c r="F55" i="13"/>
  <c r="F57" i="13"/>
  <c r="F59" i="13"/>
  <c r="F61" i="13"/>
  <c r="F63" i="13"/>
  <c r="D67" i="13"/>
  <c r="D69" i="13"/>
  <c r="F69" i="13" s="1"/>
  <c r="D71" i="13"/>
  <c r="F71" i="13" s="1"/>
  <c r="D73" i="13"/>
  <c r="F73" i="13" s="1"/>
  <c r="D75" i="13"/>
  <c r="F75" i="13" s="1"/>
  <c r="D77" i="13"/>
  <c r="F77" i="13" s="1"/>
  <c r="D79" i="13"/>
  <c r="F79" i="13" s="1"/>
  <c r="D81" i="13"/>
  <c r="F81" i="13" s="1"/>
  <c r="D83" i="13"/>
  <c r="F83" i="13" s="1"/>
  <c r="D85" i="13"/>
  <c r="F85" i="13" s="1"/>
  <c r="D87" i="13"/>
  <c r="F87" i="13" s="1"/>
  <c r="D89" i="13"/>
  <c r="F89" i="13" s="1"/>
  <c r="D91" i="13"/>
  <c r="F91" i="13" s="1"/>
  <c r="D93" i="13"/>
  <c r="F93" i="13" s="1"/>
  <c r="F36" i="12"/>
  <c r="F38" i="12"/>
  <c r="F40" i="12"/>
  <c r="F42" i="12"/>
  <c r="F44" i="12"/>
  <c r="F46" i="12"/>
  <c r="F48" i="12"/>
  <c r="F52" i="12"/>
  <c r="F54" i="12"/>
  <c r="F56" i="12"/>
  <c r="F58" i="12"/>
  <c r="F60" i="12"/>
  <c r="F62" i="12"/>
  <c r="D64" i="12"/>
  <c r="D68" i="12"/>
  <c r="F68" i="12" s="1"/>
  <c r="D70" i="12"/>
  <c r="F70" i="12" s="1"/>
  <c r="D72" i="12"/>
  <c r="F72" i="12" s="1"/>
  <c r="D74" i="12"/>
  <c r="D76" i="12"/>
  <c r="F76" i="12" s="1"/>
  <c r="D78" i="12"/>
  <c r="F78" i="12" s="1"/>
  <c r="D80" i="12"/>
  <c r="F80" i="12" s="1"/>
  <c r="D82" i="12"/>
  <c r="F82" i="12" s="1"/>
  <c r="D84" i="12"/>
  <c r="F84" i="12" s="1"/>
  <c r="D86" i="12"/>
  <c r="F86" i="12" s="1"/>
  <c r="D88" i="12"/>
  <c r="F88" i="12" s="1"/>
  <c r="D90" i="12"/>
  <c r="F90" i="12" s="1"/>
  <c r="D92" i="12"/>
  <c r="F92" i="12" s="1"/>
  <c r="D94" i="12"/>
  <c r="F94" i="12" s="1"/>
  <c r="F37" i="11"/>
  <c r="F39" i="11"/>
  <c r="F41" i="11"/>
  <c r="F43" i="11"/>
  <c r="F45" i="11"/>
  <c r="F47" i="11"/>
  <c r="F49" i="11"/>
  <c r="F53" i="11"/>
  <c r="F55" i="11"/>
  <c r="F57" i="11"/>
  <c r="F59" i="11"/>
  <c r="F61" i="11"/>
  <c r="F63" i="11"/>
  <c r="D67" i="11"/>
  <c r="D69" i="11"/>
  <c r="F69" i="11" s="1"/>
  <c r="D71" i="11"/>
  <c r="F71" i="11" s="1"/>
  <c r="D73" i="11"/>
  <c r="F73" i="11" s="1"/>
  <c r="D75" i="11"/>
  <c r="F75" i="11" s="1"/>
  <c r="D77" i="11"/>
  <c r="F77" i="11" s="1"/>
  <c r="D79" i="11"/>
  <c r="F79" i="11" s="1"/>
  <c r="D81" i="11"/>
  <c r="F81" i="11" s="1"/>
  <c r="D83" i="11"/>
  <c r="F83" i="11" s="1"/>
  <c r="D85" i="11"/>
  <c r="F85" i="11" s="1"/>
  <c r="D87" i="11"/>
  <c r="F87" i="11" s="1"/>
  <c r="D89" i="11"/>
  <c r="F89" i="11" s="1"/>
  <c r="D91" i="11"/>
  <c r="F91" i="11" s="1"/>
  <c r="D93" i="11"/>
  <c r="F93" i="11" s="1"/>
  <c r="F67" i="9"/>
  <c r="F36" i="13"/>
  <c r="F36" i="11"/>
  <c r="F67" i="7"/>
  <c r="F37" i="10"/>
  <c r="F39" i="10"/>
  <c r="F41" i="10"/>
  <c r="F43" i="10"/>
  <c r="F45" i="10"/>
  <c r="F47" i="10"/>
  <c r="F49" i="10"/>
  <c r="F51" i="10"/>
  <c r="F53" i="10"/>
  <c r="F55" i="10"/>
  <c r="F57" i="10"/>
  <c r="F59" i="10"/>
  <c r="F61" i="10"/>
  <c r="F63" i="10"/>
  <c r="D67" i="10"/>
  <c r="D69" i="10"/>
  <c r="F69" i="10" s="1"/>
  <c r="D71" i="10"/>
  <c r="F71" i="10" s="1"/>
  <c r="D73" i="10"/>
  <c r="F73" i="10" s="1"/>
  <c r="D75" i="10"/>
  <c r="F75" i="10" s="1"/>
  <c r="D77" i="10"/>
  <c r="F77" i="10" s="1"/>
  <c r="D79" i="10"/>
  <c r="F79" i="10" s="1"/>
  <c r="D81" i="10"/>
  <c r="F81" i="10" s="1"/>
  <c r="D83" i="10"/>
  <c r="F83" i="10" s="1"/>
  <c r="D85" i="10"/>
  <c r="F85" i="10" s="1"/>
  <c r="D87" i="10"/>
  <c r="F87" i="10" s="1"/>
  <c r="D89" i="10"/>
  <c r="F89" i="10" s="1"/>
  <c r="D91" i="10"/>
  <c r="F91" i="10" s="1"/>
  <c r="D93" i="10"/>
  <c r="F93" i="10" s="1"/>
  <c r="F36" i="9"/>
  <c r="F38" i="9"/>
  <c r="F40" i="9"/>
  <c r="F42" i="9"/>
  <c r="F44" i="9"/>
  <c r="F46" i="9"/>
  <c r="F48" i="9"/>
  <c r="F52" i="9"/>
  <c r="F54" i="9"/>
  <c r="F56" i="9"/>
  <c r="F58" i="9"/>
  <c r="F60" i="9"/>
  <c r="F62" i="9"/>
  <c r="D64" i="9"/>
  <c r="D68" i="9"/>
  <c r="F68" i="9" s="1"/>
  <c r="D70" i="9"/>
  <c r="F70" i="9" s="1"/>
  <c r="D72" i="9"/>
  <c r="F72" i="9" s="1"/>
  <c r="D74" i="9"/>
  <c r="F74" i="9" s="1"/>
  <c r="D76" i="9"/>
  <c r="F76" i="9" s="1"/>
  <c r="D78" i="9"/>
  <c r="F78" i="9" s="1"/>
  <c r="D80" i="9"/>
  <c r="F80" i="9" s="1"/>
  <c r="D82" i="9"/>
  <c r="F82" i="9" s="1"/>
  <c r="D84" i="9"/>
  <c r="F84" i="9" s="1"/>
  <c r="D86" i="9"/>
  <c r="F86" i="9" s="1"/>
  <c r="D88" i="9"/>
  <c r="F88" i="9" s="1"/>
  <c r="D90" i="9"/>
  <c r="F90" i="9" s="1"/>
  <c r="D92" i="9"/>
  <c r="F92" i="9" s="1"/>
  <c r="D94" i="9"/>
  <c r="F94" i="9" s="1"/>
  <c r="F37" i="8"/>
  <c r="F39" i="8"/>
  <c r="F41" i="8"/>
  <c r="F45" i="8"/>
  <c r="F47" i="8"/>
  <c r="F49" i="8"/>
  <c r="F51" i="8"/>
  <c r="F53" i="8"/>
  <c r="F57" i="8"/>
  <c r="F59" i="8"/>
  <c r="F61" i="8"/>
  <c r="F63" i="8"/>
  <c r="D67" i="8"/>
  <c r="D69" i="8"/>
  <c r="F69" i="8" s="1"/>
  <c r="D71" i="8"/>
  <c r="F71" i="8" s="1"/>
  <c r="D73" i="8"/>
  <c r="F73" i="8" s="1"/>
  <c r="D75" i="8"/>
  <c r="F75" i="8" s="1"/>
  <c r="D77" i="8"/>
  <c r="F77" i="8" s="1"/>
  <c r="D79" i="8"/>
  <c r="F79" i="8" s="1"/>
  <c r="D81" i="8"/>
  <c r="F81" i="8" s="1"/>
  <c r="D83" i="8"/>
  <c r="F83" i="8" s="1"/>
  <c r="D85" i="8"/>
  <c r="F85" i="8" s="1"/>
  <c r="D87" i="8"/>
  <c r="F87" i="8" s="1"/>
  <c r="D89" i="8"/>
  <c r="F89" i="8" s="1"/>
  <c r="D91" i="8"/>
  <c r="F91" i="8" s="1"/>
  <c r="D93" i="8"/>
  <c r="F93" i="8" s="1"/>
  <c r="F36" i="7"/>
  <c r="F38" i="7"/>
  <c r="F40" i="7"/>
  <c r="F42" i="7"/>
  <c r="F44" i="7"/>
  <c r="F46" i="7"/>
  <c r="F48" i="7"/>
  <c r="F52" i="7"/>
  <c r="F54" i="7"/>
  <c r="F56" i="7"/>
  <c r="F58" i="7"/>
  <c r="F60" i="7"/>
  <c r="F62" i="7"/>
  <c r="D64" i="7"/>
  <c r="D68" i="7"/>
  <c r="F68" i="7" s="1"/>
  <c r="D70" i="7"/>
  <c r="F70" i="7" s="1"/>
  <c r="D72" i="7"/>
  <c r="F72" i="7" s="1"/>
  <c r="D74" i="7"/>
  <c r="F74" i="7" s="1"/>
  <c r="D76" i="7"/>
  <c r="F76" i="7" s="1"/>
  <c r="D78" i="7"/>
  <c r="F78" i="7" s="1"/>
  <c r="D80" i="7"/>
  <c r="F80" i="7" s="1"/>
  <c r="D82" i="7"/>
  <c r="F82" i="7" s="1"/>
  <c r="D84" i="7"/>
  <c r="F84" i="7" s="1"/>
  <c r="D86" i="7"/>
  <c r="F86" i="7" s="1"/>
  <c r="D88" i="7"/>
  <c r="F88" i="7" s="1"/>
  <c r="D90" i="7"/>
  <c r="F90" i="7" s="1"/>
  <c r="D92" i="7"/>
  <c r="F92" i="7" s="1"/>
  <c r="F36" i="10"/>
  <c r="D5" i="9"/>
  <c r="D6" i="8"/>
  <c r="F36" i="8"/>
  <c r="D5" i="7"/>
  <c r="D7" i="7"/>
  <c r="F63" i="7"/>
  <c r="D5" i="6"/>
  <c r="F37" i="6"/>
  <c r="F39" i="6"/>
  <c r="F41" i="6"/>
  <c r="F45" i="6"/>
  <c r="F47" i="6"/>
  <c r="F49" i="6"/>
  <c r="F51" i="6"/>
  <c r="F53" i="6"/>
  <c r="F57" i="6"/>
  <c r="F59" i="6"/>
  <c r="F61" i="6"/>
  <c r="F63" i="6"/>
  <c r="D67" i="6"/>
  <c r="D69" i="6"/>
  <c r="F69" i="6" s="1"/>
  <c r="D71" i="6"/>
  <c r="F71" i="6" s="1"/>
  <c r="D73" i="6"/>
  <c r="F73" i="6" s="1"/>
  <c r="D75" i="6"/>
  <c r="F75" i="6" s="1"/>
  <c r="D77" i="6"/>
  <c r="F77" i="6" s="1"/>
  <c r="D79" i="6"/>
  <c r="F79" i="6" s="1"/>
  <c r="D81" i="6"/>
  <c r="F81" i="6" s="1"/>
  <c r="D83" i="6"/>
  <c r="F83" i="6" s="1"/>
  <c r="D85" i="6"/>
  <c r="F85" i="6" s="1"/>
  <c r="D87" i="6"/>
  <c r="F87" i="6" s="1"/>
  <c r="D89" i="6"/>
  <c r="F89" i="6" s="1"/>
  <c r="D91" i="6"/>
  <c r="F91" i="6" s="1"/>
  <c r="D93" i="6"/>
  <c r="F93" i="6" s="1"/>
  <c r="D6" i="5"/>
  <c r="D8" i="5"/>
  <c r="D10" i="5"/>
  <c r="D12" i="5"/>
  <c r="D14" i="5"/>
  <c r="D16" i="5"/>
  <c r="D18" i="5"/>
  <c r="D20" i="5"/>
  <c r="D22" i="5"/>
  <c r="D24" i="5"/>
  <c r="D26" i="5"/>
  <c r="D28" i="5"/>
  <c r="D30" i="5"/>
  <c r="D32" i="5"/>
  <c r="F36" i="5"/>
  <c r="D68" i="5"/>
  <c r="F68" i="5" s="1"/>
  <c r="D70" i="5"/>
  <c r="F70" i="5" s="1"/>
  <c r="D72" i="5"/>
  <c r="F72" i="5" s="1"/>
  <c r="D74" i="5"/>
  <c r="F74" i="5" s="1"/>
  <c r="D76" i="5"/>
  <c r="F76" i="5" s="1"/>
  <c r="D78" i="5"/>
  <c r="F78" i="5" s="1"/>
  <c r="D80" i="5"/>
  <c r="F80" i="5" s="1"/>
  <c r="D82" i="5"/>
  <c r="F82" i="5" s="1"/>
  <c r="D84" i="5"/>
  <c r="F84" i="5" s="1"/>
  <c r="D86" i="5"/>
  <c r="F86" i="5" s="1"/>
  <c r="D88" i="5"/>
  <c r="F88" i="5" s="1"/>
  <c r="D90" i="5"/>
  <c r="F90" i="5" s="1"/>
  <c r="D92" i="5"/>
  <c r="F92" i="5" s="1"/>
  <c r="D94" i="5"/>
  <c r="F94" i="5" s="1"/>
  <c r="D33" i="4"/>
  <c r="F36" i="6"/>
  <c r="F37" i="4"/>
  <c r="F39" i="4"/>
  <c r="F41" i="4"/>
  <c r="F43" i="4"/>
  <c r="F45" i="4"/>
  <c r="F47" i="4"/>
  <c r="F49" i="4"/>
  <c r="F51" i="4"/>
  <c r="F53" i="4"/>
  <c r="F55" i="4"/>
  <c r="F57" i="4"/>
  <c r="F59" i="4"/>
  <c r="F61" i="4"/>
  <c r="F63" i="4"/>
  <c r="D67" i="4"/>
  <c r="D69" i="4"/>
  <c r="F69" i="4" s="1"/>
  <c r="D71" i="4"/>
  <c r="F71" i="4" s="1"/>
  <c r="D73" i="4"/>
  <c r="F73" i="4" s="1"/>
  <c r="D75" i="4"/>
  <c r="F75" i="4" s="1"/>
  <c r="D77" i="4"/>
  <c r="F77" i="4" s="1"/>
  <c r="D79" i="4"/>
  <c r="F79" i="4" s="1"/>
  <c r="D81" i="4"/>
  <c r="F81" i="4" s="1"/>
  <c r="D83" i="4"/>
  <c r="F83" i="4" s="1"/>
  <c r="D85" i="4"/>
  <c r="F85" i="4" s="1"/>
  <c r="D87" i="4"/>
  <c r="F87" i="4" s="1"/>
  <c r="D89" i="4"/>
  <c r="F89" i="4" s="1"/>
  <c r="D91" i="4"/>
  <c r="F91" i="4" s="1"/>
  <c r="D93" i="4"/>
  <c r="F93" i="4" s="1"/>
  <c r="F36" i="3"/>
  <c r="F38" i="3"/>
  <c r="F40" i="3"/>
  <c r="F42" i="3"/>
  <c r="F44" i="3"/>
  <c r="F46" i="3"/>
  <c r="F48" i="3"/>
  <c r="F52" i="3"/>
  <c r="F54" i="3"/>
  <c r="F56" i="3"/>
  <c r="F58" i="3"/>
  <c r="F60" i="3"/>
  <c r="F62" i="3"/>
  <c r="D64" i="3"/>
  <c r="D68" i="3"/>
  <c r="F68" i="3" s="1"/>
  <c r="D70" i="3"/>
  <c r="F70" i="3" s="1"/>
  <c r="D72" i="3"/>
  <c r="D74" i="3"/>
  <c r="F74" i="3" s="1"/>
  <c r="D76" i="3"/>
  <c r="F76" i="3" s="1"/>
  <c r="D78" i="3"/>
  <c r="F78" i="3" s="1"/>
  <c r="D80" i="3"/>
  <c r="F80" i="3" s="1"/>
  <c r="D82" i="3"/>
  <c r="F82" i="3" s="1"/>
  <c r="D84" i="3"/>
  <c r="F84" i="3" s="1"/>
  <c r="D86" i="3"/>
  <c r="F86" i="3" s="1"/>
  <c r="D88" i="3"/>
  <c r="F88" i="3" s="1"/>
  <c r="D90" i="3"/>
  <c r="F90" i="3" s="1"/>
  <c r="D92" i="3"/>
  <c r="F92" i="3" s="1"/>
  <c r="D94" i="3"/>
  <c r="F94" i="3" s="1"/>
  <c r="F36" i="4"/>
  <c r="D6" i="59"/>
  <c r="F36" i="59"/>
  <c r="F38" i="59"/>
  <c r="F40" i="59"/>
  <c r="F42" i="59"/>
  <c r="F44" i="59"/>
  <c r="F46" i="59"/>
  <c r="F48" i="59"/>
  <c r="F52" i="59"/>
  <c r="F54" i="59"/>
  <c r="F56" i="59"/>
  <c r="F58" i="59"/>
  <c r="F60" i="59"/>
  <c r="F62" i="59"/>
  <c r="D64" i="59"/>
  <c r="D68" i="59"/>
  <c r="F68" i="59" s="1"/>
  <c r="D70" i="59"/>
  <c r="F70" i="59" s="1"/>
  <c r="D72" i="59"/>
  <c r="D74" i="59"/>
  <c r="D76" i="59"/>
  <c r="F76" i="59" s="1"/>
  <c r="D78" i="59"/>
  <c r="F78" i="59" s="1"/>
  <c r="D80" i="59"/>
  <c r="F80" i="59" s="1"/>
  <c r="D82" i="59"/>
  <c r="F82" i="59" s="1"/>
  <c r="D84" i="59"/>
  <c r="F84" i="59" s="1"/>
  <c r="D86" i="59"/>
  <c r="F86" i="59" s="1"/>
  <c r="D88" i="59"/>
  <c r="F88" i="59" s="1"/>
  <c r="D90" i="59"/>
  <c r="F90" i="59" s="1"/>
  <c r="D92" i="59"/>
  <c r="F92" i="59" s="1"/>
  <c r="D94" i="59"/>
  <c r="F94" i="59" s="1"/>
  <c r="F37" i="1"/>
  <c r="F39" i="1"/>
  <c r="F41" i="1"/>
  <c r="F45" i="1"/>
  <c r="F47" i="1"/>
  <c r="F49" i="1"/>
  <c r="F51" i="1"/>
  <c r="F53" i="1"/>
  <c r="F57" i="1"/>
  <c r="F59" i="1"/>
  <c r="F61" i="1"/>
  <c r="F63" i="1"/>
  <c r="D67" i="1"/>
  <c r="D69" i="1"/>
  <c r="F69" i="1" s="1"/>
  <c r="D71" i="1"/>
  <c r="F71" i="1" s="1"/>
  <c r="D73" i="1"/>
  <c r="F73" i="1" s="1"/>
  <c r="D75" i="1"/>
  <c r="F75" i="1" s="1"/>
  <c r="D77" i="1"/>
  <c r="F77" i="1" s="1"/>
  <c r="D79" i="1"/>
  <c r="F79" i="1" s="1"/>
  <c r="D81" i="1"/>
  <c r="F81" i="1" s="1"/>
  <c r="D83" i="1"/>
  <c r="F83" i="1" s="1"/>
  <c r="D85" i="1"/>
  <c r="F85" i="1" s="1"/>
  <c r="D87" i="1"/>
  <c r="F87" i="1" s="1"/>
  <c r="D89" i="1"/>
  <c r="F89" i="1" s="1"/>
  <c r="D91" i="1"/>
  <c r="F91" i="1" s="1"/>
  <c r="D93" i="1"/>
  <c r="F93" i="1" s="1"/>
  <c r="F36" i="1"/>
  <c r="C118" i="44" l="1"/>
  <c r="F109" i="44"/>
  <c r="F72" i="59"/>
  <c r="F72" i="3"/>
  <c r="E92" i="60"/>
  <c r="E88" i="60"/>
  <c r="E84" i="60"/>
  <c r="E80" i="60"/>
  <c r="E76" i="60"/>
  <c r="E72" i="60"/>
  <c r="E68" i="60"/>
  <c r="F111" i="49"/>
  <c r="F51" i="11"/>
  <c r="F51" i="13"/>
  <c r="F51" i="15"/>
  <c r="F51" i="27"/>
  <c r="E51" i="60"/>
  <c r="F50" i="7"/>
  <c r="F50" i="9"/>
  <c r="F43" i="13"/>
  <c r="F43" i="15"/>
  <c r="F55" i="15"/>
  <c r="F50" i="15"/>
  <c r="F50" i="17"/>
  <c r="F50" i="19"/>
  <c r="F43" i="21"/>
  <c r="F50" i="21"/>
  <c r="F43" i="23"/>
  <c r="F55" i="23"/>
  <c r="F43" i="27"/>
  <c r="F43" i="31"/>
  <c r="F55" i="33"/>
  <c r="F55" i="35"/>
  <c r="F50" i="35"/>
  <c r="F55" i="37"/>
  <c r="F43" i="39"/>
  <c r="F55" i="39"/>
  <c r="F43" i="41"/>
  <c r="F43" i="43"/>
  <c r="F55" i="43"/>
  <c r="F50" i="45"/>
  <c r="F50" i="47"/>
  <c r="F55" i="51"/>
  <c r="F50" i="51"/>
  <c r="F50" i="53"/>
  <c r="F50" i="57"/>
  <c r="F43" i="8"/>
  <c r="F55" i="8"/>
  <c r="F50" i="12"/>
  <c r="F43" i="14"/>
  <c r="F55" i="14"/>
  <c r="F50" i="14"/>
  <c r="F50" i="22"/>
  <c r="F50" i="24"/>
  <c r="F50" i="26"/>
  <c r="F55" i="30"/>
  <c r="F50" i="32"/>
  <c r="F55" i="34"/>
  <c r="F50" i="34"/>
  <c r="F50" i="36"/>
  <c r="F50" i="38"/>
  <c r="F50" i="40"/>
  <c r="F50" i="42"/>
  <c r="F55" i="44"/>
  <c r="F50" i="44"/>
  <c r="F55" i="48"/>
  <c r="F55" i="52"/>
  <c r="F55" i="1"/>
  <c r="F50" i="3"/>
  <c r="F50" i="59"/>
  <c r="F43" i="6"/>
  <c r="F55" i="6"/>
  <c r="E55" i="60"/>
  <c r="E64" i="55"/>
  <c r="E64" i="50"/>
  <c r="M14" i="63" s="1"/>
  <c r="F64" i="55"/>
  <c r="F64" i="45"/>
  <c r="F43" i="17"/>
  <c r="F43" i="1"/>
  <c r="F74" i="59"/>
  <c r="F74" i="12"/>
  <c r="F74" i="17"/>
  <c r="F74" i="19"/>
  <c r="F74" i="22"/>
  <c r="E47" i="60"/>
  <c r="F87" i="18"/>
  <c r="F79" i="18"/>
  <c r="F71" i="18"/>
  <c r="F36" i="18"/>
  <c r="D87" i="20"/>
  <c r="F87" i="20" s="1"/>
  <c r="D21" i="20"/>
  <c r="D93" i="18"/>
  <c r="F93" i="18" s="1"/>
  <c r="D89" i="18"/>
  <c r="F89" i="18" s="1"/>
  <c r="D85" i="18"/>
  <c r="F85" i="18" s="1"/>
  <c r="D81" i="18"/>
  <c r="F81" i="18" s="1"/>
  <c r="D77" i="18"/>
  <c r="F77" i="18" s="1"/>
  <c r="D73" i="18"/>
  <c r="F73" i="18" s="1"/>
  <c r="D69" i="18"/>
  <c r="F69" i="18" s="1"/>
  <c r="D79" i="20"/>
  <c r="F79" i="20" s="1"/>
  <c r="D29" i="20"/>
  <c r="D13" i="20"/>
  <c r="F120" i="60"/>
  <c r="F114" i="11"/>
  <c r="F112" i="11"/>
  <c r="F110" i="11"/>
  <c r="F114" i="12"/>
  <c r="F112" i="12"/>
  <c r="F110" i="12"/>
  <c r="F112" i="17"/>
  <c r="F111" i="16"/>
  <c r="F113" i="19"/>
  <c r="D118" i="57"/>
  <c r="F94" i="33"/>
  <c r="F86" i="33"/>
  <c r="D118" i="48"/>
  <c r="E105" i="45"/>
  <c r="E105" i="44"/>
  <c r="F74" i="23"/>
  <c r="F74" i="35"/>
  <c r="F87" i="34"/>
  <c r="F87" i="51"/>
  <c r="F74" i="43"/>
  <c r="F74" i="33"/>
  <c r="F91" i="20"/>
  <c r="F83" i="20"/>
  <c r="F75" i="20"/>
  <c r="F38" i="57"/>
  <c r="F42" i="57"/>
  <c r="F48" i="57"/>
  <c r="F54" i="57"/>
  <c r="D67" i="20"/>
  <c r="D93" i="20"/>
  <c r="F93" i="20" s="1"/>
  <c r="D89" i="20"/>
  <c r="F89" i="20" s="1"/>
  <c r="D85" i="20"/>
  <c r="F85" i="20" s="1"/>
  <c r="D81" i="20"/>
  <c r="D77" i="20"/>
  <c r="F77" i="20" s="1"/>
  <c r="D73" i="20"/>
  <c r="F73" i="20" s="1"/>
  <c r="D69" i="20"/>
  <c r="F69" i="20" s="1"/>
  <c r="D115" i="60"/>
  <c r="E113" i="60"/>
  <c r="E111" i="60"/>
  <c r="E94" i="60"/>
  <c r="E90" i="60"/>
  <c r="E86" i="60"/>
  <c r="E82" i="60"/>
  <c r="E78" i="60"/>
  <c r="E74" i="60"/>
  <c r="E70" i="60"/>
  <c r="E91" i="60"/>
  <c r="E87" i="60"/>
  <c r="E83" i="60"/>
  <c r="E79" i="60"/>
  <c r="E75" i="60"/>
  <c r="E71" i="60"/>
  <c r="F114" i="8"/>
  <c r="F112" i="8"/>
  <c r="F110" i="8"/>
  <c r="F114" i="38"/>
  <c r="F111" i="25"/>
  <c r="F112" i="37"/>
  <c r="F112" i="41"/>
  <c r="F112" i="54"/>
  <c r="F115" i="47"/>
  <c r="F111" i="47"/>
  <c r="E116" i="18"/>
  <c r="E116" i="3"/>
  <c r="F112" i="7"/>
  <c r="F110" i="7"/>
  <c r="E116" i="9"/>
  <c r="E118" i="9" s="1"/>
  <c r="E116" i="10"/>
  <c r="F116" i="10" s="1"/>
  <c r="E116" i="11"/>
  <c r="E116" i="12"/>
  <c r="E116" i="15"/>
  <c r="F116" i="15" s="1"/>
  <c r="E116" i="21"/>
  <c r="F116" i="21" s="1"/>
  <c r="E116" i="13"/>
  <c r="E118" i="13" s="1"/>
  <c r="E116" i="34"/>
  <c r="F116" i="34" s="1"/>
  <c r="E116" i="35"/>
  <c r="F116" i="35" s="1"/>
  <c r="F103" i="19"/>
  <c r="T45" i="63" s="1"/>
  <c r="E116" i="26"/>
  <c r="E116" i="27"/>
  <c r="E116" i="28"/>
  <c r="E116" i="29"/>
  <c r="F112" i="30"/>
  <c r="E116" i="30"/>
  <c r="E116" i="51"/>
  <c r="F116" i="51" s="1"/>
  <c r="E116" i="25"/>
  <c r="F116" i="25" s="1"/>
  <c r="E116" i="37"/>
  <c r="E116" i="41"/>
  <c r="F103" i="52"/>
  <c r="T12" i="63" s="1"/>
  <c r="E116" i="54"/>
  <c r="E116" i="40"/>
  <c r="F116" i="40" s="1"/>
  <c r="E116" i="49"/>
  <c r="F116" i="49" s="1"/>
  <c r="F102" i="49"/>
  <c r="E116" i="6"/>
  <c r="F116" i="6" s="1"/>
  <c r="E116" i="22"/>
  <c r="F116" i="22" s="1"/>
  <c r="E116" i="31"/>
  <c r="E116" i="24"/>
  <c r="F116" i="24" s="1"/>
  <c r="E116" i="45"/>
  <c r="F116" i="45" s="1"/>
  <c r="E116" i="32"/>
  <c r="F116" i="32" s="1"/>
  <c r="E116" i="48"/>
  <c r="F116" i="48" s="1"/>
  <c r="F102" i="48"/>
  <c r="E116" i="5"/>
  <c r="F116" i="5" s="1"/>
  <c r="E116" i="1"/>
  <c r="F116" i="1" s="1"/>
  <c r="E116" i="59"/>
  <c r="E116" i="4"/>
  <c r="F116" i="4" s="1"/>
  <c r="E116" i="7"/>
  <c r="F116" i="7" s="1"/>
  <c r="E116" i="8"/>
  <c r="E116" i="14"/>
  <c r="F116" i="14" s="1"/>
  <c r="E116" i="17"/>
  <c r="E116" i="23"/>
  <c r="F116" i="23" s="1"/>
  <c r="E116" i="33"/>
  <c r="F116" i="33" s="1"/>
  <c r="E116" i="16"/>
  <c r="E116" i="19"/>
  <c r="F116" i="19" s="1"/>
  <c r="F116" i="31"/>
  <c r="E116" i="36"/>
  <c r="F116" i="36" s="1"/>
  <c r="E116" i="38"/>
  <c r="E116" i="39"/>
  <c r="E116" i="52"/>
  <c r="F116" i="52" s="1"/>
  <c r="E116" i="56"/>
  <c r="F116" i="56" s="1"/>
  <c r="F112" i="40"/>
  <c r="E116" i="42"/>
  <c r="E116" i="43"/>
  <c r="E116" i="47"/>
  <c r="F116" i="47" s="1"/>
  <c r="E116" i="53"/>
  <c r="F103" i="33"/>
  <c r="T31" i="63" s="1"/>
  <c r="E116" i="46"/>
  <c r="F116" i="46" s="1"/>
  <c r="E116" i="50"/>
  <c r="F116" i="50" s="1"/>
  <c r="E116" i="55"/>
  <c r="E118" i="55" s="1"/>
  <c r="E116" i="44"/>
  <c r="F116" i="44" s="1"/>
  <c r="E116" i="57"/>
  <c r="F116" i="57" s="1"/>
  <c r="E62" i="60"/>
  <c r="E60" i="60"/>
  <c r="E58" i="60"/>
  <c r="E56" i="60"/>
  <c r="E54" i="60"/>
  <c r="E52" i="60"/>
  <c r="E50" i="60"/>
  <c r="E48" i="60"/>
  <c r="E46" i="60"/>
  <c r="E44" i="60"/>
  <c r="E42" i="60"/>
  <c r="E40" i="60"/>
  <c r="E38" i="60"/>
  <c r="F113" i="5"/>
  <c r="F111" i="5"/>
  <c r="E118" i="59"/>
  <c r="F115" i="10"/>
  <c r="F115" i="17"/>
  <c r="D64" i="16"/>
  <c r="F40" i="16"/>
  <c r="F44" i="16"/>
  <c r="F48" i="16"/>
  <c r="F52" i="16"/>
  <c r="F56" i="16"/>
  <c r="F60" i="16"/>
  <c r="F81" i="20"/>
  <c r="F68" i="41"/>
  <c r="F72" i="41"/>
  <c r="F76" i="41"/>
  <c r="E20" i="63"/>
  <c r="E19" i="63"/>
  <c r="M58" i="63"/>
  <c r="M19" i="63"/>
  <c r="D118" i="50"/>
  <c r="M9" i="63"/>
  <c r="B60" i="63"/>
  <c r="M20" i="63"/>
  <c r="F116" i="59"/>
  <c r="E101" i="60"/>
  <c r="E120" i="60"/>
  <c r="E105" i="53"/>
  <c r="F68" i="43"/>
  <c r="F112" i="16"/>
  <c r="F90" i="33"/>
  <c r="F82" i="33"/>
  <c r="D83" i="21"/>
  <c r="F83" i="21" s="1"/>
  <c r="D21" i="21"/>
  <c r="D67" i="21"/>
  <c r="F67" i="21" s="1"/>
  <c r="D5" i="21"/>
  <c r="D87" i="21"/>
  <c r="F87" i="21" s="1"/>
  <c r="D25" i="21"/>
  <c r="D71" i="21"/>
  <c r="F71" i="21" s="1"/>
  <c r="D9" i="21"/>
  <c r="F115" i="41"/>
  <c r="E64" i="48"/>
  <c r="M16" i="63" s="1"/>
  <c r="D91" i="21"/>
  <c r="F91" i="21" s="1"/>
  <c r="D29" i="21"/>
  <c r="D75" i="21"/>
  <c r="F75" i="21" s="1"/>
  <c r="D13" i="21"/>
  <c r="D79" i="21"/>
  <c r="F79" i="21" s="1"/>
  <c r="D17" i="21"/>
  <c r="D87" i="40"/>
  <c r="F87" i="40" s="1"/>
  <c r="D25" i="40"/>
  <c r="D79" i="51"/>
  <c r="F79" i="51" s="1"/>
  <c r="D17" i="51"/>
  <c r="D87" i="47"/>
  <c r="F87" i="47" s="1"/>
  <c r="D25" i="47"/>
  <c r="F62" i="18"/>
  <c r="F60" i="18"/>
  <c r="F58" i="18"/>
  <c r="F56" i="18"/>
  <c r="F54" i="18"/>
  <c r="F52" i="18"/>
  <c r="F50" i="18"/>
  <c r="F48" i="18"/>
  <c r="F46" i="18"/>
  <c r="F44" i="18"/>
  <c r="F42" i="18"/>
  <c r="F40" i="18"/>
  <c r="F38" i="18"/>
  <c r="E105" i="6"/>
  <c r="F111" i="13"/>
  <c r="F113" i="13"/>
  <c r="F115" i="13"/>
  <c r="E118" i="23"/>
  <c r="E64" i="24"/>
  <c r="M40" i="63" s="1"/>
  <c r="F115" i="30"/>
  <c r="E105" i="31"/>
  <c r="E105" i="38"/>
  <c r="E105" i="46"/>
  <c r="E95" i="46"/>
  <c r="C109" i="46" s="1"/>
  <c r="C118" i="46" s="1"/>
  <c r="F115" i="48"/>
  <c r="E118" i="48"/>
  <c r="E105" i="50"/>
  <c r="E95" i="50"/>
  <c r="C109" i="50" s="1"/>
  <c r="C118" i="50" s="1"/>
  <c r="F115" i="55"/>
  <c r="D64" i="25"/>
  <c r="F40" i="25"/>
  <c r="F44" i="25"/>
  <c r="D64" i="27"/>
  <c r="D64" i="29"/>
  <c r="F40" i="29"/>
  <c r="F68" i="37"/>
  <c r="F72" i="37"/>
  <c r="F76" i="37"/>
  <c r="F80" i="37"/>
  <c r="F84" i="37"/>
  <c r="F68" i="39"/>
  <c r="F72" i="39"/>
  <c r="F76" i="39"/>
  <c r="F80" i="39"/>
  <c r="E105" i="52"/>
  <c r="D64" i="52"/>
  <c r="F115" i="54"/>
  <c r="F115" i="40"/>
  <c r="F115" i="42"/>
  <c r="F39" i="47"/>
  <c r="D81" i="15"/>
  <c r="F81" i="15" s="1"/>
  <c r="D19" i="15"/>
  <c r="D77" i="15"/>
  <c r="F77" i="15" s="1"/>
  <c r="D15" i="15"/>
  <c r="D73" i="15"/>
  <c r="F73" i="15" s="1"/>
  <c r="D11" i="15"/>
  <c r="D83" i="15"/>
  <c r="D21" i="15"/>
  <c r="D87" i="15"/>
  <c r="F87" i="15" s="1"/>
  <c r="D25" i="15"/>
  <c r="D91" i="15"/>
  <c r="D29" i="15"/>
  <c r="D69" i="47"/>
  <c r="D7" i="47"/>
  <c r="D91" i="34"/>
  <c r="D29" i="34"/>
  <c r="D64" i="35"/>
  <c r="F72" i="43"/>
  <c r="D118" i="46"/>
  <c r="D83" i="40"/>
  <c r="F83" i="40" s="1"/>
  <c r="D21" i="40"/>
  <c r="D75" i="49"/>
  <c r="F75" i="49" s="1"/>
  <c r="D13" i="49"/>
  <c r="D83" i="49"/>
  <c r="F83" i="49" s="1"/>
  <c r="D21" i="49"/>
  <c r="D91" i="49"/>
  <c r="F91" i="49" s="1"/>
  <c r="D29" i="49"/>
  <c r="E95" i="6"/>
  <c r="C109" i="6" s="1"/>
  <c r="F109" i="6" s="1"/>
  <c r="F91" i="15"/>
  <c r="F83" i="15"/>
  <c r="E105" i="22"/>
  <c r="E95" i="22"/>
  <c r="C109" i="22" s="1"/>
  <c r="F109" i="22" s="1"/>
  <c r="F118" i="22" s="1"/>
  <c r="E64" i="14"/>
  <c r="M50" i="63" s="1"/>
  <c r="F115" i="23"/>
  <c r="E95" i="24"/>
  <c r="C109" i="24" s="1"/>
  <c r="C118" i="24" s="1"/>
  <c r="E105" i="24"/>
  <c r="F91" i="34"/>
  <c r="E105" i="32"/>
  <c r="E105" i="48"/>
  <c r="E95" i="48"/>
  <c r="E105" i="55"/>
  <c r="E95" i="55"/>
  <c r="E95" i="57"/>
  <c r="F69" i="47"/>
  <c r="D79" i="15"/>
  <c r="F79" i="15" s="1"/>
  <c r="D17" i="15"/>
  <c r="D75" i="15"/>
  <c r="F75" i="15" s="1"/>
  <c r="D13" i="15"/>
  <c r="D71" i="15"/>
  <c r="F71" i="15" s="1"/>
  <c r="D9" i="15"/>
  <c r="D67" i="15"/>
  <c r="F67" i="15" s="1"/>
  <c r="D5" i="15"/>
  <c r="D85" i="15"/>
  <c r="F85" i="15" s="1"/>
  <c r="D23" i="15"/>
  <c r="D89" i="15"/>
  <c r="F89" i="15" s="1"/>
  <c r="D27" i="15"/>
  <c r="D93" i="15"/>
  <c r="F93" i="15" s="1"/>
  <c r="D31" i="15"/>
  <c r="E64" i="22"/>
  <c r="F64" i="22" s="1"/>
  <c r="D93" i="34"/>
  <c r="F93" i="34" s="1"/>
  <c r="D31" i="34"/>
  <c r="D91" i="40"/>
  <c r="F91" i="40" s="1"/>
  <c r="D29" i="40"/>
  <c r="D69" i="49"/>
  <c r="F69" i="49" s="1"/>
  <c r="D7" i="49"/>
  <c r="D79" i="49"/>
  <c r="F79" i="49" s="1"/>
  <c r="D17" i="49"/>
  <c r="D87" i="49"/>
  <c r="F87" i="49" s="1"/>
  <c r="D25" i="49"/>
  <c r="D118" i="55"/>
  <c r="F64" i="24"/>
  <c r="D33" i="57"/>
  <c r="B7" i="63" s="1"/>
  <c r="F115" i="1"/>
  <c r="D94" i="1"/>
  <c r="F94" i="1" s="1"/>
  <c r="D32" i="1"/>
  <c r="D92" i="1"/>
  <c r="F92" i="1" s="1"/>
  <c r="D30" i="1"/>
  <c r="D90" i="1"/>
  <c r="F90" i="1" s="1"/>
  <c r="D28" i="1"/>
  <c r="D88" i="1"/>
  <c r="F88" i="1" s="1"/>
  <c r="D26" i="1"/>
  <c r="D86" i="1"/>
  <c r="F86" i="1" s="1"/>
  <c r="D24" i="1"/>
  <c r="D84" i="1"/>
  <c r="F84" i="1" s="1"/>
  <c r="D22" i="1"/>
  <c r="D82" i="1"/>
  <c r="F82" i="1" s="1"/>
  <c r="D20" i="1"/>
  <c r="D80" i="1"/>
  <c r="F80" i="1" s="1"/>
  <c r="D18" i="1"/>
  <c r="D78" i="1"/>
  <c r="F78" i="1" s="1"/>
  <c r="D16" i="1"/>
  <c r="D76" i="1"/>
  <c r="F76" i="1" s="1"/>
  <c r="D14" i="1"/>
  <c r="D74" i="1"/>
  <c r="F74" i="1" s="1"/>
  <c r="D12" i="1"/>
  <c r="D72" i="1"/>
  <c r="F72" i="1" s="1"/>
  <c r="D10" i="1"/>
  <c r="D70" i="1"/>
  <c r="F70" i="1" s="1"/>
  <c r="D8" i="1"/>
  <c r="D68" i="1"/>
  <c r="F68" i="1" s="1"/>
  <c r="D6" i="1"/>
  <c r="D118" i="1"/>
  <c r="E105" i="1"/>
  <c r="E95" i="1"/>
  <c r="C109" i="1" s="1"/>
  <c r="E64" i="1"/>
  <c r="M63" i="63" s="1"/>
  <c r="D93" i="59"/>
  <c r="F93" i="59" s="1"/>
  <c r="D31" i="59"/>
  <c r="D91" i="59"/>
  <c r="F91" i="59" s="1"/>
  <c r="D29" i="59"/>
  <c r="D89" i="59"/>
  <c r="F89" i="59" s="1"/>
  <c r="D27" i="59"/>
  <c r="D87" i="59"/>
  <c r="F87" i="59" s="1"/>
  <c r="D25" i="59"/>
  <c r="D85" i="59"/>
  <c r="F85" i="59" s="1"/>
  <c r="D23" i="59"/>
  <c r="D83" i="59"/>
  <c r="F83" i="59" s="1"/>
  <c r="D21" i="59"/>
  <c r="D81" i="59"/>
  <c r="F81" i="59" s="1"/>
  <c r="D19" i="59"/>
  <c r="D79" i="59"/>
  <c r="F79" i="59" s="1"/>
  <c r="D17" i="59"/>
  <c r="D77" i="59"/>
  <c r="F77" i="59" s="1"/>
  <c r="D15" i="59"/>
  <c r="D75" i="59"/>
  <c r="F75" i="59" s="1"/>
  <c r="D13" i="59"/>
  <c r="D73" i="59"/>
  <c r="F73" i="59" s="1"/>
  <c r="D11" i="59"/>
  <c r="D71" i="59"/>
  <c r="F71" i="59" s="1"/>
  <c r="D9" i="59"/>
  <c r="D69" i="59"/>
  <c r="F69" i="59" s="1"/>
  <c r="D7" i="59"/>
  <c r="D67" i="59"/>
  <c r="F67" i="59" s="1"/>
  <c r="D5" i="59"/>
  <c r="F112" i="59"/>
  <c r="F110" i="59"/>
  <c r="F62" i="6"/>
  <c r="D31" i="6"/>
  <c r="F60" i="6"/>
  <c r="D29" i="6"/>
  <c r="F58" i="6"/>
  <c r="D27" i="6"/>
  <c r="F56" i="6"/>
  <c r="D25" i="6"/>
  <c r="F54" i="6"/>
  <c r="D23" i="6"/>
  <c r="F52" i="6"/>
  <c r="D21" i="6"/>
  <c r="F50" i="6"/>
  <c r="D19" i="6"/>
  <c r="F48" i="6"/>
  <c r="D17" i="6"/>
  <c r="F46" i="6"/>
  <c r="D15" i="6"/>
  <c r="F44" i="6"/>
  <c r="D13" i="6"/>
  <c r="F42" i="6"/>
  <c r="D11" i="6"/>
  <c r="F40" i="6"/>
  <c r="D9" i="6"/>
  <c r="F38" i="6"/>
  <c r="D7" i="6"/>
  <c r="D64" i="6"/>
  <c r="F64" i="6" s="1"/>
  <c r="N58" i="63" s="1"/>
  <c r="E118" i="6"/>
  <c r="F111" i="6"/>
  <c r="F115" i="6"/>
  <c r="E118" i="4"/>
  <c r="E105" i="7"/>
  <c r="E95" i="7"/>
  <c r="C109" i="7" s="1"/>
  <c r="E64" i="7"/>
  <c r="M57" i="63" s="1"/>
  <c r="D118" i="8"/>
  <c r="E105" i="8"/>
  <c r="E95" i="8"/>
  <c r="C109" i="8" s="1"/>
  <c r="E64" i="8"/>
  <c r="M56" i="63" s="1"/>
  <c r="F113" i="7"/>
  <c r="F111" i="7"/>
  <c r="E118" i="7"/>
  <c r="D94" i="7"/>
  <c r="F94" i="7" s="1"/>
  <c r="D32" i="7"/>
  <c r="F61" i="7"/>
  <c r="D30" i="7"/>
  <c r="F59" i="7"/>
  <c r="D28" i="7"/>
  <c r="F57" i="7"/>
  <c r="D26" i="7"/>
  <c r="F55" i="7"/>
  <c r="D24" i="7"/>
  <c r="F53" i="7"/>
  <c r="D22" i="7"/>
  <c r="F51" i="7"/>
  <c r="D20" i="7"/>
  <c r="F49" i="7"/>
  <c r="D18" i="7"/>
  <c r="F47" i="7"/>
  <c r="D16" i="7"/>
  <c r="F45" i="7"/>
  <c r="D14" i="7"/>
  <c r="F43" i="7"/>
  <c r="D12" i="7"/>
  <c r="F41" i="7"/>
  <c r="D10" i="7"/>
  <c r="F39" i="7"/>
  <c r="D8" i="7"/>
  <c r="F37" i="7"/>
  <c r="D6" i="7"/>
  <c r="F116" i="8"/>
  <c r="F115" i="8"/>
  <c r="F113" i="8"/>
  <c r="F111" i="8"/>
  <c r="E118" i="8"/>
  <c r="D94" i="8"/>
  <c r="F94" i="8" s="1"/>
  <c r="D32" i="8"/>
  <c r="D92" i="8"/>
  <c r="F92" i="8" s="1"/>
  <c r="D30" i="8"/>
  <c r="D90" i="8"/>
  <c r="F90" i="8" s="1"/>
  <c r="D28" i="8"/>
  <c r="D88" i="8"/>
  <c r="F88" i="8" s="1"/>
  <c r="D26" i="8"/>
  <c r="D86" i="8"/>
  <c r="F86" i="8" s="1"/>
  <c r="D24" i="8"/>
  <c r="D84" i="8"/>
  <c r="F84" i="8" s="1"/>
  <c r="D22" i="8"/>
  <c r="D82" i="8"/>
  <c r="F82" i="8" s="1"/>
  <c r="D20" i="8"/>
  <c r="D80" i="8"/>
  <c r="F80" i="8" s="1"/>
  <c r="D18" i="8"/>
  <c r="D78" i="8"/>
  <c r="F78" i="8" s="1"/>
  <c r="D16" i="8"/>
  <c r="D76" i="8"/>
  <c r="F76" i="8" s="1"/>
  <c r="D14" i="8"/>
  <c r="D74" i="8"/>
  <c r="F74" i="8" s="1"/>
  <c r="D12" i="8"/>
  <c r="D72" i="8"/>
  <c r="F72" i="8" s="1"/>
  <c r="D10" i="8"/>
  <c r="D70" i="8"/>
  <c r="F70" i="8" s="1"/>
  <c r="D8" i="8"/>
  <c r="F68" i="8"/>
  <c r="D93" i="9"/>
  <c r="F93" i="9" s="1"/>
  <c r="D31" i="9"/>
  <c r="D91" i="9"/>
  <c r="F91" i="9" s="1"/>
  <c r="D29" i="9"/>
  <c r="D89" i="9"/>
  <c r="F89" i="9" s="1"/>
  <c r="D27" i="9"/>
  <c r="D87" i="9"/>
  <c r="F87" i="9" s="1"/>
  <c r="D25" i="9"/>
  <c r="D85" i="9"/>
  <c r="F85" i="9" s="1"/>
  <c r="D23" i="9"/>
  <c r="D83" i="9"/>
  <c r="F83" i="9" s="1"/>
  <c r="D21" i="9"/>
  <c r="D81" i="9"/>
  <c r="F81" i="9" s="1"/>
  <c r="D19" i="9"/>
  <c r="D79" i="9"/>
  <c r="F79" i="9" s="1"/>
  <c r="D17" i="9"/>
  <c r="D77" i="9"/>
  <c r="F77" i="9" s="1"/>
  <c r="D15" i="9"/>
  <c r="D75" i="9"/>
  <c r="F75" i="9" s="1"/>
  <c r="D13" i="9"/>
  <c r="D73" i="9"/>
  <c r="F73" i="9" s="1"/>
  <c r="D11" i="9"/>
  <c r="D71" i="9"/>
  <c r="F71" i="9" s="1"/>
  <c r="D9" i="9"/>
  <c r="D69" i="9"/>
  <c r="F69" i="9" s="1"/>
  <c r="D7" i="9"/>
  <c r="D118" i="10"/>
  <c r="D94" i="10"/>
  <c r="F94" i="10" s="1"/>
  <c r="D32" i="10"/>
  <c r="D92" i="10"/>
  <c r="F92" i="10" s="1"/>
  <c r="D30" i="10"/>
  <c r="D90" i="10"/>
  <c r="F90" i="10" s="1"/>
  <c r="D28" i="10"/>
  <c r="D88" i="10"/>
  <c r="F88" i="10" s="1"/>
  <c r="D26" i="10"/>
  <c r="D86" i="10"/>
  <c r="F86" i="10" s="1"/>
  <c r="D24" i="10"/>
  <c r="D84" i="10"/>
  <c r="F84" i="10" s="1"/>
  <c r="D22" i="10"/>
  <c r="D82" i="10"/>
  <c r="F82" i="10" s="1"/>
  <c r="D20" i="10"/>
  <c r="D80" i="10"/>
  <c r="F80" i="10" s="1"/>
  <c r="D18" i="10"/>
  <c r="D78" i="10"/>
  <c r="F78" i="10" s="1"/>
  <c r="D16" i="10"/>
  <c r="D76" i="10"/>
  <c r="F76" i="10" s="1"/>
  <c r="D14" i="10"/>
  <c r="D74" i="10"/>
  <c r="F74" i="10" s="1"/>
  <c r="D12" i="10"/>
  <c r="D72" i="10"/>
  <c r="F72" i="10" s="1"/>
  <c r="D10" i="10"/>
  <c r="D70" i="10"/>
  <c r="F70" i="10" s="1"/>
  <c r="D8" i="10"/>
  <c r="D68" i="10"/>
  <c r="F68" i="10" s="1"/>
  <c r="D6" i="10"/>
  <c r="F116" i="11"/>
  <c r="F115" i="11"/>
  <c r="F113" i="11"/>
  <c r="F111" i="11"/>
  <c r="E118" i="11"/>
  <c r="D94" i="11"/>
  <c r="F94" i="11" s="1"/>
  <c r="D32" i="11"/>
  <c r="D92" i="11"/>
  <c r="F92" i="11" s="1"/>
  <c r="D30" i="11"/>
  <c r="D90" i="11"/>
  <c r="F90" i="11" s="1"/>
  <c r="D28" i="11"/>
  <c r="D88" i="11"/>
  <c r="F88" i="11" s="1"/>
  <c r="D26" i="11"/>
  <c r="D86" i="11"/>
  <c r="F86" i="11" s="1"/>
  <c r="D24" i="11"/>
  <c r="D84" i="11"/>
  <c r="F84" i="11" s="1"/>
  <c r="D22" i="11"/>
  <c r="D82" i="11"/>
  <c r="F82" i="11" s="1"/>
  <c r="D20" i="11"/>
  <c r="D80" i="11"/>
  <c r="F80" i="11" s="1"/>
  <c r="D18" i="11"/>
  <c r="D78" i="11"/>
  <c r="F78" i="11" s="1"/>
  <c r="D16" i="11"/>
  <c r="D76" i="11"/>
  <c r="F76" i="11" s="1"/>
  <c r="D14" i="11"/>
  <c r="D74" i="11"/>
  <c r="F74" i="11" s="1"/>
  <c r="D12" i="11"/>
  <c r="D72" i="11"/>
  <c r="F72" i="11" s="1"/>
  <c r="D10" i="11"/>
  <c r="D70" i="11"/>
  <c r="F70" i="11" s="1"/>
  <c r="D8" i="11"/>
  <c r="D68" i="11"/>
  <c r="F68" i="11" s="1"/>
  <c r="D6" i="11"/>
  <c r="F116" i="12"/>
  <c r="F115" i="12"/>
  <c r="F113" i="12"/>
  <c r="F111" i="12"/>
  <c r="E118" i="12"/>
  <c r="F63" i="12"/>
  <c r="D32" i="12"/>
  <c r="F61" i="12"/>
  <c r="D30" i="12"/>
  <c r="F59" i="12"/>
  <c r="D28" i="12"/>
  <c r="F57" i="12"/>
  <c r="D26" i="12"/>
  <c r="F55" i="12"/>
  <c r="D24" i="12"/>
  <c r="F53" i="12"/>
  <c r="D22" i="12"/>
  <c r="F51" i="12"/>
  <c r="D20" i="12"/>
  <c r="F49" i="12"/>
  <c r="D18" i="12"/>
  <c r="F47" i="12"/>
  <c r="D16" i="12"/>
  <c r="F45" i="12"/>
  <c r="D14" i="12"/>
  <c r="F43" i="12"/>
  <c r="D12" i="12"/>
  <c r="F41" i="12"/>
  <c r="D10" i="12"/>
  <c r="F39" i="12"/>
  <c r="D8" i="12"/>
  <c r="F37" i="12"/>
  <c r="D6" i="12"/>
  <c r="F44" i="13"/>
  <c r="D13" i="13"/>
  <c r="F42" i="13"/>
  <c r="D11" i="13"/>
  <c r="F40" i="13"/>
  <c r="D9" i="13"/>
  <c r="F38" i="13"/>
  <c r="D7" i="13"/>
  <c r="D64" i="13"/>
  <c r="D5" i="13"/>
  <c r="F115" i="14"/>
  <c r="E118" i="14"/>
  <c r="D94" i="14"/>
  <c r="F94" i="14" s="1"/>
  <c r="D32" i="14"/>
  <c r="D92" i="14"/>
  <c r="F92" i="14" s="1"/>
  <c r="D30" i="14"/>
  <c r="D90" i="14"/>
  <c r="F90" i="14" s="1"/>
  <c r="D28" i="14"/>
  <c r="D88" i="14"/>
  <c r="F88" i="14" s="1"/>
  <c r="D26" i="14"/>
  <c r="D86" i="14"/>
  <c r="F86" i="14" s="1"/>
  <c r="D24" i="14"/>
  <c r="D84" i="14"/>
  <c r="F84" i="14" s="1"/>
  <c r="D22" i="14"/>
  <c r="D82" i="14"/>
  <c r="F82" i="14" s="1"/>
  <c r="D20" i="14"/>
  <c r="D80" i="14"/>
  <c r="F80" i="14" s="1"/>
  <c r="D18" i="14"/>
  <c r="D78" i="14"/>
  <c r="F78" i="14" s="1"/>
  <c r="D16" i="14"/>
  <c r="D76" i="14"/>
  <c r="F76" i="14" s="1"/>
  <c r="D14" i="14"/>
  <c r="D74" i="14"/>
  <c r="F74" i="14" s="1"/>
  <c r="D12" i="14"/>
  <c r="D72" i="14"/>
  <c r="F72" i="14" s="1"/>
  <c r="D10" i="14"/>
  <c r="D70" i="14"/>
  <c r="F70" i="14" s="1"/>
  <c r="D8" i="14"/>
  <c r="D68" i="14"/>
  <c r="F68" i="14" s="1"/>
  <c r="D6" i="14"/>
  <c r="F63" i="22"/>
  <c r="D32" i="22"/>
  <c r="F61" i="22"/>
  <c r="D30" i="22"/>
  <c r="F59" i="22"/>
  <c r="D28" i="22"/>
  <c r="F57" i="22"/>
  <c r="D26" i="22"/>
  <c r="F55" i="22"/>
  <c r="D24" i="22"/>
  <c r="F53" i="22"/>
  <c r="D22" i="22"/>
  <c r="F51" i="22"/>
  <c r="D20" i="22"/>
  <c r="F49" i="22"/>
  <c r="D18" i="22"/>
  <c r="F47" i="22"/>
  <c r="D16" i="22"/>
  <c r="F45" i="22"/>
  <c r="D14" i="22"/>
  <c r="F43" i="22"/>
  <c r="D12" i="22"/>
  <c r="F41" i="22"/>
  <c r="D10" i="22"/>
  <c r="F39" i="22"/>
  <c r="D8" i="22"/>
  <c r="E64" i="13"/>
  <c r="M51" i="63" s="1"/>
  <c r="F46" i="13"/>
  <c r="D15" i="13"/>
  <c r="F48" i="13"/>
  <c r="D17" i="13"/>
  <c r="F50" i="13"/>
  <c r="D19" i="13"/>
  <c r="F52" i="13"/>
  <c r="D21" i="13"/>
  <c r="F54" i="13"/>
  <c r="D23" i="13"/>
  <c r="F56" i="13"/>
  <c r="D25" i="13"/>
  <c r="F58" i="13"/>
  <c r="D27" i="13"/>
  <c r="F60" i="13"/>
  <c r="D29" i="13"/>
  <c r="F62" i="13"/>
  <c r="D31" i="13"/>
  <c r="E95" i="13"/>
  <c r="C109" i="13" s="1"/>
  <c r="E105" i="13"/>
  <c r="F114" i="14"/>
  <c r="F112" i="14"/>
  <c r="F110" i="14"/>
  <c r="E105" i="16"/>
  <c r="E105" i="17"/>
  <c r="D67" i="17"/>
  <c r="F67" i="17" s="1"/>
  <c r="D5" i="17"/>
  <c r="D69" i="17"/>
  <c r="F69" i="17" s="1"/>
  <c r="D7" i="17"/>
  <c r="D71" i="17"/>
  <c r="F71" i="17" s="1"/>
  <c r="D9" i="17"/>
  <c r="D73" i="17"/>
  <c r="F73" i="17" s="1"/>
  <c r="D11" i="17"/>
  <c r="D75" i="17"/>
  <c r="F75" i="17" s="1"/>
  <c r="D13" i="17"/>
  <c r="D77" i="17"/>
  <c r="F77" i="17" s="1"/>
  <c r="D15" i="17"/>
  <c r="D79" i="17"/>
  <c r="F79" i="17" s="1"/>
  <c r="D17" i="17"/>
  <c r="D81" i="17"/>
  <c r="F81" i="17" s="1"/>
  <c r="D19" i="17"/>
  <c r="D83" i="17"/>
  <c r="F83" i="17" s="1"/>
  <c r="D21" i="17"/>
  <c r="D85" i="17"/>
  <c r="F85" i="17" s="1"/>
  <c r="D23" i="17"/>
  <c r="D87" i="17"/>
  <c r="F87" i="17" s="1"/>
  <c r="D25" i="17"/>
  <c r="D89" i="17"/>
  <c r="F89" i="17" s="1"/>
  <c r="D27" i="17"/>
  <c r="D91" i="17"/>
  <c r="F91" i="17" s="1"/>
  <c r="D29" i="17"/>
  <c r="D93" i="17"/>
  <c r="F93" i="17" s="1"/>
  <c r="D31" i="17"/>
  <c r="E118" i="19"/>
  <c r="F60" i="23"/>
  <c r="D29" i="23"/>
  <c r="F56" i="23"/>
  <c r="D25" i="23"/>
  <c r="F52" i="23"/>
  <c r="D21" i="23"/>
  <c r="F48" i="23"/>
  <c r="D17" i="23"/>
  <c r="F44" i="23"/>
  <c r="D13" i="23"/>
  <c r="F40" i="23"/>
  <c r="D9" i="23"/>
  <c r="D64" i="23"/>
  <c r="F110" i="23"/>
  <c r="F114" i="23"/>
  <c r="F39" i="24"/>
  <c r="D8" i="24"/>
  <c r="F41" i="24"/>
  <c r="D10" i="24"/>
  <c r="F43" i="24"/>
  <c r="D12" i="24"/>
  <c r="F45" i="24"/>
  <c r="D14" i="24"/>
  <c r="F47" i="24"/>
  <c r="D16" i="24"/>
  <c r="F49" i="24"/>
  <c r="D18" i="24"/>
  <c r="F51" i="24"/>
  <c r="D20" i="24"/>
  <c r="F53" i="24"/>
  <c r="D22" i="24"/>
  <c r="F55" i="24"/>
  <c r="D24" i="24"/>
  <c r="F57" i="24"/>
  <c r="D26" i="24"/>
  <c r="F59" i="24"/>
  <c r="D28" i="24"/>
  <c r="F61" i="24"/>
  <c r="D30" i="24"/>
  <c r="F63" i="24"/>
  <c r="D32" i="24"/>
  <c r="E118" i="24"/>
  <c r="F111" i="24"/>
  <c r="F115" i="24"/>
  <c r="F115" i="33"/>
  <c r="E118" i="33"/>
  <c r="F116" i="16"/>
  <c r="E118" i="16"/>
  <c r="E95" i="16"/>
  <c r="C109" i="16" s="1"/>
  <c r="E64" i="16"/>
  <c r="M48" i="63" s="1"/>
  <c r="F37" i="16"/>
  <c r="D68" i="16"/>
  <c r="F68" i="16" s="1"/>
  <c r="D6" i="16"/>
  <c r="F39" i="16"/>
  <c r="D8" i="16"/>
  <c r="D70" i="16"/>
  <c r="F70" i="16" s="1"/>
  <c r="F41" i="16"/>
  <c r="D72" i="16"/>
  <c r="F72" i="16" s="1"/>
  <c r="D10" i="16"/>
  <c r="F43" i="16"/>
  <c r="D74" i="16"/>
  <c r="F74" i="16" s="1"/>
  <c r="D12" i="16"/>
  <c r="F45" i="16"/>
  <c r="D76" i="16"/>
  <c r="F76" i="16" s="1"/>
  <c r="D14" i="16"/>
  <c r="F47" i="16"/>
  <c r="D16" i="16"/>
  <c r="D78" i="16"/>
  <c r="F78" i="16" s="1"/>
  <c r="F49" i="16"/>
  <c r="D80" i="16"/>
  <c r="F80" i="16" s="1"/>
  <c r="D18" i="16"/>
  <c r="F51" i="16"/>
  <c r="D82" i="16"/>
  <c r="F82" i="16" s="1"/>
  <c r="D20" i="16"/>
  <c r="F53" i="16"/>
  <c r="D84" i="16"/>
  <c r="F84" i="16" s="1"/>
  <c r="D22" i="16"/>
  <c r="F55" i="16"/>
  <c r="D24" i="16"/>
  <c r="D86" i="16"/>
  <c r="F86" i="16" s="1"/>
  <c r="F57" i="16"/>
  <c r="D88" i="16"/>
  <c r="F88" i="16" s="1"/>
  <c r="D26" i="16"/>
  <c r="F59" i="16"/>
  <c r="D90" i="16"/>
  <c r="F90" i="16" s="1"/>
  <c r="D28" i="16"/>
  <c r="F61" i="16"/>
  <c r="D92" i="16"/>
  <c r="F92" i="16" s="1"/>
  <c r="D30" i="16"/>
  <c r="F63" i="16"/>
  <c r="D32" i="16"/>
  <c r="D94" i="16"/>
  <c r="F94" i="16" s="1"/>
  <c r="E105" i="19"/>
  <c r="D67" i="19"/>
  <c r="F67" i="19" s="1"/>
  <c r="D5" i="19"/>
  <c r="D69" i="19"/>
  <c r="F69" i="19" s="1"/>
  <c r="D7" i="19"/>
  <c r="D71" i="19"/>
  <c r="F71" i="19" s="1"/>
  <c r="D9" i="19"/>
  <c r="D73" i="19"/>
  <c r="F73" i="19" s="1"/>
  <c r="D11" i="19"/>
  <c r="D75" i="19"/>
  <c r="F75" i="19" s="1"/>
  <c r="D13" i="19"/>
  <c r="D77" i="19"/>
  <c r="F77" i="19" s="1"/>
  <c r="D15" i="19"/>
  <c r="D79" i="19"/>
  <c r="F79" i="19" s="1"/>
  <c r="D17" i="19"/>
  <c r="D81" i="19"/>
  <c r="F81" i="19" s="1"/>
  <c r="D19" i="19"/>
  <c r="D83" i="19"/>
  <c r="F83" i="19" s="1"/>
  <c r="D21" i="19"/>
  <c r="D85" i="19"/>
  <c r="F85" i="19" s="1"/>
  <c r="D23" i="19"/>
  <c r="D87" i="19"/>
  <c r="F87" i="19" s="1"/>
  <c r="D25" i="19"/>
  <c r="D89" i="19"/>
  <c r="F89" i="19" s="1"/>
  <c r="D27" i="19"/>
  <c r="D91" i="19"/>
  <c r="F91" i="19" s="1"/>
  <c r="D29" i="19"/>
  <c r="D93" i="19"/>
  <c r="F93" i="19" s="1"/>
  <c r="D31" i="19"/>
  <c r="D33" i="21"/>
  <c r="E95" i="26"/>
  <c r="C109" i="26" s="1"/>
  <c r="E64" i="26"/>
  <c r="F64" i="26" s="1"/>
  <c r="E95" i="27"/>
  <c r="C109" i="27" s="1"/>
  <c r="E64" i="27"/>
  <c r="F64" i="27" s="1"/>
  <c r="N37" i="63" s="1"/>
  <c r="E95" i="30"/>
  <c r="C109" i="30" s="1"/>
  <c r="E64" i="30"/>
  <c r="M34" i="63" s="1"/>
  <c r="D68" i="30"/>
  <c r="F68" i="30" s="1"/>
  <c r="D6" i="30"/>
  <c r="D70" i="30"/>
  <c r="F70" i="30" s="1"/>
  <c r="D8" i="30"/>
  <c r="D72" i="30"/>
  <c r="F72" i="30" s="1"/>
  <c r="D10" i="30"/>
  <c r="D74" i="30"/>
  <c r="F74" i="30" s="1"/>
  <c r="D12" i="30"/>
  <c r="D76" i="30"/>
  <c r="F76" i="30" s="1"/>
  <c r="D14" i="30"/>
  <c r="D78" i="30"/>
  <c r="F78" i="30" s="1"/>
  <c r="D16" i="30"/>
  <c r="D80" i="30"/>
  <c r="F80" i="30" s="1"/>
  <c r="D18" i="30"/>
  <c r="D82" i="30"/>
  <c r="F82" i="30" s="1"/>
  <c r="D20" i="30"/>
  <c r="D84" i="30"/>
  <c r="F84" i="30" s="1"/>
  <c r="D22" i="30"/>
  <c r="D86" i="30"/>
  <c r="F86" i="30" s="1"/>
  <c r="D24" i="30"/>
  <c r="D88" i="30"/>
  <c r="F88" i="30" s="1"/>
  <c r="D26" i="30"/>
  <c r="D90" i="30"/>
  <c r="F90" i="30" s="1"/>
  <c r="D28" i="30"/>
  <c r="D92" i="30"/>
  <c r="F92" i="30" s="1"/>
  <c r="D30" i="30"/>
  <c r="D94" i="30"/>
  <c r="F94" i="30" s="1"/>
  <c r="D32" i="30"/>
  <c r="E118" i="30"/>
  <c r="F113" i="30"/>
  <c r="F116" i="30"/>
  <c r="D64" i="31"/>
  <c r="D5" i="31"/>
  <c r="D67" i="31"/>
  <c r="F38" i="31"/>
  <c r="D69" i="31"/>
  <c r="F69" i="31" s="1"/>
  <c r="D7" i="31"/>
  <c r="F40" i="31"/>
  <c r="D9" i="31"/>
  <c r="D71" i="31"/>
  <c r="F71" i="31" s="1"/>
  <c r="F42" i="31"/>
  <c r="D73" i="31"/>
  <c r="F73" i="31" s="1"/>
  <c r="D11" i="31"/>
  <c r="F44" i="31"/>
  <c r="D13" i="31"/>
  <c r="D75" i="31"/>
  <c r="F75" i="31" s="1"/>
  <c r="F46" i="31"/>
  <c r="D77" i="31"/>
  <c r="F77" i="31" s="1"/>
  <c r="D15" i="31"/>
  <c r="F48" i="31"/>
  <c r="D17" i="31"/>
  <c r="D79" i="31"/>
  <c r="F79" i="31" s="1"/>
  <c r="F50" i="31"/>
  <c r="D81" i="31"/>
  <c r="F81" i="31" s="1"/>
  <c r="D19" i="31"/>
  <c r="F52" i="31"/>
  <c r="D21" i="31"/>
  <c r="D83" i="31"/>
  <c r="F83" i="31" s="1"/>
  <c r="F54" i="31"/>
  <c r="D85" i="31"/>
  <c r="F85" i="31" s="1"/>
  <c r="D23" i="31"/>
  <c r="F56" i="31"/>
  <c r="D25" i="31"/>
  <c r="D87" i="31"/>
  <c r="F87" i="31" s="1"/>
  <c r="F58" i="31"/>
  <c r="D89" i="31"/>
  <c r="F89" i="31" s="1"/>
  <c r="D27" i="31"/>
  <c r="F60" i="31"/>
  <c r="D29" i="31"/>
  <c r="D91" i="31"/>
  <c r="F91" i="31" s="1"/>
  <c r="F62" i="31"/>
  <c r="D93" i="31"/>
  <c r="F93" i="31" s="1"/>
  <c r="D31" i="31"/>
  <c r="E95" i="31"/>
  <c r="C109" i="31" s="1"/>
  <c r="E95" i="32"/>
  <c r="C109" i="32" s="1"/>
  <c r="E64" i="32"/>
  <c r="F64" i="32" s="1"/>
  <c r="F37" i="32"/>
  <c r="D68" i="32"/>
  <c r="D6" i="32"/>
  <c r="F39" i="32"/>
  <c r="D70" i="32"/>
  <c r="F70" i="32" s="1"/>
  <c r="D8" i="32"/>
  <c r="F41" i="32"/>
  <c r="D72" i="32"/>
  <c r="F72" i="32" s="1"/>
  <c r="D10" i="32"/>
  <c r="F43" i="32"/>
  <c r="D12" i="32"/>
  <c r="D74" i="32"/>
  <c r="F74" i="32" s="1"/>
  <c r="F45" i="32"/>
  <c r="D76" i="32"/>
  <c r="F76" i="32" s="1"/>
  <c r="D14" i="32"/>
  <c r="F47" i="32"/>
  <c r="D78" i="32"/>
  <c r="F78" i="32" s="1"/>
  <c r="D16" i="32"/>
  <c r="F49" i="32"/>
  <c r="D80" i="32"/>
  <c r="F80" i="32" s="1"/>
  <c r="D18" i="32"/>
  <c r="F51" i="32"/>
  <c r="D20" i="32"/>
  <c r="D82" i="32"/>
  <c r="F82" i="32" s="1"/>
  <c r="F53" i="32"/>
  <c r="D84" i="32"/>
  <c r="F84" i="32" s="1"/>
  <c r="D22" i="32"/>
  <c r="F55" i="32"/>
  <c r="D86" i="32"/>
  <c r="F86" i="32" s="1"/>
  <c r="D24" i="32"/>
  <c r="F57" i="32"/>
  <c r="D88" i="32"/>
  <c r="F88" i="32" s="1"/>
  <c r="D26" i="32"/>
  <c r="F59" i="32"/>
  <c r="D28" i="32"/>
  <c r="D90" i="32"/>
  <c r="F90" i="32" s="1"/>
  <c r="F61" i="32"/>
  <c r="D92" i="32"/>
  <c r="F92" i="32" s="1"/>
  <c r="D30" i="32"/>
  <c r="F63" i="32"/>
  <c r="D94" i="32"/>
  <c r="F94" i="32" s="1"/>
  <c r="D32" i="32"/>
  <c r="E118" i="32"/>
  <c r="F111" i="32"/>
  <c r="F115" i="32"/>
  <c r="E118" i="36"/>
  <c r="E95" i="36"/>
  <c r="C109" i="36" s="1"/>
  <c r="E64" i="36"/>
  <c r="F64" i="36" s="1"/>
  <c r="F37" i="36"/>
  <c r="D68" i="36"/>
  <c r="D6" i="36"/>
  <c r="F39" i="36"/>
  <c r="D70" i="36"/>
  <c r="F70" i="36" s="1"/>
  <c r="D8" i="36"/>
  <c r="F41" i="36"/>
  <c r="D72" i="36"/>
  <c r="F72" i="36" s="1"/>
  <c r="D10" i="36"/>
  <c r="F43" i="36"/>
  <c r="D12" i="36"/>
  <c r="D74" i="36"/>
  <c r="F74" i="36" s="1"/>
  <c r="F45" i="36"/>
  <c r="D76" i="36"/>
  <c r="F76" i="36" s="1"/>
  <c r="D14" i="36"/>
  <c r="F47" i="36"/>
  <c r="D78" i="36"/>
  <c r="F78" i="36" s="1"/>
  <c r="D16" i="36"/>
  <c r="F49" i="36"/>
  <c r="D80" i="36"/>
  <c r="F80" i="36" s="1"/>
  <c r="D18" i="36"/>
  <c r="F51" i="36"/>
  <c r="D20" i="36"/>
  <c r="D82" i="36"/>
  <c r="F82" i="36" s="1"/>
  <c r="F53" i="36"/>
  <c r="D84" i="36"/>
  <c r="F84" i="36" s="1"/>
  <c r="D22" i="36"/>
  <c r="F55" i="36"/>
  <c r="D86" i="36"/>
  <c r="F86" i="36" s="1"/>
  <c r="D24" i="36"/>
  <c r="F57" i="36"/>
  <c r="D88" i="36"/>
  <c r="F88" i="36" s="1"/>
  <c r="D26" i="36"/>
  <c r="F59" i="36"/>
  <c r="D28" i="36"/>
  <c r="D90" i="36"/>
  <c r="F90" i="36" s="1"/>
  <c r="F61" i="36"/>
  <c r="D92" i="36"/>
  <c r="F92" i="36" s="1"/>
  <c r="D30" i="36"/>
  <c r="F63" i="36"/>
  <c r="D94" i="36"/>
  <c r="F94" i="36" s="1"/>
  <c r="D32" i="36"/>
  <c r="F62" i="46"/>
  <c r="D31" i="46"/>
  <c r="F60" i="46"/>
  <c r="D29" i="46"/>
  <c r="F58" i="46"/>
  <c r="D27" i="46"/>
  <c r="F56" i="46"/>
  <c r="D25" i="46"/>
  <c r="F54" i="46"/>
  <c r="D23" i="46"/>
  <c r="F52" i="46"/>
  <c r="D21" i="46"/>
  <c r="F50" i="46"/>
  <c r="D19" i="46"/>
  <c r="F48" i="46"/>
  <c r="D17" i="46"/>
  <c r="F46" i="46"/>
  <c r="D15" i="46"/>
  <c r="F44" i="46"/>
  <c r="D13" i="46"/>
  <c r="F42" i="46"/>
  <c r="D11" i="46"/>
  <c r="D64" i="46"/>
  <c r="F64" i="46" s="1"/>
  <c r="N18" i="63" s="1"/>
  <c r="D94" i="48"/>
  <c r="F94" i="48" s="1"/>
  <c r="D32" i="48"/>
  <c r="D92" i="48"/>
  <c r="F92" i="48" s="1"/>
  <c r="D30" i="48"/>
  <c r="D90" i="48"/>
  <c r="F90" i="48" s="1"/>
  <c r="D28" i="48"/>
  <c r="D88" i="48"/>
  <c r="F88" i="48" s="1"/>
  <c r="D26" i="48"/>
  <c r="D86" i="48"/>
  <c r="F86" i="48" s="1"/>
  <c r="D24" i="48"/>
  <c r="D84" i="48"/>
  <c r="F84" i="48" s="1"/>
  <c r="D22" i="48"/>
  <c r="D82" i="48"/>
  <c r="F82" i="48" s="1"/>
  <c r="D20" i="48"/>
  <c r="D80" i="48"/>
  <c r="F80" i="48" s="1"/>
  <c r="D18" i="48"/>
  <c r="D78" i="48"/>
  <c r="F78" i="48" s="1"/>
  <c r="D16" i="48"/>
  <c r="D76" i="48"/>
  <c r="F76" i="48" s="1"/>
  <c r="D14" i="48"/>
  <c r="D74" i="48"/>
  <c r="F74" i="48" s="1"/>
  <c r="D12" i="48"/>
  <c r="D72" i="48"/>
  <c r="F72" i="48" s="1"/>
  <c r="D10" i="48"/>
  <c r="D70" i="48"/>
  <c r="F70" i="48" s="1"/>
  <c r="D8" i="48"/>
  <c r="D68" i="48"/>
  <c r="F68" i="48" s="1"/>
  <c r="D6" i="48"/>
  <c r="F62" i="50"/>
  <c r="D31" i="50"/>
  <c r="F60" i="50"/>
  <c r="D29" i="50"/>
  <c r="F58" i="50"/>
  <c r="D27" i="50"/>
  <c r="F56" i="50"/>
  <c r="D25" i="50"/>
  <c r="F54" i="50"/>
  <c r="D23" i="50"/>
  <c r="F52" i="50"/>
  <c r="D21" i="50"/>
  <c r="F50" i="50"/>
  <c r="D19" i="50"/>
  <c r="F48" i="50"/>
  <c r="D17" i="50"/>
  <c r="F46" i="50"/>
  <c r="D15" i="50"/>
  <c r="F44" i="50"/>
  <c r="D13" i="50"/>
  <c r="F42" i="50"/>
  <c r="D11" i="50"/>
  <c r="D64" i="50"/>
  <c r="F64" i="50" s="1"/>
  <c r="N14" i="63" s="1"/>
  <c r="D118" i="51"/>
  <c r="E105" i="51"/>
  <c r="E95" i="51"/>
  <c r="C109" i="51" s="1"/>
  <c r="E13" i="63"/>
  <c r="E64" i="51"/>
  <c r="M13" i="63" s="1"/>
  <c r="F63" i="55"/>
  <c r="D32" i="55"/>
  <c r="F61" i="55"/>
  <c r="D30" i="55"/>
  <c r="F59" i="55"/>
  <c r="D28" i="55"/>
  <c r="F57" i="55"/>
  <c r="D26" i="55"/>
  <c r="F55" i="55"/>
  <c r="D24" i="55"/>
  <c r="F53" i="55"/>
  <c r="D22" i="55"/>
  <c r="F51" i="55"/>
  <c r="D20" i="55"/>
  <c r="F49" i="55"/>
  <c r="D18" i="55"/>
  <c r="F47" i="55"/>
  <c r="D16" i="55"/>
  <c r="F45" i="55"/>
  <c r="D14" i="55"/>
  <c r="F43" i="55"/>
  <c r="D12" i="55"/>
  <c r="F41" i="55"/>
  <c r="D10" i="55"/>
  <c r="F39" i="55"/>
  <c r="D8" i="55"/>
  <c r="F69" i="38"/>
  <c r="F71" i="38"/>
  <c r="F75" i="38"/>
  <c r="F79" i="38"/>
  <c r="F81" i="38"/>
  <c r="D83" i="38"/>
  <c r="F83" i="38" s="1"/>
  <c r="D21" i="38"/>
  <c r="D85" i="38"/>
  <c r="F85" i="38" s="1"/>
  <c r="D23" i="38"/>
  <c r="D87" i="38"/>
  <c r="F87" i="38" s="1"/>
  <c r="D25" i="38"/>
  <c r="D89" i="38"/>
  <c r="F89" i="38" s="1"/>
  <c r="D27" i="38"/>
  <c r="D91" i="38"/>
  <c r="F91" i="38" s="1"/>
  <c r="D29" i="38"/>
  <c r="D93" i="38"/>
  <c r="F93" i="38" s="1"/>
  <c r="D31" i="38"/>
  <c r="F111" i="15"/>
  <c r="E118" i="21"/>
  <c r="F94" i="23"/>
  <c r="F90" i="23"/>
  <c r="F86" i="23"/>
  <c r="F82" i="23"/>
  <c r="F78" i="23"/>
  <c r="F70" i="23"/>
  <c r="F115" i="25"/>
  <c r="F38" i="25"/>
  <c r="F42" i="25"/>
  <c r="F46" i="25"/>
  <c r="F48" i="25"/>
  <c r="F50" i="25"/>
  <c r="F52" i="25"/>
  <c r="F54" i="25"/>
  <c r="F56" i="25"/>
  <c r="F58" i="25"/>
  <c r="F60" i="25"/>
  <c r="F62" i="25"/>
  <c r="F110" i="25"/>
  <c r="F112" i="25"/>
  <c r="F114" i="25"/>
  <c r="F37" i="26"/>
  <c r="D6" i="26"/>
  <c r="F39" i="26"/>
  <c r="D8" i="26"/>
  <c r="F41" i="26"/>
  <c r="D10" i="26"/>
  <c r="F43" i="26"/>
  <c r="D12" i="26"/>
  <c r="F45" i="26"/>
  <c r="D14" i="26"/>
  <c r="F47" i="26"/>
  <c r="D16" i="26"/>
  <c r="F49" i="26"/>
  <c r="D18" i="26"/>
  <c r="F51" i="26"/>
  <c r="D20" i="26"/>
  <c r="F53" i="26"/>
  <c r="D22" i="26"/>
  <c r="F55" i="26"/>
  <c r="D24" i="26"/>
  <c r="F57" i="26"/>
  <c r="D26" i="26"/>
  <c r="F59" i="26"/>
  <c r="D28" i="26"/>
  <c r="F61" i="26"/>
  <c r="D30" i="26"/>
  <c r="F63" i="26"/>
  <c r="D32" i="26"/>
  <c r="E118" i="26"/>
  <c r="F111" i="26"/>
  <c r="F113" i="26"/>
  <c r="F115" i="26"/>
  <c r="F116" i="26"/>
  <c r="F38" i="27"/>
  <c r="F40" i="27"/>
  <c r="F42" i="27"/>
  <c r="F44" i="27"/>
  <c r="F46" i="27"/>
  <c r="F48" i="27"/>
  <c r="F50" i="27"/>
  <c r="F52" i="27"/>
  <c r="D21" i="27"/>
  <c r="F54" i="27"/>
  <c r="D23" i="27"/>
  <c r="F56" i="27"/>
  <c r="D25" i="27"/>
  <c r="F58" i="27"/>
  <c r="D27" i="27"/>
  <c r="F60" i="27"/>
  <c r="D29" i="27"/>
  <c r="F62" i="27"/>
  <c r="D31" i="27"/>
  <c r="E64" i="28"/>
  <c r="M36" i="63" s="1"/>
  <c r="F37" i="28"/>
  <c r="F39" i="28"/>
  <c r="F41" i="28"/>
  <c r="F43" i="28"/>
  <c r="F45" i="28"/>
  <c r="F47" i="28"/>
  <c r="F49" i="28"/>
  <c r="F51" i="28"/>
  <c r="F53" i="28"/>
  <c r="F55" i="28"/>
  <c r="F57" i="28"/>
  <c r="F59" i="28"/>
  <c r="F61" i="28"/>
  <c r="F63" i="28"/>
  <c r="E118" i="28"/>
  <c r="F111" i="28"/>
  <c r="F113" i="28"/>
  <c r="F115" i="28"/>
  <c r="F116" i="28"/>
  <c r="F38" i="29"/>
  <c r="F42" i="29"/>
  <c r="F44" i="29"/>
  <c r="F46" i="29"/>
  <c r="F48" i="29"/>
  <c r="F50" i="29"/>
  <c r="F52" i="29"/>
  <c r="F54" i="29"/>
  <c r="F56" i="29"/>
  <c r="F58" i="29"/>
  <c r="F60" i="29"/>
  <c r="F62" i="29"/>
  <c r="D118" i="37"/>
  <c r="E105" i="37"/>
  <c r="D64" i="37"/>
  <c r="D5" i="37"/>
  <c r="F38" i="37"/>
  <c r="D7" i="37"/>
  <c r="F40" i="37"/>
  <c r="D9" i="37"/>
  <c r="F42" i="37"/>
  <c r="D11" i="37"/>
  <c r="F44" i="37"/>
  <c r="D13" i="37"/>
  <c r="F46" i="37"/>
  <c r="D15" i="37"/>
  <c r="F48" i="37"/>
  <c r="D17" i="37"/>
  <c r="F50" i="37"/>
  <c r="D19" i="37"/>
  <c r="F52" i="37"/>
  <c r="D21" i="37"/>
  <c r="F54" i="37"/>
  <c r="D23" i="37"/>
  <c r="F56" i="37"/>
  <c r="D25" i="37"/>
  <c r="F58" i="37"/>
  <c r="D27" i="37"/>
  <c r="F60" i="37"/>
  <c r="D29" i="37"/>
  <c r="F62" i="37"/>
  <c r="D31" i="37"/>
  <c r="E64" i="39"/>
  <c r="M25" i="63" s="1"/>
  <c r="E95" i="39"/>
  <c r="C109" i="39" s="1"/>
  <c r="D64" i="39"/>
  <c r="F64" i="39" s="1"/>
  <c r="D5" i="39"/>
  <c r="F38" i="39"/>
  <c r="D7" i="39"/>
  <c r="F40" i="39"/>
  <c r="D9" i="39"/>
  <c r="F42" i="39"/>
  <c r="D11" i="39"/>
  <c r="F44" i="39"/>
  <c r="D13" i="39"/>
  <c r="F46" i="39"/>
  <c r="D15" i="39"/>
  <c r="F48" i="39"/>
  <c r="D17" i="39"/>
  <c r="F50" i="39"/>
  <c r="D19" i="39"/>
  <c r="F52" i="39"/>
  <c r="D21" i="39"/>
  <c r="F54" i="39"/>
  <c r="D23" i="39"/>
  <c r="F56" i="39"/>
  <c r="D25" i="39"/>
  <c r="F58" i="39"/>
  <c r="D27" i="39"/>
  <c r="F60" i="39"/>
  <c r="D29" i="39"/>
  <c r="F62" i="39"/>
  <c r="D31" i="39"/>
  <c r="E95" i="41"/>
  <c r="C109" i="41" s="1"/>
  <c r="E64" i="41"/>
  <c r="M23" i="63" s="1"/>
  <c r="D80" i="41"/>
  <c r="F80" i="41" s="1"/>
  <c r="D18" i="41"/>
  <c r="D82" i="41"/>
  <c r="F82" i="41" s="1"/>
  <c r="D20" i="41"/>
  <c r="D84" i="41"/>
  <c r="F84" i="41" s="1"/>
  <c r="D22" i="41"/>
  <c r="D86" i="41"/>
  <c r="F86" i="41" s="1"/>
  <c r="D24" i="41"/>
  <c r="D88" i="41"/>
  <c r="F88" i="41" s="1"/>
  <c r="D26" i="41"/>
  <c r="D90" i="41"/>
  <c r="F90" i="41" s="1"/>
  <c r="D28" i="41"/>
  <c r="D92" i="41"/>
  <c r="F92" i="41" s="1"/>
  <c r="D30" i="41"/>
  <c r="D94" i="41"/>
  <c r="F94" i="41" s="1"/>
  <c r="D32" i="41"/>
  <c r="E118" i="41"/>
  <c r="F113" i="41"/>
  <c r="F116" i="41"/>
  <c r="F40" i="52"/>
  <c r="D9" i="52"/>
  <c r="F42" i="52"/>
  <c r="D11" i="52"/>
  <c r="F44" i="52"/>
  <c r="D13" i="52"/>
  <c r="F46" i="52"/>
  <c r="D15" i="52"/>
  <c r="F48" i="52"/>
  <c r="D17" i="52"/>
  <c r="F50" i="52"/>
  <c r="D19" i="52"/>
  <c r="F52" i="52"/>
  <c r="D21" i="52"/>
  <c r="F54" i="52"/>
  <c r="D23" i="52"/>
  <c r="F56" i="52"/>
  <c r="D25" i="52"/>
  <c r="F58" i="52"/>
  <c r="D27" i="52"/>
  <c r="F60" i="52"/>
  <c r="D29" i="52"/>
  <c r="F62" i="52"/>
  <c r="D31" i="52"/>
  <c r="E95" i="54"/>
  <c r="C109" i="54" s="1"/>
  <c r="E64" i="54"/>
  <c r="M10" i="63" s="1"/>
  <c r="D68" i="54"/>
  <c r="F68" i="54" s="1"/>
  <c r="D6" i="54"/>
  <c r="D70" i="54"/>
  <c r="F70" i="54" s="1"/>
  <c r="D8" i="54"/>
  <c r="D72" i="54"/>
  <c r="F72" i="54" s="1"/>
  <c r="D10" i="54"/>
  <c r="D74" i="54"/>
  <c r="F74" i="54" s="1"/>
  <c r="D12" i="54"/>
  <c r="D76" i="54"/>
  <c r="F76" i="54" s="1"/>
  <c r="D14" i="54"/>
  <c r="D78" i="54"/>
  <c r="F78" i="54" s="1"/>
  <c r="D16" i="54"/>
  <c r="D80" i="54"/>
  <c r="F80" i="54" s="1"/>
  <c r="D18" i="54"/>
  <c r="D82" i="54"/>
  <c r="F82" i="54" s="1"/>
  <c r="D20" i="54"/>
  <c r="D84" i="54"/>
  <c r="F84" i="54" s="1"/>
  <c r="D22" i="54"/>
  <c r="D86" i="54"/>
  <c r="F86" i="54" s="1"/>
  <c r="D24" i="54"/>
  <c r="D88" i="54"/>
  <c r="F88" i="54" s="1"/>
  <c r="D26" i="54"/>
  <c r="D90" i="54"/>
  <c r="F90" i="54" s="1"/>
  <c r="D28" i="54"/>
  <c r="D92" i="54"/>
  <c r="F92" i="54" s="1"/>
  <c r="D30" i="54"/>
  <c r="D94" i="54"/>
  <c r="F94" i="54" s="1"/>
  <c r="D32" i="54"/>
  <c r="E118" i="54"/>
  <c r="F113" i="54"/>
  <c r="F116" i="54"/>
  <c r="F56" i="56"/>
  <c r="D25" i="56"/>
  <c r="F46" i="56"/>
  <c r="D15" i="56"/>
  <c r="D64" i="56"/>
  <c r="F110" i="56"/>
  <c r="F114" i="56"/>
  <c r="E118" i="34"/>
  <c r="F61" i="40"/>
  <c r="D30" i="40"/>
  <c r="F57" i="40"/>
  <c r="D26" i="40"/>
  <c r="F53" i="40"/>
  <c r="D22" i="40"/>
  <c r="F49" i="40"/>
  <c r="D18" i="40"/>
  <c r="F45" i="40"/>
  <c r="D14" i="40"/>
  <c r="F41" i="40"/>
  <c r="D10" i="40"/>
  <c r="F37" i="40"/>
  <c r="D6" i="40"/>
  <c r="E118" i="40"/>
  <c r="F113" i="40"/>
  <c r="E95" i="42"/>
  <c r="C109" i="42" s="1"/>
  <c r="E64" i="42"/>
  <c r="F64" i="42" s="1"/>
  <c r="F37" i="42"/>
  <c r="D6" i="42"/>
  <c r="F39" i="42"/>
  <c r="D8" i="42"/>
  <c r="F41" i="42"/>
  <c r="D10" i="42"/>
  <c r="F43" i="42"/>
  <c r="D12" i="42"/>
  <c r="F45" i="42"/>
  <c r="D14" i="42"/>
  <c r="F47" i="42"/>
  <c r="D16" i="42"/>
  <c r="F49" i="42"/>
  <c r="D18" i="42"/>
  <c r="F51" i="42"/>
  <c r="D20" i="42"/>
  <c r="F53" i="42"/>
  <c r="D22" i="42"/>
  <c r="F55" i="42"/>
  <c r="D24" i="42"/>
  <c r="F57" i="42"/>
  <c r="D26" i="42"/>
  <c r="F59" i="42"/>
  <c r="D28" i="42"/>
  <c r="F61" i="42"/>
  <c r="D30" i="42"/>
  <c r="F63" i="42"/>
  <c r="D32" i="42"/>
  <c r="E118" i="42"/>
  <c r="F113" i="42"/>
  <c r="F116" i="42"/>
  <c r="F62" i="43"/>
  <c r="D31" i="43"/>
  <c r="F58" i="43"/>
  <c r="D27" i="43"/>
  <c r="F54" i="43"/>
  <c r="D23" i="43"/>
  <c r="F50" i="43"/>
  <c r="D19" i="43"/>
  <c r="F46" i="43"/>
  <c r="D15" i="43"/>
  <c r="F42" i="43"/>
  <c r="D11" i="43"/>
  <c r="F38" i="43"/>
  <c r="D7" i="43"/>
  <c r="E64" i="43"/>
  <c r="M21" i="63" s="1"/>
  <c r="E95" i="43"/>
  <c r="C109" i="43" s="1"/>
  <c r="E105" i="43"/>
  <c r="D68" i="44"/>
  <c r="F68" i="44" s="1"/>
  <c r="D6" i="44"/>
  <c r="D70" i="44"/>
  <c r="F70" i="44" s="1"/>
  <c r="D8" i="44"/>
  <c r="D72" i="44"/>
  <c r="F72" i="44" s="1"/>
  <c r="D10" i="44"/>
  <c r="D74" i="44"/>
  <c r="F74" i="44" s="1"/>
  <c r="D12" i="44"/>
  <c r="D76" i="44"/>
  <c r="F76" i="44" s="1"/>
  <c r="D14" i="44"/>
  <c r="D78" i="44"/>
  <c r="F78" i="44" s="1"/>
  <c r="D16" i="44"/>
  <c r="D80" i="44"/>
  <c r="F80" i="44" s="1"/>
  <c r="D18" i="44"/>
  <c r="D82" i="44"/>
  <c r="F82" i="44" s="1"/>
  <c r="D20" i="44"/>
  <c r="D84" i="44"/>
  <c r="F84" i="44" s="1"/>
  <c r="D22" i="44"/>
  <c r="D86" i="44"/>
  <c r="F86" i="44" s="1"/>
  <c r="D24" i="44"/>
  <c r="D88" i="44"/>
  <c r="F88" i="44" s="1"/>
  <c r="D26" i="44"/>
  <c r="D90" i="44"/>
  <c r="F90" i="44" s="1"/>
  <c r="D28" i="44"/>
  <c r="D92" i="44"/>
  <c r="F92" i="44" s="1"/>
  <c r="D30" i="44"/>
  <c r="D94" i="44"/>
  <c r="F94" i="44" s="1"/>
  <c r="D32" i="44"/>
  <c r="E118" i="44"/>
  <c r="F111" i="44"/>
  <c r="F115" i="44"/>
  <c r="D67" i="45"/>
  <c r="F67" i="45" s="1"/>
  <c r="D5" i="45"/>
  <c r="D69" i="45"/>
  <c r="F69" i="45" s="1"/>
  <c r="D7" i="45"/>
  <c r="D71" i="45"/>
  <c r="F71" i="45" s="1"/>
  <c r="D9" i="45"/>
  <c r="D73" i="45"/>
  <c r="F73" i="45" s="1"/>
  <c r="D11" i="45"/>
  <c r="D75" i="45"/>
  <c r="F75" i="45" s="1"/>
  <c r="D13" i="45"/>
  <c r="D77" i="45"/>
  <c r="F77" i="45" s="1"/>
  <c r="D15" i="45"/>
  <c r="D79" i="45"/>
  <c r="F79" i="45" s="1"/>
  <c r="D17" i="45"/>
  <c r="D81" i="45"/>
  <c r="F81" i="45" s="1"/>
  <c r="D19" i="45"/>
  <c r="D83" i="45"/>
  <c r="F83" i="45" s="1"/>
  <c r="D21" i="45"/>
  <c r="D85" i="45"/>
  <c r="F85" i="45" s="1"/>
  <c r="D23" i="45"/>
  <c r="D87" i="45"/>
  <c r="F87" i="45" s="1"/>
  <c r="D25" i="45"/>
  <c r="D89" i="45"/>
  <c r="F89" i="45" s="1"/>
  <c r="D27" i="45"/>
  <c r="D91" i="45"/>
  <c r="F91" i="45" s="1"/>
  <c r="D29" i="45"/>
  <c r="D93" i="45"/>
  <c r="F93" i="45" s="1"/>
  <c r="D31" i="45"/>
  <c r="E118" i="47"/>
  <c r="F63" i="47"/>
  <c r="D32" i="47"/>
  <c r="F59" i="47"/>
  <c r="D28" i="47"/>
  <c r="F55" i="47"/>
  <c r="D24" i="47"/>
  <c r="F51" i="47"/>
  <c r="D20" i="47"/>
  <c r="F47" i="47"/>
  <c r="D16" i="47"/>
  <c r="F43" i="47"/>
  <c r="D12" i="47"/>
  <c r="E64" i="47"/>
  <c r="M17" i="63" s="1"/>
  <c r="E95" i="47"/>
  <c r="C109" i="47" s="1"/>
  <c r="E105" i="47"/>
  <c r="F61" i="49"/>
  <c r="D30" i="49"/>
  <c r="F57" i="49"/>
  <c r="D26" i="49"/>
  <c r="F53" i="49"/>
  <c r="D22" i="49"/>
  <c r="F49" i="49"/>
  <c r="D18" i="49"/>
  <c r="F45" i="49"/>
  <c r="D14" i="49"/>
  <c r="F112" i="49"/>
  <c r="F115" i="52"/>
  <c r="F111" i="52"/>
  <c r="D67" i="53"/>
  <c r="F67" i="53" s="1"/>
  <c r="D5" i="53"/>
  <c r="D69" i="53"/>
  <c r="F69" i="53" s="1"/>
  <c r="D7" i="53"/>
  <c r="D71" i="53"/>
  <c r="F71" i="53" s="1"/>
  <c r="D9" i="53"/>
  <c r="D73" i="53"/>
  <c r="F73" i="53" s="1"/>
  <c r="D11" i="53"/>
  <c r="D75" i="53"/>
  <c r="F75" i="53" s="1"/>
  <c r="D13" i="53"/>
  <c r="D77" i="53"/>
  <c r="F77" i="53" s="1"/>
  <c r="D15" i="53"/>
  <c r="D79" i="53"/>
  <c r="F79" i="53" s="1"/>
  <c r="D17" i="53"/>
  <c r="D81" i="53"/>
  <c r="F81" i="53" s="1"/>
  <c r="D19" i="53"/>
  <c r="D83" i="53"/>
  <c r="F83" i="53" s="1"/>
  <c r="D21" i="53"/>
  <c r="D85" i="53"/>
  <c r="F85" i="53" s="1"/>
  <c r="D23" i="53"/>
  <c r="D87" i="53"/>
  <c r="F87" i="53" s="1"/>
  <c r="D25" i="53"/>
  <c r="D89" i="53"/>
  <c r="F89" i="53" s="1"/>
  <c r="D27" i="53"/>
  <c r="D91" i="53"/>
  <c r="F91" i="53" s="1"/>
  <c r="D29" i="53"/>
  <c r="D93" i="53"/>
  <c r="F93" i="53" s="1"/>
  <c r="D31" i="53"/>
  <c r="F114" i="54"/>
  <c r="F110" i="54"/>
  <c r="F115" i="56"/>
  <c r="F111" i="56"/>
  <c r="D92" i="56"/>
  <c r="F92" i="56" s="1"/>
  <c r="D30" i="56"/>
  <c r="D88" i="56"/>
  <c r="F88" i="56" s="1"/>
  <c r="D26" i="56"/>
  <c r="D84" i="56"/>
  <c r="F84" i="56" s="1"/>
  <c r="D22" i="56"/>
  <c r="D80" i="56"/>
  <c r="F80" i="56" s="1"/>
  <c r="D18" i="56"/>
  <c r="D76" i="56"/>
  <c r="F76" i="56" s="1"/>
  <c r="D14" i="56"/>
  <c r="D72" i="56"/>
  <c r="F72" i="56" s="1"/>
  <c r="D10" i="56"/>
  <c r="D68" i="56"/>
  <c r="F68" i="56" s="1"/>
  <c r="D6" i="56"/>
  <c r="F85" i="57"/>
  <c r="F69" i="57"/>
  <c r="F71" i="49"/>
  <c r="F69" i="51"/>
  <c r="F113" i="52"/>
  <c r="E95" i="52"/>
  <c r="C109" i="52" s="1"/>
  <c r="F58" i="56"/>
  <c r="D27" i="56"/>
  <c r="F52" i="56"/>
  <c r="D21" i="56"/>
  <c r="F44" i="56"/>
  <c r="D13" i="56"/>
  <c r="F38" i="56"/>
  <c r="D7" i="56"/>
  <c r="F64" i="7"/>
  <c r="N57" i="63" s="1"/>
  <c r="D33" i="31"/>
  <c r="F64" i="51"/>
  <c r="N13" i="63" s="1"/>
  <c r="F62" i="1"/>
  <c r="D31" i="1"/>
  <c r="F60" i="1"/>
  <c r="D29" i="1"/>
  <c r="F58" i="1"/>
  <c r="D27" i="1"/>
  <c r="F56" i="1"/>
  <c r="D25" i="1"/>
  <c r="F54" i="1"/>
  <c r="D23" i="1"/>
  <c r="F52" i="1"/>
  <c r="D21" i="1"/>
  <c r="F50" i="1"/>
  <c r="D19" i="1"/>
  <c r="F48" i="1"/>
  <c r="D17" i="1"/>
  <c r="F46" i="1"/>
  <c r="D15" i="1"/>
  <c r="F44" i="1"/>
  <c r="D13" i="1"/>
  <c r="F42" i="1"/>
  <c r="D11" i="1"/>
  <c r="F40" i="1"/>
  <c r="D9" i="1"/>
  <c r="F38" i="1"/>
  <c r="D7" i="1"/>
  <c r="D64" i="1"/>
  <c r="F64" i="1" s="1"/>
  <c r="N63" i="63" s="1"/>
  <c r="D5" i="1"/>
  <c r="F114" i="1"/>
  <c r="F112" i="1"/>
  <c r="F110" i="1"/>
  <c r="F63" i="59"/>
  <c r="D32" i="59"/>
  <c r="F61" i="59"/>
  <c r="D30" i="59"/>
  <c r="F59" i="59"/>
  <c r="D28" i="59"/>
  <c r="F57" i="59"/>
  <c r="D26" i="59"/>
  <c r="F55" i="59"/>
  <c r="D24" i="59"/>
  <c r="F53" i="59"/>
  <c r="D22" i="59"/>
  <c r="F51" i="59"/>
  <c r="D20" i="59"/>
  <c r="F49" i="59"/>
  <c r="D18" i="59"/>
  <c r="F47" i="59"/>
  <c r="D16" i="59"/>
  <c r="F45" i="59"/>
  <c r="D14" i="59"/>
  <c r="F43" i="59"/>
  <c r="D12" i="59"/>
  <c r="F41" i="59"/>
  <c r="D10" i="59"/>
  <c r="F39" i="59"/>
  <c r="D8" i="59"/>
  <c r="F115" i="59"/>
  <c r="D118" i="59"/>
  <c r="E105" i="59"/>
  <c r="E95" i="59"/>
  <c r="C109" i="59" s="1"/>
  <c r="E64" i="59"/>
  <c r="F64" i="59" s="1"/>
  <c r="N62" i="63" s="1"/>
  <c r="D118" i="4"/>
  <c r="E105" i="4"/>
  <c r="E95" i="4"/>
  <c r="C109" i="4" s="1"/>
  <c r="E64" i="4"/>
  <c r="M60" i="63" s="1"/>
  <c r="D94" i="6"/>
  <c r="F94" i="6" s="1"/>
  <c r="D32" i="6"/>
  <c r="D92" i="6"/>
  <c r="F92" i="6" s="1"/>
  <c r="D30" i="6"/>
  <c r="D90" i="6"/>
  <c r="F90" i="6" s="1"/>
  <c r="D28" i="6"/>
  <c r="D88" i="6"/>
  <c r="F88" i="6" s="1"/>
  <c r="D26" i="6"/>
  <c r="D86" i="6"/>
  <c r="F86" i="6" s="1"/>
  <c r="D24" i="6"/>
  <c r="D84" i="6"/>
  <c r="F84" i="6" s="1"/>
  <c r="D22" i="6"/>
  <c r="D82" i="6"/>
  <c r="F82" i="6" s="1"/>
  <c r="D20" i="6"/>
  <c r="D80" i="6"/>
  <c r="F80" i="6" s="1"/>
  <c r="D18" i="6"/>
  <c r="D78" i="6"/>
  <c r="F78" i="6" s="1"/>
  <c r="D16" i="6"/>
  <c r="D76" i="6"/>
  <c r="F76" i="6" s="1"/>
  <c r="D14" i="6"/>
  <c r="D74" i="6"/>
  <c r="F74" i="6" s="1"/>
  <c r="D12" i="6"/>
  <c r="D72" i="6"/>
  <c r="F72" i="6" s="1"/>
  <c r="D10" i="6"/>
  <c r="D70" i="6"/>
  <c r="F70" i="6" s="1"/>
  <c r="D8" i="6"/>
  <c r="D68" i="6"/>
  <c r="F68" i="6" s="1"/>
  <c r="D6" i="6"/>
  <c r="F114" i="7"/>
  <c r="F115" i="7"/>
  <c r="D93" i="7"/>
  <c r="F93" i="7" s="1"/>
  <c r="D31" i="7"/>
  <c r="D91" i="7"/>
  <c r="F91" i="7" s="1"/>
  <c r="D29" i="7"/>
  <c r="D89" i="7"/>
  <c r="F89" i="7" s="1"/>
  <c r="D27" i="7"/>
  <c r="D87" i="7"/>
  <c r="F87" i="7" s="1"/>
  <c r="D25" i="7"/>
  <c r="D85" i="7"/>
  <c r="F85" i="7" s="1"/>
  <c r="D23" i="7"/>
  <c r="D83" i="7"/>
  <c r="F83" i="7" s="1"/>
  <c r="D21" i="7"/>
  <c r="D81" i="7"/>
  <c r="F81" i="7" s="1"/>
  <c r="D19" i="7"/>
  <c r="D79" i="7"/>
  <c r="F79" i="7" s="1"/>
  <c r="D17" i="7"/>
  <c r="D77" i="7"/>
  <c r="F77" i="7" s="1"/>
  <c r="D15" i="7"/>
  <c r="D75" i="7"/>
  <c r="F75" i="7" s="1"/>
  <c r="D13" i="7"/>
  <c r="D73" i="7"/>
  <c r="F73" i="7" s="1"/>
  <c r="D11" i="7"/>
  <c r="D71" i="7"/>
  <c r="F71" i="7" s="1"/>
  <c r="D9" i="7"/>
  <c r="F69" i="7"/>
  <c r="F62" i="8"/>
  <c r="D31" i="8"/>
  <c r="F60" i="8"/>
  <c r="D29" i="8"/>
  <c r="F58" i="8"/>
  <c r="D27" i="8"/>
  <c r="F56" i="8"/>
  <c r="D25" i="8"/>
  <c r="F54" i="8"/>
  <c r="D23" i="8"/>
  <c r="F52" i="8"/>
  <c r="D21" i="8"/>
  <c r="F50" i="8"/>
  <c r="D19" i="8"/>
  <c r="F48" i="8"/>
  <c r="D17" i="8"/>
  <c r="F46" i="8"/>
  <c r="D15" i="8"/>
  <c r="F44" i="8"/>
  <c r="D13" i="8"/>
  <c r="F42" i="8"/>
  <c r="D11" i="8"/>
  <c r="F40" i="8"/>
  <c r="D9" i="8"/>
  <c r="F38" i="8"/>
  <c r="D7" i="8"/>
  <c r="D64" i="8"/>
  <c r="F64" i="8" s="1"/>
  <c r="N56" i="63" s="1"/>
  <c r="D5" i="8"/>
  <c r="E105" i="9"/>
  <c r="E95" i="9"/>
  <c r="C109" i="9" s="1"/>
  <c r="E64" i="9"/>
  <c r="F64" i="9" s="1"/>
  <c r="E118" i="10"/>
  <c r="E105" i="10"/>
  <c r="E95" i="10"/>
  <c r="C109" i="10" s="1"/>
  <c r="E64" i="10"/>
  <c r="M54" i="63" s="1"/>
  <c r="D118" i="11"/>
  <c r="E105" i="11"/>
  <c r="E95" i="11"/>
  <c r="C109" i="11" s="1"/>
  <c r="E64" i="11"/>
  <c r="M53" i="63" s="1"/>
  <c r="D118" i="12"/>
  <c r="E105" i="12"/>
  <c r="E95" i="12"/>
  <c r="C109" i="12" s="1"/>
  <c r="E64" i="12"/>
  <c r="F64" i="12" s="1"/>
  <c r="N52" i="63" s="1"/>
  <c r="F63" i="9"/>
  <c r="D32" i="9"/>
  <c r="F61" i="9"/>
  <c r="D30" i="9"/>
  <c r="F59" i="9"/>
  <c r="D28" i="9"/>
  <c r="F57" i="9"/>
  <c r="D26" i="9"/>
  <c r="F55" i="9"/>
  <c r="D24" i="9"/>
  <c r="F53" i="9"/>
  <c r="D22" i="9"/>
  <c r="F51" i="9"/>
  <c r="D20" i="9"/>
  <c r="F49" i="9"/>
  <c r="D18" i="9"/>
  <c r="F47" i="9"/>
  <c r="D16" i="9"/>
  <c r="F45" i="9"/>
  <c r="D14" i="9"/>
  <c r="F43" i="9"/>
  <c r="D12" i="9"/>
  <c r="F41" i="9"/>
  <c r="D10" i="9"/>
  <c r="F39" i="9"/>
  <c r="D8" i="9"/>
  <c r="F37" i="9"/>
  <c r="D6" i="9"/>
  <c r="F111" i="9"/>
  <c r="F113" i="9"/>
  <c r="F115" i="9"/>
  <c r="F116" i="9"/>
  <c r="F114" i="10"/>
  <c r="F112" i="10"/>
  <c r="F110" i="10"/>
  <c r="F62" i="10"/>
  <c r="D31" i="10"/>
  <c r="F60" i="10"/>
  <c r="D29" i="10"/>
  <c r="F58" i="10"/>
  <c r="D27" i="10"/>
  <c r="F56" i="10"/>
  <c r="D25" i="10"/>
  <c r="F54" i="10"/>
  <c r="D23" i="10"/>
  <c r="F52" i="10"/>
  <c r="D21" i="10"/>
  <c r="F50" i="10"/>
  <c r="D19" i="10"/>
  <c r="F48" i="10"/>
  <c r="D17" i="10"/>
  <c r="F46" i="10"/>
  <c r="D15" i="10"/>
  <c r="F44" i="10"/>
  <c r="D13" i="10"/>
  <c r="F42" i="10"/>
  <c r="D11" i="10"/>
  <c r="F40" i="10"/>
  <c r="D9" i="10"/>
  <c r="F38" i="10"/>
  <c r="D7" i="10"/>
  <c r="D64" i="10"/>
  <c r="D5" i="10"/>
  <c r="F62" i="11"/>
  <c r="D31" i="11"/>
  <c r="F60" i="11"/>
  <c r="D29" i="11"/>
  <c r="F58" i="11"/>
  <c r="D27" i="11"/>
  <c r="F56" i="11"/>
  <c r="D25" i="11"/>
  <c r="F54" i="11"/>
  <c r="D23" i="11"/>
  <c r="F52" i="11"/>
  <c r="D21" i="11"/>
  <c r="F50" i="11"/>
  <c r="D19" i="11"/>
  <c r="F48" i="11"/>
  <c r="D17" i="11"/>
  <c r="F46" i="11"/>
  <c r="D15" i="11"/>
  <c r="F44" i="11"/>
  <c r="D13" i="11"/>
  <c r="F42" i="11"/>
  <c r="D11" i="11"/>
  <c r="F40" i="11"/>
  <c r="D9" i="11"/>
  <c r="F38" i="11"/>
  <c r="D7" i="11"/>
  <c r="D64" i="11"/>
  <c r="D5" i="11"/>
  <c r="D93" i="12"/>
  <c r="F93" i="12" s="1"/>
  <c r="D31" i="12"/>
  <c r="D91" i="12"/>
  <c r="F91" i="12" s="1"/>
  <c r="D29" i="12"/>
  <c r="D89" i="12"/>
  <c r="F89" i="12" s="1"/>
  <c r="D27" i="12"/>
  <c r="D87" i="12"/>
  <c r="F87" i="12" s="1"/>
  <c r="D25" i="12"/>
  <c r="D85" i="12"/>
  <c r="F85" i="12" s="1"/>
  <c r="D23" i="12"/>
  <c r="D83" i="12"/>
  <c r="F83" i="12" s="1"/>
  <c r="D21" i="12"/>
  <c r="D81" i="12"/>
  <c r="F81" i="12" s="1"/>
  <c r="D19" i="12"/>
  <c r="D79" i="12"/>
  <c r="F79" i="12" s="1"/>
  <c r="D17" i="12"/>
  <c r="D77" i="12"/>
  <c r="F77" i="12" s="1"/>
  <c r="D15" i="12"/>
  <c r="D75" i="12"/>
  <c r="F75" i="12" s="1"/>
  <c r="D13" i="12"/>
  <c r="D73" i="12"/>
  <c r="F73" i="12" s="1"/>
  <c r="D11" i="12"/>
  <c r="D71" i="12"/>
  <c r="F71" i="12" s="1"/>
  <c r="D9" i="12"/>
  <c r="D69" i="12"/>
  <c r="F69" i="12" s="1"/>
  <c r="D7" i="12"/>
  <c r="D67" i="12"/>
  <c r="F67" i="12" s="1"/>
  <c r="D5" i="12"/>
  <c r="D74" i="13"/>
  <c r="F74" i="13" s="1"/>
  <c r="D12" i="13"/>
  <c r="D72" i="13"/>
  <c r="F72" i="13" s="1"/>
  <c r="D10" i="13"/>
  <c r="D70" i="13"/>
  <c r="F70" i="13" s="1"/>
  <c r="D8" i="13"/>
  <c r="D68" i="13"/>
  <c r="F68" i="13" s="1"/>
  <c r="D6" i="13"/>
  <c r="D91" i="14"/>
  <c r="F91" i="14" s="1"/>
  <c r="D29" i="14"/>
  <c r="D89" i="14"/>
  <c r="F89" i="14" s="1"/>
  <c r="D27" i="14"/>
  <c r="D87" i="14"/>
  <c r="F87" i="14" s="1"/>
  <c r="D25" i="14"/>
  <c r="D85" i="14"/>
  <c r="F85" i="14" s="1"/>
  <c r="D23" i="14"/>
  <c r="D83" i="14"/>
  <c r="F83" i="14" s="1"/>
  <c r="D21" i="14"/>
  <c r="D81" i="14"/>
  <c r="F81" i="14" s="1"/>
  <c r="D19" i="14"/>
  <c r="D79" i="14"/>
  <c r="F79" i="14" s="1"/>
  <c r="D17" i="14"/>
  <c r="D77" i="14"/>
  <c r="F77" i="14" s="1"/>
  <c r="D15" i="14"/>
  <c r="D75" i="14"/>
  <c r="F75" i="14" s="1"/>
  <c r="D13" i="14"/>
  <c r="D73" i="14"/>
  <c r="F73" i="14" s="1"/>
  <c r="D11" i="14"/>
  <c r="D71" i="14"/>
  <c r="F71" i="14" s="1"/>
  <c r="D9" i="14"/>
  <c r="D69" i="14"/>
  <c r="F69" i="14" s="1"/>
  <c r="D7" i="14"/>
  <c r="D33" i="14" s="1"/>
  <c r="B50" i="63" s="1"/>
  <c r="D64" i="14"/>
  <c r="F64" i="14" s="1"/>
  <c r="N50" i="63" s="1"/>
  <c r="D118" i="15"/>
  <c r="E105" i="15"/>
  <c r="E95" i="15"/>
  <c r="C109" i="15" s="1"/>
  <c r="E64" i="15"/>
  <c r="F64" i="15" s="1"/>
  <c r="N49" i="63" s="1"/>
  <c r="D118" i="21"/>
  <c r="E105" i="21"/>
  <c r="E95" i="21"/>
  <c r="C109" i="21" s="1"/>
  <c r="E64" i="21"/>
  <c r="F64" i="21" s="1"/>
  <c r="N43" i="63" s="1"/>
  <c r="D118" i="22"/>
  <c r="D93" i="22"/>
  <c r="F93" i="22" s="1"/>
  <c r="D31" i="22"/>
  <c r="D91" i="22"/>
  <c r="F91" i="22" s="1"/>
  <c r="D29" i="22"/>
  <c r="D89" i="22"/>
  <c r="F89" i="22" s="1"/>
  <c r="D27" i="22"/>
  <c r="D87" i="22"/>
  <c r="F87" i="22" s="1"/>
  <c r="D25" i="22"/>
  <c r="D85" i="22"/>
  <c r="F85" i="22" s="1"/>
  <c r="D23" i="22"/>
  <c r="D83" i="22"/>
  <c r="F83" i="22" s="1"/>
  <c r="D21" i="22"/>
  <c r="D81" i="22"/>
  <c r="F81" i="22" s="1"/>
  <c r="D19" i="22"/>
  <c r="D79" i="22"/>
  <c r="F79" i="22" s="1"/>
  <c r="D17" i="22"/>
  <c r="D77" i="22"/>
  <c r="F77" i="22" s="1"/>
  <c r="D15" i="22"/>
  <c r="D75" i="22"/>
  <c r="F75" i="22" s="1"/>
  <c r="D13" i="22"/>
  <c r="D73" i="22"/>
  <c r="F73" i="22" s="1"/>
  <c r="D11" i="22"/>
  <c r="D71" i="22"/>
  <c r="F71" i="22" s="1"/>
  <c r="D9" i="22"/>
  <c r="D69" i="22"/>
  <c r="F69" i="22" s="1"/>
  <c r="D7" i="22"/>
  <c r="D67" i="22"/>
  <c r="F67" i="22" s="1"/>
  <c r="D5" i="22"/>
  <c r="D76" i="13"/>
  <c r="F76" i="13" s="1"/>
  <c r="D14" i="13"/>
  <c r="D78" i="13"/>
  <c r="F78" i="13" s="1"/>
  <c r="D16" i="13"/>
  <c r="D80" i="13"/>
  <c r="F80" i="13" s="1"/>
  <c r="D18" i="13"/>
  <c r="D82" i="13"/>
  <c r="F82" i="13" s="1"/>
  <c r="D20" i="13"/>
  <c r="D84" i="13"/>
  <c r="F84" i="13" s="1"/>
  <c r="D22" i="13"/>
  <c r="D86" i="13"/>
  <c r="F86" i="13" s="1"/>
  <c r="D24" i="13"/>
  <c r="D88" i="13"/>
  <c r="F88" i="13" s="1"/>
  <c r="D26" i="13"/>
  <c r="D90" i="13"/>
  <c r="F90" i="13" s="1"/>
  <c r="D28" i="13"/>
  <c r="D92" i="13"/>
  <c r="F92" i="13" s="1"/>
  <c r="D30" i="13"/>
  <c r="D94" i="13"/>
  <c r="F94" i="13" s="1"/>
  <c r="D32" i="13"/>
  <c r="F110" i="13"/>
  <c r="F112" i="13"/>
  <c r="F114" i="13"/>
  <c r="D118" i="14"/>
  <c r="E105" i="14"/>
  <c r="E95" i="14"/>
  <c r="C109" i="14" s="1"/>
  <c r="F69" i="15"/>
  <c r="E95" i="17"/>
  <c r="C109" i="17" s="1"/>
  <c r="E64" i="17"/>
  <c r="F64" i="17" s="1"/>
  <c r="F41" i="17"/>
  <c r="D10" i="17"/>
  <c r="D12" i="17"/>
  <c r="F45" i="17"/>
  <c r="D14" i="17"/>
  <c r="F47" i="17"/>
  <c r="D16" i="17"/>
  <c r="F49" i="17"/>
  <c r="D18" i="17"/>
  <c r="F51" i="17"/>
  <c r="D20" i="17"/>
  <c r="F53" i="17"/>
  <c r="D22" i="17"/>
  <c r="F55" i="17"/>
  <c r="N47" i="63" s="1"/>
  <c r="D24" i="17"/>
  <c r="F57" i="17"/>
  <c r="D26" i="17"/>
  <c r="F59" i="17"/>
  <c r="D28" i="17"/>
  <c r="F61" i="17"/>
  <c r="D30" i="17"/>
  <c r="F63" i="17"/>
  <c r="D32" i="17"/>
  <c r="E118" i="17"/>
  <c r="F113" i="17"/>
  <c r="F116" i="17"/>
  <c r="F62" i="23"/>
  <c r="D31" i="23"/>
  <c r="F58" i="23"/>
  <c r="D27" i="23"/>
  <c r="F54" i="23"/>
  <c r="D23" i="23"/>
  <c r="F50" i="23"/>
  <c r="D19" i="23"/>
  <c r="F46" i="23"/>
  <c r="D15" i="23"/>
  <c r="F42" i="23"/>
  <c r="D11" i="23"/>
  <c r="F38" i="23"/>
  <c r="D7" i="23"/>
  <c r="E64" i="23"/>
  <c r="M41" i="63" s="1"/>
  <c r="E95" i="23"/>
  <c r="C109" i="23" s="1"/>
  <c r="E105" i="23"/>
  <c r="D71" i="24"/>
  <c r="F71" i="24" s="1"/>
  <c r="D9" i="24"/>
  <c r="D69" i="24"/>
  <c r="F69" i="24" s="1"/>
  <c r="D7" i="24"/>
  <c r="D67" i="24"/>
  <c r="F67" i="24" s="1"/>
  <c r="D5" i="24"/>
  <c r="D73" i="24"/>
  <c r="F73" i="24" s="1"/>
  <c r="D11" i="24"/>
  <c r="D75" i="24"/>
  <c r="F75" i="24" s="1"/>
  <c r="D13" i="24"/>
  <c r="D77" i="24"/>
  <c r="F77" i="24" s="1"/>
  <c r="D15" i="24"/>
  <c r="D79" i="24"/>
  <c r="F79" i="24" s="1"/>
  <c r="D17" i="24"/>
  <c r="D81" i="24"/>
  <c r="F81" i="24" s="1"/>
  <c r="D19" i="24"/>
  <c r="D83" i="24"/>
  <c r="F83" i="24" s="1"/>
  <c r="D21" i="24"/>
  <c r="D85" i="24"/>
  <c r="F85" i="24" s="1"/>
  <c r="D23" i="24"/>
  <c r="D87" i="24"/>
  <c r="F87" i="24" s="1"/>
  <c r="D25" i="24"/>
  <c r="D89" i="24"/>
  <c r="F89" i="24" s="1"/>
  <c r="D27" i="24"/>
  <c r="D91" i="24"/>
  <c r="F91" i="24" s="1"/>
  <c r="D29" i="24"/>
  <c r="D93" i="24"/>
  <c r="F93" i="24" s="1"/>
  <c r="D31" i="24"/>
  <c r="E105" i="33"/>
  <c r="E95" i="33"/>
  <c r="C109" i="33" s="1"/>
  <c r="E64" i="33"/>
  <c r="M31" i="63" s="1"/>
  <c r="D118" i="34"/>
  <c r="E105" i="34"/>
  <c r="E95" i="34"/>
  <c r="C109" i="34" s="1"/>
  <c r="E64" i="34"/>
  <c r="F64" i="34" s="1"/>
  <c r="N30" i="63" s="1"/>
  <c r="D118" i="35"/>
  <c r="E105" i="35"/>
  <c r="E95" i="35"/>
  <c r="C109" i="35" s="1"/>
  <c r="E64" i="35"/>
  <c r="F115" i="16"/>
  <c r="F64" i="16"/>
  <c r="F38" i="16"/>
  <c r="F42" i="16"/>
  <c r="F46" i="16"/>
  <c r="F50" i="16"/>
  <c r="F54" i="16"/>
  <c r="F58" i="16"/>
  <c r="F62" i="16"/>
  <c r="F110" i="16"/>
  <c r="F114" i="16"/>
  <c r="E95" i="19"/>
  <c r="C109" i="19" s="1"/>
  <c r="E64" i="19"/>
  <c r="F64" i="19" s="1"/>
  <c r="F37" i="19"/>
  <c r="F39" i="19"/>
  <c r="F41" i="19"/>
  <c r="D10" i="19"/>
  <c r="F43" i="19"/>
  <c r="D12" i="19"/>
  <c r="F45" i="19"/>
  <c r="D14" i="19"/>
  <c r="F47" i="19"/>
  <c r="D16" i="19"/>
  <c r="F49" i="19"/>
  <c r="D18" i="19"/>
  <c r="F51" i="19"/>
  <c r="D20" i="19"/>
  <c r="F53" i="19"/>
  <c r="D22" i="19"/>
  <c r="F55" i="19"/>
  <c r="D24" i="19"/>
  <c r="F57" i="19"/>
  <c r="D26" i="19"/>
  <c r="F59" i="19"/>
  <c r="D28" i="19"/>
  <c r="F61" i="19"/>
  <c r="D30" i="19"/>
  <c r="F63" i="19"/>
  <c r="D32" i="19"/>
  <c r="F110" i="19"/>
  <c r="F112" i="19"/>
  <c r="F114" i="19"/>
  <c r="E105" i="25"/>
  <c r="E105" i="26"/>
  <c r="E105" i="27"/>
  <c r="E105" i="28"/>
  <c r="E105" i="29"/>
  <c r="E105" i="30"/>
  <c r="D64" i="30"/>
  <c r="F64" i="30" s="1"/>
  <c r="F40" i="30"/>
  <c r="D9" i="30"/>
  <c r="D71" i="30"/>
  <c r="F71" i="30" s="1"/>
  <c r="F42" i="30"/>
  <c r="D73" i="30"/>
  <c r="F73" i="30" s="1"/>
  <c r="D11" i="30"/>
  <c r="F44" i="30"/>
  <c r="D13" i="30"/>
  <c r="D75" i="30"/>
  <c r="F75" i="30" s="1"/>
  <c r="F46" i="30"/>
  <c r="D77" i="30"/>
  <c r="F77" i="30" s="1"/>
  <c r="D15" i="30"/>
  <c r="F48" i="30"/>
  <c r="D17" i="30"/>
  <c r="D79" i="30"/>
  <c r="F79" i="30" s="1"/>
  <c r="F50" i="30"/>
  <c r="D81" i="30"/>
  <c r="F81" i="30" s="1"/>
  <c r="D19" i="30"/>
  <c r="F52" i="30"/>
  <c r="D21" i="30"/>
  <c r="D83" i="30"/>
  <c r="F83" i="30" s="1"/>
  <c r="F54" i="30"/>
  <c r="D85" i="30"/>
  <c r="F85" i="30" s="1"/>
  <c r="D23" i="30"/>
  <c r="F56" i="30"/>
  <c r="D25" i="30"/>
  <c r="D87" i="30"/>
  <c r="F87" i="30" s="1"/>
  <c r="F58" i="30"/>
  <c r="D89" i="30"/>
  <c r="F89" i="30" s="1"/>
  <c r="D27" i="30"/>
  <c r="F60" i="30"/>
  <c r="D29" i="30"/>
  <c r="D91" i="30"/>
  <c r="F91" i="30" s="1"/>
  <c r="F62" i="30"/>
  <c r="D93" i="30"/>
  <c r="F93" i="30" s="1"/>
  <c r="D31" i="30"/>
  <c r="E64" i="31"/>
  <c r="M33" i="63" s="1"/>
  <c r="F72" i="31"/>
  <c r="F80" i="31"/>
  <c r="F88" i="31"/>
  <c r="E118" i="31"/>
  <c r="F111" i="31"/>
  <c r="F115" i="31"/>
  <c r="F75" i="32"/>
  <c r="F83" i="32"/>
  <c r="F91" i="32"/>
  <c r="F115" i="36"/>
  <c r="F111" i="36"/>
  <c r="F75" i="36"/>
  <c r="F83" i="36"/>
  <c r="F91" i="36"/>
  <c r="F112" i="36"/>
  <c r="E95" i="38"/>
  <c r="C109" i="38" s="1"/>
  <c r="E64" i="38"/>
  <c r="F64" i="38" s="1"/>
  <c r="F115" i="46"/>
  <c r="E118" i="46"/>
  <c r="D94" i="46"/>
  <c r="F94" i="46" s="1"/>
  <c r="D32" i="46"/>
  <c r="D92" i="46"/>
  <c r="F92" i="46" s="1"/>
  <c r="D30" i="46"/>
  <c r="D90" i="46"/>
  <c r="F90" i="46" s="1"/>
  <c r="D28" i="46"/>
  <c r="D88" i="46"/>
  <c r="F88" i="46" s="1"/>
  <c r="D26" i="46"/>
  <c r="D86" i="46"/>
  <c r="F86" i="46" s="1"/>
  <c r="D24" i="46"/>
  <c r="D84" i="46"/>
  <c r="F84" i="46" s="1"/>
  <c r="D22" i="46"/>
  <c r="D82" i="46"/>
  <c r="F82" i="46" s="1"/>
  <c r="D20" i="46"/>
  <c r="D80" i="46"/>
  <c r="F80" i="46" s="1"/>
  <c r="D18" i="46"/>
  <c r="D78" i="46"/>
  <c r="F78" i="46" s="1"/>
  <c r="D16" i="46"/>
  <c r="D76" i="46"/>
  <c r="F76" i="46" s="1"/>
  <c r="D14" i="46"/>
  <c r="D74" i="46"/>
  <c r="F74" i="46" s="1"/>
  <c r="D12" i="46"/>
  <c r="D72" i="46"/>
  <c r="F72" i="46" s="1"/>
  <c r="D10" i="46"/>
  <c r="D70" i="46"/>
  <c r="F70" i="46" s="1"/>
  <c r="D8" i="46"/>
  <c r="D68" i="46"/>
  <c r="F68" i="46" s="1"/>
  <c r="D6" i="46"/>
  <c r="D33" i="46" s="1"/>
  <c r="B18" i="63" s="1"/>
  <c r="F62" i="48"/>
  <c r="D31" i="48"/>
  <c r="F60" i="48"/>
  <c r="D29" i="48"/>
  <c r="F58" i="48"/>
  <c r="D27" i="48"/>
  <c r="F56" i="48"/>
  <c r="D25" i="48"/>
  <c r="F54" i="48"/>
  <c r="D23" i="48"/>
  <c r="F52" i="48"/>
  <c r="D21" i="48"/>
  <c r="F50" i="48"/>
  <c r="D19" i="48"/>
  <c r="F48" i="48"/>
  <c r="D17" i="48"/>
  <c r="F46" i="48"/>
  <c r="D15" i="48"/>
  <c r="F44" i="48"/>
  <c r="D13" i="48"/>
  <c r="F42" i="48"/>
  <c r="D11" i="48"/>
  <c r="D33" i="48" s="1"/>
  <c r="B16" i="63" s="1"/>
  <c r="D64" i="48"/>
  <c r="F64" i="48" s="1"/>
  <c r="N16" i="63" s="1"/>
  <c r="F115" i="50"/>
  <c r="E118" i="50"/>
  <c r="D94" i="50"/>
  <c r="F94" i="50" s="1"/>
  <c r="D32" i="50"/>
  <c r="D92" i="50"/>
  <c r="F92" i="50" s="1"/>
  <c r="D30" i="50"/>
  <c r="D90" i="50"/>
  <c r="F90" i="50" s="1"/>
  <c r="D28" i="50"/>
  <c r="D88" i="50"/>
  <c r="F88" i="50" s="1"/>
  <c r="D26" i="50"/>
  <c r="D86" i="50"/>
  <c r="F86" i="50" s="1"/>
  <c r="D24" i="50"/>
  <c r="D84" i="50"/>
  <c r="F84" i="50" s="1"/>
  <c r="D22" i="50"/>
  <c r="D82" i="50"/>
  <c r="F82" i="50" s="1"/>
  <c r="D20" i="50"/>
  <c r="D80" i="50"/>
  <c r="F80" i="50" s="1"/>
  <c r="D18" i="50"/>
  <c r="D78" i="50"/>
  <c r="F78" i="50" s="1"/>
  <c r="D16" i="50"/>
  <c r="D76" i="50"/>
  <c r="F76" i="50" s="1"/>
  <c r="D14" i="50"/>
  <c r="D74" i="50"/>
  <c r="F74" i="50" s="1"/>
  <c r="D12" i="50"/>
  <c r="D72" i="50"/>
  <c r="F72" i="50" s="1"/>
  <c r="D10" i="50"/>
  <c r="D70" i="50"/>
  <c r="F70" i="50" s="1"/>
  <c r="D8" i="50"/>
  <c r="D68" i="50"/>
  <c r="F68" i="50" s="1"/>
  <c r="D6" i="50"/>
  <c r="D93" i="55"/>
  <c r="F93" i="55" s="1"/>
  <c r="D31" i="55"/>
  <c r="D91" i="55"/>
  <c r="F91" i="55" s="1"/>
  <c r="D29" i="55"/>
  <c r="D89" i="55"/>
  <c r="F89" i="55" s="1"/>
  <c r="D27" i="55"/>
  <c r="D87" i="55"/>
  <c r="F87" i="55" s="1"/>
  <c r="D25" i="55"/>
  <c r="D85" i="55"/>
  <c r="F85" i="55" s="1"/>
  <c r="D23" i="55"/>
  <c r="D83" i="55"/>
  <c r="F83" i="55" s="1"/>
  <c r="D21" i="55"/>
  <c r="D81" i="55"/>
  <c r="F81" i="55" s="1"/>
  <c r="D19" i="55"/>
  <c r="D79" i="55"/>
  <c r="F79" i="55" s="1"/>
  <c r="D17" i="55"/>
  <c r="D77" i="55"/>
  <c r="F77" i="55" s="1"/>
  <c r="D15" i="55"/>
  <c r="D75" i="55"/>
  <c r="F75" i="55" s="1"/>
  <c r="D13" i="55"/>
  <c r="D73" i="55"/>
  <c r="F73" i="55" s="1"/>
  <c r="D11" i="55"/>
  <c r="D71" i="55"/>
  <c r="F71" i="55" s="1"/>
  <c r="D9" i="55"/>
  <c r="D69" i="55"/>
  <c r="F69" i="55" s="1"/>
  <c r="D7" i="55"/>
  <c r="D67" i="55"/>
  <c r="F67" i="55" s="1"/>
  <c r="D5" i="55"/>
  <c r="F115" i="57"/>
  <c r="E118" i="57"/>
  <c r="E105" i="57"/>
  <c r="E64" i="57"/>
  <c r="F64" i="57" s="1"/>
  <c r="F37" i="38"/>
  <c r="D6" i="38"/>
  <c r="F39" i="38"/>
  <c r="D8" i="38"/>
  <c r="F41" i="38"/>
  <c r="D10" i="38"/>
  <c r="F43" i="38"/>
  <c r="D12" i="38"/>
  <c r="F45" i="38"/>
  <c r="D14" i="38"/>
  <c r="F47" i="38"/>
  <c r="D16" i="38"/>
  <c r="F49" i="38"/>
  <c r="D18" i="38"/>
  <c r="F51" i="38"/>
  <c r="D20" i="38"/>
  <c r="F53" i="38"/>
  <c r="D22" i="38"/>
  <c r="F55" i="38"/>
  <c r="D24" i="38"/>
  <c r="F57" i="38"/>
  <c r="D26" i="38"/>
  <c r="F59" i="38"/>
  <c r="D28" i="38"/>
  <c r="F61" i="38"/>
  <c r="D30" i="38"/>
  <c r="F63" i="38"/>
  <c r="D32" i="38"/>
  <c r="E118" i="38"/>
  <c r="F113" i="38"/>
  <c r="F115" i="38"/>
  <c r="F116" i="38"/>
  <c r="E118" i="22"/>
  <c r="E118" i="25"/>
  <c r="E95" i="25"/>
  <c r="C109" i="25" s="1"/>
  <c r="E64" i="25"/>
  <c r="F64" i="25" s="1"/>
  <c r="F37" i="25"/>
  <c r="D68" i="25"/>
  <c r="F68" i="25" s="1"/>
  <c r="D6" i="25"/>
  <c r="F39" i="25"/>
  <c r="D8" i="25"/>
  <c r="D70" i="25"/>
  <c r="F70" i="25" s="1"/>
  <c r="F41" i="25"/>
  <c r="D72" i="25"/>
  <c r="F72" i="25" s="1"/>
  <c r="D10" i="25"/>
  <c r="F43" i="25"/>
  <c r="D74" i="25"/>
  <c r="F74" i="25" s="1"/>
  <c r="D12" i="25"/>
  <c r="F45" i="25"/>
  <c r="D76" i="25"/>
  <c r="F76" i="25" s="1"/>
  <c r="D14" i="25"/>
  <c r="F47" i="25"/>
  <c r="D16" i="25"/>
  <c r="D78" i="25"/>
  <c r="F78" i="25" s="1"/>
  <c r="F49" i="25"/>
  <c r="D80" i="25"/>
  <c r="F80" i="25" s="1"/>
  <c r="D18" i="25"/>
  <c r="F51" i="25"/>
  <c r="D82" i="25"/>
  <c r="F82" i="25" s="1"/>
  <c r="D20" i="25"/>
  <c r="F53" i="25"/>
  <c r="D84" i="25"/>
  <c r="F84" i="25" s="1"/>
  <c r="D22" i="25"/>
  <c r="F55" i="25"/>
  <c r="D24" i="25"/>
  <c r="D86" i="25"/>
  <c r="F86" i="25" s="1"/>
  <c r="F57" i="25"/>
  <c r="D88" i="25"/>
  <c r="F88" i="25" s="1"/>
  <c r="D26" i="25"/>
  <c r="F59" i="25"/>
  <c r="D90" i="25"/>
  <c r="F90" i="25" s="1"/>
  <c r="D28" i="25"/>
  <c r="F61" i="25"/>
  <c r="D92" i="25"/>
  <c r="F92" i="25" s="1"/>
  <c r="D30" i="25"/>
  <c r="F63" i="25"/>
  <c r="D32" i="25"/>
  <c r="D94" i="25"/>
  <c r="F94" i="25" s="1"/>
  <c r="D67" i="26"/>
  <c r="F67" i="26" s="1"/>
  <c r="D5" i="26"/>
  <c r="D69" i="26"/>
  <c r="F69" i="26" s="1"/>
  <c r="D7" i="26"/>
  <c r="D71" i="26"/>
  <c r="F71" i="26" s="1"/>
  <c r="D9" i="26"/>
  <c r="D73" i="26"/>
  <c r="F73" i="26" s="1"/>
  <c r="D11" i="26"/>
  <c r="D75" i="26"/>
  <c r="F75" i="26" s="1"/>
  <c r="D13" i="26"/>
  <c r="D77" i="26"/>
  <c r="F77" i="26" s="1"/>
  <c r="D15" i="26"/>
  <c r="D79" i="26"/>
  <c r="F79" i="26" s="1"/>
  <c r="D17" i="26"/>
  <c r="D81" i="26"/>
  <c r="F81" i="26" s="1"/>
  <c r="D19" i="26"/>
  <c r="D83" i="26"/>
  <c r="F83" i="26" s="1"/>
  <c r="D21" i="26"/>
  <c r="D85" i="26"/>
  <c r="F85" i="26" s="1"/>
  <c r="D23" i="26"/>
  <c r="D87" i="26"/>
  <c r="F87" i="26" s="1"/>
  <c r="D25" i="26"/>
  <c r="D89" i="26"/>
  <c r="F89" i="26" s="1"/>
  <c r="D27" i="26"/>
  <c r="D91" i="26"/>
  <c r="F91" i="26" s="1"/>
  <c r="D29" i="26"/>
  <c r="D93" i="26"/>
  <c r="F93" i="26" s="1"/>
  <c r="D31" i="26"/>
  <c r="D68" i="27"/>
  <c r="F68" i="27" s="1"/>
  <c r="D6" i="27"/>
  <c r="D70" i="27"/>
  <c r="F70" i="27" s="1"/>
  <c r="D8" i="27"/>
  <c r="D72" i="27"/>
  <c r="F72" i="27" s="1"/>
  <c r="D10" i="27"/>
  <c r="D74" i="27"/>
  <c r="F74" i="27" s="1"/>
  <c r="D12" i="27"/>
  <c r="D76" i="27"/>
  <c r="F76" i="27" s="1"/>
  <c r="D14" i="27"/>
  <c r="D78" i="27"/>
  <c r="F78" i="27" s="1"/>
  <c r="D16" i="27"/>
  <c r="D80" i="27"/>
  <c r="F80" i="27" s="1"/>
  <c r="D18" i="27"/>
  <c r="D82" i="27"/>
  <c r="F82" i="27" s="1"/>
  <c r="D20" i="27"/>
  <c r="D84" i="27"/>
  <c r="F84" i="27" s="1"/>
  <c r="D22" i="27"/>
  <c r="D86" i="27"/>
  <c r="F86" i="27" s="1"/>
  <c r="D24" i="27"/>
  <c r="D88" i="27"/>
  <c r="F88" i="27" s="1"/>
  <c r="D26" i="27"/>
  <c r="D90" i="27"/>
  <c r="F90" i="27" s="1"/>
  <c r="D28" i="27"/>
  <c r="D92" i="27"/>
  <c r="F92" i="27" s="1"/>
  <c r="D30" i="27"/>
  <c r="D94" i="27"/>
  <c r="F94" i="27" s="1"/>
  <c r="D32" i="27"/>
  <c r="E118" i="27"/>
  <c r="F111" i="27"/>
  <c r="F113" i="27"/>
  <c r="F115" i="27"/>
  <c r="F116" i="27"/>
  <c r="D64" i="28"/>
  <c r="F64" i="28" s="1"/>
  <c r="N36" i="63" s="1"/>
  <c r="D5" i="28"/>
  <c r="D67" i="28"/>
  <c r="F67" i="28" s="1"/>
  <c r="F38" i="28"/>
  <c r="D69" i="28"/>
  <c r="F69" i="28" s="1"/>
  <c r="D7" i="28"/>
  <c r="F40" i="28"/>
  <c r="D9" i="28"/>
  <c r="D71" i="28"/>
  <c r="F71" i="28" s="1"/>
  <c r="F42" i="28"/>
  <c r="D73" i="28"/>
  <c r="F73" i="28" s="1"/>
  <c r="D11" i="28"/>
  <c r="F44" i="28"/>
  <c r="D13" i="28"/>
  <c r="D75" i="28"/>
  <c r="F75" i="28" s="1"/>
  <c r="F46" i="28"/>
  <c r="D77" i="28"/>
  <c r="F77" i="28" s="1"/>
  <c r="D15" i="28"/>
  <c r="F48" i="28"/>
  <c r="D17" i="28"/>
  <c r="D79" i="28"/>
  <c r="F79" i="28" s="1"/>
  <c r="F50" i="28"/>
  <c r="D81" i="28"/>
  <c r="F81" i="28" s="1"/>
  <c r="D19" i="28"/>
  <c r="F52" i="28"/>
  <c r="D21" i="28"/>
  <c r="D83" i="28"/>
  <c r="F83" i="28" s="1"/>
  <c r="F54" i="28"/>
  <c r="D85" i="28"/>
  <c r="F85" i="28" s="1"/>
  <c r="D23" i="28"/>
  <c r="F56" i="28"/>
  <c r="D25" i="28"/>
  <c r="D87" i="28"/>
  <c r="F87" i="28" s="1"/>
  <c r="F58" i="28"/>
  <c r="D89" i="28"/>
  <c r="F89" i="28" s="1"/>
  <c r="D27" i="28"/>
  <c r="F60" i="28"/>
  <c r="D29" i="28"/>
  <c r="D91" i="28"/>
  <c r="F91" i="28" s="1"/>
  <c r="F62" i="28"/>
  <c r="D93" i="28"/>
  <c r="F93" i="28" s="1"/>
  <c r="D31" i="28"/>
  <c r="E95" i="28"/>
  <c r="C109" i="28" s="1"/>
  <c r="E95" i="29"/>
  <c r="C109" i="29" s="1"/>
  <c r="E64" i="29"/>
  <c r="F64" i="29" s="1"/>
  <c r="F37" i="29"/>
  <c r="D68" i="29"/>
  <c r="F68" i="29" s="1"/>
  <c r="D6" i="29"/>
  <c r="F39" i="29"/>
  <c r="D8" i="29"/>
  <c r="D70" i="29"/>
  <c r="F70" i="29" s="1"/>
  <c r="F41" i="29"/>
  <c r="D72" i="29"/>
  <c r="F72" i="29" s="1"/>
  <c r="D10" i="29"/>
  <c r="F43" i="29"/>
  <c r="D74" i="29"/>
  <c r="F74" i="29" s="1"/>
  <c r="D12" i="29"/>
  <c r="F45" i="29"/>
  <c r="D76" i="29"/>
  <c r="F76" i="29" s="1"/>
  <c r="D14" i="29"/>
  <c r="F47" i="29"/>
  <c r="D16" i="29"/>
  <c r="D78" i="29"/>
  <c r="F78" i="29" s="1"/>
  <c r="F49" i="29"/>
  <c r="D80" i="29"/>
  <c r="F80" i="29" s="1"/>
  <c r="D18" i="29"/>
  <c r="F51" i="29"/>
  <c r="D82" i="29"/>
  <c r="F82" i="29" s="1"/>
  <c r="D20" i="29"/>
  <c r="F53" i="29"/>
  <c r="D84" i="29"/>
  <c r="F84" i="29" s="1"/>
  <c r="D22" i="29"/>
  <c r="F55" i="29"/>
  <c r="D24" i="29"/>
  <c r="D86" i="29"/>
  <c r="F86" i="29" s="1"/>
  <c r="F57" i="29"/>
  <c r="D88" i="29"/>
  <c r="F88" i="29" s="1"/>
  <c r="D26" i="29"/>
  <c r="F59" i="29"/>
  <c r="D90" i="29"/>
  <c r="F90" i="29" s="1"/>
  <c r="D28" i="29"/>
  <c r="F61" i="29"/>
  <c r="D92" i="29"/>
  <c r="F92" i="29" s="1"/>
  <c r="D30" i="29"/>
  <c r="F63" i="29"/>
  <c r="D32" i="29"/>
  <c r="D94" i="29"/>
  <c r="F94" i="29" s="1"/>
  <c r="E118" i="29"/>
  <c r="F111" i="29"/>
  <c r="F113" i="29"/>
  <c r="F115" i="29"/>
  <c r="F116" i="29"/>
  <c r="E105" i="36"/>
  <c r="E95" i="37"/>
  <c r="C109" i="37" s="1"/>
  <c r="E64" i="37"/>
  <c r="M27" i="63" s="1"/>
  <c r="D88" i="37"/>
  <c r="F88" i="37" s="1"/>
  <c r="D26" i="37"/>
  <c r="D90" i="37"/>
  <c r="F90" i="37" s="1"/>
  <c r="D28" i="37"/>
  <c r="D92" i="37"/>
  <c r="F92" i="37" s="1"/>
  <c r="D30" i="37"/>
  <c r="D94" i="37"/>
  <c r="F94" i="37" s="1"/>
  <c r="D32" i="37"/>
  <c r="E118" i="37"/>
  <c r="F111" i="37"/>
  <c r="F113" i="37"/>
  <c r="F115" i="37"/>
  <c r="F116" i="37"/>
  <c r="E118" i="35"/>
  <c r="E105" i="39"/>
  <c r="D118" i="39"/>
  <c r="D84" i="39"/>
  <c r="F84" i="39" s="1"/>
  <c r="D22" i="39"/>
  <c r="D86" i="39"/>
  <c r="F86" i="39" s="1"/>
  <c r="D24" i="39"/>
  <c r="D88" i="39"/>
  <c r="F88" i="39" s="1"/>
  <c r="D26" i="39"/>
  <c r="D90" i="39"/>
  <c r="F90" i="39" s="1"/>
  <c r="D28" i="39"/>
  <c r="D92" i="39"/>
  <c r="F92" i="39" s="1"/>
  <c r="D30" i="39"/>
  <c r="D94" i="39"/>
  <c r="F94" i="39" s="1"/>
  <c r="D32" i="39"/>
  <c r="E118" i="39"/>
  <c r="F111" i="39"/>
  <c r="F113" i="39"/>
  <c r="F115" i="39"/>
  <c r="F116" i="39"/>
  <c r="E105" i="41"/>
  <c r="D64" i="41"/>
  <c r="F64" i="41" s="1"/>
  <c r="D5" i="41"/>
  <c r="F38" i="41"/>
  <c r="D7" i="41"/>
  <c r="F40" i="41"/>
  <c r="D9" i="41"/>
  <c r="F42" i="41"/>
  <c r="D11" i="41"/>
  <c r="F44" i="41"/>
  <c r="D13" i="41"/>
  <c r="F46" i="41"/>
  <c r="D15" i="41"/>
  <c r="F48" i="41"/>
  <c r="D17" i="41"/>
  <c r="F50" i="41"/>
  <c r="D19" i="41"/>
  <c r="F52" i="41"/>
  <c r="D21" i="41"/>
  <c r="F54" i="41"/>
  <c r="D23" i="41"/>
  <c r="F56" i="41"/>
  <c r="D25" i="41"/>
  <c r="F58" i="41"/>
  <c r="D27" i="41"/>
  <c r="F60" i="41"/>
  <c r="D29" i="41"/>
  <c r="F62" i="41"/>
  <c r="D31" i="41"/>
  <c r="E64" i="52"/>
  <c r="F64" i="52" s="1"/>
  <c r="N12" i="63" s="1"/>
  <c r="D68" i="52"/>
  <c r="F68" i="52" s="1"/>
  <c r="D6" i="52"/>
  <c r="D70" i="52"/>
  <c r="F70" i="52" s="1"/>
  <c r="D8" i="52"/>
  <c r="D72" i="52"/>
  <c r="F72" i="52" s="1"/>
  <c r="D10" i="52"/>
  <c r="D74" i="52"/>
  <c r="F74" i="52" s="1"/>
  <c r="D12" i="52"/>
  <c r="D76" i="52"/>
  <c r="F76" i="52" s="1"/>
  <c r="D14" i="52"/>
  <c r="D78" i="52"/>
  <c r="F78" i="52" s="1"/>
  <c r="D16" i="52"/>
  <c r="D80" i="52"/>
  <c r="F80" i="52" s="1"/>
  <c r="D18" i="52"/>
  <c r="D82" i="52"/>
  <c r="F82" i="52" s="1"/>
  <c r="D20" i="52"/>
  <c r="D84" i="52"/>
  <c r="F84" i="52" s="1"/>
  <c r="D22" i="52"/>
  <c r="D86" i="52"/>
  <c r="F86" i="52" s="1"/>
  <c r="D24" i="52"/>
  <c r="D88" i="52"/>
  <c r="F88" i="52" s="1"/>
  <c r="D26" i="52"/>
  <c r="D90" i="52"/>
  <c r="F90" i="52" s="1"/>
  <c r="D28" i="52"/>
  <c r="D92" i="52"/>
  <c r="F92" i="52" s="1"/>
  <c r="D30" i="52"/>
  <c r="D94" i="52"/>
  <c r="F94" i="52" s="1"/>
  <c r="D32" i="52"/>
  <c r="F110" i="52"/>
  <c r="F114" i="52"/>
  <c r="E105" i="54"/>
  <c r="D64" i="54"/>
  <c r="F64" i="54" s="1"/>
  <c r="F38" i="54"/>
  <c r="F40" i="54"/>
  <c r="D9" i="54"/>
  <c r="F42" i="54"/>
  <c r="D11" i="54"/>
  <c r="F44" i="54"/>
  <c r="D13" i="54"/>
  <c r="F46" i="54"/>
  <c r="D15" i="54"/>
  <c r="F48" i="54"/>
  <c r="D17" i="54"/>
  <c r="F50" i="54"/>
  <c r="D19" i="54"/>
  <c r="F52" i="54"/>
  <c r="D21" i="54"/>
  <c r="F54" i="54"/>
  <c r="D23" i="54"/>
  <c r="F56" i="54"/>
  <c r="D25" i="54"/>
  <c r="F58" i="54"/>
  <c r="D27" i="54"/>
  <c r="F60" i="54"/>
  <c r="D29" i="54"/>
  <c r="F62" i="54"/>
  <c r="D31" i="54"/>
  <c r="F60" i="56"/>
  <c r="D29" i="56"/>
  <c r="F50" i="56"/>
  <c r="D19" i="56"/>
  <c r="F40" i="56"/>
  <c r="D9" i="56"/>
  <c r="E64" i="56"/>
  <c r="M8" i="63" s="1"/>
  <c r="E95" i="56"/>
  <c r="C109" i="56" s="1"/>
  <c r="E105" i="56"/>
  <c r="F63" i="40"/>
  <c r="D32" i="40"/>
  <c r="F59" i="40"/>
  <c r="D28" i="40"/>
  <c r="F55" i="40"/>
  <c r="D24" i="40"/>
  <c r="F51" i="40"/>
  <c r="D20" i="40"/>
  <c r="F47" i="40"/>
  <c r="D16" i="40"/>
  <c r="F43" i="40"/>
  <c r="D12" i="40"/>
  <c r="F39" i="40"/>
  <c r="D8" i="40"/>
  <c r="D33" i="40" s="1"/>
  <c r="B24" i="63" s="1"/>
  <c r="E64" i="40"/>
  <c r="F64" i="40" s="1"/>
  <c r="N24" i="63" s="1"/>
  <c r="E95" i="40"/>
  <c r="C109" i="40" s="1"/>
  <c r="E105" i="40"/>
  <c r="F114" i="41"/>
  <c r="F110" i="41"/>
  <c r="E105" i="42"/>
  <c r="F71" i="42"/>
  <c r="F75" i="42"/>
  <c r="D79" i="42"/>
  <c r="F79" i="42" s="1"/>
  <c r="D17" i="42"/>
  <c r="D81" i="42"/>
  <c r="F81" i="42" s="1"/>
  <c r="D19" i="42"/>
  <c r="D83" i="42"/>
  <c r="F83" i="42" s="1"/>
  <c r="D21" i="42"/>
  <c r="D85" i="42"/>
  <c r="F85" i="42" s="1"/>
  <c r="D23" i="42"/>
  <c r="D87" i="42"/>
  <c r="F87" i="42" s="1"/>
  <c r="D25" i="42"/>
  <c r="D89" i="42"/>
  <c r="F89" i="42" s="1"/>
  <c r="D27" i="42"/>
  <c r="D91" i="42"/>
  <c r="F91" i="42" s="1"/>
  <c r="D29" i="42"/>
  <c r="D93" i="42"/>
  <c r="F93" i="42" s="1"/>
  <c r="D31" i="42"/>
  <c r="F60" i="43"/>
  <c r="D29" i="43"/>
  <c r="F56" i="43"/>
  <c r="D25" i="43"/>
  <c r="F52" i="43"/>
  <c r="D21" i="43"/>
  <c r="F48" i="43"/>
  <c r="D17" i="43"/>
  <c r="F44" i="43"/>
  <c r="D13" i="43"/>
  <c r="F40" i="43"/>
  <c r="D9" i="43"/>
  <c r="D64" i="43"/>
  <c r="F64" i="43" s="1"/>
  <c r="N21" i="63" s="1"/>
  <c r="D5" i="43"/>
  <c r="E118" i="43"/>
  <c r="F111" i="43"/>
  <c r="F115" i="43"/>
  <c r="F116" i="43"/>
  <c r="D64" i="44"/>
  <c r="F64" i="44" s="1"/>
  <c r="N20" i="63" s="1"/>
  <c r="F44" i="44"/>
  <c r="D13" i="44"/>
  <c r="F46" i="44"/>
  <c r="D15" i="44"/>
  <c r="F48" i="44"/>
  <c r="D17" i="44"/>
  <c r="D81" i="44"/>
  <c r="F81" i="44" s="1"/>
  <c r="D19" i="44"/>
  <c r="D83" i="44"/>
  <c r="F83" i="44" s="1"/>
  <c r="D21" i="44"/>
  <c r="D85" i="44"/>
  <c r="F85" i="44" s="1"/>
  <c r="D23" i="44"/>
  <c r="D87" i="44"/>
  <c r="F87" i="44" s="1"/>
  <c r="D25" i="44"/>
  <c r="D89" i="44"/>
  <c r="F89" i="44" s="1"/>
  <c r="D27" i="44"/>
  <c r="D91" i="44"/>
  <c r="F91" i="44" s="1"/>
  <c r="D29" i="44"/>
  <c r="D93" i="44"/>
  <c r="F93" i="44" s="1"/>
  <c r="D31" i="44"/>
  <c r="F37" i="45"/>
  <c r="F39" i="45"/>
  <c r="F41" i="45"/>
  <c r="F43" i="45"/>
  <c r="F45" i="45"/>
  <c r="D14" i="45"/>
  <c r="F47" i="45"/>
  <c r="D16" i="45"/>
  <c r="F49" i="45"/>
  <c r="D18" i="45"/>
  <c r="F51" i="45"/>
  <c r="D20" i="45"/>
  <c r="F53" i="45"/>
  <c r="D22" i="45"/>
  <c r="F55" i="45"/>
  <c r="D24" i="45"/>
  <c r="F57" i="45"/>
  <c r="D26" i="45"/>
  <c r="F59" i="45"/>
  <c r="D28" i="45"/>
  <c r="F61" i="45"/>
  <c r="D30" i="45"/>
  <c r="F63" i="45"/>
  <c r="D32" i="45"/>
  <c r="E118" i="45"/>
  <c r="F111" i="45"/>
  <c r="F115" i="45"/>
  <c r="F61" i="47"/>
  <c r="D30" i="47"/>
  <c r="F57" i="47"/>
  <c r="D26" i="47"/>
  <c r="F53" i="47"/>
  <c r="D22" i="47"/>
  <c r="F49" i="47"/>
  <c r="D18" i="47"/>
  <c r="F45" i="47"/>
  <c r="D14" i="47"/>
  <c r="D33" i="47" s="1"/>
  <c r="B17" i="63" s="1"/>
  <c r="F112" i="47"/>
  <c r="E118" i="49"/>
  <c r="F63" i="49"/>
  <c r="D32" i="49"/>
  <c r="F59" i="49"/>
  <c r="D28" i="49"/>
  <c r="F55" i="49"/>
  <c r="D24" i="49"/>
  <c r="F51" i="49"/>
  <c r="D20" i="49"/>
  <c r="F47" i="49"/>
  <c r="D16" i="49"/>
  <c r="F43" i="49"/>
  <c r="D12" i="49"/>
  <c r="D33" i="49" s="1"/>
  <c r="B15" i="63" s="1"/>
  <c r="F39" i="49"/>
  <c r="E64" i="49"/>
  <c r="F64" i="49" s="1"/>
  <c r="E95" i="49"/>
  <c r="C109" i="49" s="1"/>
  <c r="E105" i="49"/>
  <c r="E118" i="52"/>
  <c r="E95" i="53"/>
  <c r="C109" i="53" s="1"/>
  <c r="E64" i="53"/>
  <c r="F64" i="53" s="1"/>
  <c r="F41" i="53"/>
  <c r="D10" i="53"/>
  <c r="F43" i="53"/>
  <c r="D12" i="53"/>
  <c r="F45" i="53"/>
  <c r="D14" i="53"/>
  <c r="F47" i="53"/>
  <c r="D16" i="53"/>
  <c r="F49" i="53"/>
  <c r="D18" i="53"/>
  <c r="F51" i="53"/>
  <c r="D20" i="53"/>
  <c r="F53" i="53"/>
  <c r="D22" i="53"/>
  <c r="F55" i="53"/>
  <c r="D24" i="53"/>
  <c r="F57" i="53"/>
  <c r="D26" i="53"/>
  <c r="F59" i="53"/>
  <c r="D28" i="53"/>
  <c r="F61" i="53"/>
  <c r="D30" i="53"/>
  <c r="F63" i="53"/>
  <c r="D32" i="53"/>
  <c r="E118" i="53"/>
  <c r="F113" i="53"/>
  <c r="F115" i="53"/>
  <c r="F116" i="53"/>
  <c r="E118" i="56"/>
  <c r="D94" i="56"/>
  <c r="F94" i="56" s="1"/>
  <c r="D32" i="56"/>
  <c r="D90" i="56"/>
  <c r="F90" i="56" s="1"/>
  <c r="D28" i="56"/>
  <c r="D86" i="56"/>
  <c r="F86" i="56" s="1"/>
  <c r="D24" i="56"/>
  <c r="D82" i="56"/>
  <c r="F82" i="56" s="1"/>
  <c r="D20" i="56"/>
  <c r="D78" i="56"/>
  <c r="F78" i="56" s="1"/>
  <c r="D16" i="56"/>
  <c r="D74" i="56"/>
  <c r="F74" i="56" s="1"/>
  <c r="D12" i="56"/>
  <c r="D70" i="56"/>
  <c r="F70" i="56" s="1"/>
  <c r="D8" i="56"/>
  <c r="F93" i="57"/>
  <c r="F77" i="57"/>
  <c r="F62" i="56"/>
  <c r="D31" i="56"/>
  <c r="F54" i="56"/>
  <c r="D23" i="56"/>
  <c r="F48" i="56"/>
  <c r="D17" i="56"/>
  <c r="F42" i="56"/>
  <c r="D11" i="56"/>
  <c r="E118" i="51"/>
  <c r="D93" i="3"/>
  <c r="F93" i="3" s="1"/>
  <c r="D31" i="3"/>
  <c r="D91" i="3"/>
  <c r="F91" i="3" s="1"/>
  <c r="D29" i="3"/>
  <c r="D89" i="3"/>
  <c r="F89" i="3" s="1"/>
  <c r="D27" i="3"/>
  <c r="D87" i="3"/>
  <c r="F87" i="3" s="1"/>
  <c r="D25" i="3"/>
  <c r="D85" i="3"/>
  <c r="F85" i="3" s="1"/>
  <c r="D23" i="3"/>
  <c r="D83" i="3"/>
  <c r="F83" i="3" s="1"/>
  <c r="D21" i="3"/>
  <c r="D81" i="3"/>
  <c r="F81" i="3" s="1"/>
  <c r="D19" i="3"/>
  <c r="D79" i="3"/>
  <c r="F79" i="3" s="1"/>
  <c r="D17" i="3"/>
  <c r="D77" i="3"/>
  <c r="F77" i="3" s="1"/>
  <c r="D15" i="3"/>
  <c r="D75" i="3"/>
  <c r="F75" i="3" s="1"/>
  <c r="D13" i="3"/>
  <c r="D73" i="3"/>
  <c r="F73" i="3" s="1"/>
  <c r="D11" i="3"/>
  <c r="D71" i="3"/>
  <c r="F71" i="3" s="1"/>
  <c r="D9" i="3"/>
  <c r="D69" i="3"/>
  <c r="F69" i="3" s="1"/>
  <c r="D7" i="3"/>
  <c r="D67" i="3"/>
  <c r="F67" i="3" s="1"/>
  <c r="D5" i="3"/>
  <c r="D118" i="3"/>
  <c r="F63" i="3"/>
  <c r="D32" i="3"/>
  <c r="F61" i="3"/>
  <c r="D30" i="3"/>
  <c r="F59" i="3"/>
  <c r="D28" i="3"/>
  <c r="F57" i="3"/>
  <c r="D26" i="3"/>
  <c r="F55" i="3"/>
  <c r="D24" i="3"/>
  <c r="F53" i="3"/>
  <c r="D22" i="3"/>
  <c r="F51" i="3"/>
  <c r="D20" i="3"/>
  <c r="F49" i="3"/>
  <c r="D18" i="3"/>
  <c r="F47" i="3"/>
  <c r="D16" i="3"/>
  <c r="F45" i="3"/>
  <c r="D14" i="3"/>
  <c r="F43" i="3"/>
  <c r="D12" i="3"/>
  <c r="F41" i="3"/>
  <c r="D10" i="3"/>
  <c r="F39" i="3"/>
  <c r="D8" i="3"/>
  <c r="F37" i="3"/>
  <c r="D6" i="3"/>
  <c r="F116" i="3"/>
  <c r="F115" i="3"/>
  <c r="F113" i="3"/>
  <c r="F111" i="3"/>
  <c r="E118" i="3"/>
  <c r="E105" i="3"/>
  <c r="E95" i="3"/>
  <c r="C109" i="3" s="1"/>
  <c r="E64" i="3"/>
  <c r="F64" i="3" s="1"/>
  <c r="F115" i="5"/>
  <c r="E118" i="5"/>
  <c r="E105" i="5"/>
  <c r="E64" i="5"/>
  <c r="M59" i="63" s="1"/>
  <c r="F114" i="5"/>
  <c r="F112" i="5"/>
  <c r="F110" i="5"/>
  <c r="E95" i="5"/>
  <c r="C109" i="5" s="1"/>
  <c r="F62" i="5"/>
  <c r="D31" i="5"/>
  <c r="D93" i="5"/>
  <c r="F93" i="5" s="1"/>
  <c r="F60" i="5"/>
  <c r="D91" i="5"/>
  <c r="F91" i="5" s="1"/>
  <c r="D29" i="5"/>
  <c r="F58" i="5"/>
  <c r="D27" i="5"/>
  <c r="D89" i="5"/>
  <c r="F89" i="5" s="1"/>
  <c r="F56" i="5"/>
  <c r="D87" i="5"/>
  <c r="F87" i="5" s="1"/>
  <c r="D25" i="5"/>
  <c r="F54" i="5"/>
  <c r="D23" i="5"/>
  <c r="D85" i="5"/>
  <c r="F85" i="5" s="1"/>
  <c r="F52" i="5"/>
  <c r="D83" i="5"/>
  <c r="F83" i="5" s="1"/>
  <c r="D21" i="5"/>
  <c r="F50" i="5"/>
  <c r="D19" i="5"/>
  <c r="D81" i="5"/>
  <c r="F81" i="5" s="1"/>
  <c r="F48" i="5"/>
  <c r="D79" i="5"/>
  <c r="F79" i="5" s="1"/>
  <c r="D17" i="5"/>
  <c r="F46" i="5"/>
  <c r="D15" i="5"/>
  <c r="D77" i="5"/>
  <c r="F77" i="5" s="1"/>
  <c r="F44" i="5"/>
  <c r="D75" i="5"/>
  <c r="F75" i="5" s="1"/>
  <c r="D13" i="5"/>
  <c r="F42" i="5"/>
  <c r="D11" i="5"/>
  <c r="D73" i="5"/>
  <c r="F73" i="5" s="1"/>
  <c r="F40" i="5"/>
  <c r="D71" i="5"/>
  <c r="F71" i="5" s="1"/>
  <c r="D9" i="5"/>
  <c r="F38" i="5"/>
  <c r="D7" i="5"/>
  <c r="D69" i="5"/>
  <c r="F69" i="5" s="1"/>
  <c r="D64" i="5"/>
  <c r="D67" i="5"/>
  <c r="F67" i="5" s="1"/>
  <c r="D5" i="5"/>
  <c r="D33" i="5" s="1"/>
  <c r="D118" i="5"/>
  <c r="F63" i="5"/>
  <c r="F61" i="5"/>
  <c r="F59" i="5"/>
  <c r="F57" i="5"/>
  <c r="F55" i="5"/>
  <c r="F53" i="5"/>
  <c r="F51" i="5"/>
  <c r="F49" i="5"/>
  <c r="F47" i="5"/>
  <c r="F45" i="5"/>
  <c r="F43" i="5"/>
  <c r="F41" i="5"/>
  <c r="F39" i="5"/>
  <c r="F37" i="5"/>
  <c r="D64" i="18"/>
  <c r="D118" i="18"/>
  <c r="F63" i="18"/>
  <c r="D94" i="18"/>
  <c r="F94" i="18" s="1"/>
  <c r="D32" i="18"/>
  <c r="F61" i="18"/>
  <c r="D92" i="18"/>
  <c r="F92" i="18" s="1"/>
  <c r="D30" i="18"/>
  <c r="F59" i="18"/>
  <c r="D90" i="18"/>
  <c r="F90" i="18" s="1"/>
  <c r="D28" i="18"/>
  <c r="F57" i="18"/>
  <c r="D88" i="18"/>
  <c r="F88" i="18" s="1"/>
  <c r="D26" i="18"/>
  <c r="F55" i="18"/>
  <c r="D86" i="18"/>
  <c r="F86" i="18" s="1"/>
  <c r="D24" i="18"/>
  <c r="F53" i="18"/>
  <c r="D84" i="18"/>
  <c r="F84" i="18" s="1"/>
  <c r="D22" i="18"/>
  <c r="F51" i="18"/>
  <c r="D82" i="18"/>
  <c r="F82" i="18" s="1"/>
  <c r="D20" i="18"/>
  <c r="F49" i="18"/>
  <c r="D80" i="18"/>
  <c r="F80" i="18" s="1"/>
  <c r="D18" i="18"/>
  <c r="F47" i="18"/>
  <c r="D78" i="18"/>
  <c r="F78" i="18" s="1"/>
  <c r="D16" i="18"/>
  <c r="F45" i="18"/>
  <c r="D76" i="18"/>
  <c r="F76" i="18" s="1"/>
  <c r="D14" i="18"/>
  <c r="F43" i="18"/>
  <c r="D74" i="18"/>
  <c r="F74" i="18" s="1"/>
  <c r="D12" i="18"/>
  <c r="F41" i="18"/>
  <c r="D72" i="18"/>
  <c r="F72" i="18" s="1"/>
  <c r="D10" i="18"/>
  <c r="F39" i="18"/>
  <c r="D70" i="18"/>
  <c r="F70" i="18" s="1"/>
  <c r="D8" i="18"/>
  <c r="F37" i="18"/>
  <c r="D68" i="18"/>
  <c r="F68" i="18" s="1"/>
  <c r="D6" i="18"/>
  <c r="F116" i="18"/>
  <c r="F115" i="18"/>
  <c r="F113" i="18"/>
  <c r="F111" i="18"/>
  <c r="E118" i="18"/>
  <c r="E105" i="18"/>
  <c r="E95" i="18"/>
  <c r="C109" i="18" s="1"/>
  <c r="E64" i="18"/>
  <c r="M46" i="63" s="1"/>
  <c r="F117" i="20"/>
  <c r="F117" i="60" s="1"/>
  <c r="D117" i="60"/>
  <c r="F114" i="20"/>
  <c r="C114" i="60"/>
  <c r="F112" i="20"/>
  <c r="C112" i="60"/>
  <c r="F110" i="20"/>
  <c r="F110" i="60" s="1"/>
  <c r="C110" i="60"/>
  <c r="E116" i="20"/>
  <c r="E116" i="60" s="1"/>
  <c r="E102" i="60"/>
  <c r="F62" i="20"/>
  <c r="D62" i="60"/>
  <c r="F60" i="20"/>
  <c r="D60" i="60"/>
  <c r="F58" i="20"/>
  <c r="D58" i="60"/>
  <c r="F56" i="20"/>
  <c r="D56" i="60"/>
  <c r="F54" i="20"/>
  <c r="D54" i="60"/>
  <c r="F52" i="20"/>
  <c r="D52" i="60"/>
  <c r="F50" i="20"/>
  <c r="D50" i="60"/>
  <c r="F48" i="20"/>
  <c r="D48" i="60"/>
  <c r="F46" i="20"/>
  <c r="D46" i="60"/>
  <c r="F44" i="20"/>
  <c r="D44" i="60"/>
  <c r="F42" i="20"/>
  <c r="D42" i="60"/>
  <c r="F40" i="20"/>
  <c r="D40" i="60"/>
  <c r="F38" i="20"/>
  <c r="D38" i="60"/>
  <c r="D64" i="20"/>
  <c r="D36" i="60"/>
  <c r="E104" i="60"/>
  <c r="E99" i="60"/>
  <c r="D118" i="20"/>
  <c r="D109" i="60"/>
  <c r="D118" i="60" s="1"/>
  <c r="F63" i="20"/>
  <c r="D94" i="20"/>
  <c r="F94" i="20" s="1"/>
  <c r="D32" i="20"/>
  <c r="D63" i="60"/>
  <c r="F61" i="20"/>
  <c r="D92" i="20"/>
  <c r="F92" i="20" s="1"/>
  <c r="D30" i="20"/>
  <c r="D61" i="60"/>
  <c r="F59" i="20"/>
  <c r="D90" i="20"/>
  <c r="F90" i="20" s="1"/>
  <c r="D28" i="20"/>
  <c r="D59" i="60"/>
  <c r="F57" i="20"/>
  <c r="D88" i="20"/>
  <c r="F88" i="20" s="1"/>
  <c r="D26" i="20"/>
  <c r="D57" i="60"/>
  <c r="F55" i="20"/>
  <c r="D86" i="20"/>
  <c r="F86" i="20" s="1"/>
  <c r="D24" i="20"/>
  <c r="D55" i="60"/>
  <c r="F53" i="20"/>
  <c r="D84" i="20"/>
  <c r="F84" i="20" s="1"/>
  <c r="D22" i="20"/>
  <c r="D53" i="60"/>
  <c r="F51" i="20"/>
  <c r="D82" i="20"/>
  <c r="F82" i="20" s="1"/>
  <c r="D20" i="20"/>
  <c r="D51" i="60"/>
  <c r="F49" i="20"/>
  <c r="D80" i="20"/>
  <c r="F80" i="20" s="1"/>
  <c r="D18" i="20"/>
  <c r="D49" i="60"/>
  <c r="F47" i="20"/>
  <c r="D78" i="20"/>
  <c r="F78" i="20" s="1"/>
  <c r="D16" i="20"/>
  <c r="D47" i="60"/>
  <c r="F45" i="20"/>
  <c r="D76" i="20"/>
  <c r="F76" i="20" s="1"/>
  <c r="D14" i="20"/>
  <c r="D45" i="60"/>
  <c r="F43" i="20"/>
  <c r="D74" i="20"/>
  <c r="D12" i="20"/>
  <c r="D43" i="60"/>
  <c r="F41" i="20"/>
  <c r="D72" i="20"/>
  <c r="F72" i="20" s="1"/>
  <c r="D10" i="20"/>
  <c r="D41" i="60"/>
  <c r="F39" i="20"/>
  <c r="D70" i="20"/>
  <c r="F70" i="20" s="1"/>
  <c r="D8" i="20"/>
  <c r="D39" i="60"/>
  <c r="F37" i="20"/>
  <c r="D68" i="20"/>
  <c r="F68" i="20" s="1"/>
  <c r="D6" i="20"/>
  <c r="D37" i="60"/>
  <c r="F116" i="20"/>
  <c r="C116" i="60"/>
  <c r="F115" i="20"/>
  <c r="C115" i="60"/>
  <c r="F113" i="20"/>
  <c r="C113" i="60"/>
  <c r="F111" i="20"/>
  <c r="C111" i="60"/>
  <c r="E118" i="20"/>
  <c r="E109" i="60"/>
  <c r="E103" i="60"/>
  <c r="E100" i="60"/>
  <c r="E105" i="20"/>
  <c r="E98" i="60"/>
  <c r="E95" i="20"/>
  <c r="C109" i="20" s="1"/>
  <c r="E44" i="63"/>
  <c r="E67" i="60"/>
  <c r="E64" i="20"/>
  <c r="M44" i="63" s="1"/>
  <c r="E36" i="60"/>
  <c r="D95" i="1"/>
  <c r="F67" i="1"/>
  <c r="D95" i="59"/>
  <c r="D95" i="4"/>
  <c r="F67" i="4"/>
  <c r="D95" i="6"/>
  <c r="F67" i="6"/>
  <c r="D95" i="5"/>
  <c r="D33" i="9"/>
  <c r="B55" i="63" s="1"/>
  <c r="D95" i="7"/>
  <c r="D95" i="9"/>
  <c r="D95" i="11"/>
  <c r="F67" i="11"/>
  <c r="D95" i="13"/>
  <c r="F67" i="13"/>
  <c r="D95" i="14"/>
  <c r="F67" i="14"/>
  <c r="D95" i="16"/>
  <c r="F67" i="16"/>
  <c r="D33" i="16"/>
  <c r="B48" i="63" s="1"/>
  <c r="F67" i="20"/>
  <c r="D33" i="20"/>
  <c r="D33" i="15"/>
  <c r="D33" i="19"/>
  <c r="D33" i="23"/>
  <c r="B41" i="63" s="1"/>
  <c r="D95" i="25"/>
  <c r="F67" i="25"/>
  <c r="D33" i="25"/>
  <c r="B39" i="63" s="1"/>
  <c r="F67" i="29"/>
  <c r="D95" i="30"/>
  <c r="F67" i="30"/>
  <c r="D33" i="30"/>
  <c r="B34" i="63" s="1"/>
  <c r="D33" i="34"/>
  <c r="B30" i="63" s="1"/>
  <c r="D33" i="38"/>
  <c r="B26" i="63" s="1"/>
  <c r="D95" i="22"/>
  <c r="D33" i="28"/>
  <c r="D33" i="33"/>
  <c r="B31" i="63" s="1"/>
  <c r="S31" i="63" s="1"/>
  <c r="D95" i="34"/>
  <c r="D95" i="46"/>
  <c r="F67" i="46"/>
  <c r="F67" i="50"/>
  <c r="D95" i="52"/>
  <c r="F67" i="52"/>
  <c r="D95" i="47"/>
  <c r="D95" i="51"/>
  <c r="D95" i="45"/>
  <c r="D33" i="45"/>
  <c r="D95" i="53"/>
  <c r="D95" i="57"/>
  <c r="D33" i="59"/>
  <c r="D33" i="6"/>
  <c r="B58" i="63" s="1"/>
  <c r="D33" i="7"/>
  <c r="B57" i="63" s="1"/>
  <c r="D95" i="8"/>
  <c r="F67" i="8"/>
  <c r="D95" i="10"/>
  <c r="F67" i="10"/>
  <c r="D95" i="12"/>
  <c r="F67" i="18"/>
  <c r="D95" i="15"/>
  <c r="D95" i="21"/>
  <c r="D95" i="17"/>
  <c r="D95" i="19"/>
  <c r="D95" i="23"/>
  <c r="F67" i="23"/>
  <c r="F67" i="27"/>
  <c r="D33" i="27"/>
  <c r="B37" i="63" s="1"/>
  <c r="D95" i="28"/>
  <c r="D33" i="32"/>
  <c r="B32" i="63" s="1"/>
  <c r="D33" i="36"/>
  <c r="B28" i="63" s="1"/>
  <c r="D95" i="24"/>
  <c r="D95" i="33"/>
  <c r="F67" i="33"/>
  <c r="D95" i="35"/>
  <c r="F67" i="35"/>
  <c r="F67" i="37"/>
  <c r="F67" i="39"/>
  <c r="D95" i="41"/>
  <c r="F67" i="41"/>
  <c r="D95" i="43"/>
  <c r="F67" i="43"/>
  <c r="D33" i="35"/>
  <c r="B29" i="63" s="1"/>
  <c r="D95" i="40"/>
  <c r="D33" i="37"/>
  <c r="D95" i="38"/>
  <c r="D33" i="39"/>
  <c r="D33" i="41"/>
  <c r="D95" i="42"/>
  <c r="F67" i="44"/>
  <c r="D33" i="44"/>
  <c r="B20" i="63" s="1"/>
  <c r="D95" i="48"/>
  <c r="F67" i="48"/>
  <c r="D33" i="50"/>
  <c r="B14" i="63" s="1"/>
  <c r="D95" i="54"/>
  <c r="F67" i="54"/>
  <c r="D33" i="54"/>
  <c r="B10" i="63" s="1"/>
  <c r="D95" i="56"/>
  <c r="F67" i="56"/>
  <c r="N7" i="63"/>
  <c r="F36" i="60"/>
  <c r="D95" i="49"/>
  <c r="D33" i="51"/>
  <c r="B13" i="63" s="1"/>
  <c r="D33" i="53"/>
  <c r="D95" i="39" l="1"/>
  <c r="D95" i="37"/>
  <c r="D105" i="37" s="1"/>
  <c r="F101" i="37" s="1"/>
  <c r="F41" i="60"/>
  <c r="F109" i="46"/>
  <c r="F50" i="60"/>
  <c r="F69" i="60"/>
  <c r="D33" i="24"/>
  <c r="F92" i="60"/>
  <c r="D95" i="50"/>
  <c r="F61" i="60"/>
  <c r="D33" i="29"/>
  <c r="B35" i="63" s="1"/>
  <c r="E118" i="15"/>
  <c r="N48" i="63"/>
  <c r="N25" i="63"/>
  <c r="N10" i="63"/>
  <c r="N23" i="63"/>
  <c r="N34" i="63"/>
  <c r="N15" i="63"/>
  <c r="N19" i="63"/>
  <c r="N9" i="63"/>
  <c r="N28" i="63"/>
  <c r="D95" i="26"/>
  <c r="D95" i="27"/>
  <c r="D105" i="27" s="1"/>
  <c r="F101" i="27" s="1"/>
  <c r="D95" i="55"/>
  <c r="D95" i="29"/>
  <c r="D105" i="29" s="1"/>
  <c r="F101" i="29" s="1"/>
  <c r="F70" i="60"/>
  <c r="F72" i="60"/>
  <c r="F76" i="60"/>
  <c r="F78" i="60"/>
  <c r="F80" i="60"/>
  <c r="F82" i="60"/>
  <c r="F84" i="60"/>
  <c r="F86" i="60"/>
  <c r="F88" i="60"/>
  <c r="F90" i="60"/>
  <c r="F58" i="60"/>
  <c r="F42" i="60"/>
  <c r="F49" i="60"/>
  <c r="F37" i="60"/>
  <c r="F45" i="60"/>
  <c r="F53" i="60"/>
  <c r="F38" i="60"/>
  <c r="F46" i="60"/>
  <c r="F54" i="60"/>
  <c r="M39" i="63"/>
  <c r="M32" i="63"/>
  <c r="E17" i="63"/>
  <c r="E21" i="63"/>
  <c r="E28" i="63"/>
  <c r="E32" i="63"/>
  <c r="E33" i="63"/>
  <c r="B44" i="63"/>
  <c r="E46" i="63"/>
  <c r="E39" i="63"/>
  <c r="E118" i="1"/>
  <c r="F116" i="55"/>
  <c r="F116" i="13"/>
  <c r="F74" i="20"/>
  <c r="F74" i="60" s="1"/>
  <c r="D33" i="18"/>
  <c r="B46" i="63" s="1"/>
  <c r="F83" i="60"/>
  <c r="F109" i="24"/>
  <c r="F118" i="24" s="1"/>
  <c r="F52" i="60"/>
  <c r="F47" i="60"/>
  <c r="F109" i="50"/>
  <c r="D33" i="42"/>
  <c r="B22" i="63" s="1"/>
  <c r="F39" i="60"/>
  <c r="F57" i="60"/>
  <c r="F55" i="60"/>
  <c r="F60" i="60"/>
  <c r="F44" i="60"/>
  <c r="N22" i="63"/>
  <c r="D95" i="18"/>
  <c r="D95" i="3"/>
  <c r="F95" i="3" s="1"/>
  <c r="F61" i="63" s="1"/>
  <c r="D33" i="56"/>
  <c r="B8" i="63" s="1"/>
  <c r="F59" i="60"/>
  <c r="F51" i="60"/>
  <c r="F43" i="60"/>
  <c r="F40" i="60"/>
  <c r="F56" i="60"/>
  <c r="F48" i="60"/>
  <c r="D33" i="52"/>
  <c r="B12" i="63" s="1"/>
  <c r="S12" i="63" s="1"/>
  <c r="D95" i="44"/>
  <c r="F113" i="60"/>
  <c r="F114" i="60"/>
  <c r="N11" i="63"/>
  <c r="N35" i="63"/>
  <c r="N61" i="63"/>
  <c r="N39" i="63"/>
  <c r="N26" i="63"/>
  <c r="N45" i="63"/>
  <c r="N32" i="63"/>
  <c r="N38" i="63"/>
  <c r="N40" i="63"/>
  <c r="N55" i="63"/>
  <c r="N42" i="63"/>
  <c r="C118" i="22"/>
  <c r="M61" i="63"/>
  <c r="E61" i="63"/>
  <c r="E11" i="63"/>
  <c r="E15" i="63"/>
  <c r="M15" i="63"/>
  <c r="F118" i="45"/>
  <c r="E54" i="63"/>
  <c r="M55" i="63"/>
  <c r="E55" i="63"/>
  <c r="F64" i="4"/>
  <c r="N60" i="63" s="1"/>
  <c r="F64" i="47"/>
  <c r="N17" i="63" s="1"/>
  <c r="E23" i="63"/>
  <c r="E25" i="63"/>
  <c r="M28" i="63"/>
  <c r="F64" i="5"/>
  <c r="N59" i="63" s="1"/>
  <c r="E59" i="63"/>
  <c r="M11" i="63"/>
  <c r="E57" i="63"/>
  <c r="E63" i="63"/>
  <c r="M42" i="63"/>
  <c r="M24" i="63"/>
  <c r="E8" i="63"/>
  <c r="M26" i="63"/>
  <c r="E26" i="63"/>
  <c r="F64" i="33"/>
  <c r="N31" i="63" s="1"/>
  <c r="M45" i="63"/>
  <c r="E45" i="63"/>
  <c r="M47" i="63"/>
  <c r="E47" i="63"/>
  <c r="E12" i="63"/>
  <c r="E22" i="63"/>
  <c r="E10" i="63"/>
  <c r="E24" i="63"/>
  <c r="M12" i="63"/>
  <c r="B23" i="63"/>
  <c r="E27" i="63"/>
  <c r="M35" i="63"/>
  <c r="E35" i="63"/>
  <c r="E36" i="63"/>
  <c r="B36" i="63"/>
  <c r="M7" i="63"/>
  <c r="F64" i="35"/>
  <c r="N29" i="63" s="1"/>
  <c r="M29" i="63"/>
  <c r="B59" i="63"/>
  <c r="E29" i="63"/>
  <c r="M30" i="63"/>
  <c r="E30" i="63"/>
  <c r="E31" i="63"/>
  <c r="E41" i="63"/>
  <c r="E50" i="63"/>
  <c r="M43" i="63"/>
  <c r="E43" i="63"/>
  <c r="M49" i="63"/>
  <c r="E49" i="63"/>
  <c r="M52" i="63"/>
  <c r="E52" i="63"/>
  <c r="E53" i="63"/>
  <c r="B11" i="63"/>
  <c r="M22" i="63"/>
  <c r="B25" i="63"/>
  <c r="B27" i="63"/>
  <c r="B33" i="63"/>
  <c r="B45" i="63"/>
  <c r="S45" i="63" s="1"/>
  <c r="C118" i="6"/>
  <c r="C109" i="57"/>
  <c r="E7" i="63"/>
  <c r="E14" i="63"/>
  <c r="B40" i="63"/>
  <c r="E60" i="63"/>
  <c r="M62" i="63"/>
  <c r="E62" i="63"/>
  <c r="B19" i="63"/>
  <c r="F118" i="44"/>
  <c r="E34" i="63"/>
  <c r="M37" i="63"/>
  <c r="E37" i="63"/>
  <c r="M38" i="63"/>
  <c r="E38" i="63"/>
  <c r="E48" i="63"/>
  <c r="E51" i="63"/>
  <c r="E56" i="63"/>
  <c r="B62" i="63"/>
  <c r="B49" i="63"/>
  <c r="C109" i="55"/>
  <c r="E9" i="63"/>
  <c r="C109" i="48"/>
  <c r="E16" i="63"/>
  <c r="B43" i="63"/>
  <c r="E18" i="63"/>
  <c r="E40" i="63"/>
  <c r="E42" i="63"/>
  <c r="E58" i="63"/>
  <c r="F91" i="60"/>
  <c r="E118" i="60"/>
  <c r="F75" i="60"/>
  <c r="F87" i="60"/>
  <c r="F79" i="60"/>
  <c r="F89" i="60"/>
  <c r="F85" i="60"/>
  <c r="F71" i="60"/>
  <c r="F73" i="60"/>
  <c r="F77" i="60"/>
  <c r="F81" i="60"/>
  <c r="D33" i="17"/>
  <c r="B47" i="63" s="1"/>
  <c r="C118" i="53"/>
  <c r="F109" i="53"/>
  <c r="F118" i="53" s="1"/>
  <c r="F109" i="49"/>
  <c r="F118" i="49" s="1"/>
  <c r="C118" i="49"/>
  <c r="C118" i="56"/>
  <c r="F109" i="56"/>
  <c r="F118" i="56" s="1"/>
  <c r="F109" i="25"/>
  <c r="F118" i="25" s="1"/>
  <c r="C118" i="25"/>
  <c r="F109" i="35"/>
  <c r="F118" i="35" s="1"/>
  <c r="C118" i="35"/>
  <c r="C118" i="34"/>
  <c r="F109" i="34"/>
  <c r="F118" i="34" s="1"/>
  <c r="F109" i="33"/>
  <c r="F118" i="33" s="1"/>
  <c r="C118" i="33"/>
  <c r="C118" i="23"/>
  <c r="F109" i="23"/>
  <c r="F118" i="23" s="1"/>
  <c r="C118" i="14"/>
  <c r="F109" i="14"/>
  <c r="F118" i="14" s="1"/>
  <c r="F109" i="21"/>
  <c r="F118" i="21" s="1"/>
  <c r="C118" i="21"/>
  <c r="F109" i="15"/>
  <c r="F118" i="15" s="1"/>
  <c r="C118" i="15"/>
  <c r="D33" i="12"/>
  <c r="B52" i="63" s="1"/>
  <c r="D33" i="11"/>
  <c r="B53" i="63" s="1"/>
  <c r="D33" i="10"/>
  <c r="B54" i="63" s="1"/>
  <c r="F109" i="12"/>
  <c r="F118" i="12" s="1"/>
  <c r="C118" i="12"/>
  <c r="C118" i="11"/>
  <c r="F109" i="11"/>
  <c r="F118" i="11" s="1"/>
  <c r="F109" i="10"/>
  <c r="F118" i="10" s="1"/>
  <c r="C118" i="10"/>
  <c r="C118" i="9"/>
  <c r="F109" i="9"/>
  <c r="F118" i="9" s="1"/>
  <c r="D33" i="1"/>
  <c r="B63" i="63" s="1"/>
  <c r="F109" i="52"/>
  <c r="F118" i="52" s="1"/>
  <c r="C118" i="52"/>
  <c r="F109" i="47"/>
  <c r="F118" i="47" s="1"/>
  <c r="C118" i="47"/>
  <c r="F109" i="42"/>
  <c r="F118" i="42" s="1"/>
  <c r="C118" i="42"/>
  <c r="F64" i="56"/>
  <c r="N8" i="63" s="1"/>
  <c r="F109" i="51"/>
  <c r="F118" i="51" s="1"/>
  <c r="C118" i="51"/>
  <c r="C118" i="36"/>
  <c r="F109" i="36"/>
  <c r="F118" i="36" s="1"/>
  <c r="F109" i="32"/>
  <c r="F118" i="32" s="1"/>
  <c r="C118" i="32"/>
  <c r="F109" i="31"/>
  <c r="F118" i="31" s="1"/>
  <c r="C118" i="31"/>
  <c r="F67" i="31"/>
  <c r="F67" i="60" s="1"/>
  <c r="D95" i="31"/>
  <c r="F64" i="31"/>
  <c r="N33" i="63" s="1"/>
  <c r="C118" i="16"/>
  <c r="F109" i="16"/>
  <c r="F118" i="16" s="1"/>
  <c r="F64" i="23"/>
  <c r="N41" i="63" s="1"/>
  <c r="C118" i="13"/>
  <c r="F109" i="13"/>
  <c r="F64" i="13"/>
  <c r="N51" i="63" s="1"/>
  <c r="F109" i="8"/>
  <c r="F118" i="8" s="1"/>
  <c r="C118" i="8"/>
  <c r="F109" i="7"/>
  <c r="F118" i="7" s="1"/>
  <c r="C118" i="7"/>
  <c r="C118" i="1"/>
  <c r="F109" i="1"/>
  <c r="F118" i="1" s="1"/>
  <c r="D33" i="55"/>
  <c r="B9" i="63" s="1"/>
  <c r="D33" i="22"/>
  <c r="B42" i="63" s="1"/>
  <c r="F118" i="50"/>
  <c r="F118" i="46"/>
  <c r="F118" i="6"/>
  <c r="F111" i="60"/>
  <c r="F115" i="60"/>
  <c r="F112" i="60"/>
  <c r="F109" i="40"/>
  <c r="F118" i="40" s="1"/>
  <c r="C118" i="40"/>
  <c r="F109" i="37"/>
  <c r="F118" i="37" s="1"/>
  <c r="C118" i="37"/>
  <c r="F109" i="29"/>
  <c r="F118" i="29" s="1"/>
  <c r="C118" i="29"/>
  <c r="F109" i="28"/>
  <c r="F118" i="28" s="1"/>
  <c r="C118" i="28"/>
  <c r="D33" i="26"/>
  <c r="B38" i="63" s="1"/>
  <c r="C118" i="38"/>
  <c r="F109" i="38"/>
  <c r="F118" i="38" s="1"/>
  <c r="F109" i="19"/>
  <c r="F118" i="19" s="1"/>
  <c r="C118" i="19"/>
  <c r="F109" i="17"/>
  <c r="F118" i="17" s="1"/>
  <c r="C118" i="17"/>
  <c r="F64" i="11"/>
  <c r="N53" i="63" s="1"/>
  <c r="F64" i="10"/>
  <c r="N54" i="63" s="1"/>
  <c r="F109" i="4"/>
  <c r="F118" i="4" s="1"/>
  <c r="C118" i="4"/>
  <c r="F109" i="59"/>
  <c r="F118" i="59" s="1"/>
  <c r="C118" i="59"/>
  <c r="D33" i="43"/>
  <c r="B21" i="63" s="1"/>
  <c r="D33" i="8"/>
  <c r="B56" i="63" s="1"/>
  <c r="F109" i="43"/>
  <c r="F118" i="43" s="1"/>
  <c r="C118" i="43"/>
  <c r="F109" i="54"/>
  <c r="F118" i="54" s="1"/>
  <c r="C118" i="54"/>
  <c r="C118" i="41"/>
  <c r="F109" i="41"/>
  <c r="F118" i="41" s="1"/>
  <c r="F109" i="39"/>
  <c r="F118" i="39" s="1"/>
  <c r="C118" i="39"/>
  <c r="F64" i="37"/>
  <c r="N27" i="63" s="1"/>
  <c r="F68" i="36"/>
  <c r="D95" i="36"/>
  <c r="F68" i="32"/>
  <c r="D95" i="32"/>
  <c r="F109" i="30"/>
  <c r="F118" i="30" s="1"/>
  <c r="C118" i="30"/>
  <c r="F109" i="27"/>
  <c r="F118" i="27" s="1"/>
  <c r="C118" i="27"/>
  <c r="C118" i="26"/>
  <c r="F109" i="26"/>
  <c r="F118" i="26" s="1"/>
  <c r="D33" i="13"/>
  <c r="B51" i="63" s="1"/>
  <c r="F109" i="3"/>
  <c r="F118" i="3" s="1"/>
  <c r="C118" i="3"/>
  <c r="D33" i="3"/>
  <c r="B61" i="63" s="1"/>
  <c r="C118" i="5"/>
  <c r="F109" i="5"/>
  <c r="F118" i="5" s="1"/>
  <c r="C118" i="18"/>
  <c r="F109" i="18"/>
  <c r="F118" i="18" s="1"/>
  <c r="F64" i="18"/>
  <c r="N46" i="63" s="1"/>
  <c r="E95" i="60"/>
  <c r="E64" i="63" s="1"/>
  <c r="C118" i="20"/>
  <c r="F109" i="20"/>
  <c r="D68" i="60"/>
  <c r="D6" i="60"/>
  <c r="D70" i="60"/>
  <c r="D8" i="60"/>
  <c r="D72" i="60"/>
  <c r="D10" i="60"/>
  <c r="D74" i="60"/>
  <c r="D12" i="60"/>
  <c r="D76" i="60"/>
  <c r="D14" i="60"/>
  <c r="D78" i="60"/>
  <c r="D16" i="60"/>
  <c r="D80" i="60"/>
  <c r="D18" i="60"/>
  <c r="D82" i="60"/>
  <c r="D20" i="60"/>
  <c r="D84" i="60"/>
  <c r="D22" i="60"/>
  <c r="D86" i="60"/>
  <c r="D24" i="60"/>
  <c r="D88" i="60"/>
  <c r="D26" i="60"/>
  <c r="D90" i="60"/>
  <c r="D28" i="60"/>
  <c r="D92" i="60"/>
  <c r="D30" i="60"/>
  <c r="D94" i="60"/>
  <c r="D32" i="60"/>
  <c r="D64" i="60"/>
  <c r="D5" i="60"/>
  <c r="D67" i="60"/>
  <c r="D69" i="60"/>
  <c r="D7" i="60"/>
  <c r="D71" i="60"/>
  <c r="D9" i="60"/>
  <c r="D73" i="60"/>
  <c r="D11" i="60"/>
  <c r="D75" i="60"/>
  <c r="D13" i="60"/>
  <c r="D77" i="60"/>
  <c r="D15" i="60"/>
  <c r="D79" i="60"/>
  <c r="D17" i="60"/>
  <c r="D81" i="60"/>
  <c r="D19" i="60"/>
  <c r="D83" i="60"/>
  <c r="D21" i="60"/>
  <c r="D85" i="60"/>
  <c r="D23" i="60"/>
  <c r="D87" i="60"/>
  <c r="D25" i="60"/>
  <c r="D89" i="60"/>
  <c r="D27" i="60"/>
  <c r="D91" i="60"/>
  <c r="D29" i="60"/>
  <c r="D93" i="60"/>
  <c r="D31" i="60"/>
  <c r="D95" i="20"/>
  <c r="D105" i="20" s="1"/>
  <c r="F101" i="20" s="1"/>
  <c r="E64" i="60"/>
  <c r="M64" i="63" s="1"/>
  <c r="E105" i="60"/>
  <c r="F64" i="20"/>
  <c r="D105" i="48"/>
  <c r="F101" i="48" s="1"/>
  <c r="F95" i="48"/>
  <c r="F16" i="63" s="1"/>
  <c r="F95" i="44"/>
  <c r="F20" i="63" s="1"/>
  <c r="D105" i="44"/>
  <c r="F101" i="44" s="1"/>
  <c r="F95" i="38"/>
  <c r="F26" i="63" s="1"/>
  <c r="D105" i="38"/>
  <c r="F101" i="38" s="1"/>
  <c r="F95" i="40"/>
  <c r="F24" i="63" s="1"/>
  <c r="D105" i="40"/>
  <c r="F101" i="40" s="1"/>
  <c r="F95" i="26"/>
  <c r="F38" i="63" s="1"/>
  <c r="D105" i="26"/>
  <c r="F101" i="26" s="1"/>
  <c r="F95" i="27"/>
  <c r="F37" i="63" s="1"/>
  <c r="F95" i="17"/>
  <c r="F47" i="63" s="1"/>
  <c r="D105" i="17"/>
  <c r="F101" i="17" s="1"/>
  <c r="F95" i="15"/>
  <c r="F49" i="63" s="1"/>
  <c r="D105" i="15"/>
  <c r="F101" i="15" s="1"/>
  <c r="F95" i="12"/>
  <c r="F52" i="63" s="1"/>
  <c r="D105" i="12"/>
  <c r="F101" i="12" s="1"/>
  <c r="D105" i="10"/>
  <c r="F95" i="10"/>
  <c r="F54" i="63" s="1"/>
  <c r="D105" i="8"/>
  <c r="F101" i="8" s="1"/>
  <c r="F95" i="8"/>
  <c r="F56" i="63" s="1"/>
  <c r="D105" i="3"/>
  <c r="F101" i="3" s="1"/>
  <c r="F95" i="57"/>
  <c r="F7" i="63" s="1"/>
  <c r="D105" i="57"/>
  <c r="F101" i="57" s="1"/>
  <c r="F95" i="53"/>
  <c r="F11" i="63" s="1"/>
  <c r="D105" i="53"/>
  <c r="F101" i="53" s="1"/>
  <c r="F95" i="51"/>
  <c r="F13" i="63" s="1"/>
  <c r="D105" i="51"/>
  <c r="F101" i="51" s="1"/>
  <c r="D105" i="52"/>
  <c r="F101" i="52" s="1"/>
  <c r="F95" i="52"/>
  <c r="F12" i="63" s="1"/>
  <c r="D105" i="50"/>
  <c r="F101" i="50" s="1"/>
  <c r="F95" i="50"/>
  <c r="F14" i="63" s="1"/>
  <c r="D105" i="46"/>
  <c r="F101" i="46" s="1"/>
  <c r="F95" i="46"/>
  <c r="F18" i="63" s="1"/>
  <c r="F95" i="22"/>
  <c r="F42" i="63" s="1"/>
  <c r="D105" i="22"/>
  <c r="F101" i="22" s="1"/>
  <c r="F95" i="29"/>
  <c r="F35" i="63" s="1"/>
  <c r="D105" i="25"/>
  <c r="F101" i="25" s="1"/>
  <c r="F95" i="25"/>
  <c r="F39" i="63" s="1"/>
  <c r="F95" i="14"/>
  <c r="F50" i="63" s="1"/>
  <c r="D105" i="14"/>
  <c r="F101" i="14" s="1"/>
  <c r="D105" i="13"/>
  <c r="F101" i="13" s="1"/>
  <c r="F95" i="13"/>
  <c r="F51" i="63" s="1"/>
  <c r="D105" i="11"/>
  <c r="F101" i="11" s="1"/>
  <c r="F95" i="11"/>
  <c r="F53" i="63" s="1"/>
  <c r="F95" i="9"/>
  <c r="F55" i="63" s="1"/>
  <c r="D105" i="9"/>
  <c r="D105" i="4"/>
  <c r="F101" i="4" s="1"/>
  <c r="F95" i="4"/>
  <c r="F60" i="63" s="1"/>
  <c r="D105" i="1"/>
  <c r="F101" i="1" s="1"/>
  <c r="F95" i="1"/>
  <c r="F63" i="63" s="1"/>
  <c r="F95" i="49"/>
  <c r="F15" i="63" s="1"/>
  <c r="D105" i="49"/>
  <c r="F101" i="49" s="1"/>
  <c r="D105" i="56"/>
  <c r="F101" i="56" s="1"/>
  <c r="F95" i="56"/>
  <c r="F8" i="63" s="1"/>
  <c r="D105" i="54"/>
  <c r="F101" i="54" s="1"/>
  <c r="F95" i="54"/>
  <c r="F10" i="63" s="1"/>
  <c r="F95" i="42"/>
  <c r="F22" i="63" s="1"/>
  <c r="D105" i="42"/>
  <c r="F101" i="42" s="1"/>
  <c r="D105" i="43"/>
  <c r="F101" i="43" s="1"/>
  <c r="F95" i="43"/>
  <c r="F21" i="63" s="1"/>
  <c r="D105" i="41"/>
  <c r="F101" i="41" s="1"/>
  <c r="F95" i="41"/>
  <c r="F23" i="63" s="1"/>
  <c r="D105" i="39"/>
  <c r="F101" i="39" s="1"/>
  <c r="F95" i="39"/>
  <c r="F25" i="63" s="1"/>
  <c r="F95" i="37"/>
  <c r="F27" i="63" s="1"/>
  <c r="D105" i="35"/>
  <c r="F101" i="35" s="1"/>
  <c r="F95" i="35"/>
  <c r="F29" i="63" s="1"/>
  <c r="D105" i="33"/>
  <c r="F101" i="33" s="1"/>
  <c r="F95" i="33"/>
  <c r="F31" i="63" s="1"/>
  <c r="F95" i="24"/>
  <c r="F40" i="63" s="1"/>
  <c r="D105" i="24"/>
  <c r="F101" i="24" s="1"/>
  <c r="F95" i="28"/>
  <c r="F36" i="63" s="1"/>
  <c r="D105" i="28"/>
  <c r="F101" i="28" s="1"/>
  <c r="D105" i="23"/>
  <c r="F101" i="23" s="1"/>
  <c r="F95" i="23"/>
  <c r="F41" i="63" s="1"/>
  <c r="F95" i="19"/>
  <c r="F45" i="63" s="1"/>
  <c r="D105" i="19"/>
  <c r="F101" i="19" s="1"/>
  <c r="F95" i="21"/>
  <c r="F43" i="63" s="1"/>
  <c r="D105" i="21"/>
  <c r="F101" i="21" s="1"/>
  <c r="D105" i="18"/>
  <c r="F101" i="18" s="1"/>
  <c r="F95" i="18"/>
  <c r="F46" i="63" s="1"/>
  <c r="F95" i="55"/>
  <c r="F9" i="63" s="1"/>
  <c r="D105" i="55"/>
  <c r="F101" i="55" s="1"/>
  <c r="F95" i="45"/>
  <c r="F19" i="63" s="1"/>
  <c r="D105" i="45"/>
  <c r="F101" i="45" s="1"/>
  <c r="F95" i="47"/>
  <c r="F17" i="63" s="1"/>
  <c r="D105" i="47"/>
  <c r="F101" i="47" s="1"/>
  <c r="F95" i="34"/>
  <c r="F30" i="63" s="1"/>
  <c r="D105" i="34"/>
  <c r="F101" i="34" s="1"/>
  <c r="D105" i="30"/>
  <c r="F101" i="30" s="1"/>
  <c r="F95" i="30"/>
  <c r="F34" i="63" s="1"/>
  <c r="F95" i="20"/>
  <c r="F44" i="63" s="1"/>
  <c r="D105" i="16"/>
  <c r="F95" i="16"/>
  <c r="F48" i="63" s="1"/>
  <c r="D105" i="7"/>
  <c r="F101" i="7" s="1"/>
  <c r="F95" i="7"/>
  <c r="F57" i="63" s="1"/>
  <c r="F95" i="5"/>
  <c r="F59" i="63" s="1"/>
  <c r="D105" i="5"/>
  <c r="F101" i="5" s="1"/>
  <c r="D105" i="6"/>
  <c r="F101" i="6" s="1"/>
  <c r="F95" i="6"/>
  <c r="F58" i="63" s="1"/>
  <c r="F95" i="59"/>
  <c r="F62" i="63" s="1"/>
  <c r="D105" i="59"/>
  <c r="F101" i="59" s="1"/>
  <c r="F116" i="60" l="1"/>
  <c r="F118" i="13"/>
  <c r="C109" i="60"/>
  <c r="C118" i="60" s="1"/>
  <c r="F104" i="10"/>
  <c r="V54" i="63" s="1"/>
  <c r="F101" i="10"/>
  <c r="F104" i="16"/>
  <c r="F101" i="16"/>
  <c r="F104" i="9"/>
  <c r="F101" i="9"/>
  <c r="U54" i="63"/>
  <c r="F98" i="59"/>
  <c r="F103" i="59"/>
  <c r="F104" i="59"/>
  <c r="F99" i="59"/>
  <c r="F100" i="59"/>
  <c r="F102" i="59"/>
  <c r="F100" i="5"/>
  <c r="F104" i="5"/>
  <c r="F103" i="5"/>
  <c r="F98" i="5"/>
  <c r="F99" i="5"/>
  <c r="F102" i="5"/>
  <c r="F103" i="30"/>
  <c r="F98" i="30"/>
  <c r="F99" i="30"/>
  <c r="F100" i="30"/>
  <c r="F104" i="30"/>
  <c r="F102" i="30"/>
  <c r="F100" i="34"/>
  <c r="F98" i="34"/>
  <c r="F104" i="34"/>
  <c r="F102" i="34"/>
  <c r="F103" i="34"/>
  <c r="F99" i="34"/>
  <c r="F99" i="47"/>
  <c r="F98" i="47"/>
  <c r="F103" i="47"/>
  <c r="F104" i="47"/>
  <c r="F100" i="47"/>
  <c r="F102" i="47"/>
  <c r="F100" i="45"/>
  <c r="F103" i="45"/>
  <c r="F99" i="45"/>
  <c r="F98" i="45"/>
  <c r="F104" i="45"/>
  <c r="F102" i="45"/>
  <c r="F103" i="55"/>
  <c r="F99" i="55"/>
  <c r="F98" i="55"/>
  <c r="F100" i="55"/>
  <c r="F104" i="55"/>
  <c r="F102" i="55"/>
  <c r="F104" i="21"/>
  <c r="F100" i="21"/>
  <c r="F98" i="21"/>
  <c r="F99" i="21"/>
  <c r="F103" i="21"/>
  <c r="F102" i="21"/>
  <c r="F104" i="19"/>
  <c r="F98" i="19"/>
  <c r="F100" i="19"/>
  <c r="F102" i="19"/>
  <c r="F99" i="19"/>
  <c r="F100" i="28"/>
  <c r="F103" i="28"/>
  <c r="F98" i="28"/>
  <c r="F99" i="28"/>
  <c r="F102" i="28"/>
  <c r="F104" i="28"/>
  <c r="F99" i="24"/>
  <c r="F104" i="24"/>
  <c r="F100" i="24"/>
  <c r="F103" i="24"/>
  <c r="F98" i="24"/>
  <c r="F102" i="24"/>
  <c r="F99" i="42"/>
  <c r="F104" i="42"/>
  <c r="F98" i="42"/>
  <c r="F103" i="42"/>
  <c r="F100" i="42"/>
  <c r="F102" i="42"/>
  <c r="F103" i="49"/>
  <c r="F104" i="49"/>
  <c r="F98" i="49"/>
  <c r="F100" i="49"/>
  <c r="F99" i="49"/>
  <c r="F98" i="9"/>
  <c r="F100" i="9"/>
  <c r="F99" i="9"/>
  <c r="F102" i="9"/>
  <c r="F103" i="14"/>
  <c r="F104" i="14"/>
  <c r="F98" i="14"/>
  <c r="F99" i="14"/>
  <c r="F100" i="14"/>
  <c r="F102" i="14"/>
  <c r="F104" i="22"/>
  <c r="F99" i="22"/>
  <c r="F100" i="22"/>
  <c r="F98" i="22"/>
  <c r="F103" i="22"/>
  <c r="T42" i="63" s="1"/>
  <c r="F102" i="22"/>
  <c r="F98" i="8"/>
  <c r="F99" i="8"/>
  <c r="F104" i="8"/>
  <c r="F103" i="8"/>
  <c r="F100" i="8"/>
  <c r="F102" i="8"/>
  <c r="F100" i="10"/>
  <c r="F103" i="10"/>
  <c r="F98" i="10"/>
  <c r="F99" i="10"/>
  <c r="F102" i="10"/>
  <c r="F98" i="27"/>
  <c r="F104" i="27"/>
  <c r="F100" i="27"/>
  <c r="F103" i="27"/>
  <c r="F102" i="27"/>
  <c r="F99" i="27"/>
  <c r="F99" i="38"/>
  <c r="F103" i="38"/>
  <c r="F100" i="38"/>
  <c r="F98" i="38"/>
  <c r="F104" i="38"/>
  <c r="F102" i="38"/>
  <c r="F104" i="44"/>
  <c r="F100" i="44"/>
  <c r="F103" i="44"/>
  <c r="F98" i="44"/>
  <c r="F99" i="44"/>
  <c r="F102" i="44"/>
  <c r="F100" i="6"/>
  <c r="F103" i="6"/>
  <c r="F104" i="6"/>
  <c r="F99" i="6"/>
  <c r="F98" i="6"/>
  <c r="F102" i="6"/>
  <c r="F99" i="7"/>
  <c r="F100" i="7"/>
  <c r="F98" i="7"/>
  <c r="F103" i="7"/>
  <c r="F104" i="7"/>
  <c r="F102" i="7"/>
  <c r="F100" i="16"/>
  <c r="F98" i="16"/>
  <c r="F99" i="16"/>
  <c r="F102" i="16"/>
  <c r="F103" i="18"/>
  <c r="F98" i="18"/>
  <c r="F104" i="18"/>
  <c r="F100" i="18"/>
  <c r="F99" i="18"/>
  <c r="F102" i="18"/>
  <c r="F98" i="23"/>
  <c r="F100" i="23"/>
  <c r="F104" i="23"/>
  <c r="F99" i="23"/>
  <c r="F102" i="23"/>
  <c r="F103" i="23"/>
  <c r="F98" i="33"/>
  <c r="F100" i="33"/>
  <c r="F104" i="33"/>
  <c r="F102" i="33"/>
  <c r="F99" i="33"/>
  <c r="F100" i="35"/>
  <c r="F104" i="35"/>
  <c r="F98" i="35"/>
  <c r="F99" i="35"/>
  <c r="F102" i="35"/>
  <c r="F103" i="35"/>
  <c r="F98" i="37"/>
  <c r="F103" i="37"/>
  <c r="F104" i="37"/>
  <c r="F99" i="37"/>
  <c r="F100" i="37"/>
  <c r="F102" i="37"/>
  <c r="F104" i="39"/>
  <c r="F103" i="39"/>
  <c r="F99" i="39"/>
  <c r="F98" i="39"/>
  <c r="F102" i="39"/>
  <c r="F100" i="39"/>
  <c r="F99" i="41"/>
  <c r="F98" i="41"/>
  <c r="F104" i="41"/>
  <c r="F100" i="41"/>
  <c r="F102" i="41"/>
  <c r="F98" i="43"/>
  <c r="F104" i="43"/>
  <c r="F99" i="43"/>
  <c r="F100" i="43"/>
  <c r="F102" i="43"/>
  <c r="F103" i="43"/>
  <c r="T21" i="63" s="1"/>
  <c r="F98" i="54"/>
  <c r="F103" i="54"/>
  <c r="F99" i="54"/>
  <c r="F104" i="54"/>
  <c r="F100" i="54"/>
  <c r="F102" i="54"/>
  <c r="F98" i="56"/>
  <c r="F103" i="56"/>
  <c r="F104" i="56"/>
  <c r="F99" i="56"/>
  <c r="F102" i="56"/>
  <c r="F100" i="56"/>
  <c r="F103" i="1"/>
  <c r="F104" i="1"/>
  <c r="F98" i="1"/>
  <c r="F99" i="1"/>
  <c r="F100" i="1"/>
  <c r="F102" i="1"/>
  <c r="F104" i="4"/>
  <c r="F98" i="4"/>
  <c r="F100" i="4"/>
  <c r="F103" i="4"/>
  <c r="F99" i="4"/>
  <c r="F102" i="4"/>
  <c r="F100" i="11"/>
  <c r="F98" i="11"/>
  <c r="F103" i="11"/>
  <c r="F104" i="11"/>
  <c r="F99" i="11"/>
  <c r="F102" i="11"/>
  <c r="F104" i="13"/>
  <c r="F103" i="13"/>
  <c r="F100" i="13"/>
  <c r="F99" i="13"/>
  <c r="F98" i="13"/>
  <c r="F102" i="13"/>
  <c r="F98" i="25"/>
  <c r="F103" i="25"/>
  <c r="F100" i="25"/>
  <c r="F99" i="25"/>
  <c r="F104" i="25"/>
  <c r="F102" i="25"/>
  <c r="F98" i="29"/>
  <c r="F104" i="29"/>
  <c r="F100" i="29"/>
  <c r="F103" i="29"/>
  <c r="F102" i="29"/>
  <c r="F99" i="29"/>
  <c r="F98" i="46"/>
  <c r="F99" i="46"/>
  <c r="F100" i="46"/>
  <c r="F103" i="46"/>
  <c r="F104" i="46"/>
  <c r="F102" i="46"/>
  <c r="F99" i="50"/>
  <c r="F100" i="50"/>
  <c r="F104" i="50"/>
  <c r="F98" i="50"/>
  <c r="F103" i="50"/>
  <c r="F102" i="50"/>
  <c r="F104" i="52"/>
  <c r="F98" i="52"/>
  <c r="F102" i="52"/>
  <c r="F99" i="52"/>
  <c r="F100" i="52"/>
  <c r="F104" i="51"/>
  <c r="F100" i="51"/>
  <c r="F103" i="51"/>
  <c r="F99" i="51"/>
  <c r="F98" i="51"/>
  <c r="F102" i="51"/>
  <c r="F98" i="53"/>
  <c r="F103" i="53"/>
  <c r="F99" i="53"/>
  <c r="F104" i="53"/>
  <c r="F100" i="53"/>
  <c r="F102" i="53"/>
  <c r="F102" i="57"/>
  <c r="F103" i="3"/>
  <c r="F98" i="3"/>
  <c r="F104" i="3"/>
  <c r="F100" i="3"/>
  <c r="F99" i="3"/>
  <c r="F102" i="3"/>
  <c r="F100" i="12"/>
  <c r="F103" i="12"/>
  <c r="F104" i="12"/>
  <c r="F98" i="12"/>
  <c r="F99" i="12"/>
  <c r="F102" i="12"/>
  <c r="F104" i="15"/>
  <c r="F98" i="15"/>
  <c r="F100" i="15"/>
  <c r="F103" i="15"/>
  <c r="F99" i="15"/>
  <c r="F102" i="15"/>
  <c r="F99" i="17"/>
  <c r="F98" i="17"/>
  <c r="F103" i="17"/>
  <c r="F100" i="17"/>
  <c r="F104" i="17"/>
  <c r="F102" i="17"/>
  <c r="F100" i="26"/>
  <c r="F103" i="26"/>
  <c r="F98" i="26"/>
  <c r="F99" i="26"/>
  <c r="F102" i="26"/>
  <c r="F104" i="26"/>
  <c r="F100" i="40"/>
  <c r="F99" i="40"/>
  <c r="F104" i="40"/>
  <c r="F98" i="40"/>
  <c r="F102" i="40"/>
  <c r="F103" i="40"/>
  <c r="F103" i="48"/>
  <c r="F99" i="48"/>
  <c r="F100" i="48"/>
  <c r="F104" i="48"/>
  <c r="F98" i="48"/>
  <c r="F104" i="20"/>
  <c r="F100" i="20"/>
  <c r="F99" i="20"/>
  <c r="F103" i="20"/>
  <c r="F98" i="20"/>
  <c r="S42" i="63"/>
  <c r="F104" i="57"/>
  <c r="F103" i="57"/>
  <c r="F98" i="57"/>
  <c r="F99" i="57"/>
  <c r="F100" i="57"/>
  <c r="F64" i="60"/>
  <c r="N44" i="63"/>
  <c r="N64" i="63" s="1"/>
  <c r="F109" i="48"/>
  <c r="F118" i="48" s="1"/>
  <c r="C118" i="48"/>
  <c r="C118" i="55"/>
  <c r="F109" i="55"/>
  <c r="F118" i="55" s="1"/>
  <c r="V61" i="63"/>
  <c r="T61" i="63"/>
  <c r="L61" i="63"/>
  <c r="H61" i="63"/>
  <c r="J61" i="63"/>
  <c r="C118" i="57"/>
  <c r="F109" i="57"/>
  <c r="F118" i="57" s="1"/>
  <c r="D105" i="32"/>
  <c r="F101" i="32" s="1"/>
  <c r="F95" i="32"/>
  <c r="F32" i="63" s="1"/>
  <c r="D105" i="36"/>
  <c r="F101" i="36" s="1"/>
  <c r="F95" i="36"/>
  <c r="F28" i="63" s="1"/>
  <c r="F68" i="60"/>
  <c r="D105" i="31"/>
  <c r="F101" i="31" s="1"/>
  <c r="F95" i="31"/>
  <c r="F33" i="63" s="1"/>
  <c r="U61" i="63"/>
  <c r="G61" i="63"/>
  <c r="S61" i="63"/>
  <c r="D95" i="60"/>
  <c r="D105" i="60" s="1"/>
  <c r="D33" i="60"/>
  <c r="B64" i="63" s="1"/>
  <c r="F118" i="20"/>
  <c r="F105" i="6"/>
  <c r="E31" i="6"/>
  <c r="F31" i="6" s="1"/>
  <c r="AB55" i="62" s="1"/>
  <c r="E29" i="6"/>
  <c r="F29" i="6" s="1"/>
  <c r="Z55" i="62" s="1"/>
  <c r="E27" i="6"/>
  <c r="F27" i="6" s="1"/>
  <c r="X55" i="62" s="1"/>
  <c r="E25" i="6"/>
  <c r="F25" i="6" s="1"/>
  <c r="V55" i="62" s="1"/>
  <c r="E23" i="6"/>
  <c r="F23" i="6" s="1"/>
  <c r="T55" i="62" s="1"/>
  <c r="E21" i="6"/>
  <c r="F21" i="6" s="1"/>
  <c r="R55" i="62" s="1"/>
  <c r="E19" i="6"/>
  <c r="F19" i="6" s="1"/>
  <c r="P55" i="62" s="1"/>
  <c r="E17" i="6"/>
  <c r="F17" i="6" s="1"/>
  <c r="N55" i="62" s="1"/>
  <c r="E15" i="6"/>
  <c r="F15" i="6" s="1"/>
  <c r="L55" i="62" s="1"/>
  <c r="E32" i="6"/>
  <c r="F32" i="6" s="1"/>
  <c r="AC55" i="62" s="1"/>
  <c r="E30" i="6"/>
  <c r="F30" i="6" s="1"/>
  <c r="AA55" i="62" s="1"/>
  <c r="E28" i="6"/>
  <c r="F28" i="6" s="1"/>
  <c r="Y55" i="62" s="1"/>
  <c r="E26" i="6"/>
  <c r="F26" i="6" s="1"/>
  <c r="W55" i="62" s="1"/>
  <c r="E24" i="6"/>
  <c r="F24" i="6" s="1"/>
  <c r="U55" i="62" s="1"/>
  <c r="E22" i="6"/>
  <c r="F22" i="6" s="1"/>
  <c r="S55" i="62" s="1"/>
  <c r="E20" i="6"/>
  <c r="F20" i="6" s="1"/>
  <c r="Q55" i="62" s="1"/>
  <c r="E18" i="6"/>
  <c r="F18" i="6" s="1"/>
  <c r="O55" i="62" s="1"/>
  <c r="E16" i="6"/>
  <c r="F16" i="6" s="1"/>
  <c r="M55" i="62" s="1"/>
  <c r="E14" i="6"/>
  <c r="F14" i="6" s="1"/>
  <c r="K55" i="62" s="1"/>
  <c r="E12" i="6"/>
  <c r="F12" i="6" s="1"/>
  <c r="I55" i="62" s="1"/>
  <c r="E10" i="6"/>
  <c r="F10" i="6" s="1"/>
  <c r="G55" i="62" s="1"/>
  <c r="E8" i="6"/>
  <c r="F8" i="6" s="1"/>
  <c r="E55" i="62" s="1"/>
  <c r="E6" i="6"/>
  <c r="F6" i="6" s="1"/>
  <c r="C55" i="62" s="1"/>
  <c r="E13" i="6"/>
  <c r="F13" i="6" s="1"/>
  <c r="J55" i="62" s="1"/>
  <c r="E11" i="6"/>
  <c r="F11" i="6" s="1"/>
  <c r="H55" i="62" s="1"/>
  <c r="E9" i="6"/>
  <c r="F9" i="6" s="1"/>
  <c r="F55" i="62" s="1"/>
  <c r="E7" i="6"/>
  <c r="F7" i="6" s="1"/>
  <c r="D55" i="62" s="1"/>
  <c r="E5" i="6"/>
  <c r="F105" i="7"/>
  <c r="E32" i="7"/>
  <c r="F32" i="7" s="1"/>
  <c r="AC54" i="62" s="1"/>
  <c r="E30" i="7"/>
  <c r="F30" i="7" s="1"/>
  <c r="AA54" i="62" s="1"/>
  <c r="E28" i="7"/>
  <c r="F28" i="7" s="1"/>
  <c r="Y54" i="62" s="1"/>
  <c r="E26" i="7"/>
  <c r="F26" i="7" s="1"/>
  <c r="W54" i="62" s="1"/>
  <c r="E24" i="7"/>
  <c r="F24" i="7" s="1"/>
  <c r="U54" i="62" s="1"/>
  <c r="E22" i="7"/>
  <c r="F22" i="7" s="1"/>
  <c r="S54" i="62" s="1"/>
  <c r="E20" i="7"/>
  <c r="F20" i="7" s="1"/>
  <c r="Q54" i="62" s="1"/>
  <c r="E18" i="7"/>
  <c r="F18" i="7" s="1"/>
  <c r="O54" i="62" s="1"/>
  <c r="E16" i="7"/>
  <c r="F16" i="7" s="1"/>
  <c r="M54" i="62" s="1"/>
  <c r="E14" i="7"/>
  <c r="F14" i="7" s="1"/>
  <c r="K54" i="62" s="1"/>
  <c r="E12" i="7"/>
  <c r="F12" i="7" s="1"/>
  <c r="I54" i="62" s="1"/>
  <c r="E10" i="7"/>
  <c r="F10" i="7" s="1"/>
  <c r="G54" i="62" s="1"/>
  <c r="E8" i="7"/>
  <c r="F8" i="7" s="1"/>
  <c r="E54" i="62" s="1"/>
  <c r="E6" i="7"/>
  <c r="F6" i="7" s="1"/>
  <c r="C54" i="62" s="1"/>
  <c r="E31" i="7"/>
  <c r="F31" i="7" s="1"/>
  <c r="AB54" i="62" s="1"/>
  <c r="E29" i="7"/>
  <c r="F29" i="7" s="1"/>
  <c r="Z54" i="62" s="1"/>
  <c r="E27" i="7"/>
  <c r="F27" i="7" s="1"/>
  <c r="X54" i="62" s="1"/>
  <c r="E25" i="7"/>
  <c r="F25" i="7" s="1"/>
  <c r="V54" i="62" s="1"/>
  <c r="E23" i="7"/>
  <c r="F23" i="7" s="1"/>
  <c r="T54" i="62" s="1"/>
  <c r="E21" i="7"/>
  <c r="F21" i="7" s="1"/>
  <c r="R54" i="62" s="1"/>
  <c r="E19" i="7"/>
  <c r="F19" i="7" s="1"/>
  <c r="P54" i="62" s="1"/>
  <c r="E17" i="7"/>
  <c r="F17" i="7" s="1"/>
  <c r="N54" i="62" s="1"/>
  <c r="E15" i="7"/>
  <c r="F15" i="7" s="1"/>
  <c r="L54" i="62" s="1"/>
  <c r="E13" i="7"/>
  <c r="F13" i="7" s="1"/>
  <c r="J54" i="62" s="1"/>
  <c r="E11" i="7"/>
  <c r="F11" i="7" s="1"/>
  <c r="H54" i="62" s="1"/>
  <c r="E9" i="7"/>
  <c r="F9" i="7" s="1"/>
  <c r="F54" i="62" s="1"/>
  <c r="E7" i="7"/>
  <c r="F7" i="7" s="1"/>
  <c r="D54" i="62" s="1"/>
  <c r="E5" i="7"/>
  <c r="F105" i="16"/>
  <c r="E31" i="16"/>
  <c r="F31" i="16" s="1"/>
  <c r="AB45" i="62" s="1"/>
  <c r="E29" i="16"/>
  <c r="F29" i="16" s="1"/>
  <c r="Z45" i="62" s="1"/>
  <c r="E27" i="16"/>
  <c r="F27" i="16" s="1"/>
  <c r="X45" i="62" s="1"/>
  <c r="E25" i="16"/>
  <c r="F25" i="16" s="1"/>
  <c r="V45" i="62" s="1"/>
  <c r="E23" i="16"/>
  <c r="F23" i="16" s="1"/>
  <c r="T45" i="62" s="1"/>
  <c r="E21" i="16"/>
  <c r="F21" i="16" s="1"/>
  <c r="R45" i="62" s="1"/>
  <c r="E19" i="16"/>
  <c r="F19" i="16" s="1"/>
  <c r="P45" i="62" s="1"/>
  <c r="E17" i="16"/>
  <c r="F17" i="16" s="1"/>
  <c r="N45" i="62" s="1"/>
  <c r="E15" i="16"/>
  <c r="F15" i="16" s="1"/>
  <c r="L45" i="62" s="1"/>
  <c r="E13" i="16"/>
  <c r="F13" i="16" s="1"/>
  <c r="J45" i="62" s="1"/>
  <c r="E11" i="16"/>
  <c r="F11" i="16" s="1"/>
  <c r="H45" i="62" s="1"/>
  <c r="E9" i="16"/>
  <c r="F9" i="16" s="1"/>
  <c r="F45" i="62" s="1"/>
  <c r="E7" i="16"/>
  <c r="F7" i="16" s="1"/>
  <c r="D45" i="62" s="1"/>
  <c r="E5" i="16"/>
  <c r="E32" i="16"/>
  <c r="F32" i="16" s="1"/>
  <c r="AC45" i="62" s="1"/>
  <c r="E30" i="16"/>
  <c r="F30" i="16" s="1"/>
  <c r="AA45" i="62" s="1"/>
  <c r="E28" i="16"/>
  <c r="F28" i="16" s="1"/>
  <c r="Y45" i="62" s="1"/>
  <c r="E26" i="16"/>
  <c r="F26" i="16" s="1"/>
  <c r="W45" i="62" s="1"/>
  <c r="E24" i="16"/>
  <c r="F24" i="16" s="1"/>
  <c r="U45" i="62" s="1"/>
  <c r="E22" i="16"/>
  <c r="F22" i="16" s="1"/>
  <c r="S45" i="62" s="1"/>
  <c r="E20" i="16"/>
  <c r="F20" i="16" s="1"/>
  <c r="Q45" i="62" s="1"/>
  <c r="E18" i="16"/>
  <c r="F18" i="16" s="1"/>
  <c r="O45" i="62" s="1"/>
  <c r="E16" i="16"/>
  <c r="F16" i="16" s="1"/>
  <c r="M45" i="62" s="1"/>
  <c r="E14" i="16"/>
  <c r="F14" i="16" s="1"/>
  <c r="K45" i="62" s="1"/>
  <c r="E12" i="16"/>
  <c r="F12" i="16" s="1"/>
  <c r="I45" i="62" s="1"/>
  <c r="E10" i="16"/>
  <c r="F10" i="16" s="1"/>
  <c r="G45" i="62" s="1"/>
  <c r="E8" i="16"/>
  <c r="F8" i="16" s="1"/>
  <c r="E45" i="62" s="1"/>
  <c r="E6" i="16"/>
  <c r="F6" i="16" s="1"/>
  <c r="C45" i="62" s="1"/>
  <c r="F105" i="20"/>
  <c r="E31" i="20"/>
  <c r="F31" i="20" s="1"/>
  <c r="AB41" i="62" s="1"/>
  <c r="E29" i="20"/>
  <c r="F29" i="20" s="1"/>
  <c r="Z41" i="62" s="1"/>
  <c r="E27" i="20"/>
  <c r="F27" i="20" s="1"/>
  <c r="X41" i="62" s="1"/>
  <c r="E25" i="20"/>
  <c r="F25" i="20" s="1"/>
  <c r="V41" i="62" s="1"/>
  <c r="E23" i="20"/>
  <c r="F23" i="20" s="1"/>
  <c r="T41" i="62" s="1"/>
  <c r="E21" i="20"/>
  <c r="F21" i="20" s="1"/>
  <c r="R41" i="62" s="1"/>
  <c r="E19" i="20"/>
  <c r="F19" i="20" s="1"/>
  <c r="P41" i="62" s="1"/>
  <c r="E17" i="20"/>
  <c r="F17" i="20" s="1"/>
  <c r="N41" i="62" s="1"/>
  <c r="E15" i="20"/>
  <c r="F15" i="20" s="1"/>
  <c r="L41" i="62" s="1"/>
  <c r="E13" i="20"/>
  <c r="F13" i="20" s="1"/>
  <c r="J41" i="62" s="1"/>
  <c r="E11" i="20"/>
  <c r="F11" i="20" s="1"/>
  <c r="H41" i="62" s="1"/>
  <c r="E9" i="20"/>
  <c r="F9" i="20" s="1"/>
  <c r="F41" i="62" s="1"/>
  <c r="E7" i="20"/>
  <c r="F7" i="20" s="1"/>
  <c r="D41" i="62" s="1"/>
  <c r="E5" i="20"/>
  <c r="E32" i="20"/>
  <c r="F32" i="20" s="1"/>
  <c r="AC41" i="62" s="1"/>
  <c r="E30" i="20"/>
  <c r="F30" i="20" s="1"/>
  <c r="AA41" i="62" s="1"/>
  <c r="E28" i="20"/>
  <c r="F28" i="20" s="1"/>
  <c r="Y41" i="62" s="1"/>
  <c r="E26" i="20"/>
  <c r="F26" i="20" s="1"/>
  <c r="W41" i="62" s="1"/>
  <c r="E24" i="20"/>
  <c r="F24" i="20" s="1"/>
  <c r="U41" i="62" s="1"/>
  <c r="E22" i="20"/>
  <c r="F22" i="20" s="1"/>
  <c r="S41" i="62" s="1"/>
  <c r="E20" i="20"/>
  <c r="F20" i="20" s="1"/>
  <c r="Q41" i="62" s="1"/>
  <c r="E18" i="20"/>
  <c r="F18" i="20" s="1"/>
  <c r="O41" i="62" s="1"/>
  <c r="E16" i="20"/>
  <c r="F16" i="20" s="1"/>
  <c r="M41" i="62" s="1"/>
  <c r="E14" i="20"/>
  <c r="F14" i="20" s="1"/>
  <c r="K41" i="62" s="1"/>
  <c r="E12" i="20"/>
  <c r="F12" i="20" s="1"/>
  <c r="I41" i="62" s="1"/>
  <c r="E10" i="20"/>
  <c r="F10" i="20" s="1"/>
  <c r="G41" i="62" s="1"/>
  <c r="E8" i="20"/>
  <c r="F8" i="20" s="1"/>
  <c r="E41" i="62" s="1"/>
  <c r="E6" i="20"/>
  <c r="F6" i="20" s="1"/>
  <c r="C41" i="62" s="1"/>
  <c r="E32" i="34"/>
  <c r="F32" i="34" s="1"/>
  <c r="AC27" i="62" s="1"/>
  <c r="E30" i="34"/>
  <c r="F30" i="34" s="1"/>
  <c r="AA27" i="62" s="1"/>
  <c r="E28" i="34"/>
  <c r="F28" i="34" s="1"/>
  <c r="Y27" i="62" s="1"/>
  <c r="E26" i="34"/>
  <c r="F26" i="34" s="1"/>
  <c r="W27" i="62" s="1"/>
  <c r="E24" i="34"/>
  <c r="F24" i="34" s="1"/>
  <c r="U27" i="62" s="1"/>
  <c r="E22" i="34"/>
  <c r="F22" i="34" s="1"/>
  <c r="S27" i="62" s="1"/>
  <c r="E20" i="34"/>
  <c r="F20" i="34" s="1"/>
  <c r="Q27" i="62" s="1"/>
  <c r="E18" i="34"/>
  <c r="F18" i="34" s="1"/>
  <c r="O27" i="62" s="1"/>
  <c r="E16" i="34"/>
  <c r="F16" i="34" s="1"/>
  <c r="M27" i="62" s="1"/>
  <c r="E14" i="34"/>
  <c r="F14" i="34" s="1"/>
  <c r="K27" i="62" s="1"/>
  <c r="E12" i="34"/>
  <c r="F12" i="34" s="1"/>
  <c r="I27" i="62" s="1"/>
  <c r="E10" i="34"/>
  <c r="F10" i="34" s="1"/>
  <c r="G27" i="62" s="1"/>
  <c r="E8" i="34"/>
  <c r="F8" i="34" s="1"/>
  <c r="E27" i="62" s="1"/>
  <c r="E6" i="34"/>
  <c r="F6" i="34" s="1"/>
  <c r="C27" i="62" s="1"/>
  <c r="F105" i="34"/>
  <c r="E31" i="34"/>
  <c r="F31" i="34" s="1"/>
  <c r="AB27" i="62" s="1"/>
  <c r="E29" i="34"/>
  <c r="F29" i="34" s="1"/>
  <c r="Z27" i="62" s="1"/>
  <c r="E27" i="34"/>
  <c r="F27" i="34" s="1"/>
  <c r="X27" i="62" s="1"/>
  <c r="E25" i="34"/>
  <c r="F25" i="34" s="1"/>
  <c r="V27" i="62" s="1"/>
  <c r="E23" i="34"/>
  <c r="F23" i="34" s="1"/>
  <c r="T27" i="62" s="1"/>
  <c r="E21" i="34"/>
  <c r="F21" i="34" s="1"/>
  <c r="R27" i="62" s="1"/>
  <c r="E19" i="34"/>
  <c r="F19" i="34" s="1"/>
  <c r="P27" i="62" s="1"/>
  <c r="E17" i="34"/>
  <c r="F17" i="34" s="1"/>
  <c r="N27" i="62" s="1"/>
  <c r="E15" i="34"/>
  <c r="F15" i="34" s="1"/>
  <c r="L27" i="62" s="1"/>
  <c r="E13" i="34"/>
  <c r="F13" i="34" s="1"/>
  <c r="J27" i="62" s="1"/>
  <c r="E11" i="34"/>
  <c r="F11" i="34" s="1"/>
  <c r="H27" i="62" s="1"/>
  <c r="E9" i="34"/>
  <c r="F9" i="34" s="1"/>
  <c r="F27" i="62" s="1"/>
  <c r="E7" i="34"/>
  <c r="F7" i="34" s="1"/>
  <c r="D27" i="62" s="1"/>
  <c r="E5" i="34"/>
  <c r="E32" i="55"/>
  <c r="F32" i="55" s="1"/>
  <c r="AC6" i="62" s="1"/>
  <c r="E30" i="55"/>
  <c r="F30" i="55" s="1"/>
  <c r="AA6" i="62" s="1"/>
  <c r="E28" i="55"/>
  <c r="F28" i="55" s="1"/>
  <c r="Y6" i="62" s="1"/>
  <c r="E26" i="55"/>
  <c r="F26" i="55" s="1"/>
  <c r="W6" i="62" s="1"/>
  <c r="E24" i="55"/>
  <c r="F24" i="55" s="1"/>
  <c r="U6" i="62" s="1"/>
  <c r="E22" i="55"/>
  <c r="F22" i="55" s="1"/>
  <c r="S6" i="62" s="1"/>
  <c r="E20" i="55"/>
  <c r="F20" i="55" s="1"/>
  <c r="Q6" i="62" s="1"/>
  <c r="E18" i="55"/>
  <c r="F18" i="55" s="1"/>
  <c r="O6" i="62" s="1"/>
  <c r="E16" i="55"/>
  <c r="F16" i="55" s="1"/>
  <c r="M6" i="62" s="1"/>
  <c r="E14" i="55"/>
  <c r="F14" i="55" s="1"/>
  <c r="K6" i="62" s="1"/>
  <c r="E12" i="55"/>
  <c r="F12" i="55" s="1"/>
  <c r="I6" i="62" s="1"/>
  <c r="E10" i="55"/>
  <c r="F10" i="55" s="1"/>
  <c r="G6" i="62" s="1"/>
  <c r="E8" i="55"/>
  <c r="F8" i="55" s="1"/>
  <c r="E6" i="62" s="1"/>
  <c r="E6" i="55"/>
  <c r="F6" i="55" s="1"/>
  <c r="C6" i="62" s="1"/>
  <c r="F105" i="55"/>
  <c r="E31" i="55"/>
  <c r="F31" i="55" s="1"/>
  <c r="AB6" i="62" s="1"/>
  <c r="E29" i="55"/>
  <c r="F29" i="55" s="1"/>
  <c r="Z6" i="62" s="1"/>
  <c r="E27" i="55"/>
  <c r="F27" i="55" s="1"/>
  <c r="X6" i="62" s="1"/>
  <c r="E25" i="55"/>
  <c r="F25" i="55" s="1"/>
  <c r="V6" i="62" s="1"/>
  <c r="E23" i="55"/>
  <c r="F23" i="55" s="1"/>
  <c r="T6" i="62" s="1"/>
  <c r="E21" i="55"/>
  <c r="F21" i="55" s="1"/>
  <c r="R6" i="62" s="1"/>
  <c r="E19" i="55"/>
  <c r="F19" i="55" s="1"/>
  <c r="P6" i="62" s="1"/>
  <c r="E17" i="55"/>
  <c r="F17" i="55" s="1"/>
  <c r="N6" i="62" s="1"/>
  <c r="E15" i="55"/>
  <c r="F15" i="55" s="1"/>
  <c r="L6" i="62" s="1"/>
  <c r="E13" i="55"/>
  <c r="F13" i="55" s="1"/>
  <c r="J6" i="62" s="1"/>
  <c r="E11" i="55"/>
  <c r="F11" i="55" s="1"/>
  <c r="H6" i="62" s="1"/>
  <c r="E9" i="55"/>
  <c r="F9" i="55" s="1"/>
  <c r="F6" i="62" s="1"/>
  <c r="E7" i="55"/>
  <c r="F7" i="55" s="1"/>
  <c r="D6" i="62" s="1"/>
  <c r="E5" i="55"/>
  <c r="F105" i="21"/>
  <c r="E31" i="21"/>
  <c r="F31" i="21" s="1"/>
  <c r="AB40" i="62" s="1"/>
  <c r="E29" i="21"/>
  <c r="F29" i="21" s="1"/>
  <c r="Z40" i="62" s="1"/>
  <c r="E27" i="21"/>
  <c r="F27" i="21" s="1"/>
  <c r="X40" i="62" s="1"/>
  <c r="E25" i="21"/>
  <c r="F25" i="21" s="1"/>
  <c r="V40" i="62" s="1"/>
  <c r="E23" i="21"/>
  <c r="F23" i="21" s="1"/>
  <c r="T40" i="62" s="1"/>
  <c r="E21" i="21"/>
  <c r="F21" i="21" s="1"/>
  <c r="R40" i="62" s="1"/>
  <c r="E19" i="21"/>
  <c r="F19" i="21" s="1"/>
  <c r="P40" i="62" s="1"/>
  <c r="E17" i="21"/>
  <c r="F17" i="21" s="1"/>
  <c r="N40" i="62" s="1"/>
  <c r="E15" i="21"/>
  <c r="F15" i="21" s="1"/>
  <c r="L40" i="62" s="1"/>
  <c r="E13" i="21"/>
  <c r="F13" i="21" s="1"/>
  <c r="J40" i="62" s="1"/>
  <c r="E11" i="21"/>
  <c r="F11" i="21" s="1"/>
  <c r="H40" i="62" s="1"/>
  <c r="E9" i="21"/>
  <c r="F9" i="21" s="1"/>
  <c r="F40" i="62" s="1"/>
  <c r="E7" i="21"/>
  <c r="F7" i="21" s="1"/>
  <c r="D40" i="62" s="1"/>
  <c r="E5" i="21"/>
  <c r="E32" i="21"/>
  <c r="F32" i="21" s="1"/>
  <c r="AC40" i="62" s="1"/>
  <c r="E30" i="21"/>
  <c r="F30" i="21" s="1"/>
  <c r="AA40" i="62" s="1"/>
  <c r="E28" i="21"/>
  <c r="F28" i="21" s="1"/>
  <c r="Y40" i="62" s="1"/>
  <c r="E26" i="21"/>
  <c r="F26" i="21" s="1"/>
  <c r="W40" i="62" s="1"/>
  <c r="E24" i="21"/>
  <c r="F24" i="21" s="1"/>
  <c r="U40" i="62" s="1"/>
  <c r="E22" i="21"/>
  <c r="F22" i="21" s="1"/>
  <c r="S40" i="62" s="1"/>
  <c r="E20" i="21"/>
  <c r="F20" i="21" s="1"/>
  <c r="Q40" i="62" s="1"/>
  <c r="E18" i="21"/>
  <c r="F18" i="21" s="1"/>
  <c r="O40" i="62" s="1"/>
  <c r="E16" i="21"/>
  <c r="F16" i="21" s="1"/>
  <c r="M40" i="62" s="1"/>
  <c r="E14" i="21"/>
  <c r="F14" i="21" s="1"/>
  <c r="K40" i="62" s="1"/>
  <c r="E12" i="21"/>
  <c r="F12" i="21" s="1"/>
  <c r="I40" i="62" s="1"/>
  <c r="E10" i="21"/>
  <c r="F10" i="21" s="1"/>
  <c r="G40" i="62" s="1"/>
  <c r="E8" i="21"/>
  <c r="F8" i="21" s="1"/>
  <c r="E40" i="62" s="1"/>
  <c r="E6" i="21"/>
  <c r="F6" i="21" s="1"/>
  <c r="C40" i="62" s="1"/>
  <c r="E32" i="19"/>
  <c r="F32" i="19" s="1"/>
  <c r="AC42" i="62" s="1"/>
  <c r="E30" i="19"/>
  <c r="F30" i="19" s="1"/>
  <c r="AA42" i="62" s="1"/>
  <c r="E28" i="19"/>
  <c r="F28" i="19" s="1"/>
  <c r="Y42" i="62" s="1"/>
  <c r="E26" i="19"/>
  <c r="F26" i="19" s="1"/>
  <c r="W42" i="62" s="1"/>
  <c r="E24" i="19"/>
  <c r="F24" i="19" s="1"/>
  <c r="U42" i="62" s="1"/>
  <c r="E22" i="19"/>
  <c r="F22" i="19" s="1"/>
  <c r="S42" i="62" s="1"/>
  <c r="E20" i="19"/>
  <c r="F20" i="19" s="1"/>
  <c r="Q42" i="62" s="1"/>
  <c r="E18" i="19"/>
  <c r="F18" i="19" s="1"/>
  <c r="O42" i="62" s="1"/>
  <c r="E16" i="19"/>
  <c r="F16" i="19" s="1"/>
  <c r="M42" i="62" s="1"/>
  <c r="E14" i="19"/>
  <c r="F14" i="19" s="1"/>
  <c r="K42" i="62" s="1"/>
  <c r="E12" i="19"/>
  <c r="F12" i="19" s="1"/>
  <c r="I42" i="62" s="1"/>
  <c r="E10" i="19"/>
  <c r="F10" i="19" s="1"/>
  <c r="G42" i="62" s="1"/>
  <c r="E8" i="19"/>
  <c r="F8" i="19" s="1"/>
  <c r="E42" i="62" s="1"/>
  <c r="E6" i="19"/>
  <c r="F6" i="19" s="1"/>
  <c r="C42" i="62" s="1"/>
  <c r="F105" i="19"/>
  <c r="E31" i="19"/>
  <c r="F31" i="19" s="1"/>
  <c r="AB42" i="62" s="1"/>
  <c r="E29" i="19"/>
  <c r="F29" i="19" s="1"/>
  <c r="Z42" i="62" s="1"/>
  <c r="E27" i="19"/>
  <c r="F27" i="19" s="1"/>
  <c r="X42" i="62" s="1"/>
  <c r="E25" i="19"/>
  <c r="F25" i="19" s="1"/>
  <c r="V42" i="62" s="1"/>
  <c r="E23" i="19"/>
  <c r="F23" i="19" s="1"/>
  <c r="T42" i="62" s="1"/>
  <c r="E21" i="19"/>
  <c r="F21" i="19" s="1"/>
  <c r="R42" i="62" s="1"/>
  <c r="E19" i="19"/>
  <c r="F19" i="19" s="1"/>
  <c r="P42" i="62" s="1"/>
  <c r="E17" i="19"/>
  <c r="F17" i="19" s="1"/>
  <c r="N42" i="62" s="1"/>
  <c r="E15" i="19"/>
  <c r="F15" i="19" s="1"/>
  <c r="L42" i="62" s="1"/>
  <c r="E13" i="19"/>
  <c r="F13" i="19" s="1"/>
  <c r="J42" i="62" s="1"/>
  <c r="E11" i="19"/>
  <c r="F11" i="19" s="1"/>
  <c r="H42" i="62" s="1"/>
  <c r="E9" i="19"/>
  <c r="F9" i="19" s="1"/>
  <c r="F42" i="62" s="1"/>
  <c r="E7" i="19"/>
  <c r="F7" i="19" s="1"/>
  <c r="D42" i="62" s="1"/>
  <c r="E5" i="19"/>
  <c r="E32" i="28"/>
  <c r="F32" i="28" s="1"/>
  <c r="AC33" i="62" s="1"/>
  <c r="E30" i="28"/>
  <c r="F30" i="28" s="1"/>
  <c r="AA33" i="62" s="1"/>
  <c r="E28" i="28"/>
  <c r="F28" i="28" s="1"/>
  <c r="Y33" i="62" s="1"/>
  <c r="E26" i="28"/>
  <c r="F26" i="28" s="1"/>
  <c r="W33" i="62" s="1"/>
  <c r="E24" i="28"/>
  <c r="F24" i="28" s="1"/>
  <c r="U33" i="62" s="1"/>
  <c r="E22" i="28"/>
  <c r="F22" i="28" s="1"/>
  <c r="S33" i="62" s="1"/>
  <c r="E20" i="28"/>
  <c r="F20" i="28" s="1"/>
  <c r="Q33" i="62" s="1"/>
  <c r="E18" i="28"/>
  <c r="F18" i="28" s="1"/>
  <c r="O33" i="62" s="1"/>
  <c r="E16" i="28"/>
  <c r="F16" i="28" s="1"/>
  <c r="M33" i="62" s="1"/>
  <c r="E14" i="28"/>
  <c r="F14" i="28" s="1"/>
  <c r="K33" i="62" s="1"/>
  <c r="E12" i="28"/>
  <c r="F12" i="28" s="1"/>
  <c r="I33" i="62" s="1"/>
  <c r="E10" i="28"/>
  <c r="F10" i="28" s="1"/>
  <c r="G33" i="62" s="1"/>
  <c r="E8" i="28"/>
  <c r="F8" i="28" s="1"/>
  <c r="E33" i="62" s="1"/>
  <c r="E6" i="28"/>
  <c r="F6" i="28" s="1"/>
  <c r="C33" i="62" s="1"/>
  <c r="F105" i="28"/>
  <c r="E31" i="28"/>
  <c r="F31" i="28" s="1"/>
  <c r="AB33" i="62" s="1"/>
  <c r="E29" i="28"/>
  <c r="F29" i="28" s="1"/>
  <c r="Z33" i="62" s="1"/>
  <c r="E27" i="28"/>
  <c r="F27" i="28" s="1"/>
  <c r="X33" i="62" s="1"/>
  <c r="E25" i="28"/>
  <c r="F25" i="28" s="1"/>
  <c r="V33" i="62" s="1"/>
  <c r="E23" i="28"/>
  <c r="F23" i="28" s="1"/>
  <c r="T33" i="62" s="1"/>
  <c r="E21" i="28"/>
  <c r="F21" i="28" s="1"/>
  <c r="R33" i="62" s="1"/>
  <c r="E19" i="28"/>
  <c r="F19" i="28" s="1"/>
  <c r="P33" i="62" s="1"/>
  <c r="E17" i="28"/>
  <c r="F17" i="28" s="1"/>
  <c r="N33" i="62" s="1"/>
  <c r="E15" i="28"/>
  <c r="F15" i="28" s="1"/>
  <c r="L33" i="62" s="1"/>
  <c r="E13" i="28"/>
  <c r="F13" i="28" s="1"/>
  <c r="J33" i="62" s="1"/>
  <c r="E11" i="28"/>
  <c r="F11" i="28" s="1"/>
  <c r="H33" i="62" s="1"/>
  <c r="E9" i="28"/>
  <c r="F9" i="28" s="1"/>
  <c r="F33" i="62" s="1"/>
  <c r="E7" i="28"/>
  <c r="F7" i="28" s="1"/>
  <c r="D33" i="62" s="1"/>
  <c r="E5" i="28"/>
  <c r="E32" i="24"/>
  <c r="F32" i="24" s="1"/>
  <c r="AC37" i="62" s="1"/>
  <c r="E30" i="24"/>
  <c r="F30" i="24" s="1"/>
  <c r="AA37" i="62" s="1"/>
  <c r="E28" i="24"/>
  <c r="F28" i="24" s="1"/>
  <c r="Y37" i="62" s="1"/>
  <c r="E26" i="24"/>
  <c r="F26" i="24" s="1"/>
  <c r="W37" i="62" s="1"/>
  <c r="E24" i="24"/>
  <c r="F24" i="24" s="1"/>
  <c r="U37" i="62" s="1"/>
  <c r="E22" i="24"/>
  <c r="F22" i="24" s="1"/>
  <c r="S37" i="62" s="1"/>
  <c r="E20" i="24"/>
  <c r="F20" i="24" s="1"/>
  <c r="Q37" i="62" s="1"/>
  <c r="E18" i="24"/>
  <c r="F18" i="24" s="1"/>
  <c r="O37" i="62" s="1"/>
  <c r="E16" i="24"/>
  <c r="F16" i="24" s="1"/>
  <c r="M37" i="62" s="1"/>
  <c r="E14" i="24"/>
  <c r="F14" i="24" s="1"/>
  <c r="K37" i="62" s="1"/>
  <c r="E12" i="24"/>
  <c r="F12" i="24" s="1"/>
  <c r="I37" i="62" s="1"/>
  <c r="E10" i="24"/>
  <c r="F10" i="24" s="1"/>
  <c r="G37" i="62" s="1"/>
  <c r="E8" i="24"/>
  <c r="F8" i="24" s="1"/>
  <c r="E37" i="62" s="1"/>
  <c r="E6" i="24"/>
  <c r="F6" i="24" s="1"/>
  <c r="C37" i="62" s="1"/>
  <c r="F105" i="24"/>
  <c r="E31" i="24"/>
  <c r="F31" i="24" s="1"/>
  <c r="AB37" i="62" s="1"/>
  <c r="E29" i="24"/>
  <c r="F29" i="24" s="1"/>
  <c r="Z37" i="62" s="1"/>
  <c r="E27" i="24"/>
  <c r="F27" i="24" s="1"/>
  <c r="X37" i="62" s="1"/>
  <c r="E25" i="24"/>
  <c r="F25" i="24" s="1"/>
  <c r="V37" i="62" s="1"/>
  <c r="E23" i="24"/>
  <c r="F23" i="24" s="1"/>
  <c r="T37" i="62" s="1"/>
  <c r="E21" i="24"/>
  <c r="F21" i="24" s="1"/>
  <c r="R37" i="62" s="1"/>
  <c r="E19" i="24"/>
  <c r="F19" i="24" s="1"/>
  <c r="P37" i="62" s="1"/>
  <c r="E17" i="24"/>
  <c r="F17" i="24" s="1"/>
  <c r="N37" i="62" s="1"/>
  <c r="E15" i="24"/>
  <c r="F15" i="24" s="1"/>
  <c r="L37" i="62" s="1"/>
  <c r="E13" i="24"/>
  <c r="F13" i="24" s="1"/>
  <c r="J37" i="62" s="1"/>
  <c r="E11" i="24"/>
  <c r="F11" i="24" s="1"/>
  <c r="H37" i="62" s="1"/>
  <c r="E9" i="24"/>
  <c r="F9" i="24" s="1"/>
  <c r="F37" i="62" s="1"/>
  <c r="E7" i="24"/>
  <c r="F7" i="24" s="1"/>
  <c r="D37" i="62" s="1"/>
  <c r="E5" i="24"/>
  <c r="E32" i="42"/>
  <c r="F32" i="42" s="1"/>
  <c r="AC19" i="62" s="1"/>
  <c r="E30" i="42"/>
  <c r="F30" i="42" s="1"/>
  <c r="AA19" i="62" s="1"/>
  <c r="E28" i="42"/>
  <c r="F28" i="42" s="1"/>
  <c r="Y19" i="62" s="1"/>
  <c r="E26" i="42"/>
  <c r="F26" i="42" s="1"/>
  <c r="W19" i="62" s="1"/>
  <c r="E24" i="42"/>
  <c r="F24" i="42" s="1"/>
  <c r="U19" i="62" s="1"/>
  <c r="E22" i="42"/>
  <c r="F22" i="42" s="1"/>
  <c r="S19" i="62" s="1"/>
  <c r="E20" i="42"/>
  <c r="F20" i="42" s="1"/>
  <c r="Q19" i="62" s="1"/>
  <c r="E18" i="42"/>
  <c r="F18" i="42" s="1"/>
  <c r="O19" i="62" s="1"/>
  <c r="E16" i="42"/>
  <c r="F16" i="42" s="1"/>
  <c r="M19" i="62" s="1"/>
  <c r="E14" i="42"/>
  <c r="F14" i="42" s="1"/>
  <c r="K19" i="62" s="1"/>
  <c r="E12" i="42"/>
  <c r="F12" i="42" s="1"/>
  <c r="I19" i="62" s="1"/>
  <c r="E10" i="42"/>
  <c r="F10" i="42" s="1"/>
  <c r="G19" i="62" s="1"/>
  <c r="E8" i="42"/>
  <c r="F8" i="42" s="1"/>
  <c r="E19" i="62" s="1"/>
  <c r="E6" i="42"/>
  <c r="F6" i="42" s="1"/>
  <c r="C19" i="62" s="1"/>
  <c r="F105" i="42"/>
  <c r="E31" i="42"/>
  <c r="F31" i="42" s="1"/>
  <c r="AB19" i="62" s="1"/>
  <c r="E29" i="42"/>
  <c r="F29" i="42" s="1"/>
  <c r="Z19" i="62" s="1"/>
  <c r="E27" i="42"/>
  <c r="F27" i="42" s="1"/>
  <c r="X19" i="62" s="1"/>
  <c r="E25" i="42"/>
  <c r="F25" i="42" s="1"/>
  <c r="V19" i="62" s="1"/>
  <c r="E23" i="42"/>
  <c r="F23" i="42" s="1"/>
  <c r="T19" i="62" s="1"/>
  <c r="E21" i="42"/>
  <c r="F21" i="42" s="1"/>
  <c r="R19" i="62" s="1"/>
  <c r="E19" i="42"/>
  <c r="F19" i="42" s="1"/>
  <c r="P19" i="62" s="1"/>
  <c r="E17" i="42"/>
  <c r="F17" i="42" s="1"/>
  <c r="N19" i="62" s="1"/>
  <c r="E15" i="42"/>
  <c r="F15" i="42" s="1"/>
  <c r="L19" i="62" s="1"/>
  <c r="E13" i="42"/>
  <c r="F13" i="42" s="1"/>
  <c r="J19" i="62" s="1"/>
  <c r="E11" i="42"/>
  <c r="F11" i="42" s="1"/>
  <c r="H19" i="62" s="1"/>
  <c r="E9" i="42"/>
  <c r="F9" i="42" s="1"/>
  <c r="F19" i="62" s="1"/>
  <c r="E7" i="42"/>
  <c r="F7" i="42" s="1"/>
  <c r="D19" i="62" s="1"/>
  <c r="E5" i="42"/>
  <c r="F105" i="56"/>
  <c r="E31" i="56"/>
  <c r="F31" i="56" s="1"/>
  <c r="AB5" i="62" s="1"/>
  <c r="E29" i="56"/>
  <c r="F29" i="56" s="1"/>
  <c r="Z5" i="62" s="1"/>
  <c r="E27" i="56"/>
  <c r="F27" i="56" s="1"/>
  <c r="X5" i="62" s="1"/>
  <c r="E25" i="56"/>
  <c r="F25" i="56" s="1"/>
  <c r="V5" i="62" s="1"/>
  <c r="E23" i="56"/>
  <c r="F23" i="56" s="1"/>
  <c r="T5" i="62" s="1"/>
  <c r="E21" i="56"/>
  <c r="F21" i="56" s="1"/>
  <c r="R5" i="62" s="1"/>
  <c r="E19" i="56"/>
  <c r="F19" i="56" s="1"/>
  <c r="P5" i="62" s="1"/>
  <c r="E17" i="56"/>
  <c r="F17" i="56" s="1"/>
  <c r="N5" i="62" s="1"/>
  <c r="E15" i="56"/>
  <c r="F15" i="56" s="1"/>
  <c r="L5" i="62" s="1"/>
  <c r="E13" i="56"/>
  <c r="F13" i="56" s="1"/>
  <c r="J5" i="62" s="1"/>
  <c r="E11" i="56"/>
  <c r="F11" i="56" s="1"/>
  <c r="H5" i="62" s="1"/>
  <c r="E9" i="56"/>
  <c r="F9" i="56" s="1"/>
  <c r="F5" i="62" s="1"/>
  <c r="E7" i="56"/>
  <c r="F7" i="56" s="1"/>
  <c r="D5" i="62" s="1"/>
  <c r="E5" i="56"/>
  <c r="E32" i="56"/>
  <c r="F32" i="56" s="1"/>
  <c r="AC5" i="62" s="1"/>
  <c r="E30" i="56"/>
  <c r="F30" i="56" s="1"/>
  <c r="AA5" i="62" s="1"/>
  <c r="E28" i="56"/>
  <c r="F28" i="56" s="1"/>
  <c r="Y5" i="62" s="1"/>
  <c r="E26" i="56"/>
  <c r="F26" i="56" s="1"/>
  <c r="W5" i="62" s="1"/>
  <c r="E24" i="56"/>
  <c r="F24" i="56" s="1"/>
  <c r="U5" i="62" s="1"/>
  <c r="E22" i="56"/>
  <c r="F22" i="56" s="1"/>
  <c r="S5" i="62" s="1"/>
  <c r="E20" i="56"/>
  <c r="F20" i="56" s="1"/>
  <c r="Q5" i="62" s="1"/>
  <c r="E18" i="56"/>
  <c r="F18" i="56" s="1"/>
  <c r="O5" i="62" s="1"/>
  <c r="E16" i="56"/>
  <c r="F16" i="56" s="1"/>
  <c r="M5" i="62" s="1"/>
  <c r="E14" i="56"/>
  <c r="F14" i="56" s="1"/>
  <c r="K5" i="62" s="1"/>
  <c r="E12" i="56"/>
  <c r="F12" i="56" s="1"/>
  <c r="I5" i="62" s="1"/>
  <c r="E10" i="56"/>
  <c r="F10" i="56" s="1"/>
  <c r="G5" i="62" s="1"/>
  <c r="E8" i="56"/>
  <c r="F8" i="56" s="1"/>
  <c r="E5" i="62" s="1"/>
  <c r="E6" i="56"/>
  <c r="F6" i="56" s="1"/>
  <c r="C5" i="62" s="1"/>
  <c r="F105" i="11"/>
  <c r="E31" i="11"/>
  <c r="F31" i="11" s="1"/>
  <c r="AB50" i="62" s="1"/>
  <c r="E29" i="11"/>
  <c r="F29" i="11" s="1"/>
  <c r="Z50" i="62" s="1"/>
  <c r="E27" i="11"/>
  <c r="F27" i="11" s="1"/>
  <c r="X50" i="62" s="1"/>
  <c r="E25" i="11"/>
  <c r="F25" i="11" s="1"/>
  <c r="V50" i="62" s="1"/>
  <c r="E23" i="11"/>
  <c r="F23" i="11" s="1"/>
  <c r="T50" i="62" s="1"/>
  <c r="E21" i="11"/>
  <c r="F21" i="11" s="1"/>
  <c r="R50" i="62" s="1"/>
  <c r="E19" i="11"/>
  <c r="F19" i="11" s="1"/>
  <c r="P50" i="62" s="1"/>
  <c r="E17" i="11"/>
  <c r="F17" i="11" s="1"/>
  <c r="N50" i="62" s="1"/>
  <c r="E15" i="11"/>
  <c r="F15" i="11" s="1"/>
  <c r="L50" i="62" s="1"/>
  <c r="E13" i="11"/>
  <c r="F13" i="11" s="1"/>
  <c r="J50" i="62" s="1"/>
  <c r="E11" i="11"/>
  <c r="F11" i="11" s="1"/>
  <c r="H50" i="62" s="1"/>
  <c r="E9" i="11"/>
  <c r="F9" i="11" s="1"/>
  <c r="F50" i="62" s="1"/>
  <c r="E7" i="11"/>
  <c r="F7" i="11" s="1"/>
  <c r="D50" i="62" s="1"/>
  <c r="E5" i="11"/>
  <c r="E32" i="11"/>
  <c r="F32" i="11" s="1"/>
  <c r="AC50" i="62" s="1"/>
  <c r="E30" i="11"/>
  <c r="F30" i="11" s="1"/>
  <c r="AA50" i="62" s="1"/>
  <c r="E28" i="11"/>
  <c r="F28" i="11" s="1"/>
  <c r="Y50" i="62" s="1"/>
  <c r="E26" i="11"/>
  <c r="F26" i="11" s="1"/>
  <c r="W50" i="62" s="1"/>
  <c r="E24" i="11"/>
  <c r="F24" i="11" s="1"/>
  <c r="U50" i="62" s="1"/>
  <c r="E22" i="11"/>
  <c r="F22" i="11" s="1"/>
  <c r="S50" i="62" s="1"/>
  <c r="E20" i="11"/>
  <c r="F20" i="11" s="1"/>
  <c r="Q50" i="62" s="1"/>
  <c r="E18" i="11"/>
  <c r="F18" i="11" s="1"/>
  <c r="O50" i="62" s="1"/>
  <c r="E16" i="11"/>
  <c r="F16" i="11" s="1"/>
  <c r="M50" i="62" s="1"/>
  <c r="E14" i="11"/>
  <c r="F14" i="11" s="1"/>
  <c r="K50" i="62" s="1"/>
  <c r="E12" i="11"/>
  <c r="F12" i="11" s="1"/>
  <c r="I50" i="62" s="1"/>
  <c r="E10" i="11"/>
  <c r="F10" i="11" s="1"/>
  <c r="G50" i="62" s="1"/>
  <c r="E8" i="11"/>
  <c r="F8" i="11" s="1"/>
  <c r="E50" i="62" s="1"/>
  <c r="E6" i="11"/>
  <c r="F6" i="11" s="1"/>
  <c r="C50" i="62" s="1"/>
  <c r="F105" i="13"/>
  <c r="E31" i="13"/>
  <c r="F31" i="13" s="1"/>
  <c r="AB48" i="62" s="1"/>
  <c r="E29" i="13"/>
  <c r="F29" i="13" s="1"/>
  <c r="Z48" i="62" s="1"/>
  <c r="E27" i="13"/>
  <c r="F27" i="13" s="1"/>
  <c r="X48" i="62" s="1"/>
  <c r="E25" i="13"/>
  <c r="F25" i="13" s="1"/>
  <c r="V48" i="62" s="1"/>
  <c r="E23" i="13"/>
  <c r="F23" i="13" s="1"/>
  <c r="T48" i="62" s="1"/>
  <c r="E21" i="13"/>
  <c r="F21" i="13" s="1"/>
  <c r="R48" i="62" s="1"/>
  <c r="E19" i="13"/>
  <c r="F19" i="13" s="1"/>
  <c r="P48" i="62" s="1"/>
  <c r="E17" i="13"/>
  <c r="F17" i="13" s="1"/>
  <c r="N48" i="62" s="1"/>
  <c r="E15" i="13"/>
  <c r="F15" i="13" s="1"/>
  <c r="L48" i="62" s="1"/>
  <c r="E13" i="13"/>
  <c r="F13" i="13" s="1"/>
  <c r="J48" i="62" s="1"/>
  <c r="E11" i="13"/>
  <c r="F11" i="13" s="1"/>
  <c r="H48" i="62" s="1"/>
  <c r="E9" i="13"/>
  <c r="F9" i="13" s="1"/>
  <c r="F48" i="62" s="1"/>
  <c r="E7" i="13"/>
  <c r="F7" i="13" s="1"/>
  <c r="D48" i="62" s="1"/>
  <c r="E5" i="13"/>
  <c r="E32" i="13"/>
  <c r="F32" i="13" s="1"/>
  <c r="AC48" i="62" s="1"/>
  <c r="E30" i="13"/>
  <c r="F30" i="13" s="1"/>
  <c r="AA48" i="62" s="1"/>
  <c r="E28" i="13"/>
  <c r="F28" i="13" s="1"/>
  <c r="Y48" i="62" s="1"/>
  <c r="E26" i="13"/>
  <c r="F26" i="13" s="1"/>
  <c r="W48" i="62" s="1"/>
  <c r="E24" i="13"/>
  <c r="F24" i="13" s="1"/>
  <c r="U48" i="62" s="1"/>
  <c r="E22" i="13"/>
  <c r="F22" i="13" s="1"/>
  <c r="S48" i="62" s="1"/>
  <c r="E20" i="13"/>
  <c r="F20" i="13" s="1"/>
  <c r="Q48" i="62" s="1"/>
  <c r="E18" i="13"/>
  <c r="F18" i="13" s="1"/>
  <c r="O48" i="62" s="1"/>
  <c r="E16" i="13"/>
  <c r="F16" i="13" s="1"/>
  <c r="M48" i="62" s="1"/>
  <c r="E14" i="13"/>
  <c r="F14" i="13" s="1"/>
  <c r="K48" i="62" s="1"/>
  <c r="E12" i="13"/>
  <c r="F12" i="13" s="1"/>
  <c r="I48" i="62" s="1"/>
  <c r="E10" i="13"/>
  <c r="F10" i="13" s="1"/>
  <c r="G48" i="62" s="1"/>
  <c r="E8" i="13"/>
  <c r="F8" i="13" s="1"/>
  <c r="E48" i="62" s="1"/>
  <c r="E6" i="13"/>
  <c r="F6" i="13" s="1"/>
  <c r="C48" i="62" s="1"/>
  <c r="E32" i="22"/>
  <c r="F32" i="22" s="1"/>
  <c r="AC39" i="62" s="1"/>
  <c r="E30" i="22"/>
  <c r="F30" i="22" s="1"/>
  <c r="AA39" i="62" s="1"/>
  <c r="E28" i="22"/>
  <c r="F28" i="22" s="1"/>
  <c r="Y39" i="62" s="1"/>
  <c r="E26" i="22"/>
  <c r="F26" i="22" s="1"/>
  <c r="W39" i="62" s="1"/>
  <c r="E24" i="22"/>
  <c r="F24" i="22" s="1"/>
  <c r="U39" i="62" s="1"/>
  <c r="E22" i="22"/>
  <c r="F22" i="22" s="1"/>
  <c r="S39" i="62" s="1"/>
  <c r="E20" i="22"/>
  <c r="F20" i="22" s="1"/>
  <c r="Q39" i="62" s="1"/>
  <c r="E18" i="22"/>
  <c r="F18" i="22" s="1"/>
  <c r="O39" i="62" s="1"/>
  <c r="E16" i="22"/>
  <c r="F16" i="22" s="1"/>
  <c r="M39" i="62" s="1"/>
  <c r="E14" i="22"/>
  <c r="F14" i="22" s="1"/>
  <c r="K39" i="62" s="1"/>
  <c r="E12" i="22"/>
  <c r="F12" i="22" s="1"/>
  <c r="I39" i="62" s="1"/>
  <c r="E10" i="22"/>
  <c r="F10" i="22" s="1"/>
  <c r="G39" i="62" s="1"/>
  <c r="E8" i="22"/>
  <c r="F8" i="22" s="1"/>
  <c r="E39" i="62" s="1"/>
  <c r="E6" i="22"/>
  <c r="F6" i="22" s="1"/>
  <c r="C39" i="62" s="1"/>
  <c r="F105" i="22"/>
  <c r="E31" i="22"/>
  <c r="F31" i="22" s="1"/>
  <c r="AB39" i="62" s="1"/>
  <c r="E29" i="22"/>
  <c r="F29" i="22" s="1"/>
  <c r="Z39" i="62" s="1"/>
  <c r="E27" i="22"/>
  <c r="F27" i="22" s="1"/>
  <c r="X39" i="62" s="1"/>
  <c r="E25" i="22"/>
  <c r="F25" i="22" s="1"/>
  <c r="V39" i="62" s="1"/>
  <c r="E23" i="22"/>
  <c r="F23" i="22" s="1"/>
  <c r="T39" i="62" s="1"/>
  <c r="E21" i="22"/>
  <c r="F21" i="22" s="1"/>
  <c r="R39" i="62" s="1"/>
  <c r="E19" i="22"/>
  <c r="F19" i="22" s="1"/>
  <c r="P39" i="62" s="1"/>
  <c r="E17" i="22"/>
  <c r="F17" i="22" s="1"/>
  <c r="N39" i="62" s="1"/>
  <c r="E15" i="22"/>
  <c r="F15" i="22" s="1"/>
  <c r="L39" i="62" s="1"/>
  <c r="E13" i="22"/>
  <c r="F13" i="22" s="1"/>
  <c r="J39" i="62" s="1"/>
  <c r="E11" i="22"/>
  <c r="F11" i="22" s="1"/>
  <c r="H39" i="62" s="1"/>
  <c r="E9" i="22"/>
  <c r="F9" i="22" s="1"/>
  <c r="F39" i="62" s="1"/>
  <c r="E7" i="22"/>
  <c r="F7" i="22" s="1"/>
  <c r="D39" i="62" s="1"/>
  <c r="E5" i="22"/>
  <c r="F105" i="46"/>
  <c r="E31" i="46"/>
  <c r="F31" i="46" s="1"/>
  <c r="AB15" i="62" s="1"/>
  <c r="E29" i="46"/>
  <c r="F29" i="46" s="1"/>
  <c r="Z15" i="62" s="1"/>
  <c r="E27" i="46"/>
  <c r="F27" i="46" s="1"/>
  <c r="X15" i="62" s="1"/>
  <c r="E25" i="46"/>
  <c r="F25" i="46" s="1"/>
  <c r="V15" i="62" s="1"/>
  <c r="E23" i="46"/>
  <c r="F23" i="46" s="1"/>
  <c r="T15" i="62" s="1"/>
  <c r="E21" i="46"/>
  <c r="F21" i="46" s="1"/>
  <c r="R15" i="62" s="1"/>
  <c r="E19" i="46"/>
  <c r="F19" i="46" s="1"/>
  <c r="P15" i="62" s="1"/>
  <c r="E17" i="46"/>
  <c r="F17" i="46" s="1"/>
  <c r="N15" i="62" s="1"/>
  <c r="E15" i="46"/>
  <c r="F15" i="46" s="1"/>
  <c r="L15" i="62" s="1"/>
  <c r="E13" i="46"/>
  <c r="F13" i="46" s="1"/>
  <c r="J15" i="62" s="1"/>
  <c r="E11" i="46"/>
  <c r="F11" i="46" s="1"/>
  <c r="H15" i="62" s="1"/>
  <c r="E9" i="46"/>
  <c r="F9" i="46" s="1"/>
  <c r="F15" i="62" s="1"/>
  <c r="E7" i="46"/>
  <c r="F7" i="46" s="1"/>
  <c r="D15" i="62" s="1"/>
  <c r="E5" i="46"/>
  <c r="E32" i="46"/>
  <c r="F32" i="46" s="1"/>
  <c r="AC15" i="62" s="1"/>
  <c r="E30" i="46"/>
  <c r="F30" i="46" s="1"/>
  <c r="AA15" i="62" s="1"/>
  <c r="E28" i="46"/>
  <c r="F28" i="46" s="1"/>
  <c r="Y15" i="62" s="1"/>
  <c r="E26" i="46"/>
  <c r="F26" i="46" s="1"/>
  <c r="W15" i="62" s="1"/>
  <c r="E24" i="46"/>
  <c r="F24" i="46" s="1"/>
  <c r="U15" i="62" s="1"/>
  <c r="E22" i="46"/>
  <c r="F22" i="46" s="1"/>
  <c r="S15" i="62" s="1"/>
  <c r="E20" i="46"/>
  <c r="F20" i="46" s="1"/>
  <c r="Q15" i="62" s="1"/>
  <c r="E18" i="46"/>
  <c r="F18" i="46" s="1"/>
  <c r="O15" i="62" s="1"/>
  <c r="E16" i="46"/>
  <c r="F16" i="46" s="1"/>
  <c r="M15" i="62" s="1"/>
  <c r="E14" i="46"/>
  <c r="F14" i="46" s="1"/>
  <c r="K15" i="62" s="1"/>
  <c r="E12" i="46"/>
  <c r="F12" i="46" s="1"/>
  <c r="I15" i="62" s="1"/>
  <c r="E10" i="46"/>
  <c r="F10" i="46" s="1"/>
  <c r="G15" i="62" s="1"/>
  <c r="E8" i="46"/>
  <c r="F8" i="46" s="1"/>
  <c r="E15" i="62" s="1"/>
  <c r="E6" i="46"/>
  <c r="F6" i="46" s="1"/>
  <c r="C15" i="62" s="1"/>
  <c r="F105" i="50"/>
  <c r="E31" i="50"/>
  <c r="F31" i="50" s="1"/>
  <c r="AB11" i="62" s="1"/>
  <c r="E29" i="50"/>
  <c r="F29" i="50" s="1"/>
  <c r="Z11" i="62" s="1"/>
  <c r="E27" i="50"/>
  <c r="F27" i="50" s="1"/>
  <c r="X11" i="62" s="1"/>
  <c r="E25" i="50"/>
  <c r="F25" i="50" s="1"/>
  <c r="V11" i="62" s="1"/>
  <c r="E23" i="50"/>
  <c r="F23" i="50" s="1"/>
  <c r="T11" i="62" s="1"/>
  <c r="E21" i="50"/>
  <c r="F21" i="50" s="1"/>
  <c r="R11" i="62" s="1"/>
  <c r="E19" i="50"/>
  <c r="F19" i="50" s="1"/>
  <c r="P11" i="62" s="1"/>
  <c r="E17" i="50"/>
  <c r="F17" i="50" s="1"/>
  <c r="N11" i="62" s="1"/>
  <c r="E15" i="50"/>
  <c r="F15" i="50" s="1"/>
  <c r="L11" i="62" s="1"/>
  <c r="E13" i="50"/>
  <c r="F13" i="50" s="1"/>
  <c r="J11" i="62" s="1"/>
  <c r="E11" i="50"/>
  <c r="F11" i="50" s="1"/>
  <c r="H11" i="62" s="1"/>
  <c r="E9" i="50"/>
  <c r="F9" i="50" s="1"/>
  <c r="F11" i="62" s="1"/>
  <c r="E7" i="50"/>
  <c r="F7" i="50" s="1"/>
  <c r="D11" i="62" s="1"/>
  <c r="E5" i="50"/>
  <c r="E32" i="50"/>
  <c r="F32" i="50" s="1"/>
  <c r="AC11" i="62" s="1"/>
  <c r="E30" i="50"/>
  <c r="F30" i="50" s="1"/>
  <c r="AA11" i="62" s="1"/>
  <c r="E28" i="50"/>
  <c r="F28" i="50" s="1"/>
  <c r="Y11" i="62" s="1"/>
  <c r="E26" i="50"/>
  <c r="F26" i="50" s="1"/>
  <c r="W11" i="62" s="1"/>
  <c r="E24" i="50"/>
  <c r="F24" i="50" s="1"/>
  <c r="U11" i="62" s="1"/>
  <c r="E22" i="50"/>
  <c r="F22" i="50" s="1"/>
  <c r="S11" i="62" s="1"/>
  <c r="E20" i="50"/>
  <c r="F20" i="50" s="1"/>
  <c r="Q11" i="62" s="1"/>
  <c r="E18" i="50"/>
  <c r="F18" i="50" s="1"/>
  <c r="O11" i="62" s="1"/>
  <c r="E16" i="50"/>
  <c r="F16" i="50" s="1"/>
  <c r="M11" i="62" s="1"/>
  <c r="E14" i="50"/>
  <c r="F14" i="50" s="1"/>
  <c r="K11" i="62" s="1"/>
  <c r="E12" i="50"/>
  <c r="F12" i="50" s="1"/>
  <c r="I11" i="62" s="1"/>
  <c r="E10" i="50"/>
  <c r="F10" i="50" s="1"/>
  <c r="G11" i="62" s="1"/>
  <c r="E8" i="50"/>
  <c r="F8" i="50" s="1"/>
  <c r="E11" i="62" s="1"/>
  <c r="E6" i="50"/>
  <c r="F6" i="50" s="1"/>
  <c r="C11" i="62" s="1"/>
  <c r="F105" i="52"/>
  <c r="E31" i="52"/>
  <c r="F31" i="52" s="1"/>
  <c r="AB9" i="62" s="1"/>
  <c r="E29" i="52"/>
  <c r="F29" i="52" s="1"/>
  <c r="Z9" i="62" s="1"/>
  <c r="E27" i="52"/>
  <c r="F27" i="52" s="1"/>
  <c r="X9" i="62" s="1"/>
  <c r="E25" i="52"/>
  <c r="F25" i="52" s="1"/>
  <c r="V9" i="62" s="1"/>
  <c r="E23" i="52"/>
  <c r="F23" i="52" s="1"/>
  <c r="T9" i="62" s="1"/>
  <c r="E21" i="52"/>
  <c r="F21" i="52" s="1"/>
  <c r="R9" i="62" s="1"/>
  <c r="E19" i="52"/>
  <c r="F19" i="52" s="1"/>
  <c r="P9" i="62" s="1"/>
  <c r="E17" i="52"/>
  <c r="F17" i="52" s="1"/>
  <c r="N9" i="62" s="1"/>
  <c r="E15" i="52"/>
  <c r="F15" i="52" s="1"/>
  <c r="L9" i="62" s="1"/>
  <c r="E13" i="52"/>
  <c r="F13" i="52" s="1"/>
  <c r="J9" i="62" s="1"/>
  <c r="E11" i="52"/>
  <c r="F11" i="52" s="1"/>
  <c r="H9" i="62" s="1"/>
  <c r="E9" i="52"/>
  <c r="F9" i="52" s="1"/>
  <c r="F9" i="62" s="1"/>
  <c r="E7" i="52"/>
  <c r="F7" i="52" s="1"/>
  <c r="D9" i="62" s="1"/>
  <c r="E5" i="52"/>
  <c r="E32" i="52"/>
  <c r="F32" i="52" s="1"/>
  <c r="AC9" i="62" s="1"/>
  <c r="E30" i="52"/>
  <c r="F30" i="52" s="1"/>
  <c r="AA9" i="62" s="1"/>
  <c r="E28" i="52"/>
  <c r="F28" i="52" s="1"/>
  <c r="Y9" i="62" s="1"/>
  <c r="E26" i="52"/>
  <c r="F26" i="52" s="1"/>
  <c r="W9" i="62" s="1"/>
  <c r="E24" i="52"/>
  <c r="F24" i="52" s="1"/>
  <c r="U9" i="62" s="1"/>
  <c r="E22" i="52"/>
  <c r="F22" i="52" s="1"/>
  <c r="S9" i="62" s="1"/>
  <c r="E20" i="52"/>
  <c r="F20" i="52" s="1"/>
  <c r="Q9" i="62" s="1"/>
  <c r="E18" i="52"/>
  <c r="F18" i="52" s="1"/>
  <c r="O9" i="62" s="1"/>
  <c r="E16" i="52"/>
  <c r="F16" i="52" s="1"/>
  <c r="M9" i="62" s="1"/>
  <c r="E14" i="52"/>
  <c r="F14" i="52" s="1"/>
  <c r="K9" i="62" s="1"/>
  <c r="E12" i="52"/>
  <c r="F12" i="52" s="1"/>
  <c r="I9" i="62" s="1"/>
  <c r="E10" i="52"/>
  <c r="F10" i="52" s="1"/>
  <c r="G9" i="62" s="1"/>
  <c r="E8" i="52"/>
  <c r="F8" i="52" s="1"/>
  <c r="E9" i="62" s="1"/>
  <c r="E6" i="52"/>
  <c r="F6" i="52" s="1"/>
  <c r="C9" i="62" s="1"/>
  <c r="E32" i="51"/>
  <c r="F32" i="51" s="1"/>
  <c r="AC10" i="62" s="1"/>
  <c r="E30" i="51"/>
  <c r="F30" i="51" s="1"/>
  <c r="AA10" i="62" s="1"/>
  <c r="E28" i="51"/>
  <c r="F28" i="51" s="1"/>
  <c r="Y10" i="62" s="1"/>
  <c r="E26" i="51"/>
  <c r="F26" i="51" s="1"/>
  <c r="W10" i="62" s="1"/>
  <c r="E24" i="51"/>
  <c r="F24" i="51" s="1"/>
  <c r="U10" i="62" s="1"/>
  <c r="E22" i="51"/>
  <c r="F22" i="51" s="1"/>
  <c r="S10" i="62" s="1"/>
  <c r="E20" i="51"/>
  <c r="F20" i="51" s="1"/>
  <c r="Q10" i="62" s="1"/>
  <c r="E18" i="51"/>
  <c r="F18" i="51" s="1"/>
  <c r="O10" i="62" s="1"/>
  <c r="E16" i="51"/>
  <c r="F16" i="51" s="1"/>
  <c r="M10" i="62" s="1"/>
  <c r="E14" i="51"/>
  <c r="F14" i="51" s="1"/>
  <c r="K10" i="62" s="1"/>
  <c r="E12" i="51"/>
  <c r="F12" i="51" s="1"/>
  <c r="I10" i="62" s="1"/>
  <c r="E10" i="51"/>
  <c r="F10" i="51" s="1"/>
  <c r="G10" i="62" s="1"/>
  <c r="E8" i="51"/>
  <c r="F8" i="51" s="1"/>
  <c r="E10" i="62" s="1"/>
  <c r="E6" i="51"/>
  <c r="F6" i="51" s="1"/>
  <c r="C10" i="62" s="1"/>
  <c r="F105" i="51"/>
  <c r="E31" i="51"/>
  <c r="F31" i="51" s="1"/>
  <c r="AB10" i="62" s="1"/>
  <c r="E29" i="51"/>
  <c r="F29" i="51" s="1"/>
  <c r="Z10" i="62" s="1"/>
  <c r="E27" i="51"/>
  <c r="F27" i="51" s="1"/>
  <c r="X10" i="62" s="1"/>
  <c r="E25" i="51"/>
  <c r="F25" i="51" s="1"/>
  <c r="V10" i="62" s="1"/>
  <c r="E23" i="51"/>
  <c r="F23" i="51" s="1"/>
  <c r="T10" i="62" s="1"/>
  <c r="E21" i="51"/>
  <c r="F21" i="51" s="1"/>
  <c r="R10" i="62" s="1"/>
  <c r="E19" i="51"/>
  <c r="F19" i="51" s="1"/>
  <c r="P10" i="62" s="1"/>
  <c r="E17" i="51"/>
  <c r="F17" i="51" s="1"/>
  <c r="N10" i="62" s="1"/>
  <c r="E15" i="51"/>
  <c r="F15" i="51" s="1"/>
  <c r="L10" i="62" s="1"/>
  <c r="E13" i="51"/>
  <c r="F13" i="51" s="1"/>
  <c r="J10" i="62" s="1"/>
  <c r="E11" i="51"/>
  <c r="F11" i="51" s="1"/>
  <c r="H10" i="62" s="1"/>
  <c r="E9" i="51"/>
  <c r="F9" i="51" s="1"/>
  <c r="F10" i="62" s="1"/>
  <c r="E7" i="51"/>
  <c r="F7" i="51" s="1"/>
  <c r="D10" i="62" s="1"/>
  <c r="E5" i="51"/>
  <c r="F105" i="8"/>
  <c r="E31" i="8"/>
  <c r="F31" i="8" s="1"/>
  <c r="AB53" i="62" s="1"/>
  <c r="E29" i="8"/>
  <c r="F29" i="8" s="1"/>
  <c r="Z53" i="62" s="1"/>
  <c r="E27" i="8"/>
  <c r="F27" i="8" s="1"/>
  <c r="X53" i="62" s="1"/>
  <c r="E25" i="8"/>
  <c r="F25" i="8" s="1"/>
  <c r="V53" i="62" s="1"/>
  <c r="E23" i="8"/>
  <c r="F23" i="8" s="1"/>
  <c r="T53" i="62" s="1"/>
  <c r="E21" i="8"/>
  <c r="F21" i="8" s="1"/>
  <c r="R53" i="62" s="1"/>
  <c r="E19" i="8"/>
  <c r="F19" i="8" s="1"/>
  <c r="P53" i="62" s="1"/>
  <c r="E17" i="8"/>
  <c r="F17" i="8" s="1"/>
  <c r="N53" i="62" s="1"/>
  <c r="E15" i="8"/>
  <c r="F15" i="8" s="1"/>
  <c r="L53" i="62" s="1"/>
  <c r="E13" i="8"/>
  <c r="F13" i="8" s="1"/>
  <c r="J53" i="62" s="1"/>
  <c r="E11" i="8"/>
  <c r="F11" i="8" s="1"/>
  <c r="H53" i="62" s="1"/>
  <c r="E9" i="8"/>
  <c r="F9" i="8" s="1"/>
  <c r="F53" i="62" s="1"/>
  <c r="E7" i="8"/>
  <c r="F7" i="8" s="1"/>
  <c r="D53" i="62" s="1"/>
  <c r="E5" i="8"/>
  <c r="E32" i="8"/>
  <c r="F32" i="8" s="1"/>
  <c r="AC53" i="62" s="1"/>
  <c r="E30" i="8"/>
  <c r="F30" i="8" s="1"/>
  <c r="AA53" i="62" s="1"/>
  <c r="E28" i="8"/>
  <c r="F28" i="8" s="1"/>
  <c r="Y53" i="62" s="1"/>
  <c r="E26" i="8"/>
  <c r="F26" i="8" s="1"/>
  <c r="W53" i="62" s="1"/>
  <c r="E24" i="8"/>
  <c r="F24" i="8" s="1"/>
  <c r="U53" i="62" s="1"/>
  <c r="E22" i="8"/>
  <c r="F22" i="8" s="1"/>
  <c r="S53" i="62" s="1"/>
  <c r="E20" i="8"/>
  <c r="F20" i="8" s="1"/>
  <c r="Q53" i="62" s="1"/>
  <c r="E18" i="8"/>
  <c r="F18" i="8" s="1"/>
  <c r="O53" i="62" s="1"/>
  <c r="E16" i="8"/>
  <c r="F16" i="8" s="1"/>
  <c r="M53" i="62" s="1"/>
  <c r="E14" i="8"/>
  <c r="F14" i="8" s="1"/>
  <c r="K53" i="62" s="1"/>
  <c r="E12" i="8"/>
  <c r="F12" i="8" s="1"/>
  <c r="I53" i="62" s="1"/>
  <c r="E10" i="8"/>
  <c r="F10" i="8" s="1"/>
  <c r="G53" i="62" s="1"/>
  <c r="E8" i="8"/>
  <c r="F8" i="8" s="1"/>
  <c r="E53" i="62" s="1"/>
  <c r="E6" i="8"/>
  <c r="F6" i="8" s="1"/>
  <c r="C53" i="62" s="1"/>
  <c r="F105" i="10"/>
  <c r="E31" i="10"/>
  <c r="F31" i="10" s="1"/>
  <c r="AB51" i="62" s="1"/>
  <c r="E29" i="10"/>
  <c r="F29" i="10" s="1"/>
  <c r="Z51" i="62" s="1"/>
  <c r="E27" i="10"/>
  <c r="F27" i="10" s="1"/>
  <c r="X51" i="62" s="1"/>
  <c r="E25" i="10"/>
  <c r="F25" i="10" s="1"/>
  <c r="V51" i="62" s="1"/>
  <c r="E23" i="10"/>
  <c r="F23" i="10" s="1"/>
  <c r="T51" i="62" s="1"/>
  <c r="E21" i="10"/>
  <c r="F21" i="10" s="1"/>
  <c r="R51" i="62" s="1"/>
  <c r="E19" i="10"/>
  <c r="F19" i="10" s="1"/>
  <c r="P51" i="62" s="1"/>
  <c r="E17" i="10"/>
  <c r="F17" i="10" s="1"/>
  <c r="N51" i="62" s="1"/>
  <c r="E15" i="10"/>
  <c r="F15" i="10" s="1"/>
  <c r="L51" i="62" s="1"/>
  <c r="E32" i="10"/>
  <c r="F32" i="10" s="1"/>
  <c r="AC51" i="62" s="1"/>
  <c r="E30" i="10"/>
  <c r="F30" i="10" s="1"/>
  <c r="AA51" i="62" s="1"/>
  <c r="E28" i="10"/>
  <c r="F28" i="10" s="1"/>
  <c r="Y51" i="62" s="1"/>
  <c r="E26" i="10"/>
  <c r="F26" i="10" s="1"/>
  <c r="W51" i="62" s="1"/>
  <c r="E24" i="10"/>
  <c r="F24" i="10" s="1"/>
  <c r="U51" i="62" s="1"/>
  <c r="E22" i="10"/>
  <c r="F22" i="10" s="1"/>
  <c r="S51" i="62" s="1"/>
  <c r="E20" i="10"/>
  <c r="F20" i="10" s="1"/>
  <c r="Q51" i="62" s="1"/>
  <c r="E18" i="10"/>
  <c r="F18" i="10" s="1"/>
  <c r="O51" i="62" s="1"/>
  <c r="E16" i="10"/>
  <c r="F16" i="10" s="1"/>
  <c r="M51" i="62" s="1"/>
  <c r="E14" i="10"/>
  <c r="F14" i="10" s="1"/>
  <c r="K51" i="62" s="1"/>
  <c r="E12" i="10"/>
  <c r="F12" i="10" s="1"/>
  <c r="I51" i="62" s="1"/>
  <c r="E10" i="10"/>
  <c r="F10" i="10" s="1"/>
  <c r="G51" i="62" s="1"/>
  <c r="E8" i="10"/>
  <c r="F8" i="10" s="1"/>
  <c r="E51" i="62" s="1"/>
  <c r="E6" i="10"/>
  <c r="F6" i="10" s="1"/>
  <c r="C51" i="62" s="1"/>
  <c r="E13" i="10"/>
  <c r="F13" i="10" s="1"/>
  <c r="J51" i="62" s="1"/>
  <c r="E11" i="10"/>
  <c r="F11" i="10" s="1"/>
  <c r="H51" i="62" s="1"/>
  <c r="E9" i="10"/>
  <c r="F9" i="10" s="1"/>
  <c r="F51" i="62" s="1"/>
  <c r="E7" i="10"/>
  <c r="F7" i="10" s="1"/>
  <c r="D51" i="62" s="1"/>
  <c r="E5" i="10"/>
  <c r="F105" i="27"/>
  <c r="E31" i="27"/>
  <c r="F31" i="27" s="1"/>
  <c r="AB34" i="62" s="1"/>
  <c r="E29" i="27"/>
  <c r="F29" i="27" s="1"/>
  <c r="Z34" i="62" s="1"/>
  <c r="E27" i="27"/>
  <c r="F27" i="27" s="1"/>
  <c r="X34" i="62" s="1"/>
  <c r="E25" i="27"/>
  <c r="F25" i="27" s="1"/>
  <c r="V34" i="62" s="1"/>
  <c r="E23" i="27"/>
  <c r="F23" i="27" s="1"/>
  <c r="T34" i="62" s="1"/>
  <c r="E21" i="27"/>
  <c r="F21" i="27" s="1"/>
  <c r="R34" i="62" s="1"/>
  <c r="E19" i="27"/>
  <c r="F19" i="27" s="1"/>
  <c r="P34" i="62" s="1"/>
  <c r="E17" i="27"/>
  <c r="F17" i="27" s="1"/>
  <c r="N34" i="62" s="1"/>
  <c r="E15" i="27"/>
  <c r="F15" i="27" s="1"/>
  <c r="L34" i="62" s="1"/>
  <c r="E13" i="27"/>
  <c r="F13" i="27" s="1"/>
  <c r="J34" i="62" s="1"/>
  <c r="E11" i="27"/>
  <c r="F11" i="27" s="1"/>
  <c r="H34" i="62" s="1"/>
  <c r="E9" i="27"/>
  <c r="F9" i="27" s="1"/>
  <c r="F34" i="62" s="1"/>
  <c r="E7" i="27"/>
  <c r="F7" i="27" s="1"/>
  <c r="D34" i="62" s="1"/>
  <c r="E5" i="27"/>
  <c r="E32" i="27"/>
  <c r="F32" i="27" s="1"/>
  <c r="AC34" i="62" s="1"/>
  <c r="E30" i="27"/>
  <c r="F30" i="27" s="1"/>
  <c r="AA34" i="62" s="1"/>
  <c r="E28" i="27"/>
  <c r="F28" i="27" s="1"/>
  <c r="Y34" i="62" s="1"/>
  <c r="E26" i="27"/>
  <c r="F26" i="27" s="1"/>
  <c r="W34" i="62" s="1"/>
  <c r="E24" i="27"/>
  <c r="F24" i="27" s="1"/>
  <c r="U34" i="62" s="1"/>
  <c r="E22" i="27"/>
  <c r="F22" i="27" s="1"/>
  <c r="S34" i="62" s="1"/>
  <c r="E20" i="27"/>
  <c r="F20" i="27" s="1"/>
  <c r="Q34" i="62" s="1"/>
  <c r="E18" i="27"/>
  <c r="F18" i="27" s="1"/>
  <c r="O34" i="62" s="1"/>
  <c r="E16" i="27"/>
  <c r="F16" i="27" s="1"/>
  <c r="M34" i="62" s="1"/>
  <c r="E14" i="27"/>
  <c r="F14" i="27" s="1"/>
  <c r="K34" i="62" s="1"/>
  <c r="E12" i="27"/>
  <c r="F12" i="27" s="1"/>
  <c r="I34" i="62" s="1"/>
  <c r="E10" i="27"/>
  <c r="F10" i="27" s="1"/>
  <c r="G34" i="62" s="1"/>
  <c r="E8" i="27"/>
  <c r="F8" i="27" s="1"/>
  <c r="E34" i="62" s="1"/>
  <c r="E6" i="27"/>
  <c r="F6" i="27" s="1"/>
  <c r="C34" i="62" s="1"/>
  <c r="E32" i="26"/>
  <c r="F32" i="26" s="1"/>
  <c r="AC35" i="62" s="1"/>
  <c r="E30" i="26"/>
  <c r="F30" i="26" s="1"/>
  <c r="AA35" i="62" s="1"/>
  <c r="E28" i="26"/>
  <c r="F28" i="26" s="1"/>
  <c r="Y35" i="62" s="1"/>
  <c r="E26" i="26"/>
  <c r="F26" i="26" s="1"/>
  <c r="W35" i="62" s="1"/>
  <c r="E24" i="26"/>
  <c r="F24" i="26" s="1"/>
  <c r="U35" i="62" s="1"/>
  <c r="E22" i="26"/>
  <c r="F22" i="26" s="1"/>
  <c r="S35" i="62" s="1"/>
  <c r="E20" i="26"/>
  <c r="F20" i="26" s="1"/>
  <c r="Q35" i="62" s="1"/>
  <c r="E18" i="26"/>
  <c r="F18" i="26" s="1"/>
  <c r="O35" i="62" s="1"/>
  <c r="E16" i="26"/>
  <c r="F16" i="26" s="1"/>
  <c r="M35" i="62" s="1"/>
  <c r="E14" i="26"/>
  <c r="F14" i="26" s="1"/>
  <c r="K35" i="62" s="1"/>
  <c r="E12" i="26"/>
  <c r="F12" i="26" s="1"/>
  <c r="I35" i="62" s="1"/>
  <c r="E10" i="26"/>
  <c r="F10" i="26" s="1"/>
  <c r="G35" i="62" s="1"/>
  <c r="E8" i="26"/>
  <c r="F8" i="26" s="1"/>
  <c r="E35" i="62" s="1"/>
  <c r="E6" i="26"/>
  <c r="F6" i="26" s="1"/>
  <c r="C35" i="62" s="1"/>
  <c r="F105" i="26"/>
  <c r="E31" i="26"/>
  <c r="F31" i="26" s="1"/>
  <c r="AB35" i="62" s="1"/>
  <c r="E29" i="26"/>
  <c r="F29" i="26" s="1"/>
  <c r="Z35" i="62" s="1"/>
  <c r="E27" i="26"/>
  <c r="F27" i="26" s="1"/>
  <c r="X35" i="62" s="1"/>
  <c r="E25" i="26"/>
  <c r="F25" i="26" s="1"/>
  <c r="V35" i="62" s="1"/>
  <c r="E23" i="26"/>
  <c r="F23" i="26" s="1"/>
  <c r="T35" i="62" s="1"/>
  <c r="E21" i="26"/>
  <c r="F21" i="26" s="1"/>
  <c r="R35" i="62" s="1"/>
  <c r="E19" i="26"/>
  <c r="F19" i="26" s="1"/>
  <c r="P35" i="62" s="1"/>
  <c r="E17" i="26"/>
  <c r="F17" i="26" s="1"/>
  <c r="N35" i="62" s="1"/>
  <c r="E15" i="26"/>
  <c r="F15" i="26" s="1"/>
  <c r="L35" i="62" s="1"/>
  <c r="E13" i="26"/>
  <c r="F13" i="26" s="1"/>
  <c r="J35" i="62" s="1"/>
  <c r="E11" i="26"/>
  <c r="F11" i="26" s="1"/>
  <c r="H35" i="62" s="1"/>
  <c r="E9" i="26"/>
  <c r="F9" i="26" s="1"/>
  <c r="F35" i="62" s="1"/>
  <c r="E7" i="26"/>
  <c r="F7" i="26" s="1"/>
  <c r="D35" i="62" s="1"/>
  <c r="E5" i="26"/>
  <c r="E32" i="40"/>
  <c r="F32" i="40" s="1"/>
  <c r="AC21" i="62" s="1"/>
  <c r="E30" i="40"/>
  <c r="F30" i="40" s="1"/>
  <c r="AA21" i="62" s="1"/>
  <c r="E28" i="40"/>
  <c r="F28" i="40" s="1"/>
  <c r="Y21" i="62" s="1"/>
  <c r="E26" i="40"/>
  <c r="F26" i="40" s="1"/>
  <c r="W21" i="62" s="1"/>
  <c r="E24" i="40"/>
  <c r="F24" i="40" s="1"/>
  <c r="U21" i="62" s="1"/>
  <c r="E22" i="40"/>
  <c r="F22" i="40" s="1"/>
  <c r="S21" i="62" s="1"/>
  <c r="E20" i="40"/>
  <c r="F20" i="40" s="1"/>
  <c r="Q21" i="62" s="1"/>
  <c r="E18" i="40"/>
  <c r="F18" i="40" s="1"/>
  <c r="O21" i="62" s="1"/>
  <c r="E16" i="40"/>
  <c r="F16" i="40" s="1"/>
  <c r="M21" i="62" s="1"/>
  <c r="E14" i="40"/>
  <c r="F14" i="40" s="1"/>
  <c r="K21" i="62" s="1"/>
  <c r="E12" i="40"/>
  <c r="F12" i="40" s="1"/>
  <c r="I21" i="62" s="1"/>
  <c r="E10" i="40"/>
  <c r="F10" i="40" s="1"/>
  <c r="G21" i="62" s="1"/>
  <c r="E8" i="40"/>
  <c r="F8" i="40" s="1"/>
  <c r="E21" i="62" s="1"/>
  <c r="E6" i="40"/>
  <c r="F6" i="40" s="1"/>
  <c r="C21" i="62" s="1"/>
  <c r="F105" i="40"/>
  <c r="E31" i="40"/>
  <c r="F31" i="40" s="1"/>
  <c r="AB21" i="62" s="1"/>
  <c r="E29" i="40"/>
  <c r="F29" i="40" s="1"/>
  <c r="Z21" i="62" s="1"/>
  <c r="E27" i="40"/>
  <c r="F27" i="40" s="1"/>
  <c r="X21" i="62" s="1"/>
  <c r="E25" i="40"/>
  <c r="F25" i="40" s="1"/>
  <c r="V21" i="62" s="1"/>
  <c r="E23" i="40"/>
  <c r="F23" i="40" s="1"/>
  <c r="T21" i="62" s="1"/>
  <c r="E21" i="40"/>
  <c r="F21" i="40" s="1"/>
  <c r="R21" i="62" s="1"/>
  <c r="E19" i="40"/>
  <c r="F19" i="40" s="1"/>
  <c r="P21" i="62" s="1"/>
  <c r="E17" i="40"/>
  <c r="F17" i="40" s="1"/>
  <c r="N21" i="62" s="1"/>
  <c r="E15" i="40"/>
  <c r="F15" i="40" s="1"/>
  <c r="L21" i="62" s="1"/>
  <c r="E13" i="40"/>
  <c r="F13" i="40" s="1"/>
  <c r="J21" i="62" s="1"/>
  <c r="E11" i="40"/>
  <c r="F11" i="40" s="1"/>
  <c r="H21" i="62" s="1"/>
  <c r="E9" i="40"/>
  <c r="F9" i="40" s="1"/>
  <c r="F21" i="62" s="1"/>
  <c r="E7" i="40"/>
  <c r="F7" i="40" s="1"/>
  <c r="D21" i="62" s="1"/>
  <c r="E5" i="40"/>
  <c r="E32" i="38"/>
  <c r="F32" i="38" s="1"/>
  <c r="AC23" i="62" s="1"/>
  <c r="E30" i="38"/>
  <c r="F30" i="38" s="1"/>
  <c r="AA23" i="62" s="1"/>
  <c r="E28" i="38"/>
  <c r="F28" i="38" s="1"/>
  <c r="Y23" i="62" s="1"/>
  <c r="E26" i="38"/>
  <c r="F26" i="38" s="1"/>
  <c r="W23" i="62" s="1"/>
  <c r="E24" i="38"/>
  <c r="F24" i="38" s="1"/>
  <c r="U23" i="62" s="1"/>
  <c r="E22" i="38"/>
  <c r="F22" i="38" s="1"/>
  <c r="S23" i="62" s="1"/>
  <c r="E20" i="38"/>
  <c r="F20" i="38" s="1"/>
  <c r="Q23" i="62" s="1"/>
  <c r="E18" i="38"/>
  <c r="F18" i="38" s="1"/>
  <c r="O23" i="62" s="1"/>
  <c r="E16" i="38"/>
  <c r="F16" i="38" s="1"/>
  <c r="M23" i="62" s="1"/>
  <c r="E14" i="38"/>
  <c r="F14" i="38" s="1"/>
  <c r="K23" i="62" s="1"/>
  <c r="E12" i="38"/>
  <c r="F12" i="38" s="1"/>
  <c r="I23" i="62" s="1"/>
  <c r="E10" i="38"/>
  <c r="F10" i="38" s="1"/>
  <c r="G23" i="62" s="1"/>
  <c r="E8" i="38"/>
  <c r="F8" i="38" s="1"/>
  <c r="E23" i="62" s="1"/>
  <c r="E6" i="38"/>
  <c r="F6" i="38" s="1"/>
  <c r="C23" i="62" s="1"/>
  <c r="F105" i="38"/>
  <c r="E31" i="38"/>
  <c r="F31" i="38" s="1"/>
  <c r="AB23" i="62" s="1"/>
  <c r="E29" i="38"/>
  <c r="F29" i="38" s="1"/>
  <c r="Z23" i="62" s="1"/>
  <c r="E27" i="38"/>
  <c r="F27" i="38" s="1"/>
  <c r="X23" i="62" s="1"/>
  <c r="E25" i="38"/>
  <c r="F25" i="38" s="1"/>
  <c r="V23" i="62" s="1"/>
  <c r="E23" i="38"/>
  <c r="F23" i="38" s="1"/>
  <c r="T23" i="62" s="1"/>
  <c r="E21" i="38"/>
  <c r="F21" i="38" s="1"/>
  <c r="R23" i="62" s="1"/>
  <c r="E19" i="38"/>
  <c r="F19" i="38" s="1"/>
  <c r="P23" i="62" s="1"/>
  <c r="E17" i="38"/>
  <c r="F17" i="38" s="1"/>
  <c r="N23" i="62" s="1"/>
  <c r="E15" i="38"/>
  <c r="F15" i="38" s="1"/>
  <c r="L23" i="62" s="1"/>
  <c r="E13" i="38"/>
  <c r="F13" i="38" s="1"/>
  <c r="J23" i="62" s="1"/>
  <c r="E11" i="38"/>
  <c r="F11" i="38" s="1"/>
  <c r="H23" i="62" s="1"/>
  <c r="E9" i="38"/>
  <c r="F9" i="38" s="1"/>
  <c r="F23" i="62" s="1"/>
  <c r="E7" i="38"/>
  <c r="F7" i="38" s="1"/>
  <c r="D23" i="62" s="1"/>
  <c r="E5" i="38"/>
  <c r="F105" i="48"/>
  <c r="E31" i="48"/>
  <c r="F31" i="48" s="1"/>
  <c r="AB13" i="62" s="1"/>
  <c r="E29" i="48"/>
  <c r="F29" i="48" s="1"/>
  <c r="Z13" i="62" s="1"/>
  <c r="E27" i="48"/>
  <c r="F27" i="48" s="1"/>
  <c r="X13" i="62" s="1"/>
  <c r="E25" i="48"/>
  <c r="F25" i="48" s="1"/>
  <c r="V13" i="62" s="1"/>
  <c r="E23" i="48"/>
  <c r="F23" i="48" s="1"/>
  <c r="T13" i="62" s="1"/>
  <c r="E21" i="48"/>
  <c r="F21" i="48" s="1"/>
  <c r="R13" i="62" s="1"/>
  <c r="E19" i="48"/>
  <c r="F19" i="48" s="1"/>
  <c r="P13" i="62" s="1"/>
  <c r="E17" i="48"/>
  <c r="F17" i="48" s="1"/>
  <c r="N13" i="62" s="1"/>
  <c r="E15" i="48"/>
  <c r="F15" i="48" s="1"/>
  <c r="L13" i="62" s="1"/>
  <c r="E13" i="48"/>
  <c r="F13" i="48" s="1"/>
  <c r="J13" i="62" s="1"/>
  <c r="E11" i="48"/>
  <c r="F11" i="48" s="1"/>
  <c r="H13" i="62" s="1"/>
  <c r="E9" i="48"/>
  <c r="F9" i="48" s="1"/>
  <c r="F13" i="62" s="1"/>
  <c r="E7" i="48"/>
  <c r="F7" i="48" s="1"/>
  <c r="D13" i="62" s="1"/>
  <c r="E5" i="48"/>
  <c r="E32" i="48"/>
  <c r="F32" i="48" s="1"/>
  <c r="AC13" i="62" s="1"/>
  <c r="E30" i="48"/>
  <c r="F30" i="48" s="1"/>
  <c r="AA13" i="62" s="1"/>
  <c r="E28" i="48"/>
  <c r="F28" i="48" s="1"/>
  <c r="Y13" i="62" s="1"/>
  <c r="E26" i="48"/>
  <c r="F26" i="48" s="1"/>
  <c r="W13" i="62" s="1"/>
  <c r="E24" i="48"/>
  <c r="F24" i="48" s="1"/>
  <c r="U13" i="62" s="1"/>
  <c r="E22" i="48"/>
  <c r="F22" i="48" s="1"/>
  <c r="S13" i="62" s="1"/>
  <c r="E20" i="48"/>
  <c r="F20" i="48" s="1"/>
  <c r="Q13" i="62" s="1"/>
  <c r="E18" i="48"/>
  <c r="F18" i="48" s="1"/>
  <c r="O13" i="62" s="1"/>
  <c r="E16" i="48"/>
  <c r="F16" i="48" s="1"/>
  <c r="M13" i="62" s="1"/>
  <c r="E14" i="48"/>
  <c r="F14" i="48" s="1"/>
  <c r="K13" i="62" s="1"/>
  <c r="E12" i="48"/>
  <c r="F12" i="48" s="1"/>
  <c r="I13" i="62" s="1"/>
  <c r="E10" i="48"/>
  <c r="F10" i="48" s="1"/>
  <c r="G13" i="62" s="1"/>
  <c r="E8" i="48"/>
  <c r="F8" i="48" s="1"/>
  <c r="E13" i="62" s="1"/>
  <c r="E6" i="48"/>
  <c r="F6" i="48" s="1"/>
  <c r="C13" i="62" s="1"/>
  <c r="E32" i="59"/>
  <c r="F32" i="59" s="1"/>
  <c r="AC59" i="62" s="1"/>
  <c r="E30" i="59"/>
  <c r="F30" i="59" s="1"/>
  <c r="AA59" i="62" s="1"/>
  <c r="E28" i="59"/>
  <c r="F28" i="59" s="1"/>
  <c r="Y59" i="62" s="1"/>
  <c r="E26" i="59"/>
  <c r="F26" i="59" s="1"/>
  <c r="W59" i="62" s="1"/>
  <c r="F105" i="59"/>
  <c r="E31" i="59"/>
  <c r="F31" i="59" s="1"/>
  <c r="AB59" i="62" s="1"/>
  <c r="E29" i="59"/>
  <c r="F29" i="59" s="1"/>
  <c r="Z59" i="62" s="1"/>
  <c r="E27" i="59"/>
  <c r="F27" i="59" s="1"/>
  <c r="X59" i="62" s="1"/>
  <c r="E25" i="59"/>
  <c r="F25" i="59" s="1"/>
  <c r="V59" i="62" s="1"/>
  <c r="E23" i="59"/>
  <c r="F23" i="59" s="1"/>
  <c r="T59" i="62" s="1"/>
  <c r="E21" i="59"/>
  <c r="F21" i="59" s="1"/>
  <c r="R59" i="62" s="1"/>
  <c r="E19" i="59"/>
  <c r="F19" i="59" s="1"/>
  <c r="P59" i="62" s="1"/>
  <c r="E17" i="59"/>
  <c r="F17" i="59" s="1"/>
  <c r="N59" i="62" s="1"/>
  <c r="E15" i="59"/>
  <c r="F15" i="59" s="1"/>
  <c r="L59" i="62" s="1"/>
  <c r="E13" i="59"/>
  <c r="F13" i="59" s="1"/>
  <c r="J59" i="62" s="1"/>
  <c r="E11" i="59"/>
  <c r="F11" i="59" s="1"/>
  <c r="H59" i="62" s="1"/>
  <c r="E9" i="59"/>
  <c r="F9" i="59" s="1"/>
  <c r="F59" i="62" s="1"/>
  <c r="E7" i="59"/>
  <c r="F7" i="59" s="1"/>
  <c r="D59" i="62" s="1"/>
  <c r="E5" i="59"/>
  <c r="E24" i="59"/>
  <c r="F24" i="59" s="1"/>
  <c r="U59" i="62" s="1"/>
  <c r="E22" i="59"/>
  <c r="F22" i="59" s="1"/>
  <c r="S59" i="62" s="1"/>
  <c r="E20" i="59"/>
  <c r="F20" i="59" s="1"/>
  <c r="Q59" i="62" s="1"/>
  <c r="E18" i="59"/>
  <c r="F18" i="59" s="1"/>
  <c r="O59" i="62" s="1"/>
  <c r="E16" i="59"/>
  <c r="F16" i="59" s="1"/>
  <c r="M59" i="62" s="1"/>
  <c r="E14" i="59"/>
  <c r="F14" i="59" s="1"/>
  <c r="K59" i="62" s="1"/>
  <c r="E12" i="59"/>
  <c r="F12" i="59" s="1"/>
  <c r="I59" i="62" s="1"/>
  <c r="E10" i="59"/>
  <c r="F10" i="59" s="1"/>
  <c r="G59" i="62" s="1"/>
  <c r="E8" i="59"/>
  <c r="F8" i="59" s="1"/>
  <c r="E59" i="62" s="1"/>
  <c r="E6" i="59"/>
  <c r="F6" i="59" s="1"/>
  <c r="C59" i="62" s="1"/>
  <c r="E32" i="5"/>
  <c r="F32" i="5" s="1"/>
  <c r="AC56" i="62" s="1"/>
  <c r="E30" i="5"/>
  <c r="F30" i="5" s="1"/>
  <c r="AA56" i="62" s="1"/>
  <c r="E28" i="5"/>
  <c r="F28" i="5" s="1"/>
  <c r="Y56" i="62" s="1"/>
  <c r="E26" i="5"/>
  <c r="F26" i="5" s="1"/>
  <c r="W56" i="62" s="1"/>
  <c r="E24" i="5"/>
  <c r="F24" i="5" s="1"/>
  <c r="U56" i="62" s="1"/>
  <c r="E22" i="5"/>
  <c r="F22" i="5" s="1"/>
  <c r="S56" i="62" s="1"/>
  <c r="E20" i="5"/>
  <c r="F20" i="5" s="1"/>
  <c r="Q56" i="62" s="1"/>
  <c r="E18" i="5"/>
  <c r="F18" i="5" s="1"/>
  <c r="O56" i="62" s="1"/>
  <c r="E16" i="5"/>
  <c r="F16" i="5" s="1"/>
  <c r="M56" i="62" s="1"/>
  <c r="E14" i="5"/>
  <c r="F14" i="5" s="1"/>
  <c r="K56" i="62" s="1"/>
  <c r="E12" i="5"/>
  <c r="F12" i="5" s="1"/>
  <c r="I56" i="62" s="1"/>
  <c r="E10" i="5"/>
  <c r="F10" i="5" s="1"/>
  <c r="G56" i="62" s="1"/>
  <c r="E8" i="5"/>
  <c r="F8" i="5" s="1"/>
  <c r="E56" i="62" s="1"/>
  <c r="E6" i="5"/>
  <c r="F6" i="5" s="1"/>
  <c r="C56" i="62" s="1"/>
  <c r="F105" i="5"/>
  <c r="E31" i="5"/>
  <c r="F31" i="5" s="1"/>
  <c r="AB56" i="62" s="1"/>
  <c r="E29" i="5"/>
  <c r="F29" i="5" s="1"/>
  <c r="Z56" i="62" s="1"/>
  <c r="E27" i="5"/>
  <c r="F27" i="5" s="1"/>
  <c r="X56" i="62" s="1"/>
  <c r="E25" i="5"/>
  <c r="F25" i="5" s="1"/>
  <c r="V56" i="62" s="1"/>
  <c r="E23" i="5"/>
  <c r="F23" i="5" s="1"/>
  <c r="T56" i="62" s="1"/>
  <c r="E21" i="5"/>
  <c r="F21" i="5" s="1"/>
  <c r="R56" i="62" s="1"/>
  <c r="E19" i="5"/>
  <c r="F19" i="5" s="1"/>
  <c r="P56" i="62" s="1"/>
  <c r="E17" i="5"/>
  <c r="F17" i="5" s="1"/>
  <c r="N56" i="62" s="1"/>
  <c r="E15" i="5"/>
  <c r="F15" i="5" s="1"/>
  <c r="L56" i="62" s="1"/>
  <c r="E13" i="5"/>
  <c r="F13" i="5" s="1"/>
  <c r="J56" i="62" s="1"/>
  <c r="E11" i="5"/>
  <c r="F11" i="5" s="1"/>
  <c r="H56" i="62" s="1"/>
  <c r="E9" i="5"/>
  <c r="F9" i="5" s="1"/>
  <c r="F56" i="62" s="1"/>
  <c r="E7" i="5"/>
  <c r="F7" i="5" s="1"/>
  <c r="D56" i="62" s="1"/>
  <c r="E5" i="5"/>
  <c r="F105" i="30"/>
  <c r="E32" i="30"/>
  <c r="F32" i="30" s="1"/>
  <c r="AC31" i="62" s="1"/>
  <c r="E30" i="30"/>
  <c r="F30" i="30" s="1"/>
  <c r="AA31" i="62" s="1"/>
  <c r="E28" i="30"/>
  <c r="F28" i="30" s="1"/>
  <c r="Y31" i="62" s="1"/>
  <c r="E26" i="30"/>
  <c r="F26" i="30" s="1"/>
  <c r="W31" i="62" s="1"/>
  <c r="E24" i="30"/>
  <c r="F24" i="30" s="1"/>
  <c r="U31" i="62" s="1"/>
  <c r="E22" i="30"/>
  <c r="F22" i="30" s="1"/>
  <c r="S31" i="62" s="1"/>
  <c r="E31" i="30"/>
  <c r="F31" i="30" s="1"/>
  <c r="AB31" i="62" s="1"/>
  <c r="E29" i="30"/>
  <c r="F29" i="30" s="1"/>
  <c r="Z31" i="62" s="1"/>
  <c r="E27" i="30"/>
  <c r="F27" i="30" s="1"/>
  <c r="X31" i="62" s="1"/>
  <c r="E25" i="30"/>
  <c r="F25" i="30" s="1"/>
  <c r="V31" i="62" s="1"/>
  <c r="E23" i="30"/>
  <c r="F23" i="30" s="1"/>
  <c r="T31" i="62" s="1"/>
  <c r="E21" i="30"/>
  <c r="F21" i="30" s="1"/>
  <c r="R31" i="62" s="1"/>
  <c r="E19" i="30"/>
  <c r="F19" i="30" s="1"/>
  <c r="P31" i="62" s="1"/>
  <c r="E17" i="30"/>
  <c r="F17" i="30" s="1"/>
  <c r="N31" i="62" s="1"/>
  <c r="E15" i="30"/>
  <c r="F15" i="30" s="1"/>
  <c r="L31" i="62" s="1"/>
  <c r="E13" i="30"/>
  <c r="F13" i="30" s="1"/>
  <c r="J31" i="62" s="1"/>
  <c r="E11" i="30"/>
  <c r="F11" i="30" s="1"/>
  <c r="H31" i="62" s="1"/>
  <c r="E9" i="30"/>
  <c r="F9" i="30" s="1"/>
  <c r="F31" i="62" s="1"/>
  <c r="E7" i="30"/>
  <c r="F7" i="30" s="1"/>
  <c r="D31" i="62" s="1"/>
  <c r="E5" i="30"/>
  <c r="E8" i="30"/>
  <c r="F8" i="30" s="1"/>
  <c r="E31" i="62" s="1"/>
  <c r="E16" i="30"/>
  <c r="F16" i="30" s="1"/>
  <c r="M31" i="62" s="1"/>
  <c r="E10" i="30"/>
  <c r="F10" i="30" s="1"/>
  <c r="G31" i="62" s="1"/>
  <c r="E18" i="30"/>
  <c r="F18" i="30" s="1"/>
  <c r="O31" i="62" s="1"/>
  <c r="E6" i="30"/>
  <c r="F6" i="30" s="1"/>
  <c r="C31" i="62" s="1"/>
  <c r="E12" i="30"/>
  <c r="F12" i="30" s="1"/>
  <c r="I31" i="62" s="1"/>
  <c r="E20" i="30"/>
  <c r="F20" i="30" s="1"/>
  <c r="Q31" i="62" s="1"/>
  <c r="E14" i="30"/>
  <c r="F14" i="30" s="1"/>
  <c r="K31" i="62" s="1"/>
  <c r="E32" i="47"/>
  <c r="F32" i="47" s="1"/>
  <c r="AC14" i="62" s="1"/>
  <c r="E30" i="47"/>
  <c r="F30" i="47" s="1"/>
  <c r="AA14" i="62" s="1"/>
  <c r="E28" i="47"/>
  <c r="F28" i="47" s="1"/>
  <c r="Y14" i="62" s="1"/>
  <c r="E26" i="47"/>
  <c r="F26" i="47" s="1"/>
  <c r="W14" i="62" s="1"/>
  <c r="E24" i="47"/>
  <c r="F24" i="47" s="1"/>
  <c r="U14" i="62" s="1"/>
  <c r="E22" i="47"/>
  <c r="F22" i="47" s="1"/>
  <c r="S14" i="62" s="1"/>
  <c r="E20" i="47"/>
  <c r="F20" i="47" s="1"/>
  <c r="Q14" i="62" s="1"/>
  <c r="E18" i="47"/>
  <c r="F18" i="47" s="1"/>
  <c r="O14" i="62" s="1"/>
  <c r="E16" i="47"/>
  <c r="F16" i="47" s="1"/>
  <c r="M14" i="62" s="1"/>
  <c r="E14" i="47"/>
  <c r="F14" i="47" s="1"/>
  <c r="K14" i="62" s="1"/>
  <c r="E12" i="47"/>
  <c r="F12" i="47" s="1"/>
  <c r="I14" i="62" s="1"/>
  <c r="E10" i="47"/>
  <c r="F10" i="47" s="1"/>
  <c r="G14" i="62" s="1"/>
  <c r="E8" i="47"/>
  <c r="F8" i="47" s="1"/>
  <c r="E14" i="62" s="1"/>
  <c r="E6" i="47"/>
  <c r="F6" i="47" s="1"/>
  <c r="C14" i="62" s="1"/>
  <c r="F105" i="47"/>
  <c r="E31" i="47"/>
  <c r="F31" i="47" s="1"/>
  <c r="AB14" i="62" s="1"/>
  <c r="E29" i="47"/>
  <c r="F29" i="47" s="1"/>
  <c r="Z14" i="62" s="1"/>
  <c r="E27" i="47"/>
  <c r="F27" i="47" s="1"/>
  <c r="X14" i="62" s="1"/>
  <c r="E25" i="47"/>
  <c r="F25" i="47" s="1"/>
  <c r="V14" i="62" s="1"/>
  <c r="E23" i="47"/>
  <c r="F23" i="47" s="1"/>
  <c r="T14" i="62" s="1"/>
  <c r="E21" i="47"/>
  <c r="F21" i="47" s="1"/>
  <c r="R14" i="62" s="1"/>
  <c r="E19" i="47"/>
  <c r="F19" i="47" s="1"/>
  <c r="P14" i="62" s="1"/>
  <c r="E17" i="47"/>
  <c r="F17" i="47" s="1"/>
  <c r="N14" i="62" s="1"/>
  <c r="E15" i="47"/>
  <c r="F15" i="47" s="1"/>
  <c r="L14" i="62" s="1"/>
  <c r="E13" i="47"/>
  <c r="F13" i="47" s="1"/>
  <c r="J14" i="62" s="1"/>
  <c r="E11" i="47"/>
  <c r="F11" i="47" s="1"/>
  <c r="H14" i="62" s="1"/>
  <c r="E9" i="47"/>
  <c r="F9" i="47" s="1"/>
  <c r="F14" i="62" s="1"/>
  <c r="E7" i="47"/>
  <c r="F7" i="47" s="1"/>
  <c r="D14" i="62" s="1"/>
  <c r="E5" i="47"/>
  <c r="E32" i="45"/>
  <c r="F32" i="45" s="1"/>
  <c r="AC16" i="62" s="1"/>
  <c r="E30" i="45"/>
  <c r="F30" i="45" s="1"/>
  <c r="AA16" i="62" s="1"/>
  <c r="E28" i="45"/>
  <c r="F28" i="45" s="1"/>
  <c r="Y16" i="62" s="1"/>
  <c r="E26" i="45"/>
  <c r="F26" i="45" s="1"/>
  <c r="W16" i="62" s="1"/>
  <c r="E24" i="45"/>
  <c r="F24" i="45" s="1"/>
  <c r="U16" i="62" s="1"/>
  <c r="E22" i="45"/>
  <c r="F22" i="45" s="1"/>
  <c r="S16" i="62" s="1"/>
  <c r="E20" i="45"/>
  <c r="F20" i="45" s="1"/>
  <c r="Q16" i="62" s="1"/>
  <c r="E18" i="45"/>
  <c r="F18" i="45" s="1"/>
  <c r="O16" i="62" s="1"/>
  <c r="E16" i="45"/>
  <c r="F16" i="45" s="1"/>
  <c r="M16" i="62" s="1"/>
  <c r="E14" i="45"/>
  <c r="F14" i="45" s="1"/>
  <c r="K16" i="62" s="1"/>
  <c r="E12" i="45"/>
  <c r="F12" i="45" s="1"/>
  <c r="I16" i="62" s="1"/>
  <c r="E10" i="45"/>
  <c r="F10" i="45" s="1"/>
  <c r="G16" i="62" s="1"/>
  <c r="E8" i="45"/>
  <c r="F8" i="45" s="1"/>
  <c r="E16" i="62" s="1"/>
  <c r="E6" i="45"/>
  <c r="F6" i="45" s="1"/>
  <c r="C16" i="62" s="1"/>
  <c r="F105" i="45"/>
  <c r="E31" i="45"/>
  <c r="F31" i="45" s="1"/>
  <c r="AB16" i="62" s="1"/>
  <c r="E29" i="45"/>
  <c r="F29" i="45" s="1"/>
  <c r="Z16" i="62" s="1"/>
  <c r="E27" i="45"/>
  <c r="F27" i="45" s="1"/>
  <c r="X16" i="62" s="1"/>
  <c r="E25" i="45"/>
  <c r="F25" i="45" s="1"/>
  <c r="V16" i="62" s="1"/>
  <c r="E23" i="45"/>
  <c r="F23" i="45" s="1"/>
  <c r="T16" i="62" s="1"/>
  <c r="E21" i="45"/>
  <c r="F21" i="45" s="1"/>
  <c r="R16" i="62" s="1"/>
  <c r="E19" i="45"/>
  <c r="F19" i="45" s="1"/>
  <c r="P16" i="62" s="1"/>
  <c r="E17" i="45"/>
  <c r="F17" i="45" s="1"/>
  <c r="N16" i="62" s="1"/>
  <c r="E15" i="45"/>
  <c r="F15" i="45" s="1"/>
  <c r="L16" i="62" s="1"/>
  <c r="E13" i="45"/>
  <c r="F13" i="45" s="1"/>
  <c r="J16" i="62" s="1"/>
  <c r="E11" i="45"/>
  <c r="F11" i="45" s="1"/>
  <c r="H16" i="62" s="1"/>
  <c r="E9" i="45"/>
  <c r="F9" i="45" s="1"/>
  <c r="F16" i="62" s="1"/>
  <c r="E7" i="45"/>
  <c r="F7" i="45" s="1"/>
  <c r="D16" i="62" s="1"/>
  <c r="E5" i="45"/>
  <c r="F105" i="18"/>
  <c r="E31" i="18"/>
  <c r="F31" i="18" s="1"/>
  <c r="AB43" i="62" s="1"/>
  <c r="E29" i="18"/>
  <c r="F29" i="18" s="1"/>
  <c r="Z43" i="62" s="1"/>
  <c r="E27" i="18"/>
  <c r="F27" i="18" s="1"/>
  <c r="X43" i="62" s="1"/>
  <c r="E25" i="18"/>
  <c r="F25" i="18" s="1"/>
  <c r="V43" i="62" s="1"/>
  <c r="E23" i="18"/>
  <c r="F23" i="18" s="1"/>
  <c r="T43" i="62" s="1"/>
  <c r="E21" i="18"/>
  <c r="F21" i="18" s="1"/>
  <c r="R43" i="62" s="1"/>
  <c r="E19" i="18"/>
  <c r="F19" i="18" s="1"/>
  <c r="P43" i="62" s="1"/>
  <c r="E17" i="18"/>
  <c r="F17" i="18" s="1"/>
  <c r="N43" i="62" s="1"/>
  <c r="E15" i="18"/>
  <c r="F15" i="18" s="1"/>
  <c r="L43" i="62" s="1"/>
  <c r="E13" i="18"/>
  <c r="F13" i="18" s="1"/>
  <c r="J43" i="62" s="1"/>
  <c r="E11" i="18"/>
  <c r="F11" i="18" s="1"/>
  <c r="H43" i="62" s="1"/>
  <c r="E9" i="18"/>
  <c r="F9" i="18" s="1"/>
  <c r="F43" i="62" s="1"/>
  <c r="E7" i="18"/>
  <c r="F7" i="18" s="1"/>
  <c r="D43" i="62" s="1"/>
  <c r="E5" i="18"/>
  <c r="E32" i="18"/>
  <c r="F32" i="18" s="1"/>
  <c r="AC43" i="62" s="1"/>
  <c r="E30" i="18"/>
  <c r="F30" i="18" s="1"/>
  <c r="AA43" i="62" s="1"/>
  <c r="E28" i="18"/>
  <c r="F28" i="18" s="1"/>
  <c r="Y43" i="62" s="1"/>
  <c r="E26" i="18"/>
  <c r="F26" i="18" s="1"/>
  <c r="W43" i="62" s="1"/>
  <c r="E24" i="18"/>
  <c r="F24" i="18" s="1"/>
  <c r="U43" i="62" s="1"/>
  <c r="E22" i="18"/>
  <c r="F22" i="18" s="1"/>
  <c r="S43" i="62" s="1"/>
  <c r="E20" i="18"/>
  <c r="F20" i="18" s="1"/>
  <c r="Q43" i="62" s="1"/>
  <c r="E18" i="18"/>
  <c r="F18" i="18" s="1"/>
  <c r="O43" i="62" s="1"/>
  <c r="E16" i="18"/>
  <c r="F16" i="18" s="1"/>
  <c r="M43" i="62" s="1"/>
  <c r="E14" i="18"/>
  <c r="F14" i="18" s="1"/>
  <c r="K43" i="62" s="1"/>
  <c r="E12" i="18"/>
  <c r="F12" i="18" s="1"/>
  <c r="I43" i="62" s="1"/>
  <c r="E10" i="18"/>
  <c r="F10" i="18" s="1"/>
  <c r="G43" i="62" s="1"/>
  <c r="E8" i="18"/>
  <c r="F8" i="18" s="1"/>
  <c r="E43" i="62" s="1"/>
  <c r="E6" i="18"/>
  <c r="F6" i="18" s="1"/>
  <c r="C43" i="62" s="1"/>
  <c r="F105" i="23"/>
  <c r="E31" i="23"/>
  <c r="F31" i="23" s="1"/>
  <c r="AB38" i="62" s="1"/>
  <c r="E29" i="23"/>
  <c r="F29" i="23" s="1"/>
  <c r="Z38" i="62" s="1"/>
  <c r="E27" i="23"/>
  <c r="F27" i="23" s="1"/>
  <c r="X38" i="62" s="1"/>
  <c r="E25" i="23"/>
  <c r="F25" i="23" s="1"/>
  <c r="V38" i="62" s="1"/>
  <c r="E23" i="23"/>
  <c r="F23" i="23" s="1"/>
  <c r="T38" i="62" s="1"/>
  <c r="E21" i="23"/>
  <c r="F21" i="23" s="1"/>
  <c r="R38" i="62" s="1"/>
  <c r="E19" i="23"/>
  <c r="F19" i="23" s="1"/>
  <c r="P38" i="62" s="1"/>
  <c r="E17" i="23"/>
  <c r="F17" i="23" s="1"/>
  <c r="N38" i="62" s="1"/>
  <c r="E15" i="23"/>
  <c r="F15" i="23" s="1"/>
  <c r="L38" i="62" s="1"/>
  <c r="E13" i="23"/>
  <c r="F13" i="23" s="1"/>
  <c r="J38" i="62" s="1"/>
  <c r="E11" i="23"/>
  <c r="F11" i="23" s="1"/>
  <c r="H38" i="62" s="1"/>
  <c r="E9" i="23"/>
  <c r="F9" i="23" s="1"/>
  <c r="F38" i="62" s="1"/>
  <c r="E7" i="23"/>
  <c r="F7" i="23" s="1"/>
  <c r="D38" i="62" s="1"/>
  <c r="E5" i="23"/>
  <c r="E32" i="23"/>
  <c r="F32" i="23" s="1"/>
  <c r="AC38" i="62" s="1"/>
  <c r="E30" i="23"/>
  <c r="F30" i="23" s="1"/>
  <c r="AA38" i="62" s="1"/>
  <c r="E28" i="23"/>
  <c r="F28" i="23" s="1"/>
  <c r="Y38" i="62" s="1"/>
  <c r="E26" i="23"/>
  <c r="F26" i="23" s="1"/>
  <c r="W38" i="62" s="1"/>
  <c r="E24" i="23"/>
  <c r="F24" i="23" s="1"/>
  <c r="U38" i="62" s="1"/>
  <c r="E22" i="23"/>
  <c r="F22" i="23" s="1"/>
  <c r="S38" i="62" s="1"/>
  <c r="E20" i="23"/>
  <c r="F20" i="23" s="1"/>
  <c r="Q38" i="62" s="1"/>
  <c r="E18" i="23"/>
  <c r="F18" i="23" s="1"/>
  <c r="O38" i="62" s="1"/>
  <c r="E16" i="23"/>
  <c r="F16" i="23" s="1"/>
  <c r="M38" i="62" s="1"/>
  <c r="E14" i="23"/>
  <c r="F14" i="23" s="1"/>
  <c r="K38" i="62" s="1"/>
  <c r="E12" i="23"/>
  <c r="F12" i="23" s="1"/>
  <c r="I38" i="62" s="1"/>
  <c r="E10" i="23"/>
  <c r="F10" i="23" s="1"/>
  <c r="G38" i="62" s="1"/>
  <c r="E8" i="23"/>
  <c r="F8" i="23" s="1"/>
  <c r="E38" i="62" s="1"/>
  <c r="E6" i="23"/>
  <c r="F6" i="23" s="1"/>
  <c r="C38" i="62" s="1"/>
  <c r="F105" i="33"/>
  <c r="E31" i="33"/>
  <c r="F31" i="33" s="1"/>
  <c r="AB28" i="62" s="1"/>
  <c r="E29" i="33"/>
  <c r="F29" i="33" s="1"/>
  <c r="Z28" i="62" s="1"/>
  <c r="E27" i="33"/>
  <c r="F27" i="33" s="1"/>
  <c r="X28" i="62" s="1"/>
  <c r="E25" i="33"/>
  <c r="F25" i="33" s="1"/>
  <c r="V28" i="62" s="1"/>
  <c r="E23" i="33"/>
  <c r="F23" i="33" s="1"/>
  <c r="T28" i="62" s="1"/>
  <c r="E21" i="33"/>
  <c r="F21" i="33" s="1"/>
  <c r="R28" i="62" s="1"/>
  <c r="E19" i="33"/>
  <c r="F19" i="33" s="1"/>
  <c r="P28" i="62" s="1"/>
  <c r="E17" i="33"/>
  <c r="F17" i="33" s="1"/>
  <c r="N28" i="62" s="1"/>
  <c r="E15" i="33"/>
  <c r="F15" i="33" s="1"/>
  <c r="L28" i="62" s="1"/>
  <c r="E13" i="33"/>
  <c r="F13" i="33" s="1"/>
  <c r="J28" i="62" s="1"/>
  <c r="E11" i="33"/>
  <c r="F11" i="33" s="1"/>
  <c r="H28" i="62" s="1"/>
  <c r="E9" i="33"/>
  <c r="F9" i="33" s="1"/>
  <c r="F28" i="62" s="1"/>
  <c r="E7" i="33"/>
  <c r="F7" i="33" s="1"/>
  <c r="D28" i="62" s="1"/>
  <c r="E5" i="33"/>
  <c r="E32" i="33"/>
  <c r="F32" i="33" s="1"/>
  <c r="AC28" i="62" s="1"/>
  <c r="E30" i="33"/>
  <c r="F30" i="33" s="1"/>
  <c r="AA28" i="62" s="1"/>
  <c r="E28" i="33"/>
  <c r="F28" i="33" s="1"/>
  <c r="Y28" i="62" s="1"/>
  <c r="E26" i="33"/>
  <c r="F26" i="33" s="1"/>
  <c r="W28" i="62" s="1"/>
  <c r="E24" i="33"/>
  <c r="F24" i="33" s="1"/>
  <c r="U28" i="62" s="1"/>
  <c r="E22" i="33"/>
  <c r="F22" i="33" s="1"/>
  <c r="S28" i="62" s="1"/>
  <c r="E20" i="33"/>
  <c r="F20" i="33" s="1"/>
  <c r="Q28" i="62" s="1"/>
  <c r="E18" i="33"/>
  <c r="F18" i="33" s="1"/>
  <c r="O28" i="62" s="1"/>
  <c r="E16" i="33"/>
  <c r="F16" i="33" s="1"/>
  <c r="M28" i="62" s="1"/>
  <c r="E14" i="33"/>
  <c r="F14" i="33" s="1"/>
  <c r="K28" i="62" s="1"/>
  <c r="E12" i="33"/>
  <c r="F12" i="33" s="1"/>
  <c r="I28" i="62" s="1"/>
  <c r="E10" i="33"/>
  <c r="F10" i="33" s="1"/>
  <c r="G28" i="62" s="1"/>
  <c r="E8" i="33"/>
  <c r="F8" i="33" s="1"/>
  <c r="E28" i="62" s="1"/>
  <c r="E6" i="33"/>
  <c r="F6" i="33" s="1"/>
  <c r="C28" i="62" s="1"/>
  <c r="F105" i="35"/>
  <c r="E31" i="35"/>
  <c r="F31" i="35" s="1"/>
  <c r="AB26" i="62" s="1"/>
  <c r="E29" i="35"/>
  <c r="F29" i="35" s="1"/>
  <c r="Z26" i="62" s="1"/>
  <c r="E27" i="35"/>
  <c r="F27" i="35" s="1"/>
  <c r="X26" i="62" s="1"/>
  <c r="E25" i="35"/>
  <c r="F25" i="35" s="1"/>
  <c r="V26" i="62" s="1"/>
  <c r="E23" i="35"/>
  <c r="F23" i="35" s="1"/>
  <c r="T26" i="62" s="1"/>
  <c r="E21" i="35"/>
  <c r="F21" i="35" s="1"/>
  <c r="R26" i="62" s="1"/>
  <c r="E19" i="35"/>
  <c r="F19" i="35" s="1"/>
  <c r="P26" i="62" s="1"/>
  <c r="E17" i="35"/>
  <c r="F17" i="35" s="1"/>
  <c r="N26" i="62" s="1"/>
  <c r="E15" i="35"/>
  <c r="F15" i="35" s="1"/>
  <c r="L26" i="62" s="1"/>
  <c r="E13" i="35"/>
  <c r="F13" i="35" s="1"/>
  <c r="J26" i="62" s="1"/>
  <c r="E11" i="35"/>
  <c r="F11" i="35" s="1"/>
  <c r="H26" i="62" s="1"/>
  <c r="E9" i="35"/>
  <c r="F9" i="35" s="1"/>
  <c r="F26" i="62" s="1"/>
  <c r="E7" i="35"/>
  <c r="F7" i="35" s="1"/>
  <c r="D26" i="62" s="1"/>
  <c r="E5" i="35"/>
  <c r="E32" i="35"/>
  <c r="F32" i="35" s="1"/>
  <c r="AC26" i="62" s="1"/>
  <c r="E30" i="35"/>
  <c r="F30" i="35" s="1"/>
  <c r="AA26" i="62" s="1"/>
  <c r="E28" i="35"/>
  <c r="F28" i="35" s="1"/>
  <c r="Y26" i="62" s="1"/>
  <c r="E26" i="35"/>
  <c r="F26" i="35" s="1"/>
  <c r="W26" i="62" s="1"/>
  <c r="E24" i="35"/>
  <c r="F24" i="35" s="1"/>
  <c r="U26" i="62" s="1"/>
  <c r="E22" i="35"/>
  <c r="F22" i="35" s="1"/>
  <c r="S26" i="62" s="1"/>
  <c r="E20" i="35"/>
  <c r="F20" i="35" s="1"/>
  <c r="Q26" i="62" s="1"/>
  <c r="E18" i="35"/>
  <c r="F18" i="35" s="1"/>
  <c r="O26" i="62" s="1"/>
  <c r="E16" i="35"/>
  <c r="F16" i="35" s="1"/>
  <c r="M26" i="62" s="1"/>
  <c r="E14" i="35"/>
  <c r="F14" i="35" s="1"/>
  <c r="K26" i="62" s="1"/>
  <c r="E12" i="35"/>
  <c r="F12" i="35" s="1"/>
  <c r="I26" i="62" s="1"/>
  <c r="E10" i="35"/>
  <c r="F10" i="35" s="1"/>
  <c r="G26" i="62" s="1"/>
  <c r="E8" i="35"/>
  <c r="F8" i="35" s="1"/>
  <c r="E26" i="62" s="1"/>
  <c r="E6" i="35"/>
  <c r="F6" i="35" s="1"/>
  <c r="C26" i="62" s="1"/>
  <c r="F105" i="37"/>
  <c r="E31" i="37"/>
  <c r="F31" i="37" s="1"/>
  <c r="AB24" i="62" s="1"/>
  <c r="E29" i="37"/>
  <c r="F29" i="37" s="1"/>
  <c r="Z24" i="62" s="1"/>
  <c r="E27" i="37"/>
  <c r="F27" i="37" s="1"/>
  <c r="X24" i="62" s="1"/>
  <c r="E25" i="37"/>
  <c r="F25" i="37" s="1"/>
  <c r="V24" i="62" s="1"/>
  <c r="E23" i="37"/>
  <c r="F23" i="37" s="1"/>
  <c r="T24" i="62" s="1"/>
  <c r="E21" i="37"/>
  <c r="F21" i="37" s="1"/>
  <c r="R24" i="62" s="1"/>
  <c r="E19" i="37"/>
  <c r="F19" i="37" s="1"/>
  <c r="P24" i="62" s="1"/>
  <c r="E17" i="37"/>
  <c r="F17" i="37" s="1"/>
  <c r="N24" i="62" s="1"/>
  <c r="E15" i="37"/>
  <c r="F15" i="37" s="1"/>
  <c r="L24" i="62" s="1"/>
  <c r="E13" i="37"/>
  <c r="F13" i="37" s="1"/>
  <c r="J24" i="62" s="1"/>
  <c r="E11" i="37"/>
  <c r="F11" i="37" s="1"/>
  <c r="H24" i="62" s="1"/>
  <c r="E9" i="37"/>
  <c r="F9" i="37" s="1"/>
  <c r="F24" i="62" s="1"/>
  <c r="E7" i="37"/>
  <c r="F7" i="37" s="1"/>
  <c r="D24" i="62" s="1"/>
  <c r="E5" i="37"/>
  <c r="E32" i="37"/>
  <c r="F32" i="37" s="1"/>
  <c r="AC24" i="62" s="1"/>
  <c r="E30" i="37"/>
  <c r="F30" i="37" s="1"/>
  <c r="AA24" i="62" s="1"/>
  <c r="E28" i="37"/>
  <c r="F28" i="37" s="1"/>
  <c r="Y24" i="62" s="1"/>
  <c r="E26" i="37"/>
  <c r="F26" i="37" s="1"/>
  <c r="W24" i="62" s="1"/>
  <c r="E24" i="37"/>
  <c r="F24" i="37" s="1"/>
  <c r="U24" i="62" s="1"/>
  <c r="E22" i="37"/>
  <c r="F22" i="37" s="1"/>
  <c r="S24" i="62" s="1"/>
  <c r="E20" i="37"/>
  <c r="F20" i="37" s="1"/>
  <c r="Q24" i="62" s="1"/>
  <c r="E18" i="37"/>
  <c r="F18" i="37" s="1"/>
  <c r="O24" i="62" s="1"/>
  <c r="E16" i="37"/>
  <c r="F16" i="37" s="1"/>
  <c r="M24" i="62" s="1"/>
  <c r="E14" i="37"/>
  <c r="F14" i="37" s="1"/>
  <c r="K24" i="62" s="1"/>
  <c r="E12" i="37"/>
  <c r="F12" i="37" s="1"/>
  <c r="I24" i="62" s="1"/>
  <c r="E10" i="37"/>
  <c r="F10" i="37" s="1"/>
  <c r="G24" i="62" s="1"/>
  <c r="E8" i="37"/>
  <c r="F8" i="37" s="1"/>
  <c r="E24" i="62" s="1"/>
  <c r="E6" i="37"/>
  <c r="F6" i="37" s="1"/>
  <c r="C24" i="62" s="1"/>
  <c r="F105" i="39"/>
  <c r="E31" i="39"/>
  <c r="F31" i="39" s="1"/>
  <c r="AB22" i="62" s="1"/>
  <c r="E29" i="39"/>
  <c r="F29" i="39" s="1"/>
  <c r="Z22" i="62" s="1"/>
  <c r="E27" i="39"/>
  <c r="F27" i="39" s="1"/>
  <c r="X22" i="62" s="1"/>
  <c r="E25" i="39"/>
  <c r="F25" i="39" s="1"/>
  <c r="V22" i="62" s="1"/>
  <c r="E23" i="39"/>
  <c r="F23" i="39" s="1"/>
  <c r="T22" i="62" s="1"/>
  <c r="E21" i="39"/>
  <c r="F21" i="39" s="1"/>
  <c r="R22" i="62" s="1"/>
  <c r="E19" i="39"/>
  <c r="F19" i="39" s="1"/>
  <c r="P22" i="62" s="1"/>
  <c r="E17" i="39"/>
  <c r="F17" i="39" s="1"/>
  <c r="N22" i="62" s="1"/>
  <c r="E15" i="39"/>
  <c r="F15" i="39" s="1"/>
  <c r="L22" i="62" s="1"/>
  <c r="E13" i="39"/>
  <c r="F13" i="39" s="1"/>
  <c r="J22" i="62" s="1"/>
  <c r="E11" i="39"/>
  <c r="F11" i="39" s="1"/>
  <c r="H22" i="62" s="1"/>
  <c r="E9" i="39"/>
  <c r="F9" i="39" s="1"/>
  <c r="F22" i="62" s="1"/>
  <c r="E7" i="39"/>
  <c r="F7" i="39" s="1"/>
  <c r="D22" i="62" s="1"/>
  <c r="E5" i="39"/>
  <c r="E32" i="39"/>
  <c r="F32" i="39" s="1"/>
  <c r="AC22" i="62" s="1"/>
  <c r="E30" i="39"/>
  <c r="F30" i="39" s="1"/>
  <c r="AA22" i="62" s="1"/>
  <c r="E28" i="39"/>
  <c r="F28" i="39" s="1"/>
  <c r="Y22" i="62" s="1"/>
  <c r="E26" i="39"/>
  <c r="F26" i="39" s="1"/>
  <c r="W22" i="62" s="1"/>
  <c r="E24" i="39"/>
  <c r="F24" i="39" s="1"/>
  <c r="U22" i="62" s="1"/>
  <c r="E22" i="39"/>
  <c r="F22" i="39" s="1"/>
  <c r="S22" i="62" s="1"/>
  <c r="E20" i="39"/>
  <c r="F20" i="39" s="1"/>
  <c r="Q22" i="62" s="1"/>
  <c r="E18" i="39"/>
  <c r="F18" i="39" s="1"/>
  <c r="O22" i="62" s="1"/>
  <c r="E16" i="39"/>
  <c r="F16" i="39" s="1"/>
  <c r="M22" i="62" s="1"/>
  <c r="E14" i="39"/>
  <c r="F14" i="39" s="1"/>
  <c r="K22" i="62" s="1"/>
  <c r="E12" i="39"/>
  <c r="F12" i="39" s="1"/>
  <c r="I22" i="62" s="1"/>
  <c r="E10" i="39"/>
  <c r="F10" i="39" s="1"/>
  <c r="G22" i="62" s="1"/>
  <c r="E8" i="39"/>
  <c r="F8" i="39" s="1"/>
  <c r="E22" i="62" s="1"/>
  <c r="E6" i="39"/>
  <c r="F6" i="39" s="1"/>
  <c r="C22" i="62" s="1"/>
  <c r="F105" i="41"/>
  <c r="E31" i="41"/>
  <c r="F31" i="41" s="1"/>
  <c r="AB20" i="62" s="1"/>
  <c r="E29" i="41"/>
  <c r="F29" i="41" s="1"/>
  <c r="Z20" i="62" s="1"/>
  <c r="E27" i="41"/>
  <c r="F27" i="41" s="1"/>
  <c r="X20" i="62" s="1"/>
  <c r="E25" i="41"/>
  <c r="F25" i="41" s="1"/>
  <c r="V20" i="62" s="1"/>
  <c r="E23" i="41"/>
  <c r="F23" i="41" s="1"/>
  <c r="T20" i="62" s="1"/>
  <c r="E21" i="41"/>
  <c r="F21" i="41" s="1"/>
  <c r="R20" i="62" s="1"/>
  <c r="E19" i="41"/>
  <c r="F19" i="41" s="1"/>
  <c r="P20" i="62" s="1"/>
  <c r="E17" i="41"/>
  <c r="F17" i="41" s="1"/>
  <c r="N20" i="62" s="1"/>
  <c r="E15" i="41"/>
  <c r="F15" i="41" s="1"/>
  <c r="L20" i="62" s="1"/>
  <c r="E13" i="41"/>
  <c r="F13" i="41" s="1"/>
  <c r="J20" i="62" s="1"/>
  <c r="E11" i="41"/>
  <c r="F11" i="41" s="1"/>
  <c r="H20" i="62" s="1"/>
  <c r="E9" i="41"/>
  <c r="F9" i="41" s="1"/>
  <c r="F20" i="62" s="1"/>
  <c r="E7" i="41"/>
  <c r="F7" i="41" s="1"/>
  <c r="D20" i="62" s="1"/>
  <c r="E5" i="41"/>
  <c r="E32" i="41"/>
  <c r="F32" i="41" s="1"/>
  <c r="AC20" i="62" s="1"/>
  <c r="E30" i="41"/>
  <c r="F30" i="41" s="1"/>
  <c r="AA20" i="62" s="1"/>
  <c r="E28" i="41"/>
  <c r="F28" i="41" s="1"/>
  <c r="Y20" i="62" s="1"/>
  <c r="E26" i="41"/>
  <c r="F26" i="41" s="1"/>
  <c r="W20" i="62" s="1"/>
  <c r="E24" i="41"/>
  <c r="F24" i="41" s="1"/>
  <c r="U20" i="62" s="1"/>
  <c r="E22" i="41"/>
  <c r="F22" i="41" s="1"/>
  <c r="S20" i="62" s="1"/>
  <c r="E20" i="41"/>
  <c r="F20" i="41" s="1"/>
  <c r="Q20" i="62" s="1"/>
  <c r="E18" i="41"/>
  <c r="F18" i="41" s="1"/>
  <c r="O20" i="62" s="1"/>
  <c r="E16" i="41"/>
  <c r="F16" i="41" s="1"/>
  <c r="M20" i="62" s="1"/>
  <c r="E14" i="41"/>
  <c r="F14" i="41" s="1"/>
  <c r="K20" i="62" s="1"/>
  <c r="E12" i="41"/>
  <c r="F12" i="41" s="1"/>
  <c r="I20" i="62" s="1"/>
  <c r="E10" i="41"/>
  <c r="F10" i="41" s="1"/>
  <c r="G20" i="62" s="1"/>
  <c r="E8" i="41"/>
  <c r="F8" i="41" s="1"/>
  <c r="E20" i="62" s="1"/>
  <c r="E6" i="41"/>
  <c r="F6" i="41" s="1"/>
  <c r="C20" i="62" s="1"/>
  <c r="F105" i="43"/>
  <c r="E31" i="43"/>
  <c r="F31" i="43" s="1"/>
  <c r="AB18" i="62" s="1"/>
  <c r="E29" i="43"/>
  <c r="F29" i="43" s="1"/>
  <c r="Z18" i="62" s="1"/>
  <c r="E27" i="43"/>
  <c r="F27" i="43" s="1"/>
  <c r="X18" i="62" s="1"/>
  <c r="E25" i="43"/>
  <c r="F25" i="43" s="1"/>
  <c r="V18" i="62" s="1"/>
  <c r="E23" i="43"/>
  <c r="F23" i="43" s="1"/>
  <c r="T18" i="62" s="1"/>
  <c r="E21" i="43"/>
  <c r="F21" i="43" s="1"/>
  <c r="R18" i="62" s="1"/>
  <c r="E19" i="43"/>
  <c r="F19" i="43" s="1"/>
  <c r="P18" i="62" s="1"/>
  <c r="E17" i="43"/>
  <c r="F17" i="43" s="1"/>
  <c r="N18" i="62" s="1"/>
  <c r="E15" i="43"/>
  <c r="F15" i="43" s="1"/>
  <c r="L18" i="62" s="1"/>
  <c r="E13" i="43"/>
  <c r="F13" i="43" s="1"/>
  <c r="J18" i="62" s="1"/>
  <c r="E11" i="43"/>
  <c r="F11" i="43" s="1"/>
  <c r="H18" i="62" s="1"/>
  <c r="E9" i="43"/>
  <c r="F9" i="43" s="1"/>
  <c r="F18" i="62" s="1"/>
  <c r="E7" i="43"/>
  <c r="F7" i="43" s="1"/>
  <c r="D18" i="62" s="1"/>
  <c r="E5" i="43"/>
  <c r="E32" i="43"/>
  <c r="F32" i="43" s="1"/>
  <c r="AC18" i="62" s="1"/>
  <c r="E30" i="43"/>
  <c r="F30" i="43" s="1"/>
  <c r="AA18" i="62" s="1"/>
  <c r="E28" i="43"/>
  <c r="F28" i="43" s="1"/>
  <c r="Y18" i="62" s="1"/>
  <c r="E26" i="43"/>
  <c r="F26" i="43" s="1"/>
  <c r="W18" i="62" s="1"/>
  <c r="E24" i="43"/>
  <c r="F24" i="43" s="1"/>
  <c r="U18" i="62" s="1"/>
  <c r="E22" i="43"/>
  <c r="F22" i="43" s="1"/>
  <c r="S18" i="62" s="1"/>
  <c r="E20" i="43"/>
  <c r="F20" i="43" s="1"/>
  <c r="Q18" i="62" s="1"/>
  <c r="E18" i="43"/>
  <c r="F18" i="43" s="1"/>
  <c r="O18" i="62" s="1"/>
  <c r="E16" i="43"/>
  <c r="F16" i="43" s="1"/>
  <c r="M18" i="62" s="1"/>
  <c r="E14" i="43"/>
  <c r="F14" i="43" s="1"/>
  <c r="K18" i="62" s="1"/>
  <c r="E12" i="43"/>
  <c r="F12" i="43" s="1"/>
  <c r="I18" i="62" s="1"/>
  <c r="E10" i="43"/>
  <c r="F10" i="43" s="1"/>
  <c r="G18" i="62" s="1"/>
  <c r="E8" i="43"/>
  <c r="F8" i="43" s="1"/>
  <c r="E18" i="62" s="1"/>
  <c r="E6" i="43"/>
  <c r="F6" i="43" s="1"/>
  <c r="C18" i="62" s="1"/>
  <c r="F105" i="54"/>
  <c r="E31" i="54"/>
  <c r="F31" i="54" s="1"/>
  <c r="AB7" i="62" s="1"/>
  <c r="E29" i="54"/>
  <c r="F29" i="54" s="1"/>
  <c r="Z7" i="62" s="1"/>
  <c r="E27" i="54"/>
  <c r="F27" i="54" s="1"/>
  <c r="X7" i="62" s="1"/>
  <c r="E25" i="54"/>
  <c r="F25" i="54" s="1"/>
  <c r="V7" i="62" s="1"/>
  <c r="E23" i="54"/>
  <c r="F23" i="54" s="1"/>
  <c r="T7" i="62" s="1"/>
  <c r="E21" i="54"/>
  <c r="F21" i="54" s="1"/>
  <c r="R7" i="62" s="1"/>
  <c r="E19" i="54"/>
  <c r="F19" i="54" s="1"/>
  <c r="P7" i="62" s="1"/>
  <c r="E17" i="54"/>
  <c r="F17" i="54" s="1"/>
  <c r="N7" i="62" s="1"/>
  <c r="E15" i="54"/>
  <c r="F15" i="54" s="1"/>
  <c r="L7" i="62" s="1"/>
  <c r="E13" i="54"/>
  <c r="F13" i="54" s="1"/>
  <c r="J7" i="62" s="1"/>
  <c r="E11" i="54"/>
  <c r="F11" i="54" s="1"/>
  <c r="H7" i="62" s="1"/>
  <c r="E9" i="54"/>
  <c r="F9" i="54" s="1"/>
  <c r="F7" i="62" s="1"/>
  <c r="E7" i="54"/>
  <c r="F7" i="54" s="1"/>
  <c r="D7" i="62" s="1"/>
  <c r="E5" i="54"/>
  <c r="E32" i="54"/>
  <c r="F32" i="54" s="1"/>
  <c r="AC7" i="62" s="1"/>
  <c r="E30" i="54"/>
  <c r="F30" i="54" s="1"/>
  <c r="AA7" i="62" s="1"/>
  <c r="E28" i="54"/>
  <c r="F28" i="54" s="1"/>
  <c r="Y7" i="62" s="1"/>
  <c r="E26" i="54"/>
  <c r="F26" i="54" s="1"/>
  <c r="W7" i="62" s="1"/>
  <c r="E24" i="54"/>
  <c r="F24" i="54" s="1"/>
  <c r="U7" i="62" s="1"/>
  <c r="E22" i="54"/>
  <c r="F22" i="54" s="1"/>
  <c r="S7" i="62" s="1"/>
  <c r="E20" i="54"/>
  <c r="F20" i="54" s="1"/>
  <c r="Q7" i="62" s="1"/>
  <c r="E18" i="54"/>
  <c r="F18" i="54" s="1"/>
  <c r="O7" i="62" s="1"/>
  <c r="E16" i="54"/>
  <c r="F16" i="54" s="1"/>
  <c r="M7" i="62" s="1"/>
  <c r="E14" i="54"/>
  <c r="F14" i="54" s="1"/>
  <c r="K7" i="62" s="1"/>
  <c r="E12" i="54"/>
  <c r="F12" i="54" s="1"/>
  <c r="I7" i="62" s="1"/>
  <c r="E10" i="54"/>
  <c r="F10" i="54" s="1"/>
  <c r="G7" i="62" s="1"/>
  <c r="E8" i="54"/>
  <c r="F8" i="54" s="1"/>
  <c r="E7" i="62" s="1"/>
  <c r="E6" i="54"/>
  <c r="F6" i="54" s="1"/>
  <c r="C7" i="62" s="1"/>
  <c r="E32" i="49"/>
  <c r="F32" i="49" s="1"/>
  <c r="AC12" i="62" s="1"/>
  <c r="E30" i="49"/>
  <c r="F30" i="49" s="1"/>
  <c r="AA12" i="62" s="1"/>
  <c r="E28" i="49"/>
  <c r="F28" i="49" s="1"/>
  <c r="Y12" i="62" s="1"/>
  <c r="E26" i="49"/>
  <c r="F26" i="49" s="1"/>
  <c r="W12" i="62" s="1"/>
  <c r="E24" i="49"/>
  <c r="F24" i="49" s="1"/>
  <c r="U12" i="62" s="1"/>
  <c r="E22" i="49"/>
  <c r="F22" i="49" s="1"/>
  <c r="S12" i="62" s="1"/>
  <c r="E20" i="49"/>
  <c r="F20" i="49" s="1"/>
  <c r="Q12" i="62" s="1"/>
  <c r="E18" i="49"/>
  <c r="F18" i="49" s="1"/>
  <c r="O12" i="62" s="1"/>
  <c r="E16" i="49"/>
  <c r="F16" i="49" s="1"/>
  <c r="M12" i="62" s="1"/>
  <c r="E14" i="49"/>
  <c r="F14" i="49" s="1"/>
  <c r="K12" i="62" s="1"/>
  <c r="E12" i="49"/>
  <c r="F12" i="49" s="1"/>
  <c r="I12" i="62" s="1"/>
  <c r="E10" i="49"/>
  <c r="F10" i="49" s="1"/>
  <c r="G12" i="62" s="1"/>
  <c r="E8" i="49"/>
  <c r="F8" i="49" s="1"/>
  <c r="E12" i="62" s="1"/>
  <c r="E6" i="49"/>
  <c r="F6" i="49" s="1"/>
  <c r="C12" i="62" s="1"/>
  <c r="F105" i="49"/>
  <c r="E31" i="49"/>
  <c r="F31" i="49" s="1"/>
  <c r="AB12" i="62" s="1"/>
  <c r="E29" i="49"/>
  <c r="F29" i="49" s="1"/>
  <c r="Z12" i="62" s="1"/>
  <c r="E27" i="49"/>
  <c r="F27" i="49" s="1"/>
  <c r="X12" i="62" s="1"/>
  <c r="E25" i="49"/>
  <c r="F25" i="49" s="1"/>
  <c r="V12" i="62" s="1"/>
  <c r="E23" i="49"/>
  <c r="F23" i="49" s="1"/>
  <c r="T12" i="62" s="1"/>
  <c r="E21" i="49"/>
  <c r="F21" i="49" s="1"/>
  <c r="R12" i="62" s="1"/>
  <c r="E19" i="49"/>
  <c r="F19" i="49" s="1"/>
  <c r="P12" i="62" s="1"/>
  <c r="E17" i="49"/>
  <c r="F17" i="49" s="1"/>
  <c r="N12" i="62" s="1"/>
  <c r="E15" i="49"/>
  <c r="F15" i="49" s="1"/>
  <c r="L12" i="62" s="1"/>
  <c r="E13" i="49"/>
  <c r="F13" i="49" s="1"/>
  <c r="J12" i="62" s="1"/>
  <c r="E11" i="49"/>
  <c r="F11" i="49" s="1"/>
  <c r="H12" i="62" s="1"/>
  <c r="E9" i="49"/>
  <c r="F9" i="49" s="1"/>
  <c r="F12" i="62" s="1"/>
  <c r="E7" i="49"/>
  <c r="F7" i="49" s="1"/>
  <c r="D12" i="62" s="1"/>
  <c r="E5" i="49"/>
  <c r="F105" i="1"/>
  <c r="E31" i="1"/>
  <c r="F31" i="1" s="1"/>
  <c r="AB60" i="62" s="1"/>
  <c r="E29" i="1"/>
  <c r="F29" i="1" s="1"/>
  <c r="Z60" i="62" s="1"/>
  <c r="E27" i="1"/>
  <c r="F27" i="1" s="1"/>
  <c r="X60" i="62" s="1"/>
  <c r="E25" i="1"/>
  <c r="F25" i="1" s="1"/>
  <c r="V60" i="62" s="1"/>
  <c r="E32" i="1"/>
  <c r="F32" i="1" s="1"/>
  <c r="AC60" i="62" s="1"/>
  <c r="E30" i="1"/>
  <c r="F30" i="1" s="1"/>
  <c r="AA60" i="62" s="1"/>
  <c r="E28" i="1"/>
  <c r="F28" i="1" s="1"/>
  <c r="Y60" i="62" s="1"/>
  <c r="E26" i="1"/>
  <c r="F26" i="1" s="1"/>
  <c r="W60" i="62" s="1"/>
  <c r="E24" i="1"/>
  <c r="F24" i="1" s="1"/>
  <c r="U60" i="62" s="1"/>
  <c r="E22" i="1"/>
  <c r="F22" i="1" s="1"/>
  <c r="S60" i="62" s="1"/>
  <c r="E20" i="1"/>
  <c r="F20" i="1" s="1"/>
  <c r="Q60" i="62" s="1"/>
  <c r="E18" i="1"/>
  <c r="F18" i="1" s="1"/>
  <c r="O60" i="62" s="1"/>
  <c r="E16" i="1"/>
  <c r="F16" i="1" s="1"/>
  <c r="M60" i="62" s="1"/>
  <c r="E14" i="1"/>
  <c r="F14" i="1" s="1"/>
  <c r="K60" i="62" s="1"/>
  <c r="E12" i="1"/>
  <c r="F12" i="1" s="1"/>
  <c r="I60" i="62" s="1"/>
  <c r="E10" i="1"/>
  <c r="F10" i="1" s="1"/>
  <c r="G60" i="62" s="1"/>
  <c r="E8" i="1"/>
  <c r="F8" i="1" s="1"/>
  <c r="E60" i="62" s="1"/>
  <c r="E6" i="1"/>
  <c r="F6" i="1" s="1"/>
  <c r="C60" i="62" s="1"/>
  <c r="E23" i="1"/>
  <c r="F23" i="1" s="1"/>
  <c r="T60" i="62" s="1"/>
  <c r="E21" i="1"/>
  <c r="F21" i="1" s="1"/>
  <c r="R60" i="62" s="1"/>
  <c r="E19" i="1"/>
  <c r="F19" i="1" s="1"/>
  <c r="P60" i="62" s="1"/>
  <c r="E17" i="1"/>
  <c r="F17" i="1" s="1"/>
  <c r="N60" i="62" s="1"/>
  <c r="E15" i="1"/>
  <c r="F15" i="1" s="1"/>
  <c r="L60" i="62" s="1"/>
  <c r="E13" i="1"/>
  <c r="F13" i="1" s="1"/>
  <c r="J60" i="62" s="1"/>
  <c r="E11" i="1"/>
  <c r="F11" i="1" s="1"/>
  <c r="H60" i="62" s="1"/>
  <c r="E9" i="1"/>
  <c r="F9" i="1" s="1"/>
  <c r="F60" i="62" s="1"/>
  <c r="E7" i="1"/>
  <c r="F7" i="1" s="1"/>
  <c r="D60" i="62" s="1"/>
  <c r="E5" i="1"/>
  <c r="F105" i="4"/>
  <c r="E31" i="4"/>
  <c r="F31" i="4" s="1"/>
  <c r="AB57" i="62" s="1"/>
  <c r="E29" i="4"/>
  <c r="F29" i="4" s="1"/>
  <c r="Z57" i="62" s="1"/>
  <c r="E27" i="4"/>
  <c r="F27" i="4" s="1"/>
  <c r="X57" i="62" s="1"/>
  <c r="E25" i="4"/>
  <c r="F25" i="4" s="1"/>
  <c r="V57" i="62" s="1"/>
  <c r="E23" i="4"/>
  <c r="F23" i="4" s="1"/>
  <c r="T57" i="62" s="1"/>
  <c r="E21" i="4"/>
  <c r="F21" i="4" s="1"/>
  <c r="R57" i="62" s="1"/>
  <c r="E19" i="4"/>
  <c r="F19" i="4" s="1"/>
  <c r="P57" i="62" s="1"/>
  <c r="E32" i="4"/>
  <c r="F32" i="4" s="1"/>
  <c r="AC57" i="62" s="1"/>
  <c r="E30" i="4"/>
  <c r="F30" i="4" s="1"/>
  <c r="AA57" i="62" s="1"/>
  <c r="E28" i="4"/>
  <c r="F28" i="4" s="1"/>
  <c r="Y57" i="62" s="1"/>
  <c r="E26" i="4"/>
  <c r="F26" i="4" s="1"/>
  <c r="W57" i="62" s="1"/>
  <c r="E24" i="4"/>
  <c r="F24" i="4" s="1"/>
  <c r="U57" i="62" s="1"/>
  <c r="E22" i="4"/>
  <c r="F22" i="4" s="1"/>
  <c r="S57" i="62" s="1"/>
  <c r="E20" i="4"/>
  <c r="F20" i="4" s="1"/>
  <c r="Q57" i="62" s="1"/>
  <c r="E17" i="4"/>
  <c r="F17" i="4" s="1"/>
  <c r="N57" i="62" s="1"/>
  <c r="E15" i="4"/>
  <c r="F15" i="4" s="1"/>
  <c r="L57" i="62" s="1"/>
  <c r="E13" i="4"/>
  <c r="F13" i="4" s="1"/>
  <c r="J57" i="62" s="1"/>
  <c r="E11" i="4"/>
  <c r="F11" i="4" s="1"/>
  <c r="H57" i="62" s="1"/>
  <c r="E9" i="4"/>
  <c r="F9" i="4" s="1"/>
  <c r="F57" i="62" s="1"/>
  <c r="E7" i="4"/>
  <c r="F7" i="4" s="1"/>
  <c r="D57" i="62" s="1"/>
  <c r="E5" i="4"/>
  <c r="E18" i="4"/>
  <c r="F18" i="4" s="1"/>
  <c r="O57" i="62" s="1"/>
  <c r="E16" i="4"/>
  <c r="F16" i="4" s="1"/>
  <c r="M57" i="62" s="1"/>
  <c r="E14" i="4"/>
  <c r="F14" i="4" s="1"/>
  <c r="K57" i="62" s="1"/>
  <c r="E12" i="4"/>
  <c r="F12" i="4" s="1"/>
  <c r="I57" i="62" s="1"/>
  <c r="E10" i="4"/>
  <c r="F10" i="4" s="1"/>
  <c r="G57" i="62" s="1"/>
  <c r="E8" i="4"/>
  <c r="F8" i="4" s="1"/>
  <c r="E57" i="62" s="1"/>
  <c r="E6" i="4"/>
  <c r="F6" i="4" s="1"/>
  <c r="C57" i="62" s="1"/>
  <c r="E32" i="9"/>
  <c r="F32" i="9" s="1"/>
  <c r="AC52" i="62" s="1"/>
  <c r="E30" i="9"/>
  <c r="F30" i="9" s="1"/>
  <c r="AA52" i="62" s="1"/>
  <c r="E28" i="9"/>
  <c r="F28" i="9" s="1"/>
  <c r="Y52" i="62" s="1"/>
  <c r="E26" i="9"/>
  <c r="F26" i="9" s="1"/>
  <c r="W52" i="62" s="1"/>
  <c r="E24" i="9"/>
  <c r="F24" i="9" s="1"/>
  <c r="U52" i="62" s="1"/>
  <c r="E22" i="9"/>
  <c r="F22" i="9" s="1"/>
  <c r="S52" i="62" s="1"/>
  <c r="E20" i="9"/>
  <c r="F20" i="9" s="1"/>
  <c r="Q52" i="62" s="1"/>
  <c r="E18" i="9"/>
  <c r="F18" i="9" s="1"/>
  <c r="O52" i="62" s="1"/>
  <c r="E16" i="9"/>
  <c r="F16" i="9" s="1"/>
  <c r="M52" i="62" s="1"/>
  <c r="E14" i="9"/>
  <c r="F14" i="9" s="1"/>
  <c r="K52" i="62" s="1"/>
  <c r="E12" i="9"/>
  <c r="F12" i="9" s="1"/>
  <c r="I52" i="62" s="1"/>
  <c r="E10" i="9"/>
  <c r="F10" i="9" s="1"/>
  <c r="G52" i="62" s="1"/>
  <c r="E8" i="9"/>
  <c r="F8" i="9" s="1"/>
  <c r="E52" i="62" s="1"/>
  <c r="E6" i="9"/>
  <c r="F6" i="9" s="1"/>
  <c r="C52" i="62" s="1"/>
  <c r="F105" i="9"/>
  <c r="E31" i="9"/>
  <c r="F31" i="9" s="1"/>
  <c r="AB52" i="62" s="1"/>
  <c r="E29" i="9"/>
  <c r="F29" i="9" s="1"/>
  <c r="Z52" i="62" s="1"/>
  <c r="E27" i="9"/>
  <c r="F27" i="9" s="1"/>
  <c r="X52" i="62" s="1"/>
  <c r="E25" i="9"/>
  <c r="F25" i="9" s="1"/>
  <c r="V52" i="62" s="1"/>
  <c r="E23" i="9"/>
  <c r="F23" i="9" s="1"/>
  <c r="T52" i="62" s="1"/>
  <c r="E21" i="9"/>
  <c r="F21" i="9" s="1"/>
  <c r="R52" i="62" s="1"/>
  <c r="E19" i="9"/>
  <c r="F19" i="9" s="1"/>
  <c r="P52" i="62" s="1"/>
  <c r="E17" i="9"/>
  <c r="F17" i="9" s="1"/>
  <c r="N52" i="62" s="1"/>
  <c r="E15" i="9"/>
  <c r="F15" i="9" s="1"/>
  <c r="L52" i="62" s="1"/>
  <c r="E13" i="9"/>
  <c r="F13" i="9" s="1"/>
  <c r="J52" i="62" s="1"/>
  <c r="E11" i="9"/>
  <c r="F11" i="9" s="1"/>
  <c r="H52" i="62" s="1"/>
  <c r="E9" i="9"/>
  <c r="F9" i="9" s="1"/>
  <c r="F52" i="62" s="1"/>
  <c r="E7" i="9"/>
  <c r="F7" i="9" s="1"/>
  <c r="D52" i="62" s="1"/>
  <c r="E5" i="9"/>
  <c r="F105" i="14"/>
  <c r="E31" i="14"/>
  <c r="F31" i="14" s="1"/>
  <c r="AB47" i="62" s="1"/>
  <c r="E29" i="14"/>
  <c r="F29" i="14" s="1"/>
  <c r="Z47" i="62" s="1"/>
  <c r="E27" i="14"/>
  <c r="F27" i="14" s="1"/>
  <c r="X47" i="62" s="1"/>
  <c r="E25" i="14"/>
  <c r="F25" i="14" s="1"/>
  <c r="V47" i="62" s="1"/>
  <c r="E23" i="14"/>
  <c r="F23" i="14" s="1"/>
  <c r="T47" i="62" s="1"/>
  <c r="E21" i="14"/>
  <c r="F21" i="14" s="1"/>
  <c r="R47" i="62" s="1"/>
  <c r="E19" i="14"/>
  <c r="F19" i="14" s="1"/>
  <c r="P47" i="62" s="1"/>
  <c r="E17" i="14"/>
  <c r="F17" i="14" s="1"/>
  <c r="N47" i="62" s="1"/>
  <c r="E15" i="14"/>
  <c r="F15" i="14" s="1"/>
  <c r="L47" i="62" s="1"/>
  <c r="E13" i="14"/>
  <c r="F13" i="14" s="1"/>
  <c r="J47" i="62" s="1"/>
  <c r="E11" i="14"/>
  <c r="F11" i="14" s="1"/>
  <c r="H47" i="62" s="1"/>
  <c r="E9" i="14"/>
  <c r="F9" i="14" s="1"/>
  <c r="F47" i="62" s="1"/>
  <c r="E7" i="14"/>
  <c r="F7" i="14" s="1"/>
  <c r="D47" i="62" s="1"/>
  <c r="E5" i="14"/>
  <c r="E32" i="14"/>
  <c r="F32" i="14" s="1"/>
  <c r="AC47" i="62" s="1"/>
  <c r="E30" i="14"/>
  <c r="F30" i="14" s="1"/>
  <c r="AA47" i="62" s="1"/>
  <c r="E28" i="14"/>
  <c r="F28" i="14" s="1"/>
  <c r="Y47" i="62" s="1"/>
  <c r="E26" i="14"/>
  <c r="F26" i="14" s="1"/>
  <c r="W47" i="62" s="1"/>
  <c r="E24" i="14"/>
  <c r="F24" i="14" s="1"/>
  <c r="U47" i="62" s="1"/>
  <c r="E22" i="14"/>
  <c r="F22" i="14" s="1"/>
  <c r="S47" i="62" s="1"/>
  <c r="E20" i="14"/>
  <c r="F20" i="14" s="1"/>
  <c r="Q47" i="62" s="1"/>
  <c r="E18" i="14"/>
  <c r="F18" i="14" s="1"/>
  <c r="O47" i="62" s="1"/>
  <c r="E16" i="14"/>
  <c r="F16" i="14" s="1"/>
  <c r="M47" i="62" s="1"/>
  <c r="E14" i="14"/>
  <c r="F14" i="14" s="1"/>
  <c r="K47" i="62" s="1"/>
  <c r="E12" i="14"/>
  <c r="F12" i="14" s="1"/>
  <c r="I47" i="62" s="1"/>
  <c r="E10" i="14"/>
  <c r="F10" i="14" s="1"/>
  <c r="G47" i="62" s="1"/>
  <c r="E8" i="14"/>
  <c r="F8" i="14" s="1"/>
  <c r="E47" i="62" s="1"/>
  <c r="E6" i="14"/>
  <c r="F6" i="14" s="1"/>
  <c r="C47" i="62" s="1"/>
  <c r="F105" i="25"/>
  <c r="E31" i="25"/>
  <c r="F31" i="25" s="1"/>
  <c r="AB36" i="62" s="1"/>
  <c r="E29" i="25"/>
  <c r="F29" i="25" s="1"/>
  <c r="Z36" i="62" s="1"/>
  <c r="E27" i="25"/>
  <c r="F27" i="25" s="1"/>
  <c r="X36" i="62" s="1"/>
  <c r="E25" i="25"/>
  <c r="F25" i="25" s="1"/>
  <c r="V36" i="62" s="1"/>
  <c r="E23" i="25"/>
  <c r="F23" i="25" s="1"/>
  <c r="T36" i="62" s="1"/>
  <c r="E21" i="25"/>
  <c r="F21" i="25" s="1"/>
  <c r="R36" i="62" s="1"/>
  <c r="E19" i="25"/>
  <c r="F19" i="25" s="1"/>
  <c r="P36" i="62" s="1"/>
  <c r="E17" i="25"/>
  <c r="F17" i="25" s="1"/>
  <c r="N36" i="62" s="1"/>
  <c r="E15" i="25"/>
  <c r="F15" i="25" s="1"/>
  <c r="L36" i="62" s="1"/>
  <c r="E13" i="25"/>
  <c r="F13" i="25" s="1"/>
  <c r="J36" i="62" s="1"/>
  <c r="E11" i="25"/>
  <c r="F11" i="25" s="1"/>
  <c r="H36" i="62" s="1"/>
  <c r="E9" i="25"/>
  <c r="F9" i="25" s="1"/>
  <c r="F36" i="62" s="1"/>
  <c r="E7" i="25"/>
  <c r="F7" i="25" s="1"/>
  <c r="D36" i="62" s="1"/>
  <c r="E5" i="25"/>
  <c r="E32" i="25"/>
  <c r="F32" i="25" s="1"/>
  <c r="AC36" i="62" s="1"/>
  <c r="E30" i="25"/>
  <c r="F30" i="25" s="1"/>
  <c r="AA36" i="62" s="1"/>
  <c r="E28" i="25"/>
  <c r="F28" i="25" s="1"/>
  <c r="Y36" i="62" s="1"/>
  <c r="E26" i="25"/>
  <c r="F26" i="25" s="1"/>
  <c r="W36" i="62" s="1"/>
  <c r="E24" i="25"/>
  <c r="F24" i="25" s="1"/>
  <c r="U36" i="62" s="1"/>
  <c r="E22" i="25"/>
  <c r="F22" i="25" s="1"/>
  <c r="S36" i="62" s="1"/>
  <c r="E20" i="25"/>
  <c r="F20" i="25" s="1"/>
  <c r="Q36" i="62" s="1"/>
  <c r="E18" i="25"/>
  <c r="F18" i="25" s="1"/>
  <c r="O36" i="62" s="1"/>
  <c r="E16" i="25"/>
  <c r="F16" i="25" s="1"/>
  <c r="M36" i="62" s="1"/>
  <c r="E14" i="25"/>
  <c r="F14" i="25" s="1"/>
  <c r="K36" i="62" s="1"/>
  <c r="E12" i="25"/>
  <c r="F12" i="25" s="1"/>
  <c r="I36" i="62" s="1"/>
  <c r="E10" i="25"/>
  <c r="F10" i="25" s="1"/>
  <c r="G36" i="62" s="1"/>
  <c r="E8" i="25"/>
  <c r="F8" i="25" s="1"/>
  <c r="E36" i="62" s="1"/>
  <c r="E6" i="25"/>
  <c r="F6" i="25" s="1"/>
  <c r="C36" i="62" s="1"/>
  <c r="F105" i="29"/>
  <c r="E31" i="29"/>
  <c r="F31" i="29" s="1"/>
  <c r="AB32" i="62" s="1"/>
  <c r="E29" i="29"/>
  <c r="F29" i="29" s="1"/>
  <c r="Z32" i="62" s="1"/>
  <c r="E27" i="29"/>
  <c r="F27" i="29" s="1"/>
  <c r="X32" i="62" s="1"/>
  <c r="E25" i="29"/>
  <c r="F25" i="29" s="1"/>
  <c r="V32" i="62" s="1"/>
  <c r="E23" i="29"/>
  <c r="F23" i="29" s="1"/>
  <c r="T32" i="62" s="1"/>
  <c r="E21" i="29"/>
  <c r="F21" i="29" s="1"/>
  <c r="R32" i="62" s="1"/>
  <c r="E19" i="29"/>
  <c r="F19" i="29" s="1"/>
  <c r="P32" i="62" s="1"/>
  <c r="E17" i="29"/>
  <c r="F17" i="29" s="1"/>
  <c r="N32" i="62" s="1"/>
  <c r="E32" i="29"/>
  <c r="F32" i="29" s="1"/>
  <c r="AC32" i="62" s="1"/>
  <c r="E30" i="29"/>
  <c r="F30" i="29" s="1"/>
  <c r="AA32" i="62" s="1"/>
  <c r="E28" i="29"/>
  <c r="F28" i="29" s="1"/>
  <c r="Y32" i="62" s="1"/>
  <c r="E26" i="29"/>
  <c r="F26" i="29" s="1"/>
  <c r="W32" i="62" s="1"/>
  <c r="E24" i="29"/>
  <c r="F24" i="29" s="1"/>
  <c r="U32" i="62" s="1"/>
  <c r="E22" i="29"/>
  <c r="F22" i="29" s="1"/>
  <c r="S32" i="62" s="1"/>
  <c r="E20" i="29"/>
  <c r="F20" i="29" s="1"/>
  <c r="Q32" i="62" s="1"/>
  <c r="E18" i="29"/>
  <c r="F18" i="29" s="1"/>
  <c r="O32" i="62" s="1"/>
  <c r="E16" i="29"/>
  <c r="F16" i="29" s="1"/>
  <c r="M32" i="62" s="1"/>
  <c r="E14" i="29"/>
  <c r="F14" i="29" s="1"/>
  <c r="K32" i="62" s="1"/>
  <c r="E12" i="29"/>
  <c r="F12" i="29" s="1"/>
  <c r="I32" i="62" s="1"/>
  <c r="E10" i="29"/>
  <c r="F10" i="29" s="1"/>
  <c r="G32" i="62" s="1"/>
  <c r="E8" i="29"/>
  <c r="F8" i="29" s="1"/>
  <c r="E32" i="62" s="1"/>
  <c r="E6" i="29"/>
  <c r="F6" i="29" s="1"/>
  <c r="C32" i="62" s="1"/>
  <c r="E13" i="29"/>
  <c r="F13" i="29" s="1"/>
  <c r="J32" i="62" s="1"/>
  <c r="E9" i="29"/>
  <c r="F9" i="29" s="1"/>
  <c r="F32" i="62" s="1"/>
  <c r="E5" i="29"/>
  <c r="E15" i="29"/>
  <c r="F15" i="29" s="1"/>
  <c r="L32" i="62" s="1"/>
  <c r="E11" i="29"/>
  <c r="F11" i="29" s="1"/>
  <c r="H32" i="62" s="1"/>
  <c r="E7" i="29"/>
  <c r="F7" i="29" s="1"/>
  <c r="D32" i="62" s="1"/>
  <c r="E32" i="53"/>
  <c r="F32" i="53" s="1"/>
  <c r="AC8" i="62" s="1"/>
  <c r="E30" i="53"/>
  <c r="F30" i="53" s="1"/>
  <c r="AA8" i="62" s="1"/>
  <c r="E28" i="53"/>
  <c r="F28" i="53" s="1"/>
  <c r="Y8" i="62" s="1"/>
  <c r="E26" i="53"/>
  <c r="F26" i="53" s="1"/>
  <c r="W8" i="62" s="1"/>
  <c r="E24" i="53"/>
  <c r="F24" i="53" s="1"/>
  <c r="U8" i="62" s="1"/>
  <c r="E22" i="53"/>
  <c r="F22" i="53" s="1"/>
  <c r="S8" i="62" s="1"/>
  <c r="E20" i="53"/>
  <c r="F20" i="53" s="1"/>
  <c r="Q8" i="62" s="1"/>
  <c r="E18" i="53"/>
  <c r="F18" i="53" s="1"/>
  <c r="O8" i="62" s="1"/>
  <c r="E16" i="53"/>
  <c r="F16" i="53" s="1"/>
  <c r="M8" i="62" s="1"/>
  <c r="E14" i="53"/>
  <c r="F14" i="53" s="1"/>
  <c r="K8" i="62" s="1"/>
  <c r="E12" i="53"/>
  <c r="F12" i="53" s="1"/>
  <c r="I8" i="62" s="1"/>
  <c r="E10" i="53"/>
  <c r="F10" i="53" s="1"/>
  <c r="G8" i="62" s="1"/>
  <c r="E8" i="53"/>
  <c r="F8" i="53" s="1"/>
  <c r="E8" i="62" s="1"/>
  <c r="E6" i="53"/>
  <c r="F6" i="53" s="1"/>
  <c r="C8" i="62" s="1"/>
  <c r="F105" i="53"/>
  <c r="E31" i="53"/>
  <c r="F31" i="53" s="1"/>
  <c r="AB8" i="62" s="1"/>
  <c r="E29" i="53"/>
  <c r="F29" i="53" s="1"/>
  <c r="Z8" i="62" s="1"/>
  <c r="E27" i="53"/>
  <c r="F27" i="53" s="1"/>
  <c r="X8" i="62" s="1"/>
  <c r="E25" i="53"/>
  <c r="F25" i="53" s="1"/>
  <c r="V8" i="62" s="1"/>
  <c r="E23" i="53"/>
  <c r="F23" i="53" s="1"/>
  <c r="T8" i="62" s="1"/>
  <c r="E21" i="53"/>
  <c r="F21" i="53" s="1"/>
  <c r="R8" i="62" s="1"/>
  <c r="E19" i="53"/>
  <c r="F19" i="53" s="1"/>
  <c r="P8" i="62" s="1"/>
  <c r="E17" i="53"/>
  <c r="F17" i="53" s="1"/>
  <c r="N8" i="62" s="1"/>
  <c r="E15" i="53"/>
  <c r="F15" i="53" s="1"/>
  <c r="L8" i="62" s="1"/>
  <c r="E13" i="53"/>
  <c r="F13" i="53" s="1"/>
  <c r="J8" i="62" s="1"/>
  <c r="E11" i="53"/>
  <c r="F11" i="53" s="1"/>
  <c r="H8" i="62" s="1"/>
  <c r="E9" i="53"/>
  <c r="F9" i="53" s="1"/>
  <c r="F8" i="62" s="1"/>
  <c r="E7" i="53"/>
  <c r="F7" i="53" s="1"/>
  <c r="D8" i="62" s="1"/>
  <c r="E5" i="53"/>
  <c r="E32" i="57"/>
  <c r="F32" i="57" s="1"/>
  <c r="AC4" i="62" s="1"/>
  <c r="E30" i="57"/>
  <c r="F30" i="57" s="1"/>
  <c r="AA4" i="62" s="1"/>
  <c r="E28" i="57"/>
  <c r="F28" i="57" s="1"/>
  <c r="Y4" i="62" s="1"/>
  <c r="E26" i="57"/>
  <c r="F26" i="57" s="1"/>
  <c r="W4" i="62" s="1"/>
  <c r="E24" i="57"/>
  <c r="F24" i="57" s="1"/>
  <c r="U4" i="62" s="1"/>
  <c r="E22" i="57"/>
  <c r="F22" i="57" s="1"/>
  <c r="S4" i="62" s="1"/>
  <c r="E20" i="57"/>
  <c r="F20" i="57" s="1"/>
  <c r="Q4" i="62" s="1"/>
  <c r="E18" i="57"/>
  <c r="F18" i="57" s="1"/>
  <c r="O4" i="62" s="1"/>
  <c r="E16" i="57"/>
  <c r="F16" i="57" s="1"/>
  <c r="M4" i="62" s="1"/>
  <c r="E14" i="57"/>
  <c r="F14" i="57" s="1"/>
  <c r="K4" i="62" s="1"/>
  <c r="E12" i="57"/>
  <c r="F12" i="57" s="1"/>
  <c r="I4" i="62" s="1"/>
  <c r="E10" i="57"/>
  <c r="F10" i="57" s="1"/>
  <c r="G4" i="62" s="1"/>
  <c r="E8" i="57"/>
  <c r="F8" i="57" s="1"/>
  <c r="E4" i="62" s="1"/>
  <c r="E6" i="57"/>
  <c r="F6" i="57" s="1"/>
  <c r="C4" i="62" s="1"/>
  <c r="F105" i="57"/>
  <c r="E31" i="57"/>
  <c r="F31" i="57" s="1"/>
  <c r="AB4" i="62" s="1"/>
  <c r="E29" i="57"/>
  <c r="F29" i="57" s="1"/>
  <c r="Z4" i="62" s="1"/>
  <c r="E27" i="57"/>
  <c r="F27" i="57" s="1"/>
  <c r="X4" i="62" s="1"/>
  <c r="E25" i="57"/>
  <c r="F25" i="57" s="1"/>
  <c r="V4" i="62" s="1"/>
  <c r="E23" i="57"/>
  <c r="F23" i="57" s="1"/>
  <c r="T4" i="62" s="1"/>
  <c r="E21" i="57"/>
  <c r="F21" i="57" s="1"/>
  <c r="R4" i="62" s="1"/>
  <c r="E19" i="57"/>
  <c r="F19" i="57" s="1"/>
  <c r="P4" i="62" s="1"/>
  <c r="E17" i="57"/>
  <c r="F17" i="57" s="1"/>
  <c r="N4" i="62" s="1"/>
  <c r="E15" i="57"/>
  <c r="F15" i="57" s="1"/>
  <c r="L4" i="62" s="1"/>
  <c r="E13" i="57"/>
  <c r="F13" i="57" s="1"/>
  <c r="J4" i="62" s="1"/>
  <c r="E11" i="57"/>
  <c r="F11" i="57" s="1"/>
  <c r="H4" i="62" s="1"/>
  <c r="E9" i="57"/>
  <c r="F9" i="57" s="1"/>
  <c r="F4" i="62" s="1"/>
  <c r="E7" i="57"/>
  <c r="F7" i="57" s="1"/>
  <c r="D4" i="62" s="1"/>
  <c r="E5" i="57"/>
  <c r="E32" i="3"/>
  <c r="F32" i="3" s="1"/>
  <c r="AC58" i="62" s="1"/>
  <c r="E30" i="3"/>
  <c r="F30" i="3" s="1"/>
  <c r="AA58" i="62" s="1"/>
  <c r="E28" i="3"/>
  <c r="F28" i="3" s="1"/>
  <c r="Y58" i="62" s="1"/>
  <c r="E26" i="3"/>
  <c r="F26" i="3" s="1"/>
  <c r="W58" i="62" s="1"/>
  <c r="E24" i="3"/>
  <c r="F24" i="3" s="1"/>
  <c r="U58" i="62" s="1"/>
  <c r="E22" i="3"/>
  <c r="F22" i="3" s="1"/>
  <c r="S58" i="62" s="1"/>
  <c r="E20" i="3"/>
  <c r="F20" i="3" s="1"/>
  <c r="Q58" i="62" s="1"/>
  <c r="E18" i="3"/>
  <c r="F18" i="3" s="1"/>
  <c r="O58" i="62" s="1"/>
  <c r="E16" i="3"/>
  <c r="F16" i="3" s="1"/>
  <c r="M58" i="62" s="1"/>
  <c r="E14" i="3"/>
  <c r="F14" i="3" s="1"/>
  <c r="K58" i="62" s="1"/>
  <c r="E12" i="3"/>
  <c r="F12" i="3" s="1"/>
  <c r="I58" i="62" s="1"/>
  <c r="E10" i="3"/>
  <c r="F10" i="3" s="1"/>
  <c r="G58" i="62" s="1"/>
  <c r="E8" i="3"/>
  <c r="F8" i="3" s="1"/>
  <c r="E58" i="62" s="1"/>
  <c r="E6" i="3"/>
  <c r="F6" i="3" s="1"/>
  <c r="C58" i="62" s="1"/>
  <c r="F105" i="3"/>
  <c r="E31" i="3"/>
  <c r="F31" i="3" s="1"/>
  <c r="AB58" i="62" s="1"/>
  <c r="E29" i="3"/>
  <c r="F29" i="3" s="1"/>
  <c r="Z58" i="62" s="1"/>
  <c r="E27" i="3"/>
  <c r="F27" i="3" s="1"/>
  <c r="X58" i="62" s="1"/>
  <c r="E25" i="3"/>
  <c r="F25" i="3" s="1"/>
  <c r="V58" i="62" s="1"/>
  <c r="E23" i="3"/>
  <c r="F23" i="3" s="1"/>
  <c r="T58" i="62" s="1"/>
  <c r="E21" i="3"/>
  <c r="F21" i="3" s="1"/>
  <c r="R58" i="62" s="1"/>
  <c r="E19" i="3"/>
  <c r="F19" i="3" s="1"/>
  <c r="P58" i="62" s="1"/>
  <c r="E17" i="3"/>
  <c r="F17" i="3" s="1"/>
  <c r="N58" i="62" s="1"/>
  <c r="E15" i="3"/>
  <c r="F15" i="3" s="1"/>
  <c r="L58" i="62" s="1"/>
  <c r="E13" i="3"/>
  <c r="F13" i="3" s="1"/>
  <c r="J58" i="62" s="1"/>
  <c r="E11" i="3"/>
  <c r="F11" i="3" s="1"/>
  <c r="H58" i="62" s="1"/>
  <c r="E9" i="3"/>
  <c r="F9" i="3" s="1"/>
  <c r="F58" i="62" s="1"/>
  <c r="E7" i="3"/>
  <c r="F7" i="3" s="1"/>
  <c r="D58" i="62" s="1"/>
  <c r="E5" i="3"/>
  <c r="E32" i="12"/>
  <c r="F32" i="12" s="1"/>
  <c r="AC49" i="62" s="1"/>
  <c r="E30" i="12"/>
  <c r="F30" i="12" s="1"/>
  <c r="AA49" i="62" s="1"/>
  <c r="E28" i="12"/>
  <c r="F28" i="12" s="1"/>
  <c r="Y49" i="62" s="1"/>
  <c r="E26" i="12"/>
  <c r="F26" i="12" s="1"/>
  <c r="W49" i="62" s="1"/>
  <c r="E24" i="12"/>
  <c r="F24" i="12" s="1"/>
  <c r="U49" i="62" s="1"/>
  <c r="E22" i="12"/>
  <c r="F22" i="12" s="1"/>
  <c r="S49" i="62" s="1"/>
  <c r="E20" i="12"/>
  <c r="F20" i="12" s="1"/>
  <c r="Q49" i="62" s="1"/>
  <c r="E18" i="12"/>
  <c r="F18" i="12" s="1"/>
  <c r="O49" i="62" s="1"/>
  <c r="E16" i="12"/>
  <c r="F16" i="12" s="1"/>
  <c r="M49" i="62" s="1"/>
  <c r="E14" i="12"/>
  <c r="F14" i="12" s="1"/>
  <c r="K49" i="62" s="1"/>
  <c r="E12" i="12"/>
  <c r="F12" i="12" s="1"/>
  <c r="I49" i="62" s="1"/>
  <c r="E10" i="12"/>
  <c r="F10" i="12" s="1"/>
  <c r="G49" i="62" s="1"/>
  <c r="E8" i="12"/>
  <c r="F8" i="12" s="1"/>
  <c r="E49" i="62" s="1"/>
  <c r="E6" i="12"/>
  <c r="F6" i="12" s="1"/>
  <c r="C49" i="62" s="1"/>
  <c r="F105" i="12"/>
  <c r="E31" i="12"/>
  <c r="F31" i="12" s="1"/>
  <c r="AB49" i="62" s="1"/>
  <c r="E29" i="12"/>
  <c r="F29" i="12" s="1"/>
  <c r="Z49" i="62" s="1"/>
  <c r="E27" i="12"/>
  <c r="F27" i="12" s="1"/>
  <c r="X49" i="62" s="1"/>
  <c r="E25" i="12"/>
  <c r="F25" i="12" s="1"/>
  <c r="V49" i="62" s="1"/>
  <c r="E23" i="12"/>
  <c r="F23" i="12" s="1"/>
  <c r="T49" i="62" s="1"/>
  <c r="E21" i="12"/>
  <c r="F21" i="12" s="1"/>
  <c r="R49" i="62" s="1"/>
  <c r="E19" i="12"/>
  <c r="F19" i="12" s="1"/>
  <c r="P49" i="62" s="1"/>
  <c r="E17" i="12"/>
  <c r="F17" i="12" s="1"/>
  <c r="N49" i="62" s="1"/>
  <c r="E15" i="12"/>
  <c r="F15" i="12" s="1"/>
  <c r="L49" i="62" s="1"/>
  <c r="E13" i="12"/>
  <c r="F13" i="12" s="1"/>
  <c r="J49" i="62" s="1"/>
  <c r="E11" i="12"/>
  <c r="F11" i="12" s="1"/>
  <c r="H49" i="62" s="1"/>
  <c r="E9" i="12"/>
  <c r="F9" i="12" s="1"/>
  <c r="F49" i="62" s="1"/>
  <c r="E7" i="12"/>
  <c r="F7" i="12" s="1"/>
  <c r="D49" i="62" s="1"/>
  <c r="E5" i="12"/>
  <c r="E32" i="15"/>
  <c r="F32" i="15" s="1"/>
  <c r="AC46" i="62" s="1"/>
  <c r="E30" i="15"/>
  <c r="F30" i="15" s="1"/>
  <c r="AA46" i="62" s="1"/>
  <c r="E28" i="15"/>
  <c r="F28" i="15" s="1"/>
  <c r="Y46" i="62" s="1"/>
  <c r="E26" i="15"/>
  <c r="F26" i="15" s="1"/>
  <c r="W46" i="62" s="1"/>
  <c r="E24" i="15"/>
  <c r="F24" i="15" s="1"/>
  <c r="U46" i="62" s="1"/>
  <c r="E22" i="15"/>
  <c r="F22" i="15" s="1"/>
  <c r="S46" i="62" s="1"/>
  <c r="E20" i="15"/>
  <c r="F20" i="15" s="1"/>
  <c r="Q46" i="62" s="1"/>
  <c r="E18" i="15"/>
  <c r="F18" i="15" s="1"/>
  <c r="O46" i="62" s="1"/>
  <c r="E16" i="15"/>
  <c r="F16" i="15" s="1"/>
  <c r="M46" i="62" s="1"/>
  <c r="E14" i="15"/>
  <c r="F14" i="15" s="1"/>
  <c r="K46" i="62" s="1"/>
  <c r="E12" i="15"/>
  <c r="F12" i="15" s="1"/>
  <c r="I46" i="62" s="1"/>
  <c r="E10" i="15"/>
  <c r="F10" i="15" s="1"/>
  <c r="G46" i="62" s="1"/>
  <c r="E8" i="15"/>
  <c r="F8" i="15" s="1"/>
  <c r="E46" i="62" s="1"/>
  <c r="E6" i="15"/>
  <c r="F6" i="15" s="1"/>
  <c r="C46" i="62" s="1"/>
  <c r="F105" i="15"/>
  <c r="E31" i="15"/>
  <c r="F31" i="15" s="1"/>
  <c r="AB46" i="62" s="1"/>
  <c r="E29" i="15"/>
  <c r="F29" i="15" s="1"/>
  <c r="Z46" i="62" s="1"/>
  <c r="E27" i="15"/>
  <c r="F27" i="15" s="1"/>
  <c r="X46" i="62" s="1"/>
  <c r="E25" i="15"/>
  <c r="F25" i="15" s="1"/>
  <c r="V46" i="62" s="1"/>
  <c r="E23" i="15"/>
  <c r="F23" i="15" s="1"/>
  <c r="T46" i="62" s="1"/>
  <c r="E21" i="15"/>
  <c r="F21" i="15" s="1"/>
  <c r="R46" i="62" s="1"/>
  <c r="E19" i="15"/>
  <c r="F19" i="15" s="1"/>
  <c r="P46" i="62" s="1"/>
  <c r="E17" i="15"/>
  <c r="F17" i="15" s="1"/>
  <c r="N46" i="62" s="1"/>
  <c r="E15" i="15"/>
  <c r="F15" i="15" s="1"/>
  <c r="L46" i="62" s="1"/>
  <c r="E13" i="15"/>
  <c r="F13" i="15" s="1"/>
  <c r="J46" i="62" s="1"/>
  <c r="E11" i="15"/>
  <c r="F11" i="15" s="1"/>
  <c r="H46" i="62" s="1"/>
  <c r="E9" i="15"/>
  <c r="F9" i="15" s="1"/>
  <c r="F46" i="62" s="1"/>
  <c r="E7" i="15"/>
  <c r="F7" i="15" s="1"/>
  <c r="D46" i="62" s="1"/>
  <c r="E5" i="15"/>
  <c r="E32" i="17"/>
  <c r="F32" i="17" s="1"/>
  <c r="AC44" i="62" s="1"/>
  <c r="E30" i="17"/>
  <c r="F30" i="17" s="1"/>
  <c r="AA44" i="62" s="1"/>
  <c r="E28" i="17"/>
  <c r="F28" i="17" s="1"/>
  <c r="Y44" i="62" s="1"/>
  <c r="E26" i="17"/>
  <c r="F26" i="17" s="1"/>
  <c r="W44" i="62" s="1"/>
  <c r="E24" i="17"/>
  <c r="F24" i="17" s="1"/>
  <c r="U44" i="62" s="1"/>
  <c r="E22" i="17"/>
  <c r="F22" i="17" s="1"/>
  <c r="S44" i="62" s="1"/>
  <c r="E20" i="17"/>
  <c r="F20" i="17" s="1"/>
  <c r="Q44" i="62" s="1"/>
  <c r="E18" i="17"/>
  <c r="F18" i="17" s="1"/>
  <c r="O44" i="62" s="1"/>
  <c r="E16" i="17"/>
  <c r="F16" i="17" s="1"/>
  <c r="M44" i="62" s="1"/>
  <c r="E14" i="17"/>
  <c r="F14" i="17" s="1"/>
  <c r="K44" i="62" s="1"/>
  <c r="E12" i="17"/>
  <c r="F12" i="17" s="1"/>
  <c r="I44" i="62" s="1"/>
  <c r="E10" i="17"/>
  <c r="F10" i="17" s="1"/>
  <c r="G44" i="62" s="1"/>
  <c r="E8" i="17"/>
  <c r="F8" i="17" s="1"/>
  <c r="E44" i="62" s="1"/>
  <c r="E6" i="17"/>
  <c r="F6" i="17" s="1"/>
  <c r="C44" i="62" s="1"/>
  <c r="F105" i="17"/>
  <c r="E31" i="17"/>
  <c r="F31" i="17" s="1"/>
  <c r="AB44" i="62" s="1"/>
  <c r="E29" i="17"/>
  <c r="F29" i="17" s="1"/>
  <c r="Z44" i="62" s="1"/>
  <c r="E27" i="17"/>
  <c r="F27" i="17" s="1"/>
  <c r="X44" i="62" s="1"/>
  <c r="E25" i="17"/>
  <c r="F25" i="17" s="1"/>
  <c r="V44" i="62" s="1"/>
  <c r="E23" i="17"/>
  <c r="F23" i="17" s="1"/>
  <c r="T44" i="62" s="1"/>
  <c r="E21" i="17"/>
  <c r="F21" i="17" s="1"/>
  <c r="R44" i="62" s="1"/>
  <c r="E19" i="17"/>
  <c r="F19" i="17" s="1"/>
  <c r="P44" i="62" s="1"/>
  <c r="E17" i="17"/>
  <c r="F17" i="17" s="1"/>
  <c r="N44" i="62" s="1"/>
  <c r="E15" i="17"/>
  <c r="F15" i="17" s="1"/>
  <c r="L44" i="62" s="1"/>
  <c r="E13" i="17"/>
  <c r="F13" i="17" s="1"/>
  <c r="J44" i="62" s="1"/>
  <c r="E11" i="17"/>
  <c r="F11" i="17" s="1"/>
  <c r="H44" i="62" s="1"/>
  <c r="E9" i="17"/>
  <c r="F9" i="17" s="1"/>
  <c r="F44" i="62" s="1"/>
  <c r="E7" i="17"/>
  <c r="F7" i="17" s="1"/>
  <c r="D44" i="62" s="1"/>
  <c r="E5" i="17"/>
  <c r="F105" i="44"/>
  <c r="E31" i="44"/>
  <c r="F31" i="44" s="1"/>
  <c r="AB17" i="62" s="1"/>
  <c r="E29" i="44"/>
  <c r="F29" i="44" s="1"/>
  <c r="Z17" i="62" s="1"/>
  <c r="E27" i="44"/>
  <c r="F27" i="44" s="1"/>
  <c r="X17" i="62" s="1"/>
  <c r="E25" i="44"/>
  <c r="F25" i="44" s="1"/>
  <c r="V17" i="62" s="1"/>
  <c r="E23" i="44"/>
  <c r="F23" i="44" s="1"/>
  <c r="T17" i="62" s="1"/>
  <c r="E21" i="44"/>
  <c r="F21" i="44" s="1"/>
  <c r="R17" i="62" s="1"/>
  <c r="E19" i="44"/>
  <c r="F19" i="44" s="1"/>
  <c r="P17" i="62" s="1"/>
  <c r="E17" i="44"/>
  <c r="F17" i="44" s="1"/>
  <c r="N17" i="62" s="1"/>
  <c r="E15" i="44"/>
  <c r="F15" i="44" s="1"/>
  <c r="L17" i="62" s="1"/>
  <c r="E13" i="44"/>
  <c r="F13" i="44" s="1"/>
  <c r="J17" i="62" s="1"/>
  <c r="E11" i="44"/>
  <c r="F11" i="44" s="1"/>
  <c r="H17" i="62" s="1"/>
  <c r="E9" i="44"/>
  <c r="F9" i="44" s="1"/>
  <c r="F17" i="62" s="1"/>
  <c r="E7" i="44"/>
  <c r="F7" i="44" s="1"/>
  <c r="D17" i="62" s="1"/>
  <c r="E5" i="44"/>
  <c r="E32" i="44"/>
  <c r="F32" i="44" s="1"/>
  <c r="AC17" i="62" s="1"/>
  <c r="E30" i="44"/>
  <c r="F30" i="44" s="1"/>
  <c r="AA17" i="62" s="1"/>
  <c r="E28" i="44"/>
  <c r="F28" i="44" s="1"/>
  <c r="Y17" i="62" s="1"/>
  <c r="E26" i="44"/>
  <c r="F26" i="44" s="1"/>
  <c r="W17" i="62" s="1"/>
  <c r="E24" i="44"/>
  <c r="F24" i="44" s="1"/>
  <c r="U17" i="62" s="1"/>
  <c r="E22" i="44"/>
  <c r="F22" i="44" s="1"/>
  <c r="S17" i="62" s="1"/>
  <c r="E20" i="44"/>
  <c r="F20" i="44" s="1"/>
  <c r="Q17" i="62" s="1"/>
  <c r="E18" i="44"/>
  <c r="F18" i="44" s="1"/>
  <c r="O17" i="62" s="1"/>
  <c r="E16" i="44"/>
  <c r="F16" i="44" s="1"/>
  <c r="M17" i="62" s="1"/>
  <c r="E14" i="44"/>
  <c r="F14" i="44" s="1"/>
  <c r="K17" i="62" s="1"/>
  <c r="E12" i="44"/>
  <c r="F12" i="44" s="1"/>
  <c r="I17" i="62" s="1"/>
  <c r="E10" i="44"/>
  <c r="F10" i="44" s="1"/>
  <c r="G17" i="62" s="1"/>
  <c r="E8" i="44"/>
  <c r="F8" i="44" s="1"/>
  <c r="E17" i="62" s="1"/>
  <c r="E6" i="44"/>
  <c r="F6" i="44" s="1"/>
  <c r="C17" i="62" s="1"/>
  <c r="F95" i="60" l="1"/>
  <c r="F101" i="60"/>
  <c r="F109" i="60"/>
  <c r="F118" i="60" s="1"/>
  <c r="F104" i="36"/>
  <c r="F100" i="36"/>
  <c r="F99" i="36"/>
  <c r="F98" i="36"/>
  <c r="F103" i="36"/>
  <c r="F102" i="36"/>
  <c r="F100" i="32"/>
  <c r="F103" i="32"/>
  <c r="F99" i="32"/>
  <c r="F104" i="32"/>
  <c r="F98" i="32"/>
  <c r="F102" i="32"/>
  <c r="T24" i="63"/>
  <c r="S24" i="63"/>
  <c r="F104" i="31"/>
  <c r="F99" i="31"/>
  <c r="F100" i="31"/>
  <c r="F103" i="31"/>
  <c r="F98" i="31"/>
  <c r="F102" i="31"/>
  <c r="S21" i="63"/>
  <c r="E29" i="60"/>
  <c r="I61" i="63"/>
  <c r="K61" i="63"/>
  <c r="F64" i="63"/>
  <c r="V48" i="63"/>
  <c r="U48" i="63"/>
  <c r="H48" i="63"/>
  <c r="G48" i="63"/>
  <c r="J48" i="63"/>
  <c r="I48" i="63"/>
  <c r="L48" i="63"/>
  <c r="K48" i="63"/>
  <c r="T48" i="63"/>
  <c r="S48" i="63"/>
  <c r="H7" i="63"/>
  <c r="G7" i="63"/>
  <c r="T7" i="63"/>
  <c r="S7" i="63"/>
  <c r="J7" i="63"/>
  <c r="I7" i="63"/>
  <c r="V7" i="63"/>
  <c r="U7" i="63"/>
  <c r="L7" i="63"/>
  <c r="K7" i="63"/>
  <c r="E30" i="36"/>
  <c r="F30" i="36" s="1"/>
  <c r="AA25" i="62" s="1"/>
  <c r="E26" i="36"/>
  <c r="F26" i="36" s="1"/>
  <c r="W25" i="62" s="1"/>
  <c r="E22" i="36"/>
  <c r="F22" i="36" s="1"/>
  <c r="S25" i="62" s="1"/>
  <c r="E18" i="36"/>
  <c r="F18" i="36" s="1"/>
  <c r="O25" i="62" s="1"/>
  <c r="E14" i="36"/>
  <c r="F14" i="36" s="1"/>
  <c r="K25" i="62" s="1"/>
  <c r="E10" i="36"/>
  <c r="F10" i="36" s="1"/>
  <c r="G25" i="62" s="1"/>
  <c r="G63" i="62" s="1"/>
  <c r="E6" i="36"/>
  <c r="F6" i="36" s="1"/>
  <c r="C25" i="62" s="1"/>
  <c r="E31" i="36"/>
  <c r="F31" i="36" s="1"/>
  <c r="AB25" i="62" s="1"/>
  <c r="E27" i="36"/>
  <c r="F27" i="36" s="1"/>
  <c r="X25" i="62" s="1"/>
  <c r="E23" i="36"/>
  <c r="F23" i="36" s="1"/>
  <c r="T25" i="62" s="1"/>
  <c r="E19" i="36"/>
  <c r="F19" i="36" s="1"/>
  <c r="P25" i="62" s="1"/>
  <c r="E15" i="36"/>
  <c r="F15" i="36" s="1"/>
  <c r="L25" i="62" s="1"/>
  <c r="E11" i="36"/>
  <c r="F11" i="36" s="1"/>
  <c r="H25" i="62" s="1"/>
  <c r="E7" i="36"/>
  <c r="F7" i="36" s="1"/>
  <c r="D25" i="62" s="1"/>
  <c r="E32" i="36"/>
  <c r="F32" i="36" s="1"/>
  <c r="AC25" i="62" s="1"/>
  <c r="E28" i="36"/>
  <c r="F28" i="36" s="1"/>
  <c r="Y25" i="62" s="1"/>
  <c r="E24" i="36"/>
  <c r="F24" i="36" s="1"/>
  <c r="U25" i="62" s="1"/>
  <c r="E20" i="36"/>
  <c r="F20" i="36" s="1"/>
  <c r="Q25" i="62" s="1"/>
  <c r="E16" i="36"/>
  <c r="F16" i="36" s="1"/>
  <c r="M25" i="62" s="1"/>
  <c r="E12" i="36"/>
  <c r="F12" i="36" s="1"/>
  <c r="I25" i="62" s="1"/>
  <c r="E8" i="36"/>
  <c r="F8" i="36" s="1"/>
  <c r="E25" i="62" s="1"/>
  <c r="F105" i="36"/>
  <c r="E29" i="36"/>
  <c r="F29" i="36" s="1"/>
  <c r="Z25" i="62" s="1"/>
  <c r="E25" i="36"/>
  <c r="F25" i="36" s="1"/>
  <c r="V25" i="62" s="1"/>
  <c r="E21" i="36"/>
  <c r="F21" i="36" s="1"/>
  <c r="R25" i="62" s="1"/>
  <c r="E17" i="36"/>
  <c r="F17" i="36" s="1"/>
  <c r="N25" i="62" s="1"/>
  <c r="E13" i="36"/>
  <c r="F13" i="36" s="1"/>
  <c r="J25" i="62" s="1"/>
  <c r="E9" i="36"/>
  <c r="F9" i="36" s="1"/>
  <c r="F25" i="62" s="1"/>
  <c r="E5" i="36"/>
  <c r="E32" i="32"/>
  <c r="F32" i="32" s="1"/>
  <c r="AC29" i="62" s="1"/>
  <c r="E24" i="32"/>
  <c r="F24" i="32" s="1"/>
  <c r="U29" i="62" s="1"/>
  <c r="E16" i="32"/>
  <c r="F16" i="32" s="1"/>
  <c r="M29" i="62" s="1"/>
  <c r="E8" i="32"/>
  <c r="F8" i="32" s="1"/>
  <c r="E29" i="62" s="1"/>
  <c r="E25" i="32"/>
  <c r="F25" i="32" s="1"/>
  <c r="V29" i="62" s="1"/>
  <c r="E17" i="32"/>
  <c r="F17" i="32" s="1"/>
  <c r="N29" i="62" s="1"/>
  <c r="E9" i="32"/>
  <c r="F9" i="32" s="1"/>
  <c r="F29" i="62" s="1"/>
  <c r="E30" i="32"/>
  <c r="F30" i="32" s="1"/>
  <c r="AA29" i="62" s="1"/>
  <c r="E26" i="32"/>
  <c r="F26" i="32" s="1"/>
  <c r="W29" i="62" s="1"/>
  <c r="E22" i="32"/>
  <c r="F22" i="32" s="1"/>
  <c r="S29" i="62" s="1"/>
  <c r="E18" i="32"/>
  <c r="F18" i="32" s="1"/>
  <c r="O29" i="62" s="1"/>
  <c r="E14" i="32"/>
  <c r="F14" i="32" s="1"/>
  <c r="K29" i="62" s="1"/>
  <c r="E10" i="32"/>
  <c r="F10" i="32" s="1"/>
  <c r="G29" i="62" s="1"/>
  <c r="E6" i="32"/>
  <c r="F6" i="32" s="1"/>
  <c r="C29" i="62" s="1"/>
  <c r="E31" i="32"/>
  <c r="F31" i="32" s="1"/>
  <c r="AB29" i="62" s="1"/>
  <c r="E27" i="32"/>
  <c r="F27" i="32" s="1"/>
  <c r="X29" i="62" s="1"/>
  <c r="E23" i="32"/>
  <c r="F23" i="32" s="1"/>
  <c r="T29" i="62" s="1"/>
  <c r="E19" i="32"/>
  <c r="F19" i="32" s="1"/>
  <c r="P29" i="62" s="1"/>
  <c r="E15" i="32"/>
  <c r="F15" i="32" s="1"/>
  <c r="L29" i="62" s="1"/>
  <c r="E11" i="32"/>
  <c r="F11" i="32" s="1"/>
  <c r="H29" i="62" s="1"/>
  <c r="E7" i="32"/>
  <c r="F7" i="32" s="1"/>
  <c r="D29" i="62" s="1"/>
  <c r="E28" i="32"/>
  <c r="F28" i="32" s="1"/>
  <c r="Y29" i="62" s="1"/>
  <c r="E20" i="32"/>
  <c r="F20" i="32" s="1"/>
  <c r="Q29" i="62" s="1"/>
  <c r="E12" i="32"/>
  <c r="F12" i="32" s="1"/>
  <c r="I29" i="62" s="1"/>
  <c r="F105" i="32"/>
  <c r="E29" i="32"/>
  <c r="F29" i="32" s="1"/>
  <c r="Z29" i="62" s="1"/>
  <c r="E21" i="32"/>
  <c r="F21" i="32" s="1"/>
  <c r="R29" i="62" s="1"/>
  <c r="E13" i="32"/>
  <c r="F13" i="32" s="1"/>
  <c r="J29" i="62" s="1"/>
  <c r="E5" i="32"/>
  <c r="L39" i="63"/>
  <c r="K39" i="63"/>
  <c r="J39" i="63"/>
  <c r="I39" i="63"/>
  <c r="F105" i="31"/>
  <c r="E25" i="31"/>
  <c r="F25" i="31" s="1"/>
  <c r="V30" i="62" s="1"/>
  <c r="E17" i="31"/>
  <c r="F17" i="31" s="1"/>
  <c r="N30" i="62" s="1"/>
  <c r="E9" i="31"/>
  <c r="F9" i="31" s="1"/>
  <c r="F30" i="62" s="1"/>
  <c r="E28" i="31"/>
  <c r="F28" i="31" s="1"/>
  <c r="Y30" i="62" s="1"/>
  <c r="E20" i="31"/>
  <c r="F20" i="31" s="1"/>
  <c r="Q30" i="62" s="1"/>
  <c r="E12" i="31"/>
  <c r="F12" i="31" s="1"/>
  <c r="I30" i="62" s="1"/>
  <c r="E31" i="31"/>
  <c r="F31" i="31" s="1"/>
  <c r="AB30" i="62" s="1"/>
  <c r="E27" i="31"/>
  <c r="F27" i="31" s="1"/>
  <c r="X30" i="62" s="1"/>
  <c r="X62" i="62" s="1"/>
  <c r="E23" i="31"/>
  <c r="F23" i="31" s="1"/>
  <c r="T30" i="62" s="1"/>
  <c r="E19" i="31"/>
  <c r="F19" i="31" s="1"/>
  <c r="P30" i="62" s="1"/>
  <c r="P62" i="62" s="1"/>
  <c r="E15" i="31"/>
  <c r="F15" i="31" s="1"/>
  <c r="L30" i="62" s="1"/>
  <c r="E11" i="31"/>
  <c r="F11" i="31" s="1"/>
  <c r="H30" i="62" s="1"/>
  <c r="E7" i="31"/>
  <c r="F7" i="31" s="1"/>
  <c r="D30" i="62" s="1"/>
  <c r="E30" i="31"/>
  <c r="F30" i="31" s="1"/>
  <c r="AA30" i="62" s="1"/>
  <c r="AA63" i="62" s="1"/>
  <c r="E26" i="31"/>
  <c r="F26" i="31" s="1"/>
  <c r="W30" i="62" s="1"/>
  <c r="E22" i="31"/>
  <c r="F22" i="31" s="1"/>
  <c r="S30" i="62" s="1"/>
  <c r="S65" i="62" s="1"/>
  <c r="E18" i="31"/>
  <c r="F18" i="31" s="1"/>
  <c r="O30" i="62" s="1"/>
  <c r="E14" i="31"/>
  <c r="F14" i="31" s="1"/>
  <c r="K30" i="62" s="1"/>
  <c r="K63" i="62" s="1"/>
  <c r="E10" i="31"/>
  <c r="F10" i="31" s="1"/>
  <c r="G30" i="62" s="1"/>
  <c r="E6" i="31"/>
  <c r="F6" i="31" s="1"/>
  <c r="C30" i="62" s="1"/>
  <c r="C63" i="62" s="1"/>
  <c r="E29" i="31"/>
  <c r="F29" i="31" s="1"/>
  <c r="Z30" i="62" s="1"/>
  <c r="Z64" i="62" s="1"/>
  <c r="E21" i="31"/>
  <c r="F21" i="31" s="1"/>
  <c r="R30" i="62" s="1"/>
  <c r="E13" i="31"/>
  <c r="F13" i="31" s="1"/>
  <c r="J30" i="62" s="1"/>
  <c r="J64" i="62" s="1"/>
  <c r="E5" i="31"/>
  <c r="E32" i="31"/>
  <c r="F32" i="31" s="1"/>
  <c r="AC30" i="62" s="1"/>
  <c r="E24" i="31"/>
  <c r="F24" i="31" s="1"/>
  <c r="U30" i="62" s="1"/>
  <c r="E16" i="31"/>
  <c r="F16" i="31" s="1"/>
  <c r="M30" i="62" s="1"/>
  <c r="E8" i="31"/>
  <c r="F8" i="31" s="1"/>
  <c r="E30" i="62" s="1"/>
  <c r="T39" i="63"/>
  <c r="S39" i="63"/>
  <c r="H39" i="63"/>
  <c r="G39" i="63"/>
  <c r="V39" i="63"/>
  <c r="U39" i="63"/>
  <c r="J59" i="63"/>
  <c r="I59" i="63"/>
  <c r="L59" i="63"/>
  <c r="K59" i="63"/>
  <c r="V59" i="63"/>
  <c r="U59" i="63"/>
  <c r="H59" i="63"/>
  <c r="G59" i="63"/>
  <c r="T59" i="63"/>
  <c r="S59" i="63"/>
  <c r="E6" i="60"/>
  <c r="E26" i="60"/>
  <c r="E20" i="60"/>
  <c r="E30" i="60"/>
  <c r="E9" i="60"/>
  <c r="T46" i="63"/>
  <c r="S46" i="63"/>
  <c r="H46" i="63"/>
  <c r="G46" i="63"/>
  <c r="E14" i="60"/>
  <c r="E12" i="60"/>
  <c r="E24" i="60"/>
  <c r="E5" i="60"/>
  <c r="E13" i="60"/>
  <c r="J46" i="63"/>
  <c r="I46" i="63"/>
  <c r="V46" i="63"/>
  <c r="U46" i="63"/>
  <c r="L46" i="63"/>
  <c r="K46" i="63"/>
  <c r="E10" i="60"/>
  <c r="E18" i="60"/>
  <c r="E8" i="60"/>
  <c r="E16" i="60"/>
  <c r="E22" i="60"/>
  <c r="E28" i="60"/>
  <c r="E32" i="60"/>
  <c r="E7" i="60"/>
  <c r="E11" i="60"/>
  <c r="E15" i="60"/>
  <c r="E19" i="60"/>
  <c r="E23" i="60"/>
  <c r="E27" i="60"/>
  <c r="E31" i="60"/>
  <c r="H44" i="63"/>
  <c r="G44" i="63"/>
  <c r="L44" i="63"/>
  <c r="K44" i="63"/>
  <c r="E17" i="60"/>
  <c r="E21" i="60"/>
  <c r="E25" i="60"/>
  <c r="J44" i="63"/>
  <c r="I44" i="63"/>
  <c r="T44" i="63"/>
  <c r="S44" i="63"/>
  <c r="V44" i="63"/>
  <c r="U44" i="63"/>
  <c r="E33" i="44"/>
  <c r="C20" i="63" s="1"/>
  <c r="F5" i="44"/>
  <c r="L20" i="63"/>
  <c r="K20" i="63"/>
  <c r="P20" i="63"/>
  <c r="O20" i="63"/>
  <c r="T20" i="63"/>
  <c r="S20" i="63"/>
  <c r="E33" i="17"/>
  <c r="C47" i="63" s="1"/>
  <c r="F5" i="17"/>
  <c r="L47" i="63"/>
  <c r="K47" i="63"/>
  <c r="P47" i="63"/>
  <c r="O47" i="63"/>
  <c r="T47" i="63"/>
  <c r="S47" i="63"/>
  <c r="E33" i="15"/>
  <c r="C49" i="63" s="1"/>
  <c r="F5" i="15"/>
  <c r="L49" i="63"/>
  <c r="K49" i="63"/>
  <c r="P49" i="63"/>
  <c r="O49" i="63"/>
  <c r="T49" i="63"/>
  <c r="S49" i="63"/>
  <c r="E33" i="12"/>
  <c r="C52" i="63" s="1"/>
  <c r="F5" i="12"/>
  <c r="L52" i="63"/>
  <c r="K52" i="63"/>
  <c r="P52" i="63"/>
  <c r="O52" i="63"/>
  <c r="T52" i="63"/>
  <c r="S52" i="63"/>
  <c r="E33" i="3"/>
  <c r="C61" i="63" s="1"/>
  <c r="F5" i="3"/>
  <c r="R61" i="63"/>
  <c r="Q61" i="63"/>
  <c r="D62" i="62"/>
  <c r="D63" i="62"/>
  <c r="H64" i="62"/>
  <c r="L64" i="62"/>
  <c r="L65" i="62"/>
  <c r="T64" i="62"/>
  <c r="T65" i="62"/>
  <c r="X64" i="62"/>
  <c r="G62" i="62"/>
  <c r="K65" i="62"/>
  <c r="O65" i="62"/>
  <c r="O64" i="62"/>
  <c r="S64" i="62"/>
  <c r="W63" i="62"/>
  <c r="W62" i="62"/>
  <c r="AA65" i="62"/>
  <c r="AA64" i="62"/>
  <c r="P7" i="63"/>
  <c r="O64" i="63"/>
  <c r="O7" i="63"/>
  <c r="E33" i="53"/>
  <c r="C11" i="63"/>
  <c r="F5" i="53"/>
  <c r="L11" i="63"/>
  <c r="K11" i="63"/>
  <c r="P11" i="63"/>
  <c r="O11" i="63"/>
  <c r="T11" i="63"/>
  <c r="S11" i="63"/>
  <c r="J35" i="63"/>
  <c r="I35" i="63"/>
  <c r="H35" i="63"/>
  <c r="G35" i="63"/>
  <c r="R35" i="63"/>
  <c r="Q35" i="63"/>
  <c r="V35" i="63"/>
  <c r="U35" i="63"/>
  <c r="P39" i="63"/>
  <c r="O39" i="63"/>
  <c r="E33" i="25"/>
  <c r="C39" i="63" s="1"/>
  <c r="F5" i="25"/>
  <c r="J50" i="63"/>
  <c r="I50" i="63"/>
  <c r="H50" i="63"/>
  <c r="G50" i="63"/>
  <c r="R50" i="63"/>
  <c r="Q50" i="63"/>
  <c r="V50" i="63"/>
  <c r="U50" i="63"/>
  <c r="J55" i="63"/>
  <c r="I55" i="63"/>
  <c r="H55" i="63"/>
  <c r="G55" i="63"/>
  <c r="R55" i="63"/>
  <c r="Q55" i="63"/>
  <c r="V55" i="63"/>
  <c r="U55" i="63"/>
  <c r="E33" i="4"/>
  <c r="C60" i="63" s="1"/>
  <c r="F5" i="4"/>
  <c r="J60" i="63"/>
  <c r="I60" i="63"/>
  <c r="H60" i="63"/>
  <c r="G60" i="63"/>
  <c r="R60" i="63"/>
  <c r="Q60" i="63"/>
  <c r="V60" i="63"/>
  <c r="U60" i="63"/>
  <c r="L63" i="63"/>
  <c r="K63" i="63"/>
  <c r="P63" i="63"/>
  <c r="O63" i="63"/>
  <c r="T63" i="63"/>
  <c r="S63" i="63"/>
  <c r="J15" i="63"/>
  <c r="I15" i="63"/>
  <c r="H15" i="63"/>
  <c r="G15" i="63"/>
  <c r="R15" i="63"/>
  <c r="Q15" i="63"/>
  <c r="V15" i="63"/>
  <c r="U15" i="63"/>
  <c r="L10" i="63"/>
  <c r="K10" i="63"/>
  <c r="P10" i="63"/>
  <c r="O10" i="63"/>
  <c r="T10" i="63"/>
  <c r="S10" i="63"/>
  <c r="E33" i="54"/>
  <c r="C10" i="63" s="1"/>
  <c r="F5" i="54"/>
  <c r="J21" i="63"/>
  <c r="I21" i="63"/>
  <c r="H21" i="63"/>
  <c r="G21" i="63"/>
  <c r="R21" i="63"/>
  <c r="Q21" i="63"/>
  <c r="E33" i="43"/>
  <c r="C21" i="63" s="1"/>
  <c r="F5" i="43"/>
  <c r="L23" i="63"/>
  <c r="K23" i="63"/>
  <c r="P23" i="63"/>
  <c r="O23" i="63"/>
  <c r="T23" i="63"/>
  <c r="S23" i="63"/>
  <c r="E33" i="41"/>
  <c r="C23" i="63" s="1"/>
  <c r="F5" i="41"/>
  <c r="L25" i="63"/>
  <c r="K25" i="63"/>
  <c r="P25" i="63"/>
  <c r="O25" i="63"/>
  <c r="T25" i="63"/>
  <c r="S25" i="63"/>
  <c r="E33" i="39"/>
  <c r="C25" i="63" s="1"/>
  <c r="F5" i="39"/>
  <c r="L27" i="63"/>
  <c r="K27" i="63"/>
  <c r="P27" i="63"/>
  <c r="O27" i="63"/>
  <c r="T27" i="63"/>
  <c r="S27" i="63"/>
  <c r="E33" i="37"/>
  <c r="C27" i="63" s="1"/>
  <c r="F5" i="37"/>
  <c r="L29" i="63"/>
  <c r="K29" i="63"/>
  <c r="P29" i="63"/>
  <c r="O29" i="63"/>
  <c r="T29" i="63"/>
  <c r="S29" i="63"/>
  <c r="E33" i="35"/>
  <c r="C29" i="63" s="1"/>
  <c r="F5" i="35"/>
  <c r="L31" i="63"/>
  <c r="K31" i="63"/>
  <c r="P31" i="63"/>
  <c r="O31" i="63"/>
  <c r="V31" i="63"/>
  <c r="U31" i="63"/>
  <c r="J41" i="63"/>
  <c r="I41" i="63"/>
  <c r="H41" i="63"/>
  <c r="G41" i="63"/>
  <c r="R41" i="63"/>
  <c r="Q41" i="63"/>
  <c r="V41" i="63"/>
  <c r="U41" i="63"/>
  <c r="P46" i="63"/>
  <c r="O46" i="63"/>
  <c r="E33" i="18"/>
  <c r="C46" i="63" s="1"/>
  <c r="F5" i="18"/>
  <c r="J19" i="63"/>
  <c r="I19" i="63"/>
  <c r="H19" i="63"/>
  <c r="G19" i="63"/>
  <c r="R19" i="63"/>
  <c r="Q19" i="63"/>
  <c r="V19" i="63"/>
  <c r="U19" i="63"/>
  <c r="J17" i="63"/>
  <c r="I17" i="63"/>
  <c r="H17" i="63"/>
  <c r="G17" i="63"/>
  <c r="R17" i="63"/>
  <c r="Q17" i="63"/>
  <c r="V17" i="63"/>
  <c r="U17" i="63"/>
  <c r="L34" i="63"/>
  <c r="K34" i="63"/>
  <c r="P34" i="63"/>
  <c r="O34" i="63"/>
  <c r="T34" i="63"/>
  <c r="S34" i="63"/>
  <c r="P59" i="63"/>
  <c r="O59" i="63"/>
  <c r="E33" i="59"/>
  <c r="C62" i="63" s="1"/>
  <c r="F5" i="59"/>
  <c r="L62" i="63"/>
  <c r="K62" i="63"/>
  <c r="P62" i="63"/>
  <c r="O62" i="63"/>
  <c r="T62" i="63"/>
  <c r="S62" i="63"/>
  <c r="J16" i="63"/>
  <c r="I16" i="63"/>
  <c r="H16" i="63"/>
  <c r="G16" i="63"/>
  <c r="R16" i="63"/>
  <c r="Q16" i="63"/>
  <c r="V16" i="63"/>
  <c r="U16" i="63"/>
  <c r="E33" i="38"/>
  <c r="C26" i="63" s="1"/>
  <c r="F5" i="38"/>
  <c r="L26" i="63"/>
  <c r="K26" i="63"/>
  <c r="P26" i="63"/>
  <c r="O26" i="63"/>
  <c r="T26" i="63"/>
  <c r="S26" i="63"/>
  <c r="E33" i="40"/>
  <c r="C24" i="63" s="1"/>
  <c r="F5" i="40"/>
  <c r="L24" i="63"/>
  <c r="K24" i="63"/>
  <c r="P24" i="63"/>
  <c r="O24" i="63"/>
  <c r="V24" i="63"/>
  <c r="U24" i="63"/>
  <c r="J38" i="63"/>
  <c r="I38" i="63"/>
  <c r="H38" i="63"/>
  <c r="G38" i="63"/>
  <c r="R38" i="63"/>
  <c r="Q38" i="63"/>
  <c r="V38" i="63"/>
  <c r="U38" i="63"/>
  <c r="L37" i="63"/>
  <c r="K37" i="63"/>
  <c r="P37" i="63"/>
  <c r="O37" i="63"/>
  <c r="T37" i="63"/>
  <c r="S37" i="63"/>
  <c r="E33" i="27"/>
  <c r="C37" i="63" s="1"/>
  <c r="F5" i="27"/>
  <c r="J54" i="63"/>
  <c r="I54" i="63"/>
  <c r="H54" i="63"/>
  <c r="G54" i="63"/>
  <c r="R54" i="63"/>
  <c r="Q54" i="63"/>
  <c r="J56" i="63"/>
  <c r="I56" i="63"/>
  <c r="H56" i="63"/>
  <c r="G56" i="63"/>
  <c r="R56" i="63"/>
  <c r="Q56" i="63"/>
  <c r="V56" i="63"/>
  <c r="U56" i="63"/>
  <c r="J13" i="63"/>
  <c r="I13" i="63"/>
  <c r="H13" i="63"/>
  <c r="G13" i="63"/>
  <c r="R13" i="63"/>
  <c r="Q13" i="63"/>
  <c r="V13" i="63"/>
  <c r="U13" i="63"/>
  <c r="L12" i="63"/>
  <c r="K12" i="63"/>
  <c r="P12" i="63"/>
  <c r="O12" i="63"/>
  <c r="V12" i="63"/>
  <c r="U12" i="63"/>
  <c r="J14" i="63"/>
  <c r="I14" i="63"/>
  <c r="H14" i="63"/>
  <c r="G14" i="63"/>
  <c r="R14" i="63"/>
  <c r="Q14" i="63"/>
  <c r="V14" i="63"/>
  <c r="U14" i="63"/>
  <c r="J18" i="63"/>
  <c r="I18" i="63"/>
  <c r="H18" i="63"/>
  <c r="G18" i="63"/>
  <c r="R18" i="63"/>
  <c r="Q18" i="63"/>
  <c r="V18" i="63"/>
  <c r="U18" i="63"/>
  <c r="E33" i="22"/>
  <c r="C42" i="63" s="1"/>
  <c r="F5" i="22"/>
  <c r="L42" i="63"/>
  <c r="K42" i="63"/>
  <c r="P42" i="63"/>
  <c r="O42" i="63"/>
  <c r="V42" i="63"/>
  <c r="U42" i="63"/>
  <c r="L51" i="63"/>
  <c r="K51" i="63"/>
  <c r="P51" i="63"/>
  <c r="O51" i="63"/>
  <c r="T51" i="63"/>
  <c r="S51" i="63"/>
  <c r="E33" i="13"/>
  <c r="C51" i="63" s="1"/>
  <c r="F5" i="13"/>
  <c r="L53" i="63"/>
  <c r="K53" i="63"/>
  <c r="P53" i="63"/>
  <c r="O53" i="63"/>
  <c r="T53" i="63"/>
  <c r="S53" i="63"/>
  <c r="E33" i="11"/>
  <c r="C53" i="63" s="1"/>
  <c r="F5" i="11"/>
  <c r="L8" i="63"/>
  <c r="K8" i="63"/>
  <c r="P8" i="63"/>
  <c r="O8" i="63"/>
  <c r="T8" i="63"/>
  <c r="S8" i="63"/>
  <c r="E33" i="56"/>
  <c r="C8" i="63" s="1"/>
  <c r="F5" i="56"/>
  <c r="J22" i="63"/>
  <c r="I22" i="63"/>
  <c r="H22" i="63"/>
  <c r="G22" i="63"/>
  <c r="R22" i="63"/>
  <c r="Q22" i="63"/>
  <c r="V22" i="63"/>
  <c r="U22" i="63"/>
  <c r="J40" i="63"/>
  <c r="I40" i="63"/>
  <c r="H40" i="63"/>
  <c r="G40" i="63"/>
  <c r="R40" i="63"/>
  <c r="Q40" i="63"/>
  <c r="V40" i="63"/>
  <c r="U40" i="63"/>
  <c r="J36" i="63"/>
  <c r="I36" i="63"/>
  <c r="H36" i="63"/>
  <c r="G36" i="63"/>
  <c r="R36" i="63"/>
  <c r="Q36" i="63"/>
  <c r="V36" i="63"/>
  <c r="U36" i="63"/>
  <c r="J45" i="63"/>
  <c r="I45" i="63"/>
  <c r="H45" i="63"/>
  <c r="G45" i="63"/>
  <c r="R45" i="63"/>
  <c r="Q45" i="63"/>
  <c r="E33" i="21"/>
  <c r="C43" i="63" s="1"/>
  <c r="F5" i="21"/>
  <c r="L43" i="63"/>
  <c r="K43" i="63"/>
  <c r="P43" i="63"/>
  <c r="O43" i="63"/>
  <c r="T43" i="63"/>
  <c r="S43" i="63"/>
  <c r="E33" i="55"/>
  <c r="C9" i="63" s="1"/>
  <c r="F5" i="55"/>
  <c r="L9" i="63"/>
  <c r="K9" i="63"/>
  <c r="P9" i="63"/>
  <c r="O9" i="63"/>
  <c r="T9" i="63"/>
  <c r="S9" i="63"/>
  <c r="J30" i="63"/>
  <c r="I30" i="63"/>
  <c r="H30" i="63"/>
  <c r="G30" i="63"/>
  <c r="R30" i="63"/>
  <c r="Q30" i="63"/>
  <c r="V30" i="63"/>
  <c r="U30" i="63"/>
  <c r="R44" i="63"/>
  <c r="Q44" i="63"/>
  <c r="P48" i="63"/>
  <c r="O48" i="63"/>
  <c r="E33" i="16"/>
  <c r="C48" i="63" s="1"/>
  <c r="F5" i="16"/>
  <c r="L57" i="63"/>
  <c r="K57" i="63"/>
  <c r="P57" i="63"/>
  <c r="O57" i="63"/>
  <c r="T57" i="63"/>
  <c r="S57" i="63"/>
  <c r="J58" i="63"/>
  <c r="I58" i="63"/>
  <c r="H58" i="63"/>
  <c r="G58" i="63"/>
  <c r="R58" i="63"/>
  <c r="Q58" i="63"/>
  <c r="V58" i="63"/>
  <c r="U58" i="63"/>
  <c r="J20" i="63"/>
  <c r="I20" i="63"/>
  <c r="H20" i="63"/>
  <c r="G20" i="63"/>
  <c r="R20" i="63"/>
  <c r="Q20" i="63"/>
  <c r="V20" i="63"/>
  <c r="U20" i="63"/>
  <c r="J47" i="63"/>
  <c r="I47" i="63"/>
  <c r="H47" i="63"/>
  <c r="G47" i="63"/>
  <c r="R47" i="63"/>
  <c r="Q47" i="63"/>
  <c r="V47" i="63"/>
  <c r="U47" i="63"/>
  <c r="J49" i="63"/>
  <c r="I49" i="63"/>
  <c r="H49" i="63"/>
  <c r="G49" i="63"/>
  <c r="R49" i="63"/>
  <c r="Q49" i="63"/>
  <c r="V49" i="63"/>
  <c r="U49" i="63"/>
  <c r="J52" i="63"/>
  <c r="I52" i="63"/>
  <c r="H52" i="63"/>
  <c r="G52" i="63"/>
  <c r="R52" i="63"/>
  <c r="Q52" i="63"/>
  <c r="V52" i="63"/>
  <c r="U52" i="63"/>
  <c r="P61" i="63"/>
  <c r="O61" i="63"/>
  <c r="E33" i="57"/>
  <c r="C7" i="63" s="1"/>
  <c r="F5" i="57"/>
  <c r="F62" i="62"/>
  <c r="F63" i="62"/>
  <c r="J62" i="62"/>
  <c r="J63" i="62"/>
  <c r="N62" i="62"/>
  <c r="N63" i="62"/>
  <c r="R62" i="62"/>
  <c r="R63" i="62"/>
  <c r="V62" i="62"/>
  <c r="V63" i="62"/>
  <c r="Z62" i="62"/>
  <c r="Z63" i="62"/>
  <c r="E65" i="62"/>
  <c r="E63" i="62"/>
  <c r="E64" i="62"/>
  <c r="E62" i="62"/>
  <c r="I63" i="62"/>
  <c r="I62" i="62"/>
  <c r="M63" i="62"/>
  <c r="M62" i="62"/>
  <c r="Q63" i="62"/>
  <c r="Q62" i="62"/>
  <c r="U65" i="62"/>
  <c r="U63" i="62"/>
  <c r="U64" i="62"/>
  <c r="U62" i="62"/>
  <c r="Y65" i="62"/>
  <c r="Y63" i="62"/>
  <c r="Y64" i="62"/>
  <c r="Y62" i="62"/>
  <c r="R7" i="63"/>
  <c r="Q7" i="63"/>
  <c r="J11" i="63"/>
  <c r="I11" i="63"/>
  <c r="H11" i="63"/>
  <c r="G11" i="63"/>
  <c r="R11" i="63"/>
  <c r="Q11" i="63"/>
  <c r="V11" i="63"/>
  <c r="U11" i="63"/>
  <c r="E33" i="29"/>
  <c r="C35" i="63" s="1"/>
  <c r="F5" i="29"/>
  <c r="L35" i="63"/>
  <c r="K35" i="63"/>
  <c r="P35" i="63"/>
  <c r="O35" i="63"/>
  <c r="T35" i="63"/>
  <c r="S35" i="63"/>
  <c r="R39" i="63"/>
  <c r="Q39" i="63"/>
  <c r="E33" i="14"/>
  <c r="C50" i="63"/>
  <c r="F5" i="14"/>
  <c r="L50" i="63"/>
  <c r="K50" i="63"/>
  <c r="P50" i="63"/>
  <c r="O50" i="63"/>
  <c r="T50" i="63"/>
  <c r="S50" i="63"/>
  <c r="E33" i="9"/>
  <c r="C55" i="63" s="1"/>
  <c r="F5" i="9"/>
  <c r="L55" i="63"/>
  <c r="K55" i="63"/>
  <c r="P55" i="63"/>
  <c r="O55" i="63"/>
  <c r="T55" i="63"/>
  <c r="S55" i="63"/>
  <c r="L60" i="63"/>
  <c r="K60" i="63"/>
  <c r="P60" i="63"/>
  <c r="O60" i="63"/>
  <c r="T60" i="63"/>
  <c r="S60" i="63"/>
  <c r="E33" i="1"/>
  <c r="C63" i="63" s="1"/>
  <c r="F5" i="1"/>
  <c r="J63" i="63"/>
  <c r="I63" i="63"/>
  <c r="H63" i="63"/>
  <c r="G63" i="63"/>
  <c r="R63" i="63"/>
  <c r="Q63" i="63"/>
  <c r="V63" i="63"/>
  <c r="U63" i="63"/>
  <c r="E33" i="49"/>
  <c r="C15" i="63" s="1"/>
  <c r="F5" i="49"/>
  <c r="L15" i="63"/>
  <c r="K15" i="63"/>
  <c r="P15" i="63"/>
  <c r="O15" i="63"/>
  <c r="T15" i="63"/>
  <c r="S15" i="63"/>
  <c r="J10" i="63"/>
  <c r="I10" i="63"/>
  <c r="H10" i="63"/>
  <c r="G10" i="63"/>
  <c r="R10" i="63"/>
  <c r="Q10" i="63"/>
  <c r="V10" i="63"/>
  <c r="U10" i="63"/>
  <c r="L21" i="63"/>
  <c r="K21" i="63"/>
  <c r="P21" i="63"/>
  <c r="O21" i="63"/>
  <c r="V21" i="63"/>
  <c r="U21" i="63"/>
  <c r="J23" i="63"/>
  <c r="I23" i="63"/>
  <c r="H23" i="63"/>
  <c r="G23" i="63"/>
  <c r="R23" i="63"/>
  <c r="Q23" i="63"/>
  <c r="V23" i="63"/>
  <c r="U23" i="63"/>
  <c r="J25" i="63"/>
  <c r="I25" i="63"/>
  <c r="H25" i="63"/>
  <c r="G25" i="63"/>
  <c r="R25" i="63"/>
  <c r="Q25" i="63"/>
  <c r="V25" i="63"/>
  <c r="U25" i="63"/>
  <c r="J27" i="63"/>
  <c r="I27" i="63"/>
  <c r="H27" i="63"/>
  <c r="G27" i="63"/>
  <c r="R27" i="63"/>
  <c r="Q27" i="63"/>
  <c r="V27" i="63"/>
  <c r="U27" i="63"/>
  <c r="J29" i="63"/>
  <c r="I29" i="63"/>
  <c r="H29" i="63"/>
  <c r="G29" i="63"/>
  <c r="R29" i="63"/>
  <c r="Q29" i="63"/>
  <c r="V29" i="63"/>
  <c r="U29" i="63"/>
  <c r="J31" i="63"/>
  <c r="I31" i="63"/>
  <c r="H31" i="63"/>
  <c r="G31" i="63"/>
  <c r="R31" i="63"/>
  <c r="Q31" i="63"/>
  <c r="E33" i="33"/>
  <c r="C31" i="63" s="1"/>
  <c r="F5" i="33"/>
  <c r="L41" i="63"/>
  <c r="K41" i="63"/>
  <c r="P41" i="63"/>
  <c r="O41" i="63"/>
  <c r="T41" i="63"/>
  <c r="S41" i="63"/>
  <c r="E33" i="23"/>
  <c r="C41" i="63" s="1"/>
  <c r="F5" i="23"/>
  <c r="R46" i="63"/>
  <c r="Q46" i="63"/>
  <c r="E33" i="45"/>
  <c r="C19" i="63" s="1"/>
  <c r="F5" i="45"/>
  <c r="L19" i="63"/>
  <c r="K19" i="63"/>
  <c r="P19" i="63"/>
  <c r="O19" i="63"/>
  <c r="T19" i="63"/>
  <c r="S19" i="63"/>
  <c r="E33" i="47"/>
  <c r="C17" i="63" s="1"/>
  <c r="F5" i="47"/>
  <c r="L17" i="63"/>
  <c r="K17" i="63"/>
  <c r="P17" i="63"/>
  <c r="O17" i="63"/>
  <c r="T17" i="63"/>
  <c r="S17" i="63"/>
  <c r="E33" i="30"/>
  <c r="C34" i="63" s="1"/>
  <c r="F5" i="30"/>
  <c r="J34" i="63"/>
  <c r="I34" i="63"/>
  <c r="H34" i="63"/>
  <c r="G34" i="63"/>
  <c r="R34" i="63"/>
  <c r="Q34" i="63"/>
  <c r="V34" i="63"/>
  <c r="U34" i="63"/>
  <c r="E33" i="5"/>
  <c r="C59" i="63" s="1"/>
  <c r="F5" i="5"/>
  <c r="R59" i="63"/>
  <c r="Q59" i="63"/>
  <c r="J62" i="63"/>
  <c r="I62" i="63"/>
  <c r="H62" i="63"/>
  <c r="G62" i="63"/>
  <c r="R62" i="63"/>
  <c r="Q62" i="63"/>
  <c r="V62" i="63"/>
  <c r="U62" i="63"/>
  <c r="L16" i="63"/>
  <c r="K16" i="63"/>
  <c r="P16" i="63"/>
  <c r="O16" i="63"/>
  <c r="T16" i="63"/>
  <c r="S16" i="63"/>
  <c r="E33" i="48"/>
  <c r="C16" i="63" s="1"/>
  <c r="F5" i="48"/>
  <c r="J26" i="63"/>
  <c r="I26" i="63"/>
  <c r="H26" i="63"/>
  <c r="G26" i="63"/>
  <c r="R26" i="63"/>
  <c r="Q26" i="63"/>
  <c r="V26" i="63"/>
  <c r="U26" i="63"/>
  <c r="J24" i="63"/>
  <c r="I24" i="63"/>
  <c r="H24" i="63"/>
  <c r="G24" i="63"/>
  <c r="R24" i="63"/>
  <c r="Q24" i="63"/>
  <c r="E33" i="26"/>
  <c r="C38" i="63" s="1"/>
  <c r="F5" i="26"/>
  <c r="L38" i="63"/>
  <c r="K38" i="63"/>
  <c r="P38" i="63"/>
  <c r="O38" i="63"/>
  <c r="T38" i="63"/>
  <c r="S38" i="63"/>
  <c r="J37" i="63"/>
  <c r="I37" i="63"/>
  <c r="H37" i="63"/>
  <c r="G37" i="63"/>
  <c r="R37" i="63"/>
  <c r="Q37" i="63"/>
  <c r="V37" i="63"/>
  <c r="U37" i="63"/>
  <c r="E33" i="10"/>
  <c r="C54" i="63" s="1"/>
  <c r="F5" i="10"/>
  <c r="L54" i="63"/>
  <c r="K54" i="63"/>
  <c r="P54" i="63"/>
  <c r="O54" i="63"/>
  <c r="T54" i="63"/>
  <c r="S54" i="63"/>
  <c r="L56" i="63"/>
  <c r="K56" i="63"/>
  <c r="P56" i="63"/>
  <c r="O56" i="63"/>
  <c r="T56" i="63"/>
  <c r="S56" i="63"/>
  <c r="E33" i="8"/>
  <c r="C56" i="63" s="1"/>
  <c r="F5" i="8"/>
  <c r="E33" i="51"/>
  <c r="C13" i="63" s="1"/>
  <c r="F5" i="51"/>
  <c r="L13" i="63"/>
  <c r="K13" i="63"/>
  <c r="P13" i="63"/>
  <c r="O13" i="63"/>
  <c r="T13" i="63"/>
  <c r="S13" i="63"/>
  <c r="J12" i="63"/>
  <c r="I12" i="63"/>
  <c r="H12" i="63"/>
  <c r="G12" i="63"/>
  <c r="R12" i="63"/>
  <c r="Q12" i="63"/>
  <c r="E33" i="52"/>
  <c r="C12" i="63" s="1"/>
  <c r="F5" i="52"/>
  <c r="L14" i="63"/>
  <c r="K14" i="63"/>
  <c r="P14" i="63"/>
  <c r="O14" i="63"/>
  <c r="T14" i="63"/>
  <c r="S14" i="63"/>
  <c r="E33" i="50"/>
  <c r="C14" i="63" s="1"/>
  <c r="F5" i="50"/>
  <c r="L18" i="63"/>
  <c r="K18" i="63"/>
  <c r="P18" i="63"/>
  <c r="O18" i="63"/>
  <c r="T18" i="63"/>
  <c r="S18" i="63"/>
  <c r="E33" i="46"/>
  <c r="C18" i="63" s="1"/>
  <c r="F5" i="46"/>
  <c r="J42" i="63"/>
  <c r="I42" i="63"/>
  <c r="H42" i="63"/>
  <c r="G42" i="63"/>
  <c r="R42" i="63"/>
  <c r="Q42" i="63"/>
  <c r="J51" i="63"/>
  <c r="I51" i="63"/>
  <c r="H51" i="63"/>
  <c r="G51" i="63"/>
  <c r="R51" i="63"/>
  <c r="Q51" i="63"/>
  <c r="V51" i="63"/>
  <c r="U51" i="63"/>
  <c r="J53" i="63"/>
  <c r="I53" i="63"/>
  <c r="H53" i="63"/>
  <c r="G53" i="63"/>
  <c r="R53" i="63"/>
  <c r="Q53" i="63"/>
  <c r="V53" i="63"/>
  <c r="U53" i="63"/>
  <c r="J8" i="63"/>
  <c r="I8" i="63"/>
  <c r="H8" i="63"/>
  <c r="G8" i="63"/>
  <c r="R8" i="63"/>
  <c r="Q8" i="63"/>
  <c r="V8" i="63"/>
  <c r="U8" i="63"/>
  <c r="E33" i="42"/>
  <c r="C22" i="63" s="1"/>
  <c r="F5" i="42"/>
  <c r="L22" i="63"/>
  <c r="K22" i="63"/>
  <c r="P22" i="63"/>
  <c r="O22" i="63"/>
  <c r="T22" i="63"/>
  <c r="S22" i="63"/>
  <c r="E33" i="24"/>
  <c r="C40" i="63" s="1"/>
  <c r="F5" i="24"/>
  <c r="L40" i="63"/>
  <c r="K40" i="63"/>
  <c r="P40" i="63"/>
  <c r="O40" i="63"/>
  <c r="T40" i="63"/>
  <c r="S40" i="63"/>
  <c r="E33" i="28"/>
  <c r="C36" i="63" s="1"/>
  <c r="F5" i="28"/>
  <c r="L36" i="63"/>
  <c r="K36" i="63"/>
  <c r="P36" i="63"/>
  <c r="O36" i="63"/>
  <c r="T36" i="63"/>
  <c r="S36" i="63"/>
  <c r="E33" i="19"/>
  <c r="C45" i="63" s="1"/>
  <c r="F5" i="19"/>
  <c r="L45" i="63"/>
  <c r="K45" i="63"/>
  <c r="P45" i="63"/>
  <c r="O45" i="63"/>
  <c r="V45" i="63"/>
  <c r="U45" i="63"/>
  <c r="J43" i="63"/>
  <c r="I43" i="63"/>
  <c r="H43" i="63"/>
  <c r="G43" i="63"/>
  <c r="R43" i="63"/>
  <c r="Q43" i="63"/>
  <c r="V43" i="63"/>
  <c r="U43" i="63"/>
  <c r="J9" i="63"/>
  <c r="I9" i="63"/>
  <c r="H9" i="63"/>
  <c r="G9" i="63"/>
  <c r="R9" i="63"/>
  <c r="Q9" i="63"/>
  <c r="V9" i="63"/>
  <c r="U9" i="63"/>
  <c r="E33" i="34"/>
  <c r="C30" i="63" s="1"/>
  <c r="F5" i="34"/>
  <c r="L30" i="63"/>
  <c r="K30" i="63"/>
  <c r="P30" i="63"/>
  <c r="O30" i="63"/>
  <c r="T30" i="63"/>
  <c r="S30" i="63"/>
  <c r="P44" i="63"/>
  <c r="O44" i="63"/>
  <c r="E33" i="20"/>
  <c r="C44" i="63" s="1"/>
  <c r="F5" i="20"/>
  <c r="R48" i="63"/>
  <c r="Q48" i="63"/>
  <c r="E33" i="7"/>
  <c r="C57" i="63" s="1"/>
  <c r="F5" i="7"/>
  <c r="J57" i="63"/>
  <c r="I57" i="63"/>
  <c r="H57" i="63"/>
  <c r="G57" i="63"/>
  <c r="R57" i="63"/>
  <c r="Q57" i="63"/>
  <c r="V57" i="63"/>
  <c r="U57" i="63"/>
  <c r="E33" i="6"/>
  <c r="C58" i="63" s="1"/>
  <c r="F5" i="6"/>
  <c r="L58" i="63"/>
  <c r="K58" i="63"/>
  <c r="P58" i="63"/>
  <c r="O58" i="63"/>
  <c r="T58" i="63"/>
  <c r="S58" i="63"/>
  <c r="F98" i="60" l="1"/>
  <c r="I64" i="63" s="1"/>
  <c r="F100" i="60"/>
  <c r="F99" i="60"/>
  <c r="K64" i="63" s="1"/>
  <c r="F104" i="60"/>
  <c r="N64" i="62"/>
  <c r="R64" i="62"/>
  <c r="M65" i="62"/>
  <c r="F64" i="62"/>
  <c r="V64" i="62"/>
  <c r="I65" i="62"/>
  <c r="Q65" i="62"/>
  <c r="D64" i="62"/>
  <c r="L62" i="62"/>
  <c r="T62" i="62"/>
  <c r="G65" i="62"/>
  <c r="O63" i="62"/>
  <c r="W65" i="62"/>
  <c r="Q64" i="62"/>
  <c r="M64" i="62"/>
  <c r="I64" i="62"/>
  <c r="Z65" i="62"/>
  <c r="V65" i="62"/>
  <c r="R65" i="62"/>
  <c r="N65" i="62"/>
  <c r="J65" i="62"/>
  <c r="F65" i="62"/>
  <c r="W64" i="62"/>
  <c r="O62" i="62"/>
  <c r="G64" i="62"/>
  <c r="T63" i="62"/>
  <c r="L63" i="62"/>
  <c r="D65" i="62"/>
  <c r="F103" i="60"/>
  <c r="S64" i="63" s="1"/>
  <c r="U64" i="63"/>
  <c r="F102" i="60"/>
  <c r="Q64" i="63" s="1"/>
  <c r="G64" i="63"/>
  <c r="P64" i="62"/>
  <c r="C65" i="62"/>
  <c r="X65" i="62"/>
  <c r="C64" i="62"/>
  <c r="K64" i="62"/>
  <c r="S63" i="62"/>
  <c r="H65" i="62"/>
  <c r="P65" i="62"/>
  <c r="AA62" i="62"/>
  <c r="S62" i="62"/>
  <c r="H62" i="62"/>
  <c r="K62" i="62"/>
  <c r="C62" i="62"/>
  <c r="X63" i="62"/>
  <c r="P63" i="62"/>
  <c r="H63" i="62"/>
  <c r="L28" i="63"/>
  <c r="K28" i="63"/>
  <c r="T28" i="63"/>
  <c r="S28" i="63"/>
  <c r="H28" i="63"/>
  <c r="G28" i="63"/>
  <c r="J28" i="63"/>
  <c r="I28" i="63"/>
  <c r="V28" i="63"/>
  <c r="U28" i="63"/>
  <c r="E33" i="31"/>
  <c r="F5" i="31"/>
  <c r="C33" i="63"/>
  <c r="G33" i="63"/>
  <c r="H33" i="63"/>
  <c r="U33" i="63"/>
  <c r="V33" i="63"/>
  <c r="T33" i="63"/>
  <c r="S33" i="63"/>
  <c r="T32" i="63"/>
  <c r="S32" i="63"/>
  <c r="G32" i="63"/>
  <c r="H32" i="63"/>
  <c r="V32" i="63"/>
  <c r="U32" i="63"/>
  <c r="P32" i="63"/>
  <c r="O32" i="63"/>
  <c r="R28" i="63"/>
  <c r="Q28" i="63"/>
  <c r="P33" i="63"/>
  <c r="O33" i="63"/>
  <c r="I33" i="63"/>
  <c r="J33" i="63"/>
  <c r="Q33" i="63"/>
  <c r="R33" i="63"/>
  <c r="L33" i="63"/>
  <c r="K33" i="63"/>
  <c r="E33" i="32"/>
  <c r="C32" i="63" s="1"/>
  <c r="F5" i="32"/>
  <c r="L32" i="63"/>
  <c r="K32" i="63"/>
  <c r="I32" i="63"/>
  <c r="J32" i="63"/>
  <c r="J64" i="63" s="1"/>
  <c r="Q32" i="63"/>
  <c r="R32" i="63"/>
  <c r="E33" i="36"/>
  <c r="C28" i="63" s="1"/>
  <c r="F5" i="36"/>
  <c r="P28" i="63"/>
  <c r="P64" i="63" s="1"/>
  <c r="O28" i="63"/>
  <c r="E33" i="60"/>
  <c r="C64" i="63" s="1"/>
  <c r="B55" i="62"/>
  <c r="D55" i="65"/>
  <c r="E55" i="65" s="1"/>
  <c r="F33" i="6"/>
  <c r="AD55" i="62" s="1"/>
  <c r="B41" i="62"/>
  <c r="D41" i="65"/>
  <c r="E41" i="65" s="1"/>
  <c r="F33" i="20"/>
  <c r="AD41" i="62" s="1"/>
  <c r="B42" i="62"/>
  <c r="D42" i="65"/>
  <c r="E42" i="65" s="1"/>
  <c r="F33" i="19"/>
  <c r="AD42" i="62" s="1"/>
  <c r="B37" i="62"/>
  <c r="D37" i="65"/>
  <c r="E37" i="65" s="1"/>
  <c r="F33" i="24"/>
  <c r="AD37" i="62" s="1"/>
  <c r="D11" i="65"/>
  <c r="E11" i="65" s="1"/>
  <c r="F33" i="50"/>
  <c r="AD11" i="62" s="1"/>
  <c r="D10" i="65"/>
  <c r="E10" i="65" s="1"/>
  <c r="F33" i="51"/>
  <c r="AD10" i="62" s="1"/>
  <c r="D51" i="65"/>
  <c r="E51" i="65" s="1"/>
  <c r="F33" i="10"/>
  <c r="AD51" i="62" s="1"/>
  <c r="D13" i="65"/>
  <c r="E13" i="65" s="1"/>
  <c r="F33" i="48"/>
  <c r="AD13" i="62" s="1"/>
  <c r="B31" i="62"/>
  <c r="D16" i="65"/>
  <c r="E16" i="65" s="1"/>
  <c r="F33" i="45"/>
  <c r="AD16" i="62" s="1"/>
  <c r="D28" i="65"/>
  <c r="E28" i="65" s="1"/>
  <c r="F33" i="33"/>
  <c r="AD28" i="62" s="1"/>
  <c r="D60" i="65"/>
  <c r="E60" i="65" s="1"/>
  <c r="F33" i="1"/>
  <c r="AD60" i="62" s="1"/>
  <c r="B47" i="62"/>
  <c r="D47" i="65"/>
  <c r="E47" i="65" s="1"/>
  <c r="F33" i="14"/>
  <c r="AD47" i="62" s="1"/>
  <c r="B45" i="62"/>
  <c r="D45" i="65"/>
  <c r="E45" i="65" s="1"/>
  <c r="F33" i="16"/>
  <c r="AD45" i="62" s="1"/>
  <c r="B40" i="62"/>
  <c r="D40" i="65"/>
  <c r="E40" i="65" s="1"/>
  <c r="F33" i="21"/>
  <c r="AD40" i="62" s="1"/>
  <c r="B50" i="62"/>
  <c r="D50" i="65"/>
  <c r="E50" i="65" s="1"/>
  <c r="F33" i="11"/>
  <c r="AD50" i="62" s="1"/>
  <c r="B39" i="62"/>
  <c r="D39" i="65"/>
  <c r="E39" i="65" s="1"/>
  <c r="F33" i="22"/>
  <c r="AD39" i="62" s="1"/>
  <c r="B34" i="62"/>
  <c r="D34" i="65"/>
  <c r="E34" i="65" s="1"/>
  <c r="F33" i="27"/>
  <c r="AD34" i="62" s="1"/>
  <c r="B23" i="62"/>
  <c r="D23" i="65"/>
  <c r="E23" i="65" s="1"/>
  <c r="F33" i="38"/>
  <c r="AD23" i="62" s="1"/>
  <c r="B43" i="62"/>
  <c r="D43" i="65"/>
  <c r="E43" i="65" s="1"/>
  <c r="F33" i="18"/>
  <c r="AD43" i="62" s="1"/>
  <c r="B24" i="62"/>
  <c r="D24" i="65"/>
  <c r="E24" i="65" s="1"/>
  <c r="F33" i="37"/>
  <c r="AD24" i="62" s="1"/>
  <c r="B20" i="62"/>
  <c r="D20" i="65"/>
  <c r="E20" i="65" s="1"/>
  <c r="F33" i="41"/>
  <c r="AD20" i="62" s="1"/>
  <c r="B7" i="62"/>
  <c r="D7" i="65"/>
  <c r="E7" i="65" s="1"/>
  <c r="F33" i="54"/>
  <c r="AD7" i="62" s="1"/>
  <c r="B36" i="62"/>
  <c r="D36" i="65"/>
  <c r="E36" i="65" s="1"/>
  <c r="F33" i="25"/>
  <c r="AD36" i="62" s="1"/>
  <c r="B49" i="62"/>
  <c r="D49" i="65"/>
  <c r="E49" i="65" s="1"/>
  <c r="F33" i="12"/>
  <c r="AD49" i="62" s="1"/>
  <c r="B44" i="62"/>
  <c r="D44" i="65"/>
  <c r="E44" i="65" s="1"/>
  <c r="F33" i="17"/>
  <c r="AD44" i="62" s="1"/>
  <c r="B11" i="62"/>
  <c r="B10" i="62"/>
  <c r="B51" i="62"/>
  <c r="B13" i="62"/>
  <c r="D31" i="65"/>
  <c r="E31" i="65" s="1"/>
  <c r="F33" i="30"/>
  <c r="AD31" i="62" s="1"/>
  <c r="B16" i="62"/>
  <c r="B28" i="62"/>
  <c r="B60" i="62"/>
  <c r="B54" i="62"/>
  <c r="D54" i="65"/>
  <c r="E54" i="65" s="1"/>
  <c r="F33" i="7"/>
  <c r="AD54" i="62" s="1"/>
  <c r="B27" i="62"/>
  <c r="D27" i="65"/>
  <c r="E27" i="65" s="1"/>
  <c r="F33" i="34"/>
  <c r="AD27" i="62" s="1"/>
  <c r="B33" i="62"/>
  <c r="D33" i="65"/>
  <c r="E33" i="65" s="1"/>
  <c r="F33" i="28"/>
  <c r="AD33" i="62" s="1"/>
  <c r="B19" i="62"/>
  <c r="D19" i="65"/>
  <c r="E19" i="65" s="1"/>
  <c r="F33" i="42"/>
  <c r="AD19" i="62" s="1"/>
  <c r="H64" i="63"/>
  <c r="B15" i="62"/>
  <c r="D15" i="65"/>
  <c r="E15" i="65" s="1"/>
  <c r="F33" i="46"/>
  <c r="AD15" i="62" s="1"/>
  <c r="B9" i="62"/>
  <c r="D9" i="65"/>
  <c r="E9" i="65" s="1"/>
  <c r="F33" i="52"/>
  <c r="AD9" i="62" s="1"/>
  <c r="B53" i="62"/>
  <c r="D53" i="65"/>
  <c r="E53" i="65" s="1"/>
  <c r="F33" i="8"/>
  <c r="AD53" i="62" s="1"/>
  <c r="B35" i="62"/>
  <c r="D35" i="65"/>
  <c r="E35" i="65" s="1"/>
  <c r="F33" i="26"/>
  <c r="AD35" i="62" s="1"/>
  <c r="B56" i="62"/>
  <c r="D56" i="65"/>
  <c r="E56" i="65" s="1"/>
  <c r="F33" i="5"/>
  <c r="AD56" i="62" s="1"/>
  <c r="B14" i="62"/>
  <c r="D14" i="65"/>
  <c r="E14" i="65" s="1"/>
  <c r="F33" i="47"/>
  <c r="AD14" i="62" s="1"/>
  <c r="B38" i="62"/>
  <c r="D38" i="65"/>
  <c r="E38" i="65" s="1"/>
  <c r="F33" i="23"/>
  <c r="AD38" i="62" s="1"/>
  <c r="B12" i="62"/>
  <c r="D12" i="65"/>
  <c r="E12" i="65" s="1"/>
  <c r="F33" i="49"/>
  <c r="AD12" i="62" s="1"/>
  <c r="B52" i="62"/>
  <c r="D52" i="65"/>
  <c r="E52" i="65" s="1"/>
  <c r="F33" i="9"/>
  <c r="AD52" i="62" s="1"/>
  <c r="B32" i="62"/>
  <c r="D32" i="65"/>
  <c r="E32" i="65" s="1"/>
  <c r="F33" i="29"/>
  <c r="AD32" i="62" s="1"/>
  <c r="B4" i="62"/>
  <c r="D4" i="65"/>
  <c r="F33" i="57"/>
  <c r="AD4" i="62" s="1"/>
  <c r="B6" i="62"/>
  <c r="D6" i="65"/>
  <c r="E6" i="65" s="1"/>
  <c r="F33" i="55"/>
  <c r="AD6" i="62" s="1"/>
  <c r="B5" i="62"/>
  <c r="D5" i="65"/>
  <c r="E5" i="65" s="1"/>
  <c r="F33" i="56"/>
  <c r="AD5" i="62" s="1"/>
  <c r="L64" i="63"/>
  <c r="B48" i="62"/>
  <c r="D48" i="65"/>
  <c r="E48" i="65" s="1"/>
  <c r="F33" i="13"/>
  <c r="AD48" i="62" s="1"/>
  <c r="B21" i="62"/>
  <c r="D21" i="65"/>
  <c r="E21" i="65" s="1"/>
  <c r="F33" i="40"/>
  <c r="AD21" i="62" s="1"/>
  <c r="B59" i="62"/>
  <c r="D59" i="65"/>
  <c r="E59" i="65" s="1"/>
  <c r="F33" i="59"/>
  <c r="AD59" i="62" s="1"/>
  <c r="B26" i="62"/>
  <c r="D26" i="65"/>
  <c r="E26" i="65" s="1"/>
  <c r="F33" i="35"/>
  <c r="AD26" i="62" s="1"/>
  <c r="B22" i="62"/>
  <c r="D22" i="65"/>
  <c r="E22" i="65" s="1"/>
  <c r="F33" i="39"/>
  <c r="AD22" i="62" s="1"/>
  <c r="B18" i="62"/>
  <c r="D18" i="65"/>
  <c r="E18" i="65" s="1"/>
  <c r="F33" i="43"/>
  <c r="AD18" i="62" s="1"/>
  <c r="B57" i="62"/>
  <c r="D57" i="65"/>
  <c r="E57" i="65" s="1"/>
  <c r="F33" i="4"/>
  <c r="AD57" i="62" s="1"/>
  <c r="B8" i="62"/>
  <c r="D8" i="65"/>
  <c r="E8" i="65" s="1"/>
  <c r="F33" i="53"/>
  <c r="AD8" i="62" s="1"/>
  <c r="B58" i="62"/>
  <c r="D58" i="65"/>
  <c r="E58" i="65" s="1"/>
  <c r="F33" i="3"/>
  <c r="AD58" i="62" s="1"/>
  <c r="B46" i="62"/>
  <c r="D46" i="65"/>
  <c r="E46" i="65" s="1"/>
  <c r="F33" i="15"/>
  <c r="AD46" i="62" s="1"/>
  <c r="B17" i="62"/>
  <c r="D17" i="65"/>
  <c r="E17" i="65" s="1"/>
  <c r="F33" i="44"/>
  <c r="AD17" i="62" s="1"/>
  <c r="R64" i="63" l="1"/>
  <c r="D13" i="63"/>
  <c r="D16" i="63"/>
  <c r="D54" i="63"/>
  <c r="D14" i="63"/>
  <c r="V64" i="63"/>
  <c r="T64" i="63"/>
  <c r="F105" i="60"/>
  <c r="D63" i="63"/>
  <c r="D31" i="63"/>
  <c r="D19" i="63"/>
  <c r="D60" i="63"/>
  <c r="D20" i="63"/>
  <c r="D62" i="63"/>
  <c r="D24" i="63"/>
  <c r="D22" i="63"/>
  <c r="D36" i="63"/>
  <c r="D30" i="63"/>
  <c r="D52" i="63"/>
  <c r="D48" i="63"/>
  <c r="D35" i="63"/>
  <c r="D55" i="63"/>
  <c r="D15" i="63"/>
  <c r="D41" i="63"/>
  <c r="D17" i="63"/>
  <c r="D59" i="63"/>
  <c r="D39" i="63"/>
  <c r="D23" i="63"/>
  <c r="D27" i="63"/>
  <c r="D37" i="63"/>
  <c r="D53" i="63"/>
  <c r="D45" i="63"/>
  <c r="D9" i="63"/>
  <c r="D7" i="63"/>
  <c r="D49" i="63"/>
  <c r="D61" i="63"/>
  <c r="D11" i="63"/>
  <c r="D21" i="63"/>
  <c r="D25" i="63"/>
  <c r="D29" i="63"/>
  <c r="D51" i="63"/>
  <c r="D8" i="63"/>
  <c r="D38" i="63"/>
  <c r="D56" i="63"/>
  <c r="D12" i="63"/>
  <c r="D18" i="63"/>
  <c r="D57" i="63"/>
  <c r="D47" i="63"/>
  <c r="D10" i="63"/>
  <c r="D46" i="63"/>
  <c r="D26" i="63"/>
  <c r="D42" i="63"/>
  <c r="D43" i="63"/>
  <c r="D50" i="63"/>
  <c r="D34" i="63"/>
  <c r="D40" i="63"/>
  <c r="D44" i="63"/>
  <c r="D58" i="63"/>
  <c r="D25" i="65"/>
  <c r="E25" i="65" s="1"/>
  <c r="F33" i="36"/>
  <c r="AD25" i="62" s="1"/>
  <c r="B29" i="62"/>
  <c r="B30" i="62"/>
  <c r="B25" i="62"/>
  <c r="F33" i="32"/>
  <c r="AD29" i="62" s="1"/>
  <c r="D29" i="65"/>
  <c r="E29" i="65" s="1"/>
  <c r="F33" i="31"/>
  <c r="AD30" i="62" s="1"/>
  <c r="AD65" i="62" s="1"/>
  <c r="D30" i="65"/>
  <c r="E30" i="65" s="1"/>
  <c r="E4" i="65"/>
  <c r="B61" i="65"/>
  <c r="C61" i="65" s="1"/>
  <c r="F18" i="60"/>
  <c r="C17" i="66" s="1"/>
  <c r="F17" i="66" s="1"/>
  <c r="F11" i="60"/>
  <c r="C10" i="66" s="1"/>
  <c r="F10" i="66" s="1"/>
  <c r="F27" i="60"/>
  <c r="C26" i="66" s="1"/>
  <c r="F26" i="66" s="1"/>
  <c r="F12" i="60"/>
  <c r="C11" i="66" s="1"/>
  <c r="F11" i="66" s="1"/>
  <c r="F28" i="60"/>
  <c r="C27" i="66" s="1"/>
  <c r="F27" i="66" s="1"/>
  <c r="F21" i="60"/>
  <c r="C20" i="66" s="1"/>
  <c r="F20" i="66" s="1"/>
  <c r="F14" i="60"/>
  <c r="C13" i="66" s="1"/>
  <c r="F13" i="66" s="1"/>
  <c r="F30" i="60"/>
  <c r="C29" i="66" s="1"/>
  <c r="F29" i="66" s="1"/>
  <c r="F15" i="60"/>
  <c r="C14" i="66" s="1"/>
  <c r="F14" i="66" s="1"/>
  <c r="F16" i="60"/>
  <c r="C15" i="66" s="1"/>
  <c r="F15" i="66" s="1"/>
  <c r="F9" i="60"/>
  <c r="C8" i="66" s="1"/>
  <c r="F8" i="66" s="1"/>
  <c r="F25" i="60"/>
  <c r="C24" i="66" s="1"/>
  <c r="F24" i="66" s="1"/>
  <c r="F10" i="60"/>
  <c r="C9" i="66" s="1"/>
  <c r="F9" i="66" s="1"/>
  <c r="F26" i="60"/>
  <c r="C25" i="66" s="1"/>
  <c r="F25" i="66" s="1"/>
  <c r="F19" i="60"/>
  <c r="C18" i="66" s="1"/>
  <c r="F18" i="66" s="1"/>
  <c r="F20" i="60"/>
  <c r="C19" i="66" s="1"/>
  <c r="F19" i="66" s="1"/>
  <c r="F13" i="60"/>
  <c r="C12" i="66" s="1"/>
  <c r="F12" i="66" s="1"/>
  <c r="F29" i="60"/>
  <c r="C28" i="66" s="1"/>
  <c r="F28" i="66" s="1"/>
  <c r="F6" i="60"/>
  <c r="C5" i="66" s="1"/>
  <c r="F5" i="66" s="1"/>
  <c r="F22" i="60"/>
  <c r="C21" i="66" s="1"/>
  <c r="F21" i="66" s="1"/>
  <c r="F7" i="60"/>
  <c r="C6" i="66" s="1"/>
  <c r="F6" i="66" s="1"/>
  <c r="F23" i="60"/>
  <c r="C22" i="66" s="1"/>
  <c r="F22" i="66" s="1"/>
  <c r="F8" i="60"/>
  <c r="C7" i="66" s="1"/>
  <c r="F7" i="66" s="1"/>
  <c r="F24" i="60"/>
  <c r="C23" i="66" s="1"/>
  <c r="F23" i="66" s="1"/>
  <c r="F17" i="60"/>
  <c r="C16" i="66" s="1"/>
  <c r="F16" i="66" s="1"/>
  <c r="F5" i="60"/>
  <c r="C4" i="66" s="1"/>
  <c r="F33" i="60"/>
  <c r="AD61" i="62" s="1"/>
  <c r="F4" i="66" l="1"/>
  <c r="C33" i="66"/>
  <c r="C34" i="66"/>
  <c r="C32" i="66"/>
  <c r="B62" i="62"/>
  <c r="AD64" i="62"/>
  <c r="B63" i="62"/>
  <c r="B64" i="62"/>
  <c r="B65" i="62"/>
  <c r="D61" i="65"/>
  <c r="E61" i="65" s="1"/>
  <c r="D28" i="63"/>
  <c r="D32" i="63"/>
  <c r="D33" i="63"/>
  <c r="AD63" i="62"/>
  <c r="AD62" i="62"/>
  <c r="B61" i="62"/>
  <c r="U61" i="62"/>
  <c r="T61" i="62"/>
  <c r="S61" i="62"/>
  <c r="Z61" i="62"/>
  <c r="Q61" i="62"/>
  <c r="W61" i="62"/>
  <c r="V61" i="62"/>
  <c r="M61" i="62"/>
  <c r="AA61" i="62"/>
  <c r="R61" i="62"/>
  <c r="I61" i="62"/>
  <c r="H61" i="62"/>
  <c r="N61" i="62"/>
  <c r="E61" i="62"/>
  <c r="D61" i="62"/>
  <c r="C61" i="62"/>
  <c r="J61" i="62"/>
  <c r="P61" i="62"/>
  <c r="G61" i="62"/>
  <c r="F61" i="62"/>
  <c r="L61" i="62"/>
  <c r="K61" i="62"/>
  <c r="Y61" i="62"/>
  <c r="X61" i="62"/>
  <c r="O61" i="62"/>
  <c r="D64" i="63" l="1"/>
</calcChain>
</file>

<file path=xl/connections.xml><?xml version="1.0" encoding="utf-8"?>
<connections xmlns="http://schemas.openxmlformats.org/spreadsheetml/2006/main">
  <connection id="1" keepAlive="1" name="Broadway AP_FRP_RFOE CCSurvey" type="5" refreshedVersion="4" deleted="1" background="1" saveData="1">
    <dbPr connection="" command="" commandType="3"/>
  </connection>
</connections>
</file>

<file path=xl/sharedStrings.xml><?xml version="1.0" encoding="utf-8"?>
<sst xmlns="http://schemas.openxmlformats.org/spreadsheetml/2006/main" count="9552" uniqueCount="1094">
  <si>
    <t>Agriculture</t>
  </si>
  <si>
    <t>Architecture and Precision Production Trades</t>
  </si>
  <si>
    <t>Biology, Physical Sciences, and Science Technology</t>
  </si>
  <si>
    <t>Business Management, Marketing, and Administrative Services</t>
  </si>
  <si>
    <t>Career Pilot</t>
  </si>
  <si>
    <t>Communications</t>
  </si>
  <si>
    <t>Computer and Information Sciences</t>
  </si>
  <si>
    <t>Construction Trades</t>
  </si>
  <si>
    <t>Consumer and Homemaking Education</t>
  </si>
  <si>
    <t>Engineering</t>
  </si>
  <si>
    <t>Engineering Related</t>
  </si>
  <si>
    <t>English Language, Lit, Philosophy, Humanities, &amp; Interdisciplinary</t>
  </si>
  <si>
    <t>Foreign Languages</t>
  </si>
  <si>
    <t>Health Occupations - Dental Hygiene</t>
  </si>
  <si>
    <t>Health Occupations - Other</t>
  </si>
  <si>
    <t>Health Occupations - Respiratory Therapy</t>
  </si>
  <si>
    <t>Health Occupations - Vocational Nursing</t>
  </si>
  <si>
    <t>Mathematics</t>
  </si>
  <si>
    <t>Mechanics and Repairers - Automotive</t>
  </si>
  <si>
    <t>Mechanics and Repairers - Electronics</t>
  </si>
  <si>
    <t>Physical Education and Fitness</t>
  </si>
  <si>
    <t>Protective Services and Public Administration</t>
  </si>
  <si>
    <t>Psychology, Social Sciences, and History</t>
  </si>
  <si>
    <t>Visual and Performing Arts</t>
  </si>
  <si>
    <t>Developmental Education - Math</t>
  </si>
  <si>
    <t>Developmental Education - Reading/Writing</t>
  </si>
  <si>
    <t>Fund</t>
  </si>
  <si>
    <t>Contact Hours</t>
  </si>
  <si>
    <t>Research</t>
  </si>
  <si>
    <t>Local Benefits</t>
  </si>
  <si>
    <t>Institutional Support</t>
  </si>
  <si>
    <t>Student Services</t>
  </si>
  <si>
    <t>Academic Support</t>
  </si>
  <si>
    <t>Scholarships and Fellowships</t>
  </si>
  <si>
    <t>Equipment Depreciation</t>
  </si>
  <si>
    <t>Total</t>
  </si>
  <si>
    <t>FICE</t>
  </si>
  <si>
    <t>Password</t>
  </si>
  <si>
    <t>Approved</t>
  </si>
  <si>
    <t>ApprovalDate</t>
  </si>
  <si>
    <t>LastMod</t>
  </si>
  <si>
    <t>CBNote</t>
  </si>
  <si>
    <t>dist_name</t>
  </si>
  <si>
    <t>person</t>
  </si>
  <si>
    <t>title</t>
  </si>
  <si>
    <t>phone</t>
  </si>
  <si>
    <t>email</t>
  </si>
  <si>
    <t>GrandTotal</t>
  </si>
  <si>
    <t>SecATotal</t>
  </si>
  <si>
    <t>SecBTotal</t>
  </si>
  <si>
    <t>AFRExb2</t>
  </si>
  <si>
    <t>Difference</t>
  </si>
  <si>
    <t>Sec2Local</t>
  </si>
  <si>
    <t>Sec2State</t>
  </si>
  <si>
    <t>Sec2_Total</t>
  </si>
  <si>
    <t>Sec3SW1</t>
  </si>
  <si>
    <t>Sec3SW2</t>
  </si>
  <si>
    <t>Sec3SW3</t>
  </si>
  <si>
    <t>Sec3SW4</t>
  </si>
  <si>
    <t>Sec3SW5</t>
  </si>
  <si>
    <t>Sec3SW6</t>
  </si>
  <si>
    <t>Sec3SWTotal</t>
  </si>
  <si>
    <t>Sec3Oth1</t>
  </si>
  <si>
    <t>Sec3Oth2</t>
  </si>
  <si>
    <t>Sec3Oth3</t>
  </si>
  <si>
    <t>Sec3Oth4</t>
  </si>
  <si>
    <t>Sec3Oth5</t>
  </si>
  <si>
    <t>Sec3Oth6</t>
  </si>
  <si>
    <t>Sec3OthTotal</t>
  </si>
  <si>
    <t>Sec3_1</t>
  </si>
  <si>
    <t>Sec3_2</t>
  </si>
  <si>
    <t>Sec3_3</t>
  </si>
  <si>
    <t>Sec3_4</t>
  </si>
  <si>
    <t>Sec3_5</t>
  </si>
  <si>
    <t>Sec3_6</t>
  </si>
  <si>
    <t>Sec3_Total</t>
  </si>
  <si>
    <t>Sec4SW1</t>
  </si>
  <si>
    <t>Sec4SW2</t>
  </si>
  <si>
    <t>Sec4SW3</t>
  </si>
  <si>
    <t>Sec4SW4</t>
  </si>
  <si>
    <t>Sec4SWTotal</t>
  </si>
  <si>
    <t>Sec4Oth1</t>
  </si>
  <si>
    <t>Sec4Oth2</t>
  </si>
  <si>
    <t>Sec4Oth3</t>
  </si>
  <si>
    <t>Sec4Oth4</t>
  </si>
  <si>
    <t>Sec4OthTotal</t>
  </si>
  <si>
    <t>Sec4_1</t>
  </si>
  <si>
    <t>Sec4_2</t>
  </si>
  <si>
    <t>Sec4_3</t>
  </si>
  <si>
    <t>Sec4_4</t>
  </si>
  <si>
    <t>Sec4_Total</t>
  </si>
  <si>
    <t>Sec5SW1</t>
  </si>
  <si>
    <t>Sec5SW2</t>
  </si>
  <si>
    <t>Sec5SW3</t>
  </si>
  <si>
    <t>Sec5SW4</t>
  </si>
  <si>
    <t>Sec5SW5</t>
  </si>
  <si>
    <t>Sec5SWTotal</t>
  </si>
  <si>
    <t>Sec5SB1</t>
  </si>
  <si>
    <t>Sec5SB2</t>
  </si>
  <si>
    <t>Sec5SB3</t>
  </si>
  <si>
    <t>Sec5SB4</t>
  </si>
  <si>
    <t>Sec5SB5</t>
  </si>
  <si>
    <t>Sec5SBTotal</t>
  </si>
  <si>
    <t>Sec5Oth1</t>
  </si>
  <si>
    <t>Sec5Oth2</t>
  </si>
  <si>
    <t>Sec5Oth3</t>
  </si>
  <si>
    <t>Sec5Oth4</t>
  </si>
  <si>
    <t>Sec5Oth5</t>
  </si>
  <si>
    <t>Sec5OthTotal</t>
  </si>
  <si>
    <t>Sec5_1</t>
  </si>
  <si>
    <t>Sec5_2</t>
  </si>
  <si>
    <t>Sec5_3</t>
  </si>
  <si>
    <t>Sec5_4</t>
  </si>
  <si>
    <t>Sec5_5</t>
  </si>
  <si>
    <t>Sec5_Total</t>
  </si>
  <si>
    <t>Sec6SW1</t>
  </si>
  <si>
    <t>Sec6SW2</t>
  </si>
  <si>
    <t>Sec6SW3</t>
  </si>
  <si>
    <t>Sec6SWTotal</t>
  </si>
  <si>
    <t>Sec6SB1</t>
  </si>
  <si>
    <t>Sec6SB2</t>
  </si>
  <si>
    <t>Sec6SB3</t>
  </si>
  <si>
    <t>Sec6SBTotal</t>
  </si>
  <si>
    <t>Sec6Oth1</t>
  </si>
  <si>
    <t>Sec6Oth2</t>
  </si>
  <si>
    <t>Sec6Oth3</t>
  </si>
  <si>
    <t>Sec6OthTotal</t>
  </si>
  <si>
    <t>Sec6_1</t>
  </si>
  <si>
    <t>Sec6_2</t>
  </si>
  <si>
    <t>Sec6_3</t>
  </si>
  <si>
    <t>Sec6_Total</t>
  </si>
  <si>
    <t>FICE_Link</t>
  </si>
  <si>
    <t>LocalBenefits</t>
  </si>
  <si>
    <t>StateBenefits</t>
  </si>
  <si>
    <t>HRS1</t>
  </si>
  <si>
    <t>HRS2</t>
  </si>
  <si>
    <t>HRS3</t>
  </si>
  <si>
    <t>HRS4</t>
  </si>
  <si>
    <t>HRS5</t>
  </si>
  <si>
    <t>HRS6</t>
  </si>
  <si>
    <t>HRS7</t>
  </si>
  <si>
    <t>HRS8</t>
  </si>
  <si>
    <t>HRS9</t>
  </si>
  <si>
    <t>HRS10</t>
  </si>
  <si>
    <t>HRS11</t>
  </si>
  <si>
    <t>HRS12</t>
  </si>
  <si>
    <t>HRS13</t>
  </si>
  <si>
    <t>HRS14</t>
  </si>
  <si>
    <t>HRS15</t>
  </si>
  <si>
    <t>HRS16</t>
  </si>
  <si>
    <t>HRS17</t>
  </si>
  <si>
    <t>HRS18</t>
  </si>
  <si>
    <t>HRS19</t>
  </si>
  <si>
    <t>HRS20</t>
  </si>
  <si>
    <t>HRS21</t>
  </si>
  <si>
    <t>HRS22</t>
  </si>
  <si>
    <t>HRS23</t>
  </si>
  <si>
    <t>HRS24</t>
  </si>
  <si>
    <t>HRS25</t>
  </si>
  <si>
    <t>HRS26</t>
  </si>
  <si>
    <t>HRS27</t>
  </si>
  <si>
    <t>HRS28</t>
  </si>
  <si>
    <t>HRS29</t>
  </si>
  <si>
    <t>HRSTotal</t>
  </si>
  <si>
    <t>FacSal1</t>
  </si>
  <si>
    <t>FacSal2</t>
  </si>
  <si>
    <t>FacSal3</t>
  </si>
  <si>
    <t>FacSal4</t>
  </si>
  <si>
    <t>FacSal5</t>
  </si>
  <si>
    <t>FacSal6</t>
  </si>
  <si>
    <t>FacSal7</t>
  </si>
  <si>
    <t>FacSal8</t>
  </si>
  <si>
    <t>FacSal9</t>
  </si>
  <si>
    <t>FacSal10</t>
  </si>
  <si>
    <t>FacSal11</t>
  </si>
  <si>
    <t>FacSal12</t>
  </si>
  <si>
    <t>FacSal13</t>
  </si>
  <si>
    <t>FacSal14</t>
  </si>
  <si>
    <t>FacSal15</t>
  </si>
  <si>
    <t>FacSal16</t>
  </si>
  <si>
    <t>FacSal17</t>
  </si>
  <si>
    <t>FacSal18</t>
  </si>
  <si>
    <t>FacSal19</t>
  </si>
  <si>
    <t>FacSal20</t>
  </si>
  <si>
    <t>FacSal21</t>
  </si>
  <si>
    <t>FacSal22</t>
  </si>
  <si>
    <t>FacSal23</t>
  </si>
  <si>
    <t>FacSal24</t>
  </si>
  <si>
    <t>FacSal25</t>
  </si>
  <si>
    <t>FacSal26</t>
  </si>
  <si>
    <t>FacSal27</t>
  </si>
  <si>
    <t>FacSal28</t>
  </si>
  <si>
    <t>FacSal29</t>
  </si>
  <si>
    <t>FacSalTotal</t>
  </si>
  <si>
    <t>OthSal1</t>
  </si>
  <si>
    <t>OthSal2</t>
  </si>
  <si>
    <t>OthSal3</t>
  </si>
  <si>
    <t>OthSal4</t>
  </si>
  <si>
    <t>OthSal5</t>
  </si>
  <si>
    <t>OthSal6</t>
  </si>
  <si>
    <t>OthSal7</t>
  </si>
  <si>
    <t>OthSal8</t>
  </si>
  <si>
    <t>OthSal9</t>
  </si>
  <si>
    <t>OthSal10</t>
  </si>
  <si>
    <t>OthSal11</t>
  </si>
  <si>
    <t>OthSal12</t>
  </si>
  <si>
    <t>OthSal13</t>
  </si>
  <si>
    <t>OthSal14</t>
  </si>
  <si>
    <t>OthSal15</t>
  </si>
  <si>
    <t>OthSal16</t>
  </si>
  <si>
    <t>OthSal17</t>
  </si>
  <si>
    <t>OthSal18</t>
  </si>
  <si>
    <t>OthSal19</t>
  </si>
  <si>
    <t>OthSal20</t>
  </si>
  <si>
    <t>OthSal21</t>
  </si>
  <si>
    <t>OthSal22</t>
  </si>
  <si>
    <t>OthSal23</t>
  </si>
  <si>
    <t>OthSal24</t>
  </si>
  <si>
    <t>OthSal25</t>
  </si>
  <si>
    <t>OthSal26</t>
  </si>
  <si>
    <t>OthSal27</t>
  </si>
  <si>
    <t>OthSal28</t>
  </si>
  <si>
    <t>OthSal29</t>
  </si>
  <si>
    <t>OthSalTotal</t>
  </si>
  <si>
    <t>Benefits1</t>
  </si>
  <si>
    <t>Benefits2</t>
  </si>
  <si>
    <t>Benefits3</t>
  </si>
  <si>
    <t>Benefits4</t>
  </si>
  <si>
    <t>Benefits5</t>
  </si>
  <si>
    <t>Benefits6</t>
  </si>
  <si>
    <t>Benefits7</t>
  </si>
  <si>
    <t>Benefits8</t>
  </si>
  <si>
    <t>Benefits9</t>
  </si>
  <si>
    <t>Benefits10</t>
  </si>
  <si>
    <t>Benefits11</t>
  </si>
  <si>
    <t>Benefits12</t>
  </si>
  <si>
    <t>Benefits13</t>
  </si>
  <si>
    <t>Benefits14</t>
  </si>
  <si>
    <t>Benefits15</t>
  </si>
  <si>
    <t>Benefits16</t>
  </si>
  <si>
    <t>Benefits17</t>
  </si>
  <si>
    <t>Benefits18</t>
  </si>
  <si>
    <t>Benefits19</t>
  </si>
  <si>
    <t>Benefits20</t>
  </si>
  <si>
    <t>Benefits21</t>
  </si>
  <si>
    <t>Benefits22</t>
  </si>
  <si>
    <t>Benefits23</t>
  </si>
  <si>
    <t>Benefits24</t>
  </si>
  <si>
    <t>Benefits25</t>
  </si>
  <si>
    <t>Benefits26</t>
  </si>
  <si>
    <t>Benefits27</t>
  </si>
  <si>
    <t>Benefits28</t>
  </si>
  <si>
    <t>Benefits29</t>
  </si>
  <si>
    <t>BenefitsTotal</t>
  </si>
  <si>
    <t>OtherOps1</t>
  </si>
  <si>
    <t>OtherOps2</t>
  </si>
  <si>
    <t>OtherOps3</t>
  </si>
  <si>
    <t>OtherOps4</t>
  </si>
  <si>
    <t>OtherOps5</t>
  </si>
  <si>
    <t>OtherOps6</t>
  </si>
  <si>
    <t>OtherOps7</t>
  </si>
  <si>
    <t>OtherOps8</t>
  </si>
  <si>
    <t>OtherOps9</t>
  </si>
  <si>
    <t>OtherOps10</t>
  </si>
  <si>
    <t>OtherOps11</t>
  </si>
  <si>
    <t>OtherOps12</t>
  </si>
  <si>
    <t>OtherOps13</t>
  </si>
  <si>
    <t>OtherOps14</t>
  </si>
  <si>
    <t>OtherOps15</t>
  </si>
  <si>
    <t>OtherOps16</t>
  </si>
  <si>
    <t>OtherOps17</t>
  </si>
  <si>
    <t>OtherOps18</t>
  </si>
  <si>
    <t>OtherOps19</t>
  </si>
  <si>
    <t>OtherOps20</t>
  </si>
  <si>
    <t>OtherOps21</t>
  </si>
  <si>
    <t>OtherOps22</t>
  </si>
  <si>
    <t>OtherOps23</t>
  </si>
  <si>
    <t>OtherOps24</t>
  </si>
  <si>
    <t>OtherOps25</t>
  </si>
  <si>
    <t>OtherOps26</t>
  </si>
  <si>
    <t>OtherOps27</t>
  </si>
  <si>
    <t>OtherOps28</t>
  </si>
  <si>
    <t>OtherOps29</t>
  </si>
  <si>
    <t>OtherOpsTotal</t>
  </si>
  <si>
    <t>DOE1</t>
  </si>
  <si>
    <t>DOE2</t>
  </si>
  <si>
    <t>DOE3</t>
  </si>
  <si>
    <t>DOE4</t>
  </si>
  <si>
    <t>DOE5</t>
  </si>
  <si>
    <t>DOE6</t>
  </si>
  <si>
    <t>DOE7</t>
  </si>
  <si>
    <t>DOE8</t>
  </si>
  <si>
    <t>DOE9</t>
  </si>
  <si>
    <t>DOE10</t>
  </si>
  <si>
    <t>DOE11</t>
  </si>
  <si>
    <t>DOE12</t>
  </si>
  <si>
    <t>DOE13</t>
  </si>
  <si>
    <t>DOE14</t>
  </si>
  <si>
    <t>DOE15</t>
  </si>
  <si>
    <t>DOE16</t>
  </si>
  <si>
    <t>DOE17</t>
  </si>
  <si>
    <t>DOE18</t>
  </si>
  <si>
    <t>DOE19</t>
  </si>
  <si>
    <t>DOE20</t>
  </si>
  <si>
    <t>DOE21</t>
  </si>
  <si>
    <t>DOE22</t>
  </si>
  <si>
    <t>DOE23</t>
  </si>
  <si>
    <t>DOE24</t>
  </si>
  <si>
    <t>DOE25</t>
  </si>
  <si>
    <t>DOE26</t>
  </si>
  <si>
    <t>DOE27</t>
  </si>
  <si>
    <t>DOE28</t>
  </si>
  <si>
    <t>DOE29</t>
  </si>
  <si>
    <t>DOETotal</t>
  </si>
  <si>
    <t>Total1</t>
  </si>
  <si>
    <t>Total2</t>
  </si>
  <si>
    <t>Total3</t>
  </si>
  <si>
    <t>Total4</t>
  </si>
  <si>
    <t>Total5</t>
  </si>
  <si>
    <t>Total6</t>
  </si>
  <si>
    <t>Total7</t>
  </si>
  <si>
    <t>Total8</t>
  </si>
  <si>
    <t>Total9</t>
  </si>
  <si>
    <t>Total10</t>
  </si>
  <si>
    <t>Total11</t>
  </si>
  <si>
    <t>Total12</t>
  </si>
  <si>
    <t>Total13</t>
  </si>
  <si>
    <t>Total14</t>
  </si>
  <si>
    <t>Total15</t>
  </si>
  <si>
    <t>Total16</t>
  </si>
  <si>
    <t>Total17</t>
  </si>
  <si>
    <t>Total18</t>
  </si>
  <si>
    <t>Total19</t>
  </si>
  <si>
    <t>Total20</t>
  </si>
  <si>
    <t>Total21</t>
  </si>
  <si>
    <t>Total22</t>
  </si>
  <si>
    <t>Total23</t>
  </si>
  <si>
    <t>Total24</t>
  </si>
  <si>
    <t>Total25</t>
  </si>
  <si>
    <t>Total26</t>
  </si>
  <si>
    <t>Total27</t>
  </si>
  <si>
    <t>Total28</t>
  </si>
  <si>
    <t>Total29</t>
  </si>
  <si>
    <t>Sec1_Total</t>
  </si>
  <si>
    <t>Comments</t>
  </si>
  <si>
    <t>PartA</t>
  </si>
  <si>
    <t>PartB</t>
  </si>
  <si>
    <t>GrandTotalExpenses</t>
  </si>
  <si>
    <t>AFRDifference</t>
  </si>
  <si>
    <t>Depreciation</t>
  </si>
  <si>
    <t>003539</t>
  </si>
  <si>
    <t>Alvin Community College</t>
  </si>
  <si>
    <t>003540</t>
  </si>
  <si>
    <t>Amarillo College</t>
  </si>
  <si>
    <t>003546</t>
  </si>
  <si>
    <t>Coastal Bend College</t>
  </si>
  <si>
    <t>003549</t>
  </si>
  <si>
    <t>Blinn College</t>
  </si>
  <si>
    <t>003553</t>
  </si>
  <si>
    <t>Cisco Junior College</t>
  </si>
  <si>
    <t>003554</t>
  </si>
  <si>
    <t>Clarendon College</t>
  </si>
  <si>
    <t>003558</t>
  </si>
  <si>
    <t>North Central Texas College</t>
  </si>
  <si>
    <t>003563</t>
  </si>
  <si>
    <t>Del Mar College</t>
  </si>
  <si>
    <t>003568</t>
  </si>
  <si>
    <t>Frank Phillips College</t>
  </si>
  <si>
    <t>003570</t>
  </si>
  <si>
    <t>Grayson County College</t>
  </si>
  <si>
    <t>003572</t>
  </si>
  <si>
    <t>Trinity Valley Community College</t>
  </si>
  <si>
    <t>003573</t>
  </si>
  <si>
    <t>Hill College</t>
  </si>
  <si>
    <t>003574</t>
  </si>
  <si>
    <t>Howard College</t>
  </si>
  <si>
    <t>003580</t>
  </si>
  <si>
    <t>Kilgore College</t>
  </si>
  <si>
    <t>003582</t>
  </si>
  <si>
    <t>Laredo Community College</t>
  </si>
  <si>
    <t>003583</t>
  </si>
  <si>
    <t>Lee College</t>
  </si>
  <si>
    <t>003590</t>
  </si>
  <si>
    <t>McLennan Community College</t>
  </si>
  <si>
    <t>003593</t>
  </si>
  <si>
    <t>Navarro College</t>
  </si>
  <si>
    <t>003596</t>
  </si>
  <si>
    <t>Odessa College</t>
  </si>
  <si>
    <t>003600</t>
  </si>
  <si>
    <t>Panola College</t>
  </si>
  <si>
    <t>003601</t>
  </si>
  <si>
    <t>Paris Junior College</t>
  </si>
  <si>
    <t>003603</t>
  </si>
  <si>
    <t>Ranger College</t>
  </si>
  <si>
    <t>003607</t>
  </si>
  <si>
    <t>Alamo Community College District</t>
  </si>
  <si>
    <t>003609</t>
  </si>
  <si>
    <t>San Jacinto College District</t>
  </si>
  <si>
    <t>003611</t>
  </si>
  <si>
    <t>South Plains College</t>
  </si>
  <si>
    <t>003614</t>
  </si>
  <si>
    <t>Southwest Texas Junior College</t>
  </si>
  <si>
    <t>Tarrant County College District</t>
  </si>
  <si>
    <t>003627</t>
  </si>
  <si>
    <t>Temple College</t>
  </si>
  <si>
    <t>003628</t>
  </si>
  <si>
    <t>Texarkana College</t>
  </si>
  <si>
    <t>003634</t>
  </si>
  <si>
    <t>Texas State Technical College-Waco</t>
  </si>
  <si>
    <t>003643</t>
  </si>
  <si>
    <t>Texas Southmost College</t>
  </si>
  <si>
    <t>003648</t>
  </si>
  <si>
    <t>Tyler Junior College</t>
  </si>
  <si>
    <t>003662</t>
  </si>
  <si>
    <t>Victoria College, The</t>
  </si>
  <si>
    <t>003664</t>
  </si>
  <si>
    <t>Weatherford College</t>
  </si>
  <si>
    <t>003668</t>
  </si>
  <si>
    <t>Wharton County Junior College</t>
  </si>
  <si>
    <t>004003</t>
  </si>
  <si>
    <t>Central Texas College</t>
  </si>
  <si>
    <t>006661</t>
  </si>
  <si>
    <t>Angelina College</t>
  </si>
  <si>
    <t>006662</t>
  </si>
  <si>
    <t>Galveston College</t>
  </si>
  <si>
    <t>007096</t>
  </si>
  <si>
    <t>College of the Mainland Community College District</t>
  </si>
  <si>
    <t>007857</t>
  </si>
  <si>
    <t>Brazosport College</t>
  </si>
  <si>
    <t>009225</t>
  </si>
  <si>
    <t>Texas State Technical College-Harlingen</t>
  </si>
  <si>
    <t>009549</t>
  </si>
  <si>
    <t>Western Texas College</t>
  </si>
  <si>
    <t>009797</t>
  </si>
  <si>
    <t>Midland College</t>
  </si>
  <si>
    <t>009932</t>
  </si>
  <si>
    <t>Texas State Technical College-West Texas</t>
  </si>
  <si>
    <t>010060</t>
  </si>
  <si>
    <t>Vernon College</t>
  </si>
  <si>
    <t>010387</t>
  </si>
  <si>
    <t>El Paso Community College</t>
  </si>
  <si>
    <t>010633</t>
  </si>
  <si>
    <t>Houston Community College System</t>
  </si>
  <si>
    <t>011145</t>
  </si>
  <si>
    <t>012015</t>
  </si>
  <si>
    <t>Austin Community College</t>
  </si>
  <si>
    <t>023154</t>
  </si>
  <si>
    <t>Northeast Texas Community College</t>
  </si>
  <si>
    <t>023485</t>
  </si>
  <si>
    <t>Lamar State College-Port Arthur</t>
  </si>
  <si>
    <t>023582</t>
  </si>
  <si>
    <t>Lamar State College-Orange</t>
  </si>
  <si>
    <t>023614</t>
  </si>
  <si>
    <t>Collin County Community College District</t>
  </si>
  <si>
    <t>029150</t>
  </si>
  <si>
    <t>Dallas County Community College District</t>
  </si>
  <si>
    <t>South Texas College</t>
  </si>
  <si>
    <t>Texas State Technical Collage-Marshall</t>
  </si>
  <si>
    <t>Lamar Institute of Technology</t>
  </si>
  <si>
    <t>Faculty Salaries</t>
  </si>
  <si>
    <t>Departmental Operating Expense</t>
  </si>
  <si>
    <t>Mechanics and Repairers - Diesel, Aviation Mechanics, and Transportation Workers</t>
  </si>
  <si>
    <t>Expense</t>
  </si>
  <si>
    <t>Expense per Contact Hour</t>
  </si>
  <si>
    <t>Health Occupations - Dental Assistants, Medical Lab, and Assoc. Degree Nursing</t>
  </si>
  <si>
    <t>Total Expense by
 Discipline</t>
  </si>
  <si>
    <t>Departmental Operating Expense by
 Discipline</t>
  </si>
  <si>
    <t>Faculty Salaries by
 Discipline</t>
  </si>
  <si>
    <t>Allocated Administrative Expense</t>
  </si>
  <si>
    <t>Not Used</t>
  </si>
  <si>
    <t>Other Allocated Administrative Expenses - Institutional Support - Salaries and Wages</t>
  </si>
  <si>
    <t>Other Allocated Administrative Expenses - Student Services - Salaries and Wages</t>
  </si>
  <si>
    <t>Other Allocated Administrative Expenses - Academic Support - Salaries and Wages</t>
  </si>
  <si>
    <t>Other Allocated Administrative Expenses - Scholarships and Fellowships - Salaries and Wages</t>
  </si>
  <si>
    <t>Other Allocated Administrative Expenses - Total - Salaries and Wages</t>
  </si>
  <si>
    <t>Other Allocated Administrative Expenses - Institutional Support - Other Operating Expenses</t>
  </si>
  <si>
    <t>Other Allocated Administrative Expenses - Student Services - Other Operating Expenses</t>
  </si>
  <si>
    <t>Other Allocated Administrative Expenses - Academic Support - Other Operating Expenses</t>
  </si>
  <si>
    <t>Other Allocated Administrative Expenses - Research - Salaries and Support</t>
  </si>
  <si>
    <t>Other Allocated Administrative Expenses - Scholarships and Fellowships - Other Operating Expenses</t>
  </si>
  <si>
    <t>Other Allocated Administrative Expenses - Equipment Depreciation - Other Operating Expenses</t>
  </si>
  <si>
    <t>Other Allocated Administrative Expenses - Total - Other Operating Expenses</t>
  </si>
  <si>
    <t>Reconciling Items Non-Fundable, Unrestricted Operating Expenses - Public Services - Museums - Salaries and Wages</t>
  </si>
  <si>
    <t>Reconciling Items Non-Fundable, Unrestricted Operating Expenses - Public Services - Non-state Funded Educational Programs - Salaries and Wages</t>
  </si>
  <si>
    <t>Reconciling Items Non-Fundable, Unrestricted Operating Expenses - Public Services - Other Public Services - Salaries and Wages</t>
  </si>
  <si>
    <t>Reconciling Items Non-Fundable, Unrestricted Operating Expenses - Public Services - Total - Salaries and Wages</t>
  </si>
  <si>
    <t>Reconciling Items Non-Fundable, Unrestricted Operating Expenses - Public Services - Non-state Funded Educational Programs - Other Operating Expenses</t>
  </si>
  <si>
    <t>Reconciling Items Non-Fundable, Unrestricted Operating Expenses - Public Services - Museums - Other Operating Expenses</t>
  </si>
  <si>
    <t>Reconciling Items Non-Fundable, Unrestricted Operating Expenses - Public Services - Other Public Services - Other Operating Expenses</t>
  </si>
  <si>
    <t>Reconciling Items Non-Fundable, Unrestricted Operating Expenses - Public Services - Depreciation of Public Service Equipment - Other Operating Expenses</t>
  </si>
  <si>
    <t>Reconciling Items Non-Fundable, Unrestricted Operating Expenses - Public Services - Total - Other Operating Expenses</t>
  </si>
  <si>
    <t xml:space="preserve">Reconciling Items Non-Fundable, Unrestricted Operating Expenses - Public Services - Non-state Funded Educational Programs </t>
  </si>
  <si>
    <t xml:space="preserve">Reconciling Items Non-Fundable, Unrestricted Operating Expenses - Public Services - Museums </t>
  </si>
  <si>
    <t xml:space="preserve">Reconciling Items Non-Fundable, Unrestricted Operating Expenses - Public Services - Other Public Services </t>
  </si>
  <si>
    <t xml:space="preserve">Reconciling Items Non-Fundable, Unrestricted Operating Expenses - Public Services - Depreciation of Public Service Equipment </t>
  </si>
  <si>
    <t xml:space="preserve">Reconciling Items Non-Fundable, Unrestricted Operating Expenses - Public Services - Total </t>
  </si>
  <si>
    <t>Reconciling Items Non-Fundable, Unrestricted Operating Expenses - Operations And Maintenance Of Plant - Physical Plant Services - Salaries And Wages</t>
  </si>
  <si>
    <t>Reconciling Items Non-Fundable, Unrestricted Operating Expenses - Operations And Maintenance Of Plant - Major Repairs and Renovations - Salaries And Wages</t>
  </si>
  <si>
    <t>Reconciling Items Non-Fundable, Unrestricted Operating Expenses - Operations And Maintenance Of Plant - Total - Salaries And Wages</t>
  </si>
  <si>
    <t>Reconciling Items Non-Fundable, Unrestricted Operating Expenses - Operations And Maintenance Of Plant - Staff Benefits</t>
  </si>
  <si>
    <t>Reconciling Items Non-Fundable, Unrestricted Operating Expenses - Operations And Maintenance Of Plant - Physical Plant Services - Other Operating Expense</t>
  </si>
  <si>
    <t>Reconciling Items Non-Fundable, Unrestricted Operating Expenses - Operations And Maintenance Of Plant - Major Repairs and Renovations - Other Operating Expenses</t>
  </si>
  <si>
    <t>Reconciling Items Non-Fundable, Unrestricted Operating Expenses - Operations And Maintenance Of Plant - Depreciation of Physical Plant Equipment - Other Operating Expenses</t>
  </si>
  <si>
    <t>Reconciling Items Non-Fundable, Unrestricted Operating Expenses - Operations And Maintenance Of Plant - Total - Other Operating Expenses</t>
  </si>
  <si>
    <t>Reconciling Items Non-Fundable, Unrestricted Operating Expenses - Operations And Maintenance Of Plant - Physical Plant Services - Total</t>
  </si>
  <si>
    <t>Reconciling Items Non-Fundable, Unrestricted Operating Expenses - Operations And Maintenance Of Plant - Major Repairs and Renovations - Total</t>
  </si>
  <si>
    <t>Reconciling Items Non-Fundable, Unrestricted Operating Expenses - Operations And Maintenance Of Plant - Staff Benefits - Total</t>
  </si>
  <si>
    <t>Reconciling Items Non-Fundable, Unrestricted Operating Expenses - Operations And Maintenance Of Plant - Depreciation of Physical Plant Equipment - Total</t>
  </si>
  <si>
    <t>Reconciling Items Non-Fundable, Unrestricted Operating Expenses - Operations And Maintenance Of Plant - Total</t>
  </si>
  <si>
    <t>Instructional Staff Benefits - Local Paid Benefits</t>
  </si>
  <si>
    <t>Fundable, Unrestricted Operating Expenses - Instructional Programs - 
Agriculture - Contact Hours</t>
  </si>
  <si>
    <t>Fundable, Unrestricted Operating Expenses - Instructional Programs - 
Architecture and Precision Production Trades - Contact Hours</t>
  </si>
  <si>
    <t>Fundable, Unrestricted Operating Expenses - Instructional Programs - 
Biology, Physical Sciences, and Science Technology - Contact Hours</t>
  </si>
  <si>
    <t>Fundable, Unrestricted Operating Expenses - Instructional Programs - 
Business Management, Marketing, and Administrative Services - Contact Hours</t>
  </si>
  <si>
    <t>Fundable, Unrestricted Operating Expenses - Instructional Programs - 
Career Pilot - Contact Hours</t>
  </si>
  <si>
    <t>Fundable, Unrestricted Operating Expenses - Instructional Programs - 
Communications - Contact Hours</t>
  </si>
  <si>
    <t>Fundable, Unrestricted Operating Expenses - Instructional Programs - 
Computer and Information Sciences - Contact Hours</t>
  </si>
  <si>
    <t>Fundable, Unrestricted Operating Expenses - Instructional Programs - 
Construction Trades - Contact Hours</t>
  </si>
  <si>
    <t>Fundable, Unrestricted Operating Expenses - Instructional Programs - 
Consumer and Homemaking Education - Contact Hours</t>
  </si>
  <si>
    <t>Fundable, Unrestricted Operating Expenses - Instructional Programs - 
Engineering - Contact Hours</t>
  </si>
  <si>
    <t>Fundable, Unrestricted Operating Expenses - Instructional Programs - 
Engineering Related - Contact Hours</t>
  </si>
  <si>
    <t>Fundable, Unrestricted Operating Expenses - Instructional Programs - 
English Language, Lit, Philosophy, Humanities, &amp; Interdisciplinary - Contact Hours</t>
  </si>
  <si>
    <t>Fundable, Unrestricted Operating Expenses - Instructional Programs - 
Foreign Languages - Contact Hours</t>
  </si>
  <si>
    <t>Fundable, Unrestricted Operating Expenses - Instructional Programs - 
Health Occupations - Dental Assistants, Medical Lab, and Assoc. Degree Nursing - Contact Hours</t>
  </si>
  <si>
    <t>Fundable, Unrestricted Operating Expenses - Instructional Programs - 
Health Occupations - Dental Hygiene - Contact Hours</t>
  </si>
  <si>
    <t>Fundable, Unrestricted Operating Expenses - Instructional Programs - 
Health Occupations - Other - Contact Hours</t>
  </si>
  <si>
    <t>Fundable, Unrestricted Operating Expenses - Instructional Programs - 
Health Occupations - Respiratory Therapy - Contact Hours</t>
  </si>
  <si>
    <t>Fundable, Unrestricted Operating Expenses - Instructional Programs - 
Health Occupations - Vocational Nursing - Contact Hours</t>
  </si>
  <si>
    <t>Fundable, Unrestricted Operating Expenses - Instructional Programs - 
Mathematics - Contact Hours</t>
  </si>
  <si>
    <t>Fundable, Unrestricted Operating Expenses - Instructional Programs - 
Mechanics and Repairers - Automotive - Contact Hours</t>
  </si>
  <si>
    <t>Fundable, Unrestricted Operating Expenses - Instructional Programs - 
Mechanics and Repairers - Diesel, Aviation Mechanics, and Transportation Workers - Contact Hours</t>
  </si>
  <si>
    <t>Fundable, Unrestricted Operating Expenses - Instructional Programs - 
Mechanics and Repairers - Electronics - Contact Hours</t>
  </si>
  <si>
    <t>Fundable, Unrestricted Operating Expenses - Instructional Programs - 
Physical Education and Fitness - Contact Hours</t>
  </si>
  <si>
    <t>Fundable, Unrestricted Operating Expenses - Instructional Programs - 
Protective Services and Public Administration - Contact Hours</t>
  </si>
  <si>
    <t>Fundable, Unrestricted Operating Expenses - Instructional Programs - 
Psychology, Social Sciences, and History - Contact Hours</t>
  </si>
  <si>
    <t>Fundable, Unrestricted Operating Expenses - Instructional Programs - 
Visual and Performing Arts - Contact Hours</t>
  </si>
  <si>
    <t>Fundable, Unrestricted Operating Expenses - Instructional Programs - 
Developmental Education - Math - Contact Hours</t>
  </si>
  <si>
    <t>Fundable, Unrestricted Operating Expenses - Instructional Programs - 
Developmental Education - Reading/Writing - Contact Hours</t>
  </si>
  <si>
    <t>Fundable, Unrestricted Operating Expenses - Instructional Programs - 
Total - Contact Hours</t>
  </si>
  <si>
    <t>Fundable, Unrestricted Operating Expenses - Instructional Programs - 
Agriculture - Faculty Salaries</t>
  </si>
  <si>
    <t>Fundable, Unrestricted Operating Expenses - Instructional Programs - 
Architecture and Precision Production Trades - Faculty Salaries</t>
  </si>
  <si>
    <t>Fundable, Unrestricted Operating Expenses - Instructional Programs - 
Biology, Physical Sciences, and Science Technology - Faculty Salaries</t>
  </si>
  <si>
    <t>Fundable, Unrestricted Operating Expenses - Instructional Programs - 
Business Management, Marketing, and Administrative Services - Faculty Salaries</t>
  </si>
  <si>
    <t>Fundable, Unrestricted Operating Expenses - Instructional Programs - 
Career Pilot - Faculty Salaries</t>
  </si>
  <si>
    <t>Fundable, Unrestricted Operating Expenses - Instructional Programs - 
Communications - Faculty Salaries</t>
  </si>
  <si>
    <t>Fundable, Unrestricted Operating Expenses - Instructional Programs - 
Computer and Information Sciences - Faculty Salaries</t>
  </si>
  <si>
    <t>Fundable, Unrestricted Operating Expenses - Instructional Programs - 
Construction Trades - Faculty Salaries</t>
  </si>
  <si>
    <t>Fundable, Unrestricted Operating Expenses - Instructional Programs - 
Consumer and Homemaking Education - Faculty Salaries</t>
  </si>
  <si>
    <t>Fundable, Unrestricted Operating Expenses - Instructional Programs - 
Engineering - Faculty Salaries</t>
  </si>
  <si>
    <t>Fundable, Unrestricted Operating Expenses - Instructional Programs - 
Engineering Related - Faculty Salaries</t>
  </si>
  <si>
    <t>Fundable, Unrestricted Operating Expenses - Instructional Programs - 
English Language, Lit, Philosophy, Humanities, &amp; Interdisciplinary - Faculty Salaries</t>
  </si>
  <si>
    <t>Fundable, Unrestricted Operating Expenses - Instructional Programs - 
Foreign Languages - Faculty Salaries</t>
  </si>
  <si>
    <t>Fundable, Unrestricted Operating Expenses - Instructional Programs - 
Health Occupations - Dental Assistants, Medical Lab, and Assoc. Degree Nursing - Faculty Salaries</t>
  </si>
  <si>
    <t>Fundable, Unrestricted Operating Expenses - Instructional Programs - 
Health Occupations - Dental Hygiene - Faculty Salaries</t>
  </si>
  <si>
    <t>Fundable, Unrestricted Operating Expenses - Instructional Programs - 
Health Occupations - Other - Faculty Salaries</t>
  </si>
  <si>
    <t>Fundable, Unrestricted Operating Expenses - Instructional Programs - 
Health Occupations - Respiratory Therapy - Faculty Salaries</t>
  </si>
  <si>
    <t>Fundable, Unrestricted Operating Expenses - Instructional Programs - 
Health Occupations - Vocational Nursing - Faculty Salaries</t>
  </si>
  <si>
    <t>Fundable, Unrestricted Operating Expenses - Instructional Programs - 
Mathematics - Faculty Salaries</t>
  </si>
  <si>
    <t>Fundable, Unrestricted Operating Expenses - Instructional Programs - 
Mechanics and Repairers - Automotive - Faculty Salaries</t>
  </si>
  <si>
    <t>Fundable, Unrestricted Operating Expenses - Instructional Programs - 
Mechanics and Repairers - Diesel, Aviation Mechanics, and Transportation Workers - Faculty Salaries</t>
  </si>
  <si>
    <t>Fundable, Unrestricted Operating Expenses - Instructional Programs - 
Mechanics and Repairers - Electronics - Faculty Salaries</t>
  </si>
  <si>
    <t>Fundable, Unrestricted Operating Expenses - Instructional Programs - 
Physical Education and Fitness - Faculty Salaries</t>
  </si>
  <si>
    <t>Fundable, Unrestricted Operating Expenses - Instructional Programs - 
Protective Services and Public Administration - Faculty Salaries</t>
  </si>
  <si>
    <t>Fundable, Unrestricted Operating Expenses - Instructional Programs - 
Psychology, Social Sciences, and History - Faculty Salaries</t>
  </si>
  <si>
    <t>Fundable, Unrestricted Operating Expenses - Instructional Programs - 
Visual and Performing Arts - Faculty Salaries</t>
  </si>
  <si>
    <t>Fundable, Unrestricted Operating Expenses - Instructional Programs - 
Developmental Education - Math - Faculty Salaries</t>
  </si>
  <si>
    <t>Fundable, Unrestricted Operating Expenses - Instructional Programs - 
Developmental Education - Reading/Writing - Faculty Salaries</t>
  </si>
  <si>
    <t>Fundable, Unrestricted Operating Expenses - Instructional Programs - 
Total - Faculty Salaries</t>
  </si>
  <si>
    <t>Fundable, Unrestricted Operating Expenses - Instructional Programs - 
Agriculture - Other Salaries and Wages</t>
  </si>
  <si>
    <t>Fundable, Unrestricted Operating Expenses - Instructional Programs - 
Architecture and Precision Production Trades - Other Salaries and Wages</t>
  </si>
  <si>
    <t>Fundable, Unrestricted Operating Expenses - Instructional Programs - 
Biology, Physical Sciences, and Science Technology - Other Salaries and Wages</t>
  </si>
  <si>
    <t>Fundable, Unrestricted Operating Expenses - Instructional Programs - 
Business Management, Marketing, and Administrative Services - Other Salaries and Wages</t>
  </si>
  <si>
    <t>Fundable, Unrestricted Operating Expenses - Instructional Programs - 
Career Pilot - Other Salaries and Wages</t>
  </si>
  <si>
    <t>Fundable, Unrestricted Operating Expenses - Instructional Programs - 
Communications - Other Salaries and Wages</t>
  </si>
  <si>
    <t>Fundable, Unrestricted Operating Expenses - Instructional Programs - 
Computer and Information Sciences - Other Salaries and Wages</t>
  </si>
  <si>
    <t>Fundable, Unrestricted Operating Expenses - Instructional Programs - 
Construction Trades - Other Salaries and Wages</t>
  </si>
  <si>
    <t>Fundable, Unrestricted Operating Expenses - Instructional Programs - 
Consumer and Homemaking Education - Other Salaries and Wages</t>
  </si>
  <si>
    <t>Fundable, Unrestricted Operating Expenses - Instructional Programs - 
Engineering - Other Salaries and Wages</t>
  </si>
  <si>
    <t>Fundable, Unrestricted Operating Expenses - Instructional Programs - 
Engineering Related - Other Salaries and Wages</t>
  </si>
  <si>
    <t>Fundable, Unrestricted Operating Expenses - Instructional Programs - 
English Language, Lit, Philosophy, Humanities, &amp; Interdisciplinary - Other Salaries and Wages</t>
  </si>
  <si>
    <t>Fundable, Unrestricted Operating Expenses - Instructional Programs - 
Foreign Languages - Other Salaries and Wages</t>
  </si>
  <si>
    <t>Fundable, Unrestricted Operating Expenses - Instructional Programs - 
Health Occupations - Dental Assistants, Medical Lab, and Assoc. Degree Nursing - Other Salaries and Wages</t>
  </si>
  <si>
    <t>Fundable, Unrestricted Operating Expenses - Instructional Programs - 
Health Occupations - Dental Hygiene - Other Salaries and Wages</t>
  </si>
  <si>
    <t>Fundable, Unrestricted Operating Expenses - Instructional Programs - 
Health Occupations - Other - Other Salaries and Wages</t>
  </si>
  <si>
    <t>Fundable, Unrestricted Operating Expenses - Instructional Programs - 
Health Occupations - Respiratory Therapy - Other Salaries and Wages</t>
  </si>
  <si>
    <t>Fundable, Unrestricted Operating Expenses - Instructional Programs - 
Health Occupations - Vocational Nursing - Other Salaries and Wages</t>
  </si>
  <si>
    <t>Fundable, Unrestricted Operating Expenses - Instructional Programs - 
Mathematics - Other Salaries and Wages</t>
  </si>
  <si>
    <t>Fundable, Unrestricted Operating Expenses - Instructional Programs - 
Mechanics and Repairers - Automotive - Other Salaries and Wages</t>
  </si>
  <si>
    <t>Fundable, Unrestricted Operating Expenses - Instructional Programs - 
Mechanics and Repairers - Diesel, Aviation Mechanics, and Transportation Workers - Other Salaries and Wages</t>
  </si>
  <si>
    <t>Fundable, Unrestricted Operating Expenses - Instructional Programs - 
Mechanics and Repairers - Electronics - Other Salaries and Wages</t>
  </si>
  <si>
    <t>Fundable, Unrestricted Operating Expenses - Instructional Programs - 
Physical Education and Fitness - Other Salaries and Wages</t>
  </si>
  <si>
    <t>Fundable, Unrestricted Operating Expenses - Instructional Programs - 
Protective Services and Public Administration - Other Salaries and Wages</t>
  </si>
  <si>
    <t>Fundable, Unrestricted Operating Expenses - Instructional Programs - 
Psychology, Social Sciences, and History - Other Salaries and Wages</t>
  </si>
  <si>
    <t>Fundable, Unrestricted Operating Expenses - Instructional Programs - 
Visual and Performing Arts - Other Salaries and Wages</t>
  </si>
  <si>
    <t>Fundable, Unrestricted Operating Expenses - Instructional Programs - 
Developmental Education - Math - Other Salaries and Wages</t>
  </si>
  <si>
    <t>Fundable, Unrestricted Operating Expenses - Instructional Programs - 
Developmental Education - Reading/Writing - Other Salaries and Wages</t>
  </si>
  <si>
    <t>Fundable, Unrestricted Operating Expenses - Instructional Programs - 
Total - Other Salaries and Wages</t>
  </si>
  <si>
    <t>Fundable, Unrestricted Operating Expenses - Instructional Programs - 
Agriculture - Staff Benefits</t>
  </si>
  <si>
    <t>Fundable, Unrestricted Operating Expenses - Instructional Programs - 
Architecture and Precision Production Trades - Staff Benefits</t>
  </si>
  <si>
    <t>Fundable, Unrestricted Operating Expenses - Instructional Programs - 
Biology, Physical Sciences, and Science Technology - Staff Benefits</t>
  </si>
  <si>
    <t>Fundable, Unrestricted Operating Expenses - Instructional Programs - 
Business Management, Marketing, and Administrative Services - Staff Benefits</t>
  </si>
  <si>
    <t>Fundable, Unrestricted Operating Expenses - Instructional Programs - 
Career Pilot - Staff Benefits</t>
  </si>
  <si>
    <t>Fundable, Unrestricted Operating Expenses - Instructional Programs - 
Communications - Staff Benefits</t>
  </si>
  <si>
    <t>Fundable, Unrestricted Operating Expenses - Instructional Programs - 
Computer and Information Sciences - Staff Benefits</t>
  </si>
  <si>
    <t>Fundable, Unrestricted Operating Expenses - Instructional Programs - 
Construction Trades - Staff Benefits</t>
  </si>
  <si>
    <t>Fundable, Unrestricted Operating Expenses - Instructional Programs - 
Consumer and Homemaking Education - Staff Benefits</t>
  </si>
  <si>
    <t>Fundable, Unrestricted Operating Expenses - Instructional Programs - 
Engineering - Staff Benefits</t>
  </si>
  <si>
    <t>Fundable, Unrestricted Operating Expenses - Instructional Programs - 
Engineering Related - Staff Benefits</t>
  </si>
  <si>
    <t>Fundable, Unrestricted Operating Expenses - Instructional Programs - 
English Language, Lit, Philosophy, Humanities, &amp; Interdisciplinary - Staff Benefits</t>
  </si>
  <si>
    <t>Fundable, Unrestricted Operating Expenses - Instructional Programs - 
Foreign Languages - Staff Benefits</t>
  </si>
  <si>
    <t>Fundable, Unrestricted Operating Expenses - Instructional Programs - 
Health Occupations - Dental Assistants, Medical Lab, and Assoc. Degree Nursing - Staff Benefits</t>
  </si>
  <si>
    <t>Fundable, Unrestricted Operating Expenses - Instructional Programs - 
Health Occupations - Dental Hygiene - Staff Benefits</t>
  </si>
  <si>
    <t>Fundable, Unrestricted Operating Expenses - Instructional Programs - 
Health Occupations - Other - Staff Benefits</t>
  </si>
  <si>
    <t>Fundable, Unrestricted Operating Expenses - Instructional Programs - 
Health Occupations - Respiratory Therapy - Staff Benefits</t>
  </si>
  <si>
    <t>Fundable, Unrestricted Operating Expenses - Instructional Programs - 
Health Occupations - Vocational Nursing - Staff Benefits</t>
  </si>
  <si>
    <t>Fundable, Unrestricted Operating Expenses - Instructional Programs - 
Mathematics - Staff Benefits</t>
  </si>
  <si>
    <t>Fundable, Unrestricted Operating Expenses - Instructional Programs - 
Mechanics and Repairers - Automotive - Staff Benefits</t>
  </si>
  <si>
    <t>Fundable, Unrestricted Operating Expenses - Instructional Programs - 
Mechanics and Repairers - Diesel, Aviation Mechanics, and Transportation Workers - Staff Benefits</t>
  </si>
  <si>
    <t>Fundable, Unrestricted Operating Expenses - Instructional Programs - 
Mechanics and Repairers - Electronics - Staff Benefits</t>
  </si>
  <si>
    <t>Fundable, Unrestricted Operating Expenses - Instructional Programs - 
Physical Education and Fitness - Staff Benefits</t>
  </si>
  <si>
    <t>Fundable, Unrestricted Operating Expenses - Instructional Programs - 
Protective Services and Public Administration - Staff Benefits</t>
  </si>
  <si>
    <t>Fundable, Unrestricted Operating Expenses - Instructional Programs - 
Psychology, Social Sciences, and History - Staff Benefits</t>
  </si>
  <si>
    <t>Fundable, Unrestricted Operating Expenses - Instructional Programs - 
Visual and Performing Arts - Staff Benefits</t>
  </si>
  <si>
    <t>Fundable, Unrestricted Operating Expenses - Instructional Programs - 
Developmental Education - Math - Staff Benefits</t>
  </si>
  <si>
    <t>Fundable, Unrestricted Operating Expenses - Instructional Programs - 
Developmental Education - Reading/Writing - Staff Benefits</t>
  </si>
  <si>
    <t>Fundable, Unrestricted Operating Expenses - Instructional Programs - 
Total - Staff Benefits</t>
  </si>
  <si>
    <t>Fundable, Unrestricted Operating Expenses - Instructional Programs - 
Agriculture - Other Operating Expense</t>
  </si>
  <si>
    <t>Fundable, Unrestricted Operating Expenses - Instructional Programs - 
Architecture and Precision Production Trades - Other Operating Expense</t>
  </si>
  <si>
    <t>Fundable, Unrestricted Operating Expenses - Instructional Programs - 
Biology, Physical Sciences, and Science Technology - Other Operating Expense</t>
  </si>
  <si>
    <t>Fundable, Unrestricted Operating Expenses - Instructional Programs - 
Business Management, Marketing, and Administrative Services - Other Operating Expense</t>
  </si>
  <si>
    <t>Fundable, Unrestricted Operating Expenses - Instructional Programs - 
Career Pilot - Other Operating Expense</t>
  </si>
  <si>
    <t>Fundable, Unrestricted Operating Expenses - Instructional Programs - 
Communications - Other Operating Expense</t>
  </si>
  <si>
    <t>Fundable, Unrestricted Operating Expenses - Instructional Programs - 
Computer and Information Sciences - Other Operating Expense</t>
  </si>
  <si>
    <t>Fundable, Unrestricted Operating Expenses - Instructional Programs - 
Construction Trades - Other Operating Expense</t>
  </si>
  <si>
    <t>Fundable, Unrestricted Operating Expenses - Instructional Programs - 
Consumer and Homemaking Education - Other Operating Expense</t>
  </si>
  <si>
    <t>Fundable, Unrestricted Operating Expenses - Instructional Programs - 
Engineering - Other Operating Expense</t>
  </si>
  <si>
    <t>Fundable, Unrestricted Operating Expenses - Instructional Programs - 
Engineering Related - Other Operating Expense</t>
  </si>
  <si>
    <t>Fundable, Unrestricted Operating Expenses - Instructional Programs - 
English Language, Lit, Philosophy, Humanities, &amp; Interdisciplinary - Other Operating Expense</t>
  </si>
  <si>
    <t>Fundable, Unrestricted Operating Expenses - Instructional Programs - 
Foreign Languages - Other Operating Expense</t>
  </si>
  <si>
    <t>Fundable, Unrestricted Operating Expenses - Instructional Programs - 
Health Occupations - Dental Assistants, Medical Lab, and Assoc. Degree Nursing - Other Operating Expense</t>
  </si>
  <si>
    <t>Fundable, Unrestricted Operating Expenses - Instructional Programs - 
Health Occupations - Dental Hygiene - Other Operating Expense</t>
  </si>
  <si>
    <t>Fundable, Unrestricted Operating Expenses - Instructional Programs - 
Health Occupations - Other - Other Operating Expense</t>
  </si>
  <si>
    <t>Fundable, Unrestricted Operating Expenses - Instructional Programs - 
Health Occupations - Respiratory Therapy - Other Operating Expense</t>
  </si>
  <si>
    <t>Fundable, Unrestricted Operating Expenses - Instructional Programs - 
Health Occupations - Vocational Nursing - Other Operating Expense</t>
  </si>
  <si>
    <t>Fundable, Unrestricted Operating Expenses - Instructional Programs - 
Mathematics - Other Operating Expense</t>
  </si>
  <si>
    <t>Fundable, Unrestricted Operating Expenses - Instructional Programs - 
Mechanics and Repairers - Automotive - Other Operating Expense</t>
  </si>
  <si>
    <t>Fundable, Unrestricted Operating Expenses - Instructional Programs - 
Mechanics and Repairers - Diesel, Aviation Mechanics, and Transportation Workers - Other Operating Expense</t>
  </si>
  <si>
    <t>Fundable, Unrestricted Operating Expenses - Instructional Programs - 
Mechanics and Repairers - Electronics - Other Operating Expense</t>
  </si>
  <si>
    <t>Fundable, Unrestricted Operating Expenses - Instructional Programs - 
Physical Education and Fitness - Other Operating Expense</t>
  </si>
  <si>
    <t>Fundable, Unrestricted Operating Expenses - Instructional Programs - 
Protective Services and Public Administration - Other Operating Expense</t>
  </si>
  <si>
    <t>Fundable, Unrestricted Operating Expenses - Instructional Programs - 
Psychology, Social Sciences, and History - Other Operating Expense</t>
  </si>
  <si>
    <t>Fundable, Unrestricted Operating Expenses - Instructional Programs - 
Visual and Performing Arts - Other Operating Expense</t>
  </si>
  <si>
    <t>Fundable, Unrestricted Operating Expenses - Instructional Programs - 
Developmental Education - Math - Other Operating Expense</t>
  </si>
  <si>
    <t>Fundable, Unrestricted Operating Expenses - Instructional Programs - 
Developmental Education - Reading/Writing - Other Operating Expense</t>
  </si>
  <si>
    <t>Fundable, Unrestricted Operating Expenses - Instructional Programs - 
Total - Other Operating Expense</t>
  </si>
  <si>
    <t>Fundable, Unrestricted Operating Expenses - Instructional Programs - 
Agriculture - Departmental Operating Expense</t>
  </si>
  <si>
    <t>Fundable, Unrestricted Operating Expenses - Instructional Programs - 
Architecture and Precision Production Trades - Departmental Operating Expense</t>
  </si>
  <si>
    <t>Fundable, Unrestricted Operating Expenses - Instructional Programs - 
Biology, Physical Sciences, and Science Technology - Departmental Operating Expense</t>
  </si>
  <si>
    <t>Fundable, Unrestricted Operating Expenses - Instructional Programs - 
Business Management, Marketing, and Administrative Services - Departmental Operating Expense</t>
  </si>
  <si>
    <t>Fundable, Unrestricted Operating Expenses - Instructional Programs - 
Career Pilot - Departmental Operating Expense</t>
  </si>
  <si>
    <t>Fundable, Unrestricted Operating Expenses - Instructional Programs - 
Communications - Departmental Operating Expense</t>
  </si>
  <si>
    <t>Fundable, Unrestricted Operating Expenses - Instructional Programs - 
Computer and Information Sciences - Departmental Operating Expense</t>
  </si>
  <si>
    <t>Fundable, Unrestricted Operating Expenses - Instructional Programs - 
Construction Trades - Departmental Operating Expense</t>
  </si>
  <si>
    <t>Fundable, Unrestricted Operating Expenses - Instructional Programs - 
Consumer and Homemaking Education - Departmental Operating Expense</t>
  </si>
  <si>
    <t>Fundable, Unrestricted Operating Expenses - Instructional Programs - 
Engineering - Departmental Operating Expense</t>
  </si>
  <si>
    <t>Fundable, Unrestricted Operating Expenses - Instructional Programs - 
Engineering Related - Departmental Operating Expense</t>
  </si>
  <si>
    <t>Fundable, Unrestricted Operating Expenses - Instructional Programs - 
English Language, Lit, Philosophy, Humanities, &amp; Interdisciplinary - Departmental Operating Expense</t>
  </si>
  <si>
    <t>Fundable, Unrestricted Operating Expenses - Instructional Programs - 
Foreign Languages - Departmental Operating Expense</t>
  </si>
  <si>
    <t>Fundable, Unrestricted Operating Expenses - Instructional Programs - 
Health Occupations - Dental Assistants, Medical Lab, and Assoc. Degree Nursing - Departmental Operating Expense</t>
  </si>
  <si>
    <t>Fundable, Unrestricted Operating Expenses - Instructional Programs - 
Health Occupations - Dental Hygiene - Departmental Operating Expense</t>
  </si>
  <si>
    <t>Fundable, Unrestricted Operating Expenses - Instructional Programs - 
Health Occupations - Other - Departmental Operating Expense</t>
  </si>
  <si>
    <t>Fundable, Unrestricted Operating Expenses - Instructional Programs - 
Health Occupations - Respiratory Therapy - Departmental Operating Expense</t>
  </si>
  <si>
    <t>Fundable, Unrestricted Operating Expenses - Instructional Programs - 
Health Occupations - Vocational Nursing - Departmental Operating Expense</t>
  </si>
  <si>
    <t>Fundable, Unrestricted Operating Expenses - Instructional Programs - 
Mathematics - Departmental Operating Expense</t>
  </si>
  <si>
    <t>Fundable, Unrestricted Operating Expenses - Instructional Programs - 
Mechanics and Repairers - Automotive - Departmental Operating Expense</t>
  </si>
  <si>
    <t>Fundable, Unrestricted Operating Expenses - Instructional Programs - 
Mechanics and Repairers - Diesel, Aviation Mechanics, and Transportation Workers - Departmental Operating Expense</t>
  </si>
  <si>
    <t>Fundable, Unrestricted Operating Expenses - Instructional Programs - 
Mechanics and Repairers - Electronics - Departmental Operating Expense</t>
  </si>
  <si>
    <t>Fundable, Unrestricted Operating Expenses - Instructional Programs - 
Physical Education and Fitness - Departmental Operating Expense</t>
  </si>
  <si>
    <t>Fundable, Unrestricted Operating Expenses - Instructional Programs - 
Protective Services and Public Administration - Departmental Operating Expense</t>
  </si>
  <si>
    <t>Fundable, Unrestricted Operating Expenses - Instructional Programs - 
Psychology, Social Sciences, and History - Departmental Operating Expense</t>
  </si>
  <si>
    <t>Fundable, Unrestricted Operating Expenses - Instructional Programs - 
Visual and Performing Arts - Departmental Operating Expense</t>
  </si>
  <si>
    <t>Fundable, Unrestricted Operating Expenses - Instructional Programs - 
Developmental Education - Math - Departmental Operating Expense</t>
  </si>
  <si>
    <t>Fundable, Unrestricted Operating Expenses - Instructional Programs - 
Developmental Education - Reading/Writing - Departmental Operating Expense</t>
  </si>
  <si>
    <t>Fundable, Unrestricted Operating Expenses - Instructional Programs - 
Total - Departmental Operating Expense</t>
  </si>
  <si>
    <t>Fundable, Unrestricted Operating Expenses - Instructional Programs - 
Agriculture - Total</t>
  </si>
  <si>
    <t>Fundable, Unrestricted Operating Expenses - Instructional Programs - 
Architecture and Precision Production Trades - Total</t>
  </si>
  <si>
    <t>Fundable, Unrestricted Operating Expenses - Instructional Programs - 
Biology, Physical Sciences, and Science Technology - Total</t>
  </si>
  <si>
    <t>Fundable, Unrestricted Operating Expenses - Instructional Programs - 
Business Management, Marketing, and Administrative Services - Total</t>
  </si>
  <si>
    <t>Fundable, Unrestricted Operating Expenses - Instructional Programs - 
Career Pilot - Total</t>
  </si>
  <si>
    <t>Fundable, Unrestricted Operating Expenses - Instructional Programs - 
Communications - Total</t>
  </si>
  <si>
    <t>Fundable, Unrestricted Operating Expenses - Instructional Programs - 
Computer and Information Sciences - Total</t>
  </si>
  <si>
    <t>Fundable, Unrestricted Operating Expenses - Instructional Programs - 
Construction Trades - Total</t>
  </si>
  <si>
    <t>Fundable, Unrestricted Operating Expenses - Instructional Programs - 
Consumer and Homemaking Education - Total</t>
  </si>
  <si>
    <t>Fundable, Unrestricted Operating Expenses - Instructional Programs - 
Engineering - Total</t>
  </si>
  <si>
    <t>Fundable, Unrestricted Operating Expenses - Instructional Programs - 
Engineering Related - Total</t>
  </si>
  <si>
    <t>Fundable, Unrestricted Operating Expenses - Instructional Programs - 
English Language, Lit, Philosophy, Humanities, &amp; Interdisciplinary - Total</t>
  </si>
  <si>
    <t>Fundable, Unrestricted Operating Expenses - Instructional Programs - 
Foreign Languages - Total</t>
  </si>
  <si>
    <t>Fundable, Unrestricted Operating Expenses - Instructional Programs - 
Health Occupations - Dental Assistants, Medical Lab, and Assoc. Degree Nursing - Total</t>
  </si>
  <si>
    <t>Fundable, Unrestricted Operating Expenses - Instructional Programs - 
Health Occupations - Dental Hygiene - Total</t>
  </si>
  <si>
    <t>Fundable, Unrestricted Operating Expenses - Instructional Programs - 
Health Occupations - Other - Total</t>
  </si>
  <si>
    <t>Fundable, Unrestricted Operating Expenses - Instructional Programs - 
Health Occupations - Respiratory Therapy - Total</t>
  </si>
  <si>
    <t>Fundable, Unrestricted Operating Expenses - Instructional Programs - 
Health Occupations - Vocational Nursing - Total</t>
  </si>
  <si>
    <t>Fundable, Unrestricted Operating Expenses - Instructional Programs - 
Mathematics - Total</t>
  </si>
  <si>
    <t>Fundable, Unrestricted Operating Expenses - Instructional Programs - 
Mechanics and Repairers - Automotive - Total</t>
  </si>
  <si>
    <t>Fundable, Unrestricted Operating Expenses - Instructional Programs - 
Mechanics and Repairers - Diesel, Aviation Mechanics, and Transportation Workers - Total</t>
  </si>
  <si>
    <t>Fundable, Unrestricted Operating Expenses - Instructional Programs - 
Mechanics and Repairers - Electronics - Total</t>
  </si>
  <si>
    <t>Fundable, Unrestricted Operating Expenses - Instructional Programs - 
Physical Education and Fitness - Total</t>
  </si>
  <si>
    <t>Fundable, Unrestricted Operating Expenses - Instructional Programs - 
Protective Services and Public Administration - Total</t>
  </si>
  <si>
    <t>Fundable, Unrestricted Operating Expenses - Instructional Programs - 
Psychology, Social Sciences, and History - Total</t>
  </si>
  <si>
    <t>Fundable, Unrestricted Operating Expenses - Instructional Programs - 
Visual and Performing Arts - Total</t>
  </si>
  <si>
    <t>Fundable, Unrestricted Operating Expenses - Instructional Programs - 
Developmental Education - Math - Total</t>
  </si>
  <si>
    <t>Fundable, Unrestricted Operating Expenses - Instructional Programs - 
Developmental Education - Reading/Writing - Total</t>
  </si>
  <si>
    <t>Fundable, Unrestricted Operating Expenses - Instructional Programs - 
Total - Total</t>
  </si>
  <si>
    <t>Depreciation Expense - Equipment and Furniture - AFR Schedule B</t>
  </si>
  <si>
    <t>Reconciliation Difference</t>
  </si>
  <si>
    <t>Total Unrestricted Educational Activities - AFR Schedule B</t>
  </si>
  <si>
    <t>Website Field Name</t>
  </si>
  <si>
    <t>Section and Part</t>
  </si>
  <si>
    <t>Model Address</t>
  </si>
  <si>
    <t>D104</t>
  </si>
  <si>
    <t>D98</t>
  </si>
  <si>
    <t>D99</t>
  </si>
  <si>
    <t>D100</t>
  </si>
  <si>
    <t>D101</t>
  </si>
  <si>
    <t>D102</t>
  </si>
  <si>
    <t>D103</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</si>
  <si>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</si>
  <si>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</si>
  <si>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</si>
  <si>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</si>
  <si>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</si>
  <si>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</si>
  <si>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</si>
  <si>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</si>
  <si>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</si>
  <si>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</si>
  <si>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</si>
  <si>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</si>
  <si>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</si>
  <si>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</si>
  <si>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</si>
  <si>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</si>
  <si>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</si>
  <si>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</si>
  <si>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</si>
  <si>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</si>
  <si>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</si>
  <si>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</si>
  <si>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</si>
  <si>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</si>
  <si>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</si>
  <si>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</si>
  <si>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C62</t>
  </si>
  <si>
    <t>C63</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</si>
  <si>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</si>
  <si>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</si>
  <si>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</si>
  <si>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</si>
  <si>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</si>
  <si>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</si>
  <si>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</si>
  <si>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</si>
  <si>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</si>
  <si>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</si>
  <si>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</si>
  <si>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</si>
  <si>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</si>
  <si>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</si>
  <si>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</si>
  <si>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</si>
  <si>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</si>
  <si>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</si>
  <si>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</si>
  <si>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</si>
  <si>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</si>
  <si>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</si>
  <si>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</si>
  <si>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</si>
  <si>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</si>
  <si>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</si>
  <si>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</si>
  <si>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</si>
  <si>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H36</t>
  </si>
  <si>
    <t>H37</t>
  </si>
  <si>
    <t>H38</t>
  </si>
  <si>
    <t>H39</t>
  </si>
  <si>
    <t>H40</t>
  </si>
  <si>
    <t>H41</t>
  </si>
  <si>
    <t>H42</t>
  </si>
  <si>
    <t>H43</t>
  </si>
  <si>
    <t>H44</t>
  </si>
  <si>
    <t>H45</t>
  </si>
  <si>
    <t>H46</t>
  </si>
  <si>
    <t>H47</t>
  </si>
  <si>
    <t>H48</t>
  </si>
  <si>
    <t>H49</t>
  </si>
  <si>
    <t>H50</t>
  </si>
  <si>
    <t>H51</t>
  </si>
  <si>
    <t>H52</t>
  </si>
  <si>
    <t>H53</t>
  </si>
  <si>
    <t>H54</t>
  </si>
  <si>
    <t>H55</t>
  </si>
  <si>
    <t>H56</t>
  </si>
  <si>
    <t>H57</t>
  </si>
  <si>
    <t>H58</t>
  </si>
  <si>
    <t>H59</t>
  </si>
  <si>
    <t>H60</t>
  </si>
  <si>
    <t>H61</t>
  </si>
  <si>
    <t>H62</t>
  </si>
  <si>
    <t>H63</t>
  </si>
  <si>
    <t>I36</t>
  </si>
  <si>
    <t>I37</t>
  </si>
  <si>
    <t>I38</t>
  </si>
  <si>
    <t>I39</t>
  </si>
  <si>
    <t>I40</t>
  </si>
  <si>
    <t>I41</t>
  </si>
  <si>
    <t>I42</t>
  </si>
  <si>
    <t>I43</t>
  </si>
  <si>
    <t>I44</t>
  </si>
  <si>
    <t>I45</t>
  </si>
  <si>
    <t>I46</t>
  </si>
  <si>
    <t>I47</t>
  </si>
  <si>
    <t>I48</t>
  </si>
  <si>
    <t>I49</t>
  </si>
  <si>
    <t>I50</t>
  </si>
  <si>
    <t>I51</t>
  </si>
  <si>
    <t>I52</t>
  </si>
  <si>
    <t>I53</t>
  </si>
  <si>
    <t>I54</t>
  </si>
  <si>
    <t>I55</t>
  </si>
  <si>
    <t>I56</t>
  </si>
  <si>
    <t>I57</t>
  </si>
  <si>
    <t>I58</t>
  </si>
  <si>
    <t>I59</t>
  </si>
  <si>
    <t>I60</t>
  </si>
  <si>
    <t>I61</t>
  </si>
  <si>
    <t>I62</t>
  </si>
  <si>
    <t>I63</t>
  </si>
  <si>
    <t>I64</t>
  </si>
  <si>
    <t>G36</t>
  </si>
  <si>
    <t>G37</t>
  </si>
  <si>
    <t>G38</t>
  </si>
  <si>
    <t>G39</t>
  </si>
  <si>
    <t>G40</t>
  </si>
  <si>
    <t>G41</t>
  </si>
  <si>
    <t>G42</t>
  </si>
  <si>
    <t>G43</t>
  </si>
  <si>
    <t>G44</t>
  </si>
  <si>
    <t>G45</t>
  </si>
  <si>
    <t>G46</t>
  </si>
  <si>
    <t>G47</t>
  </si>
  <si>
    <t>G48</t>
  </si>
  <si>
    <t>G49</t>
  </si>
  <si>
    <t>G50</t>
  </si>
  <si>
    <t>G51</t>
  </si>
  <si>
    <t>G52</t>
  </si>
  <si>
    <t>G53</t>
  </si>
  <si>
    <t>G54</t>
  </si>
  <si>
    <t>G55</t>
  </si>
  <si>
    <t>G56</t>
  </si>
  <si>
    <t>G57</t>
  </si>
  <si>
    <t>G58</t>
  </si>
  <si>
    <t>G59</t>
  </si>
  <si>
    <t>G60</t>
  </si>
  <si>
    <t>G61</t>
  </si>
  <si>
    <t>G62</t>
  </si>
  <si>
    <t>G63</t>
  </si>
  <si>
    <t>D36</t>
  </si>
  <si>
    <t>D37</t>
  </si>
  <si>
    <t>D38</t>
  </si>
  <si>
    <t>D39</t>
  </si>
  <si>
    <t>D40</t>
  </si>
  <si>
    <t>D41</t>
  </si>
  <si>
    <t>D42</t>
  </si>
  <si>
    <t>D43</t>
  </si>
  <si>
    <t>D44</t>
  </si>
  <si>
    <t>D45</t>
  </si>
  <si>
    <t>D46</t>
  </si>
  <si>
    <t>D47</t>
  </si>
  <si>
    <t>D48</t>
  </si>
  <si>
    <t>D49</t>
  </si>
  <si>
    <t>D50</t>
  </si>
  <si>
    <t>D51</t>
  </si>
  <si>
    <t>D52</t>
  </si>
  <si>
    <t>D53</t>
  </si>
  <si>
    <t>D54</t>
  </si>
  <si>
    <t>D55</t>
  </si>
  <si>
    <t>D56</t>
  </si>
  <si>
    <t>D57</t>
  </si>
  <si>
    <t>D58</t>
  </si>
  <si>
    <t>D59</t>
  </si>
  <si>
    <t>D60</t>
  </si>
  <si>
    <t>D61</t>
  </si>
  <si>
    <t>D62</t>
  </si>
  <si>
    <t>D63</t>
  </si>
  <si>
    <t>Total Expenses</t>
  </si>
  <si>
    <t>Total Fundable Expenses</t>
  </si>
  <si>
    <t>Section 1 Comments</t>
  </si>
  <si>
    <t>Other Allocated Administrative Expenses - Institutional Support - Total</t>
  </si>
  <si>
    <t>Other Allocated Administrative Expenses - Student Services - Total</t>
  </si>
  <si>
    <t>Other Allocated Administrative Expenses - Equipment Depreciation - Total</t>
  </si>
  <si>
    <t>Other Fundable Staff Benefits Excluding Instructional (Section 1) and Physical Plant (Section 5) Local</t>
  </si>
  <si>
    <t>Other Allocated Administrative Expenses - Total</t>
  </si>
  <si>
    <t>Website Password</t>
  </si>
  <si>
    <t>Certification  Flag</t>
  </si>
  <si>
    <t>Certification Date</t>
  </si>
  <si>
    <t>Last Modification Date</t>
  </si>
  <si>
    <t>Staff Notes</t>
  </si>
  <si>
    <t>Institution Name</t>
  </si>
  <si>
    <t>Institution Contact</t>
  </si>
  <si>
    <t>Institution Contact Title</t>
  </si>
  <si>
    <t>Institution Contact Phone</t>
  </si>
  <si>
    <t>Institution Contact Email</t>
  </si>
  <si>
    <t>FICE Code</t>
  </si>
  <si>
    <t>Password Page</t>
  </si>
  <si>
    <t>Coded</t>
  </si>
  <si>
    <t>Unknown</t>
  </si>
  <si>
    <t>Contact Information</t>
  </si>
  <si>
    <t>Part A Section 1</t>
  </si>
  <si>
    <t>Part A Section 2</t>
  </si>
  <si>
    <t>Part A Section 3</t>
  </si>
  <si>
    <t>Part B Section 4</t>
  </si>
  <si>
    <t>Part B Section 5</t>
  </si>
  <si>
    <t>Part A</t>
  </si>
  <si>
    <t>Part B</t>
  </si>
  <si>
    <t>All</t>
  </si>
  <si>
    <t>Unrestricted - Educational Activities</t>
  </si>
  <si>
    <t>Instruction</t>
  </si>
  <si>
    <t>Public Service</t>
  </si>
  <si>
    <t>Operation and Maintenance of Plant</t>
  </si>
  <si>
    <t>Salaries and Wages</t>
  </si>
  <si>
    <t>Other Expenses</t>
  </si>
  <si>
    <t>Annual Financial Report - Schedule B</t>
  </si>
  <si>
    <t>Other</t>
  </si>
  <si>
    <t>Depreciation Expense - Equipment</t>
  </si>
  <si>
    <t xml:space="preserve">Each year, the Texas Higher Education Coordinating Board revises the Texas Public Community and Technical Colleges Expense per Contact Hour Rates used in its Instruction and Operations Formula Funding Recommendation to the Legislative Budget Board (LBB).  The Report of Fundable Operating Expenses (RFOE),  completed by the institutions, collects departmental operating expense, faculty salaries, institutional support, student services, academic support, research, scholarships and fellowships, equipment depreciation, and local benefits for input into this summary using Annual Financial Report (AFR) Schedule B, which ties to the AFR Statement of Revenues, Expenses and Changes in Net Assets (SRECNA). The RFOE subcategorizes the expenditures collected in Schedule B funded with unrestricted funds, totals them for all institutions, and divides them by the statewide contact hours to determine rates by discipline. </t>
  </si>
  <si>
    <t>College Of The Mainland</t>
  </si>
  <si>
    <t>TSTC-Harlingen</t>
  </si>
  <si>
    <t>TSTC-West Texas</t>
  </si>
  <si>
    <t>TSTC-Marshall</t>
  </si>
  <si>
    <t>TSTC-Waco</t>
  </si>
  <si>
    <t>Lamar-IOT</t>
  </si>
  <si>
    <t>Lamar-Orange</t>
  </si>
  <si>
    <t>Lamar-Port Arthur</t>
  </si>
  <si>
    <t>Institution</t>
  </si>
  <si>
    <t>Discipline</t>
  </si>
  <si>
    <t>All Disciplines</t>
  </si>
  <si>
    <t>Average (Excluding zero values)</t>
  </si>
  <si>
    <t>High</t>
  </si>
  <si>
    <t>Low (Excluding zero values)</t>
  </si>
  <si>
    <t>Median (Excluding zero values)</t>
  </si>
  <si>
    <t>Discipline Summary of Expense per Contact Hour by Institution</t>
  </si>
  <si>
    <t>AG</t>
  </si>
  <si>
    <t>ARCH</t>
  </si>
  <si>
    <t>AG - Agriculture</t>
  </si>
  <si>
    <t>ARCH - Architecture and Precision Production Trades</t>
  </si>
  <si>
    <t>BA - Business Management, Marketing, and Administrative Services</t>
  </si>
  <si>
    <t>SCI - Biology, Physical Sciences, and Science Technology</t>
  </si>
  <si>
    <t>CP - Career Pilot</t>
  </si>
  <si>
    <t>COMM - Communications</t>
  </si>
  <si>
    <t>CS - Computer and Information Sciences</t>
  </si>
  <si>
    <t>CNSTR - Construction Trades</t>
  </si>
  <si>
    <t>HE - Consumer and Homemaking Education</t>
  </si>
  <si>
    <t>ENG - Engineering</t>
  </si>
  <si>
    <t>LA - English Language, Lit, Philosophy, Humanities, &amp; Interdisciplinary</t>
  </si>
  <si>
    <t>FL - Foreign Languages</t>
  </si>
  <si>
    <t>HODA - Health Occupations - Dental Assistants, Medical Lab, and Assoc. Degree Nursing</t>
  </si>
  <si>
    <t>HODH - Health Occupations - Dental Hygiene</t>
  </si>
  <si>
    <t>HOO - Health Occupations - Other</t>
  </si>
  <si>
    <t>HORT - Health Occupations - Respiratory Therapy</t>
  </si>
  <si>
    <t>NUR - Health Occupations - Vocational Nursing</t>
  </si>
  <si>
    <t>MATH - Mathematics</t>
  </si>
  <si>
    <t>AUTO - Mechanics and Repairers - Automotive</t>
  </si>
  <si>
    <t>MECH - Mechanics and Repairers - Diesel, Aviation Mechanics, and Transportation Workers</t>
  </si>
  <si>
    <t>ELECT - Mechanics and Repairers - Electronics</t>
  </si>
  <si>
    <t>PE - Physical Education and Fitness</t>
  </si>
  <si>
    <t>PA - Protective Services and Public Administration</t>
  </si>
  <si>
    <t>SS - Psychology, Social Sciences, and History</t>
  </si>
  <si>
    <t>FA - Visual and Performing Arts</t>
  </si>
  <si>
    <t>DEM - Developmental Education - Math</t>
  </si>
  <si>
    <t>DER - Developmental Education - Reading/Writing</t>
  </si>
  <si>
    <t>Total - All Disciplines</t>
  </si>
  <si>
    <t>SCI</t>
  </si>
  <si>
    <t>BA</t>
  </si>
  <si>
    <t>CP</t>
  </si>
  <si>
    <t>COMM</t>
  </si>
  <si>
    <t>CS</t>
  </si>
  <si>
    <t>CNSTR</t>
  </si>
  <si>
    <t>HE</t>
  </si>
  <si>
    <t>ENG</t>
  </si>
  <si>
    <t>ENGR - Engineering Related</t>
  </si>
  <si>
    <t>ENGR</t>
  </si>
  <si>
    <t>LA</t>
  </si>
  <si>
    <t>FL</t>
  </si>
  <si>
    <t>HODA</t>
  </si>
  <si>
    <t>HODH</t>
  </si>
  <si>
    <t>HOO</t>
  </si>
  <si>
    <t>HORT</t>
  </si>
  <si>
    <t>NUR</t>
  </si>
  <si>
    <t>MATH</t>
  </si>
  <si>
    <t>AUTO</t>
  </si>
  <si>
    <t>MECH</t>
  </si>
  <si>
    <t>ELECT</t>
  </si>
  <si>
    <t>PE</t>
  </si>
  <si>
    <t>PA</t>
  </si>
  <si>
    <t>SS</t>
  </si>
  <si>
    <t>FA</t>
  </si>
  <si>
    <t>DEM</t>
  </si>
  <si>
    <t>DER</t>
  </si>
  <si>
    <t>Instructional Support</t>
  </si>
  <si>
    <t>Total Non-fundable Expenses</t>
  </si>
  <si>
    <t>Total FTSE</t>
  </si>
  <si>
    <t>Total Expenditure</t>
  </si>
  <si>
    <t>Average Expenditure per FTSE</t>
  </si>
  <si>
    <t>Total for Instutions Reporting Expense</t>
  </si>
  <si>
    <t>Summary of Expense divided  Contact Hours</t>
  </si>
  <si>
    <t>Average Total Expenditure per Full-Time Student Equivalent (FTSE)</t>
  </si>
  <si>
    <t>Discipline Analysis by Institution</t>
  </si>
  <si>
    <t>Annual State Funded Semester Credit Hours</t>
  </si>
  <si>
    <t>Alvin</t>
  </si>
  <si>
    <t>Austin</t>
  </si>
  <si>
    <t>Mclennan</t>
  </si>
  <si>
    <t>Northeast Texas</t>
  </si>
  <si>
    <t>Cisco</t>
  </si>
  <si>
    <t>Laredo</t>
  </si>
  <si>
    <t>Paris</t>
  </si>
  <si>
    <t>Southwest Texas</t>
  </si>
  <si>
    <t>Temple</t>
  </si>
  <si>
    <t>Tyler</t>
  </si>
  <si>
    <t>Amarillo</t>
  </si>
  <si>
    <t>Angelina</t>
  </si>
  <si>
    <t>Blinn</t>
  </si>
  <si>
    <t>Brazosport</t>
  </si>
  <si>
    <t>Clarendon</t>
  </si>
  <si>
    <t>Coastal Bend</t>
  </si>
  <si>
    <t>Del Mar</t>
  </si>
  <si>
    <t>Frank Phillips</t>
  </si>
  <si>
    <t>Galveston</t>
  </si>
  <si>
    <t>Hill</t>
  </si>
  <si>
    <t xml:space="preserve">Howard </t>
  </si>
  <si>
    <t>Kilgore</t>
  </si>
  <si>
    <t>Lee</t>
  </si>
  <si>
    <t>Lonestar</t>
  </si>
  <si>
    <t>Midland</t>
  </si>
  <si>
    <t>Navarro</t>
  </si>
  <si>
    <t>North Central Texas</t>
  </si>
  <si>
    <t>Odessa</t>
  </si>
  <si>
    <t>Panola</t>
  </si>
  <si>
    <t>Ranger</t>
  </si>
  <si>
    <t>South Plains</t>
  </si>
  <si>
    <t>South Texas</t>
  </si>
  <si>
    <t>Texarkana</t>
  </si>
  <si>
    <t>Texas Southmost</t>
  </si>
  <si>
    <t>Vernon</t>
  </si>
  <si>
    <t>Victoria</t>
  </si>
  <si>
    <t>Weatherford</t>
  </si>
  <si>
    <t>Western Texas</t>
  </si>
  <si>
    <t>Collin</t>
  </si>
  <si>
    <t>Dallas</t>
  </si>
  <si>
    <t>El Paso</t>
  </si>
  <si>
    <t>Houston</t>
  </si>
  <si>
    <t>San Jacinto</t>
  </si>
  <si>
    <t>Tarrant</t>
  </si>
  <si>
    <t>Trinity Valley</t>
  </si>
  <si>
    <t>Wharton</t>
  </si>
  <si>
    <t>Alamo</t>
  </si>
  <si>
    <t>Central Texas</t>
  </si>
  <si>
    <t>Grayson</t>
  </si>
  <si>
    <t>per Hour</t>
  </si>
  <si>
    <t>1</t>
  </si>
  <si>
    <t>008900</t>
  </si>
  <si>
    <t>103634</t>
  </si>
  <si>
    <t>109225</t>
  </si>
  <si>
    <t>358135</t>
  </si>
  <si>
    <t>North Harris Montgomery Community College District</t>
  </si>
  <si>
    <t>Other Allocated Administrative Expenses - Library - Total</t>
  </si>
  <si>
    <t>Other Allocated Administrative Expenses - Instructional Administration - Total</t>
  </si>
  <si>
    <t>Other Allocated Administrative Expenses - Organized Activities - Total</t>
  </si>
  <si>
    <t>Library</t>
  </si>
  <si>
    <t>Instructional Administration</t>
  </si>
  <si>
    <t>Organized Activities</t>
  </si>
  <si>
    <t>Community and Technical Colleges, Report of Fundable Operating Expenses, Fiscal Year (FY) 2000</t>
  </si>
  <si>
    <t>Contact Hours for fall 1999 and spring and summer 2000</t>
  </si>
  <si>
    <t>Rate History</t>
  </si>
  <si>
    <t>Expense per Contact Hour by
 Discipline</t>
  </si>
  <si>
    <t>Average</t>
  </si>
  <si>
    <t>Median</t>
  </si>
  <si>
    <t>Standard Deviation</t>
  </si>
  <si>
    <t>Year over Year Change</t>
  </si>
  <si>
    <t>Percent of Rates to Maintain Funding Total</t>
  </si>
  <si>
    <t>This calculation is completed to indicate the relative change in financing assuming the legislature were to fund the institutions at the same total as the previous biennium. The percent funded used against the current rates is adjusted so that the total funded for all institutions is equal to the previous biennium's percent funded.</t>
  </si>
  <si>
    <t>Percent Change</t>
  </si>
  <si>
    <t>Percent of Rates Funded</t>
  </si>
  <si>
    <t>Lone Star College System District</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</si>
</sst>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1" formatCode="_(* #,##0_);_(* \(#,##0\);_(* &quot;-&quot;_);_(@_)"/>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quot;$&quot;#,##0"/>
    <numFmt numFmtId="167" formatCode="&quot;$&quot;#,##0\ ;\(&quot;$&quot;#,##0\)"/>
    <numFmt numFmtId="168" formatCode="dd\-mmm\-yy"/>
    <numFmt numFmtId="169" formatCode="0.0%"/>
    <numFmt numFmtId="170" formatCode="&quot;$&quot;#,##0.00"/>
  </numFmts>
  <fonts count="23" x14ac:knownFonts="1">
    <font>
      <sz val="11"/>
      <color theme="1"/>
      <name val="Calibri"/>
      <family val="2"/>
      <scheme val="minor"/>
    </font>
    <font>
      <sz val="11"/>
      <color theme="1"/>
      <name val="Calibri"/>
      <family val="2"/>
      <scheme val="minor"/>
    </font>
    <font>
      <sz val="11"/>
      <color theme="1"/>
      <name val="Tahoma"/>
      <family val="2"/>
    </font>
    <font>
      <b/>
      <sz val="11"/>
      <color theme="1"/>
      <name val="Tahoma"/>
      <family val="2"/>
    </font>
    <font>
      <sz val="10"/>
      <name val="MS Sans Serif"/>
      <family val="2"/>
    </font>
    <font>
      <sz val="11"/>
      <name val="Tahoma"/>
      <family val="2"/>
    </font>
    <font>
      <b/>
      <sz val="11"/>
      <name val="Tahoma"/>
      <family val="2"/>
    </font>
    <font>
      <b/>
      <sz val="11"/>
      <color theme="0"/>
      <name val="Tahoma"/>
      <family val="2"/>
    </font>
    <font>
      <sz val="11"/>
      <color theme="0"/>
      <name val="Tahoma"/>
      <family val="2"/>
    </font>
    <font>
      <sz val="12"/>
      <name val="Arial"/>
      <family val="2"/>
    </font>
    <font>
      <sz val="10"/>
      <name val="Arial"/>
      <family val="2"/>
    </font>
    <font>
      <sz val="11"/>
      <color indexed="8"/>
      <name val="Calibri"/>
      <family val="2"/>
    </font>
    <font>
      <sz val="11"/>
      <color indexed="8"/>
      <name val="Tahoma"/>
      <family val="2"/>
    </font>
    <font>
      <sz val="10"/>
      <name val="System"/>
      <family val="2"/>
    </font>
    <font>
      <i/>
      <sz val="10"/>
      <name val="System"/>
      <family val="2"/>
    </font>
    <font>
      <sz val="10"/>
      <color indexed="24"/>
      <name val="Arial"/>
      <family val="2"/>
    </font>
    <font>
      <b/>
      <sz val="18"/>
      <color indexed="24"/>
      <name val="Arial"/>
      <family val="2"/>
    </font>
    <font>
      <b/>
      <sz val="12"/>
      <color indexed="24"/>
      <name val="Arial"/>
      <family val="2"/>
    </font>
    <font>
      <sz val="10"/>
      <name val="Verdana"/>
      <family val="2"/>
    </font>
    <font>
      <sz val="10"/>
      <color indexed="8"/>
      <name val="Arial"/>
      <family val="2"/>
    </font>
    <font>
      <sz val="10"/>
      <name val="Arial"/>
      <family val="2"/>
    </font>
    <font>
      <sz val="11"/>
      <color indexed="8"/>
      <name val="Calibri"/>
      <family val="2"/>
    </font>
    <font>
      <sz val="10"/>
      <color indexed="8"/>
      <name val="Arial"/>
      <family val="2"/>
    </font>
  </fonts>
  <fills count="4">
    <fill>
      <patternFill patternType="none"/>
    </fill>
    <fill>
      <patternFill patternType="gray125"/>
    </fill>
    <fill>
      <patternFill patternType="solid">
        <fgColor rgb="FFFF0000"/>
        <bgColor indexed="64"/>
      </patternFill>
    </fill>
    <fill>
      <patternFill patternType="solid">
        <fgColor rgb="FFFFE1E1"/>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double">
        <color indexed="64"/>
      </top>
      <bottom/>
      <diagonal/>
    </border>
    <border>
      <left style="thin">
        <color indexed="64"/>
      </left>
      <right style="thin">
        <color indexed="64"/>
      </right>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22"/>
      </left>
      <right style="thin">
        <color indexed="22"/>
      </right>
      <top style="thin">
        <color indexed="22"/>
      </top>
      <bottom style="thin">
        <color indexed="22"/>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s>
  <cellStyleXfs count="291">
    <xf numFmtId="0" fontId="0" fillId="0" borderId="0"/>
    <xf numFmtId="43" fontId="1" fillId="0" borderId="0" applyFont="0" applyFill="0" applyBorder="0" applyAlignment="0" applyProtection="0"/>
    <xf numFmtId="44" fontId="1" fillId="0" borderId="0" applyFont="0" applyFill="0" applyBorder="0" applyAlignment="0" applyProtection="0"/>
    <xf numFmtId="0" fontId="4" fillId="0" borderId="0"/>
    <xf numFmtId="43" fontId="4" fillId="0" borderId="0" applyFont="0" applyFill="0" applyBorder="0" applyAlignment="0" applyProtection="0"/>
    <xf numFmtId="9" fontId="4" fillId="0" borderId="0" applyFont="0" applyFill="0" applyBorder="0" applyAlignment="0" applyProtection="0"/>
    <xf numFmtId="37" fontId="9" fillId="0" borderId="0"/>
    <xf numFmtId="9" fontId="10" fillId="0" borderId="0" applyFon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0" fontId="4" fillId="0" borderId="0"/>
    <xf numFmtId="43" fontId="4" fillId="0" borderId="0" applyFont="0" applyFill="0" applyBorder="0" applyAlignment="0" applyProtection="0"/>
    <xf numFmtId="0" fontId="1" fillId="0" borderId="0"/>
    <xf numFmtId="43" fontId="1"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0" fontId="9" fillId="0" borderId="0"/>
    <xf numFmtId="0" fontId="1" fillId="0" borderId="0"/>
    <xf numFmtId="0" fontId="1" fillId="0" borderId="0"/>
    <xf numFmtId="0" fontId="1" fillId="0" borderId="0"/>
    <xf numFmtId="9" fontId="1" fillId="0" borderId="0" applyFont="0" applyFill="0" applyBorder="0" applyAlignment="0" applyProtection="0"/>
    <xf numFmtId="0" fontId="10" fillId="0" borderId="0"/>
    <xf numFmtId="44" fontId="10" fillId="0" borderId="0" applyFont="0" applyFill="0" applyBorder="0" applyAlignment="0" applyProtection="0"/>
    <xf numFmtId="0" fontId="10" fillId="0" borderId="0"/>
    <xf numFmtId="0" fontId="4" fillId="0" borderId="0"/>
    <xf numFmtId="0" fontId="4" fillId="0" borderId="0"/>
    <xf numFmtId="0" fontId="9" fillId="0" borderId="0"/>
    <xf numFmtId="43" fontId="10" fillId="0" borderId="0" applyFont="0" applyFill="0" applyBorder="0" applyAlignment="0" applyProtection="0"/>
    <xf numFmtId="9" fontId="10" fillId="0" borderId="0" applyFont="0" applyFill="0" applyBorder="0" applyAlignment="0" applyProtection="0"/>
    <xf numFmtId="44" fontId="10" fillId="0" borderId="0" applyFont="0" applyFill="0" applyBorder="0" applyAlignment="0" applyProtection="0"/>
    <xf numFmtId="3" fontId="10" fillId="0" borderId="0"/>
    <xf numFmtId="43" fontId="4" fillId="0" borderId="0" applyFont="0" applyFill="0" applyBorder="0" applyAlignment="0" applyProtection="0"/>
    <xf numFmtId="43" fontId="10" fillId="0" borderId="0" applyFont="0" applyFill="0" applyBorder="0" applyAlignment="0" applyProtection="0"/>
    <xf numFmtId="3" fontId="10" fillId="0" borderId="0"/>
    <xf numFmtId="44" fontId="10" fillId="0" borderId="0" applyFont="0" applyFill="0" applyBorder="0" applyAlignment="0" applyProtection="0"/>
    <xf numFmtId="44" fontId="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4" fillId="0" borderId="0"/>
    <xf numFmtId="0" fontId="9" fillId="0" borderId="0"/>
    <xf numFmtId="0" fontId="9" fillId="0" borderId="0"/>
    <xf numFmtId="0" fontId="9" fillId="0" borderId="0"/>
    <xf numFmtId="0" fontId="2" fillId="0" borderId="0"/>
    <xf numFmtId="9" fontId="4"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4" fontId="4" fillId="0" borderId="0" applyFont="0" applyFill="0" applyBorder="0" applyAlignment="0" applyProtection="0"/>
    <xf numFmtId="0" fontId="10" fillId="0" borderId="0"/>
    <xf numFmtId="0" fontId="10" fillId="0" borderId="0"/>
    <xf numFmtId="0" fontId="10"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43" fontId="14" fillId="0" borderId="0" applyFont="0" applyFill="0" applyBorder="0" applyAlignment="0" applyProtection="0"/>
    <xf numFmtId="0" fontId="1" fillId="0" borderId="0"/>
    <xf numFmtId="43" fontId="10" fillId="0" borderId="0" applyFont="0" applyFill="0" applyBorder="0" applyAlignment="0" applyProtection="0"/>
    <xf numFmtId="3" fontId="15" fillId="0" borderId="0" applyFont="0" applyFill="0" applyBorder="0" applyAlignment="0" applyProtection="0"/>
    <xf numFmtId="167" fontId="15" fillId="0" borderId="0" applyFont="0" applyFill="0" applyBorder="0" applyAlignment="0" applyProtection="0"/>
    <xf numFmtId="0" fontId="15" fillId="0" borderId="0" applyFont="0" applyFill="0" applyBorder="0" applyAlignment="0" applyProtection="0"/>
    <xf numFmtId="2" fontId="15" fillId="0" borderId="0" applyFon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5" fillId="0" borderId="36" applyNumberFormat="0" applyFont="0" applyFill="0" applyAlignment="0" applyProtection="0"/>
    <xf numFmtId="43"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44"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8" fillId="0" borderId="0"/>
    <xf numFmtId="43" fontId="10" fillId="0" borderId="0" applyFon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0" fontId="18"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4" fontId="10" fillId="0" borderId="0" applyFon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0" fontId="15" fillId="0" borderId="36" applyNumberFormat="0" applyFont="0" applyFill="0" applyAlignment="0" applyProtection="0"/>
    <xf numFmtId="43" fontId="20"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20" fillId="0" borderId="0"/>
    <xf numFmtId="43" fontId="19" fillId="0" borderId="0" applyFont="0" applyFill="0" applyBorder="0" applyAlignment="0" applyProtection="0"/>
    <xf numFmtId="0" fontId="19" fillId="0" borderId="0"/>
    <xf numFmtId="0" fontId="4" fillId="0" borderId="0"/>
    <xf numFmtId="0" fontId="22" fillId="0" borderId="0"/>
    <xf numFmtId="9" fontId="1" fillId="0" borderId="0" applyFont="0" applyFill="0" applyBorder="0" applyAlignment="0" applyProtection="0"/>
  </cellStyleXfs>
  <cellXfs count="206">
    <xf numFmtId="0" fontId="0" fillId="0" borderId="0" xfId="0"/>
    <xf numFmtId="0" fontId="2" fillId="0" borderId="0" xfId="0" applyFont="1"/>
    <xf numFmtId="43" fontId="2" fillId="0" borderId="0" xfId="2" applyNumberFormat="1" applyFont="1"/>
    <xf numFmtId="0" fontId="2" fillId="0" borderId="0" xfId="0" quotePrefix="1" applyFont="1"/>
    <xf numFmtId="165" fontId="2" fillId="0" borderId="0" xfId="2" applyNumberFormat="1" applyFont="1"/>
    <xf numFmtId="0" fontId="3" fillId="0" borderId="0" xfId="0" quotePrefix="1" applyFont="1"/>
    <xf numFmtId="0" fontId="2" fillId="0" borderId="0" xfId="0" applyFont="1"/>
    <xf numFmtId="0" fontId="2" fillId="0" borderId="0" xfId="0" applyFont="1"/>
    <xf numFmtId="44" fontId="2" fillId="0" borderId="0" xfId="2" applyNumberFormat="1" applyFont="1"/>
    <xf numFmtId="0" fontId="0" fillId="0" borderId="0" xfId="0"/>
    <xf numFmtId="0" fontId="2" fillId="0" borderId="0" xfId="0" applyFont="1"/>
    <xf numFmtId="0" fontId="3" fillId="0" borderId="0" xfId="0" applyFont="1"/>
    <xf numFmtId="164" fontId="2" fillId="0" borderId="0" xfId="0" applyNumberFormat="1" applyFont="1"/>
    <xf numFmtId="0" fontId="2" fillId="0" borderId="0" xfId="0" applyFont="1" applyAlignment="1">
      <alignment horizontal="right"/>
    </xf>
    <xf numFmtId="164" fontId="2" fillId="0" borderId="1" xfId="1" applyNumberFormat="1" applyFont="1" applyBorder="1"/>
    <xf numFmtId="165" fontId="2" fillId="0" borderId="1" xfId="2" applyNumberFormat="1" applyFont="1" applyBorder="1"/>
    <xf numFmtId="44" fontId="2" fillId="0" borderId="1" xfId="2" applyNumberFormat="1" applyFont="1" applyBorder="1"/>
    <xf numFmtId="164" fontId="2" fillId="0" borderId="1" xfId="2" applyNumberFormat="1" applyFont="1" applyBorder="1"/>
    <xf numFmtId="43" fontId="2" fillId="0" borderId="1" xfId="2" applyNumberFormat="1" applyFont="1" applyBorder="1"/>
    <xf numFmtId="0" fontId="5" fillId="0" borderId="5" xfId="3" applyFont="1" applyBorder="1" applyAlignment="1">
      <alignment horizontal="center"/>
    </xf>
    <xf numFmtId="44" fontId="2" fillId="0" borderId="6" xfId="2" applyNumberFormat="1" applyFont="1" applyBorder="1"/>
    <xf numFmtId="43" fontId="2" fillId="0" borderId="6" xfId="2" applyNumberFormat="1" applyFont="1" applyBorder="1"/>
    <xf numFmtId="0" fontId="5" fillId="0" borderId="7" xfId="3" applyFont="1" applyBorder="1" applyAlignment="1">
      <alignment horizontal="center"/>
    </xf>
    <xf numFmtId="164" fontId="2" fillId="0" borderId="8" xfId="1" applyNumberFormat="1" applyFont="1" applyBorder="1"/>
    <xf numFmtId="164" fontId="2" fillId="0" borderId="8" xfId="2" applyNumberFormat="1" applyFont="1" applyBorder="1"/>
    <xf numFmtId="43" fontId="2" fillId="0" borderId="9" xfId="2" applyNumberFormat="1" applyFont="1" applyBorder="1"/>
    <xf numFmtId="0" fontId="7" fillId="2" borderId="2" xfId="0" applyFont="1" applyFill="1" applyBorder="1" applyAlignment="1">
      <alignment horizontal="center"/>
    </xf>
    <xf numFmtId="0" fontId="7" fillId="2" borderId="3" xfId="0" applyFont="1" applyFill="1" applyBorder="1" applyAlignment="1">
      <alignment horizontal="center" wrapText="1"/>
    </xf>
    <xf numFmtId="164" fontId="7" fillId="2" borderId="3" xfId="1" applyNumberFormat="1" applyFont="1" applyFill="1" applyBorder="1" applyAlignment="1">
      <alignment horizontal="center" wrapText="1"/>
    </xf>
    <xf numFmtId="43" fontId="7" fillId="2" borderId="4" xfId="1" applyFont="1" applyFill="1" applyBorder="1" applyAlignment="1">
      <alignment horizontal="center" wrapText="1"/>
    </xf>
    <xf numFmtId="0" fontId="3" fillId="0" borderId="0" xfId="0" applyFont="1" applyAlignment="1">
      <alignment horizontal="right"/>
    </xf>
    <xf numFmtId="165" fontId="3" fillId="0" borderId="0" xfId="2" applyNumberFormat="1" applyFont="1"/>
    <xf numFmtId="44" fontId="3" fillId="0" borderId="0" xfId="2" applyNumberFormat="1" applyFont="1"/>
    <xf numFmtId="0" fontId="7" fillId="2" borderId="3" xfId="0" applyFont="1" applyFill="1" applyBorder="1" applyAlignment="1">
      <alignment horizontal="center"/>
    </xf>
    <xf numFmtId="164" fontId="3" fillId="0" borderId="0" xfId="0" applyNumberFormat="1" applyFont="1"/>
    <xf numFmtId="0" fontId="2" fillId="0" borderId="10" xfId="0" applyFont="1" applyBorder="1"/>
    <xf numFmtId="0" fontId="2" fillId="0" borderId="11" xfId="0" applyFont="1" applyBorder="1"/>
    <xf numFmtId="0" fontId="2" fillId="0" borderId="12" xfId="0" applyFont="1" applyBorder="1"/>
    <xf numFmtId="0" fontId="6" fillId="0" borderId="0" xfId="3" applyFont="1" applyAlignment="1"/>
    <xf numFmtId="0" fontId="6" fillId="0" borderId="0" xfId="3" applyFont="1" applyAlignment="1">
      <alignment horizontal="right"/>
    </xf>
    <xf numFmtId="0" fontId="0" fillId="0" borderId="0" xfId="0" applyAlignment="1">
      <alignment horizontal="center" wrapText="1"/>
    </xf>
    <xf numFmtId="0" fontId="0" fillId="0" borderId="0" xfId="0" applyAlignment="1"/>
    <xf numFmtId="0" fontId="2" fillId="0" borderId="5" xfId="0" applyFont="1" applyBorder="1"/>
    <xf numFmtId="0" fontId="2" fillId="0" borderId="7" xfId="0" applyFont="1" applyBorder="1"/>
    <xf numFmtId="0" fontId="7" fillId="2" borderId="4" xfId="0" applyFont="1" applyFill="1" applyBorder="1" applyAlignment="1">
      <alignment horizontal="center"/>
    </xf>
    <xf numFmtId="0" fontId="7" fillId="2" borderId="2" xfId="0" applyFont="1" applyFill="1" applyBorder="1" applyAlignment="1">
      <alignment horizontal="center" wrapText="1"/>
    </xf>
    <xf numFmtId="0" fontId="7" fillId="2" borderId="4" xfId="0" applyFont="1" applyFill="1" applyBorder="1" applyAlignment="1">
      <alignment horizontal="center" wrapText="1"/>
    </xf>
    <xf numFmtId="165" fontId="2" fillId="0" borderId="6" xfId="2" applyNumberFormat="1" applyFont="1" applyBorder="1"/>
    <xf numFmtId="41" fontId="2" fillId="0" borderId="6" xfId="2" applyNumberFormat="1" applyFont="1" applyBorder="1"/>
    <xf numFmtId="41" fontId="2" fillId="0" borderId="9" xfId="2" applyNumberFormat="1" applyFont="1" applyBorder="1"/>
    <xf numFmtId="41" fontId="2" fillId="0" borderId="1" xfId="2" applyNumberFormat="1" applyFont="1" applyBorder="1"/>
    <xf numFmtId="41" fontId="3" fillId="0" borderId="1" xfId="2" applyNumberFormat="1" applyFont="1" applyBorder="1"/>
    <xf numFmtId="41" fontId="2" fillId="0" borderId="8" xfId="2" applyNumberFormat="1" applyFont="1" applyBorder="1"/>
    <xf numFmtId="41" fontId="2" fillId="0" borderId="28" xfId="2" applyNumberFormat="1" applyFont="1" applyBorder="1"/>
    <xf numFmtId="41" fontId="2" fillId="0" borderId="29" xfId="2" applyNumberFormat="1" applyFont="1" applyBorder="1"/>
    <xf numFmtId="0" fontId="2" fillId="0" borderId="23" xfId="0" applyFont="1" applyBorder="1" applyAlignment="1">
      <alignment wrapText="1"/>
    </xf>
    <xf numFmtId="0" fontId="8" fillId="0" borderId="0" xfId="0" applyFont="1"/>
    <xf numFmtId="0" fontId="2" fillId="0" borderId="0" xfId="0" applyFont="1"/>
    <xf numFmtId="0" fontId="3" fillId="0" borderId="0" xfId="0" applyFont="1"/>
    <xf numFmtId="164" fontId="3" fillId="0" borderId="0" xfId="1" applyNumberFormat="1" applyFont="1"/>
    <xf numFmtId="0" fontId="2" fillId="0" borderId="0" xfId="0" applyFont="1"/>
    <xf numFmtId="164" fontId="2" fillId="0" borderId="0" xfId="1" applyNumberFormat="1" applyFont="1"/>
    <xf numFmtId="0" fontId="3" fillId="0" borderId="0" xfId="0" applyFont="1"/>
    <xf numFmtId="43" fontId="2" fillId="0" borderId="0" xfId="0" applyNumberFormat="1" applyFont="1"/>
    <xf numFmtId="43" fontId="2" fillId="0" borderId="8" xfId="2" applyNumberFormat="1" applyFont="1" applyBorder="1"/>
    <xf numFmtId="0" fontId="0" fillId="0" borderId="0" xfId="0"/>
    <xf numFmtId="0" fontId="2" fillId="0" borderId="0" xfId="0" applyFont="1"/>
    <xf numFmtId="164" fontId="2" fillId="0" borderId="0" xfId="0" applyNumberFormat="1" applyFont="1"/>
    <xf numFmtId="0" fontId="3" fillId="0" borderId="0" xfId="0" applyFont="1"/>
    <xf numFmtId="43" fontId="2" fillId="3" borderId="10" xfId="2" applyNumberFormat="1" applyFont="1" applyFill="1" applyBorder="1"/>
    <xf numFmtId="43" fontId="2" fillId="0" borderId="27" xfId="0" applyNumberFormat="1" applyFont="1" applyBorder="1"/>
    <xf numFmtId="0" fontId="12" fillId="0" borderId="26" xfId="26" applyFont="1" applyFill="1" applyBorder="1" applyAlignment="1" applyProtection="1">
      <alignment horizontal="left" wrapText="1"/>
    </xf>
    <xf numFmtId="43" fontId="2" fillId="3" borderId="1" xfId="2" applyNumberFormat="1" applyFont="1" applyFill="1" applyBorder="1"/>
    <xf numFmtId="44" fontId="2" fillId="3" borderId="1" xfId="2" applyNumberFormat="1" applyFont="1" applyFill="1" applyBorder="1"/>
    <xf numFmtId="0" fontId="8" fillId="0" borderId="0" xfId="3" applyFont="1" applyFill="1" applyBorder="1" applyAlignment="1"/>
    <xf numFmtId="41" fontId="2" fillId="0" borderId="1" xfId="2" applyNumberFormat="1" applyFont="1" applyFill="1" applyBorder="1"/>
    <xf numFmtId="165" fontId="2" fillId="0" borderId="19" xfId="2" applyNumberFormat="1" applyFont="1" applyFill="1" applyBorder="1"/>
    <xf numFmtId="165" fontId="2" fillId="0" borderId="8" xfId="2" applyNumberFormat="1" applyFont="1" applyFill="1" applyBorder="1"/>
    <xf numFmtId="164" fontId="2" fillId="0" borderId="8" xfId="1" applyNumberFormat="1" applyFont="1" applyFill="1" applyBorder="1"/>
    <xf numFmtId="165" fontId="2" fillId="0" borderId="17" xfId="2" applyNumberFormat="1" applyFont="1" applyFill="1" applyBorder="1"/>
    <xf numFmtId="0" fontId="12" fillId="0" borderId="7" xfId="26" applyFont="1" applyFill="1" applyBorder="1" applyAlignment="1" applyProtection="1">
      <alignment horizontal="left" wrapText="1"/>
    </xf>
    <xf numFmtId="165" fontId="2" fillId="0" borderId="1" xfId="2" applyNumberFormat="1" applyFont="1" applyFill="1" applyBorder="1"/>
    <xf numFmtId="0" fontId="2" fillId="0" borderId="0" xfId="0" applyFont="1" applyAlignment="1">
      <alignment wrapText="1"/>
    </xf>
    <xf numFmtId="164" fontId="2" fillId="0" borderId="1" xfId="1" applyNumberFormat="1" applyFont="1" applyFill="1" applyBorder="1"/>
    <xf numFmtId="0" fontId="5" fillId="0" borderId="0" xfId="0" applyFont="1" applyFill="1" applyBorder="1" applyAlignment="1"/>
    <xf numFmtId="0" fontId="6" fillId="0" borderId="0" xfId="0" applyFont="1" applyFill="1" applyBorder="1" applyAlignment="1"/>
    <xf numFmtId="0" fontId="5" fillId="0" borderId="0" xfId="3" applyFont="1" applyFill="1" applyBorder="1" applyAlignment="1"/>
    <xf numFmtId="0" fontId="7" fillId="0" borderId="0" xfId="0" applyFont="1" applyFill="1" applyBorder="1" applyAlignment="1"/>
    <xf numFmtId="0" fontId="12" fillId="0" borderId="2" xfId="26" applyFont="1" applyFill="1" applyBorder="1" applyAlignment="1" applyProtection="1">
      <alignment horizontal="left" wrapText="1"/>
    </xf>
    <xf numFmtId="3" fontId="5" fillId="0" borderId="7" xfId="59" applyNumberFormat="1" applyFont="1" applyFill="1" applyBorder="1" applyAlignment="1" applyProtection="1">
      <alignment horizontal="left"/>
    </xf>
    <xf numFmtId="0" fontId="12" fillId="0" borderId="5" xfId="26" applyFont="1" applyFill="1" applyBorder="1" applyAlignment="1" applyProtection="1">
      <alignment horizontal="left" wrapText="1"/>
    </xf>
    <xf numFmtId="37" fontId="5" fillId="0" borderId="5" xfId="6" applyFont="1" applyFill="1" applyBorder="1"/>
    <xf numFmtId="37" fontId="5" fillId="0" borderId="5" xfId="6" applyFont="1" applyBorder="1"/>
    <xf numFmtId="43" fontId="2" fillId="0" borderId="6" xfId="0" applyNumberFormat="1" applyFont="1" applyBorder="1"/>
    <xf numFmtId="44" fontId="2" fillId="0" borderId="6" xfId="0" applyNumberFormat="1" applyFont="1" applyBorder="1"/>
    <xf numFmtId="3" fontId="5" fillId="0" borderId="5" xfId="59" applyNumberFormat="1" applyFont="1" applyFill="1" applyBorder="1" applyAlignment="1" applyProtection="1">
      <alignment horizontal="left"/>
    </xf>
    <xf numFmtId="3" fontId="5" fillId="3" borderId="18" xfId="59" quotePrefix="1" applyNumberFormat="1" applyFont="1" applyFill="1" applyBorder="1" applyAlignment="1" applyProtection="1">
      <alignment horizontal="right"/>
    </xf>
    <xf numFmtId="3" fontId="5" fillId="3" borderId="18" xfId="59" applyNumberFormat="1" applyFont="1" applyFill="1" applyBorder="1" applyAlignment="1" applyProtection="1">
      <alignment horizontal="right"/>
    </xf>
    <xf numFmtId="3" fontId="5" fillId="3" borderId="13" xfId="59" applyNumberFormat="1" applyFont="1" applyFill="1" applyBorder="1" applyAlignment="1" applyProtection="1">
      <alignment horizontal="right"/>
    </xf>
    <xf numFmtId="166" fontId="0" fillId="0" borderId="0" xfId="0" applyNumberFormat="1"/>
    <xf numFmtId="0" fontId="7" fillId="2" borderId="33" xfId="59" applyFont="1" applyFill="1" applyBorder="1" applyAlignment="1">
      <alignment horizontal="center" wrapText="1"/>
    </xf>
    <xf numFmtId="37" fontId="5" fillId="0" borderId="32" xfId="6" applyFont="1" applyBorder="1"/>
    <xf numFmtId="0" fontId="7" fillId="2" borderId="30" xfId="59" applyFont="1" applyFill="1" applyBorder="1" applyAlignment="1">
      <alignment horizontal="center" wrapText="1"/>
    </xf>
    <xf numFmtId="0" fontId="7" fillId="2" borderId="31" xfId="59" applyFont="1" applyFill="1" applyBorder="1" applyAlignment="1">
      <alignment horizontal="center" wrapText="1"/>
    </xf>
    <xf numFmtId="0" fontId="10" fillId="0" borderId="0" xfId="59"/>
    <xf numFmtId="0" fontId="5" fillId="0" borderId="0" xfId="59" applyFont="1"/>
    <xf numFmtId="0" fontId="6" fillId="0" borderId="0" xfId="59" applyFont="1" applyFill="1" applyAlignment="1">
      <alignment horizontal="left"/>
    </xf>
    <xf numFmtId="0" fontId="6" fillId="0" borderId="0" xfId="59" quotePrefix="1" applyFont="1" applyFill="1" applyAlignment="1">
      <alignment horizontal="left"/>
    </xf>
    <xf numFmtId="164" fontId="5" fillId="0" borderId="3" xfId="32" applyNumberFormat="1" applyFont="1" applyFill="1" applyBorder="1" applyAlignment="1">
      <alignment horizontal="right"/>
    </xf>
    <xf numFmtId="166" fontId="5" fillId="0" borderId="3" xfId="59" applyNumberFormat="1" applyFont="1" applyFill="1" applyBorder="1"/>
    <xf numFmtId="166" fontId="5" fillId="0" borderId="4" xfId="59" applyNumberFormat="1" applyFont="1" applyFill="1" applyBorder="1"/>
    <xf numFmtId="3" fontId="5" fillId="0" borderId="1" xfId="59" applyNumberFormat="1" applyFont="1" applyFill="1" applyBorder="1" applyAlignment="1">
      <alignment horizontal="right"/>
    </xf>
    <xf numFmtId="3" fontId="5" fillId="0" borderId="6" xfId="59" applyNumberFormat="1" applyFont="1" applyFill="1" applyBorder="1" applyAlignment="1">
      <alignment horizontal="right"/>
    </xf>
    <xf numFmtId="3" fontId="5" fillId="0" borderId="1" xfId="59" applyNumberFormat="1" applyFont="1" applyFill="1" applyBorder="1"/>
    <xf numFmtId="3" fontId="5" fillId="0" borderId="6" xfId="59" applyNumberFormat="1" applyFont="1" applyFill="1" applyBorder="1"/>
    <xf numFmtId="3" fontId="6" fillId="0" borderId="8" xfId="59" applyNumberFormat="1" applyFont="1" applyFill="1" applyBorder="1" applyAlignment="1">
      <alignment horizontal="right"/>
    </xf>
    <xf numFmtId="166" fontId="6" fillId="0" borderId="8" xfId="59" applyNumberFormat="1" applyFont="1" applyFill="1" applyBorder="1"/>
    <xf numFmtId="166" fontId="6" fillId="0" borderId="9" xfId="59" applyNumberFormat="1" applyFont="1" applyFill="1" applyBorder="1"/>
    <xf numFmtId="44" fontId="2" fillId="0" borderId="3" xfId="2" applyFont="1" applyBorder="1"/>
    <xf numFmtId="44" fontId="2" fillId="0" borderId="4" xfId="2" applyFont="1" applyBorder="1"/>
    <xf numFmtId="0" fontId="7" fillId="2" borderId="32" xfId="0" applyFont="1" applyFill="1" applyBorder="1" applyAlignment="1">
      <alignment horizontal="center" wrapText="1"/>
    </xf>
    <xf numFmtId="43" fontId="2" fillId="0" borderId="1" xfId="1" applyFont="1" applyFill="1" applyBorder="1"/>
    <xf numFmtId="44" fontId="2" fillId="0" borderId="1" xfId="2" applyFont="1" applyFill="1" applyBorder="1"/>
    <xf numFmtId="43" fontId="2" fillId="0" borderId="8" xfId="1" applyFont="1" applyFill="1" applyBorder="1"/>
    <xf numFmtId="0" fontId="7" fillId="2" borderId="6" xfId="0" applyFont="1" applyFill="1" applyBorder="1" applyAlignment="1">
      <alignment horizontal="center" wrapText="1"/>
    </xf>
    <xf numFmtId="44" fontId="2" fillId="0" borderId="6" xfId="2" applyFont="1" applyFill="1" applyBorder="1"/>
    <xf numFmtId="43" fontId="2" fillId="0" borderId="6" xfId="1" applyFont="1" applyFill="1" applyBorder="1"/>
    <xf numFmtId="43" fontId="2" fillId="0" borderId="9" xfId="1" applyFont="1" applyFill="1" applyBorder="1"/>
    <xf numFmtId="0" fontId="4" fillId="0" borderId="0" xfId="3"/>
    <xf numFmtId="0" fontId="0" fillId="0" borderId="0" xfId="0" applyNumberFormat="1"/>
    <xf numFmtId="43" fontId="2" fillId="0" borderId="1" xfId="1" applyNumberFormat="1" applyFont="1" applyFill="1" applyBorder="1"/>
    <xf numFmtId="0" fontId="0" fillId="0" borderId="0" xfId="0" applyAlignment="1">
      <alignment horizontal="center"/>
    </xf>
    <xf numFmtId="0" fontId="0" fillId="0" borderId="0" xfId="0"/>
    <xf numFmtId="0" fontId="0" fillId="0" borderId="0" xfId="0" applyNumberFormat="1"/>
    <xf numFmtId="0" fontId="21" fillId="0" borderId="40" xfId="289" applyFont="1" applyFill="1" applyBorder="1" applyAlignment="1"/>
    <xf numFmtId="168" fontId="21" fillId="0" borderId="40" xfId="289" applyNumberFormat="1" applyFont="1" applyFill="1" applyBorder="1" applyAlignment="1">
      <alignment horizontal="right"/>
    </xf>
    <xf numFmtId="0" fontId="5" fillId="0" borderId="17" xfId="3" applyFont="1" applyBorder="1" applyAlignment="1">
      <alignment horizontal="left" wrapText="1"/>
    </xf>
    <xf numFmtId="0" fontId="5" fillId="0" borderId="19" xfId="3" applyFont="1" applyBorder="1" applyAlignment="1">
      <alignment horizontal="left" wrapText="1"/>
    </xf>
    <xf numFmtId="0" fontId="7" fillId="2" borderId="16" xfId="0" applyFont="1" applyFill="1" applyBorder="1" applyAlignment="1">
      <alignment horizontal="center" wrapText="1"/>
    </xf>
    <xf numFmtId="0" fontId="7" fillId="2" borderId="2" xfId="0" applyFont="1" applyFill="1" applyBorder="1" applyAlignment="1">
      <alignment horizontal="center"/>
    </xf>
    <xf numFmtId="0" fontId="7" fillId="2" borderId="37" xfId="0" applyFont="1" applyFill="1" applyBorder="1" applyAlignment="1">
      <alignment horizontal="center" wrapText="1"/>
    </xf>
    <xf numFmtId="44" fontId="2" fillId="0" borderId="0" xfId="0" applyNumberFormat="1" applyFont="1"/>
    <xf numFmtId="43" fontId="2" fillId="0" borderId="0" xfId="1" applyFont="1"/>
    <xf numFmtId="44" fontId="2" fillId="0" borderId="0" xfId="2" applyFont="1"/>
    <xf numFmtId="0" fontId="7" fillId="2" borderId="38" xfId="1" applyNumberFormat="1" applyFont="1" applyFill="1" applyBorder="1" applyAlignment="1">
      <alignment horizontal="center" wrapText="1"/>
    </xf>
    <xf numFmtId="44" fontId="2" fillId="0" borderId="35" xfId="2" applyNumberFormat="1" applyFont="1" applyBorder="1"/>
    <xf numFmtId="43" fontId="2" fillId="0" borderId="35" xfId="2" applyNumberFormat="1" applyFont="1" applyBorder="1"/>
    <xf numFmtId="43" fontId="2" fillId="0" borderId="41" xfId="2" applyNumberFormat="1" applyFont="1" applyBorder="1"/>
    <xf numFmtId="0" fontId="7" fillId="2" borderId="3" xfId="1" applyNumberFormat="1" applyFont="1" applyFill="1" applyBorder="1" applyAlignment="1">
      <alignment horizontal="center" wrapText="1"/>
    </xf>
    <xf numFmtId="169" fontId="2" fillId="0" borderId="0" xfId="290" applyNumberFormat="1" applyFont="1"/>
    <xf numFmtId="0" fontId="7" fillId="2" borderId="42" xfId="1" applyNumberFormat="1" applyFont="1" applyFill="1" applyBorder="1" applyAlignment="1">
      <alignment horizontal="center" wrapText="1"/>
    </xf>
    <xf numFmtId="169" fontId="2" fillId="0" borderId="43" xfId="290" applyNumberFormat="1" applyFont="1" applyBorder="1"/>
    <xf numFmtId="169" fontId="2" fillId="0" borderId="44" xfId="290" applyNumberFormat="1" applyFont="1" applyBorder="1"/>
    <xf numFmtId="0" fontId="6" fillId="0" borderId="0" xfId="59" applyFont="1"/>
    <xf numFmtId="3" fontId="6" fillId="0" borderId="0" xfId="37" applyNumberFormat="1" applyFont="1" applyFill="1" applyBorder="1" applyAlignment="1" applyProtection="1">
      <alignment horizontal="left"/>
    </xf>
    <xf numFmtId="0" fontId="5" fillId="0" borderId="0" xfId="37" applyFont="1" applyFill="1" applyBorder="1" applyAlignment="1">
      <alignment horizontal="right"/>
    </xf>
    <xf numFmtId="0" fontId="5" fillId="0" borderId="0" xfId="37" applyFont="1" applyFill="1" applyBorder="1" applyAlignment="1">
      <alignment vertical="top" wrapText="1"/>
    </xf>
    <xf numFmtId="3" fontId="7" fillId="2" borderId="45" xfId="37" applyNumberFormat="1" applyFont="1" applyFill="1" applyBorder="1" applyAlignment="1" applyProtection="1">
      <alignment horizontal="center"/>
    </xf>
    <xf numFmtId="3" fontId="7" fillId="2" borderId="31" xfId="37" quotePrefix="1" applyNumberFormat="1" applyFont="1" applyFill="1" applyBorder="1" applyAlignment="1" applyProtection="1">
      <alignment horizontal="center" wrapText="1"/>
    </xf>
    <xf numFmtId="170" fontId="7" fillId="2" borderId="31" xfId="37" applyNumberFormat="1" applyFont="1" applyFill="1" applyBorder="1" applyAlignment="1" applyProtection="1">
      <alignment horizontal="center" wrapText="1"/>
    </xf>
    <xf numFmtId="3" fontId="7" fillId="2" borderId="30" xfId="37" applyNumberFormat="1" applyFont="1" applyFill="1" applyBorder="1" applyAlignment="1" applyProtection="1">
      <alignment horizontal="center" wrapText="1"/>
    </xf>
    <xf numFmtId="3" fontId="6" fillId="3" borderId="45" xfId="37" applyNumberFormat="1" applyFont="1" applyFill="1" applyBorder="1" applyAlignment="1" applyProtection="1">
      <alignment horizontal="right"/>
    </xf>
    <xf numFmtId="10" fontId="6" fillId="3" borderId="31" xfId="107" quotePrefix="1" applyNumberFormat="1" applyFont="1" applyFill="1" applyBorder="1" applyAlignment="1" applyProtection="1">
      <alignment horizontal="center" wrapText="1"/>
    </xf>
    <xf numFmtId="10" fontId="6" fillId="3" borderId="31" xfId="290" applyNumberFormat="1" applyFont="1" applyFill="1" applyBorder="1" applyAlignment="1" applyProtection="1">
      <alignment horizontal="center" wrapText="1"/>
    </xf>
    <xf numFmtId="10" fontId="6" fillId="3" borderId="30" xfId="290" applyNumberFormat="1" applyFont="1" applyFill="1" applyBorder="1" applyAlignment="1" applyProtection="1">
      <alignment horizontal="center" wrapText="1"/>
    </xf>
    <xf numFmtId="165" fontId="5" fillId="0" borderId="1" xfId="139" applyNumberFormat="1" applyFont="1" applyFill="1" applyBorder="1" applyAlignment="1">
      <alignment horizontal="right" indent="1"/>
    </xf>
    <xf numFmtId="165" fontId="5" fillId="0" borderId="17" xfId="139" applyNumberFormat="1" applyFont="1" applyFill="1" applyBorder="1" applyAlignment="1">
      <alignment horizontal="right" indent="1"/>
    </xf>
    <xf numFmtId="10" fontId="5" fillId="0" borderId="6" xfId="290" applyNumberFormat="1" applyFont="1" applyFill="1" applyBorder="1" applyAlignment="1">
      <alignment horizontal="right" indent="1"/>
    </xf>
    <xf numFmtId="41" fontId="5" fillId="0" borderId="1" xfId="139" applyNumberFormat="1" applyFont="1" applyFill="1" applyBorder="1" applyAlignment="1">
      <alignment horizontal="right" indent="1"/>
    </xf>
    <xf numFmtId="164" fontId="5" fillId="0" borderId="17" xfId="139" applyNumberFormat="1" applyFont="1" applyFill="1" applyBorder="1" applyAlignment="1">
      <alignment horizontal="right" indent="1"/>
    </xf>
    <xf numFmtId="165" fontId="5" fillId="0" borderId="8" xfId="2" applyNumberFormat="1" applyFont="1" applyFill="1" applyBorder="1" applyAlignment="1">
      <alignment horizontal="right" indent="1"/>
    </xf>
    <xf numFmtId="165" fontId="5" fillId="0" borderId="19" xfId="2" applyNumberFormat="1" applyFont="1" applyFill="1" applyBorder="1" applyAlignment="1">
      <alignment horizontal="right" indent="1"/>
    </xf>
    <xf numFmtId="10" fontId="5" fillId="0" borderId="9" xfId="290" applyNumberFormat="1" applyFont="1" applyFill="1" applyBorder="1" applyAlignment="1">
      <alignment horizontal="right" indent="1"/>
    </xf>
    <xf numFmtId="164" fontId="0" fillId="0" borderId="0" xfId="1" applyNumberFormat="1" applyFont="1"/>
    <xf numFmtId="164" fontId="0" fillId="0" borderId="0" xfId="0" applyNumberFormat="1"/>
    <xf numFmtId="164" fontId="2" fillId="0" borderId="24" xfId="1" applyNumberFormat="1" applyFont="1" applyBorder="1" applyAlignment="1">
      <alignment horizontal="left" wrapText="1"/>
    </xf>
    <xf numFmtId="164" fontId="2" fillId="0" borderId="15" xfId="1" applyNumberFormat="1" applyFont="1" applyBorder="1" applyAlignment="1">
      <alignment horizontal="left" wrapText="1"/>
    </xf>
    <xf numFmtId="0" fontId="5" fillId="0" borderId="17" xfId="3" applyFont="1" applyBorder="1" applyAlignment="1">
      <alignment horizontal="left" wrapText="1"/>
    </xf>
    <xf numFmtId="0" fontId="5" fillId="0" borderId="18" xfId="3" applyFont="1" applyBorder="1" applyAlignment="1">
      <alignment horizontal="left" wrapText="1"/>
    </xf>
    <xf numFmtId="0" fontId="5" fillId="0" borderId="19" xfId="3" applyFont="1" applyBorder="1" applyAlignment="1">
      <alignment horizontal="left" wrapText="1"/>
    </xf>
    <xf numFmtId="0" fontId="5" fillId="0" borderId="20" xfId="3" applyFont="1" applyBorder="1" applyAlignment="1">
      <alignment horizontal="left" wrapText="1"/>
    </xf>
    <xf numFmtId="0" fontId="7" fillId="2" borderId="21" xfId="0" applyFont="1" applyFill="1" applyBorder="1" applyAlignment="1">
      <alignment horizontal="center"/>
    </xf>
    <xf numFmtId="0" fontId="7" fillId="2" borderId="13" xfId="0" applyFont="1" applyFill="1" applyBorder="1" applyAlignment="1">
      <alignment horizontal="center"/>
    </xf>
    <xf numFmtId="164" fontId="2" fillId="0" borderId="22" xfId="1" applyNumberFormat="1" applyFont="1" applyBorder="1" applyAlignment="1">
      <alignment horizontal="left" wrapText="1"/>
    </xf>
    <xf numFmtId="164" fontId="2" fillId="0" borderId="14" xfId="1" applyNumberFormat="1" applyFont="1" applyBorder="1" applyAlignment="1">
      <alignment horizontal="left" wrapText="1"/>
    </xf>
    <xf numFmtId="164" fontId="2" fillId="0" borderId="25" xfId="1" applyNumberFormat="1" applyFont="1" applyBorder="1" applyAlignment="1">
      <alignment horizontal="left" wrapText="1"/>
    </xf>
    <xf numFmtId="164" fontId="2" fillId="0" borderId="18" xfId="1" applyNumberFormat="1" applyFont="1" applyBorder="1" applyAlignment="1">
      <alignment horizontal="left" wrapText="1"/>
    </xf>
    <xf numFmtId="0" fontId="7" fillId="2" borderId="16" xfId="0" applyFont="1" applyFill="1" applyBorder="1" applyAlignment="1">
      <alignment horizontal="center" wrapText="1"/>
    </xf>
    <xf numFmtId="0" fontId="7" fillId="2" borderId="13" xfId="0" applyFont="1" applyFill="1" applyBorder="1" applyAlignment="1">
      <alignment horizontal="center" wrapText="1"/>
    </xf>
    <xf numFmtId="0" fontId="2" fillId="0" borderId="0" xfId="0" quotePrefix="1" applyFont="1" applyAlignment="1">
      <alignment horizontal="left" vertical="top" wrapText="1"/>
    </xf>
    <xf numFmtId="0" fontId="5" fillId="0" borderId="7" xfId="3" applyFont="1" applyBorder="1" applyAlignment="1">
      <alignment horizontal="left"/>
    </xf>
    <xf numFmtId="0" fontId="5" fillId="0" borderId="8" xfId="3" applyFont="1" applyBorder="1" applyAlignment="1">
      <alignment horizontal="left"/>
    </xf>
    <xf numFmtId="0" fontId="5" fillId="0" borderId="9" xfId="3" applyFont="1" applyBorder="1" applyAlignment="1">
      <alignment horizontal="left"/>
    </xf>
    <xf numFmtId="0" fontId="2" fillId="0" borderId="25" xfId="0" applyFont="1" applyBorder="1" applyAlignment="1">
      <alignment horizontal="left"/>
    </xf>
    <xf numFmtId="0" fontId="2" fillId="0" borderId="34" xfId="0" applyFont="1" applyBorder="1" applyAlignment="1">
      <alignment horizontal="left"/>
    </xf>
    <xf numFmtId="0" fontId="2" fillId="0" borderId="35" xfId="0" applyFont="1" applyBorder="1" applyAlignment="1">
      <alignment horizontal="left"/>
    </xf>
    <xf numFmtId="0" fontId="7" fillId="2" borderId="2" xfId="0" applyFont="1" applyFill="1" applyBorder="1" applyAlignment="1">
      <alignment horizontal="center"/>
    </xf>
    <xf numFmtId="0" fontId="7" fillId="2" borderId="3" xfId="0" applyFont="1" applyFill="1" applyBorder="1" applyAlignment="1">
      <alignment horizontal="center"/>
    </xf>
    <xf numFmtId="0" fontId="7" fillId="2" borderId="4" xfId="0" applyFont="1" applyFill="1" applyBorder="1" applyAlignment="1">
      <alignment horizontal="center"/>
    </xf>
    <xf numFmtId="0" fontId="5" fillId="0" borderId="5" xfId="3" applyFont="1" applyBorder="1" applyAlignment="1">
      <alignment horizontal="left"/>
    </xf>
    <xf numFmtId="0" fontId="5" fillId="0" borderId="1" xfId="3" applyFont="1" applyBorder="1" applyAlignment="1">
      <alignment horizontal="left"/>
    </xf>
    <xf numFmtId="0" fontId="5" fillId="0" borderId="6" xfId="3" applyFont="1" applyBorder="1" applyAlignment="1">
      <alignment horizontal="left"/>
    </xf>
    <xf numFmtId="0" fontId="7" fillId="2" borderId="38" xfId="0" applyFont="1" applyFill="1" applyBorder="1" applyAlignment="1">
      <alignment horizontal="center" wrapText="1"/>
    </xf>
    <xf numFmtId="0" fontId="7" fillId="2" borderId="39" xfId="0" applyFont="1" applyFill="1" applyBorder="1" applyAlignment="1">
      <alignment horizontal="center" wrapText="1"/>
    </xf>
    <xf numFmtId="0" fontId="7" fillId="2" borderId="37" xfId="0" applyFont="1" applyFill="1" applyBorder="1" applyAlignment="1">
      <alignment horizontal="center" wrapText="1"/>
    </xf>
    <xf numFmtId="0" fontId="5" fillId="0" borderId="0" xfId="37" applyFont="1" applyFill="1" applyBorder="1" applyAlignment="1">
      <alignment horizontal="left" vertical="top" wrapText="1"/>
    </xf>
  </cellXfs>
  <cellStyles count="291">
    <cellStyle name="Comma" xfId="1" builtinId="3"/>
    <cellStyle name="Comma 10" xfId="107"/>
    <cellStyle name="Comma 11" xfId="108"/>
    <cellStyle name="Comma 12" xfId="109"/>
    <cellStyle name="Comma 13" xfId="110"/>
    <cellStyle name="Comma 14" xfId="111"/>
    <cellStyle name="Comma 15" xfId="112"/>
    <cellStyle name="Comma 16" xfId="113"/>
    <cellStyle name="Comma 17" xfId="114"/>
    <cellStyle name="Comma 18" xfId="115"/>
    <cellStyle name="Comma 19" xfId="116"/>
    <cellStyle name="Comma 2" xfId="4"/>
    <cellStyle name="Comma 2 10" xfId="117"/>
    <cellStyle name="Comma 2 11" xfId="118"/>
    <cellStyle name="Comma 2 12" xfId="119"/>
    <cellStyle name="Comma 2 13" xfId="120"/>
    <cellStyle name="Comma 2 14" xfId="121"/>
    <cellStyle name="Comma 2 15" xfId="122"/>
    <cellStyle name="Comma 2 16" xfId="123"/>
    <cellStyle name="Comma 2 17" xfId="124"/>
    <cellStyle name="Comma 2 18" xfId="125"/>
    <cellStyle name="Comma 2 19" xfId="126"/>
    <cellStyle name="Comma 2 2" xfId="8"/>
    <cellStyle name="Comma 2 2 2" xfId="31"/>
    <cellStyle name="Comma 2 2 3" xfId="76"/>
    <cellStyle name="Comma 2 20" xfId="127"/>
    <cellStyle name="Comma 2 21" xfId="128"/>
    <cellStyle name="Comma 2 22" xfId="129"/>
    <cellStyle name="Comma 2 23" xfId="130"/>
    <cellStyle name="Comma 2 24" xfId="131"/>
    <cellStyle name="Comma 2 25" xfId="66"/>
    <cellStyle name="Comma 2 26" xfId="286"/>
    <cellStyle name="Comma 2 27" xfId="282"/>
    <cellStyle name="Comma 2 28" xfId="281"/>
    <cellStyle name="Comma 2 29" xfId="284"/>
    <cellStyle name="Comma 2 3" xfId="74"/>
    <cellStyle name="Comma 2 4" xfId="88"/>
    <cellStyle name="Comma 2 5" xfId="94"/>
    <cellStyle name="Comma 2 6" xfId="93"/>
    <cellStyle name="Comma 2 7" xfId="98"/>
    <cellStyle name="Comma 2 8" xfId="132"/>
    <cellStyle name="Comma 2 9" xfId="133"/>
    <cellStyle name="Comma 20" xfId="134"/>
    <cellStyle name="Comma 3" xfId="11"/>
    <cellStyle name="Comma 3 2" xfId="32"/>
    <cellStyle name="Comma 3 3" xfId="27"/>
    <cellStyle name="Comma 3 4" xfId="89"/>
    <cellStyle name="Comma 3 5" xfId="95"/>
    <cellStyle name="Comma 3 6" xfId="96"/>
    <cellStyle name="Comma 3 7" xfId="92"/>
    <cellStyle name="Comma 4" xfId="14"/>
    <cellStyle name="Comma 4 2" xfId="135"/>
    <cellStyle name="Comma 5" xfId="15"/>
    <cellStyle name="Comma 5 2" xfId="64"/>
    <cellStyle name="Comma 5 3" xfId="136"/>
    <cellStyle name="Comma 6" xfId="13"/>
    <cellStyle name="Comma 6 2" xfId="137"/>
    <cellStyle name="Comma 9" xfId="138"/>
    <cellStyle name="Comma0" xfId="30"/>
    <cellStyle name="Comma0 2" xfId="33"/>
    <cellStyle name="Comma0 3" xfId="67"/>
    <cellStyle name="Currency" xfId="2" builtinId="4"/>
    <cellStyle name="Currency 10" xfId="139"/>
    <cellStyle name="Currency 11" xfId="140"/>
    <cellStyle name="Currency 12" xfId="141"/>
    <cellStyle name="Currency 13" xfId="142"/>
    <cellStyle name="Currency 14" xfId="143"/>
    <cellStyle name="Currency 15" xfId="144"/>
    <cellStyle name="Currency 16" xfId="145"/>
    <cellStyle name="Currency 17" xfId="146"/>
    <cellStyle name="Currency 18" xfId="147"/>
    <cellStyle name="Currency 19" xfId="148"/>
    <cellStyle name="Currency 2" xfId="29"/>
    <cellStyle name="Currency 2 10" xfId="149"/>
    <cellStyle name="Currency 2 11" xfId="150"/>
    <cellStyle name="Currency 2 12" xfId="151"/>
    <cellStyle name="Currency 2 13" xfId="152"/>
    <cellStyle name="Currency 2 14" xfId="153"/>
    <cellStyle name="Currency 2 15" xfId="154"/>
    <cellStyle name="Currency 2 16" xfId="155"/>
    <cellStyle name="Currency 2 17" xfId="156"/>
    <cellStyle name="Currency 2 18" xfId="157"/>
    <cellStyle name="Currency 2 19" xfId="158"/>
    <cellStyle name="Currency 2 2" xfId="34"/>
    <cellStyle name="Currency 2 20" xfId="159"/>
    <cellStyle name="Currency 2 21" xfId="160"/>
    <cellStyle name="Currency 2 22" xfId="161"/>
    <cellStyle name="Currency 2 23" xfId="162"/>
    <cellStyle name="Currency 2 24" xfId="163"/>
    <cellStyle name="Currency 2 3" xfId="84"/>
    <cellStyle name="Currency 2 4" xfId="85"/>
    <cellStyle name="Currency 2 5" xfId="97"/>
    <cellStyle name="Currency 2 6" xfId="101"/>
    <cellStyle name="Currency 2 7" xfId="104"/>
    <cellStyle name="Currency 2 8" xfId="164"/>
    <cellStyle name="Currency 2 9" xfId="165"/>
    <cellStyle name="Currency 3" xfId="57"/>
    <cellStyle name="Currency 3 2" xfId="35"/>
    <cellStyle name="Currency 4" xfId="62"/>
    <cellStyle name="Currency 4 2" xfId="166"/>
    <cellStyle name="Currency 5" xfId="22"/>
    <cellStyle name="Currency 7" xfId="167"/>
    <cellStyle name="Currency 8" xfId="168"/>
    <cellStyle name="Currency 9" xfId="169"/>
    <cellStyle name="Currency0" xfId="68"/>
    <cellStyle name="Date" xfId="69"/>
    <cellStyle name="Fixed" xfId="70"/>
    <cellStyle name="Heading 1 10" xfId="170"/>
    <cellStyle name="Heading 1 11" xfId="171"/>
    <cellStyle name="Heading 1 12" xfId="172"/>
    <cellStyle name="Heading 1 13" xfId="173"/>
    <cellStyle name="Heading 1 14" xfId="174"/>
    <cellStyle name="Heading 1 15" xfId="175"/>
    <cellStyle name="Heading 1 16" xfId="176"/>
    <cellStyle name="Heading 1 17" xfId="177"/>
    <cellStyle name="Heading 1 18" xfId="178"/>
    <cellStyle name="Heading 1 19" xfId="179"/>
    <cellStyle name="Heading 1 2" xfId="180"/>
    <cellStyle name="Heading 1 20" xfId="71"/>
    <cellStyle name="Heading 1 3" xfId="181"/>
    <cellStyle name="Heading 1 4" xfId="182"/>
    <cellStyle name="Heading 1 5" xfId="183"/>
    <cellStyle name="Heading 1 6" xfId="184"/>
    <cellStyle name="Heading 1 7" xfId="185"/>
    <cellStyle name="Heading 1 8" xfId="186"/>
    <cellStyle name="Heading 1 9" xfId="187"/>
    <cellStyle name="Heading 2 10" xfId="188"/>
    <cellStyle name="Heading 2 11" xfId="189"/>
    <cellStyle name="Heading 2 12" xfId="190"/>
    <cellStyle name="Heading 2 13" xfId="191"/>
    <cellStyle name="Heading 2 14" xfId="192"/>
    <cellStyle name="Heading 2 15" xfId="193"/>
    <cellStyle name="Heading 2 16" xfId="194"/>
    <cellStyle name="Heading 2 17" xfId="195"/>
    <cellStyle name="Heading 2 18" xfId="196"/>
    <cellStyle name="Heading 2 19" xfId="197"/>
    <cellStyle name="Heading 2 2" xfId="198"/>
    <cellStyle name="Heading 2 20" xfId="72"/>
    <cellStyle name="Heading 2 3" xfId="199"/>
    <cellStyle name="Heading 2 4" xfId="200"/>
    <cellStyle name="Heading 2 5" xfId="201"/>
    <cellStyle name="Heading 2 6" xfId="202"/>
    <cellStyle name="Heading 2 7" xfId="203"/>
    <cellStyle name="Heading 2 8" xfId="204"/>
    <cellStyle name="Heading 2 9" xfId="205"/>
    <cellStyle name="Normal" xfId="0" builtinId="0"/>
    <cellStyle name="Normal 10" xfId="59"/>
    <cellStyle name="Normal 10 2" xfId="60"/>
    <cellStyle name="Normal 11" xfId="61"/>
    <cellStyle name="Normal 11 2" xfId="206"/>
    <cellStyle name="Normal 12" xfId="65"/>
    <cellStyle name="Normal 12 2" xfId="207"/>
    <cellStyle name="Normal 13" xfId="208"/>
    <cellStyle name="Normal 14" xfId="209"/>
    <cellStyle name="Normal 15" xfId="210"/>
    <cellStyle name="Normal 16" xfId="211"/>
    <cellStyle name="Normal 17" xfId="212"/>
    <cellStyle name="Normal 18" xfId="213"/>
    <cellStyle name="Normal 19" xfId="214"/>
    <cellStyle name="Normal 2" xfId="3"/>
    <cellStyle name="Normal 2 10" xfId="37"/>
    <cellStyle name="Normal 2 11" xfId="38"/>
    <cellStyle name="Normal 2 12" xfId="39"/>
    <cellStyle name="Normal 2 13" xfId="40"/>
    <cellStyle name="Normal 2 14" xfId="23"/>
    <cellStyle name="Normal 2 15" xfId="215"/>
    <cellStyle name="Normal 2 16" xfId="216"/>
    <cellStyle name="Normal 2 17" xfId="217"/>
    <cellStyle name="Normal 2 18" xfId="218"/>
    <cellStyle name="Normal 2 19" xfId="219"/>
    <cellStyle name="Normal 2 2" xfId="10"/>
    <cellStyle name="Normal 2 2 2" xfId="36"/>
    <cellStyle name="Normal 2 2 2 2" xfId="78"/>
    <cellStyle name="Normal 2 2 3" xfId="87"/>
    <cellStyle name="Normal 2 2 4" xfId="91"/>
    <cellStyle name="Normal 2 20" xfId="220"/>
    <cellStyle name="Normal 2 21" xfId="221"/>
    <cellStyle name="Normal 2 22" xfId="222"/>
    <cellStyle name="Normal 2 23" xfId="223"/>
    <cellStyle name="Normal 2 24" xfId="224"/>
    <cellStyle name="Normal 2 25" xfId="225"/>
    <cellStyle name="Normal 2 26" xfId="226"/>
    <cellStyle name="Normal 2 27" xfId="287"/>
    <cellStyle name="Normal 2 28" xfId="283"/>
    <cellStyle name="Normal 2 29" xfId="285"/>
    <cellStyle name="Normal 2 3" xfId="6"/>
    <cellStyle name="Normal 2 3 2" xfId="41"/>
    <cellStyle name="Normal 2 3 3" xfId="80"/>
    <cellStyle name="Normal 2 30" xfId="288"/>
    <cellStyle name="Normal 2 4" xfId="42"/>
    <cellStyle name="Normal 2 4 2" xfId="82"/>
    <cellStyle name="Normal 2 5" xfId="43"/>
    <cellStyle name="Normal 2 6" xfId="44"/>
    <cellStyle name="Normal 2 7" xfId="45"/>
    <cellStyle name="Normal 2 8" xfId="46"/>
    <cellStyle name="Normal 2 9" xfId="47"/>
    <cellStyle name="Normal 20" xfId="227"/>
    <cellStyle name="Normal 3" xfId="16"/>
    <cellStyle name="Normal 3 2" xfId="48"/>
    <cellStyle name="Normal 3 2 2" xfId="79"/>
    <cellStyle name="Normal 3 3" xfId="58"/>
    <cellStyle name="Normal 3 3 2" xfId="81"/>
    <cellStyle name="Normal 3 4" xfId="24"/>
    <cellStyle name="Normal 3 4 2" xfId="83"/>
    <cellStyle name="Normal 4" xfId="17"/>
    <cellStyle name="Normal 4 2" xfId="49"/>
    <cellStyle name="Normal 4 3" xfId="25"/>
    <cellStyle name="Normal 4 4" xfId="77"/>
    <cellStyle name="Normal 5" xfId="18"/>
    <cellStyle name="Normal 5 2" xfId="26"/>
    <cellStyle name="Normal 5 3" xfId="228"/>
    <cellStyle name="Normal 6" xfId="19"/>
    <cellStyle name="Normal 6 2" xfId="50"/>
    <cellStyle name="Normal 6 3" xfId="229"/>
    <cellStyle name="Normal 7" xfId="12"/>
    <cellStyle name="Normal 7 2" xfId="51"/>
    <cellStyle name="Normal 8" xfId="21"/>
    <cellStyle name="Normal 8 2" xfId="52"/>
    <cellStyle name="Normal 9" xfId="53"/>
    <cellStyle name="Normal 9 2" xfId="230"/>
    <cellStyle name="Normal_Sheet1 2" xfId="289"/>
    <cellStyle name="Percent" xfId="290" builtinId="5"/>
    <cellStyle name="Percent 10" xfId="231"/>
    <cellStyle name="Percent 11" xfId="232"/>
    <cellStyle name="Percent 12" xfId="233"/>
    <cellStyle name="Percent 13" xfId="234"/>
    <cellStyle name="Percent 14" xfId="235"/>
    <cellStyle name="Percent 15" xfId="236"/>
    <cellStyle name="Percent 16" xfId="237"/>
    <cellStyle name="Percent 17" xfId="238"/>
    <cellStyle name="Percent 18" xfId="239"/>
    <cellStyle name="Percent 19" xfId="240"/>
    <cellStyle name="Percent 2" xfId="5"/>
    <cellStyle name="Percent 2 10" xfId="241"/>
    <cellStyle name="Percent 2 11" xfId="242"/>
    <cellStyle name="Percent 2 12" xfId="243"/>
    <cellStyle name="Percent 2 13" xfId="244"/>
    <cellStyle name="Percent 2 14" xfId="245"/>
    <cellStyle name="Percent 2 15" xfId="246"/>
    <cellStyle name="Percent 2 16" xfId="247"/>
    <cellStyle name="Percent 2 17" xfId="248"/>
    <cellStyle name="Percent 2 18" xfId="249"/>
    <cellStyle name="Percent 2 19" xfId="250"/>
    <cellStyle name="Percent 2 2" xfId="7"/>
    <cellStyle name="Percent 2 2 2" xfId="54"/>
    <cellStyle name="Percent 2 20" xfId="251"/>
    <cellStyle name="Percent 2 21" xfId="252"/>
    <cellStyle name="Percent 2 22" xfId="253"/>
    <cellStyle name="Percent 2 23" xfId="254"/>
    <cellStyle name="Percent 2 24" xfId="255"/>
    <cellStyle name="Percent 2 3" xfId="86"/>
    <cellStyle name="Percent 2 4" xfId="75"/>
    <cellStyle name="Percent 2 5" xfId="99"/>
    <cellStyle name="Percent 2 6" xfId="102"/>
    <cellStyle name="Percent 2 7" xfId="105"/>
    <cellStyle name="Percent 2 8" xfId="256"/>
    <cellStyle name="Percent 2 9" xfId="257"/>
    <cellStyle name="Percent 20" xfId="258"/>
    <cellStyle name="Percent 3" xfId="9"/>
    <cellStyle name="Percent 3 2" xfId="55"/>
    <cellStyle name="Percent 3 3" xfId="28"/>
    <cellStyle name="Percent 3 4" xfId="90"/>
    <cellStyle name="Percent 3 5" xfId="100"/>
    <cellStyle name="Percent 3 6" xfId="103"/>
    <cellStyle name="Percent 3 7" xfId="106"/>
    <cellStyle name="Percent 4" xfId="20"/>
    <cellStyle name="Percent 4 2" xfId="56"/>
    <cellStyle name="Percent 5" xfId="63"/>
    <cellStyle name="Percent 5 2" xfId="259"/>
    <cellStyle name="Percent 6" xfId="260"/>
    <cellStyle name="Percent 8" xfId="261"/>
    <cellStyle name="Percent 9" xfId="262"/>
    <cellStyle name="Total 10" xfId="263"/>
    <cellStyle name="Total 11" xfId="264"/>
    <cellStyle name="Total 12" xfId="265"/>
    <cellStyle name="Total 13" xfId="266"/>
    <cellStyle name="Total 14" xfId="267"/>
    <cellStyle name="Total 15" xfId="268"/>
    <cellStyle name="Total 16" xfId="269"/>
    <cellStyle name="Total 17" xfId="270"/>
    <cellStyle name="Total 18" xfId="271"/>
    <cellStyle name="Total 19" xfId="272"/>
    <cellStyle name="Total 2" xfId="273"/>
    <cellStyle name="Total 20" xfId="73"/>
    <cellStyle name="Total 3" xfId="274"/>
    <cellStyle name="Total 4" xfId="275"/>
    <cellStyle name="Total 5" xfId="276"/>
    <cellStyle name="Total 6" xfId="277"/>
    <cellStyle name="Total 7" xfId="278"/>
    <cellStyle name="Total 8" xfId="279"/>
    <cellStyle name="Total 9" xfId="280"/>
  </cellStyles>
  <dxfs count="2">
    <dxf>
      <numFmt numFmtId="27" formatCode="m/d/yyyy\ h:mm"/>
    </dxf>
    <dxf>
      <font>
        <b/>
        <i val="0"/>
        <strike val="0"/>
        <u val="none"/>
        <color theme="0"/>
      </font>
      <fill>
        <patternFill>
          <bgColor rgb="FFFF0000"/>
        </patternFill>
      </fill>
    </dxf>
  </dxfs>
  <tableStyles count="0" defaultTableStyle="TableStyleMedium2" defaultPivotStyle="PivotStyleLight16"/>
  <colors>
    <mruColors>
      <color rgb="FFFFE1E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onnections" Target="connection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ctrlProps/ctrlProp1.xml><?xml version="1.0" encoding="utf-8"?>
<formControlPr xmlns="http://schemas.microsoft.com/office/spreadsheetml/2009/9/main" objectType="Drop" dropLines="30" dropStyle="combo" dx="16" fmlaLink="A3" fmlaRange="$X$3:$X$31" noThreeD="1"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1</xdr:row>
          <xdr:rowOff>171450</xdr:rowOff>
        </xdr:from>
        <xdr:to>
          <xdr:col>3</xdr:col>
          <xdr:colOff>314325</xdr:colOff>
          <xdr:row>3</xdr:row>
          <xdr:rowOff>85725</xdr:rowOff>
        </xdr:to>
        <xdr:sp macro="" textlink="">
          <xdr:nvSpPr>
            <xdr:cNvPr id="63489" name="Drop Down 1" hidden="1">
              <a:extLst>
                <a:ext uri="{63B3BB69-23CF-44E3-9099-C40C66FF867C}">
                  <a14:compatExt spid="_x0000_s63489"/>
                </a:ext>
              </a:extLst>
            </xdr:cNvPr>
            <xdr:cNvSpPr/>
          </xdr:nvSpPr>
          <xdr:spPr>
            <a:xfrm>
              <a:off x="0" y="0"/>
              <a:ext cx="0" cy="0"/>
            </a:xfrm>
            <a:prstGeom prst="rect">
              <a:avLst/>
            </a:prstGeom>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TC%20Expenditure%20Study%20199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Rate History"/>
      <sheetName val="FTSE Summary"/>
      <sheetName val="Discipline Summary"/>
      <sheetName val="Discipline Analysis"/>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8"/>
      <sheetName val="49"/>
      <sheetName val="50"/>
      <sheetName val="51"/>
      <sheetName val="52"/>
      <sheetName val="53"/>
      <sheetName val="54"/>
      <sheetName val="55"/>
      <sheetName val="56"/>
      <sheetName val="57"/>
      <sheetName val="Data"/>
    </sheetNames>
    <sheetDataSet>
      <sheetData sheetId="0">
        <row r="1">
          <cell r="A1" t="str">
            <v>Community and Technical Colleges, Report of Fundable Operating Expenses, Fiscal Year (FY) 1999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queryTables/queryTable1.xml><?xml version="1.0" encoding="utf-8"?>
<queryTable xmlns="http://schemas.openxmlformats.org/spreadsheetml/2006/main" name="Broadway AP_FRP_RFOE CCSurvey" adjustColumnWidth="0" connectionId="1" autoFormatId="16" applyNumberFormats="0" applyBorderFormats="0" applyFontFormats="0" applyPatternFormats="0" applyAlignmentFormats="0" applyWidthHeightFormats="0">
  <queryTableRefresh nextId="315">
    <queryTableFields count="314">
      <queryTableField id="1" name="FICE" tableColumnId="1"/>
      <queryTableField id="2" name="Password" tableColumnId="2"/>
      <queryTableField id="3" name="Approved" tableColumnId="3"/>
      <queryTableField id="4" name="ApprovalDate" tableColumnId="4"/>
      <queryTableField id="5" name="LastMod" tableColumnId="5"/>
      <queryTableField id="6" name="CBNote" tableColumnId="6"/>
      <queryTableField id="7" name="dist_name" tableColumnId="7"/>
      <queryTableField id="8" name="person" tableColumnId="8"/>
      <queryTableField id="9" name="title" tableColumnId="9"/>
      <queryTableField id="10" name="phone" tableColumnId="10"/>
      <queryTableField id="11" name="email" tableColumnId="11"/>
      <queryTableField id="12" name="GrandTotal" tableColumnId="12"/>
      <queryTableField id="13" name="SecATotal" tableColumnId="13"/>
      <queryTableField id="14" name="SecBTotal" tableColumnId="14"/>
      <queryTableField id="15" name="AFRExb2" tableColumnId="15"/>
      <queryTableField id="16" name="Difference" tableColumnId="16"/>
      <queryTableField id="17" name="Sec2Local" tableColumnId="17"/>
      <queryTableField id="18" name="Sec2State" tableColumnId="18"/>
      <queryTableField id="19" name="Sec2_Total" tableColumnId="19"/>
      <queryTableField id="20" name="Sec3SW1" tableColumnId="20"/>
      <queryTableField id="21" name="Sec3SW2" tableColumnId="21"/>
      <queryTableField id="22" name="Sec3SW3" tableColumnId="22"/>
      <queryTableField id="23" name="Sec3SW4" tableColumnId="23"/>
      <queryTableField id="24" name="Sec3SW5" tableColumnId="24"/>
      <queryTableField id="25" name="Sec3SW6" tableColumnId="25"/>
      <queryTableField id="26" name="Sec3SWTotal" tableColumnId="26"/>
      <queryTableField id="27" name="Sec3Oth1" tableColumnId="27"/>
      <queryTableField id="28" name="Sec3Oth2" tableColumnId="28"/>
      <queryTableField id="29" name="Sec3Oth3" tableColumnId="29"/>
      <queryTableField id="30" name="Sec3Oth4" tableColumnId="30"/>
      <queryTableField id="31" name="Sec3Oth5" tableColumnId="31"/>
      <queryTableField id="32" name="Sec3Oth6" tableColumnId="32"/>
      <queryTableField id="33" name="Sec3OthTotal" tableColumnId="33"/>
      <queryTableField id="34" name="Sec3_1" tableColumnId="34"/>
      <queryTableField id="35" name="Sec3_2" tableColumnId="35"/>
      <queryTableField id="36" name="Sec3_3" tableColumnId="36"/>
      <queryTableField id="37" name="Sec3_4" tableColumnId="37"/>
      <queryTableField id="38" name="Sec3_5" tableColumnId="38"/>
      <queryTableField id="39" name="Sec3_6" tableColumnId="39"/>
      <queryTableField id="40" name="Sec3_Total" tableColumnId="40"/>
      <queryTableField id="41" name="Sec4SW1" tableColumnId="41"/>
      <queryTableField id="42" name="Sec4SW2" tableColumnId="42"/>
      <queryTableField id="43" name="Sec4SW3" tableColumnId="43"/>
      <queryTableField id="44" name="Sec4SW4" tableColumnId="44"/>
      <queryTableField id="45" name="Sec4SWTotal" tableColumnId="45"/>
      <queryTableField id="46" name="Sec4Oth1" tableColumnId="46"/>
      <queryTableField id="47" name="Sec4Oth2" tableColumnId="47"/>
      <queryTableField id="48" name="Sec4Oth3" tableColumnId="48"/>
      <queryTableField id="49" name="Sec4Oth4" tableColumnId="49"/>
      <queryTableField id="50" name="Sec4OthTotal" tableColumnId="50"/>
      <queryTableField id="51" name="Sec4_1" tableColumnId="51"/>
      <queryTableField id="52" name="Sec4_2" tableColumnId="52"/>
      <queryTableField id="53" name="Sec4_3" tableColumnId="53"/>
      <queryTableField id="54" name="Sec4_4" tableColumnId="54"/>
      <queryTableField id="55" name="Sec4_Total" tableColumnId="55"/>
      <queryTableField id="56" name="Sec5SW1" tableColumnId="56"/>
      <queryTableField id="57" name="Sec5SW2" tableColumnId="57"/>
      <queryTableField id="58" name="Sec5SW3" tableColumnId="58"/>
      <queryTableField id="59" name="Sec5SW4" tableColumnId="59"/>
      <queryTableField id="60" name="Sec5SW5" tableColumnId="60"/>
      <queryTableField id="61" name="Sec5SWTotal" tableColumnId="61"/>
      <queryTableField id="62" name="Sec5SB1" tableColumnId="62"/>
      <queryTableField id="63" name="Sec5SB2" tableColumnId="63"/>
      <queryTableField id="64" name="Sec5SB3" tableColumnId="64"/>
      <queryTableField id="65" name="Sec5SB4" tableColumnId="65"/>
      <queryTableField id="66" name="Sec5SB5" tableColumnId="66"/>
      <queryTableField id="67" name="Sec5SBTotal" tableColumnId="67"/>
      <queryTableField id="68" name="Sec5Oth1" tableColumnId="68"/>
      <queryTableField id="69" name="Sec5Oth2" tableColumnId="69"/>
      <queryTableField id="70" name="Sec5Oth3" tableColumnId="70"/>
      <queryTableField id="71" name="Sec5Oth4" tableColumnId="71"/>
      <queryTableField id="72" name="Sec5Oth5" tableColumnId="72"/>
      <queryTableField id="73" name="Sec5OthTotal" tableColumnId="73"/>
      <queryTableField id="74" name="Sec5_1" tableColumnId="74"/>
      <queryTableField id="75" name="Sec5_2" tableColumnId="75"/>
      <queryTableField id="76" name="Sec5_3" tableColumnId="76"/>
      <queryTableField id="77" name="Sec5_4" tableColumnId="77"/>
      <queryTableField id="78" name="Sec5_5" tableColumnId="78"/>
      <queryTableField id="79" name="Sec5_Total" tableColumnId="79"/>
      <queryTableField id="80" name="Sec6SW1" tableColumnId="80"/>
      <queryTableField id="81" name="Sec6SW2" tableColumnId="81"/>
      <queryTableField id="82" name="Sec6SW3" tableColumnId="82"/>
      <queryTableField id="83" name="Sec6SWTotal" tableColumnId="83"/>
      <queryTableField id="84" name="Sec6SB1" tableColumnId="84"/>
      <queryTableField id="85" name="Sec6SB2" tableColumnId="85"/>
      <queryTableField id="86" name="Sec6SB3" tableColumnId="86"/>
      <queryTableField id="87" name="Sec6SBTotal" tableColumnId="87"/>
      <queryTableField id="88" name="Sec6Oth1" tableColumnId="88"/>
      <queryTableField id="89" name="Sec6Oth2" tableColumnId="89"/>
      <queryTableField id="90" name="Sec6Oth3" tableColumnId="90"/>
      <queryTableField id="91" name="Sec6OthTotal" tableColumnId="91"/>
      <queryTableField id="92" name="Sec6_1" tableColumnId="92"/>
      <queryTableField id="93" name="Sec6_2" tableColumnId="93"/>
      <queryTableField id="94" name="Sec6_3" tableColumnId="94"/>
      <queryTableField id="95" name="Sec6_Total" tableColumnId="95"/>
      <queryTableField id="96" name="FICE_Link" tableColumnId="96"/>
      <queryTableField id="97" name="LocalBenefits" tableColumnId="97"/>
      <queryTableField id="98" name="StateBenefits" tableColumnId="98"/>
      <queryTableField id="99" name="HRS1" tableColumnId="99"/>
      <queryTableField id="100" name="HRS2" tableColumnId="100"/>
      <queryTableField id="101" name="HRS3" tableColumnId="101"/>
      <queryTableField id="102" name="HRS4" tableColumnId="102"/>
      <queryTableField id="103" name="HRS5" tableColumnId="103"/>
      <queryTableField id="104" name="HRS6" tableColumnId="104"/>
      <queryTableField id="105" name="HRS7" tableColumnId="105"/>
      <queryTableField id="106" name="HRS8" tableColumnId="106"/>
      <queryTableField id="107" name="HRS9" tableColumnId="107"/>
      <queryTableField id="108" name="HRS10" tableColumnId="108"/>
      <queryTableField id="109" name="HRS11" tableColumnId="109"/>
      <queryTableField id="110" name="HRS12" tableColumnId="110"/>
      <queryTableField id="111" name="HRS13" tableColumnId="111"/>
      <queryTableField id="112" name="HRS14" tableColumnId="112"/>
      <queryTableField id="113" name="HRS15" tableColumnId="113"/>
      <queryTableField id="114" name="HRS16" tableColumnId="114"/>
      <queryTableField id="115" name="HRS17" tableColumnId="115"/>
      <queryTableField id="116" name="HRS18" tableColumnId="116"/>
      <queryTableField id="117" name="HRS19" tableColumnId="117"/>
      <queryTableField id="118" name="HRS20" tableColumnId="118"/>
      <queryTableField id="119" name="HRS21" tableColumnId="119"/>
      <queryTableField id="120" name="HRS22" tableColumnId="120"/>
      <queryTableField id="121" name="HRS23" tableColumnId="121"/>
      <queryTableField id="122" name="HRS24" tableColumnId="122"/>
      <queryTableField id="123" name="HRS25" tableColumnId="123"/>
      <queryTableField id="124" name="HRS26" tableColumnId="124"/>
      <queryTableField id="125" name="HRS27" tableColumnId="125"/>
      <queryTableField id="126" name="HRS28" tableColumnId="126"/>
      <queryTableField id="127" name="HRS29" tableColumnId="127"/>
      <queryTableField id="128" name="HRSTotal" tableColumnId="128"/>
      <queryTableField id="129" name="FacSal1" tableColumnId="129"/>
      <queryTableField id="130" name="FacSal2" tableColumnId="130"/>
      <queryTableField id="131" name="FacSal3" tableColumnId="131"/>
      <queryTableField id="132" name="FacSal4" tableColumnId="132"/>
      <queryTableField id="133" name="FacSal5" tableColumnId="133"/>
      <queryTableField id="134" name="FacSal6" tableColumnId="134"/>
      <queryTableField id="135" name="FacSal7" tableColumnId="135"/>
      <queryTableField id="136" name="FacSal8" tableColumnId="136"/>
      <queryTableField id="137" name="FacSal9" tableColumnId="137"/>
      <queryTableField id="138" name="FacSal10" tableColumnId="138"/>
      <queryTableField id="139" name="FacSal11" tableColumnId="139"/>
      <queryTableField id="140" name="FacSal12" tableColumnId="140"/>
      <queryTableField id="141" name="FacSal13" tableColumnId="141"/>
      <queryTableField id="142" name="FacSal14" tableColumnId="142"/>
      <queryTableField id="143" name="FacSal15" tableColumnId="143"/>
      <queryTableField id="144" name="FacSal16" tableColumnId="144"/>
      <queryTableField id="145" name="FacSal17" tableColumnId="145"/>
      <queryTableField id="146" name="FacSal18" tableColumnId="146"/>
      <queryTableField id="147" name="FacSal19" tableColumnId="147"/>
      <queryTableField id="148" name="FacSal20" tableColumnId="148"/>
      <queryTableField id="149" name="FacSal21" tableColumnId="149"/>
      <queryTableField id="150" name="FacSal22" tableColumnId="150"/>
      <queryTableField id="151" name="FacSal23" tableColumnId="151"/>
      <queryTableField id="152" name="FacSal24" tableColumnId="152"/>
      <queryTableField id="153" name="FacSal25" tableColumnId="153"/>
      <queryTableField id="154" name="FacSal26" tableColumnId="154"/>
      <queryTableField id="155" name="FacSal27" tableColumnId="155"/>
      <queryTableField id="156" name="FacSal28" tableColumnId="156"/>
      <queryTableField id="157" name="FacSal29" tableColumnId="157"/>
      <queryTableField id="158" name="FacSalTotal" tableColumnId="158"/>
      <queryTableField id="159" name="OthSal1" tableColumnId="159"/>
      <queryTableField id="160" name="OthSal2" tableColumnId="160"/>
      <queryTableField id="161" name="OthSal3" tableColumnId="161"/>
      <queryTableField id="162" name="OthSal4" tableColumnId="162"/>
      <queryTableField id="163" name="OthSal5" tableColumnId="163"/>
      <queryTableField id="164" name="OthSal6" tableColumnId="164"/>
      <queryTableField id="165" name="OthSal7" tableColumnId="165"/>
      <queryTableField id="166" name="OthSal8" tableColumnId="166"/>
      <queryTableField id="167" name="OthSal9" tableColumnId="167"/>
      <queryTableField id="168" name="OthSal10" tableColumnId="168"/>
      <queryTableField id="169" name="OthSal11" tableColumnId="169"/>
      <queryTableField id="170" name="OthSal12" tableColumnId="170"/>
      <queryTableField id="171" name="OthSal13" tableColumnId="171"/>
      <queryTableField id="172" name="OthSal14" tableColumnId="172"/>
      <queryTableField id="173" name="OthSal15" tableColumnId="173"/>
      <queryTableField id="174" name="OthSal16" tableColumnId="174"/>
      <queryTableField id="175" name="OthSal17" tableColumnId="175"/>
      <queryTableField id="176" name="OthSal18" tableColumnId="176"/>
      <queryTableField id="177" name="OthSal19" tableColumnId="177"/>
      <queryTableField id="178" name="OthSal20" tableColumnId="178"/>
      <queryTableField id="179" name="OthSal21" tableColumnId="179"/>
      <queryTableField id="180" name="OthSal22" tableColumnId="180"/>
      <queryTableField id="181" name="OthSal23" tableColumnId="181"/>
      <queryTableField id="182" name="OthSal24" tableColumnId="182"/>
      <queryTableField id="183" name="OthSal25" tableColumnId="183"/>
      <queryTableField id="184" name="OthSal26" tableColumnId="184"/>
      <queryTableField id="185" name="OthSal27" tableColumnId="185"/>
      <queryTableField id="186" name="OthSal28" tableColumnId="186"/>
      <queryTableField id="187" name="OthSal29" tableColumnId="187"/>
      <queryTableField id="188" name="OthSalTotal" tableColumnId="188"/>
      <queryTableField id="189" name="Benefits1" tableColumnId="189"/>
      <queryTableField id="190" name="Benefits2" tableColumnId="190"/>
      <queryTableField id="191" name="Benefits3" tableColumnId="191"/>
      <queryTableField id="192" name="Benefits4" tableColumnId="192"/>
      <queryTableField id="193" name="Benefits5" tableColumnId="193"/>
      <queryTableField id="194" name="Benefits6" tableColumnId="194"/>
      <queryTableField id="195" name="Benefits7" tableColumnId="195"/>
      <queryTableField id="196" name="Benefits8" tableColumnId="196"/>
      <queryTableField id="197" name="Benefits9" tableColumnId="197"/>
      <queryTableField id="198" name="Benefits10" tableColumnId="198"/>
      <queryTableField id="199" name="Benefits11" tableColumnId="199"/>
      <queryTableField id="200" name="Benefits12" tableColumnId="200"/>
      <queryTableField id="201" name="Benefits13" tableColumnId="201"/>
      <queryTableField id="202" name="Benefits14" tableColumnId="202"/>
      <queryTableField id="203" name="Benefits15" tableColumnId="203"/>
      <queryTableField id="204" name="Benefits16" tableColumnId="204"/>
      <queryTableField id="205" name="Benefits17" tableColumnId="205"/>
      <queryTableField id="206" name="Benefits18" tableColumnId="206"/>
      <queryTableField id="207" name="Benefits19" tableColumnId="207"/>
      <queryTableField id="208" name="Benefits20" tableColumnId="208"/>
      <queryTableField id="209" name="Benefits21" tableColumnId="209"/>
      <queryTableField id="210" name="Benefits22" tableColumnId="210"/>
      <queryTableField id="211" name="Benefits23" tableColumnId="211"/>
      <queryTableField id="212" name="Benefits24" tableColumnId="212"/>
      <queryTableField id="213" name="Benefits25" tableColumnId="213"/>
      <queryTableField id="214" name="Benefits26" tableColumnId="214"/>
      <queryTableField id="215" name="Benefits27" tableColumnId="215"/>
      <queryTableField id="216" name="Benefits28" tableColumnId="216"/>
      <queryTableField id="217" name="Benefits29" tableColumnId="217"/>
      <queryTableField id="218" name="BenefitsTotal" tableColumnId="218"/>
      <queryTableField id="219" name="OtherOps1" tableColumnId="219"/>
      <queryTableField id="220" name="OtherOps2" tableColumnId="220"/>
      <queryTableField id="221" name="OtherOps3" tableColumnId="221"/>
      <queryTableField id="222" name="OtherOps4" tableColumnId="222"/>
      <queryTableField id="223" name="OtherOps5" tableColumnId="223"/>
      <queryTableField id="224" name="OtherOps6" tableColumnId="224"/>
      <queryTableField id="225" name="OtherOps7" tableColumnId="225"/>
      <queryTableField id="226" name="OtherOps8" tableColumnId="226"/>
      <queryTableField id="227" name="OtherOps9" tableColumnId="227"/>
      <queryTableField id="228" name="OtherOps10" tableColumnId="228"/>
      <queryTableField id="229" name="OtherOps11" tableColumnId="229"/>
      <queryTableField id="230" name="OtherOps12" tableColumnId="230"/>
      <queryTableField id="231" name="OtherOps13" tableColumnId="231"/>
      <queryTableField id="232" name="OtherOps14" tableColumnId="232"/>
      <queryTableField id="233" name="OtherOps15" tableColumnId="233"/>
      <queryTableField id="234" name="OtherOps16" tableColumnId="234"/>
      <queryTableField id="235" name="OtherOps17" tableColumnId="235"/>
      <queryTableField id="236" name="OtherOps18" tableColumnId="236"/>
      <queryTableField id="237" name="OtherOps19" tableColumnId="237"/>
      <queryTableField id="238" name="OtherOps20" tableColumnId="238"/>
      <queryTableField id="239" name="OtherOps21" tableColumnId="239"/>
      <queryTableField id="240" name="OtherOps22" tableColumnId="240"/>
      <queryTableField id="241" name="OtherOps23" tableColumnId="241"/>
      <queryTableField id="242" name="OtherOps24" tableColumnId="242"/>
      <queryTableField id="243" name="OtherOps25" tableColumnId="243"/>
      <queryTableField id="244" name="OtherOps26" tableColumnId="244"/>
      <queryTableField id="245" name="OtherOps27" tableColumnId="245"/>
      <queryTableField id="246" name="OtherOps28" tableColumnId="246"/>
      <queryTableField id="247" name="OtherOps29" tableColumnId="247"/>
      <queryTableField id="248" name="OtherOpsTotal" tableColumnId="248"/>
      <queryTableField id="249" name="DOE1" tableColumnId="249"/>
      <queryTableField id="250" name="DOE2" tableColumnId="250"/>
      <queryTableField id="251" name="DOE3" tableColumnId="251"/>
      <queryTableField id="252" name="DOE4" tableColumnId="252"/>
      <queryTableField id="253" name="DOE5" tableColumnId="253"/>
      <queryTableField id="254" name="DOE6" tableColumnId="254"/>
      <queryTableField id="255" name="DOE7" tableColumnId="255"/>
      <queryTableField id="256" name="DOE8" tableColumnId="256"/>
      <queryTableField id="257" name="DOE9" tableColumnId="257"/>
      <queryTableField id="258" name="DOE10" tableColumnId="258"/>
      <queryTableField id="259" name="DOE11" tableColumnId="259"/>
      <queryTableField id="260" name="DOE12" tableColumnId="260"/>
      <queryTableField id="261" name="DOE13" tableColumnId="261"/>
      <queryTableField id="262" name="DOE14" tableColumnId="262"/>
      <queryTableField id="263" name="DOE15" tableColumnId="263"/>
      <queryTableField id="264" name="DOE16" tableColumnId="264"/>
      <queryTableField id="265" name="DOE17" tableColumnId="265"/>
      <queryTableField id="266" name="DOE18" tableColumnId="266"/>
      <queryTableField id="267" name="DOE19" tableColumnId="267"/>
      <queryTableField id="268" name="DOE20" tableColumnId="268"/>
      <queryTableField id="269" name="DOE21" tableColumnId="269"/>
      <queryTableField id="270" name="DOE22" tableColumnId="270"/>
      <queryTableField id="271" name="DOE23" tableColumnId="271"/>
      <queryTableField id="272" name="DOE24" tableColumnId="272"/>
      <queryTableField id="273" name="DOE25" tableColumnId="273"/>
      <queryTableField id="274" name="DOE26" tableColumnId="274"/>
      <queryTableField id="275" name="DOE27" tableColumnId="275"/>
      <queryTableField id="276" name="DOE28" tableColumnId="276"/>
      <queryTableField id="277" name="DOE29" tableColumnId="277"/>
      <queryTableField id="278" name="DOETotal" tableColumnId="278"/>
      <queryTableField id="279" name="Total1" tableColumnId="279"/>
      <queryTableField id="280" name="Total2" tableColumnId="280"/>
      <queryTableField id="281" name="Total3" tableColumnId="281"/>
      <queryTableField id="282" name="Total4" tableColumnId="282"/>
      <queryTableField id="283" name="Total5" tableColumnId="283"/>
      <queryTableField id="284" name="Total6" tableColumnId="284"/>
      <queryTableField id="285" name="Total7" tableColumnId="285"/>
      <queryTableField id="286" name="Total8" tableColumnId="286"/>
      <queryTableField id="287" name="Total9" tableColumnId="287"/>
      <queryTableField id="288" name="Total10" tableColumnId="288"/>
      <queryTableField id="289" name="Total11" tableColumnId="289"/>
      <queryTableField id="290" name="Total12" tableColumnId="290"/>
      <queryTableField id="291" name="Total13" tableColumnId="291"/>
      <queryTableField id="292" name="Total14" tableColumnId="292"/>
      <queryTableField id="293" name="Total15" tableColumnId="293"/>
      <queryTableField id="294" name="Total16" tableColumnId="294"/>
      <queryTableField id="295" name="Total17" tableColumnId="295"/>
      <queryTableField id="296" name="Total18" tableColumnId="296"/>
      <queryTableField id="297" name="Total19" tableColumnId="297"/>
      <queryTableField id="298" name="Total20" tableColumnId="298"/>
      <queryTableField id="299" name="Total21" tableColumnId="299"/>
      <queryTableField id="300" name="Total22" tableColumnId="300"/>
      <queryTableField id="301" name="Total23" tableColumnId="301"/>
      <queryTableField id="302" name="Total24" tableColumnId="302"/>
      <queryTableField id="303" name="Total25" tableColumnId="303"/>
      <queryTableField id="304" name="Total26" tableColumnId="304"/>
      <queryTableField id="305" name="Total27" tableColumnId="305"/>
      <queryTableField id="306" name="Total28" tableColumnId="306"/>
      <queryTableField id="307" name="Total29" tableColumnId="307"/>
      <queryTableField id="308" name="Sec1_Total" tableColumnId="308"/>
      <queryTableField id="309" name="Comments" tableColumnId="309"/>
      <queryTableField id="310" name="PartA" tableColumnId="310"/>
      <queryTableField id="311" name="PartB" tableColumnId="311"/>
      <queryTableField id="312" name="GrandTotalExpenses" tableColumnId="312"/>
      <queryTableField id="313" name="AFRDifference" tableColumnId="313"/>
      <queryTableField id="314" name="Depreciation" tableColumnId="3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_Broadway_AP_FRP_RFOE_CCSurvey" displayName="Table_Broadway_AP_FRP_RFOE_CCSurvey" ref="A4:LB61" tableType="queryTable" totalsRowShown="0">
  <autoFilter ref="A4:LB61"/>
  <tableColumns count="314">
    <tableColumn id="1" uniqueName="1" name="FICE" queryTableFieldId="1"/>
    <tableColumn id="2" uniqueName="2" name="Password" queryTableFieldId="2"/>
    <tableColumn id="3" uniqueName="3" name="Approved" queryTableFieldId="3"/>
    <tableColumn id="4" uniqueName="4" name="ApprovalDate" queryTableFieldId="4"/>
    <tableColumn id="5" uniqueName="5" name="LastMod" queryTableFieldId="5" dataDxfId="0"/>
    <tableColumn id="6" uniqueName="6" name="CBNote" queryTableFieldId="6"/>
    <tableColumn id="7" uniqueName="7" name="dist_name" queryTableFieldId="7"/>
    <tableColumn id="8" uniqueName="8" name="person" queryTableFieldId="8"/>
    <tableColumn id="9" uniqueName="9" name="title" queryTableFieldId="9"/>
    <tableColumn id="10" uniqueName="10" name="phone" queryTableFieldId="10"/>
    <tableColumn id="11" uniqueName="11" name="email" queryTableFieldId="11"/>
    <tableColumn id="12" uniqueName="12" name="GrandTotal" queryTableFieldId="12"/>
    <tableColumn id="13" uniqueName="13" name="SecATotal" queryTableFieldId="13"/>
    <tableColumn id="14" uniqueName="14" name="SecBTotal" queryTableFieldId="14"/>
    <tableColumn id="15" uniqueName="15" name="AFRExb2" queryTableFieldId="15"/>
    <tableColumn id="16" uniqueName="16" name="Difference" queryTableFieldId="16"/>
    <tableColumn id="17" uniqueName="17" name="Sec2Local" queryTableFieldId="17"/>
    <tableColumn id="18" uniqueName="18" name="Sec2State" queryTableFieldId="18"/>
    <tableColumn id="19" uniqueName="19" name="Sec2_Total" queryTableFieldId="19"/>
    <tableColumn id="20" uniqueName="20" name="Sec3SW1" queryTableFieldId="20"/>
    <tableColumn id="21" uniqueName="21" name="Sec3SW2" queryTableFieldId="21"/>
    <tableColumn id="22" uniqueName="22" name="Sec3SW3" queryTableFieldId="22"/>
    <tableColumn id="23" uniqueName="23" name="Sec3SW4" queryTableFieldId="23"/>
    <tableColumn id="24" uniqueName="24" name="Sec3SW5" queryTableFieldId="24"/>
    <tableColumn id="25" uniqueName="25" name="Sec3SW6" queryTableFieldId="25"/>
    <tableColumn id="26" uniqueName="26" name="Sec3SWTotal" queryTableFieldId="26"/>
    <tableColumn id="27" uniqueName="27" name="Sec3Oth1" queryTableFieldId="27"/>
    <tableColumn id="28" uniqueName="28" name="Sec3Oth2" queryTableFieldId="28"/>
    <tableColumn id="29" uniqueName="29" name="Sec3Oth3" queryTableFieldId="29"/>
    <tableColumn id="30" uniqueName="30" name="Sec3Oth4" queryTableFieldId="30"/>
    <tableColumn id="31" uniqueName="31" name="Sec3Oth5" queryTableFieldId="31"/>
    <tableColumn id="32" uniqueName="32" name="Sec3Oth6" queryTableFieldId="32"/>
    <tableColumn id="33" uniqueName="33" name="Sec3OthTotal" queryTableFieldId="33"/>
    <tableColumn id="34" uniqueName="34" name="Sec3_1" queryTableFieldId="34"/>
    <tableColumn id="35" uniqueName="35" name="Sec3_2" queryTableFieldId="35"/>
    <tableColumn id="36" uniqueName="36" name="Sec3_3" queryTableFieldId="36"/>
    <tableColumn id="37" uniqueName="37" name="Sec3_4" queryTableFieldId="37"/>
    <tableColumn id="38" uniqueName="38" name="Sec3_5" queryTableFieldId="38"/>
    <tableColumn id="39" uniqueName="39" name="Sec3_6" queryTableFieldId="39"/>
    <tableColumn id="40" uniqueName="40" name="Sec3_Total" queryTableFieldId="40"/>
    <tableColumn id="41" uniqueName="41" name="Sec4SW1" queryTableFieldId="41"/>
    <tableColumn id="42" uniqueName="42" name="Sec4SW2" queryTableFieldId="42"/>
    <tableColumn id="43" uniqueName="43" name="Sec4SW3" queryTableFieldId="43"/>
    <tableColumn id="44" uniqueName="44" name="Sec4SW4" queryTableFieldId="44"/>
    <tableColumn id="45" uniqueName="45" name="Sec4SWTotal" queryTableFieldId="45"/>
    <tableColumn id="46" uniqueName="46" name="Sec4Oth1" queryTableFieldId="46"/>
    <tableColumn id="47" uniqueName="47" name="Sec4Oth2" queryTableFieldId="47"/>
    <tableColumn id="48" uniqueName="48" name="Sec4Oth3" queryTableFieldId="48"/>
    <tableColumn id="49" uniqueName="49" name="Sec4Oth4" queryTableFieldId="49"/>
    <tableColumn id="50" uniqueName="50" name="Sec4OthTotal" queryTableFieldId="50"/>
    <tableColumn id="51" uniqueName="51" name="Sec4_1" queryTableFieldId="51"/>
    <tableColumn id="52" uniqueName="52" name="Sec4_2" queryTableFieldId="52"/>
    <tableColumn id="53" uniqueName="53" name="Sec4_3" queryTableFieldId="53"/>
    <tableColumn id="54" uniqueName="54" name="Sec4_4" queryTableFieldId="54"/>
    <tableColumn id="55" uniqueName="55" name="Sec4_Total" queryTableFieldId="55"/>
    <tableColumn id="56" uniqueName="56" name="Sec5SW1" queryTableFieldId="56"/>
    <tableColumn id="57" uniqueName="57" name="Sec5SW2" queryTableFieldId="57"/>
    <tableColumn id="58" uniqueName="58" name="Sec5SW3" queryTableFieldId="58"/>
    <tableColumn id="59" uniqueName="59" name="Sec5SW4" queryTableFieldId="59"/>
    <tableColumn id="60" uniqueName="60" name="Sec5SW5" queryTableFieldId="60"/>
    <tableColumn id="61" uniqueName="61" name="Sec5SWTotal" queryTableFieldId="61"/>
    <tableColumn id="62" uniqueName="62" name="Sec5SB1" queryTableFieldId="62"/>
    <tableColumn id="63" uniqueName="63" name="Sec5SB2" queryTableFieldId="63"/>
    <tableColumn id="64" uniqueName="64" name="Sec5SB3" queryTableFieldId="64"/>
    <tableColumn id="65" uniqueName="65" name="Sec5SB4" queryTableFieldId="65"/>
    <tableColumn id="66" uniqueName="66" name="Sec5SB5" queryTableFieldId="66"/>
    <tableColumn id="67" uniqueName="67" name="Sec5SBTotal" queryTableFieldId="67"/>
    <tableColumn id="68" uniqueName="68" name="Sec5Oth1" queryTableFieldId="68"/>
    <tableColumn id="69" uniqueName="69" name="Sec5Oth2" queryTableFieldId="69"/>
    <tableColumn id="70" uniqueName="70" name="Sec5Oth3" queryTableFieldId="70"/>
    <tableColumn id="71" uniqueName="71" name="Sec5Oth4" queryTableFieldId="71"/>
    <tableColumn id="72" uniqueName="72" name="Sec5Oth5" queryTableFieldId="72"/>
    <tableColumn id="73" uniqueName="73" name="Sec5OthTotal" queryTableFieldId="73"/>
    <tableColumn id="74" uniqueName="74" name="Sec5_1" queryTableFieldId="74"/>
    <tableColumn id="75" uniqueName="75" name="Sec5_2" queryTableFieldId="75"/>
    <tableColumn id="76" uniqueName="76" name="Sec5_3" queryTableFieldId="76"/>
    <tableColumn id="77" uniqueName="77" name="Sec5_4" queryTableFieldId="77"/>
    <tableColumn id="78" uniqueName="78" name="Sec5_5" queryTableFieldId="78"/>
    <tableColumn id="79" uniqueName="79" name="Sec5_Total" queryTableFieldId="79"/>
    <tableColumn id="80" uniqueName="80" name="Sec6SW1" queryTableFieldId="80"/>
    <tableColumn id="81" uniqueName="81" name="Sec6SW2" queryTableFieldId="81"/>
    <tableColumn id="82" uniqueName="82" name="Sec6SW3" queryTableFieldId="82"/>
    <tableColumn id="83" uniqueName="83" name="Sec6SWTotal" queryTableFieldId="83"/>
    <tableColumn id="84" uniqueName="84" name="Sec6SB1" queryTableFieldId="84"/>
    <tableColumn id="85" uniqueName="85" name="Sec6SB2" queryTableFieldId="85"/>
    <tableColumn id="86" uniqueName="86" name="Sec6SB3" queryTableFieldId="86"/>
    <tableColumn id="87" uniqueName="87" name="Sec6SBTotal" queryTableFieldId="87"/>
    <tableColumn id="88" uniqueName="88" name="Sec6Oth1" queryTableFieldId="88"/>
    <tableColumn id="89" uniqueName="89" name="Sec6Oth2" queryTableFieldId="89"/>
    <tableColumn id="90" uniqueName="90" name="Sec6Oth3" queryTableFieldId="90"/>
    <tableColumn id="91" uniqueName="91" name="Sec6OthTotal" queryTableFieldId="91"/>
    <tableColumn id="92" uniqueName="92" name="Sec6_1" queryTableFieldId="92"/>
    <tableColumn id="93" uniqueName="93" name="Sec6_2" queryTableFieldId="93"/>
    <tableColumn id="94" uniqueName="94" name="Sec6_3" queryTableFieldId="94"/>
    <tableColumn id="95" uniqueName="95" name="Sec6_Total" queryTableFieldId="95"/>
    <tableColumn id="96" uniqueName="96" name="FICE_Link" queryTableFieldId="96"/>
    <tableColumn id="97" uniqueName="97" name="LocalBenefits" queryTableFieldId="97"/>
    <tableColumn id="98" uniqueName="98" name="StateBenefits" queryTableFieldId="98"/>
    <tableColumn id="99" uniqueName="99" name="HRS1" queryTableFieldId="99"/>
    <tableColumn id="100" uniqueName="100" name="HRS2" queryTableFieldId="100"/>
    <tableColumn id="101" uniqueName="101" name="HRS3" queryTableFieldId="101"/>
    <tableColumn id="102" uniqueName="102" name="HRS4" queryTableFieldId="102"/>
    <tableColumn id="103" uniqueName="103" name="HRS5" queryTableFieldId="103"/>
    <tableColumn id="104" uniqueName="104" name="HRS6" queryTableFieldId="104"/>
    <tableColumn id="105" uniqueName="105" name="HRS7" queryTableFieldId="105"/>
    <tableColumn id="106" uniqueName="106" name="HRS8" queryTableFieldId="106"/>
    <tableColumn id="107" uniqueName="107" name="HRS9" queryTableFieldId="107"/>
    <tableColumn id="108" uniqueName="108" name="HRS10" queryTableFieldId="108"/>
    <tableColumn id="109" uniqueName="109" name="HRS11" queryTableFieldId="109"/>
    <tableColumn id="110" uniqueName="110" name="HRS12" queryTableFieldId="110"/>
    <tableColumn id="111" uniqueName="111" name="HRS13" queryTableFieldId="111"/>
    <tableColumn id="112" uniqueName="112" name="HRS14" queryTableFieldId="112"/>
    <tableColumn id="113" uniqueName="113" name="HRS15" queryTableFieldId="113"/>
    <tableColumn id="114" uniqueName="114" name="HRS16" queryTableFieldId="114"/>
    <tableColumn id="115" uniqueName="115" name="HRS17" queryTableFieldId="115"/>
    <tableColumn id="116" uniqueName="116" name="HRS18" queryTableFieldId="116"/>
    <tableColumn id="117" uniqueName="117" name="HRS19" queryTableFieldId="117"/>
    <tableColumn id="118" uniqueName="118" name="HRS20" queryTableFieldId="118"/>
    <tableColumn id="119" uniqueName="119" name="HRS21" queryTableFieldId="119"/>
    <tableColumn id="120" uniqueName="120" name="HRS22" queryTableFieldId="120"/>
    <tableColumn id="121" uniqueName="121" name="HRS23" queryTableFieldId="121"/>
    <tableColumn id="122" uniqueName="122" name="HRS24" queryTableFieldId="122"/>
    <tableColumn id="123" uniqueName="123" name="HRS25" queryTableFieldId="123"/>
    <tableColumn id="124" uniqueName="124" name="HRS26" queryTableFieldId="124"/>
    <tableColumn id="125" uniqueName="125" name="HRS27" queryTableFieldId="125"/>
    <tableColumn id="126" uniqueName="126" name="HRS28" queryTableFieldId="126"/>
    <tableColumn id="127" uniqueName="127" name="HRS29" queryTableFieldId="127"/>
    <tableColumn id="128" uniqueName="128" name="HRSTotal" queryTableFieldId="128"/>
    <tableColumn id="129" uniqueName="129" name="FacSal1" queryTableFieldId="129"/>
    <tableColumn id="130" uniqueName="130" name="FacSal2" queryTableFieldId="130"/>
    <tableColumn id="131" uniqueName="131" name="FacSal3" queryTableFieldId="131"/>
    <tableColumn id="132" uniqueName="132" name="FacSal4" queryTableFieldId="132"/>
    <tableColumn id="133" uniqueName="133" name="FacSal5" queryTableFieldId="133"/>
    <tableColumn id="134" uniqueName="134" name="FacSal6" queryTableFieldId="134"/>
    <tableColumn id="135" uniqueName="135" name="FacSal7" queryTableFieldId="135"/>
    <tableColumn id="136" uniqueName="136" name="FacSal8" queryTableFieldId="136"/>
    <tableColumn id="137" uniqueName="137" name="FacSal9" queryTableFieldId="137"/>
    <tableColumn id="138" uniqueName="138" name="FacSal10" queryTableFieldId="138"/>
    <tableColumn id="139" uniqueName="139" name="FacSal11" queryTableFieldId="139"/>
    <tableColumn id="140" uniqueName="140" name="FacSal12" queryTableFieldId="140"/>
    <tableColumn id="141" uniqueName="141" name="FacSal13" queryTableFieldId="141"/>
    <tableColumn id="142" uniqueName="142" name="FacSal14" queryTableFieldId="142"/>
    <tableColumn id="143" uniqueName="143" name="FacSal15" queryTableFieldId="143"/>
    <tableColumn id="144" uniqueName="144" name="FacSal16" queryTableFieldId="144"/>
    <tableColumn id="145" uniqueName="145" name="FacSal17" queryTableFieldId="145"/>
    <tableColumn id="146" uniqueName="146" name="FacSal18" queryTableFieldId="146"/>
    <tableColumn id="147" uniqueName="147" name="FacSal19" queryTableFieldId="147"/>
    <tableColumn id="148" uniqueName="148" name="FacSal20" queryTableFieldId="148"/>
    <tableColumn id="149" uniqueName="149" name="FacSal21" queryTableFieldId="149"/>
    <tableColumn id="150" uniqueName="150" name="FacSal22" queryTableFieldId="150"/>
    <tableColumn id="151" uniqueName="151" name="FacSal23" queryTableFieldId="151"/>
    <tableColumn id="152" uniqueName="152" name="FacSal24" queryTableFieldId="152"/>
    <tableColumn id="153" uniqueName="153" name="FacSal25" queryTableFieldId="153"/>
    <tableColumn id="154" uniqueName="154" name="FacSal26" queryTableFieldId="154"/>
    <tableColumn id="155" uniqueName="155" name="FacSal27" queryTableFieldId="155"/>
    <tableColumn id="156" uniqueName="156" name="FacSal28" queryTableFieldId="156"/>
    <tableColumn id="157" uniqueName="157" name="FacSal29" queryTableFieldId="157"/>
    <tableColumn id="158" uniqueName="158" name="FacSalTotal" queryTableFieldId="158"/>
    <tableColumn id="159" uniqueName="159" name="OthSal1" queryTableFieldId="159"/>
    <tableColumn id="160" uniqueName="160" name="OthSal2" queryTableFieldId="160"/>
    <tableColumn id="161" uniqueName="161" name="OthSal3" queryTableFieldId="161"/>
    <tableColumn id="162" uniqueName="162" name="OthSal4" queryTableFieldId="162"/>
    <tableColumn id="163" uniqueName="163" name="OthSal5" queryTableFieldId="163"/>
    <tableColumn id="164" uniqueName="164" name="OthSal6" queryTableFieldId="164"/>
    <tableColumn id="165" uniqueName="165" name="OthSal7" queryTableFieldId="165"/>
    <tableColumn id="166" uniqueName="166" name="OthSal8" queryTableFieldId="166"/>
    <tableColumn id="167" uniqueName="167" name="OthSal9" queryTableFieldId="167"/>
    <tableColumn id="168" uniqueName="168" name="OthSal10" queryTableFieldId="168"/>
    <tableColumn id="169" uniqueName="169" name="OthSal11" queryTableFieldId="169"/>
    <tableColumn id="170" uniqueName="170" name="OthSal12" queryTableFieldId="170"/>
    <tableColumn id="171" uniqueName="171" name="OthSal13" queryTableFieldId="171"/>
    <tableColumn id="172" uniqueName="172" name="OthSal14" queryTableFieldId="172"/>
    <tableColumn id="173" uniqueName="173" name="OthSal15" queryTableFieldId="173"/>
    <tableColumn id="174" uniqueName="174" name="OthSal16" queryTableFieldId="174"/>
    <tableColumn id="175" uniqueName="175" name="OthSal17" queryTableFieldId="175"/>
    <tableColumn id="176" uniqueName="176" name="OthSal18" queryTableFieldId="176"/>
    <tableColumn id="177" uniqueName="177" name="OthSal19" queryTableFieldId="177"/>
    <tableColumn id="178" uniqueName="178" name="OthSal20" queryTableFieldId="178"/>
    <tableColumn id="179" uniqueName="179" name="OthSal21" queryTableFieldId="179"/>
    <tableColumn id="180" uniqueName="180" name="OthSal22" queryTableFieldId="180"/>
    <tableColumn id="181" uniqueName="181" name="OthSal23" queryTableFieldId="181"/>
    <tableColumn id="182" uniqueName="182" name="OthSal24" queryTableFieldId="182"/>
    <tableColumn id="183" uniqueName="183" name="OthSal25" queryTableFieldId="183"/>
    <tableColumn id="184" uniqueName="184" name="OthSal26" queryTableFieldId="184"/>
    <tableColumn id="185" uniqueName="185" name="OthSal27" queryTableFieldId="185"/>
    <tableColumn id="186" uniqueName="186" name="OthSal28" queryTableFieldId="186"/>
    <tableColumn id="187" uniqueName="187" name="OthSal29" queryTableFieldId="187"/>
    <tableColumn id="188" uniqueName="188" name="OthSalTotal" queryTableFieldId="188"/>
    <tableColumn id="189" uniqueName="189" name="Benefits1" queryTableFieldId="189"/>
    <tableColumn id="190" uniqueName="190" name="Benefits2" queryTableFieldId="190"/>
    <tableColumn id="191" uniqueName="191" name="Benefits3" queryTableFieldId="191"/>
    <tableColumn id="192" uniqueName="192" name="Benefits4" queryTableFieldId="192"/>
    <tableColumn id="193" uniqueName="193" name="Benefits5" queryTableFieldId="193"/>
    <tableColumn id="194" uniqueName="194" name="Benefits6" queryTableFieldId="194"/>
    <tableColumn id="195" uniqueName="195" name="Benefits7" queryTableFieldId="195"/>
    <tableColumn id="196" uniqueName="196" name="Benefits8" queryTableFieldId="196"/>
    <tableColumn id="197" uniqueName="197" name="Benefits9" queryTableFieldId="197"/>
    <tableColumn id="198" uniqueName="198" name="Benefits10" queryTableFieldId="198"/>
    <tableColumn id="199" uniqueName="199" name="Benefits11" queryTableFieldId="199"/>
    <tableColumn id="200" uniqueName="200" name="Benefits12" queryTableFieldId="200"/>
    <tableColumn id="201" uniqueName="201" name="Benefits13" queryTableFieldId="201"/>
    <tableColumn id="202" uniqueName="202" name="Benefits14" queryTableFieldId="202"/>
    <tableColumn id="203" uniqueName="203" name="Benefits15" queryTableFieldId="203"/>
    <tableColumn id="204" uniqueName="204" name="Benefits16" queryTableFieldId="204"/>
    <tableColumn id="205" uniqueName="205" name="Benefits17" queryTableFieldId="205"/>
    <tableColumn id="206" uniqueName="206" name="Benefits18" queryTableFieldId="206"/>
    <tableColumn id="207" uniqueName="207" name="Benefits19" queryTableFieldId="207"/>
    <tableColumn id="208" uniqueName="208" name="Benefits20" queryTableFieldId="208"/>
    <tableColumn id="209" uniqueName="209" name="Benefits21" queryTableFieldId="209"/>
    <tableColumn id="210" uniqueName="210" name="Benefits22" queryTableFieldId="210"/>
    <tableColumn id="211" uniqueName="211" name="Benefits23" queryTableFieldId="211"/>
    <tableColumn id="212" uniqueName="212" name="Benefits24" queryTableFieldId="212"/>
    <tableColumn id="213" uniqueName="213" name="Benefits25" queryTableFieldId="213"/>
    <tableColumn id="214" uniqueName="214" name="Benefits26" queryTableFieldId="214"/>
    <tableColumn id="215" uniqueName="215" name="Benefits27" queryTableFieldId="215"/>
    <tableColumn id="216" uniqueName="216" name="Benefits28" queryTableFieldId="216"/>
    <tableColumn id="217" uniqueName="217" name="Benefits29" queryTableFieldId="217"/>
    <tableColumn id="218" uniqueName="218" name="BenefitsTotal" queryTableFieldId="218"/>
    <tableColumn id="219" uniqueName="219" name="OtherOps1" queryTableFieldId="219"/>
    <tableColumn id="220" uniqueName="220" name="OtherOps2" queryTableFieldId="220"/>
    <tableColumn id="221" uniqueName="221" name="OtherOps3" queryTableFieldId="221"/>
    <tableColumn id="222" uniqueName="222" name="OtherOps4" queryTableFieldId="222"/>
    <tableColumn id="223" uniqueName="223" name="OtherOps5" queryTableFieldId="223"/>
    <tableColumn id="224" uniqueName="224" name="OtherOps6" queryTableFieldId="224"/>
    <tableColumn id="225" uniqueName="225" name="OtherOps7" queryTableFieldId="225"/>
    <tableColumn id="226" uniqueName="226" name="OtherOps8" queryTableFieldId="226"/>
    <tableColumn id="227" uniqueName="227" name="OtherOps9" queryTableFieldId="227"/>
    <tableColumn id="228" uniqueName="228" name="OtherOps10" queryTableFieldId="228"/>
    <tableColumn id="229" uniqueName="229" name="OtherOps11" queryTableFieldId="229"/>
    <tableColumn id="230" uniqueName="230" name="OtherOps12" queryTableFieldId="230"/>
    <tableColumn id="231" uniqueName="231" name="OtherOps13" queryTableFieldId="231"/>
    <tableColumn id="232" uniqueName="232" name="OtherOps14" queryTableFieldId="232"/>
    <tableColumn id="233" uniqueName="233" name="OtherOps15" queryTableFieldId="233"/>
    <tableColumn id="234" uniqueName="234" name="OtherOps16" queryTableFieldId="234"/>
    <tableColumn id="235" uniqueName="235" name="OtherOps17" queryTableFieldId="235"/>
    <tableColumn id="236" uniqueName="236" name="OtherOps18" queryTableFieldId="236"/>
    <tableColumn id="237" uniqueName="237" name="OtherOps19" queryTableFieldId="237"/>
    <tableColumn id="238" uniqueName="238" name="OtherOps20" queryTableFieldId="238"/>
    <tableColumn id="239" uniqueName="239" name="OtherOps21" queryTableFieldId="239"/>
    <tableColumn id="240" uniqueName="240" name="OtherOps22" queryTableFieldId="240"/>
    <tableColumn id="241" uniqueName="241" name="OtherOps23" queryTableFieldId="241"/>
    <tableColumn id="242" uniqueName="242" name="OtherOps24" queryTableFieldId="242"/>
    <tableColumn id="243" uniqueName="243" name="OtherOps25" queryTableFieldId="243"/>
    <tableColumn id="244" uniqueName="244" name="OtherOps26" queryTableFieldId="244"/>
    <tableColumn id="245" uniqueName="245" name="OtherOps27" queryTableFieldId="245"/>
    <tableColumn id="246" uniqueName="246" name="OtherOps28" queryTableFieldId="246"/>
    <tableColumn id="247" uniqueName="247" name="OtherOps29" queryTableFieldId="247"/>
    <tableColumn id="248" uniqueName="248" name="OtherOpsTotal" queryTableFieldId="248"/>
    <tableColumn id="249" uniqueName="249" name="DOE1" queryTableFieldId="249"/>
    <tableColumn id="250" uniqueName="250" name="DOE2" queryTableFieldId="250"/>
    <tableColumn id="251" uniqueName="251" name="DOE3" queryTableFieldId="251"/>
    <tableColumn id="252" uniqueName="252" name="DOE4" queryTableFieldId="252"/>
    <tableColumn id="253" uniqueName="253" name="DOE5" queryTableFieldId="253"/>
    <tableColumn id="254" uniqueName="254" name="DOE6" queryTableFieldId="254"/>
    <tableColumn id="255" uniqueName="255" name="DOE7" queryTableFieldId="255"/>
    <tableColumn id="256" uniqueName="256" name="DOE8" queryTableFieldId="256"/>
    <tableColumn id="257" uniqueName="257" name="DOE9" queryTableFieldId="257"/>
    <tableColumn id="258" uniqueName="258" name="DOE10" queryTableFieldId="258"/>
    <tableColumn id="259" uniqueName="259" name="DOE11" queryTableFieldId="259"/>
    <tableColumn id="260" uniqueName="260" name="DOE12" queryTableFieldId="260"/>
    <tableColumn id="261" uniqueName="261" name="DOE13" queryTableFieldId="261"/>
    <tableColumn id="262" uniqueName="262" name="DOE14" queryTableFieldId="262"/>
    <tableColumn id="263" uniqueName="263" name="DOE15" queryTableFieldId="263"/>
    <tableColumn id="264" uniqueName="264" name="DOE16" queryTableFieldId="264"/>
    <tableColumn id="265" uniqueName="265" name="DOE17" queryTableFieldId="265"/>
    <tableColumn id="266" uniqueName="266" name="DOE18" queryTableFieldId="266"/>
    <tableColumn id="267" uniqueName="267" name="DOE19" queryTableFieldId="267"/>
    <tableColumn id="268" uniqueName="268" name="DOE20" queryTableFieldId="268"/>
    <tableColumn id="269" uniqueName="269" name="DOE21" queryTableFieldId="269"/>
    <tableColumn id="270" uniqueName="270" name="DOE22" queryTableFieldId="270"/>
    <tableColumn id="271" uniqueName="271" name="DOE23" queryTableFieldId="271"/>
    <tableColumn id="272" uniqueName="272" name="DOE24" queryTableFieldId="272"/>
    <tableColumn id="273" uniqueName="273" name="DOE25" queryTableFieldId="273"/>
    <tableColumn id="274" uniqueName="274" name="DOE26" queryTableFieldId="274"/>
    <tableColumn id="275" uniqueName="275" name="DOE27" queryTableFieldId="275"/>
    <tableColumn id="276" uniqueName="276" name="DOE28" queryTableFieldId="276"/>
    <tableColumn id="277" uniqueName="277" name="DOE29" queryTableFieldId="277"/>
    <tableColumn id="278" uniqueName="278" name="DOETotal" queryTableFieldId="278"/>
    <tableColumn id="279" uniqueName="279" name="Total1" queryTableFieldId="279"/>
    <tableColumn id="280" uniqueName="280" name="Total2" queryTableFieldId="280"/>
    <tableColumn id="281" uniqueName="281" name="Total3" queryTableFieldId="281"/>
    <tableColumn id="282" uniqueName="282" name="Total4" queryTableFieldId="282"/>
    <tableColumn id="283" uniqueName="283" name="Total5" queryTableFieldId="283"/>
    <tableColumn id="284" uniqueName="284" name="Total6" queryTableFieldId="284"/>
    <tableColumn id="285" uniqueName="285" name="Total7" queryTableFieldId="285"/>
    <tableColumn id="286" uniqueName="286" name="Total8" queryTableFieldId="286"/>
    <tableColumn id="287" uniqueName="287" name="Total9" queryTableFieldId="287"/>
    <tableColumn id="288" uniqueName="288" name="Total10" queryTableFieldId="288"/>
    <tableColumn id="289" uniqueName="289" name="Total11" queryTableFieldId="289"/>
    <tableColumn id="290" uniqueName="290" name="Total12" queryTableFieldId="290"/>
    <tableColumn id="291" uniqueName="291" name="Total13" queryTableFieldId="291"/>
    <tableColumn id="292" uniqueName="292" name="Total14" queryTableFieldId="292"/>
    <tableColumn id="293" uniqueName="293" name="Total15" queryTableFieldId="293"/>
    <tableColumn id="294" uniqueName="294" name="Total16" queryTableFieldId="294"/>
    <tableColumn id="295" uniqueName="295" name="Total17" queryTableFieldId="295"/>
    <tableColumn id="296" uniqueName="296" name="Total18" queryTableFieldId="296"/>
    <tableColumn id="297" uniqueName="297" name="Total19" queryTableFieldId="297"/>
    <tableColumn id="298" uniqueName="298" name="Total20" queryTableFieldId="298"/>
    <tableColumn id="299" uniqueName="299" name="Total21" queryTableFieldId="299"/>
    <tableColumn id="300" uniqueName="300" name="Total22" queryTableFieldId="300"/>
    <tableColumn id="301" uniqueName="301" name="Total23" queryTableFieldId="301"/>
    <tableColumn id="302" uniqueName="302" name="Total24" queryTableFieldId="302"/>
    <tableColumn id="303" uniqueName="303" name="Total25" queryTableFieldId="303"/>
    <tableColumn id="304" uniqueName="304" name="Total26" queryTableFieldId="304"/>
    <tableColumn id="305" uniqueName="305" name="Total27" queryTableFieldId="305"/>
    <tableColumn id="306" uniqueName="306" name="Total28" queryTableFieldId="306"/>
    <tableColumn id="307" uniqueName="307" name="Total29" queryTableFieldId="307"/>
    <tableColumn id="308" uniqueName="308" name="Sec1_Total" queryTableFieldId="308"/>
    <tableColumn id="309" uniqueName="309" name="Comments" queryTableFieldId="309"/>
    <tableColumn id="310" uniqueName="310" name="PartA" queryTableFieldId="310"/>
    <tableColumn id="311" uniqueName="311" name="PartB" queryTableFieldId="311"/>
    <tableColumn id="312" uniqueName="312" name="GrandTotalExpenses" queryTableFieldId="312"/>
    <tableColumn id="313" uniqueName="313" name="AFRDifference" queryTableFieldId="313"/>
    <tableColumn id="314" uniqueName="314" name="Depreciation" queryTableFieldId="3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openxmlformats.org/officeDocument/2006/relationships/ctrlProp" Target="../ctrlProps/ctrlProp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2"/>
  <sheetViews>
    <sheetView showGridLines="0" tabSelected="1" zoomScale="70" zoomScaleNormal="70" workbookViewId="0"/>
  </sheetViews>
  <sheetFormatPr defaultRowHeight="14.25" x14ac:dyDescent="0.2"/>
  <cols>
    <col min="1" max="1" width="9.42578125" style="10" customWidth="1"/>
    <col min="2" max="2" width="42.42578125" style="10" customWidth="1"/>
    <col min="3" max="3" width="17.85546875" style="10" customWidth="1"/>
    <col min="4" max="4" width="15.85546875" style="10" customWidth="1"/>
    <col min="5" max="5" width="18.28515625" style="10" bestFit="1" customWidth="1"/>
    <col min="6" max="6" width="17.7109375" style="10" bestFit="1" customWidth="1"/>
    <col min="7" max="7" width="2.85546875" style="10" customWidth="1"/>
    <col min="8" max="8" width="17.7109375" style="10" bestFit="1" customWidth="1"/>
    <col min="9" max="9" width="16.85546875" style="10" bestFit="1" customWidth="1"/>
    <col min="10" max="10" width="17.7109375" style="10" bestFit="1" customWidth="1"/>
    <col min="11" max="11" width="9.140625" style="10"/>
    <col min="12" max="12" width="20.5703125" style="10" bestFit="1" customWidth="1"/>
    <col min="13" max="13" width="18.140625" style="10" bestFit="1" customWidth="1"/>
    <col min="14" max="14" width="19.5703125" style="10" bestFit="1" customWidth="1"/>
    <col min="15" max="15" width="11" style="10" bestFit="1" customWidth="1"/>
    <col min="16" max="16" width="18.28515625" style="10" bestFit="1" customWidth="1"/>
    <col min="17" max="17" width="13.42578125" style="10" bestFit="1" customWidth="1"/>
    <col min="18" max="18" width="15.28515625" style="10" bestFit="1" customWidth="1"/>
    <col min="19" max="19" width="16.42578125" style="10" bestFit="1" customWidth="1"/>
    <col min="20" max="20" width="14.85546875" style="10" bestFit="1" customWidth="1"/>
    <col min="21" max="21" width="16.42578125" style="10" bestFit="1" customWidth="1"/>
    <col min="22" max="22" width="9.140625" style="10"/>
    <col min="23" max="23" width="13.140625" style="10" bestFit="1" customWidth="1"/>
    <col min="24" max="24" width="11.140625" style="10" bestFit="1" customWidth="1"/>
    <col min="25" max="25" width="13.140625" style="10" bestFit="1" customWidth="1"/>
    <col min="26" max="26" width="10" style="10" bestFit="1" customWidth="1"/>
    <col min="27" max="29" width="11.140625" style="10" bestFit="1" customWidth="1"/>
    <col min="30" max="30" width="13.140625" style="10" bestFit="1" customWidth="1"/>
    <col min="31" max="31" width="9.140625" style="10"/>
    <col min="32" max="32" width="17.85546875" style="10" bestFit="1" customWidth="1"/>
    <col min="33" max="33" width="9.140625" style="10"/>
    <col min="34" max="34" width="14.5703125" style="10" bestFit="1" customWidth="1"/>
    <col min="35" max="16384" width="9.140625" style="10"/>
  </cols>
  <sheetData>
    <row r="1" spans="1:9" x14ac:dyDescent="0.2">
      <c r="A1" s="38" t="s">
        <v>1081</v>
      </c>
      <c r="B1" s="38"/>
      <c r="C1" s="38"/>
      <c r="D1" s="38"/>
      <c r="E1" s="38"/>
      <c r="F1" s="38"/>
    </row>
    <row r="2" spans="1:9" x14ac:dyDescent="0.2">
      <c r="A2" s="5" t="s">
        <v>1015</v>
      </c>
      <c r="B2" s="11"/>
      <c r="C2" s="11"/>
    </row>
    <row r="3" spans="1:9" ht="15" thickBot="1" x14ac:dyDescent="0.25">
      <c r="A3" s="5" t="s">
        <v>1082</v>
      </c>
    </row>
    <row r="4" spans="1:9" ht="29.25" customHeight="1" x14ac:dyDescent="0.2">
      <c r="A4" s="26" t="s">
        <v>26</v>
      </c>
      <c r="B4" s="187" t="s">
        <v>465</v>
      </c>
      <c r="C4" s="188"/>
      <c r="D4" s="28" t="s">
        <v>27</v>
      </c>
      <c r="E4" s="28" t="s">
        <v>462</v>
      </c>
      <c r="F4" s="29" t="s">
        <v>463</v>
      </c>
    </row>
    <row r="5" spans="1:9" x14ac:dyDescent="0.2">
      <c r="A5" s="19">
        <v>1</v>
      </c>
      <c r="B5" s="177" t="s">
        <v>0</v>
      </c>
      <c r="C5" s="178"/>
      <c r="D5" s="14">
        <f>D36</f>
        <v>1319103</v>
      </c>
      <c r="E5" s="16">
        <f>E36+E67+IFERROR($E$105/$D$105*D5,0)</f>
        <v>10264231.190294735</v>
      </c>
      <c r="F5" s="20">
        <f>F36+F67+$F$105</f>
        <v>6.669999999999999</v>
      </c>
      <c r="H5" s="142"/>
      <c r="I5" s="141"/>
    </row>
    <row r="6" spans="1:9" x14ac:dyDescent="0.2">
      <c r="A6" s="19">
        <v>2</v>
      </c>
      <c r="B6" s="177" t="s">
        <v>1</v>
      </c>
      <c r="C6" s="178"/>
      <c r="D6" s="14">
        <f t="shared" ref="D6:D32" si="0">D37</f>
        <v>5029217</v>
      </c>
      <c r="E6" s="17">
        <f t="shared" ref="E6:E32" si="1">E37+E68+IFERROR($E$105/$D$105*D6,0)</f>
        <v>38515374.53912963</v>
      </c>
      <c r="F6" s="21">
        <f t="shared" ref="F6:F30" si="2">F37+F68+$F$105</f>
        <v>6.8299999999999992</v>
      </c>
      <c r="H6" s="142"/>
      <c r="I6" s="141"/>
    </row>
    <row r="7" spans="1:9" x14ac:dyDescent="0.2">
      <c r="A7" s="19">
        <v>3</v>
      </c>
      <c r="B7" s="177" t="s">
        <v>2</v>
      </c>
      <c r="C7" s="178"/>
      <c r="D7" s="14">
        <f t="shared" si="0"/>
        <v>19369053</v>
      </c>
      <c r="E7" s="17">
        <f t="shared" si="1"/>
        <v>186089686.50556764</v>
      </c>
      <c r="F7" s="21">
        <f t="shared" si="2"/>
        <v>5.6899999999999995</v>
      </c>
      <c r="H7" s="142"/>
      <c r="I7" s="141"/>
    </row>
    <row r="8" spans="1:9" x14ac:dyDescent="0.2">
      <c r="A8" s="19">
        <v>4</v>
      </c>
      <c r="B8" s="177" t="s">
        <v>3</v>
      </c>
      <c r="C8" s="178"/>
      <c r="D8" s="14">
        <f t="shared" si="0"/>
        <v>15971599</v>
      </c>
      <c r="E8" s="17">
        <f t="shared" si="1"/>
        <v>165264910.00400287</v>
      </c>
      <c r="F8" s="21">
        <f t="shared" si="2"/>
        <v>6.129999999999999</v>
      </c>
      <c r="H8" s="142"/>
      <c r="I8" s="141"/>
    </row>
    <row r="9" spans="1:9" x14ac:dyDescent="0.2">
      <c r="A9" s="19">
        <v>5</v>
      </c>
      <c r="B9" s="177" t="s">
        <v>4</v>
      </c>
      <c r="C9" s="178"/>
      <c r="D9" s="14">
        <f t="shared" si="0"/>
        <v>203902</v>
      </c>
      <c r="E9" s="17">
        <f t="shared" si="1"/>
        <v>3491707.2839956218</v>
      </c>
      <c r="F9" s="21">
        <f t="shared" si="2"/>
        <v>19.419999999999998</v>
      </c>
      <c r="H9" s="142"/>
      <c r="I9" s="141"/>
    </row>
    <row r="10" spans="1:9" x14ac:dyDescent="0.2">
      <c r="A10" s="19">
        <v>6</v>
      </c>
      <c r="B10" s="177" t="s">
        <v>5</v>
      </c>
      <c r="C10" s="178"/>
      <c r="D10" s="14">
        <f t="shared" si="0"/>
        <v>1176273</v>
      </c>
      <c r="E10" s="17">
        <f t="shared" si="1"/>
        <v>12922088.15989241</v>
      </c>
      <c r="F10" s="21">
        <f t="shared" si="2"/>
        <v>9.2100000000000009</v>
      </c>
      <c r="H10" s="142"/>
      <c r="I10" s="141"/>
    </row>
    <row r="11" spans="1:9" x14ac:dyDescent="0.2">
      <c r="A11" s="19">
        <v>7</v>
      </c>
      <c r="B11" s="177" t="s">
        <v>6</v>
      </c>
      <c r="C11" s="178"/>
      <c r="D11" s="14">
        <f t="shared" si="0"/>
        <v>14437152</v>
      </c>
      <c r="E11" s="17">
        <f t="shared" si="1"/>
        <v>161012477.45842591</v>
      </c>
      <c r="F11" s="21">
        <f t="shared" si="2"/>
        <v>6.3199999999999994</v>
      </c>
      <c r="H11" s="142"/>
      <c r="I11" s="141"/>
    </row>
    <row r="12" spans="1:9" x14ac:dyDescent="0.2">
      <c r="A12" s="19">
        <v>8</v>
      </c>
      <c r="B12" s="177" t="s">
        <v>7</v>
      </c>
      <c r="C12" s="178"/>
      <c r="D12" s="14">
        <f t="shared" si="0"/>
        <v>1803449</v>
      </c>
      <c r="E12" s="17">
        <f t="shared" si="1"/>
        <v>12640413.625828194</v>
      </c>
      <c r="F12" s="21">
        <f t="shared" si="2"/>
        <v>6.42</v>
      </c>
      <c r="H12" s="142"/>
      <c r="I12" s="141"/>
    </row>
    <row r="13" spans="1:9" x14ac:dyDescent="0.2">
      <c r="A13" s="19">
        <v>9</v>
      </c>
      <c r="B13" s="177" t="s">
        <v>8</v>
      </c>
      <c r="C13" s="178"/>
      <c r="D13" s="14">
        <f t="shared" si="0"/>
        <v>6216644</v>
      </c>
      <c r="E13" s="17">
        <f t="shared" si="1"/>
        <v>36714082.529919662</v>
      </c>
      <c r="F13" s="21">
        <f t="shared" si="2"/>
        <v>5.1399999999999988</v>
      </c>
      <c r="H13" s="142"/>
      <c r="I13" s="141"/>
    </row>
    <row r="14" spans="1:9" x14ac:dyDescent="0.2">
      <c r="A14" s="19">
        <v>10</v>
      </c>
      <c r="B14" s="177" t="s">
        <v>9</v>
      </c>
      <c r="C14" s="178"/>
      <c r="D14" s="14">
        <f t="shared" si="0"/>
        <v>70350</v>
      </c>
      <c r="E14" s="17">
        <f t="shared" si="1"/>
        <v>1576027.1991794687</v>
      </c>
      <c r="F14" s="21">
        <f t="shared" si="2"/>
        <v>9.8299999999999983</v>
      </c>
      <c r="H14" s="142"/>
      <c r="I14" s="141"/>
    </row>
    <row r="15" spans="1:9" x14ac:dyDescent="0.2">
      <c r="A15" s="19">
        <v>11</v>
      </c>
      <c r="B15" s="177" t="s">
        <v>10</v>
      </c>
      <c r="C15" s="178"/>
      <c r="D15" s="14">
        <f t="shared" si="0"/>
        <v>5593084</v>
      </c>
      <c r="E15" s="17">
        <f t="shared" si="1"/>
        <v>41796333.859978661</v>
      </c>
      <c r="F15" s="21">
        <f t="shared" si="2"/>
        <v>6.71</v>
      </c>
      <c r="H15" s="142"/>
      <c r="I15" s="141"/>
    </row>
    <row r="16" spans="1:9" x14ac:dyDescent="0.2">
      <c r="A16" s="19">
        <v>12</v>
      </c>
      <c r="B16" s="177" t="s">
        <v>11</v>
      </c>
      <c r="C16" s="178"/>
      <c r="D16" s="14">
        <f t="shared" si="0"/>
        <v>33348632</v>
      </c>
      <c r="E16" s="17">
        <f t="shared" si="1"/>
        <v>316945335.37198007</v>
      </c>
      <c r="F16" s="21">
        <f t="shared" si="2"/>
        <v>5.68</v>
      </c>
      <c r="H16" s="142"/>
      <c r="I16" s="141"/>
    </row>
    <row r="17" spans="1:9" x14ac:dyDescent="0.2">
      <c r="A17" s="19">
        <v>13</v>
      </c>
      <c r="B17" s="177" t="s">
        <v>12</v>
      </c>
      <c r="C17" s="178"/>
      <c r="D17" s="14">
        <f t="shared" si="0"/>
        <v>3725415</v>
      </c>
      <c r="E17" s="17">
        <f t="shared" si="1"/>
        <v>23763469.450194456</v>
      </c>
      <c r="F17" s="21">
        <f t="shared" si="2"/>
        <v>5.81</v>
      </c>
      <c r="H17" s="142"/>
      <c r="I17" s="141"/>
    </row>
    <row r="18" spans="1:9" x14ac:dyDescent="0.2">
      <c r="A18" s="19">
        <v>14</v>
      </c>
      <c r="B18" s="177" t="s">
        <v>464</v>
      </c>
      <c r="C18" s="178"/>
      <c r="D18" s="14">
        <f t="shared" si="0"/>
        <v>5012681</v>
      </c>
      <c r="E18" s="17">
        <f t="shared" si="1"/>
        <v>48114754.153463222</v>
      </c>
      <c r="F18" s="21">
        <f t="shared" si="2"/>
        <v>8.92</v>
      </c>
      <c r="H18" s="142"/>
      <c r="I18" s="141"/>
    </row>
    <row r="19" spans="1:9" x14ac:dyDescent="0.2">
      <c r="A19" s="19">
        <v>15</v>
      </c>
      <c r="B19" s="177" t="s">
        <v>13</v>
      </c>
      <c r="C19" s="178"/>
      <c r="D19" s="14">
        <f t="shared" si="0"/>
        <v>331870</v>
      </c>
      <c r="E19" s="17">
        <f t="shared" si="1"/>
        <v>4204120.7634923989</v>
      </c>
      <c r="F19" s="21">
        <f t="shared" si="2"/>
        <v>12.639999999999997</v>
      </c>
      <c r="H19" s="142"/>
      <c r="I19" s="141"/>
    </row>
    <row r="20" spans="1:9" x14ac:dyDescent="0.2">
      <c r="A20" s="19">
        <v>16</v>
      </c>
      <c r="B20" s="177" t="s">
        <v>14</v>
      </c>
      <c r="C20" s="178"/>
      <c r="D20" s="14">
        <f t="shared" si="0"/>
        <v>9619152</v>
      </c>
      <c r="E20" s="17">
        <f t="shared" si="1"/>
        <v>68881471.118032455</v>
      </c>
      <c r="F20" s="21">
        <f t="shared" si="2"/>
        <v>6.26</v>
      </c>
      <c r="H20" s="142"/>
      <c r="I20" s="141"/>
    </row>
    <row r="21" spans="1:9" x14ac:dyDescent="0.2">
      <c r="A21" s="19">
        <v>17</v>
      </c>
      <c r="B21" s="177" t="s">
        <v>15</v>
      </c>
      <c r="C21" s="178"/>
      <c r="D21" s="14">
        <f t="shared" si="0"/>
        <v>712509</v>
      </c>
      <c r="E21" s="17">
        <f t="shared" si="1"/>
        <v>6940333.8552119974</v>
      </c>
      <c r="F21" s="21">
        <f t="shared" si="2"/>
        <v>8.7399999999999984</v>
      </c>
      <c r="H21" s="142"/>
      <c r="I21" s="141"/>
    </row>
    <row r="22" spans="1:9" x14ac:dyDescent="0.2">
      <c r="A22" s="19">
        <v>18</v>
      </c>
      <c r="B22" s="177" t="s">
        <v>16</v>
      </c>
      <c r="C22" s="178"/>
      <c r="D22" s="14">
        <f t="shared" si="0"/>
        <v>3218900</v>
      </c>
      <c r="E22" s="17">
        <f t="shared" si="1"/>
        <v>24627834.194581255</v>
      </c>
      <c r="F22" s="21">
        <f t="shared" si="2"/>
        <v>6.9999999999999991</v>
      </c>
      <c r="H22" s="142"/>
      <c r="I22" s="141"/>
    </row>
    <row r="23" spans="1:9" x14ac:dyDescent="0.2">
      <c r="A23" s="19">
        <v>19</v>
      </c>
      <c r="B23" s="177" t="s">
        <v>17</v>
      </c>
      <c r="C23" s="178"/>
      <c r="D23" s="14">
        <f t="shared" si="0"/>
        <v>23226262</v>
      </c>
      <c r="E23" s="17">
        <f t="shared" si="1"/>
        <v>198238314.92737061</v>
      </c>
      <c r="F23" s="21">
        <f t="shared" si="2"/>
        <v>5.26</v>
      </c>
      <c r="H23" s="142"/>
      <c r="I23" s="141"/>
    </row>
    <row r="24" spans="1:9" x14ac:dyDescent="0.2">
      <c r="A24" s="19">
        <v>20</v>
      </c>
      <c r="B24" s="177" t="s">
        <v>18</v>
      </c>
      <c r="C24" s="178"/>
      <c r="D24" s="14">
        <f t="shared" si="0"/>
        <v>2575441</v>
      </c>
      <c r="E24" s="17">
        <f t="shared" si="1"/>
        <v>22503963.134015206</v>
      </c>
      <c r="F24" s="21">
        <f t="shared" si="2"/>
        <v>7.669999999999999</v>
      </c>
      <c r="H24" s="142"/>
      <c r="I24" s="141"/>
    </row>
    <row r="25" spans="1:9" x14ac:dyDescent="0.2">
      <c r="A25" s="19">
        <v>21</v>
      </c>
      <c r="B25" s="177" t="s">
        <v>461</v>
      </c>
      <c r="C25" s="178"/>
      <c r="D25" s="14">
        <f t="shared" si="0"/>
        <v>2340517</v>
      </c>
      <c r="E25" s="17">
        <f t="shared" si="1"/>
        <v>21674740.255066559</v>
      </c>
      <c r="F25" s="21">
        <f t="shared" si="2"/>
        <v>7.8199999999999994</v>
      </c>
      <c r="H25" s="142"/>
      <c r="I25" s="141"/>
    </row>
    <row r="26" spans="1:9" x14ac:dyDescent="0.2">
      <c r="A26" s="19">
        <v>22</v>
      </c>
      <c r="B26" s="177" t="s">
        <v>19</v>
      </c>
      <c r="C26" s="178"/>
      <c r="D26" s="14">
        <f t="shared" si="0"/>
        <v>450395</v>
      </c>
      <c r="E26" s="17">
        <f t="shared" si="1"/>
        <v>6003144.6075968267</v>
      </c>
      <c r="F26" s="21">
        <f t="shared" si="2"/>
        <v>7.3299999999999992</v>
      </c>
      <c r="H26" s="142"/>
      <c r="I26" s="141"/>
    </row>
    <row r="27" spans="1:9" x14ac:dyDescent="0.2">
      <c r="A27" s="19">
        <v>23</v>
      </c>
      <c r="B27" s="177" t="s">
        <v>20</v>
      </c>
      <c r="C27" s="178"/>
      <c r="D27" s="14">
        <f t="shared" si="0"/>
        <v>5058419</v>
      </c>
      <c r="E27" s="17">
        <f t="shared" si="1"/>
        <v>39131878.767735727</v>
      </c>
      <c r="F27" s="21">
        <f t="shared" si="2"/>
        <v>6.879999999999999</v>
      </c>
      <c r="H27" s="142"/>
      <c r="I27" s="141"/>
    </row>
    <row r="28" spans="1:9" x14ac:dyDescent="0.2">
      <c r="A28" s="19">
        <v>24</v>
      </c>
      <c r="B28" s="177" t="s">
        <v>21</v>
      </c>
      <c r="C28" s="178"/>
      <c r="D28" s="14">
        <f t="shared" si="0"/>
        <v>6063400</v>
      </c>
      <c r="E28" s="17">
        <f t="shared" si="1"/>
        <v>36735863.883508027</v>
      </c>
      <c r="F28" s="21">
        <f t="shared" si="2"/>
        <v>5.5799999999999992</v>
      </c>
      <c r="H28" s="142"/>
      <c r="I28" s="141"/>
    </row>
    <row r="29" spans="1:9" x14ac:dyDescent="0.2">
      <c r="A29" s="19">
        <v>25</v>
      </c>
      <c r="B29" s="177" t="s">
        <v>22</v>
      </c>
      <c r="C29" s="178"/>
      <c r="D29" s="14">
        <f t="shared" si="0"/>
        <v>29738836</v>
      </c>
      <c r="E29" s="17">
        <f t="shared" si="1"/>
        <v>244089544.51390976</v>
      </c>
      <c r="F29" s="21">
        <f t="shared" si="2"/>
        <v>5.17</v>
      </c>
      <c r="H29" s="142"/>
      <c r="I29" s="141"/>
    </row>
    <row r="30" spans="1:9" x14ac:dyDescent="0.2">
      <c r="A30" s="19">
        <v>26</v>
      </c>
      <c r="B30" s="177" t="s">
        <v>23</v>
      </c>
      <c r="C30" s="178"/>
      <c r="D30" s="14">
        <f t="shared" si="0"/>
        <v>8676769</v>
      </c>
      <c r="E30" s="17">
        <f t="shared" si="1"/>
        <v>70042000.647636652</v>
      </c>
      <c r="F30" s="21">
        <f t="shared" si="2"/>
        <v>7.35</v>
      </c>
      <c r="H30" s="142"/>
      <c r="I30" s="141"/>
    </row>
    <row r="31" spans="1:9" x14ac:dyDescent="0.2">
      <c r="A31" s="19">
        <v>28</v>
      </c>
      <c r="B31" s="177" t="s">
        <v>24</v>
      </c>
      <c r="C31" s="178"/>
      <c r="D31" s="14">
        <f t="shared" si="0"/>
        <v>0</v>
      </c>
      <c r="E31" s="17">
        <f t="shared" si="1"/>
        <v>0</v>
      </c>
      <c r="F31" s="21"/>
      <c r="H31" s="142"/>
    </row>
    <row r="32" spans="1:9" ht="15.75" customHeight="1" thickBot="1" x14ac:dyDescent="0.25">
      <c r="A32" s="22">
        <v>29</v>
      </c>
      <c r="B32" s="179" t="s">
        <v>25</v>
      </c>
      <c r="C32" s="180"/>
      <c r="D32" s="23">
        <f t="shared" si="0"/>
        <v>0</v>
      </c>
      <c r="E32" s="24">
        <f t="shared" si="1"/>
        <v>0</v>
      </c>
      <c r="F32" s="25"/>
    </row>
    <row r="33" spans="1:10" x14ac:dyDescent="0.2">
      <c r="B33" s="13" t="s">
        <v>35</v>
      </c>
      <c r="C33" s="13"/>
      <c r="D33" s="61">
        <f>SUM(D5:D32)</f>
        <v>205289024</v>
      </c>
      <c r="E33" s="4">
        <f>SUM(E5:E32)</f>
        <v>1802184102.00001</v>
      </c>
      <c r="F33" s="8">
        <f>F64+F95+$F$105</f>
        <v>6.09</v>
      </c>
    </row>
    <row r="34" spans="1:10" ht="15" thickBot="1" x14ac:dyDescent="0.25">
      <c r="H34" s="67"/>
      <c r="I34" s="67"/>
      <c r="J34" s="67"/>
    </row>
    <row r="35" spans="1:10" ht="29.25" customHeight="1" x14ac:dyDescent="0.2">
      <c r="A35" s="26" t="s">
        <v>26</v>
      </c>
      <c r="B35" s="187" t="s">
        <v>466</v>
      </c>
      <c r="C35" s="188"/>
      <c r="D35" s="28" t="s">
        <v>27</v>
      </c>
      <c r="E35" s="28" t="s">
        <v>462</v>
      </c>
      <c r="F35" s="29" t="s">
        <v>463</v>
      </c>
    </row>
    <row r="36" spans="1:10" x14ac:dyDescent="0.2">
      <c r="A36" s="19">
        <v>1</v>
      </c>
      <c r="B36" s="177" t="s">
        <v>0</v>
      </c>
      <c r="C36" s="178"/>
      <c r="D36" s="14">
        <f>SUM('1:57'!D36)</f>
        <v>1319103</v>
      </c>
      <c r="E36" s="15">
        <f>SUM('1:57'!E36)</f>
        <v>2144175</v>
      </c>
      <c r="F36" s="20">
        <f>ROUND(MEDIAN('1:57'!F36),2)</f>
        <v>0.93</v>
      </c>
    </row>
    <row r="37" spans="1:10" x14ac:dyDescent="0.2">
      <c r="A37" s="19">
        <v>2</v>
      </c>
      <c r="B37" s="177" t="s">
        <v>1</v>
      </c>
      <c r="C37" s="178"/>
      <c r="D37" s="14">
        <f>SUM('1:57'!D37)</f>
        <v>5029217</v>
      </c>
      <c r="E37" s="17">
        <f>SUM('1:57'!E37)</f>
        <v>7975041</v>
      </c>
      <c r="F37" s="21">
        <f>ROUND(MEDIAN('1:57'!F37),2)</f>
        <v>1.06</v>
      </c>
    </row>
    <row r="38" spans="1:10" x14ac:dyDescent="0.2">
      <c r="A38" s="19">
        <v>3</v>
      </c>
      <c r="B38" s="177" t="s">
        <v>2</v>
      </c>
      <c r="C38" s="178"/>
      <c r="D38" s="14">
        <f>SUM('1:57'!D38)</f>
        <v>19369053</v>
      </c>
      <c r="E38" s="17">
        <f>SUM('1:57'!E38)</f>
        <v>33644444</v>
      </c>
      <c r="F38" s="21">
        <f>ROUND(MEDIAN('1:57'!F38),2)</f>
        <v>0.56999999999999995</v>
      </c>
    </row>
    <row r="39" spans="1:10" x14ac:dyDescent="0.2">
      <c r="A39" s="19">
        <v>4</v>
      </c>
      <c r="B39" s="177" t="s">
        <v>3</v>
      </c>
      <c r="C39" s="178"/>
      <c r="D39" s="14">
        <f>SUM('1:57'!D39)</f>
        <v>15971599</v>
      </c>
      <c r="E39" s="17">
        <f>SUM('1:57'!E39)</f>
        <v>28068896</v>
      </c>
      <c r="F39" s="21">
        <f>ROUND(MEDIAN('1:57'!F39),2)</f>
        <v>0.66</v>
      </c>
    </row>
    <row r="40" spans="1:10" x14ac:dyDescent="0.2">
      <c r="A40" s="19">
        <v>5</v>
      </c>
      <c r="B40" s="177" t="s">
        <v>4</v>
      </c>
      <c r="C40" s="178"/>
      <c r="D40" s="14">
        <f>SUM('1:57'!D40)</f>
        <v>203902</v>
      </c>
      <c r="E40" s="17">
        <f>SUM('1:57'!E40)</f>
        <v>1741883</v>
      </c>
      <c r="F40" s="21">
        <f>ROUND(MEDIAN('1:57'!F40),2)</f>
        <v>9.66</v>
      </c>
    </row>
    <row r="41" spans="1:10" x14ac:dyDescent="0.2">
      <c r="A41" s="19">
        <v>6</v>
      </c>
      <c r="B41" s="177" t="s">
        <v>5</v>
      </c>
      <c r="C41" s="178"/>
      <c r="D41" s="14">
        <f>SUM('1:57'!D41)</f>
        <v>1176273</v>
      </c>
      <c r="E41" s="17">
        <f>SUM('1:57'!E41)</f>
        <v>4668698</v>
      </c>
      <c r="F41" s="21">
        <f>ROUND(MEDIAN('1:57'!F41),2)</f>
        <v>1.99</v>
      </c>
    </row>
    <row r="42" spans="1:10" x14ac:dyDescent="0.2">
      <c r="A42" s="19">
        <v>7</v>
      </c>
      <c r="B42" s="177" t="s">
        <v>6</v>
      </c>
      <c r="C42" s="178"/>
      <c r="D42" s="14">
        <f>SUM('1:57'!D42)</f>
        <v>14437152</v>
      </c>
      <c r="E42" s="17">
        <f>SUM('1:57'!E42)</f>
        <v>42672666</v>
      </c>
      <c r="F42" s="21">
        <f>ROUND(MEDIAN('1:57'!F42),2)</f>
        <v>1</v>
      </c>
    </row>
    <row r="43" spans="1:10" x14ac:dyDescent="0.2">
      <c r="A43" s="19">
        <v>8</v>
      </c>
      <c r="B43" s="177" t="s">
        <v>7</v>
      </c>
      <c r="C43" s="178"/>
      <c r="D43" s="14">
        <f>SUM('1:57'!D43)</f>
        <v>1803449</v>
      </c>
      <c r="E43" s="17">
        <f>SUM('1:57'!E43)</f>
        <v>2454358</v>
      </c>
      <c r="F43" s="21">
        <f>ROUND(MEDIAN('1:57'!F43),2)</f>
        <v>1</v>
      </c>
    </row>
    <row r="44" spans="1:10" x14ac:dyDescent="0.2">
      <c r="A44" s="19">
        <v>9</v>
      </c>
      <c r="B44" s="177" t="s">
        <v>8</v>
      </c>
      <c r="C44" s="178"/>
      <c r="D44" s="14">
        <f>SUM('1:57'!D44)</f>
        <v>6216644</v>
      </c>
      <c r="E44" s="17">
        <f>SUM('1:57'!E44)</f>
        <v>4991358</v>
      </c>
      <c r="F44" s="21">
        <f>ROUND(MEDIAN('1:57'!F44),2)</f>
        <v>0.48</v>
      </c>
    </row>
    <row r="45" spans="1:10" x14ac:dyDescent="0.2">
      <c r="A45" s="19">
        <v>10</v>
      </c>
      <c r="B45" s="177" t="s">
        <v>9</v>
      </c>
      <c r="C45" s="178"/>
      <c r="D45" s="14">
        <f>SUM('1:57'!D45)</f>
        <v>70350</v>
      </c>
      <c r="E45" s="17">
        <f>SUM('1:57'!E45)</f>
        <v>431203</v>
      </c>
      <c r="F45" s="21">
        <f>ROUND(MEDIAN('1:57'!F45),2)</f>
        <v>3.15</v>
      </c>
    </row>
    <row r="46" spans="1:10" x14ac:dyDescent="0.2">
      <c r="A46" s="19">
        <v>11</v>
      </c>
      <c r="B46" s="177" t="s">
        <v>10</v>
      </c>
      <c r="C46" s="178"/>
      <c r="D46" s="14">
        <f>SUM('1:57'!D46)</f>
        <v>5593084</v>
      </c>
      <c r="E46" s="17">
        <f>SUM('1:57'!E46)</f>
        <v>7841597</v>
      </c>
      <c r="F46" s="21">
        <f>ROUND(MEDIAN('1:57'!F46),2)</f>
        <v>1.07</v>
      </c>
    </row>
    <row r="47" spans="1:10" x14ac:dyDescent="0.2">
      <c r="A47" s="19">
        <v>12</v>
      </c>
      <c r="B47" s="177" t="s">
        <v>11</v>
      </c>
      <c r="C47" s="178"/>
      <c r="D47" s="14">
        <f>SUM('1:57'!D47)</f>
        <v>33348632</v>
      </c>
      <c r="E47" s="17">
        <f>SUM('1:57'!E47)</f>
        <v>37038480</v>
      </c>
      <c r="F47" s="21">
        <f>ROUND(MEDIAN('1:57'!F47),2)</f>
        <v>0.39</v>
      </c>
    </row>
    <row r="48" spans="1:10" x14ac:dyDescent="0.2">
      <c r="A48" s="19">
        <v>13</v>
      </c>
      <c r="B48" s="177" t="s">
        <v>12</v>
      </c>
      <c r="C48" s="178"/>
      <c r="D48" s="14">
        <f>SUM('1:57'!D48)</f>
        <v>3725415</v>
      </c>
      <c r="E48" s="17">
        <f>SUM('1:57'!E48)</f>
        <v>2197476</v>
      </c>
      <c r="F48" s="21">
        <f>ROUND(MEDIAN('1:57'!F48),2)</f>
        <v>0.39</v>
      </c>
    </row>
    <row r="49" spans="1:6" x14ac:dyDescent="0.2">
      <c r="A49" s="19">
        <v>14</v>
      </c>
      <c r="B49" s="177" t="s">
        <v>464</v>
      </c>
      <c r="C49" s="178"/>
      <c r="D49" s="14">
        <f>SUM('1:57'!D49)</f>
        <v>5012681</v>
      </c>
      <c r="E49" s="17">
        <f>SUM('1:57'!E49)</f>
        <v>5370830</v>
      </c>
      <c r="F49" s="21">
        <f>ROUND(MEDIAN('1:57'!F49),2)</f>
        <v>1.1100000000000001</v>
      </c>
    </row>
    <row r="50" spans="1:6" x14ac:dyDescent="0.2">
      <c r="A50" s="19">
        <v>15</v>
      </c>
      <c r="B50" s="177" t="s">
        <v>13</v>
      </c>
      <c r="C50" s="178"/>
      <c r="D50" s="14">
        <f>SUM('1:57'!D50)</f>
        <v>331870</v>
      </c>
      <c r="E50" s="17">
        <f>SUM('1:57'!E50)</f>
        <v>776674</v>
      </c>
      <c r="F50" s="21">
        <f>ROUND(MEDIAN('1:57'!F50),2)</f>
        <v>1.88</v>
      </c>
    </row>
    <row r="51" spans="1:6" x14ac:dyDescent="0.2">
      <c r="A51" s="19">
        <v>16</v>
      </c>
      <c r="B51" s="177" t="s">
        <v>14</v>
      </c>
      <c r="C51" s="178"/>
      <c r="D51" s="14">
        <f>SUM('1:57'!D51)</f>
        <v>9619152</v>
      </c>
      <c r="E51" s="17">
        <f>SUM('1:57'!E51)</f>
        <v>10594611</v>
      </c>
      <c r="F51" s="21">
        <f>ROUND(MEDIAN('1:57'!F51),2)</f>
        <v>0.96</v>
      </c>
    </row>
    <row r="52" spans="1:6" x14ac:dyDescent="0.2">
      <c r="A52" s="19">
        <v>17</v>
      </c>
      <c r="B52" s="177" t="s">
        <v>15</v>
      </c>
      <c r="C52" s="178"/>
      <c r="D52" s="14">
        <f>SUM('1:57'!D52)</f>
        <v>712509</v>
      </c>
      <c r="E52" s="17">
        <f>SUM('1:57'!E52)</f>
        <v>787972</v>
      </c>
      <c r="F52" s="21">
        <f>ROUND(MEDIAN('1:57'!F52),2)</f>
        <v>0.78</v>
      </c>
    </row>
    <row r="53" spans="1:6" x14ac:dyDescent="0.2">
      <c r="A53" s="19">
        <v>18</v>
      </c>
      <c r="B53" s="177" t="s">
        <v>16</v>
      </c>
      <c r="C53" s="178"/>
      <c r="D53" s="14">
        <f>SUM('1:57'!D53)</f>
        <v>3218900</v>
      </c>
      <c r="E53" s="17">
        <f>SUM('1:57'!E53)</f>
        <v>2124526</v>
      </c>
      <c r="F53" s="21">
        <f>ROUND(MEDIAN('1:57'!F53),2)</f>
        <v>0.56999999999999995</v>
      </c>
    </row>
    <row r="54" spans="1:6" x14ac:dyDescent="0.2">
      <c r="A54" s="19">
        <v>19</v>
      </c>
      <c r="B54" s="177" t="s">
        <v>17</v>
      </c>
      <c r="C54" s="178"/>
      <c r="D54" s="14">
        <f>SUM('1:57'!D54)</f>
        <v>23226262</v>
      </c>
      <c r="E54" s="17">
        <f>SUM('1:57'!E54)</f>
        <v>21439246</v>
      </c>
      <c r="F54" s="21">
        <f>ROUND(MEDIAN('1:57'!F54),2)</f>
        <v>0.28999999999999998</v>
      </c>
    </row>
    <row r="55" spans="1:6" x14ac:dyDescent="0.2">
      <c r="A55" s="19">
        <v>20</v>
      </c>
      <c r="B55" s="177" t="s">
        <v>18</v>
      </c>
      <c r="C55" s="178"/>
      <c r="D55" s="14">
        <f>SUM('1:57'!D55)</f>
        <v>2575441</v>
      </c>
      <c r="E55" s="17">
        <f>SUM('1:57'!E55)</f>
        <v>4231510</v>
      </c>
      <c r="F55" s="21">
        <f>ROUND(MEDIAN('1:57'!F55),2)</f>
        <v>1.26</v>
      </c>
    </row>
    <row r="56" spans="1:6" ht="14.25" customHeight="1" x14ac:dyDescent="0.2">
      <c r="A56" s="19">
        <v>21</v>
      </c>
      <c r="B56" s="177" t="s">
        <v>461</v>
      </c>
      <c r="C56" s="178"/>
      <c r="D56" s="14">
        <f>SUM('1:57'!D56)</f>
        <v>2340517</v>
      </c>
      <c r="E56" s="17">
        <f>SUM('1:57'!E56)</f>
        <v>9997366</v>
      </c>
      <c r="F56" s="21">
        <f>ROUND(MEDIAN('1:57'!F56),2)</f>
        <v>2.4</v>
      </c>
    </row>
    <row r="57" spans="1:6" x14ac:dyDescent="0.2">
      <c r="A57" s="19">
        <v>22</v>
      </c>
      <c r="B57" s="177" t="s">
        <v>19</v>
      </c>
      <c r="C57" s="178"/>
      <c r="D57" s="14">
        <f>SUM('1:57'!D57)</f>
        <v>450395</v>
      </c>
      <c r="E57" s="17">
        <f>SUM('1:57'!E57)</f>
        <v>1186587</v>
      </c>
      <c r="F57" s="21">
        <f>ROUND(MEDIAN('1:57'!F57),2)</f>
        <v>1.95</v>
      </c>
    </row>
    <row r="58" spans="1:6" x14ac:dyDescent="0.2">
      <c r="A58" s="19">
        <v>23</v>
      </c>
      <c r="B58" s="177" t="s">
        <v>20</v>
      </c>
      <c r="C58" s="178"/>
      <c r="D58" s="14">
        <f>SUM('1:57'!D58)</f>
        <v>5058419</v>
      </c>
      <c r="E58" s="17">
        <f>SUM('1:57'!E58)</f>
        <v>5388651</v>
      </c>
      <c r="F58" s="21">
        <f>ROUND(MEDIAN('1:57'!F58),2)</f>
        <v>0.64</v>
      </c>
    </row>
    <row r="59" spans="1:6" x14ac:dyDescent="0.2">
      <c r="A59" s="19">
        <v>24</v>
      </c>
      <c r="B59" s="177" t="s">
        <v>21</v>
      </c>
      <c r="C59" s="178"/>
      <c r="D59" s="14">
        <f>SUM('1:57'!D59)</f>
        <v>6063400</v>
      </c>
      <c r="E59" s="17">
        <f>SUM('1:57'!E59)</f>
        <v>6427771</v>
      </c>
      <c r="F59" s="21">
        <f>ROUND(MEDIAN('1:57'!F59),2)</f>
        <v>0.74</v>
      </c>
    </row>
    <row r="60" spans="1:6" x14ac:dyDescent="0.2">
      <c r="A60" s="19">
        <v>25</v>
      </c>
      <c r="B60" s="177" t="s">
        <v>22</v>
      </c>
      <c r="C60" s="178"/>
      <c r="D60" s="14">
        <f>SUM('1:57'!D60)</f>
        <v>29738836</v>
      </c>
      <c r="E60" s="17">
        <f>SUM('1:57'!E60)</f>
        <v>21557312</v>
      </c>
      <c r="F60" s="21">
        <f>ROUND(MEDIAN('1:57'!F60),2)</f>
        <v>0.18</v>
      </c>
    </row>
    <row r="61" spans="1:6" x14ac:dyDescent="0.2">
      <c r="A61" s="19">
        <v>26</v>
      </c>
      <c r="B61" s="177" t="s">
        <v>23</v>
      </c>
      <c r="C61" s="178"/>
      <c r="D61" s="14">
        <f>SUM('1:57'!D61)</f>
        <v>8676769</v>
      </c>
      <c r="E61" s="17">
        <f>SUM('1:57'!E61)</f>
        <v>10907009</v>
      </c>
      <c r="F61" s="21">
        <f>ROUND(MEDIAN('1:57'!F61),2)</f>
        <v>0.99</v>
      </c>
    </row>
    <row r="62" spans="1:6" x14ac:dyDescent="0.2">
      <c r="A62" s="19">
        <v>28</v>
      </c>
      <c r="B62" s="177" t="s">
        <v>24</v>
      </c>
      <c r="C62" s="178"/>
      <c r="D62" s="14">
        <f>SUM('1:57'!D62)</f>
        <v>0</v>
      </c>
      <c r="E62" s="17">
        <f>SUM('1:57'!E62)</f>
        <v>0</v>
      </c>
      <c r="F62" s="21"/>
    </row>
    <row r="63" spans="1:6" ht="15.75" customHeight="1" thickBot="1" x14ac:dyDescent="0.25">
      <c r="A63" s="22">
        <v>29</v>
      </c>
      <c r="B63" s="179" t="s">
        <v>25</v>
      </c>
      <c r="C63" s="180"/>
      <c r="D63" s="23">
        <f>SUM('1:57'!D63)</f>
        <v>0</v>
      </c>
      <c r="E63" s="24">
        <f>SUM('1:57'!E63)</f>
        <v>0</v>
      </c>
      <c r="F63" s="25"/>
    </row>
    <row r="64" spans="1:6" x14ac:dyDescent="0.2">
      <c r="C64" s="13" t="s">
        <v>35</v>
      </c>
      <c r="D64" s="61">
        <f>SUM(D36:D63)</f>
        <v>205289024</v>
      </c>
      <c r="E64" s="4">
        <f>SUM(E36:E63)</f>
        <v>276660340</v>
      </c>
      <c r="F64" s="8">
        <f>ROUND(MEDIAN('1:57'!F64),2)</f>
        <v>0.69</v>
      </c>
    </row>
    <row r="65" spans="1:6" ht="15" thickBot="1" x14ac:dyDescent="0.25"/>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1319103</v>
      </c>
      <c r="E67" s="15">
        <f>SUM('1:57'!E67)</f>
        <v>4221189</v>
      </c>
      <c r="F67" s="20">
        <f>ROUND(MEDIAN('1:57'!F67),2)</f>
        <v>3.09</v>
      </c>
    </row>
    <row r="68" spans="1:6" x14ac:dyDescent="0.2">
      <c r="A68" s="19">
        <v>2</v>
      </c>
      <c r="B68" s="177" t="s">
        <v>1</v>
      </c>
      <c r="C68" s="178"/>
      <c r="D68" s="14">
        <f t="shared" ref="D68:D94" si="3">D37</f>
        <v>5029217</v>
      </c>
      <c r="E68" s="17">
        <f>SUM('1:57'!E68)</f>
        <v>15675498</v>
      </c>
      <c r="F68" s="21">
        <f>ROUND(MEDIAN('1:57'!F68),2)</f>
        <v>3.12</v>
      </c>
    </row>
    <row r="69" spans="1:6" x14ac:dyDescent="0.2">
      <c r="A69" s="19">
        <v>3</v>
      </c>
      <c r="B69" s="177" t="s">
        <v>2</v>
      </c>
      <c r="C69" s="178"/>
      <c r="D69" s="14">
        <f t="shared" si="3"/>
        <v>19369053</v>
      </c>
      <c r="E69" s="17">
        <f>SUM('1:57'!E69)</f>
        <v>95196214</v>
      </c>
      <c r="F69" s="21">
        <f>ROUND(MEDIAN('1:57'!F69),2)</f>
        <v>2.4700000000000002</v>
      </c>
    </row>
    <row r="70" spans="1:6" x14ac:dyDescent="0.2">
      <c r="A70" s="19">
        <v>4</v>
      </c>
      <c r="B70" s="177" t="s">
        <v>3</v>
      </c>
      <c r="C70" s="178"/>
      <c r="D70" s="14">
        <f t="shared" si="3"/>
        <v>15971599</v>
      </c>
      <c r="E70" s="17">
        <f>SUM('1:57'!E70)</f>
        <v>89988826</v>
      </c>
      <c r="F70" s="21">
        <f>ROUND(MEDIAN('1:57'!F70),2)</f>
        <v>2.82</v>
      </c>
    </row>
    <row r="71" spans="1:6" x14ac:dyDescent="0.2">
      <c r="A71" s="19">
        <v>5</v>
      </c>
      <c r="B71" s="177" t="s">
        <v>4</v>
      </c>
      <c r="C71" s="178"/>
      <c r="D71" s="14">
        <f t="shared" si="3"/>
        <v>203902</v>
      </c>
      <c r="E71" s="17">
        <f>SUM('1:57'!E71)</f>
        <v>1147152</v>
      </c>
      <c r="F71" s="21">
        <f>ROUND(MEDIAN('1:57'!F71),2)</f>
        <v>7.11</v>
      </c>
    </row>
    <row r="72" spans="1:6" x14ac:dyDescent="0.2">
      <c r="A72" s="19">
        <v>6</v>
      </c>
      <c r="B72" s="177" t="s">
        <v>5</v>
      </c>
      <c r="C72" s="178"/>
      <c r="D72" s="14">
        <f t="shared" si="3"/>
        <v>1176273</v>
      </c>
      <c r="E72" s="17">
        <f>SUM('1:57'!E72)</f>
        <v>4776685</v>
      </c>
      <c r="F72" s="21">
        <f>ROUND(MEDIAN('1:57'!F72),2)</f>
        <v>4.57</v>
      </c>
    </row>
    <row r="73" spans="1:6" x14ac:dyDescent="0.2">
      <c r="A73" s="19">
        <v>7</v>
      </c>
      <c r="B73" s="177" t="s">
        <v>6</v>
      </c>
      <c r="C73" s="178"/>
      <c r="D73" s="14">
        <f t="shared" si="3"/>
        <v>14437152</v>
      </c>
      <c r="E73" s="17">
        <f>SUM('1:57'!E73)</f>
        <v>75667982</v>
      </c>
      <c r="F73" s="21">
        <f>ROUND(MEDIAN('1:57'!F73),2)</f>
        <v>2.67</v>
      </c>
    </row>
    <row r="74" spans="1:6" x14ac:dyDescent="0.2">
      <c r="A74" s="19">
        <v>8</v>
      </c>
      <c r="B74" s="177" t="s">
        <v>7</v>
      </c>
      <c r="C74" s="178"/>
      <c r="D74" s="14">
        <f t="shared" si="3"/>
        <v>1803449</v>
      </c>
      <c r="E74" s="17">
        <f>SUM('1:57'!E74)</f>
        <v>4855609</v>
      </c>
      <c r="F74" s="21">
        <f>ROUND(MEDIAN('1:57'!F74),2)</f>
        <v>2.77</v>
      </c>
    </row>
    <row r="75" spans="1:6" x14ac:dyDescent="0.2">
      <c r="A75" s="19">
        <v>9</v>
      </c>
      <c r="B75" s="177" t="s">
        <v>8</v>
      </c>
      <c r="C75" s="178"/>
      <c r="D75" s="14">
        <f t="shared" si="3"/>
        <v>6216644</v>
      </c>
      <c r="E75" s="17">
        <f>SUM('1:57'!E75)</f>
        <v>13348216</v>
      </c>
      <c r="F75" s="21">
        <f>ROUND(MEDIAN('1:57'!F75),2)</f>
        <v>2.0099999999999998</v>
      </c>
    </row>
    <row r="76" spans="1:6" x14ac:dyDescent="0.2">
      <c r="A76" s="19">
        <v>10</v>
      </c>
      <c r="B76" s="177" t="s">
        <v>9</v>
      </c>
      <c r="C76" s="178"/>
      <c r="D76" s="14">
        <f t="shared" si="3"/>
        <v>70350</v>
      </c>
      <c r="E76" s="17">
        <f>SUM('1:57'!E76)</f>
        <v>936891</v>
      </c>
      <c r="F76" s="21">
        <f>ROUND(MEDIAN('1:57'!F76),2)</f>
        <v>4.03</v>
      </c>
    </row>
    <row r="77" spans="1:6" x14ac:dyDescent="0.2">
      <c r="A77" s="19">
        <v>11</v>
      </c>
      <c r="B77" s="177" t="s">
        <v>10</v>
      </c>
      <c r="C77" s="178"/>
      <c r="D77" s="14">
        <f t="shared" si="3"/>
        <v>5593084</v>
      </c>
      <c r="E77" s="17">
        <f>SUM('1:57'!E77)</f>
        <v>17423282</v>
      </c>
      <c r="F77" s="21">
        <f>ROUND(MEDIAN('1:57'!F77),2)</f>
        <v>2.99</v>
      </c>
    </row>
    <row r="78" spans="1:6" x14ac:dyDescent="0.2">
      <c r="A78" s="19">
        <v>12</v>
      </c>
      <c r="B78" s="177" t="s">
        <v>11</v>
      </c>
      <c r="C78" s="178"/>
      <c r="D78" s="14">
        <f t="shared" si="3"/>
        <v>33348632</v>
      </c>
      <c r="E78" s="17">
        <f>SUM('1:57'!E78)</f>
        <v>181338444</v>
      </c>
      <c r="F78" s="21">
        <f>ROUND(MEDIAN('1:57'!F78),2)</f>
        <v>2.64</v>
      </c>
    </row>
    <row r="79" spans="1:6" x14ac:dyDescent="0.2">
      <c r="A79" s="19">
        <v>13</v>
      </c>
      <c r="B79" s="177" t="s">
        <v>12</v>
      </c>
      <c r="C79" s="178"/>
      <c r="D79" s="14">
        <f t="shared" si="3"/>
        <v>3725415</v>
      </c>
      <c r="E79" s="17">
        <f>SUM('1:57'!E79)</f>
        <v>10554800</v>
      </c>
      <c r="F79" s="21">
        <f>ROUND(MEDIAN('1:57'!F79),2)</f>
        <v>2.77</v>
      </c>
    </row>
    <row r="80" spans="1:6" x14ac:dyDescent="0.2">
      <c r="A80" s="19">
        <v>14</v>
      </c>
      <c r="B80" s="177" t="s">
        <v>464</v>
      </c>
      <c r="C80" s="178"/>
      <c r="D80" s="14">
        <f t="shared" si="3"/>
        <v>5012681</v>
      </c>
      <c r="E80" s="17">
        <f>SUM('1:57'!E80)</f>
        <v>27927964</v>
      </c>
      <c r="F80" s="21">
        <f>ROUND(MEDIAN('1:57'!F80),2)</f>
        <v>5.16</v>
      </c>
    </row>
    <row r="81" spans="1:6" x14ac:dyDescent="0.2">
      <c r="A81" s="19">
        <v>15</v>
      </c>
      <c r="B81" s="177" t="s">
        <v>13</v>
      </c>
      <c r="C81" s="178"/>
      <c r="D81" s="14">
        <f t="shared" si="3"/>
        <v>331870</v>
      </c>
      <c r="E81" s="17">
        <f>SUM('1:57'!E81)</f>
        <v>2446540</v>
      </c>
      <c r="F81" s="21">
        <f>ROUND(MEDIAN('1:57'!F81),2)</f>
        <v>8.11</v>
      </c>
    </row>
    <row r="82" spans="1:6" x14ac:dyDescent="0.2">
      <c r="A82" s="19">
        <v>16</v>
      </c>
      <c r="B82" s="177" t="s">
        <v>14</v>
      </c>
      <c r="C82" s="178"/>
      <c r="D82" s="14">
        <f t="shared" si="3"/>
        <v>9619152</v>
      </c>
      <c r="E82" s="17">
        <f>SUM('1:57'!E82)</f>
        <v>29855573</v>
      </c>
      <c r="F82" s="21">
        <f>ROUND(MEDIAN('1:57'!F82),2)</f>
        <v>2.65</v>
      </c>
    </row>
    <row r="83" spans="1:6" x14ac:dyDescent="0.2">
      <c r="A83" s="19">
        <v>17</v>
      </c>
      <c r="B83" s="177" t="s">
        <v>15</v>
      </c>
      <c r="C83" s="178"/>
      <c r="D83" s="14">
        <f t="shared" si="3"/>
        <v>712509</v>
      </c>
      <c r="E83" s="17">
        <f>SUM('1:57'!E83)</f>
        <v>4046402</v>
      </c>
      <c r="F83" s="21">
        <f>ROUND(MEDIAN('1:57'!F83),2)</f>
        <v>5.31</v>
      </c>
    </row>
    <row r="84" spans="1:6" x14ac:dyDescent="0.2">
      <c r="A84" s="19">
        <v>18</v>
      </c>
      <c r="B84" s="177" t="s">
        <v>16</v>
      </c>
      <c r="C84" s="178"/>
      <c r="D84" s="14">
        <f t="shared" si="3"/>
        <v>3218900</v>
      </c>
      <c r="E84" s="17">
        <f>SUM('1:57'!E84)</f>
        <v>12989219</v>
      </c>
      <c r="F84" s="21">
        <f>ROUND(MEDIAN('1:57'!F84),2)</f>
        <v>3.78</v>
      </c>
    </row>
    <row r="85" spans="1:6" x14ac:dyDescent="0.2">
      <c r="A85" s="19">
        <v>19</v>
      </c>
      <c r="B85" s="177" t="s">
        <v>17</v>
      </c>
      <c r="C85" s="178"/>
      <c r="D85" s="14">
        <f t="shared" si="3"/>
        <v>23226262</v>
      </c>
      <c r="E85" s="17">
        <f>SUM('1:57'!E85)</f>
        <v>108149304</v>
      </c>
      <c r="F85" s="21">
        <f>ROUND(MEDIAN('1:57'!F85),2)</f>
        <v>2.3199999999999998</v>
      </c>
    </row>
    <row r="86" spans="1:6" x14ac:dyDescent="0.2">
      <c r="A86" s="19">
        <v>20</v>
      </c>
      <c r="B86" s="177" t="s">
        <v>18</v>
      </c>
      <c r="C86" s="178"/>
      <c r="D86" s="14">
        <f t="shared" si="3"/>
        <v>2575441</v>
      </c>
      <c r="E86" s="17">
        <f>SUM('1:57'!E86)</f>
        <v>10660233</v>
      </c>
      <c r="F86" s="21">
        <f>ROUND(MEDIAN('1:57'!F86),2)</f>
        <v>3.76</v>
      </c>
    </row>
    <row r="87" spans="1:6" x14ac:dyDescent="0.2">
      <c r="A87" s="19">
        <v>21</v>
      </c>
      <c r="B87" s="177" t="s">
        <v>461</v>
      </c>
      <c r="C87" s="178"/>
      <c r="D87" s="14">
        <f t="shared" si="3"/>
        <v>2340517</v>
      </c>
      <c r="E87" s="17">
        <f>SUM('1:57'!E87)</f>
        <v>4759518</v>
      </c>
      <c r="F87" s="21">
        <f>ROUND(MEDIAN('1:57'!F87),2)</f>
        <v>2.77</v>
      </c>
    </row>
    <row r="88" spans="1:6" x14ac:dyDescent="0.2">
      <c r="A88" s="19">
        <v>22</v>
      </c>
      <c r="B88" s="177" t="s">
        <v>19</v>
      </c>
      <c r="C88" s="178"/>
      <c r="D88" s="14">
        <f t="shared" si="3"/>
        <v>450395</v>
      </c>
      <c r="E88" s="17">
        <f>SUM('1:57'!E88)</f>
        <v>3485327</v>
      </c>
      <c r="F88" s="21">
        <f>ROUND(MEDIAN('1:57'!F88),2)</f>
        <v>2.73</v>
      </c>
    </row>
    <row r="89" spans="1:6" x14ac:dyDescent="0.2">
      <c r="A89" s="19">
        <v>23</v>
      </c>
      <c r="B89" s="177" t="s">
        <v>20</v>
      </c>
      <c r="C89" s="178"/>
      <c r="D89" s="14">
        <f t="shared" si="3"/>
        <v>5058419</v>
      </c>
      <c r="E89" s="17">
        <f>SUM('1:57'!E89)</f>
        <v>18792080</v>
      </c>
      <c r="F89" s="21">
        <f>ROUND(MEDIAN('1:57'!F89),2)</f>
        <v>3.59</v>
      </c>
    </row>
    <row r="90" spans="1:6" x14ac:dyDescent="0.2">
      <c r="A90" s="19">
        <v>24</v>
      </c>
      <c r="B90" s="177" t="s">
        <v>21</v>
      </c>
      <c r="C90" s="178"/>
      <c r="D90" s="14">
        <f t="shared" si="3"/>
        <v>6063400</v>
      </c>
      <c r="E90" s="17">
        <f>SUM('1:57'!E90)</f>
        <v>12386527</v>
      </c>
      <c r="F90" s="21">
        <f>ROUND(MEDIAN('1:57'!F90),2)</f>
        <v>2.19</v>
      </c>
    </row>
    <row r="91" spans="1:6" x14ac:dyDescent="0.2">
      <c r="A91" s="19">
        <v>25</v>
      </c>
      <c r="B91" s="177" t="s">
        <v>22</v>
      </c>
      <c r="C91" s="178"/>
      <c r="D91" s="14">
        <f t="shared" si="3"/>
        <v>29738836</v>
      </c>
      <c r="E91" s="17">
        <f>SUM('1:57'!E91)</f>
        <v>134633280</v>
      </c>
      <c r="F91" s="21">
        <f>ROUND(MEDIAN('1:57'!F91),2)</f>
        <v>2.34</v>
      </c>
    </row>
    <row r="92" spans="1:6" x14ac:dyDescent="0.2">
      <c r="A92" s="19">
        <v>26</v>
      </c>
      <c r="B92" s="177" t="s">
        <v>23</v>
      </c>
      <c r="C92" s="178"/>
      <c r="D92" s="14">
        <f t="shared" si="3"/>
        <v>8676769</v>
      </c>
      <c r="E92" s="17">
        <f>SUM('1:57'!E92)</f>
        <v>33489102</v>
      </c>
      <c r="F92" s="21">
        <f>ROUND(MEDIAN('1:57'!F92),2)</f>
        <v>3.71</v>
      </c>
    </row>
    <row r="93" spans="1:6" x14ac:dyDescent="0.2">
      <c r="A93" s="19">
        <v>28</v>
      </c>
      <c r="B93" s="177" t="s">
        <v>24</v>
      </c>
      <c r="C93" s="178"/>
      <c r="D93" s="14">
        <f t="shared" si="3"/>
        <v>0</v>
      </c>
      <c r="E93" s="17">
        <f>SUM('1:57'!E93)</f>
        <v>0</v>
      </c>
      <c r="F93" s="21"/>
    </row>
    <row r="94" spans="1:6" ht="15.75" customHeight="1" thickBot="1" x14ac:dyDescent="0.25">
      <c r="A94" s="22">
        <v>29</v>
      </c>
      <c r="B94" s="179" t="s">
        <v>25</v>
      </c>
      <c r="C94" s="180"/>
      <c r="D94" s="23">
        <f t="shared" si="3"/>
        <v>0</v>
      </c>
      <c r="E94" s="24">
        <f>SUM('1:57'!E94)</f>
        <v>0</v>
      </c>
      <c r="F94" s="25"/>
    </row>
    <row r="95" spans="1:6" x14ac:dyDescent="0.2">
      <c r="C95" s="13" t="s">
        <v>35</v>
      </c>
      <c r="D95" s="61">
        <f>SUM(D67:D94)</f>
        <v>205289024</v>
      </c>
      <c r="E95" s="4">
        <f>SUM(E67:E94)</f>
        <v>918751857</v>
      </c>
      <c r="F95" s="8">
        <f>ROUND(MEDIAN('1:57'!F95),2)</f>
        <v>2.75</v>
      </c>
    </row>
    <row r="96" spans="1:6" ht="15" thickBot="1" x14ac:dyDescent="0.25"/>
    <row r="97" spans="2:6" ht="29.25" customHeight="1" x14ac:dyDescent="0.2">
      <c r="B97" s="181" t="s">
        <v>468</v>
      </c>
      <c r="C97" s="182"/>
      <c r="D97" s="28" t="s">
        <v>27</v>
      </c>
      <c r="E97" s="33" t="s">
        <v>462</v>
      </c>
      <c r="F97" s="29" t="s">
        <v>463</v>
      </c>
    </row>
    <row r="98" spans="2:6" x14ac:dyDescent="0.2">
      <c r="B98" s="183" t="s">
        <v>30</v>
      </c>
      <c r="C98" s="184"/>
      <c r="D98" s="35"/>
      <c r="E98" s="15">
        <f>SUM('1:57'!E98)</f>
        <v>259362656</v>
      </c>
      <c r="F98" s="20">
        <f>ROUND(MEDIAN('1:57'!F98),2)</f>
        <v>1.1399999999999999</v>
      </c>
    </row>
    <row r="99" spans="2:6" x14ac:dyDescent="0.2">
      <c r="B99" s="183" t="s">
        <v>31</v>
      </c>
      <c r="C99" s="184"/>
      <c r="D99" s="36"/>
      <c r="E99" s="17">
        <f>SUM('1:57'!E99)</f>
        <v>134688254</v>
      </c>
      <c r="F99" s="21">
        <f>ROUND(MEDIAN('1:57'!F99),2)</f>
        <v>0.54</v>
      </c>
    </row>
    <row r="100" spans="2:6" x14ac:dyDescent="0.2">
      <c r="B100" s="183" t="s">
        <v>1078</v>
      </c>
      <c r="C100" s="184"/>
      <c r="D100" s="36"/>
      <c r="E100" s="17">
        <f>SUM('1:57'!E100)</f>
        <v>58882633</v>
      </c>
      <c r="F100" s="21">
        <f>ROUND(MEDIAN('1:57'!F100),2)</f>
        <v>0.24</v>
      </c>
    </row>
    <row r="101" spans="2:6" x14ac:dyDescent="0.2">
      <c r="B101" s="183" t="s">
        <v>1079</v>
      </c>
      <c r="C101" s="184"/>
      <c r="D101" s="36"/>
      <c r="E101" s="17">
        <f>SUM('1:57'!E101)</f>
        <v>76783896</v>
      </c>
      <c r="F101" s="21">
        <f>ROUND(MEDIAN('1:57'!F101),2)</f>
        <v>0.32</v>
      </c>
    </row>
    <row r="102" spans="2:6" x14ac:dyDescent="0.2">
      <c r="B102" s="183" t="s">
        <v>1080</v>
      </c>
      <c r="C102" s="184"/>
      <c r="D102" s="36"/>
      <c r="E102" s="17">
        <f>SUM('1:57'!E102)</f>
        <v>2682320</v>
      </c>
      <c r="F102" s="21">
        <f>ROUND(MEDIAN('1:57'!F102),2)</f>
        <v>0.05</v>
      </c>
    </row>
    <row r="103" spans="2:6" x14ac:dyDescent="0.2">
      <c r="B103" s="185" t="s">
        <v>34</v>
      </c>
      <c r="C103" s="186"/>
      <c r="D103" s="36"/>
      <c r="E103" s="17">
        <f>SUM('1:57'!E103)</f>
        <v>1.0000000000000001E-5</v>
      </c>
      <c r="F103" s="21">
        <f>ROUND(MEDIAN('1:57'!F103),2)</f>
        <v>0</v>
      </c>
    </row>
    <row r="104" spans="2:6" ht="15.75" customHeight="1" thickBot="1" x14ac:dyDescent="0.25">
      <c r="B104" s="175" t="s">
        <v>29</v>
      </c>
      <c r="C104" s="176"/>
      <c r="D104" s="37"/>
      <c r="E104" s="24">
        <f>SUM('1:57'!E104)</f>
        <v>74372146</v>
      </c>
      <c r="F104" s="25">
        <f>ROUND(MEDIAN('1:57'!F104),2)</f>
        <v>0.36</v>
      </c>
    </row>
    <row r="105" spans="2:6" x14ac:dyDescent="0.2">
      <c r="C105" s="13" t="s">
        <v>35</v>
      </c>
      <c r="D105" s="12">
        <f>D95</f>
        <v>205289024</v>
      </c>
      <c r="E105" s="4">
        <f>SUM(E98:E104)</f>
        <v>606771905.00001001</v>
      </c>
      <c r="F105" s="8">
        <f>SUM(F98:F104)</f>
        <v>2.6499999999999995</v>
      </c>
    </row>
    <row r="107" spans="2:6" ht="15" thickBot="1" x14ac:dyDescent="0.25">
      <c r="B107" s="11" t="s">
        <v>932</v>
      </c>
    </row>
    <row r="108" spans="2:6" ht="28.5" x14ac:dyDescent="0.2">
      <c r="B108" s="45" t="s">
        <v>926</v>
      </c>
      <c r="C108" s="27" t="s">
        <v>930</v>
      </c>
      <c r="D108" s="27" t="s">
        <v>29</v>
      </c>
      <c r="E108" s="27" t="s">
        <v>931</v>
      </c>
      <c r="F108" s="46" t="s">
        <v>35</v>
      </c>
    </row>
    <row r="109" spans="2:6" x14ac:dyDescent="0.2">
      <c r="B109" s="42" t="s">
        <v>927</v>
      </c>
      <c r="C109" s="15">
        <f>SUM('1:57'!C109)</f>
        <v>918751857</v>
      </c>
      <c r="D109" s="15">
        <f>SUM('1:57'!D109)</f>
        <v>0</v>
      </c>
      <c r="E109" s="15">
        <f>SUM('1:57'!E109)</f>
        <v>0</v>
      </c>
      <c r="F109" s="47">
        <f>SUM('1:57'!F109)</f>
        <v>918751857</v>
      </c>
    </row>
    <row r="110" spans="2:6" x14ac:dyDescent="0.2">
      <c r="B110" s="42" t="s">
        <v>28</v>
      </c>
      <c r="C110" s="50">
        <f>SUM('1:57'!C110)</f>
        <v>0</v>
      </c>
      <c r="D110" s="51">
        <f>SUM('1:57'!D110)</f>
        <v>0</v>
      </c>
      <c r="E110" s="50">
        <f>SUM('1:57'!E110)</f>
        <v>0</v>
      </c>
      <c r="F110" s="48">
        <f>SUM('1:57'!F110)</f>
        <v>0</v>
      </c>
    </row>
    <row r="111" spans="2:6" x14ac:dyDescent="0.2">
      <c r="B111" s="42" t="s">
        <v>928</v>
      </c>
      <c r="C111" s="50">
        <f>SUM('1:57'!C111)</f>
        <v>0</v>
      </c>
      <c r="D111" s="51">
        <f>SUM('1:57'!D111)</f>
        <v>0</v>
      </c>
      <c r="E111" s="50">
        <f>SUM('1:57'!E111)</f>
        <v>0</v>
      </c>
      <c r="F111" s="48">
        <f>SUM('1:57'!F111)</f>
        <v>0</v>
      </c>
    </row>
    <row r="112" spans="2:6" x14ac:dyDescent="0.2">
      <c r="B112" s="42" t="s">
        <v>32</v>
      </c>
      <c r="C112" s="50">
        <f>SUM('1:57'!C112)</f>
        <v>0</v>
      </c>
      <c r="D112" s="51">
        <f>SUM('1:57'!D112)</f>
        <v>0</v>
      </c>
      <c r="E112" s="50">
        <f>SUM('1:57'!E112)</f>
        <v>0</v>
      </c>
      <c r="F112" s="48">
        <f>SUM('1:57'!F112)</f>
        <v>0</v>
      </c>
    </row>
    <row r="113" spans="1:6" x14ac:dyDescent="0.2">
      <c r="B113" s="42" t="s">
        <v>31</v>
      </c>
      <c r="C113" s="50">
        <f>SUM('1:57'!C113)</f>
        <v>0</v>
      </c>
      <c r="D113" s="51">
        <f>SUM('1:57'!D113)</f>
        <v>0</v>
      </c>
      <c r="E113" s="50">
        <f>SUM('1:57'!E113)</f>
        <v>0</v>
      </c>
      <c r="F113" s="48">
        <f>SUM('1:57'!F113)</f>
        <v>0</v>
      </c>
    </row>
    <row r="114" spans="1:6" x14ac:dyDescent="0.2">
      <c r="B114" s="42" t="s">
        <v>1009</v>
      </c>
      <c r="C114" s="50">
        <f>SUM('1:57'!C114)</f>
        <v>0</v>
      </c>
      <c r="D114" s="51">
        <f>SUM('1:57'!D114)</f>
        <v>0</v>
      </c>
      <c r="E114" s="50">
        <f>SUM('1:57'!E114)</f>
        <v>0</v>
      </c>
      <c r="F114" s="48">
        <f>SUM('1:57'!F114)</f>
        <v>0</v>
      </c>
    </row>
    <row r="115" spans="1:6" x14ac:dyDescent="0.2">
      <c r="B115" s="42" t="s">
        <v>929</v>
      </c>
      <c r="C115" s="50">
        <f>SUM('1:57'!C115)</f>
        <v>0</v>
      </c>
      <c r="D115" s="50">
        <f>SUM('1:57'!D115)</f>
        <v>0</v>
      </c>
      <c r="E115" s="50">
        <f>SUM('1:57'!E115)</f>
        <v>0</v>
      </c>
      <c r="F115" s="48">
        <f>SUM('1:57'!F115)</f>
        <v>0</v>
      </c>
    </row>
    <row r="116" spans="1:6" x14ac:dyDescent="0.2">
      <c r="B116" s="42" t="s">
        <v>33</v>
      </c>
      <c r="C116" s="50">
        <f>SUM('1:57'!C116)</f>
        <v>0</v>
      </c>
      <c r="D116" s="50">
        <f>SUM('1:57'!D116)</f>
        <v>0</v>
      </c>
      <c r="E116" s="50">
        <f>SUM('1:57'!E116)</f>
        <v>2682320</v>
      </c>
      <c r="F116" s="48">
        <f>SUM('1:57'!F116)</f>
        <v>2682320</v>
      </c>
    </row>
    <row r="117" spans="1:6" ht="15" thickBot="1" x14ac:dyDescent="0.25">
      <c r="B117" s="43" t="s">
        <v>933</v>
      </c>
      <c r="C117" s="52">
        <f>SUM('1:57'!C117)</f>
        <v>0</v>
      </c>
      <c r="D117" s="52">
        <f>SUM('1:57'!D117)</f>
        <v>74372146</v>
      </c>
      <c r="E117" s="52">
        <f>SUM('1:57'!E117)</f>
        <v>0</v>
      </c>
      <c r="F117" s="49">
        <f>SUM('1:57'!F117)</f>
        <v>74372146</v>
      </c>
    </row>
    <row r="118" spans="1:6" x14ac:dyDescent="0.2">
      <c r="B118" s="13" t="s">
        <v>35</v>
      </c>
      <c r="C118" s="4">
        <f>SUM(C109:C116)</f>
        <v>918751857</v>
      </c>
      <c r="D118" s="4">
        <f>SUM(D109:D116)</f>
        <v>0</v>
      </c>
      <c r="E118" s="4">
        <f>SUM(E109:E116)</f>
        <v>2682320</v>
      </c>
      <c r="F118" s="4">
        <f>SUM(F109:F116)</f>
        <v>921434177</v>
      </c>
    </row>
    <row r="119" spans="1:6" ht="15" thickBot="1" x14ac:dyDescent="0.25"/>
    <row r="120" spans="1:6" ht="15" thickBot="1" x14ac:dyDescent="0.25">
      <c r="B120" s="55" t="s">
        <v>934</v>
      </c>
      <c r="C120" s="53">
        <f>SUM('1:57'!C120)</f>
        <v>0</v>
      </c>
      <c r="D120" s="53">
        <f>SUM('1:57'!D120)</f>
        <v>0</v>
      </c>
      <c r="E120" s="53">
        <f>SUM('1:57'!E120)</f>
        <v>1.0000000000000001E-5</v>
      </c>
      <c r="F120" s="54">
        <f>SUM('1:57'!F120)</f>
        <v>1.0000000000000001E-5</v>
      </c>
    </row>
    <row r="122" spans="1:6" s="57" customFormat="1" ht="113.25" customHeight="1" x14ac:dyDescent="0.2">
      <c r="A122" s="189" t="s">
        <v>935</v>
      </c>
      <c r="B122" s="189"/>
      <c r="C122" s="189"/>
      <c r="D122" s="189"/>
      <c r="E122" s="189"/>
      <c r="F122" s="189"/>
    </row>
  </sheetData>
  <mergeCells count="96">
    <mergeCell ref="A122:F122"/>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78:C78"/>
    <mergeCell ref="B67:C67"/>
    <mergeCell ref="B68:C68"/>
    <mergeCell ref="B69:C69"/>
    <mergeCell ref="B70:C70"/>
    <mergeCell ref="B71:C71"/>
    <mergeCell ref="B72:C72"/>
    <mergeCell ref="B73:C73"/>
    <mergeCell ref="B74:C74"/>
    <mergeCell ref="B75:C75"/>
    <mergeCell ref="B76:C76"/>
    <mergeCell ref="B77:C77"/>
    <mergeCell ref="B90:C90"/>
    <mergeCell ref="B79:C79"/>
    <mergeCell ref="B80:C80"/>
    <mergeCell ref="B81:C81"/>
    <mergeCell ref="B82:C82"/>
    <mergeCell ref="B83:C83"/>
    <mergeCell ref="B84:C84"/>
    <mergeCell ref="B85:C85"/>
    <mergeCell ref="B86:C86"/>
    <mergeCell ref="B87:C87"/>
    <mergeCell ref="B88:C88"/>
    <mergeCell ref="B89:C89"/>
    <mergeCell ref="B104:C104"/>
    <mergeCell ref="B91:C91"/>
    <mergeCell ref="B92:C92"/>
    <mergeCell ref="B93:C93"/>
    <mergeCell ref="B94:C94"/>
    <mergeCell ref="B97:C97"/>
    <mergeCell ref="B98:C98"/>
    <mergeCell ref="B99:C99"/>
    <mergeCell ref="B100:C100"/>
    <mergeCell ref="B101:C101"/>
    <mergeCell ref="B102:C102"/>
    <mergeCell ref="B103:C103"/>
  </mergeCells>
  <pageMargins left="0.25" right="0.25" top="0.75" bottom="0.75" header="0.3" footer="0.3"/>
  <pageSetup orientation="landscape" r:id="rId1"/>
  <rowBreaks count="2" manualBreakCount="2">
    <brk id="64" max="16383" man="1"/>
    <brk id="95"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4"/>
  <sheetViews>
    <sheetView showGridLines="0" zoomScale="70" zoomScaleNormal="70" workbookViewId="0"/>
  </sheetViews>
  <sheetFormatPr defaultRowHeight="14.25" x14ac:dyDescent="0.2"/>
  <cols>
    <col min="1" max="1" width="6.5703125" style="66" customWidth="1"/>
    <col min="2" max="2" width="43.5703125" style="66" customWidth="1"/>
    <col min="3" max="4" width="8.140625" style="66" customWidth="1"/>
    <col min="5" max="5" width="2.85546875" style="66" customWidth="1"/>
    <col min="6" max="6" width="9.42578125" style="66" customWidth="1"/>
    <col min="7" max="20" width="9.140625" style="66"/>
    <col min="21" max="21" width="17.85546875" style="66" bestFit="1" customWidth="1"/>
    <col min="22" max="24" width="9.140625" style="66"/>
    <col min="25" max="25" width="17.85546875" style="66" bestFit="1" customWidth="1"/>
    <col min="26" max="16384" width="9.140625" style="66"/>
  </cols>
  <sheetData>
    <row r="1" spans="1:6" x14ac:dyDescent="0.2">
      <c r="A1" s="38" t="str">
        <f>[1]Summary!A1</f>
        <v>Community and Technical Colleges, Report of Fundable Operating Expenses, Fiscal Year (FY) 1999</v>
      </c>
      <c r="B1" s="38"/>
      <c r="C1" s="38"/>
      <c r="D1" s="38"/>
    </row>
    <row r="2" spans="1:6" ht="15" thickBot="1" x14ac:dyDescent="0.25">
      <c r="A2" s="5" t="s">
        <v>1083</v>
      </c>
      <c r="F2" s="68" t="s">
        <v>1088</v>
      </c>
    </row>
    <row r="3" spans="1:6" ht="29.25" customHeight="1" x14ac:dyDescent="0.2">
      <c r="A3" s="139" t="s">
        <v>26</v>
      </c>
      <c r="B3" s="138" t="s">
        <v>1084</v>
      </c>
      <c r="C3" s="148">
        <v>2000</v>
      </c>
      <c r="D3" s="144">
        <v>1999</v>
      </c>
      <c r="F3" s="150">
        <v>2000</v>
      </c>
    </row>
    <row r="4" spans="1:6" x14ac:dyDescent="0.2">
      <c r="A4" s="19">
        <v>1</v>
      </c>
      <c r="B4" s="136" t="s">
        <v>0</v>
      </c>
      <c r="C4" s="16">
        <f>Summary!F5</f>
        <v>6.669999999999999</v>
      </c>
      <c r="D4" s="145">
        <v>6.8100000000000005</v>
      </c>
      <c r="F4" s="151">
        <f>IFERROR(C4/D4-1,"")</f>
        <v>-2.0558002936857722E-2</v>
      </c>
    </row>
    <row r="5" spans="1:6" ht="28.5" x14ac:dyDescent="0.2">
      <c r="A5" s="19">
        <v>2</v>
      </c>
      <c r="B5" s="136" t="s">
        <v>1</v>
      </c>
      <c r="C5" s="18">
        <f>Summary!F6</f>
        <v>6.8299999999999992</v>
      </c>
      <c r="D5" s="146">
        <v>6.6400000000000006</v>
      </c>
      <c r="F5" s="151">
        <f t="shared" ref="F5:F31" si="0">IFERROR(C5/D5-1,"")</f>
        <v>2.8614457831324991E-2</v>
      </c>
    </row>
    <row r="6" spans="1:6" ht="28.5" x14ac:dyDescent="0.2">
      <c r="A6" s="19">
        <v>3</v>
      </c>
      <c r="B6" s="136" t="s">
        <v>2</v>
      </c>
      <c r="C6" s="18">
        <f>Summary!F7</f>
        <v>5.6899999999999995</v>
      </c>
      <c r="D6" s="146">
        <v>5.51</v>
      </c>
      <c r="F6" s="151">
        <f t="shared" si="0"/>
        <v>3.2667876588021727E-2</v>
      </c>
    </row>
    <row r="7" spans="1:6" ht="28.5" x14ac:dyDescent="0.2">
      <c r="A7" s="19">
        <v>4</v>
      </c>
      <c r="B7" s="136" t="s">
        <v>3</v>
      </c>
      <c r="C7" s="18">
        <f>Summary!F8</f>
        <v>6.129999999999999</v>
      </c>
      <c r="D7" s="146">
        <v>6.22</v>
      </c>
      <c r="F7" s="151">
        <f t="shared" si="0"/>
        <v>-1.4469453376205865E-2</v>
      </c>
    </row>
    <row r="8" spans="1:6" x14ac:dyDescent="0.2">
      <c r="A8" s="19">
        <v>5</v>
      </c>
      <c r="B8" s="136" t="s">
        <v>4</v>
      </c>
      <c r="C8" s="18">
        <f>Summary!F9</f>
        <v>19.419999999999998</v>
      </c>
      <c r="D8" s="146">
        <v>18.690000000000001</v>
      </c>
      <c r="F8" s="151">
        <f t="shared" si="0"/>
        <v>3.9058319957196108E-2</v>
      </c>
    </row>
    <row r="9" spans="1:6" x14ac:dyDescent="0.2">
      <c r="A9" s="19">
        <v>6</v>
      </c>
      <c r="B9" s="136" t="s">
        <v>5</v>
      </c>
      <c r="C9" s="18">
        <f>Summary!F10</f>
        <v>9.2100000000000009</v>
      </c>
      <c r="D9" s="146">
        <v>8.2100000000000009</v>
      </c>
      <c r="F9" s="151">
        <f t="shared" si="0"/>
        <v>0.12180267965895242</v>
      </c>
    </row>
    <row r="10" spans="1:6" x14ac:dyDescent="0.2">
      <c r="A10" s="19">
        <v>7</v>
      </c>
      <c r="B10" s="136" t="s">
        <v>6</v>
      </c>
      <c r="C10" s="18">
        <f>Summary!F11</f>
        <v>6.3199999999999994</v>
      </c>
      <c r="D10" s="146">
        <v>5.4399999999999995</v>
      </c>
      <c r="F10" s="151">
        <f t="shared" si="0"/>
        <v>0.16176470588235303</v>
      </c>
    </row>
    <row r="11" spans="1:6" x14ac:dyDescent="0.2">
      <c r="A11" s="19">
        <v>8</v>
      </c>
      <c r="B11" s="136" t="s">
        <v>7</v>
      </c>
      <c r="C11" s="18">
        <f>Summary!F12</f>
        <v>6.42</v>
      </c>
      <c r="D11" s="146">
        <v>5.99</v>
      </c>
      <c r="F11" s="151">
        <f t="shared" si="0"/>
        <v>7.178631051752915E-2</v>
      </c>
    </row>
    <row r="12" spans="1:6" x14ac:dyDescent="0.2">
      <c r="A12" s="19">
        <v>9</v>
      </c>
      <c r="B12" s="136" t="s">
        <v>8</v>
      </c>
      <c r="C12" s="18">
        <f>Summary!F13</f>
        <v>5.1399999999999988</v>
      </c>
      <c r="D12" s="146">
        <v>5.35</v>
      </c>
      <c r="F12" s="151">
        <f t="shared" si="0"/>
        <v>-3.9252336448598268E-2</v>
      </c>
    </row>
    <row r="13" spans="1:6" x14ac:dyDescent="0.2">
      <c r="A13" s="19">
        <v>10</v>
      </c>
      <c r="B13" s="136" t="s">
        <v>9</v>
      </c>
      <c r="C13" s="18">
        <f>Summary!F14</f>
        <v>9.8299999999999983</v>
      </c>
      <c r="D13" s="146">
        <v>7.6400000000000006</v>
      </c>
      <c r="F13" s="151">
        <f t="shared" si="0"/>
        <v>0.28664921465968551</v>
      </c>
    </row>
    <row r="14" spans="1:6" x14ac:dyDescent="0.2">
      <c r="A14" s="19">
        <v>11</v>
      </c>
      <c r="B14" s="136" t="s">
        <v>10</v>
      </c>
      <c r="C14" s="18">
        <f>Summary!F15</f>
        <v>6.71</v>
      </c>
      <c r="D14" s="146">
        <v>6.42</v>
      </c>
      <c r="F14" s="151">
        <f t="shared" si="0"/>
        <v>4.5171339563862878E-2</v>
      </c>
    </row>
    <row r="15" spans="1:6" ht="28.5" x14ac:dyDescent="0.2">
      <c r="A15" s="19">
        <v>12</v>
      </c>
      <c r="B15" s="136" t="s">
        <v>11</v>
      </c>
      <c r="C15" s="18">
        <f>Summary!F16</f>
        <v>5.68</v>
      </c>
      <c r="D15" s="146">
        <v>5.26</v>
      </c>
      <c r="F15" s="151">
        <f t="shared" si="0"/>
        <v>7.9847908745247054E-2</v>
      </c>
    </row>
    <row r="16" spans="1:6" x14ac:dyDescent="0.2">
      <c r="A16" s="19">
        <v>13</v>
      </c>
      <c r="B16" s="136" t="s">
        <v>12</v>
      </c>
      <c r="C16" s="18">
        <f>Summary!F17</f>
        <v>5.81</v>
      </c>
      <c r="D16" s="146">
        <v>5.6999999999999993</v>
      </c>
      <c r="F16" s="151">
        <f t="shared" si="0"/>
        <v>1.9298245614035148E-2</v>
      </c>
    </row>
    <row r="17" spans="1:6" ht="28.5" x14ac:dyDescent="0.2">
      <c r="A17" s="19">
        <v>14</v>
      </c>
      <c r="B17" s="136" t="s">
        <v>464</v>
      </c>
      <c r="C17" s="18">
        <f>Summary!F18</f>
        <v>8.92</v>
      </c>
      <c r="D17" s="146">
        <v>9.0399999999999991</v>
      </c>
      <c r="F17" s="151">
        <f t="shared" si="0"/>
        <v>-1.327433628318575E-2</v>
      </c>
    </row>
    <row r="18" spans="1:6" x14ac:dyDescent="0.2">
      <c r="A18" s="19">
        <v>15</v>
      </c>
      <c r="B18" s="136" t="s">
        <v>13</v>
      </c>
      <c r="C18" s="18">
        <f>Summary!F19</f>
        <v>12.639999999999997</v>
      </c>
      <c r="D18" s="146">
        <v>11.21</v>
      </c>
      <c r="F18" s="151">
        <f t="shared" si="0"/>
        <v>0.12756467439785868</v>
      </c>
    </row>
    <row r="19" spans="1:6" x14ac:dyDescent="0.2">
      <c r="A19" s="19">
        <v>16</v>
      </c>
      <c r="B19" s="136" t="s">
        <v>14</v>
      </c>
      <c r="C19" s="18">
        <f>Summary!F20</f>
        <v>6.26</v>
      </c>
      <c r="D19" s="146">
        <v>6.51</v>
      </c>
      <c r="F19" s="151">
        <f t="shared" si="0"/>
        <v>-3.8402457757296449E-2</v>
      </c>
    </row>
    <row r="20" spans="1:6" x14ac:dyDescent="0.2">
      <c r="A20" s="19">
        <v>17</v>
      </c>
      <c r="B20" s="136" t="s">
        <v>15</v>
      </c>
      <c r="C20" s="18">
        <f>Summary!F21</f>
        <v>8.7399999999999984</v>
      </c>
      <c r="D20" s="146">
        <v>8.64</v>
      </c>
      <c r="F20" s="151">
        <f t="shared" si="0"/>
        <v>1.1574074074073737E-2</v>
      </c>
    </row>
    <row r="21" spans="1:6" x14ac:dyDescent="0.2">
      <c r="A21" s="19">
        <v>18</v>
      </c>
      <c r="B21" s="136" t="s">
        <v>16</v>
      </c>
      <c r="C21" s="18">
        <f>Summary!F22</f>
        <v>6.9999999999999991</v>
      </c>
      <c r="D21" s="146">
        <v>5.76</v>
      </c>
      <c r="F21" s="151">
        <f t="shared" si="0"/>
        <v>0.21527777777777768</v>
      </c>
    </row>
    <row r="22" spans="1:6" x14ac:dyDescent="0.2">
      <c r="A22" s="19">
        <v>19</v>
      </c>
      <c r="B22" s="136" t="s">
        <v>17</v>
      </c>
      <c r="C22" s="18">
        <f>Summary!F23</f>
        <v>5.26</v>
      </c>
      <c r="D22" s="146">
        <v>4.96</v>
      </c>
      <c r="F22" s="151">
        <f t="shared" si="0"/>
        <v>6.0483870967741993E-2</v>
      </c>
    </row>
    <row r="23" spans="1:6" x14ac:dyDescent="0.2">
      <c r="A23" s="19">
        <v>20</v>
      </c>
      <c r="B23" s="136" t="s">
        <v>18</v>
      </c>
      <c r="C23" s="18">
        <f>Summary!F24</f>
        <v>7.669999999999999</v>
      </c>
      <c r="D23" s="146">
        <v>6.49</v>
      </c>
      <c r="F23" s="151">
        <f t="shared" si="0"/>
        <v>0.18181818181818166</v>
      </c>
    </row>
    <row r="24" spans="1:6" ht="28.5" x14ac:dyDescent="0.2">
      <c r="A24" s="19">
        <v>21</v>
      </c>
      <c r="B24" s="136" t="s">
        <v>461</v>
      </c>
      <c r="C24" s="18">
        <f>Summary!F25</f>
        <v>7.8199999999999994</v>
      </c>
      <c r="D24" s="146">
        <v>7.32</v>
      </c>
      <c r="F24" s="151">
        <f t="shared" si="0"/>
        <v>6.8306010928961713E-2</v>
      </c>
    </row>
    <row r="25" spans="1:6" x14ac:dyDescent="0.2">
      <c r="A25" s="19">
        <v>22</v>
      </c>
      <c r="B25" s="136" t="s">
        <v>19</v>
      </c>
      <c r="C25" s="18">
        <f>Summary!F26</f>
        <v>7.3299999999999992</v>
      </c>
      <c r="D25" s="146">
        <v>6.4700000000000006</v>
      </c>
      <c r="F25" s="151">
        <f t="shared" si="0"/>
        <v>0.13292117465224096</v>
      </c>
    </row>
    <row r="26" spans="1:6" x14ac:dyDescent="0.2">
      <c r="A26" s="19">
        <v>23</v>
      </c>
      <c r="B26" s="136" t="s">
        <v>20</v>
      </c>
      <c r="C26" s="18">
        <f>Summary!F27</f>
        <v>6.879999999999999</v>
      </c>
      <c r="D26" s="146">
        <v>6.21</v>
      </c>
      <c r="F26" s="151">
        <f t="shared" si="0"/>
        <v>0.10789049919484683</v>
      </c>
    </row>
    <row r="27" spans="1:6" x14ac:dyDescent="0.2">
      <c r="A27" s="19">
        <v>24</v>
      </c>
      <c r="B27" s="136" t="s">
        <v>21</v>
      </c>
      <c r="C27" s="18">
        <f>Summary!F28</f>
        <v>5.5799999999999992</v>
      </c>
      <c r="D27" s="146">
        <v>4.9399999999999995</v>
      </c>
      <c r="F27" s="151">
        <f t="shared" si="0"/>
        <v>0.12955465587044523</v>
      </c>
    </row>
    <row r="28" spans="1:6" x14ac:dyDescent="0.2">
      <c r="A28" s="19">
        <v>25</v>
      </c>
      <c r="B28" s="136" t="s">
        <v>22</v>
      </c>
      <c r="C28" s="18">
        <f>Summary!F29</f>
        <v>5.17</v>
      </c>
      <c r="D28" s="146">
        <v>4.97</v>
      </c>
      <c r="F28" s="151">
        <f t="shared" si="0"/>
        <v>4.0241448692152959E-2</v>
      </c>
    </row>
    <row r="29" spans="1:6" x14ac:dyDescent="0.2">
      <c r="A29" s="19">
        <v>26</v>
      </c>
      <c r="B29" s="136" t="s">
        <v>23</v>
      </c>
      <c r="C29" s="18">
        <f>Summary!F30</f>
        <v>7.35</v>
      </c>
      <c r="D29" s="146">
        <v>7.33</v>
      </c>
      <c r="F29" s="151">
        <f t="shared" si="0"/>
        <v>2.7285129604364133E-3</v>
      </c>
    </row>
    <row r="30" spans="1:6" x14ac:dyDescent="0.2">
      <c r="A30" s="19">
        <v>28</v>
      </c>
      <c r="B30" s="136" t="s">
        <v>24</v>
      </c>
      <c r="C30" s="18">
        <f>Summary!F31</f>
        <v>0</v>
      </c>
      <c r="D30" s="146">
        <v>0</v>
      </c>
      <c r="F30" s="151" t="str">
        <f t="shared" si="0"/>
        <v/>
      </c>
    </row>
    <row r="31" spans="1:6" ht="15" thickBot="1" x14ac:dyDescent="0.25">
      <c r="A31" s="22">
        <v>29</v>
      </c>
      <c r="B31" s="137" t="s">
        <v>25</v>
      </c>
      <c r="C31" s="64">
        <f>Summary!F32</f>
        <v>0</v>
      </c>
      <c r="D31" s="147">
        <v>0</v>
      </c>
      <c r="F31" s="152" t="str">
        <f t="shared" si="0"/>
        <v/>
      </c>
    </row>
    <row r="32" spans="1:6" x14ac:dyDescent="0.2">
      <c r="B32" s="13" t="s">
        <v>1085</v>
      </c>
      <c r="C32" s="143">
        <f t="shared" ref="C32:D32" si="1">AVERAGE(C4:C31)</f>
        <v>7.017142857142856</v>
      </c>
      <c r="D32" s="143">
        <f t="shared" si="1"/>
        <v>6.5617857142857163</v>
      </c>
      <c r="F32" s="149">
        <f>IFERROR(C32/D32-1,"")</f>
        <v>6.9395308332879324E-2</v>
      </c>
    </row>
    <row r="33" spans="2:6" x14ac:dyDescent="0.2">
      <c r="B33" s="13" t="s">
        <v>1086</v>
      </c>
      <c r="C33" s="141">
        <f t="shared" ref="C33:D33" si="2">MEDIAN(C4:C31)</f>
        <v>6.6899999999999995</v>
      </c>
      <c r="D33" s="141">
        <f t="shared" si="2"/>
        <v>6.32</v>
      </c>
      <c r="F33" s="149">
        <f>IFERROR(C33/D33-1,"")</f>
        <v>5.8544303797468222E-2</v>
      </c>
    </row>
    <row r="34" spans="2:6" x14ac:dyDescent="0.2">
      <c r="B34" s="13" t="s">
        <v>1087</v>
      </c>
      <c r="C34" s="143">
        <f t="shared" ref="C34:D34" si="3">STDEV(C4:C31)</f>
        <v>3.4645515525558972</v>
      </c>
      <c r="D34" s="143">
        <f t="shared" si="3"/>
        <v>3.252536393250347</v>
      </c>
      <c r="F34" s="149">
        <f>IFERROR(C34/D34-1,"")</f>
        <v>6.5184561730200263E-2</v>
      </c>
    </row>
  </sheetData>
  <pageMargins left="0.25" right="0.25" top="0.25" bottom="0.2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7"/>
  <sheetViews>
    <sheetView showGridLines="0" zoomScale="70" zoomScaleNormal="70" workbookViewId="0">
      <pane xSplit="1" ySplit="3" topLeftCell="B4" activePane="bottomRight" state="frozen"/>
      <selection pane="topRight" activeCell="B1" sqref="B1"/>
      <selection pane="bottomLeft" activeCell="A5" sqref="A5"/>
      <selection pane="bottomRight" activeCell="B4" sqref="B4"/>
    </sheetView>
  </sheetViews>
  <sheetFormatPr defaultRowHeight="15" x14ac:dyDescent="0.25"/>
  <cols>
    <col min="1" max="1" width="37.5703125" customWidth="1"/>
    <col min="2" max="2" width="22.7109375" style="65" customWidth="1"/>
    <col min="3" max="3" width="12.5703125" bestFit="1" customWidth="1"/>
    <col min="4" max="4" width="19.28515625" customWidth="1"/>
    <col min="5" max="5" width="25.5703125" customWidth="1"/>
  </cols>
  <sheetData>
    <row r="1" spans="1:5" x14ac:dyDescent="0.25">
      <c r="A1" s="106" t="str">
        <f>Summary!A1</f>
        <v>Community and Technical Colleges, Report of Fundable Operating Expenses, Fiscal Year (FY) 2000</v>
      </c>
      <c r="B1" s="106"/>
      <c r="C1" s="105"/>
      <c r="D1" s="104"/>
      <c r="E1" s="104"/>
    </row>
    <row r="2" spans="1:5" ht="15.75" thickBot="1" x14ac:dyDescent="0.3">
      <c r="A2" s="107" t="s">
        <v>1016</v>
      </c>
      <c r="B2" s="107"/>
      <c r="C2" s="104"/>
      <c r="D2" s="104"/>
      <c r="E2" s="104"/>
    </row>
    <row r="3" spans="1:5" ht="44.25" thickBot="1" x14ac:dyDescent="0.3">
      <c r="A3" s="100" t="s">
        <v>944</v>
      </c>
      <c r="B3" s="103" t="s">
        <v>1018</v>
      </c>
      <c r="C3" s="103" t="s">
        <v>1011</v>
      </c>
      <c r="D3" s="103" t="s">
        <v>1012</v>
      </c>
      <c r="E3" s="102" t="s">
        <v>1013</v>
      </c>
    </row>
    <row r="4" spans="1:5" x14ac:dyDescent="0.25">
      <c r="A4" s="101" t="s">
        <v>1065</v>
      </c>
      <c r="B4" s="98">
        <v>755848</v>
      </c>
      <c r="C4" s="108">
        <f>B4/30</f>
        <v>25194.933333333334</v>
      </c>
      <c r="D4" s="109">
        <f>'1'!$E$33</f>
        <v>107092061.00001003</v>
      </c>
      <c r="E4" s="110">
        <f>IFERROR(D4/C4,"")</f>
        <v>4250.5395661565562</v>
      </c>
    </row>
    <row r="5" spans="1:5" x14ac:dyDescent="0.25">
      <c r="A5" s="92" t="s">
        <v>1019</v>
      </c>
      <c r="B5" s="97">
        <v>86684</v>
      </c>
      <c r="C5" s="111">
        <f t="shared" ref="C5:C60" si="0">B5/30</f>
        <v>2889.4666666666667</v>
      </c>
      <c r="D5" s="111">
        <f>'2'!$E$33</f>
        <v>13039052.999999998</v>
      </c>
      <c r="E5" s="112">
        <f t="shared" ref="E5:E61" si="1">IFERROR(D5/C5,"")</f>
        <v>4512.615822989248</v>
      </c>
    </row>
    <row r="6" spans="1:5" x14ac:dyDescent="0.25">
      <c r="A6" s="92" t="s">
        <v>1029</v>
      </c>
      <c r="B6" s="97">
        <v>159508</v>
      </c>
      <c r="C6" s="111">
        <f t="shared" si="0"/>
        <v>5316.9333333333334</v>
      </c>
      <c r="D6" s="111">
        <f>'3'!$E$33</f>
        <v>27257987.000000004</v>
      </c>
      <c r="E6" s="112">
        <f t="shared" si="1"/>
        <v>5126.636971186399</v>
      </c>
    </row>
    <row r="7" spans="1:5" x14ac:dyDescent="0.25">
      <c r="A7" s="92" t="s">
        <v>1030</v>
      </c>
      <c r="B7" s="97">
        <v>87427</v>
      </c>
      <c r="C7" s="111">
        <f t="shared" si="0"/>
        <v>2914.2333333333331</v>
      </c>
      <c r="D7" s="111">
        <f>'4'!$E$33</f>
        <v>10042131</v>
      </c>
      <c r="E7" s="112">
        <f t="shared" si="1"/>
        <v>3445.8912006588357</v>
      </c>
    </row>
    <row r="8" spans="1:5" x14ac:dyDescent="0.25">
      <c r="A8" s="92" t="s">
        <v>1020</v>
      </c>
      <c r="B8" s="97">
        <v>505853</v>
      </c>
      <c r="C8" s="111">
        <f t="shared" si="0"/>
        <v>16861.766666666666</v>
      </c>
      <c r="D8" s="111">
        <f>'5'!$E$33</f>
        <v>73139256</v>
      </c>
      <c r="E8" s="112">
        <f t="shared" si="1"/>
        <v>4337.5796525868191</v>
      </c>
    </row>
    <row r="9" spans="1:5" x14ac:dyDescent="0.25">
      <c r="A9" s="92" t="s">
        <v>1031</v>
      </c>
      <c r="B9" s="97">
        <v>274592</v>
      </c>
      <c r="C9" s="111">
        <f t="shared" si="0"/>
        <v>9153.0666666666675</v>
      </c>
      <c r="D9" s="113">
        <f>'6'!$E$33</f>
        <v>23670870</v>
      </c>
      <c r="E9" s="114">
        <f t="shared" si="1"/>
        <v>2586.113579419648</v>
      </c>
    </row>
    <row r="10" spans="1:5" x14ac:dyDescent="0.25">
      <c r="A10" s="92" t="s">
        <v>1032</v>
      </c>
      <c r="B10" s="97">
        <v>64571</v>
      </c>
      <c r="C10" s="111">
        <f t="shared" si="0"/>
        <v>2152.3666666666668</v>
      </c>
      <c r="D10" s="113">
        <f>'7'!$E$33</f>
        <v>8961183</v>
      </c>
      <c r="E10" s="114">
        <f t="shared" si="1"/>
        <v>4163.409115547227</v>
      </c>
    </row>
    <row r="11" spans="1:5" x14ac:dyDescent="0.25">
      <c r="A11" s="92" t="s">
        <v>1066</v>
      </c>
      <c r="B11" s="97">
        <v>183283</v>
      </c>
      <c r="C11" s="111">
        <f t="shared" si="0"/>
        <v>6109.4333333333334</v>
      </c>
      <c r="D11" s="111">
        <f>'8'!$E$33</f>
        <v>21314480.000000004</v>
      </c>
      <c r="E11" s="112">
        <f t="shared" si="1"/>
        <v>3488.7818291931062</v>
      </c>
    </row>
    <row r="12" spans="1:5" x14ac:dyDescent="0.25">
      <c r="A12" s="92" t="s">
        <v>1023</v>
      </c>
      <c r="B12" s="97">
        <v>58526</v>
      </c>
      <c r="C12" s="111">
        <f t="shared" si="0"/>
        <v>1950.8666666666666</v>
      </c>
      <c r="D12" s="113">
        <f>'9'!$E$33</f>
        <v>5249213</v>
      </c>
      <c r="E12" s="114">
        <f t="shared" si="1"/>
        <v>2690.7082322386632</v>
      </c>
    </row>
    <row r="13" spans="1:5" x14ac:dyDescent="0.25">
      <c r="A13" s="92" t="s">
        <v>1033</v>
      </c>
      <c r="B13" s="97">
        <v>19047</v>
      </c>
      <c r="C13" s="111">
        <f t="shared" si="0"/>
        <v>634.9</v>
      </c>
      <c r="D13" s="111">
        <f>'10'!$E$33</f>
        <v>2600546</v>
      </c>
      <c r="E13" s="112">
        <f t="shared" si="1"/>
        <v>4095.9930697747677</v>
      </c>
    </row>
    <row r="14" spans="1:5" x14ac:dyDescent="0.25">
      <c r="A14" s="92" t="s">
        <v>1034</v>
      </c>
      <c r="B14" s="97">
        <v>66866</v>
      </c>
      <c r="C14" s="111">
        <f t="shared" si="0"/>
        <v>2228.8666666666668</v>
      </c>
      <c r="D14" s="111">
        <f>'11'!$E$33</f>
        <v>10062656</v>
      </c>
      <c r="E14" s="112">
        <f t="shared" si="1"/>
        <v>4514.696258188018</v>
      </c>
    </row>
    <row r="15" spans="1:5" x14ac:dyDescent="0.25">
      <c r="A15" s="92" t="s">
        <v>936</v>
      </c>
      <c r="B15" s="96">
        <v>67691</v>
      </c>
      <c r="C15" s="111">
        <f t="shared" si="0"/>
        <v>2256.3666666666668</v>
      </c>
      <c r="D15" s="113">
        <f>'12'!$E$33</f>
        <v>14199777.000000002</v>
      </c>
      <c r="E15" s="114">
        <f t="shared" si="1"/>
        <v>6293.2045619063101</v>
      </c>
    </row>
    <row r="16" spans="1:5" x14ac:dyDescent="0.25">
      <c r="A16" s="92" t="s">
        <v>1057</v>
      </c>
      <c r="B16" s="96">
        <v>228863</v>
      </c>
      <c r="C16" s="111">
        <f t="shared" si="0"/>
        <v>7628.7666666666664</v>
      </c>
      <c r="D16" s="113">
        <f>'13'!$E$33</f>
        <v>36934964.999999993</v>
      </c>
      <c r="E16" s="114">
        <f t="shared" si="1"/>
        <v>4841.5381691230114</v>
      </c>
    </row>
    <row r="17" spans="1:5" x14ac:dyDescent="0.25">
      <c r="A17" s="92" t="s">
        <v>1058</v>
      </c>
      <c r="B17" s="97">
        <v>921503</v>
      </c>
      <c r="C17" s="111">
        <f t="shared" si="0"/>
        <v>30716.766666666666</v>
      </c>
      <c r="D17" s="113">
        <f>'14'!$E$33</f>
        <v>145915745.00000003</v>
      </c>
      <c r="E17" s="114">
        <f t="shared" si="1"/>
        <v>4750.361474677783</v>
      </c>
    </row>
    <row r="18" spans="1:5" x14ac:dyDescent="0.25">
      <c r="A18" s="92" t="s">
        <v>1035</v>
      </c>
      <c r="B18" s="97">
        <v>199527</v>
      </c>
      <c r="C18" s="111">
        <f t="shared" si="0"/>
        <v>6650.9</v>
      </c>
      <c r="D18" s="111">
        <f>'15'!$E$33</f>
        <v>41103712</v>
      </c>
      <c r="E18" s="112">
        <f t="shared" si="1"/>
        <v>6180.1729089296186</v>
      </c>
    </row>
    <row r="19" spans="1:5" x14ac:dyDescent="0.25">
      <c r="A19" s="91" t="s">
        <v>1059</v>
      </c>
      <c r="B19" s="97">
        <v>379521</v>
      </c>
      <c r="C19" s="111">
        <f t="shared" si="0"/>
        <v>12650.7</v>
      </c>
      <c r="D19" s="111">
        <f>'16'!$E$33</f>
        <v>52917496.999999993</v>
      </c>
      <c r="E19" s="112">
        <f t="shared" si="1"/>
        <v>4182.9698751847718</v>
      </c>
    </row>
    <row r="20" spans="1:5" x14ac:dyDescent="0.25">
      <c r="A20" s="92" t="s">
        <v>1036</v>
      </c>
      <c r="B20" s="97">
        <v>24249</v>
      </c>
      <c r="C20" s="111">
        <f t="shared" si="0"/>
        <v>808.3</v>
      </c>
      <c r="D20" s="111">
        <f>'17'!$E$33</f>
        <v>3692176</v>
      </c>
      <c r="E20" s="112">
        <f t="shared" si="1"/>
        <v>4567.8287764443894</v>
      </c>
    </row>
    <row r="21" spans="1:5" x14ac:dyDescent="0.25">
      <c r="A21" s="92" t="s">
        <v>1037</v>
      </c>
      <c r="B21" s="97">
        <v>41768</v>
      </c>
      <c r="C21" s="111">
        <f t="shared" si="0"/>
        <v>1392.2666666666667</v>
      </c>
      <c r="D21" s="111">
        <f>'18'!$E$33</f>
        <v>10258778</v>
      </c>
      <c r="E21" s="112">
        <f t="shared" si="1"/>
        <v>7368.4002106876078</v>
      </c>
    </row>
    <row r="22" spans="1:5" x14ac:dyDescent="0.25">
      <c r="A22" s="92" t="s">
        <v>1067</v>
      </c>
      <c r="B22" s="97">
        <v>69996</v>
      </c>
      <c r="C22" s="111">
        <f t="shared" si="0"/>
        <v>2333.1999999999998</v>
      </c>
      <c r="D22" s="111">
        <f>'19'!$E$33</f>
        <v>9194820</v>
      </c>
      <c r="E22" s="112">
        <f t="shared" si="1"/>
        <v>3940.8623349905711</v>
      </c>
    </row>
    <row r="23" spans="1:5" x14ac:dyDescent="0.25">
      <c r="A23" s="92" t="s">
        <v>1038</v>
      </c>
      <c r="B23" s="97">
        <v>46121</v>
      </c>
      <c r="C23" s="111">
        <f t="shared" si="0"/>
        <v>1537.3666666666666</v>
      </c>
      <c r="D23" s="111">
        <f>'20'!$E$33</f>
        <v>6481386.9999999991</v>
      </c>
      <c r="E23" s="112">
        <f t="shared" si="1"/>
        <v>4215.9018668285589</v>
      </c>
    </row>
    <row r="24" spans="1:5" x14ac:dyDescent="0.25">
      <c r="A24" s="92" t="s">
        <v>1060</v>
      </c>
      <c r="B24" s="97">
        <v>695696</v>
      </c>
      <c r="C24" s="111">
        <f t="shared" si="0"/>
        <v>23189.866666666665</v>
      </c>
      <c r="D24" s="111">
        <f>'21'!$E$33</f>
        <v>121618057.00000003</v>
      </c>
      <c r="E24" s="112">
        <f t="shared" si="1"/>
        <v>5244.4483078816047</v>
      </c>
    </row>
    <row r="25" spans="1:5" x14ac:dyDescent="0.25">
      <c r="A25" s="92" t="s">
        <v>1039</v>
      </c>
      <c r="B25" s="97">
        <v>42149</v>
      </c>
      <c r="C25" s="111">
        <f t="shared" si="0"/>
        <v>1404.9666666666667</v>
      </c>
      <c r="D25" s="113">
        <f>'22'!$E$33</f>
        <v>8988652</v>
      </c>
      <c r="E25" s="114">
        <f t="shared" si="1"/>
        <v>6397.7688675887921</v>
      </c>
    </row>
    <row r="26" spans="1:5" x14ac:dyDescent="0.25">
      <c r="A26" s="92" t="s">
        <v>1040</v>
      </c>
      <c r="B26" s="97">
        <v>90864</v>
      </c>
      <c r="C26" s="111">
        <f t="shared" si="0"/>
        <v>3028.8</v>
      </c>
      <c r="D26" s="113">
        <f>'23'!$E$33</f>
        <v>14131217</v>
      </c>
      <c r="E26" s="114">
        <f t="shared" si="1"/>
        <v>4665.6157554146857</v>
      </c>
    </row>
    <row r="27" spans="1:5" x14ac:dyDescent="0.25">
      <c r="A27" s="92" t="s">
        <v>1024</v>
      </c>
      <c r="B27" s="97">
        <v>150357</v>
      </c>
      <c r="C27" s="111">
        <f t="shared" si="0"/>
        <v>5011.8999999999996</v>
      </c>
      <c r="D27" s="111">
        <f>'24'!$E$33</f>
        <v>23000148.999999993</v>
      </c>
      <c r="E27" s="112">
        <f t="shared" si="1"/>
        <v>4589.1077236177889</v>
      </c>
    </row>
    <row r="28" spans="1:5" x14ac:dyDescent="0.25">
      <c r="A28" s="92" t="s">
        <v>1041</v>
      </c>
      <c r="B28" s="97">
        <v>121913</v>
      </c>
      <c r="C28" s="111">
        <f t="shared" si="0"/>
        <v>4063.7666666666669</v>
      </c>
      <c r="D28" s="113">
        <f>'25'!$E$33</f>
        <v>24687556</v>
      </c>
      <c r="E28" s="114">
        <f t="shared" si="1"/>
        <v>6075.0426943804187</v>
      </c>
    </row>
    <row r="29" spans="1:5" x14ac:dyDescent="0.25">
      <c r="A29" s="91" t="s">
        <v>1042</v>
      </c>
      <c r="B29" s="96">
        <v>443865</v>
      </c>
      <c r="C29" s="111">
        <f t="shared" si="0"/>
        <v>14795.5</v>
      </c>
      <c r="D29" s="113">
        <f>'26'!$E$33</f>
        <v>70608159.000000015</v>
      </c>
      <c r="E29" s="114">
        <f t="shared" si="1"/>
        <v>4772.2725828799303</v>
      </c>
    </row>
    <row r="30" spans="1:5" x14ac:dyDescent="0.25">
      <c r="A30" s="92" t="s">
        <v>1021</v>
      </c>
      <c r="B30" s="97">
        <v>125304</v>
      </c>
      <c r="C30" s="111">
        <f t="shared" si="0"/>
        <v>4176.8</v>
      </c>
      <c r="D30" s="113">
        <f>'27'!$E$33</f>
        <v>17554119</v>
      </c>
      <c r="E30" s="114">
        <f t="shared" si="1"/>
        <v>4202.7674296111854</v>
      </c>
    </row>
    <row r="31" spans="1:5" x14ac:dyDescent="0.25">
      <c r="A31" s="92" t="s">
        <v>1043</v>
      </c>
      <c r="B31" s="97">
        <v>93566</v>
      </c>
      <c r="C31" s="111">
        <f t="shared" si="0"/>
        <v>3118.8666666666668</v>
      </c>
      <c r="D31" s="113">
        <f>'28'!$E$33</f>
        <v>15387700</v>
      </c>
      <c r="E31" s="114">
        <f t="shared" si="1"/>
        <v>4933.7473013701556</v>
      </c>
    </row>
    <row r="32" spans="1:5" x14ac:dyDescent="0.25">
      <c r="A32" s="92" t="s">
        <v>1044</v>
      </c>
      <c r="B32" s="97">
        <v>88663</v>
      </c>
      <c r="C32" s="111">
        <f t="shared" si="0"/>
        <v>2955.4333333333334</v>
      </c>
      <c r="D32" s="113">
        <f>'29'!$E$33</f>
        <v>10356315</v>
      </c>
      <c r="E32" s="114">
        <f t="shared" si="1"/>
        <v>3504.1612623078399</v>
      </c>
    </row>
    <row r="33" spans="1:5" x14ac:dyDescent="0.25">
      <c r="A33" s="92" t="s">
        <v>1045</v>
      </c>
      <c r="B33" s="97">
        <v>90137</v>
      </c>
      <c r="C33" s="111">
        <f t="shared" si="0"/>
        <v>3004.5666666666666</v>
      </c>
      <c r="D33" s="111">
        <f>'30'!$E$33</f>
        <v>8796415</v>
      </c>
      <c r="E33" s="112">
        <f t="shared" si="1"/>
        <v>2927.6817511121958</v>
      </c>
    </row>
    <row r="34" spans="1:5" x14ac:dyDescent="0.25">
      <c r="A34" s="92" t="s">
        <v>1022</v>
      </c>
      <c r="B34" s="97">
        <v>44263</v>
      </c>
      <c r="C34" s="111">
        <f t="shared" si="0"/>
        <v>1475.4333333333334</v>
      </c>
      <c r="D34" s="111">
        <f>'31'!$E$33</f>
        <v>5868157</v>
      </c>
      <c r="E34" s="112">
        <f t="shared" si="1"/>
        <v>3977.2430698325916</v>
      </c>
    </row>
    <row r="35" spans="1:5" x14ac:dyDescent="0.25">
      <c r="A35" s="92" t="s">
        <v>1046</v>
      </c>
      <c r="B35" s="96">
        <v>90708</v>
      </c>
      <c r="C35" s="111">
        <f t="shared" si="0"/>
        <v>3023.6</v>
      </c>
      <c r="D35" s="111">
        <f>'32'!$E$33</f>
        <v>15492281</v>
      </c>
      <c r="E35" s="112">
        <f t="shared" si="1"/>
        <v>5123.7865458393971</v>
      </c>
    </row>
    <row r="36" spans="1:5" x14ac:dyDescent="0.25">
      <c r="A36" s="92" t="s">
        <v>1047</v>
      </c>
      <c r="B36" s="97">
        <v>38591</v>
      </c>
      <c r="C36" s="111">
        <f t="shared" si="0"/>
        <v>1286.3666666666666</v>
      </c>
      <c r="D36" s="111">
        <f>'33'!$E$33</f>
        <v>6869997.9999999991</v>
      </c>
      <c r="E36" s="112">
        <f t="shared" si="1"/>
        <v>5340.6219066621752</v>
      </c>
    </row>
    <row r="37" spans="1:5" x14ac:dyDescent="0.25">
      <c r="A37" s="92" t="s">
        <v>1025</v>
      </c>
      <c r="B37" s="96">
        <v>60225</v>
      </c>
      <c r="C37" s="111">
        <f t="shared" si="0"/>
        <v>2007.5</v>
      </c>
      <c r="D37" s="111">
        <f>'34'!$E$33</f>
        <v>9069946.9999999981</v>
      </c>
      <c r="E37" s="112">
        <f t="shared" si="1"/>
        <v>4518.030884184308</v>
      </c>
    </row>
    <row r="38" spans="1:5" x14ac:dyDescent="0.25">
      <c r="A38" s="92" t="s">
        <v>1048</v>
      </c>
      <c r="B38" s="96">
        <v>19780</v>
      </c>
      <c r="C38" s="111">
        <f t="shared" si="0"/>
        <v>659.33333333333337</v>
      </c>
      <c r="D38" s="111">
        <f>'35'!$E$33</f>
        <v>2380525</v>
      </c>
      <c r="E38" s="112">
        <f t="shared" si="1"/>
        <v>3610.503033367037</v>
      </c>
    </row>
    <row r="39" spans="1:5" x14ac:dyDescent="0.25">
      <c r="A39" s="92" t="s">
        <v>1061</v>
      </c>
      <c r="B39" s="97">
        <v>395703</v>
      </c>
      <c r="C39" s="111">
        <f t="shared" si="0"/>
        <v>13190.1</v>
      </c>
      <c r="D39" s="111">
        <f>'36'!$E$33</f>
        <v>57028863</v>
      </c>
      <c r="E39" s="112">
        <f t="shared" si="1"/>
        <v>4323.6111174289808</v>
      </c>
    </row>
    <row r="40" spans="1:5" x14ac:dyDescent="0.25">
      <c r="A40" s="92" t="s">
        <v>1049</v>
      </c>
      <c r="B40" s="96">
        <v>151995</v>
      </c>
      <c r="C40" s="111">
        <f t="shared" si="0"/>
        <v>5066.5</v>
      </c>
      <c r="D40" s="113">
        <f>'37'!$E$33</f>
        <v>20121442</v>
      </c>
      <c r="E40" s="114">
        <f t="shared" si="1"/>
        <v>3971.4678772328039</v>
      </c>
    </row>
    <row r="41" spans="1:5" x14ac:dyDescent="0.25">
      <c r="A41" s="92" t="s">
        <v>1050</v>
      </c>
      <c r="B41" s="96">
        <v>236466</v>
      </c>
      <c r="C41" s="111">
        <f t="shared" si="0"/>
        <v>7882.2</v>
      </c>
      <c r="D41" s="113">
        <f>'38'!$E$33</f>
        <v>32997222.000000004</v>
      </c>
      <c r="E41" s="114">
        <f t="shared" si="1"/>
        <v>4186.295957981275</v>
      </c>
    </row>
    <row r="42" spans="1:5" x14ac:dyDescent="0.25">
      <c r="A42" s="92" t="s">
        <v>1026</v>
      </c>
      <c r="B42" s="96">
        <v>75189</v>
      </c>
      <c r="C42" s="111">
        <f t="shared" si="0"/>
        <v>2506.3000000000002</v>
      </c>
      <c r="D42" s="113">
        <f>'39'!$E$33</f>
        <v>9814540</v>
      </c>
      <c r="E42" s="114">
        <f t="shared" si="1"/>
        <v>3915.9478115149818</v>
      </c>
    </row>
    <row r="43" spans="1:5" x14ac:dyDescent="0.25">
      <c r="A43" s="92" t="s">
        <v>1062</v>
      </c>
      <c r="B43" s="96">
        <v>510550</v>
      </c>
      <c r="C43" s="111">
        <f t="shared" si="0"/>
        <v>17018.333333333332</v>
      </c>
      <c r="D43" s="113">
        <f>'40'!$E$33</f>
        <v>70642955</v>
      </c>
      <c r="E43" s="114">
        <f t="shared" si="1"/>
        <v>4150.9913818431105</v>
      </c>
    </row>
    <row r="44" spans="1:5" x14ac:dyDescent="0.25">
      <c r="A44" s="92" t="s">
        <v>1027</v>
      </c>
      <c r="B44" s="96">
        <v>66039</v>
      </c>
      <c r="C44" s="111">
        <f t="shared" si="0"/>
        <v>2201.3000000000002</v>
      </c>
      <c r="D44" s="113">
        <f>'41'!$E$33</f>
        <v>11020552.000000004</v>
      </c>
      <c r="E44" s="114">
        <f t="shared" si="1"/>
        <v>5006.3835006587033</v>
      </c>
    </row>
    <row r="45" spans="1:5" x14ac:dyDescent="0.25">
      <c r="A45" s="92" t="s">
        <v>1051</v>
      </c>
      <c r="B45" s="96">
        <v>74867</v>
      </c>
      <c r="C45" s="111">
        <f t="shared" si="0"/>
        <v>2495.5666666666666</v>
      </c>
      <c r="D45" s="113">
        <f>'42'!$E$33</f>
        <v>9901918</v>
      </c>
      <c r="E45" s="114">
        <f t="shared" si="1"/>
        <v>3967.803438096892</v>
      </c>
    </row>
    <row r="46" spans="1:5" x14ac:dyDescent="0.25">
      <c r="A46" s="92" t="s">
        <v>1052</v>
      </c>
      <c r="B46" s="96">
        <v>154789</v>
      </c>
      <c r="C46" s="111">
        <f t="shared" si="0"/>
        <v>5159.6333333333332</v>
      </c>
      <c r="D46" s="113">
        <f>'43'!$E$33</f>
        <v>23849944.999999996</v>
      </c>
      <c r="E46" s="114">
        <f t="shared" si="1"/>
        <v>4622.4108302269533</v>
      </c>
    </row>
    <row r="47" spans="1:5" x14ac:dyDescent="0.25">
      <c r="A47" s="92" t="s">
        <v>1063</v>
      </c>
      <c r="B47" s="96">
        <v>105136</v>
      </c>
      <c r="C47" s="111">
        <f t="shared" si="0"/>
        <v>3504.5333333333333</v>
      </c>
      <c r="D47" s="113">
        <f>'44'!$E$33</f>
        <v>12369057.000000002</v>
      </c>
      <c r="E47" s="114">
        <f t="shared" si="1"/>
        <v>3529.4448143357181</v>
      </c>
    </row>
    <row r="48" spans="1:5" x14ac:dyDescent="0.25">
      <c r="A48" s="92" t="s">
        <v>1028</v>
      </c>
      <c r="B48" s="96">
        <v>187230</v>
      </c>
      <c r="C48" s="111">
        <f t="shared" si="0"/>
        <v>6241</v>
      </c>
      <c r="D48" s="113">
        <f>'45'!$E$33</f>
        <v>24696526</v>
      </c>
      <c r="E48" s="114">
        <f t="shared" si="1"/>
        <v>3957.1424451209741</v>
      </c>
    </row>
    <row r="49" spans="1:5" x14ac:dyDescent="0.25">
      <c r="A49" s="92" t="s">
        <v>1053</v>
      </c>
      <c r="B49" s="96">
        <v>47784</v>
      </c>
      <c r="C49" s="111">
        <f t="shared" si="0"/>
        <v>1592.8</v>
      </c>
      <c r="D49" s="113">
        <f>'46'!$E$33</f>
        <v>7028731.0000000009</v>
      </c>
      <c r="E49" s="114">
        <f t="shared" si="1"/>
        <v>4412.8145404319448</v>
      </c>
    </row>
    <row r="50" spans="1:5" x14ac:dyDescent="0.25">
      <c r="A50" s="92" t="s">
        <v>1054</v>
      </c>
      <c r="B50" s="96">
        <v>78535</v>
      </c>
      <c r="C50" s="111">
        <f t="shared" si="0"/>
        <v>2617.8333333333335</v>
      </c>
      <c r="D50" s="113">
        <f>'47'!$E$33</f>
        <v>11711340</v>
      </c>
      <c r="E50" s="114">
        <f t="shared" si="1"/>
        <v>4473.6767046539753</v>
      </c>
    </row>
    <row r="51" spans="1:5" x14ac:dyDescent="0.25">
      <c r="A51" s="92" t="s">
        <v>1055</v>
      </c>
      <c r="B51" s="96">
        <v>61276</v>
      </c>
      <c r="C51" s="111">
        <f t="shared" si="0"/>
        <v>2042.5333333333333</v>
      </c>
      <c r="D51" s="113">
        <f>'48'!$E$33</f>
        <v>9041437</v>
      </c>
      <c r="E51" s="114">
        <f t="shared" si="1"/>
        <v>4426.5799007768128</v>
      </c>
    </row>
    <row r="52" spans="1:5" x14ac:dyDescent="0.25">
      <c r="A52" s="92" t="s">
        <v>1056</v>
      </c>
      <c r="B52" s="96">
        <v>26236</v>
      </c>
      <c r="C52" s="111">
        <f t="shared" si="0"/>
        <v>874.5333333333333</v>
      </c>
      <c r="D52" s="113">
        <f>'49'!$E$33</f>
        <v>4645962</v>
      </c>
      <c r="E52" s="114">
        <f t="shared" si="1"/>
        <v>5312.5041927123038</v>
      </c>
    </row>
    <row r="53" spans="1:5" x14ac:dyDescent="0.25">
      <c r="A53" s="92" t="s">
        <v>1064</v>
      </c>
      <c r="B53" s="96">
        <v>97120</v>
      </c>
      <c r="C53" s="111">
        <f t="shared" si="0"/>
        <v>3237.3333333333335</v>
      </c>
      <c r="D53" s="113">
        <f>'50'!$E$33</f>
        <v>444572053</v>
      </c>
      <c r="E53" s="114">
        <f t="shared" si="1"/>
        <v>137326.6226317957</v>
      </c>
    </row>
    <row r="54" spans="1:5" x14ac:dyDescent="0.25">
      <c r="A54" s="90" t="s">
        <v>937</v>
      </c>
      <c r="B54" s="96">
        <v>94256</v>
      </c>
      <c r="C54" s="111">
        <f t="shared" si="0"/>
        <v>3141.8666666666668</v>
      </c>
      <c r="D54" s="113">
        <f>'51'!$E$33</f>
        <v>16126028.999999998</v>
      </c>
      <c r="E54" s="114">
        <f t="shared" si="1"/>
        <v>5132.6267823799008</v>
      </c>
    </row>
    <row r="55" spans="1:5" x14ac:dyDescent="0.25">
      <c r="A55" s="90" t="s">
        <v>938</v>
      </c>
      <c r="B55" s="96">
        <v>43568</v>
      </c>
      <c r="C55" s="111">
        <f t="shared" si="0"/>
        <v>1452.2666666666667</v>
      </c>
      <c r="D55" s="113">
        <f>'52'!$E$33</f>
        <v>3476834</v>
      </c>
      <c r="E55" s="114">
        <f t="shared" si="1"/>
        <v>2394.0740910760192</v>
      </c>
    </row>
    <row r="56" spans="1:5" x14ac:dyDescent="0.25">
      <c r="A56" s="90" t="s">
        <v>939</v>
      </c>
      <c r="B56" s="96">
        <v>15547</v>
      </c>
      <c r="C56" s="111">
        <f t="shared" si="0"/>
        <v>518.23333333333335</v>
      </c>
      <c r="D56" s="113">
        <f>'53'!$E$33</f>
        <v>9403698.9999999981</v>
      </c>
      <c r="E56" s="114">
        <f t="shared" si="1"/>
        <v>18145.685341223383</v>
      </c>
    </row>
    <row r="57" spans="1:5" x14ac:dyDescent="0.25">
      <c r="A57" s="90" t="s">
        <v>940</v>
      </c>
      <c r="B57" s="96">
        <v>121985</v>
      </c>
      <c r="C57" s="111">
        <f t="shared" si="0"/>
        <v>4066.1666666666665</v>
      </c>
      <c r="D57" s="113">
        <f>'54'!$E$33</f>
        <v>23584921.000000004</v>
      </c>
      <c r="E57" s="114">
        <f t="shared" si="1"/>
        <v>5800.2838873632018</v>
      </c>
    </row>
    <row r="58" spans="1:5" x14ac:dyDescent="0.25">
      <c r="A58" s="90" t="s">
        <v>941</v>
      </c>
      <c r="B58" s="96">
        <v>52039</v>
      </c>
      <c r="C58" s="111">
        <f t="shared" si="0"/>
        <v>1734.6333333333334</v>
      </c>
      <c r="D58" s="113">
        <f>'55'!$E$33</f>
        <v>9013567</v>
      </c>
      <c r="E58" s="114">
        <f t="shared" si="1"/>
        <v>5196.2376294702044</v>
      </c>
    </row>
    <row r="59" spans="1:5" x14ac:dyDescent="0.25">
      <c r="A59" s="90" t="s">
        <v>942</v>
      </c>
      <c r="B59" s="96">
        <v>34115</v>
      </c>
      <c r="C59" s="111">
        <f t="shared" si="0"/>
        <v>1137.1666666666667</v>
      </c>
      <c r="D59" s="113">
        <f>'56'!$E$33</f>
        <v>8617913.9999999981</v>
      </c>
      <c r="E59" s="114">
        <f t="shared" si="1"/>
        <v>7578.4089110361992</v>
      </c>
    </row>
    <row r="60" spans="1:5" x14ac:dyDescent="0.25">
      <c r="A60" s="71" t="s">
        <v>943</v>
      </c>
      <c r="B60" s="96">
        <v>51810</v>
      </c>
      <c r="C60" s="111">
        <f t="shared" si="0"/>
        <v>1727</v>
      </c>
      <c r="D60" s="113">
        <f>'57'!$E$33</f>
        <v>4581055</v>
      </c>
      <c r="E60" s="114">
        <f t="shared" si="1"/>
        <v>2652.6085697741751</v>
      </c>
    </row>
    <row r="61" spans="1:5" ht="30" thickBot="1" x14ac:dyDescent="0.3">
      <c r="A61" s="80" t="s">
        <v>1014</v>
      </c>
      <c r="B61" s="115">
        <f>SUMIF(D4:D60,"&gt;0",B4:B60)</f>
        <v>9119760</v>
      </c>
      <c r="C61" s="115">
        <f>B61/30</f>
        <v>303992</v>
      </c>
      <c r="D61" s="116">
        <f>SUM(D4:D60)</f>
        <v>1802184102.0000103</v>
      </c>
      <c r="E61" s="117">
        <f t="shared" si="1"/>
        <v>5928.3931879786651</v>
      </c>
    </row>
    <row r="63" spans="1:5" x14ac:dyDescent="0.25">
      <c r="D63" s="99"/>
    </row>
    <row r="87" ht="15" customHeight="1" x14ac:dyDescent="0.25"/>
  </sheetData>
  <pageMargins left="0.25" right="0.25" top="0.25" bottom="0.2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96"/>
  <sheetViews>
    <sheetView showGridLines="0" zoomScale="70" zoomScaleNormal="70" workbookViewId="0">
      <pane xSplit="1" ySplit="3" topLeftCell="B4" activePane="bottomRight" state="frozen"/>
      <selection activeCell="A49" sqref="A49"/>
      <selection pane="topRight" activeCell="A49" sqref="A49"/>
      <selection pane="bottomLeft" activeCell="A49" sqref="A49"/>
      <selection pane="bottomRight" activeCell="B4" sqref="B4"/>
    </sheetView>
  </sheetViews>
  <sheetFormatPr defaultRowHeight="14.25" x14ac:dyDescent="0.2"/>
  <cols>
    <col min="1" max="1" width="31.5703125" style="60" customWidth="1"/>
    <col min="2" max="4" width="9.28515625" style="60" bestFit="1" customWidth="1"/>
    <col min="5" max="6" width="11.42578125" style="60" bestFit="1" customWidth="1"/>
    <col min="7" max="9" width="12.5703125" style="60" bestFit="1" customWidth="1"/>
    <col min="10" max="10" width="9.28515625" style="60" bestFit="1" customWidth="1"/>
    <col min="11" max="11" width="11.42578125" style="60" bestFit="1" customWidth="1"/>
    <col min="12" max="12" width="12.5703125" style="60" bestFit="1" customWidth="1"/>
    <col min="13" max="13" width="11.42578125" style="60" bestFit="1" customWidth="1"/>
    <col min="14" max="14" width="10.28515625" style="60" bestFit="1" customWidth="1"/>
    <col min="15" max="15" width="13.42578125" style="60" bestFit="1" customWidth="1"/>
    <col min="16" max="16" width="9.140625" style="60" bestFit="1" customWidth="1"/>
    <col min="17" max="17" width="9.28515625" style="60" bestFit="1" customWidth="1"/>
    <col min="18" max="18" width="9.140625" style="60" bestFit="1" customWidth="1"/>
    <col min="19" max="19" width="11.42578125" style="60" bestFit="1" customWidth="1"/>
    <col min="20" max="20" width="11.140625" style="60" bestFit="1" customWidth="1"/>
    <col min="21" max="21" width="8.28515625" style="60" bestFit="1" customWidth="1"/>
    <col min="22" max="22" width="12.5703125" style="60" bestFit="1" customWidth="1"/>
    <col min="23" max="23" width="11.140625" style="60" bestFit="1" customWidth="1"/>
    <col min="24" max="24" width="9.28515625" style="60" bestFit="1" customWidth="1"/>
    <col min="25" max="25" width="11.140625" style="60" bestFit="1" customWidth="1"/>
    <col min="26" max="27" width="9.28515625" style="60" bestFit="1" customWidth="1"/>
    <col min="28" max="29" width="8.7109375" style="60" bestFit="1" customWidth="1"/>
    <col min="30" max="30" width="9.28515625" style="60" bestFit="1" customWidth="1"/>
    <col min="31" max="31" width="8.140625" style="60" bestFit="1" customWidth="1"/>
    <col min="32" max="37" width="9.140625" style="60"/>
    <col min="38" max="38" width="17.85546875" style="60" bestFit="1" customWidth="1"/>
    <col min="39" max="41" width="9.140625" style="60"/>
    <col min="42" max="42" width="17.85546875" style="60" bestFit="1" customWidth="1"/>
    <col min="43" max="16384" width="9.140625" style="60"/>
  </cols>
  <sheetData>
    <row r="1" spans="1:30" x14ac:dyDescent="0.2">
      <c r="A1" s="38" t="str">
        <f>Summary!A1</f>
        <v>Community and Technical Colleges, Report of Fundable Operating Expenses, Fiscal Year (FY) 2000</v>
      </c>
      <c r="B1" s="38"/>
      <c r="C1" s="38"/>
      <c r="E1" s="38"/>
      <c r="F1" s="38"/>
      <c r="G1" s="38"/>
      <c r="H1" s="38"/>
      <c r="J1" s="38"/>
      <c r="K1" s="39"/>
      <c r="L1" s="38"/>
    </row>
    <row r="2" spans="1:30" ht="15" thickBot="1" x14ac:dyDescent="0.25">
      <c r="A2" s="62" t="s">
        <v>951</v>
      </c>
    </row>
    <row r="3" spans="1:30" s="66" customFormat="1" x14ac:dyDescent="0.2">
      <c r="A3" s="26" t="s">
        <v>944</v>
      </c>
      <c r="B3" s="33" t="s">
        <v>952</v>
      </c>
      <c r="C3" s="33" t="s">
        <v>953</v>
      </c>
      <c r="D3" s="33" t="s">
        <v>982</v>
      </c>
      <c r="E3" s="33" t="s">
        <v>983</v>
      </c>
      <c r="F3" s="33" t="s">
        <v>984</v>
      </c>
      <c r="G3" s="33" t="s">
        <v>985</v>
      </c>
      <c r="H3" s="33" t="s">
        <v>986</v>
      </c>
      <c r="I3" s="33" t="s">
        <v>987</v>
      </c>
      <c r="J3" s="33" t="s">
        <v>988</v>
      </c>
      <c r="K3" s="33" t="s">
        <v>989</v>
      </c>
      <c r="L3" s="33" t="s">
        <v>991</v>
      </c>
      <c r="M3" s="33" t="s">
        <v>992</v>
      </c>
      <c r="N3" s="33" t="s">
        <v>993</v>
      </c>
      <c r="O3" s="33" t="s">
        <v>994</v>
      </c>
      <c r="P3" s="33" t="s">
        <v>995</v>
      </c>
      <c r="Q3" s="33" t="s">
        <v>996</v>
      </c>
      <c r="R3" s="33" t="s">
        <v>997</v>
      </c>
      <c r="S3" s="33" t="s">
        <v>998</v>
      </c>
      <c r="T3" s="33" t="s">
        <v>999</v>
      </c>
      <c r="U3" s="33" t="s">
        <v>1000</v>
      </c>
      <c r="V3" s="33" t="s">
        <v>1001</v>
      </c>
      <c r="W3" s="33" t="s">
        <v>1002</v>
      </c>
      <c r="X3" s="33" t="s">
        <v>1003</v>
      </c>
      <c r="Y3" s="33" t="s">
        <v>1004</v>
      </c>
      <c r="Z3" s="33" t="s">
        <v>1005</v>
      </c>
      <c r="AA3" s="33" t="s">
        <v>1006</v>
      </c>
      <c r="AB3" s="33" t="s">
        <v>1007</v>
      </c>
      <c r="AC3" s="33" t="s">
        <v>1008</v>
      </c>
      <c r="AD3" s="44" t="s">
        <v>35</v>
      </c>
    </row>
    <row r="4" spans="1:30" x14ac:dyDescent="0.2">
      <c r="A4" s="92" t="s">
        <v>1065</v>
      </c>
      <c r="B4" s="73">
        <f>'1'!$F$5</f>
        <v>6.82</v>
      </c>
      <c r="C4" s="73">
        <f>'1'!$F$6</f>
        <v>8.24</v>
      </c>
      <c r="D4" s="73">
        <f>'1'!$F$7</f>
        <v>7.14</v>
      </c>
      <c r="E4" s="73">
        <f>'1'!$F$8</f>
        <v>7.91</v>
      </c>
      <c r="F4" s="73">
        <f>'1'!$F$9</f>
        <v>42.77</v>
      </c>
      <c r="G4" s="73">
        <f>'1'!$F$10</f>
        <v>10.92</v>
      </c>
      <c r="H4" s="73">
        <f>'1'!$F$11</f>
        <v>7.38</v>
      </c>
      <c r="I4" s="73">
        <f>'1'!$F$12</f>
        <v>7.3</v>
      </c>
      <c r="J4" s="73">
        <f>'1'!$F$13</f>
        <v>5.67</v>
      </c>
      <c r="K4" s="73">
        <f>'1'!$F$14</f>
        <v>18.38</v>
      </c>
      <c r="L4" s="73">
        <f>'1'!$F$15</f>
        <v>7.91</v>
      </c>
      <c r="M4" s="73">
        <f>'1'!$F$16</f>
        <v>6.46</v>
      </c>
      <c r="N4" s="73">
        <f>'1'!$F$17</f>
        <v>6.8</v>
      </c>
      <c r="O4" s="73">
        <f>'1'!$F$18</f>
        <v>9.44</v>
      </c>
      <c r="P4" s="73" t="str">
        <f>'1'!$F$19</f>
        <v/>
      </c>
      <c r="Q4" s="73">
        <f>'1'!$F$20</f>
        <v>6.3</v>
      </c>
      <c r="R4" s="73">
        <f>'1'!$F$21</f>
        <v>10.84</v>
      </c>
      <c r="S4" s="73">
        <f>'1'!$F$22</f>
        <v>8.9600000000000009</v>
      </c>
      <c r="T4" s="73">
        <f>'1'!$F$23</f>
        <v>6.65</v>
      </c>
      <c r="U4" s="73">
        <f>'1'!$F$24</f>
        <v>8.0399999999999991</v>
      </c>
      <c r="V4" s="73">
        <f>'1'!$F$25</f>
        <v>8.25</v>
      </c>
      <c r="W4" s="73">
        <f>'1'!$F$26</f>
        <v>7.33</v>
      </c>
      <c r="X4" s="73">
        <f>'1'!$F$27</f>
        <v>8.0299999999999994</v>
      </c>
      <c r="Y4" s="73">
        <f>'1'!$F$28</f>
        <v>5.62</v>
      </c>
      <c r="Z4" s="73">
        <f>'1'!$F$29</f>
        <v>6.66</v>
      </c>
      <c r="AA4" s="73">
        <f>'1'!$F$30</f>
        <v>8.1199999999999992</v>
      </c>
      <c r="AB4" s="73" t="str">
        <f>'1'!$F$31</f>
        <v/>
      </c>
      <c r="AC4" s="73" t="str">
        <f>'1'!$F$32</f>
        <v/>
      </c>
      <c r="AD4" s="94">
        <f>'1'!$F$33</f>
        <v>7.03</v>
      </c>
    </row>
    <row r="5" spans="1:30" x14ac:dyDescent="0.2">
      <c r="A5" s="92" t="s">
        <v>1019</v>
      </c>
      <c r="B5" s="72">
        <f>'2'!$F$5</f>
        <v>5.07</v>
      </c>
      <c r="C5" s="72">
        <f>'2'!$F$6</f>
        <v>7.92</v>
      </c>
      <c r="D5" s="72">
        <f>'2'!$F$7</f>
        <v>6.12</v>
      </c>
      <c r="E5" s="72">
        <f>'2'!$F$8</f>
        <v>6.46</v>
      </c>
      <c r="F5" s="72" t="str">
        <f>'2'!$F$9</f>
        <v/>
      </c>
      <c r="G5" s="72">
        <f>'2'!$F$10</f>
        <v>5.72</v>
      </c>
      <c r="H5" s="72">
        <f>'2'!$F$11</f>
        <v>5.28</v>
      </c>
      <c r="I5" s="72" t="str">
        <f>'2'!$F$12</f>
        <v/>
      </c>
      <c r="J5" s="72">
        <f>'2'!$F$13</f>
        <v>6.33</v>
      </c>
      <c r="K5" s="72" t="str">
        <f>'2'!$F$14</f>
        <v/>
      </c>
      <c r="L5" s="72">
        <f>'2'!$F$15</f>
        <v>4.1399999999999997</v>
      </c>
      <c r="M5" s="72">
        <f>'2'!$F$16</f>
        <v>6.14</v>
      </c>
      <c r="N5" s="72">
        <f>'2'!$F$17</f>
        <v>6.79</v>
      </c>
      <c r="O5" s="72">
        <f>'2'!$F$18</f>
        <v>8.49</v>
      </c>
      <c r="P5" s="72" t="str">
        <f>'2'!$F$19</f>
        <v/>
      </c>
      <c r="Q5" s="72">
        <f>'2'!$F$20</f>
        <v>8.9600000000000009</v>
      </c>
      <c r="R5" s="72">
        <f>'2'!$F$21</f>
        <v>13.67</v>
      </c>
      <c r="S5" s="72">
        <f>'2'!$F$22</f>
        <v>12.86</v>
      </c>
      <c r="T5" s="72">
        <f>'2'!$F$23</f>
        <v>5.2</v>
      </c>
      <c r="U5" s="72">
        <f>'2'!$F$24</f>
        <v>5.84</v>
      </c>
      <c r="V5" s="72" t="str">
        <f>'2'!$F$25</f>
        <v/>
      </c>
      <c r="W5" s="72" t="str">
        <f>'2'!$F$26</f>
        <v/>
      </c>
      <c r="X5" s="72">
        <f>'2'!$F$27</f>
        <v>7.28</v>
      </c>
      <c r="Y5" s="72">
        <f>'2'!$F$28</f>
        <v>5.68</v>
      </c>
      <c r="Z5" s="72">
        <f>'2'!$F$29</f>
        <v>5.25</v>
      </c>
      <c r="AA5" s="72">
        <f>'2'!$F$30</f>
        <v>7.78</v>
      </c>
      <c r="AB5" s="72" t="str">
        <f>'2'!$F$31</f>
        <v/>
      </c>
      <c r="AC5" s="72" t="str">
        <f>'2'!$F$32</f>
        <v/>
      </c>
      <c r="AD5" s="93">
        <f>'2'!$F$33</f>
        <v>6.22</v>
      </c>
    </row>
    <row r="6" spans="1:30" x14ac:dyDescent="0.2">
      <c r="A6" s="92" t="s">
        <v>1029</v>
      </c>
      <c r="B6" s="72">
        <f>'3'!$F$5</f>
        <v>5.46</v>
      </c>
      <c r="C6" s="72">
        <f>'3'!$F$6</f>
        <v>5.94</v>
      </c>
      <c r="D6" s="72">
        <f>'3'!$F$7</f>
        <v>5.74</v>
      </c>
      <c r="E6" s="72">
        <f>'3'!$F$8</f>
        <v>6.41</v>
      </c>
      <c r="F6" s="72" t="str">
        <f>'3'!$F$9</f>
        <v/>
      </c>
      <c r="G6" s="72">
        <f>'3'!$F$10</f>
        <v>12.16</v>
      </c>
      <c r="H6" s="72">
        <f>'3'!$F$11</f>
        <v>6.22</v>
      </c>
      <c r="I6" s="72">
        <f>'3'!$F$12</f>
        <v>5.69</v>
      </c>
      <c r="J6" s="72">
        <f>'3'!$F$13</f>
        <v>5.38</v>
      </c>
      <c r="K6" s="72">
        <f>'3'!$F$14</f>
        <v>9.1199999999999992</v>
      </c>
      <c r="L6" s="72">
        <f>'3'!$F$15</f>
        <v>8.0299999999999994</v>
      </c>
      <c r="M6" s="72">
        <f>'3'!$F$16</f>
        <v>5.19</v>
      </c>
      <c r="N6" s="72">
        <f>'3'!$F$17</f>
        <v>8.1999999999999993</v>
      </c>
      <c r="O6" s="72">
        <f>'3'!$F$18</f>
        <v>8.92</v>
      </c>
      <c r="P6" s="72">
        <f>'3'!$F$19</f>
        <v>6.14</v>
      </c>
      <c r="Q6" s="72">
        <f>'3'!$F$20</f>
        <v>6.09</v>
      </c>
      <c r="R6" s="72">
        <f>'3'!$F$21</f>
        <v>7.77</v>
      </c>
      <c r="S6" s="72">
        <f>'3'!$F$22</f>
        <v>5.84</v>
      </c>
      <c r="T6" s="72">
        <f>'3'!$F$23</f>
        <v>5.37</v>
      </c>
      <c r="U6" s="72">
        <f>'3'!$F$24</f>
        <v>8.14</v>
      </c>
      <c r="V6" s="72">
        <f>'3'!$F$25</f>
        <v>6.53</v>
      </c>
      <c r="W6" s="72">
        <f>'3'!$F$26</f>
        <v>25.88</v>
      </c>
      <c r="X6" s="72">
        <f>'3'!$F$27</f>
        <v>5.47</v>
      </c>
      <c r="Y6" s="72">
        <f>'3'!$F$28</f>
        <v>5.34</v>
      </c>
      <c r="Z6" s="72">
        <f>'3'!$F$29</f>
        <v>5.25</v>
      </c>
      <c r="AA6" s="72">
        <f>'3'!$F$30</f>
        <v>9.3800000000000008</v>
      </c>
      <c r="AB6" s="72" t="str">
        <f>'3'!$F$31</f>
        <v/>
      </c>
      <c r="AC6" s="72" t="str">
        <f>'3'!$F$32</f>
        <v/>
      </c>
      <c r="AD6" s="93">
        <f>'3'!$F$33</f>
        <v>6.2</v>
      </c>
    </row>
    <row r="7" spans="1:30" x14ac:dyDescent="0.2">
      <c r="A7" s="92" t="s">
        <v>1030</v>
      </c>
      <c r="B7" s="72">
        <f>'4'!$F$5</f>
        <v>4.43</v>
      </c>
      <c r="C7" s="72">
        <f>'4'!$F$6</f>
        <v>7.76</v>
      </c>
      <c r="D7" s="72">
        <f>'4'!$F$7</f>
        <v>4.47</v>
      </c>
      <c r="E7" s="72">
        <f>'4'!$F$8</f>
        <v>5.08</v>
      </c>
      <c r="F7" s="72" t="str">
        <f>'4'!$F$9</f>
        <v/>
      </c>
      <c r="G7" s="72">
        <f>'4'!$F$10</f>
        <v>7.61</v>
      </c>
      <c r="H7" s="72">
        <f>'4'!$F$11</f>
        <v>6.81</v>
      </c>
      <c r="I7" s="72">
        <f>'4'!$F$12</f>
        <v>6.32</v>
      </c>
      <c r="J7" s="72">
        <f>'4'!$F$13</f>
        <v>5.15</v>
      </c>
      <c r="K7" s="72">
        <f>'4'!$F$14</f>
        <v>6.84</v>
      </c>
      <c r="L7" s="72">
        <f>'4'!$F$15</f>
        <v>6.32</v>
      </c>
      <c r="M7" s="72">
        <f>'4'!$F$16</f>
        <v>4.0999999999999996</v>
      </c>
      <c r="N7" s="72">
        <f>'4'!$F$17</f>
        <v>5.74</v>
      </c>
      <c r="O7" s="72">
        <f>'4'!$F$18</f>
        <v>7.59</v>
      </c>
      <c r="P7" s="72" t="str">
        <f>'4'!$F$19</f>
        <v/>
      </c>
      <c r="Q7" s="72">
        <f>'4'!$F$20</f>
        <v>5.83</v>
      </c>
      <c r="R7" s="72">
        <f>'4'!$F$21</f>
        <v>6.71</v>
      </c>
      <c r="S7" s="72">
        <f>'4'!$F$22</f>
        <v>7.73</v>
      </c>
      <c r="T7" s="72">
        <f>'4'!$F$23</f>
        <v>4.29</v>
      </c>
      <c r="U7" s="72">
        <f>'4'!$F$24</f>
        <v>6.19</v>
      </c>
      <c r="V7" s="72">
        <f>'4'!$F$25</f>
        <v>8.85</v>
      </c>
      <c r="W7" s="72">
        <f>'4'!$F$26</f>
        <v>6.15</v>
      </c>
      <c r="X7" s="72">
        <f>'4'!$F$27</f>
        <v>5.24</v>
      </c>
      <c r="Y7" s="72">
        <f>'4'!$F$28</f>
        <v>4.08</v>
      </c>
      <c r="Z7" s="72">
        <f>'4'!$F$29</f>
        <v>4.01</v>
      </c>
      <c r="AA7" s="72">
        <f>'4'!$F$30</f>
        <v>6.14</v>
      </c>
      <c r="AB7" s="72" t="str">
        <f>'4'!$F$31</f>
        <v/>
      </c>
      <c r="AC7" s="72" t="str">
        <f>'4'!$F$32</f>
        <v/>
      </c>
      <c r="AD7" s="93">
        <f>'4'!$F$33</f>
        <v>5.05</v>
      </c>
    </row>
    <row r="8" spans="1:30" x14ac:dyDescent="0.2">
      <c r="A8" s="92" t="s">
        <v>1020</v>
      </c>
      <c r="B8" s="72" t="str">
        <f>'5'!$F$5</f>
        <v/>
      </c>
      <c r="C8" s="72">
        <f>'5'!$F$6</f>
        <v>10.89</v>
      </c>
      <c r="D8" s="72">
        <f>'5'!$F$7</f>
        <v>7.83</v>
      </c>
      <c r="E8" s="72">
        <f>'5'!$F$8</f>
        <v>9.3699999999999992</v>
      </c>
      <c r="F8" s="72" t="str">
        <f>'5'!$F$9</f>
        <v/>
      </c>
      <c r="G8" s="72">
        <f>'5'!$F$10</f>
        <v>6.68</v>
      </c>
      <c r="H8" s="72">
        <f>'5'!$F$11</f>
        <v>8.1199999999999992</v>
      </c>
      <c r="I8" s="72">
        <f>'5'!$F$12</f>
        <v>71.680000000000007</v>
      </c>
      <c r="J8" s="72">
        <f>'5'!$F$13</f>
        <v>6.46</v>
      </c>
      <c r="K8" s="72">
        <f>'5'!$F$14</f>
        <v>9.75</v>
      </c>
      <c r="L8" s="72">
        <f>'5'!$F$15</f>
        <v>6.37</v>
      </c>
      <c r="M8" s="72">
        <f>'5'!$F$16</f>
        <v>6.79</v>
      </c>
      <c r="N8" s="72">
        <f>'5'!$F$17</f>
        <v>6.5</v>
      </c>
      <c r="O8" s="72">
        <f>'5'!$F$18</f>
        <v>11.93</v>
      </c>
      <c r="P8" s="72" t="str">
        <f>'5'!$F$19</f>
        <v/>
      </c>
      <c r="Q8" s="72">
        <f>'5'!$F$20</f>
        <v>11.05</v>
      </c>
      <c r="R8" s="72" t="str">
        <f>'5'!$F$21</f>
        <v/>
      </c>
      <c r="S8" s="72">
        <f>'5'!$F$22</f>
        <v>31.76</v>
      </c>
      <c r="T8" s="72">
        <f>'5'!$F$23</f>
        <v>6.63</v>
      </c>
      <c r="U8" s="72">
        <f>'5'!$F$24</f>
        <v>14.8</v>
      </c>
      <c r="V8" s="72" t="str">
        <f>'5'!$F$25</f>
        <v/>
      </c>
      <c r="W8" s="72">
        <f>'5'!$F$26</f>
        <v>921.69</v>
      </c>
      <c r="X8" s="72">
        <f>'5'!$F$27</f>
        <v>9.42</v>
      </c>
      <c r="Y8" s="72">
        <f>'5'!$F$28</f>
        <v>7.11</v>
      </c>
      <c r="Z8" s="72">
        <f>'5'!$F$29</f>
        <v>5.94</v>
      </c>
      <c r="AA8" s="72">
        <f>'5'!$F$30</f>
        <v>8.2899999999999991</v>
      </c>
      <c r="AB8" s="72" t="str">
        <f>'5'!$F$31</f>
        <v/>
      </c>
      <c r="AC8" s="72" t="str">
        <f>'5'!$F$32</f>
        <v/>
      </c>
      <c r="AD8" s="93">
        <f>'5'!$F$33</f>
        <v>7.6</v>
      </c>
    </row>
    <row r="9" spans="1:30" x14ac:dyDescent="0.2">
      <c r="A9" s="92" t="s">
        <v>1031</v>
      </c>
      <c r="B9" s="72">
        <f>'6'!$F$5</f>
        <v>8.31</v>
      </c>
      <c r="C9" s="72">
        <f>'6'!$F$6</f>
        <v>3.27</v>
      </c>
      <c r="D9" s="72">
        <f>'6'!$F$7</f>
        <v>3.69</v>
      </c>
      <c r="E9" s="72">
        <f>'6'!$F$8</f>
        <v>5.75</v>
      </c>
      <c r="F9" s="72" t="str">
        <f>'6'!$F$9</f>
        <v/>
      </c>
      <c r="G9" s="72">
        <f>'6'!$F$10</f>
        <v>4.83</v>
      </c>
      <c r="H9" s="72">
        <f>'6'!$F$11</f>
        <v>6.66</v>
      </c>
      <c r="I9" s="72" t="str">
        <f>'6'!$F$12</f>
        <v/>
      </c>
      <c r="J9" s="72">
        <f>'6'!$F$13</f>
        <v>3.42</v>
      </c>
      <c r="K9" s="72" t="str">
        <f>'6'!$F$14</f>
        <v/>
      </c>
      <c r="L9" s="72" t="str">
        <f>'6'!$F$15</f>
        <v/>
      </c>
      <c r="M9" s="72">
        <f>'6'!$F$16</f>
        <v>4.82</v>
      </c>
      <c r="N9" s="72">
        <f>'6'!$F$17</f>
        <v>4.3</v>
      </c>
      <c r="O9" s="72">
        <f>'6'!$F$18</f>
        <v>7.13</v>
      </c>
      <c r="P9" s="72">
        <f>'6'!$F$19</f>
        <v>15.59</v>
      </c>
      <c r="Q9" s="72">
        <f>'6'!$F$20</f>
        <v>4.49</v>
      </c>
      <c r="R9" s="72" t="str">
        <f>'6'!$F$21</f>
        <v/>
      </c>
      <c r="S9" s="72">
        <f>'6'!$F$22</f>
        <v>57.51</v>
      </c>
      <c r="T9" s="72">
        <f>'6'!$F$23</f>
        <v>4.37</v>
      </c>
      <c r="U9" s="72" t="str">
        <f>'6'!$F$24</f>
        <v/>
      </c>
      <c r="V9" s="72" t="str">
        <f>'6'!$F$25</f>
        <v/>
      </c>
      <c r="W9" s="72" t="str">
        <f>'6'!$F$26</f>
        <v/>
      </c>
      <c r="X9" s="72">
        <f>'6'!$F$27</f>
        <v>4.3</v>
      </c>
      <c r="Y9" s="72">
        <f>'6'!$F$28</f>
        <v>3.14</v>
      </c>
      <c r="Z9" s="72">
        <f>'6'!$F$29</f>
        <v>3.73</v>
      </c>
      <c r="AA9" s="72">
        <f>'6'!$F$30</f>
        <v>6.46</v>
      </c>
      <c r="AB9" s="72" t="str">
        <f>'6'!$F$31</f>
        <v/>
      </c>
      <c r="AC9" s="72" t="str">
        <f>'6'!$F$32</f>
        <v/>
      </c>
      <c r="AD9" s="93">
        <f>'6'!$F$33</f>
        <v>4.45</v>
      </c>
    </row>
    <row r="10" spans="1:30" x14ac:dyDescent="0.2">
      <c r="A10" s="92" t="s">
        <v>1032</v>
      </c>
      <c r="B10" s="72">
        <f>'7'!$F$5</f>
        <v>6</v>
      </c>
      <c r="C10" s="72">
        <f>'7'!$F$6</f>
        <v>5.48</v>
      </c>
      <c r="D10" s="72">
        <f>'7'!$F$7</f>
        <v>6.15</v>
      </c>
      <c r="E10" s="72">
        <f>'7'!$F$8</f>
        <v>5.53</v>
      </c>
      <c r="F10" s="72" t="str">
        <f>'7'!$F$9</f>
        <v/>
      </c>
      <c r="G10" s="72">
        <f>'7'!$F$10</f>
        <v>5.54</v>
      </c>
      <c r="H10" s="72">
        <f>'7'!$F$11</f>
        <v>5.9</v>
      </c>
      <c r="I10" s="72">
        <f>'7'!$F$12</f>
        <v>4.43</v>
      </c>
      <c r="J10" s="72">
        <f>'7'!$F$13</f>
        <v>4.2</v>
      </c>
      <c r="K10" s="72" t="str">
        <f>'7'!$F$14</f>
        <v/>
      </c>
      <c r="L10" s="72">
        <f>'7'!$F$15</f>
        <v>5.22</v>
      </c>
      <c r="M10" s="72">
        <f>'7'!$F$16</f>
        <v>6.25</v>
      </c>
      <c r="N10" s="72">
        <f>'7'!$F$17</f>
        <v>6.61</v>
      </c>
      <c r="O10" s="72" t="str">
        <f>'7'!$F$18</f>
        <v/>
      </c>
      <c r="P10" s="72" t="str">
        <f>'7'!$F$19</f>
        <v/>
      </c>
      <c r="Q10" s="72">
        <f>'7'!$F$20</f>
        <v>6.93</v>
      </c>
      <c r="R10" s="72" t="str">
        <f>'7'!$F$21</f>
        <v/>
      </c>
      <c r="S10" s="72">
        <f>'7'!$F$22</f>
        <v>7.45</v>
      </c>
      <c r="T10" s="72">
        <f>'7'!$F$23</f>
        <v>5.21</v>
      </c>
      <c r="U10" s="72">
        <f>'7'!$F$24</f>
        <v>8.94</v>
      </c>
      <c r="V10" s="72">
        <f>'7'!$F$25</f>
        <v>6.59</v>
      </c>
      <c r="W10" s="72" t="str">
        <f>'7'!$F$26</f>
        <v/>
      </c>
      <c r="X10" s="72">
        <f>'7'!$F$27</f>
        <v>6.89</v>
      </c>
      <c r="Y10" s="72">
        <f>'7'!$F$28</f>
        <v>6.42</v>
      </c>
      <c r="Z10" s="72">
        <f>'7'!$F$29</f>
        <v>5.5</v>
      </c>
      <c r="AA10" s="72">
        <f>'7'!$F$30</f>
        <v>8.8699999999999992</v>
      </c>
      <c r="AB10" s="72" t="str">
        <f>'7'!$F$31</f>
        <v/>
      </c>
      <c r="AC10" s="72" t="str">
        <f>'7'!$F$32</f>
        <v/>
      </c>
      <c r="AD10" s="93">
        <f>'7'!$F$33</f>
        <v>5.76</v>
      </c>
    </row>
    <row r="11" spans="1:30" x14ac:dyDescent="0.2">
      <c r="A11" s="92" t="s">
        <v>1066</v>
      </c>
      <c r="B11" s="72">
        <f>'8'!$F$5</f>
        <v>6.97</v>
      </c>
      <c r="C11" s="72">
        <f>'8'!$F$6</f>
        <v>6.6</v>
      </c>
      <c r="D11" s="72">
        <f>'8'!$F$7</f>
        <v>5.43</v>
      </c>
      <c r="E11" s="72">
        <f>'8'!$F$8</f>
        <v>3.85</v>
      </c>
      <c r="F11" s="72">
        <f>'8'!$F$9</f>
        <v>24.83</v>
      </c>
      <c r="G11" s="72">
        <f>'8'!$F$10</f>
        <v>2.84</v>
      </c>
      <c r="H11" s="72">
        <f>'8'!$F$11</f>
        <v>6.18</v>
      </c>
      <c r="I11" s="72">
        <f>'8'!$F$12</f>
        <v>4.72</v>
      </c>
      <c r="J11" s="72">
        <f>'8'!$F$13</f>
        <v>3.49</v>
      </c>
      <c r="K11" s="72" t="str">
        <f>'8'!$F$14</f>
        <v/>
      </c>
      <c r="L11" s="72">
        <f>'8'!$F$15</f>
        <v>4.75</v>
      </c>
      <c r="M11" s="72">
        <f>'8'!$F$16</f>
        <v>4.4000000000000004</v>
      </c>
      <c r="N11" s="72">
        <f>'8'!$F$17</f>
        <v>5</v>
      </c>
      <c r="O11" s="72">
        <f>'8'!$F$18</f>
        <v>12.96</v>
      </c>
      <c r="P11" s="72" t="str">
        <f>'8'!$F$19</f>
        <v/>
      </c>
      <c r="Q11" s="72">
        <f>'8'!$F$20</f>
        <v>4.67</v>
      </c>
      <c r="R11" s="72" t="str">
        <f>'8'!$F$21</f>
        <v/>
      </c>
      <c r="S11" s="72">
        <f>'8'!$F$22</f>
        <v>5.24</v>
      </c>
      <c r="T11" s="72">
        <f>'8'!$F$23</f>
        <v>3.52</v>
      </c>
      <c r="U11" s="72">
        <f>'8'!$F$24</f>
        <v>5.89</v>
      </c>
      <c r="V11" s="72">
        <f>'8'!$F$25</f>
        <v>5.63</v>
      </c>
      <c r="W11" s="72">
        <f>'8'!$F$26</f>
        <v>40.39</v>
      </c>
      <c r="X11" s="72">
        <f>'8'!$F$27</f>
        <v>6.03</v>
      </c>
      <c r="Y11" s="72">
        <f>'8'!$F$28</f>
        <v>3.94</v>
      </c>
      <c r="Z11" s="72">
        <f>'8'!$F$29</f>
        <v>3.9</v>
      </c>
      <c r="AA11" s="72">
        <f>'8'!$F$30</f>
        <v>5.96</v>
      </c>
      <c r="AB11" s="72" t="str">
        <f>'8'!$F$31</f>
        <v/>
      </c>
      <c r="AC11" s="72" t="str">
        <f>'8'!$F$32</f>
        <v/>
      </c>
      <c r="AD11" s="93">
        <f>'8'!$F$33</f>
        <v>4.74</v>
      </c>
    </row>
    <row r="12" spans="1:30" x14ac:dyDescent="0.2">
      <c r="A12" s="92" t="s">
        <v>1023</v>
      </c>
      <c r="B12" s="72">
        <f>'9'!$F$5</f>
        <v>9.6300000000000008</v>
      </c>
      <c r="C12" s="72">
        <f>'9'!$F$6</f>
        <v>6.5</v>
      </c>
      <c r="D12" s="72">
        <f>'9'!$F$7</f>
        <v>3.47</v>
      </c>
      <c r="E12" s="72">
        <f>'9'!$F$8</f>
        <v>4.05</v>
      </c>
      <c r="F12" s="72" t="str">
        <f>'9'!$F$9</f>
        <v/>
      </c>
      <c r="G12" s="72" t="str">
        <f>'9'!$F$10</f>
        <v/>
      </c>
      <c r="H12" s="72">
        <f>'9'!$F$11</f>
        <v>4.93</v>
      </c>
      <c r="I12" s="72" t="str">
        <f>'9'!$F$12</f>
        <v/>
      </c>
      <c r="J12" s="72">
        <f>'9'!$F$13</f>
        <v>3.26</v>
      </c>
      <c r="K12" s="72" t="str">
        <f>'9'!$F$14</f>
        <v/>
      </c>
      <c r="L12" s="72">
        <f>'9'!$F$15</f>
        <v>6.51</v>
      </c>
      <c r="M12" s="72">
        <f>'9'!$F$16</f>
        <v>3.76</v>
      </c>
      <c r="N12" s="72">
        <f>'9'!$F$17</f>
        <v>5.69</v>
      </c>
      <c r="O12" s="72">
        <f>'9'!$F$18</f>
        <v>4.09</v>
      </c>
      <c r="P12" s="72" t="str">
        <f>'9'!$F$19</f>
        <v/>
      </c>
      <c r="Q12" s="72">
        <f>'9'!$F$20</f>
        <v>4.07</v>
      </c>
      <c r="R12" s="72" t="str">
        <f>'9'!$F$21</f>
        <v/>
      </c>
      <c r="S12" s="72">
        <f>'9'!$F$22</f>
        <v>6.26</v>
      </c>
      <c r="T12" s="72">
        <f>'9'!$F$23</f>
        <v>3.94</v>
      </c>
      <c r="U12" s="72">
        <f>'9'!$F$24</f>
        <v>5.78</v>
      </c>
      <c r="V12" s="72" t="str">
        <f>'9'!$F$25</f>
        <v/>
      </c>
      <c r="W12" s="72">
        <f>'9'!$F$26</f>
        <v>6.57</v>
      </c>
      <c r="X12" s="72">
        <f>'9'!$F$27</f>
        <v>9.4</v>
      </c>
      <c r="Y12" s="72">
        <f>'9'!$F$28</f>
        <v>4.54</v>
      </c>
      <c r="Z12" s="72">
        <f>'9'!$F$29</f>
        <v>3.41</v>
      </c>
      <c r="AA12" s="72">
        <f>'9'!$F$30</f>
        <v>6.13</v>
      </c>
      <c r="AB12" s="72" t="str">
        <f>'9'!$F$31</f>
        <v/>
      </c>
      <c r="AC12" s="72" t="str">
        <f>'9'!$F$32</f>
        <v/>
      </c>
      <c r="AD12" s="93">
        <f>'9'!$F$33</f>
        <v>4.3600000000000003</v>
      </c>
    </row>
    <row r="13" spans="1:30" x14ac:dyDescent="0.2">
      <c r="A13" s="92" t="s">
        <v>1033</v>
      </c>
      <c r="B13" s="72">
        <f>'10'!$F$5</f>
        <v>10.01</v>
      </c>
      <c r="C13" s="72">
        <f>'10'!$F$6</f>
        <v>13.62</v>
      </c>
      <c r="D13" s="72">
        <f>'10'!$F$7</f>
        <v>5.21</v>
      </c>
      <c r="E13" s="72">
        <f>'10'!$F$8</f>
        <v>8.6300000000000008</v>
      </c>
      <c r="F13" s="72" t="str">
        <f>'10'!$F$9</f>
        <v/>
      </c>
      <c r="G13" s="72" t="str">
        <f>'10'!$F$10</f>
        <v/>
      </c>
      <c r="H13" s="72">
        <f>'10'!$F$11</f>
        <v>6.97</v>
      </c>
      <c r="I13" s="72" t="str">
        <f>'10'!$F$12</f>
        <v/>
      </c>
      <c r="J13" s="72">
        <f>'10'!$F$13</f>
        <v>3.68</v>
      </c>
      <c r="K13" s="72" t="str">
        <f>'10'!$F$14</f>
        <v/>
      </c>
      <c r="L13" s="72">
        <f>'10'!$F$15</f>
        <v>3.69</v>
      </c>
      <c r="M13" s="72">
        <f>'10'!$F$16</f>
        <v>7.05</v>
      </c>
      <c r="N13" s="72">
        <f>'10'!$F$17</f>
        <v>4.1399999999999997</v>
      </c>
      <c r="O13" s="72" t="str">
        <f>'10'!$F$18</f>
        <v/>
      </c>
      <c r="P13" s="72" t="str">
        <f>'10'!$F$19</f>
        <v/>
      </c>
      <c r="Q13" s="72">
        <f>'10'!$F$20</f>
        <v>3.4</v>
      </c>
      <c r="R13" s="72" t="str">
        <f>'10'!$F$21</f>
        <v/>
      </c>
      <c r="S13" s="72">
        <f>'10'!$F$22</f>
        <v>7.27</v>
      </c>
      <c r="T13" s="72">
        <f>'10'!$F$23</f>
        <v>5.63</v>
      </c>
      <c r="U13" s="72" t="str">
        <f>'10'!$F$24</f>
        <v/>
      </c>
      <c r="V13" s="72" t="str">
        <f>'10'!$F$25</f>
        <v/>
      </c>
      <c r="W13" s="72" t="str">
        <f>'10'!$F$26</f>
        <v/>
      </c>
      <c r="X13" s="72">
        <f>'10'!$F$27</f>
        <v>11.87</v>
      </c>
      <c r="Y13" s="72">
        <f>'10'!$F$28</f>
        <v>4.75</v>
      </c>
      <c r="Z13" s="72">
        <f>'10'!$F$29</f>
        <v>5.28</v>
      </c>
      <c r="AA13" s="72">
        <f>'10'!$F$30</f>
        <v>5.68</v>
      </c>
      <c r="AB13" s="72" t="str">
        <f>'10'!$F$31</f>
        <v/>
      </c>
      <c r="AC13" s="72" t="str">
        <f>'10'!$F$32</f>
        <v/>
      </c>
      <c r="AD13" s="93">
        <f>'10'!$F$33</f>
        <v>6.57</v>
      </c>
    </row>
    <row r="14" spans="1:30" x14ac:dyDescent="0.2">
      <c r="A14" s="92" t="s">
        <v>1034</v>
      </c>
      <c r="B14" s="72">
        <f>'11'!$F$5</f>
        <v>4.7</v>
      </c>
      <c r="C14" s="72" t="str">
        <f>'11'!$F$6</f>
        <v/>
      </c>
      <c r="D14" s="72">
        <f>'11'!$F$7</f>
        <v>4.7</v>
      </c>
      <c r="E14" s="72">
        <f>'11'!$F$8</f>
        <v>5.88</v>
      </c>
      <c r="F14" s="72" t="str">
        <f>'11'!$F$9</f>
        <v/>
      </c>
      <c r="G14" s="72" t="str">
        <f>'11'!$F$10</f>
        <v/>
      </c>
      <c r="H14" s="72">
        <f>'11'!$F$11</f>
        <v>2.62</v>
      </c>
      <c r="I14" s="72">
        <f>'11'!$F$12</f>
        <v>5.68</v>
      </c>
      <c r="J14" s="72">
        <f>'11'!$F$13</f>
        <v>5.63</v>
      </c>
      <c r="K14" s="72">
        <f>'11'!$F$14</f>
        <v>7.32</v>
      </c>
      <c r="L14" s="72">
        <f>'11'!$F$15</f>
        <v>10.73</v>
      </c>
      <c r="M14" s="72">
        <f>'11'!$F$16</f>
        <v>4.82</v>
      </c>
      <c r="N14" s="72">
        <f>'11'!$F$17</f>
        <v>7.28</v>
      </c>
      <c r="O14" s="72" t="str">
        <f>'11'!$F$18</f>
        <v/>
      </c>
      <c r="P14" s="72">
        <f>'11'!$F$19</f>
        <v>8.8000000000000007</v>
      </c>
      <c r="Q14" s="72">
        <f>'11'!$F$20</f>
        <v>5.34</v>
      </c>
      <c r="R14" s="72" t="str">
        <f>'11'!$F$21</f>
        <v/>
      </c>
      <c r="S14" s="72">
        <f>'11'!$F$22</f>
        <v>4.67</v>
      </c>
      <c r="T14" s="72">
        <f>'11'!$F$23</f>
        <v>4.79</v>
      </c>
      <c r="U14" s="72">
        <f>'11'!$F$24</f>
        <v>26.49</v>
      </c>
      <c r="V14" s="72" t="str">
        <f>'11'!$F$25</f>
        <v/>
      </c>
      <c r="W14" s="72">
        <f>'11'!$F$26</f>
        <v>5.72</v>
      </c>
      <c r="X14" s="72">
        <f>'11'!$F$27</f>
        <v>6.01</v>
      </c>
      <c r="Y14" s="72">
        <f>'11'!$F$28</f>
        <v>6.43</v>
      </c>
      <c r="Z14" s="72">
        <f>'11'!$F$29</f>
        <v>4.6100000000000003</v>
      </c>
      <c r="AA14" s="72">
        <f>'11'!$F$30</f>
        <v>8.3699999999999992</v>
      </c>
      <c r="AB14" s="72" t="str">
        <f>'11'!$F$31</f>
        <v/>
      </c>
      <c r="AC14" s="72" t="str">
        <f>'11'!$F$32</f>
        <v/>
      </c>
      <c r="AD14" s="93">
        <f>'11'!$F$33</f>
        <v>5.79</v>
      </c>
    </row>
    <row r="15" spans="1:30" x14ac:dyDescent="0.2">
      <c r="A15" s="92" t="s">
        <v>936</v>
      </c>
      <c r="B15" s="72">
        <f>'12'!$F$5</f>
        <v>11.37</v>
      </c>
      <c r="C15" s="72">
        <f>'12'!$F$6</f>
        <v>18.079999999999998</v>
      </c>
      <c r="D15" s="72">
        <f>'12'!$F$7</f>
        <v>7.14</v>
      </c>
      <c r="E15" s="72">
        <f>'12'!$F$8</f>
        <v>9.17</v>
      </c>
      <c r="F15" s="72" t="str">
        <f>'12'!$F$9</f>
        <v/>
      </c>
      <c r="G15" s="72">
        <f>'12'!$F$10</f>
        <v>73.650000000000006</v>
      </c>
      <c r="H15" s="72">
        <f>'12'!$F$11</f>
        <v>14.58</v>
      </c>
      <c r="I15" s="72" t="str">
        <f>'12'!$F$12</f>
        <v/>
      </c>
      <c r="J15" s="72">
        <f>'12'!$F$13</f>
        <v>11.2</v>
      </c>
      <c r="K15" s="72" t="str">
        <f>'12'!$F$14</f>
        <v/>
      </c>
      <c r="L15" s="72">
        <f>'12'!$F$15</f>
        <v>10.83</v>
      </c>
      <c r="M15" s="72">
        <f>'12'!$F$16</f>
        <v>8.35</v>
      </c>
      <c r="N15" s="72">
        <f>'12'!$F$17</f>
        <v>7.69</v>
      </c>
      <c r="O15" s="72">
        <f>'12'!$F$18</f>
        <v>19.989999999999998</v>
      </c>
      <c r="P15" s="72" t="str">
        <f>'12'!$F$19</f>
        <v/>
      </c>
      <c r="Q15" s="72">
        <f>'12'!$F$20</f>
        <v>8.14</v>
      </c>
      <c r="R15" s="72" t="str">
        <f>'12'!$F$21</f>
        <v/>
      </c>
      <c r="S15" s="72" t="str">
        <f>'12'!$F$22</f>
        <v/>
      </c>
      <c r="T15" s="72">
        <f>'12'!$F$23</f>
        <v>7.42</v>
      </c>
      <c r="U15" s="72" t="str">
        <f>'12'!$F$24</f>
        <v/>
      </c>
      <c r="V15" s="72">
        <f>'12'!$F$25</f>
        <v>16.73</v>
      </c>
      <c r="W15" s="72">
        <f>'12'!$F$26</f>
        <v>335.85</v>
      </c>
      <c r="X15" s="72">
        <f>'12'!$F$27</f>
        <v>9.59</v>
      </c>
      <c r="Y15" s="72">
        <f>'12'!$F$28</f>
        <v>7.11</v>
      </c>
      <c r="Z15" s="72">
        <f>'12'!$F$29</f>
        <v>7.27</v>
      </c>
      <c r="AA15" s="72">
        <f>'12'!$F$30</f>
        <v>13.34</v>
      </c>
      <c r="AB15" s="72" t="str">
        <f>'12'!$F$31</f>
        <v/>
      </c>
      <c r="AC15" s="72" t="str">
        <f>'12'!$F$32</f>
        <v/>
      </c>
      <c r="AD15" s="93">
        <f>'12'!$F$33</f>
        <v>9.6300000000000008</v>
      </c>
    </row>
    <row r="16" spans="1:30" x14ac:dyDescent="0.2">
      <c r="A16" s="92" t="s">
        <v>1057</v>
      </c>
      <c r="B16" s="72">
        <f>'13'!$F$5</f>
        <v>6.49</v>
      </c>
      <c r="C16" s="72">
        <f>'13'!$F$6</f>
        <v>20.260000000000002</v>
      </c>
      <c r="D16" s="72">
        <f>'13'!$F$7</f>
        <v>6.7</v>
      </c>
      <c r="E16" s="72">
        <f>'13'!$F$8</f>
        <v>6.71</v>
      </c>
      <c r="F16" s="72">
        <f>'13'!$F$9</f>
        <v>7.16</v>
      </c>
      <c r="G16" s="72">
        <f>'13'!$F$10</f>
        <v>6.86</v>
      </c>
      <c r="H16" s="72">
        <f>'13'!$F$11</f>
        <v>7.36</v>
      </c>
      <c r="I16" s="72">
        <f>'13'!$F$12</f>
        <v>7.26</v>
      </c>
      <c r="J16" s="72">
        <f>'13'!$F$13</f>
        <v>6.39</v>
      </c>
      <c r="K16" s="72" t="str">
        <f>'13'!$F$14</f>
        <v/>
      </c>
      <c r="L16" s="72">
        <f>'13'!$F$15</f>
        <v>9.15</v>
      </c>
      <c r="M16" s="72">
        <f>'13'!$F$16</f>
        <v>6.31</v>
      </c>
      <c r="N16" s="72">
        <f>'13'!$F$17</f>
        <v>8.14</v>
      </c>
      <c r="O16" s="72">
        <f>'13'!$F$18</f>
        <v>12.81</v>
      </c>
      <c r="P16" s="72">
        <f>'13'!$F$19</f>
        <v>21.26</v>
      </c>
      <c r="Q16" s="72">
        <f>'13'!$F$20</f>
        <v>6.85</v>
      </c>
      <c r="R16" s="72">
        <f>'13'!$F$21</f>
        <v>10.73</v>
      </c>
      <c r="S16" s="72" t="str">
        <f>'13'!$F$22</f>
        <v/>
      </c>
      <c r="T16" s="72">
        <f>'13'!$F$23</f>
        <v>5.45</v>
      </c>
      <c r="U16" s="72">
        <f>'13'!$F$24</f>
        <v>7</v>
      </c>
      <c r="V16" s="72">
        <f>'13'!$F$25</f>
        <v>7.29</v>
      </c>
      <c r="W16" s="72">
        <f>'13'!$F$26</f>
        <v>7.21</v>
      </c>
      <c r="X16" s="72">
        <f>'13'!$F$27</f>
        <v>10.72</v>
      </c>
      <c r="Y16" s="72">
        <f>'13'!$F$28</f>
        <v>7.45</v>
      </c>
      <c r="Z16" s="72">
        <f>'13'!$F$29</f>
        <v>6.23</v>
      </c>
      <c r="AA16" s="72">
        <f>'13'!$F$30</f>
        <v>7.37</v>
      </c>
      <c r="AB16" s="72" t="str">
        <f>'13'!$F$31</f>
        <v/>
      </c>
      <c r="AC16" s="72" t="str">
        <f>'13'!$F$32</f>
        <v/>
      </c>
      <c r="AD16" s="93">
        <f>'13'!$F$33</f>
        <v>6.94</v>
      </c>
    </row>
    <row r="17" spans="1:30" x14ac:dyDescent="0.2">
      <c r="A17" s="92" t="s">
        <v>1058</v>
      </c>
      <c r="B17" s="72">
        <f>'14'!$F$5</f>
        <v>9.2799999999999994</v>
      </c>
      <c r="C17" s="72">
        <f>'14'!$F$6</f>
        <v>5.88</v>
      </c>
      <c r="D17" s="72">
        <f>'14'!$F$7</f>
        <v>6.69</v>
      </c>
      <c r="E17" s="72">
        <f>'14'!$F$8</f>
        <v>7.39</v>
      </c>
      <c r="F17" s="72">
        <f>'14'!$F$9</f>
        <v>24.91</v>
      </c>
      <c r="G17" s="72">
        <f>'14'!$F$10</f>
        <v>11.85</v>
      </c>
      <c r="H17" s="72">
        <f>'14'!$F$11</f>
        <v>7.06</v>
      </c>
      <c r="I17" s="72">
        <f>'14'!$F$12</f>
        <v>10.51</v>
      </c>
      <c r="J17" s="72">
        <f>'14'!$F$13</f>
        <v>5.18</v>
      </c>
      <c r="K17" s="72">
        <f>'14'!$F$14</f>
        <v>6.42</v>
      </c>
      <c r="L17" s="72">
        <f>'14'!$F$15</f>
        <v>6.74</v>
      </c>
      <c r="M17" s="72">
        <f>'14'!$F$16</f>
        <v>6.51</v>
      </c>
      <c r="N17" s="72">
        <f>'14'!$F$17</f>
        <v>6.38</v>
      </c>
      <c r="O17" s="72">
        <f>'14'!$F$18</f>
        <v>11.14</v>
      </c>
      <c r="P17" s="72" t="str">
        <f>'14'!$F$19</f>
        <v/>
      </c>
      <c r="Q17" s="72">
        <f>'14'!$F$20</f>
        <v>8.0299999999999994</v>
      </c>
      <c r="R17" s="72">
        <f>'14'!$F$21</f>
        <v>30.83</v>
      </c>
      <c r="S17" s="72">
        <f>'14'!$F$22</f>
        <v>8.6300000000000008</v>
      </c>
      <c r="T17" s="72">
        <f>'14'!$F$23</f>
        <v>5.81</v>
      </c>
      <c r="U17" s="72">
        <f>'14'!$F$24</f>
        <v>8.4499999999999993</v>
      </c>
      <c r="V17" s="72">
        <f>'14'!$F$25</f>
        <v>5.47</v>
      </c>
      <c r="W17" s="72">
        <f>'14'!$F$26</f>
        <v>5.36</v>
      </c>
      <c r="X17" s="72">
        <f>'14'!$F$27</f>
        <v>8.06</v>
      </c>
      <c r="Y17" s="72">
        <f>'14'!$F$28</f>
        <v>5.6</v>
      </c>
      <c r="Z17" s="72">
        <f>'14'!$F$29</f>
        <v>5.75</v>
      </c>
      <c r="AA17" s="72">
        <f>'14'!$F$30</f>
        <v>9.01</v>
      </c>
      <c r="AB17" s="72" t="str">
        <f>'14'!$F$31</f>
        <v/>
      </c>
      <c r="AC17" s="72" t="str">
        <f>'14'!$F$32</f>
        <v/>
      </c>
      <c r="AD17" s="93">
        <f>'14'!$F$33</f>
        <v>6.83</v>
      </c>
    </row>
    <row r="18" spans="1:30" x14ac:dyDescent="0.2">
      <c r="A18" s="92" t="s">
        <v>1035</v>
      </c>
      <c r="B18" s="72" t="str">
        <f>'15'!$F$5</f>
        <v/>
      </c>
      <c r="C18" s="72">
        <f>'15'!$F$6</f>
        <v>7.82</v>
      </c>
      <c r="D18" s="72">
        <f>'15'!$F$7</f>
        <v>7.63</v>
      </c>
      <c r="E18" s="72">
        <f>'15'!$F$8</f>
        <v>8.07</v>
      </c>
      <c r="F18" s="72" t="str">
        <f>'15'!$F$9</f>
        <v/>
      </c>
      <c r="G18" s="72">
        <f>'15'!$F$10</f>
        <v>5.25</v>
      </c>
      <c r="H18" s="72">
        <f>'15'!$F$11</f>
        <v>6.45</v>
      </c>
      <c r="I18" s="72">
        <f>'15'!$F$12</f>
        <v>3.87</v>
      </c>
      <c r="J18" s="72">
        <f>'15'!$F$13</f>
        <v>7.49</v>
      </c>
      <c r="K18" s="72">
        <f>'15'!$F$14</f>
        <v>3.87</v>
      </c>
      <c r="L18" s="72">
        <f>'15'!$F$15</f>
        <v>7.22</v>
      </c>
      <c r="M18" s="72">
        <f>'15'!$F$16</f>
        <v>13.62</v>
      </c>
      <c r="N18" s="72">
        <f>'15'!$F$17</f>
        <v>7.04</v>
      </c>
      <c r="O18" s="72">
        <f>'15'!$F$18</f>
        <v>10.17</v>
      </c>
      <c r="P18" s="72">
        <f>'15'!$F$19</f>
        <v>13.7</v>
      </c>
      <c r="Q18" s="72">
        <f>'15'!$F$20</f>
        <v>8.09</v>
      </c>
      <c r="R18" s="72">
        <f>'15'!$F$21</f>
        <v>13.89</v>
      </c>
      <c r="S18" s="72">
        <f>'15'!$F$22</f>
        <v>3.87</v>
      </c>
      <c r="T18" s="72">
        <f>'15'!$F$23</f>
        <v>6.98</v>
      </c>
      <c r="U18" s="72">
        <f>'15'!$F$24</f>
        <v>8.44</v>
      </c>
      <c r="V18" s="72">
        <f>'15'!$F$25</f>
        <v>4.97</v>
      </c>
      <c r="W18" s="72">
        <f>'15'!$F$26</f>
        <v>7.48</v>
      </c>
      <c r="X18" s="72">
        <f>'15'!$F$27</f>
        <v>7.65</v>
      </c>
      <c r="Y18" s="72">
        <f>'15'!$F$28</f>
        <v>7.51</v>
      </c>
      <c r="Z18" s="72">
        <f>'15'!$F$29</f>
        <v>6.77</v>
      </c>
      <c r="AA18" s="72">
        <f>'15'!$F$30</f>
        <v>11.53</v>
      </c>
      <c r="AB18" s="72" t="str">
        <f>'15'!$F$31</f>
        <v/>
      </c>
      <c r="AC18" s="72" t="str">
        <f>'15'!$F$32</f>
        <v/>
      </c>
      <c r="AD18" s="93">
        <f>'15'!$F$33</f>
        <v>8.61</v>
      </c>
    </row>
    <row r="19" spans="1:30" x14ac:dyDescent="0.2">
      <c r="A19" s="91" t="s">
        <v>1059</v>
      </c>
      <c r="B19" s="72">
        <f>'16'!$F$5</f>
        <v>39.090000000000003</v>
      </c>
      <c r="C19" s="72">
        <f>'16'!$F$6</f>
        <v>12.12</v>
      </c>
      <c r="D19" s="72">
        <f>'16'!$F$7</f>
        <v>6.22</v>
      </c>
      <c r="E19" s="72">
        <f>'16'!$F$8</f>
        <v>5.91</v>
      </c>
      <c r="F19" s="72" t="str">
        <f>'16'!$F$9</f>
        <v/>
      </c>
      <c r="G19" s="72">
        <f>'16'!$F$10</f>
        <v>23.89</v>
      </c>
      <c r="H19" s="72">
        <f>'16'!$F$11</f>
        <v>16.21</v>
      </c>
      <c r="I19" s="72" t="str">
        <f>'16'!$F$12</f>
        <v/>
      </c>
      <c r="J19" s="72">
        <f>'16'!$F$13</f>
        <v>4.43</v>
      </c>
      <c r="K19" s="72">
        <f>'16'!$F$14</f>
        <v>10.18</v>
      </c>
      <c r="L19" s="72">
        <f>'16'!$F$15</f>
        <v>5.69</v>
      </c>
      <c r="M19" s="72">
        <f>'16'!$F$16</f>
        <v>6.9</v>
      </c>
      <c r="N19" s="72">
        <f>'16'!$F$17</f>
        <v>7.82</v>
      </c>
      <c r="O19" s="72">
        <f>'16'!$F$18</f>
        <v>6.88</v>
      </c>
      <c r="P19" s="72">
        <f>'16'!$F$19</f>
        <v>18.309999999999999</v>
      </c>
      <c r="Q19" s="72">
        <f>'16'!$F$20</f>
        <v>8.5299999999999994</v>
      </c>
      <c r="R19" s="72">
        <f>'16'!$F$21</f>
        <v>13.43</v>
      </c>
      <c r="S19" s="72">
        <f>'16'!$F$22</f>
        <v>298.49</v>
      </c>
      <c r="T19" s="72">
        <f>'16'!$F$23</f>
        <v>6.12</v>
      </c>
      <c r="U19" s="72">
        <f>'16'!$F$24</f>
        <v>10.52</v>
      </c>
      <c r="V19" s="72" t="str">
        <f>'16'!$F$25</f>
        <v/>
      </c>
      <c r="W19" s="72">
        <f>'16'!$F$26</f>
        <v>326.29000000000002</v>
      </c>
      <c r="X19" s="72">
        <f>'16'!$F$27</f>
        <v>10.41</v>
      </c>
      <c r="Y19" s="72">
        <f>'16'!$F$28</f>
        <v>9.81</v>
      </c>
      <c r="Z19" s="72">
        <f>'16'!$F$29</f>
        <v>6.23</v>
      </c>
      <c r="AA19" s="72">
        <f>'16'!$F$30</f>
        <v>6.95</v>
      </c>
      <c r="AB19" s="72" t="str">
        <f>'16'!$F$31</f>
        <v/>
      </c>
      <c r="AC19" s="72" t="str">
        <f>'16'!$F$32</f>
        <v/>
      </c>
      <c r="AD19" s="93">
        <f>'16'!$F$33</f>
        <v>7.17</v>
      </c>
    </row>
    <row r="20" spans="1:30" x14ac:dyDescent="0.2">
      <c r="A20" s="92" t="s">
        <v>1036</v>
      </c>
      <c r="B20" s="72">
        <f>'17'!$F$5</f>
        <v>8.42</v>
      </c>
      <c r="C20" s="72">
        <f>'17'!$F$6</f>
        <v>6.16</v>
      </c>
      <c r="D20" s="72">
        <f>'17'!$F$7</f>
        <v>6.61</v>
      </c>
      <c r="E20" s="72">
        <f>'17'!$F$8</f>
        <v>6.71</v>
      </c>
      <c r="F20" s="72" t="str">
        <f>'17'!$F$9</f>
        <v/>
      </c>
      <c r="G20" s="72">
        <f>'17'!$F$10</f>
        <v>10.14</v>
      </c>
      <c r="H20" s="72">
        <f>'17'!$F$11</f>
        <v>4.9400000000000004</v>
      </c>
      <c r="I20" s="72">
        <f>'17'!$F$12</f>
        <v>7.35</v>
      </c>
      <c r="J20" s="72">
        <f>'17'!$F$13</f>
        <v>4.4400000000000004</v>
      </c>
      <c r="K20" s="72" t="str">
        <f>'17'!$F$14</f>
        <v/>
      </c>
      <c r="L20" s="72">
        <f>'17'!$F$15</f>
        <v>5.13</v>
      </c>
      <c r="M20" s="72">
        <f>'17'!$F$16</f>
        <v>5.57</v>
      </c>
      <c r="N20" s="72">
        <f>'17'!$F$17</f>
        <v>4.5599999999999996</v>
      </c>
      <c r="O20" s="72">
        <f>'17'!$F$18</f>
        <v>11.13</v>
      </c>
      <c r="P20" s="72" t="str">
        <f>'17'!$F$19</f>
        <v/>
      </c>
      <c r="Q20" s="72">
        <f>'17'!$F$20</f>
        <v>5.38</v>
      </c>
      <c r="R20" s="72" t="str">
        <f>'17'!$F$21</f>
        <v/>
      </c>
      <c r="S20" s="72">
        <f>'17'!$F$22</f>
        <v>5.89</v>
      </c>
      <c r="T20" s="72">
        <f>'17'!$F$23</f>
        <v>5.13</v>
      </c>
      <c r="U20" s="72" t="str">
        <f>'17'!$F$24</f>
        <v/>
      </c>
      <c r="V20" s="72" t="str">
        <f>'17'!$F$25</f>
        <v/>
      </c>
      <c r="W20" s="72">
        <f>'17'!$F$26</f>
        <v>3.45</v>
      </c>
      <c r="X20" s="72">
        <f>'17'!$F$27</f>
        <v>7.97</v>
      </c>
      <c r="Y20" s="72">
        <f>'17'!$F$28</f>
        <v>5.65</v>
      </c>
      <c r="Z20" s="72">
        <f>'17'!$F$29</f>
        <v>5.59</v>
      </c>
      <c r="AA20" s="72">
        <f>'17'!$F$30</f>
        <v>7.53</v>
      </c>
      <c r="AB20" s="72" t="str">
        <f>'17'!$F$31</f>
        <v/>
      </c>
      <c r="AC20" s="72" t="str">
        <f>'17'!$F$32</f>
        <v/>
      </c>
      <c r="AD20" s="93">
        <f>'17'!$F$33</f>
        <v>5.94</v>
      </c>
    </row>
    <row r="21" spans="1:30" x14ac:dyDescent="0.2">
      <c r="A21" s="92" t="s">
        <v>1037</v>
      </c>
      <c r="B21" s="72" t="str">
        <f>'18'!$F$5</f>
        <v/>
      </c>
      <c r="C21" s="72">
        <f>'18'!$F$6</f>
        <v>5.99</v>
      </c>
      <c r="D21" s="72">
        <f>'18'!$F$7</f>
        <v>7.86</v>
      </c>
      <c r="E21" s="72">
        <f>'18'!$F$8</f>
        <v>9.56</v>
      </c>
      <c r="F21" s="72" t="str">
        <f>'18'!$F$9</f>
        <v/>
      </c>
      <c r="G21" s="72" t="str">
        <f>'18'!$F$10</f>
        <v/>
      </c>
      <c r="H21" s="72">
        <f>'18'!$F$11</f>
        <v>10.41</v>
      </c>
      <c r="I21" s="72">
        <f>'18'!$F$12</f>
        <v>12.89</v>
      </c>
      <c r="J21" s="72">
        <f>'18'!$F$13</f>
        <v>8.93</v>
      </c>
      <c r="K21" s="72" t="str">
        <f>'18'!$F$14</f>
        <v/>
      </c>
      <c r="L21" s="72">
        <f>'18'!$F$15</f>
        <v>5.27</v>
      </c>
      <c r="M21" s="72">
        <f>'18'!$F$16</f>
        <v>7.32</v>
      </c>
      <c r="N21" s="72">
        <f>'18'!$F$17</f>
        <v>5.97</v>
      </c>
      <c r="O21" s="72">
        <f>'18'!$F$18</f>
        <v>10</v>
      </c>
      <c r="P21" s="72" t="str">
        <f>'18'!$F$19</f>
        <v/>
      </c>
      <c r="Q21" s="72">
        <f>'18'!$F$20</f>
        <v>8.59</v>
      </c>
      <c r="R21" s="72" t="str">
        <f>'18'!$F$21</f>
        <v/>
      </c>
      <c r="S21" s="72">
        <f>'18'!$F$22</f>
        <v>8.73</v>
      </c>
      <c r="T21" s="72">
        <f>'18'!$F$23</f>
        <v>6.36</v>
      </c>
      <c r="U21" s="72" t="str">
        <f>'18'!$F$24</f>
        <v/>
      </c>
      <c r="V21" s="72">
        <f>'18'!$F$25</f>
        <v>14.65</v>
      </c>
      <c r="W21" s="72" t="str">
        <f>'18'!$F$26</f>
        <v/>
      </c>
      <c r="X21" s="72">
        <f>'18'!$F$27</f>
        <v>15.53</v>
      </c>
      <c r="Y21" s="72">
        <f>'18'!$F$28</f>
        <v>7.24</v>
      </c>
      <c r="Z21" s="72">
        <f>'18'!$F$29</f>
        <v>7.8</v>
      </c>
      <c r="AA21" s="72">
        <f>'18'!$F$30</f>
        <v>6.55</v>
      </c>
      <c r="AB21" s="72" t="str">
        <f>'18'!$F$31</f>
        <v/>
      </c>
      <c r="AC21" s="72" t="str">
        <f>'18'!$F$32</f>
        <v/>
      </c>
      <c r="AD21" s="93">
        <f>'18'!$F$33</f>
        <v>8.41</v>
      </c>
    </row>
    <row r="22" spans="1:30" x14ac:dyDescent="0.2">
      <c r="A22" s="92" t="s">
        <v>1067</v>
      </c>
      <c r="B22" s="72">
        <f>'19'!$F$5</f>
        <v>7.83</v>
      </c>
      <c r="C22" s="72">
        <f>'19'!$F$6</f>
        <v>6.42</v>
      </c>
      <c r="D22" s="72">
        <f>'19'!$F$7</f>
        <v>5.25</v>
      </c>
      <c r="E22" s="72">
        <f>'19'!$F$8</f>
        <v>5.61</v>
      </c>
      <c r="F22" s="72" t="str">
        <f>'19'!$F$9</f>
        <v/>
      </c>
      <c r="G22" s="72">
        <f>'19'!$F$10</f>
        <v>4.08</v>
      </c>
      <c r="H22" s="72">
        <f>'19'!$F$11</f>
        <v>6.68</v>
      </c>
      <c r="I22" s="72">
        <f>'19'!$F$12</f>
        <v>2.98</v>
      </c>
      <c r="J22" s="72">
        <f>'19'!$F$13</f>
        <v>5.36</v>
      </c>
      <c r="K22" s="72" t="str">
        <f>'19'!$F$14</f>
        <v/>
      </c>
      <c r="L22" s="72">
        <f>'19'!$F$15</f>
        <v>7.24</v>
      </c>
      <c r="M22" s="72">
        <f>'19'!$F$16</f>
        <v>4.92</v>
      </c>
      <c r="N22" s="72">
        <f>'19'!$F$17</f>
        <v>5.62</v>
      </c>
      <c r="O22" s="72">
        <f>'19'!$F$18</f>
        <v>8.6999999999999993</v>
      </c>
      <c r="P22" s="72" t="str">
        <f>'19'!$F$19</f>
        <v/>
      </c>
      <c r="Q22" s="72">
        <f>'19'!$F$20</f>
        <v>6.31</v>
      </c>
      <c r="R22" s="72" t="str">
        <f>'19'!$F$21</f>
        <v/>
      </c>
      <c r="S22" s="72">
        <f>'19'!$F$22</f>
        <v>5.0999999999999996</v>
      </c>
      <c r="T22" s="72">
        <f>'19'!$F$23</f>
        <v>4.45</v>
      </c>
      <c r="U22" s="72">
        <f>'19'!$F$24</f>
        <v>6.29</v>
      </c>
      <c r="V22" s="72">
        <f>'19'!$F$25</f>
        <v>2.79</v>
      </c>
      <c r="W22" s="72">
        <f>'19'!$F$26</f>
        <v>3.36</v>
      </c>
      <c r="X22" s="72">
        <f>'19'!$F$27</f>
        <v>7.03</v>
      </c>
      <c r="Y22" s="72">
        <f>'19'!$F$28</f>
        <v>5.95</v>
      </c>
      <c r="Z22" s="72">
        <f>'19'!$F$29</f>
        <v>4.8499999999999996</v>
      </c>
      <c r="AA22" s="72">
        <f>'19'!$F$30</f>
        <v>6.07</v>
      </c>
      <c r="AB22" s="72" t="str">
        <f>'19'!$F$31</f>
        <v/>
      </c>
      <c r="AC22" s="72" t="str">
        <f>'19'!$F$32</f>
        <v/>
      </c>
      <c r="AD22" s="93">
        <f>'19'!$F$33</f>
        <v>5.72</v>
      </c>
    </row>
    <row r="23" spans="1:30" x14ac:dyDescent="0.2">
      <c r="A23" s="92" t="s">
        <v>1038</v>
      </c>
      <c r="B23" s="72">
        <f>'20'!$F$5</f>
        <v>7</v>
      </c>
      <c r="C23" s="72">
        <f>'20'!$F$6</f>
        <v>7.1</v>
      </c>
      <c r="D23" s="72">
        <f>'20'!$F$7</f>
        <v>4.99</v>
      </c>
      <c r="E23" s="72">
        <f>'20'!$F$8</f>
        <v>3</v>
      </c>
      <c r="F23" s="72" t="str">
        <f>'20'!$F$9</f>
        <v/>
      </c>
      <c r="G23" s="72" t="str">
        <f>'20'!$F$10</f>
        <v/>
      </c>
      <c r="H23" s="72">
        <f>'20'!$F$11</f>
        <v>6.05</v>
      </c>
      <c r="I23" s="72">
        <f>'20'!$F$12</f>
        <v>5.83</v>
      </c>
      <c r="J23" s="72">
        <f>'20'!$F$13</f>
        <v>4.34</v>
      </c>
      <c r="K23" s="72">
        <f>'20'!$F$14</f>
        <v>5.73</v>
      </c>
      <c r="L23" s="72">
        <f>'20'!$F$15</f>
        <v>5.41</v>
      </c>
      <c r="M23" s="72">
        <f>'20'!$F$16</f>
        <v>4.62</v>
      </c>
      <c r="N23" s="72">
        <f>'20'!$F$17</f>
        <v>4.57</v>
      </c>
      <c r="O23" s="72" t="str">
        <f>'20'!$F$18</f>
        <v/>
      </c>
      <c r="P23" s="72" t="str">
        <f>'20'!$F$19</f>
        <v/>
      </c>
      <c r="Q23" s="72">
        <f>'20'!$F$20</f>
        <v>3.68</v>
      </c>
      <c r="R23" s="72" t="str">
        <f>'20'!$F$21</f>
        <v/>
      </c>
      <c r="S23" s="72">
        <f>'20'!$F$22</f>
        <v>7.32</v>
      </c>
      <c r="T23" s="72">
        <f>'20'!$F$23</f>
        <v>4.3499999999999996</v>
      </c>
      <c r="U23" s="72">
        <f>'20'!$F$24</f>
        <v>6.54</v>
      </c>
      <c r="V23" s="72" t="str">
        <f>'20'!$F$25</f>
        <v/>
      </c>
      <c r="W23" s="72">
        <f>'20'!$F$26</f>
        <v>49.16</v>
      </c>
      <c r="X23" s="72">
        <f>'20'!$F$27</f>
        <v>7.72</v>
      </c>
      <c r="Y23" s="72">
        <f>'20'!$F$28</f>
        <v>5.26</v>
      </c>
      <c r="Z23" s="72">
        <f>'20'!$F$29</f>
        <v>5.32</v>
      </c>
      <c r="AA23" s="72">
        <f>'20'!$F$30</f>
        <v>5.6</v>
      </c>
      <c r="AB23" s="72" t="str">
        <f>'20'!$F$31</f>
        <v/>
      </c>
      <c r="AC23" s="72" t="str">
        <f>'20'!$F$32</f>
        <v/>
      </c>
      <c r="AD23" s="93">
        <f>'20'!$F$33</f>
        <v>5.21</v>
      </c>
    </row>
    <row r="24" spans="1:30" x14ac:dyDescent="0.2">
      <c r="A24" s="92" t="s">
        <v>1060</v>
      </c>
      <c r="B24" s="72">
        <f>'21'!$F$5</f>
        <v>8.65</v>
      </c>
      <c r="C24" s="72">
        <f>'21'!$F$6</f>
        <v>6.68</v>
      </c>
      <c r="D24" s="72">
        <f>'21'!$F$7</f>
        <v>6.67</v>
      </c>
      <c r="E24" s="72">
        <f>'21'!$F$8</f>
        <v>6.58</v>
      </c>
      <c r="F24" s="72" t="str">
        <f>'21'!$F$9</f>
        <v/>
      </c>
      <c r="G24" s="72">
        <f>'21'!$F$10</f>
        <v>18.809999999999999</v>
      </c>
      <c r="H24" s="72">
        <f>'21'!$F$11</f>
        <v>13.32</v>
      </c>
      <c r="I24" s="72">
        <f>'21'!$F$12</f>
        <v>6.06</v>
      </c>
      <c r="J24" s="72">
        <f>'21'!$F$13</f>
        <v>7.38</v>
      </c>
      <c r="K24" s="72" t="str">
        <f>'21'!$F$14</f>
        <v/>
      </c>
      <c r="L24" s="72">
        <f>'21'!$F$15</f>
        <v>8.31</v>
      </c>
      <c r="M24" s="72">
        <f>'21'!$F$16</f>
        <v>6.66</v>
      </c>
      <c r="N24" s="72">
        <f>'21'!$F$17</f>
        <v>7.71</v>
      </c>
      <c r="O24" s="72">
        <f>'21'!$F$18</f>
        <v>15.07</v>
      </c>
      <c r="P24" s="72">
        <f>'21'!$F$19</f>
        <v>8.9</v>
      </c>
      <c r="Q24" s="72">
        <f>'21'!$F$20</f>
        <v>8.89</v>
      </c>
      <c r="R24" s="72">
        <f>'21'!$F$21</f>
        <v>10.97</v>
      </c>
      <c r="S24" s="72">
        <f>'21'!$F$22</f>
        <v>9.39</v>
      </c>
      <c r="T24" s="72">
        <f>'21'!$F$23</f>
        <v>6.25</v>
      </c>
      <c r="U24" s="72">
        <f>'21'!$F$24</f>
        <v>11.26</v>
      </c>
      <c r="V24" s="72">
        <f>'21'!$F$25</f>
        <v>10.52</v>
      </c>
      <c r="W24" s="72">
        <f>'21'!$F$26</f>
        <v>19.04</v>
      </c>
      <c r="X24" s="72">
        <f>'21'!$F$27</f>
        <v>7.66</v>
      </c>
      <c r="Y24" s="72">
        <f>'21'!$F$28</f>
        <v>8.82</v>
      </c>
      <c r="Z24" s="72">
        <f>'21'!$F$29</f>
        <v>6.27</v>
      </c>
      <c r="AA24" s="72">
        <f>'21'!$F$30</f>
        <v>9.4499999999999993</v>
      </c>
      <c r="AB24" s="72" t="str">
        <f>'21'!$F$31</f>
        <v/>
      </c>
      <c r="AC24" s="72" t="str">
        <f>'21'!$F$32</f>
        <v/>
      </c>
      <c r="AD24" s="93">
        <f>'21'!$F$33</f>
        <v>7.58</v>
      </c>
    </row>
    <row r="25" spans="1:30" x14ac:dyDescent="0.2">
      <c r="A25" s="92" t="s">
        <v>1039</v>
      </c>
      <c r="B25" s="72">
        <f>'22'!$F$5</f>
        <v>5.86</v>
      </c>
      <c r="C25" s="72">
        <f>'22'!$F$6</f>
        <v>3.72</v>
      </c>
      <c r="D25" s="72">
        <f>'22'!$F$7</f>
        <v>5.38</v>
      </c>
      <c r="E25" s="72">
        <f>'22'!$F$8</f>
        <v>3.69</v>
      </c>
      <c r="F25" s="72" t="str">
        <f>'22'!$F$9</f>
        <v/>
      </c>
      <c r="G25" s="72">
        <f>'22'!$F$10</f>
        <v>3.75</v>
      </c>
      <c r="H25" s="72">
        <f>'22'!$F$11</f>
        <v>4.47</v>
      </c>
      <c r="I25" s="72">
        <f>'22'!$F$12</f>
        <v>4.58</v>
      </c>
      <c r="J25" s="72">
        <f>'22'!$F$13</f>
        <v>3.14</v>
      </c>
      <c r="K25" s="72" t="str">
        <f>'22'!$F$14</f>
        <v/>
      </c>
      <c r="L25" s="72">
        <f>'22'!$F$15</f>
        <v>4.5</v>
      </c>
      <c r="M25" s="72">
        <f>'22'!$F$16</f>
        <v>4.6100000000000003</v>
      </c>
      <c r="N25" s="72">
        <f>'22'!$F$17</f>
        <v>2.75</v>
      </c>
      <c r="O25" s="72">
        <f>'22'!$F$18</f>
        <v>6.26</v>
      </c>
      <c r="P25" s="72">
        <f>'22'!$F$19</f>
        <v>11.61</v>
      </c>
      <c r="Q25" s="72">
        <f>'22'!$F$20</f>
        <v>7.24</v>
      </c>
      <c r="R25" s="72">
        <f>'22'!$F$21</f>
        <v>6.72</v>
      </c>
      <c r="S25" s="72">
        <f>'22'!$F$22</f>
        <v>11.03</v>
      </c>
      <c r="T25" s="72">
        <f>'22'!$F$23</f>
        <v>4.4000000000000004</v>
      </c>
      <c r="U25" s="72" t="str">
        <f>'22'!$F$24</f>
        <v/>
      </c>
      <c r="V25" s="72">
        <f>'22'!$F$25</f>
        <v>2.48</v>
      </c>
      <c r="W25" s="72">
        <f>'22'!$F$26</f>
        <v>2.35</v>
      </c>
      <c r="X25" s="72">
        <f>'22'!$F$27</f>
        <v>11.58</v>
      </c>
      <c r="Y25" s="72">
        <f>'22'!$F$28</f>
        <v>3.57</v>
      </c>
      <c r="Z25" s="72">
        <f>'22'!$F$29</f>
        <v>4.24</v>
      </c>
      <c r="AA25" s="72">
        <f>'22'!$F$30</f>
        <v>8.4499999999999993</v>
      </c>
      <c r="AB25" s="72" t="str">
        <f>'22'!$F$31</f>
        <v/>
      </c>
      <c r="AC25" s="72" t="str">
        <f>'22'!$F$32</f>
        <v/>
      </c>
      <c r="AD25" s="93">
        <f>'22'!$F$33</f>
        <v>4.75</v>
      </c>
    </row>
    <row r="26" spans="1:30" x14ac:dyDescent="0.2">
      <c r="A26" s="92" t="s">
        <v>1040</v>
      </c>
      <c r="B26" s="72">
        <f>'23'!$F$5</f>
        <v>3.95</v>
      </c>
      <c r="C26" s="72">
        <f>'23'!$F$6</f>
        <v>4.38</v>
      </c>
      <c r="D26" s="72">
        <f>'23'!$F$7</f>
        <v>5.38</v>
      </c>
      <c r="E26" s="72">
        <f>'23'!$F$8</f>
        <v>5.36</v>
      </c>
      <c r="F26" s="72" t="str">
        <f>'23'!$F$9</f>
        <v/>
      </c>
      <c r="G26" s="72">
        <f>'23'!$F$10</f>
        <v>15.82</v>
      </c>
      <c r="H26" s="72">
        <f>'23'!$F$11</f>
        <v>4.51</v>
      </c>
      <c r="I26" s="72">
        <f>'23'!$F$12</f>
        <v>3.32</v>
      </c>
      <c r="J26" s="72">
        <f>'23'!$F$13</f>
        <v>3.62</v>
      </c>
      <c r="K26" s="72">
        <f>'23'!$F$14</f>
        <v>35.61</v>
      </c>
      <c r="L26" s="72">
        <f>'23'!$F$15</f>
        <v>4.96</v>
      </c>
      <c r="M26" s="72">
        <f>'23'!$F$16</f>
        <v>5.15</v>
      </c>
      <c r="N26" s="72">
        <f>'23'!$F$17</f>
        <v>10.54</v>
      </c>
      <c r="O26" s="72">
        <f>'23'!$F$18</f>
        <v>7.42</v>
      </c>
      <c r="P26" s="72" t="str">
        <f>'23'!$F$19</f>
        <v/>
      </c>
      <c r="Q26" s="72">
        <f>'23'!$F$20</f>
        <v>4.7300000000000004</v>
      </c>
      <c r="R26" s="72" t="str">
        <f>'23'!$F$21</f>
        <v/>
      </c>
      <c r="S26" s="72">
        <f>'23'!$F$22</f>
        <v>4.8099999999999996</v>
      </c>
      <c r="T26" s="72">
        <f>'23'!$F$23</f>
        <v>4.34</v>
      </c>
      <c r="U26" s="72">
        <f>'23'!$F$24</f>
        <v>7.96</v>
      </c>
      <c r="V26" s="72">
        <f>'23'!$F$25</f>
        <v>14.1</v>
      </c>
      <c r="W26" s="72">
        <f>'23'!$F$26</f>
        <v>11.34</v>
      </c>
      <c r="X26" s="72">
        <f>'23'!$F$27</f>
        <v>6.12</v>
      </c>
      <c r="Y26" s="72">
        <f>'23'!$F$28</f>
        <v>5.72</v>
      </c>
      <c r="Z26" s="72">
        <f>'23'!$F$29</f>
        <v>4.1500000000000004</v>
      </c>
      <c r="AA26" s="72">
        <f>'23'!$F$30</f>
        <v>6.85</v>
      </c>
      <c r="AB26" s="72" t="str">
        <f>'23'!$F$31</f>
        <v/>
      </c>
      <c r="AC26" s="72" t="str">
        <f>'23'!$F$32</f>
        <v/>
      </c>
      <c r="AD26" s="93">
        <f>'23'!$F$33</f>
        <v>5.12</v>
      </c>
    </row>
    <row r="27" spans="1:30" x14ac:dyDescent="0.2">
      <c r="A27" s="92" t="s">
        <v>1024</v>
      </c>
      <c r="B27" s="72" t="str">
        <f>'24'!$F$5</f>
        <v/>
      </c>
      <c r="C27" s="72">
        <f>'24'!$F$6</f>
        <v>7.7</v>
      </c>
      <c r="D27" s="72">
        <f>'24'!$F$7</f>
        <v>7.46</v>
      </c>
      <c r="E27" s="72">
        <f>'24'!$F$8</f>
        <v>6.47</v>
      </c>
      <c r="F27" s="72" t="str">
        <f>'24'!$F$9</f>
        <v/>
      </c>
      <c r="G27" s="72" t="str">
        <f>'24'!$F$10</f>
        <v/>
      </c>
      <c r="H27" s="72">
        <f>'24'!$F$11</f>
        <v>6.36</v>
      </c>
      <c r="I27" s="72">
        <f>'24'!$F$12</f>
        <v>24.16</v>
      </c>
      <c r="J27" s="72">
        <f>'24'!$F$13</f>
        <v>6.98</v>
      </c>
      <c r="K27" s="72" t="str">
        <f>'24'!$F$14</f>
        <v/>
      </c>
      <c r="L27" s="72">
        <f>'24'!$F$15</f>
        <v>10.19</v>
      </c>
      <c r="M27" s="72">
        <f>'24'!$F$16</f>
        <v>6.69</v>
      </c>
      <c r="N27" s="72">
        <f>'24'!$F$17</f>
        <v>29.77</v>
      </c>
      <c r="O27" s="72">
        <f>'24'!$F$18</f>
        <v>14.08</v>
      </c>
      <c r="P27" s="72" t="str">
        <f>'24'!$F$19</f>
        <v/>
      </c>
      <c r="Q27" s="72">
        <f>'24'!$F$20</f>
        <v>6.46</v>
      </c>
      <c r="R27" s="72">
        <f>'24'!$F$21</f>
        <v>6.15</v>
      </c>
      <c r="S27" s="72">
        <f>'24'!$F$22</f>
        <v>15.54</v>
      </c>
      <c r="T27" s="72">
        <f>'24'!$F$23</f>
        <v>6.13</v>
      </c>
      <c r="U27" s="72">
        <f>'24'!$F$24</f>
        <v>5.87</v>
      </c>
      <c r="V27" s="72">
        <f>'24'!$F$25</f>
        <v>5.45</v>
      </c>
      <c r="W27" s="72">
        <f>'24'!$F$26</f>
        <v>9.4</v>
      </c>
      <c r="X27" s="72">
        <f>'24'!$F$27</f>
        <v>6.49</v>
      </c>
      <c r="Y27" s="72">
        <f>'24'!$F$28</f>
        <v>6.37</v>
      </c>
      <c r="Z27" s="72">
        <f>'24'!$F$29</f>
        <v>5.28</v>
      </c>
      <c r="AA27" s="72">
        <f>'24'!$F$30</f>
        <v>7.92</v>
      </c>
      <c r="AB27" s="72" t="str">
        <f>'24'!$F$31</f>
        <v/>
      </c>
      <c r="AC27" s="72" t="str">
        <f>'24'!$F$32</f>
        <v/>
      </c>
      <c r="AD27" s="93">
        <f>'24'!$F$33</f>
        <v>6.91</v>
      </c>
    </row>
    <row r="28" spans="1:30" x14ac:dyDescent="0.2">
      <c r="A28" s="92" t="s">
        <v>1041</v>
      </c>
      <c r="B28" s="72">
        <f>'25'!$F$5</f>
        <v>6.65</v>
      </c>
      <c r="C28" s="72">
        <f>'25'!$F$6</f>
        <v>8.75</v>
      </c>
      <c r="D28" s="72">
        <f>'25'!$F$7</f>
        <v>8.9600000000000009</v>
      </c>
      <c r="E28" s="72">
        <f>'25'!$F$8</f>
        <v>9.9600000000000009</v>
      </c>
      <c r="F28" s="72">
        <f>'25'!$F$9</f>
        <v>15.07</v>
      </c>
      <c r="G28" s="72">
        <f>'25'!$F$10</f>
        <v>20.13</v>
      </c>
      <c r="H28" s="72">
        <f>'25'!$F$11</f>
        <v>9.77</v>
      </c>
      <c r="I28" s="72">
        <f>'25'!$F$12</f>
        <v>20.149999999999999</v>
      </c>
      <c r="J28" s="72">
        <f>'25'!$F$13</f>
        <v>8.1999999999999993</v>
      </c>
      <c r="K28" s="72" t="str">
        <f>'25'!$F$14</f>
        <v/>
      </c>
      <c r="L28" s="72">
        <f>'25'!$F$15</f>
        <v>6.79</v>
      </c>
      <c r="M28" s="72">
        <f>'25'!$F$16</f>
        <v>9.44</v>
      </c>
      <c r="N28" s="72">
        <f>'25'!$F$17</f>
        <v>9.0500000000000007</v>
      </c>
      <c r="O28" s="72">
        <f>'25'!$F$18</f>
        <v>14.51</v>
      </c>
      <c r="P28" s="72" t="str">
        <f>'25'!$F$19</f>
        <v/>
      </c>
      <c r="Q28" s="72">
        <f>'25'!$F$20</f>
        <v>8.2200000000000006</v>
      </c>
      <c r="R28" s="72" t="str">
        <f>'25'!$F$21</f>
        <v/>
      </c>
      <c r="S28" s="72" t="str">
        <f>'25'!$F$22</f>
        <v/>
      </c>
      <c r="T28" s="72">
        <f>'25'!$F$23</f>
        <v>8.58</v>
      </c>
      <c r="U28" s="72">
        <f>'25'!$F$24</f>
        <v>7.1</v>
      </c>
      <c r="V28" s="72">
        <f>'25'!$F$25</f>
        <v>7.54</v>
      </c>
      <c r="W28" s="72" t="str">
        <f>'25'!$F$26</f>
        <v/>
      </c>
      <c r="X28" s="72">
        <f>'25'!$F$27</f>
        <v>9.94</v>
      </c>
      <c r="Y28" s="72">
        <f>'25'!$F$28</f>
        <v>7.7</v>
      </c>
      <c r="Z28" s="72">
        <f>'25'!$F$29</f>
        <v>9.14</v>
      </c>
      <c r="AA28" s="72">
        <f>'25'!$F$30</f>
        <v>12.36</v>
      </c>
      <c r="AB28" s="72" t="str">
        <f>'25'!$F$31</f>
        <v/>
      </c>
      <c r="AC28" s="72" t="str">
        <f>'25'!$F$32</f>
        <v/>
      </c>
      <c r="AD28" s="93">
        <f>'25'!$F$33</f>
        <v>9.23</v>
      </c>
    </row>
    <row r="29" spans="1:30" x14ac:dyDescent="0.2">
      <c r="A29" s="91" t="s">
        <v>1042</v>
      </c>
      <c r="B29" s="72">
        <f>'26'!$F$5</f>
        <v>10.26</v>
      </c>
      <c r="C29" s="72">
        <f>'26'!$F$6</f>
        <v>7.85</v>
      </c>
      <c r="D29" s="72">
        <f>'26'!$F$7</f>
        <v>7.21</v>
      </c>
      <c r="E29" s="72">
        <f>'26'!$F$8</f>
        <v>7.28</v>
      </c>
      <c r="F29" s="72">
        <f>'26'!$F$9</f>
        <v>17.739999999999998</v>
      </c>
      <c r="G29" s="72">
        <f>'26'!$F$10</f>
        <v>6.67</v>
      </c>
      <c r="H29" s="72">
        <f>'26'!$F$11</f>
        <v>8.19</v>
      </c>
      <c r="I29" s="72">
        <f>'26'!$F$12</f>
        <v>8.1199999999999992</v>
      </c>
      <c r="J29" s="72">
        <f>'26'!$F$13</f>
        <v>8.11</v>
      </c>
      <c r="K29" s="72">
        <f>'26'!$F$14</f>
        <v>11.1</v>
      </c>
      <c r="L29" s="72">
        <f>'26'!$F$15</f>
        <v>10.96</v>
      </c>
      <c r="M29" s="72">
        <f>'26'!$F$16</f>
        <v>7.04</v>
      </c>
      <c r="N29" s="72">
        <f>'26'!$F$17</f>
        <v>6.82</v>
      </c>
      <c r="O29" s="72">
        <f>'26'!$F$18</f>
        <v>11.02</v>
      </c>
      <c r="P29" s="72" t="str">
        <f>'26'!$F$19</f>
        <v/>
      </c>
      <c r="Q29" s="72">
        <f>'26'!$F$20</f>
        <v>7.75</v>
      </c>
      <c r="R29" s="72">
        <f>'26'!$F$21</f>
        <v>11.25</v>
      </c>
      <c r="S29" s="72">
        <f>'26'!$F$22</f>
        <v>8.94</v>
      </c>
      <c r="T29" s="72">
        <f>'26'!$F$23</f>
        <v>6.38</v>
      </c>
      <c r="U29" s="72">
        <f>'26'!$F$24</f>
        <v>8.9600000000000009</v>
      </c>
      <c r="V29" s="72">
        <f>'26'!$F$25</f>
        <v>11.37</v>
      </c>
      <c r="W29" s="72">
        <f>'26'!$F$26</f>
        <v>11.36</v>
      </c>
      <c r="X29" s="72">
        <f>'26'!$F$27</f>
        <v>8.06</v>
      </c>
      <c r="Y29" s="72">
        <f>'26'!$F$28</f>
        <v>6.61</v>
      </c>
      <c r="Z29" s="72">
        <f>'26'!$F$29</f>
        <v>6.65</v>
      </c>
      <c r="AA29" s="72">
        <f>'26'!$F$30</f>
        <v>8.6999999999999993</v>
      </c>
      <c r="AB29" s="72" t="str">
        <f>'26'!$F$31</f>
        <v/>
      </c>
      <c r="AC29" s="72" t="str">
        <f>'26'!$F$32</f>
        <v/>
      </c>
      <c r="AD29" s="93">
        <f>'26'!$F$33</f>
        <v>7.33</v>
      </c>
    </row>
    <row r="30" spans="1:30" x14ac:dyDescent="0.2">
      <c r="A30" s="92" t="s">
        <v>1021</v>
      </c>
      <c r="B30" s="72">
        <f>'27'!$F$5</f>
        <v>3.04</v>
      </c>
      <c r="C30" s="72">
        <f>'27'!$F$6</f>
        <v>103.98</v>
      </c>
      <c r="D30" s="72">
        <f>'27'!$F$7</f>
        <v>5.03</v>
      </c>
      <c r="E30" s="72">
        <f>'27'!$F$8</f>
        <v>5.34</v>
      </c>
      <c r="F30" s="72" t="str">
        <f>'27'!$F$9</f>
        <v/>
      </c>
      <c r="G30" s="72">
        <f>'27'!$F$10</f>
        <v>6.65</v>
      </c>
      <c r="H30" s="72">
        <f>'27'!$F$11</f>
        <v>12.49</v>
      </c>
      <c r="I30" s="72">
        <f>'27'!$F$12</f>
        <v>6.92</v>
      </c>
      <c r="J30" s="72">
        <f>'27'!$F$13</f>
        <v>8.58</v>
      </c>
      <c r="K30" s="72">
        <f>'27'!$F$14</f>
        <v>3.66</v>
      </c>
      <c r="L30" s="72">
        <f>'27'!$F$15</f>
        <v>3.51</v>
      </c>
      <c r="M30" s="72">
        <f>'27'!$F$16</f>
        <v>5.36</v>
      </c>
      <c r="N30" s="72">
        <f>'27'!$F$17</f>
        <v>4.84</v>
      </c>
      <c r="O30" s="72">
        <f>'27'!$F$18</f>
        <v>9.66</v>
      </c>
      <c r="P30" s="72" t="str">
        <f>'27'!$F$19</f>
        <v/>
      </c>
      <c r="Q30" s="72">
        <f>'27'!$F$20</f>
        <v>6.5</v>
      </c>
      <c r="R30" s="72">
        <f>'27'!$F$21</f>
        <v>8.27</v>
      </c>
      <c r="S30" s="72">
        <f>'27'!$F$22</f>
        <v>5.5</v>
      </c>
      <c r="T30" s="72">
        <f>'27'!$F$23</f>
        <v>4.9800000000000004</v>
      </c>
      <c r="U30" s="72" t="str">
        <f>'27'!$F$24</f>
        <v/>
      </c>
      <c r="V30" s="72" t="str">
        <f>'27'!$F$25</f>
        <v/>
      </c>
      <c r="W30" s="72" t="str">
        <f>'27'!$F$26</f>
        <v/>
      </c>
      <c r="X30" s="72">
        <f>'27'!$F$27</f>
        <v>8.4</v>
      </c>
      <c r="Y30" s="72">
        <f>'27'!$F$28</f>
        <v>4.54</v>
      </c>
      <c r="Z30" s="72">
        <f>'27'!$F$29</f>
        <v>3.85</v>
      </c>
      <c r="AA30" s="72">
        <f>'27'!$F$30</f>
        <v>6.65</v>
      </c>
      <c r="AB30" s="72" t="str">
        <f>'27'!$F$31</f>
        <v/>
      </c>
      <c r="AC30" s="72" t="str">
        <f>'27'!$F$32</f>
        <v/>
      </c>
      <c r="AD30" s="93">
        <f>'27'!$F$33</f>
        <v>6.15</v>
      </c>
    </row>
    <row r="31" spans="1:30" x14ac:dyDescent="0.2">
      <c r="A31" s="92" t="s">
        <v>1043</v>
      </c>
      <c r="B31" s="72">
        <f>'28'!$F$5</f>
        <v>9.24</v>
      </c>
      <c r="C31" s="72">
        <f>'28'!$F$6</f>
        <v>7.01</v>
      </c>
      <c r="D31" s="72">
        <f>'28'!$F$7</f>
        <v>6.14</v>
      </c>
      <c r="E31" s="72">
        <f>'28'!$F$8</f>
        <v>6.7</v>
      </c>
      <c r="F31" s="72" t="str">
        <f>'28'!$F$9</f>
        <v/>
      </c>
      <c r="G31" s="72">
        <f>'28'!$F$10</f>
        <v>10.43</v>
      </c>
      <c r="H31" s="72">
        <f>'28'!$F$11</f>
        <v>6.13</v>
      </c>
      <c r="I31" s="72" t="str">
        <f>'28'!$F$12</f>
        <v/>
      </c>
      <c r="J31" s="72">
        <f>'28'!$F$13</f>
        <v>4.84</v>
      </c>
      <c r="K31" s="72">
        <f>'28'!$F$14</f>
        <v>7.44</v>
      </c>
      <c r="L31" s="72">
        <f>'28'!$F$15</f>
        <v>9.19</v>
      </c>
      <c r="M31" s="72">
        <f>'28'!$F$16</f>
        <v>6.45</v>
      </c>
      <c r="N31" s="72">
        <f>'28'!$F$17</f>
        <v>6</v>
      </c>
      <c r="O31" s="72">
        <f>'28'!$F$18</f>
        <v>8.9700000000000006</v>
      </c>
      <c r="P31" s="72" t="str">
        <f>'28'!$F$19</f>
        <v/>
      </c>
      <c r="Q31" s="72">
        <f>'28'!$F$20</f>
        <v>8.9600000000000009</v>
      </c>
      <c r="R31" s="72">
        <f>'28'!$F$21</f>
        <v>9.34</v>
      </c>
      <c r="S31" s="72">
        <f>'28'!$F$22</f>
        <v>8.8800000000000008</v>
      </c>
      <c r="T31" s="72">
        <f>'28'!$F$23</f>
        <v>6.14</v>
      </c>
      <c r="U31" s="72" t="str">
        <f>'28'!$F$24</f>
        <v/>
      </c>
      <c r="V31" s="72">
        <f>'28'!$F$25</f>
        <v>14.66</v>
      </c>
      <c r="W31" s="72">
        <f>'28'!$F$26</f>
        <v>10.199999999999999</v>
      </c>
      <c r="X31" s="72">
        <f>'28'!$F$27</f>
        <v>9.83</v>
      </c>
      <c r="Y31" s="72">
        <f>'28'!$F$28</f>
        <v>5.25</v>
      </c>
      <c r="Z31" s="72">
        <f>'28'!$F$29</f>
        <v>6.12</v>
      </c>
      <c r="AA31" s="72">
        <f>'28'!$F$30</f>
        <v>8.89</v>
      </c>
      <c r="AB31" s="72" t="str">
        <f>'28'!$F$31</f>
        <v/>
      </c>
      <c r="AC31" s="72" t="str">
        <f>'28'!$F$32</f>
        <v/>
      </c>
      <c r="AD31" s="93">
        <f>'28'!$F$33</f>
        <v>7.11</v>
      </c>
    </row>
    <row r="32" spans="1:30" x14ac:dyDescent="0.2">
      <c r="A32" s="92" t="s">
        <v>1044</v>
      </c>
      <c r="B32" s="72">
        <f>'29'!$F$5</f>
        <v>2.94</v>
      </c>
      <c r="C32" s="72">
        <f>'29'!$F$6</f>
        <v>5.75</v>
      </c>
      <c r="D32" s="72">
        <f>'29'!$F$7</f>
        <v>4.67</v>
      </c>
      <c r="E32" s="72">
        <f>'29'!$F$8</f>
        <v>5.15</v>
      </c>
      <c r="F32" s="72">
        <f>'29'!$F$9</f>
        <v>50.41</v>
      </c>
      <c r="G32" s="72">
        <f>'29'!$F$10</f>
        <v>24.9</v>
      </c>
      <c r="H32" s="72">
        <f>'29'!$F$11</f>
        <v>4.66</v>
      </c>
      <c r="I32" s="72" t="str">
        <f>'29'!$F$12</f>
        <v/>
      </c>
      <c r="J32" s="72">
        <f>'29'!$F$13</f>
        <v>3.57</v>
      </c>
      <c r="K32" s="72">
        <f>'29'!$F$14</f>
        <v>92.65</v>
      </c>
      <c r="L32" s="72" t="str">
        <f>'29'!$F$15</f>
        <v/>
      </c>
      <c r="M32" s="72">
        <f>'29'!$F$16</f>
        <v>4.72</v>
      </c>
      <c r="N32" s="72">
        <f>'29'!$F$17</f>
        <v>5.31</v>
      </c>
      <c r="O32" s="72">
        <f>'29'!$F$18</f>
        <v>6.5</v>
      </c>
      <c r="P32" s="72" t="str">
        <f>'29'!$F$19</f>
        <v/>
      </c>
      <c r="Q32" s="72">
        <f>'29'!$F$20</f>
        <v>9.75</v>
      </c>
      <c r="R32" s="72" t="str">
        <f>'29'!$F$21</f>
        <v/>
      </c>
      <c r="S32" s="72" t="str">
        <f>'29'!$F$22</f>
        <v/>
      </c>
      <c r="T32" s="72">
        <f>'29'!$F$23</f>
        <v>4.79</v>
      </c>
      <c r="U32" s="72" t="str">
        <f>'29'!$F$24</f>
        <v/>
      </c>
      <c r="V32" s="72">
        <f>'29'!$F$25</f>
        <v>10.74</v>
      </c>
      <c r="W32" s="72" t="str">
        <f>'29'!$F$26</f>
        <v/>
      </c>
      <c r="X32" s="72">
        <f>'29'!$F$27</f>
        <v>4.93</v>
      </c>
      <c r="Y32" s="72">
        <f>'29'!$F$28</f>
        <v>7.65</v>
      </c>
      <c r="Z32" s="72">
        <f>'29'!$F$29</f>
        <v>4.16</v>
      </c>
      <c r="AA32" s="72">
        <f>'29'!$F$30</f>
        <v>5.28</v>
      </c>
      <c r="AB32" s="72" t="str">
        <f>'29'!$F$31</f>
        <v/>
      </c>
      <c r="AC32" s="72" t="str">
        <f>'29'!$F$32</f>
        <v/>
      </c>
      <c r="AD32" s="93">
        <f>'29'!$F$33</f>
        <v>5.23</v>
      </c>
    </row>
    <row r="33" spans="1:30" x14ac:dyDescent="0.2">
      <c r="A33" s="92" t="s">
        <v>1045</v>
      </c>
      <c r="B33" s="72">
        <f>'30'!$F$5</f>
        <v>10.9</v>
      </c>
      <c r="C33" s="72">
        <f>'30'!$F$6</f>
        <v>7.57</v>
      </c>
      <c r="D33" s="72">
        <f>'30'!$F$7</f>
        <v>4.68</v>
      </c>
      <c r="E33" s="72">
        <f>'30'!$F$8</f>
        <v>4.4000000000000004</v>
      </c>
      <c r="F33" s="72" t="str">
        <f>'30'!$F$9</f>
        <v/>
      </c>
      <c r="G33" s="72" t="str">
        <f>'30'!$F$10</f>
        <v/>
      </c>
      <c r="H33" s="72">
        <f>'30'!$F$11</f>
        <v>6.89</v>
      </c>
      <c r="I33" s="72" t="str">
        <f>'30'!$F$12</f>
        <v/>
      </c>
      <c r="J33" s="72">
        <f>'30'!$F$13</f>
        <v>3.67</v>
      </c>
      <c r="K33" s="72" t="str">
        <f>'30'!$F$14</f>
        <v/>
      </c>
      <c r="L33" s="72">
        <f>'30'!$F$15</f>
        <v>9.8800000000000008</v>
      </c>
      <c r="M33" s="72">
        <f>'30'!$F$16</f>
        <v>4.33</v>
      </c>
      <c r="N33" s="72">
        <f>'30'!$F$17</f>
        <v>4.09</v>
      </c>
      <c r="O33" s="72">
        <f>'30'!$F$18</f>
        <v>6.86</v>
      </c>
      <c r="P33" s="72" t="str">
        <f>'30'!$F$19</f>
        <v/>
      </c>
      <c r="Q33" s="72">
        <f>'30'!$F$20</f>
        <v>6.02</v>
      </c>
      <c r="R33" s="72" t="str">
        <f>'30'!$F$21</f>
        <v/>
      </c>
      <c r="S33" s="72">
        <f>'30'!$F$22</f>
        <v>5.85</v>
      </c>
      <c r="T33" s="72">
        <f>'30'!$F$23</f>
        <v>3.92</v>
      </c>
      <c r="U33" s="72" t="str">
        <f>'30'!$F$24</f>
        <v/>
      </c>
      <c r="V33" s="72" t="str">
        <f>'30'!$F$25</f>
        <v/>
      </c>
      <c r="W33" s="72">
        <f>'30'!$F$26</f>
        <v>8.59</v>
      </c>
      <c r="X33" s="72">
        <f>'30'!$F$27</f>
        <v>5.6</v>
      </c>
      <c r="Y33" s="72">
        <f>'30'!$F$28</f>
        <v>3.76</v>
      </c>
      <c r="Z33" s="72">
        <f>'30'!$F$29</f>
        <v>3.67</v>
      </c>
      <c r="AA33" s="72">
        <f>'30'!$F$30</f>
        <v>5.31</v>
      </c>
      <c r="AB33" s="72" t="str">
        <f>'30'!$F$31</f>
        <v/>
      </c>
      <c r="AC33" s="72" t="str">
        <f>'30'!$F$32</f>
        <v/>
      </c>
      <c r="AD33" s="93">
        <f>'30'!$F$33</f>
        <v>4.97</v>
      </c>
    </row>
    <row r="34" spans="1:30" x14ac:dyDescent="0.2">
      <c r="A34" s="92" t="s">
        <v>1022</v>
      </c>
      <c r="B34" s="72">
        <f>'31'!$F$5</f>
        <v>6.36</v>
      </c>
      <c r="C34" s="72">
        <f>'31'!$F$6</f>
        <v>7.39</v>
      </c>
      <c r="D34" s="72">
        <f>'31'!$F$7</f>
        <v>6.53</v>
      </c>
      <c r="E34" s="72">
        <f>'31'!$F$8</f>
        <v>6.76</v>
      </c>
      <c r="F34" s="72" t="str">
        <f>'31'!$F$9</f>
        <v/>
      </c>
      <c r="G34" s="72">
        <f>'31'!$F$10</f>
        <v>11.17</v>
      </c>
      <c r="H34" s="72">
        <f>'31'!$F$11</f>
        <v>5.67</v>
      </c>
      <c r="I34" s="72" t="str">
        <f>'31'!$F$12</f>
        <v/>
      </c>
      <c r="J34" s="72">
        <f>'31'!$F$13</f>
        <v>4.63</v>
      </c>
      <c r="K34" s="72">
        <f>'31'!$F$14</f>
        <v>15.97</v>
      </c>
      <c r="L34" s="72">
        <f>'31'!$F$15</f>
        <v>15.96</v>
      </c>
      <c r="M34" s="72">
        <f>'31'!$F$16</f>
        <v>5.0599999999999996</v>
      </c>
      <c r="N34" s="72">
        <f>'31'!$F$17</f>
        <v>6.92</v>
      </c>
      <c r="O34" s="72">
        <f>'31'!$F$18</f>
        <v>10.16</v>
      </c>
      <c r="P34" s="72" t="str">
        <f>'31'!$F$19</f>
        <v/>
      </c>
      <c r="Q34" s="72">
        <f>'31'!$F$20</f>
        <v>4.8099999999999996</v>
      </c>
      <c r="R34" s="72">
        <f>'31'!$F$21</f>
        <v>15.96</v>
      </c>
      <c r="S34" s="72">
        <f>'31'!$F$22</f>
        <v>6.76</v>
      </c>
      <c r="T34" s="72">
        <f>'31'!$F$23</f>
        <v>5.45</v>
      </c>
      <c r="U34" s="72">
        <f>'31'!$F$24</f>
        <v>9.48</v>
      </c>
      <c r="V34" s="72">
        <f>'31'!$F$25</f>
        <v>8.83</v>
      </c>
      <c r="W34" s="72">
        <f>'31'!$F$26</f>
        <v>15.97</v>
      </c>
      <c r="X34" s="72">
        <f>'31'!$F$27</f>
        <v>5.89</v>
      </c>
      <c r="Y34" s="72">
        <f>'31'!$F$28</f>
        <v>6.48</v>
      </c>
      <c r="Z34" s="72">
        <f>'31'!$F$29</f>
        <v>5.16</v>
      </c>
      <c r="AA34" s="72">
        <f>'31'!$F$30</f>
        <v>8.98</v>
      </c>
      <c r="AB34" s="72" t="str">
        <f>'31'!$F$31</f>
        <v/>
      </c>
      <c r="AC34" s="72" t="str">
        <f>'31'!$F$32</f>
        <v/>
      </c>
      <c r="AD34" s="93">
        <f>'31'!$F$33</f>
        <v>6.22</v>
      </c>
    </row>
    <row r="35" spans="1:30" x14ac:dyDescent="0.2">
      <c r="A35" s="92" t="s">
        <v>1046</v>
      </c>
      <c r="B35" s="72">
        <f>'32'!$F$5</f>
        <v>6.65</v>
      </c>
      <c r="C35" s="72">
        <f>'32'!$F$6</f>
        <v>6.49</v>
      </c>
      <c r="D35" s="72">
        <f>'32'!$F$7</f>
        <v>6.15</v>
      </c>
      <c r="E35" s="72">
        <f>'32'!$F$8</f>
        <v>7.23</v>
      </c>
      <c r="F35" s="72" t="str">
        <f>'32'!$F$9</f>
        <v/>
      </c>
      <c r="G35" s="72">
        <f>'32'!$F$10</f>
        <v>10.16</v>
      </c>
      <c r="H35" s="72">
        <f>'32'!$F$11</f>
        <v>6.19</v>
      </c>
      <c r="I35" s="72">
        <f>'32'!$F$12</f>
        <v>4.8499999999999996</v>
      </c>
      <c r="J35" s="72">
        <f>'32'!$F$13</f>
        <v>6</v>
      </c>
      <c r="K35" s="72" t="str">
        <f>'32'!$F$14</f>
        <v/>
      </c>
      <c r="L35" s="72">
        <f>'32'!$F$15</f>
        <v>7.75</v>
      </c>
      <c r="M35" s="72">
        <f>'32'!$F$16</f>
        <v>6.3</v>
      </c>
      <c r="N35" s="72">
        <f>'32'!$F$17</f>
        <v>7.23</v>
      </c>
      <c r="O35" s="72">
        <f>'32'!$F$18</f>
        <v>11.17</v>
      </c>
      <c r="P35" s="72" t="str">
        <f>'32'!$F$19</f>
        <v/>
      </c>
      <c r="Q35" s="72">
        <f>'32'!$F$20</f>
        <v>7.43</v>
      </c>
      <c r="R35" s="72">
        <f>'32'!$F$21</f>
        <v>8.1199999999999992</v>
      </c>
      <c r="S35" s="72">
        <f>'32'!$F$22</f>
        <v>6.55</v>
      </c>
      <c r="T35" s="72">
        <f>'32'!$F$23</f>
        <v>5.81</v>
      </c>
      <c r="U35" s="72">
        <f>'32'!$F$24</f>
        <v>5.73</v>
      </c>
      <c r="V35" s="72">
        <f>'32'!$F$25</f>
        <v>12.44</v>
      </c>
      <c r="W35" s="72">
        <f>'32'!$F$26</f>
        <v>5.72</v>
      </c>
      <c r="X35" s="72">
        <f>'32'!$F$27</f>
        <v>6.21</v>
      </c>
      <c r="Y35" s="72">
        <f>'32'!$F$28</f>
        <v>7.61</v>
      </c>
      <c r="Z35" s="72">
        <f>'32'!$F$29</f>
        <v>5.94</v>
      </c>
      <c r="AA35" s="72">
        <f>'32'!$F$30</f>
        <v>9.6300000000000008</v>
      </c>
      <c r="AB35" s="72" t="str">
        <f>'32'!$F$31</f>
        <v/>
      </c>
      <c r="AC35" s="72" t="str">
        <f>'32'!$F$32</f>
        <v/>
      </c>
      <c r="AD35" s="93">
        <f>'32'!$F$33</f>
        <v>6.83</v>
      </c>
    </row>
    <row r="36" spans="1:30" x14ac:dyDescent="0.2">
      <c r="A36" s="92" t="s">
        <v>1047</v>
      </c>
      <c r="B36" s="72">
        <f>'33'!$F$5</f>
        <v>7.88</v>
      </c>
      <c r="C36" s="72">
        <f>'33'!$F$6</f>
        <v>7.14</v>
      </c>
      <c r="D36" s="72">
        <f>'33'!$F$7</f>
        <v>6.62</v>
      </c>
      <c r="E36" s="72">
        <f>'33'!$F$8</f>
        <v>8.82</v>
      </c>
      <c r="F36" s="72" t="str">
        <f>'33'!$F$9</f>
        <v/>
      </c>
      <c r="G36" s="72">
        <f>'33'!$F$10</f>
        <v>15.65</v>
      </c>
      <c r="H36" s="72">
        <f>'33'!$F$11</f>
        <v>7.22</v>
      </c>
      <c r="I36" s="72" t="str">
        <f>'33'!$F$12</f>
        <v/>
      </c>
      <c r="J36" s="72">
        <f>'33'!$F$13</f>
        <v>6.22</v>
      </c>
      <c r="K36" s="72">
        <f>'33'!$F$14</f>
        <v>11.13</v>
      </c>
      <c r="L36" s="72">
        <f>'33'!$F$15</f>
        <v>4.87</v>
      </c>
      <c r="M36" s="72">
        <f>'33'!$F$16</f>
        <v>5.7</v>
      </c>
      <c r="N36" s="72">
        <f>'33'!$F$17</f>
        <v>10.74</v>
      </c>
      <c r="O36" s="72">
        <f>'33'!$F$18</f>
        <v>13.52</v>
      </c>
      <c r="P36" s="72" t="str">
        <f>'33'!$F$19</f>
        <v/>
      </c>
      <c r="Q36" s="72">
        <f>'33'!$F$20</f>
        <v>10.77</v>
      </c>
      <c r="R36" s="72" t="str">
        <f>'33'!$F$21</f>
        <v/>
      </c>
      <c r="S36" s="72">
        <f>'33'!$F$22</f>
        <v>6.22</v>
      </c>
      <c r="T36" s="72">
        <f>'33'!$F$23</f>
        <v>6.68</v>
      </c>
      <c r="U36" s="72" t="str">
        <f>'33'!$F$24</f>
        <v/>
      </c>
      <c r="V36" s="72" t="str">
        <f>'33'!$F$25</f>
        <v/>
      </c>
      <c r="W36" s="72" t="str">
        <f>'33'!$F$26</f>
        <v/>
      </c>
      <c r="X36" s="72" t="str">
        <f>'33'!$F$27</f>
        <v/>
      </c>
      <c r="Y36" s="72" t="str">
        <f>'33'!$F$28</f>
        <v/>
      </c>
      <c r="Z36" s="72">
        <f>'33'!$F$29</f>
        <v>5.42</v>
      </c>
      <c r="AA36" s="72">
        <f>'33'!$F$30</f>
        <v>8.51</v>
      </c>
      <c r="AB36" s="72" t="str">
        <f>'33'!$F$31</f>
        <v/>
      </c>
      <c r="AC36" s="72" t="str">
        <f>'33'!$F$32</f>
        <v/>
      </c>
      <c r="AD36" s="93">
        <f>'33'!$F$33</f>
        <v>7.1</v>
      </c>
    </row>
    <row r="37" spans="1:30" x14ac:dyDescent="0.2">
      <c r="A37" s="92" t="s">
        <v>1025</v>
      </c>
      <c r="B37" s="72">
        <f>'34'!$F$5</f>
        <v>8.76</v>
      </c>
      <c r="C37" s="72">
        <f>'34'!$F$6</f>
        <v>9.75</v>
      </c>
      <c r="D37" s="72">
        <f>'34'!$F$7</f>
        <v>4.67</v>
      </c>
      <c r="E37" s="72">
        <f>'34'!$F$8</f>
        <v>6.58</v>
      </c>
      <c r="F37" s="72" t="str">
        <f>'34'!$F$9</f>
        <v/>
      </c>
      <c r="G37" s="72">
        <f>'34'!$F$10</f>
        <v>10.61</v>
      </c>
      <c r="H37" s="72">
        <f>'34'!$F$11</f>
        <v>5.56</v>
      </c>
      <c r="I37" s="72" t="str">
        <f>'34'!$F$12</f>
        <v/>
      </c>
      <c r="J37" s="72">
        <f>'34'!$F$13</f>
        <v>4.51</v>
      </c>
      <c r="K37" s="72" t="str">
        <f>'34'!$F$14</f>
        <v/>
      </c>
      <c r="L37" s="72">
        <f>'34'!$F$15</f>
        <v>7.71</v>
      </c>
      <c r="M37" s="72">
        <f>'34'!$F$16</f>
        <v>5.4</v>
      </c>
      <c r="N37" s="72">
        <f>'34'!$F$17</f>
        <v>4.9800000000000004</v>
      </c>
      <c r="O37" s="72">
        <f>'34'!$F$18</f>
        <v>14.28</v>
      </c>
      <c r="P37" s="72" t="str">
        <f>'34'!$F$19</f>
        <v/>
      </c>
      <c r="Q37" s="72">
        <f>'34'!$F$20</f>
        <v>2.56</v>
      </c>
      <c r="R37" s="72" t="str">
        <f>'34'!$F$21</f>
        <v/>
      </c>
      <c r="S37" s="72">
        <f>'34'!$F$22</f>
        <v>7.11</v>
      </c>
      <c r="T37" s="72">
        <f>'34'!$F$23</f>
        <v>3.89</v>
      </c>
      <c r="U37" s="72" t="str">
        <f>'34'!$F$24</f>
        <v/>
      </c>
      <c r="V37" s="72" t="str">
        <f>'34'!$F$25</f>
        <v/>
      </c>
      <c r="W37" s="72" t="str">
        <f>'34'!$F$26</f>
        <v/>
      </c>
      <c r="X37" s="72">
        <f>'34'!$F$27</f>
        <v>5.35</v>
      </c>
      <c r="Y37" s="72" t="str">
        <f>'34'!$F$28</f>
        <v/>
      </c>
      <c r="Z37" s="72">
        <f>'34'!$F$29</f>
        <v>4.41</v>
      </c>
      <c r="AA37" s="72">
        <f>'34'!$F$30</f>
        <v>10.06</v>
      </c>
      <c r="AB37" s="72" t="str">
        <f>'34'!$F$31</f>
        <v/>
      </c>
      <c r="AC37" s="72" t="str">
        <f>'34'!$F$32</f>
        <v/>
      </c>
      <c r="AD37" s="93">
        <f>'34'!$F$33</f>
        <v>5.75</v>
      </c>
    </row>
    <row r="38" spans="1:30" x14ac:dyDescent="0.2">
      <c r="A38" s="92" t="s">
        <v>1048</v>
      </c>
      <c r="B38" s="72">
        <f>'35'!$F$5</f>
        <v>3.73</v>
      </c>
      <c r="C38" s="72">
        <f>'35'!$F$6</f>
        <v>5.87</v>
      </c>
      <c r="D38" s="72">
        <f>'35'!$F$7</f>
        <v>4.24</v>
      </c>
      <c r="E38" s="72">
        <f>'35'!$F$8</f>
        <v>4.8899999999999997</v>
      </c>
      <c r="F38" s="72" t="str">
        <f>'35'!$F$9</f>
        <v/>
      </c>
      <c r="G38" s="72">
        <f>'35'!$F$10</f>
        <v>3.48</v>
      </c>
      <c r="H38" s="72">
        <f>'35'!$F$11</f>
        <v>4.7699999999999996</v>
      </c>
      <c r="I38" s="72" t="str">
        <f>'35'!$F$12</f>
        <v/>
      </c>
      <c r="J38" s="72">
        <f>'35'!$F$13</f>
        <v>5.22</v>
      </c>
      <c r="K38" s="72" t="str">
        <f>'35'!$F$14</f>
        <v/>
      </c>
      <c r="L38" s="72" t="str">
        <f>'35'!$F$15</f>
        <v/>
      </c>
      <c r="M38" s="72">
        <f>'35'!$F$16</f>
        <v>4.51</v>
      </c>
      <c r="N38" s="72">
        <f>'35'!$F$17</f>
        <v>3.29</v>
      </c>
      <c r="O38" s="72">
        <f>'35'!$F$18</f>
        <v>4.5599999999999996</v>
      </c>
      <c r="P38" s="72" t="str">
        <f>'35'!$F$19</f>
        <v/>
      </c>
      <c r="Q38" s="72">
        <f>'35'!$F$20</f>
        <v>5.86</v>
      </c>
      <c r="R38" s="72" t="str">
        <f>'35'!$F$21</f>
        <v/>
      </c>
      <c r="S38" s="72">
        <f>'35'!$F$22</f>
        <v>4.7699999999999996</v>
      </c>
      <c r="T38" s="72">
        <f>'35'!$F$23</f>
        <v>4.99</v>
      </c>
      <c r="U38" s="72">
        <f>'35'!$F$24</f>
        <v>8.36</v>
      </c>
      <c r="V38" s="72" t="str">
        <f>'35'!$F$25</f>
        <v/>
      </c>
      <c r="W38" s="72" t="str">
        <f>'35'!$F$26</f>
        <v/>
      </c>
      <c r="X38" s="72">
        <f>'35'!$F$27</f>
        <v>11.14</v>
      </c>
      <c r="Y38" s="72">
        <f>'35'!$F$28</f>
        <v>4.37</v>
      </c>
      <c r="Z38" s="72">
        <f>'35'!$F$29</f>
        <v>3.98</v>
      </c>
      <c r="AA38" s="72">
        <f>'35'!$F$30</f>
        <v>5.75</v>
      </c>
      <c r="AB38" s="72" t="str">
        <f>'35'!$F$31</f>
        <v/>
      </c>
      <c r="AC38" s="72" t="str">
        <f>'35'!$F$32</f>
        <v/>
      </c>
      <c r="AD38" s="93">
        <f>'35'!$F$33</f>
        <v>5.3</v>
      </c>
    </row>
    <row r="39" spans="1:30" x14ac:dyDescent="0.2">
      <c r="A39" s="92" t="s">
        <v>1061</v>
      </c>
      <c r="B39" s="72">
        <f>'36'!$F$5</f>
        <v>5.1100000000000003</v>
      </c>
      <c r="C39" s="72">
        <f>'36'!$F$6</f>
        <v>6.08</v>
      </c>
      <c r="D39" s="72">
        <f>'36'!$F$7</f>
        <v>5.66</v>
      </c>
      <c r="E39" s="72">
        <f>'36'!$F$8</f>
        <v>6.4</v>
      </c>
      <c r="F39" s="72">
        <f>'36'!$F$9</f>
        <v>11.61</v>
      </c>
      <c r="G39" s="72">
        <f>'36'!$F$10</f>
        <v>8.52</v>
      </c>
      <c r="H39" s="72">
        <f>'36'!$F$11</f>
        <v>6.16</v>
      </c>
      <c r="I39" s="72">
        <f>'36'!$F$12</f>
        <v>4.79</v>
      </c>
      <c r="J39" s="72">
        <f>'36'!$F$13</f>
        <v>6.67</v>
      </c>
      <c r="K39" s="72">
        <f>'36'!$F$14</f>
        <v>297.38</v>
      </c>
      <c r="L39" s="72">
        <f>'36'!$F$15</f>
        <v>7.04</v>
      </c>
      <c r="M39" s="72">
        <f>'36'!$F$16</f>
        <v>5.56</v>
      </c>
      <c r="N39" s="72">
        <f>'36'!$F$17</f>
        <v>5.72</v>
      </c>
      <c r="O39" s="72">
        <f>'36'!$F$18</f>
        <v>6.92</v>
      </c>
      <c r="P39" s="72" t="str">
        <f>'36'!$F$19</f>
        <v/>
      </c>
      <c r="Q39" s="72">
        <f>'36'!$F$20</f>
        <v>7.3</v>
      </c>
      <c r="R39" s="72">
        <f>'36'!$F$21</f>
        <v>9.84</v>
      </c>
      <c r="S39" s="72">
        <f>'36'!$F$22</f>
        <v>9.16</v>
      </c>
      <c r="T39" s="72">
        <f>'36'!$F$23</f>
        <v>6.5</v>
      </c>
      <c r="U39" s="72">
        <f>'36'!$F$24</f>
        <v>10.02</v>
      </c>
      <c r="V39" s="72">
        <f>'36'!$F$25</f>
        <v>12.93</v>
      </c>
      <c r="W39" s="72">
        <f>'36'!$F$26</f>
        <v>7.32</v>
      </c>
      <c r="X39" s="72">
        <f>'36'!$F$27</f>
        <v>7.3</v>
      </c>
      <c r="Y39" s="72">
        <f>'36'!$F$28</f>
        <v>6.22</v>
      </c>
      <c r="Z39" s="72">
        <f>'36'!$F$29</f>
        <v>5.33</v>
      </c>
      <c r="AA39" s="72">
        <f>'36'!$F$30</f>
        <v>8.1199999999999992</v>
      </c>
      <c r="AB39" s="72" t="str">
        <f>'36'!$F$31</f>
        <v/>
      </c>
      <c r="AC39" s="72" t="str">
        <f>'36'!$F$32</f>
        <v/>
      </c>
      <c r="AD39" s="93">
        <f>'36'!$F$33</f>
        <v>6.54</v>
      </c>
    </row>
    <row r="40" spans="1:30" x14ac:dyDescent="0.2">
      <c r="A40" s="92" t="s">
        <v>1049</v>
      </c>
      <c r="B40" s="72">
        <f>'37'!$F$5</f>
        <v>9.26</v>
      </c>
      <c r="C40" s="72">
        <f>'37'!$F$6</f>
        <v>9.8800000000000008</v>
      </c>
      <c r="D40" s="72">
        <f>'37'!$F$7</f>
        <v>5.76</v>
      </c>
      <c r="E40" s="72">
        <f>'37'!$F$8</f>
        <v>6.46</v>
      </c>
      <c r="F40" s="72" t="str">
        <f>'37'!$F$9</f>
        <v/>
      </c>
      <c r="G40" s="72">
        <f>'37'!$F$10</f>
        <v>12.12</v>
      </c>
      <c r="H40" s="72">
        <f>'37'!$F$11</f>
        <v>5.83</v>
      </c>
      <c r="I40" s="72">
        <f>'37'!$F$12</f>
        <v>10.89</v>
      </c>
      <c r="J40" s="72">
        <f>'37'!$F$13</f>
        <v>5.3</v>
      </c>
      <c r="K40" s="72">
        <f>'37'!$F$14</f>
        <v>36.32</v>
      </c>
      <c r="L40" s="72">
        <f>'37'!$F$15</f>
        <v>6.92</v>
      </c>
      <c r="M40" s="72">
        <f>'37'!$F$16</f>
        <v>5.45</v>
      </c>
      <c r="N40" s="72">
        <f>'37'!$F$17</f>
        <v>4.76</v>
      </c>
      <c r="O40" s="72">
        <f>'37'!$F$18</f>
        <v>5.58</v>
      </c>
      <c r="P40" s="72" t="str">
        <f>'37'!$F$19</f>
        <v/>
      </c>
      <c r="Q40" s="72">
        <f>'37'!$F$20</f>
        <v>6.56</v>
      </c>
      <c r="R40" s="72">
        <f>'37'!$F$21</f>
        <v>4.62</v>
      </c>
      <c r="S40" s="72">
        <f>'37'!$F$22</f>
        <v>3.95</v>
      </c>
      <c r="T40" s="72">
        <f>'37'!$F$23</f>
        <v>4.4000000000000004</v>
      </c>
      <c r="U40" s="72">
        <f>'37'!$F$24</f>
        <v>6.75</v>
      </c>
      <c r="V40" s="72">
        <f>'37'!$F$25</f>
        <v>8.0299999999999994</v>
      </c>
      <c r="W40" s="72">
        <f>'37'!$F$26</f>
        <v>8.01</v>
      </c>
      <c r="X40" s="72">
        <f>'37'!$F$27</f>
        <v>9.16</v>
      </c>
      <c r="Y40" s="72">
        <f>'37'!$F$28</f>
        <v>7.15</v>
      </c>
      <c r="Z40" s="72">
        <f>'37'!$F$29</f>
        <v>4.83</v>
      </c>
      <c r="AA40" s="72">
        <f>'37'!$F$30</f>
        <v>9.16</v>
      </c>
      <c r="AB40" s="72" t="str">
        <f>'37'!$F$31</f>
        <v/>
      </c>
      <c r="AC40" s="72" t="str">
        <f>'37'!$F$32</f>
        <v/>
      </c>
      <c r="AD40" s="93">
        <f>'37'!$F$33</f>
        <v>5.83</v>
      </c>
    </row>
    <row r="41" spans="1:30" x14ac:dyDescent="0.2">
      <c r="A41" s="92" t="s">
        <v>1050</v>
      </c>
      <c r="B41" s="72">
        <f>'38'!$F$5</f>
        <v>6.61</v>
      </c>
      <c r="C41" s="72">
        <f>'38'!$F$6</f>
        <v>8.5299999999999994</v>
      </c>
      <c r="D41" s="72">
        <f>'38'!$F$7</f>
        <v>6.61</v>
      </c>
      <c r="E41" s="72">
        <f>'38'!$F$8</f>
        <v>5.82</v>
      </c>
      <c r="F41" s="72" t="str">
        <f>'38'!$F$9</f>
        <v/>
      </c>
      <c r="G41" s="72" t="str">
        <f>'38'!$F$10</f>
        <v/>
      </c>
      <c r="H41" s="72">
        <f>'38'!$F$11</f>
        <v>8.2200000000000006</v>
      </c>
      <c r="I41" s="72" t="str">
        <f>'38'!$F$12</f>
        <v/>
      </c>
      <c r="J41" s="72">
        <f>'38'!$F$13</f>
        <v>4.68</v>
      </c>
      <c r="K41" s="72" t="str">
        <f>'38'!$F$14</f>
        <v/>
      </c>
      <c r="L41" s="72">
        <f>'38'!$F$15</f>
        <v>6.06</v>
      </c>
      <c r="M41" s="72">
        <f>'38'!$F$16</f>
        <v>6.45</v>
      </c>
      <c r="N41" s="72">
        <f>'38'!$F$17</f>
        <v>5.69</v>
      </c>
      <c r="O41" s="72">
        <f>'38'!$F$18</f>
        <v>8.9600000000000009</v>
      </c>
      <c r="P41" s="72" t="str">
        <f>'38'!$F$19</f>
        <v/>
      </c>
      <c r="Q41" s="72">
        <f>'38'!$F$20</f>
        <v>9.31</v>
      </c>
      <c r="R41" s="72" t="str">
        <f>'38'!$F$21</f>
        <v/>
      </c>
      <c r="S41" s="72">
        <f>'38'!$F$22</f>
        <v>7.54</v>
      </c>
      <c r="T41" s="72">
        <f>'38'!$F$23</f>
        <v>5.65</v>
      </c>
      <c r="U41" s="72">
        <f>'38'!$F$24</f>
        <v>10.62</v>
      </c>
      <c r="V41" s="72">
        <f>'38'!$F$25</f>
        <v>12.69</v>
      </c>
      <c r="W41" s="72">
        <f>'38'!$F$26</f>
        <v>23.48</v>
      </c>
      <c r="X41" s="72">
        <f>'38'!$F$27</f>
        <v>9.92</v>
      </c>
      <c r="Y41" s="72">
        <f>'38'!$F$28</f>
        <v>3.89</v>
      </c>
      <c r="Z41" s="72">
        <f>'38'!$F$29</f>
        <v>5.97</v>
      </c>
      <c r="AA41" s="72">
        <f>'38'!$F$30</f>
        <v>6.92</v>
      </c>
      <c r="AB41" s="72" t="str">
        <f>'38'!$F$31</f>
        <v/>
      </c>
      <c r="AC41" s="72" t="str">
        <f>'38'!$F$32</f>
        <v/>
      </c>
      <c r="AD41" s="93">
        <f>'38'!$F$33</f>
        <v>6.75</v>
      </c>
    </row>
    <row r="42" spans="1:30" x14ac:dyDescent="0.2">
      <c r="A42" s="92" t="s">
        <v>1026</v>
      </c>
      <c r="B42" s="72">
        <f>'39'!$F$5</f>
        <v>10.16</v>
      </c>
      <c r="C42" s="72" t="str">
        <f>'39'!$F$6</f>
        <v/>
      </c>
      <c r="D42" s="72">
        <f>'39'!$F$7</f>
        <v>5.48</v>
      </c>
      <c r="E42" s="72">
        <f>'39'!$F$8</f>
        <v>7.17</v>
      </c>
      <c r="F42" s="72">
        <f>'39'!$F$9</f>
        <v>21.77</v>
      </c>
      <c r="G42" s="72">
        <f>'39'!$F$10</f>
        <v>9.98</v>
      </c>
      <c r="H42" s="72">
        <f>'39'!$F$11</f>
        <v>3.35</v>
      </c>
      <c r="I42" s="72">
        <f>'39'!$F$12</f>
        <v>7.52</v>
      </c>
      <c r="J42" s="72">
        <f>'39'!$F$13</f>
        <v>4.51</v>
      </c>
      <c r="K42" s="72" t="str">
        <f>'39'!$F$14</f>
        <v/>
      </c>
      <c r="L42" s="72" t="str">
        <f>'39'!$F$15</f>
        <v/>
      </c>
      <c r="M42" s="72">
        <f>'39'!$F$16</f>
        <v>6.14</v>
      </c>
      <c r="N42" s="72">
        <f>'39'!$F$17</f>
        <v>5.42</v>
      </c>
      <c r="O42" s="72" t="str">
        <f>'39'!$F$18</f>
        <v/>
      </c>
      <c r="P42" s="72" t="str">
        <f>'39'!$F$19</f>
        <v/>
      </c>
      <c r="Q42" s="72" t="str">
        <f>'39'!$F$20</f>
        <v/>
      </c>
      <c r="R42" s="72" t="str">
        <f>'39'!$F$21</f>
        <v/>
      </c>
      <c r="S42" s="72">
        <f>'39'!$F$22</f>
        <v>6.23</v>
      </c>
      <c r="T42" s="72">
        <f>'39'!$F$23</f>
        <v>5.26</v>
      </c>
      <c r="U42" s="72">
        <f>'39'!$F$24</f>
        <v>10.63</v>
      </c>
      <c r="V42" s="72">
        <f>'39'!$F$25</f>
        <v>12.97</v>
      </c>
      <c r="W42" s="72" t="str">
        <f>'39'!$F$26</f>
        <v/>
      </c>
      <c r="X42" s="72">
        <f>'39'!$F$27</f>
        <v>6.02</v>
      </c>
      <c r="Y42" s="72">
        <f>'39'!$F$28</f>
        <v>4.7300000000000004</v>
      </c>
      <c r="Z42" s="72">
        <f>'39'!$F$29</f>
        <v>5.22</v>
      </c>
      <c r="AA42" s="72">
        <f>'39'!$F$30</f>
        <v>5.63</v>
      </c>
      <c r="AB42" s="72" t="str">
        <f>'39'!$F$31</f>
        <v/>
      </c>
      <c r="AC42" s="72" t="str">
        <f>'39'!$F$32</f>
        <v/>
      </c>
      <c r="AD42" s="93">
        <f>'39'!$F$33</f>
        <v>5.96</v>
      </c>
    </row>
    <row r="43" spans="1:30" x14ac:dyDescent="0.2">
      <c r="A43" s="92" t="s">
        <v>1062</v>
      </c>
      <c r="B43" s="72">
        <f>'40'!$F$5</f>
        <v>10.63</v>
      </c>
      <c r="C43" s="72">
        <f>'40'!$F$6</f>
        <v>10.27</v>
      </c>
      <c r="D43" s="72">
        <f>'40'!$F$7</f>
        <v>6.74</v>
      </c>
      <c r="E43" s="72">
        <f>'40'!$F$8</f>
        <v>8.7799999999999994</v>
      </c>
      <c r="F43" s="72" t="str">
        <f>'40'!$F$9</f>
        <v/>
      </c>
      <c r="G43" s="72">
        <f>'40'!$F$10</f>
        <v>11.62</v>
      </c>
      <c r="H43" s="72">
        <f>'40'!$F$11</f>
        <v>5.27</v>
      </c>
      <c r="I43" s="72">
        <f>'40'!$F$12</f>
        <v>10.95</v>
      </c>
      <c r="J43" s="72">
        <f>'40'!$F$13</f>
        <v>10.02</v>
      </c>
      <c r="K43" s="72">
        <f>'40'!$F$14</f>
        <v>10.19</v>
      </c>
      <c r="L43" s="72">
        <f>'40'!$F$15</f>
        <v>10.89</v>
      </c>
      <c r="M43" s="72">
        <f>'40'!$F$16</f>
        <v>6.39</v>
      </c>
      <c r="N43" s="72">
        <f>'40'!$F$17</f>
        <v>5.84</v>
      </c>
      <c r="O43" s="72">
        <f>'40'!$F$18</f>
        <v>11.85</v>
      </c>
      <c r="P43" s="72">
        <f>'40'!$F$19</f>
        <v>11.52</v>
      </c>
      <c r="Q43" s="72">
        <f>'40'!$F$20</f>
        <v>7.59</v>
      </c>
      <c r="R43" s="72">
        <f>'40'!$F$21</f>
        <v>11.08</v>
      </c>
      <c r="S43" s="72" t="str">
        <f>'40'!$F$22</f>
        <v/>
      </c>
      <c r="T43" s="72">
        <f>'40'!$F$23</f>
        <v>5.9</v>
      </c>
      <c r="U43" s="72">
        <f>'40'!$F$24</f>
        <v>9.94</v>
      </c>
      <c r="V43" s="72">
        <f>'40'!$F$25</f>
        <v>9.66</v>
      </c>
      <c r="W43" s="72">
        <f>'40'!$F$26</f>
        <v>7.06</v>
      </c>
      <c r="X43" s="72">
        <f>'40'!$F$27</f>
        <v>7.93</v>
      </c>
      <c r="Y43" s="72">
        <f>'40'!$F$28</f>
        <v>6.77</v>
      </c>
      <c r="Z43" s="72">
        <f>'40'!$F$29</f>
        <v>5.76</v>
      </c>
      <c r="AA43" s="72">
        <f>'40'!$F$30</f>
        <v>7.75</v>
      </c>
      <c r="AB43" s="72" t="str">
        <f>'40'!$F$31</f>
        <v/>
      </c>
      <c r="AC43" s="72" t="str">
        <f>'40'!$F$32</f>
        <v/>
      </c>
      <c r="AD43" s="93">
        <f>'40'!$F$33</f>
        <v>6.83</v>
      </c>
    </row>
    <row r="44" spans="1:30" x14ac:dyDescent="0.2">
      <c r="A44" s="92" t="s">
        <v>1027</v>
      </c>
      <c r="B44" s="72">
        <f>'41'!$F$5</f>
        <v>9.44</v>
      </c>
      <c r="C44" s="72">
        <f>'41'!$F$6</f>
        <v>10.84</v>
      </c>
      <c r="D44" s="72">
        <f>'41'!$F$7</f>
        <v>6.45</v>
      </c>
      <c r="E44" s="72">
        <f>'41'!$F$8</f>
        <v>4.6399999999999997</v>
      </c>
      <c r="F44" s="72" t="str">
        <f>'41'!$F$9</f>
        <v/>
      </c>
      <c r="G44" s="72" t="str">
        <f>'41'!$F$10</f>
        <v/>
      </c>
      <c r="H44" s="72">
        <f>'41'!$F$11</f>
        <v>9.7100000000000009</v>
      </c>
      <c r="I44" s="72">
        <f>'41'!$F$12</f>
        <v>4.93</v>
      </c>
      <c r="J44" s="72">
        <f>'41'!$F$13</f>
        <v>21.01</v>
      </c>
      <c r="K44" s="72">
        <f>'41'!$F$14</f>
        <v>8.67</v>
      </c>
      <c r="L44" s="72">
        <f>'41'!$F$15</f>
        <v>16.850000000000001</v>
      </c>
      <c r="M44" s="72">
        <f>'41'!$F$16</f>
        <v>6.01</v>
      </c>
      <c r="N44" s="72">
        <f>'41'!$F$17</f>
        <v>9.02</v>
      </c>
      <c r="O44" s="72">
        <f>'41'!$F$18</f>
        <v>7.79</v>
      </c>
      <c r="P44" s="72">
        <f>'41'!$F$19</f>
        <v>33.130000000000003</v>
      </c>
      <c r="Q44" s="72">
        <f>'41'!$F$20</f>
        <v>7.16</v>
      </c>
      <c r="R44" s="72">
        <f>'41'!$F$21</f>
        <v>8.5299999999999994</v>
      </c>
      <c r="S44" s="72">
        <f>'41'!$F$22</f>
        <v>21.6</v>
      </c>
      <c r="T44" s="72">
        <f>'41'!$F$23</f>
        <v>6.9</v>
      </c>
      <c r="U44" s="72">
        <f>'41'!$F$24</f>
        <v>11.66</v>
      </c>
      <c r="V44" s="72" t="str">
        <f>'41'!$F$25</f>
        <v/>
      </c>
      <c r="W44" s="72" t="str">
        <f>'41'!$F$26</f>
        <v/>
      </c>
      <c r="X44" s="72">
        <f>'41'!$F$27</f>
        <v>6.31</v>
      </c>
      <c r="Y44" s="72">
        <f>'41'!$F$28</f>
        <v>5.03</v>
      </c>
      <c r="Z44" s="72">
        <f>'41'!$F$29</f>
        <v>5.09</v>
      </c>
      <c r="AA44" s="72">
        <f>'41'!$F$30</f>
        <v>9.3800000000000008</v>
      </c>
      <c r="AB44" s="72" t="str">
        <f>'41'!$F$31</f>
        <v/>
      </c>
      <c r="AC44" s="72" t="str">
        <f>'41'!$F$32</f>
        <v/>
      </c>
      <c r="AD44" s="93">
        <f>'41'!$F$33</f>
        <v>7.38</v>
      </c>
    </row>
    <row r="45" spans="1:30" x14ac:dyDescent="0.2">
      <c r="A45" s="92" t="s">
        <v>1051</v>
      </c>
      <c r="B45" s="72">
        <f>'42'!$F$5</f>
        <v>6.59</v>
      </c>
      <c r="C45" s="72">
        <f>'42'!$F$6</f>
        <v>3.82</v>
      </c>
      <c r="D45" s="72">
        <f>'42'!$F$7</f>
        <v>4.92</v>
      </c>
      <c r="E45" s="72">
        <f>'42'!$F$8</f>
        <v>4.53</v>
      </c>
      <c r="F45" s="72" t="str">
        <f>'42'!$F$9</f>
        <v/>
      </c>
      <c r="G45" s="72">
        <f>'42'!$F$10</f>
        <v>5.51</v>
      </c>
      <c r="H45" s="72">
        <f>'42'!$F$11</f>
        <v>7.89</v>
      </c>
      <c r="I45" s="72">
        <f>'42'!$F$12</f>
        <v>4.1100000000000003</v>
      </c>
      <c r="J45" s="72">
        <f>'42'!$F$13</f>
        <v>4.21</v>
      </c>
      <c r="K45" s="72">
        <f>'42'!$F$14</f>
        <v>2.72</v>
      </c>
      <c r="L45" s="72">
        <f>'42'!$F$15</f>
        <v>3.05</v>
      </c>
      <c r="M45" s="72">
        <f>'42'!$F$16</f>
        <v>3.93</v>
      </c>
      <c r="N45" s="72">
        <f>'42'!$F$17</f>
        <v>5.31</v>
      </c>
      <c r="O45" s="72">
        <f>'42'!$F$18</f>
        <v>8.1</v>
      </c>
      <c r="P45" s="72" t="str">
        <f>'42'!$F$19</f>
        <v/>
      </c>
      <c r="Q45" s="72">
        <f>'42'!$F$20</f>
        <v>5.03</v>
      </c>
      <c r="R45" s="72" t="str">
        <f>'42'!$F$21</f>
        <v/>
      </c>
      <c r="S45" s="72">
        <f>'42'!$F$22</f>
        <v>4.0599999999999996</v>
      </c>
      <c r="T45" s="72">
        <f>'42'!$F$23</f>
        <v>3.96</v>
      </c>
      <c r="U45" s="72">
        <f>'42'!$F$24</f>
        <v>4.54</v>
      </c>
      <c r="V45" s="72">
        <f>'42'!$F$25</f>
        <v>5.8</v>
      </c>
      <c r="W45" s="72">
        <f>'42'!$F$26</f>
        <v>5.12</v>
      </c>
      <c r="X45" s="72">
        <f>'42'!$F$27</f>
        <v>4.84</v>
      </c>
      <c r="Y45" s="72">
        <f>'42'!$F$28</f>
        <v>3.51</v>
      </c>
      <c r="Z45" s="72">
        <f>'42'!$F$29</f>
        <v>4.01</v>
      </c>
      <c r="AA45" s="72">
        <f>'42'!$F$30</f>
        <v>5.0599999999999996</v>
      </c>
      <c r="AB45" s="72" t="str">
        <f>'42'!$F$31</f>
        <v/>
      </c>
      <c r="AC45" s="72" t="str">
        <f>'42'!$F$32</f>
        <v/>
      </c>
      <c r="AD45" s="93">
        <f>'42'!$F$33</f>
        <v>4.51</v>
      </c>
    </row>
    <row r="46" spans="1:30" x14ac:dyDescent="0.2">
      <c r="A46" s="92" t="s">
        <v>1052</v>
      </c>
      <c r="B46" s="72" t="str">
        <f>'43'!$F$5</f>
        <v/>
      </c>
      <c r="C46" s="72">
        <f>'43'!$F$6</f>
        <v>8.1300000000000008</v>
      </c>
      <c r="D46" s="72">
        <f>'43'!$F$7</f>
        <v>8.27</v>
      </c>
      <c r="E46" s="72">
        <f>'43'!$F$8</f>
        <v>9.5500000000000007</v>
      </c>
      <c r="F46" s="72" t="str">
        <f>'43'!$F$9</f>
        <v/>
      </c>
      <c r="G46" s="72">
        <f>'43'!$F$10</f>
        <v>11.78</v>
      </c>
      <c r="H46" s="72">
        <f>'43'!$F$11</f>
        <v>7.87</v>
      </c>
      <c r="I46" s="72">
        <f>'43'!$F$12</f>
        <v>9.4600000000000009</v>
      </c>
      <c r="J46" s="72">
        <f>'43'!$F$13</f>
        <v>5.42</v>
      </c>
      <c r="K46" s="72">
        <f>'43'!$F$14</f>
        <v>29.67</v>
      </c>
      <c r="L46" s="72">
        <f>'43'!$F$15</f>
        <v>10.54</v>
      </c>
      <c r="M46" s="72">
        <f>'43'!$F$16</f>
        <v>6.78</v>
      </c>
      <c r="N46" s="72">
        <f>'43'!$F$17</f>
        <v>7.23</v>
      </c>
      <c r="O46" s="72">
        <f>'43'!$F$18</f>
        <v>10.56</v>
      </c>
      <c r="P46" s="72" t="str">
        <f>'43'!$F$19</f>
        <v/>
      </c>
      <c r="Q46" s="72">
        <f>'43'!$F$20</f>
        <v>11.1</v>
      </c>
      <c r="R46" s="72">
        <f>'43'!$F$21</f>
        <v>12.79</v>
      </c>
      <c r="S46" s="72">
        <f>'43'!$F$22</f>
        <v>5.52</v>
      </c>
      <c r="T46" s="72">
        <f>'43'!$F$23</f>
        <v>7.19</v>
      </c>
      <c r="U46" s="72">
        <f>'43'!$F$24</f>
        <v>5.96</v>
      </c>
      <c r="V46" s="72">
        <f>'43'!$F$25</f>
        <v>12.24</v>
      </c>
      <c r="W46" s="72">
        <f>'43'!$F$26</f>
        <v>13.51</v>
      </c>
      <c r="X46" s="72">
        <f>'43'!$F$27</f>
        <v>13.21</v>
      </c>
      <c r="Y46" s="72">
        <f>'43'!$F$28</f>
        <v>6.41</v>
      </c>
      <c r="Z46" s="72">
        <f>'43'!$F$29</f>
        <v>6.93</v>
      </c>
      <c r="AA46" s="72">
        <f>'43'!$F$30</f>
        <v>8.82</v>
      </c>
      <c r="AB46" s="72" t="str">
        <f>'43'!$F$31</f>
        <v/>
      </c>
      <c r="AC46" s="72" t="str">
        <f>'43'!$F$32</f>
        <v/>
      </c>
      <c r="AD46" s="93">
        <f>'43'!$F$33</f>
        <v>7.84</v>
      </c>
    </row>
    <row r="47" spans="1:30" x14ac:dyDescent="0.2">
      <c r="A47" s="92" t="s">
        <v>1063</v>
      </c>
      <c r="B47" s="72">
        <f>'44'!$F$5</f>
        <v>6.55</v>
      </c>
      <c r="C47" s="72">
        <f>'44'!$F$6</f>
        <v>4.49</v>
      </c>
      <c r="D47" s="72">
        <f>'44'!$F$7</f>
        <v>4.68</v>
      </c>
      <c r="E47" s="72">
        <f>'44'!$F$8</f>
        <v>7.8</v>
      </c>
      <c r="F47" s="72" t="str">
        <f>'44'!$F$9</f>
        <v/>
      </c>
      <c r="G47" s="72">
        <f>'44'!$F$10</f>
        <v>8.9</v>
      </c>
      <c r="H47" s="72">
        <f>'44'!$F$11</f>
        <v>3.04</v>
      </c>
      <c r="I47" s="72">
        <f>'44'!$F$12</f>
        <v>5.52</v>
      </c>
      <c r="J47" s="72">
        <f>'44'!$F$13</f>
        <v>3.74</v>
      </c>
      <c r="K47" s="72" t="str">
        <f>'44'!$F$14</f>
        <v/>
      </c>
      <c r="L47" s="72">
        <f>'44'!$F$15</f>
        <v>4.04</v>
      </c>
      <c r="M47" s="72">
        <f>'44'!$F$16</f>
        <v>5.21</v>
      </c>
      <c r="N47" s="72">
        <f>'44'!$F$17</f>
        <v>4.51</v>
      </c>
      <c r="O47" s="72">
        <f>'44'!$F$18</f>
        <v>6.49</v>
      </c>
      <c r="P47" s="72" t="str">
        <f>'44'!$F$19</f>
        <v/>
      </c>
      <c r="Q47" s="72">
        <f>'44'!$F$20</f>
        <v>4.42</v>
      </c>
      <c r="R47" s="72" t="str">
        <f>'44'!$F$21</f>
        <v/>
      </c>
      <c r="S47" s="72">
        <f>'44'!$F$22</f>
        <v>4.68</v>
      </c>
      <c r="T47" s="72">
        <f>'44'!$F$23</f>
        <v>5.63</v>
      </c>
      <c r="U47" s="72">
        <f>'44'!$F$24</f>
        <v>5.24</v>
      </c>
      <c r="V47" s="72" t="str">
        <f>'44'!$F$25</f>
        <v/>
      </c>
      <c r="W47" s="72" t="str">
        <f>'44'!$F$26</f>
        <v/>
      </c>
      <c r="X47" s="72">
        <f>'44'!$F$27</f>
        <v>5.96</v>
      </c>
      <c r="Y47" s="72">
        <f>'44'!$F$28</f>
        <v>4.37</v>
      </c>
      <c r="Z47" s="72">
        <f>'44'!$F$29</f>
        <v>4.7699999999999996</v>
      </c>
      <c r="AA47" s="72">
        <f>'44'!$F$30</f>
        <v>6.02</v>
      </c>
      <c r="AB47" s="72" t="str">
        <f>'44'!$F$31</f>
        <v/>
      </c>
      <c r="AC47" s="72" t="str">
        <f>'44'!$F$32</f>
        <v/>
      </c>
      <c r="AD47" s="93">
        <f>'44'!$F$33</f>
        <v>4.92</v>
      </c>
    </row>
    <row r="48" spans="1:30" x14ac:dyDescent="0.2">
      <c r="A48" s="92" t="s">
        <v>1028</v>
      </c>
      <c r="B48" s="72">
        <f>'45'!$F$5</f>
        <v>4.59</v>
      </c>
      <c r="C48" s="72">
        <f>'45'!$F$6</f>
        <v>9.4600000000000009</v>
      </c>
      <c r="D48" s="72">
        <f>'45'!$F$7</f>
        <v>5.79</v>
      </c>
      <c r="E48" s="72">
        <f>'45'!$F$8</f>
        <v>5.95</v>
      </c>
      <c r="F48" s="72" t="str">
        <f>'45'!$F$9</f>
        <v/>
      </c>
      <c r="G48" s="72">
        <f>'45'!$F$10</f>
        <v>9.2799999999999994</v>
      </c>
      <c r="H48" s="72">
        <f>'45'!$F$11</f>
        <v>4.95</v>
      </c>
      <c r="I48" s="72">
        <f>'45'!$F$12</f>
        <v>4.3600000000000003</v>
      </c>
      <c r="J48" s="72">
        <f>'45'!$F$13</f>
        <v>5.24</v>
      </c>
      <c r="K48" s="72">
        <f>'45'!$F$14</f>
        <v>4.43</v>
      </c>
      <c r="L48" s="72">
        <f>'45'!$F$15</f>
        <v>4.91</v>
      </c>
      <c r="M48" s="72">
        <f>'45'!$F$16</f>
        <v>4.96</v>
      </c>
      <c r="N48" s="72">
        <f>'45'!$F$17</f>
        <v>6.24</v>
      </c>
      <c r="O48" s="72">
        <f>'45'!$F$18</f>
        <v>10.02</v>
      </c>
      <c r="P48" s="72">
        <f>'45'!$F$19</f>
        <v>14.33</v>
      </c>
      <c r="Q48" s="72">
        <f>'45'!$F$20</f>
        <v>5.07</v>
      </c>
      <c r="R48" s="72">
        <f>'45'!$F$21</f>
        <v>8.4</v>
      </c>
      <c r="S48" s="72">
        <f>'45'!$F$22</f>
        <v>12.36</v>
      </c>
      <c r="T48" s="72">
        <f>'45'!$F$23</f>
        <v>5.01</v>
      </c>
      <c r="U48" s="72">
        <f>'45'!$F$24</f>
        <v>18.66</v>
      </c>
      <c r="V48" s="72">
        <f>'45'!$F$25</f>
        <v>21.1</v>
      </c>
      <c r="W48" s="72">
        <f>'45'!$F$26</f>
        <v>2.98</v>
      </c>
      <c r="X48" s="72">
        <f>'45'!$F$27</f>
        <v>7.53</v>
      </c>
      <c r="Y48" s="72">
        <f>'45'!$F$28</f>
        <v>4.2</v>
      </c>
      <c r="Z48" s="72">
        <f>'45'!$F$29</f>
        <v>5.0599999999999996</v>
      </c>
      <c r="AA48" s="72">
        <f>'45'!$F$30</f>
        <v>7.56</v>
      </c>
      <c r="AB48" s="72" t="str">
        <f>'45'!$F$31</f>
        <v/>
      </c>
      <c r="AC48" s="72" t="str">
        <f>'45'!$F$32</f>
        <v/>
      </c>
      <c r="AD48" s="93">
        <f>'45'!$F$33</f>
        <v>5.97</v>
      </c>
    </row>
    <row r="49" spans="1:30" x14ac:dyDescent="0.2">
      <c r="A49" s="92" t="s">
        <v>1053</v>
      </c>
      <c r="B49" s="72">
        <f>'46'!$F$5</f>
        <v>6.21</v>
      </c>
      <c r="C49" s="72">
        <f>'46'!$F$6</f>
        <v>6.52</v>
      </c>
      <c r="D49" s="72">
        <f>'46'!$F$7</f>
        <v>4.33</v>
      </c>
      <c r="E49" s="72">
        <f>'46'!$F$8</f>
        <v>5.16</v>
      </c>
      <c r="F49" s="72" t="str">
        <f>'46'!$F$9</f>
        <v/>
      </c>
      <c r="G49" s="72">
        <f>'46'!$F$10</f>
        <v>8.49</v>
      </c>
      <c r="H49" s="72">
        <f>'46'!$F$11</f>
        <v>5.74</v>
      </c>
      <c r="I49" s="72" t="str">
        <f>'46'!$F$12</f>
        <v/>
      </c>
      <c r="J49" s="72">
        <f>'46'!$F$13</f>
        <v>4.84</v>
      </c>
      <c r="K49" s="72" t="str">
        <f>'46'!$F$14</f>
        <v/>
      </c>
      <c r="L49" s="72">
        <f>'46'!$F$15</f>
        <v>4.9800000000000004</v>
      </c>
      <c r="M49" s="72">
        <f>'46'!$F$16</f>
        <v>5.0999999999999996</v>
      </c>
      <c r="N49" s="72">
        <f>'46'!$F$17</f>
        <v>5.43</v>
      </c>
      <c r="O49" s="72">
        <f>'46'!$F$18</f>
        <v>5.3</v>
      </c>
      <c r="P49" s="72" t="str">
        <f>'46'!$F$19</f>
        <v/>
      </c>
      <c r="Q49" s="72">
        <f>'46'!$F$20</f>
        <v>3.6</v>
      </c>
      <c r="R49" s="72" t="str">
        <f>'46'!$F$21</f>
        <v/>
      </c>
      <c r="S49" s="72">
        <f>'46'!$F$22</f>
        <v>6.73</v>
      </c>
      <c r="T49" s="72">
        <f>'46'!$F$23</f>
        <v>5.32</v>
      </c>
      <c r="U49" s="72">
        <f>'46'!$F$24</f>
        <v>11.27</v>
      </c>
      <c r="V49" s="72" t="str">
        <f>'46'!$F$25</f>
        <v/>
      </c>
      <c r="W49" s="72">
        <f>'46'!$F$26</f>
        <v>2.82</v>
      </c>
      <c r="X49" s="72">
        <f>'46'!$F$27</f>
        <v>5.69</v>
      </c>
      <c r="Y49" s="72">
        <f>'46'!$F$28</f>
        <v>4.97</v>
      </c>
      <c r="Z49" s="72">
        <f>'46'!$F$29</f>
        <v>4.3600000000000003</v>
      </c>
      <c r="AA49" s="72">
        <f>'46'!$F$30</f>
        <v>6.47</v>
      </c>
      <c r="AB49" s="72" t="str">
        <f>'46'!$F$31</f>
        <v/>
      </c>
      <c r="AC49" s="72" t="str">
        <f>'46'!$F$32</f>
        <v/>
      </c>
      <c r="AD49" s="93">
        <f>'46'!$F$33</f>
        <v>5.19</v>
      </c>
    </row>
    <row r="50" spans="1:30" x14ac:dyDescent="0.2">
      <c r="A50" s="92" t="s">
        <v>1054</v>
      </c>
      <c r="B50" s="72">
        <f>'47'!$F$5</f>
        <v>6.26</v>
      </c>
      <c r="C50" s="72">
        <f>'47'!$F$6</f>
        <v>6.33</v>
      </c>
      <c r="D50" s="72">
        <f>'47'!$F$7</f>
        <v>6.26</v>
      </c>
      <c r="E50" s="72">
        <f>'47'!$F$8</f>
        <v>5.48</v>
      </c>
      <c r="F50" s="72" t="str">
        <f>'47'!$F$9</f>
        <v/>
      </c>
      <c r="G50" s="72" t="str">
        <f>'47'!$F$10</f>
        <v/>
      </c>
      <c r="H50" s="72">
        <f>'47'!$F$11</f>
        <v>7.14</v>
      </c>
      <c r="I50" s="72">
        <f>'47'!$F$12</f>
        <v>7.16</v>
      </c>
      <c r="J50" s="72">
        <f>'47'!$F$13</f>
        <v>3.99</v>
      </c>
      <c r="K50" s="72" t="str">
        <f>'47'!$F$14</f>
        <v/>
      </c>
      <c r="L50" s="72">
        <f>'47'!$F$15</f>
        <v>4.96</v>
      </c>
      <c r="M50" s="72">
        <f>'47'!$F$16</f>
        <v>6</v>
      </c>
      <c r="N50" s="72">
        <f>'47'!$F$17</f>
        <v>6.91</v>
      </c>
      <c r="O50" s="72">
        <f>'47'!$F$18</f>
        <v>13.07</v>
      </c>
      <c r="P50" s="72" t="str">
        <f>'47'!$F$19</f>
        <v/>
      </c>
      <c r="Q50" s="72">
        <f>'47'!$F$20</f>
        <v>4.8899999999999997</v>
      </c>
      <c r="R50" s="72">
        <f>'47'!$F$21</f>
        <v>8.5500000000000007</v>
      </c>
      <c r="S50" s="72">
        <f>'47'!$F$22</f>
        <v>6.27</v>
      </c>
      <c r="T50" s="72">
        <f>'47'!$F$23</f>
        <v>5.46</v>
      </c>
      <c r="U50" s="72">
        <f>'47'!$F$24</f>
        <v>7.16</v>
      </c>
      <c r="V50" s="72">
        <f>'47'!$F$25</f>
        <v>3.25</v>
      </c>
      <c r="W50" s="72">
        <f>'47'!$F$26</f>
        <v>6.12</v>
      </c>
      <c r="X50" s="72">
        <f>'47'!$F$27</f>
        <v>6.73</v>
      </c>
      <c r="Y50" s="72">
        <f>'47'!$F$28</f>
        <v>5.66</v>
      </c>
      <c r="Z50" s="72">
        <f>'47'!$F$29</f>
        <v>5.38</v>
      </c>
      <c r="AA50" s="72">
        <f>'47'!$F$30</f>
        <v>7.67</v>
      </c>
      <c r="AB50" s="72" t="str">
        <f>'47'!$F$31</f>
        <v/>
      </c>
      <c r="AC50" s="72" t="str">
        <f>'47'!$F$32</f>
        <v/>
      </c>
      <c r="AD50" s="93">
        <f>'47'!$F$33</f>
        <v>6.25</v>
      </c>
    </row>
    <row r="51" spans="1:30" x14ac:dyDescent="0.2">
      <c r="A51" s="92" t="s">
        <v>1055</v>
      </c>
      <c r="B51" s="72">
        <f>'48'!$F$5</f>
        <v>10.5</v>
      </c>
      <c r="C51" s="72">
        <f>'48'!$F$6</f>
        <v>12.27</v>
      </c>
      <c r="D51" s="72">
        <f>'48'!$F$7</f>
        <v>4.8099999999999996</v>
      </c>
      <c r="E51" s="72">
        <f>'48'!$F$8</f>
        <v>7.16</v>
      </c>
      <c r="F51" s="72" t="str">
        <f>'48'!$F$9</f>
        <v/>
      </c>
      <c r="G51" s="72">
        <f>'48'!$F$10</f>
        <v>5.28</v>
      </c>
      <c r="H51" s="72">
        <f>'48'!$F$11</f>
        <v>6.45</v>
      </c>
      <c r="I51" s="72" t="str">
        <f>'48'!$F$12</f>
        <v/>
      </c>
      <c r="J51" s="72">
        <f>'48'!$F$13</f>
        <v>5.51</v>
      </c>
      <c r="K51" s="72" t="str">
        <f>'48'!$F$14</f>
        <v/>
      </c>
      <c r="L51" s="72">
        <f>'48'!$F$15</f>
        <v>13.08</v>
      </c>
      <c r="M51" s="72">
        <f>'48'!$F$16</f>
        <v>5.3</v>
      </c>
      <c r="N51" s="72">
        <f>'48'!$F$17</f>
        <v>5.29</v>
      </c>
      <c r="O51" s="72">
        <f>'48'!$F$18</f>
        <v>1739.21</v>
      </c>
      <c r="P51" s="72" t="str">
        <f>'48'!$F$19</f>
        <v/>
      </c>
      <c r="Q51" s="72">
        <f>'48'!$F$20</f>
        <v>10.26</v>
      </c>
      <c r="R51" s="72">
        <f>'48'!$F$21</f>
        <v>10.79</v>
      </c>
      <c r="S51" s="72">
        <f>'48'!$F$22</f>
        <v>6.11</v>
      </c>
      <c r="T51" s="72">
        <f>'48'!$F$23</f>
        <v>5.48</v>
      </c>
      <c r="U51" s="72">
        <f>'48'!$F$24</f>
        <v>10.8</v>
      </c>
      <c r="V51" s="72">
        <f>'48'!$F$25</f>
        <v>9.83</v>
      </c>
      <c r="W51" s="72">
        <f>'48'!$F$26</f>
        <v>10.8</v>
      </c>
      <c r="X51" s="72">
        <f>'48'!$F$27</f>
        <v>6.61</v>
      </c>
      <c r="Y51" s="72">
        <f>'48'!$F$28</f>
        <v>6.64</v>
      </c>
      <c r="Z51" s="72">
        <f>'48'!$F$29</f>
        <v>4.49</v>
      </c>
      <c r="AA51" s="72">
        <f>'48'!$F$30</f>
        <v>7.62</v>
      </c>
      <c r="AB51" s="72" t="str">
        <f>'48'!$F$31</f>
        <v/>
      </c>
      <c r="AC51" s="72" t="str">
        <f>'48'!$F$32</f>
        <v/>
      </c>
      <c r="AD51" s="93">
        <f>'48'!$F$33</f>
        <v>6.35</v>
      </c>
    </row>
    <row r="52" spans="1:30" x14ac:dyDescent="0.2">
      <c r="A52" s="92" t="s">
        <v>1056</v>
      </c>
      <c r="B52" s="72">
        <f>'49'!$F$5</f>
        <v>7.2</v>
      </c>
      <c r="C52" s="72">
        <f>'49'!$F$6</f>
        <v>8.66</v>
      </c>
      <c r="D52" s="72">
        <f>'49'!$F$7</f>
        <v>6.42</v>
      </c>
      <c r="E52" s="72">
        <f>'49'!$F$8</f>
        <v>7.09</v>
      </c>
      <c r="F52" s="72" t="str">
        <f>'49'!$F$9</f>
        <v/>
      </c>
      <c r="G52" s="72">
        <f>'49'!$F$10</f>
        <v>10.9</v>
      </c>
      <c r="H52" s="72">
        <f>'49'!$F$11</f>
        <v>6.43</v>
      </c>
      <c r="I52" s="72" t="str">
        <f>'49'!$F$12</f>
        <v/>
      </c>
      <c r="J52" s="72">
        <f>'49'!$F$13</f>
        <v>6.39</v>
      </c>
      <c r="K52" s="72" t="str">
        <f>'49'!$F$14</f>
        <v/>
      </c>
      <c r="L52" s="72">
        <f>'49'!$F$15</f>
        <v>6.31</v>
      </c>
      <c r="M52" s="72">
        <f>'49'!$F$16</f>
        <v>6.93</v>
      </c>
      <c r="N52" s="72">
        <f>'49'!$F$17</f>
        <v>7.9</v>
      </c>
      <c r="O52" s="72" t="str">
        <f>'49'!$F$18</f>
        <v/>
      </c>
      <c r="P52" s="72" t="str">
        <f>'49'!$F$19</f>
        <v/>
      </c>
      <c r="Q52" s="72">
        <f>'49'!$F$20</f>
        <v>7.88</v>
      </c>
      <c r="R52" s="72" t="str">
        <f>'49'!$F$21</f>
        <v/>
      </c>
      <c r="S52" s="72">
        <f>'49'!$F$22</f>
        <v>6.63</v>
      </c>
      <c r="T52" s="72">
        <f>'49'!$F$23</f>
        <v>5.93</v>
      </c>
      <c r="U52" s="72">
        <f>'49'!$F$24</f>
        <v>6.61</v>
      </c>
      <c r="V52" s="72" t="str">
        <f>'49'!$F$25</f>
        <v/>
      </c>
      <c r="W52" s="72" t="str">
        <f>'49'!$F$26</f>
        <v/>
      </c>
      <c r="X52" s="72">
        <f>'49'!$F$27</f>
        <v>10.46</v>
      </c>
      <c r="Y52" s="72">
        <f>'49'!$F$28</f>
        <v>6.71</v>
      </c>
      <c r="Z52" s="72">
        <f>'49'!$F$29</f>
        <v>6.31</v>
      </c>
      <c r="AA52" s="72">
        <f>'49'!$F$30</f>
        <v>7.95</v>
      </c>
      <c r="AB52" s="72" t="str">
        <f>'49'!$F$31</f>
        <v/>
      </c>
      <c r="AC52" s="72" t="str">
        <f>'49'!$F$32</f>
        <v/>
      </c>
      <c r="AD52" s="93">
        <f>'49'!$F$33</f>
        <v>6.92</v>
      </c>
    </row>
    <row r="53" spans="1:30" x14ac:dyDescent="0.2">
      <c r="A53" s="92" t="s">
        <v>1064</v>
      </c>
      <c r="B53" s="72">
        <f>'50'!$F$5</f>
        <v>6.7</v>
      </c>
      <c r="C53" s="72">
        <f>'50'!$F$6</f>
        <v>8.02</v>
      </c>
      <c r="D53" s="72">
        <f>'50'!$F$7</f>
        <v>277.43</v>
      </c>
      <c r="E53" s="72">
        <f>'50'!$F$8</f>
        <v>645.70000000000005</v>
      </c>
      <c r="F53" s="72" t="str">
        <f>'50'!$F$9</f>
        <v/>
      </c>
      <c r="G53" s="72" t="str">
        <f>'50'!$F$10</f>
        <v/>
      </c>
      <c r="H53" s="72">
        <f>'50'!$F$11</f>
        <v>588.35</v>
      </c>
      <c r="I53" s="72" t="str">
        <f>'50'!$F$12</f>
        <v/>
      </c>
      <c r="J53" s="72">
        <f>'50'!$F$13</f>
        <v>6.66</v>
      </c>
      <c r="K53" s="72" t="str">
        <f>'50'!$F$14</f>
        <v/>
      </c>
      <c r="L53" s="72">
        <f>'50'!$F$15</f>
        <v>6.98</v>
      </c>
      <c r="M53" s="72">
        <f>'50'!$F$16</f>
        <v>336.75</v>
      </c>
      <c r="N53" s="72">
        <f>'50'!$F$17</f>
        <v>6.13</v>
      </c>
      <c r="O53" s="72">
        <f>'50'!$F$18</f>
        <v>15.03</v>
      </c>
      <c r="P53" s="72">
        <f>'50'!$F$19</f>
        <v>13.8</v>
      </c>
      <c r="Q53" s="72">
        <f>'50'!$F$20</f>
        <v>6.62</v>
      </c>
      <c r="R53" s="72" t="str">
        <f>'50'!$F$21</f>
        <v/>
      </c>
      <c r="S53" s="72">
        <f>'50'!$F$22</f>
        <v>9.84</v>
      </c>
      <c r="T53" s="72">
        <f>'50'!$F$23</f>
        <v>321.61</v>
      </c>
      <c r="U53" s="72">
        <f>'50'!$F$24</f>
        <v>9.31</v>
      </c>
      <c r="V53" s="72" t="str">
        <f>'50'!$F$25</f>
        <v/>
      </c>
      <c r="W53" s="72">
        <f>'50'!$F$26</f>
        <v>5.48</v>
      </c>
      <c r="X53" s="72">
        <f>'50'!$F$27</f>
        <v>5.67</v>
      </c>
      <c r="Y53" s="72">
        <f>'50'!$F$28</f>
        <v>7.66</v>
      </c>
      <c r="Z53" s="72">
        <f>'50'!$F$29</f>
        <v>189.9</v>
      </c>
      <c r="AA53" s="72">
        <f>'50'!$F$30</f>
        <v>9.49</v>
      </c>
      <c r="AB53" s="72" t="str">
        <f>'50'!$F$31</f>
        <v/>
      </c>
      <c r="AC53" s="72" t="str">
        <f>'50'!$F$32</f>
        <v/>
      </c>
      <c r="AD53" s="93">
        <f>'50'!$F$33</f>
        <v>219.05</v>
      </c>
    </row>
    <row r="54" spans="1:30" x14ac:dyDescent="0.2">
      <c r="A54" s="90" t="s">
        <v>937</v>
      </c>
      <c r="B54" s="72">
        <f>'51'!$F$5</f>
        <v>6.95</v>
      </c>
      <c r="C54" s="72">
        <f>'51'!$F$6</f>
        <v>7.54</v>
      </c>
      <c r="D54" s="72">
        <f>'51'!$F$7</f>
        <v>5.39</v>
      </c>
      <c r="E54" s="72">
        <f>'51'!$F$8</f>
        <v>6.1</v>
      </c>
      <c r="F54" s="72" t="str">
        <f>'51'!$F$9</f>
        <v/>
      </c>
      <c r="G54" s="72">
        <f>'51'!$F$10</f>
        <v>8.2100000000000009</v>
      </c>
      <c r="H54" s="72">
        <f>'51'!$F$11</f>
        <v>9.48</v>
      </c>
      <c r="I54" s="72">
        <f>'51'!$F$12</f>
        <v>8.0299999999999994</v>
      </c>
      <c r="J54" s="72">
        <f>'51'!$F$13</f>
        <v>7.71</v>
      </c>
      <c r="K54" s="72" t="str">
        <f>'51'!$F$14</f>
        <v/>
      </c>
      <c r="L54" s="72">
        <f>'51'!$F$15</f>
        <v>6.72</v>
      </c>
      <c r="M54" s="72">
        <f>'51'!$F$16</f>
        <v>5.32</v>
      </c>
      <c r="N54" s="72">
        <f>'51'!$F$17</f>
        <v>5.47</v>
      </c>
      <c r="O54" s="72">
        <f>'51'!$F$18</f>
        <v>9.5</v>
      </c>
      <c r="P54" s="72">
        <f>'51'!$F$19</f>
        <v>11.72</v>
      </c>
      <c r="Q54" s="72">
        <f>'51'!$F$20</f>
        <v>7.93</v>
      </c>
      <c r="R54" s="72" t="str">
        <f>'51'!$F$21</f>
        <v/>
      </c>
      <c r="S54" s="72" t="str">
        <f>'51'!$F$22</f>
        <v/>
      </c>
      <c r="T54" s="72">
        <f>'51'!$F$23</f>
        <v>4.37</v>
      </c>
      <c r="U54" s="72">
        <f>'51'!$F$24</f>
        <v>9.2200000000000006</v>
      </c>
      <c r="V54" s="72">
        <f>'51'!$F$25</f>
        <v>9.15</v>
      </c>
      <c r="W54" s="72">
        <f>'51'!$F$26</f>
        <v>7.42</v>
      </c>
      <c r="X54" s="72" t="str">
        <f>'51'!$F$27</f>
        <v/>
      </c>
      <c r="Y54" s="72">
        <f>'51'!$F$28</f>
        <v>4.8899999999999997</v>
      </c>
      <c r="Z54" s="72">
        <f>'51'!$F$29</f>
        <v>4.33</v>
      </c>
      <c r="AA54" s="72">
        <f>'51'!$F$30</f>
        <v>6.07</v>
      </c>
      <c r="AB54" s="72" t="str">
        <f>'51'!$F$31</f>
        <v/>
      </c>
      <c r="AC54" s="72" t="str">
        <f>'51'!$F$32</f>
        <v/>
      </c>
      <c r="AD54" s="93">
        <f>'51'!$F$33</f>
        <v>6.34</v>
      </c>
    </row>
    <row r="55" spans="1:30" x14ac:dyDescent="0.2">
      <c r="A55" s="90" t="s">
        <v>938</v>
      </c>
      <c r="B55" s="72">
        <f>'52'!$F$5</f>
        <v>6.93</v>
      </c>
      <c r="C55" s="72">
        <f>'52'!$F$6</f>
        <v>9.3800000000000008</v>
      </c>
      <c r="D55" s="72">
        <f>'52'!$F$7</f>
        <v>10.36</v>
      </c>
      <c r="E55" s="72">
        <f>'52'!$F$8</f>
        <v>6.66</v>
      </c>
      <c r="F55" s="72" t="str">
        <f>'52'!$F$9</f>
        <v/>
      </c>
      <c r="G55" s="72" t="str">
        <f>'52'!$F$10</f>
        <v/>
      </c>
      <c r="H55" s="72">
        <f>'52'!$F$11</f>
        <v>6.65</v>
      </c>
      <c r="I55" s="72">
        <f>'52'!$F$12</f>
        <v>7</v>
      </c>
      <c r="J55" s="72" t="str">
        <f>'52'!$F$13</f>
        <v/>
      </c>
      <c r="K55" s="72" t="str">
        <f>'52'!$F$14</f>
        <v/>
      </c>
      <c r="L55" s="72">
        <f>'52'!$F$15</f>
        <v>8.43</v>
      </c>
      <c r="M55" s="72">
        <f>'52'!$F$16</f>
        <v>6.65</v>
      </c>
      <c r="N55" s="72" t="str">
        <f>'52'!$F$17</f>
        <v/>
      </c>
      <c r="O55" s="72" t="str">
        <f>'52'!$F$18</f>
        <v/>
      </c>
      <c r="P55" s="72" t="str">
        <f>'52'!$F$19</f>
        <v/>
      </c>
      <c r="Q55" s="72">
        <f>'52'!$F$20</f>
        <v>10.8</v>
      </c>
      <c r="R55" s="72" t="str">
        <f>'52'!$F$21</f>
        <v/>
      </c>
      <c r="S55" s="72" t="str">
        <f>'52'!$F$22</f>
        <v/>
      </c>
      <c r="T55" s="72">
        <f>'52'!$F$23</f>
        <v>6.34</v>
      </c>
      <c r="U55" s="72">
        <f>'52'!$F$24</f>
        <v>7.85</v>
      </c>
      <c r="V55" s="72">
        <f>'52'!$F$25</f>
        <v>10.53</v>
      </c>
      <c r="W55" s="72">
        <f>'52'!$F$26</f>
        <v>8.3699999999999992</v>
      </c>
      <c r="X55" s="72" t="str">
        <f>'52'!$F$27</f>
        <v/>
      </c>
      <c r="Y55" s="72">
        <f>'52'!$F$28</f>
        <v>9.11</v>
      </c>
      <c r="Z55" s="72">
        <f>'52'!$F$29</f>
        <v>7.92</v>
      </c>
      <c r="AA55" s="72" t="str">
        <f>'52'!$F$30</f>
        <v/>
      </c>
      <c r="AB55" s="72" t="str">
        <f>'52'!$F$31</f>
        <v/>
      </c>
      <c r="AC55" s="72" t="str">
        <f>'52'!$F$32</f>
        <v/>
      </c>
      <c r="AD55" s="93">
        <f>'52'!$F$33</f>
        <v>8.0399999999999991</v>
      </c>
    </row>
    <row r="56" spans="1:30" x14ac:dyDescent="0.2">
      <c r="A56" s="90" t="s">
        <v>939</v>
      </c>
      <c r="B56" s="72">
        <f>'53'!$F$5</f>
        <v>7.69</v>
      </c>
      <c r="C56" s="72">
        <f>'53'!$F$6</f>
        <v>8.81</v>
      </c>
      <c r="D56" s="72">
        <f>'53'!$F$7</f>
        <v>6.41</v>
      </c>
      <c r="E56" s="72">
        <f>'53'!$F$8</f>
        <v>6.72</v>
      </c>
      <c r="F56" s="72" t="str">
        <f>'53'!$F$9</f>
        <v/>
      </c>
      <c r="G56" s="72">
        <f>'53'!$F$10</f>
        <v>8.27</v>
      </c>
      <c r="H56" s="72">
        <f>'53'!$F$11</f>
        <v>5.77</v>
      </c>
      <c r="I56" s="72">
        <f>'53'!$F$12</f>
        <v>7.52</v>
      </c>
      <c r="J56" s="72" t="str">
        <f>'53'!$F$13</f>
        <v/>
      </c>
      <c r="K56" s="72" t="str">
        <f>'53'!$F$14</f>
        <v/>
      </c>
      <c r="L56" s="72">
        <f>'53'!$F$15</f>
        <v>9.4700000000000006</v>
      </c>
      <c r="M56" s="72">
        <f>'53'!$F$16</f>
        <v>6.66</v>
      </c>
      <c r="N56" s="72">
        <f>'53'!$F$17</f>
        <v>5.7</v>
      </c>
      <c r="O56" s="72">
        <f>'53'!$F$18</f>
        <v>7.41</v>
      </c>
      <c r="P56" s="72" t="str">
        <f>'53'!$F$19</f>
        <v/>
      </c>
      <c r="Q56" s="72">
        <f>'53'!$F$20</f>
        <v>5.68</v>
      </c>
      <c r="R56" s="72" t="str">
        <f>'53'!$F$21</f>
        <v/>
      </c>
      <c r="S56" s="72">
        <f>'53'!$F$22</f>
        <v>6.92</v>
      </c>
      <c r="T56" s="72">
        <f>'53'!$F$23</f>
        <v>5.49</v>
      </c>
      <c r="U56" s="72">
        <f>'53'!$F$24</f>
        <v>6.36</v>
      </c>
      <c r="V56" s="72">
        <f>'53'!$F$25</f>
        <v>6.47</v>
      </c>
      <c r="W56" s="72">
        <f>'53'!$F$26</f>
        <v>8.15</v>
      </c>
      <c r="X56" s="72" t="str">
        <f>'53'!$F$27</f>
        <v/>
      </c>
      <c r="Y56" s="72">
        <f>'53'!$F$28</f>
        <v>5</v>
      </c>
      <c r="Z56" s="72">
        <f>'53'!$F$29</f>
        <v>6.6</v>
      </c>
      <c r="AA56" s="72" t="str">
        <f>'53'!$F$30</f>
        <v/>
      </c>
      <c r="AB56" s="72" t="str">
        <f>'53'!$F$31</f>
        <v/>
      </c>
      <c r="AC56" s="72" t="str">
        <f>'53'!$F$32</f>
        <v/>
      </c>
      <c r="AD56" s="93">
        <f>'53'!$F$33</f>
        <v>6.76</v>
      </c>
    </row>
    <row r="57" spans="1:30" x14ac:dyDescent="0.2">
      <c r="A57" s="90" t="s">
        <v>940</v>
      </c>
      <c r="B57" s="72">
        <f>'54'!$F$5</f>
        <v>6.33</v>
      </c>
      <c r="C57" s="72">
        <f>'54'!$F$6</f>
        <v>5.16</v>
      </c>
      <c r="D57" s="72">
        <f>'54'!$F$7</f>
        <v>6.96</v>
      </c>
      <c r="E57" s="72">
        <f>'54'!$F$8</f>
        <v>4.5999999999999996</v>
      </c>
      <c r="F57" s="72">
        <f>'54'!$F$9</f>
        <v>14.28</v>
      </c>
      <c r="G57" s="72">
        <f>'54'!$F$10</f>
        <v>10.8</v>
      </c>
      <c r="H57" s="72">
        <f>'54'!$F$11</f>
        <v>5.53</v>
      </c>
      <c r="I57" s="72">
        <f>'54'!$F$12</f>
        <v>6.21</v>
      </c>
      <c r="J57" s="72">
        <f>'54'!$F$13</f>
        <v>7.28</v>
      </c>
      <c r="K57" s="72">
        <f>'54'!$F$14</f>
        <v>12.93</v>
      </c>
      <c r="L57" s="72">
        <f>'54'!$F$15</f>
        <v>7.57</v>
      </c>
      <c r="M57" s="72">
        <f>'54'!$F$16</f>
        <v>5.23</v>
      </c>
      <c r="N57" s="72" t="str">
        <f>'54'!$F$17</f>
        <v/>
      </c>
      <c r="O57" s="72">
        <f>'54'!$F$18</f>
        <v>5.29</v>
      </c>
      <c r="P57" s="72">
        <f>'54'!$F$19</f>
        <v>6.04</v>
      </c>
      <c r="Q57" s="72">
        <f>'54'!$F$20</f>
        <v>4.45</v>
      </c>
      <c r="R57" s="72" t="str">
        <f>'54'!$F$21</f>
        <v/>
      </c>
      <c r="S57" s="72" t="str">
        <f>'54'!$F$22</f>
        <v/>
      </c>
      <c r="T57" s="72">
        <f>'54'!$F$23</f>
        <v>5.12</v>
      </c>
      <c r="U57" s="72">
        <f>'54'!$F$24</f>
        <v>5.66</v>
      </c>
      <c r="V57" s="72">
        <f>'54'!$F$25</f>
        <v>7.22</v>
      </c>
      <c r="W57" s="72">
        <f>'54'!$F$26</f>
        <v>5.68</v>
      </c>
      <c r="X57" s="72" t="str">
        <f>'54'!$F$27</f>
        <v/>
      </c>
      <c r="Y57" s="72">
        <f>'54'!$F$28</f>
        <v>4.0999999999999996</v>
      </c>
      <c r="Z57" s="72">
        <f>'54'!$F$29</f>
        <v>6.05</v>
      </c>
      <c r="AA57" s="72">
        <f>'54'!$F$30</f>
        <v>5.79</v>
      </c>
      <c r="AB57" s="72" t="str">
        <f>'54'!$F$31</f>
        <v/>
      </c>
      <c r="AC57" s="72" t="str">
        <f>'54'!$F$32</f>
        <v/>
      </c>
      <c r="AD57" s="93">
        <f>'54'!$F$33</f>
        <v>6.18</v>
      </c>
    </row>
    <row r="58" spans="1:30" x14ac:dyDescent="0.2">
      <c r="A58" s="90" t="s">
        <v>941</v>
      </c>
      <c r="B58" s="72" t="str">
        <f>'55'!$F$5</f>
        <v/>
      </c>
      <c r="C58" s="72">
        <f>'55'!$F$6</f>
        <v>7.78</v>
      </c>
      <c r="D58" s="72">
        <f>'55'!$F$7</f>
        <v>7.78</v>
      </c>
      <c r="E58" s="72">
        <f>'55'!$F$8</f>
        <v>7.78</v>
      </c>
      <c r="F58" s="72" t="str">
        <f>'55'!$F$9</f>
        <v/>
      </c>
      <c r="G58" s="72" t="str">
        <f>'55'!$F$10</f>
        <v/>
      </c>
      <c r="H58" s="72">
        <f>'55'!$F$11</f>
        <v>7.78</v>
      </c>
      <c r="I58" s="72" t="str">
        <f>'55'!$F$12</f>
        <v/>
      </c>
      <c r="J58" s="72">
        <f>'55'!$F$13</f>
        <v>7.78</v>
      </c>
      <c r="K58" s="72" t="str">
        <f>'55'!$F$14</f>
        <v/>
      </c>
      <c r="L58" s="72">
        <f>'55'!$F$15</f>
        <v>7.78</v>
      </c>
      <c r="M58" s="72">
        <f>'55'!$F$16</f>
        <v>7.78</v>
      </c>
      <c r="N58" s="72" t="str">
        <f>'55'!$F$17</f>
        <v/>
      </c>
      <c r="O58" s="72">
        <f>'55'!$F$18</f>
        <v>7.78</v>
      </c>
      <c r="P58" s="72">
        <f>'55'!$F$19</f>
        <v>7.78</v>
      </c>
      <c r="Q58" s="72">
        <f>'55'!$F$20</f>
        <v>7.78</v>
      </c>
      <c r="R58" s="72">
        <f>'55'!$F$21</f>
        <v>7.78</v>
      </c>
      <c r="S58" s="72" t="str">
        <f>'55'!$F$22</f>
        <v/>
      </c>
      <c r="T58" s="72">
        <f>'55'!$F$23</f>
        <v>7.78</v>
      </c>
      <c r="U58" s="72">
        <f>'55'!$F$24</f>
        <v>7.78</v>
      </c>
      <c r="V58" s="72">
        <f>'55'!$F$25</f>
        <v>7.78</v>
      </c>
      <c r="W58" s="72">
        <f>'55'!$F$26</f>
        <v>7.78</v>
      </c>
      <c r="X58" s="72" t="str">
        <f>'55'!$F$27</f>
        <v/>
      </c>
      <c r="Y58" s="72">
        <f>'55'!$F$28</f>
        <v>7.78</v>
      </c>
      <c r="Z58" s="72">
        <f>'55'!$F$29</f>
        <v>7.78</v>
      </c>
      <c r="AA58" s="72">
        <f>'55'!$F$30</f>
        <v>7.78</v>
      </c>
      <c r="AB58" s="72" t="str">
        <f>'55'!$F$31</f>
        <v/>
      </c>
      <c r="AC58" s="72" t="str">
        <f>'55'!$F$32</f>
        <v/>
      </c>
      <c r="AD58" s="93">
        <f>'55'!$F$33</f>
        <v>7.78</v>
      </c>
    </row>
    <row r="59" spans="1:30" x14ac:dyDescent="0.2">
      <c r="A59" s="90" t="s">
        <v>942</v>
      </c>
      <c r="B59" s="72" t="str">
        <f>'56'!$F$5</f>
        <v/>
      </c>
      <c r="C59" s="72" t="str">
        <f>'56'!$F$6</f>
        <v/>
      </c>
      <c r="D59" s="72">
        <f>'56'!$F$7</f>
        <v>8.2100000000000009</v>
      </c>
      <c r="E59" s="72">
        <f>'56'!$F$8</f>
        <v>8.2100000000000009</v>
      </c>
      <c r="F59" s="72" t="str">
        <f>'56'!$F$9</f>
        <v/>
      </c>
      <c r="G59" s="72" t="str">
        <f>'56'!$F$10</f>
        <v/>
      </c>
      <c r="H59" s="72">
        <f>'56'!$F$11</f>
        <v>8.2100000000000009</v>
      </c>
      <c r="I59" s="72">
        <f>'56'!$F$12</f>
        <v>8.2100000000000009</v>
      </c>
      <c r="J59" s="72">
        <f>'56'!$F$13</f>
        <v>8.2100000000000009</v>
      </c>
      <c r="K59" s="72" t="str">
        <f>'56'!$F$14</f>
        <v/>
      </c>
      <c r="L59" s="72">
        <f>'56'!$F$15</f>
        <v>8.2100000000000009</v>
      </c>
      <c r="M59" s="72">
        <f>'56'!$F$16</f>
        <v>8.2100000000000009</v>
      </c>
      <c r="N59" s="72">
        <f>'56'!$F$17</f>
        <v>8.2100000000000009</v>
      </c>
      <c r="O59" s="72">
        <f>'56'!$F$18</f>
        <v>8.2100000000000009</v>
      </c>
      <c r="P59" s="72" t="str">
        <f>'56'!$F$19</f>
        <v/>
      </c>
      <c r="Q59" s="72">
        <f>'56'!$F$20</f>
        <v>8.2100000000000009</v>
      </c>
      <c r="R59" s="72" t="str">
        <f>'56'!$F$21</f>
        <v/>
      </c>
      <c r="S59" s="72">
        <f>'56'!$F$22</f>
        <v>8.2100000000000009</v>
      </c>
      <c r="T59" s="72">
        <f>'56'!$F$23</f>
        <v>8.2100000000000009</v>
      </c>
      <c r="U59" s="72">
        <f>'56'!$F$24</f>
        <v>8.2100000000000009</v>
      </c>
      <c r="V59" s="72" t="str">
        <f>'56'!$F$25</f>
        <v/>
      </c>
      <c r="W59" s="72" t="str">
        <f>'56'!$F$26</f>
        <v/>
      </c>
      <c r="X59" s="72">
        <f>'56'!$F$27</f>
        <v>8.2100000000000009</v>
      </c>
      <c r="Y59" s="72">
        <f>'56'!$F$28</f>
        <v>8.2100000000000009</v>
      </c>
      <c r="Z59" s="72">
        <f>'56'!$F$29</f>
        <v>8.2100000000000009</v>
      </c>
      <c r="AA59" s="72">
        <f>'56'!$F$30</f>
        <v>8.2100000000000009</v>
      </c>
      <c r="AB59" s="72" t="str">
        <f>'56'!$F$31</f>
        <v/>
      </c>
      <c r="AC59" s="72" t="str">
        <f>'56'!$F$32</f>
        <v/>
      </c>
      <c r="AD59" s="93">
        <f>'56'!$F$33</f>
        <v>8.2100000000000009</v>
      </c>
    </row>
    <row r="60" spans="1:30" ht="15" thickBot="1" x14ac:dyDescent="0.25">
      <c r="A60" s="71" t="s">
        <v>943</v>
      </c>
      <c r="B60" s="69">
        <f>'57'!$F$5</f>
        <v>6.23</v>
      </c>
      <c r="C60" s="69">
        <f>'57'!$F$6</f>
        <v>6.23</v>
      </c>
      <c r="D60" s="69">
        <f>'57'!$F$7</f>
        <v>6.23</v>
      </c>
      <c r="E60" s="69">
        <f>'57'!$F$8</f>
        <v>6.23</v>
      </c>
      <c r="F60" s="69" t="str">
        <f>'57'!$F$9</f>
        <v/>
      </c>
      <c r="G60" s="69">
        <f>'57'!$F$10</f>
        <v>6.23</v>
      </c>
      <c r="H60" s="69">
        <f>'57'!$F$11</f>
        <v>6.23</v>
      </c>
      <c r="I60" s="69" t="str">
        <f>'57'!$F$12</f>
        <v/>
      </c>
      <c r="J60" s="69">
        <f>'57'!$F$13</f>
        <v>6.23</v>
      </c>
      <c r="K60" s="69" t="str">
        <f>'57'!$F$14</f>
        <v/>
      </c>
      <c r="L60" s="69">
        <f>'57'!$F$15</f>
        <v>6.23</v>
      </c>
      <c r="M60" s="69">
        <f>'57'!$F$16</f>
        <v>6.23</v>
      </c>
      <c r="N60" s="69">
        <f>'57'!$F$17</f>
        <v>6.23</v>
      </c>
      <c r="O60" s="69">
        <f>'57'!$F$18</f>
        <v>6.23</v>
      </c>
      <c r="P60" s="69" t="str">
        <f>'57'!$F$19</f>
        <v/>
      </c>
      <c r="Q60" s="69">
        <f>'57'!$F$20</f>
        <v>6.23</v>
      </c>
      <c r="R60" s="69" t="str">
        <f>'57'!$F$21</f>
        <v/>
      </c>
      <c r="S60" s="69">
        <f>'57'!$F$22</f>
        <v>6.23</v>
      </c>
      <c r="T60" s="69">
        <f>'57'!$F$23</f>
        <v>6.23</v>
      </c>
      <c r="U60" s="69" t="str">
        <f>'57'!$F$24</f>
        <v/>
      </c>
      <c r="V60" s="69" t="str">
        <f>'57'!$F$25</f>
        <v/>
      </c>
      <c r="W60" s="69" t="str">
        <f>'57'!$F$26</f>
        <v/>
      </c>
      <c r="X60" s="69">
        <f>'57'!$F$27</f>
        <v>6.23</v>
      </c>
      <c r="Y60" s="69">
        <f>'57'!$F$28</f>
        <v>6.23</v>
      </c>
      <c r="Z60" s="69">
        <f>'57'!$F$29</f>
        <v>6.23</v>
      </c>
      <c r="AA60" s="69">
        <f>'57'!$F$30</f>
        <v>6.23</v>
      </c>
      <c r="AB60" s="69" t="str">
        <f>'57'!$F$31</f>
        <v/>
      </c>
      <c r="AC60" s="69" t="str">
        <f>'57'!$F$32</f>
        <v/>
      </c>
      <c r="AD60" s="70">
        <f>'57'!$F$33</f>
        <v>6.23</v>
      </c>
    </row>
    <row r="61" spans="1:30" s="66" customFormat="1" x14ac:dyDescent="0.2">
      <c r="A61" s="88" t="s">
        <v>35</v>
      </c>
      <c r="B61" s="118">
        <f>Summary!$F$5</f>
        <v>6.669999999999999</v>
      </c>
      <c r="C61" s="118">
        <f>Summary!$F$6</f>
        <v>6.8299999999999992</v>
      </c>
      <c r="D61" s="118">
        <f>Summary!$F$7</f>
        <v>5.6899999999999995</v>
      </c>
      <c r="E61" s="118">
        <f>Summary!$F$8</f>
        <v>6.129999999999999</v>
      </c>
      <c r="F61" s="118">
        <f>Summary!$F$9</f>
        <v>19.419999999999998</v>
      </c>
      <c r="G61" s="118">
        <f>Summary!$F$10</f>
        <v>9.2100000000000009</v>
      </c>
      <c r="H61" s="118">
        <f>Summary!$F$11</f>
        <v>6.3199999999999994</v>
      </c>
      <c r="I61" s="118">
        <f>Summary!$F$12</f>
        <v>6.42</v>
      </c>
      <c r="J61" s="118">
        <f>Summary!$F$13</f>
        <v>5.1399999999999988</v>
      </c>
      <c r="K61" s="118">
        <f>Summary!$F$14</f>
        <v>9.8299999999999983</v>
      </c>
      <c r="L61" s="118">
        <f>Summary!$F$15</f>
        <v>6.71</v>
      </c>
      <c r="M61" s="118">
        <f>Summary!$F$16</f>
        <v>5.68</v>
      </c>
      <c r="N61" s="118">
        <f>Summary!$F$17</f>
        <v>5.81</v>
      </c>
      <c r="O61" s="118">
        <f>Summary!$F$18</f>
        <v>8.92</v>
      </c>
      <c r="P61" s="118">
        <f>Summary!$F$19</f>
        <v>12.639999999999997</v>
      </c>
      <c r="Q61" s="118">
        <f>Summary!$F$20</f>
        <v>6.26</v>
      </c>
      <c r="R61" s="118">
        <f>Summary!$F$21</f>
        <v>8.7399999999999984</v>
      </c>
      <c r="S61" s="118">
        <f>Summary!$F$22</f>
        <v>6.9999999999999991</v>
      </c>
      <c r="T61" s="118">
        <f>Summary!$F$23</f>
        <v>5.26</v>
      </c>
      <c r="U61" s="118">
        <f>Summary!$F$24</f>
        <v>7.669999999999999</v>
      </c>
      <c r="V61" s="118">
        <f>Summary!$F$25</f>
        <v>7.8199999999999994</v>
      </c>
      <c r="W61" s="118">
        <f>Summary!$F$26</f>
        <v>7.3299999999999992</v>
      </c>
      <c r="X61" s="118">
        <f>Summary!$F$27</f>
        <v>6.879999999999999</v>
      </c>
      <c r="Y61" s="118">
        <f>Summary!$F$28</f>
        <v>5.5799999999999992</v>
      </c>
      <c r="Z61" s="118">
        <f>Summary!$F$29</f>
        <v>5.17</v>
      </c>
      <c r="AA61" s="118">
        <f>Summary!$F$30</f>
        <v>7.35</v>
      </c>
      <c r="AB61" s="118"/>
      <c r="AC61" s="118"/>
      <c r="AD61" s="119">
        <f>Summary!$F$33</f>
        <v>6.09</v>
      </c>
    </row>
    <row r="62" spans="1:30" s="66" customFormat="1" x14ac:dyDescent="0.2">
      <c r="A62" s="95" t="s">
        <v>947</v>
      </c>
      <c r="B62" s="18">
        <f>AVERAGE(B$4:B$60)</f>
        <v>7.8337999999999992</v>
      </c>
      <c r="C62" s="18">
        <f t="shared" ref="C62:AD62" si="0">AVERAGE(C$4:C$60)</f>
        <v>9.708888888888886</v>
      </c>
      <c r="D62" s="18">
        <f t="shared" si="0"/>
        <v>10.873333333333335</v>
      </c>
      <c r="E62" s="18">
        <f t="shared" si="0"/>
        <v>17.723684210526319</v>
      </c>
      <c r="F62" s="18">
        <f t="shared" si="0"/>
        <v>23.055</v>
      </c>
      <c r="G62" s="18">
        <f t="shared" si="0"/>
        <v>11.305581395348835</v>
      </c>
      <c r="H62" s="18">
        <f t="shared" si="0"/>
        <v>17.176491228070176</v>
      </c>
      <c r="I62" s="18">
        <f t="shared" si="0"/>
        <v>9.2251351351351332</v>
      </c>
      <c r="J62" s="18">
        <f t="shared" si="0"/>
        <v>6.009090909090907</v>
      </c>
      <c r="K62" s="18">
        <f t="shared" si="0"/>
        <v>27.394999999999996</v>
      </c>
      <c r="L62" s="18">
        <f t="shared" si="0"/>
        <v>7.3952830188679268</v>
      </c>
      <c r="M62" s="18">
        <f t="shared" si="0"/>
        <v>11.830877192982456</v>
      </c>
      <c r="N62" s="18">
        <f t="shared" si="0"/>
        <v>6.7016666666666671</v>
      </c>
      <c r="O62" s="18">
        <f t="shared" si="0"/>
        <v>44.174200000000013</v>
      </c>
      <c r="P62" s="18">
        <f t="shared" si="0"/>
        <v>13.508666666666668</v>
      </c>
      <c r="Q62" s="18">
        <f t="shared" si="0"/>
        <v>6.8669642857142872</v>
      </c>
      <c r="R62" s="18">
        <f t="shared" si="0"/>
        <v>10.6812</v>
      </c>
      <c r="S62" s="18">
        <f t="shared" si="0"/>
        <v>15.145208333333331</v>
      </c>
      <c r="T62" s="18">
        <f t="shared" si="0"/>
        <v>11.125263157894739</v>
      </c>
      <c r="U62" s="18">
        <f t="shared" si="0"/>
        <v>8.7800000000000029</v>
      </c>
      <c r="V62" s="18">
        <f t="shared" si="0"/>
        <v>9.320277777777779</v>
      </c>
      <c r="W62" s="18">
        <f t="shared" si="0"/>
        <v>49.398999999999987</v>
      </c>
      <c r="X62" s="18">
        <f t="shared" si="0"/>
        <v>7.8352941176470594</v>
      </c>
      <c r="Y62" s="18">
        <f t="shared" si="0"/>
        <v>5.9330909090909092</v>
      </c>
      <c r="Z62" s="18">
        <f t="shared" si="0"/>
        <v>8.7424561403508783</v>
      </c>
      <c r="AA62" s="18">
        <f t="shared" si="0"/>
        <v>7.7385454545454548</v>
      </c>
      <c r="AB62" s="18"/>
      <c r="AC62" s="18"/>
      <c r="AD62" s="21">
        <f t="shared" si="0"/>
        <v>10.169122807017546</v>
      </c>
    </row>
    <row r="63" spans="1:30" s="66" customFormat="1" x14ac:dyDescent="0.2">
      <c r="A63" s="95" t="s">
        <v>948</v>
      </c>
      <c r="B63" s="18">
        <f>MAX(B$4:B$60)</f>
        <v>39.090000000000003</v>
      </c>
      <c r="C63" s="18">
        <f t="shared" ref="C63:AD63" si="1">MAX(C$4:C$60)</f>
        <v>103.98</v>
      </c>
      <c r="D63" s="18">
        <f t="shared" si="1"/>
        <v>277.43</v>
      </c>
      <c r="E63" s="18">
        <f t="shared" si="1"/>
        <v>645.70000000000005</v>
      </c>
      <c r="F63" s="18">
        <f t="shared" si="1"/>
        <v>50.41</v>
      </c>
      <c r="G63" s="18">
        <f t="shared" si="1"/>
        <v>73.650000000000006</v>
      </c>
      <c r="H63" s="18">
        <f t="shared" si="1"/>
        <v>588.35</v>
      </c>
      <c r="I63" s="18">
        <f t="shared" si="1"/>
        <v>71.680000000000007</v>
      </c>
      <c r="J63" s="18">
        <f t="shared" si="1"/>
        <v>21.01</v>
      </c>
      <c r="K63" s="18">
        <f t="shared" si="1"/>
        <v>297.38</v>
      </c>
      <c r="L63" s="18">
        <f t="shared" si="1"/>
        <v>16.850000000000001</v>
      </c>
      <c r="M63" s="18">
        <f t="shared" si="1"/>
        <v>336.75</v>
      </c>
      <c r="N63" s="18">
        <f t="shared" si="1"/>
        <v>29.77</v>
      </c>
      <c r="O63" s="18">
        <f t="shared" si="1"/>
        <v>1739.21</v>
      </c>
      <c r="P63" s="18">
        <f t="shared" si="1"/>
        <v>33.130000000000003</v>
      </c>
      <c r="Q63" s="18">
        <f t="shared" si="1"/>
        <v>11.1</v>
      </c>
      <c r="R63" s="18">
        <f t="shared" si="1"/>
        <v>30.83</v>
      </c>
      <c r="S63" s="18">
        <f t="shared" si="1"/>
        <v>298.49</v>
      </c>
      <c r="T63" s="18">
        <f t="shared" si="1"/>
        <v>321.61</v>
      </c>
      <c r="U63" s="18">
        <f t="shared" si="1"/>
        <v>26.49</v>
      </c>
      <c r="V63" s="18">
        <f t="shared" si="1"/>
        <v>21.1</v>
      </c>
      <c r="W63" s="18">
        <f t="shared" si="1"/>
        <v>921.69</v>
      </c>
      <c r="X63" s="18">
        <f t="shared" si="1"/>
        <v>15.53</v>
      </c>
      <c r="Y63" s="18">
        <f t="shared" si="1"/>
        <v>9.81</v>
      </c>
      <c r="Z63" s="18">
        <f t="shared" si="1"/>
        <v>189.9</v>
      </c>
      <c r="AA63" s="18">
        <f t="shared" si="1"/>
        <v>13.34</v>
      </c>
      <c r="AB63" s="18"/>
      <c r="AC63" s="18"/>
      <c r="AD63" s="21">
        <f t="shared" si="1"/>
        <v>219.05</v>
      </c>
    </row>
    <row r="64" spans="1:30" s="66" customFormat="1" x14ac:dyDescent="0.2">
      <c r="A64" s="95" t="s">
        <v>949</v>
      </c>
      <c r="B64" s="18">
        <f>MIN(B$4:B$60)</f>
        <v>2.94</v>
      </c>
      <c r="C64" s="18">
        <f t="shared" ref="C64:AD64" si="2">MIN(C$4:C$60)</f>
        <v>3.27</v>
      </c>
      <c r="D64" s="18">
        <f t="shared" si="2"/>
        <v>3.47</v>
      </c>
      <c r="E64" s="18">
        <f t="shared" si="2"/>
        <v>3</v>
      </c>
      <c r="F64" s="18">
        <f t="shared" si="2"/>
        <v>7.16</v>
      </c>
      <c r="G64" s="18">
        <f t="shared" si="2"/>
        <v>2.84</v>
      </c>
      <c r="H64" s="18">
        <f t="shared" si="2"/>
        <v>2.62</v>
      </c>
      <c r="I64" s="18">
        <f t="shared" si="2"/>
        <v>2.98</v>
      </c>
      <c r="J64" s="18">
        <f t="shared" si="2"/>
        <v>3.14</v>
      </c>
      <c r="K64" s="18">
        <f t="shared" si="2"/>
        <v>2.72</v>
      </c>
      <c r="L64" s="18">
        <f t="shared" si="2"/>
        <v>3.05</v>
      </c>
      <c r="M64" s="18">
        <f t="shared" si="2"/>
        <v>3.76</v>
      </c>
      <c r="N64" s="18">
        <f t="shared" si="2"/>
        <v>2.75</v>
      </c>
      <c r="O64" s="18">
        <f t="shared" si="2"/>
        <v>4.09</v>
      </c>
      <c r="P64" s="18">
        <f t="shared" si="2"/>
        <v>6.04</v>
      </c>
      <c r="Q64" s="18">
        <f t="shared" si="2"/>
        <v>2.56</v>
      </c>
      <c r="R64" s="18">
        <f t="shared" si="2"/>
        <v>4.62</v>
      </c>
      <c r="S64" s="18">
        <f t="shared" si="2"/>
        <v>3.87</v>
      </c>
      <c r="T64" s="18">
        <f t="shared" si="2"/>
        <v>3.52</v>
      </c>
      <c r="U64" s="18">
        <f t="shared" si="2"/>
        <v>4.54</v>
      </c>
      <c r="V64" s="18">
        <f t="shared" si="2"/>
        <v>2.48</v>
      </c>
      <c r="W64" s="18">
        <f t="shared" si="2"/>
        <v>2.35</v>
      </c>
      <c r="X64" s="18">
        <f t="shared" si="2"/>
        <v>4.3</v>
      </c>
      <c r="Y64" s="18">
        <f t="shared" si="2"/>
        <v>3.14</v>
      </c>
      <c r="Z64" s="18">
        <f t="shared" si="2"/>
        <v>3.41</v>
      </c>
      <c r="AA64" s="18">
        <f t="shared" si="2"/>
        <v>5.0599999999999996</v>
      </c>
      <c r="AB64" s="18"/>
      <c r="AC64" s="18"/>
      <c r="AD64" s="21">
        <f t="shared" si="2"/>
        <v>4.3600000000000003</v>
      </c>
    </row>
    <row r="65" spans="1:30" s="66" customFormat="1" ht="15" thickBot="1" x14ac:dyDescent="0.25">
      <c r="A65" s="89" t="s">
        <v>950</v>
      </c>
      <c r="B65" s="64">
        <f>MEDIAN(B$4:B$60)</f>
        <v>6.875</v>
      </c>
      <c r="C65" s="64">
        <f t="shared" ref="C65:AD65" si="3">MEDIAN(C$4:C$60)</f>
        <v>7.5549999999999997</v>
      </c>
      <c r="D65" s="64">
        <f t="shared" si="3"/>
        <v>6.15</v>
      </c>
      <c r="E65" s="64">
        <f t="shared" si="3"/>
        <v>6.47</v>
      </c>
      <c r="F65" s="64">
        <f t="shared" si="3"/>
        <v>19.754999999999999</v>
      </c>
      <c r="G65" s="64">
        <f t="shared" si="3"/>
        <v>9.2799999999999994</v>
      </c>
      <c r="H65" s="64">
        <f t="shared" si="3"/>
        <v>6.45</v>
      </c>
      <c r="I65" s="64">
        <f t="shared" si="3"/>
        <v>6.92</v>
      </c>
      <c r="J65" s="64">
        <f t="shared" si="3"/>
        <v>5.38</v>
      </c>
      <c r="K65" s="64">
        <f t="shared" si="3"/>
        <v>9.9649999999999999</v>
      </c>
      <c r="L65" s="64">
        <f t="shared" si="3"/>
        <v>6.92</v>
      </c>
      <c r="M65" s="64">
        <f t="shared" si="3"/>
        <v>6.01</v>
      </c>
      <c r="N65" s="64">
        <f t="shared" si="3"/>
        <v>6.0649999999999995</v>
      </c>
      <c r="O65" s="64">
        <f t="shared" si="3"/>
        <v>9.2050000000000001</v>
      </c>
      <c r="P65" s="64">
        <f t="shared" si="3"/>
        <v>11.72</v>
      </c>
      <c r="Q65" s="64">
        <f t="shared" si="3"/>
        <v>6.7349999999999994</v>
      </c>
      <c r="R65" s="64">
        <f t="shared" si="3"/>
        <v>9.84</v>
      </c>
      <c r="S65" s="64">
        <f t="shared" si="3"/>
        <v>6.84</v>
      </c>
      <c r="T65" s="64">
        <f t="shared" si="3"/>
        <v>5.48</v>
      </c>
      <c r="U65" s="64">
        <f t="shared" si="3"/>
        <v>8.09</v>
      </c>
      <c r="V65" s="64">
        <f t="shared" si="3"/>
        <v>8.84</v>
      </c>
      <c r="W65" s="64">
        <f t="shared" si="3"/>
        <v>7.6300000000000008</v>
      </c>
      <c r="X65" s="64">
        <f t="shared" si="3"/>
        <v>7.53</v>
      </c>
      <c r="Y65" s="64">
        <f t="shared" si="3"/>
        <v>5.72</v>
      </c>
      <c r="Z65" s="64">
        <f t="shared" si="3"/>
        <v>5.33</v>
      </c>
      <c r="AA65" s="64">
        <f t="shared" si="3"/>
        <v>7.75</v>
      </c>
      <c r="AB65" s="64"/>
      <c r="AC65" s="64"/>
      <c r="AD65" s="25">
        <f t="shared" si="3"/>
        <v>6.34</v>
      </c>
    </row>
    <row r="66" spans="1:30" ht="15" thickBot="1" x14ac:dyDescent="0.25">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row>
    <row r="67" spans="1:30" ht="15" customHeight="1" x14ac:dyDescent="0.2">
      <c r="B67" s="196" t="s">
        <v>945</v>
      </c>
      <c r="C67" s="197"/>
      <c r="D67" s="197"/>
      <c r="E67" s="197"/>
      <c r="F67" s="197"/>
      <c r="G67" s="197"/>
      <c r="H67" s="197"/>
      <c r="I67" s="197"/>
      <c r="J67" s="197"/>
      <c r="K67" s="198"/>
      <c r="L67" s="196" t="s">
        <v>945</v>
      </c>
      <c r="M67" s="197"/>
      <c r="N67" s="197"/>
      <c r="O67" s="197"/>
      <c r="P67" s="197"/>
      <c r="Q67" s="197"/>
      <c r="R67" s="197"/>
      <c r="S67" s="197"/>
      <c r="T67" s="197"/>
      <c r="U67" s="198"/>
      <c r="V67" s="196" t="s">
        <v>945</v>
      </c>
      <c r="W67" s="197"/>
      <c r="X67" s="197"/>
      <c r="Y67" s="197"/>
      <c r="Z67" s="197"/>
      <c r="AA67" s="197"/>
      <c r="AB67" s="197"/>
      <c r="AC67" s="197"/>
      <c r="AD67" s="198"/>
    </row>
    <row r="68" spans="1:30" x14ac:dyDescent="0.2">
      <c r="B68" s="199" t="s">
        <v>954</v>
      </c>
      <c r="C68" s="200"/>
      <c r="D68" s="200"/>
      <c r="E68" s="200"/>
      <c r="F68" s="200"/>
      <c r="G68" s="200"/>
      <c r="H68" s="200"/>
      <c r="I68" s="200"/>
      <c r="J68" s="200"/>
      <c r="K68" s="201"/>
      <c r="L68" s="199" t="s">
        <v>990</v>
      </c>
      <c r="M68" s="200"/>
      <c r="N68" s="200"/>
      <c r="O68" s="200"/>
      <c r="P68" s="200"/>
      <c r="Q68" s="200"/>
      <c r="R68" s="200"/>
      <c r="S68" s="200"/>
      <c r="T68" s="200"/>
      <c r="U68" s="201"/>
      <c r="V68" s="199" t="s">
        <v>973</v>
      </c>
      <c r="W68" s="200"/>
      <c r="X68" s="200"/>
      <c r="Y68" s="200"/>
      <c r="Z68" s="200"/>
      <c r="AA68" s="200"/>
      <c r="AB68" s="200"/>
      <c r="AC68" s="200"/>
      <c r="AD68" s="201"/>
    </row>
    <row r="69" spans="1:30" x14ac:dyDescent="0.2">
      <c r="B69" s="199" t="s">
        <v>955</v>
      </c>
      <c r="C69" s="200"/>
      <c r="D69" s="200"/>
      <c r="E69" s="200"/>
      <c r="F69" s="200"/>
      <c r="G69" s="200"/>
      <c r="H69" s="200"/>
      <c r="I69" s="200"/>
      <c r="J69" s="200"/>
      <c r="K69" s="201"/>
      <c r="L69" s="199" t="s">
        <v>964</v>
      </c>
      <c r="M69" s="200"/>
      <c r="N69" s="200"/>
      <c r="O69" s="200"/>
      <c r="P69" s="200"/>
      <c r="Q69" s="200"/>
      <c r="R69" s="200"/>
      <c r="S69" s="200"/>
      <c r="T69" s="200"/>
      <c r="U69" s="201"/>
      <c r="V69" s="199" t="s">
        <v>974</v>
      </c>
      <c r="W69" s="200"/>
      <c r="X69" s="200"/>
      <c r="Y69" s="200"/>
      <c r="Z69" s="200"/>
      <c r="AA69" s="200"/>
      <c r="AB69" s="200"/>
      <c r="AC69" s="200"/>
      <c r="AD69" s="201"/>
    </row>
    <row r="70" spans="1:30" x14ac:dyDescent="0.2">
      <c r="B70" s="199" t="s">
        <v>957</v>
      </c>
      <c r="C70" s="200"/>
      <c r="D70" s="200"/>
      <c r="E70" s="200"/>
      <c r="F70" s="200"/>
      <c r="G70" s="200"/>
      <c r="H70" s="200"/>
      <c r="I70" s="200"/>
      <c r="J70" s="200"/>
      <c r="K70" s="201"/>
      <c r="L70" s="199" t="s">
        <v>965</v>
      </c>
      <c r="M70" s="200"/>
      <c r="N70" s="200"/>
      <c r="O70" s="200"/>
      <c r="P70" s="200"/>
      <c r="Q70" s="200"/>
      <c r="R70" s="200"/>
      <c r="S70" s="200"/>
      <c r="T70" s="200"/>
      <c r="U70" s="201"/>
      <c r="V70" s="199" t="s">
        <v>975</v>
      </c>
      <c r="W70" s="200"/>
      <c r="X70" s="200"/>
      <c r="Y70" s="200"/>
      <c r="Z70" s="200"/>
      <c r="AA70" s="200"/>
      <c r="AB70" s="200"/>
      <c r="AC70" s="200"/>
      <c r="AD70" s="201"/>
    </row>
    <row r="71" spans="1:30" x14ac:dyDescent="0.2">
      <c r="B71" s="199" t="s">
        <v>956</v>
      </c>
      <c r="C71" s="200"/>
      <c r="D71" s="200"/>
      <c r="E71" s="200"/>
      <c r="F71" s="200"/>
      <c r="G71" s="200"/>
      <c r="H71" s="200"/>
      <c r="I71" s="200"/>
      <c r="J71" s="200"/>
      <c r="K71" s="201"/>
      <c r="L71" s="199" t="s">
        <v>966</v>
      </c>
      <c r="M71" s="200"/>
      <c r="N71" s="200"/>
      <c r="O71" s="200"/>
      <c r="P71" s="200"/>
      <c r="Q71" s="200"/>
      <c r="R71" s="200"/>
      <c r="S71" s="200"/>
      <c r="T71" s="200"/>
      <c r="U71" s="201"/>
      <c r="V71" s="199" t="s">
        <v>976</v>
      </c>
      <c r="W71" s="200"/>
      <c r="X71" s="200"/>
      <c r="Y71" s="200"/>
      <c r="Z71" s="200"/>
      <c r="AA71" s="200"/>
      <c r="AB71" s="200"/>
      <c r="AC71" s="200"/>
      <c r="AD71" s="201"/>
    </row>
    <row r="72" spans="1:30" x14ac:dyDescent="0.2">
      <c r="B72" s="199" t="s">
        <v>958</v>
      </c>
      <c r="C72" s="200"/>
      <c r="D72" s="200"/>
      <c r="E72" s="200"/>
      <c r="F72" s="200"/>
      <c r="G72" s="200"/>
      <c r="H72" s="200"/>
      <c r="I72" s="200"/>
      <c r="J72" s="200"/>
      <c r="K72" s="201"/>
      <c r="L72" s="199" t="s">
        <v>967</v>
      </c>
      <c r="M72" s="200"/>
      <c r="N72" s="200"/>
      <c r="O72" s="200"/>
      <c r="P72" s="200"/>
      <c r="Q72" s="200"/>
      <c r="R72" s="200"/>
      <c r="S72" s="200"/>
      <c r="T72" s="200"/>
      <c r="U72" s="201"/>
      <c r="V72" s="199" t="s">
        <v>977</v>
      </c>
      <c r="W72" s="200"/>
      <c r="X72" s="200"/>
      <c r="Y72" s="200"/>
      <c r="Z72" s="200"/>
      <c r="AA72" s="200"/>
      <c r="AB72" s="200"/>
      <c r="AC72" s="200"/>
      <c r="AD72" s="201"/>
    </row>
    <row r="73" spans="1:30" x14ac:dyDescent="0.2">
      <c r="B73" s="199" t="s">
        <v>959</v>
      </c>
      <c r="C73" s="200"/>
      <c r="D73" s="200"/>
      <c r="E73" s="200"/>
      <c r="F73" s="200"/>
      <c r="G73" s="200"/>
      <c r="H73" s="200"/>
      <c r="I73" s="200"/>
      <c r="J73" s="200"/>
      <c r="K73" s="201"/>
      <c r="L73" s="199" t="s">
        <v>968</v>
      </c>
      <c r="M73" s="200"/>
      <c r="N73" s="200"/>
      <c r="O73" s="200"/>
      <c r="P73" s="200"/>
      <c r="Q73" s="200"/>
      <c r="R73" s="200"/>
      <c r="S73" s="200"/>
      <c r="T73" s="200"/>
      <c r="U73" s="201"/>
      <c r="V73" s="199" t="s">
        <v>978</v>
      </c>
      <c r="W73" s="200"/>
      <c r="X73" s="200"/>
      <c r="Y73" s="200"/>
      <c r="Z73" s="200"/>
      <c r="AA73" s="200"/>
      <c r="AB73" s="200"/>
      <c r="AC73" s="200"/>
      <c r="AD73" s="201"/>
    </row>
    <row r="74" spans="1:30" x14ac:dyDescent="0.2">
      <c r="B74" s="199" t="s">
        <v>960</v>
      </c>
      <c r="C74" s="200"/>
      <c r="D74" s="200"/>
      <c r="E74" s="200"/>
      <c r="F74" s="200"/>
      <c r="G74" s="200"/>
      <c r="H74" s="200"/>
      <c r="I74" s="200"/>
      <c r="J74" s="200"/>
      <c r="K74" s="201"/>
      <c r="L74" s="199" t="s">
        <v>969</v>
      </c>
      <c r="M74" s="200"/>
      <c r="N74" s="200"/>
      <c r="O74" s="200"/>
      <c r="P74" s="200"/>
      <c r="Q74" s="200"/>
      <c r="R74" s="200"/>
      <c r="S74" s="200"/>
      <c r="T74" s="200"/>
      <c r="U74" s="201"/>
      <c r="V74" s="193"/>
      <c r="W74" s="194"/>
      <c r="X74" s="194"/>
      <c r="Y74" s="194"/>
      <c r="Z74" s="194"/>
      <c r="AA74" s="194"/>
      <c r="AB74" s="194"/>
      <c r="AC74" s="194"/>
      <c r="AD74" s="195"/>
    </row>
    <row r="75" spans="1:30" x14ac:dyDescent="0.2">
      <c r="B75" s="199" t="s">
        <v>961</v>
      </c>
      <c r="C75" s="200"/>
      <c r="D75" s="200"/>
      <c r="E75" s="200"/>
      <c r="F75" s="200"/>
      <c r="G75" s="200"/>
      <c r="H75" s="200"/>
      <c r="I75" s="200"/>
      <c r="J75" s="200"/>
      <c r="K75" s="201"/>
      <c r="L75" s="199" t="s">
        <v>970</v>
      </c>
      <c r="M75" s="200"/>
      <c r="N75" s="200"/>
      <c r="O75" s="200"/>
      <c r="P75" s="200"/>
      <c r="Q75" s="200"/>
      <c r="R75" s="200"/>
      <c r="S75" s="200"/>
      <c r="T75" s="200"/>
      <c r="U75" s="201"/>
      <c r="V75" s="199" t="s">
        <v>979</v>
      </c>
      <c r="W75" s="200"/>
      <c r="X75" s="200"/>
      <c r="Y75" s="200"/>
      <c r="Z75" s="200"/>
      <c r="AA75" s="200"/>
      <c r="AB75" s="200"/>
      <c r="AC75" s="200"/>
      <c r="AD75" s="201"/>
    </row>
    <row r="76" spans="1:30" x14ac:dyDescent="0.2">
      <c r="B76" s="199" t="s">
        <v>962</v>
      </c>
      <c r="C76" s="200"/>
      <c r="D76" s="200"/>
      <c r="E76" s="200"/>
      <c r="F76" s="200"/>
      <c r="G76" s="200"/>
      <c r="H76" s="200"/>
      <c r="I76" s="200"/>
      <c r="J76" s="200"/>
      <c r="K76" s="201"/>
      <c r="L76" s="199" t="s">
        <v>971</v>
      </c>
      <c r="M76" s="200"/>
      <c r="N76" s="200"/>
      <c r="O76" s="200"/>
      <c r="P76" s="200"/>
      <c r="Q76" s="200"/>
      <c r="R76" s="200"/>
      <c r="S76" s="200"/>
      <c r="T76" s="200"/>
      <c r="U76" s="201"/>
      <c r="V76" s="199" t="s">
        <v>980</v>
      </c>
      <c r="W76" s="200"/>
      <c r="X76" s="200"/>
      <c r="Y76" s="200"/>
      <c r="Z76" s="200"/>
      <c r="AA76" s="200"/>
      <c r="AB76" s="200"/>
      <c r="AC76" s="200"/>
      <c r="AD76" s="201"/>
    </row>
    <row r="77" spans="1:30" ht="15" thickBot="1" x14ac:dyDescent="0.25">
      <c r="B77" s="190" t="s">
        <v>963</v>
      </c>
      <c r="C77" s="191"/>
      <c r="D77" s="191"/>
      <c r="E77" s="191"/>
      <c r="F77" s="191"/>
      <c r="G77" s="191"/>
      <c r="H77" s="191"/>
      <c r="I77" s="191"/>
      <c r="J77" s="191"/>
      <c r="K77" s="192"/>
      <c r="L77" s="190" t="s">
        <v>972</v>
      </c>
      <c r="M77" s="191"/>
      <c r="N77" s="191"/>
      <c r="O77" s="191"/>
      <c r="P77" s="191"/>
      <c r="Q77" s="191"/>
      <c r="R77" s="191"/>
      <c r="S77" s="191"/>
      <c r="T77" s="191"/>
      <c r="U77" s="192"/>
      <c r="V77" s="190" t="s">
        <v>981</v>
      </c>
      <c r="W77" s="191"/>
      <c r="X77" s="191"/>
      <c r="Y77" s="191"/>
      <c r="Z77" s="191"/>
      <c r="AA77" s="191"/>
      <c r="AB77" s="191"/>
      <c r="AC77" s="191"/>
      <c r="AD77" s="192"/>
    </row>
    <row r="95" s="66" customFormat="1" x14ac:dyDescent="0.2"/>
    <row r="96" s="66" customFormat="1" x14ac:dyDescent="0.2"/>
  </sheetData>
  <mergeCells count="33">
    <mergeCell ref="B67:K67"/>
    <mergeCell ref="B73:K73"/>
    <mergeCell ref="B74:K74"/>
    <mergeCell ref="B75:K75"/>
    <mergeCell ref="B76:K76"/>
    <mergeCell ref="B77:K77"/>
    <mergeCell ref="B68:K68"/>
    <mergeCell ref="B69:K69"/>
    <mergeCell ref="B70:K70"/>
    <mergeCell ref="B71:K71"/>
    <mergeCell ref="B72:K72"/>
    <mergeCell ref="V73:AD73"/>
    <mergeCell ref="V75:AD75"/>
    <mergeCell ref="V76:AD76"/>
    <mergeCell ref="V68:AD68"/>
    <mergeCell ref="V69:AD69"/>
    <mergeCell ref="V70:AD70"/>
    <mergeCell ref="V77:AD77"/>
    <mergeCell ref="V74:AD74"/>
    <mergeCell ref="V67:AD67"/>
    <mergeCell ref="L67:U67"/>
    <mergeCell ref="L68:U68"/>
    <mergeCell ref="L69:U69"/>
    <mergeCell ref="L70:U70"/>
    <mergeCell ref="L71:U71"/>
    <mergeCell ref="L72:U72"/>
    <mergeCell ref="L73:U73"/>
    <mergeCell ref="L74:U74"/>
    <mergeCell ref="L75:U75"/>
    <mergeCell ref="L76:U76"/>
    <mergeCell ref="L77:U77"/>
    <mergeCell ref="V71:AD71"/>
    <mergeCell ref="V72:AD72"/>
  </mergeCells>
  <conditionalFormatting sqref="B4:AC60">
    <cfRule type="top10" dxfId="1" priority="1" rank="10"/>
  </conditionalFormatting>
  <pageMargins left="0.25" right="0.25" top="0.25" bottom="0.25" header="0.3" footer="0.3"/>
  <pageSetup orientation="landscap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90"/>
  <sheetViews>
    <sheetView showGridLines="0" zoomScale="70" zoomScaleNormal="70" workbookViewId="0">
      <pane xSplit="1" ySplit="6" topLeftCell="B7" activePane="bottomRight" state="frozen"/>
      <selection pane="topRight" activeCell="B1" sqref="B1"/>
      <selection pane="bottomLeft" activeCell="A7" sqref="A7"/>
      <selection pane="bottomRight" activeCell="B7" sqref="B7"/>
    </sheetView>
  </sheetViews>
  <sheetFormatPr defaultRowHeight="14.25" x14ac:dyDescent="0.2"/>
  <cols>
    <col min="1" max="1" width="27.140625" style="66" customWidth="1"/>
    <col min="2" max="2" width="14.5703125" style="66" bestFit="1" customWidth="1"/>
    <col min="3" max="3" width="17.7109375" style="66" bestFit="1" customWidth="1"/>
    <col min="4" max="4" width="13.140625" style="66" bestFit="1" customWidth="1"/>
    <col min="5" max="5" width="15.7109375" style="66" bestFit="1" customWidth="1"/>
    <col min="6" max="6" width="11.42578125" style="66" bestFit="1" customWidth="1"/>
    <col min="7" max="7" width="15.7109375" style="66" bestFit="1" customWidth="1"/>
    <col min="8" max="8" width="11.42578125" style="66" bestFit="1" customWidth="1"/>
    <col min="9" max="9" width="15.7109375" style="66" bestFit="1" customWidth="1"/>
    <col min="10" max="10" width="11.42578125" style="66" bestFit="1" customWidth="1"/>
    <col min="11" max="11" width="15.7109375" style="66" bestFit="1" customWidth="1"/>
    <col min="12" max="12" width="11.42578125" style="66" bestFit="1" customWidth="1"/>
    <col min="13" max="13" width="15.7109375" style="66" bestFit="1" customWidth="1"/>
    <col min="14" max="14" width="11.42578125" style="66" bestFit="1" customWidth="1"/>
    <col min="15" max="15" width="14.85546875" style="66" bestFit="1" customWidth="1"/>
    <col min="16" max="16" width="11.42578125" style="66" bestFit="1" customWidth="1"/>
    <col min="17" max="17" width="15.7109375" style="66" bestFit="1" customWidth="1"/>
    <col min="18" max="18" width="11.42578125" style="66" bestFit="1" customWidth="1"/>
    <col min="19" max="19" width="14.85546875" style="66" bestFit="1" customWidth="1"/>
    <col min="20" max="20" width="11.42578125" style="66" bestFit="1" customWidth="1"/>
    <col min="21" max="21" width="14.5703125" style="66" bestFit="1" customWidth="1"/>
    <col min="22" max="22" width="11.42578125" style="66" bestFit="1" customWidth="1"/>
    <col min="23" max="23" width="13.140625" style="66" customWidth="1"/>
    <col min="24" max="24" width="13.140625" style="66" hidden="1" customWidth="1"/>
    <col min="25" max="25" width="13.140625" style="66" customWidth="1"/>
    <col min="26" max="26" width="9.140625" style="66"/>
    <col min="27" max="27" width="17.85546875" style="66" bestFit="1" customWidth="1"/>
    <col min="28" max="30" width="9.140625" style="66"/>
    <col min="31" max="31" width="17.85546875" style="66" bestFit="1" customWidth="1"/>
    <col min="32" max="16384" width="9.140625" style="66"/>
  </cols>
  <sheetData>
    <row r="1" spans="1:24" x14ac:dyDescent="0.2">
      <c r="A1" s="38" t="str">
        <f>Summary!A1</f>
        <v>Community and Technical Colleges, Report of Fundable Operating Expenses, Fiscal Year (FY) 2000</v>
      </c>
      <c r="B1" s="38"/>
      <c r="D1" s="38"/>
      <c r="E1" s="38"/>
      <c r="F1" s="38"/>
      <c r="G1" s="38"/>
      <c r="I1" s="38"/>
      <c r="J1" s="39"/>
      <c r="K1" s="38"/>
    </row>
    <row r="2" spans="1:24" x14ac:dyDescent="0.2">
      <c r="A2" s="68" t="s">
        <v>1017</v>
      </c>
      <c r="B2" s="68"/>
      <c r="X2" s="87" t="s">
        <v>945</v>
      </c>
    </row>
    <row r="3" spans="1:24" x14ac:dyDescent="0.2">
      <c r="A3" s="3">
        <v>1</v>
      </c>
      <c r="X3" s="74" t="s">
        <v>0</v>
      </c>
    </row>
    <row r="4" spans="1:24" ht="15" thickBot="1" x14ac:dyDescent="0.25">
      <c r="X4" s="74" t="s">
        <v>1</v>
      </c>
    </row>
    <row r="5" spans="1:24" s="82" customFormat="1" ht="56.25" customHeight="1" x14ac:dyDescent="0.2">
      <c r="A5" s="45" t="s">
        <v>944</v>
      </c>
      <c r="B5" s="203" t="s">
        <v>27</v>
      </c>
      <c r="C5" s="187" t="s">
        <v>35</v>
      </c>
      <c r="D5" s="188"/>
      <c r="E5" s="187" t="s">
        <v>459</v>
      </c>
      <c r="F5" s="188"/>
      <c r="G5" s="187" t="s">
        <v>1078</v>
      </c>
      <c r="H5" s="188"/>
      <c r="I5" s="187" t="s">
        <v>30</v>
      </c>
      <c r="J5" s="188"/>
      <c r="K5" s="187" t="s">
        <v>31</v>
      </c>
      <c r="L5" s="188"/>
      <c r="M5" s="187" t="s">
        <v>460</v>
      </c>
      <c r="N5" s="188"/>
      <c r="O5" s="187" t="s">
        <v>1079</v>
      </c>
      <c r="P5" s="188"/>
      <c r="Q5" s="187" t="s">
        <v>1080</v>
      </c>
      <c r="R5" s="188"/>
      <c r="S5" s="187" t="s">
        <v>34</v>
      </c>
      <c r="T5" s="188"/>
      <c r="U5" s="187" t="s">
        <v>29</v>
      </c>
      <c r="V5" s="202"/>
      <c r="X5" s="74" t="s">
        <v>2</v>
      </c>
    </row>
    <row r="6" spans="1:24" s="82" customFormat="1" x14ac:dyDescent="0.2">
      <c r="A6" s="120"/>
      <c r="B6" s="204"/>
      <c r="C6" s="140" t="s">
        <v>462</v>
      </c>
      <c r="D6" s="140" t="s">
        <v>1068</v>
      </c>
      <c r="E6" s="140" t="s">
        <v>462</v>
      </c>
      <c r="F6" s="140" t="s">
        <v>1068</v>
      </c>
      <c r="G6" s="140" t="s">
        <v>462</v>
      </c>
      <c r="H6" s="140" t="s">
        <v>1068</v>
      </c>
      <c r="I6" s="140" t="s">
        <v>462</v>
      </c>
      <c r="J6" s="140" t="s">
        <v>1068</v>
      </c>
      <c r="K6" s="140" t="s">
        <v>462</v>
      </c>
      <c r="L6" s="140" t="s">
        <v>1068</v>
      </c>
      <c r="M6" s="140" t="s">
        <v>462</v>
      </c>
      <c r="N6" s="140" t="s">
        <v>1068</v>
      </c>
      <c r="O6" s="140" t="s">
        <v>462</v>
      </c>
      <c r="P6" s="140" t="s">
        <v>1068</v>
      </c>
      <c r="Q6" s="140" t="s">
        <v>462</v>
      </c>
      <c r="R6" s="140" t="s">
        <v>1068</v>
      </c>
      <c r="S6" s="140" t="s">
        <v>462</v>
      </c>
      <c r="T6" s="140" t="s">
        <v>1068</v>
      </c>
      <c r="U6" s="140" t="s">
        <v>462</v>
      </c>
      <c r="V6" s="124" t="s">
        <v>1068</v>
      </c>
      <c r="X6" s="74" t="s">
        <v>3</v>
      </c>
    </row>
    <row r="7" spans="1:24" x14ac:dyDescent="0.2">
      <c r="A7" s="92" t="s">
        <v>1065</v>
      </c>
      <c r="B7" s="83">
        <f ca="1">OFFSET('1'!$D$4,$A$3,0)</f>
        <v>47536</v>
      </c>
      <c r="C7" s="81">
        <f ca="1">OFFSET('1'!$E$4,$A$3,0)</f>
        <v>324270.80822358932</v>
      </c>
      <c r="D7" s="122">
        <f ca="1">OFFSET('1'!$F$4,$A$3,0)</f>
        <v>6.82</v>
      </c>
      <c r="E7" s="81">
        <f ca="1">OFFSET('1'!$E$66,$A$3,0)</f>
        <v>150051</v>
      </c>
      <c r="F7" s="122">
        <f ca="1">OFFSET('1'!$F$66,$A$3,0)</f>
        <v>3.16</v>
      </c>
      <c r="G7" s="81">
        <f ca="1">IFERROR('1'!$F$100*'Discipline Analysis'!$B7,"")</f>
        <v>14736.16</v>
      </c>
      <c r="H7" s="122">
        <f>'1'!$F$100</f>
        <v>0.31</v>
      </c>
      <c r="I7" s="81">
        <f ca="1">IFERROR('1'!$F$98*'Discipline Analysis'!$B7,"")</f>
        <v>51338.880000000005</v>
      </c>
      <c r="J7" s="122">
        <f>'1'!$F$98</f>
        <v>1.08</v>
      </c>
      <c r="K7" s="81">
        <f ca="1">IFERROR('1'!$F$99*'Discipline Analysis'!$B7,"")</f>
        <v>35652</v>
      </c>
      <c r="L7" s="122">
        <f>'1'!$F$99</f>
        <v>0.75</v>
      </c>
      <c r="M7" s="81">
        <f ca="1">OFFSET('1'!$E$35,$A$3,0)</f>
        <v>19002</v>
      </c>
      <c r="N7" s="122">
        <f ca="1">OFFSET('1'!$F$35,$A$3,0)</f>
        <v>0.4</v>
      </c>
      <c r="O7" s="81">
        <f ca="1">IFERROR('1'!$F$101*'Discipline Analysis'!$B7,"")</f>
        <v>21866.560000000001</v>
      </c>
      <c r="P7" s="122">
        <f>'1'!$F$101</f>
        <v>0.46</v>
      </c>
      <c r="Q7" s="81">
        <f ca="1">IFERROR('1'!$F$102*'Discipline Analysis'!$B7,"")</f>
        <v>475.36</v>
      </c>
      <c r="R7" s="122">
        <f>'1'!$F$102</f>
        <v>0.01</v>
      </c>
      <c r="S7" s="81">
        <f ca="1">IFERROR('1'!$F$103*'Discipline Analysis'!$B7,"")</f>
        <v>0</v>
      </c>
      <c r="T7" s="122">
        <f>'1'!$F$103</f>
        <v>0</v>
      </c>
      <c r="U7" s="79">
        <f ca="1">IFERROR('1'!$F$104*'Discipline Analysis'!$B7,"")</f>
        <v>31373.760000000002</v>
      </c>
      <c r="V7" s="125">
        <f>'1'!$F$104</f>
        <v>0.66</v>
      </c>
      <c r="X7" s="74" t="s">
        <v>4</v>
      </c>
    </row>
    <row r="8" spans="1:24" x14ac:dyDescent="0.2">
      <c r="A8" s="92" t="s">
        <v>1019</v>
      </c>
      <c r="B8" s="83">
        <f ca="1">OFFSET('2'!$D$4,$A$3,0)</f>
        <v>28944</v>
      </c>
      <c r="C8" s="75">
        <f ca="1">OFFSET('2'!$E$4,$A$3,0)</f>
        <v>146767.44583701744</v>
      </c>
      <c r="D8" s="121">
        <f ca="1">OFFSET('2'!$F$4,$A$3,0)</f>
        <v>5.07</v>
      </c>
      <c r="E8" s="75">
        <f ca="1">OFFSET('2'!$E$66,$A$3,0)</f>
        <v>59356</v>
      </c>
      <c r="F8" s="121">
        <f ca="1">OFFSET('2'!$F$66,$A$3,0)</f>
        <v>2.0499999999999998</v>
      </c>
      <c r="G8" s="75">
        <f ca="1">IFERROR('2'!$F$100*'Discipline Analysis'!$B8,"")</f>
        <v>8104.3200000000006</v>
      </c>
      <c r="H8" s="121">
        <f>'2'!$F$100</f>
        <v>0.28000000000000003</v>
      </c>
      <c r="I8" s="75">
        <f ca="1">IFERROR('2'!$F$98*'Discipline Analysis'!$B8,"")</f>
        <v>29233.439999999999</v>
      </c>
      <c r="J8" s="121">
        <f>'2'!$F$98</f>
        <v>1.01</v>
      </c>
      <c r="K8" s="75">
        <f ca="1">IFERROR('2'!$F$99*'Discipline Analysis'!$B8,"")</f>
        <v>18524.16</v>
      </c>
      <c r="L8" s="121">
        <f>'2'!$F$99</f>
        <v>0.64</v>
      </c>
      <c r="M8" s="75">
        <f ca="1">OFFSET('2'!$E$35,$A$3,0)</f>
        <v>13275</v>
      </c>
      <c r="N8" s="121">
        <f ca="1">OFFSET('2'!$F$35,$A$3,0)</f>
        <v>0.46</v>
      </c>
      <c r="O8" s="75">
        <f ca="1">IFERROR('2'!$F$101*'Discipline Analysis'!$B8,"")</f>
        <v>10419.84</v>
      </c>
      <c r="P8" s="121">
        <f>'2'!$F$101</f>
        <v>0.36</v>
      </c>
      <c r="Q8" s="75" t="str">
        <f ca="1">IFERROR('2'!$F$102*'Discipline Analysis'!$B8,"")</f>
        <v/>
      </c>
      <c r="R8" s="121" t="str">
        <f>'2'!$F$102</f>
        <v/>
      </c>
      <c r="S8" s="75" t="str">
        <f ca="1">IFERROR('2'!$F$103*'Discipline Analysis'!$B8,"")</f>
        <v/>
      </c>
      <c r="T8" s="121" t="str">
        <f>'2'!$F$103</f>
        <v/>
      </c>
      <c r="U8" s="75">
        <f ca="1">IFERROR('2'!$F$104*'Discipline Analysis'!$B8,"")</f>
        <v>7814.88</v>
      </c>
      <c r="V8" s="126">
        <f>'2'!$F$104</f>
        <v>0.27</v>
      </c>
      <c r="X8" s="74" t="s">
        <v>5</v>
      </c>
    </row>
    <row r="9" spans="1:24" x14ac:dyDescent="0.2">
      <c r="A9" s="92" t="s">
        <v>1029</v>
      </c>
      <c r="B9" s="83">
        <f ca="1">OFFSET('3'!$D$4,$A$3,0)</f>
        <v>4770</v>
      </c>
      <c r="C9" s="75">
        <f ca="1">OFFSET('3'!$E$4,$A$3,0)</f>
        <v>26032.5171240542</v>
      </c>
      <c r="D9" s="121">
        <f ca="1">OFFSET('3'!$F$4,$A$3,0)</f>
        <v>5.46</v>
      </c>
      <c r="E9" s="75">
        <f ca="1">OFFSET('3'!$E$66,$A$3,0)</f>
        <v>9450</v>
      </c>
      <c r="F9" s="121">
        <f ca="1">OFFSET('3'!$F$66,$A$3,0)</f>
        <v>1.98</v>
      </c>
      <c r="G9" s="75">
        <f ca="1">IFERROR('3'!$F$100*'Discipline Analysis'!$B9,"")</f>
        <v>954</v>
      </c>
      <c r="H9" s="121">
        <f>'3'!$F$100</f>
        <v>0.2</v>
      </c>
      <c r="I9" s="75">
        <f ca="1">IFERROR('3'!$F$98*'Discipline Analysis'!$B9,"")</f>
        <v>6439.5</v>
      </c>
      <c r="J9" s="121">
        <f>'3'!$F$98</f>
        <v>1.35</v>
      </c>
      <c r="K9" s="75">
        <f ca="1">IFERROR('3'!$F$99*'Discipline Analysis'!$B9,"")</f>
        <v>2862</v>
      </c>
      <c r="L9" s="121">
        <f>'3'!$F$99</f>
        <v>0.6</v>
      </c>
      <c r="M9" s="75">
        <f ca="1">OFFSET('3'!$E$35,$A$3,0)</f>
        <v>2296</v>
      </c>
      <c r="N9" s="121">
        <f ca="1">OFFSET('3'!$F$35,$A$3,0)</f>
        <v>0.48</v>
      </c>
      <c r="O9" s="75">
        <f ca="1">IFERROR('3'!$F$101*'Discipline Analysis'!$B9,"")</f>
        <v>1335.6000000000001</v>
      </c>
      <c r="P9" s="121">
        <f>'3'!$F$101</f>
        <v>0.28000000000000003</v>
      </c>
      <c r="Q9" s="75">
        <f ca="1">IFERROR('3'!$F$102*'Discipline Analysis'!$B9,"")</f>
        <v>333.90000000000003</v>
      </c>
      <c r="R9" s="121">
        <f>'3'!$F$102</f>
        <v>7.0000000000000007E-2</v>
      </c>
      <c r="S9" s="75" t="str">
        <f ca="1">IFERROR('3'!$F$103*'Discipline Analysis'!$B9,"")</f>
        <v/>
      </c>
      <c r="T9" s="121" t="str">
        <f>'3'!$F$103</f>
        <v/>
      </c>
      <c r="U9" s="75">
        <f ca="1">IFERROR('3'!$F$104*'Discipline Analysis'!$B9,"")</f>
        <v>2385</v>
      </c>
      <c r="V9" s="126">
        <f>'3'!$F$104</f>
        <v>0.5</v>
      </c>
      <c r="X9" s="74" t="s">
        <v>6</v>
      </c>
    </row>
    <row r="10" spans="1:24" x14ac:dyDescent="0.2">
      <c r="A10" s="92" t="s">
        <v>1030</v>
      </c>
      <c r="B10" s="83">
        <f ca="1">OFFSET('4'!$D$4,$A$3,0)</f>
        <v>4800</v>
      </c>
      <c r="C10" s="75">
        <f ca="1">OFFSET('4'!$E$4,$A$3,0)</f>
        <v>21263.176214823463</v>
      </c>
      <c r="D10" s="121">
        <f ca="1">OFFSET('4'!$F$4,$A$3,0)</f>
        <v>4.43</v>
      </c>
      <c r="E10" s="75">
        <f ca="1">OFFSET('4'!$E$66,$A$3,0)</f>
        <v>10983</v>
      </c>
      <c r="F10" s="121">
        <f ca="1">OFFSET('4'!$F$66,$A$3,0)</f>
        <v>2.29</v>
      </c>
      <c r="G10" s="75">
        <f ca="1">IFERROR('4'!$F$100*'Discipline Analysis'!$B10,"")</f>
        <v>768</v>
      </c>
      <c r="H10" s="121">
        <f>'4'!$F$100</f>
        <v>0.16</v>
      </c>
      <c r="I10" s="75">
        <f ca="1">IFERROR('4'!$F$98*'Discipline Analysis'!$B10,"")</f>
        <v>2928</v>
      </c>
      <c r="J10" s="121">
        <f>'4'!$F$98</f>
        <v>0.61</v>
      </c>
      <c r="K10" s="75">
        <f ca="1">IFERROR('4'!$F$99*'Discipline Analysis'!$B10,"")</f>
        <v>1776</v>
      </c>
      <c r="L10" s="121">
        <f>'4'!$F$99</f>
        <v>0.37</v>
      </c>
      <c r="M10" s="75">
        <f ca="1">OFFSET('4'!$E$35,$A$3,0)</f>
        <v>1523</v>
      </c>
      <c r="N10" s="121">
        <f ca="1">OFFSET('4'!$F$35,$A$3,0)</f>
        <v>0.32</v>
      </c>
      <c r="O10" s="75">
        <f ca="1">IFERROR('4'!$F$101*'Discipline Analysis'!$B10,"")</f>
        <v>2112</v>
      </c>
      <c r="P10" s="121">
        <f>'4'!$F$101</f>
        <v>0.44</v>
      </c>
      <c r="Q10" s="75" t="str">
        <f ca="1">IFERROR('4'!$F$102*'Discipline Analysis'!$B10,"")</f>
        <v/>
      </c>
      <c r="R10" s="121" t="str">
        <f>'4'!$F$102</f>
        <v/>
      </c>
      <c r="S10" s="75" t="str">
        <f ca="1">IFERROR('4'!$F$103*'Discipline Analysis'!$B10,"")</f>
        <v/>
      </c>
      <c r="T10" s="121" t="str">
        <f>'4'!$F$103</f>
        <v/>
      </c>
      <c r="U10" s="75">
        <f ca="1">IFERROR('4'!$F$104*'Discipline Analysis'!$B10,"")</f>
        <v>1152</v>
      </c>
      <c r="V10" s="126">
        <f>'4'!$F$104</f>
        <v>0.24</v>
      </c>
      <c r="X10" s="74" t="s">
        <v>7</v>
      </c>
    </row>
    <row r="11" spans="1:24" x14ac:dyDescent="0.2">
      <c r="A11" s="92" t="s">
        <v>1020</v>
      </c>
      <c r="B11" s="83">
        <f ca="1">OFFSET('5'!$D$4,$A$3,0)</f>
        <v>0</v>
      </c>
      <c r="C11" s="75">
        <f ca="1">OFFSET('5'!$E$4,$A$3,0)</f>
        <v>0</v>
      </c>
      <c r="D11" s="121" t="str">
        <f ca="1">OFFSET('5'!$F$4,$A$3,0)</f>
        <v/>
      </c>
      <c r="E11" s="75">
        <f ca="1">OFFSET('5'!$E$66,$A$3,0)</f>
        <v>0</v>
      </c>
      <c r="F11" s="121" t="str">
        <f ca="1">OFFSET('5'!$F$66,$A$3,0)</f>
        <v/>
      </c>
      <c r="G11" s="75">
        <f ca="1">IFERROR('5'!$F$100*'Discipline Analysis'!$B11,"")</f>
        <v>0</v>
      </c>
      <c r="H11" s="121">
        <f>'5'!$F$100</f>
        <v>0.37</v>
      </c>
      <c r="I11" s="75">
        <f ca="1">IFERROR('5'!$F$98*'Discipline Analysis'!$B11,"")</f>
        <v>0</v>
      </c>
      <c r="J11" s="121">
        <f>'5'!$F$98</f>
        <v>1.53</v>
      </c>
      <c r="K11" s="75">
        <f ca="1">IFERROR('5'!$F$99*'Discipline Analysis'!$B11,"")</f>
        <v>0</v>
      </c>
      <c r="L11" s="121">
        <f>'5'!$F$99</f>
        <v>0.69</v>
      </c>
      <c r="M11" s="75">
        <f ca="1">OFFSET('5'!$E$35,$A$3,0)</f>
        <v>0</v>
      </c>
      <c r="N11" s="121" t="str">
        <f ca="1">OFFSET('5'!$F$35,$A$3,0)</f>
        <v/>
      </c>
      <c r="O11" s="75">
        <f ca="1">IFERROR('5'!$F$101*'Discipline Analysis'!$B11,"")</f>
        <v>0</v>
      </c>
      <c r="P11" s="121">
        <f>'5'!$F$101</f>
        <v>0.77</v>
      </c>
      <c r="Q11" s="75" t="str">
        <f ca="1">IFERROR('5'!$F$102*'Discipline Analysis'!$B11,"")</f>
        <v/>
      </c>
      <c r="R11" s="121" t="str">
        <f>'5'!$F$102</f>
        <v/>
      </c>
      <c r="S11" s="75" t="str">
        <f ca="1">IFERROR('5'!$F$103*'Discipline Analysis'!$B11,"")</f>
        <v/>
      </c>
      <c r="T11" s="121" t="str">
        <f>'5'!$F$103</f>
        <v/>
      </c>
      <c r="U11" s="75">
        <f ca="1">IFERROR('5'!$F$104*'Discipline Analysis'!$B11,"")</f>
        <v>0</v>
      </c>
      <c r="V11" s="126">
        <f>'5'!$F$104</f>
        <v>0.33</v>
      </c>
      <c r="X11" s="74" t="s">
        <v>8</v>
      </c>
    </row>
    <row r="12" spans="1:24" x14ac:dyDescent="0.2">
      <c r="A12" s="92" t="s">
        <v>1031</v>
      </c>
      <c r="B12" s="83">
        <f ca="1">OFFSET('6'!$D$4,$A$3,0)</f>
        <v>16624</v>
      </c>
      <c r="C12" s="75">
        <f ca="1">OFFSET('6'!$E$4,$A$3,0)</f>
        <v>138150.06988854345</v>
      </c>
      <c r="D12" s="121">
        <f ca="1">OFFSET('6'!$F$4,$A$3,0)</f>
        <v>8.31</v>
      </c>
      <c r="E12" s="75">
        <f ca="1">OFFSET('6'!$E$66,$A$3,0)</f>
        <v>96637</v>
      </c>
      <c r="F12" s="121">
        <f ca="1">OFFSET('6'!$F$66,$A$3,0)</f>
        <v>5.81</v>
      </c>
      <c r="G12" s="75">
        <f ca="1">IFERROR('6'!$F$100*'Discipline Analysis'!$B12,"")</f>
        <v>2992.3199999999997</v>
      </c>
      <c r="H12" s="121">
        <f>'6'!$F$100</f>
        <v>0.18</v>
      </c>
      <c r="I12" s="75">
        <f ca="1">IFERROR('6'!$F$98*'Discipline Analysis'!$B12,"")</f>
        <v>9143.2000000000007</v>
      </c>
      <c r="J12" s="121">
        <f>'6'!$F$98</f>
        <v>0.55000000000000004</v>
      </c>
      <c r="K12" s="75">
        <f ca="1">IFERROR('6'!$F$99*'Discipline Analysis'!$B12,"")</f>
        <v>6982.08</v>
      </c>
      <c r="L12" s="121">
        <f>'6'!$F$99</f>
        <v>0.42</v>
      </c>
      <c r="M12" s="75">
        <f ca="1">OFFSET('6'!$E$35,$A$3,0)</f>
        <v>11995</v>
      </c>
      <c r="N12" s="121">
        <f ca="1">OFFSET('6'!$F$35,$A$3,0)</f>
        <v>0.72</v>
      </c>
      <c r="O12" s="75">
        <f ca="1">IFERROR('6'!$F$101*'Discipline Analysis'!$B12,"")</f>
        <v>4820.96</v>
      </c>
      <c r="P12" s="121">
        <f>'6'!$F$101</f>
        <v>0.28999999999999998</v>
      </c>
      <c r="Q12" s="75" t="str">
        <f ca="1">IFERROR('6'!$F$102*'Discipline Analysis'!$B12,"")</f>
        <v/>
      </c>
      <c r="R12" s="121" t="str">
        <f>'6'!$F$102</f>
        <v/>
      </c>
      <c r="S12" s="75" t="str">
        <f ca="1">IFERROR('6'!$F$103*'Discipline Analysis'!$B12,"")</f>
        <v/>
      </c>
      <c r="T12" s="121" t="str">
        <f>'6'!$F$103</f>
        <v/>
      </c>
      <c r="U12" s="75">
        <f ca="1">IFERROR('6'!$F$104*'Discipline Analysis'!$B12,"")</f>
        <v>5818.4</v>
      </c>
      <c r="V12" s="126">
        <f>'6'!$F$104</f>
        <v>0.35</v>
      </c>
      <c r="X12" s="74" t="s">
        <v>9</v>
      </c>
    </row>
    <row r="13" spans="1:24" x14ac:dyDescent="0.2">
      <c r="A13" s="92" t="s">
        <v>1032</v>
      </c>
      <c r="B13" s="83">
        <f ca="1">OFFSET('7'!$D$4,$A$3,0)</f>
        <v>240</v>
      </c>
      <c r="C13" s="75">
        <f ca="1">OFFSET('7'!$E$4,$A$3,0)</f>
        <v>1438.9993833484818</v>
      </c>
      <c r="D13" s="121">
        <f ca="1">OFFSET('7'!$F$4,$A$3,0)</f>
        <v>6</v>
      </c>
      <c r="E13" s="75">
        <f ca="1">OFFSET('7'!$E$66,$A$3,0)</f>
        <v>699</v>
      </c>
      <c r="F13" s="121">
        <f ca="1">OFFSET('7'!$F$66,$A$3,0)</f>
        <v>2.91</v>
      </c>
      <c r="G13" s="75">
        <f ca="1">IFERROR('7'!$F$100*'Discipline Analysis'!$B13,"")</f>
        <v>76.8</v>
      </c>
      <c r="H13" s="121">
        <f>'7'!$F$100</f>
        <v>0.32</v>
      </c>
      <c r="I13" s="75">
        <f ca="1">IFERROR('7'!$F$98*'Discipline Analysis'!$B13,"")</f>
        <v>328.8</v>
      </c>
      <c r="J13" s="121">
        <f>'7'!$F$98</f>
        <v>1.37</v>
      </c>
      <c r="K13" s="75">
        <f ca="1">IFERROR('7'!$F$99*'Discipline Analysis'!$B13,"")</f>
        <v>141.6</v>
      </c>
      <c r="L13" s="121">
        <f>'7'!$F$99</f>
        <v>0.59</v>
      </c>
      <c r="M13" s="75">
        <f ca="1">OFFSET('7'!$E$35,$A$3,0)</f>
        <v>68</v>
      </c>
      <c r="N13" s="121">
        <f ca="1">OFFSET('7'!$F$35,$A$3,0)</f>
        <v>0.28000000000000003</v>
      </c>
      <c r="O13" s="75">
        <f ca="1">IFERROR('7'!$F$101*'Discipline Analysis'!$B13,"")</f>
        <v>88.8</v>
      </c>
      <c r="P13" s="121">
        <f>'7'!$F$101</f>
        <v>0.37</v>
      </c>
      <c r="Q13" s="75" t="str">
        <f ca="1">IFERROR('7'!$F$102*'Discipline Analysis'!$B13,"")</f>
        <v/>
      </c>
      <c r="R13" s="121" t="str">
        <f>'7'!$F$102</f>
        <v/>
      </c>
      <c r="S13" s="75" t="str">
        <f ca="1">IFERROR('7'!$F$103*'Discipline Analysis'!$B13,"")</f>
        <v/>
      </c>
      <c r="T13" s="121" t="str">
        <f>'7'!$F$103</f>
        <v/>
      </c>
      <c r="U13" s="75">
        <f ca="1">IFERROR('7'!$F$104*'Discipline Analysis'!$B13,"")</f>
        <v>36</v>
      </c>
      <c r="V13" s="126">
        <f>'7'!$F$104</f>
        <v>0.15</v>
      </c>
      <c r="X13" s="74" t="s">
        <v>10</v>
      </c>
    </row>
    <row r="14" spans="1:24" x14ac:dyDescent="0.2">
      <c r="A14" s="92" t="s">
        <v>1066</v>
      </c>
      <c r="B14" s="83">
        <f ca="1">OFFSET('8'!$D$4,$A$3,0)</f>
        <v>16960</v>
      </c>
      <c r="C14" s="75">
        <f ca="1">OFFSET('8'!$E$4,$A$3,0)</f>
        <v>118241.25810111544</v>
      </c>
      <c r="D14" s="121">
        <f ca="1">OFFSET('8'!$F$4,$A$3,0)</f>
        <v>6.97</v>
      </c>
      <c r="E14" s="75">
        <f ca="1">OFFSET('8'!$E$66,$A$3,0)</f>
        <v>55084</v>
      </c>
      <c r="F14" s="121">
        <f ca="1">OFFSET('8'!$F$66,$A$3,0)</f>
        <v>3.25</v>
      </c>
      <c r="G14" s="75">
        <f ca="1">IFERROR('8'!$F$100*'Discipline Analysis'!$B14,"")</f>
        <v>2544</v>
      </c>
      <c r="H14" s="121">
        <f>'8'!$F$100</f>
        <v>0.15</v>
      </c>
      <c r="I14" s="75">
        <f ca="1">IFERROR('8'!$F$98*'Discipline Analysis'!$B14,"")</f>
        <v>17808</v>
      </c>
      <c r="J14" s="121">
        <f>'8'!$F$98</f>
        <v>1.05</v>
      </c>
      <c r="K14" s="75">
        <f ca="1">IFERROR('8'!$F$99*'Discipline Analysis'!$B14,"")</f>
        <v>9158.4000000000015</v>
      </c>
      <c r="L14" s="121">
        <f>'8'!$F$99</f>
        <v>0.54</v>
      </c>
      <c r="M14" s="75">
        <f ca="1">OFFSET('8'!$E$35,$A$3,0)</f>
        <v>29710</v>
      </c>
      <c r="N14" s="121">
        <f ca="1">OFFSET('8'!$F$35,$A$3,0)</f>
        <v>1.75</v>
      </c>
      <c r="O14" s="75">
        <f ca="1">IFERROR('8'!$F$101*'Discipline Analysis'!$B14,"")</f>
        <v>3222.4</v>
      </c>
      <c r="P14" s="121">
        <f>'8'!$F$101</f>
        <v>0.19</v>
      </c>
      <c r="Q14" s="75">
        <f ca="1">IFERROR('8'!$F$102*'Discipline Analysis'!$B14,"")</f>
        <v>678.4</v>
      </c>
      <c r="R14" s="121">
        <f>'8'!$F$102</f>
        <v>0.04</v>
      </c>
      <c r="S14" s="75" t="str">
        <f ca="1">IFERROR('8'!$F$103*'Discipline Analysis'!$B14,"")</f>
        <v/>
      </c>
      <c r="T14" s="121" t="str">
        <f>'8'!$F$103</f>
        <v/>
      </c>
      <c r="U14" s="75" t="str">
        <f ca="1">IFERROR('8'!$F$104*'Discipline Analysis'!$B14,"")</f>
        <v/>
      </c>
      <c r="V14" s="126" t="str">
        <f>'8'!$F$104</f>
        <v/>
      </c>
      <c r="X14" s="74" t="s">
        <v>11</v>
      </c>
    </row>
    <row r="15" spans="1:24" x14ac:dyDescent="0.2">
      <c r="A15" s="92" t="s">
        <v>1023</v>
      </c>
      <c r="B15" s="83">
        <f ca="1">OFFSET('9'!$D$4,$A$3,0)</f>
        <v>7136</v>
      </c>
      <c r="C15" s="75">
        <f ca="1">OFFSET('9'!$E$4,$A$3,0)</f>
        <v>68738.24130768911</v>
      </c>
      <c r="D15" s="121">
        <f ca="1">OFFSET('9'!$F$4,$A$3,0)</f>
        <v>9.6300000000000008</v>
      </c>
      <c r="E15" s="75">
        <f ca="1">OFFSET('9'!$E$66,$A$3,0)</f>
        <v>48971</v>
      </c>
      <c r="F15" s="121">
        <f ca="1">OFFSET('9'!$F$66,$A$3,0)</f>
        <v>6.86</v>
      </c>
      <c r="G15" s="75">
        <f ca="1">IFERROR('9'!$F$100*'Discipline Analysis'!$B15,"")</f>
        <v>1213.1200000000001</v>
      </c>
      <c r="H15" s="121">
        <f>'9'!$F$100</f>
        <v>0.17</v>
      </c>
      <c r="I15" s="75">
        <f ca="1">IFERROR('9'!$F$98*'Discipline Analysis'!$B15,"")</f>
        <v>4638.4000000000005</v>
      </c>
      <c r="J15" s="121">
        <f>'9'!$F$98</f>
        <v>0.65</v>
      </c>
      <c r="K15" s="75">
        <f ca="1">IFERROR('9'!$F$99*'Discipline Analysis'!$B15,"")</f>
        <v>5209.28</v>
      </c>
      <c r="L15" s="121">
        <f>'9'!$F$99</f>
        <v>0.73</v>
      </c>
      <c r="M15" s="75">
        <f ca="1">OFFSET('9'!$E$35,$A$3,0)</f>
        <v>6832</v>
      </c>
      <c r="N15" s="121">
        <f ca="1">OFFSET('9'!$F$35,$A$3,0)</f>
        <v>0.96</v>
      </c>
      <c r="O15" s="75">
        <f ca="1">IFERROR('9'!$F$101*'Discipline Analysis'!$B15,"")</f>
        <v>999.04000000000008</v>
      </c>
      <c r="P15" s="121">
        <f>'9'!$F$101</f>
        <v>0.14000000000000001</v>
      </c>
      <c r="Q15" s="75" t="str">
        <f ca="1">IFERROR('9'!$F$102*'Discipline Analysis'!$B15,"")</f>
        <v/>
      </c>
      <c r="R15" s="121" t="str">
        <f>'9'!$F$102</f>
        <v/>
      </c>
      <c r="S15" s="75" t="str">
        <f ca="1">IFERROR('9'!$F$103*'Discipline Analysis'!$B15,"")</f>
        <v/>
      </c>
      <c r="T15" s="121" t="str">
        <f>'9'!$F$103</f>
        <v/>
      </c>
      <c r="U15" s="75">
        <f ca="1">IFERROR('9'!$F$104*'Discipline Analysis'!$B15,"")</f>
        <v>856.31999999999994</v>
      </c>
      <c r="V15" s="126">
        <f>'9'!$F$104</f>
        <v>0.12</v>
      </c>
      <c r="X15" s="74" t="s">
        <v>12</v>
      </c>
    </row>
    <row r="16" spans="1:24" x14ac:dyDescent="0.2">
      <c r="A16" s="92" t="s">
        <v>1033</v>
      </c>
      <c r="B16" s="83">
        <f ca="1">OFFSET('10'!$D$4,$A$3,0)</f>
        <v>31488</v>
      </c>
      <c r="C16" s="75">
        <f ca="1">OFFSET('10'!$E$4,$A$3,0)</f>
        <v>315295.85044764658</v>
      </c>
      <c r="D16" s="121">
        <f ca="1">OFFSET('10'!$F$4,$A$3,0)</f>
        <v>10.01</v>
      </c>
      <c r="E16" s="75">
        <f ca="1">OFFSET('10'!$E$66,$A$3,0)</f>
        <v>149099</v>
      </c>
      <c r="F16" s="121">
        <f ca="1">OFFSET('10'!$F$66,$A$3,0)</f>
        <v>4.74</v>
      </c>
      <c r="G16" s="75">
        <f ca="1">IFERROR('10'!$F$100*'Discipline Analysis'!$B16,"")</f>
        <v>5352.96</v>
      </c>
      <c r="H16" s="121">
        <f>'10'!$F$100</f>
        <v>0.17</v>
      </c>
      <c r="I16" s="75">
        <f ca="1">IFERROR('10'!$F$98*'Discipline Analysis'!$B16,"")</f>
        <v>42193.920000000006</v>
      </c>
      <c r="J16" s="121">
        <f>'10'!$F$98</f>
        <v>1.34</v>
      </c>
      <c r="K16" s="75">
        <f ca="1">IFERROR('10'!$F$99*'Discipline Analysis'!$B16,"")</f>
        <v>20467.2</v>
      </c>
      <c r="L16" s="121">
        <f>'10'!$F$99</f>
        <v>0.65</v>
      </c>
      <c r="M16" s="75">
        <f ca="1">OFFSET('10'!$E$35,$A$3,0)</f>
        <v>76301</v>
      </c>
      <c r="N16" s="121">
        <f ca="1">OFFSET('10'!$F$35,$A$3,0)</f>
        <v>2.42</v>
      </c>
      <c r="O16" s="75">
        <f ca="1">IFERROR('10'!$F$101*'Discipline Analysis'!$B16,"")</f>
        <v>12595.2</v>
      </c>
      <c r="P16" s="121">
        <f>'10'!$F$101</f>
        <v>0.4</v>
      </c>
      <c r="Q16" s="75" t="str">
        <f ca="1">IFERROR('10'!$F$102*'Discipline Analysis'!$B16,"")</f>
        <v/>
      </c>
      <c r="R16" s="121" t="str">
        <f>'10'!$F$102</f>
        <v/>
      </c>
      <c r="S16" s="75" t="str">
        <f ca="1">IFERROR('10'!$F$103*'Discipline Analysis'!$B16,"")</f>
        <v/>
      </c>
      <c r="T16" s="121" t="str">
        <f>'10'!$F$103</f>
        <v/>
      </c>
      <c r="U16" s="75">
        <f ca="1">IFERROR('10'!$F$104*'Discipline Analysis'!$B16,"")</f>
        <v>9446.4</v>
      </c>
      <c r="V16" s="126">
        <f>'10'!$F$104</f>
        <v>0.3</v>
      </c>
      <c r="X16" s="74" t="s">
        <v>464</v>
      </c>
    </row>
    <row r="17" spans="1:24" x14ac:dyDescent="0.2">
      <c r="A17" s="92" t="s">
        <v>1034</v>
      </c>
      <c r="B17" s="83">
        <f ca="1">OFFSET('11'!$D$4,$A$3,0)</f>
        <v>18472</v>
      </c>
      <c r="C17" s="75">
        <f ca="1">OFFSET('11'!$E$4,$A$3,0)</f>
        <v>86769.399347306695</v>
      </c>
      <c r="D17" s="121">
        <f ca="1">OFFSET('11'!$F$4,$A$3,0)</f>
        <v>4.7</v>
      </c>
      <c r="E17" s="75">
        <f ca="1">OFFSET('11'!$E$66,$A$3,0)</f>
        <v>45117</v>
      </c>
      <c r="F17" s="121">
        <f ca="1">OFFSET('11'!$F$66,$A$3,0)</f>
        <v>2.44</v>
      </c>
      <c r="G17" s="75">
        <f ca="1">IFERROR('11'!$F$100*'Discipline Analysis'!$B17,"")</f>
        <v>5726.32</v>
      </c>
      <c r="H17" s="130">
        <f>'11'!$F$100</f>
        <v>0.31</v>
      </c>
      <c r="I17" s="75">
        <f ca="1">IFERROR('11'!$F$98*'Discipline Analysis'!$B17,"")</f>
        <v>16255.36</v>
      </c>
      <c r="J17" s="121">
        <f>'11'!$F$98</f>
        <v>0.88</v>
      </c>
      <c r="K17" s="75">
        <f ca="1">IFERROR('11'!$F$99*'Discipline Analysis'!$B17,"")</f>
        <v>6649.92</v>
      </c>
      <c r="L17" s="121">
        <f>'11'!$F$99</f>
        <v>0.36</v>
      </c>
      <c r="M17" s="75">
        <f ca="1">OFFSET('11'!$E$35,$A$3,0)</f>
        <v>1561</v>
      </c>
      <c r="N17" s="121">
        <f ca="1">OFFSET('11'!$F$35,$A$3,0)</f>
        <v>0.08</v>
      </c>
      <c r="O17" s="75">
        <f ca="1">IFERROR('11'!$F$101*'Discipline Analysis'!$B17,"")</f>
        <v>7758.24</v>
      </c>
      <c r="P17" s="121">
        <f>'11'!$F$101</f>
        <v>0.42</v>
      </c>
      <c r="Q17" s="75" t="str">
        <f ca="1">IFERROR('11'!$F$102*'Discipline Analysis'!$B17,"")</f>
        <v/>
      </c>
      <c r="R17" s="121" t="str">
        <f>'11'!$F$102</f>
        <v/>
      </c>
      <c r="S17" s="75" t="str">
        <f ca="1">IFERROR('11'!$F$103*'Discipline Analysis'!$B17,"")</f>
        <v/>
      </c>
      <c r="T17" s="121" t="str">
        <f>'11'!$F$103</f>
        <v/>
      </c>
      <c r="U17" s="75">
        <f ca="1">IFERROR('11'!$F$104*'Discipline Analysis'!$B17,"")</f>
        <v>3694.4</v>
      </c>
      <c r="V17" s="126">
        <f>'11'!$F$104</f>
        <v>0.2</v>
      </c>
      <c r="X17" s="74" t="s">
        <v>13</v>
      </c>
    </row>
    <row r="18" spans="1:24" x14ac:dyDescent="0.2">
      <c r="A18" s="92" t="s">
        <v>936</v>
      </c>
      <c r="B18" s="83">
        <f ca="1">OFFSET('12'!$D$4,$A$3,0)</f>
        <v>9984</v>
      </c>
      <c r="C18" s="75">
        <f ca="1">OFFSET('12'!$E$4,$A$3,0)</f>
        <v>113520.52775908113</v>
      </c>
      <c r="D18" s="121">
        <f ca="1">OFFSET('12'!$F$4,$A$3,0)</f>
        <v>11.37</v>
      </c>
      <c r="E18" s="75">
        <f ca="1">OFFSET('12'!$E$66,$A$3,0)</f>
        <v>50608</v>
      </c>
      <c r="F18" s="121">
        <f ca="1">OFFSET('12'!$F$66,$A$3,0)</f>
        <v>5.07</v>
      </c>
      <c r="G18" s="75">
        <f ca="1">IFERROR('12'!$F$100*'Discipline Analysis'!$B18,"")</f>
        <v>4093.4399999999996</v>
      </c>
      <c r="H18" s="121">
        <f>'12'!$F$100</f>
        <v>0.41</v>
      </c>
      <c r="I18" s="75">
        <f ca="1">IFERROR('12'!$F$98*'Discipline Analysis'!$B18,"")</f>
        <v>21765.120000000003</v>
      </c>
      <c r="J18" s="121">
        <f>'12'!$F$98</f>
        <v>2.1800000000000002</v>
      </c>
      <c r="K18" s="75">
        <f ca="1">IFERROR('12'!$F$99*'Discipline Analysis'!$B18,"")</f>
        <v>7787.52</v>
      </c>
      <c r="L18" s="121">
        <f>'12'!$F$99</f>
        <v>0.78</v>
      </c>
      <c r="M18" s="75">
        <f ca="1">OFFSET('12'!$E$35,$A$3,0)</f>
        <v>17667</v>
      </c>
      <c r="N18" s="121">
        <f ca="1">OFFSET('12'!$F$35,$A$3,0)</f>
        <v>1.77</v>
      </c>
      <c r="O18" s="75">
        <f ca="1">IFERROR('12'!$F$101*'Discipline Analysis'!$B18,"")</f>
        <v>3194.88</v>
      </c>
      <c r="P18" s="121">
        <f>'12'!$F$101</f>
        <v>0.32</v>
      </c>
      <c r="Q18" s="75" t="str">
        <f ca="1">IFERROR('12'!$F$102*'Discipline Analysis'!$B18,"")</f>
        <v/>
      </c>
      <c r="R18" s="121" t="str">
        <f>'12'!$F$102</f>
        <v/>
      </c>
      <c r="S18" s="75" t="str">
        <f ca="1">IFERROR('12'!$F$103*'Discipline Analysis'!$B18,"")</f>
        <v/>
      </c>
      <c r="T18" s="121" t="str">
        <f>'12'!$F$103</f>
        <v/>
      </c>
      <c r="U18" s="75">
        <f ca="1">IFERROR('12'!$F$104*'Discipline Analysis'!$B18,"")</f>
        <v>8286.7199999999993</v>
      </c>
      <c r="V18" s="126">
        <f>'12'!$F$104</f>
        <v>0.83</v>
      </c>
      <c r="X18" s="74" t="s">
        <v>14</v>
      </c>
    </row>
    <row r="19" spans="1:24" x14ac:dyDescent="0.2">
      <c r="A19" s="92" t="s">
        <v>1057</v>
      </c>
      <c r="B19" s="83">
        <f ca="1">OFFSET('13'!$D$4,$A$3,0)</f>
        <v>21695</v>
      </c>
      <c r="C19" s="75">
        <f ca="1">OFFSET('13'!$E$4,$A$3,0)</f>
        <v>140757.65992632319</v>
      </c>
      <c r="D19" s="121">
        <f ca="1">OFFSET('13'!$F$4,$A$3,0)</f>
        <v>6.49</v>
      </c>
      <c r="E19" s="75">
        <f ca="1">OFFSET('13'!$E$66,$A$3,0)</f>
        <v>53954</v>
      </c>
      <c r="F19" s="121">
        <f ca="1">OFFSET('13'!$F$66,$A$3,0)</f>
        <v>2.4900000000000002</v>
      </c>
      <c r="G19" s="75">
        <f ca="1">IFERROR('13'!$F$100*'Discipline Analysis'!$B19,"")</f>
        <v>9762.75</v>
      </c>
      <c r="H19" s="121">
        <f>'13'!$F$100</f>
        <v>0.45</v>
      </c>
      <c r="I19" s="75">
        <f ca="1">IFERROR('13'!$F$98*'Discipline Analysis'!$B19,"")</f>
        <v>29939.1</v>
      </c>
      <c r="J19" s="121">
        <f>'13'!$F$98</f>
        <v>1.38</v>
      </c>
      <c r="K19" s="75">
        <f ca="1">IFERROR('13'!$F$99*'Discipline Analysis'!$B19,"")</f>
        <v>15837.35</v>
      </c>
      <c r="L19" s="121">
        <f>'13'!$F$99</f>
        <v>0.73</v>
      </c>
      <c r="M19" s="75">
        <f ca="1">OFFSET('13'!$E$35,$A$3,0)</f>
        <v>16537</v>
      </c>
      <c r="N19" s="121">
        <f ca="1">OFFSET('13'!$F$35,$A$3,0)</f>
        <v>0.76</v>
      </c>
      <c r="O19" s="75">
        <f ca="1">IFERROR('13'!$F$101*'Discipline Analysis'!$B19,"")</f>
        <v>9545.7999999999993</v>
      </c>
      <c r="P19" s="121">
        <f>'13'!$F$101</f>
        <v>0.44</v>
      </c>
      <c r="Q19" s="75" t="str">
        <f ca="1">IFERROR('13'!$F$102*'Discipline Analysis'!$B19,"")</f>
        <v/>
      </c>
      <c r="R19" s="121" t="str">
        <f>'13'!$F$102</f>
        <v/>
      </c>
      <c r="S19" s="75" t="str">
        <f ca="1">IFERROR('13'!$F$103*'Discipline Analysis'!$B19,"")</f>
        <v/>
      </c>
      <c r="T19" s="121" t="str">
        <f>'13'!$F$103</f>
        <v/>
      </c>
      <c r="U19" s="75">
        <f ca="1">IFERROR('13'!$F$104*'Discipline Analysis'!$B19,"")</f>
        <v>5206.8</v>
      </c>
      <c r="V19" s="126">
        <f>'13'!$F$104</f>
        <v>0.24</v>
      </c>
      <c r="X19" s="74" t="s">
        <v>15</v>
      </c>
    </row>
    <row r="20" spans="1:24" x14ac:dyDescent="0.2">
      <c r="A20" s="92" t="s">
        <v>1058</v>
      </c>
      <c r="B20" s="83">
        <f ca="1">OFFSET('14'!$D$4,$A$3,0)</f>
        <v>167717</v>
      </c>
      <c r="C20" s="75">
        <f ca="1">OFFSET('14'!$E$4,$A$3,0)</f>
        <v>1555828.2261880888</v>
      </c>
      <c r="D20" s="121">
        <f ca="1">OFFSET('14'!$F$4,$A$3,0)</f>
        <v>9.2799999999999994</v>
      </c>
      <c r="E20" s="75">
        <f ca="1">OFFSET('14'!$E$66,$A$3,0)</f>
        <v>471841</v>
      </c>
      <c r="F20" s="121">
        <f ca="1">OFFSET('14'!$F$66,$A$3,0)</f>
        <v>2.81</v>
      </c>
      <c r="G20" s="75">
        <f ca="1">IFERROR('14'!$F$100*'Discipline Analysis'!$B20,"")</f>
        <v>51992.27</v>
      </c>
      <c r="H20" s="121">
        <f>'14'!$F$100</f>
        <v>0.31</v>
      </c>
      <c r="I20" s="75">
        <f ca="1">IFERROR('14'!$F$98*'Discipline Analysis'!$B20,"")</f>
        <v>231449.46</v>
      </c>
      <c r="J20" s="121">
        <f>'14'!$F$98</f>
        <v>1.38</v>
      </c>
      <c r="K20" s="75">
        <f ca="1">IFERROR('14'!$F$99*'Discipline Analysis'!$B20,"")</f>
        <v>112370.39000000001</v>
      </c>
      <c r="L20" s="121">
        <f>'14'!$F$99</f>
        <v>0.67</v>
      </c>
      <c r="M20" s="75">
        <f ca="1">OFFSET('14'!$E$35,$A$3,0)</f>
        <v>609201</v>
      </c>
      <c r="N20" s="121">
        <f ca="1">OFFSET('14'!$F$35,$A$3,0)</f>
        <v>3.63</v>
      </c>
      <c r="O20" s="75">
        <f ca="1">IFERROR('14'!$F$101*'Discipline Analysis'!$B20,"")</f>
        <v>41929.25</v>
      </c>
      <c r="P20" s="121">
        <f>'14'!$F$101</f>
        <v>0.25</v>
      </c>
      <c r="Q20" s="75">
        <f ca="1">IFERROR('14'!$F$102*'Discipline Analysis'!$B20,"")</f>
        <v>5031.51</v>
      </c>
      <c r="R20" s="121">
        <f>'14'!$F$102</f>
        <v>0.03</v>
      </c>
      <c r="S20" s="75" t="str">
        <f ca="1">IFERROR('14'!$F$103*'Discipline Analysis'!$B20,"")</f>
        <v/>
      </c>
      <c r="T20" s="121" t="str">
        <f>'14'!$F$103</f>
        <v/>
      </c>
      <c r="U20" s="75">
        <f ca="1">IFERROR('14'!$F$104*'Discipline Analysis'!$B20,"")</f>
        <v>31866.23</v>
      </c>
      <c r="V20" s="126">
        <f>'14'!$F$104</f>
        <v>0.19</v>
      </c>
      <c r="X20" s="74" t="s">
        <v>16</v>
      </c>
    </row>
    <row r="21" spans="1:24" x14ac:dyDescent="0.2">
      <c r="A21" s="92" t="s">
        <v>1035</v>
      </c>
      <c r="B21" s="83">
        <f ca="1">OFFSET('15'!$D$4,$A$3,0)</f>
        <v>0</v>
      </c>
      <c r="C21" s="75">
        <f ca="1">OFFSET('15'!$E$4,$A$3,0)</f>
        <v>0</v>
      </c>
      <c r="D21" s="121" t="str">
        <f ca="1">OFFSET('15'!$F$4,$A$3,0)</f>
        <v/>
      </c>
      <c r="E21" s="75">
        <f ca="1">OFFSET('15'!$E$66,$A$3,0)</f>
        <v>0</v>
      </c>
      <c r="F21" s="121" t="str">
        <f ca="1">OFFSET('15'!$F$66,$A$3,0)</f>
        <v/>
      </c>
      <c r="G21" s="75">
        <f ca="1">IFERROR('15'!$F$100*'Discipline Analysis'!$B21,"")</f>
        <v>0</v>
      </c>
      <c r="H21" s="121">
        <f>'15'!$F$100</f>
        <v>0.49</v>
      </c>
      <c r="I21" s="75">
        <f ca="1">IFERROR('15'!$F$98*'Discipline Analysis'!$B21,"")</f>
        <v>0</v>
      </c>
      <c r="J21" s="121">
        <f>'15'!$F$98</f>
        <v>1.49</v>
      </c>
      <c r="K21" s="75">
        <f ca="1">IFERROR('15'!$F$99*'Discipline Analysis'!$B21,"")</f>
        <v>0</v>
      </c>
      <c r="L21" s="121">
        <f>'15'!$F$99</f>
        <v>0.67</v>
      </c>
      <c r="M21" s="75">
        <f ca="1">OFFSET('15'!$E$35,$A$3,0)</f>
        <v>0</v>
      </c>
      <c r="N21" s="121" t="str">
        <f ca="1">OFFSET('15'!$F$35,$A$3,0)</f>
        <v/>
      </c>
      <c r="O21" s="75">
        <f ca="1">IFERROR('15'!$F$101*'Discipline Analysis'!$B21,"")</f>
        <v>0</v>
      </c>
      <c r="P21" s="121">
        <f>'15'!$F$101</f>
        <v>0.4</v>
      </c>
      <c r="Q21" s="75" t="str">
        <f ca="1">IFERROR('15'!$F$102*'Discipline Analysis'!$B21,"")</f>
        <v/>
      </c>
      <c r="R21" s="121" t="str">
        <f>'15'!$F$102</f>
        <v/>
      </c>
      <c r="S21" s="75" t="str">
        <f ca="1">IFERROR('15'!$F$103*'Discipline Analysis'!$B21,"")</f>
        <v/>
      </c>
      <c r="T21" s="121" t="str">
        <f>'15'!$F$103</f>
        <v/>
      </c>
      <c r="U21" s="75">
        <f ca="1">IFERROR('15'!$F$104*'Discipline Analysis'!$B21,"")</f>
        <v>0</v>
      </c>
      <c r="V21" s="126">
        <f>'15'!$F$104</f>
        <v>0.82</v>
      </c>
      <c r="X21" s="74" t="s">
        <v>17</v>
      </c>
    </row>
    <row r="22" spans="1:24" x14ac:dyDescent="0.2">
      <c r="A22" s="91" t="s">
        <v>1059</v>
      </c>
      <c r="B22" s="83">
        <f ca="1">OFFSET('16'!$D$4,$A$3,0)</f>
        <v>1248</v>
      </c>
      <c r="C22" s="75">
        <f ca="1">OFFSET('16'!$E$4,$A$3,0)</f>
        <v>48784.437219794163</v>
      </c>
      <c r="D22" s="121">
        <f ca="1">OFFSET('16'!$F$4,$A$3,0)</f>
        <v>39.090000000000003</v>
      </c>
      <c r="E22" s="75">
        <f ca="1">OFFSET('16'!$E$66,$A$3,0)</f>
        <v>41289</v>
      </c>
      <c r="F22" s="121">
        <f ca="1">OFFSET('16'!$F$66,$A$3,0)</f>
        <v>33.08</v>
      </c>
      <c r="G22" s="75">
        <f ca="1">IFERROR('16'!$F$100*'Discipline Analysis'!$B22,"")</f>
        <v>474.24</v>
      </c>
      <c r="H22" s="121">
        <f>'16'!$F$100</f>
        <v>0.38</v>
      </c>
      <c r="I22" s="75">
        <f ca="1">IFERROR('16'!$F$98*'Discipline Analysis'!$B22,"")</f>
        <v>2034.2399999999998</v>
      </c>
      <c r="J22" s="121">
        <f>'16'!$F$98</f>
        <v>1.63</v>
      </c>
      <c r="K22" s="75">
        <f ca="1">IFERROR('16'!$F$99*'Discipline Analysis'!$B22,"")</f>
        <v>1248</v>
      </c>
      <c r="L22" s="121">
        <f>'16'!$F$99</f>
        <v>1</v>
      </c>
      <c r="M22" s="75">
        <f ca="1">OFFSET('16'!$E$35,$A$3,0)</f>
        <v>2501</v>
      </c>
      <c r="N22" s="121">
        <f ca="1">OFFSET('16'!$F$35,$A$3,0)</f>
        <v>2</v>
      </c>
      <c r="O22" s="75">
        <f ca="1">IFERROR('16'!$F$101*'Discipline Analysis'!$B22,"")</f>
        <v>661.44</v>
      </c>
      <c r="P22" s="121">
        <f>'16'!$F$101</f>
        <v>0.53</v>
      </c>
      <c r="Q22" s="75">
        <f ca="1">IFERROR('16'!$F$102*'Discipline Analysis'!$B22,"")</f>
        <v>0</v>
      </c>
      <c r="R22" s="121">
        <f>'16'!$F$102</f>
        <v>0</v>
      </c>
      <c r="S22" s="75" t="str">
        <f ca="1">IFERROR('16'!$F$103*'Discipline Analysis'!$B22,"")</f>
        <v/>
      </c>
      <c r="T22" s="121" t="str">
        <f>'16'!$F$103</f>
        <v/>
      </c>
      <c r="U22" s="75">
        <f ca="1">IFERROR('16'!$F$104*'Discipline Analysis'!$B22,"")</f>
        <v>574.08000000000004</v>
      </c>
      <c r="V22" s="126">
        <f>'16'!$F$104</f>
        <v>0.46</v>
      </c>
      <c r="X22" s="74" t="s">
        <v>18</v>
      </c>
    </row>
    <row r="23" spans="1:24" x14ac:dyDescent="0.2">
      <c r="A23" s="92" t="s">
        <v>1036</v>
      </c>
      <c r="B23" s="83">
        <f ca="1">OFFSET('17'!$D$4,$A$3,0)</f>
        <v>24112</v>
      </c>
      <c r="C23" s="75">
        <f ca="1">OFFSET('17'!$E$4,$A$3,0)</f>
        <v>203099.80934478622</v>
      </c>
      <c r="D23" s="121">
        <f ca="1">OFFSET('17'!$F$4,$A$3,0)</f>
        <v>8.42</v>
      </c>
      <c r="E23" s="75">
        <f ca="1">OFFSET('17'!$E$66,$A$3,0)</f>
        <v>110192</v>
      </c>
      <c r="F23" s="121">
        <f ca="1">OFFSET('17'!$F$66,$A$3,0)</f>
        <v>4.57</v>
      </c>
      <c r="G23" s="75">
        <f ca="1">IFERROR('17'!$F$100*'Discipline Analysis'!$B23,"")</f>
        <v>4822.4000000000005</v>
      </c>
      <c r="H23" s="121">
        <f>'17'!$F$100</f>
        <v>0.2</v>
      </c>
      <c r="I23" s="75">
        <f ca="1">IFERROR('17'!$F$98*'Discipline Analysis'!$B23,"")</f>
        <v>28452.16</v>
      </c>
      <c r="J23" s="121">
        <f>'17'!$F$98</f>
        <v>1.18</v>
      </c>
      <c r="K23" s="75">
        <f ca="1">IFERROR('17'!$F$99*'Discipline Analysis'!$B23,"")</f>
        <v>12538.24</v>
      </c>
      <c r="L23" s="121">
        <f>'17'!$F$99</f>
        <v>0.52</v>
      </c>
      <c r="M23" s="75">
        <f ca="1">OFFSET('17'!$E$35,$A$3,0)</f>
        <v>17811</v>
      </c>
      <c r="N23" s="121">
        <f ca="1">OFFSET('17'!$F$35,$A$3,0)</f>
        <v>0.74</v>
      </c>
      <c r="O23" s="75">
        <f ca="1">IFERROR('17'!$F$101*'Discipline Analysis'!$B23,"")</f>
        <v>19771.84</v>
      </c>
      <c r="P23" s="121">
        <f>'17'!$F$101</f>
        <v>0.82</v>
      </c>
      <c r="Q23" s="75">
        <f ca="1">IFERROR('17'!$F$102*'Discipline Analysis'!$B23,"")</f>
        <v>1687.8400000000001</v>
      </c>
      <c r="R23" s="121">
        <f>'17'!$F$102</f>
        <v>7.0000000000000007E-2</v>
      </c>
      <c r="S23" s="75" t="str">
        <f ca="1">IFERROR('17'!$F$103*'Discipline Analysis'!$B23,"")</f>
        <v/>
      </c>
      <c r="T23" s="121" t="str">
        <f>'17'!$F$103</f>
        <v/>
      </c>
      <c r="U23" s="75">
        <f ca="1">IFERROR('17'!$F$104*'Discipline Analysis'!$B23,"")</f>
        <v>7715.84</v>
      </c>
      <c r="V23" s="126">
        <f>'17'!$F$104</f>
        <v>0.32</v>
      </c>
      <c r="X23" s="74" t="s">
        <v>461</v>
      </c>
    </row>
    <row r="24" spans="1:24" x14ac:dyDescent="0.2">
      <c r="A24" s="92" t="s">
        <v>1037</v>
      </c>
      <c r="B24" s="83">
        <f ca="1">OFFSET('18'!$D$4,$A$3,0)</f>
        <v>0</v>
      </c>
      <c r="C24" s="75">
        <f ca="1">OFFSET('18'!$E$4,$A$3,0)</f>
        <v>0</v>
      </c>
      <c r="D24" s="121" t="str">
        <f ca="1">OFFSET('18'!$F$4,$A$3,0)</f>
        <v/>
      </c>
      <c r="E24" s="75">
        <f ca="1">OFFSET('18'!$E$66,$A$3,0)</f>
        <v>0</v>
      </c>
      <c r="F24" s="121" t="str">
        <f ca="1">OFFSET('18'!$F$66,$A$3,0)</f>
        <v/>
      </c>
      <c r="G24" s="75">
        <f ca="1">IFERROR('18'!$F$100*'Discipline Analysis'!$B24,"")</f>
        <v>0</v>
      </c>
      <c r="H24" s="121">
        <f>'18'!$F$100</f>
        <v>0.24</v>
      </c>
      <c r="I24" s="75">
        <f ca="1">IFERROR('18'!$F$98*'Discipline Analysis'!$B24,"")</f>
        <v>0</v>
      </c>
      <c r="J24" s="121">
        <f>'18'!$F$98</f>
        <v>1.58</v>
      </c>
      <c r="K24" s="75">
        <f ca="1">IFERROR('18'!$F$99*'Discipline Analysis'!$B24,"")</f>
        <v>0</v>
      </c>
      <c r="L24" s="121">
        <f>'18'!$F$99</f>
        <v>0.37</v>
      </c>
      <c r="M24" s="75">
        <f ca="1">OFFSET('18'!$E$35,$A$3,0)</f>
        <v>0</v>
      </c>
      <c r="N24" s="121" t="str">
        <f ca="1">OFFSET('18'!$F$35,$A$3,0)</f>
        <v/>
      </c>
      <c r="O24" s="75">
        <f ca="1">IFERROR('18'!$F$101*'Discipline Analysis'!$B24,"")</f>
        <v>0</v>
      </c>
      <c r="P24" s="121">
        <f>'18'!$F$101</f>
        <v>1.64</v>
      </c>
      <c r="Q24" s="75" t="str">
        <f ca="1">IFERROR('18'!$F$102*'Discipline Analysis'!$B24,"")</f>
        <v/>
      </c>
      <c r="R24" s="121" t="str">
        <f>'18'!$F$102</f>
        <v/>
      </c>
      <c r="S24" s="75" t="str">
        <f ca="1">IFERROR('18'!$F$103*'Discipline Analysis'!$B24,"")</f>
        <v/>
      </c>
      <c r="T24" s="121" t="str">
        <f>'18'!$F$103</f>
        <v/>
      </c>
      <c r="U24" s="75">
        <f ca="1">IFERROR('18'!$F$104*'Discipline Analysis'!$B24,"")</f>
        <v>0</v>
      </c>
      <c r="V24" s="126">
        <f>'18'!$F$104</f>
        <v>0.67</v>
      </c>
      <c r="X24" s="74" t="s">
        <v>19</v>
      </c>
    </row>
    <row r="25" spans="1:24" x14ac:dyDescent="0.2">
      <c r="A25" s="92" t="s">
        <v>1067</v>
      </c>
      <c r="B25" s="83">
        <f ca="1">OFFSET('19'!$D$4,$A$3,0)</f>
        <v>13416</v>
      </c>
      <c r="C25" s="75">
        <f ca="1">OFFSET('19'!$E$4,$A$3,0)</f>
        <v>105017.77005219896</v>
      </c>
      <c r="D25" s="121">
        <f ca="1">OFFSET('19'!$F$4,$A$3,0)</f>
        <v>7.83</v>
      </c>
      <c r="E25" s="75">
        <f ca="1">OFFSET('19'!$E$66,$A$3,0)</f>
        <v>53477</v>
      </c>
      <c r="F25" s="121">
        <f ca="1">OFFSET('19'!$F$66,$A$3,0)</f>
        <v>3.99</v>
      </c>
      <c r="G25" s="75">
        <f ca="1">IFERROR('19'!$F$100*'Discipline Analysis'!$B25,"")</f>
        <v>2280.7200000000003</v>
      </c>
      <c r="H25" s="121">
        <f>'19'!$F$100</f>
        <v>0.17</v>
      </c>
      <c r="I25" s="75">
        <f ca="1">IFERROR('19'!$F$98*'Discipline Analysis'!$B25,"")</f>
        <v>13416</v>
      </c>
      <c r="J25" s="121">
        <f>'19'!$F$98</f>
        <v>1</v>
      </c>
      <c r="K25" s="75">
        <f ca="1">IFERROR('19'!$F$99*'Discipline Analysis'!$B25,"")</f>
        <v>7110.4800000000005</v>
      </c>
      <c r="L25" s="121">
        <f>'19'!$F$99</f>
        <v>0.53</v>
      </c>
      <c r="M25" s="75">
        <f ca="1">OFFSET('19'!$E$35,$A$3,0)</f>
        <v>18748</v>
      </c>
      <c r="N25" s="121">
        <f ca="1">OFFSET('19'!$F$35,$A$3,0)</f>
        <v>1.4</v>
      </c>
      <c r="O25" s="75">
        <f ca="1">IFERROR('19'!$F$101*'Discipline Analysis'!$B25,"")</f>
        <v>2951.52</v>
      </c>
      <c r="P25" s="121">
        <f>'19'!$F$101</f>
        <v>0.22</v>
      </c>
      <c r="Q25" s="75">
        <f ca="1">IFERROR('19'!$F$102*'Discipline Analysis'!$B25,"")</f>
        <v>402.47999999999996</v>
      </c>
      <c r="R25" s="121">
        <f>'19'!$F$102</f>
        <v>0.03</v>
      </c>
      <c r="S25" s="75" t="str">
        <f ca="1">IFERROR('19'!$F$103*'Discipline Analysis'!$B25,"")</f>
        <v/>
      </c>
      <c r="T25" s="121" t="str">
        <f>'19'!$F$103</f>
        <v/>
      </c>
      <c r="U25" s="75">
        <f ca="1">IFERROR('19'!$F$104*'Discipline Analysis'!$B25,"")</f>
        <v>6573.84</v>
      </c>
      <c r="V25" s="126">
        <f>'19'!$F$104</f>
        <v>0.49</v>
      </c>
      <c r="X25" s="74" t="s">
        <v>20</v>
      </c>
    </row>
    <row r="26" spans="1:24" x14ac:dyDescent="0.2">
      <c r="A26" s="92" t="s">
        <v>1038</v>
      </c>
      <c r="B26" s="83">
        <f ca="1">OFFSET('20'!$D$4,$A$3,0)</f>
        <v>9551</v>
      </c>
      <c r="C26" s="75">
        <f ca="1">OFFSET('20'!$E$4,$A$3,0)</f>
        <v>66859.173537512455</v>
      </c>
      <c r="D26" s="121">
        <f ca="1">OFFSET('20'!$F$4,$A$3,0)</f>
        <v>7</v>
      </c>
      <c r="E26" s="75">
        <f ca="1">OFFSET('20'!$E$66,$A$3,0)</f>
        <v>34712</v>
      </c>
      <c r="F26" s="121">
        <f ca="1">OFFSET('20'!$F$66,$A$3,0)</f>
        <v>3.63</v>
      </c>
      <c r="G26" s="75">
        <f ca="1">IFERROR('20'!$F$100*'Discipline Analysis'!$B26,"")</f>
        <v>5062.0300000000007</v>
      </c>
      <c r="H26" s="121">
        <f>'20'!$F$100</f>
        <v>0.53</v>
      </c>
      <c r="I26" s="75">
        <f ca="1">IFERROR('20'!$F$98*'Discipline Analysis'!$B26,"")</f>
        <v>9742.02</v>
      </c>
      <c r="J26" s="121">
        <f>'20'!$F$98</f>
        <v>1.02</v>
      </c>
      <c r="K26" s="75">
        <f ca="1">IFERROR('20'!$F$99*'Discipline Analysis'!$B26,"")</f>
        <v>5157.54</v>
      </c>
      <c r="L26" s="121">
        <f>'20'!$F$99</f>
        <v>0.54</v>
      </c>
      <c r="M26" s="75">
        <f ca="1">OFFSET('20'!$E$35,$A$3,0)</f>
        <v>8288</v>
      </c>
      <c r="N26" s="121">
        <f ca="1">OFFSET('20'!$F$35,$A$3,0)</f>
        <v>0.87</v>
      </c>
      <c r="O26" s="75">
        <f ca="1">IFERROR('20'!$F$101*'Discipline Analysis'!$B26,"")</f>
        <v>2865.2999999999997</v>
      </c>
      <c r="P26" s="121">
        <f>'20'!$F$101</f>
        <v>0.3</v>
      </c>
      <c r="Q26" s="75" t="str">
        <f ca="1">IFERROR('20'!$F$102*'Discipline Analysis'!$B26,"")</f>
        <v/>
      </c>
      <c r="R26" s="121" t="str">
        <f>'20'!$F$102</f>
        <v/>
      </c>
      <c r="S26" s="75" t="str">
        <f ca="1">IFERROR('20'!$F$103*'Discipline Analysis'!$B26,"")</f>
        <v/>
      </c>
      <c r="T26" s="121" t="str">
        <f>'20'!$F$103</f>
        <v/>
      </c>
      <c r="U26" s="75">
        <f ca="1">IFERROR('20'!$F$104*'Discipline Analysis'!$B26,"")</f>
        <v>955.1</v>
      </c>
      <c r="V26" s="126">
        <f>'20'!$F$104</f>
        <v>0.1</v>
      </c>
      <c r="X26" s="74" t="s">
        <v>21</v>
      </c>
    </row>
    <row r="27" spans="1:24" x14ac:dyDescent="0.2">
      <c r="A27" s="92" t="s">
        <v>1060</v>
      </c>
      <c r="B27" s="83">
        <f ca="1">OFFSET('21'!$D$4,$A$3,0)</f>
        <v>93478</v>
      </c>
      <c r="C27" s="75">
        <f ca="1">OFFSET('21'!$E$4,$A$3,0)</f>
        <v>809040.1932799276</v>
      </c>
      <c r="D27" s="121">
        <f ca="1">OFFSET('21'!$F$4,$A$3,0)</f>
        <v>8.65</v>
      </c>
      <c r="E27" s="75">
        <f ca="1">OFFSET('21'!$E$66,$A$3,0)</f>
        <v>287799</v>
      </c>
      <c r="F27" s="121">
        <f ca="1">OFFSET('21'!$F$66,$A$3,0)</f>
        <v>3.08</v>
      </c>
      <c r="G27" s="75">
        <f ca="1">IFERROR('21'!$F$100*'Discipline Analysis'!$B27,"")</f>
        <v>20565.16</v>
      </c>
      <c r="H27" s="121">
        <f>'21'!$F$100</f>
        <v>0.22</v>
      </c>
      <c r="I27" s="75">
        <f ca="1">IFERROR('21'!$F$98*'Discipline Analysis'!$B27,"")</f>
        <v>175738.63999999998</v>
      </c>
      <c r="J27" s="121">
        <f>'21'!$F$98</f>
        <v>1.88</v>
      </c>
      <c r="K27" s="75">
        <f ca="1">IFERROR('21'!$F$99*'Discipline Analysis'!$B27,"")</f>
        <v>100021.46</v>
      </c>
      <c r="L27" s="121">
        <f>'21'!$F$99</f>
        <v>1.07</v>
      </c>
      <c r="M27" s="75">
        <f ca="1">OFFSET('21'!$E$35,$A$3,0)</f>
        <v>206191</v>
      </c>
      <c r="N27" s="121">
        <f ca="1">OFFSET('21'!$F$35,$A$3,0)</f>
        <v>2.21</v>
      </c>
      <c r="O27" s="75">
        <f ca="1">IFERROR('21'!$F$101*'Discipline Analysis'!$B27,"")</f>
        <v>10282.58</v>
      </c>
      <c r="P27" s="121">
        <f>'21'!$F$101</f>
        <v>0.11</v>
      </c>
      <c r="Q27" s="75" t="str">
        <f ca="1">IFERROR('21'!$F$102*'Discipline Analysis'!$B27,"")</f>
        <v/>
      </c>
      <c r="R27" s="121" t="str">
        <f>'21'!$F$102</f>
        <v/>
      </c>
      <c r="S27" s="75" t="str">
        <f ca="1">IFERROR('21'!$F$103*'Discipline Analysis'!$B27,"")</f>
        <v/>
      </c>
      <c r="T27" s="121" t="str">
        <f>'21'!$F$103</f>
        <v/>
      </c>
      <c r="U27" s="75">
        <f ca="1">IFERROR('21'!$F$104*'Discipline Analysis'!$B27,"")</f>
        <v>9347.8000000000011</v>
      </c>
      <c r="V27" s="126">
        <f>'21'!$F$104</f>
        <v>0.1</v>
      </c>
      <c r="X27" s="74" t="s">
        <v>22</v>
      </c>
    </row>
    <row r="28" spans="1:24" x14ac:dyDescent="0.2">
      <c r="A28" s="92" t="s">
        <v>1039</v>
      </c>
      <c r="B28" s="83">
        <f ca="1">OFFSET('22'!$D$4,$A$3,0)</f>
        <v>64773</v>
      </c>
      <c r="C28" s="75">
        <f ca="1">OFFSET('22'!$E$4,$A$3,0)</f>
        <v>379712.52763889468</v>
      </c>
      <c r="D28" s="121">
        <f ca="1">OFFSET('22'!$F$4,$A$3,0)</f>
        <v>5.86</v>
      </c>
      <c r="E28" s="75">
        <f ca="1">OFFSET('22'!$E$66,$A$3,0)</f>
        <v>192037</v>
      </c>
      <c r="F28" s="121">
        <f ca="1">OFFSET('22'!$F$66,$A$3,0)</f>
        <v>2.96</v>
      </c>
      <c r="G28" s="75">
        <f ca="1">IFERROR('22'!$F$100*'Discipline Analysis'!$B28,"")</f>
        <v>5829.57</v>
      </c>
      <c r="H28" s="121">
        <f>'22'!$F$100</f>
        <v>0.09</v>
      </c>
      <c r="I28" s="75">
        <f ca="1">IFERROR('22'!$F$98*'Discipline Analysis'!$B28,"")</f>
        <v>55057.049999999996</v>
      </c>
      <c r="J28" s="121">
        <f>'22'!$F$98</f>
        <v>0.85</v>
      </c>
      <c r="K28" s="75">
        <f ca="1">IFERROR('22'!$F$99*'Discipline Analysis'!$B28,"")</f>
        <v>24613.74</v>
      </c>
      <c r="L28" s="121">
        <f>'22'!$F$99</f>
        <v>0.38</v>
      </c>
      <c r="M28" s="75">
        <f ca="1">OFFSET('22'!$E$35,$A$3,0)</f>
        <v>66696</v>
      </c>
      <c r="N28" s="121">
        <f ca="1">OFFSET('22'!$F$35,$A$3,0)</f>
        <v>1.03</v>
      </c>
      <c r="O28" s="75">
        <f ca="1">IFERROR('22'!$F$101*'Discipline Analysis'!$B28,"")</f>
        <v>11659.14</v>
      </c>
      <c r="P28" s="121">
        <f>'22'!$F$101</f>
        <v>0.18</v>
      </c>
      <c r="Q28" s="75" t="str">
        <f ca="1">IFERROR('22'!$F$102*'Discipline Analysis'!$B28,"")</f>
        <v/>
      </c>
      <c r="R28" s="121" t="str">
        <f>'22'!$F$102</f>
        <v/>
      </c>
      <c r="S28" s="75" t="str">
        <f ca="1">IFERROR('22'!$F$103*'Discipline Analysis'!$B28,"")</f>
        <v/>
      </c>
      <c r="T28" s="121" t="str">
        <f>'22'!$F$103</f>
        <v/>
      </c>
      <c r="U28" s="75">
        <f ca="1">IFERROR('22'!$F$104*'Discipline Analysis'!$B28,"")</f>
        <v>23318.28</v>
      </c>
      <c r="V28" s="126">
        <f>'22'!$F$104</f>
        <v>0.36</v>
      </c>
      <c r="X28" s="74" t="s">
        <v>23</v>
      </c>
    </row>
    <row r="29" spans="1:24" x14ac:dyDescent="0.2">
      <c r="A29" s="92" t="s">
        <v>1040</v>
      </c>
      <c r="B29" s="83">
        <f ca="1">OFFSET('23'!$D$4,$A$3,0)</f>
        <v>25129</v>
      </c>
      <c r="C29" s="75">
        <f ca="1">OFFSET('23'!$E$4,$A$3,0)</f>
        <v>99257.301233914914</v>
      </c>
      <c r="D29" s="121">
        <f ca="1">OFFSET('23'!$F$4,$A$3,0)</f>
        <v>3.95</v>
      </c>
      <c r="E29" s="75">
        <f ca="1">OFFSET('23'!$E$66,$A$3,0)</f>
        <v>42000</v>
      </c>
      <c r="F29" s="121">
        <f ca="1">OFFSET('23'!$F$66,$A$3,0)</f>
        <v>1.67</v>
      </c>
      <c r="G29" s="75">
        <f ca="1">IFERROR('23'!$F$100*'Discipline Analysis'!$B29,"")</f>
        <v>3518.0600000000004</v>
      </c>
      <c r="H29" s="121">
        <f>'23'!$F$100</f>
        <v>0.14000000000000001</v>
      </c>
      <c r="I29" s="75">
        <f ca="1">IFERROR('23'!$F$98*'Discipline Analysis'!$B29,"")</f>
        <v>22867.39</v>
      </c>
      <c r="J29" s="121">
        <f>'23'!$F$98</f>
        <v>0.91</v>
      </c>
      <c r="K29" s="75">
        <f ca="1">IFERROR('23'!$F$99*'Discipline Analysis'!$B29,"")</f>
        <v>8041.28</v>
      </c>
      <c r="L29" s="121">
        <f>'23'!$F$99</f>
        <v>0.32</v>
      </c>
      <c r="M29" s="75">
        <f ca="1">OFFSET('23'!$E$35,$A$3,0)</f>
        <v>1122</v>
      </c>
      <c r="N29" s="121">
        <f ca="1">OFFSET('23'!$F$35,$A$3,0)</f>
        <v>0.04</v>
      </c>
      <c r="O29" s="75">
        <f ca="1">IFERROR('23'!$F$101*'Discipline Analysis'!$B29,"")</f>
        <v>11810.63</v>
      </c>
      <c r="P29" s="121">
        <f>'23'!$F$101</f>
        <v>0.47</v>
      </c>
      <c r="Q29" s="75" t="str">
        <f ca="1">IFERROR('23'!$F$102*'Discipline Analysis'!$B29,"")</f>
        <v/>
      </c>
      <c r="R29" s="121" t="str">
        <f>'23'!$F$102</f>
        <v/>
      </c>
      <c r="S29" s="75" t="str">
        <f ca="1">IFERROR('23'!$F$103*'Discipline Analysis'!$B29,"")</f>
        <v/>
      </c>
      <c r="T29" s="121" t="str">
        <f>'23'!$F$103</f>
        <v/>
      </c>
      <c r="U29" s="75">
        <f ca="1">IFERROR('23'!$F$104*'Discipline Analysis'!$B29,"")</f>
        <v>10051.6</v>
      </c>
      <c r="V29" s="126">
        <f>'23'!$F$104</f>
        <v>0.4</v>
      </c>
      <c r="X29" s="74" t="s">
        <v>24</v>
      </c>
    </row>
    <row r="30" spans="1:24" x14ac:dyDescent="0.2">
      <c r="A30" s="92" t="s">
        <v>1024</v>
      </c>
      <c r="B30" s="83">
        <f ca="1">OFFSET('24'!$D$4,$A$3,0)</f>
        <v>0</v>
      </c>
      <c r="C30" s="75">
        <f ca="1">OFFSET('24'!$E$4,$A$3,0)</f>
        <v>0</v>
      </c>
      <c r="D30" s="121" t="str">
        <f ca="1">OFFSET('24'!$F$4,$A$3,0)</f>
        <v/>
      </c>
      <c r="E30" s="75">
        <f ca="1">OFFSET('24'!$E$66,$A$3,0)</f>
        <v>0</v>
      </c>
      <c r="F30" s="121" t="str">
        <f ca="1">OFFSET('24'!$F$66,$A$3,0)</f>
        <v/>
      </c>
      <c r="G30" s="75">
        <f ca="1">IFERROR('24'!$F$100*'Discipline Analysis'!$B30,"")</f>
        <v>0</v>
      </c>
      <c r="H30" s="121">
        <f>'24'!$F$100</f>
        <v>0.33</v>
      </c>
      <c r="I30" s="75">
        <f ca="1">IFERROR('24'!$F$98*'Discipline Analysis'!$B30,"")</f>
        <v>0</v>
      </c>
      <c r="J30" s="121">
        <f>'24'!$F$98</f>
        <v>1.27</v>
      </c>
      <c r="K30" s="75">
        <f ca="1">IFERROR('24'!$F$99*'Discipline Analysis'!$B30,"")</f>
        <v>0</v>
      </c>
      <c r="L30" s="121">
        <f>'24'!$F$99</f>
        <v>0.71</v>
      </c>
      <c r="M30" s="75">
        <f ca="1">OFFSET('24'!$E$35,$A$3,0)</f>
        <v>0</v>
      </c>
      <c r="N30" s="121" t="str">
        <f ca="1">OFFSET('24'!$F$35,$A$3,0)</f>
        <v/>
      </c>
      <c r="O30" s="75">
        <f ca="1">IFERROR('24'!$F$101*'Discipline Analysis'!$B30,"")</f>
        <v>0</v>
      </c>
      <c r="P30" s="121">
        <f>'24'!$F$101</f>
        <v>0.2</v>
      </c>
      <c r="Q30" s="75" t="str">
        <f ca="1">IFERROR('24'!$F$102*'Discipline Analysis'!$B30,"")</f>
        <v/>
      </c>
      <c r="R30" s="121" t="str">
        <f>'24'!$F$102</f>
        <v/>
      </c>
      <c r="S30" s="75" t="str">
        <f ca="1">IFERROR('24'!$F$103*'Discipline Analysis'!$B30,"")</f>
        <v/>
      </c>
      <c r="T30" s="121" t="str">
        <f>'24'!$F$103</f>
        <v/>
      </c>
      <c r="U30" s="75">
        <f ca="1">IFERROR('24'!$F$104*'Discipline Analysis'!$B30,"")</f>
        <v>0</v>
      </c>
      <c r="V30" s="126">
        <f>'24'!$F$104</f>
        <v>0.7</v>
      </c>
      <c r="X30" s="74" t="s">
        <v>25</v>
      </c>
    </row>
    <row r="31" spans="1:24" x14ac:dyDescent="0.2">
      <c r="A31" s="92" t="s">
        <v>1041</v>
      </c>
      <c r="B31" s="83">
        <f ca="1">OFFSET('25'!$D$4,$A$3,0)</f>
        <v>70496</v>
      </c>
      <c r="C31" s="75">
        <f ca="1">OFFSET('25'!$E$4,$A$3,0)</f>
        <v>468925.30900109443</v>
      </c>
      <c r="D31" s="121">
        <f ca="1">OFFSET('25'!$F$4,$A$3,0)</f>
        <v>6.65</v>
      </c>
      <c r="E31" s="75">
        <f ca="1">OFFSET('25'!$E$66,$A$3,0)</f>
        <v>115838</v>
      </c>
      <c r="F31" s="121">
        <f ca="1">OFFSET('25'!$F$66,$A$3,0)</f>
        <v>1.64</v>
      </c>
      <c r="G31" s="75">
        <f ca="1">IFERROR('25'!$F$100*'Discipline Analysis'!$B31,"")</f>
        <v>18328.96</v>
      </c>
      <c r="H31" s="121">
        <f>'25'!$F$100</f>
        <v>0.26</v>
      </c>
      <c r="I31" s="75">
        <f ca="1">IFERROR('25'!$F$98*'Discipline Analysis'!$B31,"")</f>
        <v>171305.28</v>
      </c>
      <c r="J31" s="121">
        <f>'25'!$F$98</f>
        <v>2.4300000000000002</v>
      </c>
      <c r="K31" s="75">
        <f ca="1">IFERROR('25'!$F$99*'Discipline Analysis'!$B31,"")</f>
        <v>34543.040000000001</v>
      </c>
      <c r="L31" s="121">
        <f>'25'!$F$99</f>
        <v>0.49</v>
      </c>
      <c r="M31" s="75">
        <f ca="1">OFFSET('25'!$E$35,$A$3,0)</f>
        <v>34672</v>
      </c>
      <c r="N31" s="121">
        <f ca="1">OFFSET('25'!$F$35,$A$3,0)</f>
        <v>0.49</v>
      </c>
      <c r="O31" s="75">
        <f ca="1">IFERROR('25'!$F$101*'Discipline Analysis'!$B31,"")</f>
        <v>50757.119999999995</v>
      </c>
      <c r="P31" s="121">
        <f>'25'!$F$101</f>
        <v>0.72</v>
      </c>
      <c r="Q31" s="75" t="str">
        <f ca="1">IFERROR('25'!$F$102*'Discipline Analysis'!$B31,"")</f>
        <v/>
      </c>
      <c r="R31" s="121" t="str">
        <f>'25'!$F$102</f>
        <v/>
      </c>
      <c r="S31" s="75" t="str">
        <f ca="1">IFERROR('25'!$F$103*'Discipline Analysis'!$B31,"")</f>
        <v/>
      </c>
      <c r="T31" s="121" t="str">
        <f>'25'!$F$103</f>
        <v/>
      </c>
      <c r="U31" s="75">
        <f ca="1">IFERROR('25'!$F$104*'Discipline Analysis'!$B31,"")</f>
        <v>43707.519999999997</v>
      </c>
      <c r="V31" s="126">
        <f>'25'!$F$104</f>
        <v>0.62</v>
      </c>
      <c r="X31" s="74" t="s">
        <v>946</v>
      </c>
    </row>
    <row r="32" spans="1:24" x14ac:dyDescent="0.2">
      <c r="A32" s="91" t="s">
        <v>1042</v>
      </c>
      <c r="B32" s="83">
        <f ca="1">OFFSET('26'!$D$4,$A$3,0)</f>
        <v>8230</v>
      </c>
      <c r="C32" s="75">
        <f ca="1">OFFSET('26'!$E$4,$A$3,0)</f>
        <v>84421.239035647188</v>
      </c>
      <c r="D32" s="121">
        <f ca="1">OFFSET('26'!$F$4,$A$3,0)</f>
        <v>10.26</v>
      </c>
      <c r="E32" s="75">
        <f ca="1">OFFSET('26'!$E$66,$A$3,0)</f>
        <v>31776</v>
      </c>
      <c r="F32" s="121">
        <f ca="1">OFFSET('26'!$F$66,$A$3,0)</f>
        <v>3.86</v>
      </c>
      <c r="G32" s="75">
        <f ca="1">IFERROR('26'!$F$100*'Discipline Analysis'!$B32,"")</f>
        <v>3045.1</v>
      </c>
      <c r="H32" s="121">
        <f>'26'!$F$100</f>
        <v>0.37</v>
      </c>
      <c r="I32" s="75">
        <f ca="1">IFERROR('26'!$F$98*'Discipline Analysis'!$B32,"")</f>
        <v>9382.1999999999989</v>
      </c>
      <c r="J32" s="121">
        <f>'26'!$F$98</f>
        <v>1.1399999999999999</v>
      </c>
      <c r="K32" s="75">
        <f ca="1">IFERROR('26'!$F$99*'Discipline Analysis'!$B32,"")</f>
        <v>5925.5999999999995</v>
      </c>
      <c r="L32" s="121">
        <f>'26'!$F$99</f>
        <v>0.72</v>
      </c>
      <c r="M32" s="75">
        <f ca="1">OFFSET('26'!$E$35,$A$3,0)</f>
        <v>23991</v>
      </c>
      <c r="N32" s="121">
        <f ca="1">OFFSET('26'!$F$35,$A$3,0)</f>
        <v>2.92</v>
      </c>
      <c r="O32" s="75">
        <f ca="1">IFERROR('26'!$F$101*'Discipline Analysis'!$B32,"")</f>
        <v>7736.2</v>
      </c>
      <c r="P32" s="121">
        <f>'26'!$F$101</f>
        <v>0.94</v>
      </c>
      <c r="Q32" s="75">
        <f ca="1">IFERROR('26'!$F$102*'Discipline Analysis'!$B32,"")</f>
        <v>0</v>
      </c>
      <c r="R32" s="121">
        <f>'26'!$F$102</f>
        <v>0</v>
      </c>
      <c r="S32" s="75" t="str">
        <f ca="1">IFERROR('26'!$F$103*'Discipline Analysis'!$B32,"")</f>
        <v/>
      </c>
      <c r="T32" s="121" t="str">
        <f>'26'!$F$103</f>
        <v/>
      </c>
      <c r="U32" s="75">
        <f ca="1">IFERROR('26'!$F$104*'Discipline Analysis'!$B32,"")</f>
        <v>2633.6</v>
      </c>
      <c r="V32" s="126">
        <f>'26'!$F$104</f>
        <v>0.32</v>
      </c>
    </row>
    <row r="33" spans="1:22" x14ac:dyDescent="0.2">
      <c r="A33" s="92" t="s">
        <v>1021</v>
      </c>
      <c r="B33" s="83">
        <f ca="1">OFFSET('27'!$D$4,$A$3,0)</f>
        <v>8304</v>
      </c>
      <c r="C33" s="75">
        <f ca="1">OFFSET('27'!$E$4,$A$3,0)</f>
        <v>25213.667689064085</v>
      </c>
      <c r="D33" s="121">
        <f ca="1">OFFSET('27'!$F$4,$A$3,0)</f>
        <v>3.04</v>
      </c>
      <c r="E33" s="75">
        <f ca="1">OFFSET('27'!$E$66,$A$3,0)</f>
        <v>7500</v>
      </c>
      <c r="F33" s="121">
        <f ca="1">OFFSET('27'!$F$66,$A$3,0)</f>
        <v>0.9</v>
      </c>
      <c r="G33" s="75">
        <f ca="1">IFERROR('27'!$F$100*'Discipline Analysis'!$B33,"")</f>
        <v>2574.2399999999998</v>
      </c>
      <c r="H33" s="121">
        <f>'27'!$F$100</f>
        <v>0.31</v>
      </c>
      <c r="I33" s="75">
        <f ca="1">IFERROR('27'!$F$98*'Discipline Analysis'!$B33,"")</f>
        <v>10463.040000000001</v>
      </c>
      <c r="J33" s="121">
        <f>'27'!$F$98</f>
        <v>1.26</v>
      </c>
      <c r="K33" s="75">
        <f ca="1">IFERROR('27'!$F$99*'Discipline Analysis'!$B33,"")</f>
        <v>4484.16</v>
      </c>
      <c r="L33" s="121">
        <f>'27'!$F$99</f>
        <v>0.54</v>
      </c>
      <c r="M33" s="75">
        <f ca="1">OFFSET('27'!$E$35,$A$3,0)</f>
        <v>0</v>
      </c>
      <c r="N33" s="121" t="str">
        <f ca="1">OFFSET('27'!$F$35,$A$3,0)</f>
        <v/>
      </c>
      <c r="O33" s="75">
        <f ca="1">IFERROR('27'!$F$101*'Discipline Analysis'!$B33,"")</f>
        <v>249.12</v>
      </c>
      <c r="P33" s="121">
        <f>'27'!$F$101</f>
        <v>0.03</v>
      </c>
      <c r="Q33" s="75" t="str">
        <f ca="1">IFERROR('27'!$F$102*'Discipline Analysis'!$B33,"")</f>
        <v/>
      </c>
      <c r="R33" s="121" t="str">
        <f>'27'!$F$102</f>
        <v/>
      </c>
      <c r="S33" s="75" t="str">
        <f ca="1">IFERROR('27'!$F$103*'Discipline Analysis'!$B33,"")</f>
        <v/>
      </c>
      <c r="T33" s="121" t="str">
        <f>'27'!$F$103</f>
        <v/>
      </c>
      <c r="U33" s="75" t="str">
        <f ca="1">IFERROR('27'!$F$104*'Discipline Analysis'!$B33,"")</f>
        <v/>
      </c>
      <c r="V33" s="126" t="str">
        <f>'27'!$F$104</f>
        <v/>
      </c>
    </row>
    <row r="34" spans="1:22" x14ac:dyDescent="0.2">
      <c r="A34" s="92" t="s">
        <v>1043</v>
      </c>
      <c r="B34" s="83">
        <f ca="1">OFFSET('28'!$D$4,$A$3,0)</f>
        <v>13248</v>
      </c>
      <c r="C34" s="75">
        <f ca="1">OFFSET('28'!$E$4,$A$3,0)</f>
        <v>122438.38527023693</v>
      </c>
      <c r="D34" s="121">
        <f ca="1">OFFSET('28'!$F$4,$A$3,0)</f>
        <v>9.24</v>
      </c>
      <c r="E34" s="75">
        <f ca="1">OFFSET('28'!$E$66,$A$3,0)</f>
        <v>50237</v>
      </c>
      <c r="F34" s="121">
        <f ca="1">OFFSET('28'!$F$66,$A$3,0)</f>
        <v>3.79</v>
      </c>
      <c r="G34" s="75">
        <f ca="1">IFERROR('28'!$F$100*'Discipline Analysis'!$B34,"")</f>
        <v>3179.52</v>
      </c>
      <c r="H34" s="121">
        <f>'28'!$F$100</f>
        <v>0.24</v>
      </c>
      <c r="I34" s="75">
        <f ca="1">IFERROR('28'!$F$98*'Discipline Analysis'!$B34,"")</f>
        <v>13777.92</v>
      </c>
      <c r="J34" s="121">
        <f>'28'!$F$98</f>
        <v>1.04</v>
      </c>
      <c r="K34" s="75">
        <f ca="1">IFERROR('28'!$F$99*'Discipline Analysis'!$B34,"")</f>
        <v>8478.7199999999993</v>
      </c>
      <c r="L34" s="121">
        <f>'28'!$F$99</f>
        <v>0.64</v>
      </c>
      <c r="M34" s="75">
        <f ca="1">OFFSET('28'!$E$35,$A$3,0)</f>
        <v>25579</v>
      </c>
      <c r="N34" s="121">
        <f ca="1">OFFSET('28'!$F$35,$A$3,0)</f>
        <v>1.93</v>
      </c>
      <c r="O34" s="75">
        <f ca="1">IFERROR('28'!$F$101*'Discipline Analysis'!$B34,"")</f>
        <v>10995.84</v>
      </c>
      <c r="P34" s="121">
        <f>'28'!$F$101</f>
        <v>0.83</v>
      </c>
      <c r="Q34" s="75">
        <f ca="1">IFERROR('28'!$F$102*'Discipline Analysis'!$B34,"")</f>
        <v>1192.32</v>
      </c>
      <c r="R34" s="121">
        <f>'28'!$F$102</f>
        <v>0.09</v>
      </c>
      <c r="S34" s="75" t="str">
        <f ca="1">IFERROR('28'!$F$103*'Discipline Analysis'!$B34,"")</f>
        <v/>
      </c>
      <c r="T34" s="121" t="str">
        <f>'28'!$F$103</f>
        <v/>
      </c>
      <c r="U34" s="75">
        <f ca="1">IFERROR('28'!$F$104*'Discipline Analysis'!$B34,"")</f>
        <v>9008.6400000000012</v>
      </c>
      <c r="V34" s="126">
        <f>'28'!$F$104</f>
        <v>0.68</v>
      </c>
    </row>
    <row r="35" spans="1:22" x14ac:dyDescent="0.2">
      <c r="A35" s="92" t="s">
        <v>1044</v>
      </c>
      <c r="B35" s="83">
        <f ca="1">OFFSET('29'!$D$4,$A$3,0)</f>
        <v>5808</v>
      </c>
      <c r="C35" s="75">
        <f ca="1">OFFSET('29'!$E$4,$A$3,0)</f>
        <v>17081.876563125403</v>
      </c>
      <c r="D35" s="121">
        <f ca="1">OFFSET('29'!$F$4,$A$3,0)</f>
        <v>2.94</v>
      </c>
      <c r="E35" s="75">
        <f ca="1">OFFSET('29'!$E$66,$A$3,0)</f>
        <v>1600</v>
      </c>
      <c r="F35" s="121">
        <f ca="1">OFFSET('29'!$F$66,$A$3,0)</f>
        <v>0.28000000000000003</v>
      </c>
      <c r="G35" s="75">
        <f ca="1">IFERROR('29'!$F$100*'Discipline Analysis'!$B35,"")</f>
        <v>1626.2400000000002</v>
      </c>
      <c r="H35" s="121">
        <f>'29'!$F$100</f>
        <v>0.28000000000000003</v>
      </c>
      <c r="I35" s="75">
        <f ca="1">IFERROR('29'!$F$98*'Discipline Analysis'!$B35,"")</f>
        <v>5285.28</v>
      </c>
      <c r="J35" s="121">
        <f>'29'!$F$98</f>
        <v>0.91</v>
      </c>
      <c r="K35" s="75">
        <f ca="1">IFERROR('29'!$F$99*'Discipline Analysis'!$B35,"")</f>
        <v>2323.2000000000003</v>
      </c>
      <c r="L35" s="121">
        <f>'29'!$F$99</f>
        <v>0.4</v>
      </c>
      <c r="M35" s="75">
        <f ca="1">OFFSET('29'!$E$35,$A$3,0)</f>
        <v>675</v>
      </c>
      <c r="N35" s="121">
        <f ca="1">OFFSET('29'!$F$35,$A$3,0)</f>
        <v>0.12</v>
      </c>
      <c r="O35" s="75">
        <f ca="1">IFERROR('29'!$F$101*'Discipline Analysis'!$B35,"")</f>
        <v>2904</v>
      </c>
      <c r="P35" s="121">
        <f>'29'!$F$101</f>
        <v>0.5</v>
      </c>
      <c r="Q35" s="75" t="str">
        <f ca="1">IFERROR('29'!$F$102*'Discipline Analysis'!$B35,"")</f>
        <v/>
      </c>
      <c r="R35" s="121" t="str">
        <f>'29'!$F$102</f>
        <v/>
      </c>
      <c r="S35" s="75" t="str">
        <f ca="1">IFERROR('29'!$F$103*'Discipline Analysis'!$B35,"")</f>
        <v/>
      </c>
      <c r="T35" s="121" t="str">
        <f>'29'!$F$103</f>
        <v/>
      </c>
      <c r="U35" s="75">
        <f ca="1">IFERROR('29'!$F$104*'Discipline Analysis'!$B35,"")</f>
        <v>2671.6800000000003</v>
      </c>
      <c r="V35" s="126">
        <f>'29'!$F$104</f>
        <v>0.46</v>
      </c>
    </row>
    <row r="36" spans="1:22" x14ac:dyDescent="0.2">
      <c r="A36" s="92" t="s">
        <v>1045</v>
      </c>
      <c r="B36" s="83">
        <f ca="1">OFFSET('30'!$D$4,$A$3,0)</f>
        <v>30944</v>
      </c>
      <c r="C36" s="75">
        <f ca="1">OFFSET('30'!$E$4,$A$3,0)</f>
        <v>337142.03939987894</v>
      </c>
      <c r="D36" s="121">
        <f ca="1">OFFSET('30'!$F$4,$A$3,0)</f>
        <v>10.9</v>
      </c>
      <c r="E36" s="75">
        <f ca="1">OFFSET('30'!$E$66,$A$3,0)</f>
        <v>159947</v>
      </c>
      <c r="F36" s="121">
        <f ca="1">OFFSET('30'!$F$66,$A$3,0)</f>
        <v>5.17</v>
      </c>
      <c r="G36" s="75">
        <f ca="1">IFERROR('30'!$F$100*'Discipline Analysis'!$B36,"")</f>
        <v>5879.36</v>
      </c>
      <c r="H36" s="121">
        <f>'30'!$F$100</f>
        <v>0.19</v>
      </c>
      <c r="I36" s="75">
        <f ca="1">IFERROR('30'!$F$98*'Discipline Analysis'!$B36,"")</f>
        <v>25683.52</v>
      </c>
      <c r="J36" s="121">
        <f>'30'!$F$98</f>
        <v>0.83</v>
      </c>
      <c r="K36" s="75">
        <f ca="1">IFERROR('30'!$F$99*'Discipline Analysis'!$B36,"")</f>
        <v>11449.28</v>
      </c>
      <c r="L36" s="121">
        <f>'30'!$F$99</f>
        <v>0.37</v>
      </c>
      <c r="M36" s="75">
        <f ca="1">OFFSET('30'!$E$35,$A$3,0)</f>
        <v>116273</v>
      </c>
      <c r="N36" s="121">
        <f ca="1">OFFSET('30'!$F$35,$A$3,0)</f>
        <v>3.76</v>
      </c>
      <c r="O36" s="75">
        <f ca="1">IFERROR('30'!$F$101*'Discipline Analysis'!$B36,"")</f>
        <v>12377.6</v>
      </c>
      <c r="P36" s="121">
        <f>'30'!$F$101</f>
        <v>0.4</v>
      </c>
      <c r="Q36" s="75" t="str">
        <f ca="1">IFERROR('30'!$F$102*'Discipline Analysis'!$B36,"")</f>
        <v/>
      </c>
      <c r="R36" s="121" t="str">
        <f>'30'!$F$102</f>
        <v/>
      </c>
      <c r="S36" s="75" t="str">
        <f ca="1">IFERROR('30'!$F$103*'Discipline Analysis'!$B36,"")</f>
        <v/>
      </c>
      <c r="T36" s="121" t="str">
        <f>'30'!$F$103</f>
        <v/>
      </c>
      <c r="U36" s="75">
        <f ca="1">IFERROR('30'!$F$104*'Discipline Analysis'!$B36,"")</f>
        <v>5569.92</v>
      </c>
      <c r="V36" s="126">
        <f>'30'!$F$104</f>
        <v>0.18</v>
      </c>
    </row>
    <row r="37" spans="1:22" x14ac:dyDescent="0.2">
      <c r="A37" s="92" t="s">
        <v>1022</v>
      </c>
      <c r="B37" s="83">
        <f ca="1">OFFSET('31'!$D$4,$A$3,0)</f>
        <v>13392</v>
      </c>
      <c r="C37" s="75">
        <f ca="1">OFFSET('31'!$E$4,$A$3,0)</f>
        <v>85112.067899048474</v>
      </c>
      <c r="D37" s="121">
        <f ca="1">OFFSET('31'!$F$4,$A$3,0)</f>
        <v>6.36</v>
      </c>
      <c r="E37" s="75">
        <f ca="1">OFFSET('31'!$E$66,$A$3,0)</f>
        <v>41744</v>
      </c>
      <c r="F37" s="121">
        <f ca="1">OFFSET('31'!$F$66,$A$3,0)</f>
        <v>3.12</v>
      </c>
      <c r="G37" s="75">
        <f ca="1">IFERROR('31'!$F$100*'Discipline Analysis'!$B37,"")</f>
        <v>3214.08</v>
      </c>
      <c r="H37" s="121">
        <f>'31'!$F$100</f>
        <v>0.24</v>
      </c>
      <c r="I37" s="75">
        <f ca="1">IFERROR('31'!$F$98*'Discipline Analysis'!$B37,"")</f>
        <v>16606.079999999998</v>
      </c>
      <c r="J37" s="121">
        <f>'31'!$F$98</f>
        <v>1.24</v>
      </c>
      <c r="K37" s="75">
        <f ca="1">IFERROR('31'!$F$99*'Discipline Analysis'!$B37,"")</f>
        <v>6963.84</v>
      </c>
      <c r="L37" s="121">
        <f>'31'!$F$99</f>
        <v>0.52</v>
      </c>
      <c r="M37" s="75">
        <f ca="1">OFFSET('31'!$E$35,$A$3,0)</f>
        <v>4274</v>
      </c>
      <c r="N37" s="121">
        <f ca="1">OFFSET('31'!$F$35,$A$3,0)</f>
        <v>0.32</v>
      </c>
      <c r="O37" s="75">
        <f ca="1">IFERROR('31'!$F$101*'Discipline Analysis'!$B37,"")</f>
        <v>6428.16</v>
      </c>
      <c r="P37" s="121">
        <f>'31'!$F$101</f>
        <v>0.48</v>
      </c>
      <c r="Q37" s="75">
        <f ca="1">IFERROR('31'!$F$102*'Discipline Analysis'!$B37,"")</f>
        <v>2276.6400000000003</v>
      </c>
      <c r="R37" s="121">
        <f>'31'!$F$102</f>
        <v>0.17</v>
      </c>
      <c r="S37" s="75" t="str">
        <f ca="1">IFERROR('31'!$F$103*'Discipline Analysis'!$B37,"")</f>
        <v/>
      </c>
      <c r="T37" s="121" t="str">
        <f>'31'!$F$103</f>
        <v/>
      </c>
      <c r="U37" s="75">
        <f ca="1">IFERROR('31'!$F$104*'Discipline Analysis'!$B37,"")</f>
        <v>3615.84</v>
      </c>
      <c r="V37" s="126">
        <f>'31'!$F$104</f>
        <v>0.27</v>
      </c>
    </row>
    <row r="38" spans="1:22" x14ac:dyDescent="0.2">
      <c r="A38" s="92" t="s">
        <v>1046</v>
      </c>
      <c r="B38" s="83">
        <f ca="1">OFFSET('32'!$D$4,$A$3,0)</f>
        <v>5936</v>
      </c>
      <c r="C38" s="75">
        <f ca="1">OFFSET('32'!$E$4,$A$3,0)</f>
        <v>39450.972246101381</v>
      </c>
      <c r="D38" s="121">
        <f ca="1">OFFSET('32'!$F$4,$A$3,0)</f>
        <v>6.65</v>
      </c>
      <c r="E38" s="75">
        <f ca="1">OFFSET('32'!$E$66,$A$3,0)</f>
        <v>13970</v>
      </c>
      <c r="F38" s="121">
        <f ca="1">OFFSET('32'!$F$66,$A$3,0)</f>
        <v>2.35</v>
      </c>
      <c r="G38" s="75">
        <f ca="1">IFERROR('32'!$F$100*'Discipline Analysis'!$B38,"")</f>
        <v>1305.92</v>
      </c>
      <c r="H38" s="121">
        <f>'32'!$F$100</f>
        <v>0.22</v>
      </c>
      <c r="I38" s="75">
        <f ca="1">IFERROR('32'!$F$98*'Discipline Analysis'!$B38,"")</f>
        <v>6410.88</v>
      </c>
      <c r="J38" s="121">
        <f>'32'!$F$98</f>
        <v>1.08</v>
      </c>
      <c r="K38" s="75">
        <f ca="1">IFERROR('32'!$F$99*'Discipline Analysis'!$B38,"")</f>
        <v>4095.8399999999997</v>
      </c>
      <c r="L38" s="121">
        <f>'32'!$F$99</f>
        <v>0.69</v>
      </c>
      <c r="M38" s="75">
        <f ca="1">OFFSET('32'!$E$35,$A$3,0)</f>
        <v>6407</v>
      </c>
      <c r="N38" s="121">
        <f ca="1">OFFSET('32'!$F$35,$A$3,0)</f>
        <v>1.08</v>
      </c>
      <c r="O38" s="75">
        <f ca="1">IFERROR('32'!$F$101*'Discipline Analysis'!$B38,"")</f>
        <v>3264.8</v>
      </c>
      <c r="P38" s="121">
        <f>'32'!$F$101</f>
        <v>0.55000000000000004</v>
      </c>
      <c r="Q38" s="75">
        <f ca="1">IFERROR('32'!$F$102*'Discipline Analysis'!$B38,"")</f>
        <v>1009.1200000000001</v>
      </c>
      <c r="R38" s="121">
        <f>'32'!$F$102</f>
        <v>0.17</v>
      </c>
      <c r="S38" s="75" t="str">
        <f ca="1">IFERROR('32'!$F$103*'Discipline Analysis'!$B38,"")</f>
        <v/>
      </c>
      <c r="T38" s="121" t="str">
        <f>'32'!$F$103</f>
        <v/>
      </c>
      <c r="U38" s="75">
        <f ca="1">IFERROR('32'!$F$104*'Discipline Analysis'!$B38,"")</f>
        <v>3027.36</v>
      </c>
      <c r="V38" s="126">
        <f>'32'!$F$104</f>
        <v>0.51</v>
      </c>
    </row>
    <row r="39" spans="1:22" x14ac:dyDescent="0.2">
      <c r="A39" s="92" t="s">
        <v>1047</v>
      </c>
      <c r="B39" s="83">
        <f ca="1">OFFSET('33'!$D$4,$A$3,0)</f>
        <v>35528</v>
      </c>
      <c r="C39" s="75">
        <f ca="1">OFFSET('33'!$E$4,$A$3,0)</f>
        <v>280006.15170394507</v>
      </c>
      <c r="D39" s="121">
        <f ca="1">OFFSET('33'!$F$4,$A$3,0)</f>
        <v>7.88</v>
      </c>
      <c r="E39" s="75">
        <f ca="1">OFFSET('33'!$E$66,$A$3,0)</f>
        <v>150065</v>
      </c>
      <c r="F39" s="121">
        <f ca="1">OFFSET('33'!$F$66,$A$3,0)</f>
        <v>4.22</v>
      </c>
      <c r="G39" s="75">
        <f ca="1">IFERROR('33'!$F$100*'Discipline Analysis'!$B39,"")</f>
        <v>17053.439999999999</v>
      </c>
      <c r="H39" s="121">
        <f>'33'!$F$100</f>
        <v>0.48</v>
      </c>
      <c r="I39" s="75">
        <f ca="1">IFERROR('33'!$F$98*'Discipline Analysis'!$B39,"")</f>
        <v>36238.559999999998</v>
      </c>
      <c r="J39" s="121">
        <f>'33'!$F$98</f>
        <v>1.02</v>
      </c>
      <c r="K39" s="75">
        <f ca="1">IFERROR('33'!$F$99*'Discipline Analysis'!$B39,"")</f>
        <v>18829.84</v>
      </c>
      <c r="L39" s="121">
        <f>'33'!$F$99</f>
        <v>0.53</v>
      </c>
      <c r="M39" s="75">
        <f ca="1">OFFSET('33'!$E$35,$A$3,0)</f>
        <v>12191</v>
      </c>
      <c r="N39" s="121">
        <f ca="1">OFFSET('33'!$F$35,$A$3,0)</f>
        <v>0.34</v>
      </c>
      <c r="O39" s="75">
        <f ca="1">IFERROR('33'!$F$101*'Discipline Analysis'!$B39,"")</f>
        <v>27001.279999999999</v>
      </c>
      <c r="P39" s="121">
        <f>'33'!$F$101</f>
        <v>0.76</v>
      </c>
      <c r="Q39" s="75" t="str">
        <f ca="1">IFERROR('33'!$F$102*'Discipline Analysis'!$B39,"")</f>
        <v/>
      </c>
      <c r="R39" s="121" t="str">
        <f>'33'!$F$102</f>
        <v/>
      </c>
      <c r="S39" s="75" t="str">
        <f ca="1">IFERROR('33'!$F$103*'Discipline Analysis'!$B39,"")</f>
        <v/>
      </c>
      <c r="T39" s="121" t="str">
        <f>'33'!$F$103</f>
        <v/>
      </c>
      <c r="U39" s="75">
        <f ca="1">IFERROR('33'!$F$104*'Discipline Analysis'!$B39,"")</f>
        <v>18474.560000000001</v>
      </c>
      <c r="V39" s="126">
        <f>'33'!$F$104</f>
        <v>0.52</v>
      </c>
    </row>
    <row r="40" spans="1:22" x14ac:dyDescent="0.2">
      <c r="A40" s="92" t="s">
        <v>1025</v>
      </c>
      <c r="B40" s="83">
        <f ca="1">OFFSET('34'!$D$4,$A$3,0)</f>
        <v>7744</v>
      </c>
      <c r="C40" s="75">
        <f ca="1">OFFSET('34'!$E$4,$A$3,0)</f>
        <v>67824.280599012796</v>
      </c>
      <c r="D40" s="121">
        <f ca="1">OFFSET('34'!$F$4,$A$3,0)</f>
        <v>8.76</v>
      </c>
      <c r="E40" s="75">
        <f ca="1">OFFSET('34'!$E$66,$A$3,0)</f>
        <v>35675</v>
      </c>
      <c r="F40" s="121">
        <f ca="1">OFFSET('34'!$F$66,$A$3,0)</f>
        <v>4.6100000000000003</v>
      </c>
      <c r="G40" s="75">
        <f ca="1">IFERROR('34'!$F$100*'Discipline Analysis'!$B40,"")</f>
        <v>1626.24</v>
      </c>
      <c r="H40" s="121">
        <f>'34'!$F$100</f>
        <v>0.21</v>
      </c>
      <c r="I40" s="75">
        <f ca="1">IFERROR('34'!$F$98*'Discipline Analysis'!$B40,"")</f>
        <v>8905.5999999999985</v>
      </c>
      <c r="J40" s="121">
        <f>'34'!$F$98</f>
        <v>1.1499999999999999</v>
      </c>
      <c r="K40" s="75">
        <f ca="1">IFERROR('34'!$F$99*'Discipline Analysis'!$B40,"")</f>
        <v>3020.1600000000003</v>
      </c>
      <c r="L40" s="121">
        <f>'34'!$F$99</f>
        <v>0.39</v>
      </c>
      <c r="M40" s="75">
        <f ca="1">OFFSET('34'!$E$35,$A$3,0)</f>
        <v>12319</v>
      </c>
      <c r="N40" s="121">
        <f ca="1">OFFSET('34'!$F$35,$A$3,0)</f>
        <v>1.59</v>
      </c>
      <c r="O40" s="75">
        <f ca="1">IFERROR('34'!$F$101*'Discipline Analysis'!$B40,"")</f>
        <v>2400.64</v>
      </c>
      <c r="P40" s="121">
        <f>'34'!$F$101</f>
        <v>0.31</v>
      </c>
      <c r="Q40" s="75">
        <f ca="1">IFERROR('34'!$F$102*'Discipline Analysis'!$B40,"")</f>
        <v>77.44</v>
      </c>
      <c r="R40" s="121">
        <f>'34'!$F$102</f>
        <v>0.01</v>
      </c>
      <c r="S40" s="75" t="str">
        <f ca="1">IFERROR('34'!$F$103*'Discipline Analysis'!$B40,"")</f>
        <v/>
      </c>
      <c r="T40" s="121" t="str">
        <f>'34'!$F$103</f>
        <v/>
      </c>
      <c r="U40" s="75">
        <f ca="1">IFERROR('34'!$F$104*'Discipline Analysis'!$B40,"")</f>
        <v>3794.56</v>
      </c>
      <c r="V40" s="126">
        <f>'34'!$F$104</f>
        <v>0.49</v>
      </c>
    </row>
    <row r="41" spans="1:22" x14ac:dyDescent="0.2">
      <c r="A41" s="92" t="s">
        <v>1048</v>
      </c>
      <c r="B41" s="83">
        <f ca="1">OFFSET('35'!$D$4,$A$3,0)</f>
        <v>1728</v>
      </c>
      <c r="C41" s="75">
        <f ca="1">OFFSET('35'!$E$4,$A$3,0)</f>
        <v>6438.9532285956557</v>
      </c>
      <c r="D41" s="121">
        <f ca="1">OFFSET('35'!$F$4,$A$3,0)</f>
        <v>3.73</v>
      </c>
      <c r="E41" s="75">
        <f ca="1">OFFSET('35'!$E$66,$A$3,0)</f>
        <v>2010</v>
      </c>
      <c r="F41" s="121">
        <f ca="1">OFFSET('35'!$F$66,$A$3,0)</f>
        <v>1.1599999999999999</v>
      </c>
      <c r="G41" s="75">
        <f ca="1">IFERROR('35'!$F$100*'Discipline Analysis'!$B41,"")</f>
        <v>259.2</v>
      </c>
      <c r="H41" s="121">
        <f>'35'!$F$100</f>
        <v>0.15</v>
      </c>
      <c r="I41" s="75">
        <f ca="1">IFERROR('35'!$F$98*'Discipline Analysis'!$B41,"")</f>
        <v>2367.36</v>
      </c>
      <c r="J41" s="121">
        <f>'35'!$F$98</f>
        <v>1.37</v>
      </c>
      <c r="K41" s="75">
        <f ca="1">IFERROR('35'!$F$99*'Discipline Analysis'!$B41,"")</f>
        <v>950.40000000000009</v>
      </c>
      <c r="L41" s="121">
        <f>'35'!$F$99</f>
        <v>0.55000000000000004</v>
      </c>
      <c r="M41" s="75">
        <f ca="1">OFFSET('35'!$E$35,$A$3,0)</f>
        <v>22</v>
      </c>
      <c r="N41" s="121">
        <f ca="1">OFFSET('35'!$F$35,$A$3,0)</f>
        <v>0.01</v>
      </c>
      <c r="O41" s="75">
        <f ca="1">IFERROR('35'!$F$101*'Discipline Analysis'!$B41,"")</f>
        <v>535.67999999999995</v>
      </c>
      <c r="P41" s="121">
        <f>'35'!$F$101</f>
        <v>0.31</v>
      </c>
      <c r="Q41" s="75" t="str">
        <f ca="1">IFERROR('35'!$F$102*'Discipline Analysis'!$B41,"")</f>
        <v/>
      </c>
      <c r="R41" s="121" t="str">
        <f>'35'!$F$102</f>
        <v/>
      </c>
      <c r="S41" s="75" t="str">
        <f ca="1">IFERROR('35'!$F$103*'Discipline Analysis'!$B41,"")</f>
        <v/>
      </c>
      <c r="T41" s="121" t="str">
        <f>'35'!$F$103</f>
        <v/>
      </c>
      <c r="U41" s="75">
        <f ca="1">IFERROR('35'!$F$104*'Discipline Analysis'!$B41,"")</f>
        <v>293.76000000000005</v>
      </c>
      <c r="V41" s="126">
        <f>'35'!$F$104</f>
        <v>0.17</v>
      </c>
    </row>
    <row r="42" spans="1:22" x14ac:dyDescent="0.2">
      <c r="A42" s="92" t="s">
        <v>1061</v>
      </c>
      <c r="B42" s="83">
        <f ca="1">OFFSET('36'!$D$4,$A$3,0)</f>
        <v>4320</v>
      </c>
      <c r="C42" s="75">
        <f ca="1">OFFSET('36'!$E$4,$A$3,0)</f>
        <v>22064.255111367274</v>
      </c>
      <c r="D42" s="121">
        <f ca="1">OFFSET('36'!$F$4,$A$3,0)</f>
        <v>5.1100000000000003</v>
      </c>
      <c r="E42" s="75">
        <f ca="1">OFFSET('36'!$E$66,$A$3,0)</f>
        <v>10355</v>
      </c>
      <c r="F42" s="121">
        <f ca="1">OFFSET('36'!$F$66,$A$3,0)</f>
        <v>2.4</v>
      </c>
      <c r="G42" s="75">
        <f ca="1">IFERROR('36'!$F$100*'Discipline Analysis'!$B42,"")</f>
        <v>907.19999999999993</v>
      </c>
      <c r="H42" s="121">
        <f>'36'!$F$100</f>
        <v>0.21</v>
      </c>
      <c r="I42" s="75">
        <f ca="1">IFERROR('36'!$F$98*'Discipline Analysis'!$B42,"")</f>
        <v>4579.2</v>
      </c>
      <c r="J42" s="121">
        <f>'36'!$F$98</f>
        <v>1.06</v>
      </c>
      <c r="K42" s="75">
        <f ca="1">IFERROR('36'!$F$99*'Discipline Analysis'!$B42,"")</f>
        <v>2894.4</v>
      </c>
      <c r="L42" s="121">
        <f>'36'!$F$99</f>
        <v>0.67</v>
      </c>
      <c r="M42" s="75">
        <f ca="1">OFFSET('36'!$E$35,$A$3,0)</f>
        <v>0</v>
      </c>
      <c r="N42" s="121" t="str">
        <f ca="1">OFFSET('36'!$F$35,$A$3,0)</f>
        <v/>
      </c>
      <c r="O42" s="75">
        <f ca="1">IFERROR('36'!$F$101*'Discipline Analysis'!$B42,"")</f>
        <v>1728</v>
      </c>
      <c r="P42" s="121">
        <f>'36'!$F$101</f>
        <v>0.4</v>
      </c>
      <c r="Q42" s="75" t="str">
        <f ca="1">IFERROR('36'!$F$102*'Discipline Analysis'!$B42,"")</f>
        <v/>
      </c>
      <c r="R42" s="121" t="str">
        <f>'36'!$F$102</f>
        <v/>
      </c>
      <c r="S42" s="75" t="str">
        <f ca="1">IFERROR('36'!$F$103*'Discipline Analysis'!$B42,"")</f>
        <v/>
      </c>
      <c r="T42" s="121" t="str">
        <f>'36'!$F$103</f>
        <v/>
      </c>
      <c r="U42" s="75">
        <f ca="1">IFERROR('36'!$F$104*'Discipline Analysis'!$B42,"")</f>
        <v>1555.2</v>
      </c>
      <c r="V42" s="126">
        <f>'36'!$F$104</f>
        <v>0.36</v>
      </c>
    </row>
    <row r="43" spans="1:22" x14ac:dyDescent="0.2">
      <c r="A43" s="92" t="s">
        <v>1049</v>
      </c>
      <c r="B43" s="83">
        <f ca="1">OFFSET('37'!$D$4,$A$3,0)</f>
        <v>26480</v>
      </c>
      <c r="C43" s="75">
        <f ca="1">OFFSET('37'!$E$4,$A$3,0)</f>
        <v>245321.15219990676</v>
      </c>
      <c r="D43" s="121">
        <f ca="1">OFFSET('37'!$F$4,$A$3,0)</f>
        <v>9.26</v>
      </c>
      <c r="E43" s="75">
        <f ca="1">OFFSET('37'!$E$66,$A$3,0)</f>
        <v>110943</v>
      </c>
      <c r="F43" s="121">
        <f ca="1">OFFSET('37'!$F$66,$A$3,0)</f>
        <v>4.1900000000000004</v>
      </c>
      <c r="G43" s="75">
        <f ca="1">IFERROR('37'!$F$100*'Discipline Analysis'!$B43,"")</f>
        <v>4501.6000000000004</v>
      </c>
      <c r="H43" s="121">
        <f>'37'!$F$100</f>
        <v>0.17</v>
      </c>
      <c r="I43" s="75">
        <f ca="1">IFERROR('37'!$F$98*'Discipline Analysis'!$B43,"")</f>
        <v>22508</v>
      </c>
      <c r="J43" s="121">
        <f>'37'!$F$98</f>
        <v>0.85</v>
      </c>
      <c r="K43" s="75">
        <f ca="1">IFERROR('37'!$F$99*'Discipline Analysis'!$B43,"")</f>
        <v>11916</v>
      </c>
      <c r="L43" s="121">
        <f>'37'!$F$99</f>
        <v>0.45</v>
      </c>
      <c r="M43" s="75">
        <f ca="1">OFFSET('37'!$E$35,$A$3,0)</f>
        <v>73980</v>
      </c>
      <c r="N43" s="121">
        <f ca="1">OFFSET('37'!$F$35,$A$3,0)</f>
        <v>2.79</v>
      </c>
      <c r="O43" s="75">
        <f ca="1">IFERROR('37'!$F$101*'Discipline Analysis'!$B43,"")</f>
        <v>2383.1999999999998</v>
      </c>
      <c r="P43" s="121">
        <f>'37'!$F$101</f>
        <v>0.09</v>
      </c>
      <c r="Q43" s="75">
        <f ca="1">IFERROR('37'!$F$102*'Discipline Analysis'!$B43,"")</f>
        <v>2118.4</v>
      </c>
      <c r="R43" s="121">
        <f>'37'!$F$102</f>
        <v>0.08</v>
      </c>
      <c r="S43" s="75" t="str">
        <f ca="1">IFERROR('37'!$F$103*'Discipline Analysis'!$B43,"")</f>
        <v/>
      </c>
      <c r="T43" s="121" t="str">
        <f>'37'!$F$103</f>
        <v/>
      </c>
      <c r="U43" s="75">
        <f ca="1">IFERROR('37'!$F$104*'Discipline Analysis'!$B43,"")</f>
        <v>16682.400000000001</v>
      </c>
      <c r="V43" s="126">
        <f>'37'!$F$104</f>
        <v>0.63</v>
      </c>
    </row>
    <row r="44" spans="1:22" x14ac:dyDescent="0.2">
      <c r="A44" s="92" t="s">
        <v>1050</v>
      </c>
      <c r="B44" s="83">
        <f ca="1">OFFSET('38'!$D$4,$A$3,0)</f>
        <v>1632</v>
      </c>
      <c r="C44" s="75">
        <f ca="1">OFFSET('38'!$E$4,$A$3,0)</f>
        <v>10785.661946242155</v>
      </c>
      <c r="D44" s="121">
        <f ca="1">OFFSET('38'!$F$4,$A$3,0)</f>
        <v>6.61</v>
      </c>
      <c r="E44" s="75">
        <f ca="1">OFFSET('38'!$E$66,$A$3,0)</f>
        <v>4103</v>
      </c>
      <c r="F44" s="121">
        <f ca="1">OFFSET('38'!$F$66,$A$3,0)</f>
        <v>2.5099999999999998</v>
      </c>
      <c r="G44" s="75">
        <f ca="1">IFERROR('38'!$F$100*'Discipline Analysis'!$B44,"")</f>
        <v>342.71999999999997</v>
      </c>
      <c r="H44" s="121">
        <f>'38'!$F$100</f>
        <v>0.21</v>
      </c>
      <c r="I44" s="75">
        <f ca="1">IFERROR('38'!$F$98*'Discipline Analysis'!$B44,"")</f>
        <v>2578.56</v>
      </c>
      <c r="J44" s="121">
        <f>'38'!$F$98</f>
        <v>1.58</v>
      </c>
      <c r="K44" s="75">
        <f ca="1">IFERROR('38'!$F$99*'Discipline Analysis'!$B44,"")</f>
        <v>995.52</v>
      </c>
      <c r="L44" s="121">
        <f>'38'!$F$99</f>
        <v>0.61</v>
      </c>
      <c r="M44" s="75">
        <f ca="1">OFFSET('38'!$E$35,$A$3,0)</f>
        <v>1384</v>
      </c>
      <c r="N44" s="121">
        <f ca="1">OFFSET('38'!$F$35,$A$3,0)</f>
        <v>0.85</v>
      </c>
      <c r="O44" s="75">
        <f ca="1">IFERROR('38'!$F$101*'Discipline Analysis'!$B44,"")</f>
        <v>636.48</v>
      </c>
      <c r="P44" s="121">
        <f>'38'!$F$101</f>
        <v>0.39</v>
      </c>
      <c r="Q44" s="75" t="str">
        <f ca="1">IFERROR('38'!$F$102*'Discipline Analysis'!$B44,"")</f>
        <v/>
      </c>
      <c r="R44" s="121" t="str">
        <f>'38'!$F$102</f>
        <v/>
      </c>
      <c r="S44" s="75" t="str">
        <f ca="1">IFERROR('38'!$F$103*'Discipline Analysis'!$B44,"")</f>
        <v/>
      </c>
      <c r="T44" s="121" t="str">
        <f>'38'!$F$103</f>
        <v/>
      </c>
      <c r="U44" s="75">
        <f ca="1">IFERROR('38'!$F$104*'Discipline Analysis'!$B44,"")</f>
        <v>734.4</v>
      </c>
      <c r="V44" s="126">
        <f>'38'!$F$104</f>
        <v>0.45</v>
      </c>
    </row>
    <row r="45" spans="1:22" x14ac:dyDescent="0.2">
      <c r="A45" s="92" t="s">
        <v>1026</v>
      </c>
      <c r="B45" s="83">
        <f ca="1">OFFSET('39'!$D$4,$A$3,0)</f>
        <v>24672</v>
      </c>
      <c r="C45" s="75">
        <f ca="1">OFFSET('39'!$E$4,$A$3,0)</f>
        <v>250677.63768229561</v>
      </c>
      <c r="D45" s="121">
        <f ca="1">OFFSET('39'!$F$4,$A$3,0)</f>
        <v>10.16</v>
      </c>
      <c r="E45" s="75">
        <f ca="1">OFFSET('39'!$E$66,$A$3,0)</f>
        <v>151870</v>
      </c>
      <c r="F45" s="121">
        <f ca="1">OFFSET('39'!$F$66,$A$3,0)</f>
        <v>6.16</v>
      </c>
      <c r="G45" s="75">
        <f ca="1">IFERROR('39'!$F$100*'Discipline Analysis'!$B45,"")</f>
        <v>7648.32</v>
      </c>
      <c r="H45" s="121">
        <f>'39'!$F$100</f>
        <v>0.31</v>
      </c>
      <c r="I45" s="75">
        <f ca="1">IFERROR('39'!$F$98*'Discipline Analysis'!$B45,"")</f>
        <v>33553.920000000006</v>
      </c>
      <c r="J45" s="121">
        <f>'39'!$F$98</f>
        <v>1.36</v>
      </c>
      <c r="K45" s="75">
        <f ca="1">IFERROR('39'!$F$99*'Discipline Analysis'!$B45,"")</f>
        <v>11595.84</v>
      </c>
      <c r="L45" s="121">
        <f>'39'!$F$99</f>
        <v>0.47</v>
      </c>
      <c r="M45" s="75">
        <f ca="1">OFFSET('39'!$E$35,$A$3,0)</f>
        <v>29344</v>
      </c>
      <c r="N45" s="121">
        <f ca="1">OFFSET('39'!$F$35,$A$3,0)</f>
        <v>1.19</v>
      </c>
      <c r="O45" s="75">
        <f ca="1">IFERROR('39'!$F$101*'Discipline Analysis'!$B45,"")</f>
        <v>13076.16</v>
      </c>
      <c r="P45" s="121">
        <f>'39'!$F$101</f>
        <v>0.53</v>
      </c>
      <c r="Q45" s="75" t="str">
        <f ca="1">IFERROR('39'!$F$102*'Discipline Analysis'!$B45,"")</f>
        <v/>
      </c>
      <c r="R45" s="121" t="str">
        <f>'39'!$F$102</f>
        <v/>
      </c>
      <c r="S45" s="75" t="str">
        <f ca="1">IFERROR('39'!$F$103*'Discipline Analysis'!$B45,"")</f>
        <v/>
      </c>
      <c r="T45" s="121" t="str">
        <f>'39'!$F$103</f>
        <v/>
      </c>
      <c r="U45" s="75">
        <f ca="1">IFERROR('39'!$F$104*'Discipline Analysis'!$B45,"")</f>
        <v>3700.7999999999997</v>
      </c>
      <c r="V45" s="126">
        <f>'39'!$F$104</f>
        <v>0.15</v>
      </c>
    </row>
    <row r="46" spans="1:22" x14ac:dyDescent="0.2">
      <c r="A46" s="92" t="s">
        <v>1062</v>
      </c>
      <c r="B46" s="83">
        <f ca="1">OFFSET('40'!$D$4,$A$3,0)</f>
        <v>15234</v>
      </c>
      <c r="C46" s="75">
        <f ca="1">OFFSET('40'!$E$4,$A$3,0)</f>
        <v>162002.94521343231</v>
      </c>
      <c r="D46" s="121">
        <f ca="1">OFFSET('40'!$F$4,$A$3,0)</f>
        <v>10.63</v>
      </c>
      <c r="E46" s="75">
        <f ca="1">OFFSET('40'!$E$66,$A$3,0)</f>
        <v>75471</v>
      </c>
      <c r="F46" s="121">
        <f ca="1">OFFSET('40'!$F$66,$A$3,0)</f>
        <v>4.95</v>
      </c>
      <c r="G46" s="75">
        <f ca="1">IFERROR('40'!$F$100*'Discipline Analysis'!$B46,"")</f>
        <v>6702.96</v>
      </c>
      <c r="H46" s="121">
        <f>'40'!$F$100</f>
        <v>0.44</v>
      </c>
      <c r="I46" s="75">
        <f ca="1">IFERROR('40'!$F$98*'Discipline Analysis'!$B46,"")</f>
        <v>15995.7</v>
      </c>
      <c r="J46" s="121">
        <f>'40'!$F$98</f>
        <v>1.05</v>
      </c>
      <c r="K46" s="75">
        <f ca="1">IFERROR('40'!$F$99*'Discipline Analysis'!$B46,"")</f>
        <v>10663.8</v>
      </c>
      <c r="L46" s="121">
        <f>'40'!$F$99</f>
        <v>0.7</v>
      </c>
      <c r="M46" s="75">
        <f ca="1">OFFSET('40'!$E$35,$A$3,0)</f>
        <v>40874</v>
      </c>
      <c r="N46" s="121">
        <f ca="1">OFFSET('40'!$F$35,$A$3,0)</f>
        <v>2.68</v>
      </c>
      <c r="O46" s="75">
        <f ca="1">IFERROR('40'!$F$101*'Discipline Analysis'!$B46,"")</f>
        <v>2589.7800000000002</v>
      </c>
      <c r="P46" s="121">
        <f>'40'!$F$101</f>
        <v>0.17</v>
      </c>
      <c r="Q46" s="75" t="str">
        <f ca="1">IFERROR('40'!$F$102*'Discipline Analysis'!$B46,"")</f>
        <v/>
      </c>
      <c r="R46" s="121" t="str">
        <f>'40'!$F$102</f>
        <v/>
      </c>
      <c r="S46" s="75" t="str">
        <f ca="1">IFERROR('40'!$F$103*'Discipline Analysis'!$B46,"")</f>
        <v/>
      </c>
      <c r="T46" s="121" t="str">
        <f>'40'!$F$103</f>
        <v/>
      </c>
      <c r="U46" s="75">
        <f ca="1">IFERROR('40'!$F$104*'Discipline Analysis'!$B46,"")</f>
        <v>9597.42</v>
      </c>
      <c r="V46" s="126">
        <f>'40'!$F$104</f>
        <v>0.63</v>
      </c>
    </row>
    <row r="47" spans="1:22" x14ac:dyDescent="0.2">
      <c r="A47" s="92" t="s">
        <v>1027</v>
      </c>
      <c r="B47" s="83">
        <f ca="1">OFFSET('41'!$D$4,$A$3,0)</f>
        <v>9680</v>
      </c>
      <c r="C47" s="75">
        <f ca="1">OFFSET('41'!$E$4,$A$3,0)</f>
        <v>91426.774207634458</v>
      </c>
      <c r="D47" s="121">
        <f ca="1">OFFSET('41'!$F$4,$A$3,0)</f>
        <v>9.44</v>
      </c>
      <c r="E47" s="75">
        <f ca="1">OFFSET('41'!$E$66,$A$3,0)</f>
        <v>62000</v>
      </c>
      <c r="F47" s="121">
        <f ca="1">OFFSET('41'!$F$66,$A$3,0)</f>
        <v>6.4</v>
      </c>
      <c r="G47" s="75">
        <f ca="1">IFERROR('41'!$F$100*'Discipline Analysis'!$B47,"")</f>
        <v>3872</v>
      </c>
      <c r="H47" s="121">
        <f>'41'!$F$100</f>
        <v>0.4</v>
      </c>
      <c r="I47" s="75">
        <f ca="1">IFERROR('41'!$F$98*'Discipline Analysis'!$B47,"")</f>
        <v>10648</v>
      </c>
      <c r="J47" s="121">
        <f>'41'!$F$98</f>
        <v>1.1000000000000001</v>
      </c>
      <c r="K47" s="75">
        <f ca="1">IFERROR('41'!$F$99*'Discipline Analysis'!$B47,"")</f>
        <v>6098.4</v>
      </c>
      <c r="L47" s="121">
        <f>'41'!$F$99</f>
        <v>0.63</v>
      </c>
      <c r="M47" s="75">
        <f ca="1">OFFSET('41'!$E$35,$A$3,0)</f>
        <v>7543</v>
      </c>
      <c r="N47" s="121">
        <f ca="1">OFFSET('41'!$F$35,$A$3,0)</f>
        <v>0.78</v>
      </c>
      <c r="O47" s="75">
        <f ca="1">IFERROR('41'!$F$101*'Discipline Analysis'!$B47,"")</f>
        <v>1258.4000000000001</v>
      </c>
      <c r="P47" s="121">
        <f>'41'!$F$101</f>
        <v>0.13</v>
      </c>
      <c r="Q47" s="75" t="str">
        <f ca="1">IFERROR('41'!$F$102*'Discipline Analysis'!$B47,"")</f>
        <v/>
      </c>
      <c r="R47" s="121" t="str">
        <f>'41'!$F$102</f>
        <v/>
      </c>
      <c r="S47" s="75" t="str">
        <f ca="1">IFERROR('41'!$F$103*'Discipline Analysis'!$B47,"")</f>
        <v/>
      </c>
      <c r="T47" s="121" t="str">
        <f>'41'!$F$103</f>
        <v/>
      </c>
      <c r="U47" s="75" t="str">
        <f ca="1">IFERROR('41'!$F$104*'Discipline Analysis'!$B47,"")</f>
        <v/>
      </c>
      <c r="V47" s="126" t="str">
        <f>'41'!$F$104</f>
        <v/>
      </c>
    </row>
    <row r="48" spans="1:22" x14ac:dyDescent="0.2">
      <c r="A48" s="92" t="s">
        <v>1051</v>
      </c>
      <c r="B48" s="83">
        <f ca="1">OFFSET('42'!$D$4,$A$3,0)</f>
        <v>36574</v>
      </c>
      <c r="C48" s="75">
        <f ca="1">OFFSET('42'!$E$4,$A$3,0)</f>
        <v>241018.46308283191</v>
      </c>
      <c r="D48" s="121">
        <f ca="1">OFFSET('42'!$F$4,$A$3,0)</f>
        <v>6.59</v>
      </c>
      <c r="E48" s="75">
        <f ca="1">OFFSET('42'!$E$66,$A$3,0)</f>
        <v>132030</v>
      </c>
      <c r="F48" s="121">
        <f ca="1">OFFSET('42'!$F$66,$A$3,0)</f>
        <v>3.61</v>
      </c>
      <c r="G48" s="75">
        <f ca="1">IFERROR('42'!$F$100*'Discipline Analysis'!$B48,"")</f>
        <v>7680.54</v>
      </c>
      <c r="H48" s="121">
        <f>'42'!$F$100</f>
        <v>0.21</v>
      </c>
      <c r="I48" s="75">
        <f ca="1">IFERROR('42'!$F$98*'Discipline Analysis'!$B48,"")</f>
        <v>22675.88</v>
      </c>
      <c r="J48" s="121">
        <f>'42'!$F$98</f>
        <v>0.62</v>
      </c>
      <c r="K48" s="75">
        <f ca="1">IFERROR('42'!$F$99*'Discipline Analysis'!$B48,"")</f>
        <v>8777.76</v>
      </c>
      <c r="L48" s="121">
        <f>'42'!$F$99</f>
        <v>0.24</v>
      </c>
      <c r="M48" s="75">
        <f ca="1">OFFSET('42'!$E$35,$A$3,0)</f>
        <v>51016</v>
      </c>
      <c r="N48" s="121">
        <f ca="1">OFFSET('42'!$F$35,$A$3,0)</f>
        <v>1.39</v>
      </c>
      <c r="O48" s="75">
        <f ca="1">IFERROR('42'!$F$101*'Discipline Analysis'!$B48,"")</f>
        <v>2925.92</v>
      </c>
      <c r="P48" s="121">
        <f>'42'!$F$101</f>
        <v>0.08</v>
      </c>
      <c r="Q48" s="75" t="str">
        <f ca="1">IFERROR('42'!$F$102*'Discipline Analysis'!$B48,"")</f>
        <v/>
      </c>
      <c r="R48" s="121" t="str">
        <f>'42'!$F$102</f>
        <v/>
      </c>
      <c r="S48" s="75" t="str">
        <f ca="1">IFERROR('42'!$F$103*'Discipline Analysis'!$B48,"")</f>
        <v/>
      </c>
      <c r="T48" s="121" t="str">
        <f>'42'!$F$103</f>
        <v/>
      </c>
      <c r="U48" s="75">
        <f ca="1">IFERROR('42'!$F$104*'Discipline Analysis'!$B48,"")</f>
        <v>16092.56</v>
      </c>
      <c r="V48" s="126">
        <f>'42'!$F$104</f>
        <v>0.44</v>
      </c>
    </row>
    <row r="49" spans="1:25" x14ac:dyDescent="0.2">
      <c r="A49" s="92" t="s">
        <v>1052</v>
      </c>
      <c r="B49" s="83">
        <f ca="1">OFFSET('43'!$D$4,$A$3,0)</f>
        <v>0</v>
      </c>
      <c r="C49" s="75">
        <f ca="1">OFFSET('43'!$E$4,$A$3,0)</f>
        <v>0</v>
      </c>
      <c r="D49" s="121" t="str">
        <f ca="1">OFFSET('43'!$F$4,$A$3,0)</f>
        <v/>
      </c>
      <c r="E49" s="75">
        <f ca="1">OFFSET('43'!$E$66,$A$3,0)</f>
        <v>0</v>
      </c>
      <c r="F49" s="121" t="str">
        <f ca="1">OFFSET('43'!$F$66,$A$3,0)</f>
        <v/>
      </c>
      <c r="G49" s="75">
        <f ca="1">IFERROR('43'!$F$100*'Discipline Analysis'!$B49,"")</f>
        <v>0</v>
      </c>
      <c r="H49" s="121">
        <f>'43'!$F$100</f>
        <v>0.46</v>
      </c>
      <c r="I49" s="75">
        <f ca="1">IFERROR('43'!$F$98*'Discipline Analysis'!$B49,"")</f>
        <v>0</v>
      </c>
      <c r="J49" s="121">
        <f>'43'!$F$98</f>
        <v>1.91</v>
      </c>
      <c r="K49" s="75">
        <f ca="1">IFERROR('43'!$F$99*'Discipline Analysis'!$B49,"")</f>
        <v>0</v>
      </c>
      <c r="L49" s="121">
        <f>'43'!$F$99</f>
        <v>0.86</v>
      </c>
      <c r="M49" s="75">
        <f ca="1">OFFSET('43'!$E$35,$A$3,0)</f>
        <v>0</v>
      </c>
      <c r="N49" s="121" t="str">
        <f ca="1">OFFSET('43'!$F$35,$A$3,0)</f>
        <v/>
      </c>
      <c r="O49" s="75">
        <f ca="1">IFERROR('43'!$F$101*'Discipline Analysis'!$B49,"")</f>
        <v>0</v>
      </c>
      <c r="P49" s="121">
        <f>'43'!$F$101</f>
        <v>0.31</v>
      </c>
      <c r="Q49" s="75" t="str">
        <f ca="1">IFERROR('43'!$F$102*'Discipline Analysis'!$B49,"")</f>
        <v/>
      </c>
      <c r="R49" s="121" t="str">
        <f>'43'!$F$102</f>
        <v/>
      </c>
      <c r="S49" s="75" t="str">
        <f ca="1">IFERROR('43'!$F$103*'Discipline Analysis'!$B49,"")</f>
        <v/>
      </c>
      <c r="T49" s="121" t="str">
        <f>'43'!$F$103</f>
        <v/>
      </c>
      <c r="U49" s="75">
        <f ca="1">IFERROR('43'!$F$104*'Discipline Analysis'!$B49,"")</f>
        <v>0</v>
      </c>
      <c r="V49" s="126">
        <f>'43'!$F$104</f>
        <v>0.99</v>
      </c>
    </row>
    <row r="50" spans="1:25" x14ac:dyDescent="0.2">
      <c r="A50" s="92" t="s">
        <v>1063</v>
      </c>
      <c r="B50" s="83">
        <f ca="1">OFFSET('44'!$D$4,$A$3,0)</f>
        <v>73868</v>
      </c>
      <c r="C50" s="75">
        <f ca="1">OFFSET('44'!$E$4,$A$3,0)</f>
        <v>484183.71792422945</v>
      </c>
      <c r="D50" s="121">
        <f ca="1">OFFSET('44'!$F$4,$A$3,0)</f>
        <v>6.55</v>
      </c>
      <c r="E50" s="75">
        <f ca="1">OFFSET('44'!$E$66,$A$3,0)</f>
        <v>267393</v>
      </c>
      <c r="F50" s="121">
        <f ca="1">OFFSET('44'!$F$66,$A$3,0)</f>
        <v>3.62</v>
      </c>
      <c r="G50" s="75">
        <f ca="1">IFERROR('44'!$F$100*'Discipline Analysis'!$B50,"")</f>
        <v>18467</v>
      </c>
      <c r="H50" s="121">
        <f>'44'!$F$100</f>
        <v>0.25</v>
      </c>
      <c r="I50" s="75">
        <f ca="1">IFERROR('44'!$F$98*'Discipline Analysis'!$B50,"")</f>
        <v>43582.119999999995</v>
      </c>
      <c r="J50" s="121">
        <f>'44'!$F$98</f>
        <v>0.59</v>
      </c>
      <c r="K50" s="75">
        <f ca="1">IFERROR('44'!$F$99*'Discipline Analysis'!$B50,"")</f>
        <v>34717.96</v>
      </c>
      <c r="L50" s="121">
        <f>'44'!$F$99</f>
        <v>0.47</v>
      </c>
      <c r="M50" s="75">
        <f ca="1">OFFSET('44'!$E$35,$A$3,0)</f>
        <v>57975</v>
      </c>
      <c r="N50" s="121">
        <f ca="1">OFFSET('44'!$F$35,$A$3,0)</f>
        <v>0.78</v>
      </c>
      <c r="O50" s="75">
        <f ca="1">IFERROR('44'!$F$101*'Discipline Analysis'!$B50,"")</f>
        <v>17728.32</v>
      </c>
      <c r="P50" s="121">
        <f>'44'!$F$101</f>
        <v>0.24</v>
      </c>
      <c r="Q50" s="75">
        <f ca="1">IFERROR('44'!$F$102*'Discipline Analysis'!$B50,"")</f>
        <v>8125.4800000000005</v>
      </c>
      <c r="R50" s="121">
        <f>'44'!$F$102</f>
        <v>0.11</v>
      </c>
      <c r="S50" s="75" t="str">
        <f ca="1">IFERROR('44'!$F$103*'Discipline Analysis'!$B50,"")</f>
        <v/>
      </c>
      <c r="T50" s="121" t="str">
        <f>'44'!$F$103</f>
        <v/>
      </c>
      <c r="U50" s="75">
        <f ca="1">IFERROR('44'!$F$104*'Discipline Analysis'!$B50,"")</f>
        <v>36195.32</v>
      </c>
      <c r="V50" s="126">
        <f>'44'!$F$104</f>
        <v>0.49</v>
      </c>
    </row>
    <row r="51" spans="1:25" x14ac:dyDescent="0.2">
      <c r="A51" s="92" t="s">
        <v>1028</v>
      </c>
      <c r="B51" s="83">
        <f ca="1">OFFSET('45'!$D$4,$A$3,0)</f>
        <v>50928</v>
      </c>
      <c r="C51" s="75">
        <f ca="1">OFFSET('45'!$E$4,$A$3,0)</f>
        <v>233599.50495972601</v>
      </c>
      <c r="D51" s="121">
        <f ca="1">OFFSET('45'!$F$4,$A$3,0)</f>
        <v>4.59</v>
      </c>
      <c r="E51" s="75">
        <f ca="1">OFFSET('45'!$E$66,$A$3,0)</f>
        <v>81335</v>
      </c>
      <c r="F51" s="121">
        <f ca="1">OFFSET('45'!$F$66,$A$3,0)</f>
        <v>1.6</v>
      </c>
      <c r="G51" s="75">
        <f ca="1">IFERROR('45'!$F$100*'Discipline Analysis'!$B51,"")</f>
        <v>11713.44</v>
      </c>
      <c r="H51" s="121">
        <f>'45'!$F$100</f>
        <v>0.23</v>
      </c>
      <c r="I51" s="75">
        <f ca="1">IFERROR('45'!$F$98*'Discipline Analysis'!$B51,"")</f>
        <v>54492.960000000006</v>
      </c>
      <c r="J51" s="121">
        <f>'45'!$F$98</f>
        <v>1.07</v>
      </c>
      <c r="K51" s="75">
        <f ca="1">IFERROR('45'!$F$99*'Discipline Analysis'!$B51,"")</f>
        <v>35649.599999999999</v>
      </c>
      <c r="L51" s="121">
        <f>'45'!$F$99</f>
        <v>0.7</v>
      </c>
      <c r="M51" s="75">
        <f ca="1">OFFSET('45'!$E$35,$A$3,0)</f>
        <v>37493</v>
      </c>
      <c r="N51" s="121">
        <f ca="1">OFFSET('45'!$F$35,$A$3,0)</f>
        <v>0.74</v>
      </c>
      <c r="O51" s="75">
        <f ca="1">IFERROR('45'!$F$101*'Discipline Analysis'!$B51,"")</f>
        <v>13241.28</v>
      </c>
      <c r="P51" s="121">
        <f>'45'!$F$101</f>
        <v>0.26</v>
      </c>
      <c r="Q51" s="75" t="str">
        <f ca="1">IFERROR('45'!$F$102*'Discipline Analysis'!$B51,"")</f>
        <v/>
      </c>
      <c r="R51" s="121" t="str">
        <f>'45'!$F$102</f>
        <v/>
      </c>
      <c r="S51" s="75" t="str">
        <f ca="1">IFERROR('45'!$F$103*'Discipline Analysis'!$B51,"")</f>
        <v/>
      </c>
      <c r="T51" s="121" t="str">
        <f>'45'!$F$103</f>
        <v/>
      </c>
      <c r="U51" s="75" t="str">
        <f ca="1">IFERROR('45'!$F$104*'Discipline Analysis'!$B51,"")</f>
        <v/>
      </c>
      <c r="V51" s="126" t="str">
        <f>'45'!$F$104</f>
        <v/>
      </c>
    </row>
    <row r="52" spans="1:25" x14ac:dyDescent="0.2">
      <c r="A52" s="92" t="s">
        <v>1053</v>
      </c>
      <c r="B52" s="83">
        <f ca="1">OFFSET('46'!$D$4,$A$3,0)</f>
        <v>13728</v>
      </c>
      <c r="C52" s="75">
        <f ca="1">OFFSET('46'!$E$4,$A$3,0)</f>
        <v>85187.778329995665</v>
      </c>
      <c r="D52" s="121">
        <f ca="1">OFFSET('46'!$F$4,$A$3,0)</f>
        <v>6.21</v>
      </c>
      <c r="E52" s="75">
        <f ca="1">OFFSET('46'!$E$66,$A$3,0)</f>
        <v>42513</v>
      </c>
      <c r="F52" s="121">
        <f ca="1">OFFSET('46'!$F$66,$A$3,0)</f>
        <v>3.1</v>
      </c>
      <c r="G52" s="75">
        <f ca="1">IFERROR('46'!$F$100*'Discipline Analysis'!$B52,"")</f>
        <v>3020.16</v>
      </c>
      <c r="H52" s="121">
        <f>'46'!$F$100</f>
        <v>0.22</v>
      </c>
      <c r="I52" s="75">
        <f ca="1">IFERROR('46'!$F$98*'Discipline Analysis'!$B52,"")</f>
        <v>12767.04</v>
      </c>
      <c r="J52" s="121">
        <f>'46'!$F$98</f>
        <v>0.93</v>
      </c>
      <c r="K52" s="75">
        <f ca="1">IFERROR('46'!$F$99*'Discipline Analysis'!$B52,"")</f>
        <v>6864</v>
      </c>
      <c r="L52" s="121">
        <f>'46'!$F$99</f>
        <v>0.5</v>
      </c>
      <c r="M52" s="75">
        <f ca="1">OFFSET('46'!$E$35,$A$3,0)</f>
        <v>7976</v>
      </c>
      <c r="N52" s="121">
        <f ca="1">OFFSET('46'!$F$35,$A$3,0)</f>
        <v>0.57999999999999996</v>
      </c>
      <c r="O52" s="75">
        <f ca="1">IFERROR('46'!$F$101*'Discipline Analysis'!$B52,"")</f>
        <v>8923.2000000000007</v>
      </c>
      <c r="P52" s="121">
        <f>'46'!$F$101</f>
        <v>0.65</v>
      </c>
      <c r="Q52" s="75">
        <f ca="1">IFERROR('46'!$F$102*'Discipline Analysis'!$B52,"")</f>
        <v>274.56</v>
      </c>
      <c r="R52" s="121">
        <f>'46'!$F$102</f>
        <v>0.02</v>
      </c>
      <c r="S52" s="75" t="str">
        <f ca="1">IFERROR('46'!$F$103*'Discipline Analysis'!$B52,"")</f>
        <v/>
      </c>
      <c r="T52" s="121" t="str">
        <f>'46'!$F$103</f>
        <v/>
      </c>
      <c r="U52" s="75">
        <f ca="1">IFERROR('46'!$F$104*'Discipline Analysis'!$B52,"")</f>
        <v>2882.88</v>
      </c>
      <c r="V52" s="126">
        <f>'46'!$F$104</f>
        <v>0.21</v>
      </c>
    </row>
    <row r="53" spans="1:25" x14ac:dyDescent="0.2">
      <c r="A53" s="92" t="s">
        <v>1054</v>
      </c>
      <c r="B53" s="83">
        <f ca="1">OFFSET('47'!$D$4,$A$3,0)</f>
        <v>2880</v>
      </c>
      <c r="C53" s="75">
        <f ca="1">OFFSET('47'!$E$4,$A$3,0)</f>
        <v>18042.230090792291</v>
      </c>
      <c r="D53" s="121">
        <f ca="1">OFFSET('47'!$F$4,$A$3,0)</f>
        <v>6.26</v>
      </c>
      <c r="E53" s="75">
        <f ca="1">OFFSET('47'!$E$66,$A$3,0)</f>
        <v>8237</v>
      </c>
      <c r="F53" s="121">
        <f ca="1">OFFSET('47'!$F$66,$A$3,0)</f>
        <v>2.86</v>
      </c>
      <c r="G53" s="75">
        <f ca="1">IFERROR('47'!$F$100*'Discipline Analysis'!$B53,"")</f>
        <v>720</v>
      </c>
      <c r="H53" s="121">
        <f>'47'!$F$100</f>
        <v>0.25</v>
      </c>
      <c r="I53" s="75">
        <f ca="1">IFERROR('47'!$F$98*'Discipline Analysis'!$B53,"")</f>
        <v>2620.8000000000002</v>
      </c>
      <c r="J53" s="121">
        <f>'47'!$F$98</f>
        <v>0.91</v>
      </c>
      <c r="K53" s="75">
        <f ca="1">IFERROR('47'!$F$99*'Discipline Analysis'!$B53,"")</f>
        <v>1526.4</v>
      </c>
      <c r="L53" s="121">
        <f>'47'!$F$99</f>
        <v>0.53</v>
      </c>
      <c r="M53" s="75">
        <f ca="1">OFFSET('47'!$E$35,$A$3,0)</f>
        <v>2594</v>
      </c>
      <c r="N53" s="121">
        <f ca="1">OFFSET('47'!$F$35,$A$3,0)</f>
        <v>0.9</v>
      </c>
      <c r="O53" s="75">
        <f ca="1">IFERROR('47'!$F$101*'Discipline Analysis'!$B53,"")</f>
        <v>864</v>
      </c>
      <c r="P53" s="121">
        <f>'47'!$F$101</f>
        <v>0.3</v>
      </c>
      <c r="Q53" s="75" t="str">
        <f ca="1">IFERROR('47'!$F$102*'Discipline Analysis'!$B53,"")</f>
        <v/>
      </c>
      <c r="R53" s="121" t="str">
        <f>'47'!$F$102</f>
        <v/>
      </c>
      <c r="S53" s="75" t="str">
        <f ca="1">IFERROR('47'!$F$103*'Discipline Analysis'!$B53,"")</f>
        <v/>
      </c>
      <c r="T53" s="121" t="str">
        <f>'47'!$F$103</f>
        <v/>
      </c>
      <c r="U53" s="75">
        <f ca="1">IFERROR('47'!$F$104*'Discipline Analysis'!$B53,"")</f>
        <v>1497.6000000000001</v>
      </c>
      <c r="V53" s="126">
        <f>'47'!$F$104</f>
        <v>0.52</v>
      </c>
    </row>
    <row r="54" spans="1:25" x14ac:dyDescent="0.2">
      <c r="A54" s="92" t="s">
        <v>1055</v>
      </c>
      <c r="B54" s="83">
        <f ca="1">OFFSET('48'!$D$4,$A$3,0)</f>
        <v>23184</v>
      </c>
      <c r="C54" s="75">
        <f ca="1">OFFSET('48'!$E$4,$A$3,0)</f>
        <v>243382.38446398996</v>
      </c>
      <c r="D54" s="121">
        <f ca="1">OFFSET('48'!$F$4,$A$3,0)</f>
        <v>10.5</v>
      </c>
      <c r="E54" s="75">
        <f ca="1">OFFSET('48'!$E$66,$A$3,0)</f>
        <v>99658</v>
      </c>
      <c r="F54" s="121">
        <f ca="1">OFFSET('48'!$F$66,$A$3,0)</f>
        <v>4.3</v>
      </c>
      <c r="G54" s="75">
        <f ca="1">IFERROR('48'!$F$100*'Discipline Analysis'!$B54,"")</f>
        <v>6027.84</v>
      </c>
      <c r="H54" s="121">
        <f>'48'!$F$100</f>
        <v>0.26</v>
      </c>
      <c r="I54" s="75">
        <f ca="1">IFERROR('48'!$F$98*'Discipline Analysis'!$B54,"")</f>
        <v>31762.080000000002</v>
      </c>
      <c r="J54" s="121">
        <f>'48'!$F$98</f>
        <v>1.37</v>
      </c>
      <c r="K54" s="75">
        <f ca="1">IFERROR('48'!$F$99*'Discipline Analysis'!$B54,"")</f>
        <v>15533.28</v>
      </c>
      <c r="L54" s="121">
        <f>'48'!$F$99</f>
        <v>0.67</v>
      </c>
      <c r="M54" s="75">
        <f ca="1">OFFSET('48'!$E$35,$A$3,0)</f>
        <v>84190</v>
      </c>
      <c r="N54" s="121">
        <f ca="1">OFFSET('48'!$F$35,$A$3,0)</f>
        <v>3.63</v>
      </c>
      <c r="O54" s="75">
        <f ca="1">IFERROR('48'!$F$101*'Discipline Analysis'!$B54,"")</f>
        <v>4636.8</v>
      </c>
      <c r="P54" s="121">
        <f>'48'!$F$101</f>
        <v>0.2</v>
      </c>
      <c r="Q54" s="75" t="str">
        <f ca="1">IFERROR('48'!$F$102*'Discipline Analysis'!$B54,"")</f>
        <v/>
      </c>
      <c r="R54" s="121" t="str">
        <f>'48'!$F$102</f>
        <v/>
      </c>
      <c r="S54" s="75" t="str">
        <f ca="1">IFERROR('48'!$F$103*'Discipline Analysis'!$B54,"")</f>
        <v/>
      </c>
      <c r="T54" s="121" t="str">
        <f>'48'!$F$103</f>
        <v/>
      </c>
      <c r="U54" s="75">
        <f ca="1">IFERROR('48'!$F$104*'Discipline Analysis'!$B54,"")</f>
        <v>1391.04</v>
      </c>
      <c r="V54" s="126">
        <f>'48'!$F$104</f>
        <v>0.06</v>
      </c>
    </row>
    <row r="55" spans="1:25" x14ac:dyDescent="0.2">
      <c r="A55" s="92" t="s">
        <v>1056</v>
      </c>
      <c r="B55" s="83">
        <f ca="1">OFFSET('49'!$D$4,$A$3,0)</f>
        <v>82448</v>
      </c>
      <c r="C55" s="75">
        <f ca="1">OFFSET('49'!$E$4,$A$3,0)</f>
        <v>593958.01348813588</v>
      </c>
      <c r="D55" s="121">
        <f ca="1">OFFSET('49'!$F$4,$A$3,0)</f>
        <v>7.2</v>
      </c>
      <c r="E55" s="75">
        <f ca="1">OFFSET('49'!$E$66,$A$3,0)</f>
        <v>207139</v>
      </c>
      <c r="F55" s="121">
        <f ca="1">OFFSET('49'!$F$66,$A$3,0)</f>
        <v>2.5099999999999998</v>
      </c>
      <c r="G55" s="75">
        <f ca="1">IFERROR('49'!$F$100*'Discipline Analysis'!$B55,"")</f>
        <v>18963.04</v>
      </c>
      <c r="H55" s="121">
        <f>'49'!$F$100</f>
        <v>0.23</v>
      </c>
      <c r="I55" s="75">
        <f ca="1">IFERROR('49'!$F$98*'Discipline Analysis'!$B55,"")</f>
        <v>135214.72</v>
      </c>
      <c r="J55" s="121">
        <f>'49'!$F$98</f>
        <v>1.64</v>
      </c>
      <c r="K55" s="75">
        <f ca="1">IFERROR('49'!$F$99*'Discipline Analysis'!$B55,"")</f>
        <v>45346.400000000001</v>
      </c>
      <c r="L55" s="121">
        <f>'49'!$F$99</f>
        <v>0.55000000000000004</v>
      </c>
      <c r="M55" s="75">
        <f ca="1">OFFSET('49'!$E$35,$A$3,0)</f>
        <v>96058</v>
      </c>
      <c r="N55" s="121">
        <f ca="1">OFFSET('49'!$F$35,$A$3,0)</f>
        <v>1.17</v>
      </c>
      <c r="O55" s="75">
        <f ca="1">IFERROR('49'!$F$101*'Discipline Analysis'!$B55,"")</f>
        <v>79150.080000000002</v>
      </c>
      <c r="P55" s="121">
        <f>'49'!$F$101</f>
        <v>0.96</v>
      </c>
      <c r="Q55" s="75">
        <f ca="1">IFERROR('49'!$F$102*'Discipline Analysis'!$B55,"")</f>
        <v>4946.88</v>
      </c>
      <c r="R55" s="121">
        <f>'49'!$F$102</f>
        <v>0.06</v>
      </c>
      <c r="S55" s="75" t="str">
        <f ca="1">IFERROR('49'!$F$103*'Discipline Analysis'!$B55,"")</f>
        <v/>
      </c>
      <c r="T55" s="121" t="str">
        <f>'49'!$F$103</f>
        <v/>
      </c>
      <c r="U55" s="75">
        <f ca="1">IFERROR('49'!$F$104*'Discipline Analysis'!$B55,"")</f>
        <v>6595.84</v>
      </c>
      <c r="V55" s="126">
        <f>'49'!$F$104</f>
        <v>0.08</v>
      </c>
    </row>
    <row r="56" spans="1:25" x14ac:dyDescent="0.2">
      <c r="A56" s="92" t="s">
        <v>1064</v>
      </c>
      <c r="B56" s="83">
        <f ca="1">OFFSET('50'!$D$4,$A$3,0)</f>
        <v>28672</v>
      </c>
      <c r="C56" s="75">
        <f ca="1">OFFSET('50'!$E$4,$A$3,0)</f>
        <v>192189.43253056513</v>
      </c>
      <c r="D56" s="121">
        <f ca="1">OFFSET('50'!$F$4,$A$3,0)</f>
        <v>6.7</v>
      </c>
      <c r="E56" s="75">
        <f ca="1">OFFSET('50'!$E$66,$A$3,0)</f>
        <v>78424</v>
      </c>
      <c r="F56" s="121">
        <f ca="1">OFFSET('50'!$F$66,$A$3,0)</f>
        <v>2.74</v>
      </c>
      <c r="G56" s="75">
        <f ca="1">IFERROR('50'!$F$100*'Discipline Analysis'!$B56,"")</f>
        <v>6594.56</v>
      </c>
      <c r="H56" s="121">
        <f>'50'!$F$100</f>
        <v>0.23</v>
      </c>
      <c r="I56" s="75">
        <f ca="1">IFERROR('50'!$F$98*'Discipline Analysis'!$B56,"")</f>
        <v>47022.079999999994</v>
      </c>
      <c r="J56" s="121">
        <f>'50'!$F$98</f>
        <v>1.64</v>
      </c>
      <c r="K56" s="75">
        <f ca="1">IFERROR('50'!$F$99*'Discipline Analysis'!$B56,"")</f>
        <v>14336</v>
      </c>
      <c r="L56" s="121">
        <f>'50'!$F$99</f>
        <v>0.5</v>
      </c>
      <c r="M56" s="75">
        <f ca="1">OFFSET('50'!$E$35,$A$3,0)</f>
        <v>17232</v>
      </c>
      <c r="N56" s="121">
        <f ca="1">OFFSET('50'!$F$35,$A$3,0)</f>
        <v>0.6</v>
      </c>
      <c r="O56" s="75">
        <f ca="1">IFERROR('50'!$F$101*'Discipline Analysis'!$B56,"")</f>
        <v>13475.84</v>
      </c>
      <c r="P56" s="121">
        <f>'50'!$F$101</f>
        <v>0.47</v>
      </c>
      <c r="Q56" s="75" t="str">
        <f ca="1">IFERROR('50'!$F$102*'Discipline Analysis'!$B56,"")</f>
        <v/>
      </c>
      <c r="R56" s="121" t="str">
        <f>'50'!$F$102</f>
        <v/>
      </c>
      <c r="S56" s="75" t="str">
        <f ca="1">IFERROR('50'!$F$103*'Discipline Analysis'!$B56,"")</f>
        <v/>
      </c>
      <c r="T56" s="121" t="str">
        <f>'50'!$F$103</f>
        <v/>
      </c>
      <c r="U56" s="75">
        <f ca="1">IFERROR('50'!$F$104*'Discipline Analysis'!$B56,"")</f>
        <v>15196.16</v>
      </c>
      <c r="V56" s="126">
        <f>'50'!$F$104</f>
        <v>0.53</v>
      </c>
    </row>
    <row r="57" spans="1:25" x14ac:dyDescent="0.2">
      <c r="A57" s="90" t="s">
        <v>937</v>
      </c>
      <c r="B57" s="83">
        <f ca="1">OFFSET('51'!$D$4,$A$3,0)</f>
        <v>25920</v>
      </c>
      <c r="C57" s="75">
        <f ca="1">OFFSET('51'!$E$4,$A$3,0)</f>
        <v>180159.30193496856</v>
      </c>
      <c r="D57" s="121">
        <f ca="1">OFFSET('51'!$F$4,$A$3,0)</f>
        <v>6.95</v>
      </c>
      <c r="E57" s="75">
        <f ca="1">OFFSET('51'!$E$66,$A$3,0)</f>
        <v>49051</v>
      </c>
      <c r="F57" s="121">
        <f ca="1">OFFSET('51'!$F$66,$A$3,0)</f>
        <v>1.89</v>
      </c>
      <c r="G57" s="75">
        <f ca="1">IFERROR('51'!$F$100*'Discipline Analysis'!$B57,"")</f>
        <v>5184</v>
      </c>
      <c r="H57" s="121">
        <f>'51'!$F$100</f>
        <v>0.2</v>
      </c>
      <c r="I57" s="75">
        <f ca="1">IFERROR('51'!$F$98*'Discipline Analysis'!$B57,"")</f>
        <v>25401.599999999999</v>
      </c>
      <c r="J57" s="121">
        <f>'51'!$F$98</f>
        <v>0.98</v>
      </c>
      <c r="K57" s="75">
        <f ca="1">IFERROR('51'!$F$99*'Discipline Analysis'!$B57,"")</f>
        <v>8812.8000000000011</v>
      </c>
      <c r="L57" s="121">
        <f>'51'!$F$99</f>
        <v>0.34</v>
      </c>
      <c r="M57" s="75">
        <f ca="1">OFFSET('51'!$E$35,$A$3,0)</f>
        <v>86988</v>
      </c>
      <c r="N57" s="121">
        <f ca="1">OFFSET('51'!$F$35,$A$3,0)</f>
        <v>3.36</v>
      </c>
      <c r="O57" s="75">
        <f ca="1">IFERROR('51'!$F$101*'Discipline Analysis'!$B57,"")</f>
        <v>4665.5999999999995</v>
      </c>
      <c r="P57" s="121">
        <f>'51'!$F$101</f>
        <v>0.18</v>
      </c>
      <c r="Q57" s="75" t="str">
        <f ca="1">IFERROR('51'!$F$102*'Discipline Analysis'!$B57,"")</f>
        <v/>
      </c>
      <c r="R57" s="121" t="str">
        <f>'51'!$F$102</f>
        <v/>
      </c>
      <c r="S57" s="75" t="str">
        <f ca="1">IFERROR('51'!$F$103*'Discipline Analysis'!$B57,"")</f>
        <v/>
      </c>
      <c r="T57" s="121" t="str">
        <f>'51'!$F$103</f>
        <v/>
      </c>
      <c r="U57" s="75">
        <f ca="1">IFERROR('51'!$F$104*'Discipline Analysis'!$B57,"")</f>
        <v>0</v>
      </c>
      <c r="V57" s="126">
        <f>'51'!$F$104</f>
        <v>0</v>
      </c>
    </row>
    <row r="58" spans="1:25" x14ac:dyDescent="0.2">
      <c r="A58" s="90" t="s">
        <v>938</v>
      </c>
      <c r="B58" s="83">
        <f ca="1">OFFSET('52'!$D$4,$A$3,0)</f>
        <v>1584</v>
      </c>
      <c r="C58" s="75">
        <f ca="1">OFFSET('52'!$E$4,$A$3,0)</f>
        <v>10981.820770999821</v>
      </c>
      <c r="D58" s="121">
        <f ca="1">OFFSET('52'!$F$4,$A$3,0)</f>
        <v>6.93</v>
      </c>
      <c r="E58" s="75">
        <f ca="1">OFFSET('52'!$E$66,$A$3,0)</f>
        <v>4298</v>
      </c>
      <c r="F58" s="121">
        <f ca="1">OFFSET('52'!$F$66,$A$3,0)</f>
        <v>2.71</v>
      </c>
      <c r="G58" s="75" t="str">
        <f ca="1">IFERROR('52'!$F$100*'Discipline Analysis'!$B58,"")</f>
        <v/>
      </c>
      <c r="H58" s="121" t="str">
        <f>'52'!$F$100</f>
        <v/>
      </c>
      <c r="I58" s="75">
        <f ca="1">IFERROR('52'!$F$98*'Discipline Analysis'!$B58,"")</f>
        <v>2597.7599999999998</v>
      </c>
      <c r="J58" s="121">
        <f>'52'!$F$98</f>
        <v>1.64</v>
      </c>
      <c r="K58" s="75">
        <f ca="1">IFERROR('52'!$F$99*'Discipline Analysis'!$B58,"")</f>
        <v>1077.1200000000001</v>
      </c>
      <c r="L58" s="121">
        <f>'52'!$F$99</f>
        <v>0.68</v>
      </c>
      <c r="M58" s="75">
        <f ca="1">OFFSET('52'!$E$35,$A$3,0)</f>
        <v>2331</v>
      </c>
      <c r="N58" s="121">
        <f ca="1">OFFSET('52'!$F$35,$A$3,0)</f>
        <v>1.47</v>
      </c>
      <c r="O58" s="75">
        <f ca="1">IFERROR('52'!$F$101*'Discipline Analysis'!$B58,"")</f>
        <v>681.12</v>
      </c>
      <c r="P58" s="121">
        <f>'52'!$F$101</f>
        <v>0.43</v>
      </c>
      <c r="Q58" s="75" t="str">
        <f ca="1">IFERROR('52'!$F$102*'Discipline Analysis'!$B58,"")</f>
        <v/>
      </c>
      <c r="R58" s="121" t="str">
        <f>'52'!$F$102</f>
        <v/>
      </c>
      <c r="S58" s="75" t="str">
        <f ca="1">IFERROR('52'!$F$103*'Discipline Analysis'!$B58,"")</f>
        <v/>
      </c>
      <c r="T58" s="121" t="str">
        <f>'52'!$F$103</f>
        <v/>
      </c>
      <c r="U58" s="75" t="str">
        <f ca="1">IFERROR('52'!$F$104*'Discipline Analysis'!$B58,"")</f>
        <v/>
      </c>
      <c r="V58" s="126" t="str">
        <f>'52'!$F$104</f>
        <v/>
      </c>
    </row>
    <row r="59" spans="1:25" x14ac:dyDescent="0.2">
      <c r="A59" s="90" t="s">
        <v>939</v>
      </c>
      <c r="B59" s="83">
        <f ca="1">OFFSET('53'!$D$4,$A$3,0)</f>
        <v>19572</v>
      </c>
      <c r="C59" s="75">
        <f ca="1">OFFSET('53'!$E$4,$A$3,0)</f>
        <v>150533.31460332673</v>
      </c>
      <c r="D59" s="121">
        <f ca="1">OFFSET('53'!$F$4,$A$3,0)</f>
        <v>7.69</v>
      </c>
      <c r="E59" s="75">
        <f ca="1">OFFSET('53'!$E$66,$A$3,0)</f>
        <v>68400</v>
      </c>
      <c r="F59" s="121">
        <f ca="1">OFFSET('53'!$F$66,$A$3,0)</f>
        <v>3.49</v>
      </c>
      <c r="G59" s="75">
        <f ca="1">IFERROR('53'!$F$100*'Discipline Analysis'!$B59,"")</f>
        <v>2740.0800000000004</v>
      </c>
      <c r="H59" s="121">
        <f>'53'!$F$100</f>
        <v>0.14000000000000001</v>
      </c>
      <c r="I59" s="75">
        <f ca="1">IFERROR('53'!$F$98*'Discipline Analysis'!$B59,"")</f>
        <v>26226.480000000003</v>
      </c>
      <c r="J59" s="121">
        <f>'53'!$F$98</f>
        <v>1.34</v>
      </c>
      <c r="K59" s="75">
        <f ca="1">IFERROR('53'!$F$99*'Discipline Analysis'!$B59,"")</f>
        <v>9981.7199999999993</v>
      </c>
      <c r="L59" s="121">
        <f>'53'!$F$99</f>
        <v>0.51</v>
      </c>
      <c r="M59" s="75">
        <f ca="1">OFFSET('53'!$E$35,$A$3,0)</f>
        <v>41614</v>
      </c>
      <c r="N59" s="121">
        <f ca="1">OFFSET('53'!$F$35,$A$3,0)</f>
        <v>2.13</v>
      </c>
      <c r="O59" s="75">
        <f ca="1">IFERROR('53'!$F$101*'Discipline Analysis'!$B59,"")</f>
        <v>1565.76</v>
      </c>
      <c r="P59" s="121">
        <f>'53'!$F$101</f>
        <v>0.08</v>
      </c>
      <c r="Q59" s="75" t="str">
        <f ca="1">IFERROR('53'!$F$102*'Discipline Analysis'!$B59,"")</f>
        <v/>
      </c>
      <c r="R59" s="121" t="str">
        <f>'53'!$F$102</f>
        <v/>
      </c>
      <c r="S59" s="75" t="str">
        <f ca="1">IFERROR('53'!$F$103*'Discipline Analysis'!$B59,"")</f>
        <v/>
      </c>
      <c r="T59" s="121" t="str">
        <f>'53'!$F$103</f>
        <v/>
      </c>
      <c r="U59" s="75">
        <f ca="1">IFERROR('53'!$F$104*'Discipline Analysis'!$B59,"")</f>
        <v>0</v>
      </c>
      <c r="V59" s="126">
        <f>'53'!$F$104</f>
        <v>0</v>
      </c>
      <c r="Y59" s="128"/>
    </row>
    <row r="60" spans="1:25" x14ac:dyDescent="0.2">
      <c r="A60" s="90" t="s">
        <v>940</v>
      </c>
      <c r="B60" s="83">
        <f ca="1">OFFSET('54'!$D$4,$A$3,0)</f>
        <v>66264</v>
      </c>
      <c r="C60" s="75">
        <f ca="1">OFFSET('54'!$E$4,$A$3,0)</f>
        <v>419210.20490871917</v>
      </c>
      <c r="D60" s="121">
        <f ca="1">OFFSET('54'!$F$4,$A$3,0)</f>
        <v>6.33</v>
      </c>
      <c r="E60" s="75">
        <f ca="1">OFFSET('54'!$E$66,$A$3,0)</f>
        <v>188267</v>
      </c>
      <c r="F60" s="121">
        <f ca="1">OFFSET('54'!$F$66,$A$3,0)</f>
        <v>2.84</v>
      </c>
      <c r="G60" s="75">
        <f ca="1">IFERROR('54'!$F$100*'Discipline Analysis'!$B60,"")</f>
        <v>8614.32</v>
      </c>
      <c r="H60" s="121">
        <f>'54'!$F$100</f>
        <v>0.13</v>
      </c>
      <c r="I60" s="75">
        <f ca="1">IFERROR('54'!$F$98*'Discipline Analysis'!$B60,"")</f>
        <v>54336.479999999996</v>
      </c>
      <c r="J60" s="121">
        <f>'54'!$F$98</f>
        <v>0.82</v>
      </c>
      <c r="K60" s="75">
        <f ca="1">IFERROR('54'!$F$99*'Discipline Analysis'!$B60,"")</f>
        <v>18553.920000000002</v>
      </c>
      <c r="L60" s="121">
        <f>'54'!$F$99</f>
        <v>0.28000000000000003</v>
      </c>
      <c r="M60" s="75">
        <f ca="1">OFFSET('54'!$E$35,$A$3,0)</f>
        <v>140988</v>
      </c>
      <c r="N60" s="121">
        <f ca="1">OFFSET('54'!$F$35,$A$3,0)</f>
        <v>2.13</v>
      </c>
      <c r="O60" s="75">
        <f ca="1">IFERROR('54'!$F$101*'Discipline Analysis'!$B60,"")</f>
        <v>9276.9600000000009</v>
      </c>
      <c r="P60" s="121">
        <f>'54'!$F$101</f>
        <v>0.14000000000000001</v>
      </c>
      <c r="Q60" s="75" t="str">
        <f ca="1">IFERROR('54'!$F$102*'Discipline Analysis'!$B60,"")</f>
        <v/>
      </c>
      <c r="R60" s="121" t="str">
        <f>'54'!$F$102</f>
        <v/>
      </c>
      <c r="S60" s="75" t="str">
        <f ca="1">IFERROR('54'!$F$103*'Discipline Analysis'!$B60,"")</f>
        <v/>
      </c>
      <c r="T60" s="121" t="str">
        <f>'54'!$F$103</f>
        <v/>
      </c>
      <c r="U60" s="75" t="str">
        <f ca="1">IFERROR('54'!$F$104*'Discipline Analysis'!$B60,"")</f>
        <v/>
      </c>
      <c r="V60" s="126" t="str">
        <f>'54'!$F$104</f>
        <v/>
      </c>
      <c r="Y60" s="128"/>
    </row>
    <row r="61" spans="1:25" x14ac:dyDescent="0.2">
      <c r="A61" s="90" t="s">
        <v>941</v>
      </c>
      <c r="B61" s="83">
        <f ca="1">OFFSET('55'!$D$4,$A$3,0)</f>
        <v>0</v>
      </c>
      <c r="C61" s="75">
        <f ca="1">OFFSET('55'!$E$4,$A$3,0)</f>
        <v>0</v>
      </c>
      <c r="D61" s="121" t="str">
        <f ca="1">OFFSET('55'!$F$4,$A$3,0)</f>
        <v/>
      </c>
      <c r="E61" s="75">
        <f ca="1">OFFSET('55'!$E$66,$A$3,0)</f>
        <v>0</v>
      </c>
      <c r="F61" s="121" t="str">
        <f ca="1">OFFSET('55'!$F$66,$A$3,0)</f>
        <v/>
      </c>
      <c r="G61" s="75">
        <f ca="1">IFERROR('55'!$F$100*'Discipline Analysis'!$B61,"")</f>
        <v>0</v>
      </c>
      <c r="H61" s="121">
        <f>'55'!$F$100</f>
        <v>0.21</v>
      </c>
      <c r="I61" s="75">
        <f ca="1">IFERROR('55'!$F$98*'Discipline Analysis'!$B61,"")</f>
        <v>0</v>
      </c>
      <c r="J61" s="121">
        <f>'55'!$F$98</f>
        <v>1.07</v>
      </c>
      <c r="K61" s="75">
        <f ca="1">IFERROR('55'!$F$99*'Discipline Analysis'!$B61,"")</f>
        <v>0</v>
      </c>
      <c r="L61" s="121">
        <f>'55'!$F$99</f>
        <v>0.45</v>
      </c>
      <c r="M61" s="75">
        <f ca="1">OFFSET('55'!$E$35,$A$3,0)</f>
        <v>0</v>
      </c>
      <c r="N61" s="121" t="str">
        <f ca="1">OFFSET('55'!$F$35,$A$3,0)</f>
        <v/>
      </c>
      <c r="O61" s="75">
        <f ca="1">IFERROR('55'!$F$101*'Discipline Analysis'!$B61,"")</f>
        <v>0</v>
      </c>
      <c r="P61" s="121">
        <f>'55'!$F$101</f>
        <v>0.19</v>
      </c>
      <c r="Q61" s="75" t="str">
        <f ca="1">IFERROR('55'!$F$102*'Discipline Analysis'!$B61,"")</f>
        <v/>
      </c>
      <c r="R61" s="121" t="str">
        <f>'55'!$F$102</f>
        <v/>
      </c>
      <c r="S61" s="75" t="str">
        <f ca="1">IFERROR('55'!$F$103*'Discipline Analysis'!$B61,"")</f>
        <v/>
      </c>
      <c r="T61" s="121" t="str">
        <f>'55'!$F$103</f>
        <v/>
      </c>
      <c r="U61" s="75">
        <f ca="1">IFERROR('55'!$F$104*'Discipline Analysis'!$B61,"")</f>
        <v>0</v>
      </c>
      <c r="V61" s="126">
        <f>'55'!$F$104</f>
        <v>0.91</v>
      </c>
      <c r="Y61" s="128"/>
    </row>
    <row r="62" spans="1:25" x14ac:dyDescent="0.2">
      <c r="A62" s="90" t="s">
        <v>942</v>
      </c>
      <c r="B62" s="83">
        <f ca="1">OFFSET('56'!$D$4,$A$3,0)</f>
        <v>0</v>
      </c>
      <c r="C62" s="75">
        <f ca="1">OFFSET('56'!$E$4,$A$3,0)</f>
        <v>0</v>
      </c>
      <c r="D62" s="121" t="str">
        <f ca="1">OFFSET('56'!$F$4,$A$3,0)</f>
        <v/>
      </c>
      <c r="E62" s="75">
        <f ca="1">OFFSET('56'!$E$66,$A$3,0)</f>
        <v>0</v>
      </c>
      <c r="F62" s="121" t="str">
        <f ca="1">OFFSET('56'!$F$66,$A$3,0)</f>
        <v/>
      </c>
      <c r="G62" s="75">
        <f ca="1">IFERROR('56'!$F$100*'Discipline Analysis'!$B62,"")</f>
        <v>0</v>
      </c>
      <c r="H62" s="121">
        <f>'56'!$F$100</f>
        <v>0.41</v>
      </c>
      <c r="I62" s="75">
        <f ca="1">IFERROR('56'!$F$98*'Discipline Analysis'!$B62,"")</f>
        <v>0</v>
      </c>
      <c r="J62" s="121">
        <f>'56'!$F$98</f>
        <v>1.74</v>
      </c>
      <c r="K62" s="75">
        <f ca="1">IFERROR('56'!$F$99*'Discipline Analysis'!$B62,"")</f>
        <v>0</v>
      </c>
      <c r="L62" s="121">
        <f>'56'!$F$99</f>
        <v>0.79</v>
      </c>
      <c r="M62" s="75">
        <f ca="1">OFFSET('56'!$E$35,$A$3,0)</f>
        <v>0</v>
      </c>
      <c r="N62" s="121" t="str">
        <f ca="1">OFFSET('56'!$F$35,$A$3,0)</f>
        <v/>
      </c>
      <c r="O62" s="75">
        <f ca="1">IFERROR('56'!$F$101*'Discipline Analysis'!$B62,"")</f>
        <v>0</v>
      </c>
      <c r="P62" s="121">
        <f>'56'!$F$101</f>
        <v>0.15</v>
      </c>
      <c r="Q62" s="75" t="str">
        <f ca="1">IFERROR('56'!$F$102*'Discipline Analysis'!$B62,"")</f>
        <v/>
      </c>
      <c r="R62" s="121" t="str">
        <f>'56'!$F$102</f>
        <v/>
      </c>
      <c r="S62" s="75" t="str">
        <f ca="1">IFERROR('56'!$F$103*'Discipline Analysis'!$B62,"")</f>
        <v/>
      </c>
      <c r="T62" s="121" t="str">
        <f>'56'!$F$103</f>
        <v/>
      </c>
      <c r="U62" s="75">
        <f ca="1">IFERROR('56'!$F$104*'Discipline Analysis'!$B62,"")</f>
        <v>0</v>
      </c>
      <c r="V62" s="126">
        <f>'56'!$F$104</f>
        <v>0.36</v>
      </c>
    </row>
    <row r="63" spans="1:25" x14ac:dyDescent="0.2">
      <c r="A63" s="71" t="s">
        <v>943</v>
      </c>
      <c r="B63" s="83">
        <f ca="1">OFFSET('57'!$D$4,$A$3,0)</f>
        <v>2032</v>
      </c>
      <c r="C63" s="75">
        <f ca="1">OFFSET('57'!$E$4,$A$3,0)</f>
        <v>12657.526652452027</v>
      </c>
      <c r="D63" s="121">
        <f ca="1">OFFSET('57'!$F$4,$A$3,0)</f>
        <v>6.23</v>
      </c>
      <c r="E63" s="75">
        <f ca="1">OFFSET('57'!$E$66,$A$3,0)</f>
        <v>5984</v>
      </c>
      <c r="F63" s="121">
        <f ca="1">OFFSET('57'!$F$66,$A$3,0)</f>
        <v>2.94</v>
      </c>
      <c r="G63" s="75">
        <f ca="1">IFERROR('57'!$F$100*'Discipline Analysis'!$B63,"")</f>
        <v>934.72</v>
      </c>
      <c r="H63" s="121">
        <f>'57'!$F$100</f>
        <v>0.46</v>
      </c>
      <c r="I63" s="75">
        <f ca="1">IFERROR('57'!$F$98*'Discipline Analysis'!$B63,"")</f>
        <v>2987.04</v>
      </c>
      <c r="J63" s="121">
        <f>'57'!$F$98</f>
        <v>1.47</v>
      </c>
      <c r="K63" s="75">
        <f ca="1">IFERROR('57'!$F$99*'Discipline Analysis'!$B63,"")</f>
        <v>873.76</v>
      </c>
      <c r="L63" s="121">
        <f>'57'!$F$99</f>
        <v>0.43</v>
      </c>
      <c r="M63" s="75">
        <f ca="1">OFFSET('57'!$E$35,$A$3,0)</f>
        <v>867</v>
      </c>
      <c r="N63" s="121">
        <f ca="1">OFFSET('57'!$F$35,$A$3,0)</f>
        <v>0.43</v>
      </c>
      <c r="O63" s="75">
        <f ca="1">IFERROR('57'!$F$101*'Discipline Analysis'!$B63,"")</f>
        <v>629.91999999999996</v>
      </c>
      <c r="P63" s="121">
        <f>'57'!$F$101</f>
        <v>0.31</v>
      </c>
      <c r="Q63" s="75" t="str">
        <f ca="1">IFERROR('57'!$F$102*'Discipline Analysis'!$B63,"")</f>
        <v/>
      </c>
      <c r="R63" s="121" t="str">
        <f>'57'!$F$102</f>
        <v/>
      </c>
      <c r="S63" s="75" t="str">
        <f ca="1">IFERROR('57'!$F$103*'Discipline Analysis'!$B63,"")</f>
        <v/>
      </c>
      <c r="T63" s="121" t="str">
        <f>'57'!$F$103</f>
        <v/>
      </c>
      <c r="U63" s="75">
        <f ca="1">IFERROR('57'!$F$104*'Discipline Analysis'!$B63,"")</f>
        <v>365.76</v>
      </c>
      <c r="V63" s="126">
        <f>'57'!$F$104</f>
        <v>0.18</v>
      </c>
      <c r="Y63" s="128"/>
    </row>
    <row r="64" spans="1:25" ht="15" thickBot="1" x14ac:dyDescent="0.25">
      <c r="A64" s="80" t="s">
        <v>35</v>
      </c>
      <c r="B64" s="78">
        <f ca="1">OFFSET(Summary!$D$4,$A$3,0)</f>
        <v>1319103</v>
      </c>
      <c r="C64" s="77">
        <f ca="1">OFFSET(Summary!$E$4,$A$3,0)</f>
        <v>10264231.190294735</v>
      </c>
      <c r="D64" s="123">
        <f ca="1">MEDIAN(D7:D63)</f>
        <v>6.875</v>
      </c>
      <c r="E64" s="77">
        <f ca="1">OFFSET(Summary!$E$66,$A$3,0)</f>
        <v>4221189</v>
      </c>
      <c r="F64" s="123">
        <f ca="1">MEDIAN(F7:F63)</f>
        <v>3.09</v>
      </c>
      <c r="G64" s="77">
        <f ca="1">Summary!$F$100*B64</f>
        <v>316584.71999999997</v>
      </c>
      <c r="H64" s="123">
        <f>MEDIAN(H7:H63)</f>
        <v>0.24</v>
      </c>
      <c r="I64" s="77">
        <f ca="1">Summary!$F$98*'Discipline Analysis'!B64</f>
        <v>1503777.42</v>
      </c>
      <c r="J64" s="123">
        <f>MEDIAN(J7:J63)</f>
        <v>1.1399999999999999</v>
      </c>
      <c r="K64" s="77">
        <f ca="1">Summary!$F$99*'Discipline Analysis'!B64</f>
        <v>712315.62</v>
      </c>
      <c r="L64" s="123">
        <f>MEDIAN(L7:L63)</f>
        <v>0.54</v>
      </c>
      <c r="M64" s="77">
        <f ca="1">OFFSET(Summary!$E$35,$A$3,0)</f>
        <v>2144175</v>
      </c>
      <c r="N64" s="123">
        <f ca="1">MEDIAN(N7:N63)</f>
        <v>0.92999999999999994</v>
      </c>
      <c r="O64" s="77">
        <f ca="1">IFERROR(Summary!$F$101*'Discipline Analysis'!B64,"")</f>
        <v>422112.96</v>
      </c>
      <c r="P64" s="123">
        <f>MEDIAN(P7:P63)</f>
        <v>0.32</v>
      </c>
      <c r="Q64" s="77">
        <f ca="1">Summary!$F$102*'Discipline Analysis'!B64</f>
        <v>65955.150000000009</v>
      </c>
      <c r="R64" s="123">
        <f>MEDIAN(R7:R63)</f>
        <v>0.05</v>
      </c>
      <c r="S64" s="77">
        <f ca="1">Summary!$F$103*'Discipline Analysis'!B64</f>
        <v>0</v>
      </c>
      <c r="T64" s="123">
        <f>MEDIAN(T7:T63)</f>
        <v>0</v>
      </c>
      <c r="U64" s="76">
        <f ca="1">Summary!$F$104*'Discipline Analysis'!B64</f>
        <v>474877.07999999996</v>
      </c>
      <c r="V64" s="127">
        <f>MEDIAN(V7:V63)</f>
        <v>0.36</v>
      </c>
    </row>
    <row r="65" spans="2:22" x14ac:dyDescent="0.2">
      <c r="C65" s="2"/>
      <c r="D65" s="2"/>
      <c r="E65" s="2"/>
      <c r="F65" s="2"/>
      <c r="G65" s="2"/>
      <c r="H65" s="2"/>
      <c r="I65" s="2"/>
      <c r="J65" s="2"/>
      <c r="K65" s="2"/>
      <c r="L65" s="2"/>
      <c r="M65" s="2"/>
      <c r="N65" s="2"/>
      <c r="O65" s="2"/>
      <c r="P65" s="2"/>
      <c r="Q65" s="2"/>
      <c r="R65" s="2"/>
      <c r="S65" s="2"/>
      <c r="T65" s="2"/>
      <c r="U65" s="2"/>
      <c r="V65" s="2"/>
    </row>
    <row r="66" spans="2:22" ht="15" customHeight="1" x14ac:dyDescent="0.2">
      <c r="C66" s="63"/>
      <c r="G66" s="63"/>
      <c r="I66" s="63"/>
      <c r="K66" s="63"/>
      <c r="M66" s="63"/>
      <c r="O66" s="63"/>
      <c r="Q66" s="63"/>
      <c r="S66" s="63"/>
      <c r="U66" s="63"/>
    </row>
    <row r="80" spans="2:22" x14ac:dyDescent="0.2">
      <c r="B80" s="85"/>
      <c r="C80" s="85"/>
      <c r="D80" s="85"/>
      <c r="E80" s="85"/>
      <c r="F80" s="85"/>
      <c r="G80" s="85"/>
      <c r="H80" s="85"/>
      <c r="I80" s="85"/>
      <c r="J80" s="85"/>
      <c r="K80" s="85"/>
      <c r="L80" s="85"/>
      <c r="M80" s="85"/>
      <c r="N80" s="85"/>
      <c r="O80" s="85"/>
      <c r="P80" s="85"/>
      <c r="Q80" s="85"/>
      <c r="R80" s="85"/>
      <c r="S80" s="85"/>
      <c r="T80" s="85"/>
      <c r="U80" s="85"/>
      <c r="V80" s="85"/>
    </row>
    <row r="81" spans="2:21" x14ac:dyDescent="0.2">
      <c r="B81" s="86"/>
      <c r="C81" s="86"/>
      <c r="D81" s="86"/>
      <c r="E81" s="86"/>
      <c r="F81" s="86"/>
      <c r="G81" s="86"/>
      <c r="H81" s="86"/>
      <c r="I81" s="86"/>
      <c r="K81" s="86"/>
      <c r="L81" s="86"/>
      <c r="M81" s="86"/>
      <c r="N81" s="86"/>
      <c r="O81" s="86"/>
      <c r="P81" s="86"/>
      <c r="Q81" s="86"/>
      <c r="R81" s="86"/>
      <c r="S81" s="86"/>
      <c r="U81" s="86"/>
    </row>
    <row r="82" spans="2:21" x14ac:dyDescent="0.2">
      <c r="B82" s="86"/>
      <c r="C82" s="86"/>
      <c r="D82" s="86"/>
      <c r="E82" s="86"/>
      <c r="F82" s="86"/>
      <c r="G82" s="86"/>
      <c r="H82" s="86"/>
      <c r="I82" s="86"/>
      <c r="K82" s="86"/>
      <c r="L82" s="86"/>
      <c r="M82" s="86"/>
      <c r="N82" s="86"/>
      <c r="O82" s="86"/>
      <c r="P82" s="86"/>
      <c r="Q82" s="86"/>
      <c r="R82" s="86"/>
      <c r="S82" s="86"/>
      <c r="U82" s="86"/>
    </row>
    <row r="83" spans="2:21" x14ac:dyDescent="0.2">
      <c r="B83" s="86"/>
      <c r="C83" s="86"/>
      <c r="D83" s="86"/>
      <c r="E83" s="86"/>
      <c r="F83" s="86"/>
      <c r="G83" s="86"/>
      <c r="H83" s="86"/>
      <c r="I83" s="86"/>
      <c r="K83" s="86"/>
      <c r="L83" s="86"/>
      <c r="M83" s="86"/>
      <c r="N83" s="86"/>
      <c r="O83" s="86"/>
      <c r="P83" s="86"/>
      <c r="Q83" s="86"/>
      <c r="R83" s="86"/>
      <c r="S83" s="86"/>
      <c r="U83" s="86"/>
    </row>
    <row r="84" spans="2:21" x14ac:dyDescent="0.2">
      <c r="B84" s="86"/>
      <c r="C84" s="86"/>
      <c r="D84" s="86"/>
      <c r="E84" s="86"/>
      <c r="F84" s="86"/>
      <c r="G84" s="86"/>
      <c r="H84" s="86"/>
      <c r="I84" s="86"/>
      <c r="K84" s="86"/>
      <c r="L84" s="86"/>
      <c r="M84" s="86"/>
      <c r="N84" s="86"/>
      <c r="O84" s="86"/>
      <c r="P84" s="86"/>
      <c r="Q84" s="86"/>
      <c r="R84" s="86"/>
      <c r="S84" s="86"/>
      <c r="U84" s="86"/>
    </row>
    <row r="85" spans="2:21" x14ac:dyDescent="0.2">
      <c r="B85" s="86"/>
      <c r="C85" s="86"/>
      <c r="D85" s="86"/>
      <c r="E85" s="86"/>
      <c r="F85" s="86"/>
      <c r="G85" s="86"/>
      <c r="H85" s="86"/>
      <c r="I85" s="86"/>
      <c r="K85" s="86"/>
      <c r="L85" s="86"/>
      <c r="M85" s="86"/>
      <c r="N85" s="86"/>
      <c r="O85" s="86"/>
      <c r="P85" s="86"/>
      <c r="Q85" s="86"/>
      <c r="R85" s="86"/>
      <c r="S85" s="86"/>
      <c r="U85" s="86"/>
    </row>
    <row r="86" spans="2:21" x14ac:dyDescent="0.2">
      <c r="B86" s="86"/>
      <c r="C86" s="86"/>
      <c r="D86" s="86"/>
      <c r="E86" s="86"/>
      <c r="F86" s="86"/>
      <c r="G86" s="86"/>
      <c r="H86" s="86"/>
      <c r="I86" s="86"/>
      <c r="K86" s="86"/>
      <c r="L86" s="86"/>
      <c r="M86" s="86"/>
      <c r="N86" s="86"/>
      <c r="O86" s="86"/>
      <c r="P86" s="86"/>
      <c r="Q86" s="86"/>
      <c r="R86" s="86"/>
      <c r="S86" s="86"/>
      <c r="U86" s="86"/>
    </row>
    <row r="87" spans="2:21" x14ac:dyDescent="0.2">
      <c r="B87" s="86"/>
      <c r="C87" s="86"/>
      <c r="D87" s="86"/>
      <c r="E87" s="86"/>
      <c r="F87" s="86"/>
      <c r="G87" s="86"/>
      <c r="H87" s="86"/>
      <c r="I87" s="86"/>
      <c r="K87" s="86"/>
      <c r="L87" s="86"/>
      <c r="M87" s="86"/>
      <c r="N87" s="86"/>
      <c r="O87" s="86"/>
      <c r="P87" s="86"/>
      <c r="Q87" s="86"/>
      <c r="R87" s="86"/>
      <c r="S87" s="86"/>
      <c r="U87" s="84"/>
    </row>
    <row r="88" spans="2:21" x14ac:dyDescent="0.2">
      <c r="B88" s="86"/>
      <c r="C88" s="86"/>
      <c r="D88" s="86"/>
      <c r="E88" s="86"/>
      <c r="F88" s="86"/>
      <c r="G88" s="86"/>
      <c r="H88" s="86"/>
      <c r="I88" s="86"/>
      <c r="K88" s="86"/>
      <c r="L88" s="86"/>
      <c r="M88" s="86"/>
      <c r="N88" s="86"/>
      <c r="O88" s="86"/>
      <c r="P88" s="86"/>
      <c r="Q88" s="86"/>
      <c r="R88" s="86"/>
      <c r="S88" s="86"/>
      <c r="U88" s="86"/>
    </row>
    <row r="89" spans="2:21" x14ac:dyDescent="0.2">
      <c r="B89" s="86"/>
      <c r="C89" s="86"/>
      <c r="D89" s="86"/>
      <c r="E89" s="86"/>
      <c r="F89" s="86"/>
      <c r="G89" s="86"/>
      <c r="H89" s="86"/>
      <c r="I89" s="86"/>
      <c r="K89" s="86"/>
      <c r="L89" s="86"/>
      <c r="M89" s="86"/>
      <c r="N89" s="86"/>
      <c r="O89" s="86"/>
      <c r="P89" s="86"/>
      <c r="Q89" s="86"/>
      <c r="R89" s="86"/>
      <c r="S89" s="86"/>
      <c r="U89" s="86"/>
    </row>
    <row r="90" spans="2:21" x14ac:dyDescent="0.2">
      <c r="B90" s="86"/>
      <c r="C90" s="86"/>
      <c r="D90" s="86"/>
      <c r="E90" s="86"/>
      <c r="F90" s="86"/>
      <c r="G90" s="86"/>
      <c r="H90" s="86"/>
      <c r="I90" s="86"/>
      <c r="K90" s="86"/>
      <c r="L90" s="86"/>
      <c r="M90" s="86"/>
      <c r="N90" s="86"/>
      <c r="O90" s="86"/>
      <c r="P90" s="86"/>
      <c r="Q90" s="86"/>
      <c r="R90" s="86"/>
      <c r="S90" s="86"/>
      <c r="U90" s="86"/>
    </row>
  </sheetData>
  <mergeCells count="11">
    <mergeCell ref="O5:P5"/>
    <mergeCell ref="Q5:R5"/>
    <mergeCell ref="S5:T5"/>
    <mergeCell ref="U5:V5"/>
    <mergeCell ref="B5:B6"/>
    <mergeCell ref="C5:D5"/>
    <mergeCell ref="E5:F5"/>
    <mergeCell ref="G5:H5"/>
    <mergeCell ref="I5:J5"/>
    <mergeCell ref="K5:L5"/>
    <mergeCell ref="M5:N5"/>
  </mergeCells>
  <pageMargins left="0.25" right="0.25" top="0.25" bottom="0.25" header="0.3" footer="0.3"/>
  <pageSetup scale="58" orientation="landscape" r:id="rId1"/>
  <colBreaks count="1" manualBreakCount="1">
    <brk id="12" max="62" man="1"/>
  </colBreaks>
  <drawing r:id="rId2"/>
  <legacyDrawing r:id="rId3"/>
  <mc:AlternateContent xmlns:mc="http://schemas.openxmlformats.org/markup-compatibility/2006">
    <mc:Choice Requires="x14">
      <controls>
        <mc:AlternateContent xmlns:mc="http://schemas.openxmlformats.org/markup-compatibility/2006">
          <mc:Choice Requires="x14">
            <control shapeId="63489" r:id="rId4" name="Drop Down 1">
              <controlPr defaultSize="0" autoLine="0" autoPict="0">
                <anchor moveWithCells="1" sizeWithCells="1">
                  <from>
                    <xdr:col>0</xdr:col>
                    <xdr:colOff>0</xdr:colOff>
                    <xdr:row>1</xdr:row>
                    <xdr:rowOff>171450</xdr:rowOff>
                  </from>
                  <to>
                    <xdr:col>3</xdr:col>
                    <xdr:colOff>314325</xdr:colOff>
                    <xdr:row>3</xdr:row>
                    <xdr:rowOff>85725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6"/>
  <sheetViews>
    <sheetView showGridLines="0" zoomScale="70" zoomScaleNormal="70" workbookViewId="0">
      <pane xSplit="1" ySplit="5" topLeftCell="B6" activePane="bottomRight" state="frozen"/>
      <selection pane="topRight" activeCell="B1" sqref="B1"/>
      <selection pane="bottomLeft" activeCell="A6" sqref="A6"/>
      <selection pane="bottomRight" activeCell="B6" sqref="B6"/>
    </sheetView>
  </sheetViews>
  <sheetFormatPr defaultRowHeight="15" x14ac:dyDescent="0.25"/>
  <cols>
    <col min="1" max="1" width="49" style="132" customWidth="1"/>
    <col min="2" max="2" width="23.5703125" style="132" customWidth="1"/>
    <col min="3" max="3" width="29.7109375" style="132" customWidth="1"/>
    <col min="4" max="5" width="18" style="132" customWidth="1"/>
    <col min="6" max="16384" width="9.140625" style="132"/>
  </cols>
  <sheetData>
    <row r="1" spans="1:6" x14ac:dyDescent="0.25">
      <c r="A1" s="153" t="str">
        <f>Summary!A1</f>
        <v>Community and Technical Colleges, Report of Fundable Operating Expenses, Fiscal Year (FY) 2000</v>
      </c>
      <c r="B1" s="104"/>
      <c r="C1" s="104"/>
      <c r="D1" s="104"/>
      <c r="E1" s="104"/>
      <c r="F1" s="104"/>
    </row>
    <row r="2" spans="1:6" x14ac:dyDescent="0.25">
      <c r="A2" s="154" t="s">
        <v>1089</v>
      </c>
      <c r="B2" s="155"/>
      <c r="C2" s="155"/>
      <c r="D2" s="155"/>
      <c r="E2" s="155"/>
      <c r="F2" s="155"/>
    </row>
    <row r="3" spans="1:6" ht="47.25" customHeight="1" thickBot="1" x14ac:dyDescent="0.3">
      <c r="A3" s="205" t="s">
        <v>1090</v>
      </c>
      <c r="B3" s="205"/>
      <c r="C3" s="205"/>
      <c r="D3" s="205"/>
      <c r="E3" s="205"/>
      <c r="F3" s="156"/>
    </row>
    <row r="4" spans="1:6" ht="60" customHeight="1" thickBot="1" x14ac:dyDescent="0.3">
      <c r="A4" s="157" t="s">
        <v>944</v>
      </c>
      <c r="B4" s="158" t="str">
        <f>"FY 2000 - 2001 Rates @ "&amp;TEXT(B5,"0.00%")&amp;" (Using FY 2000 CH)"</f>
        <v>FY 2000 - 2001 Rates @ 68.52% (Using FY 2000 CH)</v>
      </c>
      <c r="C4" s="159" t="str">
        <f>"Annual Budget Neutral Percent Funded "&amp;TEXT(C5,"0.00%")&amp;" (Using FY 2000 CH)"</f>
        <v>Annual Budget Neutral Percent Funded 65.26% (Using FY 2000 CH)</v>
      </c>
      <c r="D4" s="159" t="s">
        <v>51</v>
      </c>
      <c r="E4" s="160" t="s">
        <v>1091</v>
      </c>
    </row>
    <row r="5" spans="1:6" x14ac:dyDescent="0.25">
      <c r="A5" s="161" t="s">
        <v>1092</v>
      </c>
      <c r="B5" s="162">
        <v>0.6852392122746932</v>
      </c>
      <c r="C5" s="163">
        <v>0.65263322742723229</v>
      </c>
      <c r="D5" s="163">
        <f>C5-B5</f>
        <v>-3.2605984847460912E-2</v>
      </c>
      <c r="E5" s="164"/>
    </row>
    <row r="6" spans="1:6" x14ac:dyDescent="0.25">
      <c r="A6" s="92" t="s">
        <v>395</v>
      </c>
      <c r="B6" s="165">
        <f>$B$5*('Rate History'!$D$4*SUMIF(Data!$G:$G,Neutral!$A6,Data!$CU:$CU)+'Rate History'!$D$5*SUMIF(Data!$G:$G,Neutral!$A6,Data!$CV:$CV)+'Rate History'!$D$6*SUMIF(Data!$G:$G,Neutral!$A6,Data!$CW:$CW)+'Rate History'!$D$7*SUMIF(Data!$G:$G,Neutral!$A6,Data!$CX:$CX)+'Rate History'!$D$8*SUMIF(Data!$G:$G,Neutral!$A6,Data!$CY:$CY)+'Rate History'!$D$9*SUMIF(Data!$G:$G,Neutral!$A6,Data!$CZ:$CZ)+'Rate History'!$D$10*SUMIF(Data!$G:$G,Neutral!$A6,Data!$DA:$DA)+'Rate History'!$D$11*SUMIF(Data!$G:$G,Neutral!$A6,Data!$DB:$DB)+'Rate History'!$D$12*SUMIF(Data!$G:$G,Neutral!$A6,Data!$DC:$DC)+'Rate History'!$D$13*SUMIF(Data!$G:$G,Neutral!$A6,Data!$DD:$DD)+'Rate History'!$D$14*SUMIF(Data!$G:$G,Neutral!$A6,Data!$DE:$DE)+'Rate History'!$D$15*SUMIF(Data!$G:$G,Neutral!$A6,Data!$DF:$DF)+'Rate History'!$D$16*SUMIF(Data!$G:$G,Neutral!$A6,Data!$DG:$DG)+'Rate History'!$D$17*SUMIF(Data!$G:$G,Neutral!$A6,Data!$DH:$DH)+'Rate History'!$D$18*SUMIF(Data!$G:$G,Neutral!$A6,Data!$DI:$DI)+'Rate History'!$D$19*SUMIF(Data!$G:$G,Neutral!$A6,Data!$DJ:$DJ)+'Rate History'!$D$20*SUMIF(Data!$G:$G,Neutral!$A6,Data!$DK:$DK)+'Rate History'!$D$21*SUMIF(Data!$G:$G,Neutral!$A6,Data!$DL:$DL)+'Rate History'!$D$22*SUMIF(Data!$G:$G,Neutral!$A6,Data!$DM:$DM)+'Rate History'!$D$23*SUMIF(Data!$G:$G,Neutral!$A6,Data!$DN:$DN)+'Rate History'!$D$24*SUMIF(Data!$G:$G,Neutral!$A6,Data!$DO:$DO)+'Rate History'!$D$25*SUMIF(Data!$G:$G,Neutral!$A6,Data!$DP:$DP)+'Rate History'!$D$26*SUMIF(Data!$G:$G,Neutral!$A6,Data!$DQ:$DQ)+'Rate History'!$D$27*SUMIF(Data!$G:$G,Neutral!$A6,Data!$DR:$DR)+'Rate History'!$D$28*SUMIF(Data!$G:$G,Neutral!$A6,Data!$DS:$DS)+'Rate History'!$D$29*SUMIF(Data!$G:$G,Neutral!$A6,Data!$DT:$DT)+'Rate History'!$D$30*SUMIF(Data!$G:$G,Neutral!$A6,Data!$DV:$DV)+'Rate History'!$D$31*SUMIF(Data!$G:$G,Neutral!$A6,Data!$DW:$DW))</f>
        <v>59235064.350260109</v>
      </c>
      <c r="C6" s="165">
        <f>$C$5*('Rate History'!$C$4*SUMIF(Data!$G:$G,Neutral!$A6,Data!$CU:$CU)+'Rate History'!$C$5*SUMIF(Data!$G:$G,Neutral!$A6,Data!$CV:$CV)+'Rate History'!$C$6*SUMIF(Data!$G:$G,Neutral!$A6,Data!$CW:$CW)+'Rate History'!$C$7*SUMIF(Data!$G:$G,Neutral!$A6,Data!$CX:$CX)+'Rate History'!$C$8*SUMIF(Data!$G:$G,Neutral!$A6,Data!$CY:$CY)+'Rate History'!$C$9*SUMIF(Data!$G:$G,Neutral!$A6,Data!$CZ:$CZ)+'Rate History'!$C$10*SUMIF(Data!$G:$G,Neutral!$A6,Data!$DA:$DA)+'Rate History'!$C$11*SUMIF(Data!$G:$G,Neutral!$A6,Data!$DB:$DB)+'Rate History'!$C$12*SUMIF(Data!$G:$G,Neutral!$A6,Data!$DC:$DC)+'Rate History'!$C$13*SUMIF(Data!$G:$G,Neutral!$A6,Data!$DD:$DD)+'Rate History'!$C$14*SUMIF(Data!$G:$G,Neutral!$A6,Data!$DE:$DE)+'Rate History'!$C$15*SUMIF(Data!$G:$G,Neutral!$A6,Data!$DF:$DF)+'Rate History'!$C$16*SUMIF(Data!$G:$G,Neutral!$A6,Data!$DG:$DG)+'Rate History'!$C$17*SUMIF(Data!$G:$G,Neutral!$A6,Data!$DH:$DH)+'Rate History'!$C$18*SUMIF(Data!$G:$G,Neutral!$A6,Data!$DI:$DI)+'Rate History'!$C$19*SUMIF(Data!$G:$G,Neutral!$A6,Data!$DJ:$DJ)+'Rate History'!$C$20*SUMIF(Data!$G:$G,Neutral!$A6,Data!$DK:$DK)+'Rate History'!$C$21*SUMIF(Data!$G:$G,Neutral!$A6,Data!$DL:$DL)+'Rate History'!$C$22*SUMIF(Data!$G:$G,Neutral!$A6,Data!$DM:$DM)+'Rate History'!$C$23*SUMIF(Data!$G:$G,Neutral!$A6,Data!$DN:$DN)+'Rate History'!$C$24*SUMIF(Data!$G:$G,Neutral!$A6,Data!$DO:$DO)+'Rate History'!$C$25*SUMIF(Data!$G:$G,Neutral!$A6,Data!$DP:$DP)+'Rate History'!$C$26*SUMIF(Data!$G:$G,Neutral!$A6,Data!$DQ:$DQ)+'Rate History'!$C$27*SUMIF(Data!$G:$G,Neutral!$A6,Data!$DR:$DR)+'Rate History'!$C$28*SUMIF(Data!$G:$G,Neutral!$A6,Data!$DS:$DS)+'Rate History'!$C$29*SUMIF(Data!$G:$G,Neutral!$A6,Data!$DT:$DT)+'Rate History'!$C$30*SUMIF(Data!$G:$G,Neutral!$A6,Data!$DV:$DV)+'Rate History'!$C$31*SUMIF(Data!$G:$G,Neutral!$A6,Data!$DW:$DW))</f>
        <v>59071095.306889348</v>
      </c>
      <c r="D6" s="166">
        <f>C6-B6</f>
        <v>-163969.04337076098</v>
      </c>
      <c r="E6" s="167">
        <f t="shared" ref="E6:E63" si="0">IFERROR(D6/B6,"")</f>
        <v>-2.7681077950925019E-3</v>
      </c>
    </row>
    <row r="7" spans="1:6" x14ac:dyDescent="0.25">
      <c r="A7" s="92" t="s">
        <v>351</v>
      </c>
      <c r="B7" s="168">
        <f>$B$5*('Rate History'!$D$4*SUMIF(Data!$G:$G,Neutral!$A7,Data!$CU:$CU)+'Rate History'!$D$5*SUMIF(Data!$G:$G,Neutral!$A7,Data!$CV:$CV)+'Rate History'!$D$6*SUMIF(Data!$G:$G,Neutral!$A7,Data!$CW:$CW)+'Rate History'!$D$7*SUMIF(Data!$G:$G,Neutral!$A7,Data!$CX:$CX)+'Rate History'!$D$8*SUMIF(Data!$G:$G,Neutral!$A7,Data!$CY:$CY)+'Rate History'!$D$9*SUMIF(Data!$G:$G,Neutral!$A7,Data!$CZ:$CZ)+'Rate History'!$D$10*SUMIF(Data!$G:$G,Neutral!$A7,Data!$DA:$DA)+'Rate History'!$D$11*SUMIF(Data!$G:$G,Neutral!$A7,Data!$DB:$DB)+'Rate History'!$D$12*SUMIF(Data!$G:$G,Neutral!$A7,Data!$DC:$DC)+'Rate History'!$D$13*SUMIF(Data!$G:$G,Neutral!$A7,Data!$DD:$DD)+'Rate History'!$D$14*SUMIF(Data!$G:$G,Neutral!$A7,Data!$DE:$DE)+'Rate History'!$D$15*SUMIF(Data!$G:$G,Neutral!$A7,Data!$DF:$DF)+'Rate History'!$D$16*SUMIF(Data!$G:$G,Neutral!$A7,Data!$DG:$DG)+'Rate History'!$D$17*SUMIF(Data!$G:$G,Neutral!$A7,Data!$DH:$DH)+'Rate History'!$D$18*SUMIF(Data!$G:$G,Neutral!$A7,Data!$DI:$DI)+'Rate History'!$D$19*SUMIF(Data!$G:$G,Neutral!$A7,Data!$DJ:$DJ)+'Rate History'!$D$20*SUMIF(Data!$G:$G,Neutral!$A7,Data!$DK:$DK)+'Rate History'!$D$21*SUMIF(Data!$G:$G,Neutral!$A7,Data!$DL:$DL)+'Rate History'!$D$22*SUMIF(Data!$G:$G,Neutral!$A7,Data!$DM:$DM)+'Rate History'!$D$23*SUMIF(Data!$G:$G,Neutral!$A7,Data!$DN:$DN)+'Rate History'!$D$24*SUMIF(Data!$G:$G,Neutral!$A7,Data!$DO:$DO)+'Rate History'!$D$25*SUMIF(Data!$G:$G,Neutral!$A7,Data!$DP:$DP)+'Rate History'!$D$26*SUMIF(Data!$G:$G,Neutral!$A7,Data!$DQ:$DQ)+'Rate History'!$D$27*SUMIF(Data!$G:$G,Neutral!$A7,Data!$DR:$DR)+'Rate History'!$D$28*SUMIF(Data!$G:$G,Neutral!$A7,Data!$DS:$DS)+'Rate History'!$D$29*SUMIF(Data!$G:$G,Neutral!$A7,Data!$DT:$DT)+'Rate History'!$D$30*SUMIF(Data!$G:$G,Neutral!$A7,Data!$DV:$DV)+'Rate History'!$D$31*SUMIF(Data!$G:$G,Neutral!$A7,Data!$DW:$DW))</f>
        <v>8316330.912764186</v>
      </c>
      <c r="C7" s="168">
        <f>$C$5*('Rate History'!$C$4*SUMIF(Data!$G:$G,Neutral!$A7,Data!$CU:$CU)+'Rate History'!$C$5*SUMIF(Data!$G:$G,Neutral!$A7,Data!$CV:$CV)+'Rate History'!$C$6*SUMIF(Data!$G:$G,Neutral!$A7,Data!$CW:$CW)+'Rate History'!$C$7*SUMIF(Data!$G:$G,Neutral!$A7,Data!$CX:$CX)+'Rate History'!$C$8*SUMIF(Data!$G:$G,Neutral!$A7,Data!$CY:$CY)+'Rate History'!$C$9*SUMIF(Data!$G:$G,Neutral!$A7,Data!$CZ:$CZ)+'Rate History'!$C$10*SUMIF(Data!$G:$G,Neutral!$A7,Data!$DA:$DA)+'Rate History'!$C$11*SUMIF(Data!$G:$G,Neutral!$A7,Data!$DB:$DB)+'Rate History'!$C$12*SUMIF(Data!$G:$G,Neutral!$A7,Data!$DC:$DC)+'Rate History'!$C$13*SUMIF(Data!$G:$G,Neutral!$A7,Data!$DD:$DD)+'Rate History'!$C$14*SUMIF(Data!$G:$G,Neutral!$A7,Data!$DE:$DE)+'Rate History'!$C$15*SUMIF(Data!$G:$G,Neutral!$A7,Data!$DF:$DF)+'Rate History'!$C$16*SUMIF(Data!$G:$G,Neutral!$A7,Data!$DG:$DG)+'Rate History'!$C$17*SUMIF(Data!$G:$G,Neutral!$A7,Data!$DH:$DH)+'Rate History'!$C$18*SUMIF(Data!$G:$G,Neutral!$A7,Data!$DI:$DI)+'Rate History'!$C$19*SUMIF(Data!$G:$G,Neutral!$A7,Data!$DJ:$DJ)+'Rate History'!$C$20*SUMIF(Data!$G:$G,Neutral!$A7,Data!$DK:$DK)+'Rate History'!$C$21*SUMIF(Data!$G:$G,Neutral!$A7,Data!$DL:$DL)+'Rate History'!$C$22*SUMIF(Data!$G:$G,Neutral!$A7,Data!$DM:$DM)+'Rate History'!$C$23*SUMIF(Data!$G:$G,Neutral!$A7,Data!$DN:$DN)+'Rate History'!$C$24*SUMIF(Data!$G:$G,Neutral!$A7,Data!$DO:$DO)+'Rate History'!$C$25*SUMIF(Data!$G:$G,Neutral!$A7,Data!$DP:$DP)+'Rate History'!$C$26*SUMIF(Data!$G:$G,Neutral!$A7,Data!$DQ:$DQ)+'Rate History'!$C$27*SUMIF(Data!$G:$G,Neutral!$A7,Data!$DR:$DR)+'Rate History'!$C$28*SUMIF(Data!$G:$G,Neutral!$A7,Data!$DS:$DS)+'Rate History'!$C$29*SUMIF(Data!$G:$G,Neutral!$A7,Data!$DT:$DT)+'Rate History'!$C$30*SUMIF(Data!$G:$G,Neutral!$A7,Data!$DV:$DV)+'Rate History'!$C$31*SUMIF(Data!$G:$G,Neutral!$A7,Data!$DW:$DW))</f>
        <v>8336783.4516942343</v>
      </c>
      <c r="D7" s="169">
        <f t="shared" ref="D7:D63" si="1">C7-B7</f>
        <v>20452.538930048235</v>
      </c>
      <c r="E7" s="167">
        <f t="shared" si="0"/>
        <v>2.4593224036644555E-3</v>
      </c>
    </row>
    <row r="8" spans="1:6" x14ac:dyDescent="0.25">
      <c r="A8" s="92" t="s">
        <v>353</v>
      </c>
      <c r="B8" s="168">
        <f>$B$5*('Rate History'!$D$4*SUMIF(Data!$G:$G,Neutral!$A8,Data!$CU:$CU)+'Rate History'!$D$5*SUMIF(Data!$G:$G,Neutral!$A8,Data!$CV:$CV)+'Rate History'!$D$6*SUMIF(Data!$G:$G,Neutral!$A8,Data!$CW:$CW)+'Rate History'!$D$7*SUMIF(Data!$G:$G,Neutral!$A8,Data!$CX:$CX)+'Rate History'!$D$8*SUMIF(Data!$G:$G,Neutral!$A8,Data!$CY:$CY)+'Rate History'!$D$9*SUMIF(Data!$G:$G,Neutral!$A8,Data!$CZ:$CZ)+'Rate History'!$D$10*SUMIF(Data!$G:$G,Neutral!$A8,Data!$DA:$DA)+'Rate History'!$D$11*SUMIF(Data!$G:$G,Neutral!$A8,Data!$DB:$DB)+'Rate History'!$D$12*SUMIF(Data!$G:$G,Neutral!$A8,Data!$DC:$DC)+'Rate History'!$D$13*SUMIF(Data!$G:$G,Neutral!$A8,Data!$DD:$DD)+'Rate History'!$D$14*SUMIF(Data!$G:$G,Neutral!$A8,Data!$DE:$DE)+'Rate History'!$D$15*SUMIF(Data!$G:$G,Neutral!$A8,Data!$DF:$DF)+'Rate History'!$D$16*SUMIF(Data!$G:$G,Neutral!$A8,Data!$DG:$DG)+'Rate History'!$D$17*SUMIF(Data!$G:$G,Neutral!$A8,Data!$DH:$DH)+'Rate History'!$D$18*SUMIF(Data!$G:$G,Neutral!$A8,Data!$DI:$DI)+'Rate History'!$D$19*SUMIF(Data!$G:$G,Neutral!$A8,Data!$DJ:$DJ)+'Rate History'!$D$20*SUMIF(Data!$G:$G,Neutral!$A8,Data!$DK:$DK)+'Rate History'!$D$21*SUMIF(Data!$G:$G,Neutral!$A8,Data!$DL:$DL)+'Rate History'!$D$22*SUMIF(Data!$G:$G,Neutral!$A8,Data!$DM:$DM)+'Rate History'!$D$23*SUMIF(Data!$G:$G,Neutral!$A8,Data!$DN:$DN)+'Rate History'!$D$24*SUMIF(Data!$G:$G,Neutral!$A8,Data!$DO:$DO)+'Rate History'!$D$25*SUMIF(Data!$G:$G,Neutral!$A8,Data!$DP:$DP)+'Rate History'!$D$26*SUMIF(Data!$G:$G,Neutral!$A8,Data!$DQ:$DQ)+'Rate History'!$D$27*SUMIF(Data!$G:$G,Neutral!$A8,Data!$DR:$DR)+'Rate History'!$D$28*SUMIF(Data!$G:$G,Neutral!$A8,Data!$DS:$DS)+'Rate History'!$D$29*SUMIF(Data!$G:$G,Neutral!$A8,Data!$DT:$DT)+'Rate History'!$D$30*SUMIF(Data!$G:$G,Neutral!$A8,Data!$DV:$DV)+'Rate History'!$D$31*SUMIF(Data!$G:$G,Neutral!$A8,Data!$DW:$DW))</f>
        <v>17982783.554145854</v>
      </c>
      <c r="C8" s="168">
        <f>$C$5*('Rate History'!$C$4*SUMIF(Data!$G:$G,Neutral!$A8,Data!$CU:$CU)+'Rate History'!$C$5*SUMIF(Data!$G:$G,Neutral!$A8,Data!$CV:$CV)+'Rate History'!$C$6*SUMIF(Data!$G:$G,Neutral!$A8,Data!$CW:$CW)+'Rate History'!$C$7*SUMIF(Data!$G:$G,Neutral!$A8,Data!$CX:$CX)+'Rate History'!$C$8*SUMIF(Data!$G:$G,Neutral!$A8,Data!$CY:$CY)+'Rate History'!$C$9*SUMIF(Data!$G:$G,Neutral!$A8,Data!$CZ:$CZ)+'Rate History'!$C$10*SUMIF(Data!$G:$G,Neutral!$A8,Data!$DA:$DA)+'Rate History'!$C$11*SUMIF(Data!$G:$G,Neutral!$A8,Data!$DB:$DB)+'Rate History'!$C$12*SUMIF(Data!$G:$G,Neutral!$A8,Data!$DC:$DC)+'Rate History'!$C$13*SUMIF(Data!$G:$G,Neutral!$A8,Data!$DD:$DD)+'Rate History'!$C$14*SUMIF(Data!$G:$G,Neutral!$A8,Data!$DE:$DE)+'Rate History'!$C$15*SUMIF(Data!$G:$G,Neutral!$A8,Data!$DF:$DF)+'Rate History'!$C$16*SUMIF(Data!$G:$G,Neutral!$A8,Data!$DG:$DG)+'Rate History'!$C$17*SUMIF(Data!$G:$G,Neutral!$A8,Data!$DH:$DH)+'Rate History'!$C$18*SUMIF(Data!$G:$G,Neutral!$A8,Data!$DI:$DI)+'Rate History'!$C$19*SUMIF(Data!$G:$G,Neutral!$A8,Data!$DJ:$DJ)+'Rate History'!$C$20*SUMIF(Data!$G:$G,Neutral!$A8,Data!$DK:$DK)+'Rate History'!$C$21*SUMIF(Data!$G:$G,Neutral!$A8,Data!$DL:$DL)+'Rate History'!$C$22*SUMIF(Data!$G:$G,Neutral!$A8,Data!$DM:$DM)+'Rate History'!$C$23*SUMIF(Data!$G:$G,Neutral!$A8,Data!$DN:$DN)+'Rate History'!$C$24*SUMIF(Data!$G:$G,Neutral!$A8,Data!$DO:$DO)+'Rate History'!$C$25*SUMIF(Data!$G:$G,Neutral!$A8,Data!$DP:$DP)+'Rate History'!$C$26*SUMIF(Data!$G:$G,Neutral!$A8,Data!$DQ:$DQ)+'Rate History'!$C$27*SUMIF(Data!$G:$G,Neutral!$A8,Data!$DR:$DR)+'Rate History'!$C$28*SUMIF(Data!$G:$G,Neutral!$A8,Data!$DS:$DS)+'Rate History'!$C$29*SUMIF(Data!$G:$G,Neutral!$A8,Data!$DT:$DT)+'Rate History'!$C$30*SUMIF(Data!$G:$G,Neutral!$A8,Data!$DV:$DV)+'Rate History'!$C$31*SUMIF(Data!$G:$G,Neutral!$A8,Data!$DW:$DW))</f>
        <v>18028644.349323183</v>
      </c>
      <c r="D8" s="169">
        <f t="shared" si="1"/>
        <v>45860.795177329332</v>
      </c>
      <c r="E8" s="167">
        <f t="shared" si="0"/>
        <v>2.5502612006224321E-3</v>
      </c>
    </row>
    <row r="9" spans="1:6" x14ac:dyDescent="0.25">
      <c r="A9" s="92" t="s">
        <v>422</v>
      </c>
      <c r="B9" s="168">
        <f>$B$5*('Rate History'!$D$4*SUMIF(Data!$G:$G,Neutral!$A9,Data!$CU:$CU)+'Rate History'!$D$5*SUMIF(Data!$G:$G,Neutral!$A9,Data!$CV:$CV)+'Rate History'!$D$6*SUMIF(Data!$G:$G,Neutral!$A9,Data!$CW:$CW)+'Rate History'!$D$7*SUMIF(Data!$G:$G,Neutral!$A9,Data!$CX:$CX)+'Rate History'!$D$8*SUMIF(Data!$G:$G,Neutral!$A9,Data!$CY:$CY)+'Rate History'!$D$9*SUMIF(Data!$G:$G,Neutral!$A9,Data!$CZ:$CZ)+'Rate History'!$D$10*SUMIF(Data!$G:$G,Neutral!$A9,Data!$DA:$DA)+'Rate History'!$D$11*SUMIF(Data!$G:$G,Neutral!$A9,Data!$DB:$DB)+'Rate History'!$D$12*SUMIF(Data!$G:$G,Neutral!$A9,Data!$DC:$DC)+'Rate History'!$D$13*SUMIF(Data!$G:$G,Neutral!$A9,Data!$DD:$DD)+'Rate History'!$D$14*SUMIF(Data!$G:$G,Neutral!$A9,Data!$DE:$DE)+'Rate History'!$D$15*SUMIF(Data!$G:$G,Neutral!$A9,Data!$DF:$DF)+'Rate History'!$D$16*SUMIF(Data!$G:$G,Neutral!$A9,Data!$DG:$DG)+'Rate History'!$D$17*SUMIF(Data!$G:$G,Neutral!$A9,Data!$DH:$DH)+'Rate History'!$D$18*SUMIF(Data!$G:$G,Neutral!$A9,Data!$DI:$DI)+'Rate History'!$D$19*SUMIF(Data!$G:$G,Neutral!$A9,Data!$DJ:$DJ)+'Rate History'!$D$20*SUMIF(Data!$G:$G,Neutral!$A9,Data!$DK:$DK)+'Rate History'!$D$21*SUMIF(Data!$G:$G,Neutral!$A9,Data!$DL:$DL)+'Rate History'!$D$22*SUMIF(Data!$G:$G,Neutral!$A9,Data!$DM:$DM)+'Rate History'!$D$23*SUMIF(Data!$G:$G,Neutral!$A9,Data!$DN:$DN)+'Rate History'!$D$24*SUMIF(Data!$G:$G,Neutral!$A9,Data!$DO:$DO)+'Rate History'!$D$25*SUMIF(Data!$G:$G,Neutral!$A9,Data!$DP:$DP)+'Rate History'!$D$26*SUMIF(Data!$G:$G,Neutral!$A9,Data!$DQ:$DQ)+'Rate History'!$D$27*SUMIF(Data!$G:$G,Neutral!$A9,Data!$DR:$DR)+'Rate History'!$D$28*SUMIF(Data!$G:$G,Neutral!$A9,Data!$DS:$DS)+'Rate History'!$D$29*SUMIF(Data!$G:$G,Neutral!$A9,Data!$DT:$DT)+'Rate History'!$D$30*SUMIF(Data!$G:$G,Neutral!$A9,Data!$DV:$DV)+'Rate History'!$D$31*SUMIF(Data!$G:$G,Neutral!$A9,Data!$DW:$DW))</f>
        <v>7934745.9805507185</v>
      </c>
      <c r="C9" s="168">
        <f>$C$5*('Rate History'!$C$4*SUMIF(Data!$G:$G,Neutral!$A9,Data!$CU:$CU)+'Rate History'!$C$5*SUMIF(Data!$G:$G,Neutral!$A9,Data!$CV:$CV)+'Rate History'!$C$6*SUMIF(Data!$G:$G,Neutral!$A9,Data!$CW:$CW)+'Rate History'!$C$7*SUMIF(Data!$G:$G,Neutral!$A9,Data!$CX:$CX)+'Rate History'!$C$8*SUMIF(Data!$G:$G,Neutral!$A9,Data!$CY:$CY)+'Rate History'!$C$9*SUMIF(Data!$G:$G,Neutral!$A9,Data!$CZ:$CZ)+'Rate History'!$C$10*SUMIF(Data!$G:$G,Neutral!$A9,Data!$DA:$DA)+'Rate History'!$C$11*SUMIF(Data!$G:$G,Neutral!$A9,Data!$DB:$DB)+'Rate History'!$C$12*SUMIF(Data!$G:$G,Neutral!$A9,Data!$DC:$DC)+'Rate History'!$C$13*SUMIF(Data!$G:$G,Neutral!$A9,Data!$DD:$DD)+'Rate History'!$C$14*SUMIF(Data!$G:$G,Neutral!$A9,Data!$DE:$DE)+'Rate History'!$C$15*SUMIF(Data!$G:$G,Neutral!$A9,Data!$DF:$DF)+'Rate History'!$C$16*SUMIF(Data!$G:$G,Neutral!$A9,Data!$DG:$DG)+'Rate History'!$C$17*SUMIF(Data!$G:$G,Neutral!$A9,Data!$DH:$DH)+'Rate History'!$C$18*SUMIF(Data!$G:$G,Neutral!$A9,Data!$DI:$DI)+'Rate History'!$C$19*SUMIF(Data!$G:$G,Neutral!$A9,Data!$DJ:$DJ)+'Rate History'!$C$20*SUMIF(Data!$G:$G,Neutral!$A9,Data!$DK:$DK)+'Rate History'!$C$21*SUMIF(Data!$G:$G,Neutral!$A9,Data!$DL:$DL)+'Rate History'!$C$22*SUMIF(Data!$G:$G,Neutral!$A9,Data!$DM:$DM)+'Rate History'!$C$23*SUMIF(Data!$G:$G,Neutral!$A9,Data!$DN:$DN)+'Rate History'!$C$24*SUMIF(Data!$G:$G,Neutral!$A9,Data!$DO:$DO)+'Rate History'!$C$25*SUMIF(Data!$G:$G,Neutral!$A9,Data!$DP:$DP)+'Rate History'!$C$26*SUMIF(Data!$G:$G,Neutral!$A9,Data!$DQ:$DQ)+'Rate History'!$C$27*SUMIF(Data!$G:$G,Neutral!$A9,Data!$DR:$DR)+'Rate History'!$C$28*SUMIF(Data!$G:$G,Neutral!$A9,Data!$DS:$DS)+'Rate History'!$C$29*SUMIF(Data!$G:$G,Neutral!$A9,Data!$DT:$DT)+'Rate History'!$C$30*SUMIF(Data!$G:$G,Neutral!$A9,Data!$DV:$DV)+'Rate History'!$C$31*SUMIF(Data!$G:$G,Neutral!$A9,Data!$DW:$DW))</f>
        <v>7869448.9697849676</v>
      </c>
      <c r="D9" s="169">
        <f t="shared" si="1"/>
        <v>-65297.010765750892</v>
      </c>
      <c r="E9" s="167">
        <f t="shared" si="0"/>
        <v>-8.2292503031355883E-3</v>
      </c>
    </row>
    <row r="10" spans="1:6" x14ac:dyDescent="0.25">
      <c r="A10" s="92" t="s">
        <v>445</v>
      </c>
      <c r="B10" s="168">
        <f>$B$5*('Rate History'!$D$4*SUMIF(Data!$G:$G,Neutral!$A10,Data!$CU:$CU)+'Rate History'!$D$5*SUMIF(Data!$G:$G,Neutral!$A10,Data!$CV:$CV)+'Rate History'!$D$6*SUMIF(Data!$G:$G,Neutral!$A10,Data!$CW:$CW)+'Rate History'!$D$7*SUMIF(Data!$G:$G,Neutral!$A10,Data!$CX:$CX)+'Rate History'!$D$8*SUMIF(Data!$G:$G,Neutral!$A10,Data!$CY:$CY)+'Rate History'!$D$9*SUMIF(Data!$G:$G,Neutral!$A10,Data!$CZ:$CZ)+'Rate History'!$D$10*SUMIF(Data!$G:$G,Neutral!$A10,Data!$DA:$DA)+'Rate History'!$D$11*SUMIF(Data!$G:$G,Neutral!$A10,Data!$DB:$DB)+'Rate History'!$D$12*SUMIF(Data!$G:$G,Neutral!$A10,Data!$DC:$DC)+'Rate History'!$D$13*SUMIF(Data!$G:$G,Neutral!$A10,Data!$DD:$DD)+'Rate History'!$D$14*SUMIF(Data!$G:$G,Neutral!$A10,Data!$DE:$DE)+'Rate History'!$D$15*SUMIF(Data!$G:$G,Neutral!$A10,Data!$DF:$DF)+'Rate History'!$D$16*SUMIF(Data!$G:$G,Neutral!$A10,Data!$DG:$DG)+'Rate History'!$D$17*SUMIF(Data!$G:$G,Neutral!$A10,Data!$DH:$DH)+'Rate History'!$D$18*SUMIF(Data!$G:$G,Neutral!$A10,Data!$DI:$DI)+'Rate History'!$D$19*SUMIF(Data!$G:$G,Neutral!$A10,Data!$DJ:$DJ)+'Rate History'!$D$20*SUMIF(Data!$G:$G,Neutral!$A10,Data!$DK:$DK)+'Rate History'!$D$21*SUMIF(Data!$G:$G,Neutral!$A10,Data!$DL:$DL)+'Rate History'!$D$22*SUMIF(Data!$G:$G,Neutral!$A10,Data!$DM:$DM)+'Rate History'!$D$23*SUMIF(Data!$G:$G,Neutral!$A10,Data!$DN:$DN)+'Rate History'!$D$24*SUMIF(Data!$G:$G,Neutral!$A10,Data!$DO:$DO)+'Rate History'!$D$25*SUMIF(Data!$G:$G,Neutral!$A10,Data!$DP:$DP)+'Rate History'!$D$26*SUMIF(Data!$G:$G,Neutral!$A10,Data!$DQ:$DQ)+'Rate History'!$D$27*SUMIF(Data!$G:$G,Neutral!$A10,Data!$DR:$DR)+'Rate History'!$D$28*SUMIF(Data!$G:$G,Neutral!$A10,Data!$DS:$DS)+'Rate History'!$D$29*SUMIF(Data!$G:$G,Neutral!$A10,Data!$DT:$DT)+'Rate History'!$D$30*SUMIF(Data!$G:$G,Neutral!$A10,Data!$DV:$DV)+'Rate History'!$D$31*SUMIF(Data!$G:$G,Neutral!$A10,Data!$DW:$DW))</f>
        <v>37027355.155713178</v>
      </c>
      <c r="C10" s="168">
        <f>$C$5*('Rate History'!$C$4*SUMIF(Data!$G:$G,Neutral!$A10,Data!$CU:$CU)+'Rate History'!$C$5*SUMIF(Data!$G:$G,Neutral!$A10,Data!$CV:$CV)+'Rate History'!$C$6*SUMIF(Data!$G:$G,Neutral!$A10,Data!$CW:$CW)+'Rate History'!$C$7*SUMIF(Data!$G:$G,Neutral!$A10,Data!$CX:$CX)+'Rate History'!$C$8*SUMIF(Data!$G:$G,Neutral!$A10,Data!$CY:$CY)+'Rate History'!$C$9*SUMIF(Data!$G:$G,Neutral!$A10,Data!$CZ:$CZ)+'Rate History'!$C$10*SUMIF(Data!$G:$G,Neutral!$A10,Data!$DA:$DA)+'Rate History'!$C$11*SUMIF(Data!$G:$G,Neutral!$A10,Data!$DB:$DB)+'Rate History'!$C$12*SUMIF(Data!$G:$G,Neutral!$A10,Data!$DC:$DC)+'Rate History'!$C$13*SUMIF(Data!$G:$G,Neutral!$A10,Data!$DD:$DD)+'Rate History'!$C$14*SUMIF(Data!$G:$G,Neutral!$A10,Data!$DE:$DE)+'Rate History'!$C$15*SUMIF(Data!$G:$G,Neutral!$A10,Data!$DF:$DF)+'Rate History'!$C$16*SUMIF(Data!$G:$G,Neutral!$A10,Data!$DG:$DG)+'Rate History'!$C$17*SUMIF(Data!$G:$G,Neutral!$A10,Data!$DH:$DH)+'Rate History'!$C$18*SUMIF(Data!$G:$G,Neutral!$A10,Data!$DI:$DI)+'Rate History'!$C$19*SUMIF(Data!$G:$G,Neutral!$A10,Data!$DJ:$DJ)+'Rate History'!$C$20*SUMIF(Data!$G:$G,Neutral!$A10,Data!$DK:$DK)+'Rate History'!$C$21*SUMIF(Data!$G:$G,Neutral!$A10,Data!$DL:$DL)+'Rate History'!$C$22*SUMIF(Data!$G:$G,Neutral!$A10,Data!$DM:$DM)+'Rate History'!$C$23*SUMIF(Data!$G:$G,Neutral!$A10,Data!$DN:$DN)+'Rate History'!$C$24*SUMIF(Data!$G:$G,Neutral!$A10,Data!$DO:$DO)+'Rate History'!$C$25*SUMIF(Data!$G:$G,Neutral!$A10,Data!$DP:$DP)+'Rate History'!$C$26*SUMIF(Data!$G:$G,Neutral!$A10,Data!$DQ:$DQ)+'Rate History'!$C$27*SUMIF(Data!$G:$G,Neutral!$A10,Data!$DR:$DR)+'Rate History'!$C$28*SUMIF(Data!$G:$G,Neutral!$A10,Data!$DS:$DS)+'Rate History'!$C$29*SUMIF(Data!$G:$G,Neutral!$A10,Data!$DT:$DT)+'Rate History'!$C$30*SUMIF(Data!$G:$G,Neutral!$A10,Data!$DV:$DV)+'Rate History'!$C$31*SUMIF(Data!$G:$G,Neutral!$A10,Data!$DW:$DW))</f>
        <v>36974399.812010445</v>
      </c>
      <c r="D10" s="169">
        <f t="shared" si="1"/>
        <v>-52955.343702733517</v>
      </c>
      <c r="E10" s="167">
        <f t="shared" si="0"/>
        <v>-1.4301681413656873E-3</v>
      </c>
    </row>
    <row r="11" spans="1:6" x14ac:dyDescent="0.25">
      <c r="A11" s="92" t="s">
        <v>357</v>
      </c>
      <c r="B11" s="168">
        <f>$B$5*('Rate History'!$D$4*SUMIF(Data!$G:$G,Neutral!$A11,Data!$CU:$CU)+'Rate History'!$D$5*SUMIF(Data!$G:$G,Neutral!$A11,Data!$CV:$CV)+'Rate History'!$D$6*SUMIF(Data!$G:$G,Neutral!$A11,Data!$CW:$CW)+'Rate History'!$D$7*SUMIF(Data!$G:$G,Neutral!$A11,Data!$CX:$CX)+'Rate History'!$D$8*SUMIF(Data!$G:$G,Neutral!$A11,Data!$CY:$CY)+'Rate History'!$D$9*SUMIF(Data!$G:$G,Neutral!$A11,Data!$CZ:$CZ)+'Rate History'!$D$10*SUMIF(Data!$G:$G,Neutral!$A11,Data!$DA:$DA)+'Rate History'!$D$11*SUMIF(Data!$G:$G,Neutral!$A11,Data!$DB:$DB)+'Rate History'!$D$12*SUMIF(Data!$G:$G,Neutral!$A11,Data!$DC:$DC)+'Rate History'!$D$13*SUMIF(Data!$G:$G,Neutral!$A11,Data!$DD:$DD)+'Rate History'!$D$14*SUMIF(Data!$G:$G,Neutral!$A11,Data!$DE:$DE)+'Rate History'!$D$15*SUMIF(Data!$G:$G,Neutral!$A11,Data!$DF:$DF)+'Rate History'!$D$16*SUMIF(Data!$G:$G,Neutral!$A11,Data!$DG:$DG)+'Rate History'!$D$17*SUMIF(Data!$G:$G,Neutral!$A11,Data!$DH:$DH)+'Rate History'!$D$18*SUMIF(Data!$G:$G,Neutral!$A11,Data!$DI:$DI)+'Rate History'!$D$19*SUMIF(Data!$G:$G,Neutral!$A11,Data!$DJ:$DJ)+'Rate History'!$D$20*SUMIF(Data!$G:$G,Neutral!$A11,Data!$DK:$DK)+'Rate History'!$D$21*SUMIF(Data!$G:$G,Neutral!$A11,Data!$DL:$DL)+'Rate History'!$D$22*SUMIF(Data!$G:$G,Neutral!$A11,Data!$DM:$DM)+'Rate History'!$D$23*SUMIF(Data!$G:$G,Neutral!$A11,Data!$DN:$DN)+'Rate History'!$D$24*SUMIF(Data!$G:$G,Neutral!$A11,Data!$DO:$DO)+'Rate History'!$D$25*SUMIF(Data!$G:$G,Neutral!$A11,Data!$DP:$DP)+'Rate History'!$D$26*SUMIF(Data!$G:$G,Neutral!$A11,Data!$DQ:$DQ)+'Rate History'!$D$27*SUMIF(Data!$G:$G,Neutral!$A11,Data!$DR:$DR)+'Rate History'!$D$28*SUMIF(Data!$G:$G,Neutral!$A11,Data!$DS:$DS)+'Rate History'!$D$29*SUMIF(Data!$G:$G,Neutral!$A11,Data!$DT:$DT)+'Rate History'!$D$30*SUMIF(Data!$G:$G,Neutral!$A11,Data!$DV:$DV)+'Rate History'!$D$31*SUMIF(Data!$G:$G,Neutral!$A11,Data!$DW:$DW))</f>
        <v>19991077.011666588</v>
      </c>
      <c r="C11" s="168">
        <f>$C$5*('Rate History'!$C$4*SUMIF(Data!$G:$G,Neutral!$A11,Data!$CU:$CU)+'Rate History'!$C$5*SUMIF(Data!$G:$G,Neutral!$A11,Data!$CV:$CV)+'Rate History'!$C$6*SUMIF(Data!$G:$G,Neutral!$A11,Data!$CW:$CW)+'Rate History'!$C$7*SUMIF(Data!$G:$G,Neutral!$A11,Data!$CX:$CX)+'Rate History'!$C$8*SUMIF(Data!$G:$G,Neutral!$A11,Data!$CY:$CY)+'Rate History'!$C$9*SUMIF(Data!$G:$G,Neutral!$A11,Data!$CZ:$CZ)+'Rate History'!$C$10*SUMIF(Data!$G:$G,Neutral!$A11,Data!$DA:$DA)+'Rate History'!$C$11*SUMIF(Data!$G:$G,Neutral!$A11,Data!$DB:$DB)+'Rate History'!$C$12*SUMIF(Data!$G:$G,Neutral!$A11,Data!$DC:$DC)+'Rate History'!$C$13*SUMIF(Data!$G:$G,Neutral!$A11,Data!$DD:$DD)+'Rate History'!$C$14*SUMIF(Data!$G:$G,Neutral!$A11,Data!$DE:$DE)+'Rate History'!$C$15*SUMIF(Data!$G:$G,Neutral!$A11,Data!$DF:$DF)+'Rate History'!$C$16*SUMIF(Data!$G:$G,Neutral!$A11,Data!$DG:$DG)+'Rate History'!$C$17*SUMIF(Data!$G:$G,Neutral!$A11,Data!$DH:$DH)+'Rate History'!$C$18*SUMIF(Data!$G:$G,Neutral!$A11,Data!$DI:$DI)+'Rate History'!$C$19*SUMIF(Data!$G:$G,Neutral!$A11,Data!$DJ:$DJ)+'Rate History'!$C$20*SUMIF(Data!$G:$G,Neutral!$A11,Data!$DK:$DK)+'Rate History'!$C$21*SUMIF(Data!$G:$G,Neutral!$A11,Data!$DL:$DL)+'Rate History'!$C$22*SUMIF(Data!$G:$G,Neutral!$A11,Data!$DM:$DM)+'Rate History'!$C$23*SUMIF(Data!$G:$G,Neutral!$A11,Data!$DN:$DN)+'Rate History'!$C$24*SUMIF(Data!$G:$G,Neutral!$A11,Data!$DO:$DO)+'Rate History'!$C$25*SUMIF(Data!$G:$G,Neutral!$A11,Data!$DP:$DP)+'Rate History'!$C$26*SUMIF(Data!$G:$G,Neutral!$A11,Data!$DQ:$DQ)+'Rate History'!$C$27*SUMIF(Data!$G:$G,Neutral!$A11,Data!$DR:$DR)+'Rate History'!$C$28*SUMIF(Data!$G:$G,Neutral!$A11,Data!$DS:$DS)+'Rate History'!$C$29*SUMIF(Data!$G:$G,Neutral!$A11,Data!$DT:$DT)+'Rate History'!$C$30*SUMIF(Data!$G:$G,Neutral!$A11,Data!$DV:$DV)+'Rate History'!$C$31*SUMIF(Data!$G:$G,Neutral!$A11,Data!$DW:$DW))</f>
        <v>19954290.18613521</v>
      </c>
      <c r="D11" s="169">
        <f t="shared" si="1"/>
        <v>-36786.825531378388</v>
      </c>
      <c r="E11" s="167">
        <f t="shared" si="0"/>
        <v>-1.8401622638895328E-3</v>
      </c>
    </row>
    <row r="12" spans="1:6" x14ac:dyDescent="0.25">
      <c r="A12" s="92" t="s">
        <v>428</v>
      </c>
      <c r="B12" s="168">
        <f>$B$5*('Rate History'!$D$4*SUMIF(Data!$G:$G,Neutral!$A12,Data!$CU:$CU)+'Rate History'!$D$5*SUMIF(Data!$G:$G,Neutral!$A12,Data!$CV:$CV)+'Rate History'!$D$6*SUMIF(Data!$G:$G,Neutral!$A12,Data!$CW:$CW)+'Rate History'!$D$7*SUMIF(Data!$G:$G,Neutral!$A12,Data!$CX:$CX)+'Rate History'!$D$8*SUMIF(Data!$G:$G,Neutral!$A12,Data!$CY:$CY)+'Rate History'!$D$9*SUMIF(Data!$G:$G,Neutral!$A12,Data!$CZ:$CZ)+'Rate History'!$D$10*SUMIF(Data!$G:$G,Neutral!$A12,Data!$DA:$DA)+'Rate History'!$D$11*SUMIF(Data!$G:$G,Neutral!$A12,Data!$DB:$DB)+'Rate History'!$D$12*SUMIF(Data!$G:$G,Neutral!$A12,Data!$DC:$DC)+'Rate History'!$D$13*SUMIF(Data!$G:$G,Neutral!$A12,Data!$DD:$DD)+'Rate History'!$D$14*SUMIF(Data!$G:$G,Neutral!$A12,Data!$DE:$DE)+'Rate History'!$D$15*SUMIF(Data!$G:$G,Neutral!$A12,Data!$DF:$DF)+'Rate History'!$D$16*SUMIF(Data!$G:$G,Neutral!$A12,Data!$DG:$DG)+'Rate History'!$D$17*SUMIF(Data!$G:$G,Neutral!$A12,Data!$DH:$DH)+'Rate History'!$D$18*SUMIF(Data!$G:$G,Neutral!$A12,Data!$DI:$DI)+'Rate History'!$D$19*SUMIF(Data!$G:$G,Neutral!$A12,Data!$DJ:$DJ)+'Rate History'!$D$20*SUMIF(Data!$G:$G,Neutral!$A12,Data!$DK:$DK)+'Rate History'!$D$21*SUMIF(Data!$G:$G,Neutral!$A12,Data!$DL:$DL)+'Rate History'!$D$22*SUMIF(Data!$G:$G,Neutral!$A12,Data!$DM:$DM)+'Rate History'!$D$23*SUMIF(Data!$G:$G,Neutral!$A12,Data!$DN:$DN)+'Rate History'!$D$24*SUMIF(Data!$G:$G,Neutral!$A12,Data!$DO:$DO)+'Rate History'!$D$25*SUMIF(Data!$G:$G,Neutral!$A12,Data!$DP:$DP)+'Rate History'!$D$26*SUMIF(Data!$G:$G,Neutral!$A12,Data!$DQ:$DQ)+'Rate History'!$D$27*SUMIF(Data!$G:$G,Neutral!$A12,Data!$DR:$DR)+'Rate History'!$D$28*SUMIF(Data!$G:$G,Neutral!$A12,Data!$DS:$DS)+'Rate History'!$D$29*SUMIF(Data!$G:$G,Neutral!$A12,Data!$DT:$DT)+'Rate History'!$D$30*SUMIF(Data!$G:$G,Neutral!$A12,Data!$DV:$DV)+'Rate History'!$D$31*SUMIF(Data!$G:$G,Neutral!$A12,Data!$DW:$DW))</f>
        <v>6119445.7821933646</v>
      </c>
      <c r="C12" s="168">
        <f>$C$5*('Rate History'!$C$4*SUMIF(Data!$G:$G,Neutral!$A12,Data!$CU:$CU)+'Rate History'!$C$5*SUMIF(Data!$G:$G,Neutral!$A12,Data!$CV:$CV)+'Rate History'!$C$6*SUMIF(Data!$G:$G,Neutral!$A12,Data!$CW:$CW)+'Rate History'!$C$7*SUMIF(Data!$G:$G,Neutral!$A12,Data!$CX:$CX)+'Rate History'!$C$8*SUMIF(Data!$G:$G,Neutral!$A12,Data!$CY:$CY)+'Rate History'!$C$9*SUMIF(Data!$G:$G,Neutral!$A12,Data!$CZ:$CZ)+'Rate History'!$C$10*SUMIF(Data!$G:$G,Neutral!$A12,Data!$DA:$DA)+'Rate History'!$C$11*SUMIF(Data!$G:$G,Neutral!$A12,Data!$DB:$DB)+'Rate History'!$C$12*SUMIF(Data!$G:$G,Neutral!$A12,Data!$DC:$DC)+'Rate History'!$C$13*SUMIF(Data!$G:$G,Neutral!$A12,Data!$DD:$DD)+'Rate History'!$C$14*SUMIF(Data!$G:$G,Neutral!$A12,Data!$DE:$DE)+'Rate History'!$C$15*SUMIF(Data!$G:$G,Neutral!$A12,Data!$DF:$DF)+'Rate History'!$C$16*SUMIF(Data!$G:$G,Neutral!$A12,Data!$DG:$DG)+'Rate History'!$C$17*SUMIF(Data!$G:$G,Neutral!$A12,Data!$DH:$DH)+'Rate History'!$C$18*SUMIF(Data!$G:$G,Neutral!$A12,Data!$DI:$DI)+'Rate History'!$C$19*SUMIF(Data!$G:$G,Neutral!$A12,Data!$DJ:$DJ)+'Rate History'!$C$20*SUMIF(Data!$G:$G,Neutral!$A12,Data!$DK:$DK)+'Rate History'!$C$21*SUMIF(Data!$G:$G,Neutral!$A12,Data!$DL:$DL)+'Rate History'!$C$22*SUMIF(Data!$G:$G,Neutral!$A12,Data!$DM:$DM)+'Rate History'!$C$23*SUMIF(Data!$G:$G,Neutral!$A12,Data!$DN:$DN)+'Rate History'!$C$24*SUMIF(Data!$G:$G,Neutral!$A12,Data!$DO:$DO)+'Rate History'!$C$25*SUMIF(Data!$G:$G,Neutral!$A12,Data!$DP:$DP)+'Rate History'!$C$26*SUMIF(Data!$G:$G,Neutral!$A12,Data!$DQ:$DQ)+'Rate History'!$C$27*SUMIF(Data!$G:$G,Neutral!$A12,Data!$DR:$DR)+'Rate History'!$C$28*SUMIF(Data!$G:$G,Neutral!$A12,Data!$DS:$DS)+'Rate History'!$C$29*SUMIF(Data!$G:$G,Neutral!$A12,Data!$DT:$DT)+'Rate History'!$C$30*SUMIF(Data!$G:$G,Neutral!$A12,Data!$DV:$DV)+'Rate History'!$C$31*SUMIF(Data!$G:$G,Neutral!$A12,Data!$DW:$DW))</f>
        <v>6117903.1165198581</v>
      </c>
      <c r="D12" s="169">
        <f t="shared" si="1"/>
        <v>-1542.6656735064462</v>
      </c>
      <c r="E12" s="167">
        <f t="shared" si="0"/>
        <v>-2.5209238359384824E-4</v>
      </c>
    </row>
    <row r="13" spans="1:6" x14ac:dyDescent="0.25">
      <c r="A13" s="92" t="s">
        <v>420</v>
      </c>
      <c r="B13" s="168">
        <f>$B$5*('Rate History'!$D$4*SUMIF(Data!$G:$G,Neutral!$A13,Data!$CU:$CU)+'Rate History'!$D$5*SUMIF(Data!$G:$G,Neutral!$A13,Data!$CV:$CV)+'Rate History'!$D$6*SUMIF(Data!$G:$G,Neutral!$A13,Data!$CW:$CW)+'Rate History'!$D$7*SUMIF(Data!$G:$G,Neutral!$A13,Data!$CX:$CX)+'Rate History'!$D$8*SUMIF(Data!$G:$G,Neutral!$A13,Data!$CY:$CY)+'Rate History'!$D$9*SUMIF(Data!$G:$G,Neutral!$A13,Data!$CZ:$CZ)+'Rate History'!$D$10*SUMIF(Data!$G:$G,Neutral!$A13,Data!$DA:$DA)+'Rate History'!$D$11*SUMIF(Data!$G:$G,Neutral!$A13,Data!$DB:$DB)+'Rate History'!$D$12*SUMIF(Data!$G:$G,Neutral!$A13,Data!$DC:$DC)+'Rate History'!$D$13*SUMIF(Data!$G:$G,Neutral!$A13,Data!$DD:$DD)+'Rate History'!$D$14*SUMIF(Data!$G:$G,Neutral!$A13,Data!$DE:$DE)+'Rate History'!$D$15*SUMIF(Data!$G:$G,Neutral!$A13,Data!$DF:$DF)+'Rate History'!$D$16*SUMIF(Data!$G:$G,Neutral!$A13,Data!$DG:$DG)+'Rate History'!$D$17*SUMIF(Data!$G:$G,Neutral!$A13,Data!$DH:$DH)+'Rate History'!$D$18*SUMIF(Data!$G:$G,Neutral!$A13,Data!$DI:$DI)+'Rate History'!$D$19*SUMIF(Data!$G:$G,Neutral!$A13,Data!$DJ:$DJ)+'Rate History'!$D$20*SUMIF(Data!$G:$G,Neutral!$A13,Data!$DK:$DK)+'Rate History'!$D$21*SUMIF(Data!$G:$G,Neutral!$A13,Data!$DL:$DL)+'Rate History'!$D$22*SUMIF(Data!$G:$G,Neutral!$A13,Data!$DM:$DM)+'Rate History'!$D$23*SUMIF(Data!$G:$G,Neutral!$A13,Data!$DN:$DN)+'Rate History'!$D$24*SUMIF(Data!$G:$G,Neutral!$A13,Data!$DO:$DO)+'Rate History'!$D$25*SUMIF(Data!$G:$G,Neutral!$A13,Data!$DP:$DP)+'Rate History'!$D$26*SUMIF(Data!$G:$G,Neutral!$A13,Data!$DQ:$DQ)+'Rate History'!$D$27*SUMIF(Data!$G:$G,Neutral!$A13,Data!$DR:$DR)+'Rate History'!$D$28*SUMIF(Data!$G:$G,Neutral!$A13,Data!$DS:$DS)+'Rate History'!$D$29*SUMIF(Data!$G:$G,Neutral!$A13,Data!$DT:$DT)+'Rate History'!$D$30*SUMIF(Data!$G:$G,Neutral!$A13,Data!$DV:$DV)+'Rate History'!$D$31*SUMIF(Data!$G:$G,Neutral!$A13,Data!$DW:$DW))</f>
        <v>17848906.238149799</v>
      </c>
      <c r="C13" s="168">
        <f>$C$5*('Rate History'!$C$4*SUMIF(Data!$G:$G,Neutral!$A13,Data!$CU:$CU)+'Rate History'!$C$5*SUMIF(Data!$G:$G,Neutral!$A13,Data!$CV:$CV)+'Rate History'!$C$6*SUMIF(Data!$G:$G,Neutral!$A13,Data!$CW:$CW)+'Rate History'!$C$7*SUMIF(Data!$G:$G,Neutral!$A13,Data!$CX:$CX)+'Rate History'!$C$8*SUMIF(Data!$G:$G,Neutral!$A13,Data!$CY:$CY)+'Rate History'!$C$9*SUMIF(Data!$G:$G,Neutral!$A13,Data!$CZ:$CZ)+'Rate History'!$C$10*SUMIF(Data!$G:$G,Neutral!$A13,Data!$DA:$DA)+'Rate History'!$C$11*SUMIF(Data!$G:$G,Neutral!$A13,Data!$DB:$DB)+'Rate History'!$C$12*SUMIF(Data!$G:$G,Neutral!$A13,Data!$DC:$DC)+'Rate History'!$C$13*SUMIF(Data!$G:$G,Neutral!$A13,Data!$DD:$DD)+'Rate History'!$C$14*SUMIF(Data!$G:$G,Neutral!$A13,Data!$DE:$DE)+'Rate History'!$C$15*SUMIF(Data!$G:$G,Neutral!$A13,Data!$DF:$DF)+'Rate History'!$C$16*SUMIF(Data!$G:$G,Neutral!$A13,Data!$DG:$DG)+'Rate History'!$C$17*SUMIF(Data!$G:$G,Neutral!$A13,Data!$DH:$DH)+'Rate History'!$C$18*SUMIF(Data!$G:$G,Neutral!$A13,Data!$DI:$DI)+'Rate History'!$C$19*SUMIF(Data!$G:$G,Neutral!$A13,Data!$DJ:$DJ)+'Rate History'!$C$20*SUMIF(Data!$G:$G,Neutral!$A13,Data!$DK:$DK)+'Rate History'!$C$21*SUMIF(Data!$G:$G,Neutral!$A13,Data!$DL:$DL)+'Rate History'!$C$22*SUMIF(Data!$G:$G,Neutral!$A13,Data!$DM:$DM)+'Rate History'!$C$23*SUMIF(Data!$G:$G,Neutral!$A13,Data!$DN:$DN)+'Rate History'!$C$24*SUMIF(Data!$G:$G,Neutral!$A13,Data!$DO:$DO)+'Rate History'!$C$25*SUMIF(Data!$G:$G,Neutral!$A13,Data!$DP:$DP)+'Rate History'!$C$26*SUMIF(Data!$G:$G,Neutral!$A13,Data!$DQ:$DQ)+'Rate History'!$C$27*SUMIF(Data!$G:$G,Neutral!$A13,Data!$DR:$DR)+'Rate History'!$C$28*SUMIF(Data!$G:$G,Neutral!$A13,Data!$DS:$DS)+'Rate History'!$C$29*SUMIF(Data!$G:$G,Neutral!$A13,Data!$DT:$DT)+'Rate History'!$C$30*SUMIF(Data!$G:$G,Neutral!$A13,Data!$DV:$DV)+'Rate History'!$C$31*SUMIF(Data!$G:$G,Neutral!$A13,Data!$DW:$DW))</f>
        <v>17707010.737964638</v>
      </c>
      <c r="D13" s="169">
        <f t="shared" si="1"/>
        <v>-141895.50018516183</v>
      </c>
      <c r="E13" s="167">
        <f t="shared" si="0"/>
        <v>-7.9498148677523989E-3</v>
      </c>
    </row>
    <row r="14" spans="1:6" x14ac:dyDescent="0.25">
      <c r="A14" s="92" t="s">
        <v>359</v>
      </c>
      <c r="B14" s="168">
        <f>$B$5*('Rate History'!$D$4*SUMIF(Data!$G:$G,Neutral!$A14,Data!$CU:$CU)+'Rate History'!$D$5*SUMIF(Data!$G:$G,Neutral!$A14,Data!$CV:$CV)+'Rate History'!$D$6*SUMIF(Data!$G:$G,Neutral!$A14,Data!$CW:$CW)+'Rate History'!$D$7*SUMIF(Data!$G:$G,Neutral!$A14,Data!$CX:$CX)+'Rate History'!$D$8*SUMIF(Data!$G:$G,Neutral!$A14,Data!$CY:$CY)+'Rate History'!$D$9*SUMIF(Data!$G:$G,Neutral!$A14,Data!$CZ:$CZ)+'Rate History'!$D$10*SUMIF(Data!$G:$G,Neutral!$A14,Data!$DA:$DA)+'Rate History'!$D$11*SUMIF(Data!$G:$G,Neutral!$A14,Data!$DB:$DB)+'Rate History'!$D$12*SUMIF(Data!$G:$G,Neutral!$A14,Data!$DC:$DC)+'Rate History'!$D$13*SUMIF(Data!$G:$G,Neutral!$A14,Data!$DD:$DD)+'Rate History'!$D$14*SUMIF(Data!$G:$G,Neutral!$A14,Data!$DE:$DE)+'Rate History'!$D$15*SUMIF(Data!$G:$G,Neutral!$A14,Data!$DF:$DF)+'Rate History'!$D$16*SUMIF(Data!$G:$G,Neutral!$A14,Data!$DG:$DG)+'Rate History'!$D$17*SUMIF(Data!$G:$G,Neutral!$A14,Data!$DH:$DH)+'Rate History'!$D$18*SUMIF(Data!$G:$G,Neutral!$A14,Data!$DI:$DI)+'Rate History'!$D$19*SUMIF(Data!$G:$G,Neutral!$A14,Data!$DJ:$DJ)+'Rate History'!$D$20*SUMIF(Data!$G:$G,Neutral!$A14,Data!$DK:$DK)+'Rate History'!$D$21*SUMIF(Data!$G:$G,Neutral!$A14,Data!$DL:$DL)+'Rate History'!$D$22*SUMIF(Data!$G:$G,Neutral!$A14,Data!$DM:$DM)+'Rate History'!$D$23*SUMIF(Data!$G:$G,Neutral!$A14,Data!$DN:$DN)+'Rate History'!$D$24*SUMIF(Data!$G:$G,Neutral!$A14,Data!$DO:$DO)+'Rate History'!$D$25*SUMIF(Data!$G:$G,Neutral!$A14,Data!$DP:$DP)+'Rate History'!$D$26*SUMIF(Data!$G:$G,Neutral!$A14,Data!$DQ:$DQ)+'Rate History'!$D$27*SUMIF(Data!$G:$G,Neutral!$A14,Data!$DR:$DR)+'Rate History'!$D$28*SUMIF(Data!$G:$G,Neutral!$A14,Data!$DS:$DS)+'Rate History'!$D$29*SUMIF(Data!$G:$G,Neutral!$A14,Data!$DT:$DT)+'Rate History'!$D$30*SUMIF(Data!$G:$G,Neutral!$A14,Data!$DV:$DV)+'Rate History'!$D$31*SUMIF(Data!$G:$G,Neutral!$A14,Data!$DW:$DW))</f>
        <v>4676013.9473624844</v>
      </c>
      <c r="C14" s="168">
        <f>$C$5*('Rate History'!$C$4*SUMIF(Data!$G:$G,Neutral!$A14,Data!$CU:$CU)+'Rate History'!$C$5*SUMIF(Data!$G:$G,Neutral!$A14,Data!$CV:$CV)+'Rate History'!$C$6*SUMIF(Data!$G:$G,Neutral!$A14,Data!$CW:$CW)+'Rate History'!$C$7*SUMIF(Data!$G:$G,Neutral!$A14,Data!$CX:$CX)+'Rate History'!$C$8*SUMIF(Data!$G:$G,Neutral!$A14,Data!$CY:$CY)+'Rate History'!$C$9*SUMIF(Data!$G:$G,Neutral!$A14,Data!$CZ:$CZ)+'Rate History'!$C$10*SUMIF(Data!$G:$G,Neutral!$A14,Data!$DA:$DA)+'Rate History'!$C$11*SUMIF(Data!$G:$G,Neutral!$A14,Data!$DB:$DB)+'Rate History'!$C$12*SUMIF(Data!$G:$G,Neutral!$A14,Data!$DC:$DC)+'Rate History'!$C$13*SUMIF(Data!$G:$G,Neutral!$A14,Data!$DD:$DD)+'Rate History'!$C$14*SUMIF(Data!$G:$G,Neutral!$A14,Data!$DE:$DE)+'Rate History'!$C$15*SUMIF(Data!$G:$G,Neutral!$A14,Data!$DF:$DF)+'Rate History'!$C$16*SUMIF(Data!$G:$G,Neutral!$A14,Data!$DG:$DG)+'Rate History'!$C$17*SUMIF(Data!$G:$G,Neutral!$A14,Data!$DH:$DH)+'Rate History'!$C$18*SUMIF(Data!$G:$G,Neutral!$A14,Data!$DI:$DI)+'Rate History'!$C$19*SUMIF(Data!$G:$G,Neutral!$A14,Data!$DJ:$DJ)+'Rate History'!$C$20*SUMIF(Data!$G:$G,Neutral!$A14,Data!$DK:$DK)+'Rate History'!$C$21*SUMIF(Data!$G:$G,Neutral!$A14,Data!$DL:$DL)+'Rate History'!$C$22*SUMIF(Data!$G:$G,Neutral!$A14,Data!$DM:$DM)+'Rate History'!$C$23*SUMIF(Data!$G:$G,Neutral!$A14,Data!$DN:$DN)+'Rate History'!$C$24*SUMIF(Data!$G:$G,Neutral!$A14,Data!$DO:$DO)+'Rate History'!$C$25*SUMIF(Data!$G:$G,Neutral!$A14,Data!$DP:$DP)+'Rate History'!$C$26*SUMIF(Data!$G:$G,Neutral!$A14,Data!$DQ:$DQ)+'Rate History'!$C$27*SUMIF(Data!$G:$G,Neutral!$A14,Data!$DR:$DR)+'Rate History'!$C$28*SUMIF(Data!$G:$G,Neutral!$A14,Data!$DS:$DS)+'Rate History'!$C$29*SUMIF(Data!$G:$G,Neutral!$A14,Data!$DT:$DT)+'Rate History'!$C$30*SUMIF(Data!$G:$G,Neutral!$A14,Data!$DV:$DV)+'Rate History'!$C$31*SUMIF(Data!$G:$G,Neutral!$A14,Data!$DW:$DW))</f>
        <v>4684929.0980374804</v>
      </c>
      <c r="D14" s="169">
        <f t="shared" si="1"/>
        <v>8915.1506749959663</v>
      </c>
      <c r="E14" s="167">
        <f t="shared" si="0"/>
        <v>1.9065705909676715E-3</v>
      </c>
    </row>
    <row r="15" spans="1:6" x14ac:dyDescent="0.25">
      <c r="A15" s="92" t="s">
        <v>361</v>
      </c>
      <c r="B15" s="168">
        <f>$B$5*('Rate History'!$D$4*SUMIF(Data!$G:$G,Neutral!$A15,Data!$CU:$CU)+'Rate History'!$D$5*SUMIF(Data!$G:$G,Neutral!$A15,Data!$CV:$CV)+'Rate History'!$D$6*SUMIF(Data!$G:$G,Neutral!$A15,Data!$CW:$CW)+'Rate History'!$D$7*SUMIF(Data!$G:$G,Neutral!$A15,Data!$CX:$CX)+'Rate History'!$D$8*SUMIF(Data!$G:$G,Neutral!$A15,Data!$CY:$CY)+'Rate History'!$D$9*SUMIF(Data!$G:$G,Neutral!$A15,Data!$CZ:$CZ)+'Rate History'!$D$10*SUMIF(Data!$G:$G,Neutral!$A15,Data!$DA:$DA)+'Rate History'!$D$11*SUMIF(Data!$G:$G,Neutral!$A15,Data!$DB:$DB)+'Rate History'!$D$12*SUMIF(Data!$G:$G,Neutral!$A15,Data!$DC:$DC)+'Rate History'!$D$13*SUMIF(Data!$G:$G,Neutral!$A15,Data!$DD:$DD)+'Rate History'!$D$14*SUMIF(Data!$G:$G,Neutral!$A15,Data!$DE:$DE)+'Rate History'!$D$15*SUMIF(Data!$G:$G,Neutral!$A15,Data!$DF:$DF)+'Rate History'!$D$16*SUMIF(Data!$G:$G,Neutral!$A15,Data!$DG:$DG)+'Rate History'!$D$17*SUMIF(Data!$G:$G,Neutral!$A15,Data!$DH:$DH)+'Rate History'!$D$18*SUMIF(Data!$G:$G,Neutral!$A15,Data!$DI:$DI)+'Rate History'!$D$19*SUMIF(Data!$G:$G,Neutral!$A15,Data!$DJ:$DJ)+'Rate History'!$D$20*SUMIF(Data!$G:$G,Neutral!$A15,Data!$DK:$DK)+'Rate History'!$D$21*SUMIF(Data!$G:$G,Neutral!$A15,Data!$DL:$DL)+'Rate History'!$D$22*SUMIF(Data!$G:$G,Neutral!$A15,Data!$DM:$DM)+'Rate History'!$D$23*SUMIF(Data!$G:$G,Neutral!$A15,Data!$DN:$DN)+'Rate History'!$D$24*SUMIF(Data!$G:$G,Neutral!$A15,Data!$DO:$DO)+'Rate History'!$D$25*SUMIF(Data!$G:$G,Neutral!$A15,Data!$DP:$DP)+'Rate History'!$D$26*SUMIF(Data!$G:$G,Neutral!$A15,Data!$DQ:$DQ)+'Rate History'!$D$27*SUMIF(Data!$G:$G,Neutral!$A15,Data!$DR:$DR)+'Rate History'!$D$28*SUMIF(Data!$G:$G,Neutral!$A15,Data!$DS:$DS)+'Rate History'!$D$29*SUMIF(Data!$G:$G,Neutral!$A15,Data!$DT:$DT)+'Rate History'!$D$30*SUMIF(Data!$G:$G,Neutral!$A15,Data!$DV:$DV)+'Rate History'!$D$31*SUMIF(Data!$G:$G,Neutral!$A15,Data!$DW:$DW))</f>
        <v>1535326.0449647424</v>
      </c>
      <c r="C15" s="168">
        <f>$C$5*('Rate History'!$C$4*SUMIF(Data!$G:$G,Neutral!$A15,Data!$CU:$CU)+'Rate History'!$C$5*SUMIF(Data!$G:$G,Neutral!$A15,Data!$CV:$CV)+'Rate History'!$C$6*SUMIF(Data!$G:$G,Neutral!$A15,Data!$CW:$CW)+'Rate History'!$C$7*SUMIF(Data!$G:$G,Neutral!$A15,Data!$CX:$CX)+'Rate History'!$C$8*SUMIF(Data!$G:$G,Neutral!$A15,Data!$CY:$CY)+'Rate History'!$C$9*SUMIF(Data!$G:$G,Neutral!$A15,Data!$CZ:$CZ)+'Rate History'!$C$10*SUMIF(Data!$G:$G,Neutral!$A15,Data!$DA:$DA)+'Rate History'!$C$11*SUMIF(Data!$G:$G,Neutral!$A15,Data!$DB:$DB)+'Rate History'!$C$12*SUMIF(Data!$G:$G,Neutral!$A15,Data!$DC:$DC)+'Rate History'!$C$13*SUMIF(Data!$G:$G,Neutral!$A15,Data!$DD:$DD)+'Rate History'!$C$14*SUMIF(Data!$G:$G,Neutral!$A15,Data!$DE:$DE)+'Rate History'!$C$15*SUMIF(Data!$G:$G,Neutral!$A15,Data!$DF:$DF)+'Rate History'!$C$16*SUMIF(Data!$G:$G,Neutral!$A15,Data!$DG:$DG)+'Rate History'!$C$17*SUMIF(Data!$G:$G,Neutral!$A15,Data!$DH:$DH)+'Rate History'!$C$18*SUMIF(Data!$G:$G,Neutral!$A15,Data!$DI:$DI)+'Rate History'!$C$19*SUMIF(Data!$G:$G,Neutral!$A15,Data!$DJ:$DJ)+'Rate History'!$C$20*SUMIF(Data!$G:$G,Neutral!$A15,Data!$DK:$DK)+'Rate History'!$C$21*SUMIF(Data!$G:$G,Neutral!$A15,Data!$DL:$DL)+'Rate History'!$C$22*SUMIF(Data!$G:$G,Neutral!$A15,Data!$DM:$DM)+'Rate History'!$C$23*SUMIF(Data!$G:$G,Neutral!$A15,Data!$DN:$DN)+'Rate History'!$C$24*SUMIF(Data!$G:$G,Neutral!$A15,Data!$DO:$DO)+'Rate History'!$C$25*SUMIF(Data!$G:$G,Neutral!$A15,Data!$DP:$DP)+'Rate History'!$C$26*SUMIF(Data!$G:$G,Neutral!$A15,Data!$DQ:$DQ)+'Rate History'!$C$27*SUMIF(Data!$G:$G,Neutral!$A15,Data!$DR:$DR)+'Rate History'!$C$28*SUMIF(Data!$G:$G,Neutral!$A15,Data!$DS:$DS)+'Rate History'!$C$29*SUMIF(Data!$G:$G,Neutral!$A15,Data!$DT:$DT)+'Rate History'!$C$30*SUMIF(Data!$G:$G,Neutral!$A15,Data!$DV:$DV)+'Rate History'!$C$31*SUMIF(Data!$G:$G,Neutral!$A15,Data!$DW:$DW))</f>
        <v>1541026.1162522163</v>
      </c>
      <c r="D15" s="169">
        <f t="shared" si="1"/>
        <v>5700.0712874738965</v>
      </c>
      <c r="E15" s="167">
        <f t="shared" si="0"/>
        <v>3.712612904710279E-3</v>
      </c>
    </row>
    <row r="16" spans="1:6" x14ac:dyDescent="0.25">
      <c r="A16" s="92" t="s">
        <v>355</v>
      </c>
      <c r="B16" s="168">
        <f>$B$5*('Rate History'!$D$4*SUMIF(Data!$G:$G,Neutral!$A16,Data!$CU:$CU)+'Rate History'!$D$5*SUMIF(Data!$G:$G,Neutral!$A16,Data!$CV:$CV)+'Rate History'!$D$6*SUMIF(Data!$G:$G,Neutral!$A16,Data!$CW:$CW)+'Rate History'!$D$7*SUMIF(Data!$G:$G,Neutral!$A16,Data!$CX:$CX)+'Rate History'!$D$8*SUMIF(Data!$G:$G,Neutral!$A16,Data!$CY:$CY)+'Rate History'!$D$9*SUMIF(Data!$G:$G,Neutral!$A16,Data!$CZ:$CZ)+'Rate History'!$D$10*SUMIF(Data!$G:$G,Neutral!$A16,Data!$DA:$DA)+'Rate History'!$D$11*SUMIF(Data!$G:$G,Neutral!$A16,Data!$DB:$DB)+'Rate History'!$D$12*SUMIF(Data!$G:$G,Neutral!$A16,Data!$DC:$DC)+'Rate History'!$D$13*SUMIF(Data!$G:$G,Neutral!$A16,Data!$DD:$DD)+'Rate History'!$D$14*SUMIF(Data!$G:$G,Neutral!$A16,Data!$DE:$DE)+'Rate History'!$D$15*SUMIF(Data!$G:$G,Neutral!$A16,Data!$DF:$DF)+'Rate History'!$D$16*SUMIF(Data!$G:$G,Neutral!$A16,Data!$DG:$DG)+'Rate History'!$D$17*SUMIF(Data!$G:$G,Neutral!$A16,Data!$DH:$DH)+'Rate History'!$D$18*SUMIF(Data!$G:$G,Neutral!$A16,Data!$DI:$DI)+'Rate History'!$D$19*SUMIF(Data!$G:$G,Neutral!$A16,Data!$DJ:$DJ)+'Rate History'!$D$20*SUMIF(Data!$G:$G,Neutral!$A16,Data!$DK:$DK)+'Rate History'!$D$21*SUMIF(Data!$G:$G,Neutral!$A16,Data!$DL:$DL)+'Rate History'!$D$22*SUMIF(Data!$G:$G,Neutral!$A16,Data!$DM:$DM)+'Rate History'!$D$23*SUMIF(Data!$G:$G,Neutral!$A16,Data!$DN:$DN)+'Rate History'!$D$24*SUMIF(Data!$G:$G,Neutral!$A16,Data!$DO:$DO)+'Rate History'!$D$25*SUMIF(Data!$G:$G,Neutral!$A16,Data!$DP:$DP)+'Rate History'!$D$26*SUMIF(Data!$G:$G,Neutral!$A16,Data!$DQ:$DQ)+'Rate History'!$D$27*SUMIF(Data!$G:$G,Neutral!$A16,Data!$DR:$DR)+'Rate History'!$D$28*SUMIF(Data!$G:$G,Neutral!$A16,Data!$DS:$DS)+'Rate History'!$D$29*SUMIF(Data!$G:$G,Neutral!$A16,Data!$DT:$DT)+'Rate History'!$D$30*SUMIF(Data!$G:$G,Neutral!$A16,Data!$DV:$DV)+'Rate History'!$D$31*SUMIF(Data!$G:$G,Neutral!$A16,Data!$DW:$DW))</f>
        <v>6849500.1528802328</v>
      </c>
      <c r="C16" s="168">
        <f>$C$5*('Rate History'!$C$4*SUMIF(Data!$G:$G,Neutral!$A16,Data!$CU:$CU)+'Rate History'!$C$5*SUMIF(Data!$G:$G,Neutral!$A16,Data!$CV:$CV)+'Rate History'!$C$6*SUMIF(Data!$G:$G,Neutral!$A16,Data!$CW:$CW)+'Rate History'!$C$7*SUMIF(Data!$G:$G,Neutral!$A16,Data!$CX:$CX)+'Rate History'!$C$8*SUMIF(Data!$G:$G,Neutral!$A16,Data!$CY:$CY)+'Rate History'!$C$9*SUMIF(Data!$G:$G,Neutral!$A16,Data!$CZ:$CZ)+'Rate History'!$C$10*SUMIF(Data!$G:$G,Neutral!$A16,Data!$DA:$DA)+'Rate History'!$C$11*SUMIF(Data!$G:$G,Neutral!$A16,Data!$DB:$DB)+'Rate History'!$C$12*SUMIF(Data!$G:$G,Neutral!$A16,Data!$DC:$DC)+'Rate History'!$C$13*SUMIF(Data!$G:$G,Neutral!$A16,Data!$DD:$DD)+'Rate History'!$C$14*SUMIF(Data!$G:$G,Neutral!$A16,Data!$DE:$DE)+'Rate History'!$C$15*SUMIF(Data!$G:$G,Neutral!$A16,Data!$DF:$DF)+'Rate History'!$C$16*SUMIF(Data!$G:$G,Neutral!$A16,Data!$DG:$DG)+'Rate History'!$C$17*SUMIF(Data!$G:$G,Neutral!$A16,Data!$DH:$DH)+'Rate History'!$C$18*SUMIF(Data!$G:$G,Neutral!$A16,Data!$DI:$DI)+'Rate History'!$C$19*SUMIF(Data!$G:$G,Neutral!$A16,Data!$DJ:$DJ)+'Rate History'!$C$20*SUMIF(Data!$G:$G,Neutral!$A16,Data!$DK:$DK)+'Rate History'!$C$21*SUMIF(Data!$G:$G,Neutral!$A16,Data!$DL:$DL)+'Rate History'!$C$22*SUMIF(Data!$G:$G,Neutral!$A16,Data!$DM:$DM)+'Rate History'!$C$23*SUMIF(Data!$G:$G,Neutral!$A16,Data!$DN:$DN)+'Rate History'!$C$24*SUMIF(Data!$G:$G,Neutral!$A16,Data!$DO:$DO)+'Rate History'!$C$25*SUMIF(Data!$G:$G,Neutral!$A16,Data!$DP:$DP)+'Rate History'!$C$26*SUMIF(Data!$G:$G,Neutral!$A16,Data!$DQ:$DQ)+'Rate History'!$C$27*SUMIF(Data!$G:$G,Neutral!$A16,Data!$DR:$DR)+'Rate History'!$C$28*SUMIF(Data!$G:$G,Neutral!$A16,Data!$DS:$DS)+'Rate History'!$C$29*SUMIF(Data!$G:$G,Neutral!$A16,Data!$DT:$DT)+'Rate History'!$C$30*SUMIF(Data!$G:$G,Neutral!$A16,Data!$DV:$DV)+'Rate History'!$C$31*SUMIF(Data!$G:$G,Neutral!$A16,Data!$DW:$DW))</f>
        <v>6992865.4792102817</v>
      </c>
      <c r="D16" s="169">
        <f t="shared" si="1"/>
        <v>143365.32633004896</v>
      </c>
      <c r="E16" s="167">
        <f t="shared" si="0"/>
        <v>2.0930772046156312E-2</v>
      </c>
    </row>
    <row r="17" spans="1:5" x14ac:dyDescent="0.25">
      <c r="A17" s="92" t="s">
        <v>426</v>
      </c>
      <c r="B17" s="168">
        <f>$B$5*('Rate History'!$D$4*SUMIF(Data!$G:$G,Neutral!$A17,Data!$CU:$CU)+'Rate History'!$D$5*SUMIF(Data!$G:$G,Neutral!$A17,Data!$CV:$CV)+'Rate History'!$D$6*SUMIF(Data!$G:$G,Neutral!$A17,Data!$CW:$CW)+'Rate History'!$D$7*SUMIF(Data!$G:$G,Neutral!$A17,Data!$CX:$CX)+'Rate History'!$D$8*SUMIF(Data!$G:$G,Neutral!$A17,Data!$CY:$CY)+'Rate History'!$D$9*SUMIF(Data!$G:$G,Neutral!$A17,Data!$CZ:$CZ)+'Rate History'!$D$10*SUMIF(Data!$G:$G,Neutral!$A17,Data!$DA:$DA)+'Rate History'!$D$11*SUMIF(Data!$G:$G,Neutral!$A17,Data!$DB:$DB)+'Rate History'!$D$12*SUMIF(Data!$G:$G,Neutral!$A17,Data!$DC:$DC)+'Rate History'!$D$13*SUMIF(Data!$G:$G,Neutral!$A17,Data!$DD:$DD)+'Rate History'!$D$14*SUMIF(Data!$G:$G,Neutral!$A17,Data!$DE:$DE)+'Rate History'!$D$15*SUMIF(Data!$G:$G,Neutral!$A17,Data!$DF:$DF)+'Rate History'!$D$16*SUMIF(Data!$G:$G,Neutral!$A17,Data!$DG:$DG)+'Rate History'!$D$17*SUMIF(Data!$G:$G,Neutral!$A17,Data!$DH:$DH)+'Rate History'!$D$18*SUMIF(Data!$G:$G,Neutral!$A17,Data!$DI:$DI)+'Rate History'!$D$19*SUMIF(Data!$G:$G,Neutral!$A17,Data!$DJ:$DJ)+'Rate History'!$D$20*SUMIF(Data!$G:$G,Neutral!$A17,Data!$DK:$DK)+'Rate History'!$D$21*SUMIF(Data!$G:$G,Neutral!$A17,Data!$DL:$DL)+'Rate History'!$D$22*SUMIF(Data!$G:$G,Neutral!$A17,Data!$DM:$DM)+'Rate History'!$D$23*SUMIF(Data!$G:$G,Neutral!$A17,Data!$DN:$DN)+'Rate History'!$D$24*SUMIF(Data!$G:$G,Neutral!$A17,Data!$DO:$DO)+'Rate History'!$D$25*SUMIF(Data!$G:$G,Neutral!$A17,Data!$DP:$DP)+'Rate History'!$D$26*SUMIF(Data!$G:$G,Neutral!$A17,Data!$DQ:$DQ)+'Rate History'!$D$27*SUMIF(Data!$G:$G,Neutral!$A17,Data!$DR:$DR)+'Rate History'!$D$28*SUMIF(Data!$G:$G,Neutral!$A17,Data!$DS:$DS)+'Rate History'!$D$29*SUMIF(Data!$G:$G,Neutral!$A17,Data!$DT:$DT)+'Rate History'!$D$30*SUMIF(Data!$G:$G,Neutral!$A17,Data!$DV:$DV)+'Rate History'!$D$31*SUMIF(Data!$G:$G,Neutral!$A17,Data!$DW:$DW))</f>
        <v>5683257.7552167671</v>
      </c>
      <c r="C17" s="168">
        <f>$C$5*('Rate History'!$C$4*SUMIF(Data!$G:$G,Neutral!$A17,Data!$CU:$CU)+'Rate History'!$C$5*SUMIF(Data!$G:$G,Neutral!$A17,Data!$CV:$CV)+'Rate History'!$C$6*SUMIF(Data!$G:$G,Neutral!$A17,Data!$CW:$CW)+'Rate History'!$C$7*SUMIF(Data!$G:$G,Neutral!$A17,Data!$CX:$CX)+'Rate History'!$C$8*SUMIF(Data!$G:$G,Neutral!$A17,Data!$CY:$CY)+'Rate History'!$C$9*SUMIF(Data!$G:$G,Neutral!$A17,Data!$CZ:$CZ)+'Rate History'!$C$10*SUMIF(Data!$G:$G,Neutral!$A17,Data!$DA:$DA)+'Rate History'!$C$11*SUMIF(Data!$G:$G,Neutral!$A17,Data!$DB:$DB)+'Rate History'!$C$12*SUMIF(Data!$G:$G,Neutral!$A17,Data!$DC:$DC)+'Rate History'!$C$13*SUMIF(Data!$G:$G,Neutral!$A17,Data!$DD:$DD)+'Rate History'!$C$14*SUMIF(Data!$G:$G,Neutral!$A17,Data!$DE:$DE)+'Rate History'!$C$15*SUMIF(Data!$G:$G,Neutral!$A17,Data!$DF:$DF)+'Rate History'!$C$16*SUMIF(Data!$G:$G,Neutral!$A17,Data!$DG:$DG)+'Rate History'!$C$17*SUMIF(Data!$G:$G,Neutral!$A17,Data!$DH:$DH)+'Rate History'!$C$18*SUMIF(Data!$G:$G,Neutral!$A17,Data!$DI:$DI)+'Rate History'!$C$19*SUMIF(Data!$G:$G,Neutral!$A17,Data!$DJ:$DJ)+'Rate History'!$C$20*SUMIF(Data!$G:$G,Neutral!$A17,Data!$DK:$DK)+'Rate History'!$C$21*SUMIF(Data!$G:$G,Neutral!$A17,Data!$DL:$DL)+'Rate History'!$C$22*SUMIF(Data!$G:$G,Neutral!$A17,Data!$DM:$DM)+'Rate History'!$C$23*SUMIF(Data!$G:$G,Neutral!$A17,Data!$DN:$DN)+'Rate History'!$C$24*SUMIF(Data!$G:$G,Neutral!$A17,Data!$DO:$DO)+'Rate History'!$C$25*SUMIF(Data!$G:$G,Neutral!$A17,Data!$DP:$DP)+'Rate History'!$C$26*SUMIF(Data!$G:$G,Neutral!$A17,Data!$DQ:$DQ)+'Rate History'!$C$27*SUMIF(Data!$G:$G,Neutral!$A17,Data!$DR:$DR)+'Rate History'!$C$28*SUMIF(Data!$G:$G,Neutral!$A17,Data!$DS:$DS)+'Rate History'!$C$29*SUMIF(Data!$G:$G,Neutral!$A17,Data!$DT:$DT)+'Rate History'!$C$30*SUMIF(Data!$G:$G,Neutral!$A17,Data!$DV:$DV)+'Rate History'!$C$31*SUMIF(Data!$G:$G,Neutral!$A17,Data!$DW:$DW))</f>
        <v>5627279.4113635197</v>
      </c>
      <c r="D17" s="169">
        <f t="shared" si="1"/>
        <v>-55978.343853247352</v>
      </c>
      <c r="E17" s="167">
        <f t="shared" si="0"/>
        <v>-9.8496929515230584E-3</v>
      </c>
    </row>
    <row r="18" spans="1:5" x14ac:dyDescent="0.25">
      <c r="A18" s="92" t="s">
        <v>453</v>
      </c>
      <c r="B18" s="168">
        <f>$B$5*('Rate History'!$D$4*SUMIF(Data!$G:$G,Neutral!$A18,Data!$CU:$CU)+'Rate History'!$D$5*SUMIF(Data!$G:$G,Neutral!$A18,Data!$CV:$CV)+'Rate History'!$D$6*SUMIF(Data!$G:$G,Neutral!$A18,Data!$CW:$CW)+'Rate History'!$D$7*SUMIF(Data!$G:$G,Neutral!$A18,Data!$CX:$CX)+'Rate History'!$D$8*SUMIF(Data!$G:$G,Neutral!$A18,Data!$CY:$CY)+'Rate History'!$D$9*SUMIF(Data!$G:$G,Neutral!$A18,Data!$CZ:$CZ)+'Rate History'!$D$10*SUMIF(Data!$G:$G,Neutral!$A18,Data!$DA:$DA)+'Rate History'!$D$11*SUMIF(Data!$G:$G,Neutral!$A18,Data!$DB:$DB)+'Rate History'!$D$12*SUMIF(Data!$G:$G,Neutral!$A18,Data!$DC:$DC)+'Rate History'!$D$13*SUMIF(Data!$G:$G,Neutral!$A18,Data!$DD:$DD)+'Rate History'!$D$14*SUMIF(Data!$G:$G,Neutral!$A18,Data!$DE:$DE)+'Rate History'!$D$15*SUMIF(Data!$G:$G,Neutral!$A18,Data!$DF:$DF)+'Rate History'!$D$16*SUMIF(Data!$G:$G,Neutral!$A18,Data!$DG:$DG)+'Rate History'!$D$17*SUMIF(Data!$G:$G,Neutral!$A18,Data!$DH:$DH)+'Rate History'!$D$18*SUMIF(Data!$G:$G,Neutral!$A18,Data!$DI:$DI)+'Rate History'!$D$19*SUMIF(Data!$G:$G,Neutral!$A18,Data!$DJ:$DJ)+'Rate History'!$D$20*SUMIF(Data!$G:$G,Neutral!$A18,Data!$DK:$DK)+'Rate History'!$D$21*SUMIF(Data!$G:$G,Neutral!$A18,Data!$DL:$DL)+'Rate History'!$D$22*SUMIF(Data!$G:$G,Neutral!$A18,Data!$DM:$DM)+'Rate History'!$D$23*SUMIF(Data!$G:$G,Neutral!$A18,Data!$DN:$DN)+'Rate History'!$D$24*SUMIF(Data!$G:$G,Neutral!$A18,Data!$DO:$DO)+'Rate History'!$D$25*SUMIF(Data!$G:$G,Neutral!$A18,Data!$DP:$DP)+'Rate History'!$D$26*SUMIF(Data!$G:$G,Neutral!$A18,Data!$DQ:$DQ)+'Rate History'!$D$27*SUMIF(Data!$G:$G,Neutral!$A18,Data!$DR:$DR)+'Rate History'!$D$28*SUMIF(Data!$G:$G,Neutral!$A18,Data!$DS:$DS)+'Rate History'!$D$29*SUMIF(Data!$G:$G,Neutral!$A18,Data!$DT:$DT)+'Rate History'!$D$30*SUMIF(Data!$G:$G,Neutral!$A18,Data!$DV:$DV)+'Rate History'!$D$31*SUMIF(Data!$G:$G,Neutral!$A18,Data!$DW:$DW))</f>
        <v>20534016.44777257</v>
      </c>
      <c r="C18" s="168">
        <f>$C$5*('Rate History'!$C$4*SUMIF(Data!$G:$G,Neutral!$A18,Data!$CU:$CU)+'Rate History'!$C$5*SUMIF(Data!$G:$G,Neutral!$A18,Data!$CV:$CV)+'Rate History'!$C$6*SUMIF(Data!$G:$G,Neutral!$A18,Data!$CW:$CW)+'Rate History'!$C$7*SUMIF(Data!$G:$G,Neutral!$A18,Data!$CX:$CX)+'Rate History'!$C$8*SUMIF(Data!$G:$G,Neutral!$A18,Data!$CY:$CY)+'Rate History'!$C$9*SUMIF(Data!$G:$G,Neutral!$A18,Data!$CZ:$CZ)+'Rate History'!$C$10*SUMIF(Data!$G:$G,Neutral!$A18,Data!$DA:$DA)+'Rate History'!$C$11*SUMIF(Data!$G:$G,Neutral!$A18,Data!$DB:$DB)+'Rate History'!$C$12*SUMIF(Data!$G:$G,Neutral!$A18,Data!$DC:$DC)+'Rate History'!$C$13*SUMIF(Data!$G:$G,Neutral!$A18,Data!$DD:$DD)+'Rate History'!$C$14*SUMIF(Data!$G:$G,Neutral!$A18,Data!$DE:$DE)+'Rate History'!$C$15*SUMIF(Data!$G:$G,Neutral!$A18,Data!$DF:$DF)+'Rate History'!$C$16*SUMIF(Data!$G:$G,Neutral!$A18,Data!$DG:$DG)+'Rate History'!$C$17*SUMIF(Data!$G:$G,Neutral!$A18,Data!$DH:$DH)+'Rate History'!$C$18*SUMIF(Data!$G:$G,Neutral!$A18,Data!$DI:$DI)+'Rate History'!$C$19*SUMIF(Data!$G:$G,Neutral!$A18,Data!$DJ:$DJ)+'Rate History'!$C$20*SUMIF(Data!$G:$G,Neutral!$A18,Data!$DK:$DK)+'Rate History'!$C$21*SUMIF(Data!$G:$G,Neutral!$A18,Data!$DL:$DL)+'Rate History'!$C$22*SUMIF(Data!$G:$G,Neutral!$A18,Data!$DM:$DM)+'Rate History'!$C$23*SUMIF(Data!$G:$G,Neutral!$A18,Data!$DN:$DN)+'Rate History'!$C$24*SUMIF(Data!$G:$G,Neutral!$A18,Data!$DO:$DO)+'Rate History'!$C$25*SUMIF(Data!$G:$G,Neutral!$A18,Data!$DP:$DP)+'Rate History'!$C$26*SUMIF(Data!$G:$G,Neutral!$A18,Data!$DQ:$DQ)+'Rate History'!$C$27*SUMIF(Data!$G:$G,Neutral!$A18,Data!$DR:$DR)+'Rate History'!$C$28*SUMIF(Data!$G:$G,Neutral!$A18,Data!$DS:$DS)+'Rate History'!$C$29*SUMIF(Data!$G:$G,Neutral!$A18,Data!$DT:$DT)+'Rate History'!$C$30*SUMIF(Data!$G:$G,Neutral!$A18,Data!$DV:$DV)+'Rate History'!$C$31*SUMIF(Data!$G:$G,Neutral!$A18,Data!$DW:$DW))</f>
        <v>20588523.228980333</v>
      </c>
      <c r="D18" s="169">
        <f t="shared" si="1"/>
        <v>54506.781207762659</v>
      </c>
      <c r="E18" s="167">
        <f t="shared" si="0"/>
        <v>2.6544627226922908E-3</v>
      </c>
    </row>
    <row r="19" spans="1:5" x14ac:dyDescent="0.25">
      <c r="A19" s="92" t="s">
        <v>455</v>
      </c>
      <c r="B19" s="168">
        <f>$B$5*('Rate History'!$D$4*SUMIF(Data!$G:$G,Neutral!$A19,Data!$CU:$CU)+'Rate History'!$D$5*SUMIF(Data!$G:$G,Neutral!$A19,Data!$CV:$CV)+'Rate History'!$D$6*SUMIF(Data!$G:$G,Neutral!$A19,Data!$CW:$CW)+'Rate History'!$D$7*SUMIF(Data!$G:$G,Neutral!$A19,Data!$CX:$CX)+'Rate History'!$D$8*SUMIF(Data!$G:$G,Neutral!$A19,Data!$CY:$CY)+'Rate History'!$D$9*SUMIF(Data!$G:$G,Neutral!$A19,Data!$CZ:$CZ)+'Rate History'!$D$10*SUMIF(Data!$G:$G,Neutral!$A19,Data!$DA:$DA)+'Rate History'!$D$11*SUMIF(Data!$G:$G,Neutral!$A19,Data!$DB:$DB)+'Rate History'!$D$12*SUMIF(Data!$G:$G,Neutral!$A19,Data!$DC:$DC)+'Rate History'!$D$13*SUMIF(Data!$G:$G,Neutral!$A19,Data!$DD:$DD)+'Rate History'!$D$14*SUMIF(Data!$G:$G,Neutral!$A19,Data!$DE:$DE)+'Rate History'!$D$15*SUMIF(Data!$G:$G,Neutral!$A19,Data!$DF:$DF)+'Rate History'!$D$16*SUMIF(Data!$G:$G,Neutral!$A19,Data!$DG:$DG)+'Rate History'!$D$17*SUMIF(Data!$G:$G,Neutral!$A19,Data!$DH:$DH)+'Rate History'!$D$18*SUMIF(Data!$G:$G,Neutral!$A19,Data!$DI:$DI)+'Rate History'!$D$19*SUMIF(Data!$G:$G,Neutral!$A19,Data!$DJ:$DJ)+'Rate History'!$D$20*SUMIF(Data!$G:$G,Neutral!$A19,Data!$DK:$DK)+'Rate History'!$D$21*SUMIF(Data!$G:$G,Neutral!$A19,Data!$DL:$DL)+'Rate History'!$D$22*SUMIF(Data!$G:$G,Neutral!$A19,Data!$DM:$DM)+'Rate History'!$D$23*SUMIF(Data!$G:$G,Neutral!$A19,Data!$DN:$DN)+'Rate History'!$D$24*SUMIF(Data!$G:$G,Neutral!$A19,Data!$DO:$DO)+'Rate History'!$D$25*SUMIF(Data!$G:$G,Neutral!$A19,Data!$DP:$DP)+'Rate History'!$D$26*SUMIF(Data!$G:$G,Neutral!$A19,Data!$DQ:$DQ)+'Rate History'!$D$27*SUMIF(Data!$G:$G,Neutral!$A19,Data!$DR:$DR)+'Rate History'!$D$28*SUMIF(Data!$G:$G,Neutral!$A19,Data!$DS:$DS)+'Rate History'!$D$29*SUMIF(Data!$G:$G,Neutral!$A19,Data!$DT:$DT)+'Rate History'!$D$30*SUMIF(Data!$G:$G,Neutral!$A19,Data!$DV:$DV)+'Rate History'!$D$31*SUMIF(Data!$G:$G,Neutral!$A19,Data!$DW:$DW))</f>
        <v>82610588.957049027</v>
      </c>
      <c r="C19" s="168">
        <f>$C$5*('Rate History'!$C$4*SUMIF(Data!$G:$G,Neutral!$A19,Data!$CU:$CU)+'Rate History'!$C$5*SUMIF(Data!$G:$G,Neutral!$A19,Data!$CV:$CV)+'Rate History'!$C$6*SUMIF(Data!$G:$G,Neutral!$A19,Data!$CW:$CW)+'Rate History'!$C$7*SUMIF(Data!$G:$G,Neutral!$A19,Data!$CX:$CX)+'Rate History'!$C$8*SUMIF(Data!$G:$G,Neutral!$A19,Data!$CY:$CY)+'Rate History'!$C$9*SUMIF(Data!$G:$G,Neutral!$A19,Data!$CZ:$CZ)+'Rate History'!$C$10*SUMIF(Data!$G:$G,Neutral!$A19,Data!$DA:$DA)+'Rate History'!$C$11*SUMIF(Data!$G:$G,Neutral!$A19,Data!$DB:$DB)+'Rate History'!$C$12*SUMIF(Data!$G:$G,Neutral!$A19,Data!$DC:$DC)+'Rate History'!$C$13*SUMIF(Data!$G:$G,Neutral!$A19,Data!$DD:$DD)+'Rate History'!$C$14*SUMIF(Data!$G:$G,Neutral!$A19,Data!$DE:$DE)+'Rate History'!$C$15*SUMIF(Data!$G:$G,Neutral!$A19,Data!$DF:$DF)+'Rate History'!$C$16*SUMIF(Data!$G:$G,Neutral!$A19,Data!$DG:$DG)+'Rate History'!$C$17*SUMIF(Data!$G:$G,Neutral!$A19,Data!$DH:$DH)+'Rate History'!$C$18*SUMIF(Data!$G:$G,Neutral!$A19,Data!$DI:$DI)+'Rate History'!$C$19*SUMIF(Data!$G:$G,Neutral!$A19,Data!$DJ:$DJ)+'Rate History'!$C$20*SUMIF(Data!$G:$G,Neutral!$A19,Data!$DK:$DK)+'Rate History'!$C$21*SUMIF(Data!$G:$G,Neutral!$A19,Data!$DL:$DL)+'Rate History'!$C$22*SUMIF(Data!$G:$G,Neutral!$A19,Data!$DM:$DM)+'Rate History'!$C$23*SUMIF(Data!$G:$G,Neutral!$A19,Data!$DN:$DN)+'Rate History'!$C$24*SUMIF(Data!$G:$G,Neutral!$A19,Data!$DO:$DO)+'Rate History'!$C$25*SUMIF(Data!$G:$G,Neutral!$A19,Data!$DP:$DP)+'Rate History'!$C$26*SUMIF(Data!$G:$G,Neutral!$A19,Data!$DQ:$DQ)+'Rate History'!$C$27*SUMIF(Data!$G:$G,Neutral!$A19,Data!$DR:$DR)+'Rate History'!$C$28*SUMIF(Data!$G:$G,Neutral!$A19,Data!$DS:$DS)+'Rate History'!$C$29*SUMIF(Data!$G:$G,Neutral!$A19,Data!$DT:$DT)+'Rate History'!$C$30*SUMIF(Data!$G:$G,Neutral!$A19,Data!$DV:$DV)+'Rate History'!$C$31*SUMIF(Data!$G:$G,Neutral!$A19,Data!$DW:$DW))</f>
        <v>83284548.94951953</v>
      </c>
      <c r="D19" s="169">
        <f t="shared" si="1"/>
        <v>673959.99247050285</v>
      </c>
      <c r="E19" s="167">
        <f t="shared" si="0"/>
        <v>8.1582760875958497E-3</v>
      </c>
    </row>
    <row r="20" spans="1:5" x14ac:dyDescent="0.25">
      <c r="A20" s="92" t="s">
        <v>365</v>
      </c>
      <c r="B20" s="168">
        <f>$B$5*('Rate History'!$D$4*SUMIF(Data!$G:$G,Neutral!$A20,Data!$CU:$CU)+'Rate History'!$D$5*SUMIF(Data!$G:$G,Neutral!$A20,Data!$CV:$CV)+'Rate History'!$D$6*SUMIF(Data!$G:$G,Neutral!$A20,Data!$CW:$CW)+'Rate History'!$D$7*SUMIF(Data!$G:$G,Neutral!$A20,Data!$CX:$CX)+'Rate History'!$D$8*SUMIF(Data!$G:$G,Neutral!$A20,Data!$CY:$CY)+'Rate History'!$D$9*SUMIF(Data!$G:$G,Neutral!$A20,Data!$CZ:$CZ)+'Rate History'!$D$10*SUMIF(Data!$G:$G,Neutral!$A20,Data!$DA:$DA)+'Rate History'!$D$11*SUMIF(Data!$G:$G,Neutral!$A20,Data!$DB:$DB)+'Rate History'!$D$12*SUMIF(Data!$G:$G,Neutral!$A20,Data!$DC:$DC)+'Rate History'!$D$13*SUMIF(Data!$G:$G,Neutral!$A20,Data!$DD:$DD)+'Rate History'!$D$14*SUMIF(Data!$G:$G,Neutral!$A20,Data!$DE:$DE)+'Rate History'!$D$15*SUMIF(Data!$G:$G,Neutral!$A20,Data!$DF:$DF)+'Rate History'!$D$16*SUMIF(Data!$G:$G,Neutral!$A20,Data!$DG:$DG)+'Rate History'!$D$17*SUMIF(Data!$G:$G,Neutral!$A20,Data!$DH:$DH)+'Rate History'!$D$18*SUMIF(Data!$G:$G,Neutral!$A20,Data!$DI:$DI)+'Rate History'!$D$19*SUMIF(Data!$G:$G,Neutral!$A20,Data!$DJ:$DJ)+'Rate History'!$D$20*SUMIF(Data!$G:$G,Neutral!$A20,Data!$DK:$DK)+'Rate History'!$D$21*SUMIF(Data!$G:$G,Neutral!$A20,Data!$DL:$DL)+'Rate History'!$D$22*SUMIF(Data!$G:$G,Neutral!$A20,Data!$DM:$DM)+'Rate History'!$D$23*SUMIF(Data!$G:$G,Neutral!$A20,Data!$DN:$DN)+'Rate History'!$D$24*SUMIF(Data!$G:$G,Neutral!$A20,Data!$DO:$DO)+'Rate History'!$D$25*SUMIF(Data!$G:$G,Neutral!$A20,Data!$DP:$DP)+'Rate History'!$D$26*SUMIF(Data!$G:$G,Neutral!$A20,Data!$DQ:$DQ)+'Rate History'!$D$27*SUMIF(Data!$G:$G,Neutral!$A20,Data!$DR:$DR)+'Rate History'!$D$28*SUMIF(Data!$G:$G,Neutral!$A20,Data!$DS:$DS)+'Rate History'!$D$29*SUMIF(Data!$G:$G,Neutral!$A20,Data!$DT:$DT)+'Rate History'!$D$30*SUMIF(Data!$G:$G,Neutral!$A20,Data!$DV:$DV)+'Rate History'!$D$31*SUMIF(Data!$G:$G,Neutral!$A20,Data!$DW:$DW))</f>
        <v>19334472.596151605</v>
      </c>
      <c r="C20" s="168">
        <f>$C$5*('Rate History'!$C$4*SUMIF(Data!$G:$G,Neutral!$A20,Data!$CU:$CU)+'Rate History'!$C$5*SUMIF(Data!$G:$G,Neutral!$A20,Data!$CV:$CV)+'Rate History'!$C$6*SUMIF(Data!$G:$G,Neutral!$A20,Data!$CW:$CW)+'Rate History'!$C$7*SUMIF(Data!$G:$G,Neutral!$A20,Data!$CX:$CX)+'Rate History'!$C$8*SUMIF(Data!$G:$G,Neutral!$A20,Data!$CY:$CY)+'Rate History'!$C$9*SUMIF(Data!$G:$G,Neutral!$A20,Data!$CZ:$CZ)+'Rate History'!$C$10*SUMIF(Data!$G:$G,Neutral!$A20,Data!$DA:$DA)+'Rate History'!$C$11*SUMIF(Data!$G:$G,Neutral!$A20,Data!$DB:$DB)+'Rate History'!$C$12*SUMIF(Data!$G:$G,Neutral!$A20,Data!$DC:$DC)+'Rate History'!$C$13*SUMIF(Data!$G:$G,Neutral!$A20,Data!$DD:$DD)+'Rate History'!$C$14*SUMIF(Data!$G:$G,Neutral!$A20,Data!$DE:$DE)+'Rate History'!$C$15*SUMIF(Data!$G:$G,Neutral!$A20,Data!$DF:$DF)+'Rate History'!$C$16*SUMIF(Data!$G:$G,Neutral!$A20,Data!$DG:$DG)+'Rate History'!$C$17*SUMIF(Data!$G:$G,Neutral!$A20,Data!$DH:$DH)+'Rate History'!$C$18*SUMIF(Data!$G:$G,Neutral!$A20,Data!$DI:$DI)+'Rate History'!$C$19*SUMIF(Data!$G:$G,Neutral!$A20,Data!$DJ:$DJ)+'Rate History'!$C$20*SUMIF(Data!$G:$G,Neutral!$A20,Data!$DK:$DK)+'Rate History'!$C$21*SUMIF(Data!$G:$G,Neutral!$A20,Data!$DL:$DL)+'Rate History'!$C$22*SUMIF(Data!$G:$G,Neutral!$A20,Data!$DM:$DM)+'Rate History'!$C$23*SUMIF(Data!$G:$G,Neutral!$A20,Data!$DN:$DN)+'Rate History'!$C$24*SUMIF(Data!$G:$G,Neutral!$A20,Data!$DO:$DO)+'Rate History'!$C$25*SUMIF(Data!$G:$G,Neutral!$A20,Data!$DP:$DP)+'Rate History'!$C$26*SUMIF(Data!$G:$G,Neutral!$A20,Data!$DQ:$DQ)+'Rate History'!$C$27*SUMIF(Data!$G:$G,Neutral!$A20,Data!$DR:$DR)+'Rate History'!$C$28*SUMIF(Data!$G:$G,Neutral!$A20,Data!$DS:$DS)+'Rate History'!$C$29*SUMIF(Data!$G:$G,Neutral!$A20,Data!$DT:$DT)+'Rate History'!$C$30*SUMIF(Data!$G:$G,Neutral!$A20,Data!$DV:$DV)+'Rate History'!$C$31*SUMIF(Data!$G:$G,Neutral!$A20,Data!$DW:$DW))</f>
        <v>19164711.025850222</v>
      </c>
      <c r="D20" s="169">
        <f t="shared" si="1"/>
        <v>-169761.57030138373</v>
      </c>
      <c r="E20" s="167">
        <f t="shared" si="0"/>
        <v>-8.7802534802616551E-3</v>
      </c>
    </row>
    <row r="21" spans="1:5" x14ac:dyDescent="0.25">
      <c r="A21" s="91" t="s">
        <v>440</v>
      </c>
      <c r="B21" s="168">
        <f>$B$5*('Rate History'!$D$4*SUMIF(Data!$G:$G,Neutral!$A21,Data!$CU:$CU)+'Rate History'!$D$5*SUMIF(Data!$G:$G,Neutral!$A21,Data!$CV:$CV)+'Rate History'!$D$6*SUMIF(Data!$G:$G,Neutral!$A21,Data!$CW:$CW)+'Rate History'!$D$7*SUMIF(Data!$G:$G,Neutral!$A21,Data!$CX:$CX)+'Rate History'!$D$8*SUMIF(Data!$G:$G,Neutral!$A21,Data!$CY:$CY)+'Rate History'!$D$9*SUMIF(Data!$G:$G,Neutral!$A21,Data!$CZ:$CZ)+'Rate History'!$D$10*SUMIF(Data!$G:$G,Neutral!$A21,Data!$DA:$DA)+'Rate History'!$D$11*SUMIF(Data!$G:$G,Neutral!$A21,Data!$DB:$DB)+'Rate History'!$D$12*SUMIF(Data!$G:$G,Neutral!$A21,Data!$DC:$DC)+'Rate History'!$D$13*SUMIF(Data!$G:$G,Neutral!$A21,Data!$DD:$DD)+'Rate History'!$D$14*SUMIF(Data!$G:$G,Neutral!$A21,Data!$DE:$DE)+'Rate History'!$D$15*SUMIF(Data!$G:$G,Neutral!$A21,Data!$DF:$DF)+'Rate History'!$D$16*SUMIF(Data!$G:$G,Neutral!$A21,Data!$DG:$DG)+'Rate History'!$D$17*SUMIF(Data!$G:$G,Neutral!$A21,Data!$DH:$DH)+'Rate History'!$D$18*SUMIF(Data!$G:$G,Neutral!$A21,Data!$DI:$DI)+'Rate History'!$D$19*SUMIF(Data!$G:$G,Neutral!$A21,Data!$DJ:$DJ)+'Rate History'!$D$20*SUMIF(Data!$G:$G,Neutral!$A21,Data!$DK:$DK)+'Rate History'!$D$21*SUMIF(Data!$G:$G,Neutral!$A21,Data!$DL:$DL)+'Rate History'!$D$22*SUMIF(Data!$G:$G,Neutral!$A21,Data!$DM:$DM)+'Rate History'!$D$23*SUMIF(Data!$G:$G,Neutral!$A21,Data!$DN:$DN)+'Rate History'!$D$24*SUMIF(Data!$G:$G,Neutral!$A21,Data!$DO:$DO)+'Rate History'!$D$25*SUMIF(Data!$G:$G,Neutral!$A21,Data!$DP:$DP)+'Rate History'!$D$26*SUMIF(Data!$G:$G,Neutral!$A21,Data!$DQ:$DQ)+'Rate History'!$D$27*SUMIF(Data!$G:$G,Neutral!$A21,Data!$DR:$DR)+'Rate History'!$D$28*SUMIF(Data!$G:$G,Neutral!$A21,Data!$DS:$DS)+'Rate History'!$D$29*SUMIF(Data!$G:$G,Neutral!$A21,Data!$DT:$DT)+'Rate History'!$D$30*SUMIF(Data!$G:$G,Neutral!$A21,Data!$DV:$DV)+'Rate History'!$D$31*SUMIF(Data!$G:$G,Neutral!$A21,Data!$DW:$DW))</f>
        <v>28154255.54889461</v>
      </c>
      <c r="C21" s="168">
        <f>$C$5*('Rate History'!$C$4*SUMIF(Data!$G:$G,Neutral!$A21,Data!$CU:$CU)+'Rate History'!$C$5*SUMIF(Data!$G:$G,Neutral!$A21,Data!$CV:$CV)+'Rate History'!$C$6*SUMIF(Data!$G:$G,Neutral!$A21,Data!$CW:$CW)+'Rate History'!$C$7*SUMIF(Data!$G:$G,Neutral!$A21,Data!$CX:$CX)+'Rate History'!$C$8*SUMIF(Data!$G:$G,Neutral!$A21,Data!$CY:$CY)+'Rate History'!$C$9*SUMIF(Data!$G:$G,Neutral!$A21,Data!$CZ:$CZ)+'Rate History'!$C$10*SUMIF(Data!$G:$G,Neutral!$A21,Data!$DA:$DA)+'Rate History'!$C$11*SUMIF(Data!$G:$G,Neutral!$A21,Data!$DB:$DB)+'Rate History'!$C$12*SUMIF(Data!$G:$G,Neutral!$A21,Data!$DC:$DC)+'Rate History'!$C$13*SUMIF(Data!$G:$G,Neutral!$A21,Data!$DD:$DD)+'Rate History'!$C$14*SUMIF(Data!$G:$G,Neutral!$A21,Data!$DE:$DE)+'Rate History'!$C$15*SUMIF(Data!$G:$G,Neutral!$A21,Data!$DF:$DF)+'Rate History'!$C$16*SUMIF(Data!$G:$G,Neutral!$A21,Data!$DG:$DG)+'Rate History'!$C$17*SUMIF(Data!$G:$G,Neutral!$A21,Data!$DH:$DH)+'Rate History'!$C$18*SUMIF(Data!$G:$G,Neutral!$A21,Data!$DI:$DI)+'Rate History'!$C$19*SUMIF(Data!$G:$G,Neutral!$A21,Data!$DJ:$DJ)+'Rate History'!$C$20*SUMIF(Data!$G:$G,Neutral!$A21,Data!$DK:$DK)+'Rate History'!$C$21*SUMIF(Data!$G:$G,Neutral!$A21,Data!$DL:$DL)+'Rate History'!$C$22*SUMIF(Data!$G:$G,Neutral!$A21,Data!$DM:$DM)+'Rate History'!$C$23*SUMIF(Data!$G:$G,Neutral!$A21,Data!$DN:$DN)+'Rate History'!$C$24*SUMIF(Data!$G:$G,Neutral!$A21,Data!$DO:$DO)+'Rate History'!$C$25*SUMIF(Data!$G:$G,Neutral!$A21,Data!$DP:$DP)+'Rate History'!$C$26*SUMIF(Data!$G:$G,Neutral!$A21,Data!$DQ:$DQ)+'Rate History'!$C$27*SUMIF(Data!$G:$G,Neutral!$A21,Data!$DR:$DR)+'Rate History'!$C$28*SUMIF(Data!$G:$G,Neutral!$A21,Data!$DS:$DS)+'Rate History'!$C$29*SUMIF(Data!$G:$G,Neutral!$A21,Data!$DT:$DT)+'Rate History'!$C$30*SUMIF(Data!$G:$G,Neutral!$A21,Data!$DV:$DV)+'Rate History'!$C$31*SUMIF(Data!$G:$G,Neutral!$A21,Data!$DW:$DW))</f>
        <v>27987056.248441219</v>
      </c>
      <c r="D21" s="169">
        <f t="shared" si="1"/>
        <v>-167199.30045339093</v>
      </c>
      <c r="E21" s="167">
        <f t="shared" si="0"/>
        <v>-5.9386866103783549E-3</v>
      </c>
    </row>
    <row r="22" spans="1:5" x14ac:dyDescent="0.25">
      <c r="A22" s="92" t="s">
        <v>367</v>
      </c>
      <c r="B22" s="168">
        <f>$B$5*('Rate History'!$D$4*SUMIF(Data!$G:$G,Neutral!$A22,Data!$CU:$CU)+'Rate History'!$D$5*SUMIF(Data!$G:$G,Neutral!$A22,Data!$CV:$CV)+'Rate History'!$D$6*SUMIF(Data!$G:$G,Neutral!$A22,Data!$CW:$CW)+'Rate History'!$D$7*SUMIF(Data!$G:$G,Neutral!$A22,Data!$CX:$CX)+'Rate History'!$D$8*SUMIF(Data!$G:$G,Neutral!$A22,Data!$CY:$CY)+'Rate History'!$D$9*SUMIF(Data!$G:$G,Neutral!$A22,Data!$CZ:$CZ)+'Rate History'!$D$10*SUMIF(Data!$G:$G,Neutral!$A22,Data!$DA:$DA)+'Rate History'!$D$11*SUMIF(Data!$G:$G,Neutral!$A22,Data!$DB:$DB)+'Rate History'!$D$12*SUMIF(Data!$G:$G,Neutral!$A22,Data!$DC:$DC)+'Rate History'!$D$13*SUMIF(Data!$G:$G,Neutral!$A22,Data!$DD:$DD)+'Rate History'!$D$14*SUMIF(Data!$G:$G,Neutral!$A22,Data!$DE:$DE)+'Rate History'!$D$15*SUMIF(Data!$G:$G,Neutral!$A22,Data!$DF:$DF)+'Rate History'!$D$16*SUMIF(Data!$G:$G,Neutral!$A22,Data!$DG:$DG)+'Rate History'!$D$17*SUMIF(Data!$G:$G,Neutral!$A22,Data!$DH:$DH)+'Rate History'!$D$18*SUMIF(Data!$G:$G,Neutral!$A22,Data!$DI:$DI)+'Rate History'!$D$19*SUMIF(Data!$G:$G,Neutral!$A22,Data!$DJ:$DJ)+'Rate History'!$D$20*SUMIF(Data!$G:$G,Neutral!$A22,Data!$DK:$DK)+'Rate History'!$D$21*SUMIF(Data!$G:$G,Neutral!$A22,Data!$DL:$DL)+'Rate History'!$D$22*SUMIF(Data!$G:$G,Neutral!$A22,Data!$DM:$DM)+'Rate History'!$D$23*SUMIF(Data!$G:$G,Neutral!$A22,Data!$DN:$DN)+'Rate History'!$D$24*SUMIF(Data!$G:$G,Neutral!$A22,Data!$DO:$DO)+'Rate History'!$D$25*SUMIF(Data!$G:$G,Neutral!$A22,Data!$DP:$DP)+'Rate History'!$D$26*SUMIF(Data!$G:$G,Neutral!$A22,Data!$DQ:$DQ)+'Rate History'!$D$27*SUMIF(Data!$G:$G,Neutral!$A22,Data!$DR:$DR)+'Rate History'!$D$28*SUMIF(Data!$G:$G,Neutral!$A22,Data!$DS:$DS)+'Rate History'!$D$29*SUMIF(Data!$G:$G,Neutral!$A22,Data!$DT:$DT)+'Rate History'!$D$30*SUMIF(Data!$G:$G,Neutral!$A22,Data!$DV:$DV)+'Rate History'!$D$31*SUMIF(Data!$G:$G,Neutral!$A22,Data!$DW:$DW))</f>
        <v>2465009.3737416449</v>
      </c>
      <c r="C22" s="168">
        <f>$C$5*('Rate History'!$C$4*SUMIF(Data!$G:$G,Neutral!$A22,Data!$CU:$CU)+'Rate History'!$C$5*SUMIF(Data!$G:$G,Neutral!$A22,Data!$CV:$CV)+'Rate History'!$C$6*SUMIF(Data!$G:$G,Neutral!$A22,Data!$CW:$CW)+'Rate History'!$C$7*SUMIF(Data!$G:$G,Neutral!$A22,Data!$CX:$CX)+'Rate History'!$C$8*SUMIF(Data!$G:$G,Neutral!$A22,Data!$CY:$CY)+'Rate History'!$C$9*SUMIF(Data!$G:$G,Neutral!$A22,Data!$CZ:$CZ)+'Rate History'!$C$10*SUMIF(Data!$G:$G,Neutral!$A22,Data!$DA:$DA)+'Rate History'!$C$11*SUMIF(Data!$G:$G,Neutral!$A22,Data!$DB:$DB)+'Rate History'!$C$12*SUMIF(Data!$G:$G,Neutral!$A22,Data!$DC:$DC)+'Rate History'!$C$13*SUMIF(Data!$G:$G,Neutral!$A22,Data!$DD:$DD)+'Rate History'!$C$14*SUMIF(Data!$G:$G,Neutral!$A22,Data!$DE:$DE)+'Rate History'!$C$15*SUMIF(Data!$G:$G,Neutral!$A22,Data!$DF:$DF)+'Rate History'!$C$16*SUMIF(Data!$G:$G,Neutral!$A22,Data!$DG:$DG)+'Rate History'!$C$17*SUMIF(Data!$G:$G,Neutral!$A22,Data!$DH:$DH)+'Rate History'!$C$18*SUMIF(Data!$G:$G,Neutral!$A22,Data!$DI:$DI)+'Rate History'!$C$19*SUMIF(Data!$G:$G,Neutral!$A22,Data!$DJ:$DJ)+'Rate History'!$C$20*SUMIF(Data!$G:$G,Neutral!$A22,Data!$DK:$DK)+'Rate History'!$C$21*SUMIF(Data!$G:$G,Neutral!$A22,Data!$DL:$DL)+'Rate History'!$C$22*SUMIF(Data!$G:$G,Neutral!$A22,Data!$DM:$DM)+'Rate History'!$C$23*SUMIF(Data!$G:$G,Neutral!$A22,Data!$DN:$DN)+'Rate History'!$C$24*SUMIF(Data!$G:$G,Neutral!$A22,Data!$DO:$DO)+'Rate History'!$C$25*SUMIF(Data!$G:$G,Neutral!$A22,Data!$DP:$DP)+'Rate History'!$C$26*SUMIF(Data!$G:$G,Neutral!$A22,Data!$DQ:$DQ)+'Rate History'!$C$27*SUMIF(Data!$G:$G,Neutral!$A22,Data!$DR:$DR)+'Rate History'!$C$28*SUMIF(Data!$G:$G,Neutral!$A22,Data!$DS:$DS)+'Rate History'!$C$29*SUMIF(Data!$G:$G,Neutral!$A22,Data!$DT:$DT)+'Rate History'!$C$30*SUMIF(Data!$G:$G,Neutral!$A22,Data!$DV:$DV)+'Rate History'!$C$31*SUMIF(Data!$G:$G,Neutral!$A22,Data!$DW:$DW))</f>
        <v>2443698.1501973835</v>
      </c>
      <c r="D22" s="169">
        <f t="shared" si="1"/>
        <v>-21311.223544261418</v>
      </c>
      <c r="E22" s="167">
        <f t="shared" si="0"/>
        <v>-8.6454939162819693E-3</v>
      </c>
    </row>
    <row r="23" spans="1:5" x14ac:dyDescent="0.25">
      <c r="A23" s="92" t="s">
        <v>424</v>
      </c>
      <c r="B23" s="168">
        <f>$B$5*('Rate History'!$D$4*SUMIF(Data!$G:$G,Neutral!$A23,Data!$CU:$CU)+'Rate History'!$D$5*SUMIF(Data!$G:$G,Neutral!$A23,Data!$CV:$CV)+'Rate History'!$D$6*SUMIF(Data!$G:$G,Neutral!$A23,Data!$CW:$CW)+'Rate History'!$D$7*SUMIF(Data!$G:$G,Neutral!$A23,Data!$CX:$CX)+'Rate History'!$D$8*SUMIF(Data!$G:$G,Neutral!$A23,Data!$CY:$CY)+'Rate History'!$D$9*SUMIF(Data!$G:$G,Neutral!$A23,Data!$CZ:$CZ)+'Rate History'!$D$10*SUMIF(Data!$G:$G,Neutral!$A23,Data!$DA:$DA)+'Rate History'!$D$11*SUMIF(Data!$G:$G,Neutral!$A23,Data!$DB:$DB)+'Rate History'!$D$12*SUMIF(Data!$G:$G,Neutral!$A23,Data!$DC:$DC)+'Rate History'!$D$13*SUMIF(Data!$G:$G,Neutral!$A23,Data!$DD:$DD)+'Rate History'!$D$14*SUMIF(Data!$G:$G,Neutral!$A23,Data!$DE:$DE)+'Rate History'!$D$15*SUMIF(Data!$G:$G,Neutral!$A23,Data!$DF:$DF)+'Rate History'!$D$16*SUMIF(Data!$G:$G,Neutral!$A23,Data!$DG:$DG)+'Rate History'!$D$17*SUMIF(Data!$G:$G,Neutral!$A23,Data!$DH:$DH)+'Rate History'!$D$18*SUMIF(Data!$G:$G,Neutral!$A23,Data!$DI:$DI)+'Rate History'!$D$19*SUMIF(Data!$G:$G,Neutral!$A23,Data!$DJ:$DJ)+'Rate History'!$D$20*SUMIF(Data!$G:$G,Neutral!$A23,Data!$DK:$DK)+'Rate History'!$D$21*SUMIF(Data!$G:$G,Neutral!$A23,Data!$DL:$DL)+'Rate History'!$D$22*SUMIF(Data!$G:$G,Neutral!$A23,Data!$DM:$DM)+'Rate History'!$D$23*SUMIF(Data!$G:$G,Neutral!$A23,Data!$DN:$DN)+'Rate History'!$D$24*SUMIF(Data!$G:$G,Neutral!$A23,Data!$DO:$DO)+'Rate History'!$D$25*SUMIF(Data!$G:$G,Neutral!$A23,Data!$DP:$DP)+'Rate History'!$D$26*SUMIF(Data!$G:$G,Neutral!$A23,Data!$DQ:$DQ)+'Rate History'!$D$27*SUMIF(Data!$G:$G,Neutral!$A23,Data!$DR:$DR)+'Rate History'!$D$28*SUMIF(Data!$G:$G,Neutral!$A23,Data!$DS:$DS)+'Rate History'!$D$29*SUMIF(Data!$G:$G,Neutral!$A23,Data!$DT:$DT)+'Rate History'!$D$30*SUMIF(Data!$G:$G,Neutral!$A23,Data!$DV:$DV)+'Rate History'!$D$31*SUMIF(Data!$G:$G,Neutral!$A23,Data!$DW:$DW))</f>
        <v>4908597.5050255451</v>
      </c>
      <c r="C23" s="168">
        <f>$C$5*('Rate History'!$C$4*SUMIF(Data!$G:$G,Neutral!$A23,Data!$CU:$CU)+'Rate History'!$C$5*SUMIF(Data!$G:$G,Neutral!$A23,Data!$CV:$CV)+'Rate History'!$C$6*SUMIF(Data!$G:$G,Neutral!$A23,Data!$CW:$CW)+'Rate History'!$C$7*SUMIF(Data!$G:$G,Neutral!$A23,Data!$CX:$CX)+'Rate History'!$C$8*SUMIF(Data!$G:$G,Neutral!$A23,Data!$CY:$CY)+'Rate History'!$C$9*SUMIF(Data!$G:$G,Neutral!$A23,Data!$CZ:$CZ)+'Rate History'!$C$10*SUMIF(Data!$G:$G,Neutral!$A23,Data!$DA:$DA)+'Rate History'!$C$11*SUMIF(Data!$G:$G,Neutral!$A23,Data!$DB:$DB)+'Rate History'!$C$12*SUMIF(Data!$G:$G,Neutral!$A23,Data!$DC:$DC)+'Rate History'!$C$13*SUMIF(Data!$G:$G,Neutral!$A23,Data!$DD:$DD)+'Rate History'!$C$14*SUMIF(Data!$G:$G,Neutral!$A23,Data!$DE:$DE)+'Rate History'!$C$15*SUMIF(Data!$G:$G,Neutral!$A23,Data!$DF:$DF)+'Rate History'!$C$16*SUMIF(Data!$G:$G,Neutral!$A23,Data!$DG:$DG)+'Rate History'!$C$17*SUMIF(Data!$G:$G,Neutral!$A23,Data!$DH:$DH)+'Rate History'!$C$18*SUMIF(Data!$G:$G,Neutral!$A23,Data!$DI:$DI)+'Rate History'!$C$19*SUMIF(Data!$G:$G,Neutral!$A23,Data!$DJ:$DJ)+'Rate History'!$C$20*SUMIF(Data!$G:$G,Neutral!$A23,Data!$DK:$DK)+'Rate History'!$C$21*SUMIF(Data!$G:$G,Neutral!$A23,Data!$DL:$DL)+'Rate History'!$C$22*SUMIF(Data!$G:$G,Neutral!$A23,Data!$DM:$DM)+'Rate History'!$C$23*SUMIF(Data!$G:$G,Neutral!$A23,Data!$DN:$DN)+'Rate History'!$C$24*SUMIF(Data!$G:$G,Neutral!$A23,Data!$DO:$DO)+'Rate History'!$C$25*SUMIF(Data!$G:$G,Neutral!$A23,Data!$DP:$DP)+'Rate History'!$C$26*SUMIF(Data!$G:$G,Neutral!$A23,Data!$DQ:$DQ)+'Rate History'!$C$27*SUMIF(Data!$G:$G,Neutral!$A23,Data!$DR:$DR)+'Rate History'!$C$28*SUMIF(Data!$G:$G,Neutral!$A23,Data!$DS:$DS)+'Rate History'!$C$29*SUMIF(Data!$G:$G,Neutral!$A23,Data!$DT:$DT)+'Rate History'!$C$30*SUMIF(Data!$G:$G,Neutral!$A23,Data!$DV:$DV)+'Rate History'!$C$31*SUMIF(Data!$G:$G,Neutral!$A23,Data!$DW:$DW))</f>
        <v>4841832.9139382364</v>
      </c>
      <c r="D23" s="169">
        <f t="shared" si="1"/>
        <v>-66764.591087308712</v>
      </c>
      <c r="E23" s="167">
        <f t="shared" si="0"/>
        <v>-1.360156154969998E-2</v>
      </c>
    </row>
    <row r="24" spans="1:5" x14ac:dyDescent="0.25">
      <c r="A24" s="92" t="s">
        <v>369</v>
      </c>
      <c r="B24" s="168">
        <f>$B$5*('Rate History'!$D$4*SUMIF(Data!$G:$G,Neutral!$A24,Data!$CU:$CU)+'Rate History'!$D$5*SUMIF(Data!$G:$G,Neutral!$A24,Data!$CV:$CV)+'Rate History'!$D$6*SUMIF(Data!$G:$G,Neutral!$A24,Data!$CW:$CW)+'Rate History'!$D$7*SUMIF(Data!$G:$G,Neutral!$A24,Data!$CX:$CX)+'Rate History'!$D$8*SUMIF(Data!$G:$G,Neutral!$A24,Data!$CY:$CY)+'Rate History'!$D$9*SUMIF(Data!$G:$G,Neutral!$A24,Data!$CZ:$CZ)+'Rate History'!$D$10*SUMIF(Data!$G:$G,Neutral!$A24,Data!$DA:$DA)+'Rate History'!$D$11*SUMIF(Data!$G:$G,Neutral!$A24,Data!$DB:$DB)+'Rate History'!$D$12*SUMIF(Data!$G:$G,Neutral!$A24,Data!$DC:$DC)+'Rate History'!$D$13*SUMIF(Data!$G:$G,Neutral!$A24,Data!$DD:$DD)+'Rate History'!$D$14*SUMIF(Data!$G:$G,Neutral!$A24,Data!$DE:$DE)+'Rate History'!$D$15*SUMIF(Data!$G:$G,Neutral!$A24,Data!$DF:$DF)+'Rate History'!$D$16*SUMIF(Data!$G:$G,Neutral!$A24,Data!$DG:$DG)+'Rate History'!$D$17*SUMIF(Data!$G:$G,Neutral!$A24,Data!$DH:$DH)+'Rate History'!$D$18*SUMIF(Data!$G:$G,Neutral!$A24,Data!$DI:$DI)+'Rate History'!$D$19*SUMIF(Data!$G:$G,Neutral!$A24,Data!$DJ:$DJ)+'Rate History'!$D$20*SUMIF(Data!$G:$G,Neutral!$A24,Data!$DK:$DK)+'Rate History'!$D$21*SUMIF(Data!$G:$G,Neutral!$A24,Data!$DL:$DL)+'Rate History'!$D$22*SUMIF(Data!$G:$G,Neutral!$A24,Data!$DM:$DM)+'Rate History'!$D$23*SUMIF(Data!$G:$G,Neutral!$A24,Data!$DN:$DN)+'Rate History'!$D$24*SUMIF(Data!$G:$G,Neutral!$A24,Data!$DO:$DO)+'Rate History'!$D$25*SUMIF(Data!$G:$G,Neutral!$A24,Data!$DP:$DP)+'Rate History'!$D$26*SUMIF(Data!$G:$G,Neutral!$A24,Data!$DQ:$DQ)+'Rate History'!$D$27*SUMIF(Data!$G:$G,Neutral!$A24,Data!$DR:$DR)+'Rate History'!$D$28*SUMIF(Data!$G:$G,Neutral!$A24,Data!$DS:$DS)+'Rate History'!$D$29*SUMIF(Data!$G:$G,Neutral!$A24,Data!$DT:$DT)+'Rate History'!$D$30*SUMIF(Data!$G:$G,Neutral!$A24,Data!$DV:$DV)+'Rate History'!$D$31*SUMIF(Data!$G:$G,Neutral!$A24,Data!$DW:$DW))</f>
        <v>6501428.5505886953</v>
      </c>
      <c r="C24" s="168">
        <f>$C$5*('Rate History'!$C$4*SUMIF(Data!$G:$G,Neutral!$A24,Data!$CU:$CU)+'Rate History'!$C$5*SUMIF(Data!$G:$G,Neutral!$A24,Data!$CV:$CV)+'Rate History'!$C$6*SUMIF(Data!$G:$G,Neutral!$A24,Data!$CW:$CW)+'Rate History'!$C$7*SUMIF(Data!$G:$G,Neutral!$A24,Data!$CX:$CX)+'Rate History'!$C$8*SUMIF(Data!$G:$G,Neutral!$A24,Data!$CY:$CY)+'Rate History'!$C$9*SUMIF(Data!$G:$G,Neutral!$A24,Data!$CZ:$CZ)+'Rate History'!$C$10*SUMIF(Data!$G:$G,Neutral!$A24,Data!$DA:$DA)+'Rate History'!$C$11*SUMIF(Data!$G:$G,Neutral!$A24,Data!$DB:$DB)+'Rate History'!$C$12*SUMIF(Data!$G:$G,Neutral!$A24,Data!$DC:$DC)+'Rate History'!$C$13*SUMIF(Data!$G:$G,Neutral!$A24,Data!$DD:$DD)+'Rate History'!$C$14*SUMIF(Data!$G:$G,Neutral!$A24,Data!$DE:$DE)+'Rate History'!$C$15*SUMIF(Data!$G:$G,Neutral!$A24,Data!$DF:$DF)+'Rate History'!$C$16*SUMIF(Data!$G:$G,Neutral!$A24,Data!$DG:$DG)+'Rate History'!$C$17*SUMIF(Data!$G:$G,Neutral!$A24,Data!$DH:$DH)+'Rate History'!$C$18*SUMIF(Data!$G:$G,Neutral!$A24,Data!$DI:$DI)+'Rate History'!$C$19*SUMIF(Data!$G:$G,Neutral!$A24,Data!$DJ:$DJ)+'Rate History'!$C$20*SUMIF(Data!$G:$G,Neutral!$A24,Data!$DK:$DK)+'Rate History'!$C$21*SUMIF(Data!$G:$G,Neutral!$A24,Data!$DL:$DL)+'Rate History'!$C$22*SUMIF(Data!$G:$G,Neutral!$A24,Data!$DM:$DM)+'Rate History'!$C$23*SUMIF(Data!$G:$G,Neutral!$A24,Data!$DN:$DN)+'Rate History'!$C$24*SUMIF(Data!$G:$G,Neutral!$A24,Data!$DO:$DO)+'Rate History'!$C$25*SUMIF(Data!$G:$G,Neutral!$A24,Data!$DP:$DP)+'Rate History'!$C$26*SUMIF(Data!$G:$G,Neutral!$A24,Data!$DQ:$DQ)+'Rate History'!$C$27*SUMIF(Data!$G:$G,Neutral!$A24,Data!$DR:$DR)+'Rate History'!$C$28*SUMIF(Data!$G:$G,Neutral!$A24,Data!$DS:$DS)+'Rate History'!$C$29*SUMIF(Data!$G:$G,Neutral!$A24,Data!$DT:$DT)+'Rate History'!$C$30*SUMIF(Data!$G:$G,Neutral!$A24,Data!$DV:$DV)+'Rate History'!$C$31*SUMIF(Data!$G:$G,Neutral!$A24,Data!$DW:$DW))</f>
        <v>6477240.6742723323</v>
      </c>
      <c r="D24" s="169">
        <f t="shared" si="1"/>
        <v>-24187.876316362992</v>
      </c>
      <c r="E24" s="167">
        <f t="shared" si="0"/>
        <v>-3.720394083877583E-3</v>
      </c>
    </row>
    <row r="25" spans="1:5" x14ac:dyDescent="0.25">
      <c r="A25" s="92" t="s">
        <v>373</v>
      </c>
      <c r="B25" s="168">
        <f>$B$5*('Rate History'!$D$4*SUMIF(Data!$G:$G,Neutral!$A25,Data!$CU:$CU)+'Rate History'!$D$5*SUMIF(Data!$G:$G,Neutral!$A25,Data!$CV:$CV)+'Rate History'!$D$6*SUMIF(Data!$G:$G,Neutral!$A25,Data!$CW:$CW)+'Rate History'!$D$7*SUMIF(Data!$G:$G,Neutral!$A25,Data!$CX:$CX)+'Rate History'!$D$8*SUMIF(Data!$G:$G,Neutral!$A25,Data!$CY:$CY)+'Rate History'!$D$9*SUMIF(Data!$G:$G,Neutral!$A25,Data!$CZ:$CZ)+'Rate History'!$D$10*SUMIF(Data!$G:$G,Neutral!$A25,Data!$DA:$DA)+'Rate History'!$D$11*SUMIF(Data!$G:$G,Neutral!$A25,Data!$DB:$DB)+'Rate History'!$D$12*SUMIF(Data!$G:$G,Neutral!$A25,Data!$DC:$DC)+'Rate History'!$D$13*SUMIF(Data!$G:$G,Neutral!$A25,Data!$DD:$DD)+'Rate History'!$D$14*SUMIF(Data!$G:$G,Neutral!$A25,Data!$DE:$DE)+'Rate History'!$D$15*SUMIF(Data!$G:$G,Neutral!$A25,Data!$DF:$DF)+'Rate History'!$D$16*SUMIF(Data!$G:$G,Neutral!$A25,Data!$DG:$DG)+'Rate History'!$D$17*SUMIF(Data!$G:$G,Neutral!$A25,Data!$DH:$DH)+'Rate History'!$D$18*SUMIF(Data!$G:$G,Neutral!$A25,Data!$DI:$DI)+'Rate History'!$D$19*SUMIF(Data!$G:$G,Neutral!$A25,Data!$DJ:$DJ)+'Rate History'!$D$20*SUMIF(Data!$G:$G,Neutral!$A25,Data!$DK:$DK)+'Rate History'!$D$21*SUMIF(Data!$G:$G,Neutral!$A25,Data!$DL:$DL)+'Rate History'!$D$22*SUMIF(Data!$G:$G,Neutral!$A25,Data!$DM:$DM)+'Rate History'!$D$23*SUMIF(Data!$G:$G,Neutral!$A25,Data!$DN:$DN)+'Rate History'!$D$24*SUMIF(Data!$G:$G,Neutral!$A25,Data!$DO:$DO)+'Rate History'!$D$25*SUMIF(Data!$G:$G,Neutral!$A25,Data!$DP:$DP)+'Rate History'!$D$26*SUMIF(Data!$G:$G,Neutral!$A25,Data!$DQ:$DQ)+'Rate History'!$D$27*SUMIF(Data!$G:$G,Neutral!$A25,Data!$DR:$DR)+'Rate History'!$D$28*SUMIF(Data!$G:$G,Neutral!$A25,Data!$DS:$DS)+'Rate History'!$D$29*SUMIF(Data!$G:$G,Neutral!$A25,Data!$DT:$DT)+'Rate History'!$D$30*SUMIF(Data!$G:$G,Neutral!$A25,Data!$DV:$DV)+'Rate History'!$D$31*SUMIF(Data!$G:$G,Neutral!$A25,Data!$DW:$DW))</f>
        <v>4839350.4919717163</v>
      </c>
      <c r="C25" s="168">
        <f>$C$5*('Rate History'!$C$4*SUMIF(Data!$G:$G,Neutral!$A25,Data!$CU:$CU)+'Rate History'!$C$5*SUMIF(Data!$G:$G,Neutral!$A25,Data!$CV:$CV)+'Rate History'!$C$6*SUMIF(Data!$G:$G,Neutral!$A25,Data!$CW:$CW)+'Rate History'!$C$7*SUMIF(Data!$G:$G,Neutral!$A25,Data!$CX:$CX)+'Rate History'!$C$8*SUMIF(Data!$G:$G,Neutral!$A25,Data!$CY:$CY)+'Rate History'!$C$9*SUMIF(Data!$G:$G,Neutral!$A25,Data!$CZ:$CZ)+'Rate History'!$C$10*SUMIF(Data!$G:$G,Neutral!$A25,Data!$DA:$DA)+'Rate History'!$C$11*SUMIF(Data!$G:$G,Neutral!$A25,Data!$DB:$DB)+'Rate History'!$C$12*SUMIF(Data!$G:$G,Neutral!$A25,Data!$DC:$DC)+'Rate History'!$C$13*SUMIF(Data!$G:$G,Neutral!$A25,Data!$DD:$DD)+'Rate History'!$C$14*SUMIF(Data!$G:$G,Neutral!$A25,Data!$DE:$DE)+'Rate History'!$C$15*SUMIF(Data!$G:$G,Neutral!$A25,Data!$DF:$DF)+'Rate History'!$C$16*SUMIF(Data!$G:$G,Neutral!$A25,Data!$DG:$DG)+'Rate History'!$C$17*SUMIF(Data!$G:$G,Neutral!$A25,Data!$DH:$DH)+'Rate History'!$C$18*SUMIF(Data!$G:$G,Neutral!$A25,Data!$DI:$DI)+'Rate History'!$C$19*SUMIF(Data!$G:$G,Neutral!$A25,Data!$DJ:$DJ)+'Rate History'!$C$20*SUMIF(Data!$G:$G,Neutral!$A25,Data!$DK:$DK)+'Rate History'!$C$21*SUMIF(Data!$G:$G,Neutral!$A25,Data!$DL:$DL)+'Rate History'!$C$22*SUMIF(Data!$G:$G,Neutral!$A25,Data!$DM:$DM)+'Rate History'!$C$23*SUMIF(Data!$G:$G,Neutral!$A25,Data!$DN:$DN)+'Rate History'!$C$24*SUMIF(Data!$G:$G,Neutral!$A25,Data!$DO:$DO)+'Rate History'!$C$25*SUMIF(Data!$G:$G,Neutral!$A25,Data!$DP:$DP)+'Rate History'!$C$26*SUMIF(Data!$G:$G,Neutral!$A25,Data!$DQ:$DQ)+'Rate History'!$C$27*SUMIF(Data!$G:$G,Neutral!$A25,Data!$DR:$DR)+'Rate History'!$C$28*SUMIF(Data!$G:$G,Neutral!$A25,Data!$DS:$DS)+'Rate History'!$C$29*SUMIF(Data!$G:$G,Neutral!$A25,Data!$DT:$DT)+'Rate History'!$C$30*SUMIF(Data!$G:$G,Neutral!$A25,Data!$DV:$DV)+'Rate History'!$C$31*SUMIF(Data!$G:$G,Neutral!$A25,Data!$DW:$DW))</f>
        <v>4899586.3469749615</v>
      </c>
      <c r="D25" s="169">
        <f t="shared" si="1"/>
        <v>60235.855003245175</v>
      </c>
      <c r="E25" s="167">
        <f t="shared" si="0"/>
        <v>1.2447094936226253E-2</v>
      </c>
    </row>
    <row r="26" spans="1:5" x14ac:dyDescent="0.25">
      <c r="A26" s="92" t="s">
        <v>442</v>
      </c>
      <c r="B26" s="168">
        <f>$B$5*('Rate History'!$D$4*SUMIF(Data!$G:$G,Neutral!$A26,Data!$CU:$CU)+'Rate History'!$D$5*SUMIF(Data!$G:$G,Neutral!$A26,Data!$CV:$CV)+'Rate History'!$D$6*SUMIF(Data!$G:$G,Neutral!$A26,Data!$CW:$CW)+'Rate History'!$D$7*SUMIF(Data!$G:$G,Neutral!$A26,Data!$CX:$CX)+'Rate History'!$D$8*SUMIF(Data!$G:$G,Neutral!$A26,Data!$CY:$CY)+'Rate History'!$D$9*SUMIF(Data!$G:$G,Neutral!$A26,Data!$CZ:$CZ)+'Rate History'!$D$10*SUMIF(Data!$G:$G,Neutral!$A26,Data!$DA:$DA)+'Rate History'!$D$11*SUMIF(Data!$G:$G,Neutral!$A26,Data!$DB:$DB)+'Rate History'!$D$12*SUMIF(Data!$G:$G,Neutral!$A26,Data!$DC:$DC)+'Rate History'!$D$13*SUMIF(Data!$G:$G,Neutral!$A26,Data!$DD:$DD)+'Rate History'!$D$14*SUMIF(Data!$G:$G,Neutral!$A26,Data!$DE:$DE)+'Rate History'!$D$15*SUMIF(Data!$G:$G,Neutral!$A26,Data!$DF:$DF)+'Rate History'!$D$16*SUMIF(Data!$G:$G,Neutral!$A26,Data!$DG:$DG)+'Rate History'!$D$17*SUMIF(Data!$G:$G,Neutral!$A26,Data!$DH:$DH)+'Rate History'!$D$18*SUMIF(Data!$G:$G,Neutral!$A26,Data!$DI:$DI)+'Rate History'!$D$19*SUMIF(Data!$G:$G,Neutral!$A26,Data!$DJ:$DJ)+'Rate History'!$D$20*SUMIF(Data!$G:$G,Neutral!$A26,Data!$DK:$DK)+'Rate History'!$D$21*SUMIF(Data!$G:$G,Neutral!$A26,Data!$DL:$DL)+'Rate History'!$D$22*SUMIF(Data!$G:$G,Neutral!$A26,Data!$DM:$DM)+'Rate History'!$D$23*SUMIF(Data!$G:$G,Neutral!$A26,Data!$DN:$DN)+'Rate History'!$D$24*SUMIF(Data!$G:$G,Neutral!$A26,Data!$DO:$DO)+'Rate History'!$D$25*SUMIF(Data!$G:$G,Neutral!$A26,Data!$DP:$DP)+'Rate History'!$D$26*SUMIF(Data!$G:$G,Neutral!$A26,Data!$DQ:$DQ)+'Rate History'!$D$27*SUMIF(Data!$G:$G,Neutral!$A26,Data!$DR:$DR)+'Rate History'!$D$28*SUMIF(Data!$G:$G,Neutral!$A26,Data!$DS:$DS)+'Rate History'!$D$29*SUMIF(Data!$G:$G,Neutral!$A26,Data!$DT:$DT)+'Rate History'!$D$30*SUMIF(Data!$G:$G,Neutral!$A26,Data!$DV:$DV)+'Rate History'!$D$31*SUMIF(Data!$G:$G,Neutral!$A26,Data!$DW:$DW))</f>
        <v>63238543.653324828</v>
      </c>
      <c r="C26" s="168">
        <f>$C$5*('Rate History'!$C$4*SUMIF(Data!$G:$G,Neutral!$A26,Data!$CU:$CU)+'Rate History'!$C$5*SUMIF(Data!$G:$G,Neutral!$A26,Data!$CV:$CV)+'Rate History'!$C$6*SUMIF(Data!$G:$G,Neutral!$A26,Data!$CW:$CW)+'Rate History'!$C$7*SUMIF(Data!$G:$G,Neutral!$A26,Data!$CX:$CX)+'Rate History'!$C$8*SUMIF(Data!$G:$G,Neutral!$A26,Data!$CY:$CY)+'Rate History'!$C$9*SUMIF(Data!$G:$G,Neutral!$A26,Data!$CZ:$CZ)+'Rate History'!$C$10*SUMIF(Data!$G:$G,Neutral!$A26,Data!$DA:$DA)+'Rate History'!$C$11*SUMIF(Data!$G:$G,Neutral!$A26,Data!$DB:$DB)+'Rate History'!$C$12*SUMIF(Data!$G:$G,Neutral!$A26,Data!$DC:$DC)+'Rate History'!$C$13*SUMIF(Data!$G:$G,Neutral!$A26,Data!$DD:$DD)+'Rate History'!$C$14*SUMIF(Data!$G:$G,Neutral!$A26,Data!$DE:$DE)+'Rate History'!$C$15*SUMIF(Data!$G:$G,Neutral!$A26,Data!$DF:$DF)+'Rate History'!$C$16*SUMIF(Data!$G:$G,Neutral!$A26,Data!$DG:$DG)+'Rate History'!$C$17*SUMIF(Data!$G:$G,Neutral!$A26,Data!$DH:$DH)+'Rate History'!$C$18*SUMIF(Data!$G:$G,Neutral!$A26,Data!$DI:$DI)+'Rate History'!$C$19*SUMIF(Data!$G:$G,Neutral!$A26,Data!$DJ:$DJ)+'Rate History'!$C$20*SUMIF(Data!$G:$G,Neutral!$A26,Data!$DK:$DK)+'Rate History'!$C$21*SUMIF(Data!$G:$G,Neutral!$A26,Data!$DL:$DL)+'Rate History'!$C$22*SUMIF(Data!$G:$G,Neutral!$A26,Data!$DM:$DM)+'Rate History'!$C$23*SUMIF(Data!$G:$G,Neutral!$A26,Data!$DN:$DN)+'Rate History'!$C$24*SUMIF(Data!$G:$G,Neutral!$A26,Data!$DO:$DO)+'Rate History'!$C$25*SUMIF(Data!$G:$G,Neutral!$A26,Data!$DP:$DP)+'Rate History'!$C$26*SUMIF(Data!$G:$G,Neutral!$A26,Data!$DQ:$DQ)+'Rate History'!$C$27*SUMIF(Data!$G:$G,Neutral!$A26,Data!$DR:$DR)+'Rate History'!$C$28*SUMIF(Data!$G:$G,Neutral!$A26,Data!$DS:$DS)+'Rate History'!$C$29*SUMIF(Data!$G:$G,Neutral!$A26,Data!$DT:$DT)+'Rate History'!$C$30*SUMIF(Data!$G:$G,Neutral!$A26,Data!$DV:$DV)+'Rate History'!$C$31*SUMIF(Data!$G:$G,Neutral!$A26,Data!$DW:$DW))</f>
        <v>62970295.428261727</v>
      </c>
      <c r="D26" s="169">
        <f t="shared" si="1"/>
        <v>-268248.22506310046</v>
      </c>
      <c r="E26" s="167">
        <f t="shared" si="0"/>
        <v>-4.2418469744281827E-3</v>
      </c>
    </row>
    <row r="27" spans="1:5" x14ac:dyDescent="0.25">
      <c r="A27" s="92" t="s">
        <v>375</v>
      </c>
      <c r="B27" s="168">
        <f>$B$5*('Rate History'!$D$4*SUMIF(Data!$G:$G,Neutral!$A27,Data!$CU:$CU)+'Rate History'!$D$5*SUMIF(Data!$G:$G,Neutral!$A27,Data!$CV:$CV)+'Rate History'!$D$6*SUMIF(Data!$G:$G,Neutral!$A27,Data!$CW:$CW)+'Rate History'!$D$7*SUMIF(Data!$G:$G,Neutral!$A27,Data!$CX:$CX)+'Rate History'!$D$8*SUMIF(Data!$G:$G,Neutral!$A27,Data!$CY:$CY)+'Rate History'!$D$9*SUMIF(Data!$G:$G,Neutral!$A27,Data!$CZ:$CZ)+'Rate History'!$D$10*SUMIF(Data!$G:$G,Neutral!$A27,Data!$DA:$DA)+'Rate History'!$D$11*SUMIF(Data!$G:$G,Neutral!$A27,Data!$DB:$DB)+'Rate History'!$D$12*SUMIF(Data!$G:$G,Neutral!$A27,Data!$DC:$DC)+'Rate History'!$D$13*SUMIF(Data!$G:$G,Neutral!$A27,Data!$DD:$DD)+'Rate History'!$D$14*SUMIF(Data!$G:$G,Neutral!$A27,Data!$DE:$DE)+'Rate History'!$D$15*SUMIF(Data!$G:$G,Neutral!$A27,Data!$DF:$DF)+'Rate History'!$D$16*SUMIF(Data!$G:$G,Neutral!$A27,Data!$DG:$DG)+'Rate History'!$D$17*SUMIF(Data!$G:$G,Neutral!$A27,Data!$DH:$DH)+'Rate History'!$D$18*SUMIF(Data!$G:$G,Neutral!$A27,Data!$DI:$DI)+'Rate History'!$D$19*SUMIF(Data!$G:$G,Neutral!$A27,Data!$DJ:$DJ)+'Rate History'!$D$20*SUMIF(Data!$G:$G,Neutral!$A27,Data!$DK:$DK)+'Rate History'!$D$21*SUMIF(Data!$G:$G,Neutral!$A27,Data!$DL:$DL)+'Rate History'!$D$22*SUMIF(Data!$G:$G,Neutral!$A27,Data!$DM:$DM)+'Rate History'!$D$23*SUMIF(Data!$G:$G,Neutral!$A27,Data!$DN:$DN)+'Rate History'!$D$24*SUMIF(Data!$G:$G,Neutral!$A27,Data!$DO:$DO)+'Rate History'!$D$25*SUMIF(Data!$G:$G,Neutral!$A27,Data!$DP:$DP)+'Rate History'!$D$26*SUMIF(Data!$G:$G,Neutral!$A27,Data!$DQ:$DQ)+'Rate History'!$D$27*SUMIF(Data!$G:$G,Neutral!$A27,Data!$DR:$DR)+'Rate History'!$D$28*SUMIF(Data!$G:$G,Neutral!$A27,Data!$DS:$DS)+'Rate History'!$D$29*SUMIF(Data!$G:$G,Neutral!$A27,Data!$DT:$DT)+'Rate History'!$D$30*SUMIF(Data!$G:$G,Neutral!$A27,Data!$DV:$DV)+'Rate History'!$D$31*SUMIF(Data!$G:$G,Neutral!$A27,Data!$DW:$DW))</f>
        <v>7599265.7584230015</v>
      </c>
      <c r="C27" s="168">
        <f>$C$5*('Rate History'!$C$4*SUMIF(Data!$G:$G,Neutral!$A27,Data!$CU:$CU)+'Rate History'!$C$5*SUMIF(Data!$G:$G,Neutral!$A27,Data!$CV:$CV)+'Rate History'!$C$6*SUMIF(Data!$G:$G,Neutral!$A27,Data!$CW:$CW)+'Rate History'!$C$7*SUMIF(Data!$G:$G,Neutral!$A27,Data!$CX:$CX)+'Rate History'!$C$8*SUMIF(Data!$G:$G,Neutral!$A27,Data!$CY:$CY)+'Rate History'!$C$9*SUMIF(Data!$G:$G,Neutral!$A27,Data!$CZ:$CZ)+'Rate History'!$C$10*SUMIF(Data!$G:$G,Neutral!$A27,Data!$DA:$DA)+'Rate History'!$C$11*SUMIF(Data!$G:$G,Neutral!$A27,Data!$DB:$DB)+'Rate History'!$C$12*SUMIF(Data!$G:$G,Neutral!$A27,Data!$DC:$DC)+'Rate History'!$C$13*SUMIF(Data!$G:$G,Neutral!$A27,Data!$DD:$DD)+'Rate History'!$C$14*SUMIF(Data!$G:$G,Neutral!$A27,Data!$DE:$DE)+'Rate History'!$C$15*SUMIF(Data!$G:$G,Neutral!$A27,Data!$DF:$DF)+'Rate History'!$C$16*SUMIF(Data!$G:$G,Neutral!$A27,Data!$DG:$DG)+'Rate History'!$C$17*SUMIF(Data!$G:$G,Neutral!$A27,Data!$DH:$DH)+'Rate History'!$C$18*SUMIF(Data!$G:$G,Neutral!$A27,Data!$DI:$DI)+'Rate History'!$C$19*SUMIF(Data!$G:$G,Neutral!$A27,Data!$DJ:$DJ)+'Rate History'!$C$20*SUMIF(Data!$G:$G,Neutral!$A27,Data!$DK:$DK)+'Rate History'!$C$21*SUMIF(Data!$G:$G,Neutral!$A27,Data!$DL:$DL)+'Rate History'!$C$22*SUMIF(Data!$G:$G,Neutral!$A27,Data!$DM:$DM)+'Rate History'!$C$23*SUMIF(Data!$G:$G,Neutral!$A27,Data!$DN:$DN)+'Rate History'!$C$24*SUMIF(Data!$G:$G,Neutral!$A27,Data!$DO:$DO)+'Rate History'!$C$25*SUMIF(Data!$G:$G,Neutral!$A27,Data!$DP:$DP)+'Rate History'!$C$26*SUMIF(Data!$G:$G,Neutral!$A27,Data!$DQ:$DQ)+'Rate History'!$C$27*SUMIF(Data!$G:$G,Neutral!$A27,Data!$DR:$DR)+'Rate History'!$C$28*SUMIF(Data!$G:$G,Neutral!$A27,Data!$DS:$DS)+'Rate History'!$C$29*SUMIF(Data!$G:$G,Neutral!$A27,Data!$DT:$DT)+'Rate History'!$C$30*SUMIF(Data!$G:$G,Neutral!$A27,Data!$DV:$DV)+'Rate History'!$C$31*SUMIF(Data!$G:$G,Neutral!$A27,Data!$DW:$DW))</f>
        <v>7533149.9653832456</v>
      </c>
      <c r="D27" s="169">
        <f t="shared" si="1"/>
        <v>-66115.793039755896</v>
      </c>
      <c r="E27" s="167">
        <f t="shared" si="0"/>
        <v>-8.7002869937103291E-3</v>
      </c>
    </row>
    <row r="28" spans="1:5" x14ac:dyDescent="0.25">
      <c r="A28" s="92" t="s">
        <v>377</v>
      </c>
      <c r="B28" s="168">
        <f>$B$5*('Rate History'!$D$4*SUMIF(Data!$G:$G,Neutral!$A28,Data!$CU:$CU)+'Rate History'!$D$5*SUMIF(Data!$G:$G,Neutral!$A28,Data!$CV:$CV)+'Rate History'!$D$6*SUMIF(Data!$G:$G,Neutral!$A28,Data!$CW:$CW)+'Rate History'!$D$7*SUMIF(Data!$G:$G,Neutral!$A28,Data!$CX:$CX)+'Rate History'!$D$8*SUMIF(Data!$G:$G,Neutral!$A28,Data!$CY:$CY)+'Rate History'!$D$9*SUMIF(Data!$G:$G,Neutral!$A28,Data!$CZ:$CZ)+'Rate History'!$D$10*SUMIF(Data!$G:$G,Neutral!$A28,Data!$DA:$DA)+'Rate History'!$D$11*SUMIF(Data!$G:$G,Neutral!$A28,Data!$DB:$DB)+'Rate History'!$D$12*SUMIF(Data!$G:$G,Neutral!$A28,Data!$DC:$DC)+'Rate History'!$D$13*SUMIF(Data!$G:$G,Neutral!$A28,Data!$DD:$DD)+'Rate History'!$D$14*SUMIF(Data!$G:$G,Neutral!$A28,Data!$DE:$DE)+'Rate History'!$D$15*SUMIF(Data!$G:$G,Neutral!$A28,Data!$DF:$DF)+'Rate History'!$D$16*SUMIF(Data!$G:$G,Neutral!$A28,Data!$DG:$DG)+'Rate History'!$D$17*SUMIF(Data!$G:$G,Neutral!$A28,Data!$DH:$DH)+'Rate History'!$D$18*SUMIF(Data!$G:$G,Neutral!$A28,Data!$DI:$DI)+'Rate History'!$D$19*SUMIF(Data!$G:$G,Neutral!$A28,Data!$DJ:$DJ)+'Rate History'!$D$20*SUMIF(Data!$G:$G,Neutral!$A28,Data!$DK:$DK)+'Rate History'!$D$21*SUMIF(Data!$G:$G,Neutral!$A28,Data!$DL:$DL)+'Rate History'!$D$22*SUMIF(Data!$G:$G,Neutral!$A28,Data!$DM:$DM)+'Rate History'!$D$23*SUMIF(Data!$G:$G,Neutral!$A28,Data!$DN:$DN)+'Rate History'!$D$24*SUMIF(Data!$G:$G,Neutral!$A28,Data!$DO:$DO)+'Rate History'!$D$25*SUMIF(Data!$G:$G,Neutral!$A28,Data!$DP:$DP)+'Rate History'!$D$26*SUMIF(Data!$G:$G,Neutral!$A28,Data!$DQ:$DQ)+'Rate History'!$D$27*SUMIF(Data!$G:$G,Neutral!$A28,Data!$DR:$DR)+'Rate History'!$D$28*SUMIF(Data!$G:$G,Neutral!$A28,Data!$DS:$DS)+'Rate History'!$D$29*SUMIF(Data!$G:$G,Neutral!$A28,Data!$DT:$DT)+'Rate History'!$D$30*SUMIF(Data!$G:$G,Neutral!$A28,Data!$DV:$DV)+'Rate History'!$D$31*SUMIF(Data!$G:$G,Neutral!$A28,Data!$DW:$DW))</f>
        <v>10927024.082262401</v>
      </c>
      <c r="C28" s="168">
        <f>$C$5*('Rate History'!$C$4*SUMIF(Data!$G:$G,Neutral!$A28,Data!$CU:$CU)+'Rate History'!$C$5*SUMIF(Data!$G:$G,Neutral!$A28,Data!$CV:$CV)+'Rate History'!$C$6*SUMIF(Data!$G:$G,Neutral!$A28,Data!$CW:$CW)+'Rate History'!$C$7*SUMIF(Data!$G:$G,Neutral!$A28,Data!$CX:$CX)+'Rate History'!$C$8*SUMIF(Data!$G:$G,Neutral!$A28,Data!$CY:$CY)+'Rate History'!$C$9*SUMIF(Data!$G:$G,Neutral!$A28,Data!$CZ:$CZ)+'Rate History'!$C$10*SUMIF(Data!$G:$G,Neutral!$A28,Data!$DA:$DA)+'Rate History'!$C$11*SUMIF(Data!$G:$G,Neutral!$A28,Data!$DB:$DB)+'Rate History'!$C$12*SUMIF(Data!$G:$G,Neutral!$A28,Data!$DC:$DC)+'Rate History'!$C$13*SUMIF(Data!$G:$G,Neutral!$A28,Data!$DD:$DD)+'Rate History'!$C$14*SUMIF(Data!$G:$G,Neutral!$A28,Data!$DE:$DE)+'Rate History'!$C$15*SUMIF(Data!$G:$G,Neutral!$A28,Data!$DF:$DF)+'Rate History'!$C$16*SUMIF(Data!$G:$G,Neutral!$A28,Data!$DG:$DG)+'Rate History'!$C$17*SUMIF(Data!$G:$G,Neutral!$A28,Data!$DH:$DH)+'Rate History'!$C$18*SUMIF(Data!$G:$G,Neutral!$A28,Data!$DI:$DI)+'Rate History'!$C$19*SUMIF(Data!$G:$G,Neutral!$A28,Data!$DJ:$DJ)+'Rate History'!$C$20*SUMIF(Data!$G:$G,Neutral!$A28,Data!$DK:$DK)+'Rate History'!$C$21*SUMIF(Data!$G:$G,Neutral!$A28,Data!$DL:$DL)+'Rate History'!$C$22*SUMIF(Data!$G:$G,Neutral!$A28,Data!$DM:$DM)+'Rate History'!$C$23*SUMIF(Data!$G:$G,Neutral!$A28,Data!$DN:$DN)+'Rate History'!$C$24*SUMIF(Data!$G:$G,Neutral!$A28,Data!$DO:$DO)+'Rate History'!$C$25*SUMIF(Data!$G:$G,Neutral!$A28,Data!$DP:$DP)+'Rate History'!$C$26*SUMIF(Data!$G:$G,Neutral!$A28,Data!$DQ:$DQ)+'Rate History'!$C$27*SUMIF(Data!$G:$G,Neutral!$A28,Data!$DR:$DR)+'Rate History'!$C$28*SUMIF(Data!$G:$G,Neutral!$A28,Data!$DS:$DS)+'Rate History'!$C$29*SUMIF(Data!$G:$G,Neutral!$A28,Data!$DT:$DT)+'Rate History'!$C$30*SUMIF(Data!$G:$G,Neutral!$A28,Data!$DV:$DV)+'Rate History'!$C$31*SUMIF(Data!$G:$G,Neutral!$A28,Data!$DW:$DW))</f>
        <v>10884773.690374615</v>
      </c>
      <c r="D28" s="169">
        <f t="shared" si="1"/>
        <v>-42250.391887785867</v>
      </c>
      <c r="E28" s="167">
        <f t="shared" si="0"/>
        <v>-3.866596391635121E-3</v>
      </c>
    </row>
    <row r="29" spans="1:5" x14ac:dyDescent="0.25">
      <c r="A29" s="92" t="s">
        <v>379</v>
      </c>
      <c r="B29" s="168">
        <f>$B$5*('Rate History'!$D$4*SUMIF(Data!$G:$G,Neutral!$A29,Data!$CU:$CU)+'Rate History'!$D$5*SUMIF(Data!$G:$G,Neutral!$A29,Data!$CV:$CV)+'Rate History'!$D$6*SUMIF(Data!$G:$G,Neutral!$A29,Data!$CW:$CW)+'Rate History'!$D$7*SUMIF(Data!$G:$G,Neutral!$A29,Data!$CX:$CX)+'Rate History'!$D$8*SUMIF(Data!$G:$G,Neutral!$A29,Data!$CY:$CY)+'Rate History'!$D$9*SUMIF(Data!$G:$G,Neutral!$A29,Data!$CZ:$CZ)+'Rate History'!$D$10*SUMIF(Data!$G:$G,Neutral!$A29,Data!$DA:$DA)+'Rate History'!$D$11*SUMIF(Data!$G:$G,Neutral!$A29,Data!$DB:$DB)+'Rate History'!$D$12*SUMIF(Data!$G:$G,Neutral!$A29,Data!$DC:$DC)+'Rate History'!$D$13*SUMIF(Data!$G:$G,Neutral!$A29,Data!$DD:$DD)+'Rate History'!$D$14*SUMIF(Data!$G:$G,Neutral!$A29,Data!$DE:$DE)+'Rate History'!$D$15*SUMIF(Data!$G:$G,Neutral!$A29,Data!$DF:$DF)+'Rate History'!$D$16*SUMIF(Data!$G:$G,Neutral!$A29,Data!$DG:$DG)+'Rate History'!$D$17*SUMIF(Data!$G:$G,Neutral!$A29,Data!$DH:$DH)+'Rate History'!$D$18*SUMIF(Data!$G:$G,Neutral!$A29,Data!$DI:$DI)+'Rate History'!$D$19*SUMIF(Data!$G:$G,Neutral!$A29,Data!$DJ:$DJ)+'Rate History'!$D$20*SUMIF(Data!$G:$G,Neutral!$A29,Data!$DK:$DK)+'Rate History'!$D$21*SUMIF(Data!$G:$G,Neutral!$A29,Data!$DL:$DL)+'Rate History'!$D$22*SUMIF(Data!$G:$G,Neutral!$A29,Data!$DM:$DM)+'Rate History'!$D$23*SUMIF(Data!$G:$G,Neutral!$A29,Data!$DN:$DN)+'Rate History'!$D$24*SUMIF(Data!$G:$G,Neutral!$A29,Data!$DO:$DO)+'Rate History'!$D$25*SUMIF(Data!$G:$G,Neutral!$A29,Data!$DP:$DP)+'Rate History'!$D$26*SUMIF(Data!$G:$G,Neutral!$A29,Data!$DQ:$DQ)+'Rate History'!$D$27*SUMIF(Data!$G:$G,Neutral!$A29,Data!$DR:$DR)+'Rate History'!$D$28*SUMIF(Data!$G:$G,Neutral!$A29,Data!$DS:$DS)+'Rate History'!$D$29*SUMIF(Data!$G:$G,Neutral!$A29,Data!$DT:$DT)+'Rate History'!$D$30*SUMIF(Data!$G:$G,Neutral!$A29,Data!$DV:$DV)+'Rate History'!$D$31*SUMIF(Data!$G:$G,Neutral!$A29,Data!$DW:$DW))</f>
        <v>12975703.524351327</v>
      </c>
      <c r="C29" s="168">
        <f>$C$5*('Rate History'!$C$4*SUMIF(Data!$G:$G,Neutral!$A29,Data!$CU:$CU)+'Rate History'!$C$5*SUMIF(Data!$G:$G,Neutral!$A29,Data!$CV:$CV)+'Rate History'!$C$6*SUMIF(Data!$G:$G,Neutral!$A29,Data!$CW:$CW)+'Rate History'!$C$7*SUMIF(Data!$G:$G,Neutral!$A29,Data!$CX:$CX)+'Rate History'!$C$8*SUMIF(Data!$G:$G,Neutral!$A29,Data!$CY:$CY)+'Rate History'!$C$9*SUMIF(Data!$G:$G,Neutral!$A29,Data!$CZ:$CZ)+'Rate History'!$C$10*SUMIF(Data!$G:$G,Neutral!$A29,Data!$DA:$DA)+'Rate History'!$C$11*SUMIF(Data!$G:$G,Neutral!$A29,Data!$DB:$DB)+'Rate History'!$C$12*SUMIF(Data!$G:$G,Neutral!$A29,Data!$DC:$DC)+'Rate History'!$C$13*SUMIF(Data!$G:$G,Neutral!$A29,Data!$DD:$DD)+'Rate History'!$C$14*SUMIF(Data!$G:$G,Neutral!$A29,Data!$DE:$DE)+'Rate History'!$C$15*SUMIF(Data!$G:$G,Neutral!$A29,Data!$DF:$DF)+'Rate History'!$C$16*SUMIF(Data!$G:$G,Neutral!$A29,Data!$DG:$DG)+'Rate History'!$C$17*SUMIF(Data!$G:$G,Neutral!$A29,Data!$DH:$DH)+'Rate History'!$C$18*SUMIF(Data!$G:$G,Neutral!$A29,Data!$DI:$DI)+'Rate History'!$C$19*SUMIF(Data!$G:$G,Neutral!$A29,Data!$DJ:$DJ)+'Rate History'!$C$20*SUMIF(Data!$G:$G,Neutral!$A29,Data!$DK:$DK)+'Rate History'!$C$21*SUMIF(Data!$G:$G,Neutral!$A29,Data!$DL:$DL)+'Rate History'!$C$22*SUMIF(Data!$G:$G,Neutral!$A29,Data!$DM:$DM)+'Rate History'!$C$23*SUMIF(Data!$G:$G,Neutral!$A29,Data!$DN:$DN)+'Rate History'!$C$24*SUMIF(Data!$G:$G,Neutral!$A29,Data!$DO:$DO)+'Rate History'!$C$25*SUMIF(Data!$G:$G,Neutral!$A29,Data!$DP:$DP)+'Rate History'!$C$26*SUMIF(Data!$G:$G,Neutral!$A29,Data!$DQ:$DQ)+'Rate History'!$C$27*SUMIF(Data!$G:$G,Neutral!$A29,Data!$DR:$DR)+'Rate History'!$C$28*SUMIF(Data!$G:$G,Neutral!$A29,Data!$DS:$DS)+'Rate History'!$C$29*SUMIF(Data!$G:$G,Neutral!$A29,Data!$DT:$DT)+'Rate History'!$C$30*SUMIF(Data!$G:$G,Neutral!$A29,Data!$DV:$DV)+'Rate History'!$C$31*SUMIF(Data!$G:$G,Neutral!$A29,Data!$DW:$DW))</f>
        <v>12978501.612375109</v>
      </c>
      <c r="D29" s="169">
        <f t="shared" si="1"/>
        <v>2798.0880237817764</v>
      </c>
      <c r="E29" s="167">
        <f t="shared" si="0"/>
        <v>2.1564056380685969E-4</v>
      </c>
    </row>
    <row r="30" spans="1:5" x14ac:dyDescent="0.25">
      <c r="A30" s="92" t="s">
        <v>381</v>
      </c>
      <c r="B30" s="168">
        <f>$B$5*('Rate History'!$D$4*SUMIF(Data!$G:$G,Neutral!$A30,Data!$CU:$CU)+'Rate History'!$D$5*SUMIF(Data!$G:$G,Neutral!$A30,Data!$CV:$CV)+'Rate History'!$D$6*SUMIF(Data!$G:$G,Neutral!$A30,Data!$CW:$CW)+'Rate History'!$D$7*SUMIF(Data!$G:$G,Neutral!$A30,Data!$CX:$CX)+'Rate History'!$D$8*SUMIF(Data!$G:$G,Neutral!$A30,Data!$CY:$CY)+'Rate History'!$D$9*SUMIF(Data!$G:$G,Neutral!$A30,Data!$CZ:$CZ)+'Rate History'!$D$10*SUMIF(Data!$G:$G,Neutral!$A30,Data!$DA:$DA)+'Rate History'!$D$11*SUMIF(Data!$G:$G,Neutral!$A30,Data!$DB:$DB)+'Rate History'!$D$12*SUMIF(Data!$G:$G,Neutral!$A30,Data!$DC:$DC)+'Rate History'!$D$13*SUMIF(Data!$G:$G,Neutral!$A30,Data!$DD:$DD)+'Rate History'!$D$14*SUMIF(Data!$G:$G,Neutral!$A30,Data!$DE:$DE)+'Rate History'!$D$15*SUMIF(Data!$G:$G,Neutral!$A30,Data!$DF:$DF)+'Rate History'!$D$16*SUMIF(Data!$G:$G,Neutral!$A30,Data!$DG:$DG)+'Rate History'!$D$17*SUMIF(Data!$G:$G,Neutral!$A30,Data!$DH:$DH)+'Rate History'!$D$18*SUMIF(Data!$G:$G,Neutral!$A30,Data!$DI:$DI)+'Rate History'!$D$19*SUMIF(Data!$G:$G,Neutral!$A30,Data!$DJ:$DJ)+'Rate History'!$D$20*SUMIF(Data!$G:$G,Neutral!$A30,Data!$DK:$DK)+'Rate History'!$D$21*SUMIF(Data!$G:$G,Neutral!$A30,Data!$DL:$DL)+'Rate History'!$D$22*SUMIF(Data!$G:$G,Neutral!$A30,Data!$DM:$DM)+'Rate History'!$D$23*SUMIF(Data!$G:$G,Neutral!$A30,Data!$DN:$DN)+'Rate History'!$D$24*SUMIF(Data!$G:$G,Neutral!$A30,Data!$DO:$DO)+'Rate History'!$D$25*SUMIF(Data!$G:$G,Neutral!$A30,Data!$DP:$DP)+'Rate History'!$D$26*SUMIF(Data!$G:$G,Neutral!$A30,Data!$DQ:$DQ)+'Rate History'!$D$27*SUMIF(Data!$G:$G,Neutral!$A30,Data!$DR:$DR)+'Rate History'!$D$28*SUMIF(Data!$G:$G,Neutral!$A30,Data!$DS:$DS)+'Rate History'!$D$29*SUMIF(Data!$G:$G,Neutral!$A30,Data!$DT:$DT)+'Rate History'!$D$30*SUMIF(Data!$G:$G,Neutral!$A30,Data!$DV:$DV)+'Rate History'!$D$31*SUMIF(Data!$G:$G,Neutral!$A30,Data!$DW:$DW))</f>
        <v>10832968.524867143</v>
      </c>
      <c r="C30" s="168">
        <f>$C$5*('Rate History'!$C$4*SUMIF(Data!$G:$G,Neutral!$A30,Data!$CU:$CU)+'Rate History'!$C$5*SUMIF(Data!$G:$G,Neutral!$A30,Data!$CV:$CV)+'Rate History'!$C$6*SUMIF(Data!$G:$G,Neutral!$A30,Data!$CW:$CW)+'Rate History'!$C$7*SUMIF(Data!$G:$G,Neutral!$A30,Data!$CX:$CX)+'Rate History'!$C$8*SUMIF(Data!$G:$G,Neutral!$A30,Data!$CY:$CY)+'Rate History'!$C$9*SUMIF(Data!$G:$G,Neutral!$A30,Data!$CZ:$CZ)+'Rate History'!$C$10*SUMIF(Data!$G:$G,Neutral!$A30,Data!$DA:$DA)+'Rate History'!$C$11*SUMIF(Data!$G:$G,Neutral!$A30,Data!$DB:$DB)+'Rate History'!$C$12*SUMIF(Data!$G:$G,Neutral!$A30,Data!$DC:$DC)+'Rate History'!$C$13*SUMIF(Data!$G:$G,Neutral!$A30,Data!$DD:$DD)+'Rate History'!$C$14*SUMIF(Data!$G:$G,Neutral!$A30,Data!$DE:$DE)+'Rate History'!$C$15*SUMIF(Data!$G:$G,Neutral!$A30,Data!$DF:$DF)+'Rate History'!$C$16*SUMIF(Data!$G:$G,Neutral!$A30,Data!$DG:$DG)+'Rate History'!$C$17*SUMIF(Data!$G:$G,Neutral!$A30,Data!$DH:$DH)+'Rate History'!$C$18*SUMIF(Data!$G:$G,Neutral!$A30,Data!$DI:$DI)+'Rate History'!$C$19*SUMIF(Data!$G:$G,Neutral!$A30,Data!$DJ:$DJ)+'Rate History'!$C$20*SUMIF(Data!$G:$G,Neutral!$A30,Data!$DK:$DK)+'Rate History'!$C$21*SUMIF(Data!$G:$G,Neutral!$A30,Data!$DL:$DL)+'Rate History'!$C$22*SUMIF(Data!$G:$G,Neutral!$A30,Data!$DM:$DM)+'Rate History'!$C$23*SUMIF(Data!$G:$G,Neutral!$A30,Data!$DN:$DN)+'Rate History'!$C$24*SUMIF(Data!$G:$G,Neutral!$A30,Data!$DO:$DO)+'Rate History'!$C$25*SUMIF(Data!$G:$G,Neutral!$A30,Data!$DP:$DP)+'Rate History'!$C$26*SUMIF(Data!$G:$G,Neutral!$A30,Data!$DQ:$DQ)+'Rate History'!$C$27*SUMIF(Data!$G:$G,Neutral!$A30,Data!$DR:$DR)+'Rate History'!$C$28*SUMIF(Data!$G:$G,Neutral!$A30,Data!$DS:$DS)+'Rate History'!$C$29*SUMIF(Data!$G:$G,Neutral!$A30,Data!$DT:$DT)+'Rate History'!$C$30*SUMIF(Data!$G:$G,Neutral!$A30,Data!$DV:$DV)+'Rate History'!$C$31*SUMIF(Data!$G:$G,Neutral!$A30,Data!$DW:$DW))</f>
        <v>10786237.885694519</v>
      </c>
      <c r="D30" s="169">
        <f t="shared" si="1"/>
        <v>-46730.639172624797</v>
      </c>
      <c r="E30" s="167">
        <f t="shared" si="0"/>
        <v>-4.3137427257685032E-3</v>
      </c>
    </row>
    <row r="31" spans="1:5" x14ac:dyDescent="0.25">
      <c r="A31" s="91" t="s">
        <v>1093</v>
      </c>
      <c r="B31" s="168">
        <f>$B$5*('Rate History'!$D$4*SUMIF(Data!$G:$G,Neutral!$A31,Data!$CU:$CU)+'Rate History'!$D$5*SUMIF(Data!$G:$G,Neutral!$A31,Data!$CV:$CV)+'Rate History'!$D$6*SUMIF(Data!$G:$G,Neutral!$A31,Data!$CW:$CW)+'Rate History'!$D$7*SUMIF(Data!$G:$G,Neutral!$A31,Data!$CX:$CX)+'Rate History'!$D$8*SUMIF(Data!$G:$G,Neutral!$A31,Data!$CY:$CY)+'Rate History'!$D$9*SUMIF(Data!$G:$G,Neutral!$A31,Data!$CZ:$CZ)+'Rate History'!$D$10*SUMIF(Data!$G:$G,Neutral!$A31,Data!$DA:$DA)+'Rate History'!$D$11*SUMIF(Data!$G:$G,Neutral!$A31,Data!$DB:$DB)+'Rate History'!$D$12*SUMIF(Data!$G:$G,Neutral!$A31,Data!$DC:$DC)+'Rate History'!$D$13*SUMIF(Data!$G:$G,Neutral!$A31,Data!$DD:$DD)+'Rate History'!$D$14*SUMIF(Data!$G:$G,Neutral!$A31,Data!$DE:$DE)+'Rate History'!$D$15*SUMIF(Data!$G:$G,Neutral!$A31,Data!$DF:$DF)+'Rate History'!$D$16*SUMIF(Data!$G:$G,Neutral!$A31,Data!$DG:$DG)+'Rate History'!$D$17*SUMIF(Data!$G:$G,Neutral!$A31,Data!$DH:$DH)+'Rate History'!$D$18*SUMIF(Data!$G:$G,Neutral!$A31,Data!$DI:$DI)+'Rate History'!$D$19*SUMIF(Data!$G:$G,Neutral!$A31,Data!$DJ:$DJ)+'Rate History'!$D$20*SUMIF(Data!$G:$G,Neutral!$A31,Data!$DK:$DK)+'Rate History'!$D$21*SUMIF(Data!$G:$G,Neutral!$A31,Data!$DL:$DL)+'Rate History'!$D$22*SUMIF(Data!$G:$G,Neutral!$A31,Data!$DM:$DM)+'Rate History'!$D$23*SUMIF(Data!$G:$G,Neutral!$A31,Data!$DN:$DN)+'Rate History'!$D$24*SUMIF(Data!$G:$G,Neutral!$A31,Data!$DO:$DO)+'Rate History'!$D$25*SUMIF(Data!$G:$G,Neutral!$A31,Data!$DP:$DP)+'Rate History'!$D$26*SUMIF(Data!$G:$G,Neutral!$A31,Data!$DQ:$DQ)+'Rate History'!$D$27*SUMIF(Data!$G:$G,Neutral!$A31,Data!$DR:$DR)+'Rate History'!$D$28*SUMIF(Data!$G:$G,Neutral!$A31,Data!$DS:$DS)+'Rate History'!$D$29*SUMIF(Data!$G:$G,Neutral!$A31,Data!$DT:$DT)+'Rate History'!$D$30*SUMIF(Data!$G:$G,Neutral!$A31,Data!$DV:$DV)+'Rate History'!$D$31*SUMIF(Data!$G:$G,Neutral!$A31,Data!$DW:$DW))</f>
        <v>0</v>
      </c>
      <c r="C31" s="168">
        <f>$C$5*('Rate History'!$C$4*SUMIF(Data!$G:$G,Neutral!$A31,Data!$CU:$CU)+'Rate History'!$C$5*SUMIF(Data!$G:$G,Neutral!$A31,Data!$CV:$CV)+'Rate History'!$C$6*SUMIF(Data!$G:$G,Neutral!$A31,Data!$CW:$CW)+'Rate History'!$C$7*SUMIF(Data!$G:$G,Neutral!$A31,Data!$CX:$CX)+'Rate History'!$C$8*SUMIF(Data!$G:$G,Neutral!$A31,Data!$CY:$CY)+'Rate History'!$C$9*SUMIF(Data!$G:$G,Neutral!$A31,Data!$CZ:$CZ)+'Rate History'!$C$10*SUMIF(Data!$G:$G,Neutral!$A31,Data!$DA:$DA)+'Rate History'!$C$11*SUMIF(Data!$G:$G,Neutral!$A31,Data!$DB:$DB)+'Rate History'!$C$12*SUMIF(Data!$G:$G,Neutral!$A31,Data!$DC:$DC)+'Rate History'!$C$13*SUMIF(Data!$G:$G,Neutral!$A31,Data!$DD:$DD)+'Rate History'!$C$14*SUMIF(Data!$G:$G,Neutral!$A31,Data!$DE:$DE)+'Rate History'!$C$15*SUMIF(Data!$G:$G,Neutral!$A31,Data!$DF:$DF)+'Rate History'!$C$16*SUMIF(Data!$G:$G,Neutral!$A31,Data!$DG:$DG)+'Rate History'!$C$17*SUMIF(Data!$G:$G,Neutral!$A31,Data!$DH:$DH)+'Rate History'!$C$18*SUMIF(Data!$G:$G,Neutral!$A31,Data!$DI:$DI)+'Rate History'!$C$19*SUMIF(Data!$G:$G,Neutral!$A31,Data!$DJ:$DJ)+'Rate History'!$C$20*SUMIF(Data!$G:$G,Neutral!$A31,Data!$DK:$DK)+'Rate History'!$C$21*SUMIF(Data!$G:$G,Neutral!$A31,Data!$DL:$DL)+'Rate History'!$C$22*SUMIF(Data!$G:$G,Neutral!$A31,Data!$DM:$DM)+'Rate History'!$C$23*SUMIF(Data!$G:$G,Neutral!$A31,Data!$DN:$DN)+'Rate History'!$C$24*SUMIF(Data!$G:$G,Neutral!$A31,Data!$DO:$DO)+'Rate History'!$C$25*SUMIF(Data!$G:$G,Neutral!$A31,Data!$DP:$DP)+'Rate History'!$C$26*SUMIF(Data!$G:$G,Neutral!$A31,Data!$DQ:$DQ)+'Rate History'!$C$27*SUMIF(Data!$G:$G,Neutral!$A31,Data!$DR:$DR)+'Rate History'!$C$28*SUMIF(Data!$G:$G,Neutral!$A31,Data!$DS:$DS)+'Rate History'!$C$29*SUMIF(Data!$G:$G,Neutral!$A31,Data!$DT:$DT)+'Rate History'!$C$30*SUMIF(Data!$G:$G,Neutral!$A31,Data!$DV:$DV)+'Rate History'!$C$31*SUMIF(Data!$G:$G,Neutral!$A31,Data!$DW:$DW))</f>
        <v>0</v>
      </c>
      <c r="D31" s="169">
        <f t="shared" si="1"/>
        <v>0</v>
      </c>
      <c r="E31" s="167" t="str">
        <f t="shared" si="0"/>
        <v/>
      </c>
    </row>
    <row r="32" spans="1:5" x14ac:dyDescent="0.25">
      <c r="A32" s="92" t="s">
        <v>383</v>
      </c>
      <c r="B32" s="168">
        <f>$B$5*('Rate History'!$D$4*SUMIF(Data!$G:$G,Neutral!$A32,Data!$CU:$CU)+'Rate History'!$D$5*SUMIF(Data!$G:$G,Neutral!$A32,Data!$CV:$CV)+'Rate History'!$D$6*SUMIF(Data!$G:$G,Neutral!$A32,Data!$CW:$CW)+'Rate History'!$D$7*SUMIF(Data!$G:$G,Neutral!$A32,Data!$CX:$CX)+'Rate History'!$D$8*SUMIF(Data!$G:$G,Neutral!$A32,Data!$CY:$CY)+'Rate History'!$D$9*SUMIF(Data!$G:$G,Neutral!$A32,Data!$CZ:$CZ)+'Rate History'!$D$10*SUMIF(Data!$G:$G,Neutral!$A32,Data!$DA:$DA)+'Rate History'!$D$11*SUMIF(Data!$G:$G,Neutral!$A32,Data!$DB:$DB)+'Rate History'!$D$12*SUMIF(Data!$G:$G,Neutral!$A32,Data!$DC:$DC)+'Rate History'!$D$13*SUMIF(Data!$G:$G,Neutral!$A32,Data!$DD:$DD)+'Rate History'!$D$14*SUMIF(Data!$G:$G,Neutral!$A32,Data!$DE:$DE)+'Rate History'!$D$15*SUMIF(Data!$G:$G,Neutral!$A32,Data!$DF:$DF)+'Rate History'!$D$16*SUMIF(Data!$G:$G,Neutral!$A32,Data!$DG:$DG)+'Rate History'!$D$17*SUMIF(Data!$G:$G,Neutral!$A32,Data!$DH:$DH)+'Rate History'!$D$18*SUMIF(Data!$G:$G,Neutral!$A32,Data!$DI:$DI)+'Rate History'!$D$19*SUMIF(Data!$G:$G,Neutral!$A32,Data!$DJ:$DJ)+'Rate History'!$D$20*SUMIF(Data!$G:$G,Neutral!$A32,Data!$DK:$DK)+'Rate History'!$D$21*SUMIF(Data!$G:$G,Neutral!$A32,Data!$DL:$DL)+'Rate History'!$D$22*SUMIF(Data!$G:$G,Neutral!$A32,Data!$DM:$DM)+'Rate History'!$D$23*SUMIF(Data!$G:$G,Neutral!$A32,Data!$DN:$DN)+'Rate History'!$D$24*SUMIF(Data!$G:$G,Neutral!$A32,Data!$DO:$DO)+'Rate History'!$D$25*SUMIF(Data!$G:$G,Neutral!$A32,Data!$DP:$DP)+'Rate History'!$D$26*SUMIF(Data!$G:$G,Neutral!$A32,Data!$DQ:$DQ)+'Rate History'!$D$27*SUMIF(Data!$G:$G,Neutral!$A32,Data!$DR:$DR)+'Rate History'!$D$28*SUMIF(Data!$G:$G,Neutral!$A32,Data!$DS:$DS)+'Rate History'!$D$29*SUMIF(Data!$G:$G,Neutral!$A32,Data!$DT:$DT)+'Rate History'!$D$30*SUMIF(Data!$G:$G,Neutral!$A32,Data!$DV:$DV)+'Rate History'!$D$31*SUMIF(Data!$G:$G,Neutral!$A32,Data!$DW:$DW))</f>
        <v>11521812.705261298</v>
      </c>
      <c r="C32" s="168">
        <f>$C$5*('Rate History'!$C$4*SUMIF(Data!$G:$G,Neutral!$A32,Data!$CU:$CU)+'Rate History'!$C$5*SUMIF(Data!$G:$G,Neutral!$A32,Data!$CV:$CV)+'Rate History'!$C$6*SUMIF(Data!$G:$G,Neutral!$A32,Data!$CW:$CW)+'Rate History'!$C$7*SUMIF(Data!$G:$G,Neutral!$A32,Data!$CX:$CX)+'Rate History'!$C$8*SUMIF(Data!$G:$G,Neutral!$A32,Data!$CY:$CY)+'Rate History'!$C$9*SUMIF(Data!$G:$G,Neutral!$A32,Data!$CZ:$CZ)+'Rate History'!$C$10*SUMIF(Data!$G:$G,Neutral!$A32,Data!$DA:$DA)+'Rate History'!$C$11*SUMIF(Data!$G:$G,Neutral!$A32,Data!$DB:$DB)+'Rate History'!$C$12*SUMIF(Data!$G:$G,Neutral!$A32,Data!$DC:$DC)+'Rate History'!$C$13*SUMIF(Data!$G:$G,Neutral!$A32,Data!$DD:$DD)+'Rate History'!$C$14*SUMIF(Data!$G:$G,Neutral!$A32,Data!$DE:$DE)+'Rate History'!$C$15*SUMIF(Data!$G:$G,Neutral!$A32,Data!$DF:$DF)+'Rate History'!$C$16*SUMIF(Data!$G:$G,Neutral!$A32,Data!$DG:$DG)+'Rate History'!$C$17*SUMIF(Data!$G:$G,Neutral!$A32,Data!$DH:$DH)+'Rate History'!$C$18*SUMIF(Data!$G:$G,Neutral!$A32,Data!$DI:$DI)+'Rate History'!$C$19*SUMIF(Data!$G:$G,Neutral!$A32,Data!$DJ:$DJ)+'Rate History'!$C$20*SUMIF(Data!$G:$G,Neutral!$A32,Data!$DK:$DK)+'Rate History'!$C$21*SUMIF(Data!$G:$G,Neutral!$A32,Data!$DL:$DL)+'Rate History'!$C$22*SUMIF(Data!$G:$G,Neutral!$A32,Data!$DM:$DM)+'Rate History'!$C$23*SUMIF(Data!$G:$G,Neutral!$A32,Data!$DN:$DN)+'Rate History'!$C$24*SUMIF(Data!$G:$G,Neutral!$A32,Data!$DO:$DO)+'Rate History'!$C$25*SUMIF(Data!$G:$G,Neutral!$A32,Data!$DP:$DP)+'Rate History'!$C$26*SUMIF(Data!$G:$G,Neutral!$A32,Data!$DQ:$DQ)+'Rate History'!$C$27*SUMIF(Data!$G:$G,Neutral!$A32,Data!$DR:$DR)+'Rate History'!$C$28*SUMIF(Data!$G:$G,Neutral!$A32,Data!$DS:$DS)+'Rate History'!$C$29*SUMIF(Data!$G:$G,Neutral!$A32,Data!$DT:$DT)+'Rate History'!$C$30*SUMIF(Data!$G:$G,Neutral!$A32,Data!$DV:$DV)+'Rate History'!$C$31*SUMIF(Data!$G:$G,Neutral!$A32,Data!$DW:$DW))</f>
        <v>11341537.870005509</v>
      </c>
      <c r="D32" s="169">
        <f t="shared" si="1"/>
        <v>-180274.83525578864</v>
      </c>
      <c r="E32" s="167">
        <f t="shared" si="0"/>
        <v>-1.5646395221601571E-2</v>
      </c>
    </row>
    <row r="33" spans="1:5" x14ac:dyDescent="0.25">
      <c r="A33" s="92" t="s">
        <v>434</v>
      </c>
      <c r="B33" s="168">
        <f>$B$5*('Rate History'!$D$4*SUMIF(Data!$G:$G,Neutral!$A33,Data!$CU:$CU)+'Rate History'!$D$5*SUMIF(Data!$G:$G,Neutral!$A33,Data!$CV:$CV)+'Rate History'!$D$6*SUMIF(Data!$G:$G,Neutral!$A33,Data!$CW:$CW)+'Rate History'!$D$7*SUMIF(Data!$G:$G,Neutral!$A33,Data!$CX:$CX)+'Rate History'!$D$8*SUMIF(Data!$G:$G,Neutral!$A33,Data!$CY:$CY)+'Rate History'!$D$9*SUMIF(Data!$G:$G,Neutral!$A33,Data!$CZ:$CZ)+'Rate History'!$D$10*SUMIF(Data!$G:$G,Neutral!$A33,Data!$DA:$DA)+'Rate History'!$D$11*SUMIF(Data!$G:$G,Neutral!$A33,Data!$DB:$DB)+'Rate History'!$D$12*SUMIF(Data!$G:$G,Neutral!$A33,Data!$DC:$DC)+'Rate History'!$D$13*SUMIF(Data!$G:$G,Neutral!$A33,Data!$DD:$DD)+'Rate History'!$D$14*SUMIF(Data!$G:$G,Neutral!$A33,Data!$DE:$DE)+'Rate History'!$D$15*SUMIF(Data!$G:$G,Neutral!$A33,Data!$DF:$DF)+'Rate History'!$D$16*SUMIF(Data!$G:$G,Neutral!$A33,Data!$DG:$DG)+'Rate History'!$D$17*SUMIF(Data!$G:$G,Neutral!$A33,Data!$DH:$DH)+'Rate History'!$D$18*SUMIF(Data!$G:$G,Neutral!$A33,Data!$DI:$DI)+'Rate History'!$D$19*SUMIF(Data!$G:$G,Neutral!$A33,Data!$DJ:$DJ)+'Rate History'!$D$20*SUMIF(Data!$G:$G,Neutral!$A33,Data!$DK:$DK)+'Rate History'!$D$21*SUMIF(Data!$G:$G,Neutral!$A33,Data!$DL:$DL)+'Rate History'!$D$22*SUMIF(Data!$G:$G,Neutral!$A33,Data!$DM:$DM)+'Rate History'!$D$23*SUMIF(Data!$G:$G,Neutral!$A33,Data!$DN:$DN)+'Rate History'!$D$24*SUMIF(Data!$G:$G,Neutral!$A33,Data!$DO:$DO)+'Rate History'!$D$25*SUMIF(Data!$G:$G,Neutral!$A33,Data!$DP:$DP)+'Rate History'!$D$26*SUMIF(Data!$G:$G,Neutral!$A33,Data!$DQ:$DQ)+'Rate History'!$D$27*SUMIF(Data!$G:$G,Neutral!$A33,Data!$DR:$DR)+'Rate History'!$D$28*SUMIF(Data!$G:$G,Neutral!$A33,Data!$DS:$DS)+'Rate History'!$D$29*SUMIF(Data!$G:$G,Neutral!$A33,Data!$DT:$DT)+'Rate History'!$D$30*SUMIF(Data!$G:$G,Neutral!$A33,Data!$DV:$DV)+'Rate History'!$D$31*SUMIF(Data!$G:$G,Neutral!$A33,Data!$DW:$DW))</f>
        <v>8569526.8496664297</v>
      </c>
      <c r="C33" s="168">
        <f>$C$5*('Rate History'!$C$4*SUMIF(Data!$G:$G,Neutral!$A33,Data!$CU:$CU)+'Rate History'!$C$5*SUMIF(Data!$G:$G,Neutral!$A33,Data!$CV:$CV)+'Rate History'!$C$6*SUMIF(Data!$G:$G,Neutral!$A33,Data!$CW:$CW)+'Rate History'!$C$7*SUMIF(Data!$G:$G,Neutral!$A33,Data!$CX:$CX)+'Rate History'!$C$8*SUMIF(Data!$G:$G,Neutral!$A33,Data!$CY:$CY)+'Rate History'!$C$9*SUMIF(Data!$G:$G,Neutral!$A33,Data!$CZ:$CZ)+'Rate History'!$C$10*SUMIF(Data!$G:$G,Neutral!$A33,Data!$DA:$DA)+'Rate History'!$C$11*SUMIF(Data!$G:$G,Neutral!$A33,Data!$DB:$DB)+'Rate History'!$C$12*SUMIF(Data!$G:$G,Neutral!$A33,Data!$DC:$DC)+'Rate History'!$C$13*SUMIF(Data!$G:$G,Neutral!$A33,Data!$DD:$DD)+'Rate History'!$C$14*SUMIF(Data!$G:$G,Neutral!$A33,Data!$DE:$DE)+'Rate History'!$C$15*SUMIF(Data!$G:$G,Neutral!$A33,Data!$DF:$DF)+'Rate History'!$C$16*SUMIF(Data!$G:$G,Neutral!$A33,Data!$DG:$DG)+'Rate History'!$C$17*SUMIF(Data!$G:$G,Neutral!$A33,Data!$DH:$DH)+'Rate History'!$C$18*SUMIF(Data!$G:$G,Neutral!$A33,Data!$DI:$DI)+'Rate History'!$C$19*SUMIF(Data!$G:$G,Neutral!$A33,Data!$DJ:$DJ)+'Rate History'!$C$20*SUMIF(Data!$G:$G,Neutral!$A33,Data!$DK:$DK)+'Rate History'!$C$21*SUMIF(Data!$G:$G,Neutral!$A33,Data!$DL:$DL)+'Rate History'!$C$22*SUMIF(Data!$G:$G,Neutral!$A33,Data!$DM:$DM)+'Rate History'!$C$23*SUMIF(Data!$G:$G,Neutral!$A33,Data!$DN:$DN)+'Rate History'!$C$24*SUMIF(Data!$G:$G,Neutral!$A33,Data!$DO:$DO)+'Rate History'!$C$25*SUMIF(Data!$G:$G,Neutral!$A33,Data!$DP:$DP)+'Rate History'!$C$26*SUMIF(Data!$G:$G,Neutral!$A33,Data!$DQ:$DQ)+'Rate History'!$C$27*SUMIF(Data!$G:$G,Neutral!$A33,Data!$DR:$DR)+'Rate History'!$C$28*SUMIF(Data!$G:$G,Neutral!$A33,Data!$DS:$DS)+'Rate History'!$C$29*SUMIF(Data!$G:$G,Neutral!$A33,Data!$DT:$DT)+'Rate History'!$C$30*SUMIF(Data!$G:$G,Neutral!$A33,Data!$DV:$DV)+'Rate History'!$C$31*SUMIF(Data!$G:$G,Neutral!$A33,Data!$DW:$DW))</f>
        <v>8550637.4918660559</v>
      </c>
      <c r="D33" s="169">
        <f t="shared" si="1"/>
        <v>-18889.357800373808</v>
      </c>
      <c r="E33" s="167">
        <f t="shared" si="0"/>
        <v>-2.2042474610029466E-3</v>
      </c>
    </row>
    <row r="34" spans="1:5" x14ac:dyDescent="0.25">
      <c r="A34" s="92" t="s">
        <v>385</v>
      </c>
      <c r="B34" s="168">
        <f>$B$5*('Rate History'!$D$4*SUMIF(Data!$G:$G,Neutral!$A34,Data!$CU:$CU)+'Rate History'!$D$5*SUMIF(Data!$G:$G,Neutral!$A34,Data!$CV:$CV)+'Rate History'!$D$6*SUMIF(Data!$G:$G,Neutral!$A34,Data!$CW:$CW)+'Rate History'!$D$7*SUMIF(Data!$G:$G,Neutral!$A34,Data!$CX:$CX)+'Rate History'!$D$8*SUMIF(Data!$G:$G,Neutral!$A34,Data!$CY:$CY)+'Rate History'!$D$9*SUMIF(Data!$G:$G,Neutral!$A34,Data!$CZ:$CZ)+'Rate History'!$D$10*SUMIF(Data!$G:$G,Neutral!$A34,Data!$DA:$DA)+'Rate History'!$D$11*SUMIF(Data!$G:$G,Neutral!$A34,Data!$DB:$DB)+'Rate History'!$D$12*SUMIF(Data!$G:$G,Neutral!$A34,Data!$DC:$DC)+'Rate History'!$D$13*SUMIF(Data!$G:$G,Neutral!$A34,Data!$DD:$DD)+'Rate History'!$D$14*SUMIF(Data!$G:$G,Neutral!$A34,Data!$DE:$DE)+'Rate History'!$D$15*SUMIF(Data!$G:$G,Neutral!$A34,Data!$DF:$DF)+'Rate History'!$D$16*SUMIF(Data!$G:$G,Neutral!$A34,Data!$DG:$DG)+'Rate History'!$D$17*SUMIF(Data!$G:$G,Neutral!$A34,Data!$DH:$DH)+'Rate History'!$D$18*SUMIF(Data!$G:$G,Neutral!$A34,Data!$DI:$DI)+'Rate History'!$D$19*SUMIF(Data!$G:$G,Neutral!$A34,Data!$DJ:$DJ)+'Rate History'!$D$20*SUMIF(Data!$G:$G,Neutral!$A34,Data!$DK:$DK)+'Rate History'!$D$21*SUMIF(Data!$G:$G,Neutral!$A34,Data!$DL:$DL)+'Rate History'!$D$22*SUMIF(Data!$G:$G,Neutral!$A34,Data!$DM:$DM)+'Rate History'!$D$23*SUMIF(Data!$G:$G,Neutral!$A34,Data!$DN:$DN)+'Rate History'!$D$24*SUMIF(Data!$G:$G,Neutral!$A34,Data!$DO:$DO)+'Rate History'!$D$25*SUMIF(Data!$G:$G,Neutral!$A34,Data!$DP:$DP)+'Rate History'!$D$26*SUMIF(Data!$G:$G,Neutral!$A34,Data!$DQ:$DQ)+'Rate History'!$D$27*SUMIF(Data!$G:$G,Neutral!$A34,Data!$DR:$DR)+'Rate History'!$D$28*SUMIF(Data!$G:$G,Neutral!$A34,Data!$DS:$DS)+'Rate History'!$D$29*SUMIF(Data!$G:$G,Neutral!$A34,Data!$DT:$DT)+'Rate History'!$D$30*SUMIF(Data!$G:$G,Neutral!$A34,Data!$DV:$DV)+'Rate History'!$D$31*SUMIF(Data!$G:$G,Neutral!$A34,Data!$DW:$DW))</f>
        <v>8043978.0515620233</v>
      </c>
      <c r="C34" s="168">
        <f>$C$5*('Rate History'!$C$4*SUMIF(Data!$G:$G,Neutral!$A34,Data!$CU:$CU)+'Rate History'!$C$5*SUMIF(Data!$G:$G,Neutral!$A34,Data!$CV:$CV)+'Rate History'!$C$6*SUMIF(Data!$G:$G,Neutral!$A34,Data!$CW:$CW)+'Rate History'!$C$7*SUMIF(Data!$G:$G,Neutral!$A34,Data!$CX:$CX)+'Rate History'!$C$8*SUMIF(Data!$G:$G,Neutral!$A34,Data!$CY:$CY)+'Rate History'!$C$9*SUMIF(Data!$G:$G,Neutral!$A34,Data!$CZ:$CZ)+'Rate History'!$C$10*SUMIF(Data!$G:$G,Neutral!$A34,Data!$DA:$DA)+'Rate History'!$C$11*SUMIF(Data!$G:$G,Neutral!$A34,Data!$DB:$DB)+'Rate History'!$C$12*SUMIF(Data!$G:$G,Neutral!$A34,Data!$DC:$DC)+'Rate History'!$C$13*SUMIF(Data!$G:$G,Neutral!$A34,Data!$DD:$DD)+'Rate History'!$C$14*SUMIF(Data!$G:$G,Neutral!$A34,Data!$DE:$DE)+'Rate History'!$C$15*SUMIF(Data!$G:$G,Neutral!$A34,Data!$DF:$DF)+'Rate History'!$C$16*SUMIF(Data!$G:$G,Neutral!$A34,Data!$DG:$DG)+'Rate History'!$C$17*SUMIF(Data!$G:$G,Neutral!$A34,Data!$DH:$DH)+'Rate History'!$C$18*SUMIF(Data!$G:$G,Neutral!$A34,Data!$DI:$DI)+'Rate History'!$C$19*SUMIF(Data!$G:$G,Neutral!$A34,Data!$DJ:$DJ)+'Rate History'!$C$20*SUMIF(Data!$G:$G,Neutral!$A34,Data!$DK:$DK)+'Rate History'!$C$21*SUMIF(Data!$G:$G,Neutral!$A34,Data!$DL:$DL)+'Rate History'!$C$22*SUMIF(Data!$G:$G,Neutral!$A34,Data!$DM:$DM)+'Rate History'!$C$23*SUMIF(Data!$G:$G,Neutral!$A34,Data!$DN:$DN)+'Rate History'!$C$24*SUMIF(Data!$G:$G,Neutral!$A34,Data!$DO:$DO)+'Rate History'!$C$25*SUMIF(Data!$G:$G,Neutral!$A34,Data!$DP:$DP)+'Rate History'!$C$26*SUMIF(Data!$G:$G,Neutral!$A34,Data!$DQ:$DQ)+'Rate History'!$C$27*SUMIF(Data!$G:$G,Neutral!$A34,Data!$DR:$DR)+'Rate History'!$C$28*SUMIF(Data!$G:$G,Neutral!$A34,Data!$DS:$DS)+'Rate History'!$C$29*SUMIF(Data!$G:$G,Neutral!$A34,Data!$DT:$DT)+'Rate History'!$C$30*SUMIF(Data!$G:$G,Neutral!$A34,Data!$DV:$DV)+'Rate History'!$C$31*SUMIF(Data!$G:$G,Neutral!$A34,Data!$DW:$DW))</f>
        <v>8017864.4029818447</v>
      </c>
      <c r="D34" s="169">
        <f t="shared" si="1"/>
        <v>-26113.648580178618</v>
      </c>
      <c r="E34" s="167">
        <f t="shared" si="0"/>
        <v>-3.2463599990936983E-3</v>
      </c>
    </row>
    <row r="35" spans="1:5" x14ac:dyDescent="0.25">
      <c r="A35" s="92" t="s">
        <v>363</v>
      </c>
      <c r="B35" s="168">
        <f>$B$5*('Rate History'!$D$4*SUMIF(Data!$G:$G,Neutral!$A35,Data!$CU:$CU)+'Rate History'!$D$5*SUMIF(Data!$G:$G,Neutral!$A35,Data!$CV:$CV)+'Rate History'!$D$6*SUMIF(Data!$G:$G,Neutral!$A35,Data!$CW:$CW)+'Rate History'!$D$7*SUMIF(Data!$G:$G,Neutral!$A35,Data!$CX:$CX)+'Rate History'!$D$8*SUMIF(Data!$G:$G,Neutral!$A35,Data!$CY:$CY)+'Rate History'!$D$9*SUMIF(Data!$G:$G,Neutral!$A35,Data!$CZ:$CZ)+'Rate History'!$D$10*SUMIF(Data!$G:$G,Neutral!$A35,Data!$DA:$DA)+'Rate History'!$D$11*SUMIF(Data!$G:$G,Neutral!$A35,Data!$DB:$DB)+'Rate History'!$D$12*SUMIF(Data!$G:$G,Neutral!$A35,Data!$DC:$DC)+'Rate History'!$D$13*SUMIF(Data!$G:$G,Neutral!$A35,Data!$DD:$DD)+'Rate History'!$D$14*SUMIF(Data!$G:$G,Neutral!$A35,Data!$DE:$DE)+'Rate History'!$D$15*SUMIF(Data!$G:$G,Neutral!$A35,Data!$DF:$DF)+'Rate History'!$D$16*SUMIF(Data!$G:$G,Neutral!$A35,Data!$DG:$DG)+'Rate History'!$D$17*SUMIF(Data!$G:$G,Neutral!$A35,Data!$DH:$DH)+'Rate History'!$D$18*SUMIF(Data!$G:$G,Neutral!$A35,Data!$DI:$DI)+'Rate History'!$D$19*SUMIF(Data!$G:$G,Neutral!$A35,Data!$DJ:$DJ)+'Rate History'!$D$20*SUMIF(Data!$G:$G,Neutral!$A35,Data!$DK:$DK)+'Rate History'!$D$21*SUMIF(Data!$G:$G,Neutral!$A35,Data!$DL:$DL)+'Rate History'!$D$22*SUMIF(Data!$G:$G,Neutral!$A35,Data!$DM:$DM)+'Rate History'!$D$23*SUMIF(Data!$G:$G,Neutral!$A35,Data!$DN:$DN)+'Rate History'!$D$24*SUMIF(Data!$G:$G,Neutral!$A35,Data!$DO:$DO)+'Rate History'!$D$25*SUMIF(Data!$G:$G,Neutral!$A35,Data!$DP:$DP)+'Rate History'!$D$26*SUMIF(Data!$G:$G,Neutral!$A35,Data!$DQ:$DQ)+'Rate History'!$D$27*SUMIF(Data!$G:$G,Neutral!$A35,Data!$DR:$DR)+'Rate History'!$D$28*SUMIF(Data!$G:$G,Neutral!$A35,Data!$DS:$DS)+'Rate History'!$D$29*SUMIF(Data!$G:$G,Neutral!$A35,Data!$DT:$DT)+'Rate History'!$D$30*SUMIF(Data!$G:$G,Neutral!$A35,Data!$DV:$DV)+'Rate History'!$D$31*SUMIF(Data!$G:$G,Neutral!$A35,Data!$DW:$DW))</f>
        <v>6897560.7412495809</v>
      </c>
      <c r="C35" s="168">
        <f>$C$5*('Rate History'!$C$4*SUMIF(Data!$G:$G,Neutral!$A35,Data!$CU:$CU)+'Rate History'!$C$5*SUMIF(Data!$G:$G,Neutral!$A35,Data!$CV:$CV)+'Rate History'!$C$6*SUMIF(Data!$G:$G,Neutral!$A35,Data!$CW:$CW)+'Rate History'!$C$7*SUMIF(Data!$G:$G,Neutral!$A35,Data!$CX:$CX)+'Rate History'!$C$8*SUMIF(Data!$G:$G,Neutral!$A35,Data!$CY:$CY)+'Rate History'!$C$9*SUMIF(Data!$G:$G,Neutral!$A35,Data!$CZ:$CZ)+'Rate History'!$C$10*SUMIF(Data!$G:$G,Neutral!$A35,Data!$DA:$DA)+'Rate History'!$C$11*SUMIF(Data!$G:$G,Neutral!$A35,Data!$DB:$DB)+'Rate History'!$C$12*SUMIF(Data!$G:$G,Neutral!$A35,Data!$DC:$DC)+'Rate History'!$C$13*SUMIF(Data!$G:$G,Neutral!$A35,Data!$DD:$DD)+'Rate History'!$C$14*SUMIF(Data!$G:$G,Neutral!$A35,Data!$DE:$DE)+'Rate History'!$C$15*SUMIF(Data!$G:$G,Neutral!$A35,Data!$DF:$DF)+'Rate History'!$C$16*SUMIF(Data!$G:$G,Neutral!$A35,Data!$DG:$DG)+'Rate History'!$C$17*SUMIF(Data!$G:$G,Neutral!$A35,Data!$DH:$DH)+'Rate History'!$C$18*SUMIF(Data!$G:$G,Neutral!$A35,Data!$DI:$DI)+'Rate History'!$C$19*SUMIF(Data!$G:$G,Neutral!$A35,Data!$DJ:$DJ)+'Rate History'!$C$20*SUMIF(Data!$G:$G,Neutral!$A35,Data!$DK:$DK)+'Rate History'!$C$21*SUMIF(Data!$G:$G,Neutral!$A35,Data!$DL:$DL)+'Rate History'!$C$22*SUMIF(Data!$G:$G,Neutral!$A35,Data!$DM:$DM)+'Rate History'!$C$23*SUMIF(Data!$G:$G,Neutral!$A35,Data!$DN:$DN)+'Rate History'!$C$24*SUMIF(Data!$G:$G,Neutral!$A35,Data!$DO:$DO)+'Rate History'!$C$25*SUMIF(Data!$G:$G,Neutral!$A35,Data!$DP:$DP)+'Rate History'!$C$26*SUMIF(Data!$G:$G,Neutral!$A35,Data!$DQ:$DQ)+'Rate History'!$C$27*SUMIF(Data!$G:$G,Neutral!$A35,Data!$DR:$DR)+'Rate History'!$C$28*SUMIF(Data!$G:$G,Neutral!$A35,Data!$DS:$DS)+'Rate History'!$C$29*SUMIF(Data!$G:$G,Neutral!$A35,Data!$DT:$DT)+'Rate History'!$C$30*SUMIF(Data!$G:$G,Neutral!$A35,Data!$DV:$DV)+'Rate History'!$C$31*SUMIF(Data!$G:$G,Neutral!$A35,Data!$DW:$DW))</f>
        <v>6919918.1833744766</v>
      </c>
      <c r="D35" s="169">
        <f t="shared" si="1"/>
        <v>22357.442124895751</v>
      </c>
      <c r="E35" s="167">
        <f t="shared" si="0"/>
        <v>3.2413548736426809E-3</v>
      </c>
    </row>
    <row r="36" spans="1:5" x14ac:dyDescent="0.25">
      <c r="A36" s="92" t="s">
        <v>447</v>
      </c>
      <c r="B36" s="168">
        <f>$B$5*('Rate History'!$D$4*SUMIF(Data!$G:$G,Neutral!$A36,Data!$CU:$CU)+'Rate History'!$D$5*SUMIF(Data!$G:$G,Neutral!$A36,Data!$CV:$CV)+'Rate History'!$D$6*SUMIF(Data!$G:$G,Neutral!$A36,Data!$CW:$CW)+'Rate History'!$D$7*SUMIF(Data!$G:$G,Neutral!$A36,Data!$CX:$CX)+'Rate History'!$D$8*SUMIF(Data!$G:$G,Neutral!$A36,Data!$CY:$CY)+'Rate History'!$D$9*SUMIF(Data!$G:$G,Neutral!$A36,Data!$CZ:$CZ)+'Rate History'!$D$10*SUMIF(Data!$G:$G,Neutral!$A36,Data!$DA:$DA)+'Rate History'!$D$11*SUMIF(Data!$G:$G,Neutral!$A36,Data!$DB:$DB)+'Rate History'!$D$12*SUMIF(Data!$G:$G,Neutral!$A36,Data!$DC:$DC)+'Rate History'!$D$13*SUMIF(Data!$G:$G,Neutral!$A36,Data!$DD:$DD)+'Rate History'!$D$14*SUMIF(Data!$G:$G,Neutral!$A36,Data!$DE:$DE)+'Rate History'!$D$15*SUMIF(Data!$G:$G,Neutral!$A36,Data!$DF:$DF)+'Rate History'!$D$16*SUMIF(Data!$G:$G,Neutral!$A36,Data!$DG:$DG)+'Rate History'!$D$17*SUMIF(Data!$G:$G,Neutral!$A36,Data!$DH:$DH)+'Rate History'!$D$18*SUMIF(Data!$G:$G,Neutral!$A36,Data!$DI:$DI)+'Rate History'!$D$19*SUMIF(Data!$G:$G,Neutral!$A36,Data!$DJ:$DJ)+'Rate History'!$D$20*SUMIF(Data!$G:$G,Neutral!$A36,Data!$DK:$DK)+'Rate History'!$D$21*SUMIF(Data!$G:$G,Neutral!$A36,Data!$DL:$DL)+'Rate History'!$D$22*SUMIF(Data!$G:$G,Neutral!$A36,Data!$DM:$DM)+'Rate History'!$D$23*SUMIF(Data!$G:$G,Neutral!$A36,Data!$DN:$DN)+'Rate History'!$D$24*SUMIF(Data!$G:$G,Neutral!$A36,Data!$DO:$DO)+'Rate History'!$D$25*SUMIF(Data!$G:$G,Neutral!$A36,Data!$DP:$DP)+'Rate History'!$D$26*SUMIF(Data!$G:$G,Neutral!$A36,Data!$DQ:$DQ)+'Rate History'!$D$27*SUMIF(Data!$G:$G,Neutral!$A36,Data!$DR:$DR)+'Rate History'!$D$28*SUMIF(Data!$G:$G,Neutral!$A36,Data!$DS:$DS)+'Rate History'!$D$29*SUMIF(Data!$G:$G,Neutral!$A36,Data!$DT:$DT)+'Rate History'!$D$30*SUMIF(Data!$G:$G,Neutral!$A36,Data!$DV:$DV)+'Rate History'!$D$31*SUMIF(Data!$G:$G,Neutral!$A36,Data!$DW:$DW))</f>
        <v>3690062.0841789795</v>
      </c>
      <c r="C36" s="168">
        <f>$C$5*('Rate History'!$C$4*SUMIF(Data!$G:$G,Neutral!$A36,Data!$CU:$CU)+'Rate History'!$C$5*SUMIF(Data!$G:$G,Neutral!$A36,Data!$CV:$CV)+'Rate History'!$C$6*SUMIF(Data!$G:$G,Neutral!$A36,Data!$CW:$CW)+'Rate History'!$C$7*SUMIF(Data!$G:$G,Neutral!$A36,Data!$CX:$CX)+'Rate History'!$C$8*SUMIF(Data!$G:$G,Neutral!$A36,Data!$CY:$CY)+'Rate History'!$C$9*SUMIF(Data!$G:$G,Neutral!$A36,Data!$CZ:$CZ)+'Rate History'!$C$10*SUMIF(Data!$G:$G,Neutral!$A36,Data!$DA:$DA)+'Rate History'!$C$11*SUMIF(Data!$G:$G,Neutral!$A36,Data!$DB:$DB)+'Rate History'!$C$12*SUMIF(Data!$G:$G,Neutral!$A36,Data!$DC:$DC)+'Rate History'!$C$13*SUMIF(Data!$G:$G,Neutral!$A36,Data!$DD:$DD)+'Rate History'!$C$14*SUMIF(Data!$G:$G,Neutral!$A36,Data!$DE:$DE)+'Rate History'!$C$15*SUMIF(Data!$G:$G,Neutral!$A36,Data!$DF:$DF)+'Rate History'!$C$16*SUMIF(Data!$G:$G,Neutral!$A36,Data!$DG:$DG)+'Rate History'!$C$17*SUMIF(Data!$G:$G,Neutral!$A36,Data!$DH:$DH)+'Rate History'!$C$18*SUMIF(Data!$G:$G,Neutral!$A36,Data!$DI:$DI)+'Rate History'!$C$19*SUMIF(Data!$G:$G,Neutral!$A36,Data!$DJ:$DJ)+'Rate History'!$C$20*SUMIF(Data!$G:$G,Neutral!$A36,Data!$DK:$DK)+'Rate History'!$C$21*SUMIF(Data!$G:$G,Neutral!$A36,Data!$DL:$DL)+'Rate History'!$C$22*SUMIF(Data!$G:$G,Neutral!$A36,Data!$DM:$DM)+'Rate History'!$C$23*SUMIF(Data!$G:$G,Neutral!$A36,Data!$DN:$DN)+'Rate History'!$C$24*SUMIF(Data!$G:$G,Neutral!$A36,Data!$DO:$DO)+'Rate History'!$C$25*SUMIF(Data!$G:$G,Neutral!$A36,Data!$DP:$DP)+'Rate History'!$C$26*SUMIF(Data!$G:$G,Neutral!$A36,Data!$DQ:$DQ)+'Rate History'!$C$27*SUMIF(Data!$G:$G,Neutral!$A36,Data!$DR:$DR)+'Rate History'!$C$28*SUMIF(Data!$G:$G,Neutral!$A36,Data!$DS:$DS)+'Rate History'!$C$29*SUMIF(Data!$G:$G,Neutral!$A36,Data!$DT:$DT)+'Rate History'!$C$30*SUMIF(Data!$G:$G,Neutral!$A36,Data!$DV:$DV)+'Rate History'!$C$31*SUMIF(Data!$G:$G,Neutral!$A36,Data!$DW:$DW))</f>
        <v>3712867.5265061706</v>
      </c>
      <c r="D36" s="169">
        <f t="shared" si="1"/>
        <v>22805.442327191122</v>
      </c>
      <c r="E36" s="167">
        <f t="shared" si="0"/>
        <v>6.1802326917394452E-3</v>
      </c>
    </row>
    <row r="37" spans="1:5" x14ac:dyDescent="0.25">
      <c r="A37" s="92" t="s">
        <v>387</v>
      </c>
      <c r="B37" s="168">
        <f>$B$5*('Rate History'!$D$4*SUMIF(Data!$G:$G,Neutral!$A37,Data!$CU:$CU)+'Rate History'!$D$5*SUMIF(Data!$G:$G,Neutral!$A37,Data!$CV:$CV)+'Rate History'!$D$6*SUMIF(Data!$G:$G,Neutral!$A37,Data!$CW:$CW)+'Rate History'!$D$7*SUMIF(Data!$G:$G,Neutral!$A37,Data!$CX:$CX)+'Rate History'!$D$8*SUMIF(Data!$G:$G,Neutral!$A37,Data!$CY:$CY)+'Rate History'!$D$9*SUMIF(Data!$G:$G,Neutral!$A37,Data!$CZ:$CZ)+'Rate History'!$D$10*SUMIF(Data!$G:$G,Neutral!$A37,Data!$DA:$DA)+'Rate History'!$D$11*SUMIF(Data!$G:$G,Neutral!$A37,Data!$DB:$DB)+'Rate History'!$D$12*SUMIF(Data!$G:$G,Neutral!$A37,Data!$DC:$DC)+'Rate History'!$D$13*SUMIF(Data!$G:$G,Neutral!$A37,Data!$DD:$DD)+'Rate History'!$D$14*SUMIF(Data!$G:$G,Neutral!$A37,Data!$DE:$DE)+'Rate History'!$D$15*SUMIF(Data!$G:$G,Neutral!$A37,Data!$DF:$DF)+'Rate History'!$D$16*SUMIF(Data!$G:$G,Neutral!$A37,Data!$DG:$DG)+'Rate History'!$D$17*SUMIF(Data!$G:$G,Neutral!$A37,Data!$DH:$DH)+'Rate History'!$D$18*SUMIF(Data!$G:$G,Neutral!$A37,Data!$DI:$DI)+'Rate History'!$D$19*SUMIF(Data!$G:$G,Neutral!$A37,Data!$DJ:$DJ)+'Rate History'!$D$20*SUMIF(Data!$G:$G,Neutral!$A37,Data!$DK:$DK)+'Rate History'!$D$21*SUMIF(Data!$G:$G,Neutral!$A37,Data!$DL:$DL)+'Rate History'!$D$22*SUMIF(Data!$G:$G,Neutral!$A37,Data!$DM:$DM)+'Rate History'!$D$23*SUMIF(Data!$G:$G,Neutral!$A37,Data!$DN:$DN)+'Rate History'!$D$24*SUMIF(Data!$G:$G,Neutral!$A37,Data!$DO:$DO)+'Rate History'!$D$25*SUMIF(Data!$G:$G,Neutral!$A37,Data!$DP:$DP)+'Rate History'!$D$26*SUMIF(Data!$G:$G,Neutral!$A37,Data!$DQ:$DQ)+'Rate History'!$D$27*SUMIF(Data!$G:$G,Neutral!$A37,Data!$DR:$DR)+'Rate History'!$D$28*SUMIF(Data!$G:$G,Neutral!$A37,Data!$DS:$DS)+'Rate History'!$D$29*SUMIF(Data!$G:$G,Neutral!$A37,Data!$DT:$DT)+'Rate History'!$D$30*SUMIF(Data!$G:$G,Neutral!$A37,Data!$DV:$DV)+'Rate History'!$D$31*SUMIF(Data!$G:$G,Neutral!$A37,Data!$DW:$DW))</f>
        <v>9031553.8014831692</v>
      </c>
      <c r="C37" s="168">
        <f>$C$5*('Rate History'!$C$4*SUMIF(Data!$G:$G,Neutral!$A37,Data!$CU:$CU)+'Rate History'!$C$5*SUMIF(Data!$G:$G,Neutral!$A37,Data!$CV:$CV)+'Rate History'!$C$6*SUMIF(Data!$G:$G,Neutral!$A37,Data!$CW:$CW)+'Rate History'!$C$7*SUMIF(Data!$G:$G,Neutral!$A37,Data!$CX:$CX)+'Rate History'!$C$8*SUMIF(Data!$G:$G,Neutral!$A37,Data!$CY:$CY)+'Rate History'!$C$9*SUMIF(Data!$G:$G,Neutral!$A37,Data!$CZ:$CZ)+'Rate History'!$C$10*SUMIF(Data!$G:$G,Neutral!$A37,Data!$DA:$DA)+'Rate History'!$C$11*SUMIF(Data!$G:$G,Neutral!$A37,Data!$DB:$DB)+'Rate History'!$C$12*SUMIF(Data!$G:$G,Neutral!$A37,Data!$DC:$DC)+'Rate History'!$C$13*SUMIF(Data!$G:$G,Neutral!$A37,Data!$DD:$DD)+'Rate History'!$C$14*SUMIF(Data!$G:$G,Neutral!$A37,Data!$DE:$DE)+'Rate History'!$C$15*SUMIF(Data!$G:$G,Neutral!$A37,Data!$DF:$DF)+'Rate History'!$C$16*SUMIF(Data!$G:$G,Neutral!$A37,Data!$DG:$DG)+'Rate History'!$C$17*SUMIF(Data!$G:$G,Neutral!$A37,Data!$DH:$DH)+'Rate History'!$C$18*SUMIF(Data!$G:$G,Neutral!$A37,Data!$DI:$DI)+'Rate History'!$C$19*SUMIF(Data!$G:$G,Neutral!$A37,Data!$DJ:$DJ)+'Rate History'!$C$20*SUMIF(Data!$G:$G,Neutral!$A37,Data!$DK:$DK)+'Rate History'!$C$21*SUMIF(Data!$G:$G,Neutral!$A37,Data!$DL:$DL)+'Rate History'!$C$22*SUMIF(Data!$G:$G,Neutral!$A37,Data!$DM:$DM)+'Rate History'!$C$23*SUMIF(Data!$G:$G,Neutral!$A37,Data!$DN:$DN)+'Rate History'!$C$24*SUMIF(Data!$G:$G,Neutral!$A37,Data!$DO:$DO)+'Rate History'!$C$25*SUMIF(Data!$G:$G,Neutral!$A37,Data!$DP:$DP)+'Rate History'!$C$26*SUMIF(Data!$G:$G,Neutral!$A37,Data!$DQ:$DQ)+'Rate History'!$C$27*SUMIF(Data!$G:$G,Neutral!$A37,Data!$DR:$DR)+'Rate History'!$C$28*SUMIF(Data!$G:$G,Neutral!$A37,Data!$DS:$DS)+'Rate History'!$C$29*SUMIF(Data!$G:$G,Neutral!$A37,Data!$DT:$DT)+'Rate History'!$C$30*SUMIF(Data!$G:$G,Neutral!$A37,Data!$DV:$DV)+'Rate History'!$C$31*SUMIF(Data!$G:$G,Neutral!$A37,Data!$DW:$DW))</f>
        <v>9012448.0208750535</v>
      </c>
      <c r="D37" s="169">
        <f t="shared" si="1"/>
        <v>-19105.780608115718</v>
      </c>
      <c r="E37" s="167">
        <f t="shared" si="0"/>
        <v>-2.1154477986919762E-3</v>
      </c>
    </row>
    <row r="38" spans="1:5" x14ac:dyDescent="0.25">
      <c r="A38" s="92" t="s">
        <v>389</v>
      </c>
      <c r="B38" s="168">
        <f>$B$5*('Rate History'!$D$4*SUMIF(Data!$G:$G,Neutral!$A38,Data!$CU:$CU)+'Rate History'!$D$5*SUMIF(Data!$G:$G,Neutral!$A38,Data!$CV:$CV)+'Rate History'!$D$6*SUMIF(Data!$G:$G,Neutral!$A38,Data!$CW:$CW)+'Rate History'!$D$7*SUMIF(Data!$G:$G,Neutral!$A38,Data!$CX:$CX)+'Rate History'!$D$8*SUMIF(Data!$G:$G,Neutral!$A38,Data!$CY:$CY)+'Rate History'!$D$9*SUMIF(Data!$G:$G,Neutral!$A38,Data!$CZ:$CZ)+'Rate History'!$D$10*SUMIF(Data!$G:$G,Neutral!$A38,Data!$DA:$DA)+'Rate History'!$D$11*SUMIF(Data!$G:$G,Neutral!$A38,Data!$DB:$DB)+'Rate History'!$D$12*SUMIF(Data!$G:$G,Neutral!$A38,Data!$DC:$DC)+'Rate History'!$D$13*SUMIF(Data!$G:$G,Neutral!$A38,Data!$DD:$DD)+'Rate History'!$D$14*SUMIF(Data!$G:$G,Neutral!$A38,Data!$DE:$DE)+'Rate History'!$D$15*SUMIF(Data!$G:$G,Neutral!$A38,Data!$DF:$DF)+'Rate History'!$D$16*SUMIF(Data!$G:$G,Neutral!$A38,Data!$DG:$DG)+'Rate History'!$D$17*SUMIF(Data!$G:$G,Neutral!$A38,Data!$DH:$DH)+'Rate History'!$D$18*SUMIF(Data!$G:$G,Neutral!$A38,Data!$DI:$DI)+'Rate History'!$D$19*SUMIF(Data!$G:$G,Neutral!$A38,Data!$DJ:$DJ)+'Rate History'!$D$20*SUMIF(Data!$G:$G,Neutral!$A38,Data!$DK:$DK)+'Rate History'!$D$21*SUMIF(Data!$G:$G,Neutral!$A38,Data!$DL:$DL)+'Rate History'!$D$22*SUMIF(Data!$G:$G,Neutral!$A38,Data!$DM:$DM)+'Rate History'!$D$23*SUMIF(Data!$G:$G,Neutral!$A38,Data!$DN:$DN)+'Rate History'!$D$24*SUMIF(Data!$G:$G,Neutral!$A38,Data!$DO:$DO)+'Rate History'!$D$25*SUMIF(Data!$G:$G,Neutral!$A38,Data!$DP:$DP)+'Rate History'!$D$26*SUMIF(Data!$G:$G,Neutral!$A38,Data!$DQ:$DQ)+'Rate History'!$D$27*SUMIF(Data!$G:$G,Neutral!$A38,Data!$DR:$DR)+'Rate History'!$D$28*SUMIF(Data!$G:$G,Neutral!$A38,Data!$DS:$DS)+'Rate History'!$D$29*SUMIF(Data!$G:$G,Neutral!$A38,Data!$DT:$DT)+'Rate History'!$D$30*SUMIF(Data!$G:$G,Neutral!$A38,Data!$DV:$DV)+'Rate History'!$D$31*SUMIF(Data!$G:$G,Neutral!$A38,Data!$DW:$DW))</f>
        <v>3845240.8354089055</v>
      </c>
      <c r="C38" s="168">
        <f>$C$5*('Rate History'!$C$4*SUMIF(Data!$G:$G,Neutral!$A38,Data!$CU:$CU)+'Rate History'!$C$5*SUMIF(Data!$G:$G,Neutral!$A38,Data!$CV:$CV)+'Rate History'!$C$6*SUMIF(Data!$G:$G,Neutral!$A38,Data!$CW:$CW)+'Rate History'!$C$7*SUMIF(Data!$G:$G,Neutral!$A38,Data!$CX:$CX)+'Rate History'!$C$8*SUMIF(Data!$G:$G,Neutral!$A38,Data!$CY:$CY)+'Rate History'!$C$9*SUMIF(Data!$G:$G,Neutral!$A38,Data!$CZ:$CZ)+'Rate History'!$C$10*SUMIF(Data!$G:$G,Neutral!$A38,Data!$DA:$DA)+'Rate History'!$C$11*SUMIF(Data!$G:$G,Neutral!$A38,Data!$DB:$DB)+'Rate History'!$C$12*SUMIF(Data!$G:$G,Neutral!$A38,Data!$DC:$DC)+'Rate History'!$C$13*SUMIF(Data!$G:$G,Neutral!$A38,Data!$DD:$DD)+'Rate History'!$C$14*SUMIF(Data!$G:$G,Neutral!$A38,Data!$DE:$DE)+'Rate History'!$C$15*SUMIF(Data!$G:$G,Neutral!$A38,Data!$DF:$DF)+'Rate History'!$C$16*SUMIF(Data!$G:$G,Neutral!$A38,Data!$DG:$DG)+'Rate History'!$C$17*SUMIF(Data!$G:$G,Neutral!$A38,Data!$DH:$DH)+'Rate History'!$C$18*SUMIF(Data!$G:$G,Neutral!$A38,Data!$DI:$DI)+'Rate History'!$C$19*SUMIF(Data!$G:$G,Neutral!$A38,Data!$DJ:$DJ)+'Rate History'!$C$20*SUMIF(Data!$G:$G,Neutral!$A38,Data!$DK:$DK)+'Rate History'!$C$21*SUMIF(Data!$G:$G,Neutral!$A38,Data!$DL:$DL)+'Rate History'!$C$22*SUMIF(Data!$G:$G,Neutral!$A38,Data!$DM:$DM)+'Rate History'!$C$23*SUMIF(Data!$G:$G,Neutral!$A38,Data!$DN:$DN)+'Rate History'!$C$24*SUMIF(Data!$G:$G,Neutral!$A38,Data!$DO:$DO)+'Rate History'!$C$25*SUMIF(Data!$G:$G,Neutral!$A38,Data!$DP:$DP)+'Rate History'!$C$26*SUMIF(Data!$G:$G,Neutral!$A38,Data!$DQ:$DQ)+'Rate History'!$C$27*SUMIF(Data!$G:$G,Neutral!$A38,Data!$DR:$DR)+'Rate History'!$C$28*SUMIF(Data!$G:$G,Neutral!$A38,Data!$DS:$DS)+'Rate History'!$C$29*SUMIF(Data!$G:$G,Neutral!$A38,Data!$DT:$DT)+'Rate History'!$C$30*SUMIF(Data!$G:$G,Neutral!$A38,Data!$DV:$DV)+'Rate History'!$C$31*SUMIF(Data!$G:$G,Neutral!$A38,Data!$DW:$DW))</f>
        <v>3862427.5217519803</v>
      </c>
      <c r="D38" s="169">
        <f t="shared" si="1"/>
        <v>17186.686343074776</v>
      </c>
      <c r="E38" s="167">
        <f t="shared" si="0"/>
        <v>4.4695994552047692E-3</v>
      </c>
    </row>
    <row r="39" spans="1:5" x14ac:dyDescent="0.25">
      <c r="A39" s="92" t="s">
        <v>391</v>
      </c>
      <c r="B39" s="168">
        <f>$B$5*('Rate History'!$D$4*SUMIF(Data!$G:$G,Neutral!$A39,Data!$CU:$CU)+'Rate History'!$D$5*SUMIF(Data!$G:$G,Neutral!$A39,Data!$CV:$CV)+'Rate History'!$D$6*SUMIF(Data!$G:$G,Neutral!$A39,Data!$CW:$CW)+'Rate History'!$D$7*SUMIF(Data!$G:$G,Neutral!$A39,Data!$CX:$CX)+'Rate History'!$D$8*SUMIF(Data!$G:$G,Neutral!$A39,Data!$CY:$CY)+'Rate History'!$D$9*SUMIF(Data!$G:$G,Neutral!$A39,Data!$CZ:$CZ)+'Rate History'!$D$10*SUMIF(Data!$G:$G,Neutral!$A39,Data!$DA:$DA)+'Rate History'!$D$11*SUMIF(Data!$G:$G,Neutral!$A39,Data!$DB:$DB)+'Rate History'!$D$12*SUMIF(Data!$G:$G,Neutral!$A39,Data!$DC:$DC)+'Rate History'!$D$13*SUMIF(Data!$G:$G,Neutral!$A39,Data!$DD:$DD)+'Rate History'!$D$14*SUMIF(Data!$G:$G,Neutral!$A39,Data!$DE:$DE)+'Rate History'!$D$15*SUMIF(Data!$G:$G,Neutral!$A39,Data!$DF:$DF)+'Rate History'!$D$16*SUMIF(Data!$G:$G,Neutral!$A39,Data!$DG:$DG)+'Rate History'!$D$17*SUMIF(Data!$G:$G,Neutral!$A39,Data!$DH:$DH)+'Rate History'!$D$18*SUMIF(Data!$G:$G,Neutral!$A39,Data!$DI:$DI)+'Rate History'!$D$19*SUMIF(Data!$G:$G,Neutral!$A39,Data!$DJ:$DJ)+'Rate History'!$D$20*SUMIF(Data!$G:$G,Neutral!$A39,Data!$DK:$DK)+'Rate History'!$D$21*SUMIF(Data!$G:$G,Neutral!$A39,Data!$DL:$DL)+'Rate History'!$D$22*SUMIF(Data!$G:$G,Neutral!$A39,Data!$DM:$DM)+'Rate History'!$D$23*SUMIF(Data!$G:$G,Neutral!$A39,Data!$DN:$DN)+'Rate History'!$D$24*SUMIF(Data!$G:$G,Neutral!$A39,Data!$DO:$DO)+'Rate History'!$D$25*SUMIF(Data!$G:$G,Neutral!$A39,Data!$DP:$DP)+'Rate History'!$D$26*SUMIF(Data!$G:$G,Neutral!$A39,Data!$DQ:$DQ)+'Rate History'!$D$27*SUMIF(Data!$G:$G,Neutral!$A39,Data!$DR:$DR)+'Rate History'!$D$28*SUMIF(Data!$G:$G,Neutral!$A39,Data!$DS:$DS)+'Rate History'!$D$29*SUMIF(Data!$G:$G,Neutral!$A39,Data!$DT:$DT)+'Rate History'!$D$30*SUMIF(Data!$G:$G,Neutral!$A39,Data!$DV:$DV)+'Rate History'!$D$31*SUMIF(Data!$G:$G,Neutral!$A39,Data!$DW:$DW))</f>
        <v>6148130.3410246707</v>
      </c>
      <c r="C39" s="168">
        <f>$C$5*('Rate History'!$C$4*SUMIF(Data!$G:$G,Neutral!$A39,Data!$CU:$CU)+'Rate History'!$C$5*SUMIF(Data!$G:$G,Neutral!$A39,Data!$CV:$CV)+'Rate History'!$C$6*SUMIF(Data!$G:$G,Neutral!$A39,Data!$CW:$CW)+'Rate History'!$C$7*SUMIF(Data!$G:$G,Neutral!$A39,Data!$CX:$CX)+'Rate History'!$C$8*SUMIF(Data!$G:$G,Neutral!$A39,Data!$CY:$CY)+'Rate History'!$C$9*SUMIF(Data!$G:$G,Neutral!$A39,Data!$CZ:$CZ)+'Rate History'!$C$10*SUMIF(Data!$G:$G,Neutral!$A39,Data!$DA:$DA)+'Rate History'!$C$11*SUMIF(Data!$G:$G,Neutral!$A39,Data!$DB:$DB)+'Rate History'!$C$12*SUMIF(Data!$G:$G,Neutral!$A39,Data!$DC:$DC)+'Rate History'!$C$13*SUMIF(Data!$G:$G,Neutral!$A39,Data!$DD:$DD)+'Rate History'!$C$14*SUMIF(Data!$G:$G,Neutral!$A39,Data!$DE:$DE)+'Rate History'!$C$15*SUMIF(Data!$G:$G,Neutral!$A39,Data!$DF:$DF)+'Rate History'!$C$16*SUMIF(Data!$G:$G,Neutral!$A39,Data!$DG:$DG)+'Rate History'!$C$17*SUMIF(Data!$G:$G,Neutral!$A39,Data!$DH:$DH)+'Rate History'!$C$18*SUMIF(Data!$G:$G,Neutral!$A39,Data!$DI:$DI)+'Rate History'!$C$19*SUMIF(Data!$G:$G,Neutral!$A39,Data!$DJ:$DJ)+'Rate History'!$C$20*SUMIF(Data!$G:$G,Neutral!$A39,Data!$DK:$DK)+'Rate History'!$C$21*SUMIF(Data!$G:$G,Neutral!$A39,Data!$DL:$DL)+'Rate History'!$C$22*SUMIF(Data!$G:$G,Neutral!$A39,Data!$DM:$DM)+'Rate History'!$C$23*SUMIF(Data!$G:$G,Neutral!$A39,Data!$DN:$DN)+'Rate History'!$C$24*SUMIF(Data!$G:$G,Neutral!$A39,Data!$DO:$DO)+'Rate History'!$C$25*SUMIF(Data!$G:$G,Neutral!$A39,Data!$DP:$DP)+'Rate History'!$C$26*SUMIF(Data!$G:$G,Neutral!$A39,Data!$DQ:$DQ)+'Rate History'!$C$27*SUMIF(Data!$G:$G,Neutral!$A39,Data!$DR:$DR)+'Rate History'!$C$28*SUMIF(Data!$G:$G,Neutral!$A39,Data!$DS:$DS)+'Rate History'!$C$29*SUMIF(Data!$G:$G,Neutral!$A39,Data!$DT:$DT)+'Rate History'!$C$30*SUMIF(Data!$G:$G,Neutral!$A39,Data!$DV:$DV)+'Rate History'!$C$31*SUMIF(Data!$G:$G,Neutral!$A39,Data!$DW:$DW))</f>
        <v>6159729.8122747606</v>
      </c>
      <c r="D39" s="169">
        <f t="shared" si="1"/>
        <v>11599.471250089817</v>
      </c>
      <c r="E39" s="167">
        <f t="shared" si="0"/>
        <v>1.8866664508866943E-3</v>
      </c>
    </row>
    <row r="40" spans="1:5" x14ac:dyDescent="0.25">
      <c r="A40" s="92" t="s">
        <v>393</v>
      </c>
      <c r="B40" s="168">
        <f>$B$5*('Rate History'!$D$4*SUMIF(Data!$G:$G,Neutral!$A40,Data!$CU:$CU)+'Rate History'!$D$5*SUMIF(Data!$G:$G,Neutral!$A40,Data!$CV:$CV)+'Rate History'!$D$6*SUMIF(Data!$G:$G,Neutral!$A40,Data!$CW:$CW)+'Rate History'!$D$7*SUMIF(Data!$G:$G,Neutral!$A40,Data!$CX:$CX)+'Rate History'!$D$8*SUMIF(Data!$G:$G,Neutral!$A40,Data!$CY:$CY)+'Rate History'!$D$9*SUMIF(Data!$G:$G,Neutral!$A40,Data!$CZ:$CZ)+'Rate History'!$D$10*SUMIF(Data!$G:$G,Neutral!$A40,Data!$DA:$DA)+'Rate History'!$D$11*SUMIF(Data!$G:$G,Neutral!$A40,Data!$DB:$DB)+'Rate History'!$D$12*SUMIF(Data!$G:$G,Neutral!$A40,Data!$DC:$DC)+'Rate History'!$D$13*SUMIF(Data!$G:$G,Neutral!$A40,Data!$DD:$DD)+'Rate History'!$D$14*SUMIF(Data!$G:$G,Neutral!$A40,Data!$DE:$DE)+'Rate History'!$D$15*SUMIF(Data!$G:$G,Neutral!$A40,Data!$DF:$DF)+'Rate History'!$D$16*SUMIF(Data!$G:$G,Neutral!$A40,Data!$DG:$DG)+'Rate History'!$D$17*SUMIF(Data!$G:$G,Neutral!$A40,Data!$DH:$DH)+'Rate History'!$D$18*SUMIF(Data!$G:$G,Neutral!$A40,Data!$DI:$DI)+'Rate History'!$D$19*SUMIF(Data!$G:$G,Neutral!$A40,Data!$DJ:$DJ)+'Rate History'!$D$20*SUMIF(Data!$G:$G,Neutral!$A40,Data!$DK:$DK)+'Rate History'!$D$21*SUMIF(Data!$G:$G,Neutral!$A40,Data!$DL:$DL)+'Rate History'!$D$22*SUMIF(Data!$G:$G,Neutral!$A40,Data!$DM:$DM)+'Rate History'!$D$23*SUMIF(Data!$G:$G,Neutral!$A40,Data!$DN:$DN)+'Rate History'!$D$24*SUMIF(Data!$G:$G,Neutral!$A40,Data!$DO:$DO)+'Rate History'!$D$25*SUMIF(Data!$G:$G,Neutral!$A40,Data!$DP:$DP)+'Rate History'!$D$26*SUMIF(Data!$G:$G,Neutral!$A40,Data!$DQ:$DQ)+'Rate History'!$D$27*SUMIF(Data!$G:$G,Neutral!$A40,Data!$DR:$DR)+'Rate History'!$D$28*SUMIF(Data!$G:$G,Neutral!$A40,Data!$DS:$DS)+'Rate History'!$D$29*SUMIF(Data!$G:$G,Neutral!$A40,Data!$DT:$DT)+'Rate History'!$D$30*SUMIF(Data!$G:$G,Neutral!$A40,Data!$DV:$DV)+'Rate History'!$D$31*SUMIF(Data!$G:$G,Neutral!$A40,Data!$DW:$DW))</f>
        <v>1782185.1226132023</v>
      </c>
      <c r="C40" s="168">
        <f>$C$5*('Rate History'!$C$4*SUMIF(Data!$G:$G,Neutral!$A40,Data!$CU:$CU)+'Rate History'!$C$5*SUMIF(Data!$G:$G,Neutral!$A40,Data!$CV:$CV)+'Rate History'!$C$6*SUMIF(Data!$G:$G,Neutral!$A40,Data!$CW:$CW)+'Rate History'!$C$7*SUMIF(Data!$G:$G,Neutral!$A40,Data!$CX:$CX)+'Rate History'!$C$8*SUMIF(Data!$G:$G,Neutral!$A40,Data!$CY:$CY)+'Rate History'!$C$9*SUMIF(Data!$G:$G,Neutral!$A40,Data!$CZ:$CZ)+'Rate History'!$C$10*SUMIF(Data!$G:$G,Neutral!$A40,Data!$DA:$DA)+'Rate History'!$C$11*SUMIF(Data!$G:$G,Neutral!$A40,Data!$DB:$DB)+'Rate History'!$C$12*SUMIF(Data!$G:$G,Neutral!$A40,Data!$DC:$DC)+'Rate History'!$C$13*SUMIF(Data!$G:$G,Neutral!$A40,Data!$DD:$DD)+'Rate History'!$C$14*SUMIF(Data!$G:$G,Neutral!$A40,Data!$DE:$DE)+'Rate History'!$C$15*SUMIF(Data!$G:$G,Neutral!$A40,Data!$DF:$DF)+'Rate History'!$C$16*SUMIF(Data!$G:$G,Neutral!$A40,Data!$DG:$DG)+'Rate History'!$C$17*SUMIF(Data!$G:$G,Neutral!$A40,Data!$DH:$DH)+'Rate History'!$C$18*SUMIF(Data!$G:$G,Neutral!$A40,Data!$DI:$DI)+'Rate History'!$C$19*SUMIF(Data!$G:$G,Neutral!$A40,Data!$DJ:$DJ)+'Rate History'!$C$20*SUMIF(Data!$G:$G,Neutral!$A40,Data!$DK:$DK)+'Rate History'!$C$21*SUMIF(Data!$G:$G,Neutral!$A40,Data!$DL:$DL)+'Rate History'!$C$22*SUMIF(Data!$G:$G,Neutral!$A40,Data!$DM:$DM)+'Rate History'!$C$23*SUMIF(Data!$G:$G,Neutral!$A40,Data!$DN:$DN)+'Rate History'!$C$24*SUMIF(Data!$G:$G,Neutral!$A40,Data!$DO:$DO)+'Rate History'!$C$25*SUMIF(Data!$G:$G,Neutral!$A40,Data!$DP:$DP)+'Rate History'!$C$26*SUMIF(Data!$G:$G,Neutral!$A40,Data!$DQ:$DQ)+'Rate History'!$C$27*SUMIF(Data!$G:$G,Neutral!$A40,Data!$DR:$DR)+'Rate History'!$C$28*SUMIF(Data!$G:$G,Neutral!$A40,Data!$DS:$DS)+'Rate History'!$C$29*SUMIF(Data!$G:$G,Neutral!$A40,Data!$DT:$DT)+'Rate History'!$C$30*SUMIF(Data!$G:$G,Neutral!$A40,Data!$DV:$DV)+'Rate History'!$C$31*SUMIF(Data!$G:$G,Neutral!$A40,Data!$DW:$DW))</f>
        <v>1806359.0887699567</v>
      </c>
      <c r="D40" s="169">
        <f t="shared" si="1"/>
        <v>24173.96615675441</v>
      </c>
      <c r="E40" s="167">
        <f t="shared" si="0"/>
        <v>1.3564228457539998E-2</v>
      </c>
    </row>
    <row r="41" spans="1:5" x14ac:dyDescent="0.25">
      <c r="A41" s="92" t="s">
        <v>397</v>
      </c>
      <c r="B41" s="168">
        <f>$B$5*('Rate History'!$D$4*SUMIF(Data!$G:$G,Neutral!$A41,Data!$CU:$CU)+'Rate History'!$D$5*SUMIF(Data!$G:$G,Neutral!$A41,Data!$CV:$CV)+'Rate History'!$D$6*SUMIF(Data!$G:$G,Neutral!$A41,Data!$CW:$CW)+'Rate History'!$D$7*SUMIF(Data!$G:$G,Neutral!$A41,Data!$CX:$CX)+'Rate History'!$D$8*SUMIF(Data!$G:$G,Neutral!$A41,Data!$CY:$CY)+'Rate History'!$D$9*SUMIF(Data!$G:$G,Neutral!$A41,Data!$CZ:$CZ)+'Rate History'!$D$10*SUMIF(Data!$G:$G,Neutral!$A41,Data!$DA:$DA)+'Rate History'!$D$11*SUMIF(Data!$G:$G,Neutral!$A41,Data!$DB:$DB)+'Rate History'!$D$12*SUMIF(Data!$G:$G,Neutral!$A41,Data!$DC:$DC)+'Rate History'!$D$13*SUMIF(Data!$G:$G,Neutral!$A41,Data!$DD:$DD)+'Rate History'!$D$14*SUMIF(Data!$G:$G,Neutral!$A41,Data!$DE:$DE)+'Rate History'!$D$15*SUMIF(Data!$G:$G,Neutral!$A41,Data!$DF:$DF)+'Rate History'!$D$16*SUMIF(Data!$G:$G,Neutral!$A41,Data!$DG:$DG)+'Rate History'!$D$17*SUMIF(Data!$G:$G,Neutral!$A41,Data!$DH:$DH)+'Rate History'!$D$18*SUMIF(Data!$G:$G,Neutral!$A41,Data!$DI:$DI)+'Rate History'!$D$19*SUMIF(Data!$G:$G,Neutral!$A41,Data!$DJ:$DJ)+'Rate History'!$D$20*SUMIF(Data!$G:$G,Neutral!$A41,Data!$DK:$DK)+'Rate History'!$D$21*SUMIF(Data!$G:$G,Neutral!$A41,Data!$DL:$DL)+'Rate History'!$D$22*SUMIF(Data!$G:$G,Neutral!$A41,Data!$DM:$DM)+'Rate History'!$D$23*SUMIF(Data!$G:$G,Neutral!$A41,Data!$DN:$DN)+'Rate History'!$D$24*SUMIF(Data!$G:$G,Neutral!$A41,Data!$DO:$DO)+'Rate History'!$D$25*SUMIF(Data!$G:$G,Neutral!$A41,Data!$DP:$DP)+'Rate History'!$D$26*SUMIF(Data!$G:$G,Neutral!$A41,Data!$DQ:$DQ)+'Rate History'!$D$27*SUMIF(Data!$G:$G,Neutral!$A41,Data!$DR:$DR)+'Rate History'!$D$28*SUMIF(Data!$G:$G,Neutral!$A41,Data!$DS:$DS)+'Rate History'!$D$29*SUMIF(Data!$G:$G,Neutral!$A41,Data!$DT:$DT)+'Rate History'!$D$30*SUMIF(Data!$G:$G,Neutral!$A41,Data!$DV:$DV)+'Rate History'!$D$31*SUMIF(Data!$G:$G,Neutral!$A41,Data!$DW:$DW))</f>
        <v>35199984.70846533</v>
      </c>
      <c r="C41" s="168">
        <f>$C$5*('Rate History'!$C$4*SUMIF(Data!$G:$G,Neutral!$A41,Data!$CU:$CU)+'Rate History'!$C$5*SUMIF(Data!$G:$G,Neutral!$A41,Data!$CV:$CV)+'Rate History'!$C$6*SUMIF(Data!$G:$G,Neutral!$A41,Data!$CW:$CW)+'Rate History'!$C$7*SUMIF(Data!$G:$G,Neutral!$A41,Data!$CX:$CX)+'Rate History'!$C$8*SUMIF(Data!$G:$G,Neutral!$A41,Data!$CY:$CY)+'Rate History'!$C$9*SUMIF(Data!$G:$G,Neutral!$A41,Data!$CZ:$CZ)+'Rate History'!$C$10*SUMIF(Data!$G:$G,Neutral!$A41,Data!$DA:$DA)+'Rate History'!$C$11*SUMIF(Data!$G:$G,Neutral!$A41,Data!$DB:$DB)+'Rate History'!$C$12*SUMIF(Data!$G:$G,Neutral!$A41,Data!$DC:$DC)+'Rate History'!$C$13*SUMIF(Data!$G:$G,Neutral!$A41,Data!$DD:$DD)+'Rate History'!$C$14*SUMIF(Data!$G:$G,Neutral!$A41,Data!$DE:$DE)+'Rate History'!$C$15*SUMIF(Data!$G:$G,Neutral!$A41,Data!$DF:$DF)+'Rate History'!$C$16*SUMIF(Data!$G:$G,Neutral!$A41,Data!$DG:$DG)+'Rate History'!$C$17*SUMIF(Data!$G:$G,Neutral!$A41,Data!$DH:$DH)+'Rate History'!$C$18*SUMIF(Data!$G:$G,Neutral!$A41,Data!$DI:$DI)+'Rate History'!$C$19*SUMIF(Data!$G:$G,Neutral!$A41,Data!$DJ:$DJ)+'Rate History'!$C$20*SUMIF(Data!$G:$G,Neutral!$A41,Data!$DK:$DK)+'Rate History'!$C$21*SUMIF(Data!$G:$G,Neutral!$A41,Data!$DL:$DL)+'Rate History'!$C$22*SUMIF(Data!$G:$G,Neutral!$A41,Data!$DM:$DM)+'Rate History'!$C$23*SUMIF(Data!$G:$G,Neutral!$A41,Data!$DN:$DN)+'Rate History'!$C$24*SUMIF(Data!$G:$G,Neutral!$A41,Data!$DO:$DO)+'Rate History'!$C$25*SUMIF(Data!$G:$G,Neutral!$A41,Data!$DP:$DP)+'Rate History'!$C$26*SUMIF(Data!$G:$G,Neutral!$A41,Data!$DQ:$DQ)+'Rate History'!$C$27*SUMIF(Data!$G:$G,Neutral!$A41,Data!$DR:$DR)+'Rate History'!$C$28*SUMIF(Data!$G:$G,Neutral!$A41,Data!$DS:$DS)+'Rate History'!$C$29*SUMIF(Data!$G:$G,Neutral!$A41,Data!$DT:$DT)+'Rate History'!$C$30*SUMIF(Data!$G:$G,Neutral!$A41,Data!$DV:$DV)+'Rate History'!$C$31*SUMIF(Data!$G:$G,Neutral!$A41,Data!$DW:$DW))</f>
        <v>35098583.520641327</v>
      </c>
      <c r="D41" s="169">
        <f t="shared" si="1"/>
        <v>-101401.1878240034</v>
      </c>
      <c r="E41" s="167">
        <f t="shared" si="0"/>
        <v>-2.880716814618876E-3</v>
      </c>
    </row>
    <row r="42" spans="1:5" x14ac:dyDescent="0.25">
      <c r="A42" s="92" t="s">
        <v>399</v>
      </c>
      <c r="B42" s="168">
        <f>$B$5*('Rate History'!$D$4*SUMIF(Data!$G:$G,Neutral!$A42,Data!$CU:$CU)+'Rate History'!$D$5*SUMIF(Data!$G:$G,Neutral!$A42,Data!$CV:$CV)+'Rate History'!$D$6*SUMIF(Data!$G:$G,Neutral!$A42,Data!$CW:$CW)+'Rate History'!$D$7*SUMIF(Data!$G:$G,Neutral!$A42,Data!$CX:$CX)+'Rate History'!$D$8*SUMIF(Data!$G:$G,Neutral!$A42,Data!$CY:$CY)+'Rate History'!$D$9*SUMIF(Data!$G:$G,Neutral!$A42,Data!$CZ:$CZ)+'Rate History'!$D$10*SUMIF(Data!$G:$G,Neutral!$A42,Data!$DA:$DA)+'Rate History'!$D$11*SUMIF(Data!$G:$G,Neutral!$A42,Data!$DB:$DB)+'Rate History'!$D$12*SUMIF(Data!$G:$G,Neutral!$A42,Data!$DC:$DC)+'Rate History'!$D$13*SUMIF(Data!$G:$G,Neutral!$A42,Data!$DD:$DD)+'Rate History'!$D$14*SUMIF(Data!$G:$G,Neutral!$A42,Data!$DE:$DE)+'Rate History'!$D$15*SUMIF(Data!$G:$G,Neutral!$A42,Data!$DF:$DF)+'Rate History'!$D$16*SUMIF(Data!$G:$G,Neutral!$A42,Data!$DG:$DG)+'Rate History'!$D$17*SUMIF(Data!$G:$G,Neutral!$A42,Data!$DH:$DH)+'Rate History'!$D$18*SUMIF(Data!$G:$G,Neutral!$A42,Data!$DI:$DI)+'Rate History'!$D$19*SUMIF(Data!$G:$G,Neutral!$A42,Data!$DJ:$DJ)+'Rate History'!$D$20*SUMIF(Data!$G:$G,Neutral!$A42,Data!$DK:$DK)+'Rate History'!$D$21*SUMIF(Data!$G:$G,Neutral!$A42,Data!$DL:$DL)+'Rate History'!$D$22*SUMIF(Data!$G:$G,Neutral!$A42,Data!$DM:$DM)+'Rate History'!$D$23*SUMIF(Data!$G:$G,Neutral!$A42,Data!$DN:$DN)+'Rate History'!$D$24*SUMIF(Data!$G:$G,Neutral!$A42,Data!$DO:$DO)+'Rate History'!$D$25*SUMIF(Data!$G:$G,Neutral!$A42,Data!$DP:$DP)+'Rate History'!$D$26*SUMIF(Data!$G:$G,Neutral!$A42,Data!$DQ:$DQ)+'Rate History'!$D$27*SUMIF(Data!$G:$G,Neutral!$A42,Data!$DR:$DR)+'Rate History'!$D$28*SUMIF(Data!$G:$G,Neutral!$A42,Data!$DS:$DS)+'Rate History'!$D$29*SUMIF(Data!$G:$G,Neutral!$A42,Data!$DT:$DT)+'Rate History'!$D$30*SUMIF(Data!$G:$G,Neutral!$A42,Data!$DV:$DV)+'Rate History'!$D$31*SUMIF(Data!$G:$G,Neutral!$A42,Data!$DW:$DW))</f>
        <v>13535416.232190581</v>
      </c>
      <c r="C42" s="168">
        <f>$C$5*('Rate History'!$C$4*SUMIF(Data!$G:$G,Neutral!$A42,Data!$CU:$CU)+'Rate History'!$C$5*SUMIF(Data!$G:$G,Neutral!$A42,Data!$CV:$CV)+'Rate History'!$C$6*SUMIF(Data!$G:$G,Neutral!$A42,Data!$CW:$CW)+'Rate History'!$C$7*SUMIF(Data!$G:$G,Neutral!$A42,Data!$CX:$CX)+'Rate History'!$C$8*SUMIF(Data!$G:$G,Neutral!$A42,Data!$CY:$CY)+'Rate History'!$C$9*SUMIF(Data!$G:$G,Neutral!$A42,Data!$CZ:$CZ)+'Rate History'!$C$10*SUMIF(Data!$G:$G,Neutral!$A42,Data!$DA:$DA)+'Rate History'!$C$11*SUMIF(Data!$G:$G,Neutral!$A42,Data!$DB:$DB)+'Rate History'!$C$12*SUMIF(Data!$G:$G,Neutral!$A42,Data!$DC:$DC)+'Rate History'!$C$13*SUMIF(Data!$G:$G,Neutral!$A42,Data!$DD:$DD)+'Rate History'!$C$14*SUMIF(Data!$G:$G,Neutral!$A42,Data!$DE:$DE)+'Rate History'!$C$15*SUMIF(Data!$G:$G,Neutral!$A42,Data!$DF:$DF)+'Rate History'!$C$16*SUMIF(Data!$G:$G,Neutral!$A42,Data!$DG:$DG)+'Rate History'!$C$17*SUMIF(Data!$G:$G,Neutral!$A42,Data!$DH:$DH)+'Rate History'!$C$18*SUMIF(Data!$G:$G,Neutral!$A42,Data!$DI:$DI)+'Rate History'!$C$19*SUMIF(Data!$G:$G,Neutral!$A42,Data!$DJ:$DJ)+'Rate History'!$C$20*SUMIF(Data!$G:$G,Neutral!$A42,Data!$DK:$DK)+'Rate History'!$C$21*SUMIF(Data!$G:$G,Neutral!$A42,Data!$DL:$DL)+'Rate History'!$C$22*SUMIF(Data!$G:$G,Neutral!$A42,Data!$DM:$DM)+'Rate History'!$C$23*SUMIF(Data!$G:$G,Neutral!$A42,Data!$DN:$DN)+'Rate History'!$C$24*SUMIF(Data!$G:$G,Neutral!$A42,Data!$DO:$DO)+'Rate History'!$C$25*SUMIF(Data!$G:$G,Neutral!$A42,Data!$DP:$DP)+'Rate History'!$C$26*SUMIF(Data!$G:$G,Neutral!$A42,Data!$DQ:$DQ)+'Rate History'!$C$27*SUMIF(Data!$G:$G,Neutral!$A42,Data!$DR:$DR)+'Rate History'!$C$28*SUMIF(Data!$G:$G,Neutral!$A42,Data!$DS:$DS)+'Rate History'!$C$29*SUMIF(Data!$G:$G,Neutral!$A42,Data!$DT:$DT)+'Rate History'!$C$30*SUMIF(Data!$G:$G,Neutral!$A42,Data!$DV:$DV)+'Rate History'!$C$31*SUMIF(Data!$G:$G,Neutral!$A42,Data!$DW:$DW))</f>
        <v>13647094.208745532</v>
      </c>
      <c r="D42" s="169">
        <f t="shared" si="1"/>
        <v>111677.9765549507</v>
      </c>
      <c r="E42" s="167">
        <f t="shared" si="0"/>
        <v>8.2507973629471938E-3</v>
      </c>
    </row>
    <row r="43" spans="1:5" x14ac:dyDescent="0.25">
      <c r="A43" s="92" t="s">
        <v>456</v>
      </c>
      <c r="B43" s="168">
        <f>$B$5*('Rate History'!$D$4*SUMIF(Data!$G:$G,Neutral!$A43,Data!$CU:$CU)+'Rate History'!$D$5*SUMIF(Data!$G:$G,Neutral!$A43,Data!$CV:$CV)+'Rate History'!$D$6*SUMIF(Data!$G:$G,Neutral!$A43,Data!$CW:$CW)+'Rate History'!$D$7*SUMIF(Data!$G:$G,Neutral!$A43,Data!$CX:$CX)+'Rate History'!$D$8*SUMIF(Data!$G:$G,Neutral!$A43,Data!$CY:$CY)+'Rate History'!$D$9*SUMIF(Data!$G:$G,Neutral!$A43,Data!$CZ:$CZ)+'Rate History'!$D$10*SUMIF(Data!$G:$G,Neutral!$A43,Data!$DA:$DA)+'Rate History'!$D$11*SUMIF(Data!$G:$G,Neutral!$A43,Data!$DB:$DB)+'Rate History'!$D$12*SUMIF(Data!$G:$G,Neutral!$A43,Data!$DC:$DC)+'Rate History'!$D$13*SUMIF(Data!$G:$G,Neutral!$A43,Data!$DD:$DD)+'Rate History'!$D$14*SUMIF(Data!$G:$G,Neutral!$A43,Data!$DE:$DE)+'Rate History'!$D$15*SUMIF(Data!$G:$G,Neutral!$A43,Data!$DF:$DF)+'Rate History'!$D$16*SUMIF(Data!$G:$G,Neutral!$A43,Data!$DG:$DG)+'Rate History'!$D$17*SUMIF(Data!$G:$G,Neutral!$A43,Data!$DH:$DH)+'Rate History'!$D$18*SUMIF(Data!$G:$G,Neutral!$A43,Data!$DI:$DI)+'Rate History'!$D$19*SUMIF(Data!$G:$G,Neutral!$A43,Data!$DJ:$DJ)+'Rate History'!$D$20*SUMIF(Data!$G:$G,Neutral!$A43,Data!$DK:$DK)+'Rate History'!$D$21*SUMIF(Data!$G:$G,Neutral!$A43,Data!$DL:$DL)+'Rate History'!$D$22*SUMIF(Data!$G:$G,Neutral!$A43,Data!$DM:$DM)+'Rate History'!$D$23*SUMIF(Data!$G:$G,Neutral!$A43,Data!$DN:$DN)+'Rate History'!$D$24*SUMIF(Data!$G:$G,Neutral!$A43,Data!$DO:$DO)+'Rate History'!$D$25*SUMIF(Data!$G:$G,Neutral!$A43,Data!$DP:$DP)+'Rate History'!$D$26*SUMIF(Data!$G:$G,Neutral!$A43,Data!$DQ:$DQ)+'Rate History'!$D$27*SUMIF(Data!$G:$G,Neutral!$A43,Data!$DR:$DR)+'Rate History'!$D$28*SUMIF(Data!$G:$G,Neutral!$A43,Data!$DS:$DS)+'Rate History'!$D$29*SUMIF(Data!$G:$G,Neutral!$A43,Data!$DT:$DT)+'Rate History'!$D$30*SUMIF(Data!$G:$G,Neutral!$A43,Data!$DV:$DV)+'Rate History'!$D$31*SUMIF(Data!$G:$G,Neutral!$A43,Data!$DW:$DW))</f>
        <v>18737104.60256226</v>
      </c>
      <c r="C43" s="168">
        <f>$C$5*('Rate History'!$C$4*SUMIF(Data!$G:$G,Neutral!$A43,Data!$CU:$CU)+'Rate History'!$C$5*SUMIF(Data!$G:$G,Neutral!$A43,Data!$CV:$CV)+'Rate History'!$C$6*SUMIF(Data!$G:$G,Neutral!$A43,Data!$CW:$CW)+'Rate History'!$C$7*SUMIF(Data!$G:$G,Neutral!$A43,Data!$CX:$CX)+'Rate History'!$C$8*SUMIF(Data!$G:$G,Neutral!$A43,Data!$CY:$CY)+'Rate History'!$C$9*SUMIF(Data!$G:$G,Neutral!$A43,Data!$CZ:$CZ)+'Rate History'!$C$10*SUMIF(Data!$G:$G,Neutral!$A43,Data!$DA:$DA)+'Rate History'!$C$11*SUMIF(Data!$G:$G,Neutral!$A43,Data!$DB:$DB)+'Rate History'!$C$12*SUMIF(Data!$G:$G,Neutral!$A43,Data!$DC:$DC)+'Rate History'!$C$13*SUMIF(Data!$G:$G,Neutral!$A43,Data!$DD:$DD)+'Rate History'!$C$14*SUMIF(Data!$G:$G,Neutral!$A43,Data!$DE:$DE)+'Rate History'!$C$15*SUMIF(Data!$G:$G,Neutral!$A43,Data!$DF:$DF)+'Rate History'!$C$16*SUMIF(Data!$G:$G,Neutral!$A43,Data!$DG:$DG)+'Rate History'!$C$17*SUMIF(Data!$G:$G,Neutral!$A43,Data!$DH:$DH)+'Rate History'!$C$18*SUMIF(Data!$G:$G,Neutral!$A43,Data!$DI:$DI)+'Rate History'!$C$19*SUMIF(Data!$G:$G,Neutral!$A43,Data!$DJ:$DJ)+'Rate History'!$C$20*SUMIF(Data!$G:$G,Neutral!$A43,Data!$DK:$DK)+'Rate History'!$C$21*SUMIF(Data!$G:$G,Neutral!$A43,Data!$DL:$DL)+'Rate History'!$C$22*SUMIF(Data!$G:$G,Neutral!$A43,Data!$DM:$DM)+'Rate History'!$C$23*SUMIF(Data!$G:$G,Neutral!$A43,Data!$DN:$DN)+'Rate History'!$C$24*SUMIF(Data!$G:$G,Neutral!$A43,Data!$DO:$DO)+'Rate History'!$C$25*SUMIF(Data!$G:$G,Neutral!$A43,Data!$DP:$DP)+'Rate History'!$C$26*SUMIF(Data!$G:$G,Neutral!$A43,Data!$DQ:$DQ)+'Rate History'!$C$27*SUMIF(Data!$G:$G,Neutral!$A43,Data!$DR:$DR)+'Rate History'!$C$28*SUMIF(Data!$G:$G,Neutral!$A43,Data!$DS:$DS)+'Rate History'!$C$29*SUMIF(Data!$G:$G,Neutral!$A43,Data!$DT:$DT)+'Rate History'!$C$30*SUMIF(Data!$G:$G,Neutral!$A43,Data!$DV:$DV)+'Rate History'!$C$31*SUMIF(Data!$G:$G,Neutral!$A43,Data!$DW:$DW))</f>
        <v>18829242.686494038</v>
      </c>
      <c r="D43" s="169">
        <f t="shared" si="1"/>
        <v>92138.083931777626</v>
      </c>
      <c r="E43" s="167">
        <f t="shared" si="0"/>
        <v>4.9174131161747337E-3</v>
      </c>
    </row>
    <row r="44" spans="1:5" x14ac:dyDescent="0.25">
      <c r="A44" s="92" t="s">
        <v>401</v>
      </c>
      <c r="B44" s="168">
        <f>$B$5*('Rate History'!$D$4*SUMIF(Data!$G:$G,Neutral!$A44,Data!$CU:$CU)+'Rate History'!$D$5*SUMIF(Data!$G:$G,Neutral!$A44,Data!$CV:$CV)+'Rate History'!$D$6*SUMIF(Data!$G:$G,Neutral!$A44,Data!$CW:$CW)+'Rate History'!$D$7*SUMIF(Data!$G:$G,Neutral!$A44,Data!$CX:$CX)+'Rate History'!$D$8*SUMIF(Data!$G:$G,Neutral!$A44,Data!$CY:$CY)+'Rate History'!$D$9*SUMIF(Data!$G:$G,Neutral!$A44,Data!$CZ:$CZ)+'Rate History'!$D$10*SUMIF(Data!$G:$G,Neutral!$A44,Data!$DA:$DA)+'Rate History'!$D$11*SUMIF(Data!$G:$G,Neutral!$A44,Data!$DB:$DB)+'Rate History'!$D$12*SUMIF(Data!$G:$G,Neutral!$A44,Data!$DC:$DC)+'Rate History'!$D$13*SUMIF(Data!$G:$G,Neutral!$A44,Data!$DD:$DD)+'Rate History'!$D$14*SUMIF(Data!$G:$G,Neutral!$A44,Data!$DE:$DE)+'Rate History'!$D$15*SUMIF(Data!$G:$G,Neutral!$A44,Data!$DF:$DF)+'Rate History'!$D$16*SUMIF(Data!$G:$G,Neutral!$A44,Data!$DG:$DG)+'Rate History'!$D$17*SUMIF(Data!$G:$G,Neutral!$A44,Data!$DH:$DH)+'Rate History'!$D$18*SUMIF(Data!$G:$G,Neutral!$A44,Data!$DI:$DI)+'Rate History'!$D$19*SUMIF(Data!$G:$G,Neutral!$A44,Data!$DJ:$DJ)+'Rate History'!$D$20*SUMIF(Data!$G:$G,Neutral!$A44,Data!$DK:$DK)+'Rate History'!$D$21*SUMIF(Data!$G:$G,Neutral!$A44,Data!$DL:$DL)+'Rate History'!$D$22*SUMIF(Data!$G:$G,Neutral!$A44,Data!$DM:$DM)+'Rate History'!$D$23*SUMIF(Data!$G:$G,Neutral!$A44,Data!$DN:$DN)+'Rate History'!$D$24*SUMIF(Data!$G:$G,Neutral!$A44,Data!$DO:$DO)+'Rate History'!$D$25*SUMIF(Data!$G:$G,Neutral!$A44,Data!$DP:$DP)+'Rate History'!$D$26*SUMIF(Data!$G:$G,Neutral!$A44,Data!$DQ:$DQ)+'Rate History'!$D$27*SUMIF(Data!$G:$G,Neutral!$A44,Data!$DR:$DR)+'Rate History'!$D$28*SUMIF(Data!$G:$G,Neutral!$A44,Data!$DS:$DS)+'Rate History'!$D$29*SUMIF(Data!$G:$G,Neutral!$A44,Data!$DT:$DT)+'Rate History'!$D$30*SUMIF(Data!$G:$G,Neutral!$A44,Data!$DV:$DV)+'Rate History'!$D$31*SUMIF(Data!$G:$G,Neutral!$A44,Data!$DW:$DW))</f>
        <v>6319702.2343872553</v>
      </c>
      <c r="C44" s="168">
        <f>$C$5*('Rate History'!$C$4*SUMIF(Data!$G:$G,Neutral!$A44,Data!$CU:$CU)+'Rate History'!$C$5*SUMIF(Data!$G:$G,Neutral!$A44,Data!$CV:$CV)+'Rate History'!$C$6*SUMIF(Data!$G:$G,Neutral!$A44,Data!$CW:$CW)+'Rate History'!$C$7*SUMIF(Data!$G:$G,Neutral!$A44,Data!$CX:$CX)+'Rate History'!$C$8*SUMIF(Data!$G:$G,Neutral!$A44,Data!$CY:$CY)+'Rate History'!$C$9*SUMIF(Data!$G:$G,Neutral!$A44,Data!$CZ:$CZ)+'Rate History'!$C$10*SUMIF(Data!$G:$G,Neutral!$A44,Data!$DA:$DA)+'Rate History'!$C$11*SUMIF(Data!$G:$G,Neutral!$A44,Data!$DB:$DB)+'Rate History'!$C$12*SUMIF(Data!$G:$G,Neutral!$A44,Data!$DC:$DC)+'Rate History'!$C$13*SUMIF(Data!$G:$G,Neutral!$A44,Data!$DD:$DD)+'Rate History'!$C$14*SUMIF(Data!$G:$G,Neutral!$A44,Data!$DE:$DE)+'Rate History'!$C$15*SUMIF(Data!$G:$G,Neutral!$A44,Data!$DF:$DF)+'Rate History'!$C$16*SUMIF(Data!$G:$G,Neutral!$A44,Data!$DG:$DG)+'Rate History'!$C$17*SUMIF(Data!$G:$G,Neutral!$A44,Data!$DH:$DH)+'Rate History'!$C$18*SUMIF(Data!$G:$G,Neutral!$A44,Data!$DI:$DI)+'Rate History'!$C$19*SUMIF(Data!$G:$G,Neutral!$A44,Data!$DJ:$DJ)+'Rate History'!$C$20*SUMIF(Data!$G:$G,Neutral!$A44,Data!$DK:$DK)+'Rate History'!$C$21*SUMIF(Data!$G:$G,Neutral!$A44,Data!$DL:$DL)+'Rate History'!$C$22*SUMIF(Data!$G:$G,Neutral!$A44,Data!$DM:$DM)+'Rate History'!$C$23*SUMIF(Data!$G:$G,Neutral!$A44,Data!$DN:$DN)+'Rate History'!$C$24*SUMIF(Data!$G:$G,Neutral!$A44,Data!$DO:$DO)+'Rate History'!$C$25*SUMIF(Data!$G:$G,Neutral!$A44,Data!$DP:$DP)+'Rate History'!$C$26*SUMIF(Data!$G:$G,Neutral!$A44,Data!$DQ:$DQ)+'Rate History'!$C$27*SUMIF(Data!$G:$G,Neutral!$A44,Data!$DR:$DR)+'Rate History'!$C$28*SUMIF(Data!$G:$G,Neutral!$A44,Data!$DS:$DS)+'Rate History'!$C$29*SUMIF(Data!$G:$G,Neutral!$A44,Data!$DT:$DT)+'Rate History'!$C$30*SUMIF(Data!$G:$G,Neutral!$A44,Data!$DV:$DV)+'Rate History'!$C$31*SUMIF(Data!$G:$G,Neutral!$A44,Data!$DW:$DW))</f>
        <v>6379045.6681372672</v>
      </c>
      <c r="D44" s="169">
        <f t="shared" si="1"/>
        <v>59343.433750011958</v>
      </c>
      <c r="E44" s="167">
        <f t="shared" si="0"/>
        <v>9.3902262399497005E-3</v>
      </c>
    </row>
    <row r="45" spans="1:5" x14ac:dyDescent="0.25">
      <c r="A45" s="92" t="s">
        <v>402</v>
      </c>
      <c r="B45" s="168">
        <f>$B$5*('Rate History'!$D$4*SUMIF(Data!$G:$G,Neutral!$A45,Data!$CU:$CU)+'Rate History'!$D$5*SUMIF(Data!$G:$G,Neutral!$A45,Data!$CV:$CV)+'Rate History'!$D$6*SUMIF(Data!$G:$G,Neutral!$A45,Data!$CW:$CW)+'Rate History'!$D$7*SUMIF(Data!$G:$G,Neutral!$A45,Data!$CX:$CX)+'Rate History'!$D$8*SUMIF(Data!$G:$G,Neutral!$A45,Data!$CY:$CY)+'Rate History'!$D$9*SUMIF(Data!$G:$G,Neutral!$A45,Data!$CZ:$CZ)+'Rate History'!$D$10*SUMIF(Data!$G:$G,Neutral!$A45,Data!$DA:$DA)+'Rate History'!$D$11*SUMIF(Data!$G:$G,Neutral!$A45,Data!$DB:$DB)+'Rate History'!$D$12*SUMIF(Data!$G:$G,Neutral!$A45,Data!$DC:$DC)+'Rate History'!$D$13*SUMIF(Data!$G:$G,Neutral!$A45,Data!$DD:$DD)+'Rate History'!$D$14*SUMIF(Data!$G:$G,Neutral!$A45,Data!$DE:$DE)+'Rate History'!$D$15*SUMIF(Data!$G:$G,Neutral!$A45,Data!$DF:$DF)+'Rate History'!$D$16*SUMIF(Data!$G:$G,Neutral!$A45,Data!$DG:$DG)+'Rate History'!$D$17*SUMIF(Data!$G:$G,Neutral!$A45,Data!$DH:$DH)+'Rate History'!$D$18*SUMIF(Data!$G:$G,Neutral!$A45,Data!$DI:$DI)+'Rate History'!$D$19*SUMIF(Data!$G:$G,Neutral!$A45,Data!$DJ:$DJ)+'Rate History'!$D$20*SUMIF(Data!$G:$G,Neutral!$A45,Data!$DK:$DK)+'Rate History'!$D$21*SUMIF(Data!$G:$G,Neutral!$A45,Data!$DL:$DL)+'Rate History'!$D$22*SUMIF(Data!$G:$G,Neutral!$A45,Data!$DM:$DM)+'Rate History'!$D$23*SUMIF(Data!$G:$G,Neutral!$A45,Data!$DN:$DN)+'Rate History'!$D$24*SUMIF(Data!$G:$G,Neutral!$A45,Data!$DO:$DO)+'Rate History'!$D$25*SUMIF(Data!$G:$G,Neutral!$A45,Data!$DP:$DP)+'Rate History'!$D$26*SUMIF(Data!$G:$G,Neutral!$A45,Data!$DQ:$DQ)+'Rate History'!$D$27*SUMIF(Data!$G:$G,Neutral!$A45,Data!$DR:$DR)+'Rate History'!$D$28*SUMIF(Data!$G:$G,Neutral!$A45,Data!$DS:$DS)+'Rate History'!$D$29*SUMIF(Data!$G:$G,Neutral!$A45,Data!$DT:$DT)+'Rate History'!$D$30*SUMIF(Data!$G:$G,Neutral!$A45,Data!$DV:$DV)+'Rate History'!$D$31*SUMIF(Data!$G:$G,Neutral!$A45,Data!$DW:$DW))</f>
        <v>39926049.288507879</v>
      </c>
      <c r="C45" s="168">
        <f>$C$5*('Rate History'!$C$4*SUMIF(Data!$G:$G,Neutral!$A45,Data!$CU:$CU)+'Rate History'!$C$5*SUMIF(Data!$G:$G,Neutral!$A45,Data!$CV:$CV)+'Rate History'!$C$6*SUMIF(Data!$G:$G,Neutral!$A45,Data!$CW:$CW)+'Rate History'!$C$7*SUMIF(Data!$G:$G,Neutral!$A45,Data!$CX:$CX)+'Rate History'!$C$8*SUMIF(Data!$G:$G,Neutral!$A45,Data!$CY:$CY)+'Rate History'!$C$9*SUMIF(Data!$G:$G,Neutral!$A45,Data!$CZ:$CZ)+'Rate History'!$C$10*SUMIF(Data!$G:$G,Neutral!$A45,Data!$DA:$DA)+'Rate History'!$C$11*SUMIF(Data!$G:$G,Neutral!$A45,Data!$DB:$DB)+'Rate History'!$C$12*SUMIF(Data!$G:$G,Neutral!$A45,Data!$DC:$DC)+'Rate History'!$C$13*SUMIF(Data!$G:$G,Neutral!$A45,Data!$DD:$DD)+'Rate History'!$C$14*SUMIF(Data!$G:$G,Neutral!$A45,Data!$DE:$DE)+'Rate History'!$C$15*SUMIF(Data!$G:$G,Neutral!$A45,Data!$DF:$DF)+'Rate History'!$C$16*SUMIF(Data!$G:$G,Neutral!$A45,Data!$DG:$DG)+'Rate History'!$C$17*SUMIF(Data!$G:$G,Neutral!$A45,Data!$DH:$DH)+'Rate History'!$C$18*SUMIF(Data!$G:$G,Neutral!$A45,Data!$DI:$DI)+'Rate History'!$C$19*SUMIF(Data!$G:$G,Neutral!$A45,Data!$DJ:$DJ)+'Rate History'!$C$20*SUMIF(Data!$G:$G,Neutral!$A45,Data!$DK:$DK)+'Rate History'!$C$21*SUMIF(Data!$G:$G,Neutral!$A45,Data!$DL:$DL)+'Rate History'!$C$22*SUMIF(Data!$G:$G,Neutral!$A45,Data!$DM:$DM)+'Rate History'!$C$23*SUMIF(Data!$G:$G,Neutral!$A45,Data!$DN:$DN)+'Rate History'!$C$24*SUMIF(Data!$G:$G,Neutral!$A45,Data!$DO:$DO)+'Rate History'!$C$25*SUMIF(Data!$G:$G,Neutral!$A45,Data!$DP:$DP)+'Rate History'!$C$26*SUMIF(Data!$G:$G,Neutral!$A45,Data!$DQ:$DQ)+'Rate History'!$C$27*SUMIF(Data!$G:$G,Neutral!$A45,Data!$DR:$DR)+'Rate History'!$C$28*SUMIF(Data!$G:$G,Neutral!$A45,Data!$DS:$DS)+'Rate History'!$C$29*SUMIF(Data!$G:$G,Neutral!$A45,Data!$DT:$DT)+'Rate History'!$C$30*SUMIF(Data!$G:$G,Neutral!$A45,Data!$DV:$DV)+'Rate History'!$C$31*SUMIF(Data!$G:$G,Neutral!$A45,Data!$DW:$DW))</f>
        <v>40088011.736231185</v>
      </c>
      <c r="D45" s="169">
        <f t="shared" si="1"/>
        <v>161962.44772330672</v>
      </c>
      <c r="E45" s="167">
        <f t="shared" si="0"/>
        <v>4.0565608320762454E-3</v>
      </c>
    </row>
    <row r="46" spans="1:5" x14ac:dyDescent="0.25">
      <c r="A46" s="92" t="s">
        <v>404</v>
      </c>
      <c r="B46" s="168">
        <f>$B$5*('Rate History'!$D$4*SUMIF(Data!$G:$G,Neutral!$A46,Data!$CU:$CU)+'Rate History'!$D$5*SUMIF(Data!$G:$G,Neutral!$A46,Data!$CV:$CV)+'Rate History'!$D$6*SUMIF(Data!$G:$G,Neutral!$A46,Data!$CW:$CW)+'Rate History'!$D$7*SUMIF(Data!$G:$G,Neutral!$A46,Data!$CX:$CX)+'Rate History'!$D$8*SUMIF(Data!$G:$G,Neutral!$A46,Data!$CY:$CY)+'Rate History'!$D$9*SUMIF(Data!$G:$G,Neutral!$A46,Data!$CZ:$CZ)+'Rate History'!$D$10*SUMIF(Data!$G:$G,Neutral!$A46,Data!$DA:$DA)+'Rate History'!$D$11*SUMIF(Data!$G:$G,Neutral!$A46,Data!$DB:$DB)+'Rate History'!$D$12*SUMIF(Data!$G:$G,Neutral!$A46,Data!$DC:$DC)+'Rate History'!$D$13*SUMIF(Data!$G:$G,Neutral!$A46,Data!$DD:$DD)+'Rate History'!$D$14*SUMIF(Data!$G:$G,Neutral!$A46,Data!$DE:$DE)+'Rate History'!$D$15*SUMIF(Data!$G:$G,Neutral!$A46,Data!$DF:$DF)+'Rate History'!$D$16*SUMIF(Data!$G:$G,Neutral!$A46,Data!$DG:$DG)+'Rate History'!$D$17*SUMIF(Data!$G:$G,Neutral!$A46,Data!$DH:$DH)+'Rate History'!$D$18*SUMIF(Data!$G:$G,Neutral!$A46,Data!$DI:$DI)+'Rate History'!$D$19*SUMIF(Data!$G:$G,Neutral!$A46,Data!$DJ:$DJ)+'Rate History'!$D$20*SUMIF(Data!$G:$G,Neutral!$A46,Data!$DK:$DK)+'Rate History'!$D$21*SUMIF(Data!$G:$G,Neutral!$A46,Data!$DL:$DL)+'Rate History'!$D$22*SUMIF(Data!$G:$G,Neutral!$A46,Data!$DM:$DM)+'Rate History'!$D$23*SUMIF(Data!$G:$G,Neutral!$A46,Data!$DN:$DN)+'Rate History'!$D$24*SUMIF(Data!$G:$G,Neutral!$A46,Data!$DO:$DO)+'Rate History'!$D$25*SUMIF(Data!$G:$G,Neutral!$A46,Data!$DP:$DP)+'Rate History'!$D$26*SUMIF(Data!$G:$G,Neutral!$A46,Data!$DQ:$DQ)+'Rate History'!$D$27*SUMIF(Data!$G:$G,Neutral!$A46,Data!$DR:$DR)+'Rate History'!$D$28*SUMIF(Data!$G:$G,Neutral!$A46,Data!$DS:$DS)+'Rate History'!$D$29*SUMIF(Data!$G:$G,Neutral!$A46,Data!$DT:$DT)+'Rate History'!$D$30*SUMIF(Data!$G:$G,Neutral!$A46,Data!$DV:$DV)+'Rate History'!$D$31*SUMIF(Data!$G:$G,Neutral!$A46,Data!$DW:$DW))</f>
        <v>6210626.6857168162</v>
      </c>
      <c r="C46" s="168">
        <f>$C$5*('Rate History'!$C$4*SUMIF(Data!$G:$G,Neutral!$A46,Data!$CU:$CU)+'Rate History'!$C$5*SUMIF(Data!$G:$G,Neutral!$A46,Data!$CV:$CV)+'Rate History'!$C$6*SUMIF(Data!$G:$G,Neutral!$A46,Data!$CW:$CW)+'Rate History'!$C$7*SUMIF(Data!$G:$G,Neutral!$A46,Data!$CX:$CX)+'Rate History'!$C$8*SUMIF(Data!$G:$G,Neutral!$A46,Data!$CY:$CY)+'Rate History'!$C$9*SUMIF(Data!$G:$G,Neutral!$A46,Data!$CZ:$CZ)+'Rate History'!$C$10*SUMIF(Data!$G:$G,Neutral!$A46,Data!$DA:$DA)+'Rate History'!$C$11*SUMIF(Data!$G:$G,Neutral!$A46,Data!$DB:$DB)+'Rate History'!$C$12*SUMIF(Data!$G:$G,Neutral!$A46,Data!$DC:$DC)+'Rate History'!$C$13*SUMIF(Data!$G:$G,Neutral!$A46,Data!$DD:$DD)+'Rate History'!$C$14*SUMIF(Data!$G:$G,Neutral!$A46,Data!$DE:$DE)+'Rate History'!$C$15*SUMIF(Data!$G:$G,Neutral!$A46,Data!$DF:$DF)+'Rate History'!$C$16*SUMIF(Data!$G:$G,Neutral!$A46,Data!$DG:$DG)+'Rate History'!$C$17*SUMIF(Data!$G:$G,Neutral!$A46,Data!$DH:$DH)+'Rate History'!$C$18*SUMIF(Data!$G:$G,Neutral!$A46,Data!$DI:$DI)+'Rate History'!$C$19*SUMIF(Data!$G:$G,Neutral!$A46,Data!$DJ:$DJ)+'Rate History'!$C$20*SUMIF(Data!$G:$G,Neutral!$A46,Data!$DK:$DK)+'Rate History'!$C$21*SUMIF(Data!$G:$G,Neutral!$A46,Data!$DL:$DL)+'Rate History'!$C$22*SUMIF(Data!$G:$G,Neutral!$A46,Data!$DM:$DM)+'Rate History'!$C$23*SUMIF(Data!$G:$G,Neutral!$A46,Data!$DN:$DN)+'Rate History'!$C$24*SUMIF(Data!$G:$G,Neutral!$A46,Data!$DO:$DO)+'Rate History'!$C$25*SUMIF(Data!$G:$G,Neutral!$A46,Data!$DP:$DP)+'Rate History'!$C$26*SUMIF(Data!$G:$G,Neutral!$A46,Data!$DQ:$DQ)+'Rate History'!$C$27*SUMIF(Data!$G:$G,Neutral!$A46,Data!$DR:$DR)+'Rate History'!$C$28*SUMIF(Data!$G:$G,Neutral!$A46,Data!$DS:$DS)+'Rate History'!$C$29*SUMIF(Data!$G:$G,Neutral!$A46,Data!$DT:$DT)+'Rate History'!$C$30*SUMIF(Data!$G:$G,Neutral!$A46,Data!$DV:$DV)+'Rate History'!$C$31*SUMIF(Data!$G:$G,Neutral!$A46,Data!$DW:$DW))</f>
        <v>6165237.8996612709</v>
      </c>
      <c r="D46" s="169">
        <f t="shared" si="1"/>
        <v>-45388.786055545323</v>
      </c>
      <c r="E46" s="167">
        <f t="shared" si="0"/>
        <v>-7.3082457459454683E-3</v>
      </c>
    </row>
    <row r="47" spans="1:5" x14ac:dyDescent="0.25">
      <c r="A47" s="92" t="s">
        <v>406</v>
      </c>
      <c r="B47" s="168">
        <f>$B$5*('Rate History'!$D$4*SUMIF(Data!$G:$G,Neutral!$A47,Data!$CU:$CU)+'Rate History'!$D$5*SUMIF(Data!$G:$G,Neutral!$A47,Data!$CV:$CV)+'Rate History'!$D$6*SUMIF(Data!$G:$G,Neutral!$A47,Data!$CW:$CW)+'Rate History'!$D$7*SUMIF(Data!$G:$G,Neutral!$A47,Data!$CX:$CX)+'Rate History'!$D$8*SUMIF(Data!$G:$G,Neutral!$A47,Data!$CY:$CY)+'Rate History'!$D$9*SUMIF(Data!$G:$G,Neutral!$A47,Data!$CZ:$CZ)+'Rate History'!$D$10*SUMIF(Data!$G:$G,Neutral!$A47,Data!$DA:$DA)+'Rate History'!$D$11*SUMIF(Data!$G:$G,Neutral!$A47,Data!$DB:$DB)+'Rate History'!$D$12*SUMIF(Data!$G:$G,Neutral!$A47,Data!$DC:$DC)+'Rate History'!$D$13*SUMIF(Data!$G:$G,Neutral!$A47,Data!$DD:$DD)+'Rate History'!$D$14*SUMIF(Data!$G:$G,Neutral!$A47,Data!$DE:$DE)+'Rate History'!$D$15*SUMIF(Data!$G:$G,Neutral!$A47,Data!$DF:$DF)+'Rate History'!$D$16*SUMIF(Data!$G:$G,Neutral!$A47,Data!$DG:$DG)+'Rate History'!$D$17*SUMIF(Data!$G:$G,Neutral!$A47,Data!$DH:$DH)+'Rate History'!$D$18*SUMIF(Data!$G:$G,Neutral!$A47,Data!$DI:$DI)+'Rate History'!$D$19*SUMIF(Data!$G:$G,Neutral!$A47,Data!$DJ:$DJ)+'Rate History'!$D$20*SUMIF(Data!$G:$G,Neutral!$A47,Data!$DK:$DK)+'Rate History'!$D$21*SUMIF(Data!$G:$G,Neutral!$A47,Data!$DL:$DL)+'Rate History'!$D$22*SUMIF(Data!$G:$G,Neutral!$A47,Data!$DM:$DM)+'Rate History'!$D$23*SUMIF(Data!$G:$G,Neutral!$A47,Data!$DN:$DN)+'Rate History'!$D$24*SUMIF(Data!$G:$G,Neutral!$A47,Data!$DO:$DO)+'Rate History'!$D$25*SUMIF(Data!$G:$G,Neutral!$A47,Data!$DP:$DP)+'Rate History'!$D$26*SUMIF(Data!$G:$G,Neutral!$A47,Data!$DQ:$DQ)+'Rate History'!$D$27*SUMIF(Data!$G:$G,Neutral!$A47,Data!$DR:$DR)+'Rate History'!$D$28*SUMIF(Data!$G:$G,Neutral!$A47,Data!$DS:$DS)+'Rate History'!$D$29*SUMIF(Data!$G:$G,Neutral!$A47,Data!$DT:$DT)+'Rate History'!$D$30*SUMIF(Data!$G:$G,Neutral!$A47,Data!$DV:$DV)+'Rate History'!$D$31*SUMIF(Data!$G:$G,Neutral!$A47,Data!$DW:$DW))</f>
        <v>8990423.1674630027</v>
      </c>
      <c r="C47" s="168">
        <f>$C$5*('Rate History'!$C$4*SUMIF(Data!$G:$G,Neutral!$A47,Data!$CU:$CU)+'Rate History'!$C$5*SUMIF(Data!$G:$G,Neutral!$A47,Data!$CV:$CV)+'Rate History'!$C$6*SUMIF(Data!$G:$G,Neutral!$A47,Data!$CW:$CW)+'Rate History'!$C$7*SUMIF(Data!$G:$G,Neutral!$A47,Data!$CX:$CX)+'Rate History'!$C$8*SUMIF(Data!$G:$G,Neutral!$A47,Data!$CY:$CY)+'Rate History'!$C$9*SUMIF(Data!$G:$G,Neutral!$A47,Data!$CZ:$CZ)+'Rate History'!$C$10*SUMIF(Data!$G:$G,Neutral!$A47,Data!$DA:$DA)+'Rate History'!$C$11*SUMIF(Data!$G:$G,Neutral!$A47,Data!$DB:$DB)+'Rate History'!$C$12*SUMIF(Data!$G:$G,Neutral!$A47,Data!$DC:$DC)+'Rate History'!$C$13*SUMIF(Data!$G:$G,Neutral!$A47,Data!$DD:$DD)+'Rate History'!$C$14*SUMIF(Data!$G:$G,Neutral!$A47,Data!$DE:$DE)+'Rate History'!$C$15*SUMIF(Data!$G:$G,Neutral!$A47,Data!$DF:$DF)+'Rate History'!$C$16*SUMIF(Data!$G:$G,Neutral!$A47,Data!$DG:$DG)+'Rate History'!$C$17*SUMIF(Data!$G:$G,Neutral!$A47,Data!$DH:$DH)+'Rate History'!$C$18*SUMIF(Data!$G:$G,Neutral!$A47,Data!$DI:$DI)+'Rate History'!$C$19*SUMIF(Data!$G:$G,Neutral!$A47,Data!$DJ:$DJ)+'Rate History'!$C$20*SUMIF(Data!$G:$G,Neutral!$A47,Data!$DK:$DK)+'Rate History'!$C$21*SUMIF(Data!$G:$G,Neutral!$A47,Data!$DL:$DL)+'Rate History'!$C$22*SUMIF(Data!$G:$G,Neutral!$A47,Data!$DM:$DM)+'Rate History'!$C$23*SUMIF(Data!$G:$G,Neutral!$A47,Data!$DN:$DN)+'Rate History'!$C$24*SUMIF(Data!$G:$G,Neutral!$A47,Data!$DO:$DO)+'Rate History'!$C$25*SUMIF(Data!$G:$G,Neutral!$A47,Data!$DP:$DP)+'Rate History'!$C$26*SUMIF(Data!$G:$G,Neutral!$A47,Data!$DQ:$DQ)+'Rate History'!$C$27*SUMIF(Data!$G:$G,Neutral!$A47,Data!$DR:$DR)+'Rate History'!$C$28*SUMIF(Data!$G:$G,Neutral!$A47,Data!$DS:$DS)+'Rate History'!$C$29*SUMIF(Data!$G:$G,Neutral!$A47,Data!$DT:$DT)+'Rate History'!$C$30*SUMIF(Data!$G:$G,Neutral!$A47,Data!$DV:$DV)+'Rate History'!$C$31*SUMIF(Data!$G:$G,Neutral!$A47,Data!$DW:$DW))</f>
        <v>9005864.746351691</v>
      </c>
      <c r="D47" s="169">
        <f t="shared" si="1"/>
        <v>15441.578888688236</v>
      </c>
      <c r="E47" s="167">
        <f t="shared" si="0"/>
        <v>1.7175586288944037E-3</v>
      </c>
    </row>
    <row r="48" spans="1:5" x14ac:dyDescent="0.25">
      <c r="A48" s="92" t="s">
        <v>410</v>
      </c>
      <c r="B48" s="168">
        <f>$B$5*('Rate History'!$D$4*SUMIF(Data!$G:$G,Neutral!$A48,Data!$CU:$CU)+'Rate History'!$D$5*SUMIF(Data!$G:$G,Neutral!$A48,Data!$CV:$CV)+'Rate History'!$D$6*SUMIF(Data!$G:$G,Neutral!$A48,Data!$CW:$CW)+'Rate History'!$D$7*SUMIF(Data!$G:$G,Neutral!$A48,Data!$CX:$CX)+'Rate History'!$D$8*SUMIF(Data!$G:$G,Neutral!$A48,Data!$CY:$CY)+'Rate History'!$D$9*SUMIF(Data!$G:$G,Neutral!$A48,Data!$CZ:$CZ)+'Rate History'!$D$10*SUMIF(Data!$G:$G,Neutral!$A48,Data!$DA:$DA)+'Rate History'!$D$11*SUMIF(Data!$G:$G,Neutral!$A48,Data!$DB:$DB)+'Rate History'!$D$12*SUMIF(Data!$G:$G,Neutral!$A48,Data!$DC:$DC)+'Rate History'!$D$13*SUMIF(Data!$G:$G,Neutral!$A48,Data!$DD:$DD)+'Rate History'!$D$14*SUMIF(Data!$G:$G,Neutral!$A48,Data!$DE:$DE)+'Rate History'!$D$15*SUMIF(Data!$G:$G,Neutral!$A48,Data!$DF:$DF)+'Rate History'!$D$16*SUMIF(Data!$G:$G,Neutral!$A48,Data!$DG:$DG)+'Rate History'!$D$17*SUMIF(Data!$G:$G,Neutral!$A48,Data!$DH:$DH)+'Rate History'!$D$18*SUMIF(Data!$G:$G,Neutral!$A48,Data!$DI:$DI)+'Rate History'!$D$19*SUMIF(Data!$G:$G,Neutral!$A48,Data!$DJ:$DJ)+'Rate History'!$D$20*SUMIF(Data!$G:$G,Neutral!$A48,Data!$DK:$DK)+'Rate History'!$D$21*SUMIF(Data!$G:$G,Neutral!$A48,Data!$DL:$DL)+'Rate History'!$D$22*SUMIF(Data!$G:$G,Neutral!$A48,Data!$DM:$DM)+'Rate History'!$D$23*SUMIF(Data!$G:$G,Neutral!$A48,Data!$DN:$DN)+'Rate History'!$D$24*SUMIF(Data!$G:$G,Neutral!$A48,Data!$DO:$DO)+'Rate History'!$D$25*SUMIF(Data!$G:$G,Neutral!$A48,Data!$DP:$DP)+'Rate History'!$D$26*SUMIF(Data!$G:$G,Neutral!$A48,Data!$DQ:$DQ)+'Rate History'!$D$27*SUMIF(Data!$G:$G,Neutral!$A48,Data!$DR:$DR)+'Rate History'!$D$28*SUMIF(Data!$G:$G,Neutral!$A48,Data!$DS:$DS)+'Rate History'!$D$29*SUMIF(Data!$G:$G,Neutral!$A48,Data!$DT:$DT)+'Rate History'!$D$30*SUMIF(Data!$G:$G,Neutral!$A48,Data!$DV:$DV)+'Rate History'!$D$31*SUMIF(Data!$G:$G,Neutral!$A48,Data!$DW:$DW))</f>
        <v>11670486.878087843</v>
      </c>
      <c r="C48" s="168">
        <f>$C$5*('Rate History'!$C$4*SUMIF(Data!$G:$G,Neutral!$A48,Data!$CU:$CU)+'Rate History'!$C$5*SUMIF(Data!$G:$G,Neutral!$A48,Data!$CV:$CV)+'Rate History'!$C$6*SUMIF(Data!$G:$G,Neutral!$A48,Data!$CW:$CW)+'Rate History'!$C$7*SUMIF(Data!$G:$G,Neutral!$A48,Data!$CX:$CX)+'Rate History'!$C$8*SUMIF(Data!$G:$G,Neutral!$A48,Data!$CY:$CY)+'Rate History'!$C$9*SUMIF(Data!$G:$G,Neutral!$A48,Data!$CZ:$CZ)+'Rate History'!$C$10*SUMIF(Data!$G:$G,Neutral!$A48,Data!$DA:$DA)+'Rate History'!$C$11*SUMIF(Data!$G:$G,Neutral!$A48,Data!$DB:$DB)+'Rate History'!$C$12*SUMIF(Data!$G:$G,Neutral!$A48,Data!$DC:$DC)+'Rate History'!$C$13*SUMIF(Data!$G:$G,Neutral!$A48,Data!$DD:$DD)+'Rate History'!$C$14*SUMIF(Data!$G:$G,Neutral!$A48,Data!$DE:$DE)+'Rate History'!$C$15*SUMIF(Data!$G:$G,Neutral!$A48,Data!$DF:$DF)+'Rate History'!$C$16*SUMIF(Data!$G:$G,Neutral!$A48,Data!$DG:$DG)+'Rate History'!$C$17*SUMIF(Data!$G:$G,Neutral!$A48,Data!$DH:$DH)+'Rate History'!$C$18*SUMIF(Data!$G:$G,Neutral!$A48,Data!$DI:$DI)+'Rate History'!$C$19*SUMIF(Data!$G:$G,Neutral!$A48,Data!$DJ:$DJ)+'Rate History'!$C$20*SUMIF(Data!$G:$G,Neutral!$A48,Data!$DK:$DK)+'Rate History'!$C$21*SUMIF(Data!$G:$G,Neutral!$A48,Data!$DL:$DL)+'Rate History'!$C$22*SUMIF(Data!$G:$G,Neutral!$A48,Data!$DM:$DM)+'Rate History'!$C$23*SUMIF(Data!$G:$G,Neutral!$A48,Data!$DN:$DN)+'Rate History'!$C$24*SUMIF(Data!$G:$G,Neutral!$A48,Data!$DO:$DO)+'Rate History'!$C$25*SUMIF(Data!$G:$G,Neutral!$A48,Data!$DP:$DP)+'Rate History'!$C$26*SUMIF(Data!$G:$G,Neutral!$A48,Data!$DQ:$DQ)+'Rate History'!$C$27*SUMIF(Data!$G:$G,Neutral!$A48,Data!$DR:$DR)+'Rate History'!$C$28*SUMIF(Data!$G:$G,Neutral!$A48,Data!$DS:$DS)+'Rate History'!$C$29*SUMIF(Data!$G:$G,Neutral!$A48,Data!$DT:$DT)+'Rate History'!$C$30*SUMIF(Data!$G:$G,Neutral!$A48,Data!$DV:$DV)+'Rate History'!$C$31*SUMIF(Data!$G:$G,Neutral!$A48,Data!$DW:$DW))</f>
        <v>11654644.743405404</v>
      </c>
      <c r="D48" s="169">
        <f t="shared" si="1"/>
        <v>-15842.134682439268</v>
      </c>
      <c r="E48" s="167">
        <f t="shared" si="0"/>
        <v>-1.357452765075636E-3</v>
      </c>
    </row>
    <row r="49" spans="1:5" x14ac:dyDescent="0.25">
      <c r="A49" s="92" t="s">
        <v>371</v>
      </c>
      <c r="B49" s="168">
        <f>$B$5*('Rate History'!$D$4*SUMIF(Data!$G:$G,Neutral!$A49,Data!$CU:$CU)+'Rate History'!$D$5*SUMIF(Data!$G:$G,Neutral!$A49,Data!$CV:$CV)+'Rate History'!$D$6*SUMIF(Data!$G:$G,Neutral!$A49,Data!$CW:$CW)+'Rate History'!$D$7*SUMIF(Data!$G:$G,Neutral!$A49,Data!$CX:$CX)+'Rate History'!$D$8*SUMIF(Data!$G:$G,Neutral!$A49,Data!$CY:$CY)+'Rate History'!$D$9*SUMIF(Data!$G:$G,Neutral!$A49,Data!$CZ:$CZ)+'Rate History'!$D$10*SUMIF(Data!$G:$G,Neutral!$A49,Data!$DA:$DA)+'Rate History'!$D$11*SUMIF(Data!$G:$G,Neutral!$A49,Data!$DB:$DB)+'Rate History'!$D$12*SUMIF(Data!$G:$G,Neutral!$A49,Data!$DC:$DC)+'Rate History'!$D$13*SUMIF(Data!$G:$G,Neutral!$A49,Data!$DD:$DD)+'Rate History'!$D$14*SUMIF(Data!$G:$G,Neutral!$A49,Data!$DE:$DE)+'Rate History'!$D$15*SUMIF(Data!$G:$G,Neutral!$A49,Data!$DF:$DF)+'Rate History'!$D$16*SUMIF(Data!$G:$G,Neutral!$A49,Data!$DG:$DG)+'Rate History'!$D$17*SUMIF(Data!$G:$G,Neutral!$A49,Data!$DH:$DH)+'Rate History'!$D$18*SUMIF(Data!$G:$G,Neutral!$A49,Data!$DI:$DI)+'Rate History'!$D$19*SUMIF(Data!$G:$G,Neutral!$A49,Data!$DJ:$DJ)+'Rate History'!$D$20*SUMIF(Data!$G:$G,Neutral!$A49,Data!$DK:$DK)+'Rate History'!$D$21*SUMIF(Data!$G:$G,Neutral!$A49,Data!$DL:$DL)+'Rate History'!$D$22*SUMIF(Data!$G:$G,Neutral!$A49,Data!$DM:$DM)+'Rate History'!$D$23*SUMIF(Data!$G:$G,Neutral!$A49,Data!$DN:$DN)+'Rate History'!$D$24*SUMIF(Data!$G:$G,Neutral!$A49,Data!$DO:$DO)+'Rate History'!$D$25*SUMIF(Data!$G:$G,Neutral!$A49,Data!$DP:$DP)+'Rate History'!$D$26*SUMIF(Data!$G:$G,Neutral!$A49,Data!$DQ:$DQ)+'Rate History'!$D$27*SUMIF(Data!$G:$G,Neutral!$A49,Data!$DR:$DR)+'Rate History'!$D$28*SUMIF(Data!$G:$G,Neutral!$A49,Data!$DS:$DS)+'Rate History'!$D$29*SUMIF(Data!$G:$G,Neutral!$A49,Data!$DT:$DT)+'Rate History'!$D$30*SUMIF(Data!$G:$G,Neutral!$A49,Data!$DV:$DV)+'Rate History'!$D$31*SUMIF(Data!$G:$G,Neutral!$A49,Data!$DW:$DW))</f>
        <v>10098794.386397807</v>
      </c>
      <c r="C49" s="168">
        <f>$C$5*('Rate History'!$C$4*SUMIF(Data!$G:$G,Neutral!$A49,Data!$CU:$CU)+'Rate History'!$C$5*SUMIF(Data!$G:$G,Neutral!$A49,Data!$CV:$CV)+'Rate History'!$C$6*SUMIF(Data!$G:$G,Neutral!$A49,Data!$CW:$CW)+'Rate History'!$C$7*SUMIF(Data!$G:$G,Neutral!$A49,Data!$CX:$CX)+'Rate History'!$C$8*SUMIF(Data!$G:$G,Neutral!$A49,Data!$CY:$CY)+'Rate History'!$C$9*SUMIF(Data!$G:$G,Neutral!$A49,Data!$CZ:$CZ)+'Rate History'!$C$10*SUMIF(Data!$G:$G,Neutral!$A49,Data!$DA:$DA)+'Rate History'!$C$11*SUMIF(Data!$G:$G,Neutral!$A49,Data!$DB:$DB)+'Rate History'!$C$12*SUMIF(Data!$G:$G,Neutral!$A49,Data!$DC:$DC)+'Rate History'!$C$13*SUMIF(Data!$G:$G,Neutral!$A49,Data!$DD:$DD)+'Rate History'!$C$14*SUMIF(Data!$G:$G,Neutral!$A49,Data!$DE:$DE)+'Rate History'!$C$15*SUMIF(Data!$G:$G,Neutral!$A49,Data!$DF:$DF)+'Rate History'!$C$16*SUMIF(Data!$G:$G,Neutral!$A49,Data!$DG:$DG)+'Rate History'!$C$17*SUMIF(Data!$G:$G,Neutral!$A49,Data!$DH:$DH)+'Rate History'!$C$18*SUMIF(Data!$G:$G,Neutral!$A49,Data!$DI:$DI)+'Rate History'!$C$19*SUMIF(Data!$G:$G,Neutral!$A49,Data!$DJ:$DJ)+'Rate History'!$C$20*SUMIF(Data!$G:$G,Neutral!$A49,Data!$DK:$DK)+'Rate History'!$C$21*SUMIF(Data!$G:$G,Neutral!$A49,Data!$DL:$DL)+'Rate History'!$C$22*SUMIF(Data!$G:$G,Neutral!$A49,Data!$DM:$DM)+'Rate History'!$C$23*SUMIF(Data!$G:$G,Neutral!$A49,Data!$DN:$DN)+'Rate History'!$C$24*SUMIF(Data!$G:$G,Neutral!$A49,Data!$DO:$DO)+'Rate History'!$C$25*SUMIF(Data!$G:$G,Neutral!$A49,Data!$DP:$DP)+'Rate History'!$C$26*SUMIF(Data!$G:$G,Neutral!$A49,Data!$DQ:$DQ)+'Rate History'!$C$27*SUMIF(Data!$G:$G,Neutral!$A49,Data!$DR:$DR)+'Rate History'!$C$28*SUMIF(Data!$G:$G,Neutral!$A49,Data!$DS:$DS)+'Rate History'!$C$29*SUMIF(Data!$G:$G,Neutral!$A49,Data!$DT:$DT)+'Rate History'!$C$30*SUMIF(Data!$G:$G,Neutral!$A49,Data!$DV:$DV)+'Rate History'!$C$31*SUMIF(Data!$G:$G,Neutral!$A49,Data!$DW:$DW))</f>
        <v>10132169.831064122</v>
      </c>
      <c r="D49" s="169">
        <f t="shared" si="1"/>
        <v>33375.44466631487</v>
      </c>
      <c r="E49" s="167">
        <f t="shared" si="0"/>
        <v>3.3048939694493313E-3</v>
      </c>
    </row>
    <row r="50" spans="1:5" x14ac:dyDescent="0.25">
      <c r="A50" s="92" t="s">
        <v>412</v>
      </c>
      <c r="B50" s="168">
        <f>$B$5*('Rate History'!$D$4*SUMIF(Data!$G:$G,Neutral!$A50,Data!$CU:$CU)+'Rate History'!$D$5*SUMIF(Data!$G:$G,Neutral!$A50,Data!$CV:$CV)+'Rate History'!$D$6*SUMIF(Data!$G:$G,Neutral!$A50,Data!$CW:$CW)+'Rate History'!$D$7*SUMIF(Data!$G:$G,Neutral!$A50,Data!$CX:$CX)+'Rate History'!$D$8*SUMIF(Data!$G:$G,Neutral!$A50,Data!$CY:$CY)+'Rate History'!$D$9*SUMIF(Data!$G:$G,Neutral!$A50,Data!$CZ:$CZ)+'Rate History'!$D$10*SUMIF(Data!$G:$G,Neutral!$A50,Data!$DA:$DA)+'Rate History'!$D$11*SUMIF(Data!$G:$G,Neutral!$A50,Data!$DB:$DB)+'Rate History'!$D$12*SUMIF(Data!$G:$G,Neutral!$A50,Data!$DC:$DC)+'Rate History'!$D$13*SUMIF(Data!$G:$G,Neutral!$A50,Data!$DD:$DD)+'Rate History'!$D$14*SUMIF(Data!$G:$G,Neutral!$A50,Data!$DE:$DE)+'Rate History'!$D$15*SUMIF(Data!$G:$G,Neutral!$A50,Data!$DF:$DF)+'Rate History'!$D$16*SUMIF(Data!$G:$G,Neutral!$A50,Data!$DG:$DG)+'Rate History'!$D$17*SUMIF(Data!$G:$G,Neutral!$A50,Data!$DH:$DH)+'Rate History'!$D$18*SUMIF(Data!$G:$G,Neutral!$A50,Data!$DI:$DI)+'Rate History'!$D$19*SUMIF(Data!$G:$G,Neutral!$A50,Data!$DJ:$DJ)+'Rate History'!$D$20*SUMIF(Data!$G:$G,Neutral!$A50,Data!$DK:$DK)+'Rate History'!$D$21*SUMIF(Data!$G:$G,Neutral!$A50,Data!$DL:$DL)+'Rate History'!$D$22*SUMIF(Data!$G:$G,Neutral!$A50,Data!$DM:$DM)+'Rate History'!$D$23*SUMIF(Data!$G:$G,Neutral!$A50,Data!$DN:$DN)+'Rate History'!$D$24*SUMIF(Data!$G:$G,Neutral!$A50,Data!$DO:$DO)+'Rate History'!$D$25*SUMIF(Data!$G:$G,Neutral!$A50,Data!$DP:$DP)+'Rate History'!$D$26*SUMIF(Data!$G:$G,Neutral!$A50,Data!$DQ:$DQ)+'Rate History'!$D$27*SUMIF(Data!$G:$G,Neutral!$A50,Data!$DR:$DR)+'Rate History'!$D$28*SUMIF(Data!$G:$G,Neutral!$A50,Data!$DS:$DS)+'Rate History'!$D$29*SUMIF(Data!$G:$G,Neutral!$A50,Data!$DT:$DT)+'Rate History'!$D$30*SUMIF(Data!$G:$G,Neutral!$A50,Data!$DV:$DV)+'Rate History'!$D$31*SUMIF(Data!$G:$G,Neutral!$A50,Data!$DW:$DW))</f>
        <v>16567030.497735284</v>
      </c>
      <c r="C50" s="168">
        <f>$C$5*('Rate History'!$C$4*SUMIF(Data!$G:$G,Neutral!$A50,Data!$CU:$CU)+'Rate History'!$C$5*SUMIF(Data!$G:$G,Neutral!$A50,Data!$CV:$CV)+'Rate History'!$C$6*SUMIF(Data!$G:$G,Neutral!$A50,Data!$CW:$CW)+'Rate History'!$C$7*SUMIF(Data!$G:$G,Neutral!$A50,Data!$CX:$CX)+'Rate History'!$C$8*SUMIF(Data!$G:$G,Neutral!$A50,Data!$CY:$CY)+'Rate History'!$C$9*SUMIF(Data!$G:$G,Neutral!$A50,Data!$CZ:$CZ)+'Rate History'!$C$10*SUMIF(Data!$G:$G,Neutral!$A50,Data!$DA:$DA)+'Rate History'!$C$11*SUMIF(Data!$G:$G,Neutral!$A50,Data!$DB:$DB)+'Rate History'!$C$12*SUMIF(Data!$G:$G,Neutral!$A50,Data!$DC:$DC)+'Rate History'!$C$13*SUMIF(Data!$G:$G,Neutral!$A50,Data!$DD:$DD)+'Rate History'!$C$14*SUMIF(Data!$G:$G,Neutral!$A50,Data!$DE:$DE)+'Rate History'!$C$15*SUMIF(Data!$G:$G,Neutral!$A50,Data!$DF:$DF)+'Rate History'!$C$16*SUMIF(Data!$G:$G,Neutral!$A50,Data!$DG:$DG)+'Rate History'!$C$17*SUMIF(Data!$G:$G,Neutral!$A50,Data!$DH:$DH)+'Rate History'!$C$18*SUMIF(Data!$G:$G,Neutral!$A50,Data!$DI:$DI)+'Rate History'!$C$19*SUMIF(Data!$G:$G,Neutral!$A50,Data!$DJ:$DJ)+'Rate History'!$C$20*SUMIF(Data!$G:$G,Neutral!$A50,Data!$DK:$DK)+'Rate History'!$C$21*SUMIF(Data!$G:$G,Neutral!$A50,Data!$DL:$DL)+'Rate History'!$C$22*SUMIF(Data!$G:$G,Neutral!$A50,Data!$DM:$DM)+'Rate History'!$C$23*SUMIF(Data!$G:$G,Neutral!$A50,Data!$DN:$DN)+'Rate History'!$C$24*SUMIF(Data!$G:$G,Neutral!$A50,Data!$DO:$DO)+'Rate History'!$C$25*SUMIF(Data!$G:$G,Neutral!$A50,Data!$DP:$DP)+'Rate History'!$C$26*SUMIF(Data!$G:$G,Neutral!$A50,Data!$DQ:$DQ)+'Rate History'!$C$27*SUMIF(Data!$G:$G,Neutral!$A50,Data!$DR:$DR)+'Rate History'!$C$28*SUMIF(Data!$G:$G,Neutral!$A50,Data!$DS:$DS)+'Rate History'!$C$29*SUMIF(Data!$G:$G,Neutral!$A50,Data!$DT:$DT)+'Rate History'!$C$30*SUMIF(Data!$G:$G,Neutral!$A50,Data!$DV:$DV)+'Rate History'!$C$31*SUMIF(Data!$G:$G,Neutral!$A50,Data!$DW:$DW))</f>
        <v>16502865.872847987</v>
      </c>
      <c r="D50" s="169">
        <f t="shared" si="1"/>
        <v>-64164.62488729693</v>
      </c>
      <c r="E50" s="167">
        <f t="shared" si="0"/>
        <v>-3.8730311322882059E-3</v>
      </c>
    </row>
    <row r="51" spans="1:5" x14ac:dyDescent="0.25">
      <c r="A51" s="92" t="s">
        <v>438</v>
      </c>
      <c r="B51" s="168">
        <f>$B$5*('Rate History'!$D$4*SUMIF(Data!$G:$G,Neutral!$A51,Data!$CU:$CU)+'Rate History'!$D$5*SUMIF(Data!$G:$G,Neutral!$A51,Data!$CV:$CV)+'Rate History'!$D$6*SUMIF(Data!$G:$G,Neutral!$A51,Data!$CW:$CW)+'Rate History'!$D$7*SUMIF(Data!$G:$G,Neutral!$A51,Data!$CX:$CX)+'Rate History'!$D$8*SUMIF(Data!$G:$G,Neutral!$A51,Data!$CY:$CY)+'Rate History'!$D$9*SUMIF(Data!$G:$G,Neutral!$A51,Data!$CZ:$CZ)+'Rate History'!$D$10*SUMIF(Data!$G:$G,Neutral!$A51,Data!$DA:$DA)+'Rate History'!$D$11*SUMIF(Data!$G:$G,Neutral!$A51,Data!$DB:$DB)+'Rate History'!$D$12*SUMIF(Data!$G:$G,Neutral!$A51,Data!$DC:$DC)+'Rate History'!$D$13*SUMIF(Data!$G:$G,Neutral!$A51,Data!$DD:$DD)+'Rate History'!$D$14*SUMIF(Data!$G:$G,Neutral!$A51,Data!$DE:$DE)+'Rate History'!$D$15*SUMIF(Data!$G:$G,Neutral!$A51,Data!$DF:$DF)+'Rate History'!$D$16*SUMIF(Data!$G:$G,Neutral!$A51,Data!$DG:$DG)+'Rate History'!$D$17*SUMIF(Data!$G:$G,Neutral!$A51,Data!$DH:$DH)+'Rate History'!$D$18*SUMIF(Data!$G:$G,Neutral!$A51,Data!$DI:$DI)+'Rate History'!$D$19*SUMIF(Data!$G:$G,Neutral!$A51,Data!$DJ:$DJ)+'Rate History'!$D$20*SUMIF(Data!$G:$G,Neutral!$A51,Data!$DK:$DK)+'Rate History'!$D$21*SUMIF(Data!$G:$G,Neutral!$A51,Data!$DL:$DL)+'Rate History'!$D$22*SUMIF(Data!$G:$G,Neutral!$A51,Data!$DM:$DM)+'Rate History'!$D$23*SUMIF(Data!$G:$G,Neutral!$A51,Data!$DN:$DN)+'Rate History'!$D$24*SUMIF(Data!$G:$G,Neutral!$A51,Data!$DO:$DO)+'Rate History'!$D$25*SUMIF(Data!$G:$G,Neutral!$A51,Data!$DP:$DP)+'Rate History'!$D$26*SUMIF(Data!$G:$G,Neutral!$A51,Data!$DQ:$DQ)+'Rate History'!$D$27*SUMIF(Data!$G:$G,Neutral!$A51,Data!$DR:$DR)+'Rate History'!$D$28*SUMIF(Data!$G:$G,Neutral!$A51,Data!$DS:$DS)+'Rate History'!$D$29*SUMIF(Data!$G:$G,Neutral!$A51,Data!$DT:$DT)+'Rate History'!$D$30*SUMIF(Data!$G:$G,Neutral!$A51,Data!$DV:$DV)+'Rate History'!$D$31*SUMIF(Data!$G:$G,Neutral!$A51,Data!$DW:$DW))</f>
        <v>5520161.3938038293</v>
      </c>
      <c r="C51" s="168">
        <f>$C$5*('Rate History'!$C$4*SUMIF(Data!$G:$G,Neutral!$A51,Data!$CU:$CU)+'Rate History'!$C$5*SUMIF(Data!$G:$G,Neutral!$A51,Data!$CV:$CV)+'Rate History'!$C$6*SUMIF(Data!$G:$G,Neutral!$A51,Data!$CW:$CW)+'Rate History'!$C$7*SUMIF(Data!$G:$G,Neutral!$A51,Data!$CX:$CX)+'Rate History'!$C$8*SUMIF(Data!$G:$G,Neutral!$A51,Data!$CY:$CY)+'Rate History'!$C$9*SUMIF(Data!$G:$G,Neutral!$A51,Data!$CZ:$CZ)+'Rate History'!$C$10*SUMIF(Data!$G:$G,Neutral!$A51,Data!$DA:$DA)+'Rate History'!$C$11*SUMIF(Data!$G:$G,Neutral!$A51,Data!$DB:$DB)+'Rate History'!$C$12*SUMIF(Data!$G:$G,Neutral!$A51,Data!$DC:$DC)+'Rate History'!$C$13*SUMIF(Data!$G:$G,Neutral!$A51,Data!$DD:$DD)+'Rate History'!$C$14*SUMIF(Data!$G:$G,Neutral!$A51,Data!$DE:$DE)+'Rate History'!$C$15*SUMIF(Data!$G:$G,Neutral!$A51,Data!$DF:$DF)+'Rate History'!$C$16*SUMIF(Data!$G:$G,Neutral!$A51,Data!$DG:$DG)+'Rate History'!$C$17*SUMIF(Data!$G:$G,Neutral!$A51,Data!$DH:$DH)+'Rate History'!$C$18*SUMIF(Data!$G:$G,Neutral!$A51,Data!$DI:$DI)+'Rate History'!$C$19*SUMIF(Data!$G:$G,Neutral!$A51,Data!$DJ:$DJ)+'Rate History'!$C$20*SUMIF(Data!$G:$G,Neutral!$A51,Data!$DK:$DK)+'Rate History'!$C$21*SUMIF(Data!$G:$G,Neutral!$A51,Data!$DL:$DL)+'Rate History'!$C$22*SUMIF(Data!$G:$G,Neutral!$A51,Data!$DM:$DM)+'Rate History'!$C$23*SUMIF(Data!$G:$G,Neutral!$A51,Data!$DN:$DN)+'Rate History'!$C$24*SUMIF(Data!$G:$G,Neutral!$A51,Data!$DO:$DO)+'Rate History'!$C$25*SUMIF(Data!$G:$G,Neutral!$A51,Data!$DP:$DP)+'Rate History'!$C$26*SUMIF(Data!$G:$G,Neutral!$A51,Data!$DQ:$DQ)+'Rate History'!$C$27*SUMIF(Data!$G:$G,Neutral!$A51,Data!$DR:$DR)+'Rate History'!$C$28*SUMIF(Data!$G:$G,Neutral!$A51,Data!$DS:$DS)+'Rate History'!$C$29*SUMIF(Data!$G:$G,Neutral!$A51,Data!$DT:$DT)+'Rate History'!$C$30*SUMIF(Data!$G:$G,Neutral!$A51,Data!$DV:$DV)+'Rate History'!$C$31*SUMIF(Data!$G:$G,Neutral!$A51,Data!$DW:$DW))</f>
        <v>5509122.9588080328</v>
      </c>
      <c r="D51" s="169">
        <f t="shared" si="1"/>
        <v>-11038.434995796531</v>
      </c>
      <c r="E51" s="167">
        <f t="shared" si="0"/>
        <v>-1.9996580187287192E-3</v>
      </c>
    </row>
    <row r="52" spans="1:5" x14ac:dyDescent="0.25">
      <c r="A52" s="92" t="s">
        <v>414</v>
      </c>
      <c r="B52" s="168">
        <f>$B$5*('Rate History'!$D$4*SUMIF(Data!$G:$G,Neutral!$A52,Data!$CU:$CU)+'Rate History'!$D$5*SUMIF(Data!$G:$G,Neutral!$A52,Data!$CV:$CV)+'Rate History'!$D$6*SUMIF(Data!$G:$G,Neutral!$A52,Data!$CW:$CW)+'Rate History'!$D$7*SUMIF(Data!$G:$G,Neutral!$A52,Data!$CX:$CX)+'Rate History'!$D$8*SUMIF(Data!$G:$G,Neutral!$A52,Data!$CY:$CY)+'Rate History'!$D$9*SUMIF(Data!$G:$G,Neutral!$A52,Data!$CZ:$CZ)+'Rate History'!$D$10*SUMIF(Data!$G:$G,Neutral!$A52,Data!$DA:$DA)+'Rate History'!$D$11*SUMIF(Data!$G:$G,Neutral!$A52,Data!$DB:$DB)+'Rate History'!$D$12*SUMIF(Data!$G:$G,Neutral!$A52,Data!$DC:$DC)+'Rate History'!$D$13*SUMIF(Data!$G:$G,Neutral!$A52,Data!$DD:$DD)+'Rate History'!$D$14*SUMIF(Data!$G:$G,Neutral!$A52,Data!$DE:$DE)+'Rate History'!$D$15*SUMIF(Data!$G:$G,Neutral!$A52,Data!$DF:$DF)+'Rate History'!$D$16*SUMIF(Data!$G:$G,Neutral!$A52,Data!$DG:$DG)+'Rate History'!$D$17*SUMIF(Data!$G:$G,Neutral!$A52,Data!$DH:$DH)+'Rate History'!$D$18*SUMIF(Data!$G:$G,Neutral!$A52,Data!$DI:$DI)+'Rate History'!$D$19*SUMIF(Data!$G:$G,Neutral!$A52,Data!$DJ:$DJ)+'Rate History'!$D$20*SUMIF(Data!$G:$G,Neutral!$A52,Data!$DK:$DK)+'Rate History'!$D$21*SUMIF(Data!$G:$G,Neutral!$A52,Data!$DL:$DL)+'Rate History'!$D$22*SUMIF(Data!$G:$G,Neutral!$A52,Data!$DM:$DM)+'Rate History'!$D$23*SUMIF(Data!$G:$G,Neutral!$A52,Data!$DN:$DN)+'Rate History'!$D$24*SUMIF(Data!$G:$G,Neutral!$A52,Data!$DO:$DO)+'Rate History'!$D$25*SUMIF(Data!$G:$G,Neutral!$A52,Data!$DP:$DP)+'Rate History'!$D$26*SUMIF(Data!$G:$G,Neutral!$A52,Data!$DQ:$DQ)+'Rate History'!$D$27*SUMIF(Data!$G:$G,Neutral!$A52,Data!$DR:$DR)+'Rate History'!$D$28*SUMIF(Data!$G:$G,Neutral!$A52,Data!$DS:$DS)+'Rate History'!$D$29*SUMIF(Data!$G:$G,Neutral!$A52,Data!$DT:$DT)+'Rate History'!$D$30*SUMIF(Data!$G:$G,Neutral!$A52,Data!$DV:$DV)+'Rate History'!$D$31*SUMIF(Data!$G:$G,Neutral!$A52,Data!$DW:$DW))</f>
        <v>7471409.063784264</v>
      </c>
      <c r="C52" s="168">
        <f>$C$5*('Rate History'!$C$4*SUMIF(Data!$G:$G,Neutral!$A52,Data!$CU:$CU)+'Rate History'!$C$5*SUMIF(Data!$G:$G,Neutral!$A52,Data!$CV:$CV)+'Rate History'!$C$6*SUMIF(Data!$G:$G,Neutral!$A52,Data!$CW:$CW)+'Rate History'!$C$7*SUMIF(Data!$G:$G,Neutral!$A52,Data!$CX:$CX)+'Rate History'!$C$8*SUMIF(Data!$G:$G,Neutral!$A52,Data!$CY:$CY)+'Rate History'!$C$9*SUMIF(Data!$G:$G,Neutral!$A52,Data!$CZ:$CZ)+'Rate History'!$C$10*SUMIF(Data!$G:$G,Neutral!$A52,Data!$DA:$DA)+'Rate History'!$C$11*SUMIF(Data!$G:$G,Neutral!$A52,Data!$DB:$DB)+'Rate History'!$C$12*SUMIF(Data!$G:$G,Neutral!$A52,Data!$DC:$DC)+'Rate History'!$C$13*SUMIF(Data!$G:$G,Neutral!$A52,Data!$DD:$DD)+'Rate History'!$C$14*SUMIF(Data!$G:$G,Neutral!$A52,Data!$DE:$DE)+'Rate History'!$C$15*SUMIF(Data!$G:$G,Neutral!$A52,Data!$DF:$DF)+'Rate History'!$C$16*SUMIF(Data!$G:$G,Neutral!$A52,Data!$DG:$DG)+'Rate History'!$C$17*SUMIF(Data!$G:$G,Neutral!$A52,Data!$DH:$DH)+'Rate History'!$C$18*SUMIF(Data!$G:$G,Neutral!$A52,Data!$DI:$DI)+'Rate History'!$C$19*SUMIF(Data!$G:$G,Neutral!$A52,Data!$DJ:$DJ)+'Rate History'!$C$20*SUMIF(Data!$G:$G,Neutral!$A52,Data!$DK:$DK)+'Rate History'!$C$21*SUMIF(Data!$G:$G,Neutral!$A52,Data!$DL:$DL)+'Rate History'!$C$22*SUMIF(Data!$G:$G,Neutral!$A52,Data!$DM:$DM)+'Rate History'!$C$23*SUMIF(Data!$G:$G,Neutral!$A52,Data!$DN:$DN)+'Rate History'!$C$24*SUMIF(Data!$G:$G,Neutral!$A52,Data!$DO:$DO)+'Rate History'!$C$25*SUMIF(Data!$G:$G,Neutral!$A52,Data!$DP:$DP)+'Rate History'!$C$26*SUMIF(Data!$G:$G,Neutral!$A52,Data!$DQ:$DQ)+'Rate History'!$C$27*SUMIF(Data!$G:$G,Neutral!$A52,Data!$DR:$DR)+'Rate History'!$C$28*SUMIF(Data!$G:$G,Neutral!$A52,Data!$DS:$DS)+'Rate History'!$C$29*SUMIF(Data!$G:$G,Neutral!$A52,Data!$DT:$DT)+'Rate History'!$C$30*SUMIF(Data!$G:$G,Neutral!$A52,Data!$DV:$DV)+'Rate History'!$C$31*SUMIF(Data!$G:$G,Neutral!$A52,Data!$DW:$DW))</f>
        <v>7552196.9029674036</v>
      </c>
      <c r="D52" s="169">
        <f t="shared" si="1"/>
        <v>80787.839183139615</v>
      </c>
      <c r="E52" s="167">
        <f t="shared" si="0"/>
        <v>1.0812932138160914E-2</v>
      </c>
    </row>
    <row r="53" spans="1:5" x14ac:dyDescent="0.25">
      <c r="A53" s="92" t="s">
        <v>416</v>
      </c>
      <c r="B53" s="168">
        <f>$B$5*('Rate History'!$D$4*SUMIF(Data!$G:$G,Neutral!$A53,Data!$CU:$CU)+'Rate History'!$D$5*SUMIF(Data!$G:$G,Neutral!$A53,Data!$CV:$CV)+'Rate History'!$D$6*SUMIF(Data!$G:$G,Neutral!$A53,Data!$CW:$CW)+'Rate History'!$D$7*SUMIF(Data!$G:$G,Neutral!$A53,Data!$CX:$CX)+'Rate History'!$D$8*SUMIF(Data!$G:$G,Neutral!$A53,Data!$CY:$CY)+'Rate History'!$D$9*SUMIF(Data!$G:$G,Neutral!$A53,Data!$CZ:$CZ)+'Rate History'!$D$10*SUMIF(Data!$G:$G,Neutral!$A53,Data!$DA:$DA)+'Rate History'!$D$11*SUMIF(Data!$G:$G,Neutral!$A53,Data!$DB:$DB)+'Rate History'!$D$12*SUMIF(Data!$G:$G,Neutral!$A53,Data!$DC:$DC)+'Rate History'!$D$13*SUMIF(Data!$G:$G,Neutral!$A53,Data!$DD:$DD)+'Rate History'!$D$14*SUMIF(Data!$G:$G,Neutral!$A53,Data!$DE:$DE)+'Rate History'!$D$15*SUMIF(Data!$G:$G,Neutral!$A53,Data!$DF:$DF)+'Rate History'!$D$16*SUMIF(Data!$G:$G,Neutral!$A53,Data!$DG:$DG)+'Rate History'!$D$17*SUMIF(Data!$G:$G,Neutral!$A53,Data!$DH:$DH)+'Rate History'!$D$18*SUMIF(Data!$G:$G,Neutral!$A53,Data!$DI:$DI)+'Rate History'!$D$19*SUMIF(Data!$G:$G,Neutral!$A53,Data!$DJ:$DJ)+'Rate History'!$D$20*SUMIF(Data!$G:$G,Neutral!$A53,Data!$DK:$DK)+'Rate History'!$D$21*SUMIF(Data!$G:$G,Neutral!$A53,Data!$DL:$DL)+'Rate History'!$D$22*SUMIF(Data!$G:$G,Neutral!$A53,Data!$DM:$DM)+'Rate History'!$D$23*SUMIF(Data!$G:$G,Neutral!$A53,Data!$DN:$DN)+'Rate History'!$D$24*SUMIF(Data!$G:$G,Neutral!$A53,Data!$DO:$DO)+'Rate History'!$D$25*SUMIF(Data!$G:$G,Neutral!$A53,Data!$DP:$DP)+'Rate History'!$D$26*SUMIF(Data!$G:$G,Neutral!$A53,Data!$DQ:$DQ)+'Rate History'!$D$27*SUMIF(Data!$G:$G,Neutral!$A53,Data!$DR:$DR)+'Rate History'!$D$28*SUMIF(Data!$G:$G,Neutral!$A53,Data!$DS:$DS)+'Rate History'!$D$29*SUMIF(Data!$G:$G,Neutral!$A53,Data!$DT:$DT)+'Rate History'!$D$30*SUMIF(Data!$G:$G,Neutral!$A53,Data!$DV:$DV)+'Rate History'!$D$31*SUMIF(Data!$G:$G,Neutral!$A53,Data!$DW:$DW))</f>
        <v>5489411.969392214</v>
      </c>
      <c r="C53" s="168">
        <f>$C$5*('Rate History'!$C$4*SUMIF(Data!$G:$G,Neutral!$A53,Data!$CU:$CU)+'Rate History'!$C$5*SUMIF(Data!$G:$G,Neutral!$A53,Data!$CV:$CV)+'Rate History'!$C$6*SUMIF(Data!$G:$G,Neutral!$A53,Data!$CW:$CW)+'Rate History'!$C$7*SUMIF(Data!$G:$G,Neutral!$A53,Data!$CX:$CX)+'Rate History'!$C$8*SUMIF(Data!$G:$G,Neutral!$A53,Data!$CY:$CY)+'Rate History'!$C$9*SUMIF(Data!$G:$G,Neutral!$A53,Data!$CZ:$CZ)+'Rate History'!$C$10*SUMIF(Data!$G:$G,Neutral!$A53,Data!$DA:$DA)+'Rate History'!$C$11*SUMIF(Data!$G:$G,Neutral!$A53,Data!$DB:$DB)+'Rate History'!$C$12*SUMIF(Data!$G:$G,Neutral!$A53,Data!$DC:$DC)+'Rate History'!$C$13*SUMIF(Data!$G:$G,Neutral!$A53,Data!$DD:$DD)+'Rate History'!$C$14*SUMIF(Data!$G:$G,Neutral!$A53,Data!$DE:$DE)+'Rate History'!$C$15*SUMIF(Data!$G:$G,Neutral!$A53,Data!$DF:$DF)+'Rate History'!$C$16*SUMIF(Data!$G:$G,Neutral!$A53,Data!$DG:$DG)+'Rate History'!$C$17*SUMIF(Data!$G:$G,Neutral!$A53,Data!$DH:$DH)+'Rate History'!$C$18*SUMIF(Data!$G:$G,Neutral!$A53,Data!$DI:$DI)+'Rate History'!$C$19*SUMIF(Data!$G:$G,Neutral!$A53,Data!$DJ:$DJ)+'Rate History'!$C$20*SUMIF(Data!$G:$G,Neutral!$A53,Data!$DK:$DK)+'Rate History'!$C$21*SUMIF(Data!$G:$G,Neutral!$A53,Data!$DL:$DL)+'Rate History'!$C$22*SUMIF(Data!$G:$G,Neutral!$A53,Data!$DM:$DM)+'Rate History'!$C$23*SUMIF(Data!$G:$G,Neutral!$A53,Data!$DN:$DN)+'Rate History'!$C$24*SUMIF(Data!$G:$G,Neutral!$A53,Data!$DO:$DO)+'Rate History'!$C$25*SUMIF(Data!$G:$G,Neutral!$A53,Data!$DP:$DP)+'Rate History'!$C$26*SUMIF(Data!$G:$G,Neutral!$A53,Data!$DQ:$DQ)+'Rate History'!$C$27*SUMIF(Data!$G:$G,Neutral!$A53,Data!$DR:$DR)+'Rate History'!$C$28*SUMIF(Data!$G:$G,Neutral!$A53,Data!$DS:$DS)+'Rate History'!$C$29*SUMIF(Data!$G:$G,Neutral!$A53,Data!$DT:$DT)+'Rate History'!$C$30*SUMIF(Data!$G:$G,Neutral!$A53,Data!$DV:$DV)+'Rate History'!$C$31*SUMIF(Data!$G:$G,Neutral!$A53,Data!$DW:$DW))</f>
        <v>5567826.6845608819</v>
      </c>
      <c r="D53" s="169">
        <f t="shared" si="1"/>
        <v>78414.715168667957</v>
      </c>
      <c r="E53" s="167">
        <f t="shared" si="0"/>
        <v>1.4284720404642905E-2</v>
      </c>
    </row>
    <row r="54" spans="1:5" x14ac:dyDescent="0.25">
      <c r="A54" s="92" t="s">
        <v>432</v>
      </c>
      <c r="B54" s="168">
        <f>$B$5*('Rate History'!$D$4*SUMIF(Data!$G:$G,Neutral!$A54,Data!$CU:$CU)+'Rate History'!$D$5*SUMIF(Data!$G:$G,Neutral!$A54,Data!$CV:$CV)+'Rate History'!$D$6*SUMIF(Data!$G:$G,Neutral!$A54,Data!$CW:$CW)+'Rate History'!$D$7*SUMIF(Data!$G:$G,Neutral!$A54,Data!$CX:$CX)+'Rate History'!$D$8*SUMIF(Data!$G:$G,Neutral!$A54,Data!$CY:$CY)+'Rate History'!$D$9*SUMIF(Data!$G:$G,Neutral!$A54,Data!$CZ:$CZ)+'Rate History'!$D$10*SUMIF(Data!$G:$G,Neutral!$A54,Data!$DA:$DA)+'Rate History'!$D$11*SUMIF(Data!$G:$G,Neutral!$A54,Data!$DB:$DB)+'Rate History'!$D$12*SUMIF(Data!$G:$G,Neutral!$A54,Data!$DC:$DC)+'Rate History'!$D$13*SUMIF(Data!$G:$G,Neutral!$A54,Data!$DD:$DD)+'Rate History'!$D$14*SUMIF(Data!$G:$G,Neutral!$A54,Data!$DE:$DE)+'Rate History'!$D$15*SUMIF(Data!$G:$G,Neutral!$A54,Data!$DF:$DF)+'Rate History'!$D$16*SUMIF(Data!$G:$G,Neutral!$A54,Data!$DG:$DG)+'Rate History'!$D$17*SUMIF(Data!$G:$G,Neutral!$A54,Data!$DH:$DH)+'Rate History'!$D$18*SUMIF(Data!$G:$G,Neutral!$A54,Data!$DI:$DI)+'Rate History'!$D$19*SUMIF(Data!$G:$G,Neutral!$A54,Data!$DJ:$DJ)+'Rate History'!$D$20*SUMIF(Data!$G:$G,Neutral!$A54,Data!$DK:$DK)+'Rate History'!$D$21*SUMIF(Data!$G:$G,Neutral!$A54,Data!$DL:$DL)+'Rate History'!$D$22*SUMIF(Data!$G:$G,Neutral!$A54,Data!$DM:$DM)+'Rate History'!$D$23*SUMIF(Data!$G:$G,Neutral!$A54,Data!$DN:$DN)+'Rate History'!$D$24*SUMIF(Data!$G:$G,Neutral!$A54,Data!$DO:$DO)+'Rate History'!$D$25*SUMIF(Data!$G:$G,Neutral!$A54,Data!$DP:$DP)+'Rate History'!$D$26*SUMIF(Data!$G:$G,Neutral!$A54,Data!$DQ:$DQ)+'Rate History'!$D$27*SUMIF(Data!$G:$G,Neutral!$A54,Data!$DR:$DR)+'Rate History'!$D$28*SUMIF(Data!$G:$G,Neutral!$A54,Data!$DS:$DS)+'Rate History'!$D$29*SUMIF(Data!$G:$G,Neutral!$A54,Data!$DT:$DT)+'Rate History'!$D$30*SUMIF(Data!$G:$G,Neutral!$A54,Data!$DV:$DV)+'Rate History'!$D$31*SUMIF(Data!$G:$G,Neutral!$A54,Data!$DW:$DW))</f>
        <v>2623135.8184910123</v>
      </c>
      <c r="C54" s="168">
        <f>$C$5*('Rate History'!$C$4*SUMIF(Data!$G:$G,Neutral!$A54,Data!$CU:$CU)+'Rate History'!$C$5*SUMIF(Data!$G:$G,Neutral!$A54,Data!$CV:$CV)+'Rate History'!$C$6*SUMIF(Data!$G:$G,Neutral!$A54,Data!$CW:$CW)+'Rate History'!$C$7*SUMIF(Data!$G:$G,Neutral!$A54,Data!$CX:$CX)+'Rate History'!$C$8*SUMIF(Data!$G:$G,Neutral!$A54,Data!$CY:$CY)+'Rate History'!$C$9*SUMIF(Data!$G:$G,Neutral!$A54,Data!$CZ:$CZ)+'Rate History'!$C$10*SUMIF(Data!$G:$G,Neutral!$A54,Data!$DA:$DA)+'Rate History'!$C$11*SUMIF(Data!$G:$G,Neutral!$A54,Data!$DB:$DB)+'Rate History'!$C$12*SUMIF(Data!$G:$G,Neutral!$A54,Data!$DC:$DC)+'Rate History'!$C$13*SUMIF(Data!$G:$G,Neutral!$A54,Data!$DD:$DD)+'Rate History'!$C$14*SUMIF(Data!$G:$G,Neutral!$A54,Data!$DE:$DE)+'Rate History'!$C$15*SUMIF(Data!$G:$G,Neutral!$A54,Data!$DF:$DF)+'Rate History'!$C$16*SUMIF(Data!$G:$G,Neutral!$A54,Data!$DG:$DG)+'Rate History'!$C$17*SUMIF(Data!$G:$G,Neutral!$A54,Data!$DH:$DH)+'Rate History'!$C$18*SUMIF(Data!$G:$G,Neutral!$A54,Data!$DI:$DI)+'Rate History'!$C$19*SUMIF(Data!$G:$G,Neutral!$A54,Data!$DJ:$DJ)+'Rate History'!$C$20*SUMIF(Data!$G:$G,Neutral!$A54,Data!$DK:$DK)+'Rate History'!$C$21*SUMIF(Data!$G:$G,Neutral!$A54,Data!$DL:$DL)+'Rate History'!$C$22*SUMIF(Data!$G:$G,Neutral!$A54,Data!$DM:$DM)+'Rate History'!$C$23*SUMIF(Data!$G:$G,Neutral!$A54,Data!$DN:$DN)+'Rate History'!$C$24*SUMIF(Data!$G:$G,Neutral!$A54,Data!$DO:$DO)+'Rate History'!$C$25*SUMIF(Data!$G:$G,Neutral!$A54,Data!$DP:$DP)+'Rate History'!$C$26*SUMIF(Data!$G:$G,Neutral!$A54,Data!$DQ:$DQ)+'Rate History'!$C$27*SUMIF(Data!$G:$G,Neutral!$A54,Data!$DR:$DR)+'Rate History'!$C$28*SUMIF(Data!$G:$G,Neutral!$A54,Data!$DS:$DS)+'Rate History'!$C$29*SUMIF(Data!$G:$G,Neutral!$A54,Data!$DT:$DT)+'Rate History'!$C$30*SUMIF(Data!$G:$G,Neutral!$A54,Data!$DV:$DV)+'Rate History'!$C$31*SUMIF(Data!$G:$G,Neutral!$A54,Data!$DW:$DW))</f>
        <v>2639628.3758324599</v>
      </c>
      <c r="D54" s="169">
        <f t="shared" si="1"/>
        <v>16492.557341447566</v>
      </c>
      <c r="E54" s="167">
        <f t="shared" si="0"/>
        <v>6.287344035024115E-3</v>
      </c>
    </row>
    <row r="55" spans="1:5" x14ac:dyDescent="0.25">
      <c r="A55" s="92" t="s">
        <v>418</v>
      </c>
      <c r="B55" s="168">
        <f>$B$5*('Rate History'!$D$4*SUMIF(Data!$G:$G,Neutral!$A55,Data!$CU:$CU)+'Rate History'!$D$5*SUMIF(Data!$G:$G,Neutral!$A55,Data!$CV:$CV)+'Rate History'!$D$6*SUMIF(Data!$G:$G,Neutral!$A55,Data!$CW:$CW)+'Rate History'!$D$7*SUMIF(Data!$G:$G,Neutral!$A55,Data!$CX:$CX)+'Rate History'!$D$8*SUMIF(Data!$G:$G,Neutral!$A55,Data!$CY:$CY)+'Rate History'!$D$9*SUMIF(Data!$G:$G,Neutral!$A55,Data!$CZ:$CZ)+'Rate History'!$D$10*SUMIF(Data!$G:$G,Neutral!$A55,Data!$DA:$DA)+'Rate History'!$D$11*SUMIF(Data!$G:$G,Neutral!$A55,Data!$DB:$DB)+'Rate History'!$D$12*SUMIF(Data!$G:$G,Neutral!$A55,Data!$DC:$DC)+'Rate History'!$D$13*SUMIF(Data!$G:$G,Neutral!$A55,Data!$DD:$DD)+'Rate History'!$D$14*SUMIF(Data!$G:$G,Neutral!$A55,Data!$DE:$DE)+'Rate History'!$D$15*SUMIF(Data!$G:$G,Neutral!$A55,Data!$DF:$DF)+'Rate History'!$D$16*SUMIF(Data!$G:$G,Neutral!$A55,Data!$DG:$DG)+'Rate History'!$D$17*SUMIF(Data!$G:$G,Neutral!$A55,Data!$DH:$DH)+'Rate History'!$D$18*SUMIF(Data!$G:$G,Neutral!$A55,Data!$DI:$DI)+'Rate History'!$D$19*SUMIF(Data!$G:$G,Neutral!$A55,Data!$DJ:$DJ)+'Rate History'!$D$20*SUMIF(Data!$G:$G,Neutral!$A55,Data!$DK:$DK)+'Rate History'!$D$21*SUMIF(Data!$G:$G,Neutral!$A55,Data!$DL:$DL)+'Rate History'!$D$22*SUMIF(Data!$G:$G,Neutral!$A55,Data!$DM:$DM)+'Rate History'!$D$23*SUMIF(Data!$G:$G,Neutral!$A55,Data!$DN:$DN)+'Rate History'!$D$24*SUMIF(Data!$G:$G,Neutral!$A55,Data!$DO:$DO)+'Rate History'!$D$25*SUMIF(Data!$G:$G,Neutral!$A55,Data!$DP:$DP)+'Rate History'!$D$26*SUMIF(Data!$G:$G,Neutral!$A55,Data!$DQ:$DQ)+'Rate History'!$D$27*SUMIF(Data!$G:$G,Neutral!$A55,Data!$DR:$DR)+'Rate History'!$D$28*SUMIF(Data!$G:$G,Neutral!$A55,Data!$DS:$DS)+'Rate History'!$D$29*SUMIF(Data!$G:$G,Neutral!$A55,Data!$DT:$DT)+'Rate History'!$D$30*SUMIF(Data!$G:$G,Neutral!$A55,Data!$DV:$DV)+'Rate History'!$D$31*SUMIF(Data!$G:$G,Neutral!$A55,Data!$DW:$DW))</f>
        <v>7866706.4069556613</v>
      </c>
      <c r="C55" s="168">
        <f>$C$5*('Rate History'!$C$4*SUMIF(Data!$G:$G,Neutral!$A55,Data!$CU:$CU)+'Rate History'!$C$5*SUMIF(Data!$G:$G,Neutral!$A55,Data!$CV:$CV)+'Rate History'!$C$6*SUMIF(Data!$G:$G,Neutral!$A55,Data!$CW:$CW)+'Rate History'!$C$7*SUMIF(Data!$G:$G,Neutral!$A55,Data!$CX:$CX)+'Rate History'!$C$8*SUMIF(Data!$G:$G,Neutral!$A55,Data!$CY:$CY)+'Rate History'!$C$9*SUMIF(Data!$G:$G,Neutral!$A55,Data!$CZ:$CZ)+'Rate History'!$C$10*SUMIF(Data!$G:$G,Neutral!$A55,Data!$DA:$DA)+'Rate History'!$C$11*SUMIF(Data!$G:$G,Neutral!$A55,Data!$DB:$DB)+'Rate History'!$C$12*SUMIF(Data!$G:$G,Neutral!$A55,Data!$DC:$DC)+'Rate History'!$C$13*SUMIF(Data!$G:$G,Neutral!$A55,Data!$DD:$DD)+'Rate History'!$C$14*SUMIF(Data!$G:$G,Neutral!$A55,Data!$DE:$DE)+'Rate History'!$C$15*SUMIF(Data!$G:$G,Neutral!$A55,Data!$DF:$DF)+'Rate History'!$C$16*SUMIF(Data!$G:$G,Neutral!$A55,Data!$DG:$DG)+'Rate History'!$C$17*SUMIF(Data!$G:$G,Neutral!$A55,Data!$DH:$DH)+'Rate History'!$C$18*SUMIF(Data!$G:$G,Neutral!$A55,Data!$DI:$DI)+'Rate History'!$C$19*SUMIF(Data!$G:$G,Neutral!$A55,Data!$DJ:$DJ)+'Rate History'!$C$20*SUMIF(Data!$G:$G,Neutral!$A55,Data!$DK:$DK)+'Rate History'!$C$21*SUMIF(Data!$G:$G,Neutral!$A55,Data!$DL:$DL)+'Rate History'!$C$22*SUMIF(Data!$G:$G,Neutral!$A55,Data!$DM:$DM)+'Rate History'!$C$23*SUMIF(Data!$G:$G,Neutral!$A55,Data!$DN:$DN)+'Rate History'!$C$24*SUMIF(Data!$G:$G,Neutral!$A55,Data!$DO:$DO)+'Rate History'!$C$25*SUMIF(Data!$G:$G,Neutral!$A55,Data!$DP:$DP)+'Rate History'!$C$26*SUMIF(Data!$G:$G,Neutral!$A55,Data!$DQ:$DQ)+'Rate History'!$C$27*SUMIF(Data!$G:$G,Neutral!$A55,Data!$DR:$DR)+'Rate History'!$C$28*SUMIF(Data!$G:$G,Neutral!$A55,Data!$DS:$DS)+'Rate History'!$C$29*SUMIF(Data!$G:$G,Neutral!$A55,Data!$DT:$DT)+'Rate History'!$C$30*SUMIF(Data!$G:$G,Neutral!$A55,Data!$DV:$DV)+'Rate History'!$C$31*SUMIF(Data!$G:$G,Neutral!$A55,Data!$DW:$DW))</f>
        <v>7862651.0964037618</v>
      </c>
      <c r="D55" s="169">
        <f t="shared" si="1"/>
        <v>-4055.3105518994853</v>
      </c>
      <c r="E55" s="167">
        <f t="shared" si="0"/>
        <v>-5.1550297444859781E-4</v>
      </c>
    </row>
    <row r="56" spans="1:5" x14ac:dyDescent="0.25">
      <c r="A56" s="90" t="s">
        <v>457</v>
      </c>
      <c r="B56" s="168">
        <f>$B$5*('Rate History'!$D$4*SUMIF(Data!$G:$G,Neutral!$A56,Data!$CU:$CU)+'Rate History'!$D$5*SUMIF(Data!$G:$G,Neutral!$A56,Data!$CV:$CV)+'Rate History'!$D$6*SUMIF(Data!$G:$G,Neutral!$A56,Data!$CW:$CW)+'Rate History'!$D$7*SUMIF(Data!$G:$G,Neutral!$A56,Data!$CX:$CX)+'Rate History'!$D$8*SUMIF(Data!$G:$G,Neutral!$A56,Data!$CY:$CY)+'Rate History'!$D$9*SUMIF(Data!$G:$G,Neutral!$A56,Data!$CZ:$CZ)+'Rate History'!$D$10*SUMIF(Data!$G:$G,Neutral!$A56,Data!$DA:$DA)+'Rate History'!$D$11*SUMIF(Data!$G:$G,Neutral!$A56,Data!$DB:$DB)+'Rate History'!$D$12*SUMIF(Data!$G:$G,Neutral!$A56,Data!$DC:$DC)+'Rate History'!$D$13*SUMIF(Data!$G:$G,Neutral!$A56,Data!$DD:$DD)+'Rate History'!$D$14*SUMIF(Data!$G:$G,Neutral!$A56,Data!$DE:$DE)+'Rate History'!$D$15*SUMIF(Data!$G:$G,Neutral!$A56,Data!$DF:$DF)+'Rate History'!$D$16*SUMIF(Data!$G:$G,Neutral!$A56,Data!$DG:$DG)+'Rate History'!$D$17*SUMIF(Data!$G:$G,Neutral!$A56,Data!$DH:$DH)+'Rate History'!$D$18*SUMIF(Data!$G:$G,Neutral!$A56,Data!$DI:$DI)+'Rate History'!$D$19*SUMIF(Data!$G:$G,Neutral!$A56,Data!$DJ:$DJ)+'Rate History'!$D$20*SUMIF(Data!$G:$G,Neutral!$A56,Data!$DK:$DK)+'Rate History'!$D$21*SUMIF(Data!$G:$G,Neutral!$A56,Data!$DL:$DL)+'Rate History'!$D$22*SUMIF(Data!$G:$G,Neutral!$A56,Data!$DM:$DM)+'Rate History'!$D$23*SUMIF(Data!$G:$G,Neutral!$A56,Data!$DN:$DN)+'Rate History'!$D$24*SUMIF(Data!$G:$G,Neutral!$A56,Data!$DO:$DO)+'Rate History'!$D$25*SUMIF(Data!$G:$G,Neutral!$A56,Data!$DP:$DP)+'Rate History'!$D$26*SUMIF(Data!$G:$G,Neutral!$A56,Data!$DQ:$DQ)+'Rate History'!$D$27*SUMIF(Data!$G:$G,Neutral!$A56,Data!$DR:$DR)+'Rate History'!$D$28*SUMIF(Data!$G:$G,Neutral!$A56,Data!$DS:$DS)+'Rate History'!$D$29*SUMIF(Data!$G:$G,Neutral!$A56,Data!$DT:$DT)+'Rate History'!$D$30*SUMIF(Data!$G:$G,Neutral!$A56,Data!$DV:$DV)+'Rate History'!$D$31*SUMIF(Data!$G:$G,Neutral!$A56,Data!$DW:$DW))</f>
        <v>5922548.5096658878</v>
      </c>
      <c r="C56" s="168">
        <f>$C$5*('Rate History'!$C$4*SUMIF(Data!$G:$G,Neutral!$A56,Data!$CU:$CU)+'Rate History'!$C$5*SUMIF(Data!$G:$G,Neutral!$A56,Data!$CV:$CV)+'Rate History'!$C$6*SUMIF(Data!$G:$G,Neutral!$A56,Data!$CW:$CW)+'Rate History'!$C$7*SUMIF(Data!$G:$G,Neutral!$A56,Data!$CX:$CX)+'Rate History'!$C$8*SUMIF(Data!$G:$G,Neutral!$A56,Data!$CY:$CY)+'Rate History'!$C$9*SUMIF(Data!$G:$G,Neutral!$A56,Data!$CZ:$CZ)+'Rate History'!$C$10*SUMIF(Data!$G:$G,Neutral!$A56,Data!$DA:$DA)+'Rate History'!$C$11*SUMIF(Data!$G:$G,Neutral!$A56,Data!$DB:$DB)+'Rate History'!$C$12*SUMIF(Data!$G:$G,Neutral!$A56,Data!$DC:$DC)+'Rate History'!$C$13*SUMIF(Data!$G:$G,Neutral!$A56,Data!$DD:$DD)+'Rate History'!$C$14*SUMIF(Data!$G:$G,Neutral!$A56,Data!$DE:$DE)+'Rate History'!$C$15*SUMIF(Data!$G:$G,Neutral!$A56,Data!$DF:$DF)+'Rate History'!$C$16*SUMIF(Data!$G:$G,Neutral!$A56,Data!$DG:$DG)+'Rate History'!$C$17*SUMIF(Data!$G:$G,Neutral!$A56,Data!$DH:$DH)+'Rate History'!$C$18*SUMIF(Data!$G:$G,Neutral!$A56,Data!$DI:$DI)+'Rate History'!$C$19*SUMIF(Data!$G:$G,Neutral!$A56,Data!$DJ:$DJ)+'Rate History'!$C$20*SUMIF(Data!$G:$G,Neutral!$A56,Data!$DK:$DK)+'Rate History'!$C$21*SUMIF(Data!$G:$G,Neutral!$A56,Data!$DL:$DL)+'Rate History'!$C$22*SUMIF(Data!$G:$G,Neutral!$A56,Data!$DM:$DM)+'Rate History'!$C$23*SUMIF(Data!$G:$G,Neutral!$A56,Data!$DN:$DN)+'Rate History'!$C$24*SUMIF(Data!$G:$G,Neutral!$A56,Data!$DO:$DO)+'Rate History'!$C$25*SUMIF(Data!$G:$G,Neutral!$A56,Data!$DP:$DP)+'Rate History'!$C$26*SUMIF(Data!$G:$G,Neutral!$A56,Data!$DQ:$DQ)+'Rate History'!$C$27*SUMIF(Data!$G:$G,Neutral!$A56,Data!$DR:$DR)+'Rate History'!$C$28*SUMIF(Data!$G:$G,Neutral!$A56,Data!$DS:$DS)+'Rate History'!$C$29*SUMIF(Data!$G:$G,Neutral!$A56,Data!$DT:$DT)+'Rate History'!$C$30*SUMIF(Data!$G:$G,Neutral!$A56,Data!$DV:$DV)+'Rate History'!$C$31*SUMIF(Data!$G:$G,Neutral!$A56,Data!$DW:$DW))</f>
        <v>5921385.3251901297</v>
      </c>
      <c r="D56" s="169">
        <f t="shared" si="1"/>
        <v>-1163.184475758113</v>
      </c>
      <c r="E56" s="167">
        <f t="shared" si="0"/>
        <v>-1.9639931591269185E-4</v>
      </c>
    </row>
    <row r="57" spans="1:5" x14ac:dyDescent="0.25">
      <c r="A57" s="90" t="s">
        <v>430</v>
      </c>
      <c r="B57" s="168">
        <f>$B$5*('Rate History'!$D$4*SUMIF(Data!$G:$G,Neutral!$A57,Data!$CU:$CU)+'Rate History'!$D$5*SUMIF(Data!$G:$G,Neutral!$A57,Data!$CV:$CV)+'Rate History'!$D$6*SUMIF(Data!$G:$G,Neutral!$A57,Data!$CW:$CW)+'Rate History'!$D$7*SUMIF(Data!$G:$G,Neutral!$A57,Data!$CX:$CX)+'Rate History'!$D$8*SUMIF(Data!$G:$G,Neutral!$A57,Data!$CY:$CY)+'Rate History'!$D$9*SUMIF(Data!$G:$G,Neutral!$A57,Data!$CZ:$CZ)+'Rate History'!$D$10*SUMIF(Data!$G:$G,Neutral!$A57,Data!$DA:$DA)+'Rate History'!$D$11*SUMIF(Data!$G:$G,Neutral!$A57,Data!$DB:$DB)+'Rate History'!$D$12*SUMIF(Data!$G:$G,Neutral!$A57,Data!$DC:$DC)+'Rate History'!$D$13*SUMIF(Data!$G:$G,Neutral!$A57,Data!$DD:$DD)+'Rate History'!$D$14*SUMIF(Data!$G:$G,Neutral!$A57,Data!$DE:$DE)+'Rate History'!$D$15*SUMIF(Data!$G:$G,Neutral!$A57,Data!$DF:$DF)+'Rate History'!$D$16*SUMIF(Data!$G:$G,Neutral!$A57,Data!$DG:$DG)+'Rate History'!$D$17*SUMIF(Data!$G:$G,Neutral!$A57,Data!$DH:$DH)+'Rate History'!$D$18*SUMIF(Data!$G:$G,Neutral!$A57,Data!$DI:$DI)+'Rate History'!$D$19*SUMIF(Data!$G:$G,Neutral!$A57,Data!$DJ:$DJ)+'Rate History'!$D$20*SUMIF(Data!$G:$G,Neutral!$A57,Data!$DK:$DK)+'Rate History'!$D$21*SUMIF(Data!$G:$G,Neutral!$A57,Data!$DL:$DL)+'Rate History'!$D$22*SUMIF(Data!$G:$G,Neutral!$A57,Data!$DM:$DM)+'Rate History'!$D$23*SUMIF(Data!$G:$G,Neutral!$A57,Data!$DN:$DN)+'Rate History'!$D$24*SUMIF(Data!$G:$G,Neutral!$A57,Data!$DO:$DO)+'Rate History'!$D$25*SUMIF(Data!$G:$G,Neutral!$A57,Data!$DP:$DP)+'Rate History'!$D$26*SUMIF(Data!$G:$G,Neutral!$A57,Data!$DQ:$DQ)+'Rate History'!$D$27*SUMIF(Data!$G:$G,Neutral!$A57,Data!$DR:$DR)+'Rate History'!$D$28*SUMIF(Data!$G:$G,Neutral!$A57,Data!$DS:$DS)+'Rate History'!$D$29*SUMIF(Data!$G:$G,Neutral!$A57,Data!$DT:$DT)+'Rate History'!$D$30*SUMIF(Data!$G:$G,Neutral!$A57,Data!$DV:$DV)+'Rate History'!$D$31*SUMIF(Data!$G:$G,Neutral!$A57,Data!$DW:$DW))</f>
        <v>10435538.038880328</v>
      </c>
      <c r="C57" s="168">
        <f>$C$5*('Rate History'!$C$4*SUMIF(Data!$G:$G,Neutral!$A57,Data!$CU:$CU)+'Rate History'!$C$5*SUMIF(Data!$G:$G,Neutral!$A57,Data!$CV:$CV)+'Rate History'!$C$6*SUMIF(Data!$G:$G,Neutral!$A57,Data!$CW:$CW)+'Rate History'!$C$7*SUMIF(Data!$G:$G,Neutral!$A57,Data!$CX:$CX)+'Rate History'!$C$8*SUMIF(Data!$G:$G,Neutral!$A57,Data!$CY:$CY)+'Rate History'!$C$9*SUMIF(Data!$G:$G,Neutral!$A57,Data!$CZ:$CZ)+'Rate History'!$C$10*SUMIF(Data!$G:$G,Neutral!$A57,Data!$DA:$DA)+'Rate History'!$C$11*SUMIF(Data!$G:$G,Neutral!$A57,Data!$DB:$DB)+'Rate History'!$C$12*SUMIF(Data!$G:$G,Neutral!$A57,Data!$DC:$DC)+'Rate History'!$C$13*SUMIF(Data!$G:$G,Neutral!$A57,Data!$DD:$DD)+'Rate History'!$C$14*SUMIF(Data!$G:$G,Neutral!$A57,Data!$DE:$DE)+'Rate History'!$C$15*SUMIF(Data!$G:$G,Neutral!$A57,Data!$DF:$DF)+'Rate History'!$C$16*SUMIF(Data!$G:$G,Neutral!$A57,Data!$DG:$DG)+'Rate History'!$C$17*SUMIF(Data!$G:$G,Neutral!$A57,Data!$DH:$DH)+'Rate History'!$C$18*SUMIF(Data!$G:$G,Neutral!$A57,Data!$DI:$DI)+'Rate History'!$C$19*SUMIF(Data!$G:$G,Neutral!$A57,Data!$DJ:$DJ)+'Rate History'!$C$20*SUMIF(Data!$G:$G,Neutral!$A57,Data!$DK:$DK)+'Rate History'!$C$21*SUMIF(Data!$G:$G,Neutral!$A57,Data!$DL:$DL)+'Rate History'!$C$22*SUMIF(Data!$G:$G,Neutral!$A57,Data!$DM:$DM)+'Rate History'!$C$23*SUMIF(Data!$G:$G,Neutral!$A57,Data!$DN:$DN)+'Rate History'!$C$24*SUMIF(Data!$G:$G,Neutral!$A57,Data!$DO:$DO)+'Rate History'!$C$25*SUMIF(Data!$G:$G,Neutral!$A57,Data!$DP:$DP)+'Rate History'!$C$26*SUMIF(Data!$G:$G,Neutral!$A57,Data!$DQ:$DQ)+'Rate History'!$C$27*SUMIF(Data!$G:$G,Neutral!$A57,Data!$DR:$DR)+'Rate History'!$C$28*SUMIF(Data!$G:$G,Neutral!$A57,Data!$DS:$DS)+'Rate History'!$C$29*SUMIF(Data!$G:$G,Neutral!$A57,Data!$DT:$DT)+'Rate History'!$C$30*SUMIF(Data!$G:$G,Neutral!$A57,Data!$DV:$DV)+'Rate History'!$C$31*SUMIF(Data!$G:$G,Neutral!$A57,Data!$DW:$DW))</f>
        <v>10314904.432842186</v>
      </c>
      <c r="D57" s="169">
        <f t="shared" si="1"/>
        <v>-120633.606038142</v>
      </c>
      <c r="E57" s="167">
        <f t="shared" si="0"/>
        <v>-1.1559883696335534E-2</v>
      </c>
    </row>
    <row r="58" spans="1:5" x14ac:dyDescent="0.25">
      <c r="A58" s="90" t="s">
        <v>408</v>
      </c>
      <c r="B58" s="168">
        <f>$B$5*('Rate History'!$D$4*SUMIF(Data!$G:$G,Neutral!$A58,Data!$CU:$CU)+'Rate History'!$D$5*SUMIF(Data!$G:$G,Neutral!$A58,Data!$CV:$CV)+'Rate History'!$D$6*SUMIF(Data!$G:$G,Neutral!$A58,Data!$CW:$CW)+'Rate History'!$D$7*SUMIF(Data!$G:$G,Neutral!$A58,Data!$CX:$CX)+'Rate History'!$D$8*SUMIF(Data!$G:$G,Neutral!$A58,Data!$CY:$CY)+'Rate History'!$D$9*SUMIF(Data!$G:$G,Neutral!$A58,Data!$CZ:$CZ)+'Rate History'!$D$10*SUMIF(Data!$G:$G,Neutral!$A58,Data!$DA:$DA)+'Rate History'!$D$11*SUMIF(Data!$G:$G,Neutral!$A58,Data!$DB:$DB)+'Rate History'!$D$12*SUMIF(Data!$G:$G,Neutral!$A58,Data!$DC:$DC)+'Rate History'!$D$13*SUMIF(Data!$G:$G,Neutral!$A58,Data!$DD:$DD)+'Rate History'!$D$14*SUMIF(Data!$G:$G,Neutral!$A58,Data!$DE:$DE)+'Rate History'!$D$15*SUMIF(Data!$G:$G,Neutral!$A58,Data!$DF:$DF)+'Rate History'!$D$16*SUMIF(Data!$G:$G,Neutral!$A58,Data!$DG:$DG)+'Rate History'!$D$17*SUMIF(Data!$G:$G,Neutral!$A58,Data!$DH:$DH)+'Rate History'!$D$18*SUMIF(Data!$G:$G,Neutral!$A58,Data!$DI:$DI)+'Rate History'!$D$19*SUMIF(Data!$G:$G,Neutral!$A58,Data!$DJ:$DJ)+'Rate History'!$D$20*SUMIF(Data!$G:$G,Neutral!$A58,Data!$DK:$DK)+'Rate History'!$D$21*SUMIF(Data!$G:$G,Neutral!$A58,Data!$DL:$DL)+'Rate History'!$D$22*SUMIF(Data!$G:$G,Neutral!$A58,Data!$DM:$DM)+'Rate History'!$D$23*SUMIF(Data!$G:$G,Neutral!$A58,Data!$DN:$DN)+'Rate History'!$D$24*SUMIF(Data!$G:$G,Neutral!$A58,Data!$DO:$DO)+'Rate History'!$D$25*SUMIF(Data!$G:$G,Neutral!$A58,Data!$DP:$DP)+'Rate History'!$D$26*SUMIF(Data!$G:$G,Neutral!$A58,Data!$DQ:$DQ)+'Rate History'!$D$27*SUMIF(Data!$G:$G,Neutral!$A58,Data!$DR:$DR)+'Rate History'!$D$28*SUMIF(Data!$G:$G,Neutral!$A58,Data!$DS:$DS)+'Rate History'!$D$29*SUMIF(Data!$G:$G,Neutral!$A58,Data!$DT:$DT)+'Rate History'!$D$30*SUMIF(Data!$G:$G,Neutral!$A58,Data!$DV:$DV)+'Rate History'!$D$31*SUMIF(Data!$G:$G,Neutral!$A58,Data!$DW:$DW))</f>
        <v>16741848.540556218</v>
      </c>
      <c r="C58" s="168">
        <f>$C$5*('Rate History'!$C$4*SUMIF(Data!$G:$G,Neutral!$A58,Data!$CU:$CU)+'Rate History'!$C$5*SUMIF(Data!$G:$G,Neutral!$A58,Data!$CV:$CV)+'Rate History'!$C$6*SUMIF(Data!$G:$G,Neutral!$A58,Data!$CW:$CW)+'Rate History'!$C$7*SUMIF(Data!$G:$G,Neutral!$A58,Data!$CX:$CX)+'Rate History'!$C$8*SUMIF(Data!$G:$G,Neutral!$A58,Data!$CY:$CY)+'Rate History'!$C$9*SUMIF(Data!$G:$G,Neutral!$A58,Data!$CZ:$CZ)+'Rate History'!$C$10*SUMIF(Data!$G:$G,Neutral!$A58,Data!$DA:$DA)+'Rate History'!$C$11*SUMIF(Data!$G:$G,Neutral!$A58,Data!$DB:$DB)+'Rate History'!$C$12*SUMIF(Data!$G:$G,Neutral!$A58,Data!$DC:$DC)+'Rate History'!$C$13*SUMIF(Data!$G:$G,Neutral!$A58,Data!$DD:$DD)+'Rate History'!$C$14*SUMIF(Data!$G:$G,Neutral!$A58,Data!$DE:$DE)+'Rate History'!$C$15*SUMIF(Data!$G:$G,Neutral!$A58,Data!$DF:$DF)+'Rate History'!$C$16*SUMIF(Data!$G:$G,Neutral!$A58,Data!$DG:$DG)+'Rate History'!$C$17*SUMIF(Data!$G:$G,Neutral!$A58,Data!$DH:$DH)+'Rate History'!$C$18*SUMIF(Data!$G:$G,Neutral!$A58,Data!$DI:$DI)+'Rate History'!$C$19*SUMIF(Data!$G:$G,Neutral!$A58,Data!$DJ:$DJ)+'Rate History'!$C$20*SUMIF(Data!$G:$G,Neutral!$A58,Data!$DK:$DK)+'Rate History'!$C$21*SUMIF(Data!$G:$G,Neutral!$A58,Data!$DL:$DL)+'Rate History'!$C$22*SUMIF(Data!$G:$G,Neutral!$A58,Data!$DM:$DM)+'Rate History'!$C$23*SUMIF(Data!$G:$G,Neutral!$A58,Data!$DN:$DN)+'Rate History'!$C$24*SUMIF(Data!$G:$G,Neutral!$A58,Data!$DO:$DO)+'Rate History'!$C$25*SUMIF(Data!$G:$G,Neutral!$A58,Data!$DP:$DP)+'Rate History'!$C$26*SUMIF(Data!$G:$G,Neutral!$A58,Data!$DQ:$DQ)+'Rate History'!$C$27*SUMIF(Data!$G:$G,Neutral!$A58,Data!$DR:$DR)+'Rate History'!$C$28*SUMIF(Data!$G:$G,Neutral!$A58,Data!$DS:$DS)+'Rate History'!$C$29*SUMIF(Data!$G:$G,Neutral!$A58,Data!$DT:$DT)+'Rate History'!$C$30*SUMIF(Data!$G:$G,Neutral!$A58,Data!$DV:$DV)+'Rate History'!$C$31*SUMIF(Data!$G:$G,Neutral!$A58,Data!$DW:$DW))</f>
        <v>16997029.617261872</v>
      </c>
      <c r="D58" s="169">
        <f t="shared" si="1"/>
        <v>255181.07670565322</v>
      </c>
      <c r="E58" s="167">
        <f t="shared" si="0"/>
        <v>1.5242108784313209E-2</v>
      </c>
    </row>
    <row r="59" spans="1:5" x14ac:dyDescent="0.25">
      <c r="A59" s="90" t="s">
        <v>436</v>
      </c>
      <c r="B59" s="168">
        <f>$B$5*('Rate History'!$D$4*SUMIF(Data!$G:$G,Neutral!$A59,Data!$CU:$CU)+'Rate History'!$D$5*SUMIF(Data!$G:$G,Neutral!$A59,Data!$CV:$CV)+'Rate History'!$D$6*SUMIF(Data!$G:$G,Neutral!$A59,Data!$CW:$CW)+'Rate History'!$D$7*SUMIF(Data!$G:$G,Neutral!$A59,Data!$CX:$CX)+'Rate History'!$D$8*SUMIF(Data!$G:$G,Neutral!$A59,Data!$CY:$CY)+'Rate History'!$D$9*SUMIF(Data!$G:$G,Neutral!$A59,Data!$CZ:$CZ)+'Rate History'!$D$10*SUMIF(Data!$G:$G,Neutral!$A59,Data!$DA:$DA)+'Rate History'!$D$11*SUMIF(Data!$G:$G,Neutral!$A59,Data!$DB:$DB)+'Rate History'!$D$12*SUMIF(Data!$G:$G,Neutral!$A59,Data!$DC:$DC)+'Rate History'!$D$13*SUMIF(Data!$G:$G,Neutral!$A59,Data!$DD:$DD)+'Rate History'!$D$14*SUMIF(Data!$G:$G,Neutral!$A59,Data!$DE:$DE)+'Rate History'!$D$15*SUMIF(Data!$G:$G,Neutral!$A59,Data!$DF:$DF)+'Rate History'!$D$16*SUMIF(Data!$G:$G,Neutral!$A59,Data!$DG:$DG)+'Rate History'!$D$17*SUMIF(Data!$G:$G,Neutral!$A59,Data!$DH:$DH)+'Rate History'!$D$18*SUMIF(Data!$G:$G,Neutral!$A59,Data!$DI:$DI)+'Rate History'!$D$19*SUMIF(Data!$G:$G,Neutral!$A59,Data!$DJ:$DJ)+'Rate History'!$D$20*SUMIF(Data!$G:$G,Neutral!$A59,Data!$DK:$DK)+'Rate History'!$D$21*SUMIF(Data!$G:$G,Neutral!$A59,Data!$DL:$DL)+'Rate History'!$D$22*SUMIF(Data!$G:$G,Neutral!$A59,Data!$DM:$DM)+'Rate History'!$D$23*SUMIF(Data!$G:$G,Neutral!$A59,Data!$DN:$DN)+'Rate History'!$D$24*SUMIF(Data!$G:$G,Neutral!$A59,Data!$DO:$DO)+'Rate History'!$D$25*SUMIF(Data!$G:$G,Neutral!$A59,Data!$DP:$DP)+'Rate History'!$D$26*SUMIF(Data!$G:$G,Neutral!$A59,Data!$DQ:$DQ)+'Rate History'!$D$27*SUMIF(Data!$G:$G,Neutral!$A59,Data!$DR:$DR)+'Rate History'!$D$28*SUMIF(Data!$G:$G,Neutral!$A59,Data!$DS:$DS)+'Rate History'!$D$29*SUMIF(Data!$G:$G,Neutral!$A59,Data!$DT:$DT)+'Rate History'!$D$30*SUMIF(Data!$G:$G,Neutral!$A59,Data!$DV:$DV)+'Rate History'!$D$31*SUMIF(Data!$G:$G,Neutral!$A59,Data!$DW:$DW))</f>
        <v>1773651.1123491812</v>
      </c>
      <c r="C59" s="168">
        <f>$C$5*('Rate History'!$C$4*SUMIF(Data!$G:$G,Neutral!$A59,Data!$CU:$CU)+'Rate History'!$C$5*SUMIF(Data!$G:$G,Neutral!$A59,Data!$CV:$CV)+'Rate History'!$C$6*SUMIF(Data!$G:$G,Neutral!$A59,Data!$CW:$CW)+'Rate History'!$C$7*SUMIF(Data!$G:$G,Neutral!$A59,Data!$CX:$CX)+'Rate History'!$C$8*SUMIF(Data!$G:$G,Neutral!$A59,Data!$CY:$CY)+'Rate History'!$C$9*SUMIF(Data!$G:$G,Neutral!$A59,Data!$CZ:$CZ)+'Rate History'!$C$10*SUMIF(Data!$G:$G,Neutral!$A59,Data!$DA:$DA)+'Rate History'!$C$11*SUMIF(Data!$G:$G,Neutral!$A59,Data!$DB:$DB)+'Rate History'!$C$12*SUMIF(Data!$G:$G,Neutral!$A59,Data!$DC:$DC)+'Rate History'!$C$13*SUMIF(Data!$G:$G,Neutral!$A59,Data!$DD:$DD)+'Rate History'!$C$14*SUMIF(Data!$G:$G,Neutral!$A59,Data!$DE:$DE)+'Rate History'!$C$15*SUMIF(Data!$G:$G,Neutral!$A59,Data!$DF:$DF)+'Rate History'!$C$16*SUMIF(Data!$G:$G,Neutral!$A59,Data!$DG:$DG)+'Rate History'!$C$17*SUMIF(Data!$G:$G,Neutral!$A59,Data!$DH:$DH)+'Rate History'!$C$18*SUMIF(Data!$G:$G,Neutral!$A59,Data!$DI:$DI)+'Rate History'!$C$19*SUMIF(Data!$G:$G,Neutral!$A59,Data!$DJ:$DJ)+'Rate History'!$C$20*SUMIF(Data!$G:$G,Neutral!$A59,Data!$DK:$DK)+'Rate History'!$C$21*SUMIF(Data!$G:$G,Neutral!$A59,Data!$DL:$DL)+'Rate History'!$C$22*SUMIF(Data!$G:$G,Neutral!$A59,Data!$DM:$DM)+'Rate History'!$C$23*SUMIF(Data!$G:$G,Neutral!$A59,Data!$DN:$DN)+'Rate History'!$C$24*SUMIF(Data!$G:$G,Neutral!$A59,Data!$DO:$DO)+'Rate History'!$C$25*SUMIF(Data!$G:$G,Neutral!$A59,Data!$DP:$DP)+'Rate History'!$C$26*SUMIF(Data!$G:$G,Neutral!$A59,Data!$DQ:$DQ)+'Rate History'!$C$27*SUMIF(Data!$G:$G,Neutral!$A59,Data!$DR:$DR)+'Rate History'!$C$28*SUMIF(Data!$G:$G,Neutral!$A59,Data!$DS:$DS)+'Rate History'!$C$29*SUMIF(Data!$G:$G,Neutral!$A59,Data!$DT:$DT)+'Rate History'!$C$30*SUMIF(Data!$G:$G,Neutral!$A59,Data!$DV:$DV)+'Rate History'!$C$31*SUMIF(Data!$G:$G,Neutral!$A59,Data!$DW:$DW))</f>
        <v>1774476.3044480714</v>
      </c>
      <c r="D59" s="169">
        <f t="shared" si="1"/>
        <v>825.19209889019839</v>
      </c>
      <c r="E59" s="167">
        <f t="shared" si="0"/>
        <v>4.6525051806679195E-4</v>
      </c>
    </row>
    <row r="60" spans="1:5" x14ac:dyDescent="0.25">
      <c r="A60" s="90" t="s">
        <v>458</v>
      </c>
      <c r="B60" s="168">
        <f>$B$5*('Rate History'!$D$4*SUMIF(Data!$G:$G,Neutral!$A60,Data!$CU:$CU)+'Rate History'!$D$5*SUMIF(Data!$G:$G,Neutral!$A60,Data!$CV:$CV)+'Rate History'!$D$6*SUMIF(Data!$G:$G,Neutral!$A60,Data!$CW:$CW)+'Rate History'!$D$7*SUMIF(Data!$G:$G,Neutral!$A60,Data!$CX:$CX)+'Rate History'!$D$8*SUMIF(Data!$G:$G,Neutral!$A60,Data!$CY:$CY)+'Rate History'!$D$9*SUMIF(Data!$G:$G,Neutral!$A60,Data!$CZ:$CZ)+'Rate History'!$D$10*SUMIF(Data!$G:$G,Neutral!$A60,Data!$DA:$DA)+'Rate History'!$D$11*SUMIF(Data!$G:$G,Neutral!$A60,Data!$DB:$DB)+'Rate History'!$D$12*SUMIF(Data!$G:$G,Neutral!$A60,Data!$DC:$DC)+'Rate History'!$D$13*SUMIF(Data!$G:$G,Neutral!$A60,Data!$DD:$DD)+'Rate History'!$D$14*SUMIF(Data!$G:$G,Neutral!$A60,Data!$DE:$DE)+'Rate History'!$D$15*SUMIF(Data!$G:$G,Neutral!$A60,Data!$DF:$DF)+'Rate History'!$D$16*SUMIF(Data!$G:$G,Neutral!$A60,Data!$DG:$DG)+'Rate History'!$D$17*SUMIF(Data!$G:$G,Neutral!$A60,Data!$DH:$DH)+'Rate History'!$D$18*SUMIF(Data!$G:$G,Neutral!$A60,Data!$DI:$DI)+'Rate History'!$D$19*SUMIF(Data!$G:$G,Neutral!$A60,Data!$DJ:$DJ)+'Rate History'!$D$20*SUMIF(Data!$G:$G,Neutral!$A60,Data!$DK:$DK)+'Rate History'!$D$21*SUMIF(Data!$G:$G,Neutral!$A60,Data!$DL:$DL)+'Rate History'!$D$22*SUMIF(Data!$G:$G,Neutral!$A60,Data!$DM:$DM)+'Rate History'!$D$23*SUMIF(Data!$G:$G,Neutral!$A60,Data!$DN:$DN)+'Rate History'!$D$24*SUMIF(Data!$G:$G,Neutral!$A60,Data!$DO:$DO)+'Rate History'!$D$25*SUMIF(Data!$G:$G,Neutral!$A60,Data!$DP:$DP)+'Rate History'!$D$26*SUMIF(Data!$G:$G,Neutral!$A60,Data!$DQ:$DQ)+'Rate History'!$D$27*SUMIF(Data!$G:$G,Neutral!$A60,Data!$DR:$DR)+'Rate History'!$D$28*SUMIF(Data!$G:$G,Neutral!$A60,Data!$DS:$DS)+'Rate History'!$D$29*SUMIF(Data!$G:$G,Neutral!$A60,Data!$DT:$DT)+'Rate History'!$D$30*SUMIF(Data!$G:$G,Neutral!$A60,Data!$DV:$DV)+'Rate History'!$D$31*SUMIF(Data!$G:$G,Neutral!$A60,Data!$DW:$DW))</f>
        <v>4920832.2661461243</v>
      </c>
      <c r="C60" s="168">
        <f>$C$5*('Rate History'!$C$4*SUMIF(Data!$G:$G,Neutral!$A60,Data!$CU:$CU)+'Rate History'!$C$5*SUMIF(Data!$G:$G,Neutral!$A60,Data!$CV:$CV)+'Rate History'!$C$6*SUMIF(Data!$G:$G,Neutral!$A60,Data!$CW:$CW)+'Rate History'!$C$7*SUMIF(Data!$G:$G,Neutral!$A60,Data!$CX:$CX)+'Rate History'!$C$8*SUMIF(Data!$G:$G,Neutral!$A60,Data!$CY:$CY)+'Rate History'!$C$9*SUMIF(Data!$G:$G,Neutral!$A60,Data!$CZ:$CZ)+'Rate History'!$C$10*SUMIF(Data!$G:$G,Neutral!$A60,Data!$DA:$DA)+'Rate History'!$C$11*SUMIF(Data!$G:$G,Neutral!$A60,Data!$DB:$DB)+'Rate History'!$C$12*SUMIF(Data!$G:$G,Neutral!$A60,Data!$DC:$DC)+'Rate History'!$C$13*SUMIF(Data!$G:$G,Neutral!$A60,Data!$DD:$DD)+'Rate History'!$C$14*SUMIF(Data!$G:$G,Neutral!$A60,Data!$DE:$DE)+'Rate History'!$C$15*SUMIF(Data!$G:$G,Neutral!$A60,Data!$DF:$DF)+'Rate History'!$C$16*SUMIF(Data!$G:$G,Neutral!$A60,Data!$DG:$DG)+'Rate History'!$C$17*SUMIF(Data!$G:$G,Neutral!$A60,Data!$DH:$DH)+'Rate History'!$C$18*SUMIF(Data!$G:$G,Neutral!$A60,Data!$DI:$DI)+'Rate History'!$C$19*SUMIF(Data!$G:$G,Neutral!$A60,Data!$DJ:$DJ)+'Rate History'!$C$20*SUMIF(Data!$G:$G,Neutral!$A60,Data!$DK:$DK)+'Rate History'!$C$21*SUMIF(Data!$G:$G,Neutral!$A60,Data!$DL:$DL)+'Rate History'!$C$22*SUMIF(Data!$G:$G,Neutral!$A60,Data!$DM:$DM)+'Rate History'!$C$23*SUMIF(Data!$G:$G,Neutral!$A60,Data!$DN:$DN)+'Rate History'!$C$24*SUMIF(Data!$G:$G,Neutral!$A60,Data!$DO:$DO)+'Rate History'!$C$25*SUMIF(Data!$G:$G,Neutral!$A60,Data!$DP:$DP)+'Rate History'!$C$26*SUMIF(Data!$G:$G,Neutral!$A60,Data!$DQ:$DQ)+'Rate History'!$C$27*SUMIF(Data!$G:$G,Neutral!$A60,Data!$DR:$DR)+'Rate History'!$C$28*SUMIF(Data!$G:$G,Neutral!$A60,Data!$DS:$DS)+'Rate History'!$C$29*SUMIF(Data!$G:$G,Neutral!$A60,Data!$DT:$DT)+'Rate History'!$C$30*SUMIF(Data!$G:$G,Neutral!$A60,Data!$DV:$DV)+'Rate History'!$C$31*SUMIF(Data!$G:$G,Neutral!$A60,Data!$DW:$DW))</f>
        <v>4866083.2570866765</v>
      </c>
      <c r="D60" s="169">
        <f t="shared" si="1"/>
        <v>-54749.009059447795</v>
      </c>
      <c r="E60" s="167">
        <f t="shared" si="0"/>
        <v>-1.1125965303898862E-2</v>
      </c>
    </row>
    <row r="61" spans="1:5" x14ac:dyDescent="0.25">
      <c r="A61" s="90" t="s">
        <v>451</v>
      </c>
      <c r="B61" s="168">
        <f>$B$5*('Rate History'!$D$4*SUMIF(Data!$G:$G,Neutral!$A61,Data!$CU:$CU)+'Rate History'!$D$5*SUMIF(Data!$G:$G,Neutral!$A61,Data!$CV:$CV)+'Rate History'!$D$6*SUMIF(Data!$G:$G,Neutral!$A61,Data!$CW:$CW)+'Rate History'!$D$7*SUMIF(Data!$G:$G,Neutral!$A61,Data!$CX:$CX)+'Rate History'!$D$8*SUMIF(Data!$G:$G,Neutral!$A61,Data!$CY:$CY)+'Rate History'!$D$9*SUMIF(Data!$G:$G,Neutral!$A61,Data!$CZ:$CZ)+'Rate History'!$D$10*SUMIF(Data!$G:$G,Neutral!$A61,Data!$DA:$DA)+'Rate History'!$D$11*SUMIF(Data!$G:$G,Neutral!$A61,Data!$DB:$DB)+'Rate History'!$D$12*SUMIF(Data!$G:$G,Neutral!$A61,Data!$DC:$DC)+'Rate History'!$D$13*SUMIF(Data!$G:$G,Neutral!$A61,Data!$DD:$DD)+'Rate History'!$D$14*SUMIF(Data!$G:$G,Neutral!$A61,Data!$DE:$DE)+'Rate History'!$D$15*SUMIF(Data!$G:$G,Neutral!$A61,Data!$DF:$DF)+'Rate History'!$D$16*SUMIF(Data!$G:$G,Neutral!$A61,Data!$DG:$DG)+'Rate History'!$D$17*SUMIF(Data!$G:$G,Neutral!$A61,Data!$DH:$DH)+'Rate History'!$D$18*SUMIF(Data!$G:$G,Neutral!$A61,Data!$DI:$DI)+'Rate History'!$D$19*SUMIF(Data!$G:$G,Neutral!$A61,Data!$DJ:$DJ)+'Rate History'!$D$20*SUMIF(Data!$G:$G,Neutral!$A61,Data!$DK:$DK)+'Rate History'!$D$21*SUMIF(Data!$G:$G,Neutral!$A61,Data!$DL:$DL)+'Rate History'!$D$22*SUMIF(Data!$G:$G,Neutral!$A61,Data!$DM:$DM)+'Rate History'!$D$23*SUMIF(Data!$G:$G,Neutral!$A61,Data!$DN:$DN)+'Rate History'!$D$24*SUMIF(Data!$G:$G,Neutral!$A61,Data!$DO:$DO)+'Rate History'!$D$25*SUMIF(Data!$G:$G,Neutral!$A61,Data!$DP:$DP)+'Rate History'!$D$26*SUMIF(Data!$G:$G,Neutral!$A61,Data!$DQ:$DQ)+'Rate History'!$D$27*SUMIF(Data!$G:$G,Neutral!$A61,Data!$DR:$DR)+'Rate History'!$D$28*SUMIF(Data!$G:$G,Neutral!$A61,Data!$DS:$DS)+'Rate History'!$D$29*SUMIF(Data!$G:$G,Neutral!$A61,Data!$DT:$DT)+'Rate History'!$D$30*SUMIF(Data!$G:$G,Neutral!$A61,Data!$DV:$DV)+'Rate History'!$D$31*SUMIF(Data!$G:$G,Neutral!$A61,Data!$DW:$DW))</f>
        <v>4095594.7358258478</v>
      </c>
      <c r="C61" s="168">
        <f>$C$5*('Rate History'!$C$4*SUMIF(Data!$G:$G,Neutral!$A61,Data!$CU:$CU)+'Rate History'!$C$5*SUMIF(Data!$G:$G,Neutral!$A61,Data!$CV:$CV)+'Rate History'!$C$6*SUMIF(Data!$G:$G,Neutral!$A61,Data!$CW:$CW)+'Rate History'!$C$7*SUMIF(Data!$G:$G,Neutral!$A61,Data!$CX:$CX)+'Rate History'!$C$8*SUMIF(Data!$G:$G,Neutral!$A61,Data!$CY:$CY)+'Rate History'!$C$9*SUMIF(Data!$G:$G,Neutral!$A61,Data!$CZ:$CZ)+'Rate History'!$C$10*SUMIF(Data!$G:$G,Neutral!$A61,Data!$DA:$DA)+'Rate History'!$C$11*SUMIF(Data!$G:$G,Neutral!$A61,Data!$DB:$DB)+'Rate History'!$C$12*SUMIF(Data!$G:$G,Neutral!$A61,Data!$DC:$DC)+'Rate History'!$C$13*SUMIF(Data!$G:$G,Neutral!$A61,Data!$DD:$DD)+'Rate History'!$C$14*SUMIF(Data!$G:$G,Neutral!$A61,Data!$DE:$DE)+'Rate History'!$C$15*SUMIF(Data!$G:$G,Neutral!$A61,Data!$DF:$DF)+'Rate History'!$C$16*SUMIF(Data!$G:$G,Neutral!$A61,Data!$DG:$DG)+'Rate History'!$C$17*SUMIF(Data!$G:$G,Neutral!$A61,Data!$DH:$DH)+'Rate History'!$C$18*SUMIF(Data!$G:$G,Neutral!$A61,Data!$DI:$DI)+'Rate History'!$C$19*SUMIF(Data!$G:$G,Neutral!$A61,Data!$DJ:$DJ)+'Rate History'!$C$20*SUMIF(Data!$G:$G,Neutral!$A61,Data!$DK:$DK)+'Rate History'!$C$21*SUMIF(Data!$G:$G,Neutral!$A61,Data!$DL:$DL)+'Rate History'!$C$22*SUMIF(Data!$G:$G,Neutral!$A61,Data!$DM:$DM)+'Rate History'!$C$23*SUMIF(Data!$G:$G,Neutral!$A61,Data!$DN:$DN)+'Rate History'!$C$24*SUMIF(Data!$G:$G,Neutral!$A61,Data!$DO:$DO)+'Rate History'!$C$25*SUMIF(Data!$G:$G,Neutral!$A61,Data!$DP:$DP)+'Rate History'!$C$26*SUMIF(Data!$G:$G,Neutral!$A61,Data!$DQ:$DQ)+'Rate History'!$C$27*SUMIF(Data!$G:$G,Neutral!$A61,Data!$DR:$DR)+'Rate History'!$C$28*SUMIF(Data!$G:$G,Neutral!$A61,Data!$DS:$DS)+'Rate History'!$C$29*SUMIF(Data!$G:$G,Neutral!$A61,Data!$DT:$DT)+'Rate History'!$C$30*SUMIF(Data!$G:$G,Neutral!$A61,Data!$DV:$DV)+'Rate History'!$C$31*SUMIF(Data!$G:$G,Neutral!$A61,Data!$DW:$DW))</f>
        <v>4115148.3245180282</v>
      </c>
      <c r="D61" s="169">
        <f t="shared" si="1"/>
        <v>19553.588692180347</v>
      </c>
      <c r="E61" s="167">
        <f t="shared" si="0"/>
        <v>4.7742977402371097E-3</v>
      </c>
    </row>
    <row r="62" spans="1:5" x14ac:dyDescent="0.25">
      <c r="A62" s="71" t="s">
        <v>449</v>
      </c>
      <c r="B62" s="168">
        <f>$B$5*('Rate History'!$D$4*SUMIF(Data!$G:$G,Neutral!$A62,Data!$CU:$CU)+'Rate History'!$D$5*SUMIF(Data!$G:$G,Neutral!$A62,Data!$CV:$CV)+'Rate History'!$D$6*SUMIF(Data!$G:$G,Neutral!$A62,Data!$CW:$CW)+'Rate History'!$D$7*SUMIF(Data!$G:$G,Neutral!$A62,Data!$CX:$CX)+'Rate History'!$D$8*SUMIF(Data!$G:$G,Neutral!$A62,Data!$CY:$CY)+'Rate History'!$D$9*SUMIF(Data!$G:$G,Neutral!$A62,Data!$CZ:$CZ)+'Rate History'!$D$10*SUMIF(Data!$G:$G,Neutral!$A62,Data!$DA:$DA)+'Rate History'!$D$11*SUMIF(Data!$G:$G,Neutral!$A62,Data!$DB:$DB)+'Rate History'!$D$12*SUMIF(Data!$G:$G,Neutral!$A62,Data!$DC:$DC)+'Rate History'!$D$13*SUMIF(Data!$G:$G,Neutral!$A62,Data!$DD:$DD)+'Rate History'!$D$14*SUMIF(Data!$G:$G,Neutral!$A62,Data!$DE:$DE)+'Rate History'!$D$15*SUMIF(Data!$G:$G,Neutral!$A62,Data!$DF:$DF)+'Rate History'!$D$16*SUMIF(Data!$G:$G,Neutral!$A62,Data!$DG:$DG)+'Rate History'!$D$17*SUMIF(Data!$G:$G,Neutral!$A62,Data!$DH:$DH)+'Rate History'!$D$18*SUMIF(Data!$G:$G,Neutral!$A62,Data!$DI:$DI)+'Rate History'!$D$19*SUMIF(Data!$G:$G,Neutral!$A62,Data!$DJ:$DJ)+'Rate History'!$D$20*SUMIF(Data!$G:$G,Neutral!$A62,Data!$DK:$DK)+'Rate History'!$D$21*SUMIF(Data!$G:$G,Neutral!$A62,Data!$DL:$DL)+'Rate History'!$D$22*SUMIF(Data!$G:$G,Neutral!$A62,Data!$DM:$DM)+'Rate History'!$D$23*SUMIF(Data!$G:$G,Neutral!$A62,Data!$DN:$DN)+'Rate History'!$D$24*SUMIF(Data!$G:$G,Neutral!$A62,Data!$DO:$DO)+'Rate History'!$D$25*SUMIF(Data!$G:$G,Neutral!$A62,Data!$DP:$DP)+'Rate History'!$D$26*SUMIF(Data!$G:$G,Neutral!$A62,Data!$DQ:$DQ)+'Rate History'!$D$27*SUMIF(Data!$G:$G,Neutral!$A62,Data!$DR:$DR)+'Rate History'!$D$28*SUMIF(Data!$G:$G,Neutral!$A62,Data!$DS:$DS)+'Rate History'!$D$29*SUMIF(Data!$G:$G,Neutral!$A62,Data!$DT:$DT)+'Rate History'!$D$30*SUMIF(Data!$G:$G,Neutral!$A62,Data!$DV:$DV)+'Rate History'!$D$31*SUMIF(Data!$G:$G,Neutral!$A62,Data!$DW:$DW))</f>
        <v>2965638.3446565494</v>
      </c>
      <c r="C62" s="168">
        <f>$C$5*('Rate History'!$C$4*SUMIF(Data!$G:$G,Neutral!$A62,Data!$CU:$CU)+'Rate History'!$C$5*SUMIF(Data!$G:$G,Neutral!$A62,Data!$CV:$CV)+'Rate History'!$C$6*SUMIF(Data!$G:$G,Neutral!$A62,Data!$CW:$CW)+'Rate History'!$C$7*SUMIF(Data!$G:$G,Neutral!$A62,Data!$CX:$CX)+'Rate History'!$C$8*SUMIF(Data!$G:$G,Neutral!$A62,Data!$CY:$CY)+'Rate History'!$C$9*SUMIF(Data!$G:$G,Neutral!$A62,Data!$CZ:$CZ)+'Rate History'!$C$10*SUMIF(Data!$G:$G,Neutral!$A62,Data!$DA:$DA)+'Rate History'!$C$11*SUMIF(Data!$G:$G,Neutral!$A62,Data!$DB:$DB)+'Rate History'!$C$12*SUMIF(Data!$G:$G,Neutral!$A62,Data!$DC:$DC)+'Rate History'!$C$13*SUMIF(Data!$G:$G,Neutral!$A62,Data!$DD:$DD)+'Rate History'!$C$14*SUMIF(Data!$G:$G,Neutral!$A62,Data!$DE:$DE)+'Rate History'!$C$15*SUMIF(Data!$G:$G,Neutral!$A62,Data!$DF:$DF)+'Rate History'!$C$16*SUMIF(Data!$G:$G,Neutral!$A62,Data!$DG:$DG)+'Rate History'!$C$17*SUMIF(Data!$G:$G,Neutral!$A62,Data!$DH:$DH)+'Rate History'!$C$18*SUMIF(Data!$G:$G,Neutral!$A62,Data!$DI:$DI)+'Rate History'!$C$19*SUMIF(Data!$G:$G,Neutral!$A62,Data!$DJ:$DJ)+'Rate History'!$C$20*SUMIF(Data!$G:$G,Neutral!$A62,Data!$DK:$DK)+'Rate History'!$C$21*SUMIF(Data!$G:$G,Neutral!$A62,Data!$DL:$DL)+'Rate History'!$C$22*SUMIF(Data!$G:$G,Neutral!$A62,Data!$DM:$DM)+'Rate History'!$C$23*SUMIF(Data!$G:$G,Neutral!$A62,Data!$DN:$DN)+'Rate History'!$C$24*SUMIF(Data!$G:$G,Neutral!$A62,Data!$DO:$DO)+'Rate History'!$C$25*SUMIF(Data!$G:$G,Neutral!$A62,Data!$DP:$DP)+'Rate History'!$C$26*SUMIF(Data!$G:$G,Neutral!$A62,Data!$DQ:$DQ)+'Rate History'!$C$27*SUMIF(Data!$G:$G,Neutral!$A62,Data!$DR:$DR)+'Rate History'!$C$28*SUMIF(Data!$G:$G,Neutral!$A62,Data!$DS:$DS)+'Rate History'!$C$29*SUMIF(Data!$G:$G,Neutral!$A62,Data!$DT:$DT)+'Rate History'!$C$30*SUMIF(Data!$G:$G,Neutral!$A62,Data!$DV:$DV)+'Rate History'!$C$31*SUMIF(Data!$G:$G,Neutral!$A62,Data!$DW:$DW))</f>
        <v>2980341.7326475107</v>
      </c>
      <c r="D62" s="169">
        <f t="shared" si="1"/>
        <v>14703.387990961317</v>
      </c>
      <c r="E62" s="167">
        <f t="shared" si="0"/>
        <v>4.9579167390567704E-3</v>
      </c>
    </row>
    <row r="63" spans="1:5" ht="15.75" thickBot="1" x14ac:dyDescent="0.3">
      <c r="A63" s="80" t="s">
        <v>35</v>
      </c>
      <c r="B63" s="170">
        <f>SUM(B5:B62)</f>
        <v>770733178.00000095</v>
      </c>
      <c r="C63" s="170">
        <f>SUM(C6:C62)</f>
        <v>770733178.00000167</v>
      </c>
      <c r="D63" s="171">
        <f t="shared" si="1"/>
        <v>0</v>
      </c>
      <c r="E63" s="172">
        <f t="shared" si="0"/>
        <v>0</v>
      </c>
    </row>
    <row r="65" spans="2:2" x14ac:dyDescent="0.25">
      <c r="B65" s="173"/>
    </row>
    <row r="66" spans="2:2" x14ac:dyDescent="0.25">
      <c r="B66" s="174"/>
    </row>
  </sheetData>
  <mergeCells count="1">
    <mergeCell ref="A3:E3"/>
  </mergeCells>
  <pageMargins left="0.25" right="0.25" top="0.25" bottom="0.25" header="0.3" footer="0.3"/>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2"/>
  <sheetViews>
    <sheetView showGridLines="0" zoomScale="70" zoomScaleNormal="70" workbookViewId="0"/>
  </sheetViews>
  <sheetFormatPr defaultRowHeight="14.25" x14ac:dyDescent="0.2"/>
  <cols>
    <col min="1" max="1" width="9.42578125" style="10" customWidth="1"/>
    <col min="2" max="2" width="46.5703125" style="10" customWidth="1"/>
    <col min="3" max="3" width="18.28515625" style="10" customWidth="1"/>
    <col min="4" max="4" width="18.7109375" style="10" bestFit="1" customWidth="1"/>
    <col min="5" max="5" width="18.42578125" style="10" customWidth="1"/>
    <col min="6" max="6" width="17.28515625" style="10" customWidth="1"/>
    <col min="7" max="7" width="2.85546875" style="10" customWidth="1"/>
    <col min="8" max="9" width="10.5703125" style="61" bestFit="1" customWidth="1"/>
    <col min="10" max="10" width="12.42578125" style="61" bestFit="1" customWidth="1"/>
    <col min="11" max="11" width="17.85546875" style="10" bestFit="1" customWidth="1"/>
    <col min="12" max="14" width="9.140625" style="10"/>
    <col min="15" max="15" width="17.85546875" style="10" bestFit="1" customWidth="1"/>
    <col min="16"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394</v>
      </c>
      <c r="B2" s="11" t="str">
        <f>VLOOKUP(A2,Data!A:G,7,0)</f>
        <v>Alamo Community College District</v>
      </c>
      <c r="C2" s="11"/>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47536</v>
      </c>
      <c r="E5" s="15">
        <f>E36+E67+IFERROR($E$105/$D$105*D5,0)</f>
        <v>324270.80822358932</v>
      </c>
      <c r="F5" s="20">
        <f>IF(OR(D5=0,E5=0),"",ROUND(E5/D5,2))</f>
        <v>6.82</v>
      </c>
    </row>
    <row r="6" spans="1:6" x14ac:dyDescent="0.2">
      <c r="A6" s="19">
        <v>2</v>
      </c>
      <c r="B6" s="177" t="s">
        <v>1</v>
      </c>
      <c r="C6" s="178"/>
      <c r="D6" s="14">
        <f t="shared" ref="D6:D32" si="0">D37</f>
        <v>197214</v>
      </c>
      <c r="E6" s="17">
        <f t="shared" ref="E6:E32" si="1">E37+E68+IFERROR($E$105/$D$105*D6,0)</f>
        <v>1624934.6819043872</v>
      </c>
      <c r="F6" s="21">
        <f t="shared" ref="F6:F33" si="2">IF(OR(D6=0,E6=0),"",ROUND(E6/D6,2))</f>
        <v>8.24</v>
      </c>
    </row>
    <row r="7" spans="1:6" x14ac:dyDescent="0.2">
      <c r="A7" s="19">
        <v>3</v>
      </c>
      <c r="B7" s="177" t="s">
        <v>2</v>
      </c>
      <c r="C7" s="178"/>
      <c r="D7" s="14">
        <f t="shared" si="0"/>
        <v>1419408</v>
      </c>
      <c r="E7" s="17">
        <f t="shared" si="1"/>
        <v>10130272.374600902</v>
      </c>
      <c r="F7" s="21">
        <f t="shared" si="2"/>
        <v>7.14</v>
      </c>
    </row>
    <row r="8" spans="1:6" x14ac:dyDescent="0.2">
      <c r="A8" s="19">
        <v>4</v>
      </c>
      <c r="B8" s="177" t="s">
        <v>3</v>
      </c>
      <c r="C8" s="178"/>
      <c r="D8" s="14">
        <f t="shared" si="0"/>
        <v>817024</v>
      </c>
      <c r="E8" s="17">
        <f t="shared" si="1"/>
        <v>6465522.8135743411</v>
      </c>
      <c r="F8" s="21">
        <f t="shared" si="2"/>
        <v>7.91</v>
      </c>
    </row>
    <row r="9" spans="1:6" x14ac:dyDescent="0.2">
      <c r="A9" s="19">
        <v>5</v>
      </c>
      <c r="B9" s="177" t="s">
        <v>4</v>
      </c>
      <c r="C9" s="178"/>
      <c r="D9" s="14">
        <f t="shared" si="0"/>
        <v>5232</v>
      </c>
      <c r="E9" s="17">
        <f t="shared" si="1"/>
        <v>223772.88532114227</v>
      </c>
      <c r="F9" s="21">
        <f t="shared" si="2"/>
        <v>42.77</v>
      </c>
    </row>
    <row r="10" spans="1:6" x14ac:dyDescent="0.2">
      <c r="A10" s="19">
        <v>6</v>
      </c>
      <c r="B10" s="177" t="s">
        <v>5</v>
      </c>
      <c r="C10" s="178"/>
      <c r="D10" s="14">
        <f t="shared" si="0"/>
        <v>115792</v>
      </c>
      <c r="E10" s="17">
        <f t="shared" si="1"/>
        <v>1264995.9818627117</v>
      </c>
      <c r="F10" s="21">
        <f t="shared" si="2"/>
        <v>10.92</v>
      </c>
    </row>
    <row r="11" spans="1:6" x14ac:dyDescent="0.2">
      <c r="A11" s="19">
        <v>7</v>
      </c>
      <c r="B11" s="177" t="s">
        <v>6</v>
      </c>
      <c r="C11" s="178"/>
      <c r="D11" s="14">
        <f t="shared" si="0"/>
        <v>869926</v>
      </c>
      <c r="E11" s="17">
        <f t="shared" si="1"/>
        <v>6421336.0531116249</v>
      </c>
      <c r="F11" s="21">
        <f t="shared" si="2"/>
        <v>7.38</v>
      </c>
    </row>
    <row r="12" spans="1:6" x14ac:dyDescent="0.2">
      <c r="A12" s="19">
        <v>8</v>
      </c>
      <c r="B12" s="177" t="s">
        <v>7</v>
      </c>
      <c r="C12" s="178"/>
      <c r="D12" s="14">
        <f t="shared" si="0"/>
        <v>82042</v>
      </c>
      <c r="E12" s="17">
        <f t="shared" si="1"/>
        <v>598965.16657437989</v>
      </c>
      <c r="F12" s="21">
        <f t="shared" si="2"/>
        <v>7.3</v>
      </c>
    </row>
    <row r="13" spans="1:6" x14ac:dyDescent="0.2">
      <c r="A13" s="19">
        <v>9</v>
      </c>
      <c r="B13" s="177" t="s">
        <v>8</v>
      </c>
      <c r="C13" s="178"/>
      <c r="D13" s="14">
        <f t="shared" si="0"/>
        <v>446062</v>
      </c>
      <c r="E13" s="17">
        <f t="shared" si="1"/>
        <v>2528832.2427598182</v>
      </c>
      <c r="F13" s="21">
        <f t="shared" si="2"/>
        <v>5.67</v>
      </c>
    </row>
    <row r="14" spans="1:6" x14ac:dyDescent="0.2">
      <c r="A14" s="19">
        <v>10</v>
      </c>
      <c r="B14" s="177" t="s">
        <v>9</v>
      </c>
      <c r="C14" s="178"/>
      <c r="D14" s="14">
        <f t="shared" si="0"/>
        <v>5280</v>
      </c>
      <c r="E14" s="17">
        <f t="shared" si="1"/>
        <v>97057.6182139968</v>
      </c>
      <c r="F14" s="21">
        <f t="shared" si="2"/>
        <v>18.38</v>
      </c>
    </row>
    <row r="15" spans="1:6" x14ac:dyDescent="0.2">
      <c r="A15" s="19">
        <v>11</v>
      </c>
      <c r="B15" s="177" t="s">
        <v>10</v>
      </c>
      <c r="C15" s="178"/>
      <c r="D15" s="14">
        <f t="shared" si="0"/>
        <v>260508</v>
      </c>
      <c r="E15" s="17">
        <f t="shared" si="1"/>
        <v>2060615.5927446741</v>
      </c>
      <c r="F15" s="21">
        <f t="shared" si="2"/>
        <v>7.91</v>
      </c>
    </row>
    <row r="16" spans="1:6" x14ac:dyDescent="0.2">
      <c r="A16" s="19">
        <v>12</v>
      </c>
      <c r="B16" s="177" t="s">
        <v>11</v>
      </c>
      <c r="C16" s="178"/>
      <c r="D16" s="14">
        <f t="shared" si="0"/>
        <v>2854861</v>
      </c>
      <c r="E16" s="17">
        <f t="shared" si="1"/>
        <v>18444311.983907029</v>
      </c>
      <c r="F16" s="21">
        <f t="shared" si="2"/>
        <v>6.46</v>
      </c>
    </row>
    <row r="17" spans="1:6" x14ac:dyDescent="0.2">
      <c r="A17" s="19">
        <v>13</v>
      </c>
      <c r="B17" s="177" t="s">
        <v>12</v>
      </c>
      <c r="C17" s="178"/>
      <c r="D17" s="14">
        <f t="shared" si="0"/>
        <v>436778</v>
      </c>
      <c r="E17" s="17">
        <f t="shared" si="1"/>
        <v>2968679.4890668737</v>
      </c>
      <c r="F17" s="21">
        <f t="shared" si="2"/>
        <v>6.8</v>
      </c>
    </row>
    <row r="18" spans="1:6" x14ac:dyDescent="0.2">
      <c r="A18" s="19">
        <v>14</v>
      </c>
      <c r="B18" s="177" t="s">
        <v>464</v>
      </c>
      <c r="C18" s="178"/>
      <c r="D18" s="14">
        <f t="shared" si="0"/>
        <v>483166</v>
      </c>
      <c r="E18" s="17">
        <f t="shared" si="1"/>
        <v>4563432.7689363593</v>
      </c>
      <c r="F18" s="21">
        <f t="shared" si="2"/>
        <v>9.44</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708111</v>
      </c>
      <c r="E20" s="17">
        <f t="shared" si="1"/>
        <v>4458501.6144188419</v>
      </c>
      <c r="F20" s="21">
        <f t="shared" si="2"/>
        <v>6.3</v>
      </c>
    </row>
    <row r="21" spans="1:6" x14ac:dyDescent="0.2">
      <c r="A21" s="19">
        <v>17</v>
      </c>
      <c r="B21" s="177" t="s">
        <v>15</v>
      </c>
      <c r="C21" s="178"/>
      <c r="D21" s="14">
        <f t="shared" si="0"/>
        <v>42496</v>
      </c>
      <c r="E21" s="17">
        <f t="shared" si="1"/>
        <v>460732.85447386513</v>
      </c>
      <c r="F21" s="21">
        <f t="shared" si="2"/>
        <v>10.84</v>
      </c>
    </row>
    <row r="22" spans="1:6" x14ac:dyDescent="0.2">
      <c r="A22" s="19">
        <v>18</v>
      </c>
      <c r="B22" s="177" t="s">
        <v>16</v>
      </c>
      <c r="C22" s="178"/>
      <c r="D22" s="14">
        <f t="shared" si="0"/>
        <v>10858</v>
      </c>
      <c r="E22" s="17">
        <f t="shared" si="1"/>
        <v>97237.286471132058</v>
      </c>
      <c r="F22" s="21">
        <f t="shared" si="2"/>
        <v>8.9600000000000009</v>
      </c>
    </row>
    <row r="23" spans="1:6" x14ac:dyDescent="0.2">
      <c r="A23" s="19">
        <v>19</v>
      </c>
      <c r="B23" s="177" t="s">
        <v>17</v>
      </c>
      <c r="C23" s="178"/>
      <c r="D23" s="14">
        <f t="shared" si="0"/>
        <v>2307709</v>
      </c>
      <c r="E23" s="17">
        <f t="shared" si="1"/>
        <v>15349442.738258399</v>
      </c>
      <c r="F23" s="21">
        <f t="shared" si="2"/>
        <v>6.65</v>
      </c>
    </row>
    <row r="24" spans="1:6" x14ac:dyDescent="0.2">
      <c r="A24" s="19">
        <v>20</v>
      </c>
      <c r="B24" s="177" t="s">
        <v>18</v>
      </c>
      <c r="C24" s="178"/>
      <c r="D24" s="14">
        <f t="shared" si="0"/>
        <v>168884</v>
      </c>
      <c r="E24" s="17">
        <f t="shared" si="1"/>
        <v>1357912.6224342114</v>
      </c>
      <c r="F24" s="21">
        <f t="shared" si="2"/>
        <v>8.0399999999999991</v>
      </c>
    </row>
    <row r="25" spans="1:6" x14ac:dyDescent="0.2">
      <c r="A25" s="19">
        <v>21</v>
      </c>
      <c r="B25" s="177" t="s">
        <v>461</v>
      </c>
      <c r="C25" s="178"/>
      <c r="D25" s="14">
        <f t="shared" si="0"/>
        <v>92789</v>
      </c>
      <c r="E25" s="17">
        <f t="shared" si="1"/>
        <v>765793.00823078584</v>
      </c>
      <c r="F25" s="21">
        <f t="shared" si="2"/>
        <v>8.25</v>
      </c>
    </row>
    <row r="26" spans="1:6" x14ac:dyDescent="0.2">
      <c r="A26" s="19">
        <v>22</v>
      </c>
      <c r="B26" s="177" t="s">
        <v>19</v>
      </c>
      <c r="C26" s="178"/>
      <c r="D26" s="14">
        <f t="shared" si="0"/>
        <v>2112</v>
      </c>
      <c r="E26" s="17">
        <f t="shared" si="1"/>
        <v>15478.24728559872</v>
      </c>
      <c r="F26" s="21">
        <f t="shared" si="2"/>
        <v>7.33</v>
      </c>
    </row>
    <row r="27" spans="1:6" x14ac:dyDescent="0.2">
      <c r="A27" s="19">
        <v>23</v>
      </c>
      <c r="B27" s="177" t="s">
        <v>20</v>
      </c>
      <c r="C27" s="178"/>
      <c r="D27" s="14">
        <f t="shared" si="0"/>
        <v>331968</v>
      </c>
      <c r="E27" s="17">
        <f t="shared" si="1"/>
        <v>2666587.6869818354</v>
      </c>
      <c r="F27" s="21">
        <f t="shared" si="2"/>
        <v>8.0299999999999994</v>
      </c>
    </row>
    <row r="28" spans="1:6" x14ac:dyDescent="0.2">
      <c r="A28" s="19">
        <v>24</v>
      </c>
      <c r="B28" s="177" t="s">
        <v>21</v>
      </c>
      <c r="C28" s="178"/>
      <c r="D28" s="14">
        <f t="shared" si="0"/>
        <v>406930</v>
      </c>
      <c r="E28" s="17">
        <f t="shared" si="1"/>
        <v>2287025.7518601739</v>
      </c>
      <c r="F28" s="21">
        <f t="shared" si="2"/>
        <v>5.62</v>
      </c>
    </row>
    <row r="29" spans="1:6" x14ac:dyDescent="0.2">
      <c r="A29" s="19">
        <v>25</v>
      </c>
      <c r="B29" s="177" t="s">
        <v>22</v>
      </c>
      <c r="C29" s="178"/>
      <c r="D29" s="14">
        <f t="shared" si="0"/>
        <v>2366640</v>
      </c>
      <c r="E29" s="17">
        <f t="shared" si="1"/>
        <v>15763422.282191928</v>
      </c>
      <c r="F29" s="21">
        <f t="shared" si="2"/>
        <v>6.66</v>
      </c>
    </row>
    <row r="30" spans="1:6" x14ac:dyDescent="0.2">
      <c r="A30" s="19">
        <v>26</v>
      </c>
      <c r="B30" s="177" t="s">
        <v>23</v>
      </c>
      <c r="C30" s="178"/>
      <c r="D30" s="14">
        <f t="shared" si="0"/>
        <v>757728</v>
      </c>
      <c r="E30" s="17">
        <f t="shared" si="1"/>
        <v>6152926.4466013946</v>
      </c>
      <c r="F30" s="21">
        <f t="shared" si="2"/>
        <v>8.1199999999999992</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C33" s="13" t="s">
        <v>35</v>
      </c>
      <c r="D33" s="61">
        <f>SUM(D5:D32)</f>
        <v>15237054</v>
      </c>
      <c r="E33" s="4">
        <f>SUM(E5:E32)</f>
        <v>107092061.00001003</v>
      </c>
      <c r="F33" s="32">
        <f t="shared" si="2"/>
        <v>7.03</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IF(F3="1",SUMIF(Data!A:A,$A$2,Data!CU:CU),0)</f>
        <v>47536</v>
      </c>
      <c r="E36" s="15">
        <f>IF(F3="1",SUMIF(Data!$A:$A,$A$2,Data!IO:IO),0)</f>
        <v>19002</v>
      </c>
      <c r="F36" s="20">
        <f t="shared" ref="F36:F64" si="3">IF(OR(D36=0,E36=0),"",ROUND(E36/D36,2))</f>
        <v>0.4</v>
      </c>
    </row>
    <row r="37" spans="1:6" x14ac:dyDescent="0.2">
      <c r="A37" s="19">
        <v>2</v>
      </c>
      <c r="B37" s="177" t="s">
        <v>1</v>
      </c>
      <c r="C37" s="178"/>
      <c r="D37" s="14">
        <f>IF(F3="1",SUMIF(Data!A:A,$A$2,Data!CV:CV),0)</f>
        <v>197214</v>
      </c>
      <c r="E37" s="17">
        <f>IF(F3="1",SUMIF(Data!$A:$A,$A$2,Data!IP:IP),0)</f>
        <v>175508</v>
      </c>
      <c r="F37" s="21">
        <f t="shared" si="3"/>
        <v>0.89</v>
      </c>
    </row>
    <row r="38" spans="1:6" x14ac:dyDescent="0.2">
      <c r="A38" s="19">
        <v>3</v>
      </c>
      <c r="B38" s="177" t="s">
        <v>2</v>
      </c>
      <c r="C38" s="178"/>
      <c r="D38" s="14">
        <f>IF(F3="1",SUMIF(Data!A:A,$A$2,Data!CW:CW),0)</f>
        <v>1419408</v>
      </c>
      <c r="E38" s="17">
        <f>IF($F$3="1",SUMIF(Data!$A:$A,$A$2,Data!IQ:IQ),0)</f>
        <v>937311</v>
      </c>
      <c r="F38" s="21">
        <f t="shared" si="3"/>
        <v>0.66</v>
      </c>
    </row>
    <row r="39" spans="1:6" x14ac:dyDescent="0.2">
      <c r="A39" s="19">
        <v>4</v>
      </c>
      <c r="B39" s="177" t="s">
        <v>3</v>
      </c>
      <c r="C39" s="178"/>
      <c r="D39" s="14">
        <f>IF(F3="1",SUMIF(Data!A:A,$A$2,Data!CX:CX),0)</f>
        <v>817024</v>
      </c>
      <c r="E39" s="17">
        <f>IF($F$3="1",SUMIF(Data!$A:$A,$A$2,Data!IR:IR),0)</f>
        <v>510805</v>
      </c>
      <c r="F39" s="21">
        <f t="shared" si="3"/>
        <v>0.63</v>
      </c>
    </row>
    <row r="40" spans="1:6" x14ac:dyDescent="0.2">
      <c r="A40" s="19">
        <v>5</v>
      </c>
      <c r="B40" s="177" t="s">
        <v>4</v>
      </c>
      <c r="C40" s="178"/>
      <c r="D40" s="14">
        <f>IF(F3="1",SUMIF(Data!A:A,$A$2,Data!CY:CY),0)</f>
        <v>5232</v>
      </c>
      <c r="E40" s="17">
        <f>IF($F$3="1",SUMIF(Data!$A:$A,$A$2,Data!IS:IS),0)</f>
        <v>164972</v>
      </c>
      <c r="F40" s="21">
        <f t="shared" si="3"/>
        <v>31.53</v>
      </c>
    </row>
    <row r="41" spans="1:6" x14ac:dyDescent="0.2">
      <c r="A41" s="19">
        <v>6</v>
      </c>
      <c r="B41" s="177" t="s">
        <v>5</v>
      </c>
      <c r="C41" s="178"/>
      <c r="D41" s="14">
        <f>IF(F3="1",SUMIF(Data!A:A,$A$2,Data!CZ:CZ),0)</f>
        <v>115792</v>
      </c>
      <c r="E41" s="17">
        <f>IF($F$3="1",SUMIF(Data!$A:$A,$A$2,Data!IT:IT),0)</f>
        <v>248685</v>
      </c>
      <c r="F41" s="21">
        <f t="shared" si="3"/>
        <v>2.15</v>
      </c>
    </row>
    <row r="42" spans="1:6" x14ac:dyDescent="0.2">
      <c r="A42" s="19">
        <v>7</v>
      </c>
      <c r="B42" s="177" t="s">
        <v>6</v>
      </c>
      <c r="C42" s="178"/>
      <c r="D42" s="14">
        <f>IF(F3="1",SUMIF(Data!A:A,$A$2,Data!DA:DA),0)</f>
        <v>869926</v>
      </c>
      <c r="E42" s="17">
        <f>IF($F$3="1",SUMIF(Data!$A:$A,$A$2,Data!IU:IU),0)</f>
        <v>770198</v>
      </c>
      <c r="F42" s="21">
        <f t="shared" si="3"/>
        <v>0.89</v>
      </c>
    </row>
    <row r="43" spans="1:6" x14ac:dyDescent="0.2">
      <c r="A43" s="19">
        <v>8</v>
      </c>
      <c r="B43" s="177" t="s">
        <v>7</v>
      </c>
      <c r="C43" s="178"/>
      <c r="D43" s="14">
        <f>IF(F3="1",SUMIF(Data!A:A,$A$2,Data!DB:DB),0)</f>
        <v>82042</v>
      </c>
      <c r="E43" s="17">
        <f>IF($F$3="1",SUMIF(Data!$A:$A,$A$2,Data!IV:IV),0)</f>
        <v>62216</v>
      </c>
      <c r="F43" s="21">
        <f t="shared" si="3"/>
        <v>0.76</v>
      </c>
    </row>
    <row r="44" spans="1:6" x14ac:dyDescent="0.2">
      <c r="A44" s="19">
        <v>9</v>
      </c>
      <c r="B44" s="177" t="s">
        <v>8</v>
      </c>
      <c r="C44" s="178"/>
      <c r="D44" s="14">
        <f>IF(F3="1",SUMIF(Data!A:A,$A$2,Data!DC:DC),0)</f>
        <v>446062</v>
      </c>
      <c r="E44" s="17">
        <f>IF($F$3="1",SUMIF(Data!$A:$A,$A$2,Data!IW:IW),0)</f>
        <v>161591</v>
      </c>
      <c r="F44" s="21">
        <f t="shared" si="3"/>
        <v>0.36</v>
      </c>
    </row>
    <row r="45" spans="1:6" x14ac:dyDescent="0.2">
      <c r="A45" s="19">
        <v>10</v>
      </c>
      <c r="B45" s="177" t="s">
        <v>9</v>
      </c>
      <c r="C45" s="178"/>
      <c r="D45" s="14">
        <f>IF(F3="1",SUMIF(Data!A:A,$A$2,Data!DD:DD),0)</f>
        <v>5280</v>
      </c>
      <c r="E45" s="17">
        <f>IF($F$3="1",SUMIF(Data!$A:$A,$A$2,Data!IX:IX),0)</f>
        <v>35025</v>
      </c>
      <c r="F45" s="21">
        <f t="shared" si="3"/>
        <v>6.63</v>
      </c>
    </row>
    <row r="46" spans="1:6" x14ac:dyDescent="0.2">
      <c r="A46" s="19">
        <v>11</v>
      </c>
      <c r="B46" s="177" t="s">
        <v>10</v>
      </c>
      <c r="C46" s="178"/>
      <c r="D46" s="14">
        <f>IF(F3="1",SUMIF(Data!A:A,$A$2,Data!DE:DE),0)</f>
        <v>260508</v>
      </c>
      <c r="E46" s="17">
        <f>IF($F$3="1",SUMIF(Data!$A:$A,$A$2,Data!IY:IY),0)</f>
        <v>309859</v>
      </c>
      <c r="F46" s="21">
        <f t="shared" si="3"/>
        <v>1.19</v>
      </c>
    </row>
    <row r="47" spans="1:6" x14ac:dyDescent="0.2">
      <c r="A47" s="19">
        <v>12</v>
      </c>
      <c r="B47" s="177" t="s">
        <v>11</v>
      </c>
      <c r="C47" s="178"/>
      <c r="D47" s="14">
        <f>IF(F3="1",SUMIF(Data!A:A,$A$2,Data!DF:DF),0)</f>
        <v>2854861</v>
      </c>
      <c r="E47" s="17">
        <f>IF($F$3="1",SUMIF(Data!$A:$A,$A$2,Data!IZ:IZ),0)</f>
        <v>1161286</v>
      </c>
      <c r="F47" s="21">
        <f t="shared" si="3"/>
        <v>0.41</v>
      </c>
    </row>
    <row r="48" spans="1:6" x14ac:dyDescent="0.2">
      <c r="A48" s="19">
        <v>13</v>
      </c>
      <c r="B48" s="177" t="s">
        <v>12</v>
      </c>
      <c r="C48" s="178"/>
      <c r="D48" s="14">
        <f>IF(F3="1",SUMIF(Data!A:A,$A$2,Data!DG:DG),0)</f>
        <v>436778</v>
      </c>
      <c r="E48" s="17">
        <f>IF($F$3="1",SUMIF(Data!$A:$A,$A$2,Data!JA:JA),0)</f>
        <v>187466</v>
      </c>
      <c r="F48" s="21">
        <f t="shared" si="3"/>
        <v>0.43</v>
      </c>
    </row>
    <row r="49" spans="1:14" x14ac:dyDescent="0.2">
      <c r="A49" s="19">
        <v>14</v>
      </c>
      <c r="B49" s="177" t="s">
        <v>464</v>
      </c>
      <c r="C49" s="178"/>
      <c r="D49" s="14">
        <f>IF(F3="1",SUMIF(Data!A:A,$A$2,Data!DH:DH),0)</f>
        <v>483166</v>
      </c>
      <c r="E49" s="17">
        <f>IF($F$3="1",SUMIF(Data!$A:$A,$A$2,Data!JB:JB),0)</f>
        <v>301573</v>
      </c>
      <c r="F49" s="21">
        <f t="shared" si="3"/>
        <v>0.62</v>
      </c>
    </row>
    <row r="50" spans="1:14" x14ac:dyDescent="0.2">
      <c r="A50" s="19">
        <v>15</v>
      </c>
      <c r="B50" s="177" t="s">
        <v>13</v>
      </c>
      <c r="C50" s="178"/>
      <c r="D50" s="14">
        <f>IF(F3="1",SUMIF(Data!A:A,$A$2,Data!DI:DI),0)</f>
        <v>0</v>
      </c>
      <c r="E50" s="17">
        <f>IF($F$3="1",SUMIF(Data!$A:$A,$A$2,Data!JC:JC),0)</f>
        <v>0</v>
      </c>
      <c r="F50" s="21" t="str">
        <f t="shared" si="3"/>
        <v/>
      </c>
    </row>
    <row r="51" spans="1:14" x14ac:dyDescent="0.2">
      <c r="A51" s="19">
        <v>16</v>
      </c>
      <c r="B51" s="177" t="s">
        <v>14</v>
      </c>
      <c r="C51" s="178"/>
      <c r="D51" s="14">
        <f>IF(F3="1",SUMIF(Data!A:A,$A$2,Data!DJ:DJ),0)</f>
        <v>708111</v>
      </c>
      <c r="E51" s="17">
        <f>IF($F$3="1",SUMIF(Data!$A:$A,$A$2,Data!JD:JD),0)</f>
        <v>502808</v>
      </c>
      <c r="F51" s="21">
        <f t="shared" si="3"/>
        <v>0.71</v>
      </c>
    </row>
    <row r="52" spans="1:14" x14ac:dyDescent="0.2">
      <c r="A52" s="19">
        <v>17</v>
      </c>
      <c r="B52" s="177" t="s">
        <v>15</v>
      </c>
      <c r="C52" s="178"/>
      <c r="D52" s="14">
        <f>IF(F3="1",SUMIF(Data!A:A,$A$2,Data!DK:DK),0)</f>
        <v>42496</v>
      </c>
      <c r="E52" s="17">
        <f>IF($F$3="1",SUMIF(Data!$A:$A,$A$2,Data!JE:JE),0)</f>
        <v>21873</v>
      </c>
      <c r="F52" s="21">
        <f t="shared" si="3"/>
        <v>0.51</v>
      </c>
    </row>
    <row r="53" spans="1:14" x14ac:dyDescent="0.2">
      <c r="A53" s="19">
        <v>18</v>
      </c>
      <c r="B53" s="177" t="s">
        <v>16</v>
      </c>
      <c r="C53" s="178"/>
      <c r="D53" s="14">
        <f>IF(F3="1",SUMIF(Data!A:A,$A$2,Data!DL:DL),0)</f>
        <v>10858</v>
      </c>
      <c r="E53" s="17">
        <f>IF($F$3="1",SUMIF(Data!$A:$A,$A$2,Data!JF:JF),0)</f>
        <v>5479</v>
      </c>
      <c r="F53" s="21">
        <f t="shared" si="3"/>
        <v>0.5</v>
      </c>
    </row>
    <row r="54" spans="1:14" x14ac:dyDescent="0.2">
      <c r="A54" s="19">
        <v>19</v>
      </c>
      <c r="B54" s="177" t="s">
        <v>17</v>
      </c>
      <c r="C54" s="178"/>
      <c r="D54" s="14">
        <f>IF(F3="1",SUMIF(Data!A:A,$A$2,Data!DM:DM),0)</f>
        <v>2307709</v>
      </c>
      <c r="E54" s="17">
        <f>IF($F$3="1",SUMIF(Data!$A:$A,$A$2,Data!JG:JG),0)</f>
        <v>878957</v>
      </c>
      <c r="F54" s="21">
        <f t="shared" si="3"/>
        <v>0.38</v>
      </c>
    </row>
    <row r="55" spans="1:14" x14ac:dyDescent="0.2">
      <c r="A55" s="19">
        <v>20</v>
      </c>
      <c r="B55" s="177" t="s">
        <v>18</v>
      </c>
      <c r="C55" s="178"/>
      <c r="D55" s="14">
        <f>IF(F3="1",SUMIF(Data!A:A,$A$2,Data!DN:DN),0)</f>
        <v>168884</v>
      </c>
      <c r="E55" s="17">
        <f>IF($F$3="1",SUMIF(Data!$A:$A,$A$2,Data!JH:JH),0)</f>
        <v>150250</v>
      </c>
      <c r="F55" s="21">
        <f t="shared" si="3"/>
        <v>0.89</v>
      </c>
    </row>
    <row r="56" spans="1:14" ht="14.25" customHeight="1" x14ac:dyDescent="0.2">
      <c r="A56" s="19">
        <v>21</v>
      </c>
      <c r="B56" s="177" t="s">
        <v>461</v>
      </c>
      <c r="C56" s="178"/>
      <c r="D56" s="14">
        <f>IF(F3="1",SUMIF(Data!A:A,$A$2,Data!DO:DO),0)</f>
        <v>92789</v>
      </c>
      <c r="E56" s="17">
        <f>IF($F$3="1",SUMIF(Data!$A:$A,$A$2,Data!JI:JI),0)</f>
        <v>130441</v>
      </c>
      <c r="F56" s="21">
        <f t="shared" si="3"/>
        <v>1.41</v>
      </c>
    </row>
    <row r="57" spans="1:14" x14ac:dyDescent="0.2">
      <c r="A57" s="19">
        <v>22</v>
      </c>
      <c r="B57" s="177" t="s">
        <v>19</v>
      </c>
      <c r="C57" s="178"/>
      <c r="D57" s="14">
        <f>IF(F3="1",SUMIF(Data!A:A,$A$2,Data!DP:DP),0)</f>
        <v>2112</v>
      </c>
      <c r="E57" s="17">
        <f>IF($F$3="1",SUMIF(Data!$A:$A,$A$2,Data!JJ:JJ),0)</f>
        <v>1617</v>
      </c>
      <c r="F57" s="21">
        <f t="shared" si="3"/>
        <v>0.77</v>
      </c>
    </row>
    <row r="58" spans="1:14" x14ac:dyDescent="0.2">
      <c r="A58" s="19">
        <v>23</v>
      </c>
      <c r="B58" s="177" t="s">
        <v>20</v>
      </c>
      <c r="C58" s="178"/>
      <c r="D58" s="14">
        <f>IF(F3="1",SUMIF(Data!A:A,$A$2,Data!DQ:DQ),0)</f>
        <v>331968</v>
      </c>
      <c r="E58" s="17">
        <f>IF($F$3="1",SUMIF(Data!$A:$A,$A$2,Data!JK:JK),0)</f>
        <v>263358</v>
      </c>
      <c r="F58" s="21">
        <f t="shared" si="3"/>
        <v>0.79</v>
      </c>
      <c r="K58" s="61"/>
      <c r="L58" s="61"/>
      <c r="M58" s="61"/>
      <c r="N58" s="61"/>
    </row>
    <row r="59" spans="1:14" x14ac:dyDescent="0.2">
      <c r="A59" s="19">
        <v>24</v>
      </c>
      <c r="B59" s="177" t="s">
        <v>21</v>
      </c>
      <c r="C59" s="178"/>
      <c r="D59" s="14">
        <f>IF(F3="1",SUMIF(Data!A:A,$A$2,Data!DR:DR),0)</f>
        <v>406930</v>
      </c>
      <c r="E59" s="17">
        <f>IF($F$3="1",SUMIF(Data!$A:$A,$A$2,Data!JL:JL),0)</f>
        <v>80717</v>
      </c>
      <c r="F59" s="21">
        <f t="shared" si="3"/>
        <v>0.2</v>
      </c>
    </row>
    <row r="60" spans="1:14" x14ac:dyDescent="0.2">
      <c r="A60" s="19">
        <v>25</v>
      </c>
      <c r="B60" s="177" t="s">
        <v>22</v>
      </c>
      <c r="C60" s="178"/>
      <c r="D60" s="14">
        <f>IF(F3="1",SUMIF(Data!A:A,$A$2,Data!DS:DS),0)</f>
        <v>2366640</v>
      </c>
      <c r="E60" s="17">
        <f>IF($F$3="1",SUMIF(Data!$A:$A,$A$2,Data!JM:JM),0)</f>
        <v>831524</v>
      </c>
      <c r="F60" s="21">
        <f t="shared" si="3"/>
        <v>0.35</v>
      </c>
    </row>
    <row r="61" spans="1:14" x14ac:dyDescent="0.2">
      <c r="A61" s="19">
        <v>26</v>
      </c>
      <c r="B61" s="177" t="s">
        <v>23</v>
      </c>
      <c r="C61" s="178"/>
      <c r="D61" s="14">
        <f>IF(F3="1",SUMIF(Data!A:A,$A$2,Data!DT:DT),0)</f>
        <v>757728</v>
      </c>
      <c r="E61" s="17">
        <f>IF($F$3="1",SUMIF(Data!$A:$A,$A$2,Data!JN:JN),0)</f>
        <v>609113</v>
      </c>
      <c r="F61" s="21">
        <f t="shared" si="3"/>
        <v>0.8</v>
      </c>
    </row>
    <row r="62" spans="1:14" x14ac:dyDescent="0.2">
      <c r="A62" s="19">
        <v>28</v>
      </c>
      <c r="B62" s="177" t="s">
        <v>24</v>
      </c>
      <c r="C62" s="178"/>
      <c r="D62" s="14">
        <f>IF(F3="1",SUMIF(Data!A:A,$A$2,Data!DV:DV),0)</f>
        <v>0</v>
      </c>
      <c r="E62" s="17">
        <f>IF($F$3="1",SUMIF(Data!$A:$A,$A$2,Data!JP:JP),0)</f>
        <v>0</v>
      </c>
      <c r="F62" s="21" t="str">
        <f t="shared" si="3"/>
        <v/>
      </c>
    </row>
    <row r="63" spans="1:14" ht="15.75" customHeight="1" thickBot="1" x14ac:dyDescent="0.25">
      <c r="A63" s="22">
        <v>29</v>
      </c>
      <c r="B63" s="179" t="s">
        <v>25</v>
      </c>
      <c r="C63" s="180"/>
      <c r="D63" s="23">
        <f>IF(F3="1",SUMIF(Data!A:A,$A$2,Data!DW:DW),0)</f>
        <v>0</v>
      </c>
      <c r="E63" s="24">
        <f>IF($F$3="1",SUMIF(Data!$A:$A,$A$2,Data!JQ:JQ),0)</f>
        <v>0</v>
      </c>
      <c r="F63" s="25" t="str">
        <f t="shared" si="3"/>
        <v/>
      </c>
    </row>
    <row r="64" spans="1:14" x14ac:dyDescent="0.2">
      <c r="C64" s="13" t="s">
        <v>35</v>
      </c>
      <c r="D64" s="61">
        <f>SUM(D36:D63)</f>
        <v>15237054</v>
      </c>
      <c r="E64" s="4">
        <f>SUM(E36:E63)</f>
        <v>8521634</v>
      </c>
      <c r="F64" s="32">
        <f t="shared" si="3"/>
        <v>0.56000000000000005</v>
      </c>
      <c r="G64" s="60"/>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47536</v>
      </c>
      <c r="E67" s="15">
        <f>IF(F3="1",SUMIF(Data!A:A,$A$2,Data!DY:DY),0)</f>
        <v>150051</v>
      </c>
      <c r="F67" s="20">
        <f>IF(OR(D67=0,E67=0),"",ROUND(E67/D67,2))</f>
        <v>3.16</v>
      </c>
    </row>
    <row r="68" spans="1:6" x14ac:dyDescent="0.2">
      <c r="A68" s="19">
        <v>2</v>
      </c>
      <c r="B68" s="177" t="s">
        <v>1</v>
      </c>
      <c r="C68" s="178"/>
      <c r="D68" s="14">
        <f t="shared" ref="D68:D94" si="4">D37</f>
        <v>197214</v>
      </c>
      <c r="E68" s="17">
        <f>IF(F3="1",SUMIF(Data!A:A,$A$2,Data!DZ:DZ),0)</f>
        <v>805470</v>
      </c>
      <c r="F68" s="21">
        <f t="shared" ref="F68:F94" si="5">IF(OR(D68=0,E68=0),"",ROUND(E68/D68,2))</f>
        <v>4.08</v>
      </c>
    </row>
    <row r="69" spans="1:6" x14ac:dyDescent="0.2">
      <c r="A69" s="19">
        <v>3</v>
      </c>
      <c r="B69" s="177" t="s">
        <v>2</v>
      </c>
      <c r="C69" s="178"/>
      <c r="D69" s="14">
        <f t="shared" si="4"/>
        <v>1419408</v>
      </c>
      <c r="E69" s="17">
        <f>IF(F3="1",SUMIF(Data!A:A,$A$2,Data!EA:EA),0)</f>
        <v>4558213</v>
      </c>
      <c r="F69" s="21">
        <f t="shared" si="5"/>
        <v>3.21</v>
      </c>
    </row>
    <row r="70" spans="1:6" x14ac:dyDescent="0.2">
      <c r="A70" s="19">
        <v>4</v>
      </c>
      <c r="B70" s="177" t="s">
        <v>3</v>
      </c>
      <c r="C70" s="178"/>
      <c r="D70" s="14">
        <f t="shared" si="4"/>
        <v>817024</v>
      </c>
      <c r="E70" s="17">
        <f>IF(F3="1",SUMIF(Data!A:A,$A$2,Data!EB:EB),0)</f>
        <v>3286915</v>
      </c>
      <c r="F70" s="21">
        <f t="shared" si="5"/>
        <v>4.0199999999999996</v>
      </c>
    </row>
    <row r="71" spans="1:6" x14ac:dyDescent="0.2">
      <c r="A71" s="19">
        <v>5</v>
      </c>
      <c r="B71" s="177" t="s">
        <v>4</v>
      </c>
      <c r="C71" s="178"/>
      <c r="D71" s="14">
        <f t="shared" si="4"/>
        <v>5232</v>
      </c>
      <c r="E71" s="17">
        <f>IF(F3="1",SUMIF(Data!A:A,$A$2,Data!EC:EC),0)</f>
        <v>41717</v>
      </c>
      <c r="F71" s="21">
        <f t="shared" si="5"/>
        <v>7.97</v>
      </c>
    </row>
    <row r="72" spans="1:6" x14ac:dyDescent="0.2">
      <c r="A72" s="19">
        <v>6</v>
      </c>
      <c r="B72" s="177" t="s">
        <v>5</v>
      </c>
      <c r="C72" s="178"/>
      <c r="D72" s="14">
        <f t="shared" si="4"/>
        <v>115792</v>
      </c>
      <c r="E72" s="17">
        <f>IF(F3="1",SUMIF(Data!A:A,$A$2,Data!ED:ED),0)</f>
        <v>638219</v>
      </c>
      <c r="F72" s="21">
        <f t="shared" si="5"/>
        <v>5.51</v>
      </c>
    </row>
    <row r="73" spans="1:6" x14ac:dyDescent="0.2">
      <c r="A73" s="19">
        <v>7</v>
      </c>
      <c r="B73" s="177" t="s">
        <v>6</v>
      </c>
      <c r="C73" s="178"/>
      <c r="D73" s="14">
        <f t="shared" si="4"/>
        <v>869926</v>
      </c>
      <c r="E73" s="17">
        <f>IF(F3="1",SUMIF(Data!A:A,$A$2,Data!EE:EE),0)</f>
        <v>2810596</v>
      </c>
      <c r="F73" s="21">
        <f t="shared" si="5"/>
        <v>3.23</v>
      </c>
    </row>
    <row r="74" spans="1:6" x14ac:dyDescent="0.2">
      <c r="A74" s="19">
        <v>8</v>
      </c>
      <c r="B74" s="177" t="s">
        <v>7</v>
      </c>
      <c r="C74" s="178"/>
      <c r="D74" s="14">
        <f t="shared" si="4"/>
        <v>82042</v>
      </c>
      <c r="E74" s="17">
        <f>IF(F3="1",SUMIF(Data!A:A,$A$2,Data!EF:EF),0)</f>
        <v>268860</v>
      </c>
      <c r="F74" s="21">
        <f t="shared" si="5"/>
        <v>3.28</v>
      </c>
    </row>
    <row r="75" spans="1:6" x14ac:dyDescent="0.2">
      <c r="A75" s="19">
        <v>9</v>
      </c>
      <c r="B75" s="177" t="s">
        <v>8</v>
      </c>
      <c r="C75" s="178"/>
      <c r="D75" s="14">
        <f t="shared" si="4"/>
        <v>446062</v>
      </c>
      <c r="E75" s="17">
        <f>IF(F3="1",SUMIF(Data!A:A,$A$2,Data!EG:EG),0)</f>
        <v>910729</v>
      </c>
      <c r="F75" s="21">
        <f t="shared" si="5"/>
        <v>2.04</v>
      </c>
    </row>
    <row r="76" spans="1:6" x14ac:dyDescent="0.2">
      <c r="A76" s="19">
        <v>10</v>
      </c>
      <c r="B76" s="177" t="s">
        <v>9</v>
      </c>
      <c r="C76" s="178"/>
      <c r="D76" s="14">
        <f t="shared" si="4"/>
        <v>5280</v>
      </c>
      <c r="E76" s="17">
        <f>IF(F3="1",SUMIF(Data!A:A,$A$2,Data!EH:EH),0)</f>
        <v>44792</v>
      </c>
      <c r="F76" s="21">
        <f t="shared" si="5"/>
        <v>8.48</v>
      </c>
    </row>
    <row r="77" spans="1:6" x14ac:dyDescent="0.2">
      <c r="A77" s="19">
        <v>11</v>
      </c>
      <c r="B77" s="177" t="s">
        <v>10</v>
      </c>
      <c r="C77" s="178"/>
      <c r="D77" s="14">
        <f t="shared" si="4"/>
        <v>260508</v>
      </c>
      <c r="E77" s="17">
        <f>IF(F3="1",SUMIF(Data!A:A,$A$2,Data!EI:EI),0)</f>
        <v>900128</v>
      </c>
      <c r="F77" s="21">
        <f t="shared" si="5"/>
        <v>3.46</v>
      </c>
    </row>
    <row r="78" spans="1:6" x14ac:dyDescent="0.2">
      <c r="A78" s="19">
        <v>12</v>
      </c>
      <c r="B78" s="177" t="s">
        <v>11</v>
      </c>
      <c r="C78" s="178"/>
      <c r="D78" s="14">
        <f t="shared" si="4"/>
        <v>2854861</v>
      </c>
      <c r="E78" s="17">
        <f>IF(F3="1",SUMIF(Data!A:A,$A$2,Data!EJ:EJ),0)</f>
        <v>7961138</v>
      </c>
      <c r="F78" s="21">
        <f t="shared" si="5"/>
        <v>2.79</v>
      </c>
    </row>
    <row r="79" spans="1:6" x14ac:dyDescent="0.2">
      <c r="A79" s="19">
        <v>13</v>
      </c>
      <c r="B79" s="177" t="s">
        <v>12</v>
      </c>
      <c r="C79" s="178"/>
      <c r="D79" s="14">
        <f t="shared" si="4"/>
        <v>436778</v>
      </c>
      <c r="E79" s="17">
        <f>IF(F3="1",SUMIF(Data!A:A,$A$2,Data!EK:EK),0)</f>
        <v>1355016</v>
      </c>
      <c r="F79" s="21">
        <f t="shared" si="5"/>
        <v>3.1</v>
      </c>
    </row>
    <row r="80" spans="1:6" x14ac:dyDescent="0.2">
      <c r="A80" s="19">
        <v>14</v>
      </c>
      <c r="B80" s="177" t="s">
        <v>464</v>
      </c>
      <c r="C80" s="178"/>
      <c r="D80" s="14">
        <f t="shared" si="4"/>
        <v>483166</v>
      </c>
      <c r="E80" s="17">
        <f>IF(F3="1",SUMIF(Data!A:A,$A$2,Data!EL:EL),0)</f>
        <v>2684193</v>
      </c>
      <c r="F80" s="21">
        <f t="shared" si="5"/>
        <v>5.56</v>
      </c>
    </row>
    <row r="81" spans="1:6" x14ac:dyDescent="0.2">
      <c r="A81" s="19">
        <v>15</v>
      </c>
      <c r="B81" s="177" t="s">
        <v>13</v>
      </c>
      <c r="C81" s="178"/>
      <c r="D81" s="14">
        <f t="shared" si="4"/>
        <v>0</v>
      </c>
      <c r="E81" s="17">
        <f>IF(F3="1",SUMIF(Data!A:A,$A$2,Data!EM:EM),0)</f>
        <v>0</v>
      </c>
      <c r="F81" s="21" t="str">
        <f t="shared" si="5"/>
        <v/>
      </c>
    </row>
    <row r="82" spans="1:6" x14ac:dyDescent="0.2">
      <c r="A82" s="19">
        <v>16</v>
      </c>
      <c r="B82" s="177" t="s">
        <v>14</v>
      </c>
      <c r="C82" s="178"/>
      <c r="D82" s="14">
        <f t="shared" si="4"/>
        <v>708111</v>
      </c>
      <c r="E82" s="17">
        <f>IF(F3="1",SUMIF(Data!A:A,$A$2,Data!EN:EN),0)</f>
        <v>1643521</v>
      </c>
      <c r="F82" s="21">
        <f t="shared" si="5"/>
        <v>2.3199999999999998</v>
      </c>
    </row>
    <row r="83" spans="1:6" x14ac:dyDescent="0.2">
      <c r="A83" s="19">
        <v>17</v>
      </c>
      <c r="B83" s="177" t="s">
        <v>15</v>
      </c>
      <c r="C83" s="178"/>
      <c r="D83" s="14">
        <f t="shared" si="4"/>
        <v>42496</v>
      </c>
      <c r="E83" s="17">
        <f>IF(F3="1",SUMIF(Data!A:A,$A$2,Data!EO:EO),0)</f>
        <v>300099</v>
      </c>
      <c r="F83" s="21">
        <f t="shared" si="5"/>
        <v>7.06</v>
      </c>
    </row>
    <row r="84" spans="1:6" x14ac:dyDescent="0.2">
      <c r="A84" s="19">
        <v>18</v>
      </c>
      <c r="B84" s="177" t="s">
        <v>16</v>
      </c>
      <c r="C84" s="178"/>
      <c r="D84" s="14">
        <f t="shared" si="4"/>
        <v>10858</v>
      </c>
      <c r="E84" s="17">
        <f>IF(F3="1",SUMIF(Data!A:A,$A$2,Data!EP:EP),0)</f>
        <v>56304</v>
      </c>
      <c r="F84" s="21">
        <f t="shared" si="5"/>
        <v>5.19</v>
      </c>
    </row>
    <row r="85" spans="1:6" x14ac:dyDescent="0.2">
      <c r="A85" s="19">
        <v>19</v>
      </c>
      <c r="B85" s="177" t="s">
        <v>17</v>
      </c>
      <c r="C85" s="178"/>
      <c r="D85" s="14">
        <f t="shared" si="4"/>
        <v>2307709</v>
      </c>
      <c r="E85" s="17">
        <f>IF(F3="1",SUMIF(Data!A:A,$A$2,Data!EQ:EQ),0)</f>
        <v>6935196</v>
      </c>
      <c r="F85" s="21">
        <f t="shared" si="5"/>
        <v>3.01</v>
      </c>
    </row>
    <row r="86" spans="1:6" x14ac:dyDescent="0.2">
      <c r="A86" s="19">
        <v>20</v>
      </c>
      <c r="B86" s="177" t="s">
        <v>18</v>
      </c>
      <c r="C86" s="178"/>
      <c r="D86" s="14">
        <f t="shared" si="4"/>
        <v>168884</v>
      </c>
      <c r="E86" s="17">
        <f>IF(F3="1",SUMIF(Data!A:A,$A$2,Data!ER:ER),0)</f>
        <v>656211</v>
      </c>
      <c r="F86" s="21">
        <f t="shared" si="5"/>
        <v>3.89</v>
      </c>
    </row>
    <row r="87" spans="1:6" x14ac:dyDescent="0.2">
      <c r="A87" s="19">
        <v>21</v>
      </c>
      <c r="B87" s="177" t="s">
        <v>461</v>
      </c>
      <c r="C87" s="178"/>
      <c r="D87" s="14">
        <f t="shared" si="4"/>
        <v>92789</v>
      </c>
      <c r="E87" s="17">
        <f>IF(F3="1",SUMIF(Data!A:A,$A$2,Data!ES:ES),0)</f>
        <v>332371</v>
      </c>
      <c r="F87" s="21">
        <f t="shared" si="5"/>
        <v>3.58</v>
      </c>
    </row>
    <row r="88" spans="1:6" x14ac:dyDescent="0.2">
      <c r="A88" s="19">
        <v>22</v>
      </c>
      <c r="B88" s="177" t="s">
        <v>19</v>
      </c>
      <c r="C88" s="178"/>
      <c r="D88" s="14">
        <f t="shared" si="4"/>
        <v>2112</v>
      </c>
      <c r="E88" s="17">
        <f>IF(F3="1",SUMIF(Data!A:A,$A$2,Data!ET:ET),0)</f>
        <v>6965</v>
      </c>
      <c r="F88" s="21">
        <f t="shared" si="5"/>
        <v>3.3</v>
      </c>
    </row>
    <row r="89" spans="1:6" x14ac:dyDescent="0.2">
      <c r="A89" s="19">
        <v>23</v>
      </c>
      <c r="B89" s="177" t="s">
        <v>20</v>
      </c>
      <c r="C89" s="178"/>
      <c r="D89" s="14">
        <f t="shared" si="4"/>
        <v>331968</v>
      </c>
      <c r="E89" s="17">
        <f>IF(F3="1",SUMIF(Data!A:A,$A$2,Data!EU:EU),0)</f>
        <v>1319265</v>
      </c>
      <c r="F89" s="21">
        <f t="shared" si="5"/>
        <v>3.97</v>
      </c>
    </row>
    <row r="90" spans="1:6" x14ac:dyDescent="0.2">
      <c r="A90" s="19">
        <v>24</v>
      </c>
      <c r="B90" s="177" t="s">
        <v>21</v>
      </c>
      <c r="C90" s="178"/>
      <c r="D90" s="14">
        <f t="shared" si="4"/>
        <v>406930</v>
      </c>
      <c r="E90" s="17">
        <f>IF(F3="1",SUMIF(Data!A:A,$A$2,Data!EV:EV),0)</f>
        <v>877573</v>
      </c>
      <c r="F90" s="21">
        <f t="shared" si="5"/>
        <v>2.16</v>
      </c>
    </row>
    <row r="91" spans="1:6" x14ac:dyDescent="0.2">
      <c r="A91" s="19">
        <v>25</v>
      </c>
      <c r="B91" s="177" t="s">
        <v>22</v>
      </c>
      <c r="C91" s="178"/>
      <c r="D91" s="14">
        <f t="shared" si="4"/>
        <v>2366640</v>
      </c>
      <c r="E91" s="17">
        <f>IF(F3="1",SUMIF(Data!A:A,$A$2,Data!EW:EW),0)</f>
        <v>7204183</v>
      </c>
      <c r="F91" s="21">
        <f t="shared" si="5"/>
        <v>3.04</v>
      </c>
    </row>
    <row r="92" spans="1:6" x14ac:dyDescent="0.2">
      <c r="A92" s="19">
        <v>26</v>
      </c>
      <c r="B92" s="177" t="s">
        <v>23</v>
      </c>
      <c r="C92" s="178"/>
      <c r="D92" s="14">
        <f t="shared" si="4"/>
        <v>757728</v>
      </c>
      <c r="E92" s="17">
        <f>IF(F3="1",SUMIF(Data!A:A,$A$2,Data!EX:EX),0)</f>
        <v>3069628</v>
      </c>
      <c r="F92" s="21">
        <f t="shared" si="5"/>
        <v>4.05</v>
      </c>
    </row>
    <row r="93" spans="1:6" x14ac:dyDescent="0.2">
      <c r="A93" s="19">
        <v>28</v>
      </c>
      <c r="B93" s="177" t="s">
        <v>24</v>
      </c>
      <c r="C93" s="178"/>
      <c r="D93" s="14">
        <f t="shared" si="4"/>
        <v>0</v>
      </c>
      <c r="E93" s="17">
        <f>IF(F3="1",SUMIF(Data!A:A,$A$2,Data!EZ:EZ),0)</f>
        <v>0</v>
      </c>
      <c r="F93" s="21" t="str">
        <f t="shared" si="5"/>
        <v/>
      </c>
    </row>
    <row r="94" spans="1:6" ht="15.75" customHeight="1" thickBot="1" x14ac:dyDescent="0.25">
      <c r="A94" s="22">
        <v>29</v>
      </c>
      <c r="B94" s="179" t="s">
        <v>25</v>
      </c>
      <c r="C94" s="180"/>
      <c r="D94" s="23">
        <f t="shared" si="4"/>
        <v>0</v>
      </c>
      <c r="E94" s="24">
        <f>IF(F3="1",SUMIF(Data!A:A,$A$2,Data!FA:FA),0)</f>
        <v>0</v>
      </c>
      <c r="F94" s="25" t="str">
        <f t="shared" si="5"/>
        <v/>
      </c>
    </row>
    <row r="95" spans="1:6" x14ac:dyDescent="0.2">
      <c r="C95" s="13" t="s">
        <v>35</v>
      </c>
      <c r="D95" s="61">
        <f>SUM(D67:D94)</f>
        <v>15237054</v>
      </c>
      <c r="E95" s="4">
        <f>SUM(E67:E94)</f>
        <v>48817353</v>
      </c>
      <c r="F95" s="32">
        <f>IF(OR(D95=0,E95=0),"",ROUND(E95/D95,2))</f>
        <v>3.2</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IF(F3="1",SUMIF(Data!A:A,$A$2,Data!AH:AH),0)</f>
        <v>16399013</v>
      </c>
      <c r="F98" s="20">
        <f>IF(OR(E98=0,E98=0),"",ROUND(E98/$D$105,2))</f>
        <v>1.08</v>
      </c>
    </row>
    <row r="99" spans="2:6" x14ac:dyDescent="0.2">
      <c r="B99" s="183" t="s">
        <v>31</v>
      </c>
      <c r="C99" s="184"/>
      <c r="D99" s="36"/>
      <c r="E99" s="17">
        <f>IF(F3="1",SUMIF(Data!A:A,$A$2,Data!AI:AI),0)</f>
        <v>11502375</v>
      </c>
      <c r="F99" s="21">
        <f t="shared" ref="F99:F104" si="6">IF(OR(E99=0,E99=0),"",ROUND(E99/$D$105,2))</f>
        <v>0.75</v>
      </c>
    </row>
    <row r="100" spans="2:6" x14ac:dyDescent="0.2">
      <c r="B100" s="183" t="s">
        <v>1078</v>
      </c>
      <c r="C100" s="184"/>
      <c r="D100" s="36"/>
      <c r="E100" s="17">
        <f>IF(F3="1",SUMIF(Data!A:A,$A$2,Data!AJ:AJ),0)</f>
        <v>4741852</v>
      </c>
      <c r="F100" s="21">
        <f t="shared" si="6"/>
        <v>0.31</v>
      </c>
    </row>
    <row r="101" spans="2:6" x14ac:dyDescent="0.2">
      <c r="B101" s="183" t="s">
        <v>1079</v>
      </c>
      <c r="C101" s="184"/>
      <c r="D101" s="36"/>
      <c r="E101" s="17">
        <f>IF(F3="1",SUMIF(Data!A:A,$A$2,Data!AK:AK),0)</f>
        <v>6938266</v>
      </c>
      <c r="F101" s="21">
        <f t="shared" si="6"/>
        <v>0.46</v>
      </c>
    </row>
    <row r="102" spans="2:6" x14ac:dyDescent="0.2">
      <c r="B102" s="183" t="s">
        <v>1080</v>
      </c>
      <c r="C102" s="184"/>
      <c r="D102" s="36"/>
      <c r="E102" s="17">
        <f>IF(F3="1",SUMIF(Data!A:A,$A$2,Data!AL:AL),0)</f>
        <v>118427</v>
      </c>
      <c r="F102" s="21">
        <f t="shared" si="6"/>
        <v>0.01</v>
      </c>
    </row>
    <row r="103" spans="2:6" x14ac:dyDescent="0.2">
      <c r="B103" s="185" t="s">
        <v>34</v>
      </c>
      <c r="C103" s="186"/>
      <c r="D103" s="36"/>
      <c r="E103" s="17">
        <f>IF(F3="1",SUMIF(Data!A:A,$A$2,Data!AM:AM),0)</f>
        <v>1.0000000000000001E-5</v>
      </c>
      <c r="F103" s="21">
        <f t="shared" si="6"/>
        <v>0</v>
      </c>
    </row>
    <row r="104" spans="2:6" ht="15.75" customHeight="1" thickBot="1" x14ac:dyDescent="0.25">
      <c r="B104" s="175" t="s">
        <v>29</v>
      </c>
      <c r="C104" s="176"/>
      <c r="D104" s="37"/>
      <c r="E104" s="24">
        <f>IF(F3="1",SUMIF(Data!A:A,$A$2,Data!Q:Q),0)</f>
        <v>10053141</v>
      </c>
      <c r="F104" s="25">
        <f t="shared" si="6"/>
        <v>0.66</v>
      </c>
    </row>
    <row r="105" spans="2:6" x14ac:dyDescent="0.2">
      <c r="C105" s="13" t="s">
        <v>35</v>
      </c>
      <c r="D105" s="12">
        <f>D95</f>
        <v>15237054</v>
      </c>
      <c r="E105" s="4">
        <f>SUM(E98:E104)</f>
        <v>49753074.000009999</v>
      </c>
      <c r="F105" s="32">
        <f>IF($D$105=0,"",ROUND(E105/$D$105,2))</f>
        <v>3.27</v>
      </c>
    </row>
    <row r="107" spans="2:6" ht="15" thickBot="1" x14ac:dyDescent="0.25">
      <c r="B107" s="11" t="s">
        <v>932</v>
      </c>
    </row>
    <row r="108" spans="2:6" ht="28.5" x14ac:dyDescent="0.2">
      <c r="B108" s="45" t="s">
        <v>926</v>
      </c>
      <c r="C108" s="27" t="s">
        <v>930</v>
      </c>
      <c r="D108" s="27" t="s">
        <v>29</v>
      </c>
      <c r="E108" s="27" t="s">
        <v>931</v>
      </c>
      <c r="F108" s="46" t="s">
        <v>35</v>
      </c>
    </row>
    <row r="109" spans="2:6" x14ac:dyDescent="0.2">
      <c r="B109" s="42" t="s">
        <v>927</v>
      </c>
      <c r="C109" s="15">
        <f>E95+IF(F3="1",SUMIF(Data!$A:$A,$A$2,Data!GF:GF),0)</f>
        <v>48817353</v>
      </c>
      <c r="D109" s="15">
        <f>IF(F3="1",SUMIF(Data!$A:$A,$A$2,Data!HJ:HJ),0)</f>
        <v>0</v>
      </c>
      <c r="E109" s="15">
        <f>IF(F3="1",SUMIF(Data!$A:$A,$A$2,Data!IN:IN),0)</f>
        <v>0</v>
      </c>
      <c r="F109" s="47">
        <f>SUM(C109:E109)</f>
        <v>48817353</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10" x14ac:dyDescent="0.2">
      <c r="B113" s="42" t="s">
        <v>31</v>
      </c>
      <c r="C113" s="50">
        <f>IF(F3="1",SUMIF(Data!A:A,$A$2,Data!U:U),0)</f>
        <v>0</v>
      </c>
      <c r="D113" s="51"/>
      <c r="E113" s="50">
        <f>IF(F3="1",SUMIF(Data!A:A,$A$2,Data!AB:AB),0)</f>
        <v>0</v>
      </c>
      <c r="F113" s="48">
        <f t="shared" si="7"/>
        <v>0</v>
      </c>
    </row>
    <row r="114" spans="1:10" x14ac:dyDescent="0.2">
      <c r="B114" s="42" t="s">
        <v>1009</v>
      </c>
      <c r="C114" s="50">
        <f>IF(F3="1",SUMIF(Data!A:A,$A$2,Data!T:T),0)</f>
        <v>0</v>
      </c>
      <c r="D114" s="51"/>
      <c r="E114" s="50">
        <f>IF(F3="1",SUMIF(Data!A:A,$A$2,Data!AA:AA),0)</f>
        <v>0</v>
      </c>
      <c r="F114" s="48">
        <f t="shared" si="7"/>
        <v>0</v>
      </c>
    </row>
    <row r="115" spans="1:10" x14ac:dyDescent="0.2">
      <c r="B115" s="42" t="s">
        <v>929</v>
      </c>
      <c r="C115" s="50">
        <f>IF(F3="1",SUMIF(Data!A:A,$A$2,Data!BI:BI),0)</f>
        <v>0</v>
      </c>
      <c r="D115" s="50">
        <f>IF(F3="1",SUMIF(Data!A:A,$A$2,Data!BL:BL),0)</f>
        <v>0</v>
      </c>
      <c r="E115" s="50">
        <f>IF(F3="1",SUMIF(Data!A:A,$A$2,Data!BU:BU),0)</f>
        <v>0</v>
      </c>
      <c r="F115" s="48">
        <f t="shared" si="7"/>
        <v>0</v>
      </c>
    </row>
    <row r="116" spans="1:10" x14ac:dyDescent="0.2">
      <c r="B116" s="42" t="s">
        <v>33</v>
      </c>
      <c r="C116" s="50">
        <f>IF(F3="1",SUMIF(Data!A:A,$A$2,Data!X:X),0)</f>
        <v>0</v>
      </c>
      <c r="D116" s="50"/>
      <c r="E116" s="50">
        <f>E102</f>
        <v>118427</v>
      </c>
      <c r="F116" s="48">
        <f t="shared" si="7"/>
        <v>118427</v>
      </c>
    </row>
    <row r="117" spans="1:10" ht="15" thickBot="1" x14ac:dyDescent="0.25">
      <c r="B117" s="43" t="s">
        <v>933</v>
      </c>
      <c r="C117" s="52"/>
      <c r="D117" s="52">
        <f>IF(F3="1",SUMIF(Data!A:A,$A$2,Data!Q:Q),0)</f>
        <v>10053141</v>
      </c>
      <c r="E117" s="52"/>
      <c r="F117" s="49">
        <f>SUM(C117:E117)</f>
        <v>10053141</v>
      </c>
    </row>
    <row r="118" spans="1:10" x14ac:dyDescent="0.2">
      <c r="B118" s="13" t="s">
        <v>35</v>
      </c>
      <c r="C118" s="4">
        <f>SUM(C109:C116)</f>
        <v>48817353</v>
      </c>
      <c r="D118" s="4">
        <f>SUM(D109:D116)</f>
        <v>0</v>
      </c>
      <c r="E118" s="4">
        <f>SUM(E109:E116)</f>
        <v>118427</v>
      </c>
      <c r="F118" s="4">
        <f>SUM(F109:F116)</f>
        <v>48935780</v>
      </c>
    </row>
    <row r="119" spans="1:10" ht="15" thickBot="1" x14ac:dyDescent="0.25"/>
    <row r="120" spans="1:10" ht="15" thickBot="1" x14ac:dyDescent="0.25">
      <c r="B120" s="55" t="s">
        <v>934</v>
      </c>
      <c r="C120" s="53"/>
      <c r="D120" s="53"/>
      <c r="E120" s="53">
        <f>IF(F3="1",SUMIF(Data!A:A,$A$2,Data!AM:AM),0)</f>
        <v>1.0000000000000001E-5</v>
      </c>
      <c r="F120" s="54">
        <f>SUM(C120:E120)</f>
        <v>1.0000000000000001E-5</v>
      </c>
    </row>
    <row r="122" spans="1:10" s="60" customFormat="1" ht="101.25" customHeight="1" x14ac:dyDescent="0.2">
      <c r="A122" s="189" t="s">
        <v>935</v>
      </c>
      <c r="B122" s="189"/>
      <c r="C122" s="189"/>
      <c r="D122" s="189"/>
      <c r="E122" s="189"/>
      <c r="F122" s="189"/>
      <c r="H122" s="61"/>
      <c r="I122" s="61"/>
      <c r="J122" s="6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3" width="12.1406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350</v>
      </c>
      <c r="B2" s="58" t="str">
        <f>VLOOKUP(A2,Data!A:G,7,0)</f>
        <v>Alvin Community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28944</v>
      </c>
      <c r="E5" s="15">
        <f>E36+E67+IFERROR($E$105/$D$105*D5,0)</f>
        <v>146767.44583701744</v>
      </c>
      <c r="F5" s="20">
        <f>IF(OR(D5=0,E5=0),"",ROUND(E5/D5,2))</f>
        <v>5.07</v>
      </c>
    </row>
    <row r="6" spans="1:6" x14ac:dyDescent="0.2">
      <c r="A6" s="19">
        <v>2</v>
      </c>
      <c r="B6" s="177" t="s">
        <v>1</v>
      </c>
      <c r="C6" s="178"/>
      <c r="D6" s="14">
        <f t="shared" ref="D6:D32" si="0">D37</f>
        <v>63370</v>
      </c>
      <c r="E6" s="17">
        <f t="shared" ref="E6:E32" si="1">E37+E68+IFERROR($E$105/$D$105*D6,0)</f>
        <v>502083.35090836772</v>
      </c>
      <c r="F6" s="21">
        <f t="shared" ref="F6:F33" si="2">IF(OR(D6=0,E6=0),"",ROUND(E6/D6,2))</f>
        <v>7.92</v>
      </c>
    </row>
    <row r="7" spans="1:6" ht="14.25" customHeight="1" x14ac:dyDescent="0.2">
      <c r="A7" s="19">
        <v>3</v>
      </c>
      <c r="B7" s="177" t="s">
        <v>2</v>
      </c>
      <c r="C7" s="178"/>
      <c r="D7" s="14">
        <f t="shared" si="0"/>
        <v>170080</v>
      </c>
      <c r="E7" s="17">
        <f t="shared" si="1"/>
        <v>1041392.7060516835</v>
      </c>
      <c r="F7" s="21">
        <f t="shared" si="2"/>
        <v>6.12</v>
      </c>
    </row>
    <row r="8" spans="1:6" ht="14.25" customHeight="1" x14ac:dyDescent="0.2">
      <c r="A8" s="19">
        <v>4</v>
      </c>
      <c r="B8" s="177" t="s">
        <v>3</v>
      </c>
      <c r="C8" s="178"/>
      <c r="D8" s="14">
        <f t="shared" si="0"/>
        <v>219897</v>
      </c>
      <c r="E8" s="17">
        <f t="shared" si="1"/>
        <v>1420890.7379153753</v>
      </c>
      <c r="F8" s="21">
        <f t="shared" si="2"/>
        <v>6.46</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63856</v>
      </c>
      <c r="E10" s="17">
        <f t="shared" si="1"/>
        <v>365240.17928995943</v>
      </c>
      <c r="F10" s="21">
        <f t="shared" si="2"/>
        <v>5.72</v>
      </c>
    </row>
    <row r="11" spans="1:6" x14ac:dyDescent="0.2">
      <c r="A11" s="19">
        <v>7</v>
      </c>
      <c r="B11" s="177" t="s">
        <v>6</v>
      </c>
      <c r="C11" s="178"/>
      <c r="D11" s="14">
        <f t="shared" si="0"/>
        <v>218042</v>
      </c>
      <c r="E11" s="17">
        <f t="shared" si="1"/>
        <v>1150956.3867881065</v>
      </c>
      <c r="F11" s="21">
        <f t="shared" si="2"/>
        <v>5.28</v>
      </c>
    </row>
    <row r="12" spans="1:6" x14ac:dyDescent="0.2">
      <c r="A12" s="19">
        <v>8</v>
      </c>
      <c r="B12" s="177" t="s">
        <v>7</v>
      </c>
      <c r="C12" s="178"/>
      <c r="D12" s="14">
        <f t="shared" si="0"/>
        <v>0</v>
      </c>
      <c r="E12" s="17">
        <f t="shared" si="1"/>
        <v>0</v>
      </c>
      <c r="F12" s="21" t="str">
        <f t="shared" si="2"/>
        <v/>
      </c>
    </row>
    <row r="13" spans="1:6" x14ac:dyDescent="0.2">
      <c r="A13" s="19">
        <v>9</v>
      </c>
      <c r="B13" s="177" t="s">
        <v>8</v>
      </c>
      <c r="C13" s="178"/>
      <c r="D13" s="14">
        <f t="shared" si="0"/>
        <v>38044</v>
      </c>
      <c r="E13" s="17">
        <f t="shared" si="1"/>
        <v>240651.96080097748</v>
      </c>
      <c r="F13" s="21">
        <f t="shared" si="2"/>
        <v>6.33</v>
      </c>
    </row>
    <row r="14" spans="1:6" x14ac:dyDescent="0.2">
      <c r="A14" s="19">
        <v>10</v>
      </c>
      <c r="B14" s="177" t="s">
        <v>9</v>
      </c>
      <c r="C14" s="178"/>
      <c r="D14" s="14">
        <f t="shared" si="0"/>
        <v>0</v>
      </c>
      <c r="E14" s="17">
        <f t="shared" si="1"/>
        <v>0</v>
      </c>
      <c r="F14" s="21" t="str">
        <f t="shared" si="2"/>
        <v/>
      </c>
    </row>
    <row r="15" spans="1:6" x14ac:dyDescent="0.2">
      <c r="A15" s="19">
        <v>11</v>
      </c>
      <c r="B15" s="177" t="s">
        <v>10</v>
      </c>
      <c r="C15" s="178"/>
      <c r="D15" s="14">
        <f t="shared" si="0"/>
        <v>50392</v>
      </c>
      <c r="E15" s="17">
        <f t="shared" si="1"/>
        <v>208624.82264438167</v>
      </c>
      <c r="F15" s="21">
        <f t="shared" si="2"/>
        <v>4.1399999999999997</v>
      </c>
    </row>
    <row r="16" spans="1:6" ht="14.25" customHeight="1" x14ac:dyDescent="0.2">
      <c r="A16" s="19">
        <v>12</v>
      </c>
      <c r="B16" s="177" t="s">
        <v>11</v>
      </c>
      <c r="C16" s="178"/>
      <c r="D16" s="14">
        <f t="shared" si="0"/>
        <v>246664</v>
      </c>
      <c r="E16" s="17">
        <f t="shared" si="1"/>
        <v>1513866.0697879377</v>
      </c>
      <c r="F16" s="21">
        <f t="shared" si="2"/>
        <v>6.14</v>
      </c>
    </row>
    <row r="17" spans="1:6" x14ac:dyDescent="0.2">
      <c r="A17" s="19">
        <v>13</v>
      </c>
      <c r="B17" s="177" t="s">
        <v>12</v>
      </c>
      <c r="C17" s="178"/>
      <c r="D17" s="14">
        <f t="shared" si="0"/>
        <v>18112</v>
      </c>
      <c r="E17" s="17">
        <f t="shared" si="1"/>
        <v>123010.62890409274</v>
      </c>
      <c r="F17" s="21">
        <f t="shared" si="2"/>
        <v>6.79</v>
      </c>
    </row>
    <row r="18" spans="1:6" ht="14.25" customHeight="1" x14ac:dyDescent="0.2">
      <c r="A18" s="19">
        <v>14</v>
      </c>
      <c r="B18" s="177" t="s">
        <v>464</v>
      </c>
      <c r="C18" s="178"/>
      <c r="D18" s="14">
        <f t="shared" si="0"/>
        <v>25746</v>
      </c>
      <c r="E18" s="17">
        <f t="shared" si="1"/>
        <v>218670.1677211115</v>
      </c>
      <c r="F18" s="21">
        <f t="shared" si="2"/>
        <v>8.49</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140794</v>
      </c>
      <c r="E20" s="17">
        <f t="shared" si="1"/>
        <v>1261023.2698720645</v>
      </c>
      <c r="F20" s="21">
        <f t="shared" si="2"/>
        <v>8.9600000000000009</v>
      </c>
    </row>
    <row r="21" spans="1:6" x14ac:dyDescent="0.2">
      <c r="A21" s="19">
        <v>17</v>
      </c>
      <c r="B21" s="177" t="s">
        <v>15</v>
      </c>
      <c r="C21" s="178"/>
      <c r="D21" s="14">
        <f t="shared" si="0"/>
        <v>16144</v>
      </c>
      <c r="E21" s="17">
        <f t="shared" si="1"/>
        <v>220739.84237122754</v>
      </c>
      <c r="F21" s="21">
        <f t="shared" si="2"/>
        <v>13.67</v>
      </c>
    </row>
    <row r="22" spans="1:6" x14ac:dyDescent="0.2">
      <c r="A22" s="19">
        <v>18</v>
      </c>
      <c r="B22" s="177" t="s">
        <v>16</v>
      </c>
      <c r="C22" s="178"/>
      <c r="D22" s="14">
        <f t="shared" si="0"/>
        <v>4784</v>
      </c>
      <c r="E22" s="17">
        <f t="shared" si="1"/>
        <v>61503.619295338984</v>
      </c>
      <c r="F22" s="21">
        <f t="shared" si="2"/>
        <v>12.86</v>
      </c>
    </row>
    <row r="23" spans="1:6" x14ac:dyDescent="0.2">
      <c r="A23" s="19">
        <v>19</v>
      </c>
      <c r="B23" s="177" t="s">
        <v>17</v>
      </c>
      <c r="C23" s="178"/>
      <c r="D23" s="14">
        <f t="shared" si="0"/>
        <v>201872</v>
      </c>
      <c r="E23" s="17">
        <f t="shared" si="1"/>
        <v>1049774.9486598391</v>
      </c>
      <c r="F23" s="21">
        <f t="shared" si="2"/>
        <v>5.2</v>
      </c>
    </row>
    <row r="24" spans="1:6" x14ac:dyDescent="0.2">
      <c r="A24" s="19">
        <v>20</v>
      </c>
      <c r="B24" s="177" t="s">
        <v>18</v>
      </c>
      <c r="C24" s="178"/>
      <c r="D24" s="14">
        <f t="shared" si="0"/>
        <v>33680</v>
      </c>
      <c r="E24" s="17">
        <f t="shared" si="1"/>
        <v>196782.1191193597</v>
      </c>
      <c r="F24" s="21">
        <f t="shared" si="2"/>
        <v>5.84</v>
      </c>
    </row>
    <row r="25" spans="1:6" ht="14.25" customHeight="1" x14ac:dyDescent="0.2">
      <c r="A25" s="19">
        <v>21</v>
      </c>
      <c r="B25" s="177" t="s">
        <v>461</v>
      </c>
      <c r="C25" s="178"/>
      <c r="D25" s="14">
        <f t="shared" si="0"/>
        <v>0</v>
      </c>
      <c r="E25" s="17">
        <f t="shared" si="1"/>
        <v>0</v>
      </c>
      <c r="F25" s="21" t="str">
        <f t="shared" si="2"/>
        <v/>
      </c>
    </row>
    <row r="26" spans="1:6" x14ac:dyDescent="0.2">
      <c r="A26" s="19">
        <v>22</v>
      </c>
      <c r="B26" s="177" t="s">
        <v>19</v>
      </c>
      <c r="C26" s="178"/>
      <c r="D26" s="14">
        <f t="shared" si="0"/>
        <v>0</v>
      </c>
      <c r="E26" s="17">
        <f t="shared" si="1"/>
        <v>0</v>
      </c>
      <c r="F26" s="21" t="str">
        <f t="shared" si="2"/>
        <v/>
      </c>
    </row>
    <row r="27" spans="1:6" x14ac:dyDescent="0.2">
      <c r="A27" s="19">
        <v>23</v>
      </c>
      <c r="B27" s="177" t="s">
        <v>20</v>
      </c>
      <c r="C27" s="178"/>
      <c r="D27" s="14">
        <f t="shared" si="0"/>
        <v>68784</v>
      </c>
      <c r="E27" s="17">
        <f t="shared" si="1"/>
        <v>500635.63662428857</v>
      </c>
      <c r="F27" s="21">
        <f t="shared" si="2"/>
        <v>7.28</v>
      </c>
    </row>
    <row r="28" spans="1:6" x14ac:dyDescent="0.2">
      <c r="A28" s="19">
        <v>24</v>
      </c>
      <c r="B28" s="177" t="s">
        <v>21</v>
      </c>
      <c r="C28" s="178"/>
      <c r="D28" s="14">
        <f t="shared" si="0"/>
        <v>119089</v>
      </c>
      <c r="E28" s="17">
        <f t="shared" si="1"/>
        <v>676222.61962011363</v>
      </c>
      <c r="F28" s="21">
        <f t="shared" si="2"/>
        <v>5.68</v>
      </c>
    </row>
    <row r="29" spans="1:6" x14ac:dyDescent="0.2">
      <c r="A29" s="19">
        <v>25</v>
      </c>
      <c r="B29" s="177" t="s">
        <v>22</v>
      </c>
      <c r="C29" s="178"/>
      <c r="D29" s="14">
        <f t="shared" si="0"/>
        <v>287136</v>
      </c>
      <c r="E29" s="17">
        <f t="shared" si="1"/>
        <v>1507021.0497463322</v>
      </c>
      <c r="F29" s="21">
        <f t="shared" si="2"/>
        <v>5.25</v>
      </c>
    </row>
    <row r="30" spans="1:6" x14ac:dyDescent="0.2">
      <c r="A30" s="19">
        <v>26</v>
      </c>
      <c r="B30" s="177" t="s">
        <v>23</v>
      </c>
      <c r="C30" s="178"/>
      <c r="D30" s="14">
        <f t="shared" si="0"/>
        <v>81408</v>
      </c>
      <c r="E30" s="17">
        <f t="shared" si="1"/>
        <v>633195.43804242392</v>
      </c>
      <c r="F30" s="21">
        <f t="shared" si="2"/>
        <v>7.78</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2096838</v>
      </c>
      <c r="E33" s="31">
        <f>SUM(E5:E32)</f>
        <v>13039052.999999998</v>
      </c>
      <c r="F33" s="32">
        <f t="shared" si="2"/>
        <v>6.22</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IF(F3="1",SUMIF(Data!A:A,'2'!$A$2,Data!CU:CU),0)</f>
        <v>28944</v>
      </c>
      <c r="E36" s="15">
        <f>IF(F3="1",SUMIF(Data!$A:$A,$A$2,Data!IO:IO),0)</f>
        <v>13275</v>
      </c>
      <c r="F36" s="20">
        <f t="shared" ref="F36:F64" si="3">IF(OR(D36=0,E36=0),"",ROUND(E36/D36,2))</f>
        <v>0.46</v>
      </c>
    </row>
    <row r="37" spans="1:6" x14ac:dyDescent="0.2">
      <c r="A37" s="19">
        <v>2</v>
      </c>
      <c r="B37" s="177" t="s">
        <v>1</v>
      </c>
      <c r="C37" s="178"/>
      <c r="D37" s="14">
        <f>IF(F3="1",SUMIF(Data!A:A,'2'!$A$2,Data!CV:CV),0)</f>
        <v>63370</v>
      </c>
      <c r="E37" s="17">
        <f>IF(F3="1",SUMIF(Data!$A:$A,$A$2,Data!IP:IP),0)</f>
        <v>58029</v>
      </c>
      <c r="F37" s="21">
        <f t="shared" si="3"/>
        <v>0.92</v>
      </c>
    </row>
    <row r="38" spans="1:6" ht="14.25" customHeight="1" x14ac:dyDescent="0.2">
      <c r="A38" s="19">
        <v>3</v>
      </c>
      <c r="B38" s="177" t="s">
        <v>2</v>
      </c>
      <c r="C38" s="178"/>
      <c r="D38" s="14">
        <f>IF(F3="1",SUMIF(Data!A:A,'2'!$A$2,Data!CW:CW),0)</f>
        <v>170080</v>
      </c>
      <c r="E38" s="17">
        <f>IF($F$3="1",SUMIF(Data!$A:$A,$A$2,Data!IQ:IQ),0)</f>
        <v>83759</v>
      </c>
      <c r="F38" s="21">
        <f t="shared" si="3"/>
        <v>0.49</v>
      </c>
    </row>
    <row r="39" spans="1:6" ht="14.25" customHeight="1" x14ac:dyDescent="0.2">
      <c r="A39" s="19">
        <v>4</v>
      </c>
      <c r="B39" s="177" t="s">
        <v>3</v>
      </c>
      <c r="C39" s="178"/>
      <c r="D39" s="14">
        <f>IF(F3="1",SUMIF(Data!A:A,'2'!$A$2,Data!CX:CX),0)</f>
        <v>219897</v>
      </c>
      <c r="E39" s="17">
        <f>IF($F$3="1",SUMIF(Data!$A:$A,$A$2,Data!IR:IR),0)</f>
        <v>106270</v>
      </c>
      <c r="F39" s="21">
        <f t="shared" si="3"/>
        <v>0.48</v>
      </c>
    </row>
    <row r="40" spans="1:6" x14ac:dyDescent="0.2">
      <c r="A40" s="19">
        <v>5</v>
      </c>
      <c r="B40" s="177" t="s">
        <v>4</v>
      </c>
      <c r="C40" s="178"/>
      <c r="D40" s="14">
        <f>IF(F3="1",SUMIF(Data!A:A,'2'!$A$2,Data!CY:CY),0)</f>
        <v>0</v>
      </c>
      <c r="E40" s="17">
        <f>IF($F$3="1",SUMIF(Data!$A:$A,$A$2,Data!IS:IS),0)</f>
        <v>0</v>
      </c>
      <c r="F40" s="21" t="str">
        <f t="shared" si="3"/>
        <v/>
      </c>
    </row>
    <row r="41" spans="1:6" x14ac:dyDescent="0.2">
      <c r="A41" s="19">
        <v>6</v>
      </c>
      <c r="B41" s="177" t="s">
        <v>5</v>
      </c>
      <c r="C41" s="178"/>
      <c r="D41" s="14">
        <f>IF(F3="1",SUMIF(Data!A:A,'2'!$A$2,Data!CZ:CZ),0)</f>
        <v>63856</v>
      </c>
      <c r="E41" s="17">
        <f>IF($F$3="1",SUMIF(Data!$A:$A,$A$2,Data!IT:IT),0)</f>
        <v>57131</v>
      </c>
      <c r="F41" s="21">
        <f t="shared" si="3"/>
        <v>0.89</v>
      </c>
    </row>
    <row r="42" spans="1:6" x14ac:dyDescent="0.2">
      <c r="A42" s="19">
        <v>7</v>
      </c>
      <c r="B42" s="177" t="s">
        <v>6</v>
      </c>
      <c r="C42" s="178"/>
      <c r="D42" s="14">
        <f>IF(F3="1",SUMIF(Data!A:A,'2'!$A$2,Data!DA:DA),0)</f>
        <v>218042</v>
      </c>
      <c r="E42" s="17">
        <f>IF($F$3="1",SUMIF(Data!$A:$A,$A$2,Data!IU:IU),0)</f>
        <v>94010</v>
      </c>
      <c r="F42" s="21">
        <f t="shared" si="3"/>
        <v>0.43</v>
      </c>
    </row>
    <row r="43" spans="1:6" x14ac:dyDescent="0.2">
      <c r="A43" s="19">
        <v>8</v>
      </c>
      <c r="B43" s="177" t="s">
        <v>7</v>
      </c>
      <c r="C43" s="178"/>
      <c r="D43" s="14">
        <f>IF(F3="1",SUMIF(Data!A:A,'2'!$A$2,Data!DB:DB),0)</f>
        <v>0</v>
      </c>
      <c r="E43" s="17">
        <f>IF($F$3="1",SUMIF(Data!$A:$A,$A$2,Data!IV:IV),0)</f>
        <v>0</v>
      </c>
      <c r="F43" s="21" t="str">
        <f t="shared" si="3"/>
        <v/>
      </c>
    </row>
    <row r="44" spans="1:6" x14ac:dyDescent="0.2">
      <c r="A44" s="19">
        <v>9</v>
      </c>
      <c r="B44" s="177" t="s">
        <v>8</v>
      </c>
      <c r="C44" s="178"/>
      <c r="D44" s="14">
        <f>IF(F3="1",SUMIF(Data!A:A,'2'!$A$2,Data!DC:DC),0)</f>
        <v>38044</v>
      </c>
      <c r="E44" s="17">
        <f>IF($F$3="1",SUMIF(Data!$A:$A,$A$2,Data!IW:IW),0)</f>
        <v>35971</v>
      </c>
      <c r="F44" s="21">
        <f t="shared" si="3"/>
        <v>0.95</v>
      </c>
    </row>
    <row r="45" spans="1:6" x14ac:dyDescent="0.2">
      <c r="A45" s="19">
        <v>10</v>
      </c>
      <c r="B45" s="177" t="s">
        <v>9</v>
      </c>
      <c r="C45" s="178"/>
      <c r="D45" s="14">
        <f>IF(F3="1",SUMIF(Data!A:A,'2'!$A$2,Data!DD:DD),0)</f>
        <v>0</v>
      </c>
      <c r="E45" s="17">
        <f>IF($F$3="1",SUMIF(Data!$A:$A,$A$2,Data!IX:IX),0)</f>
        <v>0</v>
      </c>
      <c r="F45" s="21" t="str">
        <f t="shared" si="3"/>
        <v/>
      </c>
    </row>
    <row r="46" spans="1:6" x14ac:dyDescent="0.2">
      <c r="A46" s="19">
        <v>11</v>
      </c>
      <c r="B46" s="177" t="s">
        <v>10</v>
      </c>
      <c r="C46" s="178"/>
      <c r="D46" s="14">
        <f>IF(F3="1",SUMIF(Data!A:A,'2'!$A$2,Data!DE:DE),0)</f>
        <v>50392</v>
      </c>
      <c r="E46" s="17">
        <f>IF($F$3="1",SUMIF(Data!$A:$A,$A$2,Data!IY:IY),0)</f>
        <v>34546</v>
      </c>
      <c r="F46" s="21">
        <f t="shared" si="3"/>
        <v>0.69</v>
      </c>
    </row>
    <row r="47" spans="1:6" ht="14.25" customHeight="1" x14ac:dyDescent="0.2">
      <c r="A47" s="19">
        <v>12</v>
      </c>
      <c r="B47" s="177" t="s">
        <v>11</v>
      </c>
      <c r="C47" s="178"/>
      <c r="D47" s="14">
        <f>IF(F3="1",SUMIF(Data!A:A,'2'!$A$2,Data!DF:DF),0)</f>
        <v>246664</v>
      </c>
      <c r="E47" s="17">
        <f>IF($F$3="1",SUMIF(Data!$A:$A,$A$2,Data!IZ:IZ),0)</f>
        <v>101728</v>
      </c>
      <c r="F47" s="21">
        <f t="shared" si="3"/>
        <v>0.41</v>
      </c>
    </row>
    <row r="48" spans="1:6" x14ac:dyDescent="0.2">
      <c r="A48" s="19">
        <v>13</v>
      </c>
      <c r="B48" s="177" t="s">
        <v>12</v>
      </c>
      <c r="C48" s="178"/>
      <c r="D48" s="14">
        <f>IF(F3="1",SUMIF(Data!A:A,'2'!$A$2,Data!DG:DG),0)</f>
        <v>18112</v>
      </c>
      <c r="E48" s="17">
        <f>IF($F$3="1",SUMIF(Data!$A:$A,$A$2,Data!JA:JA),0)</f>
        <v>8353</v>
      </c>
      <c r="F48" s="21">
        <f t="shared" si="3"/>
        <v>0.46</v>
      </c>
    </row>
    <row r="49" spans="1:6" ht="14.25" customHeight="1" x14ac:dyDescent="0.2">
      <c r="A49" s="19">
        <v>14</v>
      </c>
      <c r="B49" s="177" t="s">
        <v>464</v>
      </c>
      <c r="C49" s="178"/>
      <c r="D49" s="14">
        <f>IF(F3="1",SUMIF(Data!A:A,'2'!$A$2,Data!DH:DH),0)</f>
        <v>25746</v>
      </c>
      <c r="E49" s="17">
        <f>IF($F$3="1",SUMIF(Data!$A:$A,$A$2,Data!JB:JB),0)</f>
        <v>40793</v>
      </c>
      <c r="F49" s="21">
        <f t="shared" si="3"/>
        <v>1.58</v>
      </c>
    </row>
    <row r="50" spans="1:6" x14ac:dyDescent="0.2">
      <c r="A50" s="19">
        <v>15</v>
      </c>
      <c r="B50" s="177" t="s">
        <v>13</v>
      </c>
      <c r="C50" s="178"/>
      <c r="D50" s="14">
        <f>IF(F3="1",SUMIF(Data!A:A,'2'!$A$2,Data!DI:DI),0)</f>
        <v>0</v>
      </c>
      <c r="E50" s="17">
        <f>IF($F$3="1",SUMIF(Data!$A:$A,$A$2,Data!JC:JC),0)</f>
        <v>0</v>
      </c>
      <c r="F50" s="21" t="str">
        <f t="shared" si="3"/>
        <v/>
      </c>
    </row>
    <row r="51" spans="1:6" x14ac:dyDescent="0.2">
      <c r="A51" s="19">
        <v>16</v>
      </c>
      <c r="B51" s="177" t="s">
        <v>14</v>
      </c>
      <c r="C51" s="178"/>
      <c r="D51" s="14">
        <f>IF(F3="1",SUMIF(Data!A:A,'2'!$A$2,Data!DJ:DJ),0)</f>
        <v>140794</v>
      </c>
      <c r="E51" s="17">
        <f>IF($F$3="1",SUMIF(Data!$A:$A,$A$2,Data!JD:JD),0)</f>
        <v>151681</v>
      </c>
      <c r="F51" s="21">
        <f t="shared" si="3"/>
        <v>1.08</v>
      </c>
    </row>
    <row r="52" spans="1:6" x14ac:dyDescent="0.2">
      <c r="A52" s="19">
        <v>17</v>
      </c>
      <c r="B52" s="177" t="s">
        <v>15</v>
      </c>
      <c r="C52" s="178"/>
      <c r="D52" s="14">
        <f>IF(F3="1",SUMIF(Data!A:A,'2'!$A$2,Data!DK:DK),0)</f>
        <v>16144</v>
      </c>
      <c r="E52" s="17">
        <f>IF($F$3="1",SUMIF(Data!$A:$A,$A$2,Data!JE:JE),0)</f>
        <v>19309</v>
      </c>
      <c r="F52" s="21">
        <f t="shared" si="3"/>
        <v>1.2</v>
      </c>
    </row>
    <row r="53" spans="1:6" x14ac:dyDescent="0.2">
      <c r="A53" s="19">
        <v>18</v>
      </c>
      <c r="B53" s="177" t="s">
        <v>16</v>
      </c>
      <c r="C53" s="178"/>
      <c r="D53" s="14">
        <f>IF(F3="1",SUMIF(Data!A:A,'2'!$A$2,Data!DL:DL),0)</f>
        <v>4784</v>
      </c>
      <c r="E53" s="17">
        <f>IF($F$3="1",SUMIF(Data!$A:$A,$A$2,Data!JF:JF),0)</f>
        <v>4152</v>
      </c>
      <c r="F53" s="21">
        <f t="shared" si="3"/>
        <v>0.87</v>
      </c>
    </row>
    <row r="54" spans="1:6" x14ac:dyDescent="0.2">
      <c r="A54" s="19">
        <v>19</v>
      </c>
      <c r="B54" s="177" t="s">
        <v>17</v>
      </c>
      <c r="C54" s="178"/>
      <c r="D54" s="14">
        <f>IF(F3="1",SUMIF(Data!A:A,'2'!$A$2,Data!DM:DM),0)</f>
        <v>201872</v>
      </c>
      <c r="E54" s="17">
        <f>IF($F$3="1",SUMIF(Data!$A:$A,$A$2,Data!JG:JG),0)</f>
        <v>61487</v>
      </c>
      <c r="F54" s="21">
        <f t="shared" si="3"/>
        <v>0.3</v>
      </c>
    </row>
    <row r="55" spans="1:6" x14ac:dyDescent="0.2">
      <c r="A55" s="19">
        <v>20</v>
      </c>
      <c r="B55" s="177" t="s">
        <v>18</v>
      </c>
      <c r="C55" s="178"/>
      <c r="D55" s="14">
        <f>IF(F3="1",SUMIF(Data!A:A,'2'!$A$2,Data!DN:DN),0)</f>
        <v>33680</v>
      </c>
      <c r="E55" s="17">
        <f>IF($F$3="1",SUMIF(Data!$A:$A,$A$2,Data!JH:JH),0)</f>
        <v>9696</v>
      </c>
      <c r="F55" s="21">
        <f t="shared" si="3"/>
        <v>0.28999999999999998</v>
      </c>
    </row>
    <row r="56" spans="1:6" ht="14.25" customHeight="1" x14ac:dyDescent="0.2">
      <c r="A56" s="19">
        <v>21</v>
      </c>
      <c r="B56" s="177" t="s">
        <v>461</v>
      </c>
      <c r="C56" s="178"/>
      <c r="D56" s="14">
        <f>IF(F3="1",SUMIF(Data!A:A,'2'!$A$2,Data!DO:DO),0)</f>
        <v>0</v>
      </c>
      <c r="E56" s="17">
        <f>IF($F$3="1",SUMIF(Data!$A:$A,$A$2,Data!JI:JI),0)</f>
        <v>0</v>
      </c>
      <c r="F56" s="21" t="str">
        <f t="shared" si="3"/>
        <v/>
      </c>
    </row>
    <row r="57" spans="1:6" x14ac:dyDescent="0.2">
      <c r="A57" s="19">
        <v>22</v>
      </c>
      <c r="B57" s="177" t="s">
        <v>19</v>
      </c>
      <c r="C57" s="178"/>
      <c r="D57" s="14">
        <f>IF(F3="1",SUMIF(Data!A:A,'2'!$A$2,Data!DP:DP),0)</f>
        <v>0</v>
      </c>
      <c r="E57" s="17">
        <f>IF($F$3="1",SUMIF(Data!$A:$A,$A$2,Data!JJ:JJ),0)</f>
        <v>0</v>
      </c>
      <c r="F57" s="21" t="str">
        <f t="shared" si="3"/>
        <v/>
      </c>
    </row>
    <row r="58" spans="1:6" x14ac:dyDescent="0.2">
      <c r="A58" s="19">
        <v>23</v>
      </c>
      <c r="B58" s="177" t="s">
        <v>20</v>
      </c>
      <c r="C58" s="178"/>
      <c r="D58" s="14">
        <f>IF(F3="1",SUMIF(Data!A:A,'2'!$A$2,Data!DQ:DQ),0)</f>
        <v>68784</v>
      </c>
      <c r="E58" s="17">
        <f>IF($F$3="1",SUMIF(Data!$A:$A,$A$2,Data!JK:JK),0)</f>
        <v>43971</v>
      </c>
      <c r="F58" s="21">
        <f t="shared" si="3"/>
        <v>0.64</v>
      </c>
    </row>
    <row r="59" spans="1:6" x14ac:dyDescent="0.2">
      <c r="A59" s="19">
        <v>24</v>
      </c>
      <c r="B59" s="177" t="s">
        <v>21</v>
      </c>
      <c r="C59" s="178"/>
      <c r="D59" s="14">
        <f>IF(F3="1",SUMIF(Data!A:A,'2'!$A$2,Data!DR:DR),0)</f>
        <v>119089</v>
      </c>
      <c r="E59" s="17">
        <f>IF($F$3="1",SUMIF(Data!$A:$A,$A$2,Data!JL:JL),0)</f>
        <v>60861</v>
      </c>
      <c r="F59" s="21">
        <f t="shared" si="3"/>
        <v>0.51</v>
      </c>
    </row>
    <row r="60" spans="1:6" x14ac:dyDescent="0.2">
      <c r="A60" s="19">
        <v>25</v>
      </c>
      <c r="B60" s="177" t="s">
        <v>22</v>
      </c>
      <c r="C60" s="178"/>
      <c r="D60" s="14">
        <f>IF(F3="1",SUMIF(Data!A:A,'2'!$A$2,Data!DS:DS),0)</f>
        <v>287136</v>
      </c>
      <c r="E60" s="17">
        <f>IF($F$3="1",SUMIF(Data!$A:$A,$A$2,Data!JM:JM),0)</f>
        <v>98418</v>
      </c>
      <c r="F60" s="21">
        <f t="shared" si="3"/>
        <v>0.34</v>
      </c>
    </row>
    <row r="61" spans="1:6" x14ac:dyDescent="0.2">
      <c r="A61" s="19">
        <v>26</v>
      </c>
      <c r="B61" s="177" t="s">
        <v>23</v>
      </c>
      <c r="C61" s="178"/>
      <c r="D61" s="14">
        <f>IF(F3="1",SUMIF(Data!A:A,'2'!$A$2,Data!DT:DT),0)</f>
        <v>81408</v>
      </c>
      <c r="E61" s="17">
        <f>IF($F$3="1",SUMIF(Data!$A:$A,$A$2,Data!JN:JN),0)</f>
        <v>111881</v>
      </c>
      <c r="F61" s="21">
        <f t="shared" si="3"/>
        <v>1.37</v>
      </c>
    </row>
    <row r="62" spans="1:6" x14ac:dyDescent="0.2">
      <c r="A62" s="19">
        <v>28</v>
      </c>
      <c r="B62" s="177" t="s">
        <v>24</v>
      </c>
      <c r="C62" s="178"/>
      <c r="D62" s="14">
        <f>IF(F3="1",SUMIF(Data!A:A,'2'!$A$2,Data!DV:DV),0)</f>
        <v>0</v>
      </c>
      <c r="E62" s="17">
        <f>IF($F$3="1",SUMIF(Data!$A:$A,$A$2,Data!JP:JP),0)</f>
        <v>0</v>
      </c>
      <c r="F62" s="21" t="str">
        <f t="shared" si="3"/>
        <v/>
      </c>
    </row>
    <row r="63" spans="1:6" ht="15.75" customHeight="1" thickBot="1" x14ac:dyDescent="0.25">
      <c r="A63" s="22">
        <v>29</v>
      </c>
      <c r="B63" s="179" t="s">
        <v>25</v>
      </c>
      <c r="C63" s="180"/>
      <c r="D63" s="23">
        <f>IF(F3="1",SUMIF(Data!A:A,'2'!$A$2,Data!DW:DW),0)</f>
        <v>0</v>
      </c>
      <c r="E63" s="24">
        <f>IF($F$3="1",SUMIF(Data!$A:$A,$A$2,Data!JQ:JQ),0)</f>
        <v>0</v>
      </c>
      <c r="F63" s="25" t="str">
        <f t="shared" si="3"/>
        <v/>
      </c>
    </row>
    <row r="64" spans="1:6" x14ac:dyDescent="0.2">
      <c r="B64" s="30" t="s">
        <v>35</v>
      </c>
      <c r="C64" s="30"/>
      <c r="D64" s="59">
        <f>SUM(D36:D63)</f>
        <v>2096838</v>
      </c>
      <c r="E64" s="31">
        <f>SUM(E36:E63)</f>
        <v>1195321</v>
      </c>
      <c r="F64" s="32">
        <f t="shared" si="3"/>
        <v>0.56999999999999995</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28944</v>
      </c>
      <c r="E67" s="15">
        <f>IF(F3="1",SUMIF(Data!A:A,'2'!$A$2,Data!DY:DY),0)</f>
        <v>59356</v>
      </c>
      <c r="F67" s="20">
        <f t="shared" ref="F67:F95" si="4">IF(OR(D67=0,E67=0),"",ROUND(E67/D67,2))</f>
        <v>2.0499999999999998</v>
      </c>
    </row>
    <row r="68" spans="1:6" x14ac:dyDescent="0.2">
      <c r="A68" s="19">
        <v>2</v>
      </c>
      <c r="B68" s="177" t="s">
        <v>1</v>
      </c>
      <c r="C68" s="178"/>
      <c r="D68" s="14">
        <f t="shared" ref="D68:D94" si="5">D37</f>
        <v>63370</v>
      </c>
      <c r="E68" s="17">
        <f>IF(F3="1",SUMIF(Data!A:A,'2'!$A$2,Data!DZ:DZ),0)</f>
        <v>281740</v>
      </c>
      <c r="F68" s="21">
        <f t="shared" si="4"/>
        <v>4.45</v>
      </c>
    </row>
    <row r="69" spans="1:6" ht="14.25" customHeight="1" x14ac:dyDescent="0.2">
      <c r="A69" s="19">
        <v>3</v>
      </c>
      <c r="B69" s="177" t="s">
        <v>2</v>
      </c>
      <c r="C69" s="178"/>
      <c r="D69" s="14">
        <f t="shared" si="5"/>
        <v>170080</v>
      </c>
      <c r="E69" s="17">
        <f>IF(F3="1",SUMIF(Data!A:A,'2'!$A$2,Data!EA:EA),0)</f>
        <v>521995</v>
      </c>
      <c r="F69" s="21">
        <f t="shared" si="4"/>
        <v>3.07</v>
      </c>
    </row>
    <row r="70" spans="1:6" ht="14.25" customHeight="1" x14ac:dyDescent="0.2">
      <c r="A70" s="19">
        <v>4</v>
      </c>
      <c r="B70" s="177" t="s">
        <v>3</v>
      </c>
      <c r="C70" s="178"/>
      <c r="D70" s="14">
        <f t="shared" si="5"/>
        <v>219897</v>
      </c>
      <c r="E70" s="17">
        <f>IF(F3="1",SUMIF(Data!A:A,'2'!$A$2,Data!EB:EB),0)</f>
        <v>751382</v>
      </c>
      <c r="F70" s="21">
        <f t="shared" si="4"/>
        <v>3.42</v>
      </c>
    </row>
    <row r="71" spans="1:6" x14ac:dyDescent="0.2">
      <c r="A71" s="19">
        <v>5</v>
      </c>
      <c r="B71" s="177" t="s">
        <v>4</v>
      </c>
      <c r="C71" s="178"/>
      <c r="D71" s="14">
        <f t="shared" si="5"/>
        <v>0</v>
      </c>
      <c r="E71" s="17">
        <f>IF(F3="1",SUMIF(Data!A:A,'2'!$A$2,Data!EC:EC),0)</f>
        <v>0</v>
      </c>
      <c r="F71" s="21" t="str">
        <f t="shared" si="4"/>
        <v/>
      </c>
    </row>
    <row r="72" spans="1:6" x14ac:dyDescent="0.2">
      <c r="A72" s="19">
        <v>6</v>
      </c>
      <c r="B72" s="177" t="s">
        <v>5</v>
      </c>
      <c r="C72" s="178"/>
      <c r="D72" s="14">
        <f t="shared" si="5"/>
        <v>63856</v>
      </c>
      <c r="E72" s="17">
        <f>IF(F3="1",SUMIF(Data!A:A,'2'!$A$2,Data!ED:ED),0)</f>
        <v>144550</v>
      </c>
      <c r="F72" s="21">
        <f t="shared" si="4"/>
        <v>2.2599999999999998</v>
      </c>
    </row>
    <row r="73" spans="1:6" x14ac:dyDescent="0.2">
      <c r="A73" s="19">
        <v>7</v>
      </c>
      <c r="B73" s="177" t="s">
        <v>6</v>
      </c>
      <c r="C73" s="178"/>
      <c r="D73" s="14">
        <f t="shared" si="5"/>
        <v>218042</v>
      </c>
      <c r="E73" s="17">
        <f>IF(F3="1",SUMIF(Data!A:A,'2'!$A$2,Data!EE:EE),0)</f>
        <v>498459</v>
      </c>
      <c r="F73" s="21">
        <f t="shared" si="4"/>
        <v>2.29</v>
      </c>
    </row>
    <row r="74" spans="1:6" x14ac:dyDescent="0.2">
      <c r="A74" s="19">
        <v>8</v>
      </c>
      <c r="B74" s="177" t="s">
        <v>7</v>
      </c>
      <c r="C74" s="178"/>
      <c r="D74" s="14">
        <f t="shared" si="5"/>
        <v>0</v>
      </c>
      <c r="E74" s="17">
        <f>IF(F3="1",SUMIF(Data!A:A,'2'!$A$2,Data!EF:EF),0)</f>
        <v>0</v>
      </c>
      <c r="F74" s="21" t="str">
        <f t="shared" si="4"/>
        <v/>
      </c>
    </row>
    <row r="75" spans="1:6" x14ac:dyDescent="0.2">
      <c r="A75" s="19">
        <v>9</v>
      </c>
      <c r="B75" s="177" t="s">
        <v>8</v>
      </c>
      <c r="C75" s="178"/>
      <c r="D75" s="14">
        <f t="shared" si="5"/>
        <v>38044</v>
      </c>
      <c r="E75" s="17">
        <f>IF(F3="1",SUMIF(Data!A:A,'2'!$A$2,Data!EG:EG),0)</f>
        <v>107236</v>
      </c>
      <c r="F75" s="21">
        <f t="shared" si="4"/>
        <v>2.82</v>
      </c>
    </row>
    <row r="76" spans="1:6" x14ac:dyDescent="0.2">
      <c r="A76" s="19">
        <v>10</v>
      </c>
      <c r="B76" s="177" t="s">
        <v>9</v>
      </c>
      <c r="C76" s="178"/>
      <c r="D76" s="14">
        <f t="shared" si="5"/>
        <v>0</v>
      </c>
      <c r="E76" s="17">
        <f>IF(F3="1",SUMIF(Data!A:A,'2'!$A$2,Data!EH:EH),0)</f>
        <v>0</v>
      </c>
      <c r="F76" s="21" t="str">
        <f t="shared" si="4"/>
        <v/>
      </c>
    </row>
    <row r="77" spans="1:6" x14ac:dyDescent="0.2">
      <c r="A77" s="19">
        <v>11</v>
      </c>
      <c r="B77" s="177" t="s">
        <v>10</v>
      </c>
      <c r="C77" s="178"/>
      <c r="D77" s="14">
        <f t="shared" si="5"/>
        <v>50392</v>
      </c>
      <c r="E77" s="17">
        <f>IF(F3="1",SUMIF(Data!A:A,'2'!$A$2,Data!EI:EI),0)</f>
        <v>45006</v>
      </c>
      <c r="F77" s="21">
        <f t="shared" si="4"/>
        <v>0.89</v>
      </c>
    </row>
    <row r="78" spans="1:6" ht="14.25" customHeight="1" x14ac:dyDescent="0.2">
      <c r="A78" s="19">
        <v>12</v>
      </c>
      <c r="B78" s="177" t="s">
        <v>11</v>
      </c>
      <c r="C78" s="178"/>
      <c r="D78" s="14">
        <f t="shared" si="5"/>
        <v>246664</v>
      </c>
      <c r="E78" s="17">
        <f>IF(F3="1",SUMIF(Data!A:A,'2'!$A$2,Data!EJ:EJ),0)</f>
        <v>780339</v>
      </c>
      <c r="F78" s="21">
        <f t="shared" si="4"/>
        <v>3.16</v>
      </c>
    </row>
    <row r="79" spans="1:6" x14ac:dyDescent="0.2">
      <c r="A79" s="19">
        <v>13</v>
      </c>
      <c r="B79" s="177" t="s">
        <v>12</v>
      </c>
      <c r="C79" s="178"/>
      <c r="D79" s="14">
        <f t="shared" si="5"/>
        <v>18112</v>
      </c>
      <c r="E79" s="17">
        <f>IF(F3="1",SUMIF(Data!A:A,'2'!$A$2,Data!EK:EK),0)</f>
        <v>68266</v>
      </c>
      <c r="F79" s="21">
        <f t="shared" si="4"/>
        <v>3.77</v>
      </c>
    </row>
    <row r="80" spans="1:6" ht="14.25" customHeight="1" x14ac:dyDescent="0.2">
      <c r="A80" s="19">
        <v>14</v>
      </c>
      <c r="B80" s="177" t="s">
        <v>464</v>
      </c>
      <c r="C80" s="178"/>
      <c r="D80" s="14">
        <f t="shared" si="5"/>
        <v>25746</v>
      </c>
      <c r="E80" s="17">
        <f>IF(F3="1",SUMIF(Data!A:A,'2'!$A$2,Data!EL:EL),0)</f>
        <v>111932</v>
      </c>
      <c r="F80" s="21">
        <f t="shared" si="4"/>
        <v>4.3499999999999996</v>
      </c>
    </row>
    <row r="81" spans="1:6" x14ac:dyDescent="0.2">
      <c r="A81" s="19">
        <v>15</v>
      </c>
      <c r="B81" s="177" t="s">
        <v>13</v>
      </c>
      <c r="C81" s="178"/>
      <c r="D81" s="14">
        <f t="shared" si="5"/>
        <v>0</v>
      </c>
      <c r="E81" s="17">
        <f>IF(F3="1",SUMIF(Data!A:A,'2'!$A$2,Data!EM:EM),0)</f>
        <v>0</v>
      </c>
      <c r="F81" s="21" t="str">
        <f t="shared" si="4"/>
        <v/>
      </c>
    </row>
    <row r="82" spans="1:6" x14ac:dyDescent="0.2">
      <c r="A82" s="19">
        <v>16</v>
      </c>
      <c r="B82" s="177" t="s">
        <v>14</v>
      </c>
      <c r="C82" s="178"/>
      <c r="D82" s="14">
        <f t="shared" si="5"/>
        <v>140794</v>
      </c>
      <c r="E82" s="17">
        <f>IF(F3="1",SUMIF(Data!A:A,'2'!$A$2,Data!EN:EN),0)</f>
        <v>748716</v>
      </c>
      <c r="F82" s="21">
        <f t="shared" si="4"/>
        <v>5.32</v>
      </c>
    </row>
    <row r="83" spans="1:6" x14ac:dyDescent="0.2">
      <c r="A83" s="19">
        <v>17</v>
      </c>
      <c r="B83" s="177" t="s">
        <v>15</v>
      </c>
      <c r="C83" s="178"/>
      <c r="D83" s="14">
        <f t="shared" si="5"/>
        <v>16144</v>
      </c>
      <c r="E83" s="17">
        <f>IF(F3="1",SUMIF(Data!A:A,'2'!$A$2,Data!EO:EO),0)</f>
        <v>160080</v>
      </c>
      <c r="F83" s="21">
        <f t="shared" si="4"/>
        <v>9.92</v>
      </c>
    </row>
    <row r="84" spans="1:6" x14ac:dyDescent="0.2">
      <c r="A84" s="19">
        <v>18</v>
      </c>
      <c r="B84" s="177" t="s">
        <v>16</v>
      </c>
      <c r="C84" s="178"/>
      <c r="D84" s="14">
        <f t="shared" si="5"/>
        <v>4784</v>
      </c>
      <c r="E84" s="17">
        <f>IF(F3="1",SUMIF(Data!A:A,'2'!$A$2,Data!EP:EP),0)</f>
        <v>45098</v>
      </c>
      <c r="F84" s="21">
        <f t="shared" si="4"/>
        <v>9.43</v>
      </c>
    </row>
    <row r="85" spans="1:6" x14ac:dyDescent="0.2">
      <c r="A85" s="19">
        <v>19</v>
      </c>
      <c r="B85" s="177" t="s">
        <v>17</v>
      </c>
      <c r="C85" s="178"/>
      <c r="D85" s="14">
        <f t="shared" si="5"/>
        <v>201872</v>
      </c>
      <c r="E85" s="17">
        <f>IF(F3="1",SUMIF(Data!A:A,'2'!$A$2,Data!EQ:EQ),0)</f>
        <v>471218</v>
      </c>
      <c r="F85" s="21">
        <f t="shared" si="4"/>
        <v>2.33</v>
      </c>
    </row>
    <row r="86" spans="1:6" x14ac:dyDescent="0.2">
      <c r="A86" s="19">
        <v>20</v>
      </c>
      <c r="B86" s="177" t="s">
        <v>18</v>
      </c>
      <c r="C86" s="178"/>
      <c r="D86" s="14">
        <f t="shared" si="5"/>
        <v>33680</v>
      </c>
      <c r="E86" s="17">
        <f>IF(F3="1",SUMIF(Data!A:A,'2'!$A$2,Data!ER:ER),0)</f>
        <v>100819</v>
      </c>
      <c r="F86" s="21">
        <f t="shared" si="4"/>
        <v>2.99</v>
      </c>
    </row>
    <row r="87" spans="1:6" ht="14.25" customHeight="1" x14ac:dyDescent="0.2">
      <c r="A87" s="19">
        <v>21</v>
      </c>
      <c r="B87" s="177" t="s">
        <v>461</v>
      </c>
      <c r="C87" s="178"/>
      <c r="D87" s="14">
        <f t="shared" si="5"/>
        <v>0</v>
      </c>
      <c r="E87" s="17">
        <f>IF(F3="1",SUMIF(Data!A:A,'2'!$A$2,Data!ES:ES),0)</f>
        <v>0</v>
      </c>
      <c r="F87" s="21" t="str">
        <f t="shared" si="4"/>
        <v/>
      </c>
    </row>
    <row r="88" spans="1:6" x14ac:dyDescent="0.2">
      <c r="A88" s="19">
        <v>22</v>
      </c>
      <c r="B88" s="177" t="s">
        <v>19</v>
      </c>
      <c r="C88" s="178"/>
      <c r="D88" s="14">
        <f t="shared" si="5"/>
        <v>0</v>
      </c>
      <c r="E88" s="17">
        <f>IF(F3="1",SUMIF(Data!A:A,'2'!$A$2,Data!ET:ET),0)</f>
        <v>0</v>
      </c>
      <c r="F88" s="21" t="str">
        <f t="shared" si="4"/>
        <v/>
      </c>
    </row>
    <row r="89" spans="1:6" x14ac:dyDescent="0.2">
      <c r="A89" s="19">
        <v>23</v>
      </c>
      <c r="B89" s="177" t="s">
        <v>20</v>
      </c>
      <c r="C89" s="178"/>
      <c r="D89" s="14">
        <f t="shared" si="5"/>
        <v>68784</v>
      </c>
      <c r="E89" s="17">
        <f>IF(F3="1",SUMIF(Data!A:A,'2'!$A$2,Data!EU:EU),0)</f>
        <v>280483</v>
      </c>
      <c r="F89" s="21">
        <f t="shared" si="4"/>
        <v>4.08</v>
      </c>
    </row>
    <row r="90" spans="1:6" x14ac:dyDescent="0.2">
      <c r="A90" s="19">
        <v>24</v>
      </c>
      <c r="B90" s="177" t="s">
        <v>21</v>
      </c>
      <c r="C90" s="178"/>
      <c r="D90" s="14">
        <f t="shared" si="5"/>
        <v>119089</v>
      </c>
      <c r="E90" s="17">
        <f>IF(F3="1",SUMIF(Data!A:A,'2'!$A$2,Data!EV:EV),0)</f>
        <v>310330</v>
      </c>
      <c r="F90" s="21">
        <f t="shared" si="4"/>
        <v>2.61</v>
      </c>
    </row>
    <row r="91" spans="1:6" x14ac:dyDescent="0.2">
      <c r="A91" s="19">
        <v>25</v>
      </c>
      <c r="B91" s="177" t="s">
        <v>22</v>
      </c>
      <c r="C91" s="178"/>
      <c r="D91" s="14">
        <f t="shared" si="5"/>
        <v>287136</v>
      </c>
      <c r="E91" s="17">
        <f>IF(F3="1",SUMIF(Data!A:A,'2'!$A$2,Data!EW:EW),0)</f>
        <v>673140</v>
      </c>
      <c r="F91" s="21">
        <f t="shared" si="4"/>
        <v>2.34</v>
      </c>
    </row>
    <row r="92" spans="1:6" x14ac:dyDescent="0.2">
      <c r="A92" s="19">
        <v>26</v>
      </c>
      <c r="B92" s="177" t="s">
        <v>23</v>
      </c>
      <c r="C92" s="178"/>
      <c r="D92" s="14">
        <f t="shared" si="5"/>
        <v>81408</v>
      </c>
      <c r="E92" s="17">
        <f>IF(F3="1",SUMIF(Data!A:A,'2'!$A$2,Data!EX:EX),0)</f>
        <v>312798</v>
      </c>
      <c r="F92" s="21">
        <f t="shared" si="4"/>
        <v>3.84</v>
      </c>
    </row>
    <row r="93" spans="1:6" x14ac:dyDescent="0.2">
      <c r="A93" s="19">
        <v>28</v>
      </c>
      <c r="B93" s="177" t="s">
        <v>24</v>
      </c>
      <c r="C93" s="178"/>
      <c r="D93" s="14">
        <f t="shared" si="5"/>
        <v>0</v>
      </c>
      <c r="E93" s="17">
        <f>IF(F3="1",SUMIF(Data!A:A,'2'!$A$2,Data!EZ:EZ),0)</f>
        <v>0</v>
      </c>
      <c r="F93" s="21" t="str">
        <f t="shared" si="4"/>
        <v/>
      </c>
    </row>
    <row r="94" spans="1:6" ht="15.75" customHeight="1" thickBot="1" x14ac:dyDescent="0.25">
      <c r="A94" s="22">
        <v>29</v>
      </c>
      <c r="B94" s="179" t="s">
        <v>25</v>
      </c>
      <c r="C94" s="180"/>
      <c r="D94" s="23">
        <f t="shared" si="5"/>
        <v>0</v>
      </c>
      <c r="E94" s="24">
        <f>IF(F3="1",SUMIF(Data!A:A,'2'!$A$2,Data!FA:FA),0)</f>
        <v>0</v>
      </c>
      <c r="F94" s="25" t="str">
        <f t="shared" si="4"/>
        <v/>
      </c>
    </row>
    <row r="95" spans="1:6" x14ac:dyDescent="0.2">
      <c r="B95" s="30" t="s">
        <v>35</v>
      </c>
      <c r="C95" s="30"/>
      <c r="D95" s="59">
        <f>SUM(D67:D94)</f>
        <v>2096838</v>
      </c>
      <c r="E95" s="31">
        <f>SUM(E67:E94)</f>
        <v>6472943</v>
      </c>
      <c r="F95" s="32">
        <f t="shared" si="4"/>
        <v>3.09</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IF(F3="1",SUMIF(Data!A:A,'2'!$A$2,Data!AH:AH),0)</f>
        <v>2113569</v>
      </c>
      <c r="F98" s="20">
        <f>IF(OR(E98=0,E98=0),"",ROUND(E98/$D$105,2))</f>
        <v>1.01</v>
      </c>
    </row>
    <row r="99" spans="2:6" x14ac:dyDescent="0.2">
      <c r="B99" s="183" t="s">
        <v>31</v>
      </c>
      <c r="C99" s="184"/>
      <c r="D99" s="36"/>
      <c r="E99" s="17">
        <f>IF(F3="1",SUMIF(Data!A:A,'2'!$A$2,Data!AI:AI),0)</f>
        <v>1332449</v>
      </c>
      <c r="F99" s="21">
        <f t="shared" ref="F99:F104" si="6">IF(OR(E99=0,E99=0),"",ROUND(E99/$D$105,2))</f>
        <v>0.64</v>
      </c>
    </row>
    <row r="100" spans="2:6" x14ac:dyDescent="0.2">
      <c r="B100" s="183" t="s">
        <v>1078</v>
      </c>
      <c r="C100" s="184"/>
      <c r="D100" s="36"/>
      <c r="E100" s="17">
        <f>IF(F3="1",SUMIF(Data!A:A,'2'!$A$2,Data!AJ:AJ),0)</f>
        <v>591098</v>
      </c>
      <c r="F100" s="21">
        <f t="shared" si="6"/>
        <v>0.28000000000000003</v>
      </c>
    </row>
    <row r="101" spans="2:6" x14ac:dyDescent="0.2">
      <c r="B101" s="183" t="s">
        <v>1079</v>
      </c>
      <c r="C101" s="184"/>
      <c r="D101" s="36"/>
      <c r="E101" s="17">
        <f>IF(F3="1",SUMIF(Data!A:A,'2'!$A$2,Data!AK:AK),0)</f>
        <v>757414</v>
      </c>
      <c r="F101" s="21">
        <f t="shared" si="6"/>
        <v>0.36</v>
      </c>
    </row>
    <row r="102" spans="2:6" x14ac:dyDescent="0.2">
      <c r="B102" s="183" t="s">
        <v>1080</v>
      </c>
      <c r="C102" s="184"/>
      <c r="D102" s="36"/>
      <c r="E102" s="17">
        <f>IF(F3="1",SUMIF(Data!A:A,'2'!$A$2,Data!AL:AL),0)</f>
        <v>0</v>
      </c>
      <c r="F102" s="21" t="str">
        <f t="shared" si="6"/>
        <v/>
      </c>
    </row>
    <row r="103" spans="2:6" x14ac:dyDescent="0.2">
      <c r="B103" s="185" t="s">
        <v>34</v>
      </c>
      <c r="C103" s="186"/>
      <c r="D103" s="36"/>
      <c r="E103" s="17">
        <f>IF(F3="1",SUMIF(Data!A:A,'2'!$A$2,Data!AM:AM),0)</f>
        <v>0</v>
      </c>
      <c r="F103" s="21" t="str">
        <f t="shared" si="6"/>
        <v/>
      </c>
    </row>
    <row r="104" spans="2:6" ht="15.75" customHeight="1" thickBot="1" x14ac:dyDescent="0.25">
      <c r="B104" s="175" t="s">
        <v>29</v>
      </c>
      <c r="C104" s="176"/>
      <c r="D104" s="37"/>
      <c r="E104" s="24">
        <f>IF(F3="1",SUMIF(Data!A:A,'2'!$A$2,Data!Q:Q),0)</f>
        <v>576259</v>
      </c>
      <c r="F104" s="25">
        <f t="shared" si="6"/>
        <v>0.27</v>
      </c>
    </row>
    <row r="105" spans="2:6" x14ac:dyDescent="0.2">
      <c r="B105" s="30" t="s">
        <v>35</v>
      </c>
      <c r="C105" s="30"/>
      <c r="D105" s="34">
        <f>D95</f>
        <v>2096838</v>
      </c>
      <c r="E105" s="31">
        <f>SUM(E98:E104)</f>
        <v>5370789</v>
      </c>
      <c r="F105" s="32">
        <f>IF($D$105=0,"",ROUND(E105/$D$105,2))</f>
        <v>2.56</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6472943</v>
      </c>
      <c r="D109" s="15">
        <f>IF(F3="1",SUMIF(Data!$A:$A,$A$2,Data!HJ:HJ),0)</f>
        <v>0</v>
      </c>
      <c r="E109" s="15">
        <f>IF(F3="1",SUMIF(Data!$A:$A,$A$2,Data!IN:IN),0)</f>
        <v>0</v>
      </c>
      <c r="F109" s="47">
        <f>SUM(C109:E109)</f>
        <v>6472943</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576259</v>
      </c>
      <c r="E117" s="52"/>
      <c r="F117" s="49">
        <f>SUM(C117:E117)</f>
        <v>576259</v>
      </c>
    </row>
    <row r="118" spans="1:6" x14ac:dyDescent="0.2">
      <c r="B118" s="13" t="s">
        <v>35</v>
      </c>
      <c r="C118" s="4">
        <f>SUM(C109:C116)</f>
        <v>6472943</v>
      </c>
      <c r="D118" s="4">
        <f>SUM(D109:D116)</f>
        <v>0</v>
      </c>
      <c r="E118" s="4">
        <f>SUM(E109:E116)</f>
        <v>0</v>
      </c>
      <c r="F118" s="4">
        <f>SUM(F109:F116)</f>
        <v>6472943</v>
      </c>
    </row>
    <row r="119" spans="1:6" ht="15" thickBot="1" x14ac:dyDescent="0.25"/>
    <row r="120" spans="1:6" ht="15" thickBot="1" x14ac:dyDescent="0.25">
      <c r="B120" s="55" t="s">
        <v>934</v>
      </c>
      <c r="C120" s="53"/>
      <c r="D120" s="53"/>
      <c r="E120" s="53">
        <f>IF(F3="1",SUMIF(Data!A:A,'2'!$A$2,Data!AM:AM),0)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42578125" style="10" bestFit="1" customWidth="1"/>
    <col min="14" max="14" width="13.42578125" style="10" bestFit="1" customWidth="1"/>
    <col min="15" max="15" width="16.42578125" style="10" bestFit="1" customWidth="1"/>
    <col min="16"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352</v>
      </c>
      <c r="B2" s="58" t="str">
        <f>VLOOKUP(A2,Data!A:G,7,0)</f>
        <v>Amarillo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4770</v>
      </c>
      <c r="E5" s="15">
        <f>E36+E67+IFERROR($E$105/$D$105*D5,0)</f>
        <v>26032.5171240542</v>
      </c>
      <c r="F5" s="20">
        <f>IF(OR(D5=0,E5=0),"",ROUND(E5/D5,2))</f>
        <v>5.46</v>
      </c>
    </row>
    <row r="6" spans="1:6" x14ac:dyDescent="0.2">
      <c r="A6" s="19">
        <v>2</v>
      </c>
      <c r="B6" s="177" t="s">
        <v>1</v>
      </c>
      <c r="C6" s="178"/>
      <c r="D6" s="14">
        <f t="shared" ref="D6:D32" si="0">D37</f>
        <v>103879</v>
      </c>
      <c r="E6" s="17">
        <f t="shared" ref="E6:E32" si="1">E37+E68+IFERROR($E$105/$D$105*D6,0)</f>
        <v>616694.600069104</v>
      </c>
      <c r="F6" s="21">
        <f t="shared" ref="F6:F33" si="2">IF(OR(D6=0,E6=0),"",ROUND(E6/D6,2))</f>
        <v>5.94</v>
      </c>
    </row>
    <row r="7" spans="1:6" ht="14.25" customHeight="1" x14ac:dyDescent="0.2">
      <c r="A7" s="19">
        <v>3</v>
      </c>
      <c r="B7" s="177" t="s">
        <v>2</v>
      </c>
      <c r="C7" s="178"/>
      <c r="D7" s="14">
        <f t="shared" si="0"/>
        <v>333728</v>
      </c>
      <c r="E7" s="17">
        <f t="shared" si="1"/>
        <v>1916490.0454457777</v>
      </c>
      <c r="F7" s="21">
        <f t="shared" si="2"/>
        <v>5.74</v>
      </c>
    </row>
    <row r="8" spans="1:6" ht="14.25" customHeight="1" x14ac:dyDescent="0.2">
      <c r="A8" s="19">
        <v>4</v>
      </c>
      <c r="B8" s="177" t="s">
        <v>3</v>
      </c>
      <c r="C8" s="178"/>
      <c r="D8" s="14">
        <f t="shared" si="0"/>
        <v>285721</v>
      </c>
      <c r="E8" s="17">
        <f t="shared" si="1"/>
        <v>1830681.3855769162</v>
      </c>
      <c r="F8" s="21">
        <f t="shared" si="2"/>
        <v>6.41</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35325</v>
      </c>
      <c r="E10" s="17">
        <f t="shared" si="1"/>
        <v>429525.09379606176</v>
      </c>
      <c r="F10" s="21">
        <f t="shared" si="2"/>
        <v>12.16</v>
      </c>
    </row>
    <row r="11" spans="1:6" x14ac:dyDescent="0.2">
      <c r="A11" s="19">
        <v>7</v>
      </c>
      <c r="B11" s="177" t="s">
        <v>6</v>
      </c>
      <c r="C11" s="178"/>
      <c r="D11" s="14">
        <f t="shared" si="0"/>
        <v>263352</v>
      </c>
      <c r="E11" s="17">
        <f t="shared" si="1"/>
        <v>1637336.5089421219</v>
      </c>
      <c r="F11" s="21">
        <f t="shared" si="2"/>
        <v>6.22</v>
      </c>
    </row>
    <row r="12" spans="1:6" x14ac:dyDescent="0.2">
      <c r="A12" s="19">
        <v>8</v>
      </c>
      <c r="B12" s="177" t="s">
        <v>7</v>
      </c>
      <c r="C12" s="178"/>
      <c r="D12" s="14">
        <f t="shared" si="0"/>
        <v>11568</v>
      </c>
      <c r="E12" s="17">
        <f t="shared" si="1"/>
        <v>65878.050333555351</v>
      </c>
      <c r="F12" s="21">
        <f t="shared" si="2"/>
        <v>5.69</v>
      </c>
    </row>
    <row r="13" spans="1:6" x14ac:dyDescent="0.2">
      <c r="A13" s="19">
        <v>9</v>
      </c>
      <c r="B13" s="177" t="s">
        <v>8</v>
      </c>
      <c r="C13" s="178"/>
      <c r="D13" s="14">
        <f t="shared" si="0"/>
        <v>126902</v>
      </c>
      <c r="E13" s="17">
        <f t="shared" si="1"/>
        <v>683227.25703914592</v>
      </c>
      <c r="F13" s="21">
        <f t="shared" si="2"/>
        <v>5.38</v>
      </c>
    </row>
    <row r="14" spans="1:6" x14ac:dyDescent="0.2">
      <c r="A14" s="19">
        <v>10</v>
      </c>
      <c r="B14" s="177" t="s">
        <v>9</v>
      </c>
      <c r="C14" s="178"/>
      <c r="D14" s="14">
        <f t="shared" si="0"/>
        <v>448</v>
      </c>
      <c r="E14" s="17">
        <f t="shared" si="1"/>
        <v>4086.7944804143149</v>
      </c>
      <c r="F14" s="21">
        <f t="shared" si="2"/>
        <v>9.1199999999999992</v>
      </c>
    </row>
    <row r="15" spans="1:6" x14ac:dyDescent="0.2">
      <c r="A15" s="19">
        <v>11</v>
      </c>
      <c r="B15" s="177" t="s">
        <v>10</v>
      </c>
      <c r="C15" s="178"/>
      <c r="D15" s="14">
        <f t="shared" si="0"/>
        <v>144958</v>
      </c>
      <c r="E15" s="17">
        <f t="shared" si="1"/>
        <v>1163977.366722987</v>
      </c>
      <c r="F15" s="21">
        <f t="shared" si="2"/>
        <v>8.0299999999999994</v>
      </c>
    </row>
    <row r="16" spans="1:6" ht="14.25" customHeight="1" x14ac:dyDescent="0.2">
      <c r="A16" s="19">
        <v>12</v>
      </c>
      <c r="B16" s="177" t="s">
        <v>11</v>
      </c>
      <c r="C16" s="178"/>
      <c r="D16" s="14">
        <f t="shared" si="0"/>
        <v>739852</v>
      </c>
      <c r="E16" s="17">
        <f t="shared" si="1"/>
        <v>3837565.6828649365</v>
      </c>
      <c r="F16" s="21">
        <f t="shared" si="2"/>
        <v>5.19</v>
      </c>
    </row>
    <row r="17" spans="1:6" x14ac:dyDescent="0.2">
      <c r="A17" s="19">
        <v>13</v>
      </c>
      <c r="B17" s="177" t="s">
        <v>12</v>
      </c>
      <c r="C17" s="178"/>
      <c r="D17" s="14">
        <f t="shared" si="0"/>
        <v>29640</v>
      </c>
      <c r="E17" s="17">
        <f t="shared" si="1"/>
        <v>242924.08124883994</v>
      </c>
      <c r="F17" s="21">
        <f t="shared" si="2"/>
        <v>8.1999999999999993</v>
      </c>
    </row>
    <row r="18" spans="1:6" ht="14.25" customHeight="1" x14ac:dyDescent="0.2">
      <c r="A18" s="19">
        <v>14</v>
      </c>
      <c r="B18" s="177" t="s">
        <v>464</v>
      </c>
      <c r="C18" s="178"/>
      <c r="D18" s="14">
        <f t="shared" si="0"/>
        <v>206868</v>
      </c>
      <c r="E18" s="17">
        <f t="shared" si="1"/>
        <v>1844575.5816391706</v>
      </c>
      <c r="F18" s="21">
        <f t="shared" si="2"/>
        <v>8.92</v>
      </c>
    </row>
    <row r="19" spans="1:6" x14ac:dyDescent="0.2">
      <c r="A19" s="19">
        <v>15</v>
      </c>
      <c r="B19" s="177" t="s">
        <v>13</v>
      </c>
      <c r="C19" s="178"/>
      <c r="D19" s="14">
        <f t="shared" si="0"/>
        <v>51968</v>
      </c>
      <c r="E19" s="17">
        <f t="shared" si="1"/>
        <v>319296.15972806048</v>
      </c>
      <c r="F19" s="21">
        <f t="shared" si="2"/>
        <v>6.14</v>
      </c>
    </row>
    <row r="20" spans="1:6" x14ac:dyDescent="0.2">
      <c r="A20" s="19">
        <v>16</v>
      </c>
      <c r="B20" s="177" t="s">
        <v>14</v>
      </c>
      <c r="C20" s="178"/>
      <c r="D20" s="14">
        <f t="shared" si="0"/>
        <v>372379</v>
      </c>
      <c r="E20" s="17">
        <f t="shared" si="1"/>
        <v>2266961.7652281299</v>
      </c>
      <c r="F20" s="21">
        <f t="shared" si="2"/>
        <v>6.09</v>
      </c>
    </row>
    <row r="21" spans="1:6" x14ac:dyDescent="0.2">
      <c r="A21" s="19">
        <v>17</v>
      </c>
      <c r="B21" s="177" t="s">
        <v>15</v>
      </c>
      <c r="C21" s="178"/>
      <c r="D21" s="14">
        <f t="shared" si="0"/>
        <v>32864</v>
      </c>
      <c r="E21" s="17">
        <f t="shared" si="1"/>
        <v>255218.20938467866</v>
      </c>
      <c r="F21" s="21">
        <f t="shared" si="2"/>
        <v>7.77</v>
      </c>
    </row>
    <row r="22" spans="1:6" x14ac:dyDescent="0.2">
      <c r="A22" s="19">
        <v>18</v>
      </c>
      <c r="B22" s="177" t="s">
        <v>16</v>
      </c>
      <c r="C22" s="178"/>
      <c r="D22" s="14">
        <f t="shared" si="0"/>
        <v>102520</v>
      </c>
      <c r="E22" s="17">
        <f t="shared" si="1"/>
        <v>598414.29047338292</v>
      </c>
      <c r="F22" s="21">
        <f t="shared" si="2"/>
        <v>5.84</v>
      </c>
    </row>
    <row r="23" spans="1:6" x14ac:dyDescent="0.2">
      <c r="A23" s="19">
        <v>19</v>
      </c>
      <c r="B23" s="177" t="s">
        <v>17</v>
      </c>
      <c r="C23" s="178"/>
      <c r="D23" s="14">
        <f t="shared" si="0"/>
        <v>360224</v>
      </c>
      <c r="E23" s="17">
        <f t="shared" si="1"/>
        <v>1936110.6047159957</v>
      </c>
      <c r="F23" s="21">
        <f t="shared" si="2"/>
        <v>5.37</v>
      </c>
    </row>
    <row r="24" spans="1:6" x14ac:dyDescent="0.2">
      <c r="A24" s="19">
        <v>20</v>
      </c>
      <c r="B24" s="177" t="s">
        <v>18</v>
      </c>
      <c r="C24" s="178"/>
      <c r="D24" s="14">
        <f t="shared" si="0"/>
        <v>89320</v>
      </c>
      <c r="E24" s="17">
        <f t="shared" si="1"/>
        <v>727062.27453260403</v>
      </c>
      <c r="F24" s="21">
        <f t="shared" si="2"/>
        <v>8.14</v>
      </c>
    </row>
    <row r="25" spans="1:6" ht="14.25" customHeight="1" x14ac:dyDescent="0.2">
      <c r="A25" s="19">
        <v>21</v>
      </c>
      <c r="B25" s="177" t="s">
        <v>461</v>
      </c>
      <c r="C25" s="178"/>
      <c r="D25" s="14">
        <f t="shared" si="0"/>
        <v>126660</v>
      </c>
      <c r="E25" s="17">
        <f t="shared" si="1"/>
        <v>826673.44841356506</v>
      </c>
      <c r="F25" s="21">
        <f t="shared" si="2"/>
        <v>6.53</v>
      </c>
    </row>
    <row r="26" spans="1:6" x14ac:dyDescent="0.2">
      <c r="A26" s="19">
        <v>22</v>
      </c>
      <c r="B26" s="177" t="s">
        <v>19</v>
      </c>
      <c r="C26" s="178"/>
      <c r="D26" s="14">
        <f t="shared" si="0"/>
        <v>5376</v>
      </c>
      <c r="E26" s="17">
        <f t="shared" si="1"/>
        <v>139141.53376497177</v>
      </c>
      <c r="F26" s="21">
        <f t="shared" si="2"/>
        <v>25.88</v>
      </c>
    </row>
    <row r="27" spans="1:6" x14ac:dyDescent="0.2">
      <c r="A27" s="19">
        <v>23</v>
      </c>
      <c r="B27" s="177" t="s">
        <v>20</v>
      </c>
      <c r="C27" s="178"/>
      <c r="D27" s="14">
        <f t="shared" si="0"/>
        <v>102892</v>
      </c>
      <c r="E27" s="17">
        <f t="shared" si="1"/>
        <v>562786.45910444122</v>
      </c>
      <c r="F27" s="21">
        <f t="shared" si="2"/>
        <v>5.47</v>
      </c>
    </row>
    <row r="28" spans="1:6" x14ac:dyDescent="0.2">
      <c r="A28" s="19">
        <v>24</v>
      </c>
      <c r="B28" s="177" t="s">
        <v>21</v>
      </c>
      <c r="C28" s="178"/>
      <c r="D28" s="14">
        <f t="shared" si="0"/>
        <v>337015</v>
      </c>
      <c r="E28" s="17">
        <f t="shared" si="1"/>
        <v>1799009.8634304246</v>
      </c>
      <c r="F28" s="21">
        <f t="shared" si="2"/>
        <v>5.34</v>
      </c>
    </row>
    <row r="29" spans="1:6" x14ac:dyDescent="0.2">
      <c r="A29" s="19">
        <v>25</v>
      </c>
      <c r="B29" s="177" t="s">
        <v>22</v>
      </c>
      <c r="C29" s="178"/>
      <c r="D29" s="14">
        <f t="shared" si="0"/>
        <v>345204</v>
      </c>
      <c r="E29" s="17">
        <f t="shared" si="1"/>
        <v>1812823.5486985338</v>
      </c>
      <c r="F29" s="21">
        <f t="shared" si="2"/>
        <v>5.25</v>
      </c>
    </row>
    <row r="30" spans="1:6" x14ac:dyDescent="0.2">
      <c r="A30" s="19">
        <v>26</v>
      </c>
      <c r="B30" s="177" t="s">
        <v>23</v>
      </c>
      <c r="C30" s="178"/>
      <c r="D30" s="14">
        <f t="shared" si="0"/>
        <v>182839</v>
      </c>
      <c r="E30" s="17">
        <f t="shared" si="1"/>
        <v>1715493.877242127</v>
      </c>
      <c r="F30" s="21">
        <f t="shared" si="2"/>
        <v>9.3800000000000008</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4396272</v>
      </c>
      <c r="E33" s="31">
        <f>SUM(E5:E32)</f>
        <v>27257987.000000004</v>
      </c>
      <c r="F33" s="32">
        <f t="shared" si="2"/>
        <v>6.2</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IF(F3="1",SUMIF(Data!A:A,'3'!$A$2,Data!CU:CU),0)</f>
        <v>4770</v>
      </c>
      <c r="E36" s="15">
        <f>IF(F3="1",SUMIF(Data!$A:$A,$A$2,Data!IO:IO),0)</f>
        <v>2296</v>
      </c>
      <c r="F36" s="20">
        <f t="shared" ref="F36:F64" si="3">IF(OR(D36=0,E36=0),"",ROUND(E36/D36,2))</f>
        <v>0.48</v>
      </c>
    </row>
    <row r="37" spans="1:6" x14ac:dyDescent="0.2">
      <c r="A37" s="19">
        <v>2</v>
      </c>
      <c r="B37" s="177" t="s">
        <v>1</v>
      </c>
      <c r="C37" s="178"/>
      <c r="D37" s="14">
        <f>IF(F3="1",SUMIF(Data!A:A,'3'!$A$2,Data!CV:CV),0)</f>
        <v>103879</v>
      </c>
      <c r="E37" s="17">
        <f>IF(F3="1",SUMIF(Data!$A:$A,$A$2,Data!IP:IP),0)</f>
        <v>50353</v>
      </c>
      <c r="F37" s="21">
        <f t="shared" si="3"/>
        <v>0.48</v>
      </c>
    </row>
    <row r="38" spans="1:6" ht="14.25" customHeight="1" x14ac:dyDescent="0.2">
      <c r="A38" s="19">
        <v>3</v>
      </c>
      <c r="B38" s="177" t="s">
        <v>2</v>
      </c>
      <c r="C38" s="178"/>
      <c r="D38" s="14">
        <f>IF(F3="1",SUMIF(Data!A:A,'3'!$A$2,Data!CW:CW),0)</f>
        <v>333728</v>
      </c>
      <c r="E38" s="17">
        <f>IF($F$3="1",SUMIF(Data!$A:$A,$A$2,Data!IQ:IQ),0)</f>
        <v>188217</v>
      </c>
      <c r="F38" s="21">
        <f t="shared" si="3"/>
        <v>0.56000000000000005</v>
      </c>
    </row>
    <row r="39" spans="1:6" ht="14.25" customHeight="1" x14ac:dyDescent="0.2">
      <c r="A39" s="19">
        <v>4</v>
      </c>
      <c r="B39" s="177" t="s">
        <v>3</v>
      </c>
      <c r="C39" s="178"/>
      <c r="D39" s="14">
        <f>IF(F3="1",SUMIF(Data!A:A,'3'!$A$2,Data!CX:CX),0)</f>
        <v>285721</v>
      </c>
      <c r="E39" s="17">
        <f>IF($F$3="1",SUMIF(Data!$A:$A,$A$2,Data!IR:IR),0)</f>
        <v>330985</v>
      </c>
      <c r="F39" s="21">
        <f t="shared" si="3"/>
        <v>1.1599999999999999</v>
      </c>
    </row>
    <row r="40" spans="1:6" x14ac:dyDescent="0.2">
      <c r="A40" s="19">
        <v>5</v>
      </c>
      <c r="B40" s="177" t="s">
        <v>4</v>
      </c>
      <c r="C40" s="178"/>
      <c r="D40" s="14">
        <f>IF(F3="1",SUMIF(Data!A:A,'3'!$A$2,Data!CY:CY),0)</f>
        <v>0</v>
      </c>
      <c r="E40" s="17">
        <f>IF($F$3="1",SUMIF(Data!$A:$A,$A$2,Data!IS:IS),0)</f>
        <v>0</v>
      </c>
      <c r="F40" s="21" t="str">
        <f t="shared" si="3"/>
        <v/>
      </c>
    </row>
    <row r="41" spans="1:6" x14ac:dyDescent="0.2">
      <c r="A41" s="19">
        <v>6</v>
      </c>
      <c r="B41" s="177" t="s">
        <v>5</v>
      </c>
      <c r="C41" s="178"/>
      <c r="D41" s="14">
        <f>IF(F3="1",SUMIF(Data!A:A,'3'!$A$2,Data!CZ:CZ),0)</f>
        <v>35325</v>
      </c>
      <c r="E41" s="17">
        <f>IF($F$3="1",SUMIF(Data!$A:$A,$A$2,Data!IT:IT),0)</f>
        <v>104085</v>
      </c>
      <c r="F41" s="21">
        <f t="shared" si="3"/>
        <v>2.95</v>
      </c>
    </row>
    <row r="42" spans="1:6" x14ac:dyDescent="0.2">
      <c r="A42" s="19">
        <v>7</v>
      </c>
      <c r="B42" s="177" t="s">
        <v>6</v>
      </c>
      <c r="C42" s="178"/>
      <c r="D42" s="14">
        <f>IF(F3="1",SUMIF(Data!A:A,'3'!$A$2,Data!DA:DA),0)</f>
        <v>263352</v>
      </c>
      <c r="E42" s="17">
        <f>IF($F$3="1",SUMIF(Data!$A:$A,$A$2,Data!IU:IU),0)</f>
        <v>174988</v>
      </c>
      <c r="F42" s="21">
        <f t="shared" si="3"/>
        <v>0.66</v>
      </c>
    </row>
    <row r="43" spans="1:6" x14ac:dyDescent="0.2">
      <c r="A43" s="19">
        <v>8</v>
      </c>
      <c r="B43" s="177" t="s">
        <v>7</v>
      </c>
      <c r="C43" s="178"/>
      <c r="D43" s="14">
        <f>IF(F3="1",SUMIF(Data!A:A,'3'!$A$2,Data!DB:DB),0)</f>
        <v>11568</v>
      </c>
      <c r="E43" s="17">
        <f>IF($F$3="1",SUMIF(Data!$A:$A,$A$2,Data!IV:IV),0)</f>
        <v>12726</v>
      </c>
      <c r="F43" s="21">
        <f t="shared" si="3"/>
        <v>1.1000000000000001</v>
      </c>
    </row>
    <row r="44" spans="1:6" x14ac:dyDescent="0.2">
      <c r="A44" s="19">
        <v>9</v>
      </c>
      <c r="B44" s="177" t="s">
        <v>8</v>
      </c>
      <c r="C44" s="178"/>
      <c r="D44" s="14">
        <f>IF(F3="1",SUMIF(Data!A:A,'3'!$A$2,Data!DC:DC),0)</f>
        <v>126902</v>
      </c>
      <c r="E44" s="17">
        <f>IF($F$3="1",SUMIF(Data!$A:$A,$A$2,Data!IW:IW),0)</f>
        <v>103915</v>
      </c>
      <c r="F44" s="21">
        <f t="shared" si="3"/>
        <v>0.82</v>
      </c>
    </row>
    <row r="45" spans="1:6" x14ac:dyDescent="0.2">
      <c r="A45" s="19">
        <v>10</v>
      </c>
      <c r="B45" s="177" t="s">
        <v>9</v>
      </c>
      <c r="C45" s="178"/>
      <c r="D45" s="14">
        <f>IF(F3="1",SUMIF(Data!A:A,'3'!$A$2,Data!DD:DD),0)</f>
        <v>448</v>
      </c>
      <c r="E45" s="17">
        <f>IF($F$3="1",SUMIF(Data!$A:$A,$A$2,Data!IX:IX),0)</f>
        <v>366</v>
      </c>
      <c r="F45" s="21">
        <f t="shared" si="3"/>
        <v>0.82</v>
      </c>
    </row>
    <row r="46" spans="1:6" x14ac:dyDescent="0.2">
      <c r="A46" s="19">
        <v>11</v>
      </c>
      <c r="B46" s="177" t="s">
        <v>10</v>
      </c>
      <c r="C46" s="178"/>
      <c r="D46" s="14">
        <f>IF(F3="1",SUMIF(Data!A:A,'3'!$A$2,Data!DE:DE),0)</f>
        <v>144958</v>
      </c>
      <c r="E46" s="17">
        <f>IF($F$3="1",SUMIF(Data!$A:$A,$A$2,Data!IY:IY),0)</f>
        <v>187517</v>
      </c>
      <c r="F46" s="21">
        <f t="shared" si="3"/>
        <v>1.29</v>
      </c>
    </row>
    <row r="47" spans="1:6" ht="14.25" customHeight="1" x14ac:dyDescent="0.2">
      <c r="A47" s="19">
        <v>12</v>
      </c>
      <c r="B47" s="177" t="s">
        <v>11</v>
      </c>
      <c r="C47" s="178"/>
      <c r="D47" s="14">
        <f>IF(F3="1",SUMIF(Data!A:A,'3'!$A$2,Data!DF:DF),0)</f>
        <v>739852</v>
      </c>
      <c r="E47" s="17">
        <f>IF($F$3="1",SUMIF(Data!$A:$A,$A$2,Data!IZ:IZ),0)</f>
        <v>146180</v>
      </c>
      <c r="F47" s="21">
        <f t="shared" si="3"/>
        <v>0.2</v>
      </c>
    </row>
    <row r="48" spans="1:6" x14ac:dyDescent="0.2">
      <c r="A48" s="19">
        <v>13</v>
      </c>
      <c r="B48" s="177" t="s">
        <v>12</v>
      </c>
      <c r="C48" s="178"/>
      <c r="D48" s="14">
        <f>IF(F3="1",SUMIF(Data!A:A,'3'!$A$2,Data!DG:DG),0)</f>
        <v>29640</v>
      </c>
      <c r="E48" s="17">
        <f>IF($F$3="1",SUMIF(Data!$A:$A,$A$2,Data!JA:JA),0)</f>
        <v>36549</v>
      </c>
      <c r="F48" s="21">
        <f t="shared" si="3"/>
        <v>1.23</v>
      </c>
    </row>
    <row r="49" spans="1:6" ht="14.25" customHeight="1" x14ac:dyDescent="0.2">
      <c r="A49" s="19">
        <v>14</v>
      </c>
      <c r="B49" s="177" t="s">
        <v>464</v>
      </c>
      <c r="C49" s="178"/>
      <c r="D49" s="14">
        <f>IF(F3="1",SUMIF(Data!A:A,'3'!$A$2,Data!DH:DH),0)</f>
        <v>206868</v>
      </c>
      <c r="E49" s="17">
        <f>IF($F$3="1",SUMIF(Data!$A:$A,$A$2,Data!JB:JB),0)</f>
        <v>222778</v>
      </c>
      <c r="F49" s="21">
        <f t="shared" si="3"/>
        <v>1.08</v>
      </c>
    </row>
    <row r="50" spans="1:6" x14ac:dyDescent="0.2">
      <c r="A50" s="19">
        <v>15</v>
      </c>
      <c r="B50" s="177" t="s">
        <v>13</v>
      </c>
      <c r="C50" s="178"/>
      <c r="D50" s="14">
        <f>IF(F3="1",SUMIF(Data!A:A,'3'!$A$2,Data!DI:DI),0)</f>
        <v>51968</v>
      </c>
      <c r="E50" s="17">
        <f>IF($F$3="1",SUMIF(Data!$A:$A,$A$2,Data!JC:JC),0)</f>
        <v>12713</v>
      </c>
      <c r="F50" s="21">
        <f t="shared" si="3"/>
        <v>0.24</v>
      </c>
    </row>
    <row r="51" spans="1:6" x14ac:dyDescent="0.2">
      <c r="A51" s="19">
        <v>16</v>
      </c>
      <c r="B51" s="177" t="s">
        <v>14</v>
      </c>
      <c r="C51" s="178"/>
      <c r="D51" s="14">
        <f>IF(F3="1",SUMIF(Data!A:A,'3'!$A$2,Data!DJ:DJ),0)</f>
        <v>372379</v>
      </c>
      <c r="E51" s="17">
        <f>IF($F$3="1",SUMIF(Data!$A:$A,$A$2,Data!JD:JD),0)</f>
        <v>312582</v>
      </c>
      <c r="F51" s="21">
        <f t="shared" si="3"/>
        <v>0.84</v>
      </c>
    </row>
    <row r="52" spans="1:6" x14ac:dyDescent="0.2">
      <c r="A52" s="19">
        <v>17</v>
      </c>
      <c r="B52" s="177" t="s">
        <v>15</v>
      </c>
      <c r="C52" s="178"/>
      <c r="D52" s="14">
        <f>IF(F3="1",SUMIF(Data!A:A,'3'!$A$2,Data!DK:DK),0)</f>
        <v>32864</v>
      </c>
      <c r="E52" s="17">
        <f>IF($F$3="1",SUMIF(Data!$A:$A,$A$2,Data!JE:JE),0)</f>
        <v>11326</v>
      </c>
      <c r="F52" s="21">
        <f t="shared" si="3"/>
        <v>0.34</v>
      </c>
    </row>
    <row r="53" spans="1:6" x14ac:dyDescent="0.2">
      <c r="A53" s="19">
        <v>18</v>
      </c>
      <c r="B53" s="177" t="s">
        <v>16</v>
      </c>
      <c r="C53" s="178"/>
      <c r="D53" s="14">
        <f>IF(F3="1",SUMIF(Data!A:A,'3'!$A$2,Data!DL:DL),0)</f>
        <v>102520</v>
      </c>
      <c r="E53" s="17">
        <f>IF($F$3="1",SUMIF(Data!$A:$A,$A$2,Data!JF:JF),0)</f>
        <v>33296</v>
      </c>
      <c r="F53" s="21">
        <f t="shared" si="3"/>
        <v>0.32</v>
      </c>
    </row>
    <row r="54" spans="1:6" x14ac:dyDescent="0.2">
      <c r="A54" s="19">
        <v>19</v>
      </c>
      <c r="B54" s="177" t="s">
        <v>17</v>
      </c>
      <c r="C54" s="178"/>
      <c r="D54" s="14">
        <f>IF(F3="1",SUMIF(Data!A:A,'3'!$A$2,Data!DM:DM),0)</f>
        <v>360224</v>
      </c>
      <c r="E54" s="17">
        <f>IF($F$3="1",SUMIF(Data!$A:$A,$A$2,Data!JG:JG),0)</f>
        <v>162956</v>
      </c>
      <c r="F54" s="21">
        <f t="shared" si="3"/>
        <v>0.45</v>
      </c>
    </row>
    <row r="55" spans="1:6" x14ac:dyDescent="0.2">
      <c r="A55" s="19">
        <v>20</v>
      </c>
      <c r="B55" s="177" t="s">
        <v>18</v>
      </c>
      <c r="C55" s="178"/>
      <c r="D55" s="14">
        <f>IF(F3="1",SUMIF(Data!A:A,'3'!$A$2,Data!DN:DN),0)</f>
        <v>89320</v>
      </c>
      <c r="E55" s="17">
        <f>IF($F$3="1",SUMIF(Data!$A:$A,$A$2,Data!JH:JH),0)</f>
        <v>92854</v>
      </c>
      <c r="F55" s="21">
        <f t="shared" si="3"/>
        <v>1.04</v>
      </c>
    </row>
    <row r="56" spans="1:6" ht="14.25" customHeight="1" x14ac:dyDescent="0.2">
      <c r="A56" s="19">
        <v>21</v>
      </c>
      <c r="B56" s="177" t="s">
        <v>461</v>
      </c>
      <c r="C56" s="178"/>
      <c r="D56" s="14">
        <f>IF(F3="1",SUMIF(Data!A:A,'3'!$A$2,Data!DO:DO),0)</f>
        <v>126660</v>
      </c>
      <c r="E56" s="17">
        <f>IF($F$3="1",SUMIF(Data!$A:$A,$A$2,Data!JI:JI),0)</f>
        <v>116609</v>
      </c>
      <c r="F56" s="21">
        <f t="shared" si="3"/>
        <v>0.92</v>
      </c>
    </row>
    <row r="57" spans="1:6" x14ac:dyDescent="0.2">
      <c r="A57" s="19">
        <v>22</v>
      </c>
      <c r="B57" s="177" t="s">
        <v>19</v>
      </c>
      <c r="C57" s="178"/>
      <c r="D57" s="14">
        <f>IF(F3="1",SUMIF(Data!A:A,'3'!$A$2,Data!DP:DP),0)</f>
        <v>5376</v>
      </c>
      <c r="E57" s="17">
        <f>IF($F$3="1",SUMIF(Data!$A:$A,$A$2,Data!JJ:JJ),0)</f>
        <v>25086</v>
      </c>
      <c r="F57" s="21">
        <f t="shared" si="3"/>
        <v>4.67</v>
      </c>
    </row>
    <row r="58" spans="1:6" x14ac:dyDescent="0.2">
      <c r="A58" s="19">
        <v>23</v>
      </c>
      <c r="B58" s="177" t="s">
        <v>20</v>
      </c>
      <c r="C58" s="178"/>
      <c r="D58" s="14">
        <f>IF(F3="1",SUMIF(Data!A:A,'3'!$A$2,Data!DQ:DQ),0)</f>
        <v>102892</v>
      </c>
      <c r="E58" s="17">
        <f>IF($F$3="1",SUMIF(Data!$A:$A,$A$2,Data!JK:JK),0)</f>
        <v>65400</v>
      </c>
      <c r="F58" s="21">
        <f t="shared" si="3"/>
        <v>0.64</v>
      </c>
    </row>
    <row r="59" spans="1:6" x14ac:dyDescent="0.2">
      <c r="A59" s="19">
        <v>24</v>
      </c>
      <c r="B59" s="177" t="s">
        <v>21</v>
      </c>
      <c r="C59" s="178"/>
      <c r="D59" s="14">
        <f>IF(F3="1",SUMIF(Data!A:A,'3'!$A$2,Data!DR:DR),0)</f>
        <v>337015</v>
      </c>
      <c r="E59" s="17">
        <f>IF($F$3="1",SUMIF(Data!$A:$A,$A$2,Data!JL:JL),0)</f>
        <v>578719</v>
      </c>
      <c r="F59" s="21">
        <f t="shared" si="3"/>
        <v>1.72</v>
      </c>
    </row>
    <row r="60" spans="1:6" x14ac:dyDescent="0.2">
      <c r="A60" s="19">
        <v>25</v>
      </c>
      <c r="B60" s="177" t="s">
        <v>22</v>
      </c>
      <c r="C60" s="178"/>
      <c r="D60" s="14">
        <f>IF(F3="1",SUMIF(Data!A:A,'3'!$A$2,Data!DS:DS),0)</f>
        <v>345204</v>
      </c>
      <c r="E60" s="17">
        <f>IF($F$3="1",SUMIF(Data!$A:$A,$A$2,Data!JM:JM),0)</f>
        <v>63506</v>
      </c>
      <c r="F60" s="21">
        <f t="shared" si="3"/>
        <v>0.18</v>
      </c>
    </row>
    <row r="61" spans="1:6" x14ac:dyDescent="0.2">
      <c r="A61" s="19">
        <v>26</v>
      </c>
      <c r="B61" s="177" t="s">
        <v>23</v>
      </c>
      <c r="C61" s="178"/>
      <c r="D61" s="14">
        <f>IF(F3="1",SUMIF(Data!A:A,'3'!$A$2,Data!DT:DT),0)</f>
        <v>182839</v>
      </c>
      <c r="E61" s="17">
        <f>IF($F$3="1",SUMIF(Data!$A:$A,$A$2,Data!JN:JN),0)</f>
        <v>392836</v>
      </c>
      <c r="F61" s="21">
        <f t="shared" si="3"/>
        <v>2.15</v>
      </c>
    </row>
    <row r="62" spans="1:6" x14ac:dyDescent="0.2">
      <c r="A62" s="19">
        <v>28</v>
      </c>
      <c r="B62" s="177" t="s">
        <v>24</v>
      </c>
      <c r="C62" s="178"/>
      <c r="D62" s="14">
        <f>IF(F3="1",SUMIF(Data!A:A,'3'!$A$2,Data!DV:DV),0)</f>
        <v>0</v>
      </c>
      <c r="E62" s="17">
        <f>IF($F$3="1",SUMIF(Data!$A:$A,$A$2,Data!JP:JP),0)</f>
        <v>0</v>
      </c>
      <c r="F62" s="21" t="str">
        <f t="shared" si="3"/>
        <v/>
      </c>
    </row>
    <row r="63" spans="1:6" ht="15.75" customHeight="1" thickBot="1" x14ac:dyDescent="0.25">
      <c r="A63" s="22">
        <v>29</v>
      </c>
      <c r="B63" s="179" t="s">
        <v>25</v>
      </c>
      <c r="C63" s="180"/>
      <c r="D63" s="23">
        <f>IF(F3="1",SUMIF(Data!A:A,'3'!$A$2,Data!DW:DW),0)</f>
        <v>0</v>
      </c>
      <c r="E63" s="24">
        <f>IF($F$3="1",SUMIF(Data!$A:$A,$A$2,Data!JQ:JQ),0)</f>
        <v>0</v>
      </c>
      <c r="F63" s="25" t="str">
        <f t="shared" si="3"/>
        <v/>
      </c>
    </row>
    <row r="64" spans="1:6" x14ac:dyDescent="0.2">
      <c r="B64" s="30" t="s">
        <v>35</v>
      </c>
      <c r="C64" s="30"/>
      <c r="D64" s="59">
        <f>SUM(D36:D63)</f>
        <v>4396272</v>
      </c>
      <c r="E64" s="31">
        <f>SUM(E36:E63)</f>
        <v>3428838</v>
      </c>
      <c r="F64" s="32">
        <f t="shared" si="3"/>
        <v>0.78</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4770</v>
      </c>
      <c r="E67" s="15">
        <f>IF(F3="1",SUMIF(Data!A:A,'3'!$A$2,Data!DY:DY),0)</f>
        <v>9450</v>
      </c>
      <c r="F67" s="20">
        <f t="shared" ref="F67:F95" si="4">IF(OR(D67=0,E67=0),"",ROUND(E67/D67,2))</f>
        <v>1.98</v>
      </c>
    </row>
    <row r="68" spans="1:6" x14ac:dyDescent="0.2">
      <c r="A68" s="19">
        <v>2</v>
      </c>
      <c r="B68" s="177" t="s">
        <v>1</v>
      </c>
      <c r="C68" s="178"/>
      <c r="D68" s="14">
        <f t="shared" ref="D68:D94" si="5">D37</f>
        <v>103879</v>
      </c>
      <c r="E68" s="17">
        <f>IF(F3="1",SUMIF(Data!A:A,'3'!$A$2,Data!DZ:DZ),0)</f>
        <v>255216</v>
      </c>
      <c r="F68" s="21">
        <f t="shared" si="4"/>
        <v>2.46</v>
      </c>
    </row>
    <row r="69" spans="1:6" ht="14.25" customHeight="1" x14ac:dyDescent="0.2">
      <c r="A69" s="19">
        <v>3</v>
      </c>
      <c r="B69" s="177" t="s">
        <v>2</v>
      </c>
      <c r="C69" s="178"/>
      <c r="D69" s="14">
        <f t="shared" si="5"/>
        <v>333728</v>
      </c>
      <c r="E69" s="17">
        <f>IF(F3="1",SUMIF(Data!A:A,'3'!$A$2,Data!EA:EA),0)</f>
        <v>728732</v>
      </c>
      <c r="F69" s="21">
        <f t="shared" si="4"/>
        <v>2.1800000000000002</v>
      </c>
    </row>
    <row r="70" spans="1:6" ht="14.25" customHeight="1" x14ac:dyDescent="0.2">
      <c r="A70" s="19">
        <v>4</v>
      </c>
      <c r="B70" s="177" t="s">
        <v>3</v>
      </c>
      <c r="C70" s="178"/>
      <c r="D70" s="14">
        <f t="shared" si="5"/>
        <v>285721</v>
      </c>
      <c r="E70" s="17">
        <f>IF(F3="1",SUMIF(Data!A:A,'3'!$A$2,Data!EB:EB),0)</f>
        <v>643940</v>
      </c>
      <c r="F70" s="21">
        <f t="shared" si="4"/>
        <v>2.25</v>
      </c>
    </row>
    <row r="71" spans="1:6" x14ac:dyDescent="0.2">
      <c r="A71" s="19">
        <v>5</v>
      </c>
      <c r="B71" s="177" t="s">
        <v>4</v>
      </c>
      <c r="C71" s="178"/>
      <c r="D71" s="14">
        <f t="shared" si="5"/>
        <v>0</v>
      </c>
      <c r="E71" s="17">
        <f>IF(F3="1",SUMIF(Data!A:A,'3'!$A$2,Data!EC:EC),0)</f>
        <v>0</v>
      </c>
      <c r="F71" s="21" t="str">
        <f t="shared" si="4"/>
        <v/>
      </c>
    </row>
    <row r="72" spans="1:6" x14ac:dyDescent="0.2">
      <c r="A72" s="19">
        <v>6</v>
      </c>
      <c r="B72" s="177" t="s">
        <v>5</v>
      </c>
      <c r="C72" s="178"/>
      <c r="D72" s="14">
        <f t="shared" si="5"/>
        <v>35325</v>
      </c>
      <c r="E72" s="17">
        <f>IF(F3="1",SUMIF(Data!A:A,'3'!$A$2,Data!ED:ED),0)</f>
        <v>219639</v>
      </c>
      <c r="F72" s="21">
        <f t="shared" si="4"/>
        <v>6.22</v>
      </c>
    </row>
    <row r="73" spans="1:6" x14ac:dyDescent="0.2">
      <c r="A73" s="19">
        <v>7</v>
      </c>
      <c r="B73" s="177" t="s">
        <v>6</v>
      </c>
      <c r="C73" s="178"/>
      <c r="D73" s="14">
        <f t="shared" si="5"/>
        <v>263352</v>
      </c>
      <c r="E73" s="17">
        <f>IF(F3="1",SUMIF(Data!A:A,'3'!$A$2,Data!EE:EE),0)</f>
        <v>673589</v>
      </c>
      <c r="F73" s="21">
        <f t="shared" si="4"/>
        <v>2.56</v>
      </c>
    </row>
    <row r="74" spans="1:6" x14ac:dyDescent="0.2">
      <c r="A74" s="19">
        <v>8</v>
      </c>
      <c r="B74" s="177" t="s">
        <v>7</v>
      </c>
      <c r="C74" s="178"/>
      <c r="D74" s="14">
        <f t="shared" si="5"/>
        <v>11568</v>
      </c>
      <c r="E74" s="17">
        <f>IF(F3="1",SUMIF(Data!A:A,'3'!$A$2,Data!EF:EF),0)</f>
        <v>18505</v>
      </c>
      <c r="F74" s="21">
        <f t="shared" si="4"/>
        <v>1.6</v>
      </c>
    </row>
    <row r="75" spans="1:6" x14ac:dyDescent="0.2">
      <c r="A75" s="19">
        <v>9</v>
      </c>
      <c r="B75" s="177" t="s">
        <v>8</v>
      </c>
      <c r="C75" s="178"/>
      <c r="D75" s="14">
        <f t="shared" si="5"/>
        <v>126902</v>
      </c>
      <c r="E75" s="17">
        <f>IF(F3="1",SUMIF(Data!A:A,'3'!$A$2,Data!EG:EG),0)</f>
        <v>199231</v>
      </c>
      <c r="F75" s="21">
        <f t="shared" si="4"/>
        <v>1.57</v>
      </c>
    </row>
    <row r="76" spans="1:6" x14ac:dyDescent="0.2">
      <c r="A76" s="19">
        <v>10</v>
      </c>
      <c r="B76" s="177" t="s">
        <v>9</v>
      </c>
      <c r="C76" s="178"/>
      <c r="D76" s="14">
        <f t="shared" si="5"/>
        <v>448</v>
      </c>
      <c r="E76" s="17">
        <f>IF(F3="1",SUMIF(Data!A:A,'3'!$A$2,Data!EH:EH),0)</f>
        <v>2379</v>
      </c>
      <c r="F76" s="21">
        <f t="shared" si="4"/>
        <v>5.31</v>
      </c>
    </row>
    <row r="77" spans="1:6" x14ac:dyDescent="0.2">
      <c r="A77" s="19">
        <v>11</v>
      </c>
      <c r="B77" s="177" t="s">
        <v>10</v>
      </c>
      <c r="C77" s="178"/>
      <c r="D77" s="14">
        <f t="shared" si="5"/>
        <v>144958</v>
      </c>
      <c r="E77" s="17">
        <f>IF(F3="1",SUMIF(Data!A:A,'3'!$A$2,Data!EI:EI),0)</f>
        <v>542300</v>
      </c>
      <c r="F77" s="21">
        <f t="shared" si="4"/>
        <v>3.74</v>
      </c>
    </row>
    <row r="78" spans="1:6" ht="14.25" customHeight="1" x14ac:dyDescent="0.2">
      <c r="A78" s="19">
        <v>12</v>
      </c>
      <c r="B78" s="177" t="s">
        <v>11</v>
      </c>
      <c r="C78" s="178"/>
      <c r="D78" s="14">
        <f t="shared" si="5"/>
        <v>739852</v>
      </c>
      <c r="E78" s="17">
        <f>IF(F3="1",SUMIF(Data!A:A,'3'!$A$2,Data!EJ:EJ),0)</f>
        <v>1475472</v>
      </c>
      <c r="F78" s="21">
        <f t="shared" si="4"/>
        <v>1.99</v>
      </c>
    </row>
    <row r="79" spans="1:6" x14ac:dyDescent="0.2">
      <c r="A79" s="19">
        <v>13</v>
      </c>
      <c r="B79" s="177" t="s">
        <v>12</v>
      </c>
      <c r="C79" s="178"/>
      <c r="D79" s="14">
        <f t="shared" si="5"/>
        <v>29640</v>
      </c>
      <c r="E79" s="17">
        <f>IF(F3="1",SUMIF(Data!A:A,'3'!$A$2,Data!EK:EK),0)</f>
        <v>117601</v>
      </c>
      <c r="F79" s="21">
        <f t="shared" si="4"/>
        <v>3.97</v>
      </c>
    </row>
    <row r="80" spans="1:6" ht="14.25" customHeight="1" x14ac:dyDescent="0.2">
      <c r="A80" s="19">
        <v>14</v>
      </c>
      <c r="B80" s="177" t="s">
        <v>464</v>
      </c>
      <c r="C80" s="178"/>
      <c r="D80" s="14">
        <f t="shared" si="5"/>
        <v>206868</v>
      </c>
      <c r="E80" s="17">
        <f>IF(F3="1",SUMIF(Data!A:A,'3'!$A$2,Data!EL:EL),0)</f>
        <v>1002212</v>
      </c>
      <c r="F80" s="21">
        <f t="shared" si="4"/>
        <v>4.84</v>
      </c>
    </row>
    <row r="81" spans="1:6" x14ac:dyDescent="0.2">
      <c r="A81" s="19">
        <v>15</v>
      </c>
      <c r="B81" s="177" t="s">
        <v>13</v>
      </c>
      <c r="C81" s="178"/>
      <c r="D81" s="14">
        <f t="shared" si="5"/>
        <v>51968</v>
      </c>
      <c r="E81" s="17">
        <f>IF(F3="1",SUMIF(Data!A:A,'3'!$A$2,Data!EM:EM),0)</f>
        <v>150935</v>
      </c>
      <c r="F81" s="21">
        <f t="shared" si="4"/>
        <v>2.9</v>
      </c>
    </row>
    <row r="82" spans="1:6" x14ac:dyDescent="0.2">
      <c r="A82" s="19">
        <v>16</v>
      </c>
      <c r="B82" s="177" t="s">
        <v>14</v>
      </c>
      <c r="C82" s="178"/>
      <c r="D82" s="14">
        <f t="shared" si="5"/>
        <v>372379</v>
      </c>
      <c r="E82" s="17">
        <f>IF(F3="1",SUMIF(Data!A:A,'3'!$A$2,Data!EN:EN),0)</f>
        <v>839076</v>
      </c>
      <c r="F82" s="21">
        <f t="shared" si="4"/>
        <v>2.25</v>
      </c>
    </row>
    <row r="83" spans="1:6" x14ac:dyDescent="0.2">
      <c r="A83" s="19">
        <v>17</v>
      </c>
      <c r="B83" s="177" t="s">
        <v>15</v>
      </c>
      <c r="C83" s="178"/>
      <c r="D83" s="14">
        <f t="shared" si="5"/>
        <v>32864</v>
      </c>
      <c r="E83" s="17">
        <f>IF(F3="1",SUMIF(Data!A:A,'3'!$A$2,Data!EO:EO),0)</f>
        <v>145462</v>
      </c>
      <c r="F83" s="21">
        <f t="shared" si="4"/>
        <v>4.43</v>
      </c>
    </row>
    <row r="84" spans="1:6" x14ac:dyDescent="0.2">
      <c r="A84" s="19">
        <v>18</v>
      </c>
      <c r="B84" s="177" t="s">
        <v>16</v>
      </c>
      <c r="C84" s="178"/>
      <c r="D84" s="14">
        <f t="shared" si="5"/>
        <v>102520</v>
      </c>
      <c r="E84" s="17">
        <f>IF(F3="1",SUMIF(Data!A:A,'3'!$A$2,Data!EP:EP),0)</f>
        <v>258063</v>
      </c>
      <c r="F84" s="21">
        <f t="shared" si="4"/>
        <v>2.52</v>
      </c>
    </row>
    <row r="85" spans="1:6" x14ac:dyDescent="0.2">
      <c r="A85" s="19">
        <v>19</v>
      </c>
      <c r="B85" s="177" t="s">
        <v>17</v>
      </c>
      <c r="C85" s="178"/>
      <c r="D85" s="14">
        <f t="shared" si="5"/>
        <v>360224</v>
      </c>
      <c r="E85" s="17">
        <f>IF(F3="1",SUMIF(Data!A:A,'3'!$A$2,Data!EQ:EQ),0)</f>
        <v>694256</v>
      </c>
      <c r="F85" s="21">
        <f t="shared" si="4"/>
        <v>1.93</v>
      </c>
    </row>
    <row r="86" spans="1:6" x14ac:dyDescent="0.2">
      <c r="A86" s="19">
        <v>20</v>
      </c>
      <c r="B86" s="177" t="s">
        <v>18</v>
      </c>
      <c r="C86" s="178"/>
      <c r="D86" s="14">
        <f t="shared" si="5"/>
        <v>89320</v>
      </c>
      <c r="E86" s="17">
        <f>IF(F3="1",SUMIF(Data!A:A,'3'!$A$2,Data!ER:ER),0)</f>
        <v>366688</v>
      </c>
      <c r="F86" s="21">
        <f t="shared" si="4"/>
        <v>4.1100000000000003</v>
      </c>
    </row>
    <row r="87" spans="1:6" ht="14.25" customHeight="1" x14ac:dyDescent="0.2">
      <c r="A87" s="19">
        <v>21</v>
      </c>
      <c r="B87" s="177" t="s">
        <v>461</v>
      </c>
      <c r="C87" s="178"/>
      <c r="D87" s="14">
        <f t="shared" si="5"/>
        <v>126660</v>
      </c>
      <c r="E87" s="17">
        <f>IF(F3="1",SUMIF(Data!A:A,'3'!$A$2,Data!ES:ES),0)</f>
        <v>330708</v>
      </c>
      <c r="F87" s="21">
        <f t="shared" si="4"/>
        <v>2.61</v>
      </c>
    </row>
    <row r="88" spans="1:6" x14ac:dyDescent="0.2">
      <c r="A88" s="19">
        <v>22</v>
      </c>
      <c r="B88" s="177" t="s">
        <v>19</v>
      </c>
      <c r="C88" s="178"/>
      <c r="D88" s="14">
        <f t="shared" si="5"/>
        <v>5376</v>
      </c>
      <c r="E88" s="17">
        <f>IF(F3="1",SUMIF(Data!A:A,'3'!$A$2,Data!ET:ET),0)</f>
        <v>97954</v>
      </c>
      <c r="F88" s="21">
        <f t="shared" si="4"/>
        <v>18.22</v>
      </c>
    </row>
    <row r="89" spans="1:6" x14ac:dyDescent="0.2">
      <c r="A89" s="19">
        <v>23</v>
      </c>
      <c r="B89" s="177" t="s">
        <v>20</v>
      </c>
      <c r="C89" s="178"/>
      <c r="D89" s="14">
        <f t="shared" si="5"/>
        <v>102892</v>
      </c>
      <c r="E89" s="17">
        <f>IF(F3="1",SUMIF(Data!A:A,'3'!$A$2,Data!EU:EU),0)</f>
        <v>189217</v>
      </c>
      <c r="F89" s="21">
        <f t="shared" si="4"/>
        <v>1.84</v>
      </c>
    </row>
    <row r="90" spans="1:6" x14ac:dyDescent="0.2">
      <c r="A90" s="19">
        <v>24</v>
      </c>
      <c r="B90" s="177" t="s">
        <v>21</v>
      </c>
      <c r="C90" s="178"/>
      <c r="D90" s="14">
        <f t="shared" si="5"/>
        <v>337015</v>
      </c>
      <c r="E90" s="17">
        <f>IF(F3="1",SUMIF(Data!A:A,'3'!$A$2,Data!EV:EV),0)</f>
        <v>210905</v>
      </c>
      <c r="F90" s="21">
        <f t="shared" si="4"/>
        <v>0.63</v>
      </c>
    </row>
    <row r="91" spans="1:6" x14ac:dyDescent="0.2">
      <c r="A91" s="19">
        <v>25</v>
      </c>
      <c r="B91" s="177" t="s">
        <v>22</v>
      </c>
      <c r="C91" s="178"/>
      <c r="D91" s="14">
        <f t="shared" si="5"/>
        <v>345204</v>
      </c>
      <c r="E91" s="17">
        <f>IF(F3="1",SUMIF(Data!A:A,'3'!$A$2,Data!EW:EW),0)</f>
        <v>715405</v>
      </c>
      <c r="F91" s="21">
        <f t="shared" si="4"/>
        <v>2.0699999999999998</v>
      </c>
    </row>
    <row r="92" spans="1:6" x14ac:dyDescent="0.2">
      <c r="A92" s="19">
        <v>26</v>
      </c>
      <c r="B92" s="177" t="s">
        <v>23</v>
      </c>
      <c r="C92" s="178"/>
      <c r="D92" s="14">
        <f t="shared" si="5"/>
        <v>182839</v>
      </c>
      <c r="E92" s="17">
        <f>IF(F3="1",SUMIF(Data!A:A,'3'!$A$2,Data!EX:EX),0)</f>
        <v>775041</v>
      </c>
      <c r="F92" s="21">
        <f t="shared" si="4"/>
        <v>4.24</v>
      </c>
    </row>
    <row r="93" spans="1:6" x14ac:dyDescent="0.2">
      <c r="A93" s="19">
        <v>28</v>
      </c>
      <c r="B93" s="177" t="s">
        <v>24</v>
      </c>
      <c r="C93" s="178"/>
      <c r="D93" s="14">
        <f t="shared" si="5"/>
        <v>0</v>
      </c>
      <c r="E93" s="17">
        <f>IF(F3="1",SUMIF(Data!A:A,'3'!$A$2,Data!EZ:EZ),0)</f>
        <v>0</v>
      </c>
      <c r="F93" s="21" t="str">
        <f t="shared" si="4"/>
        <v/>
      </c>
    </row>
    <row r="94" spans="1:6" ht="15.75" customHeight="1" thickBot="1" x14ac:dyDescent="0.25">
      <c r="A94" s="22">
        <v>29</v>
      </c>
      <c r="B94" s="179" t="s">
        <v>25</v>
      </c>
      <c r="C94" s="180"/>
      <c r="D94" s="23">
        <f t="shared" si="5"/>
        <v>0</v>
      </c>
      <c r="E94" s="24">
        <f>IF(F3="1",SUMIF(Data!A:A,'3'!$A$2,Data!FA:FA),0)</f>
        <v>0</v>
      </c>
      <c r="F94" s="25" t="str">
        <f t="shared" si="4"/>
        <v/>
      </c>
    </row>
    <row r="95" spans="1:6" x14ac:dyDescent="0.2">
      <c r="B95" s="30" t="s">
        <v>35</v>
      </c>
      <c r="C95" s="30"/>
      <c r="D95" s="59">
        <f>SUM(D67:D94)</f>
        <v>4396272</v>
      </c>
      <c r="E95" s="31">
        <f>SUM(E67:E94)</f>
        <v>10661976</v>
      </c>
      <c r="F95" s="32">
        <f t="shared" si="4"/>
        <v>2.4300000000000002</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IF(F3="1",SUMIF(Data!A:A,'3'!$A$2,Data!AH:AH),0)</f>
        <v>5952847</v>
      </c>
      <c r="F98" s="20">
        <f>IF(OR(E98=0,E98=0),"",ROUND(E98/$D$105,2))</f>
        <v>1.35</v>
      </c>
    </row>
    <row r="99" spans="2:6" x14ac:dyDescent="0.2">
      <c r="B99" s="183" t="s">
        <v>31</v>
      </c>
      <c r="C99" s="184"/>
      <c r="D99" s="36"/>
      <c r="E99" s="17">
        <f>IF(F3="1",SUMIF(Data!A:A,'3'!$A$2,Data!AI:AI),0)</f>
        <v>2618198</v>
      </c>
      <c r="F99" s="21">
        <f t="shared" ref="F99:F104" si="6">IF(OR(E99=0,E99=0),"",ROUND(E99/$D$105,2))</f>
        <v>0.6</v>
      </c>
    </row>
    <row r="100" spans="2:6" x14ac:dyDescent="0.2">
      <c r="B100" s="183" t="s">
        <v>1078</v>
      </c>
      <c r="C100" s="184"/>
      <c r="D100" s="36"/>
      <c r="E100" s="17">
        <f>IF(F3="1",SUMIF(Data!A:A,'3'!$A$2,Data!AJ:AJ),0)</f>
        <v>900055</v>
      </c>
      <c r="F100" s="21">
        <f t="shared" si="6"/>
        <v>0.2</v>
      </c>
    </row>
    <row r="101" spans="2:6" x14ac:dyDescent="0.2">
      <c r="B101" s="183" t="s">
        <v>1079</v>
      </c>
      <c r="C101" s="184"/>
      <c r="D101" s="36"/>
      <c r="E101" s="17">
        <f>IF(F3="1",SUMIF(Data!A:A,'3'!$A$2,Data!AK:AK),0)</f>
        <v>1223645</v>
      </c>
      <c r="F101" s="21">
        <f t="shared" si="6"/>
        <v>0.28000000000000003</v>
      </c>
    </row>
    <row r="102" spans="2:6" x14ac:dyDescent="0.2">
      <c r="B102" s="183" t="s">
        <v>1080</v>
      </c>
      <c r="C102" s="184"/>
      <c r="D102" s="36"/>
      <c r="E102" s="17">
        <f>IF(F3="1",SUMIF(Data!A:A,'3'!$A$2,Data!AL:AL),0)</f>
        <v>291184</v>
      </c>
      <c r="F102" s="21">
        <f t="shared" si="6"/>
        <v>7.0000000000000007E-2</v>
      </c>
    </row>
    <row r="103" spans="2:6" x14ac:dyDescent="0.2">
      <c r="B103" s="185" t="s">
        <v>34</v>
      </c>
      <c r="C103" s="186"/>
      <c r="D103" s="36"/>
      <c r="E103" s="17">
        <f>IF(F3="1",SUMIF(Data!A:A,'3'!$A$2,Data!AM:AM),0)</f>
        <v>0</v>
      </c>
      <c r="F103" s="21" t="str">
        <f t="shared" si="6"/>
        <v/>
      </c>
    </row>
    <row r="104" spans="2:6" ht="15.75" customHeight="1" thickBot="1" x14ac:dyDescent="0.25">
      <c r="B104" s="175" t="s">
        <v>29</v>
      </c>
      <c r="C104" s="176"/>
      <c r="D104" s="37"/>
      <c r="E104" s="24">
        <f>IF(F3="1",SUMIF(Data!A:A,'3'!$A$2,Data!Q:Q),0)</f>
        <v>2181244</v>
      </c>
      <c r="F104" s="25">
        <f t="shared" si="6"/>
        <v>0.5</v>
      </c>
    </row>
    <row r="105" spans="2:6" x14ac:dyDescent="0.2">
      <c r="B105" s="30" t="s">
        <v>35</v>
      </c>
      <c r="C105" s="30"/>
      <c r="D105" s="34">
        <f>D95</f>
        <v>4396272</v>
      </c>
      <c r="E105" s="31">
        <f>SUM(E98:E104)</f>
        <v>13167173</v>
      </c>
      <c r="F105" s="32">
        <f>IF($D$105=0,"",ROUND(E105/$D$105,2))</f>
        <v>3</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10661976</v>
      </c>
      <c r="D109" s="15">
        <f>IF(F3="1",SUMIF(Data!$A:$A,$A$2,Data!HJ:HJ),0)</f>
        <v>0</v>
      </c>
      <c r="E109" s="15">
        <f>IF(F3="1",SUMIF(Data!$A:$A,$A$2,Data!IN:IN),0)</f>
        <v>0</v>
      </c>
      <c r="F109" s="47">
        <f>SUM(C109:E109)</f>
        <v>10661976</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291184</v>
      </c>
      <c r="F116" s="48">
        <f t="shared" si="7"/>
        <v>291184</v>
      </c>
    </row>
    <row r="117" spans="1:6" ht="15" thickBot="1" x14ac:dyDescent="0.25">
      <c r="B117" s="43" t="s">
        <v>933</v>
      </c>
      <c r="C117" s="52"/>
      <c r="D117" s="52">
        <f>IF(F3="1",SUMIF(Data!A:A,$A$2,Data!Q:Q),0)</f>
        <v>2181244</v>
      </c>
      <c r="E117" s="52"/>
      <c r="F117" s="49">
        <f>SUM(C117:E117)</f>
        <v>2181244</v>
      </c>
    </row>
    <row r="118" spans="1:6" x14ac:dyDescent="0.2">
      <c r="B118" s="13" t="s">
        <v>35</v>
      </c>
      <c r="C118" s="4">
        <f>SUM(C109:C116)</f>
        <v>10661976</v>
      </c>
      <c r="D118" s="4">
        <f>SUM(D109:D116)</f>
        <v>0</v>
      </c>
      <c r="E118" s="4">
        <f>SUM(E109:E116)</f>
        <v>291184</v>
      </c>
      <c r="F118" s="4">
        <f>SUM(F109:F116)</f>
        <v>10953160</v>
      </c>
    </row>
    <row r="119" spans="1:6" ht="15" thickBot="1" x14ac:dyDescent="0.25"/>
    <row r="120" spans="1:6" ht="15" thickBot="1" x14ac:dyDescent="0.25">
      <c r="B120" s="55" t="s">
        <v>934</v>
      </c>
      <c r="C120" s="53"/>
      <c r="D120" s="53"/>
      <c r="E120" s="53">
        <f>IF(F3="1",SUMIF(Data!A:A,'3'!$A$2,Data!AM:AM),0)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421</v>
      </c>
      <c r="B2" s="58" t="str">
        <f>VLOOKUP(A2,Data!A:G,7,0)</f>
        <v>Angelina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4800</v>
      </c>
      <c r="E5" s="15">
        <f>E36+E67+IFERROR($E$105/$D$105*D5,0)</f>
        <v>21263.176214823463</v>
      </c>
      <c r="F5" s="20">
        <f>IF(OR(D5=0,E5=0),"",ROUND(E5/D5,2))</f>
        <v>4.43</v>
      </c>
    </row>
    <row r="6" spans="1:6" x14ac:dyDescent="0.2">
      <c r="A6" s="19">
        <v>2</v>
      </c>
      <c r="B6" s="177" t="s">
        <v>1</v>
      </c>
      <c r="C6" s="178"/>
      <c r="D6" s="14">
        <f t="shared" ref="D6:D32" si="0">D37</f>
        <v>56948</v>
      </c>
      <c r="E6" s="17">
        <f t="shared" ref="E6:E32" si="1">E37+E68+IFERROR($E$105/$D$105*D6,0)</f>
        <v>441732.59814203472</v>
      </c>
      <c r="F6" s="21">
        <f t="shared" ref="F6:F33" si="2">IF(OR(D6=0,E6=0),"",ROUND(E6/D6,2))</f>
        <v>7.76</v>
      </c>
    </row>
    <row r="7" spans="1:6" ht="14.25" customHeight="1" x14ac:dyDescent="0.2">
      <c r="A7" s="19">
        <v>3</v>
      </c>
      <c r="B7" s="177" t="s">
        <v>2</v>
      </c>
      <c r="C7" s="178"/>
      <c r="D7" s="14">
        <f t="shared" si="0"/>
        <v>166704</v>
      </c>
      <c r="E7" s="17">
        <f t="shared" si="1"/>
        <v>745085.72994081886</v>
      </c>
      <c r="F7" s="21">
        <f t="shared" si="2"/>
        <v>4.47</v>
      </c>
    </row>
    <row r="8" spans="1:6" ht="14.25" customHeight="1" x14ac:dyDescent="0.2">
      <c r="A8" s="19">
        <v>4</v>
      </c>
      <c r="B8" s="177" t="s">
        <v>3</v>
      </c>
      <c r="C8" s="178"/>
      <c r="D8" s="14">
        <f t="shared" si="0"/>
        <v>150135</v>
      </c>
      <c r="E8" s="17">
        <f t="shared" si="1"/>
        <v>762028.05229427514</v>
      </c>
      <c r="F8" s="21">
        <f t="shared" si="2"/>
        <v>5.08</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5656</v>
      </c>
      <c r="E10" s="17">
        <f t="shared" si="1"/>
        <v>43051.872639800313</v>
      </c>
      <c r="F10" s="21">
        <f t="shared" si="2"/>
        <v>7.61</v>
      </c>
    </row>
    <row r="11" spans="1:6" x14ac:dyDescent="0.2">
      <c r="A11" s="19">
        <v>7</v>
      </c>
      <c r="B11" s="177" t="s">
        <v>6</v>
      </c>
      <c r="C11" s="178"/>
      <c r="D11" s="14">
        <f t="shared" si="0"/>
        <v>55191</v>
      </c>
      <c r="E11" s="17">
        <f t="shared" si="1"/>
        <v>375779.10676506703</v>
      </c>
      <c r="F11" s="21">
        <f t="shared" si="2"/>
        <v>6.81</v>
      </c>
    </row>
    <row r="12" spans="1:6" x14ac:dyDescent="0.2">
      <c r="A12" s="19">
        <v>8</v>
      </c>
      <c r="B12" s="177" t="s">
        <v>7</v>
      </c>
      <c r="C12" s="178"/>
      <c r="D12" s="14">
        <f t="shared" si="0"/>
        <v>16224</v>
      </c>
      <c r="E12" s="17">
        <f t="shared" si="1"/>
        <v>102568.25560610331</v>
      </c>
      <c r="F12" s="21">
        <f t="shared" si="2"/>
        <v>6.32</v>
      </c>
    </row>
    <row r="13" spans="1:6" x14ac:dyDescent="0.2">
      <c r="A13" s="19">
        <v>9</v>
      </c>
      <c r="B13" s="177" t="s">
        <v>8</v>
      </c>
      <c r="C13" s="178"/>
      <c r="D13" s="14">
        <f t="shared" si="0"/>
        <v>46516</v>
      </c>
      <c r="E13" s="17">
        <f t="shared" si="1"/>
        <v>239708.33516848506</v>
      </c>
      <c r="F13" s="21">
        <f t="shared" si="2"/>
        <v>5.15</v>
      </c>
    </row>
    <row r="14" spans="1:6" x14ac:dyDescent="0.2">
      <c r="A14" s="19">
        <v>10</v>
      </c>
      <c r="B14" s="177" t="s">
        <v>9</v>
      </c>
      <c r="C14" s="178"/>
      <c r="D14" s="14">
        <f t="shared" si="0"/>
        <v>4824</v>
      </c>
      <c r="E14" s="17">
        <f t="shared" si="1"/>
        <v>33006.962095897579</v>
      </c>
      <c r="F14" s="21">
        <f t="shared" si="2"/>
        <v>6.84</v>
      </c>
    </row>
    <row r="15" spans="1:6" x14ac:dyDescent="0.2">
      <c r="A15" s="19">
        <v>11</v>
      </c>
      <c r="B15" s="177" t="s">
        <v>10</v>
      </c>
      <c r="C15" s="178"/>
      <c r="D15" s="14">
        <f t="shared" si="0"/>
        <v>33264</v>
      </c>
      <c r="E15" s="17">
        <f t="shared" si="1"/>
        <v>210329.2311687266</v>
      </c>
      <c r="F15" s="21">
        <f t="shared" si="2"/>
        <v>6.32</v>
      </c>
    </row>
    <row r="16" spans="1:6" ht="14.25" customHeight="1" x14ac:dyDescent="0.2">
      <c r="A16" s="19">
        <v>12</v>
      </c>
      <c r="B16" s="177" t="s">
        <v>11</v>
      </c>
      <c r="C16" s="178"/>
      <c r="D16" s="14">
        <f t="shared" si="0"/>
        <v>296014</v>
      </c>
      <c r="E16" s="17">
        <f t="shared" si="1"/>
        <v>1213750.40834474</v>
      </c>
      <c r="F16" s="21">
        <f t="shared" si="2"/>
        <v>4.0999999999999996</v>
      </c>
    </row>
    <row r="17" spans="1:6" x14ac:dyDescent="0.2">
      <c r="A17" s="19">
        <v>13</v>
      </c>
      <c r="B17" s="177" t="s">
        <v>12</v>
      </c>
      <c r="C17" s="178"/>
      <c r="D17" s="14">
        <f t="shared" si="0"/>
        <v>15296</v>
      </c>
      <c r="E17" s="17">
        <f t="shared" si="1"/>
        <v>87733.201537904097</v>
      </c>
      <c r="F17" s="21">
        <f t="shared" si="2"/>
        <v>5.74</v>
      </c>
    </row>
    <row r="18" spans="1:6" ht="14.25" customHeight="1" x14ac:dyDescent="0.2">
      <c r="A18" s="19">
        <v>14</v>
      </c>
      <c r="B18" s="177" t="s">
        <v>464</v>
      </c>
      <c r="C18" s="178"/>
      <c r="D18" s="14">
        <f t="shared" si="0"/>
        <v>96956</v>
      </c>
      <c r="E18" s="17">
        <f t="shared" si="1"/>
        <v>735562.66189258825</v>
      </c>
      <c r="F18" s="21">
        <f t="shared" si="2"/>
        <v>7.59</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184665</v>
      </c>
      <c r="E20" s="17">
        <f t="shared" si="1"/>
        <v>1076794.9886896615</v>
      </c>
      <c r="F20" s="21">
        <f t="shared" si="2"/>
        <v>5.83</v>
      </c>
    </row>
    <row r="21" spans="1:6" x14ac:dyDescent="0.2">
      <c r="A21" s="19">
        <v>17</v>
      </c>
      <c r="B21" s="177" t="s">
        <v>15</v>
      </c>
      <c r="C21" s="178"/>
      <c r="D21" s="14">
        <f t="shared" si="0"/>
        <v>32928</v>
      </c>
      <c r="E21" s="17">
        <f t="shared" si="1"/>
        <v>221085.22883368895</v>
      </c>
      <c r="F21" s="21">
        <f t="shared" si="2"/>
        <v>6.71</v>
      </c>
    </row>
    <row r="22" spans="1:6" x14ac:dyDescent="0.2">
      <c r="A22" s="19">
        <v>18</v>
      </c>
      <c r="B22" s="177" t="s">
        <v>16</v>
      </c>
      <c r="C22" s="178"/>
      <c r="D22" s="14">
        <f t="shared" si="0"/>
        <v>20624</v>
      </c>
      <c r="E22" s="17">
        <f t="shared" si="1"/>
        <v>159476.66713635816</v>
      </c>
      <c r="F22" s="21">
        <f t="shared" si="2"/>
        <v>7.73</v>
      </c>
    </row>
    <row r="23" spans="1:6" x14ac:dyDescent="0.2">
      <c r="A23" s="19">
        <v>19</v>
      </c>
      <c r="B23" s="177" t="s">
        <v>17</v>
      </c>
      <c r="C23" s="178"/>
      <c r="D23" s="14">
        <f t="shared" si="0"/>
        <v>222496</v>
      </c>
      <c r="E23" s="17">
        <f t="shared" si="1"/>
        <v>954765.30814445019</v>
      </c>
      <c r="F23" s="21">
        <f t="shared" si="2"/>
        <v>4.29</v>
      </c>
    </row>
    <row r="24" spans="1:6" x14ac:dyDescent="0.2">
      <c r="A24" s="19">
        <v>20</v>
      </c>
      <c r="B24" s="177" t="s">
        <v>18</v>
      </c>
      <c r="C24" s="178"/>
      <c r="D24" s="14">
        <f t="shared" si="0"/>
        <v>15984</v>
      </c>
      <c r="E24" s="17">
        <f t="shared" si="1"/>
        <v>98960.396795362132</v>
      </c>
      <c r="F24" s="21">
        <f t="shared" si="2"/>
        <v>6.19</v>
      </c>
    </row>
    <row r="25" spans="1:6" ht="14.25" customHeight="1" x14ac:dyDescent="0.2">
      <c r="A25" s="19">
        <v>21</v>
      </c>
      <c r="B25" s="177" t="s">
        <v>461</v>
      </c>
      <c r="C25" s="178"/>
      <c r="D25" s="14">
        <f t="shared" si="0"/>
        <v>7872</v>
      </c>
      <c r="E25" s="17">
        <f t="shared" si="1"/>
        <v>69665.768992310477</v>
      </c>
      <c r="F25" s="21">
        <f t="shared" si="2"/>
        <v>8.85</v>
      </c>
    </row>
    <row r="26" spans="1:6" x14ac:dyDescent="0.2">
      <c r="A26" s="19">
        <v>22</v>
      </c>
      <c r="B26" s="177" t="s">
        <v>19</v>
      </c>
      <c r="C26" s="178"/>
      <c r="D26" s="14">
        <f t="shared" si="0"/>
        <v>240</v>
      </c>
      <c r="E26" s="17">
        <f t="shared" si="1"/>
        <v>1475.8588107411731</v>
      </c>
      <c r="F26" s="21">
        <f t="shared" si="2"/>
        <v>6.15</v>
      </c>
    </row>
    <row r="27" spans="1:6" x14ac:dyDescent="0.2">
      <c r="A27" s="19">
        <v>23</v>
      </c>
      <c r="B27" s="177" t="s">
        <v>20</v>
      </c>
      <c r="C27" s="178"/>
      <c r="D27" s="14">
        <f t="shared" si="0"/>
        <v>49936</v>
      </c>
      <c r="E27" s="17">
        <f t="shared" si="1"/>
        <v>261765.82322154677</v>
      </c>
      <c r="F27" s="21">
        <f t="shared" si="2"/>
        <v>5.24</v>
      </c>
    </row>
    <row r="28" spans="1:6" x14ac:dyDescent="0.2">
      <c r="A28" s="19">
        <v>24</v>
      </c>
      <c r="B28" s="177" t="s">
        <v>21</v>
      </c>
      <c r="C28" s="178"/>
      <c r="D28" s="14">
        <f t="shared" si="0"/>
        <v>164071</v>
      </c>
      <c r="E28" s="17">
        <f t="shared" si="1"/>
        <v>668878.05390464584</v>
      </c>
      <c r="F28" s="21">
        <f t="shared" si="2"/>
        <v>4.08</v>
      </c>
    </row>
    <row r="29" spans="1:6" x14ac:dyDescent="0.2">
      <c r="A29" s="19">
        <v>25</v>
      </c>
      <c r="B29" s="177" t="s">
        <v>22</v>
      </c>
      <c r="C29" s="178"/>
      <c r="D29" s="14">
        <f t="shared" si="0"/>
        <v>267216</v>
      </c>
      <c r="E29" s="17">
        <f t="shared" si="1"/>
        <v>1071822.9998792221</v>
      </c>
      <c r="F29" s="21">
        <f t="shared" si="2"/>
        <v>4.01</v>
      </c>
    </row>
    <row r="30" spans="1:6" x14ac:dyDescent="0.2">
      <c r="A30" s="19">
        <v>26</v>
      </c>
      <c r="B30" s="177" t="s">
        <v>23</v>
      </c>
      <c r="C30" s="178"/>
      <c r="D30" s="14">
        <f t="shared" si="0"/>
        <v>72560</v>
      </c>
      <c r="E30" s="17">
        <f t="shared" si="1"/>
        <v>445840.31378074805</v>
      </c>
      <c r="F30" s="21">
        <f t="shared" si="2"/>
        <v>6.14</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1987120</v>
      </c>
      <c r="E33" s="31">
        <f>SUM(E5:E32)</f>
        <v>10042131</v>
      </c>
      <c r="F33" s="32">
        <f t="shared" si="2"/>
        <v>5.05</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IF(F3="1",SUMIF(Data!A:A,'4'!$A$2,Data!CU:CU),0)</f>
        <v>4800</v>
      </c>
      <c r="E36" s="15">
        <f>IF(F3="1",SUMIF(Data!$A:$A,$A$2,Data!IO:IO),0)</f>
        <v>1523</v>
      </c>
      <c r="F36" s="20">
        <f t="shared" ref="F36:F64" si="3">IF(OR(D36=0,E36=0),"",ROUND(E36/D36,2))</f>
        <v>0.32</v>
      </c>
    </row>
    <row r="37" spans="1:6" x14ac:dyDescent="0.2">
      <c r="A37" s="19">
        <v>2</v>
      </c>
      <c r="B37" s="177" t="s">
        <v>1</v>
      </c>
      <c r="C37" s="178"/>
      <c r="D37" s="14">
        <f>IF(F3="1",SUMIF(Data!A:A,'4'!$A$2,Data!CV:CV),0)</f>
        <v>56948</v>
      </c>
      <c r="E37" s="17">
        <f>IF(F3="1",SUMIF(Data!$A:$A,$A$2,Data!IP:IP),0)</f>
        <v>52825</v>
      </c>
      <c r="F37" s="21">
        <f t="shared" si="3"/>
        <v>0.93</v>
      </c>
    </row>
    <row r="38" spans="1:6" ht="14.25" customHeight="1" x14ac:dyDescent="0.2">
      <c r="A38" s="19">
        <v>3</v>
      </c>
      <c r="B38" s="177" t="s">
        <v>2</v>
      </c>
      <c r="C38" s="178"/>
      <c r="D38" s="14">
        <f>IF(F3="1",SUMIF(Data!A:A,'4'!$A$2,Data!CW:CW),0)</f>
        <v>166704</v>
      </c>
      <c r="E38" s="17">
        <f>IF($F$3="1",SUMIF(Data!$A:$A,$A$2,Data!IQ:IQ),0)</f>
        <v>61797</v>
      </c>
      <c r="F38" s="21">
        <f t="shared" si="3"/>
        <v>0.37</v>
      </c>
    </row>
    <row r="39" spans="1:6" ht="14.25" customHeight="1" x14ac:dyDescent="0.2">
      <c r="A39" s="19">
        <v>4</v>
      </c>
      <c r="B39" s="177" t="s">
        <v>3</v>
      </c>
      <c r="C39" s="178"/>
      <c r="D39" s="14">
        <f>IF(F3="1",SUMIF(Data!A:A,'4'!$A$2,Data!CX:CX),0)</f>
        <v>150135</v>
      </c>
      <c r="E39" s="17">
        <f>IF($F$3="1",SUMIF(Data!$A:$A,$A$2,Data!IR:IR),0)</f>
        <v>34618</v>
      </c>
      <c r="F39" s="21">
        <f t="shared" si="3"/>
        <v>0.23</v>
      </c>
    </row>
    <row r="40" spans="1:6" x14ac:dyDescent="0.2">
      <c r="A40" s="19">
        <v>5</v>
      </c>
      <c r="B40" s="177" t="s">
        <v>4</v>
      </c>
      <c r="C40" s="178"/>
      <c r="D40" s="14">
        <f>IF(F3="1",SUMIF(Data!A:A,'4'!$A$2,Data!CY:CY),0)</f>
        <v>0</v>
      </c>
      <c r="E40" s="17">
        <f>IF($F$3="1",SUMIF(Data!$A:$A,$A$2,Data!IS:IS),0)</f>
        <v>0</v>
      </c>
      <c r="F40" s="21" t="str">
        <f t="shared" si="3"/>
        <v/>
      </c>
    </row>
    <row r="41" spans="1:6" x14ac:dyDescent="0.2">
      <c r="A41" s="19">
        <v>6</v>
      </c>
      <c r="B41" s="177" t="s">
        <v>5</v>
      </c>
      <c r="C41" s="178"/>
      <c r="D41" s="14">
        <f>IF(F3="1",SUMIF(Data!A:A,'4'!$A$2,Data!CZ:CZ),0)</f>
        <v>5656</v>
      </c>
      <c r="E41" s="17">
        <f>IF($F$3="1",SUMIF(Data!$A:$A,$A$2,Data!IT:IT),0)</f>
        <v>3050</v>
      </c>
      <c r="F41" s="21">
        <f t="shared" si="3"/>
        <v>0.54</v>
      </c>
    </row>
    <row r="42" spans="1:6" x14ac:dyDescent="0.2">
      <c r="A42" s="19">
        <v>7</v>
      </c>
      <c r="B42" s="177" t="s">
        <v>6</v>
      </c>
      <c r="C42" s="178"/>
      <c r="D42" s="14">
        <f>IF(F3="1",SUMIF(Data!A:A,'4'!$A$2,Data!DA:DA),0)</f>
        <v>55191</v>
      </c>
      <c r="E42" s="17">
        <f>IF($F$3="1",SUMIF(Data!$A:$A,$A$2,Data!IU:IU),0)</f>
        <v>69159</v>
      </c>
      <c r="F42" s="21">
        <f t="shared" si="3"/>
        <v>1.25</v>
      </c>
    </row>
    <row r="43" spans="1:6" x14ac:dyDescent="0.2">
      <c r="A43" s="19">
        <v>8</v>
      </c>
      <c r="B43" s="177" t="s">
        <v>7</v>
      </c>
      <c r="C43" s="178"/>
      <c r="D43" s="14">
        <f>IF(F3="1",SUMIF(Data!A:A,'4'!$A$2,Data!DB:DB),0)</f>
        <v>16224</v>
      </c>
      <c r="E43" s="17">
        <f>IF($F$3="1",SUMIF(Data!$A:$A,$A$2,Data!IV:IV),0)</f>
        <v>6322</v>
      </c>
      <c r="F43" s="21">
        <f t="shared" si="3"/>
        <v>0.39</v>
      </c>
    </row>
    <row r="44" spans="1:6" x14ac:dyDescent="0.2">
      <c r="A44" s="19">
        <v>9</v>
      </c>
      <c r="B44" s="177" t="s">
        <v>8</v>
      </c>
      <c r="C44" s="178"/>
      <c r="D44" s="14">
        <f>IF(F3="1",SUMIF(Data!A:A,'4'!$A$2,Data!DC:DC),0)</f>
        <v>46516</v>
      </c>
      <c r="E44" s="17">
        <f>IF($F$3="1",SUMIF(Data!$A:$A,$A$2,Data!IW:IW),0)</f>
        <v>58616</v>
      </c>
      <c r="F44" s="21">
        <f t="shared" si="3"/>
        <v>1.26</v>
      </c>
    </row>
    <row r="45" spans="1:6" x14ac:dyDescent="0.2">
      <c r="A45" s="19">
        <v>10</v>
      </c>
      <c r="B45" s="177" t="s">
        <v>9</v>
      </c>
      <c r="C45" s="178"/>
      <c r="D45" s="14">
        <f>IF(F3="1",SUMIF(Data!A:A,'4'!$A$2,Data!DD:DD),0)</f>
        <v>4824</v>
      </c>
      <c r="E45" s="17">
        <f>IF($F$3="1",SUMIF(Data!$A:$A,$A$2,Data!IX:IX),0)</f>
        <v>13559</v>
      </c>
      <c r="F45" s="21">
        <f t="shared" si="3"/>
        <v>2.81</v>
      </c>
    </row>
    <row r="46" spans="1:6" x14ac:dyDescent="0.2">
      <c r="A46" s="19">
        <v>11</v>
      </c>
      <c r="B46" s="177" t="s">
        <v>10</v>
      </c>
      <c r="C46" s="178"/>
      <c r="D46" s="14">
        <f>IF(F3="1",SUMIF(Data!A:A,'4'!$A$2,Data!DE:DE),0)</f>
        <v>33264</v>
      </c>
      <c r="E46" s="17">
        <f>IF($F$3="1",SUMIF(Data!$A:$A,$A$2,Data!IY:IY),0)</f>
        <v>12354</v>
      </c>
      <c r="F46" s="21">
        <f t="shared" si="3"/>
        <v>0.37</v>
      </c>
    </row>
    <row r="47" spans="1:6" ht="14.25" customHeight="1" x14ac:dyDescent="0.2">
      <c r="A47" s="19">
        <v>12</v>
      </c>
      <c r="B47" s="177" t="s">
        <v>11</v>
      </c>
      <c r="C47" s="178"/>
      <c r="D47" s="14">
        <f>IF(F3="1",SUMIF(Data!A:A,'4'!$A$2,Data!DF:DF),0)</f>
        <v>296014</v>
      </c>
      <c r="E47" s="17">
        <f>IF($F$3="1",SUMIF(Data!$A:$A,$A$2,Data!IZ:IZ),0)</f>
        <v>44732</v>
      </c>
      <c r="F47" s="21">
        <f t="shared" si="3"/>
        <v>0.15</v>
      </c>
    </row>
    <row r="48" spans="1:6" x14ac:dyDescent="0.2">
      <c r="A48" s="19">
        <v>13</v>
      </c>
      <c r="B48" s="177" t="s">
        <v>12</v>
      </c>
      <c r="C48" s="178"/>
      <c r="D48" s="14">
        <f>IF(F3="1",SUMIF(Data!A:A,'4'!$A$2,Data!DG:DG),0)</f>
        <v>15296</v>
      </c>
      <c r="E48" s="17">
        <f>IF($F$3="1",SUMIF(Data!$A:$A,$A$2,Data!JA:JA),0)</f>
        <v>1563</v>
      </c>
      <c r="F48" s="21">
        <f t="shared" si="3"/>
        <v>0.1</v>
      </c>
    </row>
    <row r="49" spans="1:6" ht="14.25" customHeight="1" x14ac:dyDescent="0.2">
      <c r="A49" s="19">
        <v>14</v>
      </c>
      <c r="B49" s="177" t="s">
        <v>464</v>
      </c>
      <c r="C49" s="178"/>
      <c r="D49" s="14">
        <f>IF(F3="1",SUMIF(Data!A:A,'4'!$A$2,Data!DH:DH),0)</f>
        <v>96956</v>
      </c>
      <c r="E49" s="17">
        <f>IF($F$3="1",SUMIF(Data!$A:$A,$A$2,Data!JB:JB),0)</f>
        <v>72340</v>
      </c>
      <c r="F49" s="21">
        <f t="shared" si="3"/>
        <v>0.75</v>
      </c>
    </row>
    <row r="50" spans="1:6" x14ac:dyDescent="0.2">
      <c r="A50" s="19">
        <v>15</v>
      </c>
      <c r="B50" s="177" t="s">
        <v>13</v>
      </c>
      <c r="C50" s="178"/>
      <c r="D50" s="14">
        <f>IF(F3="1",SUMIF(Data!A:A,'4'!$A$2,Data!DI:DI),0)</f>
        <v>0</v>
      </c>
      <c r="E50" s="17">
        <f>IF($F$3="1",SUMIF(Data!$A:$A,$A$2,Data!JC:JC),0)</f>
        <v>0</v>
      </c>
      <c r="F50" s="21" t="str">
        <f t="shared" si="3"/>
        <v/>
      </c>
    </row>
    <row r="51" spans="1:6" x14ac:dyDescent="0.2">
      <c r="A51" s="19">
        <v>16</v>
      </c>
      <c r="B51" s="177" t="s">
        <v>14</v>
      </c>
      <c r="C51" s="178"/>
      <c r="D51" s="14">
        <f>IF(F3="1",SUMIF(Data!A:A,'4'!$A$2,Data!DJ:DJ),0)</f>
        <v>184665</v>
      </c>
      <c r="E51" s="17">
        <f>IF($F$3="1",SUMIF(Data!$A:$A,$A$2,Data!JD:JD),0)</f>
        <v>268654</v>
      </c>
      <c r="F51" s="21">
        <f t="shared" si="3"/>
        <v>1.45</v>
      </c>
    </row>
    <row r="52" spans="1:6" x14ac:dyDescent="0.2">
      <c r="A52" s="19">
        <v>17</v>
      </c>
      <c r="B52" s="177" t="s">
        <v>15</v>
      </c>
      <c r="C52" s="178"/>
      <c r="D52" s="14">
        <f>IF(F3="1",SUMIF(Data!A:A,'4'!$A$2,Data!DK:DK),0)</f>
        <v>32928</v>
      </c>
      <c r="E52" s="17">
        <f>IF($F$3="1",SUMIF(Data!$A:$A,$A$2,Data!JE:JE),0)</f>
        <v>16579</v>
      </c>
      <c r="F52" s="21">
        <f t="shared" si="3"/>
        <v>0.5</v>
      </c>
    </row>
    <row r="53" spans="1:6" x14ac:dyDescent="0.2">
      <c r="A53" s="19">
        <v>18</v>
      </c>
      <c r="B53" s="177" t="s">
        <v>16</v>
      </c>
      <c r="C53" s="178"/>
      <c r="D53" s="14">
        <f>IF(F3="1",SUMIF(Data!A:A,'4'!$A$2,Data!DL:DL),0)</f>
        <v>20624</v>
      </c>
      <c r="E53" s="17">
        <f>IF($F$3="1",SUMIF(Data!$A:$A,$A$2,Data!JF:JF),0)</f>
        <v>9701</v>
      </c>
      <c r="F53" s="21">
        <f t="shared" si="3"/>
        <v>0.47</v>
      </c>
    </row>
    <row r="54" spans="1:6" x14ac:dyDescent="0.2">
      <c r="A54" s="19">
        <v>19</v>
      </c>
      <c r="B54" s="177" t="s">
        <v>17</v>
      </c>
      <c r="C54" s="178"/>
      <c r="D54" s="14">
        <f>IF(F3="1",SUMIF(Data!A:A,'4'!$A$2,Data!DM:DM),0)</f>
        <v>222496</v>
      </c>
      <c r="E54" s="17">
        <f>IF($F$3="1",SUMIF(Data!$A:$A,$A$2,Data!JG:JG),0)</f>
        <v>25553</v>
      </c>
      <c r="F54" s="21">
        <f t="shared" si="3"/>
        <v>0.11</v>
      </c>
    </row>
    <row r="55" spans="1:6" x14ac:dyDescent="0.2">
      <c r="A55" s="19">
        <v>20</v>
      </c>
      <c r="B55" s="177" t="s">
        <v>18</v>
      </c>
      <c r="C55" s="178"/>
      <c r="D55" s="14">
        <f>IF(F3="1",SUMIF(Data!A:A,'4'!$A$2,Data!DN:DN),0)</f>
        <v>15984</v>
      </c>
      <c r="E55" s="17">
        <f>IF($F$3="1",SUMIF(Data!$A:$A,$A$2,Data!JH:JH),0)</f>
        <v>14001</v>
      </c>
      <c r="F55" s="21">
        <f t="shared" si="3"/>
        <v>0.88</v>
      </c>
    </row>
    <row r="56" spans="1:6" ht="14.25" customHeight="1" x14ac:dyDescent="0.2">
      <c r="A56" s="19">
        <v>21</v>
      </c>
      <c r="B56" s="177" t="s">
        <v>461</v>
      </c>
      <c r="C56" s="178"/>
      <c r="D56" s="14">
        <f>IF(F3="1",SUMIF(Data!A:A,'4'!$A$2,Data!DO:DO),0)</f>
        <v>7872</v>
      </c>
      <c r="E56" s="17">
        <f>IF($F$3="1",SUMIF(Data!$A:$A,$A$2,Data!JI:JI),0)</f>
        <v>22560</v>
      </c>
      <c r="F56" s="21">
        <f t="shared" si="3"/>
        <v>2.87</v>
      </c>
    </row>
    <row r="57" spans="1:6" x14ac:dyDescent="0.2">
      <c r="A57" s="19">
        <v>22</v>
      </c>
      <c r="B57" s="177" t="s">
        <v>19</v>
      </c>
      <c r="C57" s="178"/>
      <c r="D57" s="14">
        <f>IF(F3="1",SUMIF(Data!A:A,'4'!$A$2,Data!DP:DP),0)</f>
        <v>240</v>
      </c>
      <c r="E57" s="17">
        <f>IF($F$3="1",SUMIF(Data!$A:$A,$A$2,Data!JJ:JJ),0)</f>
        <v>831</v>
      </c>
      <c r="F57" s="21">
        <f t="shared" si="3"/>
        <v>3.46</v>
      </c>
    </row>
    <row r="58" spans="1:6" x14ac:dyDescent="0.2">
      <c r="A58" s="19">
        <v>23</v>
      </c>
      <c r="B58" s="177" t="s">
        <v>20</v>
      </c>
      <c r="C58" s="178"/>
      <c r="D58" s="14">
        <f>IF(F3="1",SUMIF(Data!A:A,'4'!$A$2,Data!DQ:DQ),0)</f>
        <v>49936</v>
      </c>
      <c r="E58" s="17">
        <f>IF($F$3="1",SUMIF(Data!$A:$A,$A$2,Data!JK:JK),0)</f>
        <v>19567</v>
      </c>
      <c r="F58" s="21">
        <f t="shared" si="3"/>
        <v>0.39</v>
      </c>
    </row>
    <row r="59" spans="1:6" x14ac:dyDescent="0.2">
      <c r="A59" s="19">
        <v>24</v>
      </c>
      <c r="B59" s="177" t="s">
        <v>21</v>
      </c>
      <c r="C59" s="178"/>
      <c r="D59" s="14">
        <f>IF(F3="1",SUMIF(Data!A:A,'4'!$A$2,Data!DR:DR),0)</f>
        <v>164071</v>
      </c>
      <c r="E59" s="17">
        <f>IF($F$3="1",SUMIF(Data!$A:$A,$A$2,Data!JL:JL),0)</f>
        <v>174038</v>
      </c>
      <c r="F59" s="21">
        <f t="shared" si="3"/>
        <v>1.06</v>
      </c>
    </row>
    <row r="60" spans="1:6" x14ac:dyDescent="0.2">
      <c r="A60" s="19">
        <v>25</v>
      </c>
      <c r="B60" s="177" t="s">
        <v>22</v>
      </c>
      <c r="C60" s="178"/>
      <c r="D60" s="14">
        <f>IF(F3="1",SUMIF(Data!A:A,'4'!$A$2,Data!DS:DS),0)</f>
        <v>267216</v>
      </c>
      <c r="E60" s="17">
        <f>IF($F$3="1",SUMIF(Data!$A:$A,$A$2,Data!JM:JM),0)</f>
        <v>50236</v>
      </c>
      <c r="F60" s="21">
        <f t="shared" si="3"/>
        <v>0.19</v>
      </c>
    </row>
    <row r="61" spans="1:6" x14ac:dyDescent="0.2">
      <c r="A61" s="19">
        <v>26</v>
      </c>
      <c r="B61" s="177" t="s">
        <v>23</v>
      </c>
      <c r="C61" s="178"/>
      <c r="D61" s="14">
        <f>IF(F3="1",SUMIF(Data!A:A,'4'!$A$2,Data!DT:DT),0)</f>
        <v>72560</v>
      </c>
      <c r="E61" s="17">
        <f>IF($F$3="1",SUMIF(Data!$A:$A,$A$2,Data!JN:JN),0)</f>
        <v>71023</v>
      </c>
      <c r="F61" s="21">
        <f t="shared" si="3"/>
        <v>0.98</v>
      </c>
    </row>
    <row r="62" spans="1:6" x14ac:dyDescent="0.2">
      <c r="A62" s="19">
        <v>28</v>
      </c>
      <c r="B62" s="177" t="s">
        <v>24</v>
      </c>
      <c r="C62" s="178"/>
      <c r="D62" s="14">
        <f>IF(F3="1",SUMIF(Data!A:A,'4'!$A$2,Data!DV:DV),0)</f>
        <v>0</v>
      </c>
      <c r="E62" s="17">
        <f>IF($F$3="1",SUMIF(Data!$A:$A,$A$2,Data!JP:JP),0)</f>
        <v>0</v>
      </c>
      <c r="F62" s="21" t="str">
        <f t="shared" si="3"/>
        <v/>
      </c>
    </row>
    <row r="63" spans="1:6" ht="15.75" customHeight="1" thickBot="1" x14ac:dyDescent="0.25">
      <c r="A63" s="22">
        <v>29</v>
      </c>
      <c r="B63" s="179" t="s">
        <v>25</v>
      </c>
      <c r="C63" s="180"/>
      <c r="D63" s="23">
        <f>IF(F3="1",SUMIF(Data!A:A,'4'!$A$2,Data!DW:DW),0)</f>
        <v>0</v>
      </c>
      <c r="E63" s="24">
        <f>IF($F$3="1",SUMIF(Data!$A:$A,$A$2,Data!JQ:JQ),0)</f>
        <v>0</v>
      </c>
      <c r="F63" s="25" t="str">
        <f t="shared" si="3"/>
        <v/>
      </c>
    </row>
    <row r="64" spans="1:6" x14ac:dyDescent="0.2">
      <c r="B64" s="30" t="s">
        <v>35</v>
      </c>
      <c r="C64" s="30"/>
      <c r="D64" s="59">
        <f>SUM(D36:D63)</f>
        <v>1987120</v>
      </c>
      <c r="E64" s="31">
        <f>SUM(E36:E63)</f>
        <v>1105201</v>
      </c>
      <c r="F64" s="32">
        <f t="shared" si="3"/>
        <v>0.56000000000000005</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4800</v>
      </c>
      <c r="E67" s="15">
        <f>IF(F3="1",SUMIF(Data!A:A,'4'!$A$2,Data!DY:DY),0)</f>
        <v>10983</v>
      </c>
      <c r="F67" s="20">
        <f t="shared" ref="F67:F95" si="4">IF(OR(D67=0,E67=0),"",ROUND(E67/D67,2))</f>
        <v>2.29</v>
      </c>
    </row>
    <row r="68" spans="1:6" x14ac:dyDescent="0.2">
      <c r="A68" s="19">
        <v>2</v>
      </c>
      <c r="B68" s="177" t="s">
        <v>1</v>
      </c>
      <c r="C68" s="178"/>
      <c r="D68" s="14">
        <f t="shared" ref="D68:D94" si="5">D37</f>
        <v>56948</v>
      </c>
      <c r="E68" s="17">
        <f>IF(F3="1",SUMIF(Data!A:A,'4'!$A$2,Data!DZ:DZ),0)</f>
        <v>285011</v>
      </c>
      <c r="F68" s="21">
        <f t="shared" si="4"/>
        <v>5</v>
      </c>
    </row>
    <row r="69" spans="1:6" ht="14.25" customHeight="1" x14ac:dyDescent="0.2">
      <c r="A69" s="19">
        <v>3</v>
      </c>
      <c r="B69" s="177" t="s">
        <v>2</v>
      </c>
      <c r="C69" s="178"/>
      <c r="D69" s="14">
        <f t="shared" si="5"/>
        <v>166704</v>
      </c>
      <c r="E69" s="17">
        <f>IF(F3="1",SUMIF(Data!A:A,'4'!$A$2,Data!EA:EA),0)</f>
        <v>379152</v>
      </c>
      <c r="F69" s="21">
        <f t="shared" si="4"/>
        <v>2.27</v>
      </c>
    </row>
    <row r="70" spans="1:6" ht="14.25" customHeight="1" x14ac:dyDescent="0.2">
      <c r="A70" s="19">
        <v>4</v>
      </c>
      <c r="B70" s="177" t="s">
        <v>3</v>
      </c>
      <c r="C70" s="178"/>
      <c r="D70" s="14">
        <f t="shared" si="5"/>
        <v>150135</v>
      </c>
      <c r="E70" s="17">
        <f>IF(F3="1",SUMIF(Data!A:A,'4'!$A$2,Data!EB:EB),0)</f>
        <v>453502</v>
      </c>
      <c r="F70" s="21">
        <f t="shared" si="4"/>
        <v>3.02</v>
      </c>
    </row>
    <row r="71" spans="1:6" x14ac:dyDescent="0.2">
      <c r="A71" s="19">
        <v>5</v>
      </c>
      <c r="B71" s="177" t="s">
        <v>4</v>
      </c>
      <c r="C71" s="178"/>
      <c r="D71" s="14">
        <f t="shared" si="5"/>
        <v>0</v>
      </c>
      <c r="E71" s="17">
        <f>IF(F3="1",SUMIF(Data!A:A,'4'!$A$2,Data!EC:EC),0)</f>
        <v>0</v>
      </c>
      <c r="F71" s="21" t="str">
        <f t="shared" si="4"/>
        <v/>
      </c>
    </row>
    <row r="72" spans="1:6" x14ac:dyDescent="0.2">
      <c r="A72" s="19">
        <v>6</v>
      </c>
      <c r="B72" s="177" t="s">
        <v>5</v>
      </c>
      <c r="C72" s="178"/>
      <c r="D72" s="14">
        <f t="shared" si="5"/>
        <v>5656</v>
      </c>
      <c r="E72" s="17">
        <f>IF(F3="1",SUMIF(Data!A:A,'4'!$A$2,Data!ED:ED),0)</f>
        <v>29683</v>
      </c>
      <c r="F72" s="21">
        <f t="shared" si="4"/>
        <v>5.25</v>
      </c>
    </row>
    <row r="73" spans="1:6" x14ac:dyDescent="0.2">
      <c r="A73" s="19">
        <v>7</v>
      </c>
      <c r="B73" s="177" t="s">
        <v>6</v>
      </c>
      <c r="C73" s="178"/>
      <c r="D73" s="14">
        <f t="shared" si="5"/>
        <v>55191</v>
      </c>
      <c r="E73" s="17">
        <f>IF(F3="1",SUMIF(Data!A:A,'4'!$A$2,Data!EE:EE),0)</f>
        <v>205929</v>
      </c>
      <c r="F73" s="21">
        <f t="shared" si="4"/>
        <v>3.73</v>
      </c>
    </row>
    <row r="74" spans="1:6" x14ac:dyDescent="0.2">
      <c r="A74" s="19">
        <v>8</v>
      </c>
      <c r="B74" s="177" t="s">
        <v>7</v>
      </c>
      <c r="C74" s="178"/>
      <c r="D74" s="14">
        <f t="shared" si="5"/>
        <v>16224</v>
      </c>
      <c r="E74" s="17">
        <f>IF(F3="1",SUMIF(Data!A:A,'4'!$A$2,Data!EF:EF),0)</f>
        <v>66647</v>
      </c>
      <c r="F74" s="21">
        <f t="shared" si="4"/>
        <v>4.1100000000000003</v>
      </c>
    </row>
    <row r="75" spans="1:6" x14ac:dyDescent="0.2">
      <c r="A75" s="19">
        <v>9</v>
      </c>
      <c r="B75" s="177" t="s">
        <v>8</v>
      </c>
      <c r="C75" s="178"/>
      <c r="D75" s="14">
        <f t="shared" si="5"/>
        <v>46516</v>
      </c>
      <c r="E75" s="17">
        <f>IF(F3="1",SUMIF(Data!A:A,'4'!$A$2,Data!EG:EG),0)</f>
        <v>96228</v>
      </c>
      <c r="F75" s="21">
        <f t="shared" si="4"/>
        <v>2.0699999999999998</v>
      </c>
    </row>
    <row r="76" spans="1:6" x14ac:dyDescent="0.2">
      <c r="A76" s="19">
        <v>10</v>
      </c>
      <c r="B76" s="177" t="s">
        <v>9</v>
      </c>
      <c r="C76" s="178"/>
      <c r="D76" s="14">
        <f t="shared" si="5"/>
        <v>4824</v>
      </c>
      <c r="E76" s="17">
        <f>IF(F3="1",SUMIF(Data!A:A,'4'!$A$2,Data!EH:EH),0)</f>
        <v>10647</v>
      </c>
      <c r="F76" s="21">
        <f t="shared" si="4"/>
        <v>2.21</v>
      </c>
    </row>
    <row r="77" spans="1:6" x14ac:dyDescent="0.2">
      <c r="A77" s="19">
        <v>11</v>
      </c>
      <c r="B77" s="177" t="s">
        <v>10</v>
      </c>
      <c r="C77" s="178"/>
      <c r="D77" s="14">
        <f t="shared" si="5"/>
        <v>33264</v>
      </c>
      <c r="E77" s="17">
        <f>IF(F3="1",SUMIF(Data!A:A,'4'!$A$2,Data!EI:EI),0)</f>
        <v>137288</v>
      </c>
      <c r="F77" s="21">
        <f t="shared" si="4"/>
        <v>4.13</v>
      </c>
    </row>
    <row r="78" spans="1:6" ht="14.25" customHeight="1" x14ac:dyDescent="0.2">
      <c r="A78" s="19">
        <v>12</v>
      </c>
      <c r="B78" s="177" t="s">
        <v>11</v>
      </c>
      <c r="C78" s="178"/>
      <c r="D78" s="14">
        <f t="shared" si="5"/>
        <v>296014</v>
      </c>
      <c r="E78" s="17">
        <f>IF(F3="1",SUMIF(Data!A:A,'4'!$A$2,Data!EJ:EJ),0)</f>
        <v>628967</v>
      </c>
      <c r="F78" s="21">
        <f t="shared" si="4"/>
        <v>2.12</v>
      </c>
    </row>
    <row r="79" spans="1:6" x14ac:dyDescent="0.2">
      <c r="A79" s="19">
        <v>13</v>
      </c>
      <c r="B79" s="177" t="s">
        <v>12</v>
      </c>
      <c r="C79" s="178"/>
      <c r="D79" s="14">
        <f t="shared" si="5"/>
        <v>15296</v>
      </c>
      <c r="E79" s="17">
        <f>IF(F3="1",SUMIF(Data!A:A,'4'!$A$2,Data!EK:EK),0)</f>
        <v>58264</v>
      </c>
      <c r="F79" s="21">
        <f t="shared" si="4"/>
        <v>3.81</v>
      </c>
    </row>
    <row r="80" spans="1:6" ht="14.25" customHeight="1" x14ac:dyDescent="0.2">
      <c r="A80" s="19">
        <v>14</v>
      </c>
      <c r="B80" s="177" t="s">
        <v>464</v>
      </c>
      <c r="C80" s="178"/>
      <c r="D80" s="14">
        <f t="shared" si="5"/>
        <v>96956</v>
      </c>
      <c r="E80" s="17">
        <f>IF(F3="1",SUMIF(Data!A:A,'4'!$A$2,Data!EL:EL),0)</f>
        <v>486335</v>
      </c>
      <c r="F80" s="21">
        <f t="shared" si="4"/>
        <v>5.0199999999999996</v>
      </c>
    </row>
    <row r="81" spans="1:6" x14ac:dyDescent="0.2">
      <c r="A81" s="19">
        <v>15</v>
      </c>
      <c r="B81" s="177" t="s">
        <v>13</v>
      </c>
      <c r="C81" s="178"/>
      <c r="D81" s="14">
        <f t="shared" si="5"/>
        <v>0</v>
      </c>
      <c r="E81" s="17">
        <f>IF(F3="1",SUMIF(Data!A:A,'4'!$A$2,Data!EM:EM),0)</f>
        <v>0</v>
      </c>
      <c r="F81" s="21" t="str">
        <f t="shared" si="4"/>
        <v/>
      </c>
    </row>
    <row r="82" spans="1:6" x14ac:dyDescent="0.2">
      <c r="A82" s="19">
        <v>16</v>
      </c>
      <c r="B82" s="177" t="s">
        <v>14</v>
      </c>
      <c r="C82" s="178"/>
      <c r="D82" s="14">
        <f t="shared" si="5"/>
        <v>184665</v>
      </c>
      <c r="E82" s="17">
        <f>IF(F3="1",SUMIF(Data!A:A,'4'!$A$2,Data!EN:EN),0)</f>
        <v>471236</v>
      </c>
      <c r="F82" s="21">
        <f t="shared" si="4"/>
        <v>2.5499999999999998</v>
      </c>
    </row>
    <row r="83" spans="1:6" x14ac:dyDescent="0.2">
      <c r="A83" s="19">
        <v>17</v>
      </c>
      <c r="B83" s="177" t="s">
        <v>15</v>
      </c>
      <c r="C83" s="178"/>
      <c r="D83" s="14">
        <f t="shared" si="5"/>
        <v>32928</v>
      </c>
      <c r="E83" s="17">
        <f>IF(F3="1",SUMIF(Data!A:A,'4'!$A$2,Data!EO:EO),0)</f>
        <v>144432</v>
      </c>
      <c r="F83" s="21">
        <f t="shared" si="4"/>
        <v>4.3899999999999997</v>
      </c>
    </row>
    <row r="84" spans="1:6" x14ac:dyDescent="0.2">
      <c r="A84" s="19">
        <v>18</v>
      </c>
      <c r="B84" s="177" t="s">
        <v>16</v>
      </c>
      <c r="C84" s="178"/>
      <c r="D84" s="14">
        <f t="shared" si="5"/>
        <v>20624</v>
      </c>
      <c r="E84" s="17">
        <f>IF(F3="1",SUMIF(Data!A:A,'4'!$A$2,Data!EP:EP),0)</f>
        <v>112149</v>
      </c>
      <c r="F84" s="21">
        <f t="shared" si="4"/>
        <v>5.44</v>
      </c>
    </row>
    <row r="85" spans="1:6" x14ac:dyDescent="0.2">
      <c r="A85" s="19">
        <v>19</v>
      </c>
      <c r="B85" s="177" t="s">
        <v>17</v>
      </c>
      <c r="C85" s="178"/>
      <c r="D85" s="14">
        <f t="shared" si="5"/>
        <v>222496</v>
      </c>
      <c r="E85" s="17">
        <f>IF(F3="1",SUMIF(Data!A:A,'4'!$A$2,Data!EQ:EQ),0)</f>
        <v>523288</v>
      </c>
      <c r="F85" s="21">
        <f t="shared" si="4"/>
        <v>2.35</v>
      </c>
    </row>
    <row r="86" spans="1:6" x14ac:dyDescent="0.2">
      <c r="A86" s="19">
        <v>20</v>
      </c>
      <c r="B86" s="177" t="s">
        <v>18</v>
      </c>
      <c r="C86" s="178"/>
      <c r="D86" s="14">
        <f t="shared" si="5"/>
        <v>15984</v>
      </c>
      <c r="E86" s="17">
        <f>IF(F3="1",SUMIF(Data!A:A,'4'!$A$2,Data!ER:ER),0)</f>
        <v>55798</v>
      </c>
      <c r="F86" s="21">
        <f t="shared" si="4"/>
        <v>3.49</v>
      </c>
    </row>
    <row r="87" spans="1:6" ht="14.25" customHeight="1" x14ac:dyDescent="0.2">
      <c r="A87" s="19">
        <v>21</v>
      </c>
      <c r="B87" s="177" t="s">
        <v>461</v>
      </c>
      <c r="C87" s="178"/>
      <c r="D87" s="14">
        <f t="shared" si="5"/>
        <v>7872</v>
      </c>
      <c r="E87" s="17">
        <f>IF(F3="1",SUMIF(Data!A:A,'4'!$A$2,Data!ES:ES),0)</f>
        <v>32744</v>
      </c>
      <c r="F87" s="21">
        <f t="shared" si="4"/>
        <v>4.16</v>
      </c>
    </row>
    <row r="88" spans="1:6" x14ac:dyDescent="0.2">
      <c r="A88" s="19">
        <v>22</v>
      </c>
      <c r="B88" s="177" t="s">
        <v>19</v>
      </c>
      <c r="C88" s="178"/>
      <c r="D88" s="14">
        <f t="shared" si="5"/>
        <v>240</v>
      </c>
      <c r="E88" s="17">
        <f>IF(F3="1",SUMIF(Data!A:A,'4'!$A$2,Data!ET:ET),0)</f>
        <v>207</v>
      </c>
      <c r="F88" s="21">
        <f t="shared" si="4"/>
        <v>0.86</v>
      </c>
    </row>
    <row r="89" spans="1:6" x14ac:dyDescent="0.2">
      <c r="A89" s="19">
        <v>23</v>
      </c>
      <c r="B89" s="177" t="s">
        <v>20</v>
      </c>
      <c r="C89" s="178"/>
      <c r="D89" s="14">
        <f t="shared" si="5"/>
        <v>49936</v>
      </c>
      <c r="E89" s="17">
        <f>IF(F3="1",SUMIF(Data!A:A,'4'!$A$2,Data!EU:EU),0)</f>
        <v>151095</v>
      </c>
      <c r="F89" s="21">
        <f t="shared" si="4"/>
        <v>3.03</v>
      </c>
    </row>
    <row r="90" spans="1:6" x14ac:dyDescent="0.2">
      <c r="A90" s="19">
        <v>24</v>
      </c>
      <c r="B90" s="177" t="s">
        <v>21</v>
      </c>
      <c r="C90" s="178"/>
      <c r="D90" s="14">
        <f t="shared" si="5"/>
        <v>164071</v>
      </c>
      <c r="E90" s="17">
        <f>IF(F3="1",SUMIF(Data!A:A,'4'!$A$2,Data!EV:EV),0)</f>
        <v>195507</v>
      </c>
      <c r="F90" s="21">
        <f t="shared" si="4"/>
        <v>1.19</v>
      </c>
    </row>
    <row r="91" spans="1:6" x14ac:dyDescent="0.2">
      <c r="A91" s="19">
        <v>25</v>
      </c>
      <c r="B91" s="177" t="s">
        <v>22</v>
      </c>
      <c r="C91" s="178"/>
      <c r="D91" s="14">
        <f t="shared" si="5"/>
        <v>267216</v>
      </c>
      <c r="E91" s="17">
        <f>IF(F3="1",SUMIF(Data!A:A,'4'!$A$2,Data!EW:EW),0)</f>
        <v>534075</v>
      </c>
      <c r="F91" s="21">
        <f t="shared" si="4"/>
        <v>2</v>
      </c>
    </row>
    <row r="92" spans="1:6" x14ac:dyDescent="0.2">
      <c r="A92" s="19">
        <v>26</v>
      </c>
      <c r="B92" s="177" t="s">
        <v>23</v>
      </c>
      <c r="C92" s="178"/>
      <c r="D92" s="14">
        <f t="shared" si="5"/>
        <v>72560</v>
      </c>
      <c r="E92" s="17">
        <f>IF(F3="1",SUMIF(Data!A:A,'4'!$A$2,Data!EX:EX),0)</f>
        <v>242438</v>
      </c>
      <c r="F92" s="21">
        <f t="shared" si="4"/>
        <v>3.34</v>
      </c>
    </row>
    <row r="93" spans="1:6" x14ac:dyDescent="0.2">
      <c r="A93" s="19">
        <v>28</v>
      </c>
      <c r="B93" s="177" t="s">
        <v>24</v>
      </c>
      <c r="C93" s="178"/>
      <c r="D93" s="14">
        <f t="shared" si="5"/>
        <v>0</v>
      </c>
      <c r="E93" s="17">
        <f>IF(F3="1",SUMIF(Data!A:A,'4'!$A$2,Data!EZ:EZ),0)</f>
        <v>0</v>
      </c>
      <c r="F93" s="21" t="str">
        <f t="shared" si="4"/>
        <v/>
      </c>
    </row>
    <row r="94" spans="1:6" ht="15.75" customHeight="1" thickBot="1" x14ac:dyDescent="0.25">
      <c r="A94" s="22">
        <v>29</v>
      </c>
      <c r="B94" s="179" t="s">
        <v>25</v>
      </c>
      <c r="C94" s="180"/>
      <c r="D94" s="23">
        <f t="shared" si="5"/>
        <v>0</v>
      </c>
      <c r="E94" s="24">
        <f>IF(F3="1",SUMIF(Data!A:A,'4'!$A$2,Data!FA:FA),0)</f>
        <v>0</v>
      </c>
      <c r="F94" s="25" t="str">
        <f t="shared" si="4"/>
        <v/>
      </c>
    </row>
    <row r="95" spans="1:6" x14ac:dyDescent="0.2">
      <c r="B95" s="30" t="s">
        <v>35</v>
      </c>
      <c r="C95" s="30"/>
      <c r="D95" s="59">
        <f>SUM(D67:D94)</f>
        <v>1987120</v>
      </c>
      <c r="E95" s="31">
        <f>SUM(E67:E94)</f>
        <v>5311605</v>
      </c>
      <c r="F95" s="32">
        <f t="shared" si="4"/>
        <v>2.67</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IF(F3="1",SUMIF(Data!A:A,'4'!$A$2,Data!AH:AH),0)</f>
        <v>1214156</v>
      </c>
      <c r="F98" s="20">
        <f>IF(OR(E98=0,E98=0),"",ROUND(E98/$D$105,2))</f>
        <v>0.61</v>
      </c>
    </row>
    <row r="99" spans="2:6" x14ac:dyDescent="0.2">
      <c r="B99" s="183" t="s">
        <v>31</v>
      </c>
      <c r="C99" s="184"/>
      <c r="D99" s="36"/>
      <c r="E99" s="17">
        <f>IF(F3="1",SUMIF(Data!A:A,'4'!$A$2,Data!AI:AI),0)</f>
        <v>736031</v>
      </c>
      <c r="F99" s="21">
        <f t="shared" ref="F99:F104" si="6">IF(OR(E99=0,E99=0),"",ROUND(E99/$D$105,2))</f>
        <v>0.37</v>
      </c>
    </row>
    <row r="100" spans="2:6" x14ac:dyDescent="0.2">
      <c r="B100" s="183" t="s">
        <v>1078</v>
      </c>
      <c r="C100" s="184"/>
      <c r="D100" s="36"/>
      <c r="E100" s="17">
        <f>IF(F3="1",SUMIF(Data!A:A,'4'!$A$2,Data!AJ:AJ),0)</f>
        <v>320041</v>
      </c>
      <c r="F100" s="21">
        <f t="shared" si="6"/>
        <v>0.16</v>
      </c>
    </row>
    <row r="101" spans="2:6" x14ac:dyDescent="0.2">
      <c r="B101" s="183" t="s">
        <v>1079</v>
      </c>
      <c r="C101" s="184"/>
      <c r="D101" s="36"/>
      <c r="E101" s="17">
        <f>IF(F3="1",SUMIF(Data!A:A,'4'!$A$2,Data!AK:AK),0)</f>
        <v>880958</v>
      </c>
      <c r="F101" s="21">
        <f t="shared" si="6"/>
        <v>0.44</v>
      </c>
    </row>
    <row r="102" spans="2:6" x14ac:dyDescent="0.2">
      <c r="B102" s="183" t="s">
        <v>1080</v>
      </c>
      <c r="C102" s="184"/>
      <c r="D102" s="36"/>
      <c r="E102" s="17">
        <f>IF(F3="1",SUMIF(Data!A:A,'4'!$A$2,Data!AL:AL),0)</f>
        <v>0</v>
      </c>
      <c r="F102" s="21" t="str">
        <f t="shared" si="6"/>
        <v/>
      </c>
    </row>
    <row r="103" spans="2:6" x14ac:dyDescent="0.2">
      <c r="B103" s="185" t="s">
        <v>34</v>
      </c>
      <c r="C103" s="186"/>
      <c r="D103" s="36"/>
      <c r="E103" s="17">
        <f>IF(F3="1",SUMIF(Data!A:A,'4'!$A$2,Data!AM:AM),0)</f>
        <v>0</v>
      </c>
      <c r="F103" s="21" t="str">
        <f t="shared" si="6"/>
        <v/>
      </c>
    </row>
    <row r="104" spans="2:6" ht="15.75" customHeight="1" thickBot="1" x14ac:dyDescent="0.25">
      <c r="B104" s="175" t="s">
        <v>29</v>
      </c>
      <c r="C104" s="176"/>
      <c r="D104" s="37"/>
      <c r="E104" s="24">
        <f>IF(F3="1",SUMIF(Data!A:A,'4'!$A$2,Data!Q:Q),0)</f>
        <v>474139</v>
      </c>
      <c r="F104" s="25">
        <f t="shared" si="6"/>
        <v>0.24</v>
      </c>
    </row>
    <row r="105" spans="2:6" x14ac:dyDescent="0.2">
      <c r="B105" s="30" t="s">
        <v>35</v>
      </c>
      <c r="C105" s="30"/>
      <c r="D105" s="34">
        <f>D95</f>
        <v>1987120</v>
      </c>
      <c r="E105" s="31">
        <f>SUM(E98:E104)</f>
        <v>3625325</v>
      </c>
      <c r="F105" s="32">
        <f>IF($D$105=0,"",ROUND(E105/$D$105,2))</f>
        <v>1.82</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5311605</v>
      </c>
      <c r="D109" s="15">
        <f>IF(F3="1",SUMIF(Data!$A:$A,$A$2,Data!HJ:HJ),0)</f>
        <v>0</v>
      </c>
      <c r="E109" s="15">
        <f>IF(F3="1",SUMIF(Data!$A:$A,$A$2,Data!IN:IN),0)</f>
        <v>0</v>
      </c>
      <c r="F109" s="47">
        <f>SUM(C109:E109)</f>
        <v>5311605</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474139</v>
      </c>
      <c r="E117" s="52"/>
      <c r="F117" s="49">
        <f>SUM(C117:E117)</f>
        <v>474139</v>
      </c>
    </row>
    <row r="118" spans="1:6" x14ac:dyDescent="0.2">
      <c r="B118" s="13" t="s">
        <v>35</v>
      </c>
      <c r="C118" s="4">
        <f>SUM(C109:C116)</f>
        <v>5311605</v>
      </c>
      <c r="D118" s="4">
        <f>SUM(D109:D116)</f>
        <v>0</v>
      </c>
      <c r="E118" s="4">
        <f>SUM(E109:E116)</f>
        <v>0</v>
      </c>
      <c r="F118" s="4">
        <f>SUM(F109:F116)</f>
        <v>5311605</v>
      </c>
    </row>
    <row r="119" spans="1:6" ht="15" thickBot="1" x14ac:dyDescent="0.25"/>
    <row r="120" spans="1:6" ht="15" thickBot="1" x14ac:dyDescent="0.25">
      <c r="B120" s="55" t="s">
        <v>934</v>
      </c>
      <c r="C120" s="53"/>
      <c r="D120" s="53"/>
      <c r="E120" s="53">
        <f>IF(F3="1",SUMIF(Data!A:A,'4'!$A$2,Data!AM:AM),0)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42578125" style="10" bestFit="1" customWidth="1"/>
    <col min="12" max="12" width="13.42578125" style="10" bestFit="1" customWidth="1"/>
    <col min="13" max="14" width="13.5703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444</v>
      </c>
      <c r="B2" s="58" t="str">
        <f>VLOOKUP(A2,Data!A:G,7,0)</f>
        <v>Austin Community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0</v>
      </c>
      <c r="E5" s="15">
        <f>E36+E67+IFERROR($E$105/$D$105*D5,0)</f>
        <v>0</v>
      </c>
      <c r="F5" s="20" t="str">
        <f>IF(OR(D5=0,E5=0),"",ROUND(E5/D5,2))</f>
        <v/>
      </c>
    </row>
    <row r="6" spans="1:6" x14ac:dyDescent="0.2">
      <c r="A6" s="19">
        <v>2</v>
      </c>
      <c r="B6" s="177" t="s">
        <v>1</v>
      </c>
      <c r="C6" s="178"/>
      <c r="D6" s="14">
        <f t="shared" ref="D6:D32" si="0">D37</f>
        <v>222928</v>
      </c>
      <c r="E6" s="17">
        <f t="shared" ref="E6:E32" si="1">E37+E68+IFERROR($E$105/$D$105*D6,0)</f>
        <v>2428489.1551982053</v>
      </c>
      <c r="F6" s="21">
        <f t="shared" ref="F6:F33" si="2">IF(OR(D6=0,E6=0),"",ROUND(E6/D6,2))</f>
        <v>10.89</v>
      </c>
    </row>
    <row r="7" spans="1:6" ht="14.25" customHeight="1" x14ac:dyDescent="0.2">
      <c r="A7" s="19">
        <v>3</v>
      </c>
      <c r="B7" s="177" t="s">
        <v>2</v>
      </c>
      <c r="C7" s="178"/>
      <c r="D7" s="14">
        <f t="shared" si="0"/>
        <v>1063939</v>
      </c>
      <c r="E7" s="17">
        <f t="shared" si="1"/>
        <v>8334512.088039293</v>
      </c>
      <c r="F7" s="21">
        <f t="shared" si="2"/>
        <v>7.83</v>
      </c>
    </row>
    <row r="8" spans="1:6" ht="14.25" customHeight="1" x14ac:dyDescent="0.2">
      <c r="A8" s="19">
        <v>4</v>
      </c>
      <c r="B8" s="177" t="s">
        <v>3</v>
      </c>
      <c r="C8" s="178"/>
      <c r="D8" s="14">
        <f t="shared" si="0"/>
        <v>437504</v>
      </c>
      <c r="E8" s="17">
        <f t="shared" si="1"/>
        <v>4099365.151922754</v>
      </c>
      <c r="F8" s="21">
        <f t="shared" si="2"/>
        <v>9.3699999999999992</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100016</v>
      </c>
      <c r="E10" s="17">
        <f t="shared" si="1"/>
        <v>668427.97244986589</v>
      </c>
      <c r="F10" s="21">
        <f t="shared" si="2"/>
        <v>6.68</v>
      </c>
    </row>
    <row r="11" spans="1:6" x14ac:dyDescent="0.2">
      <c r="A11" s="19">
        <v>7</v>
      </c>
      <c r="B11" s="177" t="s">
        <v>6</v>
      </c>
      <c r="C11" s="178"/>
      <c r="D11" s="14">
        <f t="shared" si="0"/>
        <v>681232</v>
      </c>
      <c r="E11" s="17">
        <f t="shared" si="1"/>
        <v>5531768.2305227872</v>
      </c>
      <c r="F11" s="21">
        <f t="shared" si="2"/>
        <v>8.1199999999999992</v>
      </c>
    </row>
    <row r="12" spans="1:6" x14ac:dyDescent="0.2">
      <c r="A12" s="19">
        <v>8</v>
      </c>
      <c r="B12" s="177" t="s">
        <v>7</v>
      </c>
      <c r="C12" s="178"/>
      <c r="D12" s="14">
        <f t="shared" si="0"/>
        <v>6368</v>
      </c>
      <c r="E12" s="17">
        <f t="shared" si="1"/>
        <v>456441.83347225189</v>
      </c>
      <c r="F12" s="21">
        <f t="shared" si="2"/>
        <v>71.680000000000007</v>
      </c>
    </row>
    <row r="13" spans="1:6" x14ac:dyDescent="0.2">
      <c r="A13" s="19">
        <v>9</v>
      </c>
      <c r="B13" s="177" t="s">
        <v>8</v>
      </c>
      <c r="C13" s="178"/>
      <c r="D13" s="14">
        <f t="shared" si="0"/>
        <v>145728</v>
      </c>
      <c r="E13" s="17">
        <f t="shared" si="1"/>
        <v>941978.42026449833</v>
      </c>
      <c r="F13" s="21">
        <f t="shared" si="2"/>
        <v>6.46</v>
      </c>
    </row>
    <row r="14" spans="1:6" x14ac:dyDescent="0.2">
      <c r="A14" s="19">
        <v>10</v>
      </c>
      <c r="B14" s="177" t="s">
        <v>9</v>
      </c>
      <c r="C14" s="178"/>
      <c r="D14" s="14">
        <f t="shared" si="0"/>
        <v>11248</v>
      </c>
      <c r="E14" s="17">
        <f t="shared" si="1"/>
        <v>109656.17319344997</v>
      </c>
      <c r="F14" s="21">
        <f t="shared" si="2"/>
        <v>9.75</v>
      </c>
    </row>
    <row r="15" spans="1:6" x14ac:dyDescent="0.2">
      <c r="A15" s="19">
        <v>11</v>
      </c>
      <c r="B15" s="177" t="s">
        <v>10</v>
      </c>
      <c r="C15" s="178"/>
      <c r="D15" s="14">
        <f t="shared" si="0"/>
        <v>212256</v>
      </c>
      <c r="E15" s="17">
        <f t="shared" si="1"/>
        <v>1351762.7860374213</v>
      </c>
      <c r="F15" s="21">
        <f t="shared" si="2"/>
        <v>6.37</v>
      </c>
    </row>
    <row r="16" spans="1:6" ht="14.25" customHeight="1" x14ac:dyDescent="0.2">
      <c r="A16" s="19">
        <v>12</v>
      </c>
      <c r="B16" s="177" t="s">
        <v>11</v>
      </c>
      <c r="C16" s="178"/>
      <c r="D16" s="14">
        <f t="shared" si="0"/>
        <v>1397536</v>
      </c>
      <c r="E16" s="17">
        <f t="shared" si="1"/>
        <v>9496016.5288123488</v>
      </c>
      <c r="F16" s="21">
        <f t="shared" si="2"/>
        <v>6.79</v>
      </c>
    </row>
    <row r="17" spans="1:6" x14ac:dyDescent="0.2">
      <c r="A17" s="19">
        <v>13</v>
      </c>
      <c r="B17" s="177" t="s">
        <v>12</v>
      </c>
      <c r="C17" s="178"/>
      <c r="D17" s="14">
        <f t="shared" si="0"/>
        <v>466100</v>
      </c>
      <c r="E17" s="17">
        <f t="shared" si="1"/>
        <v>3028133.1729611512</v>
      </c>
      <c r="F17" s="21">
        <f t="shared" si="2"/>
        <v>6.5</v>
      </c>
    </row>
    <row r="18" spans="1:6" ht="14.25" customHeight="1" x14ac:dyDescent="0.2">
      <c r="A18" s="19">
        <v>14</v>
      </c>
      <c r="B18" s="177" t="s">
        <v>464</v>
      </c>
      <c r="C18" s="178"/>
      <c r="D18" s="14">
        <f t="shared" si="0"/>
        <v>166080</v>
      </c>
      <c r="E18" s="17">
        <f t="shared" si="1"/>
        <v>1981985.4960853637</v>
      </c>
      <c r="F18" s="21">
        <f t="shared" si="2"/>
        <v>11.93</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285024</v>
      </c>
      <c r="E20" s="17">
        <f t="shared" si="1"/>
        <v>3149621.0288308929</v>
      </c>
      <c r="F20" s="21">
        <f t="shared" si="2"/>
        <v>11.05</v>
      </c>
    </row>
    <row r="21" spans="1:6" x14ac:dyDescent="0.2">
      <c r="A21" s="19">
        <v>17</v>
      </c>
      <c r="B21" s="177" t="s">
        <v>15</v>
      </c>
      <c r="C21" s="178"/>
      <c r="D21" s="14">
        <f t="shared" si="0"/>
        <v>0</v>
      </c>
      <c r="E21" s="17">
        <f t="shared" si="1"/>
        <v>0</v>
      </c>
      <c r="F21" s="21" t="str">
        <f t="shared" si="2"/>
        <v/>
      </c>
    </row>
    <row r="22" spans="1:6" x14ac:dyDescent="0.2">
      <c r="A22" s="19">
        <v>18</v>
      </c>
      <c r="B22" s="177" t="s">
        <v>16</v>
      </c>
      <c r="C22" s="178"/>
      <c r="D22" s="14">
        <f t="shared" si="0"/>
        <v>21648</v>
      </c>
      <c r="E22" s="17">
        <f t="shared" si="1"/>
        <v>687467.63489436393</v>
      </c>
      <c r="F22" s="21">
        <f t="shared" si="2"/>
        <v>31.76</v>
      </c>
    </row>
    <row r="23" spans="1:6" x14ac:dyDescent="0.2">
      <c r="A23" s="19">
        <v>19</v>
      </c>
      <c r="B23" s="177" t="s">
        <v>17</v>
      </c>
      <c r="C23" s="178"/>
      <c r="D23" s="14">
        <f t="shared" si="0"/>
        <v>1291840</v>
      </c>
      <c r="E23" s="17">
        <f t="shared" si="1"/>
        <v>8561260.488818137</v>
      </c>
      <c r="F23" s="21">
        <f t="shared" si="2"/>
        <v>6.63</v>
      </c>
    </row>
    <row r="24" spans="1:6" x14ac:dyDescent="0.2">
      <c r="A24" s="19">
        <v>20</v>
      </c>
      <c r="B24" s="177" t="s">
        <v>18</v>
      </c>
      <c r="C24" s="178"/>
      <c r="D24" s="14">
        <f t="shared" si="0"/>
        <v>40864</v>
      </c>
      <c r="E24" s="17">
        <f t="shared" si="1"/>
        <v>604838.09720636019</v>
      </c>
      <c r="F24" s="21">
        <f t="shared" si="2"/>
        <v>14.8</v>
      </c>
    </row>
    <row r="25" spans="1:6" ht="14.25" customHeight="1" x14ac:dyDescent="0.2">
      <c r="A25" s="19">
        <v>21</v>
      </c>
      <c r="B25" s="177" t="s">
        <v>461</v>
      </c>
      <c r="C25" s="178"/>
      <c r="D25" s="14">
        <f t="shared" si="0"/>
        <v>0</v>
      </c>
      <c r="E25" s="17">
        <f t="shared" si="1"/>
        <v>0</v>
      </c>
      <c r="F25" s="21" t="str">
        <f t="shared" si="2"/>
        <v/>
      </c>
    </row>
    <row r="26" spans="1:6" x14ac:dyDescent="0.2">
      <c r="A26" s="19">
        <v>22</v>
      </c>
      <c r="B26" s="177" t="s">
        <v>19</v>
      </c>
      <c r="C26" s="178"/>
      <c r="D26" s="14">
        <f t="shared" si="0"/>
        <v>1216</v>
      </c>
      <c r="E26" s="17">
        <f t="shared" si="1"/>
        <v>1120769.5862911837</v>
      </c>
      <c r="F26" s="21">
        <f t="shared" si="2"/>
        <v>921.69</v>
      </c>
    </row>
    <row r="27" spans="1:6" x14ac:dyDescent="0.2">
      <c r="A27" s="19">
        <v>23</v>
      </c>
      <c r="B27" s="177" t="s">
        <v>20</v>
      </c>
      <c r="C27" s="178"/>
      <c r="D27" s="14">
        <f t="shared" si="0"/>
        <v>198448</v>
      </c>
      <c r="E27" s="17">
        <f t="shared" si="1"/>
        <v>1868738.4838099005</v>
      </c>
      <c r="F27" s="21">
        <f t="shared" si="2"/>
        <v>9.42</v>
      </c>
    </row>
    <row r="28" spans="1:6" x14ac:dyDescent="0.2">
      <c r="A28" s="19">
        <v>24</v>
      </c>
      <c r="B28" s="177" t="s">
        <v>21</v>
      </c>
      <c r="C28" s="178"/>
      <c r="D28" s="14">
        <f t="shared" si="0"/>
        <v>138544</v>
      </c>
      <c r="E28" s="17">
        <f t="shared" si="1"/>
        <v>985632.86441263626</v>
      </c>
      <c r="F28" s="21">
        <f t="shared" si="2"/>
        <v>7.11</v>
      </c>
    </row>
    <row r="29" spans="1:6" x14ac:dyDescent="0.2">
      <c r="A29" s="19">
        <v>25</v>
      </c>
      <c r="B29" s="177" t="s">
        <v>22</v>
      </c>
      <c r="C29" s="178"/>
      <c r="D29" s="14">
        <f t="shared" si="0"/>
        <v>2106240</v>
      </c>
      <c r="E29" s="17">
        <f t="shared" si="1"/>
        <v>12501597.412782012</v>
      </c>
      <c r="F29" s="21">
        <f t="shared" si="2"/>
        <v>5.94</v>
      </c>
    </row>
    <row r="30" spans="1:6" x14ac:dyDescent="0.2">
      <c r="A30" s="19">
        <v>26</v>
      </c>
      <c r="B30" s="177" t="s">
        <v>23</v>
      </c>
      <c r="C30" s="178"/>
      <c r="D30" s="14">
        <f t="shared" si="0"/>
        <v>630784</v>
      </c>
      <c r="E30" s="17">
        <f t="shared" si="1"/>
        <v>5230793.393995123</v>
      </c>
      <c r="F30" s="21">
        <f t="shared" si="2"/>
        <v>8.2899999999999991</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9625543</v>
      </c>
      <c r="E33" s="31">
        <f>SUM(E5:E32)</f>
        <v>73139256</v>
      </c>
      <c r="F33" s="32">
        <f t="shared" si="2"/>
        <v>7.6</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IF(F3="1",SUMIF(Data!A:A,'5'!$A$2,Data!CU:CU),0)</f>
        <v>0</v>
      </c>
      <c r="E36" s="15">
        <f>IF(F3="1",SUMIF(Data!$A:$A,$A$2,Data!IO:IO),0)</f>
        <v>0</v>
      </c>
      <c r="F36" s="20" t="str">
        <f t="shared" ref="F36:F64" si="3">IF(OR(D36=0,E36=0),"",ROUND(E36/D36,2))</f>
        <v/>
      </c>
    </row>
    <row r="37" spans="1:6" x14ac:dyDescent="0.2">
      <c r="A37" s="19">
        <v>2</v>
      </c>
      <c r="B37" s="177" t="s">
        <v>1</v>
      </c>
      <c r="C37" s="178"/>
      <c r="D37" s="14">
        <f>IF(F3="1",SUMIF(Data!A:A,'5'!$A$2,Data!CV:CV),0)</f>
        <v>222928</v>
      </c>
      <c r="E37" s="17">
        <f>IF(F3="1",SUMIF(Data!$A:$A,$A$2,Data!IP:IP),0)</f>
        <v>412407</v>
      </c>
      <c r="F37" s="21">
        <f t="shared" si="3"/>
        <v>1.85</v>
      </c>
    </row>
    <row r="38" spans="1:6" ht="14.25" customHeight="1" x14ac:dyDescent="0.2">
      <c r="A38" s="19">
        <v>3</v>
      </c>
      <c r="B38" s="177" t="s">
        <v>2</v>
      </c>
      <c r="C38" s="178"/>
      <c r="D38" s="14">
        <f>IF(F3="1",SUMIF(Data!A:A,'5'!$A$2,Data!CW:CW),0)</f>
        <v>1063939</v>
      </c>
      <c r="E38" s="17">
        <f>IF($F$3="1",SUMIF(Data!$A:$A,$A$2,Data!IQ:IQ),0)</f>
        <v>1218017</v>
      </c>
      <c r="F38" s="21">
        <f t="shared" si="3"/>
        <v>1.1399999999999999</v>
      </c>
    </row>
    <row r="39" spans="1:6" ht="14.25" customHeight="1" x14ac:dyDescent="0.2">
      <c r="A39" s="19">
        <v>4</v>
      </c>
      <c r="B39" s="177" t="s">
        <v>3</v>
      </c>
      <c r="C39" s="178"/>
      <c r="D39" s="14">
        <f>IF(F3="1",SUMIF(Data!A:A,'5'!$A$2,Data!CX:CX),0)</f>
        <v>437504</v>
      </c>
      <c r="E39" s="17">
        <f>IF($F$3="1",SUMIF(Data!$A:$A,$A$2,Data!IR:IR),0)</f>
        <v>286795</v>
      </c>
      <c r="F39" s="21">
        <f t="shared" si="3"/>
        <v>0.66</v>
      </c>
    </row>
    <row r="40" spans="1:6" x14ac:dyDescent="0.2">
      <c r="A40" s="19">
        <v>5</v>
      </c>
      <c r="B40" s="177" t="s">
        <v>4</v>
      </c>
      <c r="C40" s="178"/>
      <c r="D40" s="14">
        <f>IF(F3="1",SUMIF(Data!A:A,'5'!$A$2,Data!CY:CY),0)</f>
        <v>0</v>
      </c>
      <c r="E40" s="17">
        <f>IF($F$3="1",SUMIF(Data!$A:$A,$A$2,Data!IS:IS),0)</f>
        <v>0</v>
      </c>
      <c r="F40" s="21" t="str">
        <f t="shared" si="3"/>
        <v/>
      </c>
    </row>
    <row r="41" spans="1:6" x14ac:dyDescent="0.2">
      <c r="A41" s="19">
        <v>6</v>
      </c>
      <c r="B41" s="177" t="s">
        <v>5</v>
      </c>
      <c r="C41" s="178"/>
      <c r="D41" s="14">
        <f>IF(F3="1",SUMIF(Data!A:A,'5'!$A$2,Data!CZ:CZ),0)</f>
        <v>100016</v>
      </c>
      <c r="E41" s="17">
        <f>IF($F$3="1",SUMIF(Data!$A:$A,$A$2,Data!IT:IT),0)</f>
        <v>115536</v>
      </c>
      <c r="F41" s="21">
        <f t="shared" si="3"/>
        <v>1.1599999999999999</v>
      </c>
    </row>
    <row r="42" spans="1:6" x14ac:dyDescent="0.2">
      <c r="A42" s="19">
        <v>7</v>
      </c>
      <c r="B42" s="177" t="s">
        <v>6</v>
      </c>
      <c r="C42" s="178"/>
      <c r="D42" s="14">
        <f>IF(F3="1",SUMIF(Data!A:A,'5'!$A$2,Data!DA:DA),0)</f>
        <v>681232</v>
      </c>
      <c r="E42" s="17">
        <f>IF($F$3="1",SUMIF(Data!$A:$A,$A$2,Data!IU:IU),0)</f>
        <v>844397</v>
      </c>
      <c r="F42" s="21">
        <f t="shared" si="3"/>
        <v>1.24</v>
      </c>
    </row>
    <row r="43" spans="1:6" x14ac:dyDescent="0.2">
      <c r="A43" s="19">
        <v>8</v>
      </c>
      <c r="B43" s="177" t="s">
        <v>7</v>
      </c>
      <c r="C43" s="178"/>
      <c r="D43" s="14">
        <f>IF(F3="1",SUMIF(Data!A:A,'5'!$A$2,Data!DB:DB),0)</f>
        <v>6368</v>
      </c>
      <c r="E43" s="17">
        <f>IF($F$3="1",SUMIF(Data!$A:$A,$A$2,Data!IV:IV),0)</f>
        <v>129659</v>
      </c>
      <c r="F43" s="21">
        <f t="shared" si="3"/>
        <v>20.36</v>
      </c>
    </row>
    <row r="44" spans="1:6" x14ac:dyDescent="0.2">
      <c r="A44" s="19">
        <v>9</v>
      </c>
      <c r="B44" s="177" t="s">
        <v>8</v>
      </c>
      <c r="C44" s="178"/>
      <c r="D44" s="14">
        <f>IF(F3="1",SUMIF(Data!A:A,'5'!$A$2,Data!DC:DC),0)</f>
        <v>145728</v>
      </c>
      <c r="E44" s="17">
        <f>IF($F$3="1",SUMIF(Data!$A:$A,$A$2,Data!IW:IW),0)</f>
        <v>24529</v>
      </c>
      <c r="F44" s="21">
        <f t="shared" si="3"/>
        <v>0.17</v>
      </c>
    </row>
    <row r="45" spans="1:6" x14ac:dyDescent="0.2">
      <c r="A45" s="19">
        <v>10</v>
      </c>
      <c r="B45" s="177" t="s">
        <v>9</v>
      </c>
      <c r="C45" s="178"/>
      <c r="D45" s="14">
        <f>IF(F3="1",SUMIF(Data!A:A,'5'!$A$2,Data!DD:DD),0)</f>
        <v>11248</v>
      </c>
      <c r="E45" s="17">
        <f>IF($F$3="1",SUMIF(Data!$A:$A,$A$2,Data!IX:IX),0)</f>
        <v>205</v>
      </c>
      <c r="F45" s="21">
        <f t="shared" si="3"/>
        <v>0.02</v>
      </c>
    </row>
    <row r="46" spans="1:6" x14ac:dyDescent="0.2">
      <c r="A46" s="19">
        <v>11</v>
      </c>
      <c r="B46" s="177" t="s">
        <v>10</v>
      </c>
      <c r="C46" s="178"/>
      <c r="D46" s="14">
        <f>IF(F3="1",SUMIF(Data!A:A,'5'!$A$2,Data!DE:DE),0)</f>
        <v>212256</v>
      </c>
      <c r="E46" s="17">
        <f>IF($F$3="1",SUMIF(Data!$A:$A,$A$2,Data!IY:IY),0)</f>
        <v>112499</v>
      </c>
      <c r="F46" s="21">
        <f t="shared" si="3"/>
        <v>0.53</v>
      </c>
    </row>
    <row r="47" spans="1:6" ht="14.25" customHeight="1" x14ac:dyDescent="0.2">
      <c r="A47" s="19">
        <v>12</v>
      </c>
      <c r="B47" s="177" t="s">
        <v>11</v>
      </c>
      <c r="C47" s="178"/>
      <c r="D47" s="14">
        <f>IF(F3="1",SUMIF(Data!A:A,'5'!$A$2,Data!DF:DF),0)</f>
        <v>1397536</v>
      </c>
      <c r="E47" s="17">
        <f>IF($F$3="1",SUMIF(Data!$A:$A,$A$2,Data!IZ:IZ),0)</f>
        <v>197292</v>
      </c>
      <c r="F47" s="21">
        <f t="shared" si="3"/>
        <v>0.14000000000000001</v>
      </c>
    </row>
    <row r="48" spans="1:6" x14ac:dyDescent="0.2">
      <c r="A48" s="19">
        <v>13</v>
      </c>
      <c r="B48" s="177" t="s">
        <v>12</v>
      </c>
      <c r="C48" s="178"/>
      <c r="D48" s="14">
        <f>IF(F3="1",SUMIF(Data!A:A,'5'!$A$2,Data!DG:DG),0)</f>
        <v>466100</v>
      </c>
      <c r="E48" s="17">
        <f>IF($F$3="1",SUMIF(Data!$A:$A,$A$2,Data!JA:JA),0)</f>
        <v>47307</v>
      </c>
      <c r="F48" s="21">
        <f t="shared" si="3"/>
        <v>0.1</v>
      </c>
    </row>
    <row r="49" spans="1:6" ht="14.25" customHeight="1" x14ac:dyDescent="0.2">
      <c r="A49" s="19">
        <v>14</v>
      </c>
      <c r="B49" s="177" t="s">
        <v>464</v>
      </c>
      <c r="C49" s="178"/>
      <c r="D49" s="14">
        <f>IF(F3="1",SUMIF(Data!A:A,'5'!$A$2,Data!DH:DH),0)</f>
        <v>166080</v>
      </c>
      <c r="E49" s="17">
        <f>IF($F$3="1",SUMIF(Data!$A:$A,$A$2,Data!JB:JB),0)</f>
        <v>56904</v>
      </c>
      <c r="F49" s="21">
        <f t="shared" si="3"/>
        <v>0.34</v>
      </c>
    </row>
    <row r="50" spans="1:6" x14ac:dyDescent="0.2">
      <c r="A50" s="19">
        <v>15</v>
      </c>
      <c r="B50" s="177" t="s">
        <v>13</v>
      </c>
      <c r="C50" s="178"/>
      <c r="D50" s="14">
        <f>IF(F3="1",SUMIF(Data!A:A,'5'!$A$2,Data!DI:DI),0)</f>
        <v>0</v>
      </c>
      <c r="E50" s="17">
        <f>IF($F$3="1",SUMIF(Data!$A:$A,$A$2,Data!JC:JC),0)</f>
        <v>0</v>
      </c>
      <c r="F50" s="21" t="str">
        <f t="shared" si="3"/>
        <v/>
      </c>
    </row>
    <row r="51" spans="1:6" x14ac:dyDescent="0.2">
      <c r="A51" s="19">
        <v>16</v>
      </c>
      <c r="B51" s="177" t="s">
        <v>14</v>
      </c>
      <c r="C51" s="178"/>
      <c r="D51" s="14">
        <f>IF(F3="1",SUMIF(Data!A:A,'5'!$A$2,Data!DJ:DJ),0)</f>
        <v>285024</v>
      </c>
      <c r="E51" s="17">
        <f>IF($F$3="1",SUMIF(Data!$A:$A,$A$2,Data!JD:JD),0)</f>
        <v>149451</v>
      </c>
      <c r="F51" s="21">
        <f t="shared" si="3"/>
        <v>0.52</v>
      </c>
    </row>
    <row r="52" spans="1:6" x14ac:dyDescent="0.2">
      <c r="A52" s="19">
        <v>17</v>
      </c>
      <c r="B52" s="177" t="s">
        <v>15</v>
      </c>
      <c r="C52" s="178"/>
      <c r="D52" s="14">
        <f>IF(F3="1",SUMIF(Data!A:A,'5'!$A$2,Data!DK:DK),0)</f>
        <v>0</v>
      </c>
      <c r="E52" s="17">
        <f>IF($F$3="1",SUMIF(Data!$A:$A,$A$2,Data!JE:JE),0)</f>
        <v>0</v>
      </c>
      <c r="F52" s="21" t="str">
        <f t="shared" si="3"/>
        <v/>
      </c>
    </row>
    <row r="53" spans="1:6" x14ac:dyDescent="0.2">
      <c r="A53" s="19">
        <v>18</v>
      </c>
      <c r="B53" s="177" t="s">
        <v>16</v>
      </c>
      <c r="C53" s="178"/>
      <c r="D53" s="14">
        <f>IF(F3="1",SUMIF(Data!A:A,'5'!$A$2,Data!DL:DL),0)</f>
        <v>21648</v>
      </c>
      <c r="E53" s="17">
        <f>IF($F$3="1",SUMIF(Data!$A:$A,$A$2,Data!JF:JF),0)</f>
        <v>43886</v>
      </c>
      <c r="F53" s="21">
        <f t="shared" si="3"/>
        <v>2.0299999999999998</v>
      </c>
    </row>
    <row r="54" spans="1:6" x14ac:dyDescent="0.2">
      <c r="A54" s="19">
        <v>19</v>
      </c>
      <c r="B54" s="177" t="s">
        <v>17</v>
      </c>
      <c r="C54" s="178"/>
      <c r="D54" s="14">
        <f>IF(F3="1",SUMIF(Data!A:A,'5'!$A$2,Data!DM:DM),0)</f>
        <v>1291840</v>
      </c>
      <c r="E54" s="17">
        <f>IF($F$3="1",SUMIF(Data!$A:$A,$A$2,Data!JG:JG),0)</f>
        <v>157650</v>
      </c>
      <c r="F54" s="21">
        <f t="shared" si="3"/>
        <v>0.12</v>
      </c>
    </row>
    <row r="55" spans="1:6" x14ac:dyDescent="0.2">
      <c r="A55" s="19">
        <v>20</v>
      </c>
      <c r="B55" s="177" t="s">
        <v>18</v>
      </c>
      <c r="C55" s="178"/>
      <c r="D55" s="14">
        <f>IF(F3="1",SUMIF(Data!A:A,'5'!$A$2,Data!DN:DN),0)</f>
        <v>40864</v>
      </c>
      <c r="E55" s="17">
        <f>IF($F$3="1",SUMIF(Data!$A:$A,$A$2,Data!JH:JH),0)</f>
        <v>133313</v>
      </c>
      <c r="F55" s="21">
        <f t="shared" si="3"/>
        <v>3.26</v>
      </c>
    </row>
    <row r="56" spans="1:6" ht="14.25" customHeight="1" x14ac:dyDescent="0.2">
      <c r="A56" s="19">
        <v>21</v>
      </c>
      <c r="B56" s="177" t="s">
        <v>461</v>
      </c>
      <c r="C56" s="178"/>
      <c r="D56" s="14">
        <f>IF(F3="1",SUMIF(Data!A:A,'5'!$A$2,Data!DO:DO),0)</f>
        <v>0</v>
      </c>
      <c r="E56" s="17">
        <f>IF($F$3="1",SUMIF(Data!$A:$A,$A$2,Data!JI:JI),0)</f>
        <v>0</v>
      </c>
      <c r="F56" s="21" t="str">
        <f t="shared" si="3"/>
        <v/>
      </c>
    </row>
    <row r="57" spans="1:6" x14ac:dyDescent="0.2">
      <c r="A57" s="19">
        <v>22</v>
      </c>
      <c r="B57" s="177" t="s">
        <v>19</v>
      </c>
      <c r="C57" s="178"/>
      <c r="D57" s="14">
        <f>IF(F3="1",SUMIF(Data!A:A,'5'!$A$2,Data!DP:DP),0)</f>
        <v>1216</v>
      </c>
      <c r="E57" s="17">
        <f>IF($F$3="1",SUMIF(Data!$A:$A,$A$2,Data!JJ:JJ),0)</f>
        <v>224819</v>
      </c>
      <c r="F57" s="21">
        <f t="shared" si="3"/>
        <v>184.88</v>
      </c>
    </row>
    <row r="58" spans="1:6" x14ac:dyDescent="0.2">
      <c r="A58" s="19">
        <v>23</v>
      </c>
      <c r="B58" s="177" t="s">
        <v>20</v>
      </c>
      <c r="C58" s="178"/>
      <c r="D58" s="14">
        <f>IF(F3="1",SUMIF(Data!A:A,'5'!$A$2,Data!DQ:DQ),0)</f>
        <v>198448</v>
      </c>
      <c r="E58" s="17">
        <f>IF($F$3="1",SUMIF(Data!$A:$A,$A$2,Data!JK:JK),0)</f>
        <v>173569</v>
      </c>
      <c r="F58" s="21">
        <f t="shared" si="3"/>
        <v>0.87</v>
      </c>
    </row>
    <row r="59" spans="1:6" x14ac:dyDescent="0.2">
      <c r="A59" s="19">
        <v>24</v>
      </c>
      <c r="B59" s="177" t="s">
        <v>21</v>
      </c>
      <c r="C59" s="178"/>
      <c r="D59" s="14">
        <f>IF(F3="1",SUMIF(Data!A:A,'5'!$A$2,Data!DR:DR),0)</f>
        <v>138544</v>
      </c>
      <c r="E59" s="17">
        <f>IF($F$3="1",SUMIF(Data!$A:$A,$A$2,Data!JL:JL),0)</f>
        <v>137337</v>
      </c>
      <c r="F59" s="21">
        <f t="shared" si="3"/>
        <v>0.99</v>
      </c>
    </row>
    <row r="60" spans="1:6" x14ac:dyDescent="0.2">
      <c r="A60" s="19">
        <v>25</v>
      </c>
      <c r="B60" s="177" t="s">
        <v>22</v>
      </c>
      <c r="C60" s="178"/>
      <c r="D60" s="14">
        <f>IF(F3="1",SUMIF(Data!A:A,'5'!$A$2,Data!DS:DS),0)</f>
        <v>2106240</v>
      </c>
      <c r="E60" s="17">
        <f>IF($F$3="1",SUMIF(Data!$A:$A,$A$2,Data!JM:JM),0)</f>
        <v>134288</v>
      </c>
      <c r="F60" s="21">
        <f t="shared" si="3"/>
        <v>0.06</v>
      </c>
    </row>
    <row r="61" spans="1:6" x14ac:dyDescent="0.2">
      <c r="A61" s="19">
        <v>26</v>
      </c>
      <c r="B61" s="177" t="s">
        <v>23</v>
      </c>
      <c r="C61" s="178"/>
      <c r="D61" s="14">
        <f>IF(F3="1",SUMIF(Data!A:A,'5'!$A$2,Data!DT:DT),0)</f>
        <v>630784</v>
      </c>
      <c r="E61" s="17">
        <f>IF($F$3="1",SUMIF(Data!$A:$A,$A$2,Data!JN:JN),0)</f>
        <v>534358</v>
      </c>
      <c r="F61" s="21">
        <f t="shared" si="3"/>
        <v>0.85</v>
      </c>
    </row>
    <row r="62" spans="1:6" x14ac:dyDescent="0.2">
      <c r="A62" s="19">
        <v>28</v>
      </c>
      <c r="B62" s="177" t="s">
        <v>24</v>
      </c>
      <c r="C62" s="178"/>
      <c r="D62" s="14">
        <f>IF(F3="1",SUMIF(Data!A:A,'5'!$A$2,Data!DV:DV),0)</f>
        <v>0</v>
      </c>
      <c r="E62" s="17">
        <f>IF($F$3="1",SUMIF(Data!$A:$A,$A$2,Data!JP:JP),0)</f>
        <v>0</v>
      </c>
      <c r="F62" s="21" t="str">
        <f t="shared" si="3"/>
        <v/>
      </c>
    </row>
    <row r="63" spans="1:6" ht="15.75" customHeight="1" thickBot="1" x14ac:dyDescent="0.25">
      <c r="A63" s="22">
        <v>29</v>
      </c>
      <c r="B63" s="179" t="s">
        <v>25</v>
      </c>
      <c r="C63" s="180"/>
      <c r="D63" s="23">
        <f>IF(F3="1",SUMIF(Data!A:A,'5'!$A$2,Data!DW:DW),0)</f>
        <v>0</v>
      </c>
      <c r="E63" s="24">
        <f>IF($F$3="1",SUMIF(Data!$A:$A,$A$2,Data!JQ:JQ),0)</f>
        <v>0</v>
      </c>
      <c r="F63" s="25" t="str">
        <f t="shared" si="3"/>
        <v/>
      </c>
    </row>
    <row r="64" spans="1:6" x14ac:dyDescent="0.2">
      <c r="B64" s="30" t="s">
        <v>35</v>
      </c>
      <c r="C64" s="30"/>
      <c r="D64" s="59">
        <f>SUM(D36:D63)</f>
        <v>9625543</v>
      </c>
      <c r="E64" s="31">
        <f>SUM(E36:E63)</f>
        <v>5134218</v>
      </c>
      <c r="F64" s="32">
        <f t="shared" si="3"/>
        <v>0.53</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0</v>
      </c>
      <c r="E67" s="15">
        <f>IF(F3="1",SUMIF(Data!A:A,'5'!$A$2,Data!DY:DY),0)</f>
        <v>0</v>
      </c>
      <c r="F67" s="20" t="str">
        <f t="shared" ref="F67:F95" si="4">IF(OR(D67=0,E67=0),"",ROUND(E67/D67,2))</f>
        <v/>
      </c>
    </row>
    <row r="68" spans="1:6" x14ac:dyDescent="0.2">
      <c r="A68" s="19">
        <v>2</v>
      </c>
      <c r="B68" s="177" t="s">
        <v>1</v>
      </c>
      <c r="C68" s="178"/>
      <c r="D68" s="14">
        <f t="shared" ref="D68:D94" si="5">D37</f>
        <v>222928</v>
      </c>
      <c r="E68" s="17">
        <f>IF(F3="1",SUMIF(Data!A:A,'5'!$A$2,Data!DZ:DZ),0)</f>
        <v>1194111</v>
      </c>
      <c r="F68" s="21">
        <f t="shared" si="4"/>
        <v>5.36</v>
      </c>
    </row>
    <row r="69" spans="1:6" ht="14.25" customHeight="1" x14ac:dyDescent="0.2">
      <c r="A69" s="19">
        <v>3</v>
      </c>
      <c r="B69" s="177" t="s">
        <v>2</v>
      </c>
      <c r="C69" s="178"/>
      <c r="D69" s="14">
        <f t="shared" si="5"/>
        <v>1063939</v>
      </c>
      <c r="E69" s="17">
        <f>IF(F3="1",SUMIF(Data!A:A,'5'!$A$2,Data!EA:EA),0)</f>
        <v>3193582</v>
      </c>
      <c r="F69" s="21">
        <f t="shared" si="4"/>
        <v>3</v>
      </c>
    </row>
    <row r="70" spans="1:6" ht="14.25" customHeight="1" x14ac:dyDescent="0.2">
      <c r="A70" s="19">
        <v>4</v>
      </c>
      <c r="B70" s="177" t="s">
        <v>3</v>
      </c>
      <c r="C70" s="178"/>
      <c r="D70" s="14">
        <f t="shared" si="5"/>
        <v>437504</v>
      </c>
      <c r="E70" s="17">
        <f>IF(F3="1",SUMIF(Data!A:A,'5'!$A$2,Data!EB:EB),0)</f>
        <v>2199423</v>
      </c>
      <c r="F70" s="21">
        <f t="shared" si="4"/>
        <v>5.03</v>
      </c>
    </row>
    <row r="71" spans="1:6" x14ac:dyDescent="0.2">
      <c r="A71" s="19">
        <v>5</v>
      </c>
      <c r="B71" s="177" t="s">
        <v>4</v>
      </c>
      <c r="C71" s="178"/>
      <c r="D71" s="14">
        <f t="shared" si="5"/>
        <v>0</v>
      </c>
      <c r="E71" s="17">
        <f>IF(F3="1",SUMIF(Data!A:A,'5'!$A$2,Data!EC:EC),0)</f>
        <v>0</v>
      </c>
      <c r="F71" s="21" t="str">
        <f t="shared" si="4"/>
        <v/>
      </c>
    </row>
    <row r="72" spans="1:6" x14ac:dyDescent="0.2">
      <c r="A72" s="19">
        <v>6</v>
      </c>
      <c r="B72" s="177" t="s">
        <v>5</v>
      </c>
      <c r="C72" s="178"/>
      <c r="D72" s="14">
        <f t="shared" si="5"/>
        <v>100016</v>
      </c>
      <c r="E72" s="17">
        <f>IF(F3="1",SUMIF(Data!A:A,'5'!$A$2,Data!ED:ED),0)</f>
        <v>184117</v>
      </c>
      <c r="F72" s="21">
        <f t="shared" si="4"/>
        <v>1.84</v>
      </c>
    </row>
    <row r="73" spans="1:6" x14ac:dyDescent="0.2">
      <c r="A73" s="19">
        <v>7</v>
      </c>
      <c r="B73" s="177" t="s">
        <v>6</v>
      </c>
      <c r="C73" s="178"/>
      <c r="D73" s="14">
        <f t="shared" si="5"/>
        <v>681232</v>
      </c>
      <c r="E73" s="17">
        <f>IF(F3="1",SUMIF(Data!A:A,'5'!$A$2,Data!EE:EE),0)</f>
        <v>2175560</v>
      </c>
      <c r="F73" s="21">
        <f t="shared" si="4"/>
        <v>3.19</v>
      </c>
    </row>
    <row r="74" spans="1:6" x14ac:dyDescent="0.2">
      <c r="A74" s="19">
        <v>8</v>
      </c>
      <c r="B74" s="177" t="s">
        <v>7</v>
      </c>
      <c r="C74" s="178"/>
      <c r="D74" s="14">
        <f t="shared" si="5"/>
        <v>6368</v>
      </c>
      <c r="E74" s="17">
        <f>IF(F3="1",SUMIF(Data!A:A,'5'!$A$2,Data!EF:EF),0)</f>
        <v>303303</v>
      </c>
      <c r="F74" s="21">
        <f t="shared" si="4"/>
        <v>47.63</v>
      </c>
    </row>
    <row r="75" spans="1:6" x14ac:dyDescent="0.2">
      <c r="A75" s="19">
        <v>9</v>
      </c>
      <c r="B75" s="177" t="s">
        <v>8</v>
      </c>
      <c r="C75" s="178"/>
      <c r="D75" s="14">
        <f t="shared" si="5"/>
        <v>145728</v>
      </c>
      <c r="E75" s="17">
        <f>IF(F3="1",SUMIF(Data!A:A,'5'!$A$2,Data!EG:EG),0)</f>
        <v>380127</v>
      </c>
      <c r="F75" s="21">
        <f t="shared" si="4"/>
        <v>2.61</v>
      </c>
    </row>
    <row r="76" spans="1:6" x14ac:dyDescent="0.2">
      <c r="A76" s="19">
        <v>10</v>
      </c>
      <c r="B76" s="177" t="s">
        <v>9</v>
      </c>
      <c r="C76" s="178"/>
      <c r="D76" s="14">
        <f t="shared" si="5"/>
        <v>11248</v>
      </c>
      <c r="E76" s="17">
        <f>IF(F3="1",SUMIF(Data!A:A,'5'!$A$2,Data!EH:EH),0)</f>
        <v>67978</v>
      </c>
      <c r="F76" s="21">
        <f t="shared" si="4"/>
        <v>6.04</v>
      </c>
    </row>
    <row r="77" spans="1:6" x14ac:dyDescent="0.2">
      <c r="A77" s="19">
        <v>11</v>
      </c>
      <c r="B77" s="177" t="s">
        <v>10</v>
      </c>
      <c r="C77" s="178"/>
      <c r="D77" s="14">
        <f t="shared" si="5"/>
        <v>212256</v>
      </c>
      <c r="E77" s="17">
        <f>IF(F3="1",SUMIF(Data!A:A,'5'!$A$2,Data!EI:EI),0)</f>
        <v>456642</v>
      </c>
      <c r="F77" s="21">
        <f t="shared" si="4"/>
        <v>2.15</v>
      </c>
    </row>
    <row r="78" spans="1:6" ht="14.25" customHeight="1" x14ac:dyDescent="0.2">
      <c r="A78" s="19">
        <v>12</v>
      </c>
      <c r="B78" s="177" t="s">
        <v>11</v>
      </c>
      <c r="C78" s="178"/>
      <c r="D78" s="14">
        <f t="shared" si="5"/>
        <v>1397536</v>
      </c>
      <c r="E78" s="17">
        <f>IF(F3="1",SUMIF(Data!A:A,'5'!$A$2,Data!EJ:EJ),0)</f>
        <v>4145786</v>
      </c>
      <c r="F78" s="21">
        <f t="shared" si="4"/>
        <v>2.97</v>
      </c>
    </row>
    <row r="79" spans="1:6" x14ac:dyDescent="0.2">
      <c r="A79" s="19">
        <v>13</v>
      </c>
      <c r="B79" s="177" t="s">
        <v>12</v>
      </c>
      <c r="C79" s="178"/>
      <c r="D79" s="14">
        <f t="shared" si="5"/>
        <v>466100</v>
      </c>
      <c r="E79" s="17">
        <f>IF(F3="1",SUMIF(Data!A:A,'5'!$A$2,Data!EK:EK),0)</f>
        <v>1262241</v>
      </c>
      <c r="F79" s="21">
        <f t="shared" si="4"/>
        <v>2.71</v>
      </c>
    </row>
    <row r="80" spans="1:6" ht="14.25" customHeight="1" x14ac:dyDescent="0.2">
      <c r="A80" s="19">
        <v>14</v>
      </c>
      <c r="B80" s="177" t="s">
        <v>464</v>
      </c>
      <c r="C80" s="178"/>
      <c r="D80" s="14">
        <f t="shared" si="5"/>
        <v>166080</v>
      </c>
      <c r="E80" s="17">
        <f>IF(F3="1",SUMIF(Data!A:A,'5'!$A$2,Data!EL:EL),0)</f>
        <v>1312718</v>
      </c>
      <c r="F80" s="21">
        <f t="shared" si="4"/>
        <v>7.9</v>
      </c>
    </row>
    <row r="81" spans="1:6" x14ac:dyDescent="0.2">
      <c r="A81" s="19">
        <v>15</v>
      </c>
      <c r="B81" s="177" t="s">
        <v>13</v>
      </c>
      <c r="C81" s="178"/>
      <c r="D81" s="14">
        <f t="shared" si="5"/>
        <v>0</v>
      </c>
      <c r="E81" s="17">
        <f>IF(F3="1",SUMIF(Data!A:A,'5'!$A$2,Data!EM:EM),0)</f>
        <v>0</v>
      </c>
      <c r="F81" s="21" t="str">
        <f t="shared" si="4"/>
        <v/>
      </c>
    </row>
    <row r="82" spans="1:6" x14ac:dyDescent="0.2">
      <c r="A82" s="19">
        <v>16</v>
      </c>
      <c r="B82" s="177" t="s">
        <v>14</v>
      </c>
      <c r="C82" s="178"/>
      <c r="D82" s="14">
        <f t="shared" si="5"/>
        <v>285024</v>
      </c>
      <c r="E82" s="17">
        <f>IF(F3="1",SUMIF(Data!A:A,'5'!$A$2,Data!EN:EN),0)</f>
        <v>1949241</v>
      </c>
      <c r="F82" s="21">
        <f t="shared" si="4"/>
        <v>6.84</v>
      </c>
    </row>
    <row r="83" spans="1:6" x14ac:dyDescent="0.2">
      <c r="A83" s="19">
        <v>17</v>
      </c>
      <c r="B83" s="177" t="s">
        <v>15</v>
      </c>
      <c r="C83" s="178"/>
      <c r="D83" s="14">
        <f t="shared" si="5"/>
        <v>0</v>
      </c>
      <c r="E83" s="17">
        <f>IF(F3="1",SUMIF(Data!A:A,'5'!$A$2,Data!EO:EO),0)</f>
        <v>0</v>
      </c>
      <c r="F83" s="21" t="str">
        <f t="shared" si="4"/>
        <v/>
      </c>
    </row>
    <row r="84" spans="1:6" x14ac:dyDescent="0.2">
      <c r="A84" s="19">
        <v>18</v>
      </c>
      <c r="B84" s="177" t="s">
        <v>16</v>
      </c>
      <c r="C84" s="178"/>
      <c r="D84" s="14">
        <f t="shared" si="5"/>
        <v>21648</v>
      </c>
      <c r="E84" s="17">
        <f>IF(F3="1",SUMIF(Data!A:A,'5'!$A$2,Data!EP:EP),0)</f>
        <v>563762</v>
      </c>
      <c r="F84" s="21">
        <f t="shared" si="4"/>
        <v>26.04</v>
      </c>
    </row>
    <row r="85" spans="1:6" x14ac:dyDescent="0.2">
      <c r="A85" s="19">
        <v>19</v>
      </c>
      <c r="B85" s="177" t="s">
        <v>17</v>
      </c>
      <c r="C85" s="178"/>
      <c r="D85" s="14">
        <f t="shared" si="5"/>
        <v>1291840</v>
      </c>
      <c r="E85" s="17">
        <f>IF(F3="1",SUMIF(Data!A:A,'5'!$A$2,Data!EQ:EQ),0)</f>
        <v>3640390</v>
      </c>
      <c r="F85" s="21">
        <f t="shared" si="4"/>
        <v>2.82</v>
      </c>
    </row>
    <row r="86" spans="1:6" x14ac:dyDescent="0.2">
      <c r="A86" s="19">
        <v>20</v>
      </c>
      <c r="B86" s="177" t="s">
        <v>18</v>
      </c>
      <c r="C86" s="178"/>
      <c r="D86" s="14">
        <f t="shared" si="5"/>
        <v>40864</v>
      </c>
      <c r="E86" s="17">
        <f>IF(F3="1",SUMIF(Data!A:A,'5'!$A$2,Data!ER:ER),0)</f>
        <v>320853</v>
      </c>
      <c r="F86" s="21">
        <f t="shared" si="4"/>
        <v>7.85</v>
      </c>
    </row>
    <row r="87" spans="1:6" ht="14.25" customHeight="1" x14ac:dyDescent="0.2">
      <c r="A87" s="19">
        <v>21</v>
      </c>
      <c r="B87" s="177" t="s">
        <v>461</v>
      </c>
      <c r="C87" s="178"/>
      <c r="D87" s="14">
        <f t="shared" si="5"/>
        <v>0</v>
      </c>
      <c r="E87" s="17">
        <f>IF(F3="1",SUMIF(Data!A:A,'5'!$A$2,Data!ES:ES),0)</f>
        <v>0</v>
      </c>
      <c r="F87" s="21" t="str">
        <f t="shared" si="4"/>
        <v/>
      </c>
    </row>
    <row r="88" spans="1:6" x14ac:dyDescent="0.2">
      <c r="A88" s="19">
        <v>22</v>
      </c>
      <c r="B88" s="177" t="s">
        <v>19</v>
      </c>
      <c r="C88" s="178"/>
      <c r="D88" s="14">
        <f t="shared" si="5"/>
        <v>1216</v>
      </c>
      <c r="E88" s="17">
        <f>IF(F3="1",SUMIF(Data!A:A,'5'!$A$2,Data!ET:ET),0)</f>
        <v>891467</v>
      </c>
      <c r="F88" s="21">
        <f t="shared" si="4"/>
        <v>733.11</v>
      </c>
    </row>
    <row r="89" spans="1:6" x14ac:dyDescent="0.2">
      <c r="A89" s="19">
        <v>23</v>
      </c>
      <c r="B89" s="177" t="s">
        <v>20</v>
      </c>
      <c r="C89" s="178"/>
      <c r="D89" s="14">
        <f t="shared" si="5"/>
        <v>198448</v>
      </c>
      <c r="E89" s="17">
        <f>IF(F3="1",SUMIF(Data!A:A,'5'!$A$2,Data!EU:EU),0)</f>
        <v>963460</v>
      </c>
      <c r="F89" s="21">
        <f t="shared" si="4"/>
        <v>4.8499999999999996</v>
      </c>
    </row>
    <row r="90" spans="1:6" x14ac:dyDescent="0.2">
      <c r="A90" s="19">
        <v>24</v>
      </c>
      <c r="B90" s="177" t="s">
        <v>21</v>
      </c>
      <c r="C90" s="178"/>
      <c r="D90" s="14">
        <f t="shared" si="5"/>
        <v>138544</v>
      </c>
      <c r="E90" s="17">
        <f>IF(F3="1",SUMIF(Data!A:A,'5'!$A$2,Data!EV:EV),0)</f>
        <v>337462</v>
      </c>
      <c r="F90" s="21">
        <f t="shared" si="4"/>
        <v>2.44</v>
      </c>
    </row>
    <row r="91" spans="1:6" x14ac:dyDescent="0.2">
      <c r="A91" s="19">
        <v>25</v>
      </c>
      <c r="B91" s="177" t="s">
        <v>22</v>
      </c>
      <c r="C91" s="178"/>
      <c r="D91" s="14">
        <f t="shared" si="5"/>
        <v>2106240</v>
      </c>
      <c r="E91" s="17">
        <f>IF(F3="1",SUMIF(Data!A:A,'5'!$A$2,Data!EW:EW),0)</f>
        <v>4601266</v>
      </c>
      <c r="F91" s="21">
        <f t="shared" si="4"/>
        <v>2.1800000000000002</v>
      </c>
    </row>
    <row r="92" spans="1:6" x14ac:dyDescent="0.2">
      <c r="A92" s="19">
        <v>26</v>
      </c>
      <c r="B92" s="177" t="s">
        <v>23</v>
      </c>
      <c r="C92" s="178"/>
      <c r="D92" s="14">
        <f t="shared" si="5"/>
        <v>630784</v>
      </c>
      <c r="E92" s="17">
        <f>IF(F3="1",SUMIF(Data!A:A,'5'!$A$2,Data!EX:EX),0)</f>
        <v>2370634</v>
      </c>
      <c r="F92" s="21">
        <f t="shared" si="4"/>
        <v>3.76</v>
      </c>
    </row>
    <row r="93" spans="1:6" x14ac:dyDescent="0.2">
      <c r="A93" s="19">
        <v>28</v>
      </c>
      <c r="B93" s="177" t="s">
        <v>24</v>
      </c>
      <c r="C93" s="178"/>
      <c r="D93" s="14">
        <f t="shared" si="5"/>
        <v>0</v>
      </c>
      <c r="E93" s="17">
        <f>IF(F3="1",SUMIF(Data!A:A,'5'!$A$2,Data!EZ:EZ),0)</f>
        <v>0</v>
      </c>
      <c r="F93" s="21" t="str">
        <f t="shared" si="4"/>
        <v/>
      </c>
    </row>
    <row r="94" spans="1:6" ht="15.75" customHeight="1" thickBot="1" x14ac:dyDescent="0.25">
      <c r="A94" s="22">
        <v>29</v>
      </c>
      <c r="B94" s="179" t="s">
        <v>25</v>
      </c>
      <c r="C94" s="180"/>
      <c r="D94" s="23">
        <f t="shared" si="5"/>
        <v>0</v>
      </c>
      <c r="E94" s="24">
        <f>IF(F3="1",SUMIF(Data!A:A,'5'!$A$2,Data!FA:FA),0)</f>
        <v>0</v>
      </c>
      <c r="F94" s="25" t="str">
        <f t="shared" si="4"/>
        <v/>
      </c>
    </row>
    <row r="95" spans="1:6" x14ac:dyDescent="0.2">
      <c r="B95" s="30" t="s">
        <v>35</v>
      </c>
      <c r="C95" s="30"/>
      <c r="D95" s="59">
        <f>SUM(D67:D94)</f>
        <v>9625543</v>
      </c>
      <c r="E95" s="31">
        <f>SUM(E67:E94)</f>
        <v>32514123</v>
      </c>
      <c r="F95" s="32">
        <f t="shared" si="4"/>
        <v>3.38</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IF(F3="1",SUMIF(Data!A:A,'5'!$A$2,Data!AH:AH),0)</f>
        <v>14744937</v>
      </c>
      <c r="F98" s="20">
        <f>IF(OR(E98=0,E98=0),"",ROUND(E98/$D$105,2))</f>
        <v>1.53</v>
      </c>
    </row>
    <row r="99" spans="2:6" x14ac:dyDescent="0.2">
      <c r="B99" s="183" t="s">
        <v>31</v>
      </c>
      <c r="C99" s="184"/>
      <c r="D99" s="36"/>
      <c r="E99" s="17">
        <f>IF(F3="1",SUMIF(Data!A:A,'5'!$A$2,Data!AI:AI),0)</f>
        <v>6613531</v>
      </c>
      <c r="F99" s="21">
        <f t="shared" ref="F99:F104" si="6">IF(OR(E99=0,E99=0),"",ROUND(E99/$D$105,2))</f>
        <v>0.69</v>
      </c>
    </row>
    <row r="100" spans="2:6" x14ac:dyDescent="0.2">
      <c r="B100" s="183" t="s">
        <v>1078</v>
      </c>
      <c r="C100" s="184"/>
      <c r="D100" s="36"/>
      <c r="E100" s="17">
        <f>IF(F3="1",SUMIF(Data!A:A,'5'!$A$2,Data!AJ:AJ),0)</f>
        <v>3584247</v>
      </c>
      <c r="F100" s="21">
        <f t="shared" si="6"/>
        <v>0.37</v>
      </c>
    </row>
    <row r="101" spans="2:6" x14ac:dyDescent="0.2">
      <c r="B101" s="183" t="s">
        <v>1079</v>
      </c>
      <c r="C101" s="184"/>
      <c r="D101" s="36"/>
      <c r="E101" s="17">
        <f>IF(F3="1",SUMIF(Data!A:A,'5'!$A$2,Data!AK:AK),0)</f>
        <v>7407742</v>
      </c>
      <c r="F101" s="21">
        <f t="shared" si="6"/>
        <v>0.77</v>
      </c>
    </row>
    <row r="102" spans="2:6" x14ac:dyDescent="0.2">
      <c r="B102" s="183" t="s">
        <v>1080</v>
      </c>
      <c r="C102" s="184"/>
      <c r="D102" s="36"/>
      <c r="E102" s="17">
        <f>IF(F3="1",SUMIF(Data!A:A,'5'!$A$2,Data!AL:AL),0)</f>
        <v>0</v>
      </c>
      <c r="F102" s="21" t="str">
        <f t="shared" si="6"/>
        <v/>
      </c>
    </row>
    <row r="103" spans="2:6" x14ac:dyDescent="0.2">
      <c r="B103" s="185" t="s">
        <v>34</v>
      </c>
      <c r="C103" s="186"/>
      <c r="D103" s="36"/>
      <c r="E103" s="17">
        <f>IF(F3="1",SUMIF(Data!A:A,'5'!$A$2,Data!AM:AM),0)</f>
        <v>0</v>
      </c>
      <c r="F103" s="21" t="str">
        <f t="shared" si="6"/>
        <v/>
      </c>
    </row>
    <row r="104" spans="2:6" ht="15.75" customHeight="1" thickBot="1" x14ac:dyDescent="0.25">
      <c r="B104" s="175" t="s">
        <v>29</v>
      </c>
      <c r="C104" s="176"/>
      <c r="D104" s="37"/>
      <c r="E104" s="24">
        <f>IF(F3="1",SUMIF(Data!A:A,'5'!$A$2,Data!Q:Q),0)</f>
        <v>3140458</v>
      </c>
      <c r="F104" s="25">
        <f t="shared" si="6"/>
        <v>0.33</v>
      </c>
    </row>
    <row r="105" spans="2:6" x14ac:dyDescent="0.2">
      <c r="B105" s="30" t="s">
        <v>35</v>
      </c>
      <c r="C105" s="30"/>
      <c r="D105" s="34">
        <f>D95</f>
        <v>9625543</v>
      </c>
      <c r="E105" s="31">
        <f>SUM(E98:E104)</f>
        <v>35490915</v>
      </c>
      <c r="F105" s="32">
        <f>IF($D$105=0,"",ROUND(E105/$D$105,2))</f>
        <v>3.69</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32514123</v>
      </c>
      <c r="D109" s="15">
        <f>IF(F3="1",SUMIF(Data!$A:$A,$A$2,Data!HJ:HJ),0)</f>
        <v>0</v>
      </c>
      <c r="E109" s="15">
        <f>IF(F3="1",SUMIF(Data!$A:$A,$A$2,Data!IN:IN),0)</f>
        <v>0</v>
      </c>
      <c r="F109" s="47">
        <f>SUM(C109:E109)</f>
        <v>32514123</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3140458</v>
      </c>
      <c r="E117" s="52"/>
      <c r="F117" s="49">
        <f>SUM(C117:E117)</f>
        <v>3140458</v>
      </c>
    </row>
    <row r="118" spans="1:6" x14ac:dyDescent="0.2">
      <c r="B118" s="13" t="s">
        <v>35</v>
      </c>
      <c r="C118" s="4">
        <f>SUM(C109:C116)</f>
        <v>32514123</v>
      </c>
      <c r="D118" s="4">
        <f>SUM(D109:D116)</f>
        <v>0</v>
      </c>
      <c r="E118" s="4">
        <f>SUM(E109:E116)</f>
        <v>0</v>
      </c>
      <c r="F118" s="4">
        <f>SUM(F109:F116)</f>
        <v>32514123</v>
      </c>
    </row>
    <row r="119" spans="1:6" ht="15" thickBot="1" x14ac:dyDescent="0.25"/>
    <row r="120" spans="1:6" ht="15" thickBot="1" x14ac:dyDescent="0.25">
      <c r="B120" s="55" t="s">
        <v>934</v>
      </c>
      <c r="C120" s="53"/>
      <c r="D120" s="53"/>
      <c r="E120" s="53">
        <f>IF(F3="1",SUMIF(Data!A:A,'5'!$A$2,Data!AM:AM),0)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3.42578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356</v>
      </c>
      <c r="B2" s="58" t="str">
        <f>VLOOKUP(A2,Data!A:G,7,0)</f>
        <v>Blinn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16624</v>
      </c>
      <c r="E5" s="15">
        <f>E36+E67+IFERROR($E$105/$D$105*D5,0)</f>
        <v>138150.06988854345</v>
      </c>
      <c r="F5" s="20">
        <f>IF(OR(D5=0,E5=0),"",ROUND(E5/D5,2))</f>
        <v>8.31</v>
      </c>
    </row>
    <row r="6" spans="1:6" x14ac:dyDescent="0.2">
      <c r="A6" s="19">
        <v>2</v>
      </c>
      <c r="B6" s="177" t="s">
        <v>1</v>
      </c>
      <c r="C6" s="178"/>
      <c r="D6" s="14">
        <f t="shared" ref="D6:D32" si="0">D37</f>
        <v>4465</v>
      </c>
      <c r="E6" s="17">
        <f t="shared" ref="E6:E32" si="1">E37+E68+IFERROR($E$105/$D$105*D6,0)</f>
        <v>14614.187082070897</v>
      </c>
      <c r="F6" s="21">
        <f t="shared" ref="F6:F33" si="2">IF(OR(D6=0,E6=0),"",ROUND(E6/D6,2))</f>
        <v>3.27</v>
      </c>
    </row>
    <row r="7" spans="1:6" ht="14.25" customHeight="1" x14ac:dyDescent="0.2">
      <c r="A7" s="19">
        <v>3</v>
      </c>
      <c r="B7" s="177" t="s">
        <v>2</v>
      </c>
      <c r="C7" s="178"/>
      <c r="D7" s="14">
        <f t="shared" si="0"/>
        <v>923808</v>
      </c>
      <c r="E7" s="17">
        <f t="shared" si="1"/>
        <v>3408591.0194655657</v>
      </c>
      <c r="F7" s="21">
        <f t="shared" si="2"/>
        <v>3.69</v>
      </c>
    </row>
    <row r="8" spans="1:6" ht="14.25" customHeight="1" x14ac:dyDescent="0.2">
      <c r="A8" s="19">
        <v>4</v>
      </c>
      <c r="B8" s="177" t="s">
        <v>3</v>
      </c>
      <c r="C8" s="178"/>
      <c r="D8" s="14">
        <f t="shared" si="0"/>
        <v>295984</v>
      </c>
      <c r="E8" s="17">
        <f t="shared" si="1"/>
        <v>1702613.0123851448</v>
      </c>
      <c r="F8" s="21">
        <f t="shared" si="2"/>
        <v>5.75</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21104</v>
      </c>
      <c r="E10" s="17">
        <f t="shared" si="1"/>
        <v>101890.89141769859</v>
      </c>
      <c r="F10" s="21">
        <f t="shared" si="2"/>
        <v>4.83</v>
      </c>
    </row>
    <row r="11" spans="1:6" x14ac:dyDescent="0.2">
      <c r="A11" s="19">
        <v>7</v>
      </c>
      <c r="B11" s="177" t="s">
        <v>6</v>
      </c>
      <c r="C11" s="178"/>
      <c r="D11" s="14">
        <f t="shared" si="0"/>
        <v>174912</v>
      </c>
      <c r="E11" s="17">
        <f t="shared" si="1"/>
        <v>1165428.9605597279</v>
      </c>
      <c r="F11" s="21">
        <f t="shared" si="2"/>
        <v>6.66</v>
      </c>
    </row>
    <row r="12" spans="1:6" x14ac:dyDescent="0.2">
      <c r="A12" s="19">
        <v>8</v>
      </c>
      <c r="B12" s="177" t="s">
        <v>7</v>
      </c>
      <c r="C12" s="178"/>
      <c r="D12" s="14">
        <f t="shared" si="0"/>
        <v>0</v>
      </c>
      <c r="E12" s="17">
        <f t="shared" si="1"/>
        <v>0</v>
      </c>
      <c r="F12" s="21" t="str">
        <f t="shared" si="2"/>
        <v/>
      </c>
    </row>
    <row r="13" spans="1:6" x14ac:dyDescent="0.2">
      <c r="A13" s="19">
        <v>9</v>
      </c>
      <c r="B13" s="177" t="s">
        <v>8</v>
      </c>
      <c r="C13" s="178"/>
      <c r="D13" s="14">
        <f t="shared" si="0"/>
        <v>69136</v>
      </c>
      <c r="E13" s="17">
        <f t="shared" si="1"/>
        <v>236334.94224099742</v>
      </c>
      <c r="F13" s="21">
        <f t="shared" si="2"/>
        <v>3.42</v>
      </c>
    </row>
    <row r="14" spans="1:6" x14ac:dyDescent="0.2">
      <c r="A14" s="19">
        <v>10</v>
      </c>
      <c r="B14" s="177" t="s">
        <v>9</v>
      </c>
      <c r="C14" s="178"/>
      <c r="D14" s="14">
        <f t="shared" si="0"/>
        <v>0</v>
      </c>
      <c r="E14" s="17">
        <f t="shared" si="1"/>
        <v>0</v>
      </c>
      <c r="F14" s="21" t="str">
        <f t="shared" si="2"/>
        <v/>
      </c>
    </row>
    <row r="15" spans="1:6" x14ac:dyDescent="0.2">
      <c r="A15" s="19">
        <v>11</v>
      </c>
      <c r="B15" s="177" t="s">
        <v>10</v>
      </c>
      <c r="C15" s="178"/>
      <c r="D15" s="14">
        <f t="shared" si="0"/>
        <v>0</v>
      </c>
      <c r="E15" s="17">
        <f t="shared" si="1"/>
        <v>0</v>
      </c>
      <c r="F15" s="21" t="str">
        <f t="shared" si="2"/>
        <v/>
      </c>
    </row>
    <row r="16" spans="1:6" ht="14.25" customHeight="1" x14ac:dyDescent="0.2">
      <c r="A16" s="19">
        <v>12</v>
      </c>
      <c r="B16" s="177" t="s">
        <v>11</v>
      </c>
      <c r="C16" s="178"/>
      <c r="D16" s="14">
        <f t="shared" si="0"/>
        <v>922912</v>
      </c>
      <c r="E16" s="17">
        <f t="shared" si="1"/>
        <v>4448874.0551597346</v>
      </c>
      <c r="F16" s="21">
        <f t="shared" si="2"/>
        <v>4.82</v>
      </c>
    </row>
    <row r="17" spans="1:6" x14ac:dyDescent="0.2">
      <c r="A17" s="19">
        <v>13</v>
      </c>
      <c r="B17" s="177" t="s">
        <v>12</v>
      </c>
      <c r="C17" s="178"/>
      <c r="D17" s="14">
        <f t="shared" si="0"/>
        <v>123552</v>
      </c>
      <c r="E17" s="17">
        <f t="shared" si="1"/>
        <v>531567.61374334234</v>
      </c>
      <c r="F17" s="21">
        <f t="shared" si="2"/>
        <v>4.3</v>
      </c>
    </row>
    <row r="18" spans="1:6" ht="14.25" customHeight="1" x14ac:dyDescent="0.2">
      <c r="A18" s="19">
        <v>14</v>
      </c>
      <c r="B18" s="177" t="s">
        <v>464</v>
      </c>
      <c r="C18" s="178"/>
      <c r="D18" s="14">
        <f t="shared" si="0"/>
        <v>89920</v>
      </c>
      <c r="E18" s="17">
        <f t="shared" si="1"/>
        <v>640844.63212089916</v>
      </c>
      <c r="F18" s="21">
        <f t="shared" si="2"/>
        <v>7.13</v>
      </c>
    </row>
    <row r="19" spans="1:6" x14ac:dyDescent="0.2">
      <c r="A19" s="19">
        <v>15</v>
      </c>
      <c r="B19" s="177" t="s">
        <v>13</v>
      </c>
      <c r="C19" s="178"/>
      <c r="D19" s="14">
        <f t="shared" si="0"/>
        <v>16128</v>
      </c>
      <c r="E19" s="17">
        <f t="shared" si="1"/>
        <v>251364.35750495843</v>
      </c>
      <c r="F19" s="21">
        <f t="shared" si="2"/>
        <v>15.59</v>
      </c>
    </row>
    <row r="20" spans="1:6" x14ac:dyDescent="0.2">
      <c r="A20" s="19">
        <v>16</v>
      </c>
      <c r="B20" s="177" t="s">
        <v>14</v>
      </c>
      <c r="C20" s="178"/>
      <c r="D20" s="14">
        <f t="shared" si="0"/>
        <v>197296</v>
      </c>
      <c r="E20" s="17">
        <f t="shared" si="1"/>
        <v>886826.65812861361</v>
      </c>
      <c r="F20" s="21">
        <f t="shared" si="2"/>
        <v>4.49</v>
      </c>
    </row>
    <row r="21" spans="1:6" x14ac:dyDescent="0.2">
      <c r="A21" s="19">
        <v>17</v>
      </c>
      <c r="B21" s="177" t="s">
        <v>15</v>
      </c>
      <c r="C21" s="178"/>
      <c r="D21" s="14">
        <f t="shared" si="0"/>
        <v>0</v>
      </c>
      <c r="E21" s="17">
        <f t="shared" si="1"/>
        <v>0</v>
      </c>
      <c r="F21" s="21" t="str">
        <f t="shared" si="2"/>
        <v/>
      </c>
    </row>
    <row r="22" spans="1:6" x14ac:dyDescent="0.2">
      <c r="A22" s="19">
        <v>18</v>
      </c>
      <c r="B22" s="177" t="s">
        <v>16</v>
      </c>
      <c r="C22" s="178"/>
      <c r="D22" s="14">
        <f t="shared" si="0"/>
        <v>4704</v>
      </c>
      <c r="E22" s="17">
        <f t="shared" si="1"/>
        <v>270504.56260561285</v>
      </c>
      <c r="F22" s="21">
        <f t="shared" si="2"/>
        <v>57.51</v>
      </c>
    </row>
    <row r="23" spans="1:6" x14ac:dyDescent="0.2">
      <c r="A23" s="19">
        <v>19</v>
      </c>
      <c r="B23" s="177" t="s">
        <v>17</v>
      </c>
      <c r="C23" s="178"/>
      <c r="D23" s="14">
        <f t="shared" si="0"/>
        <v>637488</v>
      </c>
      <c r="E23" s="17">
        <f t="shared" si="1"/>
        <v>2785643.6935218838</v>
      </c>
      <c r="F23" s="21">
        <f t="shared" si="2"/>
        <v>4.37</v>
      </c>
    </row>
    <row r="24" spans="1:6" x14ac:dyDescent="0.2">
      <c r="A24" s="19">
        <v>20</v>
      </c>
      <c r="B24" s="177" t="s">
        <v>18</v>
      </c>
      <c r="C24" s="178"/>
      <c r="D24" s="14">
        <f t="shared" si="0"/>
        <v>0</v>
      </c>
      <c r="E24" s="17">
        <f t="shared" si="1"/>
        <v>0</v>
      </c>
      <c r="F24" s="21" t="str">
        <f t="shared" si="2"/>
        <v/>
      </c>
    </row>
    <row r="25" spans="1:6" ht="14.25" customHeight="1" x14ac:dyDescent="0.2">
      <c r="A25" s="19">
        <v>21</v>
      </c>
      <c r="B25" s="177" t="s">
        <v>461</v>
      </c>
      <c r="C25" s="178"/>
      <c r="D25" s="14">
        <f t="shared" si="0"/>
        <v>0</v>
      </c>
      <c r="E25" s="17">
        <f t="shared" si="1"/>
        <v>0</v>
      </c>
      <c r="F25" s="21" t="str">
        <f t="shared" si="2"/>
        <v/>
      </c>
    </row>
    <row r="26" spans="1:6" x14ac:dyDescent="0.2">
      <c r="A26" s="19">
        <v>22</v>
      </c>
      <c r="B26" s="177" t="s">
        <v>19</v>
      </c>
      <c r="C26" s="178"/>
      <c r="D26" s="14">
        <f t="shared" si="0"/>
        <v>0</v>
      </c>
      <c r="E26" s="17">
        <f t="shared" si="1"/>
        <v>0</v>
      </c>
      <c r="F26" s="21" t="str">
        <f t="shared" si="2"/>
        <v/>
      </c>
    </row>
    <row r="27" spans="1:6" x14ac:dyDescent="0.2">
      <c r="A27" s="19">
        <v>23</v>
      </c>
      <c r="B27" s="177" t="s">
        <v>20</v>
      </c>
      <c r="C27" s="178"/>
      <c r="D27" s="14">
        <f t="shared" si="0"/>
        <v>288720</v>
      </c>
      <c r="E27" s="17">
        <f t="shared" si="1"/>
        <v>1242200.8374771578</v>
      </c>
      <c r="F27" s="21">
        <f t="shared" si="2"/>
        <v>4.3</v>
      </c>
    </row>
    <row r="28" spans="1:6" x14ac:dyDescent="0.2">
      <c r="A28" s="19">
        <v>24</v>
      </c>
      <c r="B28" s="177" t="s">
        <v>21</v>
      </c>
      <c r="C28" s="178"/>
      <c r="D28" s="14">
        <f t="shared" si="0"/>
        <v>122032</v>
      </c>
      <c r="E28" s="17">
        <f t="shared" si="1"/>
        <v>382951.65643880749</v>
      </c>
      <c r="F28" s="21">
        <f t="shared" si="2"/>
        <v>3.14</v>
      </c>
    </row>
    <row r="29" spans="1:6" x14ac:dyDescent="0.2">
      <c r="A29" s="19">
        <v>25</v>
      </c>
      <c r="B29" s="177" t="s">
        <v>22</v>
      </c>
      <c r="C29" s="178"/>
      <c r="D29" s="14">
        <f t="shared" si="0"/>
        <v>1341552</v>
      </c>
      <c r="E29" s="17">
        <f t="shared" si="1"/>
        <v>5007865.7169823907</v>
      </c>
      <c r="F29" s="21">
        <f t="shared" si="2"/>
        <v>3.73</v>
      </c>
    </row>
    <row r="30" spans="1:6" x14ac:dyDescent="0.2">
      <c r="A30" s="19">
        <v>26</v>
      </c>
      <c r="B30" s="177" t="s">
        <v>23</v>
      </c>
      <c r="C30" s="178"/>
      <c r="D30" s="14">
        <f t="shared" si="0"/>
        <v>70392</v>
      </c>
      <c r="E30" s="17">
        <f t="shared" si="1"/>
        <v>454603.13327684987</v>
      </c>
      <c r="F30" s="21">
        <f t="shared" si="2"/>
        <v>6.46</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5320729</v>
      </c>
      <c r="E33" s="31">
        <f>SUM(E5:E32)</f>
        <v>23670870</v>
      </c>
      <c r="F33" s="32">
        <f t="shared" si="2"/>
        <v>4.45</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IF(F3="1",SUMIF(Data!A:A,'6'!$A$2,Data!CU:CU),0)</f>
        <v>16624</v>
      </c>
      <c r="E36" s="15">
        <f>IF(F3="1",SUMIF(Data!$A:$A,$A$2,Data!IO:IO),0)</f>
        <v>11995</v>
      </c>
      <c r="F36" s="20">
        <f t="shared" ref="F36:F64" si="3">IF(OR(D36=0,E36=0),"",ROUND(E36/D36,2))</f>
        <v>0.72</v>
      </c>
    </row>
    <row r="37" spans="1:6" x14ac:dyDescent="0.2">
      <c r="A37" s="19">
        <v>2</v>
      </c>
      <c r="B37" s="177" t="s">
        <v>1</v>
      </c>
      <c r="C37" s="178"/>
      <c r="D37" s="14">
        <f>IF(F3="1",SUMIF(Data!A:A,'6'!$A$2,Data!CV:CV),0)</f>
        <v>4465</v>
      </c>
      <c r="E37" s="17">
        <f>IF(F3="1",SUMIF(Data!$A:$A,$A$2,Data!IP:IP),0)</f>
        <v>5174</v>
      </c>
      <c r="F37" s="21">
        <f t="shared" si="3"/>
        <v>1.1599999999999999</v>
      </c>
    </row>
    <row r="38" spans="1:6" ht="14.25" customHeight="1" x14ac:dyDescent="0.2">
      <c r="A38" s="19">
        <v>3</v>
      </c>
      <c r="B38" s="177" t="s">
        <v>2</v>
      </c>
      <c r="C38" s="178"/>
      <c r="D38" s="14">
        <f>IF(F3="1",SUMIF(Data!A:A,'6'!$A$2,Data!CW:CW),0)</f>
        <v>923808</v>
      </c>
      <c r="E38" s="17">
        <f>IF($F$3="1",SUMIF(Data!$A:$A,$A$2,Data!IQ:IQ),0)</f>
        <v>247223</v>
      </c>
      <c r="F38" s="21">
        <f t="shared" si="3"/>
        <v>0.27</v>
      </c>
    </row>
    <row r="39" spans="1:6" ht="14.25" customHeight="1" x14ac:dyDescent="0.2">
      <c r="A39" s="19">
        <v>4</v>
      </c>
      <c r="B39" s="177" t="s">
        <v>3</v>
      </c>
      <c r="C39" s="178"/>
      <c r="D39" s="14">
        <f>IF(F3="1",SUMIF(Data!A:A,'6'!$A$2,Data!CX:CX),0)</f>
        <v>295984</v>
      </c>
      <c r="E39" s="17">
        <f>IF($F$3="1",SUMIF(Data!$A:$A,$A$2,Data!IR:IR),0)</f>
        <v>113514</v>
      </c>
      <c r="F39" s="21">
        <f t="shared" si="3"/>
        <v>0.38</v>
      </c>
    </row>
    <row r="40" spans="1:6" x14ac:dyDescent="0.2">
      <c r="A40" s="19">
        <v>5</v>
      </c>
      <c r="B40" s="177" t="s">
        <v>4</v>
      </c>
      <c r="C40" s="178"/>
      <c r="D40" s="14">
        <f>IF(F3="1",SUMIF(Data!A:A,'6'!$A$2,Data!CY:CY),0)</f>
        <v>0</v>
      </c>
      <c r="E40" s="17">
        <f>IF($F$3="1",SUMIF(Data!$A:$A,$A$2,Data!IS:IS),0)</f>
        <v>0</v>
      </c>
      <c r="F40" s="21" t="str">
        <f t="shared" si="3"/>
        <v/>
      </c>
    </row>
    <row r="41" spans="1:6" x14ac:dyDescent="0.2">
      <c r="A41" s="19">
        <v>6</v>
      </c>
      <c r="B41" s="177" t="s">
        <v>5</v>
      </c>
      <c r="C41" s="178"/>
      <c r="D41" s="14">
        <f>IF(F3="1",SUMIF(Data!A:A,'6'!$A$2,Data!CZ:CZ),0)</f>
        <v>21104</v>
      </c>
      <c r="E41" s="17">
        <f>IF($F$3="1",SUMIF(Data!$A:$A,$A$2,Data!IT:IT),0)</f>
        <v>11002</v>
      </c>
      <c r="F41" s="21">
        <f t="shared" si="3"/>
        <v>0.52</v>
      </c>
    </row>
    <row r="42" spans="1:6" x14ac:dyDescent="0.2">
      <c r="A42" s="19">
        <v>7</v>
      </c>
      <c r="B42" s="177" t="s">
        <v>6</v>
      </c>
      <c r="C42" s="178"/>
      <c r="D42" s="14">
        <f>IF(F3="1",SUMIF(Data!A:A,'6'!$A$2,Data!DA:DA),0)</f>
        <v>174912</v>
      </c>
      <c r="E42" s="17">
        <f>IF($F$3="1",SUMIF(Data!$A:$A,$A$2,Data!IU:IU),0)</f>
        <v>529694</v>
      </c>
      <c r="F42" s="21">
        <f t="shared" si="3"/>
        <v>3.03</v>
      </c>
    </row>
    <row r="43" spans="1:6" x14ac:dyDescent="0.2">
      <c r="A43" s="19">
        <v>8</v>
      </c>
      <c r="B43" s="177" t="s">
        <v>7</v>
      </c>
      <c r="C43" s="178"/>
      <c r="D43" s="14">
        <f>IF(F3="1",SUMIF(Data!A:A,'6'!$A$2,Data!DB:DB),0)</f>
        <v>0</v>
      </c>
      <c r="E43" s="17">
        <f>IF($F$3="1",SUMIF(Data!$A:$A,$A$2,Data!IV:IV),0)</f>
        <v>0</v>
      </c>
      <c r="F43" s="21" t="str">
        <f t="shared" si="3"/>
        <v/>
      </c>
    </row>
    <row r="44" spans="1:6" x14ac:dyDescent="0.2">
      <c r="A44" s="19">
        <v>9</v>
      </c>
      <c r="B44" s="177" t="s">
        <v>8</v>
      </c>
      <c r="C44" s="178"/>
      <c r="D44" s="14">
        <f>IF(F3="1",SUMIF(Data!A:A,'6'!$A$2,Data!DC:DC),0)</f>
        <v>69136</v>
      </c>
      <c r="E44" s="17">
        <f>IF($F$3="1",SUMIF(Data!$A:$A,$A$2,Data!IW:IW),0)</f>
        <v>9565</v>
      </c>
      <c r="F44" s="21">
        <f t="shared" si="3"/>
        <v>0.14000000000000001</v>
      </c>
    </row>
    <row r="45" spans="1:6" x14ac:dyDescent="0.2">
      <c r="A45" s="19">
        <v>10</v>
      </c>
      <c r="B45" s="177" t="s">
        <v>9</v>
      </c>
      <c r="C45" s="178"/>
      <c r="D45" s="14">
        <f>IF(F3="1",SUMIF(Data!A:A,'6'!$A$2,Data!DD:DD),0)</f>
        <v>0</v>
      </c>
      <c r="E45" s="17">
        <f>IF($F$3="1",SUMIF(Data!$A:$A,$A$2,Data!IX:IX),0)</f>
        <v>0</v>
      </c>
      <c r="F45" s="21" t="str">
        <f t="shared" si="3"/>
        <v/>
      </c>
    </row>
    <row r="46" spans="1:6" x14ac:dyDescent="0.2">
      <c r="A46" s="19">
        <v>11</v>
      </c>
      <c r="B46" s="177" t="s">
        <v>10</v>
      </c>
      <c r="C46" s="178"/>
      <c r="D46" s="14">
        <f>IF(F3="1",SUMIF(Data!A:A,'6'!$A$2,Data!DE:DE),0)</f>
        <v>0</v>
      </c>
      <c r="E46" s="17">
        <f>IF($F$3="1",SUMIF(Data!$A:$A,$A$2,Data!IY:IY),0)</f>
        <v>0</v>
      </c>
      <c r="F46" s="21" t="str">
        <f t="shared" si="3"/>
        <v/>
      </c>
    </row>
    <row r="47" spans="1:6" ht="14.25" customHeight="1" x14ac:dyDescent="0.2">
      <c r="A47" s="19">
        <v>12</v>
      </c>
      <c r="B47" s="177" t="s">
        <v>11</v>
      </c>
      <c r="C47" s="178"/>
      <c r="D47" s="14">
        <f>IF(F3="1",SUMIF(Data!A:A,'6'!$A$2,Data!DF:DF),0)</f>
        <v>922912</v>
      </c>
      <c r="E47" s="17">
        <f>IF($F$3="1",SUMIF(Data!$A:$A,$A$2,Data!IZ:IZ),0)</f>
        <v>276175</v>
      </c>
      <c r="F47" s="21">
        <f t="shared" si="3"/>
        <v>0.3</v>
      </c>
    </row>
    <row r="48" spans="1:6" x14ac:dyDescent="0.2">
      <c r="A48" s="19">
        <v>13</v>
      </c>
      <c r="B48" s="177" t="s">
        <v>12</v>
      </c>
      <c r="C48" s="178"/>
      <c r="D48" s="14">
        <f>IF(F3="1",SUMIF(Data!A:A,'6'!$A$2,Data!DG:DG),0)</f>
        <v>123552</v>
      </c>
      <c r="E48" s="17">
        <f>IF($F$3="1",SUMIF(Data!$A:$A,$A$2,Data!JA:JA),0)</f>
        <v>22509</v>
      </c>
      <c r="F48" s="21">
        <f t="shared" si="3"/>
        <v>0.18</v>
      </c>
    </row>
    <row r="49" spans="1:6" ht="14.25" customHeight="1" x14ac:dyDescent="0.2">
      <c r="A49" s="19">
        <v>14</v>
      </c>
      <c r="B49" s="177" t="s">
        <v>464</v>
      </c>
      <c r="C49" s="178"/>
      <c r="D49" s="14">
        <f>IF(F3="1",SUMIF(Data!A:A,'6'!$A$2,Data!DH:DH),0)</f>
        <v>89920</v>
      </c>
      <c r="E49" s="17">
        <f>IF($F$3="1",SUMIF(Data!$A:$A,$A$2,Data!JB:JB),0)</f>
        <v>76213</v>
      </c>
      <c r="F49" s="21">
        <f t="shared" si="3"/>
        <v>0.85</v>
      </c>
    </row>
    <row r="50" spans="1:6" x14ac:dyDescent="0.2">
      <c r="A50" s="19">
        <v>15</v>
      </c>
      <c r="B50" s="177" t="s">
        <v>13</v>
      </c>
      <c r="C50" s="178"/>
      <c r="D50" s="14">
        <f>IF(F3="1",SUMIF(Data!A:A,'6'!$A$2,Data!DI:DI),0)</f>
        <v>16128</v>
      </c>
      <c r="E50" s="17">
        <f>IF($F$3="1",SUMIF(Data!$A:$A,$A$2,Data!JC:JC),0)</f>
        <v>56586</v>
      </c>
      <c r="F50" s="21">
        <f t="shared" si="3"/>
        <v>3.51</v>
      </c>
    </row>
    <row r="51" spans="1:6" x14ac:dyDescent="0.2">
      <c r="A51" s="19">
        <v>16</v>
      </c>
      <c r="B51" s="177" t="s">
        <v>14</v>
      </c>
      <c r="C51" s="178"/>
      <c r="D51" s="14">
        <f>IF(F3="1",SUMIF(Data!A:A,'6'!$A$2,Data!DJ:DJ),0)</f>
        <v>197296</v>
      </c>
      <c r="E51" s="17">
        <f>IF($F$3="1",SUMIF(Data!$A:$A,$A$2,Data!JD:JD),0)</f>
        <v>142919</v>
      </c>
      <c r="F51" s="21">
        <f t="shared" si="3"/>
        <v>0.72</v>
      </c>
    </row>
    <row r="52" spans="1:6" x14ac:dyDescent="0.2">
      <c r="A52" s="19">
        <v>17</v>
      </c>
      <c r="B52" s="177" t="s">
        <v>15</v>
      </c>
      <c r="C52" s="178"/>
      <c r="D52" s="14">
        <f>IF(F3="1",SUMIF(Data!A:A,'6'!$A$2,Data!DK:DK),0)</f>
        <v>0</v>
      </c>
      <c r="E52" s="17">
        <f>IF($F$3="1",SUMIF(Data!$A:$A,$A$2,Data!JE:JE),0)</f>
        <v>0</v>
      </c>
      <c r="F52" s="21" t="str">
        <f t="shared" si="3"/>
        <v/>
      </c>
    </row>
    <row r="53" spans="1:6" x14ac:dyDescent="0.2">
      <c r="A53" s="19">
        <v>18</v>
      </c>
      <c r="B53" s="177" t="s">
        <v>16</v>
      </c>
      <c r="C53" s="178"/>
      <c r="D53" s="14">
        <f>IF(F3="1",SUMIF(Data!A:A,'6'!$A$2,Data!DL:DL),0)</f>
        <v>4704</v>
      </c>
      <c r="E53" s="17">
        <f>IF($F$3="1",SUMIF(Data!$A:$A,$A$2,Data!JF:JF),0)</f>
        <v>66434</v>
      </c>
      <c r="F53" s="21">
        <f t="shared" si="3"/>
        <v>14.12</v>
      </c>
    </row>
    <row r="54" spans="1:6" x14ac:dyDescent="0.2">
      <c r="A54" s="19">
        <v>19</v>
      </c>
      <c r="B54" s="177" t="s">
        <v>17</v>
      </c>
      <c r="C54" s="178"/>
      <c r="D54" s="14">
        <f>IF(F3="1",SUMIF(Data!A:A,'6'!$A$2,Data!DM:DM),0)</f>
        <v>637488</v>
      </c>
      <c r="E54" s="17">
        <f>IF($F$3="1",SUMIF(Data!$A:$A,$A$2,Data!JG:JG),0)</f>
        <v>66631</v>
      </c>
      <c r="F54" s="21">
        <f t="shared" si="3"/>
        <v>0.1</v>
      </c>
    </row>
    <row r="55" spans="1:6" x14ac:dyDescent="0.2">
      <c r="A55" s="19">
        <v>20</v>
      </c>
      <c r="B55" s="177" t="s">
        <v>18</v>
      </c>
      <c r="C55" s="178"/>
      <c r="D55" s="14">
        <f>IF(F3="1",SUMIF(Data!A:A,'6'!$A$2,Data!DN:DN),0)</f>
        <v>0</v>
      </c>
      <c r="E55" s="17">
        <f>IF($F$3="1",SUMIF(Data!$A:$A,$A$2,Data!JH:JH),0)</f>
        <v>0</v>
      </c>
      <c r="F55" s="21" t="str">
        <f t="shared" si="3"/>
        <v/>
      </c>
    </row>
    <row r="56" spans="1:6" ht="14.25" customHeight="1" x14ac:dyDescent="0.2">
      <c r="A56" s="19">
        <v>21</v>
      </c>
      <c r="B56" s="177" t="s">
        <v>461</v>
      </c>
      <c r="C56" s="178"/>
      <c r="D56" s="14">
        <f>IF(F3="1",SUMIF(Data!A:A,'6'!$A$2,Data!DO:DO),0)</f>
        <v>0</v>
      </c>
      <c r="E56" s="17">
        <f>IF($F$3="1",SUMIF(Data!$A:$A,$A$2,Data!JI:JI),0)</f>
        <v>0</v>
      </c>
      <c r="F56" s="21" t="str">
        <f t="shared" si="3"/>
        <v/>
      </c>
    </row>
    <row r="57" spans="1:6" x14ac:dyDescent="0.2">
      <c r="A57" s="19">
        <v>22</v>
      </c>
      <c r="B57" s="177" t="s">
        <v>19</v>
      </c>
      <c r="C57" s="178"/>
      <c r="D57" s="14">
        <f>IF(F3="1",SUMIF(Data!A:A,'6'!$A$2,Data!DP:DP),0)</f>
        <v>0</v>
      </c>
      <c r="E57" s="17">
        <f>IF($F$3="1",SUMIF(Data!$A:$A,$A$2,Data!JJ:JJ),0)</f>
        <v>0</v>
      </c>
      <c r="F57" s="21" t="str">
        <f t="shared" si="3"/>
        <v/>
      </c>
    </row>
    <row r="58" spans="1:6" x14ac:dyDescent="0.2">
      <c r="A58" s="19">
        <v>23</v>
      </c>
      <c r="B58" s="177" t="s">
        <v>20</v>
      </c>
      <c r="C58" s="178"/>
      <c r="D58" s="14">
        <f>IF(F3="1",SUMIF(Data!A:A,'6'!$A$2,Data!DQ:DQ),0)</f>
        <v>288720</v>
      </c>
      <c r="E58" s="17">
        <f>IF($F$3="1",SUMIF(Data!$A:$A,$A$2,Data!JK:JK),0)</f>
        <v>107851</v>
      </c>
      <c r="F58" s="21">
        <f t="shared" si="3"/>
        <v>0.37</v>
      </c>
    </row>
    <row r="59" spans="1:6" x14ac:dyDescent="0.2">
      <c r="A59" s="19">
        <v>24</v>
      </c>
      <c r="B59" s="177" t="s">
        <v>21</v>
      </c>
      <c r="C59" s="178"/>
      <c r="D59" s="14">
        <f>IF(F3="1",SUMIF(Data!A:A,'6'!$A$2,Data!DR:DR),0)</f>
        <v>122032</v>
      </c>
      <c r="E59" s="17">
        <f>IF($F$3="1",SUMIF(Data!$A:$A,$A$2,Data!JL:JL),0)</f>
        <v>8464</v>
      </c>
      <c r="F59" s="21">
        <f t="shared" si="3"/>
        <v>7.0000000000000007E-2</v>
      </c>
    </row>
    <row r="60" spans="1:6" x14ac:dyDescent="0.2">
      <c r="A60" s="19">
        <v>25</v>
      </c>
      <c r="B60" s="177" t="s">
        <v>22</v>
      </c>
      <c r="C60" s="178"/>
      <c r="D60" s="14">
        <f>IF(F3="1",SUMIF(Data!A:A,'6'!$A$2,Data!DS:DS),0)</f>
        <v>1341552</v>
      </c>
      <c r="E60" s="17">
        <f>IF($F$3="1",SUMIF(Data!$A:$A,$A$2,Data!JM:JM),0)</f>
        <v>125466</v>
      </c>
      <c r="F60" s="21">
        <f t="shared" si="3"/>
        <v>0.09</v>
      </c>
    </row>
    <row r="61" spans="1:6" x14ac:dyDescent="0.2">
      <c r="A61" s="19">
        <v>26</v>
      </c>
      <c r="B61" s="177" t="s">
        <v>23</v>
      </c>
      <c r="C61" s="178"/>
      <c r="D61" s="14">
        <f>IF(F3="1",SUMIF(Data!A:A,'6'!$A$2,Data!DT:DT),0)</f>
        <v>70392</v>
      </c>
      <c r="E61" s="17">
        <f>IF($F$3="1",SUMIF(Data!$A:$A,$A$2,Data!JN:JN),0)</f>
        <v>86756</v>
      </c>
      <c r="F61" s="21">
        <f t="shared" si="3"/>
        <v>1.23</v>
      </c>
    </row>
    <row r="62" spans="1:6" x14ac:dyDescent="0.2">
      <c r="A62" s="19">
        <v>28</v>
      </c>
      <c r="B62" s="177" t="s">
        <v>24</v>
      </c>
      <c r="C62" s="178"/>
      <c r="D62" s="14">
        <f>IF(F3="1",SUMIF(Data!A:A,'6'!$A$2,Data!DV:DV),0)</f>
        <v>0</v>
      </c>
      <c r="E62" s="17">
        <f>IF($F$3="1",SUMIF(Data!$A:$A,$A$2,Data!JP:JP),0)</f>
        <v>0</v>
      </c>
      <c r="F62" s="21" t="str">
        <f t="shared" si="3"/>
        <v/>
      </c>
    </row>
    <row r="63" spans="1:6" ht="15.75" customHeight="1" thickBot="1" x14ac:dyDescent="0.25">
      <c r="A63" s="22">
        <v>29</v>
      </c>
      <c r="B63" s="179" t="s">
        <v>25</v>
      </c>
      <c r="C63" s="180"/>
      <c r="D63" s="23">
        <f>IF(F3="1",SUMIF(Data!A:A,'6'!$A$2,Data!DW:DW),0)</f>
        <v>0</v>
      </c>
      <c r="E63" s="24">
        <f>IF($F$3="1",SUMIF(Data!$A:$A,$A$2,Data!JQ:JQ),0)</f>
        <v>0</v>
      </c>
      <c r="F63" s="25" t="str">
        <f t="shared" si="3"/>
        <v/>
      </c>
    </row>
    <row r="64" spans="1:6" x14ac:dyDescent="0.2">
      <c r="B64" s="30" t="s">
        <v>35</v>
      </c>
      <c r="C64" s="30"/>
      <c r="D64" s="59">
        <f>SUM(D36:D63)</f>
        <v>5320729</v>
      </c>
      <c r="E64" s="31">
        <f>SUM(E36:E63)</f>
        <v>1964171</v>
      </c>
      <c r="F64" s="32">
        <f t="shared" si="3"/>
        <v>0.37</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16624</v>
      </c>
      <c r="E67" s="15">
        <f>IF(F3="1",SUMIF(Data!A:A,'6'!$A$2,Data!DY:DY),0)</f>
        <v>96637</v>
      </c>
      <c r="F67" s="20">
        <f t="shared" ref="F67:F95" si="4">IF(OR(D67=0,E67=0),"",ROUND(E67/D67,2))</f>
        <v>5.81</v>
      </c>
    </row>
    <row r="68" spans="1:6" x14ac:dyDescent="0.2">
      <c r="A68" s="19">
        <v>2</v>
      </c>
      <c r="B68" s="177" t="s">
        <v>1</v>
      </c>
      <c r="C68" s="178"/>
      <c r="D68" s="14">
        <f t="shared" ref="D68:D94" si="5">D37</f>
        <v>4465</v>
      </c>
      <c r="E68" s="17">
        <f>IF(F3="1",SUMIF(Data!A:A,'6'!$A$2,Data!DZ:DZ),0)</f>
        <v>1512</v>
      </c>
      <c r="F68" s="21">
        <f t="shared" si="4"/>
        <v>0.34</v>
      </c>
    </row>
    <row r="69" spans="1:6" ht="14.25" customHeight="1" x14ac:dyDescent="0.2">
      <c r="A69" s="19">
        <v>3</v>
      </c>
      <c r="B69" s="177" t="s">
        <v>2</v>
      </c>
      <c r="C69" s="178"/>
      <c r="D69" s="14">
        <f t="shared" si="5"/>
        <v>923808</v>
      </c>
      <c r="E69" s="17">
        <f>IF(F3="1",SUMIF(Data!A:A,'6'!$A$2,Data!EA:EA),0)</f>
        <v>1521027</v>
      </c>
      <c r="F69" s="21">
        <f t="shared" si="4"/>
        <v>1.65</v>
      </c>
    </row>
    <row r="70" spans="1:6" ht="14.25" customHeight="1" x14ac:dyDescent="0.2">
      <c r="A70" s="19">
        <v>4</v>
      </c>
      <c r="B70" s="177" t="s">
        <v>3</v>
      </c>
      <c r="C70" s="178"/>
      <c r="D70" s="14">
        <f t="shared" si="5"/>
        <v>295984</v>
      </c>
      <c r="E70" s="17">
        <f>IF(F3="1",SUMIF(Data!A:A,'6'!$A$2,Data!EB:EB),0)</f>
        <v>1063541</v>
      </c>
      <c r="F70" s="21">
        <f t="shared" si="4"/>
        <v>3.59</v>
      </c>
    </row>
    <row r="71" spans="1:6" x14ac:dyDescent="0.2">
      <c r="A71" s="19">
        <v>5</v>
      </c>
      <c r="B71" s="177" t="s">
        <v>4</v>
      </c>
      <c r="C71" s="178"/>
      <c r="D71" s="14">
        <f t="shared" si="5"/>
        <v>0</v>
      </c>
      <c r="E71" s="17">
        <f>IF(F3="1",SUMIF(Data!A:A,'6'!$A$2,Data!EC:EC),0)</f>
        <v>0</v>
      </c>
      <c r="F71" s="21" t="str">
        <f t="shared" si="4"/>
        <v/>
      </c>
    </row>
    <row r="72" spans="1:6" x14ac:dyDescent="0.2">
      <c r="A72" s="19">
        <v>6</v>
      </c>
      <c r="B72" s="177" t="s">
        <v>5</v>
      </c>
      <c r="C72" s="178"/>
      <c r="D72" s="14">
        <f t="shared" si="5"/>
        <v>21104</v>
      </c>
      <c r="E72" s="17">
        <f>IF(F3="1",SUMIF(Data!A:A,'6'!$A$2,Data!ED:ED),0)</f>
        <v>53416</v>
      </c>
      <c r="F72" s="21">
        <f t="shared" si="4"/>
        <v>2.5299999999999998</v>
      </c>
    </row>
    <row r="73" spans="1:6" x14ac:dyDescent="0.2">
      <c r="A73" s="19">
        <v>7</v>
      </c>
      <c r="B73" s="177" t="s">
        <v>6</v>
      </c>
      <c r="C73" s="178"/>
      <c r="D73" s="14">
        <f t="shared" si="5"/>
        <v>174912</v>
      </c>
      <c r="E73" s="17">
        <f>IF(F3="1",SUMIF(Data!A:A,'6'!$A$2,Data!EE:EE),0)</f>
        <v>325156</v>
      </c>
      <c r="F73" s="21">
        <f t="shared" si="4"/>
        <v>1.86</v>
      </c>
    </row>
    <row r="74" spans="1:6" x14ac:dyDescent="0.2">
      <c r="A74" s="19">
        <v>8</v>
      </c>
      <c r="B74" s="177" t="s">
        <v>7</v>
      </c>
      <c r="C74" s="178"/>
      <c r="D74" s="14">
        <f t="shared" si="5"/>
        <v>0</v>
      </c>
      <c r="E74" s="17">
        <f>IF(F3="1",SUMIF(Data!A:A,'6'!$A$2,Data!EF:EF),0)</f>
        <v>0</v>
      </c>
      <c r="F74" s="21" t="str">
        <f t="shared" si="4"/>
        <v/>
      </c>
    </row>
    <row r="75" spans="1:6" x14ac:dyDescent="0.2">
      <c r="A75" s="19">
        <v>9</v>
      </c>
      <c r="B75" s="177" t="s">
        <v>8</v>
      </c>
      <c r="C75" s="178"/>
      <c r="D75" s="14">
        <f t="shared" si="5"/>
        <v>69136</v>
      </c>
      <c r="E75" s="17">
        <f>IF(F3="1",SUMIF(Data!A:A,'6'!$A$2,Data!EG:EG),0)</f>
        <v>104010</v>
      </c>
      <c r="F75" s="21">
        <f t="shared" si="4"/>
        <v>1.5</v>
      </c>
    </row>
    <row r="76" spans="1:6" x14ac:dyDescent="0.2">
      <c r="A76" s="19">
        <v>10</v>
      </c>
      <c r="B76" s="177" t="s">
        <v>9</v>
      </c>
      <c r="C76" s="178"/>
      <c r="D76" s="14">
        <f t="shared" si="5"/>
        <v>0</v>
      </c>
      <c r="E76" s="17">
        <f>IF(F3="1",SUMIF(Data!A:A,'6'!$A$2,Data!EH:EH),0)</f>
        <v>0</v>
      </c>
      <c r="F76" s="21" t="str">
        <f t="shared" si="4"/>
        <v/>
      </c>
    </row>
    <row r="77" spans="1:6" x14ac:dyDescent="0.2">
      <c r="A77" s="19">
        <v>11</v>
      </c>
      <c r="B77" s="177" t="s">
        <v>10</v>
      </c>
      <c r="C77" s="178"/>
      <c r="D77" s="14">
        <f t="shared" si="5"/>
        <v>0</v>
      </c>
      <c r="E77" s="17">
        <f>IF(F3="1",SUMIF(Data!A:A,'6'!$A$2,Data!EI:EI),0)</f>
        <v>0</v>
      </c>
      <c r="F77" s="21" t="str">
        <f t="shared" si="4"/>
        <v/>
      </c>
    </row>
    <row r="78" spans="1:6" ht="14.25" customHeight="1" x14ac:dyDescent="0.2">
      <c r="A78" s="19">
        <v>12</v>
      </c>
      <c r="B78" s="177" t="s">
        <v>11</v>
      </c>
      <c r="C78" s="178"/>
      <c r="D78" s="14">
        <f t="shared" si="5"/>
        <v>922912</v>
      </c>
      <c r="E78" s="17">
        <f>IF(F3="1",SUMIF(Data!A:A,'6'!$A$2,Data!EJ:EJ),0)</f>
        <v>2533949</v>
      </c>
      <c r="F78" s="21">
        <f t="shared" si="4"/>
        <v>2.75</v>
      </c>
    </row>
    <row r="79" spans="1:6" x14ac:dyDescent="0.2">
      <c r="A79" s="19">
        <v>13</v>
      </c>
      <c r="B79" s="177" t="s">
        <v>12</v>
      </c>
      <c r="C79" s="178"/>
      <c r="D79" s="14">
        <f t="shared" si="5"/>
        <v>123552</v>
      </c>
      <c r="E79" s="17">
        <f>IF(F3="1",SUMIF(Data!A:A,'6'!$A$2,Data!EK:EK),0)</f>
        <v>289676</v>
      </c>
      <c r="F79" s="21">
        <f t="shared" si="4"/>
        <v>2.34</v>
      </c>
    </row>
    <row r="80" spans="1:6" ht="14.25" customHeight="1" x14ac:dyDescent="0.2">
      <c r="A80" s="19">
        <v>14</v>
      </c>
      <c r="B80" s="177" t="s">
        <v>464</v>
      </c>
      <c r="C80" s="178"/>
      <c r="D80" s="14">
        <f t="shared" si="5"/>
        <v>89920</v>
      </c>
      <c r="E80" s="17">
        <f>IF(F3="1",SUMIF(Data!A:A,'6'!$A$2,Data!EL:EL),0)</f>
        <v>404967</v>
      </c>
      <c r="F80" s="21">
        <f t="shared" si="4"/>
        <v>4.5</v>
      </c>
    </row>
    <row r="81" spans="1:6" x14ac:dyDescent="0.2">
      <c r="A81" s="19">
        <v>15</v>
      </c>
      <c r="B81" s="177" t="s">
        <v>13</v>
      </c>
      <c r="C81" s="178"/>
      <c r="D81" s="14">
        <f t="shared" si="5"/>
        <v>16128</v>
      </c>
      <c r="E81" s="17">
        <f>IF(F3="1",SUMIF(Data!A:A,'6'!$A$2,Data!EM:EM),0)</f>
        <v>166141</v>
      </c>
      <c r="F81" s="21">
        <f t="shared" si="4"/>
        <v>10.3</v>
      </c>
    </row>
    <row r="82" spans="1:6" x14ac:dyDescent="0.2">
      <c r="A82" s="19">
        <v>16</v>
      </c>
      <c r="B82" s="177" t="s">
        <v>14</v>
      </c>
      <c r="C82" s="178"/>
      <c r="D82" s="14">
        <f t="shared" si="5"/>
        <v>197296</v>
      </c>
      <c r="E82" s="17">
        <f>IF(F3="1",SUMIF(Data!A:A,'6'!$A$2,Data!EN:EN),0)</f>
        <v>393583</v>
      </c>
      <c r="F82" s="21">
        <f t="shared" si="4"/>
        <v>1.99</v>
      </c>
    </row>
    <row r="83" spans="1:6" x14ac:dyDescent="0.2">
      <c r="A83" s="19">
        <v>17</v>
      </c>
      <c r="B83" s="177" t="s">
        <v>15</v>
      </c>
      <c r="C83" s="178"/>
      <c r="D83" s="14">
        <f t="shared" si="5"/>
        <v>0</v>
      </c>
      <c r="E83" s="17">
        <f>IF(F3="1",SUMIF(Data!A:A,'6'!$A$2,Data!EO:EO),0)</f>
        <v>0</v>
      </c>
      <c r="F83" s="21" t="str">
        <f t="shared" si="4"/>
        <v/>
      </c>
    </row>
    <row r="84" spans="1:6" x14ac:dyDescent="0.2">
      <c r="A84" s="19">
        <v>18</v>
      </c>
      <c r="B84" s="177" t="s">
        <v>16</v>
      </c>
      <c r="C84" s="178"/>
      <c r="D84" s="14">
        <f t="shared" si="5"/>
        <v>4704</v>
      </c>
      <c r="E84" s="17">
        <f>IF(F3="1",SUMIF(Data!A:A,'6'!$A$2,Data!EP:EP),0)</f>
        <v>195718</v>
      </c>
      <c r="F84" s="21">
        <f t="shared" si="4"/>
        <v>41.61</v>
      </c>
    </row>
    <row r="85" spans="1:6" x14ac:dyDescent="0.2">
      <c r="A85" s="19">
        <v>19</v>
      </c>
      <c r="B85" s="177" t="s">
        <v>17</v>
      </c>
      <c r="C85" s="178"/>
      <c r="D85" s="14">
        <f t="shared" si="5"/>
        <v>637488</v>
      </c>
      <c r="E85" s="17">
        <f>IF(F3="1",SUMIF(Data!A:A,'6'!$A$2,Data!EQ:EQ),0)</f>
        <v>1587070</v>
      </c>
      <c r="F85" s="21">
        <f t="shared" si="4"/>
        <v>2.4900000000000002</v>
      </c>
    </row>
    <row r="86" spans="1:6" x14ac:dyDescent="0.2">
      <c r="A86" s="19">
        <v>20</v>
      </c>
      <c r="B86" s="177" t="s">
        <v>18</v>
      </c>
      <c r="C86" s="178"/>
      <c r="D86" s="14">
        <f t="shared" si="5"/>
        <v>0</v>
      </c>
      <c r="E86" s="17">
        <f>IF(F3="1",SUMIF(Data!A:A,'6'!$A$2,Data!ER:ER),0)</f>
        <v>0</v>
      </c>
      <c r="F86" s="21" t="str">
        <f t="shared" si="4"/>
        <v/>
      </c>
    </row>
    <row r="87" spans="1:6" ht="14.25" customHeight="1" x14ac:dyDescent="0.2">
      <c r="A87" s="19">
        <v>21</v>
      </c>
      <c r="B87" s="177" t="s">
        <v>461</v>
      </c>
      <c r="C87" s="178"/>
      <c r="D87" s="14">
        <f t="shared" si="5"/>
        <v>0</v>
      </c>
      <c r="E87" s="17">
        <f>IF(F3="1",SUMIF(Data!A:A,'6'!$A$2,Data!ES:ES),0)</f>
        <v>0</v>
      </c>
      <c r="F87" s="21" t="str">
        <f t="shared" si="4"/>
        <v/>
      </c>
    </row>
    <row r="88" spans="1:6" x14ac:dyDescent="0.2">
      <c r="A88" s="19">
        <v>22</v>
      </c>
      <c r="B88" s="177" t="s">
        <v>19</v>
      </c>
      <c r="C88" s="178"/>
      <c r="D88" s="14">
        <f t="shared" si="5"/>
        <v>0</v>
      </c>
      <c r="E88" s="17">
        <f>IF(F3="1",SUMIF(Data!A:A,'6'!$A$2,Data!ET:ET),0)</f>
        <v>0</v>
      </c>
      <c r="F88" s="21" t="str">
        <f t="shared" si="4"/>
        <v/>
      </c>
    </row>
    <row r="89" spans="1:6" x14ac:dyDescent="0.2">
      <c r="A89" s="19">
        <v>23</v>
      </c>
      <c r="B89" s="177" t="s">
        <v>20</v>
      </c>
      <c r="C89" s="178"/>
      <c r="D89" s="14">
        <f t="shared" si="5"/>
        <v>288720</v>
      </c>
      <c r="E89" s="17">
        <f>IF(F3="1",SUMIF(Data!A:A,'6'!$A$2,Data!EU:EU),0)</f>
        <v>621690</v>
      </c>
      <c r="F89" s="21">
        <f t="shared" si="4"/>
        <v>2.15</v>
      </c>
    </row>
    <row r="90" spans="1:6" x14ac:dyDescent="0.2">
      <c r="A90" s="19">
        <v>24</v>
      </c>
      <c r="B90" s="177" t="s">
        <v>21</v>
      </c>
      <c r="C90" s="178"/>
      <c r="D90" s="14">
        <f t="shared" si="5"/>
        <v>122032</v>
      </c>
      <c r="E90" s="17">
        <f>IF(F3="1",SUMIF(Data!A:A,'6'!$A$2,Data!EV:EV),0)</f>
        <v>157804</v>
      </c>
      <c r="F90" s="21">
        <f t="shared" si="4"/>
        <v>1.29</v>
      </c>
    </row>
    <row r="91" spans="1:6" x14ac:dyDescent="0.2">
      <c r="A91" s="19">
        <v>25</v>
      </c>
      <c r="B91" s="177" t="s">
        <v>22</v>
      </c>
      <c r="C91" s="178"/>
      <c r="D91" s="14">
        <f t="shared" si="5"/>
        <v>1341552</v>
      </c>
      <c r="E91" s="17">
        <f>IF(F3="1",SUMIF(Data!A:A,'6'!$A$2,Data!EW:EW),0)</f>
        <v>2500300</v>
      </c>
      <c r="F91" s="21">
        <f t="shared" si="4"/>
        <v>1.86</v>
      </c>
    </row>
    <row r="92" spans="1:6" x14ac:dyDescent="0.2">
      <c r="A92" s="19">
        <v>26</v>
      </c>
      <c r="B92" s="177" t="s">
        <v>23</v>
      </c>
      <c r="C92" s="178"/>
      <c r="D92" s="14">
        <f t="shared" si="5"/>
        <v>70392</v>
      </c>
      <c r="E92" s="17">
        <f>IF(F3="1",SUMIF(Data!A:A,'6'!$A$2,Data!EX:EX),0)</f>
        <v>242857</v>
      </c>
      <c r="F92" s="21">
        <f t="shared" si="4"/>
        <v>3.45</v>
      </c>
    </row>
    <row r="93" spans="1:6" x14ac:dyDescent="0.2">
      <c r="A93" s="19">
        <v>28</v>
      </c>
      <c r="B93" s="177" t="s">
        <v>24</v>
      </c>
      <c r="C93" s="178"/>
      <c r="D93" s="14">
        <f t="shared" si="5"/>
        <v>0</v>
      </c>
      <c r="E93" s="17">
        <f>IF(F3="1",SUMIF(Data!A:A,'6'!$A$2,Data!EZ:EZ),0)</f>
        <v>0</v>
      </c>
      <c r="F93" s="21" t="str">
        <f t="shared" si="4"/>
        <v/>
      </c>
    </row>
    <row r="94" spans="1:6" ht="15.75" customHeight="1" thickBot="1" x14ac:dyDescent="0.25">
      <c r="A94" s="22">
        <v>29</v>
      </c>
      <c r="B94" s="179" t="s">
        <v>25</v>
      </c>
      <c r="C94" s="180"/>
      <c r="D94" s="23">
        <f t="shared" si="5"/>
        <v>0</v>
      </c>
      <c r="E94" s="24">
        <f>IF(F3="1",SUMIF(Data!A:A,'6'!$A$2,Data!FA:FA),0)</f>
        <v>0</v>
      </c>
      <c r="F94" s="25" t="str">
        <f t="shared" si="4"/>
        <v/>
      </c>
    </row>
    <row r="95" spans="1:6" x14ac:dyDescent="0.2">
      <c r="B95" s="30" t="s">
        <v>35</v>
      </c>
      <c r="C95" s="30"/>
      <c r="D95" s="59">
        <f>SUM(D67:D94)</f>
        <v>5320729</v>
      </c>
      <c r="E95" s="31">
        <f>SUM(E67:E94)</f>
        <v>12259054</v>
      </c>
      <c r="F95" s="32">
        <f t="shared" si="4"/>
        <v>2.2999999999999998</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IF(F3="1",SUMIF(Data!A:A,'6'!$A$2,Data!AH:AH),0)</f>
        <v>2923610</v>
      </c>
      <c r="F98" s="20">
        <f>IF(OR(E98=0,E98=0),"",ROUND(E98/$D$105,2))</f>
        <v>0.55000000000000004</v>
      </c>
    </row>
    <row r="99" spans="2:6" x14ac:dyDescent="0.2">
      <c r="B99" s="183" t="s">
        <v>31</v>
      </c>
      <c r="C99" s="184"/>
      <c r="D99" s="36"/>
      <c r="E99" s="17">
        <f>IF(F3="1",SUMIF(Data!A:A,'6'!$A$2,Data!AI:AI),0)</f>
        <v>2231693</v>
      </c>
      <c r="F99" s="21">
        <f t="shared" ref="F99:F104" si="6">IF(OR(E99=0,E99=0),"",ROUND(E99/$D$105,2))</f>
        <v>0.42</v>
      </c>
    </row>
    <row r="100" spans="2:6" x14ac:dyDescent="0.2">
      <c r="B100" s="183" t="s">
        <v>1078</v>
      </c>
      <c r="C100" s="184"/>
      <c r="D100" s="36"/>
      <c r="E100" s="17">
        <f>IF(F3="1",SUMIF(Data!A:A,'6'!$A$2,Data!AJ:AJ),0)</f>
        <v>939491</v>
      </c>
      <c r="F100" s="21">
        <f t="shared" si="6"/>
        <v>0.18</v>
      </c>
    </row>
    <row r="101" spans="2:6" x14ac:dyDescent="0.2">
      <c r="B101" s="183" t="s">
        <v>1079</v>
      </c>
      <c r="C101" s="184"/>
      <c r="D101" s="36"/>
      <c r="E101" s="17">
        <f>IF(F3="1",SUMIF(Data!A:A,'6'!$A$2,Data!AK:AK),0)</f>
        <v>1516947</v>
      </c>
      <c r="F101" s="21">
        <f t="shared" si="6"/>
        <v>0.28999999999999998</v>
      </c>
    </row>
    <row r="102" spans="2:6" x14ac:dyDescent="0.2">
      <c r="B102" s="183" t="s">
        <v>1080</v>
      </c>
      <c r="C102" s="184"/>
      <c r="D102" s="36"/>
      <c r="E102" s="17">
        <f>IF(F3="1",SUMIF(Data!A:A,'6'!$A$2,Data!AL:AL),0)</f>
        <v>0</v>
      </c>
      <c r="F102" s="21" t="str">
        <f t="shared" si="6"/>
        <v/>
      </c>
    </row>
    <row r="103" spans="2:6" x14ac:dyDescent="0.2">
      <c r="B103" s="185" t="s">
        <v>34</v>
      </c>
      <c r="C103" s="186"/>
      <c r="D103" s="36"/>
      <c r="E103" s="17">
        <f>IF(F3="1",SUMIF(Data!A:A,'6'!$A$2,Data!AM:AM),0)</f>
        <v>0</v>
      </c>
      <c r="F103" s="21" t="str">
        <f t="shared" si="6"/>
        <v/>
      </c>
    </row>
    <row r="104" spans="2:6" ht="15.75" customHeight="1" thickBot="1" x14ac:dyDescent="0.25">
      <c r="B104" s="175" t="s">
        <v>29</v>
      </c>
      <c r="C104" s="176"/>
      <c r="D104" s="37"/>
      <c r="E104" s="24">
        <f>IF(F3="1",SUMIF(Data!A:A,'6'!$A$2,Data!Q:Q),0)</f>
        <v>1835904</v>
      </c>
      <c r="F104" s="25">
        <f t="shared" si="6"/>
        <v>0.35</v>
      </c>
    </row>
    <row r="105" spans="2:6" x14ac:dyDescent="0.2">
      <c r="B105" s="30" t="s">
        <v>35</v>
      </c>
      <c r="C105" s="30"/>
      <c r="D105" s="34">
        <f>D95</f>
        <v>5320729</v>
      </c>
      <c r="E105" s="31">
        <f>SUM(E98:E104)</f>
        <v>9447645</v>
      </c>
      <c r="F105" s="32">
        <f>IF($D$105=0,"",ROUND(E105/$D$105,2))</f>
        <v>1.78</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12259054</v>
      </c>
      <c r="D109" s="15">
        <f>IF(F3="1",SUMIF(Data!$A:$A,$A$2,Data!HJ:HJ),0)</f>
        <v>0</v>
      </c>
      <c r="E109" s="15">
        <f>IF(F3="1",SUMIF(Data!$A:$A,$A$2,Data!IN:IN),0)</f>
        <v>0</v>
      </c>
      <c r="F109" s="47">
        <f>SUM(C109:E109)</f>
        <v>12259054</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1835904</v>
      </c>
      <c r="E117" s="52"/>
      <c r="F117" s="49">
        <f>SUM(C117:E117)</f>
        <v>1835904</v>
      </c>
    </row>
    <row r="118" spans="1:6" x14ac:dyDescent="0.2">
      <c r="B118" s="13" t="s">
        <v>35</v>
      </c>
      <c r="C118" s="4">
        <f>SUM(C109:C116)</f>
        <v>12259054</v>
      </c>
      <c r="D118" s="4">
        <f>SUM(D109:D116)</f>
        <v>0</v>
      </c>
      <c r="E118" s="4">
        <f>SUM(E109:E116)</f>
        <v>0</v>
      </c>
      <c r="F118" s="4">
        <f>SUM(F109:F116)</f>
        <v>12259054</v>
      </c>
    </row>
    <row r="119" spans="1:6" ht="15" thickBot="1" x14ac:dyDescent="0.25"/>
    <row r="120" spans="1:6" ht="15" thickBot="1" x14ac:dyDescent="0.25">
      <c r="B120" s="55" t="s">
        <v>934</v>
      </c>
      <c r="C120" s="53"/>
      <c r="D120" s="53"/>
      <c r="E120" s="53">
        <f>IF(F3="1",SUMIF(Data!A:A,'6'!$A$2,Data!AM:AM),0)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2" width="12.42578125" style="10" bestFit="1" customWidth="1"/>
    <col min="13" max="13" width="12.140625" style="10" bestFit="1" customWidth="1"/>
    <col min="14"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427</v>
      </c>
      <c r="B2" s="58" t="str">
        <f>VLOOKUP(A2,Data!A:G,7,0)</f>
        <v>Brazosport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240</v>
      </c>
      <c r="E5" s="15">
        <f>E36+E67+IFERROR($E$105/$D$105*D5,0)</f>
        <v>1438.9993833484818</v>
      </c>
      <c r="F5" s="20">
        <f>IF(OR(D5=0,E5=0),"",ROUND(E5/D5,2))</f>
        <v>6</v>
      </c>
    </row>
    <row r="6" spans="1:6" x14ac:dyDescent="0.2">
      <c r="A6" s="19">
        <v>2</v>
      </c>
      <c r="B6" s="177" t="s">
        <v>1</v>
      </c>
      <c r="C6" s="178"/>
      <c r="D6" s="14">
        <f t="shared" ref="D6:D32" si="0">D37</f>
        <v>114988</v>
      </c>
      <c r="E6" s="17">
        <f t="shared" ref="E6:E32" si="1">E37+E68+IFERROR($E$105/$D$105*D6,0)</f>
        <v>630417.10455198016</v>
      </c>
      <c r="F6" s="21">
        <f t="shared" ref="F6:F33" si="2">IF(OR(D6=0,E6=0),"",ROUND(E6/D6,2))</f>
        <v>5.48</v>
      </c>
    </row>
    <row r="7" spans="1:6" ht="14.25" customHeight="1" x14ac:dyDescent="0.2">
      <c r="A7" s="19">
        <v>3</v>
      </c>
      <c r="B7" s="177" t="s">
        <v>2</v>
      </c>
      <c r="C7" s="178"/>
      <c r="D7" s="14">
        <f t="shared" si="0"/>
        <v>154720</v>
      </c>
      <c r="E7" s="17">
        <f t="shared" si="1"/>
        <v>951399.60246532131</v>
      </c>
      <c r="F7" s="21">
        <f t="shared" si="2"/>
        <v>6.15</v>
      </c>
    </row>
    <row r="8" spans="1:6" ht="14.25" customHeight="1" x14ac:dyDescent="0.2">
      <c r="A8" s="19">
        <v>4</v>
      </c>
      <c r="B8" s="177" t="s">
        <v>3</v>
      </c>
      <c r="C8" s="178"/>
      <c r="D8" s="14">
        <f t="shared" si="0"/>
        <v>198057</v>
      </c>
      <c r="E8" s="17">
        <f t="shared" si="1"/>
        <v>1094626.0911160428</v>
      </c>
      <c r="F8" s="21">
        <f t="shared" si="2"/>
        <v>5.53</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624</v>
      </c>
      <c r="E10" s="17">
        <f t="shared" si="1"/>
        <v>3454.1983967060532</v>
      </c>
      <c r="F10" s="21">
        <f t="shared" si="2"/>
        <v>5.54</v>
      </c>
    </row>
    <row r="11" spans="1:6" x14ac:dyDescent="0.2">
      <c r="A11" s="19">
        <v>7</v>
      </c>
      <c r="B11" s="177" t="s">
        <v>6</v>
      </c>
      <c r="C11" s="178"/>
      <c r="D11" s="14">
        <f t="shared" si="0"/>
        <v>84355</v>
      </c>
      <c r="E11" s="17">
        <f t="shared" si="1"/>
        <v>497388.78325983835</v>
      </c>
      <c r="F11" s="21">
        <f t="shared" si="2"/>
        <v>5.9</v>
      </c>
    </row>
    <row r="12" spans="1:6" x14ac:dyDescent="0.2">
      <c r="A12" s="19">
        <v>8</v>
      </c>
      <c r="B12" s="177" t="s">
        <v>7</v>
      </c>
      <c r="C12" s="178"/>
      <c r="D12" s="14">
        <f t="shared" si="0"/>
        <v>127056</v>
      </c>
      <c r="E12" s="17">
        <f t="shared" si="1"/>
        <v>563277.47354468633</v>
      </c>
      <c r="F12" s="21">
        <f t="shared" si="2"/>
        <v>4.43</v>
      </c>
    </row>
    <row r="13" spans="1:6" x14ac:dyDescent="0.2">
      <c r="A13" s="19">
        <v>9</v>
      </c>
      <c r="B13" s="177" t="s">
        <v>8</v>
      </c>
      <c r="C13" s="178"/>
      <c r="D13" s="14">
        <f t="shared" si="0"/>
        <v>15087</v>
      </c>
      <c r="E13" s="17">
        <f t="shared" si="1"/>
        <v>63398.561235743946</v>
      </c>
      <c r="F13" s="21">
        <f t="shared" si="2"/>
        <v>4.2</v>
      </c>
    </row>
    <row r="14" spans="1:6" x14ac:dyDescent="0.2">
      <c r="A14" s="19">
        <v>10</v>
      </c>
      <c r="B14" s="177" t="s">
        <v>9</v>
      </c>
      <c r="C14" s="178"/>
      <c r="D14" s="14">
        <f t="shared" si="0"/>
        <v>0</v>
      </c>
      <c r="E14" s="17">
        <f t="shared" si="1"/>
        <v>0</v>
      </c>
      <c r="F14" s="21" t="str">
        <f t="shared" si="2"/>
        <v/>
      </c>
    </row>
    <row r="15" spans="1:6" x14ac:dyDescent="0.2">
      <c r="A15" s="19">
        <v>11</v>
      </c>
      <c r="B15" s="177" t="s">
        <v>10</v>
      </c>
      <c r="C15" s="178"/>
      <c r="D15" s="14">
        <f t="shared" si="0"/>
        <v>106704</v>
      </c>
      <c r="E15" s="17">
        <f t="shared" si="1"/>
        <v>556663.92583673506</v>
      </c>
      <c r="F15" s="21">
        <f t="shared" si="2"/>
        <v>5.22</v>
      </c>
    </row>
    <row r="16" spans="1:6" ht="14.25" customHeight="1" x14ac:dyDescent="0.2">
      <c r="A16" s="19">
        <v>12</v>
      </c>
      <c r="B16" s="177" t="s">
        <v>11</v>
      </c>
      <c r="C16" s="178"/>
      <c r="D16" s="14">
        <f t="shared" si="0"/>
        <v>160896</v>
      </c>
      <c r="E16" s="17">
        <f t="shared" si="1"/>
        <v>1005883.3865968223</v>
      </c>
      <c r="F16" s="21">
        <f t="shared" si="2"/>
        <v>6.25</v>
      </c>
    </row>
    <row r="17" spans="1:6" x14ac:dyDescent="0.2">
      <c r="A17" s="19">
        <v>13</v>
      </c>
      <c r="B17" s="177" t="s">
        <v>12</v>
      </c>
      <c r="C17" s="178"/>
      <c r="D17" s="14">
        <f t="shared" si="0"/>
        <v>13792</v>
      </c>
      <c r="E17" s="17">
        <f t="shared" si="1"/>
        <v>91222.564563092761</v>
      </c>
      <c r="F17" s="21">
        <f t="shared" si="2"/>
        <v>6.61</v>
      </c>
    </row>
    <row r="18" spans="1:6" ht="14.25" customHeight="1" x14ac:dyDescent="0.2">
      <c r="A18" s="19">
        <v>14</v>
      </c>
      <c r="B18" s="177" t="s">
        <v>464</v>
      </c>
      <c r="C18" s="178"/>
      <c r="D18" s="14">
        <f t="shared" si="0"/>
        <v>0</v>
      </c>
      <c r="E18" s="17">
        <f t="shared" si="1"/>
        <v>0</v>
      </c>
      <c r="F18" s="21" t="str">
        <f t="shared" si="2"/>
        <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23312</v>
      </c>
      <c r="E20" s="17">
        <f t="shared" si="1"/>
        <v>161642.54010258254</v>
      </c>
      <c r="F20" s="21">
        <f t="shared" si="2"/>
        <v>6.93</v>
      </c>
    </row>
    <row r="21" spans="1:6" x14ac:dyDescent="0.2">
      <c r="A21" s="19">
        <v>17</v>
      </c>
      <c r="B21" s="177" t="s">
        <v>15</v>
      </c>
      <c r="C21" s="178"/>
      <c r="D21" s="14">
        <f t="shared" si="0"/>
        <v>0</v>
      </c>
      <c r="E21" s="17">
        <f t="shared" si="1"/>
        <v>0</v>
      </c>
      <c r="F21" s="21" t="str">
        <f t="shared" si="2"/>
        <v/>
      </c>
    </row>
    <row r="22" spans="1:6" x14ac:dyDescent="0.2">
      <c r="A22" s="19">
        <v>18</v>
      </c>
      <c r="B22" s="177" t="s">
        <v>16</v>
      </c>
      <c r="C22" s="178"/>
      <c r="D22" s="14">
        <f t="shared" si="0"/>
        <v>20784</v>
      </c>
      <c r="E22" s="17">
        <f t="shared" si="1"/>
        <v>154892.14659797854</v>
      </c>
      <c r="F22" s="21">
        <f t="shared" si="2"/>
        <v>7.45</v>
      </c>
    </row>
    <row r="23" spans="1:6" x14ac:dyDescent="0.2">
      <c r="A23" s="19">
        <v>19</v>
      </c>
      <c r="B23" s="177" t="s">
        <v>17</v>
      </c>
      <c r="C23" s="178"/>
      <c r="D23" s="14">
        <f t="shared" si="0"/>
        <v>179056</v>
      </c>
      <c r="E23" s="17">
        <f t="shared" si="1"/>
        <v>933442.33993685746</v>
      </c>
      <c r="F23" s="21">
        <f t="shared" si="2"/>
        <v>5.21</v>
      </c>
    </row>
    <row r="24" spans="1:6" x14ac:dyDescent="0.2">
      <c r="A24" s="19">
        <v>20</v>
      </c>
      <c r="B24" s="177" t="s">
        <v>18</v>
      </c>
      <c r="C24" s="178"/>
      <c r="D24" s="14">
        <f t="shared" si="0"/>
        <v>10496</v>
      </c>
      <c r="E24" s="17">
        <f t="shared" si="1"/>
        <v>93831.773031773613</v>
      </c>
      <c r="F24" s="21">
        <f t="shared" si="2"/>
        <v>8.94</v>
      </c>
    </row>
    <row r="25" spans="1:6" ht="14.25" customHeight="1" x14ac:dyDescent="0.2">
      <c r="A25" s="19">
        <v>21</v>
      </c>
      <c r="B25" s="177" t="s">
        <v>461</v>
      </c>
      <c r="C25" s="178"/>
      <c r="D25" s="14">
        <f t="shared" si="0"/>
        <v>32720</v>
      </c>
      <c r="E25" s="17">
        <f t="shared" si="1"/>
        <v>215555.91592984303</v>
      </c>
      <c r="F25" s="21">
        <f t="shared" si="2"/>
        <v>6.59</v>
      </c>
    </row>
    <row r="26" spans="1:6" x14ac:dyDescent="0.2">
      <c r="A26" s="19">
        <v>22</v>
      </c>
      <c r="B26" s="177" t="s">
        <v>19</v>
      </c>
      <c r="C26" s="178"/>
      <c r="D26" s="14">
        <f t="shared" si="0"/>
        <v>0</v>
      </c>
      <c r="E26" s="17">
        <f t="shared" si="1"/>
        <v>0</v>
      </c>
      <c r="F26" s="21" t="str">
        <f t="shared" si="2"/>
        <v/>
      </c>
    </row>
    <row r="27" spans="1:6" x14ac:dyDescent="0.2">
      <c r="A27" s="19">
        <v>23</v>
      </c>
      <c r="B27" s="177" t="s">
        <v>20</v>
      </c>
      <c r="C27" s="178"/>
      <c r="D27" s="14">
        <f t="shared" si="0"/>
        <v>29904</v>
      </c>
      <c r="E27" s="17">
        <f t="shared" si="1"/>
        <v>206128.12316522084</v>
      </c>
      <c r="F27" s="21">
        <f t="shared" si="2"/>
        <v>6.89</v>
      </c>
    </row>
    <row r="28" spans="1:6" x14ac:dyDescent="0.2">
      <c r="A28" s="19">
        <v>24</v>
      </c>
      <c r="B28" s="177" t="s">
        <v>21</v>
      </c>
      <c r="C28" s="178"/>
      <c r="D28" s="14">
        <f t="shared" si="0"/>
        <v>32068</v>
      </c>
      <c r="E28" s="17">
        <f t="shared" si="1"/>
        <v>205882.31760507968</v>
      </c>
      <c r="F28" s="21">
        <f t="shared" si="2"/>
        <v>6.42</v>
      </c>
    </row>
    <row r="29" spans="1:6" x14ac:dyDescent="0.2">
      <c r="A29" s="19">
        <v>25</v>
      </c>
      <c r="B29" s="177" t="s">
        <v>22</v>
      </c>
      <c r="C29" s="178"/>
      <c r="D29" s="14">
        <f t="shared" si="0"/>
        <v>208896</v>
      </c>
      <c r="E29" s="17">
        <f t="shared" si="1"/>
        <v>1148888.2632665187</v>
      </c>
      <c r="F29" s="21">
        <f t="shared" si="2"/>
        <v>5.5</v>
      </c>
    </row>
    <row r="30" spans="1:6" x14ac:dyDescent="0.2">
      <c r="A30" s="19">
        <v>26</v>
      </c>
      <c r="B30" s="177" t="s">
        <v>23</v>
      </c>
      <c r="C30" s="178"/>
      <c r="D30" s="14">
        <f t="shared" si="0"/>
        <v>43040</v>
      </c>
      <c r="E30" s="17">
        <f t="shared" si="1"/>
        <v>381748.8894138278</v>
      </c>
      <c r="F30" s="21">
        <f t="shared" si="2"/>
        <v>8.8699999999999992</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1556795</v>
      </c>
      <c r="E33" s="31">
        <f>SUM(E5:E32)</f>
        <v>8961183</v>
      </c>
      <c r="F33" s="32">
        <f t="shared" si="2"/>
        <v>5.76</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IF(F3="1",SUMIF(Data!A:A,'7'!$A$2,Data!CU:CU),0)</f>
        <v>240</v>
      </c>
      <c r="E36" s="15">
        <f>IF(F3="1",SUMIF(Data!$A:$A,$A$2,Data!IO:IO),0)</f>
        <v>68</v>
      </c>
      <c r="F36" s="20">
        <f t="shared" ref="F36:F64" si="3">IF(OR(D36=0,E36=0),"",ROUND(E36/D36,2))</f>
        <v>0.28000000000000003</v>
      </c>
    </row>
    <row r="37" spans="1:6" x14ac:dyDescent="0.2">
      <c r="A37" s="19">
        <v>2</v>
      </c>
      <c r="B37" s="177" t="s">
        <v>1</v>
      </c>
      <c r="C37" s="178"/>
      <c r="D37" s="14">
        <f>IF(F3="1",SUMIF(Data!A:A,'7'!$A$2,Data!CV:CV),0)</f>
        <v>114988</v>
      </c>
      <c r="E37" s="17">
        <f>IF(F3="1",SUMIF(Data!$A:$A,$A$2,Data!IP:IP),0)</f>
        <v>101489</v>
      </c>
      <c r="F37" s="21">
        <f t="shared" si="3"/>
        <v>0.88</v>
      </c>
    </row>
    <row r="38" spans="1:6" ht="14.25" customHeight="1" x14ac:dyDescent="0.2">
      <c r="A38" s="19">
        <v>3</v>
      </c>
      <c r="B38" s="177" t="s">
        <v>2</v>
      </c>
      <c r="C38" s="178"/>
      <c r="D38" s="14">
        <f>IF(F3="1",SUMIF(Data!A:A,'7'!$A$2,Data!CW:CW),0)</f>
        <v>154720</v>
      </c>
      <c r="E38" s="17">
        <f>IF($F$3="1",SUMIF(Data!$A:$A,$A$2,Data!IQ:IQ),0)</f>
        <v>101675</v>
      </c>
      <c r="F38" s="21">
        <f t="shared" si="3"/>
        <v>0.66</v>
      </c>
    </row>
    <row r="39" spans="1:6" ht="14.25" customHeight="1" x14ac:dyDescent="0.2">
      <c r="A39" s="19">
        <v>4</v>
      </c>
      <c r="B39" s="177" t="s">
        <v>3</v>
      </c>
      <c r="C39" s="178"/>
      <c r="D39" s="14">
        <f>IF(F3="1",SUMIF(Data!A:A,'7'!$A$2,Data!CX:CX),0)</f>
        <v>198057</v>
      </c>
      <c r="E39" s="17">
        <f>IF($F$3="1",SUMIF(Data!$A:$A,$A$2,Data!IR:IR),0)</f>
        <v>72316</v>
      </c>
      <c r="F39" s="21">
        <f t="shared" si="3"/>
        <v>0.37</v>
      </c>
    </row>
    <row r="40" spans="1:6" x14ac:dyDescent="0.2">
      <c r="A40" s="19">
        <v>5</v>
      </c>
      <c r="B40" s="177" t="s">
        <v>4</v>
      </c>
      <c r="C40" s="178"/>
      <c r="D40" s="14">
        <f>IF(F3="1",SUMIF(Data!A:A,'7'!$A$2,Data!CY:CY),0)</f>
        <v>0</v>
      </c>
      <c r="E40" s="17">
        <f>IF($F$3="1",SUMIF(Data!$A:$A,$A$2,Data!IS:IS),0)</f>
        <v>0</v>
      </c>
      <c r="F40" s="21" t="str">
        <f t="shared" si="3"/>
        <v/>
      </c>
    </row>
    <row r="41" spans="1:6" x14ac:dyDescent="0.2">
      <c r="A41" s="19">
        <v>6</v>
      </c>
      <c r="B41" s="177" t="s">
        <v>5</v>
      </c>
      <c r="C41" s="178"/>
      <c r="D41" s="14">
        <f>IF(F3="1",SUMIF(Data!A:A,'7'!$A$2,Data!CZ:CZ),0)</f>
        <v>624</v>
      </c>
      <c r="E41" s="17">
        <f>IF($F$3="1",SUMIF(Data!$A:$A,$A$2,Data!IT:IT),0)</f>
        <v>259</v>
      </c>
      <c r="F41" s="21">
        <f t="shared" si="3"/>
        <v>0.42</v>
      </c>
    </row>
    <row r="42" spans="1:6" x14ac:dyDescent="0.2">
      <c r="A42" s="19">
        <v>7</v>
      </c>
      <c r="B42" s="177" t="s">
        <v>6</v>
      </c>
      <c r="C42" s="178"/>
      <c r="D42" s="14">
        <f>IF(F3="1",SUMIF(Data!A:A,'7'!$A$2,Data!DA:DA),0)</f>
        <v>84355</v>
      </c>
      <c r="E42" s="17">
        <f>IF($F$3="1",SUMIF(Data!$A:$A,$A$2,Data!IU:IU),0)</f>
        <v>33593</v>
      </c>
      <c r="F42" s="21">
        <f t="shared" si="3"/>
        <v>0.4</v>
      </c>
    </row>
    <row r="43" spans="1:6" x14ac:dyDescent="0.2">
      <c r="A43" s="19">
        <v>8</v>
      </c>
      <c r="B43" s="177" t="s">
        <v>7</v>
      </c>
      <c r="C43" s="178"/>
      <c r="D43" s="14">
        <f>IF(F3="1",SUMIF(Data!A:A,'7'!$A$2,Data!DB:DB),0)</f>
        <v>127056</v>
      </c>
      <c r="E43" s="17">
        <f>IF($F$3="1",SUMIF(Data!$A:$A,$A$2,Data!IV:IV),0)</f>
        <v>29458</v>
      </c>
      <c r="F43" s="21">
        <f t="shared" si="3"/>
        <v>0.23</v>
      </c>
    </row>
    <row r="44" spans="1:6" x14ac:dyDescent="0.2">
      <c r="A44" s="19">
        <v>9</v>
      </c>
      <c r="B44" s="177" t="s">
        <v>8</v>
      </c>
      <c r="C44" s="178"/>
      <c r="D44" s="14">
        <f>IF(F3="1",SUMIF(Data!A:A,'7'!$A$2,Data!DC:DC),0)</f>
        <v>15087</v>
      </c>
      <c r="E44" s="17">
        <f>IF($F$3="1",SUMIF(Data!$A:$A,$A$2,Data!IW:IW),0)</f>
        <v>1728</v>
      </c>
      <c r="F44" s="21">
        <f t="shared" si="3"/>
        <v>0.11</v>
      </c>
    </row>
    <row r="45" spans="1:6" x14ac:dyDescent="0.2">
      <c r="A45" s="19">
        <v>10</v>
      </c>
      <c r="B45" s="177" t="s">
        <v>9</v>
      </c>
      <c r="C45" s="178"/>
      <c r="D45" s="14">
        <f>IF(F3="1",SUMIF(Data!A:A,'7'!$A$2,Data!DD:DD),0)</f>
        <v>0</v>
      </c>
      <c r="E45" s="17">
        <f>IF($F$3="1",SUMIF(Data!$A:$A,$A$2,Data!IX:IX),0)</f>
        <v>0</v>
      </c>
      <c r="F45" s="21" t="str">
        <f t="shared" si="3"/>
        <v/>
      </c>
    </row>
    <row r="46" spans="1:6" x14ac:dyDescent="0.2">
      <c r="A46" s="19">
        <v>11</v>
      </c>
      <c r="B46" s="177" t="s">
        <v>10</v>
      </c>
      <c r="C46" s="178"/>
      <c r="D46" s="14">
        <f>IF(F3="1",SUMIF(Data!A:A,'7'!$A$2,Data!DE:DE),0)</f>
        <v>106704</v>
      </c>
      <c r="E46" s="17">
        <f>IF($F$3="1",SUMIF(Data!$A:$A,$A$2,Data!IY:IY),0)</f>
        <v>55484</v>
      </c>
      <c r="F46" s="21">
        <f t="shared" si="3"/>
        <v>0.52</v>
      </c>
    </row>
    <row r="47" spans="1:6" ht="14.25" customHeight="1" x14ac:dyDescent="0.2">
      <c r="A47" s="19">
        <v>12</v>
      </c>
      <c r="B47" s="177" t="s">
        <v>11</v>
      </c>
      <c r="C47" s="178"/>
      <c r="D47" s="14">
        <f>IF(F3="1",SUMIF(Data!A:A,'7'!$A$2,Data!DF:DF),0)</f>
        <v>160896</v>
      </c>
      <c r="E47" s="17">
        <f>IF($F$3="1",SUMIF(Data!$A:$A,$A$2,Data!IZ:IZ),0)</f>
        <v>22404</v>
      </c>
      <c r="F47" s="21">
        <f t="shared" si="3"/>
        <v>0.14000000000000001</v>
      </c>
    </row>
    <row r="48" spans="1:6" x14ac:dyDescent="0.2">
      <c r="A48" s="19">
        <v>13</v>
      </c>
      <c r="B48" s="177" t="s">
        <v>12</v>
      </c>
      <c r="C48" s="178"/>
      <c r="D48" s="14">
        <f>IF(F3="1",SUMIF(Data!A:A,'7'!$A$2,Data!DG:DG),0)</f>
        <v>13792</v>
      </c>
      <c r="E48" s="17">
        <f>IF($F$3="1",SUMIF(Data!$A:$A,$A$2,Data!JA:JA),0)</f>
        <v>839</v>
      </c>
      <c r="F48" s="21">
        <f t="shared" si="3"/>
        <v>0.06</v>
      </c>
    </row>
    <row r="49" spans="1:6" ht="14.25" customHeight="1" x14ac:dyDescent="0.2">
      <c r="A49" s="19">
        <v>14</v>
      </c>
      <c r="B49" s="177" t="s">
        <v>464</v>
      </c>
      <c r="C49" s="178"/>
      <c r="D49" s="14">
        <f>IF(F3="1",SUMIF(Data!A:A,'7'!$A$2,Data!DH:DH),0)</f>
        <v>0</v>
      </c>
      <c r="E49" s="17">
        <f>IF($F$3="1",SUMIF(Data!$A:$A,$A$2,Data!JB:JB),0)</f>
        <v>0</v>
      </c>
      <c r="F49" s="21" t="str">
        <f t="shared" si="3"/>
        <v/>
      </c>
    </row>
    <row r="50" spans="1:6" x14ac:dyDescent="0.2">
      <c r="A50" s="19">
        <v>15</v>
      </c>
      <c r="B50" s="177" t="s">
        <v>13</v>
      </c>
      <c r="C50" s="178"/>
      <c r="D50" s="14">
        <f>IF(F3="1",SUMIF(Data!A:A,'7'!$A$2,Data!DI:DI),0)</f>
        <v>0</v>
      </c>
      <c r="E50" s="17">
        <f>IF($F$3="1",SUMIF(Data!$A:$A,$A$2,Data!JC:JC),0)</f>
        <v>0</v>
      </c>
      <c r="F50" s="21" t="str">
        <f t="shared" si="3"/>
        <v/>
      </c>
    </row>
    <row r="51" spans="1:6" x14ac:dyDescent="0.2">
      <c r="A51" s="19">
        <v>16</v>
      </c>
      <c r="B51" s="177" t="s">
        <v>14</v>
      </c>
      <c r="C51" s="178"/>
      <c r="D51" s="14">
        <f>IF(F3="1",SUMIF(Data!A:A,'7'!$A$2,Data!DJ:DJ),0)</f>
        <v>23312</v>
      </c>
      <c r="E51" s="17">
        <f>IF($F$3="1",SUMIF(Data!$A:$A,$A$2,Data!JD:JD),0)</f>
        <v>23233</v>
      </c>
      <c r="F51" s="21">
        <f t="shared" si="3"/>
        <v>1</v>
      </c>
    </row>
    <row r="52" spans="1:6" x14ac:dyDescent="0.2">
      <c r="A52" s="19">
        <v>17</v>
      </c>
      <c r="B52" s="177" t="s">
        <v>15</v>
      </c>
      <c r="C52" s="178"/>
      <c r="D52" s="14">
        <f>IF(F3="1",SUMIF(Data!A:A,'7'!$A$2,Data!DK:DK),0)</f>
        <v>0</v>
      </c>
      <c r="E52" s="17">
        <f>IF($F$3="1",SUMIF(Data!$A:$A,$A$2,Data!JE:JE),0)</f>
        <v>0</v>
      </c>
      <c r="F52" s="21" t="str">
        <f t="shared" si="3"/>
        <v/>
      </c>
    </row>
    <row r="53" spans="1:6" x14ac:dyDescent="0.2">
      <c r="A53" s="19">
        <v>18</v>
      </c>
      <c r="B53" s="177" t="s">
        <v>16</v>
      </c>
      <c r="C53" s="178"/>
      <c r="D53" s="14">
        <f>IF(F3="1",SUMIF(Data!A:A,'7'!$A$2,Data!DL:DL),0)</f>
        <v>20784</v>
      </c>
      <c r="E53" s="17">
        <f>IF($F$3="1",SUMIF(Data!$A:$A,$A$2,Data!JF:JF),0)</f>
        <v>3365</v>
      </c>
      <c r="F53" s="21">
        <f t="shared" si="3"/>
        <v>0.16</v>
      </c>
    </row>
    <row r="54" spans="1:6" x14ac:dyDescent="0.2">
      <c r="A54" s="19">
        <v>19</v>
      </c>
      <c r="B54" s="177" t="s">
        <v>17</v>
      </c>
      <c r="C54" s="178"/>
      <c r="D54" s="14">
        <f>IF(F3="1",SUMIF(Data!A:A,'7'!$A$2,Data!DM:DM),0)</f>
        <v>179056</v>
      </c>
      <c r="E54" s="17">
        <f>IF($F$3="1",SUMIF(Data!$A:$A,$A$2,Data!JG:JG),0)</f>
        <v>34094</v>
      </c>
      <c r="F54" s="21">
        <f t="shared" si="3"/>
        <v>0.19</v>
      </c>
    </row>
    <row r="55" spans="1:6" x14ac:dyDescent="0.2">
      <c r="A55" s="19">
        <v>20</v>
      </c>
      <c r="B55" s="177" t="s">
        <v>18</v>
      </c>
      <c r="C55" s="178"/>
      <c r="D55" s="14">
        <f>IF(F3="1",SUMIF(Data!A:A,'7'!$A$2,Data!DN:DN),0)</f>
        <v>10496</v>
      </c>
      <c r="E55" s="17">
        <f>IF($F$3="1",SUMIF(Data!$A:$A,$A$2,Data!JH:JH),0)</f>
        <v>10420</v>
      </c>
      <c r="F55" s="21">
        <f t="shared" si="3"/>
        <v>0.99</v>
      </c>
    </row>
    <row r="56" spans="1:6" ht="14.25" customHeight="1" x14ac:dyDescent="0.2">
      <c r="A56" s="19">
        <v>21</v>
      </c>
      <c r="B56" s="177" t="s">
        <v>461</v>
      </c>
      <c r="C56" s="178"/>
      <c r="D56" s="14">
        <f>IF(F3="1",SUMIF(Data!A:A,'7'!$A$2,Data!DO:DO),0)</f>
        <v>32720</v>
      </c>
      <c r="E56" s="17">
        <f>IF($F$3="1",SUMIF(Data!$A:$A,$A$2,Data!JI:JI),0)</f>
        <v>36637</v>
      </c>
      <c r="F56" s="21">
        <f t="shared" si="3"/>
        <v>1.1200000000000001</v>
      </c>
    </row>
    <row r="57" spans="1:6" x14ac:dyDescent="0.2">
      <c r="A57" s="19">
        <v>22</v>
      </c>
      <c r="B57" s="177" t="s">
        <v>19</v>
      </c>
      <c r="C57" s="178"/>
      <c r="D57" s="14">
        <f>IF(F3="1",SUMIF(Data!A:A,'7'!$A$2,Data!DP:DP),0)</f>
        <v>0</v>
      </c>
      <c r="E57" s="17">
        <f>IF($F$3="1",SUMIF(Data!$A:$A,$A$2,Data!JJ:JJ),0)</f>
        <v>0</v>
      </c>
      <c r="F57" s="21" t="str">
        <f t="shared" si="3"/>
        <v/>
      </c>
    </row>
    <row r="58" spans="1:6" x14ac:dyDescent="0.2">
      <c r="A58" s="19">
        <v>23</v>
      </c>
      <c r="B58" s="177" t="s">
        <v>20</v>
      </c>
      <c r="C58" s="178"/>
      <c r="D58" s="14">
        <f>IF(F3="1",SUMIF(Data!A:A,'7'!$A$2,Data!DQ:DQ),0)</f>
        <v>29904</v>
      </c>
      <c r="E58" s="17">
        <f>IF($F$3="1",SUMIF(Data!$A:$A,$A$2,Data!JK:JK),0)</f>
        <v>6322</v>
      </c>
      <c r="F58" s="21">
        <f t="shared" si="3"/>
        <v>0.21</v>
      </c>
    </row>
    <row r="59" spans="1:6" x14ac:dyDescent="0.2">
      <c r="A59" s="19">
        <v>24</v>
      </c>
      <c r="B59" s="177" t="s">
        <v>21</v>
      </c>
      <c r="C59" s="178"/>
      <c r="D59" s="14">
        <f>IF(F3="1",SUMIF(Data!A:A,'7'!$A$2,Data!DR:DR),0)</f>
        <v>32068</v>
      </c>
      <c r="E59" s="17">
        <f>IF($F$3="1",SUMIF(Data!$A:$A,$A$2,Data!JL:JL),0)</f>
        <v>15580</v>
      </c>
      <c r="F59" s="21">
        <f t="shared" si="3"/>
        <v>0.49</v>
      </c>
    </row>
    <row r="60" spans="1:6" x14ac:dyDescent="0.2">
      <c r="A60" s="19">
        <v>25</v>
      </c>
      <c r="B60" s="177" t="s">
        <v>22</v>
      </c>
      <c r="C60" s="178"/>
      <c r="D60" s="14">
        <f>IF(F3="1",SUMIF(Data!A:A,'7'!$A$2,Data!DS:DS),0)</f>
        <v>208896</v>
      </c>
      <c r="E60" s="17">
        <f>IF($F$3="1",SUMIF(Data!$A:$A,$A$2,Data!JM:JM),0)</f>
        <v>11007</v>
      </c>
      <c r="F60" s="21">
        <f t="shared" si="3"/>
        <v>0.05</v>
      </c>
    </row>
    <row r="61" spans="1:6" x14ac:dyDescent="0.2">
      <c r="A61" s="19">
        <v>26</v>
      </c>
      <c r="B61" s="177" t="s">
        <v>23</v>
      </c>
      <c r="C61" s="178"/>
      <c r="D61" s="14">
        <f>IF(F3="1",SUMIF(Data!A:A,'7'!$A$2,Data!DT:DT),0)</f>
        <v>43040</v>
      </c>
      <c r="E61" s="17">
        <f>IF($F$3="1",SUMIF(Data!$A:$A,$A$2,Data!JN:JN),0)</f>
        <v>47571</v>
      </c>
      <c r="F61" s="21">
        <f t="shared" si="3"/>
        <v>1.1100000000000001</v>
      </c>
    </row>
    <row r="62" spans="1:6" x14ac:dyDescent="0.2">
      <c r="A62" s="19">
        <v>28</v>
      </c>
      <c r="B62" s="177" t="s">
        <v>24</v>
      </c>
      <c r="C62" s="178"/>
      <c r="D62" s="14">
        <f>IF(F3="1",SUMIF(Data!A:A,'7'!$A$2,Data!DV:DV),0)</f>
        <v>0</v>
      </c>
      <c r="E62" s="17">
        <f>IF($F$3="1",SUMIF(Data!$A:$A,$A$2,Data!JP:JP),0)</f>
        <v>0</v>
      </c>
      <c r="F62" s="21" t="str">
        <f t="shared" si="3"/>
        <v/>
      </c>
    </row>
    <row r="63" spans="1:6" ht="15.75" customHeight="1" thickBot="1" x14ac:dyDescent="0.25">
      <c r="A63" s="22">
        <v>29</v>
      </c>
      <c r="B63" s="179" t="s">
        <v>25</v>
      </c>
      <c r="C63" s="180"/>
      <c r="D63" s="23">
        <f>IF(F3="1",SUMIF(Data!A:A,'7'!$A$2,Data!DW:DW),0)</f>
        <v>0</v>
      </c>
      <c r="E63" s="24">
        <f>IF($F$3="1",SUMIF(Data!$A:$A,$A$2,Data!JQ:JQ),0)</f>
        <v>0</v>
      </c>
      <c r="F63" s="25" t="str">
        <f t="shared" si="3"/>
        <v/>
      </c>
    </row>
    <row r="64" spans="1:6" x14ac:dyDescent="0.2">
      <c r="B64" s="30" t="s">
        <v>35</v>
      </c>
      <c r="C64" s="30"/>
      <c r="D64" s="59">
        <f>SUM(D36:D63)</f>
        <v>1556795</v>
      </c>
      <c r="E64" s="31">
        <f>SUM(E36:E63)</f>
        <v>607542</v>
      </c>
      <c r="F64" s="32">
        <f t="shared" si="3"/>
        <v>0.39</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240</v>
      </c>
      <c r="E67" s="15">
        <f>IF(F3="1",SUMIF(Data!A:A,'7'!$A$2,Data!DY:DY),0)</f>
        <v>699</v>
      </c>
      <c r="F67" s="20">
        <f t="shared" ref="F67:F95" si="4">IF(OR(D67=0,E67=0),"",ROUND(E67/D67,2))</f>
        <v>2.91</v>
      </c>
    </row>
    <row r="68" spans="1:6" x14ac:dyDescent="0.2">
      <c r="A68" s="19">
        <v>2</v>
      </c>
      <c r="B68" s="177" t="s">
        <v>1</v>
      </c>
      <c r="C68" s="178"/>
      <c r="D68" s="14">
        <f t="shared" ref="D68:D94" si="5">D37</f>
        <v>114988</v>
      </c>
      <c r="E68" s="17">
        <f>IF(F3="1",SUMIF(Data!A:A,'7'!$A$2,Data!DZ:DZ),0)</f>
        <v>206962</v>
      </c>
      <c r="F68" s="21">
        <f t="shared" si="4"/>
        <v>1.8</v>
      </c>
    </row>
    <row r="69" spans="1:6" ht="14.25" customHeight="1" x14ac:dyDescent="0.2">
      <c r="A69" s="19">
        <v>3</v>
      </c>
      <c r="B69" s="177" t="s">
        <v>2</v>
      </c>
      <c r="C69" s="178"/>
      <c r="D69" s="14">
        <f t="shared" si="5"/>
        <v>154720</v>
      </c>
      <c r="E69" s="17">
        <f>IF(F3="1",SUMIF(Data!A:A,'7'!$A$2,Data!EA:EA),0)</f>
        <v>416509</v>
      </c>
      <c r="F69" s="21">
        <f t="shared" si="4"/>
        <v>2.69</v>
      </c>
    </row>
    <row r="70" spans="1:6" ht="14.25" customHeight="1" x14ac:dyDescent="0.2">
      <c r="A70" s="19">
        <v>4</v>
      </c>
      <c r="B70" s="177" t="s">
        <v>3</v>
      </c>
      <c r="C70" s="178"/>
      <c r="D70" s="14">
        <f t="shared" si="5"/>
        <v>198057</v>
      </c>
      <c r="E70" s="17">
        <f>IF(F3="1",SUMIF(Data!A:A,'7'!$A$2,Data!EB:EB),0)</f>
        <v>467751</v>
      </c>
      <c r="F70" s="21">
        <f t="shared" si="4"/>
        <v>2.36</v>
      </c>
    </row>
    <row r="71" spans="1:6" x14ac:dyDescent="0.2">
      <c r="A71" s="19">
        <v>5</v>
      </c>
      <c r="B71" s="177" t="s">
        <v>4</v>
      </c>
      <c r="C71" s="178"/>
      <c r="D71" s="14">
        <f t="shared" si="5"/>
        <v>0</v>
      </c>
      <c r="E71" s="17">
        <f>IF(F3="1",SUMIF(Data!A:A,'7'!$A$2,Data!EC:EC),0)</f>
        <v>0</v>
      </c>
      <c r="F71" s="21" t="str">
        <f t="shared" si="4"/>
        <v/>
      </c>
    </row>
    <row r="72" spans="1:6" x14ac:dyDescent="0.2">
      <c r="A72" s="19">
        <v>6</v>
      </c>
      <c r="B72" s="177" t="s">
        <v>5</v>
      </c>
      <c r="C72" s="178"/>
      <c r="D72" s="14">
        <f t="shared" si="5"/>
        <v>624</v>
      </c>
      <c r="E72" s="17">
        <f>IF(F3="1",SUMIF(Data!A:A,'7'!$A$2,Data!ED:ED),0)</f>
        <v>1448</v>
      </c>
      <c r="F72" s="21">
        <f t="shared" si="4"/>
        <v>2.3199999999999998</v>
      </c>
    </row>
    <row r="73" spans="1:6" x14ac:dyDescent="0.2">
      <c r="A73" s="19">
        <v>7</v>
      </c>
      <c r="B73" s="177" t="s">
        <v>6</v>
      </c>
      <c r="C73" s="178"/>
      <c r="D73" s="14">
        <f t="shared" si="5"/>
        <v>84355</v>
      </c>
      <c r="E73" s="17">
        <f>IF(F3="1",SUMIF(Data!A:A,'7'!$A$2,Data!EE:EE),0)</f>
        <v>227602</v>
      </c>
      <c r="F73" s="21">
        <f t="shared" si="4"/>
        <v>2.7</v>
      </c>
    </row>
    <row r="74" spans="1:6" x14ac:dyDescent="0.2">
      <c r="A74" s="19">
        <v>8</v>
      </c>
      <c r="B74" s="177" t="s">
        <v>7</v>
      </c>
      <c r="C74" s="178"/>
      <c r="D74" s="14">
        <f t="shared" si="5"/>
        <v>127056</v>
      </c>
      <c r="E74" s="17">
        <f>IF(F3="1",SUMIF(Data!A:A,'7'!$A$2,Data!EF:EF),0)</f>
        <v>178063</v>
      </c>
      <c r="F74" s="21">
        <f t="shared" si="4"/>
        <v>1.4</v>
      </c>
    </row>
    <row r="75" spans="1:6" x14ac:dyDescent="0.2">
      <c r="A75" s="19">
        <v>9</v>
      </c>
      <c r="B75" s="177" t="s">
        <v>8</v>
      </c>
      <c r="C75" s="178"/>
      <c r="D75" s="14">
        <f t="shared" si="5"/>
        <v>15087</v>
      </c>
      <c r="E75" s="17">
        <f>IF(F3="1",SUMIF(Data!A:A,'7'!$A$2,Data!EG:EG),0)</f>
        <v>19427</v>
      </c>
      <c r="F75" s="21">
        <f t="shared" si="4"/>
        <v>1.29</v>
      </c>
    </row>
    <row r="76" spans="1:6" x14ac:dyDescent="0.2">
      <c r="A76" s="19">
        <v>10</v>
      </c>
      <c r="B76" s="177" t="s">
        <v>9</v>
      </c>
      <c r="C76" s="178"/>
      <c r="D76" s="14">
        <f t="shared" si="5"/>
        <v>0</v>
      </c>
      <c r="E76" s="17">
        <f>IF(F3="1",SUMIF(Data!A:A,'7'!$A$2,Data!EH:EH),0)</f>
        <v>0</v>
      </c>
      <c r="F76" s="21" t="str">
        <f t="shared" si="4"/>
        <v/>
      </c>
    </row>
    <row r="77" spans="1:6" x14ac:dyDescent="0.2">
      <c r="A77" s="19">
        <v>11</v>
      </c>
      <c r="B77" s="177" t="s">
        <v>10</v>
      </c>
      <c r="C77" s="178"/>
      <c r="D77" s="14">
        <f t="shared" si="5"/>
        <v>106704</v>
      </c>
      <c r="E77" s="17">
        <f>IF(F3="1",SUMIF(Data!A:A,'7'!$A$2,Data!EI:EI),0)</f>
        <v>202409</v>
      </c>
      <c r="F77" s="21">
        <f t="shared" si="4"/>
        <v>1.9</v>
      </c>
    </row>
    <row r="78" spans="1:6" ht="14.25" customHeight="1" x14ac:dyDescent="0.2">
      <c r="A78" s="19">
        <v>12</v>
      </c>
      <c r="B78" s="177" t="s">
        <v>11</v>
      </c>
      <c r="C78" s="178"/>
      <c r="D78" s="14">
        <f t="shared" si="5"/>
        <v>160896</v>
      </c>
      <c r="E78" s="17">
        <f>IF(F3="1",SUMIF(Data!A:A,'7'!$A$2,Data!EJ:EJ),0)</f>
        <v>532971</v>
      </c>
      <c r="F78" s="21">
        <f t="shared" si="4"/>
        <v>3.31</v>
      </c>
    </row>
    <row r="79" spans="1:6" x14ac:dyDescent="0.2">
      <c r="A79" s="19">
        <v>13</v>
      </c>
      <c r="B79" s="177" t="s">
        <v>12</v>
      </c>
      <c r="C79" s="178"/>
      <c r="D79" s="14">
        <f t="shared" si="5"/>
        <v>13792</v>
      </c>
      <c r="E79" s="17">
        <f>IF(F3="1",SUMIF(Data!A:A,'7'!$A$2,Data!EK:EK),0)</f>
        <v>51766</v>
      </c>
      <c r="F79" s="21">
        <f t="shared" si="4"/>
        <v>3.75</v>
      </c>
    </row>
    <row r="80" spans="1:6" ht="14.25" customHeight="1" x14ac:dyDescent="0.2">
      <c r="A80" s="19">
        <v>14</v>
      </c>
      <c r="B80" s="177" t="s">
        <v>464</v>
      </c>
      <c r="C80" s="178"/>
      <c r="D80" s="14">
        <f t="shared" si="5"/>
        <v>0</v>
      </c>
      <c r="E80" s="17">
        <f>IF(F3="1",SUMIF(Data!A:A,'7'!$A$2,Data!EL:EL),0)</f>
        <v>0</v>
      </c>
      <c r="F80" s="21" t="str">
        <f t="shared" si="4"/>
        <v/>
      </c>
    </row>
    <row r="81" spans="1:6" x14ac:dyDescent="0.2">
      <c r="A81" s="19">
        <v>15</v>
      </c>
      <c r="B81" s="177" t="s">
        <v>13</v>
      </c>
      <c r="C81" s="178"/>
      <c r="D81" s="14">
        <f t="shared" si="5"/>
        <v>0</v>
      </c>
      <c r="E81" s="17">
        <f>IF(F3="1",SUMIF(Data!A:A,'7'!$A$2,Data!EM:EM),0)</f>
        <v>0</v>
      </c>
      <c r="F81" s="21" t="str">
        <f t="shared" si="4"/>
        <v/>
      </c>
    </row>
    <row r="82" spans="1:6" x14ac:dyDescent="0.2">
      <c r="A82" s="19">
        <v>16</v>
      </c>
      <c r="B82" s="177" t="s">
        <v>14</v>
      </c>
      <c r="C82" s="178"/>
      <c r="D82" s="14">
        <f t="shared" si="5"/>
        <v>23312</v>
      </c>
      <c r="E82" s="17">
        <f>IF(F3="1",SUMIF(Data!A:A,'7'!$A$2,Data!EN:EN),0)</f>
        <v>73136</v>
      </c>
      <c r="F82" s="21">
        <f t="shared" si="4"/>
        <v>3.14</v>
      </c>
    </row>
    <row r="83" spans="1:6" x14ac:dyDescent="0.2">
      <c r="A83" s="19">
        <v>17</v>
      </c>
      <c r="B83" s="177" t="s">
        <v>15</v>
      </c>
      <c r="C83" s="178"/>
      <c r="D83" s="14">
        <f t="shared" si="5"/>
        <v>0</v>
      </c>
      <c r="E83" s="17">
        <f>IF(F3="1",SUMIF(Data!A:A,'7'!$A$2,Data!EO:EO),0)</f>
        <v>0</v>
      </c>
      <c r="F83" s="21" t="str">
        <f t="shared" si="4"/>
        <v/>
      </c>
    </row>
    <row r="84" spans="1:6" x14ac:dyDescent="0.2">
      <c r="A84" s="19">
        <v>18</v>
      </c>
      <c r="B84" s="177" t="s">
        <v>16</v>
      </c>
      <c r="C84" s="178"/>
      <c r="D84" s="14">
        <f t="shared" si="5"/>
        <v>20784</v>
      </c>
      <c r="E84" s="17">
        <f>IF(F3="1",SUMIF(Data!A:A,'7'!$A$2,Data!EP:EP),0)</f>
        <v>93332</v>
      </c>
      <c r="F84" s="21">
        <f t="shared" si="4"/>
        <v>4.49</v>
      </c>
    </row>
    <row r="85" spans="1:6" x14ac:dyDescent="0.2">
      <c r="A85" s="19">
        <v>19</v>
      </c>
      <c r="B85" s="177" t="s">
        <v>17</v>
      </c>
      <c r="C85" s="178"/>
      <c r="D85" s="14">
        <f t="shared" si="5"/>
        <v>179056</v>
      </c>
      <c r="E85" s="17">
        <f>IF(F3="1",SUMIF(Data!A:A,'7'!$A$2,Data!EQ:EQ),0)</f>
        <v>397992</v>
      </c>
      <c r="F85" s="21">
        <f t="shared" si="4"/>
        <v>2.2200000000000002</v>
      </c>
    </row>
    <row r="86" spans="1:6" x14ac:dyDescent="0.2">
      <c r="A86" s="19">
        <v>20</v>
      </c>
      <c r="B86" s="177" t="s">
        <v>18</v>
      </c>
      <c r="C86" s="178"/>
      <c r="D86" s="14">
        <f t="shared" si="5"/>
        <v>10496</v>
      </c>
      <c r="E86" s="17">
        <f>IF(F3="1",SUMIF(Data!A:A,'7'!$A$2,Data!ER:ER),0)</f>
        <v>54023</v>
      </c>
      <c r="F86" s="21">
        <f t="shared" si="4"/>
        <v>5.15</v>
      </c>
    </row>
    <row r="87" spans="1:6" ht="14.25" customHeight="1" x14ac:dyDescent="0.2">
      <c r="A87" s="19">
        <v>21</v>
      </c>
      <c r="B87" s="177" t="s">
        <v>461</v>
      </c>
      <c r="C87" s="178"/>
      <c r="D87" s="14">
        <f t="shared" si="5"/>
        <v>32720</v>
      </c>
      <c r="E87" s="17">
        <f>IF(F3="1",SUMIF(Data!A:A,'7'!$A$2,Data!ES:ES),0)</f>
        <v>87303</v>
      </c>
      <c r="F87" s="21">
        <f t="shared" si="4"/>
        <v>2.67</v>
      </c>
    </row>
    <row r="88" spans="1:6" x14ac:dyDescent="0.2">
      <c r="A88" s="19">
        <v>22</v>
      </c>
      <c r="B88" s="177" t="s">
        <v>19</v>
      </c>
      <c r="C88" s="178"/>
      <c r="D88" s="14">
        <f t="shared" si="5"/>
        <v>0</v>
      </c>
      <c r="E88" s="17">
        <f>IF(F3="1",SUMIF(Data!A:A,'7'!$A$2,Data!ET:ET),0)</f>
        <v>0</v>
      </c>
      <c r="F88" s="21" t="str">
        <f t="shared" si="4"/>
        <v/>
      </c>
    </row>
    <row r="89" spans="1:6" x14ac:dyDescent="0.2">
      <c r="A89" s="19">
        <v>23</v>
      </c>
      <c r="B89" s="177" t="s">
        <v>20</v>
      </c>
      <c r="C89" s="178"/>
      <c r="D89" s="14">
        <f t="shared" si="5"/>
        <v>29904</v>
      </c>
      <c r="E89" s="17">
        <f>IF(F3="1",SUMIF(Data!A:A,'7'!$A$2,Data!EU:EU),0)</f>
        <v>116075</v>
      </c>
      <c r="F89" s="21">
        <f t="shared" si="4"/>
        <v>3.88</v>
      </c>
    </row>
    <row r="90" spans="1:6" x14ac:dyDescent="0.2">
      <c r="A90" s="19">
        <v>24</v>
      </c>
      <c r="B90" s="177" t="s">
        <v>21</v>
      </c>
      <c r="C90" s="178"/>
      <c r="D90" s="14">
        <f t="shared" si="5"/>
        <v>32068</v>
      </c>
      <c r="E90" s="17">
        <f>IF(F3="1",SUMIF(Data!A:A,'7'!$A$2,Data!EV:EV),0)</f>
        <v>100512</v>
      </c>
      <c r="F90" s="21">
        <f t="shared" si="4"/>
        <v>3.13</v>
      </c>
    </row>
    <row r="91" spans="1:6" x14ac:dyDescent="0.2">
      <c r="A91" s="19">
        <v>25</v>
      </c>
      <c r="B91" s="177" t="s">
        <v>22</v>
      </c>
      <c r="C91" s="178"/>
      <c r="D91" s="14">
        <f t="shared" si="5"/>
        <v>208896</v>
      </c>
      <c r="E91" s="17">
        <f>IF(F3="1",SUMIF(Data!A:A,'7'!$A$2,Data!EW:EW),0)</f>
        <v>552973</v>
      </c>
      <c r="F91" s="21">
        <f t="shared" si="4"/>
        <v>2.65</v>
      </c>
    </row>
    <row r="92" spans="1:6" x14ac:dyDescent="0.2">
      <c r="A92" s="19">
        <v>26</v>
      </c>
      <c r="B92" s="177" t="s">
        <v>23</v>
      </c>
      <c r="C92" s="178"/>
      <c r="D92" s="14">
        <f t="shared" si="5"/>
        <v>43040</v>
      </c>
      <c r="E92" s="17">
        <f>IF(F3="1",SUMIF(Data!A:A,'7'!$A$2,Data!EX:EX),0)</f>
        <v>213666</v>
      </c>
      <c r="F92" s="21">
        <f t="shared" si="4"/>
        <v>4.96</v>
      </c>
    </row>
    <row r="93" spans="1:6" x14ac:dyDescent="0.2">
      <c r="A93" s="19">
        <v>28</v>
      </c>
      <c r="B93" s="177" t="s">
        <v>24</v>
      </c>
      <c r="C93" s="178"/>
      <c r="D93" s="14">
        <f t="shared" si="5"/>
        <v>0</v>
      </c>
      <c r="E93" s="17">
        <f>IF(F3="1",SUMIF(Data!A:A,'7'!$A$2,Data!EZ:EZ),0)</f>
        <v>0</v>
      </c>
      <c r="F93" s="21" t="str">
        <f t="shared" si="4"/>
        <v/>
      </c>
    </row>
    <row r="94" spans="1:6" ht="15.75" customHeight="1" thickBot="1" x14ac:dyDescent="0.25">
      <c r="A94" s="22">
        <v>29</v>
      </c>
      <c r="B94" s="179" t="s">
        <v>25</v>
      </c>
      <c r="C94" s="180"/>
      <c r="D94" s="23">
        <f t="shared" si="5"/>
        <v>0</v>
      </c>
      <c r="E94" s="24">
        <f>IF(F3="1",SUMIF(Data!A:A,'7'!$A$2,Data!FA:FA),0)</f>
        <v>0</v>
      </c>
      <c r="F94" s="25" t="str">
        <f t="shared" si="4"/>
        <v/>
      </c>
    </row>
    <row r="95" spans="1:6" x14ac:dyDescent="0.2">
      <c r="B95" s="30" t="s">
        <v>35</v>
      </c>
      <c r="C95" s="30"/>
      <c r="D95" s="59">
        <f>SUM(D67:D94)</f>
        <v>1556795</v>
      </c>
      <c r="E95" s="31">
        <f>SUM(E67:E94)</f>
        <v>3994619</v>
      </c>
      <c r="F95" s="32">
        <f t="shared" si="4"/>
        <v>2.57</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IF(F3="1",SUMIF(Data!A:A,'7'!$A$2,Data!AH:AH),0)</f>
        <v>2128998</v>
      </c>
      <c r="F98" s="20">
        <f>IF(OR(E98=0,E98=0),"",ROUND(E98/$D$105,2))</f>
        <v>1.37</v>
      </c>
    </row>
    <row r="99" spans="2:6" x14ac:dyDescent="0.2">
      <c r="B99" s="183" t="s">
        <v>31</v>
      </c>
      <c r="C99" s="184"/>
      <c r="D99" s="36"/>
      <c r="E99" s="17">
        <f>IF(F3="1",SUMIF(Data!A:A,'7'!$A$2,Data!AI:AI),0)</f>
        <v>922102</v>
      </c>
      <c r="F99" s="21">
        <f t="shared" ref="F99:F104" si="6">IF(OR(E99=0,E99=0),"",ROUND(E99/$D$105,2))</f>
        <v>0.59</v>
      </c>
    </row>
    <row r="100" spans="2:6" x14ac:dyDescent="0.2">
      <c r="B100" s="183" t="s">
        <v>1078</v>
      </c>
      <c r="C100" s="184"/>
      <c r="D100" s="36"/>
      <c r="E100" s="17">
        <f>IF(F3="1",SUMIF(Data!A:A,'7'!$A$2,Data!AJ:AJ),0)</f>
        <v>500312</v>
      </c>
      <c r="F100" s="21">
        <f t="shared" si="6"/>
        <v>0.32</v>
      </c>
    </row>
    <row r="101" spans="2:6" x14ac:dyDescent="0.2">
      <c r="B101" s="183" t="s">
        <v>1079</v>
      </c>
      <c r="C101" s="184"/>
      <c r="D101" s="36"/>
      <c r="E101" s="17">
        <f>IF(F3="1",SUMIF(Data!A:A,'7'!$A$2,Data!AK:AK),0)</f>
        <v>570488</v>
      </c>
      <c r="F101" s="21">
        <f t="shared" si="6"/>
        <v>0.37</v>
      </c>
    </row>
    <row r="102" spans="2:6" x14ac:dyDescent="0.2">
      <c r="B102" s="183" t="s">
        <v>1080</v>
      </c>
      <c r="C102" s="184"/>
      <c r="D102" s="36"/>
      <c r="E102" s="17">
        <f>IF(F3="1",SUMIF(Data!A:A,'7'!$A$2,Data!AL:AL),0)</f>
        <v>0</v>
      </c>
      <c r="F102" s="21" t="str">
        <f t="shared" si="6"/>
        <v/>
      </c>
    </row>
    <row r="103" spans="2:6" x14ac:dyDescent="0.2">
      <c r="B103" s="185" t="s">
        <v>34</v>
      </c>
      <c r="C103" s="186"/>
      <c r="D103" s="36"/>
      <c r="E103" s="17">
        <f>IF(F3="1",SUMIF(Data!A:A,'7'!$A$2,Data!AM:AM),0)</f>
        <v>0</v>
      </c>
      <c r="F103" s="21" t="str">
        <f t="shared" si="6"/>
        <v/>
      </c>
    </row>
    <row r="104" spans="2:6" ht="15.75" customHeight="1" thickBot="1" x14ac:dyDescent="0.25">
      <c r="B104" s="175" t="s">
        <v>29</v>
      </c>
      <c r="C104" s="176"/>
      <c r="D104" s="37"/>
      <c r="E104" s="24">
        <f>IF(F3="1",SUMIF(Data!A:A,'7'!$A$2,Data!Q:Q),0)</f>
        <v>237122</v>
      </c>
      <c r="F104" s="25">
        <f t="shared" si="6"/>
        <v>0.15</v>
      </c>
    </row>
    <row r="105" spans="2:6" x14ac:dyDescent="0.2">
      <c r="B105" s="30" t="s">
        <v>35</v>
      </c>
      <c r="C105" s="30"/>
      <c r="D105" s="34">
        <f>D95</f>
        <v>1556795</v>
      </c>
      <c r="E105" s="31">
        <f>SUM(E98:E104)</f>
        <v>4359022</v>
      </c>
      <c r="F105" s="32">
        <f>IF($D$105=0,"",ROUND(E105/$D$105,2))</f>
        <v>2.8</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3994619</v>
      </c>
      <c r="D109" s="15">
        <f>IF(F3="1",SUMIF(Data!$A:$A,$A$2,Data!HJ:HJ),0)</f>
        <v>0</v>
      </c>
      <c r="E109" s="15">
        <f>IF(F3="1",SUMIF(Data!$A:$A,$A$2,Data!IN:IN),0)</f>
        <v>0</v>
      </c>
      <c r="F109" s="47">
        <f>SUM(C109:E109)</f>
        <v>3994619</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237122</v>
      </c>
      <c r="E117" s="52"/>
      <c r="F117" s="49">
        <f>SUM(C117:E117)</f>
        <v>237122</v>
      </c>
    </row>
    <row r="118" spans="1:6" x14ac:dyDescent="0.2">
      <c r="B118" s="13" t="s">
        <v>35</v>
      </c>
      <c r="C118" s="4">
        <f>SUM(C109:C116)</f>
        <v>3994619</v>
      </c>
      <c r="D118" s="4">
        <f>SUM(D109:D116)</f>
        <v>0</v>
      </c>
      <c r="E118" s="4">
        <f>SUM(E109:E116)</f>
        <v>0</v>
      </c>
      <c r="F118" s="4">
        <f>SUM(F109:F116)</f>
        <v>3994619</v>
      </c>
    </row>
    <row r="119" spans="1:6" ht="15" thickBot="1" x14ac:dyDescent="0.25"/>
    <row r="120" spans="1:6" ht="15" thickBot="1" x14ac:dyDescent="0.25">
      <c r="B120" s="55" t="s">
        <v>934</v>
      </c>
      <c r="C120" s="53"/>
      <c r="D120" s="53"/>
      <c r="E120" s="53">
        <f>IF(F3="1",SUMIF(Data!A:A,'7'!$A$2,Data!AM:AM),0)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419</v>
      </c>
      <c r="B2" s="58" t="str">
        <f>VLOOKUP(A2,Data!A:G,7,0)</f>
        <v>Central Texas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16960</v>
      </c>
      <c r="E5" s="15">
        <f>E36+E67+IFERROR($E$105/$D$105*D5,0)</f>
        <v>118241.25810111544</v>
      </c>
      <c r="F5" s="20">
        <f>IF(OR(D5=0,E5=0),"",ROUND(E5/D5,2))</f>
        <v>6.97</v>
      </c>
    </row>
    <row r="6" spans="1:6" x14ac:dyDescent="0.2">
      <c r="A6" s="19">
        <v>2</v>
      </c>
      <c r="B6" s="177" t="s">
        <v>1</v>
      </c>
      <c r="C6" s="178"/>
      <c r="D6" s="14">
        <f t="shared" ref="D6:D32" si="0">D37</f>
        <v>127638</v>
      </c>
      <c r="E6" s="17">
        <f t="shared" ref="E6:E32" si="1">E37+E68+IFERROR($E$105/$D$105*D6,0)</f>
        <v>842774.22697583563</v>
      </c>
      <c r="F6" s="21">
        <f t="shared" ref="F6:F33" si="2">IF(OR(D6=0,E6=0),"",ROUND(E6/D6,2))</f>
        <v>6.6</v>
      </c>
    </row>
    <row r="7" spans="1:6" ht="14.25" customHeight="1" x14ac:dyDescent="0.2">
      <c r="A7" s="19">
        <v>3</v>
      </c>
      <c r="B7" s="177" t="s">
        <v>2</v>
      </c>
      <c r="C7" s="178"/>
      <c r="D7" s="14">
        <f t="shared" si="0"/>
        <v>207328</v>
      </c>
      <c r="E7" s="17">
        <f t="shared" si="1"/>
        <v>1126112.9532775981</v>
      </c>
      <c r="F7" s="21">
        <f t="shared" si="2"/>
        <v>5.43</v>
      </c>
    </row>
    <row r="8" spans="1:6" ht="14.25" customHeight="1" x14ac:dyDescent="0.2">
      <c r="A8" s="19">
        <v>4</v>
      </c>
      <c r="B8" s="177" t="s">
        <v>3</v>
      </c>
      <c r="C8" s="178"/>
      <c r="D8" s="14">
        <f t="shared" si="0"/>
        <v>830334</v>
      </c>
      <c r="E8" s="17">
        <f t="shared" si="1"/>
        <v>3199322.3259511553</v>
      </c>
      <c r="F8" s="21">
        <f t="shared" si="2"/>
        <v>3.85</v>
      </c>
    </row>
    <row r="9" spans="1:6" x14ac:dyDescent="0.2">
      <c r="A9" s="19">
        <v>5</v>
      </c>
      <c r="B9" s="177" t="s">
        <v>4</v>
      </c>
      <c r="C9" s="178"/>
      <c r="D9" s="14">
        <f t="shared" si="0"/>
        <v>28736</v>
      </c>
      <c r="E9" s="17">
        <f t="shared" si="1"/>
        <v>713430.01466943708</v>
      </c>
      <c r="F9" s="21">
        <f t="shared" si="2"/>
        <v>24.83</v>
      </c>
    </row>
    <row r="10" spans="1:6" x14ac:dyDescent="0.2">
      <c r="A10" s="19">
        <v>6</v>
      </c>
      <c r="B10" s="177" t="s">
        <v>5</v>
      </c>
      <c r="C10" s="178"/>
      <c r="D10" s="14">
        <f t="shared" si="0"/>
        <v>16928</v>
      </c>
      <c r="E10" s="17">
        <f t="shared" si="1"/>
        <v>48001.1500669624</v>
      </c>
      <c r="F10" s="21">
        <f t="shared" si="2"/>
        <v>2.84</v>
      </c>
    </row>
    <row r="11" spans="1:6" x14ac:dyDescent="0.2">
      <c r="A11" s="19">
        <v>7</v>
      </c>
      <c r="B11" s="177" t="s">
        <v>6</v>
      </c>
      <c r="C11" s="178"/>
      <c r="D11" s="14">
        <f t="shared" si="0"/>
        <v>228379</v>
      </c>
      <c r="E11" s="17">
        <f t="shared" si="1"/>
        <v>1412346.1791199672</v>
      </c>
      <c r="F11" s="21">
        <f t="shared" si="2"/>
        <v>6.18</v>
      </c>
    </row>
    <row r="12" spans="1:6" x14ac:dyDescent="0.2">
      <c r="A12" s="19">
        <v>8</v>
      </c>
      <c r="B12" s="177" t="s">
        <v>7</v>
      </c>
      <c r="C12" s="178"/>
      <c r="D12" s="14">
        <f t="shared" si="0"/>
        <v>31648</v>
      </c>
      <c r="E12" s="17">
        <f t="shared" si="1"/>
        <v>149439.84577736448</v>
      </c>
      <c r="F12" s="21">
        <f t="shared" si="2"/>
        <v>4.72</v>
      </c>
    </row>
    <row r="13" spans="1:6" x14ac:dyDescent="0.2">
      <c r="A13" s="19">
        <v>9</v>
      </c>
      <c r="B13" s="177" t="s">
        <v>8</v>
      </c>
      <c r="C13" s="178"/>
      <c r="D13" s="14">
        <f t="shared" si="0"/>
        <v>313834</v>
      </c>
      <c r="E13" s="17">
        <f t="shared" si="1"/>
        <v>1094819.2121996146</v>
      </c>
      <c r="F13" s="21">
        <f t="shared" si="2"/>
        <v>3.49</v>
      </c>
    </row>
    <row r="14" spans="1:6" x14ac:dyDescent="0.2">
      <c r="A14" s="19">
        <v>10</v>
      </c>
      <c r="B14" s="177" t="s">
        <v>9</v>
      </c>
      <c r="C14" s="178"/>
      <c r="D14" s="14">
        <f t="shared" si="0"/>
        <v>0</v>
      </c>
      <c r="E14" s="17">
        <f t="shared" si="1"/>
        <v>0</v>
      </c>
      <c r="F14" s="21" t="str">
        <f t="shared" si="2"/>
        <v/>
      </c>
    </row>
    <row r="15" spans="1:6" x14ac:dyDescent="0.2">
      <c r="A15" s="19">
        <v>11</v>
      </c>
      <c r="B15" s="177" t="s">
        <v>10</v>
      </c>
      <c r="C15" s="178"/>
      <c r="D15" s="14">
        <f t="shared" si="0"/>
        <v>127085</v>
      </c>
      <c r="E15" s="17">
        <f t="shared" si="1"/>
        <v>603651.64126062836</v>
      </c>
      <c r="F15" s="21">
        <f t="shared" si="2"/>
        <v>4.75</v>
      </c>
    </row>
    <row r="16" spans="1:6" ht="14.25" customHeight="1" x14ac:dyDescent="0.2">
      <c r="A16" s="19">
        <v>12</v>
      </c>
      <c r="B16" s="177" t="s">
        <v>11</v>
      </c>
      <c r="C16" s="178"/>
      <c r="D16" s="14">
        <f t="shared" si="0"/>
        <v>524976</v>
      </c>
      <c r="E16" s="17">
        <f t="shared" si="1"/>
        <v>2312271.8542978289</v>
      </c>
      <c r="F16" s="21">
        <f t="shared" si="2"/>
        <v>4.4000000000000004</v>
      </c>
    </row>
    <row r="17" spans="1:6" x14ac:dyDescent="0.2">
      <c r="A17" s="19">
        <v>13</v>
      </c>
      <c r="B17" s="177" t="s">
        <v>12</v>
      </c>
      <c r="C17" s="178"/>
      <c r="D17" s="14">
        <f t="shared" si="0"/>
        <v>57072</v>
      </c>
      <c r="E17" s="17">
        <f t="shared" si="1"/>
        <v>285196.17891196115</v>
      </c>
      <c r="F17" s="21">
        <f t="shared" si="2"/>
        <v>5</v>
      </c>
    </row>
    <row r="18" spans="1:6" ht="14.25" customHeight="1" x14ac:dyDescent="0.2">
      <c r="A18" s="19">
        <v>14</v>
      </c>
      <c r="B18" s="177" t="s">
        <v>464</v>
      </c>
      <c r="C18" s="178"/>
      <c r="D18" s="14">
        <f t="shared" si="0"/>
        <v>113996</v>
      </c>
      <c r="E18" s="17">
        <f t="shared" si="1"/>
        <v>1477646.4831659645</v>
      </c>
      <c r="F18" s="21">
        <f t="shared" si="2"/>
        <v>12.96</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150406</v>
      </c>
      <c r="E20" s="17">
        <f t="shared" si="1"/>
        <v>703049.59327572933</v>
      </c>
      <c r="F20" s="21">
        <f t="shared" si="2"/>
        <v>4.67</v>
      </c>
    </row>
    <row r="21" spans="1:6" x14ac:dyDescent="0.2">
      <c r="A21" s="19">
        <v>17</v>
      </c>
      <c r="B21" s="177" t="s">
        <v>15</v>
      </c>
      <c r="C21" s="178"/>
      <c r="D21" s="14">
        <f t="shared" si="0"/>
        <v>0</v>
      </c>
      <c r="E21" s="17">
        <f t="shared" si="1"/>
        <v>0</v>
      </c>
      <c r="F21" s="21" t="str">
        <f t="shared" si="2"/>
        <v/>
      </c>
    </row>
    <row r="22" spans="1:6" x14ac:dyDescent="0.2">
      <c r="A22" s="19">
        <v>18</v>
      </c>
      <c r="B22" s="177" t="s">
        <v>16</v>
      </c>
      <c r="C22" s="178"/>
      <c r="D22" s="14">
        <f t="shared" si="0"/>
        <v>136832</v>
      </c>
      <c r="E22" s="17">
        <f t="shared" si="1"/>
        <v>716665.95403843326</v>
      </c>
      <c r="F22" s="21">
        <f t="shared" si="2"/>
        <v>5.24</v>
      </c>
    </row>
    <row r="23" spans="1:6" x14ac:dyDescent="0.2">
      <c r="A23" s="19">
        <v>19</v>
      </c>
      <c r="B23" s="177" t="s">
        <v>17</v>
      </c>
      <c r="C23" s="178"/>
      <c r="D23" s="14">
        <f t="shared" si="0"/>
        <v>515262</v>
      </c>
      <c r="E23" s="17">
        <f t="shared" si="1"/>
        <v>1812718.6216802443</v>
      </c>
      <c r="F23" s="21">
        <f t="shared" si="2"/>
        <v>3.52</v>
      </c>
    </row>
    <row r="24" spans="1:6" x14ac:dyDescent="0.2">
      <c r="A24" s="19">
        <v>20</v>
      </c>
      <c r="B24" s="177" t="s">
        <v>18</v>
      </c>
      <c r="C24" s="178"/>
      <c r="D24" s="14">
        <f t="shared" si="0"/>
        <v>61144</v>
      </c>
      <c r="E24" s="17">
        <f t="shared" si="1"/>
        <v>360026.67625793652</v>
      </c>
      <c r="F24" s="21">
        <f t="shared" si="2"/>
        <v>5.89</v>
      </c>
    </row>
    <row r="25" spans="1:6" ht="14.25" customHeight="1" x14ac:dyDescent="0.2">
      <c r="A25" s="19">
        <v>21</v>
      </c>
      <c r="B25" s="177" t="s">
        <v>461</v>
      </c>
      <c r="C25" s="178"/>
      <c r="D25" s="14">
        <f t="shared" si="0"/>
        <v>28742</v>
      </c>
      <c r="E25" s="17">
        <f t="shared" si="1"/>
        <v>161873.8474258408</v>
      </c>
      <c r="F25" s="21">
        <f t="shared" si="2"/>
        <v>5.63</v>
      </c>
    </row>
    <row r="26" spans="1:6" x14ac:dyDescent="0.2">
      <c r="A26" s="19">
        <v>22</v>
      </c>
      <c r="B26" s="177" t="s">
        <v>19</v>
      </c>
      <c r="C26" s="178"/>
      <c r="D26" s="14">
        <f t="shared" si="0"/>
        <v>1152</v>
      </c>
      <c r="E26" s="17">
        <f t="shared" si="1"/>
        <v>46526.889229509732</v>
      </c>
      <c r="F26" s="21">
        <f t="shared" si="2"/>
        <v>40.39</v>
      </c>
    </row>
    <row r="27" spans="1:6" x14ac:dyDescent="0.2">
      <c r="A27" s="19">
        <v>23</v>
      </c>
      <c r="B27" s="177" t="s">
        <v>20</v>
      </c>
      <c r="C27" s="178"/>
      <c r="D27" s="14">
        <f t="shared" si="0"/>
        <v>75360</v>
      </c>
      <c r="E27" s="17">
        <f t="shared" si="1"/>
        <v>454393.42043042806</v>
      </c>
      <c r="F27" s="21">
        <f t="shared" si="2"/>
        <v>6.03</v>
      </c>
    </row>
    <row r="28" spans="1:6" x14ac:dyDescent="0.2">
      <c r="A28" s="19">
        <v>24</v>
      </c>
      <c r="B28" s="177" t="s">
        <v>21</v>
      </c>
      <c r="C28" s="178"/>
      <c r="D28" s="14">
        <f t="shared" si="0"/>
        <v>162704</v>
      </c>
      <c r="E28" s="17">
        <f t="shared" si="1"/>
        <v>640945.79965117259</v>
      </c>
      <c r="F28" s="21">
        <f t="shared" si="2"/>
        <v>3.94</v>
      </c>
    </row>
    <row r="29" spans="1:6" x14ac:dyDescent="0.2">
      <c r="A29" s="19">
        <v>25</v>
      </c>
      <c r="B29" s="177" t="s">
        <v>22</v>
      </c>
      <c r="C29" s="178"/>
      <c r="D29" s="14">
        <f t="shared" si="0"/>
        <v>663312</v>
      </c>
      <c r="E29" s="17">
        <f t="shared" si="1"/>
        <v>2586620.8859414556</v>
      </c>
      <c r="F29" s="21">
        <f t="shared" si="2"/>
        <v>3.9</v>
      </c>
    </row>
    <row r="30" spans="1:6" x14ac:dyDescent="0.2">
      <c r="A30" s="19">
        <v>26</v>
      </c>
      <c r="B30" s="177" t="s">
        <v>23</v>
      </c>
      <c r="C30" s="178"/>
      <c r="D30" s="14">
        <f t="shared" si="0"/>
        <v>75232</v>
      </c>
      <c r="E30" s="17">
        <f t="shared" si="1"/>
        <v>448404.98829381587</v>
      </c>
      <c r="F30" s="21">
        <f t="shared" si="2"/>
        <v>5.96</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4495060</v>
      </c>
      <c r="E33" s="31">
        <f>SUM(E5:E32)</f>
        <v>21314480.000000004</v>
      </c>
      <c r="F33" s="32">
        <f t="shared" si="2"/>
        <v>4.74</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IF(F3="1",SUMIF(Data!A:A,'8'!$A$2,Data!CU:CU),0)</f>
        <v>16960</v>
      </c>
      <c r="E36" s="15">
        <f>IF(F3="1",SUMIF(Data!$A:$A,$A$2,Data!IO:IO),0)</f>
        <v>29710</v>
      </c>
      <c r="F36" s="20">
        <f t="shared" ref="F36:F64" si="3">IF(OR(D36=0,E36=0),"",ROUND(E36/D36,2))</f>
        <v>1.75</v>
      </c>
    </row>
    <row r="37" spans="1:6" x14ac:dyDescent="0.2">
      <c r="A37" s="19">
        <v>2</v>
      </c>
      <c r="B37" s="177" t="s">
        <v>1</v>
      </c>
      <c r="C37" s="178"/>
      <c r="D37" s="14">
        <f>IF(F3="1",SUMIF(Data!A:A,'8'!$A$2,Data!CV:CV),0)</f>
        <v>127638</v>
      </c>
      <c r="E37" s="17">
        <f>IF(F3="1",SUMIF(Data!$A:$A,$A$2,Data!IP:IP),0)</f>
        <v>312096</v>
      </c>
      <c r="F37" s="21">
        <f t="shared" si="3"/>
        <v>2.4500000000000002</v>
      </c>
    </row>
    <row r="38" spans="1:6" ht="14.25" customHeight="1" x14ac:dyDescent="0.2">
      <c r="A38" s="19">
        <v>3</v>
      </c>
      <c r="B38" s="177" t="s">
        <v>2</v>
      </c>
      <c r="C38" s="178"/>
      <c r="D38" s="14">
        <f>IF(F3="1",SUMIF(Data!A:A,'8'!$A$2,Data!CW:CW),0)</f>
        <v>207328</v>
      </c>
      <c r="E38" s="17">
        <f>IF($F$3="1",SUMIF(Data!$A:$A,$A$2,Data!IQ:IQ),0)</f>
        <v>205641</v>
      </c>
      <c r="F38" s="21">
        <f t="shared" si="3"/>
        <v>0.99</v>
      </c>
    </row>
    <row r="39" spans="1:6" ht="14.25" customHeight="1" x14ac:dyDescent="0.2">
      <c r="A39" s="19">
        <v>4</v>
      </c>
      <c r="B39" s="177" t="s">
        <v>3</v>
      </c>
      <c r="C39" s="178"/>
      <c r="D39" s="14">
        <f>IF(F3="1",SUMIF(Data!A:A,'8'!$A$2,Data!CX:CX),0)</f>
        <v>830334</v>
      </c>
      <c r="E39" s="17">
        <f>IF($F$3="1",SUMIF(Data!$A:$A,$A$2,Data!IR:IR),0)</f>
        <v>562997</v>
      </c>
      <c r="F39" s="21">
        <f t="shared" si="3"/>
        <v>0.68</v>
      </c>
    </row>
    <row r="40" spans="1:6" x14ac:dyDescent="0.2">
      <c r="A40" s="19">
        <v>5</v>
      </c>
      <c r="B40" s="177" t="s">
        <v>4</v>
      </c>
      <c r="C40" s="178"/>
      <c r="D40" s="14">
        <f>IF(F3="1",SUMIF(Data!A:A,'8'!$A$2,Data!CY:CY),0)</f>
        <v>28736</v>
      </c>
      <c r="E40" s="17">
        <f>IF($F$3="1",SUMIF(Data!$A:$A,$A$2,Data!IS:IS),0)</f>
        <v>477269</v>
      </c>
      <c r="F40" s="21">
        <f t="shared" si="3"/>
        <v>16.61</v>
      </c>
    </row>
    <row r="41" spans="1:6" x14ac:dyDescent="0.2">
      <c r="A41" s="19">
        <v>6</v>
      </c>
      <c r="B41" s="177" t="s">
        <v>5</v>
      </c>
      <c r="C41" s="178"/>
      <c r="D41" s="14">
        <f>IF(F3="1",SUMIF(Data!A:A,'8'!$A$2,Data!CZ:CZ),0)</f>
        <v>16928</v>
      </c>
      <c r="E41" s="17">
        <f>IF($F$3="1",SUMIF(Data!$A:$A,$A$2,Data!IT:IT),0)</f>
        <v>9305</v>
      </c>
      <c r="F41" s="21">
        <f t="shared" si="3"/>
        <v>0.55000000000000004</v>
      </c>
    </row>
    <row r="42" spans="1:6" x14ac:dyDescent="0.2">
      <c r="A42" s="19">
        <v>7</v>
      </c>
      <c r="B42" s="177" t="s">
        <v>6</v>
      </c>
      <c r="C42" s="178"/>
      <c r="D42" s="14">
        <f>IF(F3="1",SUMIF(Data!A:A,'8'!$A$2,Data!DA:DA),0)</f>
        <v>228379</v>
      </c>
      <c r="E42" s="17">
        <f>IF($F$3="1",SUMIF(Data!$A:$A,$A$2,Data!IU:IU),0)</f>
        <v>426576</v>
      </c>
      <c r="F42" s="21">
        <f t="shared" si="3"/>
        <v>1.87</v>
      </c>
    </row>
    <row r="43" spans="1:6" x14ac:dyDescent="0.2">
      <c r="A43" s="19">
        <v>8</v>
      </c>
      <c r="B43" s="177" t="s">
        <v>7</v>
      </c>
      <c r="C43" s="178"/>
      <c r="D43" s="14">
        <f>IF(F3="1",SUMIF(Data!A:A,'8'!$A$2,Data!DB:DB),0)</f>
        <v>31648</v>
      </c>
      <c r="E43" s="17">
        <f>IF($F$3="1",SUMIF(Data!$A:$A,$A$2,Data!IV:IV),0)</f>
        <v>39501</v>
      </c>
      <c r="F43" s="21">
        <f t="shared" si="3"/>
        <v>1.25</v>
      </c>
    </row>
    <row r="44" spans="1:6" x14ac:dyDescent="0.2">
      <c r="A44" s="19">
        <v>9</v>
      </c>
      <c r="B44" s="177" t="s">
        <v>8</v>
      </c>
      <c r="C44" s="178"/>
      <c r="D44" s="14">
        <f>IF(F3="1",SUMIF(Data!A:A,'8'!$A$2,Data!DC:DC),0)</f>
        <v>313834</v>
      </c>
      <c r="E44" s="17">
        <f>IF($F$3="1",SUMIF(Data!$A:$A,$A$2,Data!IW:IW),0)</f>
        <v>141055</v>
      </c>
      <c r="F44" s="21">
        <f t="shared" si="3"/>
        <v>0.45</v>
      </c>
    </row>
    <row r="45" spans="1:6" x14ac:dyDescent="0.2">
      <c r="A45" s="19">
        <v>10</v>
      </c>
      <c r="B45" s="177" t="s">
        <v>9</v>
      </c>
      <c r="C45" s="178"/>
      <c r="D45" s="14">
        <f>IF(F3="1",SUMIF(Data!A:A,'8'!$A$2,Data!DD:DD),0)</f>
        <v>0</v>
      </c>
      <c r="E45" s="17">
        <f>IF($F$3="1",SUMIF(Data!$A:$A,$A$2,Data!IX:IX),0)</f>
        <v>0</v>
      </c>
      <c r="F45" s="21" t="str">
        <f t="shared" si="3"/>
        <v/>
      </c>
    </row>
    <row r="46" spans="1:6" x14ac:dyDescent="0.2">
      <c r="A46" s="19">
        <v>11</v>
      </c>
      <c r="B46" s="177" t="s">
        <v>10</v>
      </c>
      <c r="C46" s="178"/>
      <c r="D46" s="14">
        <f>IF(F3="1",SUMIF(Data!A:A,'8'!$A$2,Data!DE:DE),0)</f>
        <v>127085</v>
      </c>
      <c r="E46" s="17">
        <f>IF($F$3="1",SUMIF(Data!$A:$A,$A$2,Data!IY:IY),0)</f>
        <v>124567</v>
      </c>
      <c r="F46" s="21">
        <f t="shared" si="3"/>
        <v>0.98</v>
      </c>
    </row>
    <row r="47" spans="1:6" ht="14.25" customHeight="1" x14ac:dyDescent="0.2">
      <c r="A47" s="19">
        <v>12</v>
      </c>
      <c r="B47" s="177" t="s">
        <v>11</v>
      </c>
      <c r="C47" s="178"/>
      <c r="D47" s="14">
        <f>IF(F3="1",SUMIF(Data!A:A,'8'!$A$2,Data!DF:DF),0)</f>
        <v>524976</v>
      </c>
      <c r="E47" s="17">
        <f>IF($F$3="1",SUMIF(Data!$A:$A,$A$2,Data!IZ:IZ),0)</f>
        <v>268567</v>
      </c>
      <c r="F47" s="21">
        <f t="shared" si="3"/>
        <v>0.51</v>
      </c>
    </row>
    <row r="48" spans="1:6" x14ac:dyDescent="0.2">
      <c r="A48" s="19">
        <v>13</v>
      </c>
      <c r="B48" s="177" t="s">
        <v>12</v>
      </c>
      <c r="C48" s="178"/>
      <c r="D48" s="14">
        <f>IF(F3="1",SUMIF(Data!A:A,'8'!$A$2,Data!DG:DG),0)</f>
        <v>57072</v>
      </c>
      <c r="E48" s="17">
        <f>IF($F$3="1",SUMIF(Data!$A:$A,$A$2,Data!JA:JA),0)</f>
        <v>28617</v>
      </c>
      <c r="F48" s="21">
        <f t="shared" si="3"/>
        <v>0.5</v>
      </c>
    </row>
    <row r="49" spans="1:6" ht="14.25" customHeight="1" x14ac:dyDescent="0.2">
      <c r="A49" s="19">
        <v>14</v>
      </c>
      <c r="B49" s="177" t="s">
        <v>464</v>
      </c>
      <c r="C49" s="178"/>
      <c r="D49" s="14">
        <f>IF(F3="1",SUMIF(Data!A:A,'8'!$A$2,Data!DH:DH),0)</f>
        <v>113996</v>
      </c>
      <c r="E49" s="17">
        <f>IF($F$3="1",SUMIF(Data!$A:$A,$A$2,Data!JB:JB),0)</f>
        <v>218807</v>
      </c>
      <c r="F49" s="21">
        <f t="shared" si="3"/>
        <v>1.92</v>
      </c>
    </row>
    <row r="50" spans="1:6" x14ac:dyDescent="0.2">
      <c r="A50" s="19">
        <v>15</v>
      </c>
      <c r="B50" s="177" t="s">
        <v>13</v>
      </c>
      <c r="C50" s="178"/>
      <c r="D50" s="14">
        <f>IF(F3="1",SUMIF(Data!A:A,'8'!$A$2,Data!DI:DI),0)</f>
        <v>0</v>
      </c>
      <c r="E50" s="17">
        <f>IF($F$3="1",SUMIF(Data!$A:$A,$A$2,Data!JC:JC),0)</f>
        <v>0</v>
      </c>
      <c r="F50" s="21" t="str">
        <f t="shared" si="3"/>
        <v/>
      </c>
    </row>
    <row r="51" spans="1:6" x14ac:dyDescent="0.2">
      <c r="A51" s="19">
        <v>16</v>
      </c>
      <c r="B51" s="177" t="s">
        <v>14</v>
      </c>
      <c r="C51" s="178"/>
      <c r="D51" s="14">
        <f>IF(F3="1",SUMIF(Data!A:A,'8'!$A$2,Data!DJ:DJ),0)</f>
        <v>150406</v>
      </c>
      <c r="E51" s="17">
        <f>IF($F$3="1",SUMIF(Data!$A:$A,$A$2,Data!JD:JD),0)</f>
        <v>107443</v>
      </c>
      <c r="F51" s="21">
        <f t="shared" si="3"/>
        <v>0.71</v>
      </c>
    </row>
    <row r="52" spans="1:6" x14ac:dyDescent="0.2">
      <c r="A52" s="19">
        <v>17</v>
      </c>
      <c r="B52" s="177" t="s">
        <v>15</v>
      </c>
      <c r="C52" s="178"/>
      <c r="D52" s="14">
        <f>IF(F3="1",SUMIF(Data!A:A,'8'!$A$2,Data!DK:DK),0)</f>
        <v>0</v>
      </c>
      <c r="E52" s="17">
        <f>IF($F$3="1",SUMIF(Data!$A:$A,$A$2,Data!JE:JE),0)</f>
        <v>0</v>
      </c>
      <c r="F52" s="21" t="str">
        <f t="shared" si="3"/>
        <v/>
      </c>
    </row>
    <row r="53" spans="1:6" x14ac:dyDescent="0.2">
      <c r="A53" s="19">
        <v>18</v>
      </c>
      <c r="B53" s="177" t="s">
        <v>16</v>
      </c>
      <c r="C53" s="178"/>
      <c r="D53" s="14">
        <f>IF(F3="1",SUMIF(Data!A:A,'8'!$A$2,Data!DL:DL),0)</f>
        <v>136832</v>
      </c>
      <c r="E53" s="17">
        <f>IF($F$3="1",SUMIF(Data!$A:$A,$A$2,Data!JF:JF),0)</f>
        <v>85125</v>
      </c>
      <c r="F53" s="21">
        <f t="shared" si="3"/>
        <v>0.62</v>
      </c>
    </row>
    <row r="54" spans="1:6" x14ac:dyDescent="0.2">
      <c r="A54" s="19">
        <v>19</v>
      </c>
      <c r="B54" s="177" t="s">
        <v>17</v>
      </c>
      <c r="C54" s="178"/>
      <c r="D54" s="14">
        <f>IF(F3="1",SUMIF(Data!A:A,'8'!$A$2,Data!DM:DM),0)</f>
        <v>515262</v>
      </c>
      <c r="E54" s="17">
        <f>IF($F$3="1",SUMIF(Data!$A:$A,$A$2,Data!JG:JG),0)</f>
        <v>194986</v>
      </c>
      <c r="F54" s="21">
        <f t="shared" si="3"/>
        <v>0.38</v>
      </c>
    </row>
    <row r="55" spans="1:6" x14ac:dyDescent="0.2">
      <c r="A55" s="19">
        <v>20</v>
      </c>
      <c r="B55" s="177" t="s">
        <v>18</v>
      </c>
      <c r="C55" s="178"/>
      <c r="D55" s="14">
        <f>IF(F3="1",SUMIF(Data!A:A,'8'!$A$2,Data!DN:DN),0)</f>
        <v>61144</v>
      </c>
      <c r="E55" s="17">
        <f>IF($F$3="1",SUMIF(Data!$A:$A,$A$2,Data!JH:JH),0)</f>
        <v>131334</v>
      </c>
      <c r="F55" s="21">
        <f t="shared" si="3"/>
        <v>2.15</v>
      </c>
    </row>
    <row r="56" spans="1:6" ht="14.25" customHeight="1" x14ac:dyDescent="0.2">
      <c r="A56" s="19">
        <v>21</v>
      </c>
      <c r="B56" s="177" t="s">
        <v>461</v>
      </c>
      <c r="C56" s="178"/>
      <c r="D56" s="14">
        <f>IF(F3="1",SUMIF(Data!A:A,'8'!$A$2,Data!DO:DO),0)</f>
        <v>28742</v>
      </c>
      <c r="E56" s="17">
        <f>IF($F$3="1",SUMIF(Data!$A:$A,$A$2,Data!JI:JI),0)</f>
        <v>90837</v>
      </c>
      <c r="F56" s="21">
        <f t="shared" si="3"/>
        <v>3.16</v>
      </c>
    </row>
    <row r="57" spans="1:6" x14ac:dyDescent="0.2">
      <c r="A57" s="19">
        <v>22</v>
      </c>
      <c r="B57" s="177" t="s">
        <v>19</v>
      </c>
      <c r="C57" s="178"/>
      <c r="D57" s="14">
        <f>IF(F3="1",SUMIF(Data!A:A,'8'!$A$2,Data!DP:DP),0)</f>
        <v>1152</v>
      </c>
      <c r="E57" s="17">
        <f>IF($F$3="1",SUMIF(Data!$A:$A,$A$2,Data!JJ:JJ),0)</f>
        <v>22599</v>
      </c>
      <c r="F57" s="21">
        <f t="shared" si="3"/>
        <v>19.62</v>
      </c>
    </row>
    <row r="58" spans="1:6" x14ac:dyDescent="0.2">
      <c r="A58" s="19">
        <v>23</v>
      </c>
      <c r="B58" s="177" t="s">
        <v>20</v>
      </c>
      <c r="C58" s="178"/>
      <c r="D58" s="14">
        <f>IF(F3="1",SUMIF(Data!A:A,'8'!$A$2,Data!DQ:DQ),0)</f>
        <v>75360</v>
      </c>
      <c r="E58" s="17">
        <f>IF($F$3="1",SUMIF(Data!$A:$A,$A$2,Data!JK:JK),0)</f>
        <v>92682</v>
      </c>
      <c r="F58" s="21">
        <f t="shared" si="3"/>
        <v>1.23</v>
      </c>
    </row>
    <row r="59" spans="1:6" x14ac:dyDescent="0.2">
      <c r="A59" s="19">
        <v>24</v>
      </c>
      <c r="B59" s="177" t="s">
        <v>21</v>
      </c>
      <c r="C59" s="178"/>
      <c r="D59" s="14">
        <f>IF(F3="1",SUMIF(Data!A:A,'8'!$A$2,Data!DR:DR),0)</f>
        <v>162704</v>
      </c>
      <c r="E59" s="17">
        <f>IF($F$3="1",SUMIF(Data!$A:$A,$A$2,Data!JL:JL),0)</f>
        <v>132461</v>
      </c>
      <c r="F59" s="21">
        <f t="shared" si="3"/>
        <v>0.81</v>
      </c>
    </row>
    <row r="60" spans="1:6" x14ac:dyDescent="0.2">
      <c r="A60" s="19">
        <v>25</v>
      </c>
      <c r="B60" s="177" t="s">
        <v>22</v>
      </c>
      <c r="C60" s="178"/>
      <c r="D60" s="14">
        <f>IF(F3="1",SUMIF(Data!A:A,'8'!$A$2,Data!DS:DS),0)</f>
        <v>663312</v>
      </c>
      <c r="E60" s="17">
        <f>IF($F$3="1",SUMIF(Data!$A:$A,$A$2,Data!JM:JM),0)</f>
        <v>175790</v>
      </c>
      <c r="F60" s="21">
        <f t="shared" si="3"/>
        <v>0.27</v>
      </c>
    </row>
    <row r="61" spans="1:6" x14ac:dyDescent="0.2">
      <c r="A61" s="19">
        <v>26</v>
      </c>
      <c r="B61" s="177" t="s">
        <v>23</v>
      </c>
      <c r="C61" s="178"/>
      <c r="D61" s="14">
        <f>IF(F3="1",SUMIF(Data!A:A,'8'!$A$2,Data!DT:DT),0)</f>
        <v>75232</v>
      </c>
      <c r="E61" s="17">
        <f>IF($F$3="1",SUMIF(Data!$A:$A,$A$2,Data!JN:JN),0)</f>
        <v>78569</v>
      </c>
      <c r="F61" s="21">
        <f t="shared" si="3"/>
        <v>1.04</v>
      </c>
    </row>
    <row r="62" spans="1:6" x14ac:dyDescent="0.2">
      <c r="A62" s="19">
        <v>28</v>
      </c>
      <c r="B62" s="177" t="s">
        <v>24</v>
      </c>
      <c r="C62" s="178"/>
      <c r="D62" s="14">
        <f>IF(F3="1",SUMIF(Data!A:A,'8'!$A$2,Data!DV:DV),0)</f>
        <v>0</v>
      </c>
      <c r="E62" s="17">
        <f>IF($F$3="1",SUMIF(Data!$A:$A,$A$2,Data!JP:JP),0)</f>
        <v>0</v>
      </c>
      <c r="F62" s="21" t="str">
        <f t="shared" si="3"/>
        <v/>
      </c>
    </row>
    <row r="63" spans="1:6" ht="15.75" customHeight="1" thickBot="1" x14ac:dyDescent="0.25">
      <c r="A63" s="22">
        <v>29</v>
      </c>
      <c r="B63" s="179" t="s">
        <v>25</v>
      </c>
      <c r="C63" s="180"/>
      <c r="D63" s="23">
        <f>IF(F3="1",SUMIF(Data!A:A,'8'!$A$2,Data!DW:DW),0)</f>
        <v>0</v>
      </c>
      <c r="E63" s="24">
        <f>IF($F$3="1",SUMIF(Data!$A:$A,$A$2,Data!JQ:JQ),0)</f>
        <v>0</v>
      </c>
      <c r="F63" s="25" t="str">
        <f t="shared" si="3"/>
        <v/>
      </c>
    </row>
    <row r="64" spans="1:6" x14ac:dyDescent="0.2">
      <c r="B64" s="30" t="s">
        <v>35</v>
      </c>
      <c r="C64" s="30"/>
      <c r="D64" s="59">
        <f>SUM(D36:D63)</f>
        <v>4495060</v>
      </c>
      <c r="E64" s="31">
        <f>SUM(E36:E63)</f>
        <v>3956534</v>
      </c>
      <c r="F64" s="32">
        <f t="shared" si="3"/>
        <v>0.88</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16960</v>
      </c>
      <c r="E67" s="15">
        <f>IF(F3="1",SUMIF(Data!A:A,'8'!$A$2,Data!DY:DY),0)</f>
        <v>55084</v>
      </c>
      <c r="F67" s="20">
        <f t="shared" ref="F67:F95" si="4">IF(OR(D67=0,E67=0),"",ROUND(E67/D67,2))</f>
        <v>3.25</v>
      </c>
    </row>
    <row r="68" spans="1:6" x14ac:dyDescent="0.2">
      <c r="A68" s="19">
        <v>2</v>
      </c>
      <c r="B68" s="177" t="s">
        <v>1</v>
      </c>
      <c r="C68" s="178"/>
      <c r="D68" s="14">
        <f t="shared" ref="D68:D94" si="5">D37</f>
        <v>127638</v>
      </c>
      <c r="E68" s="17">
        <f>IF(F3="1",SUMIF(Data!A:A,'8'!$A$2,Data!DZ:DZ),0)</f>
        <v>278960</v>
      </c>
      <c r="F68" s="21">
        <f t="shared" si="4"/>
        <v>2.19</v>
      </c>
    </row>
    <row r="69" spans="1:6" ht="14.25" customHeight="1" x14ac:dyDescent="0.2">
      <c r="A69" s="19">
        <v>3</v>
      </c>
      <c r="B69" s="177" t="s">
        <v>2</v>
      </c>
      <c r="C69" s="178"/>
      <c r="D69" s="14">
        <f t="shared" si="5"/>
        <v>207328</v>
      </c>
      <c r="E69" s="17">
        <f>IF(F3="1",SUMIF(Data!A:A,'8'!$A$2,Data!EA:EA),0)</f>
        <v>511595</v>
      </c>
      <c r="F69" s="21">
        <f t="shared" si="4"/>
        <v>2.4700000000000002</v>
      </c>
    </row>
    <row r="70" spans="1:6" ht="14.25" customHeight="1" x14ac:dyDescent="0.2">
      <c r="A70" s="19">
        <v>4</v>
      </c>
      <c r="B70" s="177" t="s">
        <v>3</v>
      </c>
      <c r="C70" s="178"/>
      <c r="D70" s="14">
        <f t="shared" si="5"/>
        <v>830334</v>
      </c>
      <c r="E70" s="17">
        <f>IF(F3="1",SUMIF(Data!A:A,'8'!$A$2,Data!EB:EB),0)</f>
        <v>998802</v>
      </c>
      <c r="F70" s="21">
        <f t="shared" si="4"/>
        <v>1.2</v>
      </c>
    </row>
    <row r="71" spans="1:6" x14ac:dyDescent="0.2">
      <c r="A71" s="19">
        <v>5</v>
      </c>
      <c r="B71" s="177" t="s">
        <v>4</v>
      </c>
      <c r="C71" s="178"/>
      <c r="D71" s="14">
        <f t="shared" si="5"/>
        <v>28736</v>
      </c>
      <c r="E71" s="17">
        <f>IF(F3="1",SUMIF(Data!A:A,'8'!$A$2,Data!EC:EC),0)</f>
        <v>179490</v>
      </c>
      <c r="F71" s="21">
        <f t="shared" si="4"/>
        <v>6.25</v>
      </c>
    </row>
    <row r="72" spans="1:6" x14ac:dyDescent="0.2">
      <c r="A72" s="19">
        <v>6</v>
      </c>
      <c r="B72" s="177" t="s">
        <v>5</v>
      </c>
      <c r="C72" s="178"/>
      <c r="D72" s="14">
        <f t="shared" si="5"/>
        <v>16928</v>
      </c>
      <c r="E72" s="17">
        <f>IF(F3="1",SUMIF(Data!A:A,'8'!$A$2,Data!ED:ED),0)</f>
        <v>5312</v>
      </c>
      <c r="F72" s="21">
        <f t="shared" si="4"/>
        <v>0.31</v>
      </c>
    </row>
    <row r="73" spans="1:6" x14ac:dyDescent="0.2">
      <c r="A73" s="19">
        <v>7</v>
      </c>
      <c r="B73" s="177" t="s">
        <v>6</v>
      </c>
      <c r="C73" s="178"/>
      <c r="D73" s="14">
        <f t="shared" si="5"/>
        <v>228379</v>
      </c>
      <c r="E73" s="17">
        <f>IF(F3="1",SUMIF(Data!A:A,'8'!$A$2,Data!EE:EE),0)</f>
        <v>535378</v>
      </c>
      <c r="F73" s="21">
        <f t="shared" si="4"/>
        <v>2.34</v>
      </c>
    </row>
    <row r="74" spans="1:6" x14ac:dyDescent="0.2">
      <c r="A74" s="19">
        <v>8</v>
      </c>
      <c r="B74" s="177" t="s">
        <v>7</v>
      </c>
      <c r="C74" s="178"/>
      <c r="D74" s="14">
        <f t="shared" si="5"/>
        <v>31648</v>
      </c>
      <c r="E74" s="17">
        <f>IF(F3="1",SUMIF(Data!A:A,'8'!$A$2,Data!EF:EF),0)</f>
        <v>47525</v>
      </c>
      <c r="F74" s="21">
        <f t="shared" si="4"/>
        <v>1.5</v>
      </c>
    </row>
    <row r="75" spans="1:6" x14ac:dyDescent="0.2">
      <c r="A75" s="19">
        <v>9</v>
      </c>
      <c r="B75" s="177" t="s">
        <v>8</v>
      </c>
      <c r="C75" s="178"/>
      <c r="D75" s="14">
        <f t="shared" si="5"/>
        <v>313834</v>
      </c>
      <c r="E75" s="17">
        <f>IF(F3="1",SUMIF(Data!A:A,'8'!$A$2,Data!EG:EG),0)</f>
        <v>334844</v>
      </c>
      <c r="F75" s="21">
        <f t="shared" si="4"/>
        <v>1.07</v>
      </c>
    </row>
    <row r="76" spans="1:6" x14ac:dyDescent="0.2">
      <c r="A76" s="19">
        <v>10</v>
      </c>
      <c r="B76" s="177" t="s">
        <v>9</v>
      </c>
      <c r="C76" s="178"/>
      <c r="D76" s="14">
        <f t="shared" si="5"/>
        <v>0</v>
      </c>
      <c r="E76" s="17">
        <f>IF(F3="1",SUMIF(Data!A:A,'8'!$A$2,Data!EH:EH),0)</f>
        <v>0</v>
      </c>
      <c r="F76" s="21" t="str">
        <f t="shared" si="4"/>
        <v/>
      </c>
    </row>
    <row r="77" spans="1:6" x14ac:dyDescent="0.2">
      <c r="A77" s="19">
        <v>11</v>
      </c>
      <c r="B77" s="177" t="s">
        <v>10</v>
      </c>
      <c r="C77" s="178"/>
      <c r="D77" s="14">
        <f t="shared" si="5"/>
        <v>127085</v>
      </c>
      <c r="E77" s="17">
        <f>IF(F3="1",SUMIF(Data!A:A,'8'!$A$2,Data!EI:EI),0)</f>
        <v>228457</v>
      </c>
      <c r="F77" s="21">
        <f t="shared" si="4"/>
        <v>1.8</v>
      </c>
    </row>
    <row r="78" spans="1:6" ht="14.25" customHeight="1" x14ac:dyDescent="0.2">
      <c r="A78" s="19">
        <v>12</v>
      </c>
      <c r="B78" s="177" t="s">
        <v>11</v>
      </c>
      <c r="C78" s="178"/>
      <c r="D78" s="14">
        <f t="shared" si="5"/>
        <v>524976</v>
      </c>
      <c r="E78" s="17">
        <f>IF(F3="1",SUMIF(Data!A:A,'8'!$A$2,Data!EJ:EJ),0)</f>
        <v>1008386</v>
      </c>
      <c r="F78" s="21">
        <f t="shared" si="4"/>
        <v>1.92</v>
      </c>
    </row>
    <row r="79" spans="1:6" x14ac:dyDescent="0.2">
      <c r="A79" s="19">
        <v>13</v>
      </c>
      <c r="B79" s="177" t="s">
        <v>12</v>
      </c>
      <c r="C79" s="178"/>
      <c r="D79" s="14">
        <f t="shared" si="5"/>
        <v>57072</v>
      </c>
      <c r="E79" s="17">
        <f>IF(F3="1",SUMIF(Data!A:A,'8'!$A$2,Data!EK:EK),0)</f>
        <v>144026</v>
      </c>
      <c r="F79" s="21">
        <f t="shared" si="4"/>
        <v>2.52</v>
      </c>
    </row>
    <row r="80" spans="1:6" ht="14.25" customHeight="1" x14ac:dyDescent="0.2">
      <c r="A80" s="19">
        <v>14</v>
      </c>
      <c r="B80" s="177" t="s">
        <v>464</v>
      </c>
      <c r="C80" s="178"/>
      <c r="D80" s="14">
        <f t="shared" si="5"/>
        <v>113996</v>
      </c>
      <c r="E80" s="17">
        <f>IF(F3="1",SUMIF(Data!A:A,'8'!$A$2,Data!EL:EL),0)</f>
        <v>1034025</v>
      </c>
      <c r="F80" s="21">
        <f t="shared" si="4"/>
        <v>9.07</v>
      </c>
    </row>
    <row r="81" spans="1:6" x14ac:dyDescent="0.2">
      <c r="A81" s="19">
        <v>15</v>
      </c>
      <c r="B81" s="177" t="s">
        <v>13</v>
      </c>
      <c r="C81" s="178"/>
      <c r="D81" s="14">
        <f t="shared" si="5"/>
        <v>0</v>
      </c>
      <c r="E81" s="17">
        <f>IF(F3="1",SUMIF(Data!A:A,'8'!$A$2,Data!EM:EM),0)</f>
        <v>0</v>
      </c>
      <c r="F81" s="21" t="str">
        <f t="shared" si="4"/>
        <v/>
      </c>
    </row>
    <row r="82" spans="1:6" x14ac:dyDescent="0.2">
      <c r="A82" s="19">
        <v>16</v>
      </c>
      <c r="B82" s="177" t="s">
        <v>14</v>
      </c>
      <c r="C82" s="178"/>
      <c r="D82" s="14">
        <f t="shared" si="5"/>
        <v>150406</v>
      </c>
      <c r="E82" s="17">
        <f>IF(F3="1",SUMIF(Data!A:A,'8'!$A$2,Data!EN:EN),0)</f>
        <v>298987</v>
      </c>
      <c r="F82" s="21">
        <f t="shared" si="4"/>
        <v>1.99</v>
      </c>
    </row>
    <row r="83" spans="1:6" x14ac:dyDescent="0.2">
      <c r="A83" s="19">
        <v>17</v>
      </c>
      <c r="B83" s="177" t="s">
        <v>15</v>
      </c>
      <c r="C83" s="178"/>
      <c r="D83" s="14">
        <f t="shared" si="5"/>
        <v>0</v>
      </c>
      <c r="E83" s="17">
        <f>IF(F3="1",SUMIF(Data!A:A,'8'!$A$2,Data!EO:EO),0)</f>
        <v>0</v>
      </c>
      <c r="F83" s="21" t="str">
        <f t="shared" si="4"/>
        <v/>
      </c>
    </row>
    <row r="84" spans="1:6" x14ac:dyDescent="0.2">
      <c r="A84" s="19">
        <v>18</v>
      </c>
      <c r="B84" s="177" t="s">
        <v>16</v>
      </c>
      <c r="C84" s="178"/>
      <c r="D84" s="14">
        <f t="shared" si="5"/>
        <v>136832</v>
      </c>
      <c r="E84" s="17">
        <f>IF(F3="1",SUMIF(Data!A:A,'8'!$A$2,Data!EP:EP),0)</f>
        <v>361691</v>
      </c>
      <c r="F84" s="21">
        <f t="shared" si="4"/>
        <v>2.64</v>
      </c>
    </row>
    <row r="85" spans="1:6" x14ac:dyDescent="0.2">
      <c r="A85" s="19">
        <v>19</v>
      </c>
      <c r="B85" s="177" t="s">
        <v>17</v>
      </c>
      <c r="C85" s="178"/>
      <c r="D85" s="14">
        <f t="shared" si="5"/>
        <v>515262</v>
      </c>
      <c r="E85" s="17">
        <f>IF(F3="1",SUMIF(Data!A:A,'8'!$A$2,Data!EQ:EQ),0)</f>
        <v>601571</v>
      </c>
      <c r="F85" s="21">
        <f t="shared" si="4"/>
        <v>1.17</v>
      </c>
    </row>
    <row r="86" spans="1:6" x14ac:dyDescent="0.2">
      <c r="A86" s="19">
        <v>20</v>
      </c>
      <c r="B86" s="177" t="s">
        <v>18</v>
      </c>
      <c r="C86" s="178"/>
      <c r="D86" s="14">
        <f t="shared" si="5"/>
        <v>61144</v>
      </c>
      <c r="E86" s="17">
        <f>IF(F3="1",SUMIF(Data!A:A,'8'!$A$2,Data!ER:ER),0)</f>
        <v>108109</v>
      </c>
      <c r="F86" s="21">
        <f t="shared" si="4"/>
        <v>1.77</v>
      </c>
    </row>
    <row r="87" spans="1:6" ht="14.25" customHeight="1" x14ac:dyDescent="0.2">
      <c r="A87" s="19">
        <v>21</v>
      </c>
      <c r="B87" s="177" t="s">
        <v>461</v>
      </c>
      <c r="C87" s="178"/>
      <c r="D87" s="14">
        <f t="shared" si="5"/>
        <v>28742</v>
      </c>
      <c r="E87" s="17">
        <f>IF(F3="1",SUMIF(Data!A:A,'8'!$A$2,Data!ES:ES),0)</f>
        <v>14354</v>
      </c>
      <c r="F87" s="21">
        <f t="shared" si="4"/>
        <v>0.5</v>
      </c>
    </row>
    <row r="88" spans="1:6" x14ac:dyDescent="0.2">
      <c r="A88" s="19">
        <v>22</v>
      </c>
      <c r="B88" s="177" t="s">
        <v>19</v>
      </c>
      <c r="C88" s="178"/>
      <c r="D88" s="14">
        <f t="shared" si="5"/>
        <v>1152</v>
      </c>
      <c r="E88" s="17">
        <f>IF(F3="1",SUMIF(Data!A:A,'8'!$A$2,Data!ET:ET),0)</f>
        <v>21656</v>
      </c>
      <c r="F88" s="21">
        <f t="shared" si="4"/>
        <v>18.8</v>
      </c>
    </row>
    <row r="89" spans="1:6" x14ac:dyDescent="0.2">
      <c r="A89" s="19">
        <v>23</v>
      </c>
      <c r="B89" s="177" t="s">
        <v>20</v>
      </c>
      <c r="C89" s="178"/>
      <c r="D89" s="14">
        <f t="shared" si="5"/>
        <v>75360</v>
      </c>
      <c r="E89" s="17">
        <f>IF(F3="1",SUMIF(Data!A:A,'8'!$A$2,Data!EU:EU),0)</f>
        <v>213092</v>
      </c>
      <c r="F89" s="21">
        <f t="shared" si="4"/>
        <v>2.83</v>
      </c>
    </row>
    <row r="90" spans="1:6" x14ac:dyDescent="0.2">
      <c r="A90" s="19">
        <v>24</v>
      </c>
      <c r="B90" s="177" t="s">
        <v>21</v>
      </c>
      <c r="C90" s="178"/>
      <c r="D90" s="14">
        <f t="shared" si="5"/>
        <v>162704</v>
      </c>
      <c r="E90" s="17">
        <f>IF(F3="1",SUMIF(Data!A:A,'8'!$A$2,Data!EV:EV),0)</f>
        <v>187612</v>
      </c>
      <c r="F90" s="21">
        <f t="shared" si="4"/>
        <v>1.1499999999999999</v>
      </c>
    </row>
    <row r="91" spans="1:6" x14ac:dyDescent="0.2">
      <c r="A91" s="19">
        <v>25</v>
      </c>
      <c r="B91" s="177" t="s">
        <v>22</v>
      </c>
      <c r="C91" s="178"/>
      <c r="D91" s="14">
        <f t="shared" si="5"/>
        <v>663312</v>
      </c>
      <c r="E91" s="17">
        <f>IF(F3="1",SUMIF(Data!A:A,'8'!$A$2,Data!EW:EW),0)</f>
        <v>1102696</v>
      </c>
      <c r="F91" s="21">
        <f t="shared" si="4"/>
        <v>1.66</v>
      </c>
    </row>
    <row r="92" spans="1:6" x14ac:dyDescent="0.2">
      <c r="A92" s="19">
        <v>26</v>
      </c>
      <c r="B92" s="177" t="s">
        <v>23</v>
      </c>
      <c r="C92" s="178"/>
      <c r="D92" s="14">
        <f t="shared" si="5"/>
        <v>75232</v>
      </c>
      <c r="E92" s="17">
        <f>IF(F3="1",SUMIF(Data!A:A,'8'!$A$2,Data!EX:EX),0)</f>
        <v>221469</v>
      </c>
      <c r="F92" s="21">
        <f t="shared" si="4"/>
        <v>2.94</v>
      </c>
    </row>
    <row r="93" spans="1:6" x14ac:dyDescent="0.2">
      <c r="A93" s="19">
        <v>28</v>
      </c>
      <c r="B93" s="177" t="s">
        <v>24</v>
      </c>
      <c r="C93" s="178"/>
      <c r="D93" s="14">
        <f t="shared" si="5"/>
        <v>0</v>
      </c>
      <c r="E93" s="17">
        <f>IF(F3="1",SUMIF(Data!A:A,'8'!$A$2,Data!EZ:EZ),0)</f>
        <v>0</v>
      </c>
      <c r="F93" s="21" t="str">
        <f t="shared" si="4"/>
        <v/>
      </c>
    </row>
    <row r="94" spans="1:6" ht="15.75" customHeight="1" thickBot="1" x14ac:dyDescent="0.25">
      <c r="A94" s="22">
        <v>29</v>
      </c>
      <c r="B94" s="179" t="s">
        <v>25</v>
      </c>
      <c r="C94" s="180"/>
      <c r="D94" s="23">
        <f t="shared" si="5"/>
        <v>0</v>
      </c>
      <c r="E94" s="24">
        <f>IF(F3="1",SUMIF(Data!A:A,'8'!$A$2,Data!FA:FA),0)</f>
        <v>0</v>
      </c>
      <c r="F94" s="25" t="str">
        <f t="shared" si="4"/>
        <v/>
      </c>
    </row>
    <row r="95" spans="1:6" x14ac:dyDescent="0.2">
      <c r="B95" s="30" t="s">
        <v>35</v>
      </c>
      <c r="C95" s="30"/>
      <c r="D95" s="59">
        <f>SUM(D67:D94)</f>
        <v>4495060</v>
      </c>
      <c r="E95" s="31">
        <f>SUM(E67:E94)</f>
        <v>8493121</v>
      </c>
      <c r="F95" s="32">
        <f t="shared" si="4"/>
        <v>1.89</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IF(F3="1",SUMIF(Data!A:A,'8'!$A$2,Data!AH:AH),0)</f>
        <v>4718418</v>
      </c>
      <c r="F98" s="20">
        <f>IF(OR(E98=0,E98=0),"",ROUND(E98/$D$105,2))</f>
        <v>1.05</v>
      </c>
    </row>
    <row r="99" spans="2:6" x14ac:dyDescent="0.2">
      <c r="B99" s="183" t="s">
        <v>31</v>
      </c>
      <c r="C99" s="184"/>
      <c r="D99" s="36"/>
      <c r="E99" s="17">
        <f>IF(F3="1",SUMIF(Data!A:A,'8'!$A$2,Data!AI:AI),0)</f>
        <v>2433055</v>
      </c>
      <c r="F99" s="21">
        <f t="shared" ref="F99:F104" si="6">IF(OR(E99=0,E99=0),"",ROUND(E99/$D$105,2))</f>
        <v>0.54</v>
      </c>
    </row>
    <row r="100" spans="2:6" x14ac:dyDescent="0.2">
      <c r="B100" s="183" t="s">
        <v>1078</v>
      </c>
      <c r="C100" s="184"/>
      <c r="D100" s="36"/>
      <c r="E100" s="17">
        <f>IF(F3="1",SUMIF(Data!A:A,'8'!$A$2,Data!AJ:AJ),0)</f>
        <v>676329</v>
      </c>
      <c r="F100" s="21">
        <f t="shared" si="6"/>
        <v>0.15</v>
      </c>
    </row>
    <row r="101" spans="2:6" x14ac:dyDescent="0.2">
      <c r="B101" s="183" t="s">
        <v>1079</v>
      </c>
      <c r="C101" s="184"/>
      <c r="D101" s="36"/>
      <c r="E101" s="17">
        <f>IF(F3="1",SUMIF(Data!A:A,'8'!$A$2,Data!AK:AK),0)</f>
        <v>843319</v>
      </c>
      <c r="F101" s="21">
        <f t="shared" si="6"/>
        <v>0.19</v>
      </c>
    </row>
    <row r="102" spans="2:6" x14ac:dyDescent="0.2">
      <c r="B102" s="183" t="s">
        <v>1080</v>
      </c>
      <c r="C102" s="184"/>
      <c r="D102" s="36"/>
      <c r="E102" s="17">
        <f>IF(F3="1",SUMIF(Data!A:A,'8'!$A$2,Data!AL:AL),0)</f>
        <v>193704</v>
      </c>
      <c r="F102" s="21">
        <f t="shared" si="6"/>
        <v>0.04</v>
      </c>
    </row>
    <row r="103" spans="2:6" x14ac:dyDescent="0.2">
      <c r="B103" s="185" t="s">
        <v>34</v>
      </c>
      <c r="C103" s="186"/>
      <c r="D103" s="36"/>
      <c r="E103" s="17">
        <f>IF(F3="1",SUMIF(Data!A:A,'8'!$A$2,Data!AM:AM),0)</f>
        <v>0</v>
      </c>
      <c r="F103" s="21" t="str">
        <f t="shared" si="6"/>
        <v/>
      </c>
    </row>
    <row r="104" spans="2:6" ht="15.75" customHeight="1" thickBot="1" x14ac:dyDescent="0.25">
      <c r="B104" s="175" t="s">
        <v>29</v>
      </c>
      <c r="C104" s="176"/>
      <c r="D104" s="37"/>
      <c r="E104" s="24">
        <f>IF(F3="1",SUMIF(Data!A:A,'8'!$A$2,Data!Q:Q),0)</f>
        <v>0</v>
      </c>
      <c r="F104" s="25" t="str">
        <f t="shared" si="6"/>
        <v/>
      </c>
    </row>
    <row r="105" spans="2:6" x14ac:dyDescent="0.2">
      <c r="B105" s="30" t="s">
        <v>35</v>
      </c>
      <c r="C105" s="30"/>
      <c r="D105" s="34">
        <f>D95</f>
        <v>4495060</v>
      </c>
      <c r="E105" s="31">
        <f>SUM(E98:E104)</f>
        <v>8864825</v>
      </c>
      <c r="F105" s="32">
        <f>IF($D$105=0,"",ROUND(E105/$D$105,2))</f>
        <v>1.97</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8493121</v>
      </c>
      <c r="D109" s="15">
        <f>IF(F3="1",SUMIF(Data!$A:$A,$A$2,Data!HJ:HJ),0)</f>
        <v>0</v>
      </c>
      <c r="E109" s="15">
        <f>IF(F3="1",SUMIF(Data!$A:$A,$A$2,Data!IN:IN),0)</f>
        <v>0</v>
      </c>
      <c r="F109" s="47">
        <f>SUM(C109:E109)</f>
        <v>8493121</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193704</v>
      </c>
      <c r="F116" s="48">
        <f t="shared" si="7"/>
        <v>193704</v>
      </c>
    </row>
    <row r="117" spans="1:6" ht="15" thickBot="1" x14ac:dyDescent="0.25">
      <c r="B117" s="43" t="s">
        <v>933</v>
      </c>
      <c r="C117" s="52"/>
      <c r="D117" s="52">
        <f>IF(F3="1",SUMIF(Data!A:A,$A$2,Data!Q:Q),0)</f>
        <v>0</v>
      </c>
      <c r="E117" s="52"/>
      <c r="F117" s="49">
        <f>SUM(C117:E117)</f>
        <v>0</v>
      </c>
    </row>
    <row r="118" spans="1:6" x14ac:dyDescent="0.2">
      <c r="B118" s="13" t="s">
        <v>35</v>
      </c>
      <c r="C118" s="4">
        <f>SUM(C109:C116)</f>
        <v>8493121</v>
      </c>
      <c r="D118" s="4">
        <f>SUM(D109:D116)</f>
        <v>0</v>
      </c>
      <c r="E118" s="4">
        <f>SUM(E109:E116)</f>
        <v>193704</v>
      </c>
      <c r="F118" s="4">
        <f>SUM(F109:F116)</f>
        <v>8686825</v>
      </c>
    </row>
    <row r="119" spans="1:6" ht="15" thickBot="1" x14ac:dyDescent="0.25"/>
    <row r="120" spans="1:6" ht="15" thickBot="1" x14ac:dyDescent="0.25">
      <c r="B120" s="55" t="s">
        <v>934</v>
      </c>
      <c r="C120" s="53"/>
      <c r="D120" s="53"/>
      <c r="E120" s="53">
        <f>IF(F3="1",SUMIF(Data!A:A,'8'!$A$2,Data!AM:AM),0)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2" width="12.140625" style="10" bestFit="1" customWidth="1"/>
    <col min="13" max="13" width="10.5703125" style="10" bestFit="1" customWidth="1"/>
    <col min="14"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358</v>
      </c>
      <c r="B2" s="58" t="str">
        <f>VLOOKUP(A2,Data!A:G,7,0)</f>
        <v>Cisco Junior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7136</v>
      </c>
      <c r="E5" s="15">
        <f>E36+E67+IFERROR($E$105/$D$105*D5,0)</f>
        <v>68738.24130768911</v>
      </c>
      <c r="F5" s="20">
        <f>IF(OR(D5=0,E5=0),"",ROUND(E5/D5,2))</f>
        <v>9.6300000000000008</v>
      </c>
    </row>
    <row r="6" spans="1:6" x14ac:dyDescent="0.2">
      <c r="A6" s="19">
        <v>2</v>
      </c>
      <c r="B6" s="177" t="s">
        <v>1</v>
      </c>
      <c r="C6" s="178"/>
      <c r="D6" s="14">
        <f t="shared" ref="D6:D32" si="0">D37</f>
        <v>5477</v>
      </c>
      <c r="E6" s="17">
        <f t="shared" ref="E6:E32" si="1">E37+E68+IFERROR($E$105/$D$105*D6,0)</f>
        <v>35597.015224525399</v>
      </c>
      <c r="F6" s="21">
        <f t="shared" ref="F6:F33" si="2">IF(OR(D6=0,E6=0),"",ROUND(E6/D6,2))</f>
        <v>6.5</v>
      </c>
    </row>
    <row r="7" spans="1:6" ht="14.25" customHeight="1" x14ac:dyDescent="0.2">
      <c r="A7" s="19">
        <v>3</v>
      </c>
      <c r="B7" s="177" t="s">
        <v>2</v>
      </c>
      <c r="C7" s="178"/>
      <c r="D7" s="14">
        <f t="shared" si="0"/>
        <v>128864</v>
      </c>
      <c r="E7" s="17">
        <f t="shared" si="1"/>
        <v>446522.41590163251</v>
      </c>
      <c r="F7" s="21">
        <f t="shared" si="2"/>
        <v>3.47</v>
      </c>
    </row>
    <row r="8" spans="1:6" ht="14.25" customHeight="1" x14ac:dyDescent="0.2">
      <c r="A8" s="19">
        <v>4</v>
      </c>
      <c r="B8" s="177" t="s">
        <v>3</v>
      </c>
      <c r="C8" s="178"/>
      <c r="D8" s="14">
        <f t="shared" si="0"/>
        <v>76611</v>
      </c>
      <c r="E8" s="17">
        <f t="shared" si="1"/>
        <v>310124.76398870104</v>
      </c>
      <c r="F8" s="21">
        <f t="shared" si="2"/>
        <v>4.05</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0</v>
      </c>
      <c r="E10" s="17">
        <f t="shared" si="1"/>
        <v>0</v>
      </c>
      <c r="F10" s="21" t="str">
        <f t="shared" si="2"/>
        <v/>
      </c>
    </row>
    <row r="11" spans="1:6" x14ac:dyDescent="0.2">
      <c r="A11" s="19">
        <v>7</v>
      </c>
      <c r="B11" s="177" t="s">
        <v>6</v>
      </c>
      <c r="C11" s="178"/>
      <c r="D11" s="14">
        <f t="shared" si="0"/>
        <v>45744</v>
      </c>
      <c r="E11" s="17">
        <f t="shared" si="1"/>
        <v>225425.95717193536</v>
      </c>
      <c r="F11" s="21">
        <f t="shared" si="2"/>
        <v>4.93</v>
      </c>
    </row>
    <row r="12" spans="1:6" x14ac:dyDescent="0.2">
      <c r="A12" s="19">
        <v>8</v>
      </c>
      <c r="B12" s="177" t="s">
        <v>7</v>
      </c>
      <c r="C12" s="178"/>
      <c r="D12" s="14">
        <f t="shared" si="0"/>
        <v>0</v>
      </c>
      <c r="E12" s="17">
        <f t="shared" si="1"/>
        <v>0</v>
      </c>
      <c r="F12" s="21" t="str">
        <f t="shared" si="2"/>
        <v/>
      </c>
    </row>
    <row r="13" spans="1:6" x14ac:dyDescent="0.2">
      <c r="A13" s="19">
        <v>9</v>
      </c>
      <c r="B13" s="177" t="s">
        <v>8</v>
      </c>
      <c r="C13" s="178"/>
      <c r="D13" s="14">
        <f t="shared" si="0"/>
        <v>38930</v>
      </c>
      <c r="E13" s="17">
        <f t="shared" si="1"/>
        <v>126757.39687616832</v>
      </c>
      <c r="F13" s="21">
        <f t="shared" si="2"/>
        <v>3.26</v>
      </c>
    </row>
    <row r="14" spans="1:6" x14ac:dyDescent="0.2">
      <c r="A14" s="19">
        <v>10</v>
      </c>
      <c r="B14" s="177" t="s">
        <v>9</v>
      </c>
      <c r="C14" s="178"/>
      <c r="D14" s="14">
        <f t="shared" si="0"/>
        <v>0</v>
      </c>
      <c r="E14" s="17">
        <f t="shared" si="1"/>
        <v>0</v>
      </c>
      <c r="F14" s="21" t="str">
        <f t="shared" si="2"/>
        <v/>
      </c>
    </row>
    <row r="15" spans="1:6" x14ac:dyDescent="0.2">
      <c r="A15" s="19">
        <v>11</v>
      </c>
      <c r="B15" s="177" t="s">
        <v>10</v>
      </c>
      <c r="C15" s="178"/>
      <c r="D15" s="14">
        <f t="shared" si="0"/>
        <v>31512</v>
      </c>
      <c r="E15" s="17">
        <f t="shared" si="1"/>
        <v>204986.98151455988</v>
      </c>
      <c r="F15" s="21">
        <f t="shared" si="2"/>
        <v>6.51</v>
      </c>
    </row>
    <row r="16" spans="1:6" ht="14.25" customHeight="1" x14ac:dyDescent="0.2">
      <c r="A16" s="19">
        <v>12</v>
      </c>
      <c r="B16" s="177" t="s">
        <v>11</v>
      </c>
      <c r="C16" s="178"/>
      <c r="D16" s="14">
        <f t="shared" si="0"/>
        <v>208192</v>
      </c>
      <c r="E16" s="17">
        <f t="shared" si="1"/>
        <v>783165.2150126698</v>
      </c>
      <c r="F16" s="21">
        <f t="shared" si="2"/>
        <v>3.76</v>
      </c>
    </row>
    <row r="17" spans="1:6" x14ac:dyDescent="0.2">
      <c r="A17" s="19">
        <v>13</v>
      </c>
      <c r="B17" s="177" t="s">
        <v>12</v>
      </c>
      <c r="C17" s="178"/>
      <c r="D17" s="14">
        <f t="shared" si="0"/>
        <v>9216</v>
      </c>
      <c r="E17" s="17">
        <f t="shared" si="1"/>
        <v>52466.603123831679</v>
      </c>
      <c r="F17" s="21">
        <f t="shared" si="2"/>
        <v>5.69</v>
      </c>
    </row>
    <row r="18" spans="1:6" ht="14.25" customHeight="1" x14ac:dyDescent="0.2">
      <c r="A18" s="19">
        <v>14</v>
      </c>
      <c r="B18" s="177" t="s">
        <v>464</v>
      </c>
      <c r="C18" s="178"/>
      <c r="D18" s="14">
        <f t="shared" si="0"/>
        <v>46512</v>
      </c>
      <c r="E18" s="17">
        <f t="shared" si="1"/>
        <v>190043.09076558799</v>
      </c>
      <c r="F18" s="21">
        <f t="shared" si="2"/>
        <v>4.09</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49408</v>
      </c>
      <c r="E20" s="17">
        <f t="shared" si="1"/>
        <v>201031.59452498652</v>
      </c>
      <c r="F20" s="21">
        <f t="shared" si="2"/>
        <v>4.07</v>
      </c>
    </row>
    <row r="21" spans="1:6" x14ac:dyDescent="0.2">
      <c r="A21" s="19">
        <v>17</v>
      </c>
      <c r="B21" s="177" t="s">
        <v>15</v>
      </c>
      <c r="C21" s="178"/>
      <c r="D21" s="14">
        <f t="shared" si="0"/>
        <v>0</v>
      </c>
      <c r="E21" s="17">
        <f t="shared" si="1"/>
        <v>0</v>
      </c>
      <c r="F21" s="21" t="str">
        <f t="shared" si="2"/>
        <v/>
      </c>
    </row>
    <row r="22" spans="1:6" x14ac:dyDescent="0.2">
      <c r="A22" s="19">
        <v>18</v>
      </c>
      <c r="B22" s="177" t="s">
        <v>16</v>
      </c>
      <c r="C22" s="178"/>
      <c r="D22" s="14">
        <f t="shared" si="0"/>
        <v>53424</v>
      </c>
      <c r="E22" s="17">
        <f t="shared" si="1"/>
        <v>334275.29310846177</v>
      </c>
      <c r="F22" s="21">
        <f t="shared" si="2"/>
        <v>6.26</v>
      </c>
    </row>
    <row r="23" spans="1:6" x14ac:dyDescent="0.2">
      <c r="A23" s="19">
        <v>19</v>
      </c>
      <c r="B23" s="177" t="s">
        <v>17</v>
      </c>
      <c r="C23" s="178"/>
      <c r="D23" s="14">
        <f t="shared" si="0"/>
        <v>124128</v>
      </c>
      <c r="E23" s="17">
        <f t="shared" si="1"/>
        <v>489473.59207410796</v>
      </c>
      <c r="F23" s="21">
        <f t="shared" si="2"/>
        <v>3.94</v>
      </c>
    </row>
    <row r="24" spans="1:6" x14ac:dyDescent="0.2">
      <c r="A24" s="19">
        <v>20</v>
      </c>
      <c r="B24" s="177" t="s">
        <v>18</v>
      </c>
      <c r="C24" s="178"/>
      <c r="D24" s="14">
        <f t="shared" si="0"/>
        <v>21120</v>
      </c>
      <c r="E24" s="17">
        <f t="shared" si="1"/>
        <v>121995.67382544759</v>
      </c>
      <c r="F24" s="21">
        <f t="shared" si="2"/>
        <v>5.78</v>
      </c>
    </row>
    <row r="25" spans="1:6" ht="14.25" customHeight="1" x14ac:dyDescent="0.2">
      <c r="A25" s="19">
        <v>21</v>
      </c>
      <c r="B25" s="177" t="s">
        <v>461</v>
      </c>
      <c r="C25" s="178"/>
      <c r="D25" s="14">
        <f t="shared" si="0"/>
        <v>0</v>
      </c>
      <c r="E25" s="17">
        <f t="shared" si="1"/>
        <v>0</v>
      </c>
      <c r="F25" s="21" t="str">
        <f t="shared" si="2"/>
        <v/>
      </c>
    </row>
    <row r="26" spans="1:6" x14ac:dyDescent="0.2">
      <c r="A26" s="19">
        <v>22</v>
      </c>
      <c r="B26" s="177" t="s">
        <v>19</v>
      </c>
      <c r="C26" s="178"/>
      <c r="D26" s="14">
        <f t="shared" si="0"/>
        <v>1520</v>
      </c>
      <c r="E26" s="17">
        <f t="shared" si="1"/>
        <v>9986.2644041041822</v>
      </c>
      <c r="F26" s="21">
        <f t="shared" si="2"/>
        <v>6.57</v>
      </c>
    </row>
    <row r="27" spans="1:6" x14ac:dyDescent="0.2">
      <c r="A27" s="19">
        <v>23</v>
      </c>
      <c r="B27" s="177" t="s">
        <v>20</v>
      </c>
      <c r="C27" s="178"/>
      <c r="D27" s="14">
        <f t="shared" si="0"/>
        <v>47040</v>
      </c>
      <c r="E27" s="17">
        <f t="shared" si="1"/>
        <v>442399.18261122418</v>
      </c>
      <c r="F27" s="21">
        <f t="shared" si="2"/>
        <v>9.4</v>
      </c>
    </row>
    <row r="28" spans="1:6" x14ac:dyDescent="0.2">
      <c r="A28" s="19">
        <v>24</v>
      </c>
      <c r="B28" s="177" t="s">
        <v>21</v>
      </c>
      <c r="C28" s="178"/>
      <c r="D28" s="14">
        <f t="shared" si="0"/>
        <v>26496</v>
      </c>
      <c r="E28" s="17">
        <f t="shared" si="1"/>
        <v>120190.60898101608</v>
      </c>
      <c r="F28" s="21">
        <f t="shared" si="2"/>
        <v>4.54</v>
      </c>
    </row>
    <row r="29" spans="1:6" x14ac:dyDescent="0.2">
      <c r="A29" s="19">
        <v>25</v>
      </c>
      <c r="B29" s="177" t="s">
        <v>22</v>
      </c>
      <c r="C29" s="178"/>
      <c r="D29" s="14">
        <f t="shared" si="0"/>
        <v>237072</v>
      </c>
      <c r="E29" s="17">
        <f t="shared" si="1"/>
        <v>808449.23869064928</v>
      </c>
      <c r="F29" s="21">
        <f t="shared" si="2"/>
        <v>3.41</v>
      </c>
    </row>
    <row r="30" spans="1:6" x14ac:dyDescent="0.2">
      <c r="A30" s="19">
        <v>26</v>
      </c>
      <c r="B30" s="177" t="s">
        <v>23</v>
      </c>
      <c r="C30" s="178"/>
      <c r="D30" s="14">
        <f t="shared" si="0"/>
        <v>45248</v>
      </c>
      <c r="E30" s="17">
        <f t="shared" si="1"/>
        <v>277583.87089270138</v>
      </c>
      <c r="F30" s="21">
        <f t="shared" si="2"/>
        <v>6.13</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1203650</v>
      </c>
      <c r="E33" s="31">
        <f>SUM(E5:E32)</f>
        <v>5249213</v>
      </c>
      <c r="F33" s="32">
        <f t="shared" si="2"/>
        <v>4.3600000000000003</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IF(F3="1",SUMIF(Data!A:A,'9'!$A$2,Data!CU:CU),0)</f>
        <v>7136</v>
      </c>
      <c r="E36" s="15">
        <f>IF(F3="1",SUMIF(Data!$A:$A,$A$2,Data!IO:IO),0)</f>
        <v>6832</v>
      </c>
      <c r="F36" s="20">
        <f t="shared" ref="F36:F64" si="3">IF(OR(D36=0,E36=0),"",ROUND(E36/D36,2))</f>
        <v>0.96</v>
      </c>
    </row>
    <row r="37" spans="1:6" x14ac:dyDescent="0.2">
      <c r="A37" s="19">
        <v>2</v>
      </c>
      <c r="B37" s="177" t="s">
        <v>1</v>
      </c>
      <c r="C37" s="178"/>
      <c r="D37" s="14">
        <f>IF(F3="1",SUMIF(Data!A:A,'9'!$A$2,Data!CV:CV),0)</f>
        <v>5477</v>
      </c>
      <c r="E37" s="17">
        <f>IF(F3="1",SUMIF(Data!$A:$A,$A$2,Data!IP:IP),0)</f>
        <v>2053</v>
      </c>
      <c r="F37" s="21">
        <f t="shared" si="3"/>
        <v>0.37</v>
      </c>
    </row>
    <row r="38" spans="1:6" ht="14.25" customHeight="1" x14ac:dyDescent="0.2">
      <c r="A38" s="19">
        <v>3</v>
      </c>
      <c r="B38" s="177" t="s">
        <v>2</v>
      </c>
      <c r="C38" s="178"/>
      <c r="D38" s="14">
        <f>IF(F3="1",SUMIF(Data!A:A,'9'!$A$2,Data!CW:CW),0)</f>
        <v>128864</v>
      </c>
      <c r="E38" s="17">
        <f>IF($F$3="1",SUMIF(Data!$A:$A,$A$2,Data!IQ:IQ),0)</f>
        <v>19715</v>
      </c>
      <c r="F38" s="21">
        <f t="shared" si="3"/>
        <v>0.15</v>
      </c>
    </row>
    <row r="39" spans="1:6" ht="14.25" customHeight="1" x14ac:dyDescent="0.2">
      <c r="A39" s="19">
        <v>4</v>
      </c>
      <c r="B39" s="177" t="s">
        <v>3</v>
      </c>
      <c r="C39" s="178"/>
      <c r="D39" s="14">
        <f>IF(F3="1",SUMIF(Data!A:A,'9'!$A$2,Data!CX:CX),0)</f>
        <v>76611</v>
      </c>
      <c r="E39" s="17">
        <f>IF($F$3="1",SUMIF(Data!$A:$A,$A$2,Data!IR:IR),0)</f>
        <v>22972</v>
      </c>
      <c r="F39" s="21">
        <f t="shared" si="3"/>
        <v>0.3</v>
      </c>
    </row>
    <row r="40" spans="1:6" x14ac:dyDescent="0.2">
      <c r="A40" s="19">
        <v>5</v>
      </c>
      <c r="B40" s="177" t="s">
        <v>4</v>
      </c>
      <c r="C40" s="178"/>
      <c r="D40" s="14">
        <f>IF(F3="1",SUMIF(Data!A:A,'9'!$A$2,Data!CY:CY),0)</f>
        <v>0</v>
      </c>
      <c r="E40" s="17">
        <f>IF($F$3="1",SUMIF(Data!$A:$A,$A$2,Data!IS:IS),0)</f>
        <v>0</v>
      </c>
      <c r="F40" s="21" t="str">
        <f t="shared" si="3"/>
        <v/>
      </c>
    </row>
    <row r="41" spans="1:6" x14ac:dyDescent="0.2">
      <c r="A41" s="19">
        <v>6</v>
      </c>
      <c r="B41" s="177" t="s">
        <v>5</v>
      </c>
      <c r="C41" s="178"/>
      <c r="D41" s="14">
        <f>IF(F3="1",SUMIF(Data!A:A,'9'!$A$2,Data!CZ:CZ),0)</f>
        <v>0</v>
      </c>
      <c r="E41" s="17">
        <f>IF($F$3="1",SUMIF(Data!$A:$A,$A$2,Data!IT:IT),0)</f>
        <v>0</v>
      </c>
      <c r="F41" s="21" t="str">
        <f t="shared" si="3"/>
        <v/>
      </c>
    </row>
    <row r="42" spans="1:6" x14ac:dyDescent="0.2">
      <c r="A42" s="19">
        <v>7</v>
      </c>
      <c r="B42" s="177" t="s">
        <v>6</v>
      </c>
      <c r="C42" s="178"/>
      <c r="D42" s="14">
        <f>IF(F3="1",SUMIF(Data!A:A,'9'!$A$2,Data!DA:DA),0)</f>
        <v>45744</v>
      </c>
      <c r="E42" s="17">
        <f>IF($F$3="1",SUMIF(Data!$A:$A,$A$2,Data!IU:IU),0)</f>
        <v>8243</v>
      </c>
      <c r="F42" s="21">
        <f t="shared" si="3"/>
        <v>0.18</v>
      </c>
    </row>
    <row r="43" spans="1:6" x14ac:dyDescent="0.2">
      <c r="A43" s="19">
        <v>8</v>
      </c>
      <c r="B43" s="177" t="s">
        <v>7</v>
      </c>
      <c r="C43" s="178"/>
      <c r="D43" s="14">
        <f>IF(F3="1",SUMIF(Data!A:A,'9'!$A$2,Data!DB:DB),0)</f>
        <v>0</v>
      </c>
      <c r="E43" s="17">
        <f>IF($F$3="1",SUMIF(Data!$A:$A,$A$2,Data!IV:IV),0)</f>
        <v>0</v>
      </c>
      <c r="F43" s="21" t="str">
        <f t="shared" si="3"/>
        <v/>
      </c>
    </row>
    <row r="44" spans="1:6" x14ac:dyDescent="0.2">
      <c r="A44" s="19">
        <v>9</v>
      </c>
      <c r="B44" s="177" t="s">
        <v>8</v>
      </c>
      <c r="C44" s="178"/>
      <c r="D44" s="14">
        <f>IF(F3="1",SUMIF(Data!A:A,'9'!$A$2,Data!DC:DC),0)</f>
        <v>38930</v>
      </c>
      <c r="E44" s="17">
        <f>IF($F$3="1",SUMIF(Data!$A:$A,$A$2,Data!IW:IW),0)</f>
        <v>18558</v>
      </c>
      <c r="F44" s="21">
        <f t="shared" si="3"/>
        <v>0.48</v>
      </c>
    </row>
    <row r="45" spans="1:6" x14ac:dyDescent="0.2">
      <c r="A45" s="19">
        <v>10</v>
      </c>
      <c r="B45" s="177" t="s">
        <v>9</v>
      </c>
      <c r="C45" s="178"/>
      <c r="D45" s="14">
        <f>IF(F3="1",SUMIF(Data!A:A,'9'!$A$2,Data!DD:DD),0)</f>
        <v>0</v>
      </c>
      <c r="E45" s="17">
        <f>IF($F$3="1",SUMIF(Data!$A:$A,$A$2,Data!IX:IX),0)</f>
        <v>0</v>
      </c>
      <c r="F45" s="21" t="str">
        <f t="shared" si="3"/>
        <v/>
      </c>
    </row>
    <row r="46" spans="1:6" x14ac:dyDescent="0.2">
      <c r="A46" s="19">
        <v>11</v>
      </c>
      <c r="B46" s="177" t="s">
        <v>10</v>
      </c>
      <c r="C46" s="178"/>
      <c r="D46" s="14">
        <f>IF(F3="1",SUMIF(Data!A:A,'9'!$A$2,Data!DE:DE),0)</f>
        <v>31512</v>
      </c>
      <c r="E46" s="17">
        <f>IF($F$3="1",SUMIF(Data!$A:$A,$A$2,Data!IY:IY),0)</f>
        <v>11824</v>
      </c>
      <c r="F46" s="21">
        <f t="shared" si="3"/>
        <v>0.38</v>
      </c>
    </row>
    <row r="47" spans="1:6" ht="14.25" customHeight="1" x14ac:dyDescent="0.2">
      <c r="A47" s="19">
        <v>12</v>
      </c>
      <c r="B47" s="177" t="s">
        <v>11</v>
      </c>
      <c r="C47" s="178"/>
      <c r="D47" s="14">
        <f>IF(F3="1",SUMIF(Data!A:A,'9'!$A$2,Data!DF:DF),0)</f>
        <v>208192</v>
      </c>
      <c r="E47" s="17">
        <f>IF($F$3="1",SUMIF(Data!$A:$A,$A$2,Data!IZ:IZ),0)</f>
        <v>22492</v>
      </c>
      <c r="F47" s="21">
        <f t="shared" si="3"/>
        <v>0.11</v>
      </c>
    </row>
    <row r="48" spans="1:6" x14ac:dyDescent="0.2">
      <c r="A48" s="19">
        <v>13</v>
      </c>
      <c r="B48" s="177" t="s">
        <v>12</v>
      </c>
      <c r="C48" s="178"/>
      <c r="D48" s="14">
        <f>IF(F3="1",SUMIF(Data!A:A,'9'!$A$2,Data!DG:DG),0)</f>
        <v>9216</v>
      </c>
      <c r="E48" s="17">
        <f>IF($F$3="1",SUMIF(Data!$A:$A,$A$2,Data!JA:JA),0)</f>
        <v>143</v>
      </c>
      <c r="F48" s="21">
        <f t="shared" si="3"/>
        <v>0.02</v>
      </c>
    </row>
    <row r="49" spans="1:6" ht="14.25" customHeight="1" x14ac:dyDescent="0.2">
      <c r="A49" s="19">
        <v>14</v>
      </c>
      <c r="B49" s="177" t="s">
        <v>464</v>
      </c>
      <c r="C49" s="178"/>
      <c r="D49" s="14">
        <f>IF(F3="1",SUMIF(Data!A:A,'9'!$A$2,Data!DH:DH),0)</f>
        <v>46512</v>
      </c>
      <c r="E49" s="17">
        <f>IF($F$3="1",SUMIF(Data!$A:$A,$A$2,Data!JB:JB),0)</f>
        <v>25250</v>
      </c>
      <c r="F49" s="21">
        <f t="shared" si="3"/>
        <v>0.54</v>
      </c>
    </row>
    <row r="50" spans="1:6" x14ac:dyDescent="0.2">
      <c r="A50" s="19">
        <v>15</v>
      </c>
      <c r="B50" s="177" t="s">
        <v>13</v>
      </c>
      <c r="C50" s="178"/>
      <c r="D50" s="14">
        <f>IF(F3="1",SUMIF(Data!A:A,'9'!$A$2,Data!DI:DI),0)</f>
        <v>0</v>
      </c>
      <c r="E50" s="17">
        <f>IF($F$3="1",SUMIF(Data!$A:$A,$A$2,Data!JC:JC),0)</f>
        <v>0</v>
      </c>
      <c r="F50" s="21" t="str">
        <f t="shared" si="3"/>
        <v/>
      </c>
    </row>
    <row r="51" spans="1:6" x14ac:dyDescent="0.2">
      <c r="A51" s="19">
        <v>16</v>
      </c>
      <c r="B51" s="177" t="s">
        <v>14</v>
      </c>
      <c r="C51" s="178"/>
      <c r="D51" s="14">
        <f>IF(F3="1",SUMIF(Data!A:A,'9'!$A$2,Data!DJ:DJ),0)</f>
        <v>49408</v>
      </c>
      <c r="E51" s="17">
        <f>IF($F$3="1",SUMIF(Data!$A:$A,$A$2,Data!JD:JD),0)</f>
        <v>3837</v>
      </c>
      <c r="F51" s="21">
        <f t="shared" si="3"/>
        <v>0.08</v>
      </c>
    </row>
    <row r="52" spans="1:6" x14ac:dyDescent="0.2">
      <c r="A52" s="19">
        <v>17</v>
      </c>
      <c r="B52" s="177" t="s">
        <v>15</v>
      </c>
      <c r="C52" s="178"/>
      <c r="D52" s="14">
        <f>IF(F3="1",SUMIF(Data!A:A,'9'!$A$2,Data!DK:DK),0)</f>
        <v>0</v>
      </c>
      <c r="E52" s="17">
        <f>IF($F$3="1",SUMIF(Data!$A:$A,$A$2,Data!JE:JE),0)</f>
        <v>0</v>
      </c>
      <c r="F52" s="21" t="str">
        <f t="shared" si="3"/>
        <v/>
      </c>
    </row>
    <row r="53" spans="1:6" x14ac:dyDescent="0.2">
      <c r="A53" s="19">
        <v>18</v>
      </c>
      <c r="B53" s="177" t="s">
        <v>16</v>
      </c>
      <c r="C53" s="178"/>
      <c r="D53" s="14">
        <f>IF(F3="1",SUMIF(Data!A:A,'9'!$A$2,Data!DL:DL),0)</f>
        <v>53424</v>
      </c>
      <c r="E53" s="17">
        <f>IF($F$3="1",SUMIF(Data!$A:$A,$A$2,Data!JF:JF),0)</f>
        <v>7879</v>
      </c>
      <c r="F53" s="21">
        <f t="shared" si="3"/>
        <v>0.15</v>
      </c>
    </row>
    <row r="54" spans="1:6" x14ac:dyDescent="0.2">
      <c r="A54" s="19">
        <v>19</v>
      </c>
      <c r="B54" s="177" t="s">
        <v>17</v>
      </c>
      <c r="C54" s="178"/>
      <c r="D54" s="14">
        <f>IF(F3="1",SUMIF(Data!A:A,'9'!$A$2,Data!DM:DM),0)</f>
        <v>124128</v>
      </c>
      <c r="E54" s="17">
        <f>IF($F$3="1",SUMIF(Data!$A:$A,$A$2,Data!JG:JG),0)</f>
        <v>4915</v>
      </c>
      <c r="F54" s="21">
        <f t="shared" si="3"/>
        <v>0.04</v>
      </c>
    </row>
    <row r="55" spans="1:6" x14ac:dyDescent="0.2">
      <c r="A55" s="19">
        <v>20</v>
      </c>
      <c r="B55" s="177" t="s">
        <v>18</v>
      </c>
      <c r="C55" s="178"/>
      <c r="D55" s="14">
        <f>IF(F3="1",SUMIF(Data!A:A,'9'!$A$2,Data!DN:DN),0)</f>
        <v>21120</v>
      </c>
      <c r="E55" s="17">
        <f>IF($F$3="1",SUMIF(Data!$A:$A,$A$2,Data!JH:JH),0)</f>
        <v>10520</v>
      </c>
      <c r="F55" s="21">
        <f t="shared" si="3"/>
        <v>0.5</v>
      </c>
    </row>
    <row r="56" spans="1:6" ht="14.25" customHeight="1" x14ac:dyDescent="0.2">
      <c r="A56" s="19">
        <v>21</v>
      </c>
      <c r="B56" s="177" t="s">
        <v>461</v>
      </c>
      <c r="C56" s="178"/>
      <c r="D56" s="14">
        <f>IF(F3="1",SUMIF(Data!A:A,'9'!$A$2,Data!DO:DO),0)</f>
        <v>0</v>
      </c>
      <c r="E56" s="17">
        <f>IF($F$3="1",SUMIF(Data!$A:$A,$A$2,Data!JI:JI),0)</f>
        <v>0</v>
      </c>
      <c r="F56" s="21" t="str">
        <f t="shared" si="3"/>
        <v/>
      </c>
    </row>
    <row r="57" spans="1:6" x14ac:dyDescent="0.2">
      <c r="A57" s="19">
        <v>22</v>
      </c>
      <c r="B57" s="177" t="s">
        <v>19</v>
      </c>
      <c r="C57" s="178"/>
      <c r="D57" s="14">
        <f>IF(F3="1",SUMIF(Data!A:A,'9'!$A$2,Data!DP:DP),0)</f>
        <v>1520</v>
      </c>
      <c r="E57" s="17">
        <f>IF($F$3="1",SUMIF(Data!$A:$A,$A$2,Data!JJ:JJ),0)</f>
        <v>578</v>
      </c>
      <c r="F57" s="21">
        <f t="shared" si="3"/>
        <v>0.38</v>
      </c>
    </row>
    <row r="58" spans="1:6" x14ac:dyDescent="0.2">
      <c r="A58" s="19">
        <v>23</v>
      </c>
      <c r="B58" s="177" t="s">
        <v>20</v>
      </c>
      <c r="C58" s="178"/>
      <c r="D58" s="14">
        <f>IF(F3="1",SUMIF(Data!A:A,'9'!$A$2,Data!DQ:DQ),0)</f>
        <v>47040</v>
      </c>
      <c r="E58" s="17">
        <f>IF($F$3="1",SUMIF(Data!$A:$A,$A$2,Data!JK:JK),0)</f>
        <v>32795</v>
      </c>
      <c r="F58" s="21">
        <f t="shared" si="3"/>
        <v>0.7</v>
      </c>
    </row>
    <row r="59" spans="1:6" x14ac:dyDescent="0.2">
      <c r="A59" s="19">
        <v>24</v>
      </c>
      <c r="B59" s="177" t="s">
        <v>21</v>
      </c>
      <c r="C59" s="178"/>
      <c r="D59" s="14">
        <f>IF(F3="1",SUMIF(Data!A:A,'9'!$A$2,Data!DR:DR),0)</f>
        <v>26496</v>
      </c>
      <c r="E59" s="17">
        <f>IF($F$3="1",SUMIF(Data!$A:$A,$A$2,Data!JL:JL),0)</f>
        <v>1858</v>
      </c>
      <c r="F59" s="21">
        <f t="shared" si="3"/>
        <v>7.0000000000000007E-2</v>
      </c>
    </row>
    <row r="60" spans="1:6" x14ac:dyDescent="0.2">
      <c r="A60" s="19">
        <v>25</v>
      </c>
      <c r="B60" s="177" t="s">
        <v>22</v>
      </c>
      <c r="C60" s="178"/>
      <c r="D60" s="14">
        <f>IF(F3="1",SUMIF(Data!A:A,'9'!$A$2,Data!DS:DS),0)</f>
        <v>237072</v>
      </c>
      <c r="E60" s="17">
        <f>IF($F$3="1",SUMIF(Data!$A:$A,$A$2,Data!JM:JM),0)</f>
        <v>16835</v>
      </c>
      <c r="F60" s="21">
        <f t="shared" si="3"/>
        <v>7.0000000000000007E-2</v>
      </c>
    </row>
    <row r="61" spans="1:6" x14ac:dyDescent="0.2">
      <c r="A61" s="19">
        <v>26</v>
      </c>
      <c r="B61" s="177" t="s">
        <v>23</v>
      </c>
      <c r="C61" s="178"/>
      <c r="D61" s="14">
        <f>IF(F3="1",SUMIF(Data!A:A,'9'!$A$2,Data!DT:DT),0)</f>
        <v>45248</v>
      </c>
      <c r="E61" s="17">
        <f>IF($F$3="1",SUMIF(Data!$A:$A,$A$2,Data!JN:JN),0)</f>
        <v>28429</v>
      </c>
      <c r="F61" s="21">
        <f t="shared" si="3"/>
        <v>0.63</v>
      </c>
    </row>
    <row r="62" spans="1:6" x14ac:dyDescent="0.2">
      <c r="A62" s="19">
        <v>28</v>
      </c>
      <c r="B62" s="177" t="s">
        <v>24</v>
      </c>
      <c r="C62" s="178"/>
      <c r="D62" s="14">
        <f>IF(F3="1",SUMIF(Data!A:A,'9'!$A$2,Data!DV:DV),0)</f>
        <v>0</v>
      </c>
      <c r="E62" s="17">
        <f>IF($F$3="1",SUMIF(Data!$A:$A,$A$2,Data!JP:JP),0)</f>
        <v>0</v>
      </c>
      <c r="F62" s="21" t="str">
        <f t="shared" si="3"/>
        <v/>
      </c>
    </row>
    <row r="63" spans="1:6" ht="15.75" customHeight="1" thickBot="1" x14ac:dyDescent="0.25">
      <c r="A63" s="22">
        <v>29</v>
      </c>
      <c r="B63" s="179" t="s">
        <v>25</v>
      </c>
      <c r="C63" s="180"/>
      <c r="D63" s="23">
        <f>IF(F3="1",SUMIF(Data!A:A,'9'!$A$2,Data!DW:DW),0)</f>
        <v>0</v>
      </c>
      <c r="E63" s="24">
        <f>IF($F$3="1",SUMIF(Data!$A:$A,$A$2,Data!JQ:JQ),0)</f>
        <v>0</v>
      </c>
      <c r="F63" s="25" t="str">
        <f t="shared" si="3"/>
        <v/>
      </c>
    </row>
    <row r="64" spans="1:6" x14ac:dyDescent="0.2">
      <c r="B64" s="30" t="s">
        <v>35</v>
      </c>
      <c r="C64" s="30"/>
      <c r="D64" s="59">
        <f>SUM(D36:D63)</f>
        <v>1203650</v>
      </c>
      <c r="E64" s="31">
        <f>SUM(E36:E63)</f>
        <v>245728</v>
      </c>
      <c r="F64" s="32">
        <f t="shared" si="3"/>
        <v>0.2</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7136</v>
      </c>
      <c r="E67" s="15">
        <f>IF(F3="1",SUMIF(Data!A:A,'9'!$A$2,Data!DY:DY),0)</f>
        <v>48971</v>
      </c>
      <c r="F67" s="20">
        <f t="shared" ref="F67:F95" si="4">IF(OR(D67=0,E67=0),"",ROUND(E67/D67,2))</f>
        <v>6.86</v>
      </c>
    </row>
    <row r="68" spans="1:6" x14ac:dyDescent="0.2">
      <c r="A68" s="19">
        <v>2</v>
      </c>
      <c r="B68" s="177" t="s">
        <v>1</v>
      </c>
      <c r="C68" s="178"/>
      <c r="D68" s="14">
        <f t="shared" ref="D68:D94" si="5">D37</f>
        <v>5477</v>
      </c>
      <c r="E68" s="17">
        <f>IF(F3="1",SUMIF(Data!A:A,'9'!$A$2,Data!DZ:DZ),0)</f>
        <v>23616</v>
      </c>
      <c r="F68" s="21">
        <f t="shared" si="4"/>
        <v>4.3099999999999996</v>
      </c>
    </row>
    <row r="69" spans="1:6" ht="14.25" customHeight="1" x14ac:dyDescent="0.2">
      <c r="A69" s="19">
        <v>3</v>
      </c>
      <c r="B69" s="177" t="s">
        <v>2</v>
      </c>
      <c r="C69" s="178"/>
      <c r="D69" s="14">
        <f t="shared" si="5"/>
        <v>128864</v>
      </c>
      <c r="E69" s="17">
        <f>IF(F3="1",SUMIF(Data!A:A,'9'!$A$2,Data!EA:EA),0)</f>
        <v>193219</v>
      </c>
      <c r="F69" s="21">
        <f t="shared" si="4"/>
        <v>1.5</v>
      </c>
    </row>
    <row r="70" spans="1:6" ht="14.25" customHeight="1" x14ac:dyDescent="0.2">
      <c r="A70" s="19">
        <v>4</v>
      </c>
      <c r="B70" s="177" t="s">
        <v>3</v>
      </c>
      <c r="C70" s="178"/>
      <c r="D70" s="14">
        <f t="shared" si="5"/>
        <v>76611</v>
      </c>
      <c r="E70" s="17">
        <f>IF(F3="1",SUMIF(Data!A:A,'9'!$A$2,Data!EB:EB),0)</f>
        <v>148282</v>
      </c>
      <c r="F70" s="21">
        <f t="shared" si="4"/>
        <v>1.94</v>
      </c>
    </row>
    <row r="71" spans="1:6" x14ac:dyDescent="0.2">
      <c r="A71" s="19">
        <v>5</v>
      </c>
      <c r="B71" s="177" t="s">
        <v>4</v>
      </c>
      <c r="C71" s="178"/>
      <c r="D71" s="14">
        <f t="shared" si="5"/>
        <v>0</v>
      </c>
      <c r="E71" s="17">
        <f>IF(F3="1",SUMIF(Data!A:A,'9'!$A$2,Data!EC:EC),0)</f>
        <v>0</v>
      </c>
      <c r="F71" s="21" t="str">
        <f t="shared" si="4"/>
        <v/>
      </c>
    </row>
    <row r="72" spans="1:6" x14ac:dyDescent="0.2">
      <c r="A72" s="19">
        <v>6</v>
      </c>
      <c r="B72" s="177" t="s">
        <v>5</v>
      </c>
      <c r="C72" s="178"/>
      <c r="D72" s="14">
        <f t="shared" si="5"/>
        <v>0</v>
      </c>
      <c r="E72" s="17">
        <f>IF(F3="1",SUMIF(Data!A:A,'9'!$A$2,Data!ED:ED),0)</f>
        <v>0</v>
      </c>
      <c r="F72" s="21" t="str">
        <f t="shared" si="4"/>
        <v/>
      </c>
    </row>
    <row r="73" spans="1:6" x14ac:dyDescent="0.2">
      <c r="A73" s="19">
        <v>7</v>
      </c>
      <c r="B73" s="177" t="s">
        <v>6</v>
      </c>
      <c r="C73" s="178"/>
      <c r="D73" s="14">
        <f t="shared" si="5"/>
        <v>45744</v>
      </c>
      <c r="E73" s="17">
        <f>IF(F3="1",SUMIF(Data!A:A,'9'!$A$2,Data!EE:EE),0)</f>
        <v>134264</v>
      </c>
      <c r="F73" s="21">
        <f t="shared" si="4"/>
        <v>2.94</v>
      </c>
    </row>
    <row r="74" spans="1:6" x14ac:dyDescent="0.2">
      <c r="A74" s="19">
        <v>8</v>
      </c>
      <c r="B74" s="177" t="s">
        <v>7</v>
      </c>
      <c r="C74" s="178"/>
      <c r="D74" s="14">
        <f t="shared" si="5"/>
        <v>0</v>
      </c>
      <c r="E74" s="17">
        <f>IF(F3="1",SUMIF(Data!A:A,'9'!$A$2,Data!EF:EF),0)</f>
        <v>0</v>
      </c>
      <c r="F74" s="21" t="str">
        <f t="shared" si="4"/>
        <v/>
      </c>
    </row>
    <row r="75" spans="1:6" x14ac:dyDescent="0.2">
      <c r="A75" s="19">
        <v>9</v>
      </c>
      <c r="B75" s="177" t="s">
        <v>8</v>
      </c>
      <c r="C75" s="178"/>
      <c r="D75" s="14">
        <f t="shared" si="5"/>
        <v>38930</v>
      </c>
      <c r="E75" s="17">
        <f>IF(F3="1",SUMIF(Data!A:A,'9'!$A$2,Data!EG:EG),0)</f>
        <v>37632</v>
      </c>
      <c r="F75" s="21">
        <f t="shared" si="4"/>
        <v>0.97</v>
      </c>
    </row>
    <row r="76" spans="1:6" x14ac:dyDescent="0.2">
      <c r="A76" s="19">
        <v>10</v>
      </c>
      <c r="B76" s="177" t="s">
        <v>9</v>
      </c>
      <c r="C76" s="178"/>
      <c r="D76" s="14">
        <f t="shared" si="5"/>
        <v>0</v>
      </c>
      <c r="E76" s="17">
        <f>IF(F3="1",SUMIF(Data!A:A,'9'!$A$2,Data!EH:EH),0)</f>
        <v>0</v>
      </c>
      <c r="F76" s="21" t="str">
        <f t="shared" si="4"/>
        <v/>
      </c>
    </row>
    <row r="77" spans="1:6" x14ac:dyDescent="0.2">
      <c r="A77" s="19">
        <v>11</v>
      </c>
      <c r="B77" s="177" t="s">
        <v>10</v>
      </c>
      <c r="C77" s="178"/>
      <c r="D77" s="14">
        <f t="shared" si="5"/>
        <v>31512</v>
      </c>
      <c r="E77" s="17">
        <f>IF(F3="1",SUMIF(Data!A:A,'9'!$A$2,Data!EI:EI),0)</f>
        <v>136042</v>
      </c>
      <c r="F77" s="21">
        <f t="shared" si="4"/>
        <v>4.32</v>
      </c>
    </row>
    <row r="78" spans="1:6" ht="14.25" customHeight="1" x14ac:dyDescent="0.2">
      <c r="A78" s="19">
        <v>12</v>
      </c>
      <c r="B78" s="177" t="s">
        <v>11</v>
      </c>
      <c r="C78" s="178"/>
      <c r="D78" s="14">
        <f t="shared" si="5"/>
        <v>208192</v>
      </c>
      <c r="E78" s="17">
        <f>IF(F3="1",SUMIF(Data!A:A,'9'!$A$2,Data!EJ:EJ),0)</f>
        <v>383289</v>
      </c>
      <c r="F78" s="21">
        <f t="shared" si="4"/>
        <v>1.84</v>
      </c>
    </row>
    <row r="79" spans="1:6" x14ac:dyDescent="0.2">
      <c r="A79" s="19">
        <v>13</v>
      </c>
      <c r="B79" s="177" t="s">
        <v>12</v>
      </c>
      <c r="C79" s="178"/>
      <c r="D79" s="14">
        <f t="shared" si="5"/>
        <v>9216</v>
      </c>
      <c r="E79" s="17">
        <f>IF(F3="1",SUMIF(Data!A:A,'9'!$A$2,Data!EK:EK),0)</f>
        <v>35618</v>
      </c>
      <c r="F79" s="21">
        <f t="shared" si="4"/>
        <v>3.86</v>
      </c>
    </row>
    <row r="80" spans="1:6" ht="14.25" customHeight="1" x14ac:dyDescent="0.2">
      <c r="A80" s="19">
        <v>14</v>
      </c>
      <c r="B80" s="177" t="s">
        <v>464</v>
      </c>
      <c r="C80" s="178"/>
      <c r="D80" s="14">
        <f t="shared" si="5"/>
        <v>46512</v>
      </c>
      <c r="E80" s="17">
        <f>IF(F3="1",SUMIF(Data!A:A,'9'!$A$2,Data!EL:EL),0)</f>
        <v>80482</v>
      </c>
      <c r="F80" s="21">
        <f t="shared" si="4"/>
        <v>1.73</v>
      </c>
    </row>
    <row r="81" spans="1:6" x14ac:dyDescent="0.2">
      <c r="A81" s="19">
        <v>15</v>
      </c>
      <c r="B81" s="177" t="s">
        <v>13</v>
      </c>
      <c r="C81" s="178"/>
      <c r="D81" s="14">
        <f t="shared" si="5"/>
        <v>0</v>
      </c>
      <c r="E81" s="17">
        <f>IF(F3="1",SUMIF(Data!A:A,'9'!$A$2,Data!EM:EM),0)</f>
        <v>0</v>
      </c>
      <c r="F81" s="21" t="str">
        <f t="shared" si="4"/>
        <v/>
      </c>
    </row>
    <row r="82" spans="1:6" x14ac:dyDescent="0.2">
      <c r="A82" s="19">
        <v>16</v>
      </c>
      <c r="B82" s="177" t="s">
        <v>14</v>
      </c>
      <c r="C82" s="178"/>
      <c r="D82" s="14">
        <f t="shared" si="5"/>
        <v>49408</v>
      </c>
      <c r="E82" s="17">
        <f>IF(F3="1",SUMIF(Data!A:A,'9'!$A$2,Data!EN:EN),0)</f>
        <v>107634</v>
      </c>
      <c r="F82" s="21">
        <f t="shared" si="4"/>
        <v>2.1800000000000002</v>
      </c>
    </row>
    <row r="83" spans="1:6" x14ac:dyDescent="0.2">
      <c r="A83" s="19">
        <v>17</v>
      </c>
      <c r="B83" s="177" t="s">
        <v>15</v>
      </c>
      <c r="C83" s="178"/>
      <c r="D83" s="14">
        <f t="shared" si="5"/>
        <v>0</v>
      </c>
      <c r="E83" s="17">
        <f>IF(F3="1",SUMIF(Data!A:A,'9'!$A$2,Data!EO:EO),0)</f>
        <v>0</v>
      </c>
      <c r="F83" s="21" t="str">
        <f t="shared" si="4"/>
        <v/>
      </c>
    </row>
    <row r="84" spans="1:6" x14ac:dyDescent="0.2">
      <c r="A84" s="19">
        <v>18</v>
      </c>
      <c r="B84" s="177" t="s">
        <v>16</v>
      </c>
      <c r="C84" s="178"/>
      <c r="D84" s="14">
        <f t="shared" si="5"/>
        <v>53424</v>
      </c>
      <c r="E84" s="17">
        <f>IF(F3="1",SUMIF(Data!A:A,'9'!$A$2,Data!EP:EP),0)</f>
        <v>229556</v>
      </c>
      <c r="F84" s="21">
        <f t="shared" si="4"/>
        <v>4.3</v>
      </c>
    </row>
    <row r="85" spans="1:6" x14ac:dyDescent="0.2">
      <c r="A85" s="19">
        <v>19</v>
      </c>
      <c r="B85" s="177" t="s">
        <v>17</v>
      </c>
      <c r="C85" s="178"/>
      <c r="D85" s="14">
        <f t="shared" si="5"/>
        <v>124128</v>
      </c>
      <c r="E85" s="17">
        <f>IF(F3="1",SUMIF(Data!A:A,'9'!$A$2,Data!EQ:EQ),0)</f>
        <v>259555</v>
      </c>
      <c r="F85" s="21">
        <f t="shared" si="4"/>
        <v>2.09</v>
      </c>
    </row>
    <row r="86" spans="1:6" x14ac:dyDescent="0.2">
      <c r="A86" s="19">
        <v>20</v>
      </c>
      <c r="B86" s="177" t="s">
        <v>18</v>
      </c>
      <c r="C86" s="178"/>
      <c r="D86" s="14">
        <f t="shared" si="5"/>
        <v>21120</v>
      </c>
      <c r="E86" s="17">
        <f>IF(F3="1",SUMIF(Data!A:A,'9'!$A$2,Data!ER:ER),0)</f>
        <v>73192</v>
      </c>
      <c r="F86" s="21">
        <f t="shared" si="4"/>
        <v>3.47</v>
      </c>
    </row>
    <row r="87" spans="1:6" ht="14.25" customHeight="1" x14ac:dyDescent="0.2">
      <c r="A87" s="19">
        <v>21</v>
      </c>
      <c r="B87" s="177" t="s">
        <v>461</v>
      </c>
      <c r="C87" s="178"/>
      <c r="D87" s="14">
        <f t="shared" si="5"/>
        <v>0</v>
      </c>
      <c r="E87" s="17">
        <f>IF(F3="1",SUMIF(Data!A:A,'9'!$A$2,Data!ES:ES),0)</f>
        <v>0</v>
      </c>
      <c r="F87" s="21" t="str">
        <f t="shared" si="4"/>
        <v/>
      </c>
    </row>
    <row r="88" spans="1:6" x14ac:dyDescent="0.2">
      <c r="A88" s="19">
        <v>22</v>
      </c>
      <c r="B88" s="177" t="s">
        <v>19</v>
      </c>
      <c r="C88" s="178"/>
      <c r="D88" s="14">
        <f t="shared" si="5"/>
        <v>1520</v>
      </c>
      <c r="E88" s="17">
        <f>IF(F3="1",SUMIF(Data!A:A,'9'!$A$2,Data!ET:ET),0)</f>
        <v>6653</v>
      </c>
      <c r="F88" s="21">
        <f t="shared" si="4"/>
        <v>4.38</v>
      </c>
    </row>
    <row r="89" spans="1:6" x14ac:dyDescent="0.2">
      <c r="A89" s="19">
        <v>23</v>
      </c>
      <c r="B89" s="177" t="s">
        <v>20</v>
      </c>
      <c r="C89" s="178"/>
      <c r="D89" s="14">
        <f t="shared" si="5"/>
        <v>47040</v>
      </c>
      <c r="E89" s="17">
        <f>IF(F3="1",SUMIF(Data!A:A,'9'!$A$2,Data!EU:EU),0)</f>
        <v>324336</v>
      </c>
      <c r="F89" s="21">
        <f t="shared" si="4"/>
        <v>6.89</v>
      </c>
    </row>
    <row r="90" spans="1:6" x14ac:dyDescent="0.2">
      <c r="A90" s="19">
        <v>24</v>
      </c>
      <c r="B90" s="177" t="s">
        <v>21</v>
      </c>
      <c r="C90" s="178"/>
      <c r="D90" s="14">
        <f t="shared" si="5"/>
        <v>26496</v>
      </c>
      <c r="E90" s="17">
        <f>IF(F3="1",SUMIF(Data!A:A,'9'!$A$2,Data!EV:EV),0)</f>
        <v>70304</v>
      </c>
      <c r="F90" s="21">
        <f t="shared" si="4"/>
        <v>2.65</v>
      </c>
    </row>
    <row r="91" spans="1:6" x14ac:dyDescent="0.2">
      <c r="A91" s="19">
        <v>25</v>
      </c>
      <c r="B91" s="177" t="s">
        <v>22</v>
      </c>
      <c r="C91" s="178"/>
      <c r="D91" s="14">
        <f t="shared" si="5"/>
        <v>237072</v>
      </c>
      <c r="E91" s="17">
        <f>IF(F3="1",SUMIF(Data!A:A,'9'!$A$2,Data!EW:EW),0)</f>
        <v>361880</v>
      </c>
      <c r="F91" s="21">
        <f t="shared" si="4"/>
        <v>1.53</v>
      </c>
    </row>
    <row r="92" spans="1:6" x14ac:dyDescent="0.2">
      <c r="A92" s="19">
        <v>26</v>
      </c>
      <c r="B92" s="177" t="s">
        <v>23</v>
      </c>
      <c r="C92" s="178"/>
      <c r="D92" s="14">
        <f t="shared" si="5"/>
        <v>45248</v>
      </c>
      <c r="E92" s="17">
        <f>IF(F3="1",SUMIF(Data!A:A,'9'!$A$2,Data!EX:EX),0)</f>
        <v>167135</v>
      </c>
      <c r="F92" s="21">
        <f t="shared" si="4"/>
        <v>3.69</v>
      </c>
    </row>
    <row r="93" spans="1:6" x14ac:dyDescent="0.2">
      <c r="A93" s="19">
        <v>28</v>
      </c>
      <c r="B93" s="177" t="s">
        <v>24</v>
      </c>
      <c r="C93" s="178"/>
      <c r="D93" s="14">
        <f t="shared" si="5"/>
        <v>0</v>
      </c>
      <c r="E93" s="17">
        <f>IF(F3="1",SUMIF(Data!A:A,'9'!$A$2,Data!EZ:EZ),0)</f>
        <v>0</v>
      </c>
      <c r="F93" s="21" t="str">
        <f t="shared" si="4"/>
        <v/>
      </c>
    </row>
    <row r="94" spans="1:6" ht="15.75" customHeight="1" thickBot="1" x14ac:dyDescent="0.25">
      <c r="A94" s="22">
        <v>29</v>
      </c>
      <c r="B94" s="179" t="s">
        <v>25</v>
      </c>
      <c r="C94" s="180"/>
      <c r="D94" s="23">
        <f t="shared" si="5"/>
        <v>0</v>
      </c>
      <c r="E94" s="24">
        <f>IF(F3="1",SUMIF(Data!A:A,'9'!$A$2,Data!FA:FA),0)</f>
        <v>0</v>
      </c>
      <c r="F94" s="25" t="str">
        <f t="shared" si="4"/>
        <v/>
      </c>
    </row>
    <row r="95" spans="1:6" x14ac:dyDescent="0.2">
      <c r="B95" s="30" t="s">
        <v>35</v>
      </c>
      <c r="C95" s="30"/>
      <c r="D95" s="59">
        <f>SUM(D67:D94)</f>
        <v>1203650</v>
      </c>
      <c r="E95" s="31">
        <f>SUM(E67:E94)</f>
        <v>2821660</v>
      </c>
      <c r="F95" s="32">
        <f t="shared" si="4"/>
        <v>2.34</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IF(F3="1",SUMIF(Data!A:A,'9'!$A$2,Data!AH:AH),0)</f>
        <v>783657</v>
      </c>
      <c r="F98" s="20">
        <f>IF(OR(E98=0,E98=0),"",ROUND(E98/$D$105,2))</f>
        <v>0.65</v>
      </c>
    </row>
    <row r="99" spans="2:6" x14ac:dyDescent="0.2">
      <c r="B99" s="183" t="s">
        <v>31</v>
      </c>
      <c r="C99" s="184"/>
      <c r="D99" s="36"/>
      <c r="E99" s="17">
        <f>IF(F3="1",SUMIF(Data!A:A,'9'!$A$2,Data!AI:AI),0)</f>
        <v>881379</v>
      </c>
      <c r="F99" s="21">
        <f t="shared" ref="F99:F104" si="6">IF(OR(E99=0,E99=0),"",ROUND(E99/$D$105,2))</f>
        <v>0.73</v>
      </c>
    </row>
    <row r="100" spans="2:6" x14ac:dyDescent="0.2">
      <c r="B100" s="183" t="s">
        <v>1078</v>
      </c>
      <c r="C100" s="184"/>
      <c r="D100" s="36"/>
      <c r="E100" s="17">
        <f>IF(F3="1",SUMIF(Data!A:A,'9'!$A$2,Data!AJ:AJ),0)</f>
        <v>205516</v>
      </c>
      <c r="F100" s="21">
        <f t="shared" si="6"/>
        <v>0.17</v>
      </c>
    </row>
    <row r="101" spans="2:6" x14ac:dyDescent="0.2">
      <c r="B101" s="183" t="s">
        <v>1079</v>
      </c>
      <c r="C101" s="184"/>
      <c r="D101" s="36"/>
      <c r="E101" s="17">
        <f>IF(F3="1",SUMIF(Data!A:A,'9'!$A$2,Data!AK:AK),0)</f>
        <v>172079</v>
      </c>
      <c r="F101" s="21">
        <f t="shared" si="6"/>
        <v>0.14000000000000001</v>
      </c>
    </row>
    <row r="102" spans="2:6" x14ac:dyDescent="0.2">
      <c r="B102" s="183" t="s">
        <v>1080</v>
      </c>
      <c r="C102" s="184"/>
      <c r="D102" s="36"/>
      <c r="E102" s="17">
        <f>IF(F3="1",SUMIF(Data!A:A,'9'!$A$2,Data!AL:AL),0)</f>
        <v>0</v>
      </c>
      <c r="F102" s="21" t="str">
        <f t="shared" si="6"/>
        <v/>
      </c>
    </row>
    <row r="103" spans="2:6" x14ac:dyDescent="0.2">
      <c r="B103" s="185" t="s">
        <v>34</v>
      </c>
      <c r="C103" s="186"/>
      <c r="D103" s="36"/>
      <c r="E103" s="17">
        <f>IF(F3="1",SUMIF(Data!A:A,'9'!$A$2,Data!AM:AM),0)</f>
        <v>0</v>
      </c>
      <c r="F103" s="21" t="str">
        <f t="shared" si="6"/>
        <v/>
      </c>
    </row>
    <row r="104" spans="2:6" ht="15.75" customHeight="1" thickBot="1" x14ac:dyDescent="0.25">
      <c r="B104" s="175" t="s">
        <v>29</v>
      </c>
      <c r="C104" s="176"/>
      <c r="D104" s="37"/>
      <c r="E104" s="24">
        <f>IF(F3="1",SUMIF(Data!A:A,'9'!$A$2,Data!Q:Q),0)</f>
        <v>139194</v>
      </c>
      <c r="F104" s="25">
        <f t="shared" si="6"/>
        <v>0.12</v>
      </c>
    </row>
    <row r="105" spans="2:6" x14ac:dyDescent="0.2">
      <c r="B105" s="30" t="s">
        <v>35</v>
      </c>
      <c r="C105" s="30"/>
      <c r="D105" s="34">
        <f>D95</f>
        <v>1203650</v>
      </c>
      <c r="E105" s="31">
        <f>SUM(E98:E104)</f>
        <v>2181825</v>
      </c>
      <c r="F105" s="32">
        <f>IF($D$105=0,"",ROUND(E105/$D$105,2))</f>
        <v>1.81</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2821660</v>
      </c>
      <c r="D109" s="15">
        <f>IF(F3="1",SUMIF(Data!$A:$A,$A$2,Data!HJ:HJ),0)</f>
        <v>0</v>
      </c>
      <c r="E109" s="15">
        <f>IF(F3="1",SUMIF(Data!$A:$A,$A$2,Data!IN:IN),0)</f>
        <v>0</v>
      </c>
      <c r="F109" s="47">
        <f>SUM(C109:E109)</f>
        <v>2821660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139194</v>
      </c>
      <c r="E117" s="52"/>
      <c r="F117" s="49">
        <f>SUM(C117:E117)</f>
        <v>139194</v>
      </c>
    </row>
    <row r="118" spans="1:6" x14ac:dyDescent="0.2">
      <c r="B118" s="13" t="s">
        <v>35</v>
      </c>
      <c r="C118" s="4">
        <f>SUM(C109:C116)</f>
        <v>2821660</v>
      </c>
      <c r="D118" s="4">
        <f>SUM(D109:D116)</f>
        <v>0</v>
      </c>
      <c r="E118" s="4">
        <f>SUM(E109:E116)</f>
        <v>0</v>
      </c>
      <c r="F118" s="4">
        <f>SUM(F109:F116)</f>
        <v>2821660</v>
      </c>
    </row>
    <row r="119" spans="1:6" ht="15" thickBot="1" x14ac:dyDescent="0.25"/>
    <row r="120" spans="1:6" ht="15" thickBot="1" x14ac:dyDescent="0.25">
      <c r="B120" s="55" t="s">
        <v>934</v>
      </c>
      <c r="C120" s="53"/>
      <c r="D120" s="53"/>
      <c r="E120" s="53">
        <f>IF(F3="1",SUMIF(Data!A:A,'9'!$A$2,Data!AM:AM),0)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9.28515625" style="10" bestFit="1" customWidth="1"/>
    <col min="12" max="12" width="12.42578125" style="10" bestFit="1" customWidth="1"/>
    <col min="13" max="13" width="10.28515625" style="10" bestFit="1" customWidth="1"/>
    <col min="14"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360</v>
      </c>
      <c r="B2" s="58" t="str">
        <f>VLOOKUP(A2,Data!A:G,7,0)</f>
        <v>Clarendon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31488</v>
      </c>
      <c r="E5" s="15">
        <f>E36+E67+IFERROR($E$105/$D$105*D5,0)</f>
        <v>315295.85044764658</v>
      </c>
      <c r="F5" s="20">
        <f>IF(OR(D5=0,E5=0),"",ROUND(E5/D5,2))</f>
        <v>10.01</v>
      </c>
    </row>
    <row r="6" spans="1:6" x14ac:dyDescent="0.2">
      <c r="A6" s="19">
        <v>2</v>
      </c>
      <c r="B6" s="177" t="s">
        <v>1</v>
      </c>
      <c r="C6" s="178"/>
      <c r="D6" s="14">
        <f t="shared" ref="D6:D32" si="0">D37</f>
        <v>5200</v>
      </c>
      <c r="E6" s="17">
        <f t="shared" ref="E6:E32" si="1">E37+E68+IFERROR($E$105/$D$105*D6,0)</f>
        <v>70833.605383884715</v>
      </c>
      <c r="F6" s="21">
        <f t="shared" ref="F6:F33" si="2">IF(OR(D6=0,E6=0),"",ROUND(E6/D6,2))</f>
        <v>13.62</v>
      </c>
    </row>
    <row r="7" spans="1:6" ht="14.25" customHeight="1" x14ac:dyDescent="0.2">
      <c r="A7" s="19">
        <v>3</v>
      </c>
      <c r="B7" s="177" t="s">
        <v>2</v>
      </c>
      <c r="C7" s="178"/>
      <c r="D7" s="14">
        <f t="shared" si="0"/>
        <v>55424</v>
      </c>
      <c r="E7" s="17">
        <f t="shared" si="1"/>
        <v>288870.31399931287</v>
      </c>
      <c r="F7" s="21">
        <f t="shared" si="2"/>
        <v>5.21</v>
      </c>
    </row>
    <row r="8" spans="1:6" ht="14.25" customHeight="1" x14ac:dyDescent="0.2">
      <c r="A8" s="19">
        <v>4</v>
      </c>
      <c r="B8" s="177" t="s">
        <v>3</v>
      </c>
      <c r="C8" s="178"/>
      <c r="D8" s="14">
        <f t="shared" si="0"/>
        <v>13527</v>
      </c>
      <c r="E8" s="17">
        <f t="shared" si="1"/>
        <v>116780.55846688629</v>
      </c>
      <c r="F8" s="21">
        <f t="shared" si="2"/>
        <v>8.6300000000000008</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0</v>
      </c>
      <c r="E10" s="17">
        <f t="shared" si="1"/>
        <v>0</v>
      </c>
      <c r="F10" s="21" t="str">
        <f t="shared" si="2"/>
        <v/>
      </c>
    </row>
    <row r="11" spans="1:6" x14ac:dyDescent="0.2">
      <c r="A11" s="19">
        <v>7</v>
      </c>
      <c r="B11" s="177" t="s">
        <v>6</v>
      </c>
      <c r="C11" s="178"/>
      <c r="D11" s="14">
        <f t="shared" si="0"/>
        <v>30684</v>
      </c>
      <c r="E11" s="17">
        <f t="shared" si="1"/>
        <v>213858.49146136901</v>
      </c>
      <c r="F11" s="21">
        <f t="shared" si="2"/>
        <v>6.97</v>
      </c>
    </row>
    <row r="12" spans="1:6" x14ac:dyDescent="0.2">
      <c r="A12" s="19">
        <v>8</v>
      </c>
      <c r="B12" s="177" t="s">
        <v>7</v>
      </c>
      <c r="C12" s="178"/>
      <c r="D12" s="14">
        <f t="shared" si="0"/>
        <v>0</v>
      </c>
      <c r="E12" s="17">
        <f t="shared" si="1"/>
        <v>0</v>
      </c>
      <c r="F12" s="21" t="str">
        <f t="shared" si="2"/>
        <v/>
      </c>
    </row>
    <row r="13" spans="1:6" x14ac:dyDescent="0.2">
      <c r="A13" s="19">
        <v>9</v>
      </c>
      <c r="B13" s="177" t="s">
        <v>8</v>
      </c>
      <c r="C13" s="178"/>
      <c r="D13" s="14">
        <f t="shared" si="0"/>
        <v>5952</v>
      </c>
      <c r="E13" s="17">
        <f t="shared" si="1"/>
        <v>21892.508316323438</v>
      </c>
      <c r="F13" s="21">
        <f t="shared" si="2"/>
        <v>3.68</v>
      </c>
    </row>
    <row r="14" spans="1:6" x14ac:dyDescent="0.2">
      <c r="A14" s="19">
        <v>10</v>
      </c>
      <c r="B14" s="177" t="s">
        <v>9</v>
      </c>
      <c r="C14" s="178"/>
      <c r="D14" s="14">
        <f t="shared" si="0"/>
        <v>0</v>
      </c>
      <c r="E14" s="17">
        <f t="shared" si="1"/>
        <v>0</v>
      </c>
      <c r="F14" s="21" t="str">
        <f t="shared" si="2"/>
        <v/>
      </c>
    </row>
    <row r="15" spans="1:6" x14ac:dyDescent="0.2">
      <c r="A15" s="19">
        <v>11</v>
      </c>
      <c r="B15" s="177" t="s">
        <v>10</v>
      </c>
      <c r="C15" s="178"/>
      <c r="D15" s="14">
        <f t="shared" si="0"/>
        <v>2232</v>
      </c>
      <c r="E15" s="17">
        <f t="shared" si="1"/>
        <v>8247.1906186212873</v>
      </c>
      <c r="F15" s="21">
        <f t="shared" si="2"/>
        <v>3.69</v>
      </c>
    </row>
    <row r="16" spans="1:6" ht="14.25" customHeight="1" x14ac:dyDescent="0.2">
      <c r="A16" s="19">
        <v>12</v>
      </c>
      <c r="B16" s="177" t="s">
        <v>11</v>
      </c>
      <c r="C16" s="178"/>
      <c r="D16" s="14">
        <f t="shared" si="0"/>
        <v>66704</v>
      </c>
      <c r="E16" s="17">
        <f t="shared" si="1"/>
        <v>470395.85798589356</v>
      </c>
      <c r="F16" s="21">
        <f t="shared" si="2"/>
        <v>7.05</v>
      </c>
    </row>
    <row r="17" spans="1:6" x14ac:dyDescent="0.2">
      <c r="A17" s="19">
        <v>13</v>
      </c>
      <c r="B17" s="177" t="s">
        <v>12</v>
      </c>
      <c r="C17" s="178"/>
      <c r="D17" s="14">
        <f t="shared" si="0"/>
        <v>3760</v>
      </c>
      <c r="E17" s="17">
        <f t="shared" si="1"/>
        <v>15584.514662193569</v>
      </c>
      <c r="F17" s="21">
        <f t="shared" si="2"/>
        <v>4.1399999999999997</v>
      </c>
    </row>
    <row r="18" spans="1:6" ht="14.25" customHeight="1" x14ac:dyDescent="0.2">
      <c r="A18" s="19">
        <v>14</v>
      </c>
      <c r="B18" s="177" t="s">
        <v>464</v>
      </c>
      <c r="C18" s="178"/>
      <c r="D18" s="14">
        <f t="shared" si="0"/>
        <v>0</v>
      </c>
      <c r="E18" s="17">
        <f t="shared" si="1"/>
        <v>0</v>
      </c>
      <c r="F18" s="21" t="str">
        <f t="shared" si="2"/>
        <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13469</v>
      </c>
      <c r="E20" s="17">
        <f t="shared" si="1"/>
        <v>45738.972868373719</v>
      </c>
      <c r="F20" s="21">
        <f t="shared" si="2"/>
        <v>3.4</v>
      </c>
    </row>
    <row r="21" spans="1:6" x14ac:dyDescent="0.2">
      <c r="A21" s="19">
        <v>17</v>
      </c>
      <c r="B21" s="177" t="s">
        <v>15</v>
      </c>
      <c r="C21" s="178"/>
      <c r="D21" s="14">
        <f t="shared" si="0"/>
        <v>0</v>
      </c>
      <c r="E21" s="17">
        <f t="shared" si="1"/>
        <v>0</v>
      </c>
      <c r="F21" s="21" t="str">
        <f t="shared" si="2"/>
        <v/>
      </c>
    </row>
    <row r="22" spans="1:6" x14ac:dyDescent="0.2">
      <c r="A22" s="19">
        <v>18</v>
      </c>
      <c r="B22" s="177" t="s">
        <v>16</v>
      </c>
      <c r="C22" s="178"/>
      <c r="D22" s="14">
        <f t="shared" si="0"/>
        <v>25232</v>
      </c>
      <c r="E22" s="17">
        <f t="shared" si="1"/>
        <v>183382.44520118833</v>
      </c>
      <c r="F22" s="21">
        <f t="shared" si="2"/>
        <v>7.27</v>
      </c>
    </row>
    <row r="23" spans="1:6" x14ac:dyDescent="0.2">
      <c r="A23" s="19">
        <v>19</v>
      </c>
      <c r="B23" s="177" t="s">
        <v>17</v>
      </c>
      <c r="C23" s="178"/>
      <c r="D23" s="14">
        <f t="shared" si="0"/>
        <v>26256</v>
      </c>
      <c r="E23" s="17">
        <f t="shared" si="1"/>
        <v>147852.88749216869</v>
      </c>
      <c r="F23" s="21">
        <f t="shared" si="2"/>
        <v>5.63</v>
      </c>
    </row>
    <row r="24" spans="1:6" x14ac:dyDescent="0.2">
      <c r="A24" s="19">
        <v>20</v>
      </c>
      <c r="B24" s="177" t="s">
        <v>18</v>
      </c>
      <c r="C24" s="178"/>
      <c r="D24" s="14">
        <f t="shared" si="0"/>
        <v>0</v>
      </c>
      <c r="E24" s="17">
        <f t="shared" si="1"/>
        <v>0</v>
      </c>
      <c r="F24" s="21" t="str">
        <f t="shared" si="2"/>
        <v/>
      </c>
    </row>
    <row r="25" spans="1:6" ht="14.25" customHeight="1" x14ac:dyDescent="0.2">
      <c r="A25" s="19">
        <v>21</v>
      </c>
      <c r="B25" s="177" t="s">
        <v>461</v>
      </c>
      <c r="C25" s="178"/>
      <c r="D25" s="14">
        <f t="shared" si="0"/>
        <v>0</v>
      </c>
      <c r="E25" s="17">
        <f t="shared" si="1"/>
        <v>0</v>
      </c>
      <c r="F25" s="21" t="str">
        <f t="shared" si="2"/>
        <v/>
      </c>
    </row>
    <row r="26" spans="1:6" x14ac:dyDescent="0.2">
      <c r="A26" s="19">
        <v>22</v>
      </c>
      <c r="B26" s="177" t="s">
        <v>19</v>
      </c>
      <c r="C26" s="178"/>
      <c r="D26" s="14">
        <f t="shared" si="0"/>
        <v>0</v>
      </c>
      <c r="E26" s="17">
        <f t="shared" si="1"/>
        <v>0</v>
      </c>
      <c r="F26" s="21" t="str">
        <f t="shared" si="2"/>
        <v/>
      </c>
    </row>
    <row r="27" spans="1:6" x14ac:dyDescent="0.2">
      <c r="A27" s="19">
        <v>23</v>
      </c>
      <c r="B27" s="177" t="s">
        <v>20</v>
      </c>
      <c r="C27" s="178"/>
      <c r="D27" s="14">
        <f t="shared" si="0"/>
        <v>12144</v>
      </c>
      <c r="E27" s="17">
        <f t="shared" si="1"/>
        <v>144167.1984195954</v>
      </c>
      <c r="F27" s="21">
        <f t="shared" si="2"/>
        <v>11.87</v>
      </c>
    </row>
    <row r="28" spans="1:6" x14ac:dyDescent="0.2">
      <c r="A28" s="19">
        <v>24</v>
      </c>
      <c r="B28" s="177" t="s">
        <v>21</v>
      </c>
      <c r="C28" s="178"/>
      <c r="D28" s="14">
        <f t="shared" si="0"/>
        <v>1296</v>
      </c>
      <c r="E28" s="17">
        <f t="shared" si="1"/>
        <v>6149.9816495220384</v>
      </c>
      <c r="F28" s="21">
        <f t="shared" si="2"/>
        <v>4.75</v>
      </c>
    </row>
    <row r="29" spans="1:6" x14ac:dyDescent="0.2">
      <c r="A29" s="19">
        <v>25</v>
      </c>
      <c r="B29" s="177" t="s">
        <v>22</v>
      </c>
      <c r="C29" s="178"/>
      <c r="D29" s="14">
        <f t="shared" si="0"/>
        <v>76080</v>
      </c>
      <c r="E29" s="17">
        <f t="shared" si="1"/>
        <v>401448.62646268262</v>
      </c>
      <c r="F29" s="21">
        <f t="shared" si="2"/>
        <v>5.28</v>
      </c>
    </row>
    <row r="30" spans="1:6" x14ac:dyDescent="0.2">
      <c r="A30" s="19">
        <v>26</v>
      </c>
      <c r="B30" s="177" t="s">
        <v>23</v>
      </c>
      <c r="C30" s="178"/>
      <c r="D30" s="14">
        <f t="shared" si="0"/>
        <v>26400</v>
      </c>
      <c r="E30" s="17">
        <f t="shared" si="1"/>
        <v>150046.99656433781</v>
      </c>
      <c r="F30" s="21">
        <f t="shared" si="2"/>
        <v>5.68</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395848</v>
      </c>
      <c r="E33" s="31">
        <f>SUM(E5:E32)</f>
        <v>2600546</v>
      </c>
      <c r="F33" s="32">
        <f t="shared" si="2"/>
        <v>6.57</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IF(F3="1",SUMIF(Data!A:A,'10'!$A$2,Data!CU:CU),0)</f>
        <v>31488</v>
      </c>
      <c r="E36" s="15">
        <f>IF(F3="1",SUMIF(Data!$A:$A,$A$2,Data!IO:IO),0)</f>
        <v>76301</v>
      </c>
      <c r="F36" s="20">
        <f t="shared" ref="F36:F64" si="3">IF(OR(D36=0,E36=0),"",ROUND(E36/D36,2))</f>
        <v>2.42</v>
      </c>
    </row>
    <row r="37" spans="1:6" x14ac:dyDescent="0.2">
      <c r="A37" s="19">
        <v>2</v>
      </c>
      <c r="B37" s="177" t="s">
        <v>1</v>
      </c>
      <c r="C37" s="178"/>
      <c r="D37" s="14">
        <f>IF(F3="1",SUMIF(Data!A:A,'10'!$A$2,Data!CV:CV),0)</f>
        <v>5200</v>
      </c>
      <c r="E37" s="17">
        <f>IF(F3="1",SUMIF(Data!$A:$A,$A$2,Data!IP:IP),0)</f>
        <v>238</v>
      </c>
      <c r="F37" s="21">
        <f t="shared" si="3"/>
        <v>0.05</v>
      </c>
    </row>
    <row r="38" spans="1:6" ht="14.25" customHeight="1" x14ac:dyDescent="0.2">
      <c r="A38" s="19">
        <v>3</v>
      </c>
      <c r="B38" s="177" t="s">
        <v>2</v>
      </c>
      <c r="C38" s="178"/>
      <c r="D38" s="14">
        <f>IF(F3="1",SUMIF(Data!A:A,'10'!$A$2,Data!CW:CW),0)</f>
        <v>55424</v>
      </c>
      <c r="E38" s="17">
        <f>IF($F$3="1",SUMIF(Data!$A:$A,$A$2,Data!IQ:IQ),0)</f>
        <v>14014</v>
      </c>
      <c r="F38" s="21">
        <f t="shared" si="3"/>
        <v>0.25</v>
      </c>
    </row>
    <row r="39" spans="1:6" ht="14.25" customHeight="1" x14ac:dyDescent="0.2">
      <c r="A39" s="19">
        <v>4</v>
      </c>
      <c r="B39" s="177" t="s">
        <v>3</v>
      </c>
      <c r="C39" s="178"/>
      <c r="D39" s="14">
        <f>IF(F3="1",SUMIF(Data!A:A,'10'!$A$2,Data!CX:CX),0)</f>
        <v>13527</v>
      </c>
      <c r="E39" s="17">
        <f>IF($F$3="1",SUMIF(Data!$A:$A,$A$2,Data!IR:IR),0)</f>
        <v>444</v>
      </c>
      <c r="F39" s="21">
        <f t="shared" si="3"/>
        <v>0.03</v>
      </c>
    </row>
    <row r="40" spans="1:6" x14ac:dyDescent="0.2">
      <c r="A40" s="19">
        <v>5</v>
      </c>
      <c r="B40" s="177" t="s">
        <v>4</v>
      </c>
      <c r="C40" s="178"/>
      <c r="D40" s="14">
        <f>IF(F3="1",SUMIF(Data!A:A,'10'!$A$2,Data!CY:CY),0)</f>
        <v>0</v>
      </c>
      <c r="E40" s="17">
        <f>IF($F$3="1",SUMIF(Data!$A:$A,$A$2,Data!IS:IS),0)</f>
        <v>0</v>
      </c>
      <c r="F40" s="21" t="str">
        <f t="shared" si="3"/>
        <v/>
      </c>
    </row>
    <row r="41" spans="1:6" x14ac:dyDescent="0.2">
      <c r="A41" s="19">
        <v>6</v>
      </c>
      <c r="B41" s="177" t="s">
        <v>5</v>
      </c>
      <c r="C41" s="178"/>
      <c r="D41" s="14">
        <f>IF(F3="1",SUMIF(Data!A:A,'10'!$A$2,Data!CZ:CZ),0)</f>
        <v>0</v>
      </c>
      <c r="E41" s="17">
        <f>IF($F$3="1",SUMIF(Data!$A:$A,$A$2,Data!IT:IT),0)</f>
        <v>0</v>
      </c>
      <c r="F41" s="21" t="str">
        <f t="shared" si="3"/>
        <v/>
      </c>
    </row>
    <row r="42" spans="1:6" x14ac:dyDescent="0.2">
      <c r="A42" s="19">
        <v>7</v>
      </c>
      <c r="B42" s="177" t="s">
        <v>6</v>
      </c>
      <c r="C42" s="178"/>
      <c r="D42" s="14">
        <f>IF(F3="1",SUMIF(Data!A:A,'10'!$A$2,Data!DA:DA),0)</f>
        <v>30684</v>
      </c>
      <c r="E42" s="17">
        <f>IF($F$3="1",SUMIF(Data!$A:$A,$A$2,Data!IU:IU),0)</f>
        <v>21608</v>
      </c>
      <c r="F42" s="21">
        <f t="shared" si="3"/>
        <v>0.7</v>
      </c>
    </row>
    <row r="43" spans="1:6" x14ac:dyDescent="0.2">
      <c r="A43" s="19">
        <v>8</v>
      </c>
      <c r="B43" s="177" t="s">
        <v>7</v>
      </c>
      <c r="C43" s="178"/>
      <c r="D43" s="14">
        <f>IF(F3="1",SUMIF(Data!A:A,'10'!$A$2,Data!DB:DB),0)</f>
        <v>0</v>
      </c>
      <c r="E43" s="17">
        <f>IF($F$3="1",SUMIF(Data!$A:$A,$A$2,Data!IV:IV),0)</f>
        <v>0</v>
      </c>
      <c r="F43" s="21" t="str">
        <f t="shared" si="3"/>
        <v/>
      </c>
    </row>
    <row r="44" spans="1:6" x14ac:dyDescent="0.2">
      <c r="A44" s="19">
        <v>9</v>
      </c>
      <c r="B44" s="177" t="s">
        <v>8</v>
      </c>
      <c r="C44" s="178"/>
      <c r="D44" s="14">
        <f>IF(F3="1",SUMIF(Data!A:A,'10'!$A$2,Data!DC:DC),0)</f>
        <v>5952</v>
      </c>
      <c r="E44" s="17">
        <f>IF($F$3="1",SUMIF(Data!$A:$A,$A$2,Data!IW:IW),0)</f>
        <v>100</v>
      </c>
      <c r="F44" s="21">
        <f t="shared" si="3"/>
        <v>0.02</v>
      </c>
    </row>
    <row r="45" spans="1:6" x14ac:dyDescent="0.2">
      <c r="A45" s="19">
        <v>10</v>
      </c>
      <c r="B45" s="177" t="s">
        <v>9</v>
      </c>
      <c r="C45" s="178"/>
      <c r="D45" s="14">
        <f>IF(F3="1",SUMIF(Data!A:A,'10'!$A$2,Data!DD:DD),0)</f>
        <v>0</v>
      </c>
      <c r="E45" s="17">
        <f>IF($F$3="1",SUMIF(Data!$A:$A,$A$2,Data!IX:IX),0)</f>
        <v>0</v>
      </c>
      <c r="F45" s="21" t="str">
        <f t="shared" si="3"/>
        <v/>
      </c>
    </row>
    <row r="46" spans="1:6" x14ac:dyDescent="0.2">
      <c r="A46" s="19">
        <v>11</v>
      </c>
      <c r="B46" s="177" t="s">
        <v>10</v>
      </c>
      <c r="C46" s="178"/>
      <c r="D46" s="14">
        <f>IF(F3="1",SUMIF(Data!A:A,'10'!$A$2,Data!DE:DE),0)</f>
        <v>2232</v>
      </c>
      <c r="E46" s="17">
        <f>IF($F$3="1",SUMIF(Data!$A:$A,$A$2,Data!IY:IY),0)</f>
        <v>75</v>
      </c>
      <c r="F46" s="21">
        <f t="shared" si="3"/>
        <v>0.03</v>
      </c>
    </row>
    <row r="47" spans="1:6" ht="14.25" customHeight="1" x14ac:dyDescent="0.2">
      <c r="A47" s="19">
        <v>12</v>
      </c>
      <c r="B47" s="177" t="s">
        <v>11</v>
      </c>
      <c r="C47" s="178"/>
      <c r="D47" s="14">
        <f>IF(F3="1",SUMIF(Data!A:A,'10'!$A$2,Data!DF:DF),0)</f>
        <v>66704</v>
      </c>
      <c r="E47" s="17">
        <f>IF($F$3="1",SUMIF(Data!$A:$A,$A$2,Data!IZ:IZ),0)</f>
        <v>5247</v>
      </c>
      <c r="F47" s="21">
        <f t="shared" si="3"/>
        <v>0.08</v>
      </c>
    </row>
    <row r="48" spans="1:6" x14ac:dyDescent="0.2">
      <c r="A48" s="19">
        <v>13</v>
      </c>
      <c r="B48" s="177" t="s">
        <v>12</v>
      </c>
      <c r="C48" s="178"/>
      <c r="D48" s="14">
        <f>IF(F3="1",SUMIF(Data!A:A,'10'!$A$2,Data!DG:DG),0)</f>
        <v>3760</v>
      </c>
      <c r="E48" s="17">
        <f>IF($F$3="1",SUMIF(Data!$A:$A,$A$2,Data!JA:JA),0)</f>
        <v>50</v>
      </c>
      <c r="F48" s="21">
        <f t="shared" si="3"/>
        <v>0.01</v>
      </c>
    </row>
    <row r="49" spans="1:6" ht="14.25" customHeight="1" x14ac:dyDescent="0.2">
      <c r="A49" s="19">
        <v>14</v>
      </c>
      <c r="B49" s="177" t="s">
        <v>464</v>
      </c>
      <c r="C49" s="178"/>
      <c r="D49" s="14">
        <f>IF(F3="1",SUMIF(Data!A:A,'10'!$A$2,Data!DH:DH),0)</f>
        <v>0</v>
      </c>
      <c r="E49" s="17">
        <f>IF($F$3="1",SUMIF(Data!$A:$A,$A$2,Data!JB:JB),0)</f>
        <v>0</v>
      </c>
      <c r="F49" s="21" t="str">
        <f t="shared" si="3"/>
        <v/>
      </c>
    </row>
    <row r="50" spans="1:6" x14ac:dyDescent="0.2">
      <c r="A50" s="19">
        <v>15</v>
      </c>
      <c r="B50" s="177" t="s">
        <v>13</v>
      </c>
      <c r="C50" s="178"/>
      <c r="D50" s="14">
        <f>IF(F3="1",SUMIF(Data!A:A,'10'!$A$2,Data!DI:DI),0)</f>
        <v>0</v>
      </c>
      <c r="E50" s="17">
        <f>IF($F$3="1",SUMIF(Data!$A:$A,$A$2,Data!JC:JC),0)</f>
        <v>0</v>
      </c>
      <c r="F50" s="21" t="str">
        <f t="shared" si="3"/>
        <v/>
      </c>
    </row>
    <row r="51" spans="1:6" x14ac:dyDescent="0.2">
      <c r="A51" s="19">
        <v>16</v>
      </c>
      <c r="B51" s="177" t="s">
        <v>14</v>
      </c>
      <c r="C51" s="178"/>
      <c r="D51" s="14">
        <f>IF(F3="1",SUMIF(Data!A:A,'10'!$A$2,Data!DJ:DJ),0)</f>
        <v>13469</v>
      </c>
      <c r="E51" s="17">
        <f>IF($F$3="1",SUMIF(Data!$A:$A,$A$2,Data!JD:JD),0)</f>
        <v>86</v>
      </c>
      <c r="F51" s="21">
        <f t="shared" si="3"/>
        <v>0.01</v>
      </c>
    </row>
    <row r="52" spans="1:6" x14ac:dyDescent="0.2">
      <c r="A52" s="19">
        <v>17</v>
      </c>
      <c r="B52" s="177" t="s">
        <v>15</v>
      </c>
      <c r="C52" s="178"/>
      <c r="D52" s="14">
        <f>IF(F3="1",SUMIF(Data!A:A,'10'!$A$2,Data!DK:DK),0)</f>
        <v>0</v>
      </c>
      <c r="E52" s="17">
        <f>IF($F$3="1",SUMIF(Data!$A:$A,$A$2,Data!JE:JE),0)</f>
        <v>0</v>
      </c>
      <c r="F52" s="21" t="str">
        <f t="shared" si="3"/>
        <v/>
      </c>
    </row>
    <row r="53" spans="1:6" x14ac:dyDescent="0.2">
      <c r="A53" s="19">
        <v>18</v>
      </c>
      <c r="B53" s="177" t="s">
        <v>16</v>
      </c>
      <c r="C53" s="178"/>
      <c r="D53" s="14">
        <f>IF(F3="1",SUMIF(Data!A:A,'10'!$A$2,Data!DL:DL),0)</f>
        <v>25232</v>
      </c>
      <c r="E53" s="17">
        <f>IF($F$3="1",SUMIF(Data!$A:$A,$A$2,Data!JF:JF),0)</f>
        <v>5035</v>
      </c>
      <c r="F53" s="21">
        <f t="shared" si="3"/>
        <v>0.2</v>
      </c>
    </row>
    <row r="54" spans="1:6" x14ac:dyDescent="0.2">
      <c r="A54" s="19">
        <v>19</v>
      </c>
      <c r="B54" s="177" t="s">
        <v>17</v>
      </c>
      <c r="C54" s="178"/>
      <c r="D54" s="14">
        <f>IF(F3="1",SUMIF(Data!A:A,'10'!$A$2,Data!DM:DM),0)</f>
        <v>26256</v>
      </c>
      <c r="E54" s="17">
        <f>IF($F$3="1",SUMIF(Data!$A:$A,$A$2,Data!JG:JG),0)</f>
        <v>505</v>
      </c>
      <c r="F54" s="21">
        <f t="shared" si="3"/>
        <v>0.02</v>
      </c>
    </row>
    <row r="55" spans="1:6" x14ac:dyDescent="0.2">
      <c r="A55" s="19">
        <v>20</v>
      </c>
      <c r="B55" s="177" t="s">
        <v>18</v>
      </c>
      <c r="C55" s="178"/>
      <c r="D55" s="14">
        <f>IF(F3="1",SUMIF(Data!A:A,'10'!$A$2,Data!DN:DN),0)</f>
        <v>0</v>
      </c>
      <c r="E55" s="17">
        <f>IF($F$3="1",SUMIF(Data!$A:$A,$A$2,Data!JH:JH),0)</f>
        <v>0</v>
      </c>
      <c r="F55" s="21" t="str">
        <f t="shared" si="3"/>
        <v/>
      </c>
    </row>
    <row r="56" spans="1:6" ht="14.25" customHeight="1" x14ac:dyDescent="0.2">
      <c r="A56" s="19">
        <v>21</v>
      </c>
      <c r="B56" s="177" t="s">
        <v>461</v>
      </c>
      <c r="C56" s="178"/>
      <c r="D56" s="14">
        <f>IF(F3="1",SUMIF(Data!A:A,'10'!$A$2,Data!DO:DO),0)</f>
        <v>0</v>
      </c>
      <c r="E56" s="17">
        <f>IF($F$3="1",SUMIF(Data!$A:$A,$A$2,Data!JI:JI),0)</f>
        <v>0</v>
      </c>
      <c r="F56" s="21" t="str">
        <f t="shared" si="3"/>
        <v/>
      </c>
    </row>
    <row r="57" spans="1:6" x14ac:dyDescent="0.2">
      <c r="A57" s="19">
        <v>22</v>
      </c>
      <c r="B57" s="177" t="s">
        <v>19</v>
      </c>
      <c r="C57" s="178"/>
      <c r="D57" s="14">
        <f>IF(F3="1",SUMIF(Data!A:A,'10'!$A$2,Data!DP:DP),0)</f>
        <v>0</v>
      </c>
      <c r="E57" s="17">
        <f>IF($F$3="1",SUMIF(Data!$A:$A,$A$2,Data!JJ:JJ),0)</f>
        <v>0</v>
      </c>
      <c r="F57" s="21" t="str">
        <f t="shared" si="3"/>
        <v/>
      </c>
    </row>
    <row r="58" spans="1:6" x14ac:dyDescent="0.2">
      <c r="A58" s="19">
        <v>23</v>
      </c>
      <c r="B58" s="177" t="s">
        <v>20</v>
      </c>
      <c r="C58" s="178"/>
      <c r="D58" s="14">
        <f>IF(F3="1",SUMIF(Data!A:A,'10'!$A$2,Data!DQ:DQ),0)</f>
        <v>12144</v>
      </c>
      <c r="E58" s="17">
        <f>IF($F$3="1",SUMIF(Data!$A:$A,$A$2,Data!JK:JK),0)</f>
        <v>15509</v>
      </c>
      <c r="F58" s="21">
        <f t="shared" si="3"/>
        <v>1.28</v>
      </c>
    </row>
    <row r="59" spans="1:6" x14ac:dyDescent="0.2">
      <c r="A59" s="19">
        <v>24</v>
      </c>
      <c r="B59" s="177" t="s">
        <v>21</v>
      </c>
      <c r="C59" s="178"/>
      <c r="D59" s="14">
        <f>IF(F3="1",SUMIF(Data!A:A,'10'!$A$2,Data!DR:DR),0)</f>
        <v>1296</v>
      </c>
      <c r="E59" s="17">
        <f>IF($F$3="1",SUMIF(Data!$A:$A,$A$2,Data!JL:JL),0)</f>
        <v>50</v>
      </c>
      <c r="F59" s="21">
        <f t="shared" si="3"/>
        <v>0.04</v>
      </c>
    </row>
    <row r="60" spans="1:6" x14ac:dyDescent="0.2">
      <c r="A60" s="19">
        <v>25</v>
      </c>
      <c r="B60" s="177" t="s">
        <v>22</v>
      </c>
      <c r="C60" s="178"/>
      <c r="D60" s="14">
        <f>IF(F3="1",SUMIF(Data!A:A,'10'!$A$2,Data!DS:DS),0)</f>
        <v>76080</v>
      </c>
      <c r="E60" s="17">
        <f>IF($F$3="1",SUMIF(Data!$A:$A,$A$2,Data!JM:JM),0)</f>
        <v>2069</v>
      </c>
      <c r="F60" s="21">
        <f t="shared" si="3"/>
        <v>0.03</v>
      </c>
    </row>
    <row r="61" spans="1:6" x14ac:dyDescent="0.2">
      <c r="A61" s="19">
        <v>26</v>
      </c>
      <c r="B61" s="177" t="s">
        <v>23</v>
      </c>
      <c r="C61" s="178"/>
      <c r="D61" s="14">
        <f>IF(F3="1",SUMIF(Data!A:A,'10'!$A$2,Data!DT:DT),0)</f>
        <v>26400</v>
      </c>
      <c r="E61" s="17">
        <f>IF($F$3="1",SUMIF(Data!$A:$A,$A$2,Data!JN:JN),0)</f>
        <v>5415</v>
      </c>
      <c r="F61" s="21">
        <f t="shared" si="3"/>
        <v>0.21</v>
      </c>
    </row>
    <row r="62" spans="1:6" x14ac:dyDescent="0.2">
      <c r="A62" s="19">
        <v>28</v>
      </c>
      <c r="B62" s="177" t="s">
        <v>24</v>
      </c>
      <c r="C62" s="178"/>
      <c r="D62" s="14">
        <f>IF(F3="1",SUMIF(Data!A:A,'10'!$A$2,Data!DV:DV),0)</f>
        <v>0</v>
      </c>
      <c r="E62" s="17">
        <f>IF($F$3="1",SUMIF(Data!$A:$A,$A$2,Data!JP:JP),0)</f>
        <v>0</v>
      </c>
      <c r="F62" s="21" t="str">
        <f t="shared" si="3"/>
        <v/>
      </c>
    </row>
    <row r="63" spans="1:6" ht="15.75" customHeight="1" thickBot="1" x14ac:dyDescent="0.25">
      <c r="A63" s="22">
        <v>29</v>
      </c>
      <c r="B63" s="179" t="s">
        <v>25</v>
      </c>
      <c r="C63" s="180"/>
      <c r="D63" s="23">
        <f>IF(F3="1",SUMIF(Data!A:A,'10'!$A$2,Data!DW:DW),0)</f>
        <v>0</v>
      </c>
      <c r="E63" s="24">
        <f>IF($F$3="1",SUMIF(Data!$A:$A,$A$2,Data!JQ:JQ),0)</f>
        <v>0</v>
      </c>
      <c r="F63" s="25" t="str">
        <f t="shared" si="3"/>
        <v/>
      </c>
    </row>
    <row r="64" spans="1:6" x14ac:dyDescent="0.2">
      <c r="B64" s="30" t="s">
        <v>35</v>
      </c>
      <c r="C64" s="30"/>
      <c r="D64" s="59">
        <f>SUM(D36:D63)</f>
        <v>395848</v>
      </c>
      <c r="E64" s="31">
        <f>SUM(E36:E63)</f>
        <v>146746</v>
      </c>
      <c r="F64" s="32">
        <f t="shared" si="3"/>
        <v>0.37</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31488</v>
      </c>
      <c r="E67" s="15">
        <f>IF(F3="1",SUMIF(Data!A:A,'10'!$A$2,Data!DY:DY),0)</f>
        <v>149099</v>
      </c>
      <c r="F67" s="20">
        <f t="shared" ref="F67:F95" si="4">IF(OR(D67=0,E67=0),"",ROUND(E67/D67,2))</f>
        <v>4.74</v>
      </c>
    </row>
    <row r="68" spans="1:6" x14ac:dyDescent="0.2">
      <c r="A68" s="19">
        <v>2</v>
      </c>
      <c r="B68" s="177" t="s">
        <v>1</v>
      </c>
      <c r="C68" s="178"/>
      <c r="D68" s="14">
        <f t="shared" ref="D68:D94" si="5">D37</f>
        <v>5200</v>
      </c>
      <c r="E68" s="17">
        <f>IF(F3="1",SUMIF(Data!A:A,'10'!$A$2,Data!DZ:DZ),0)</f>
        <v>55750</v>
      </c>
      <c r="F68" s="21">
        <f t="shared" si="4"/>
        <v>10.72</v>
      </c>
    </row>
    <row r="69" spans="1:6" ht="14.25" customHeight="1" x14ac:dyDescent="0.2">
      <c r="A69" s="19">
        <v>3</v>
      </c>
      <c r="B69" s="177" t="s">
        <v>2</v>
      </c>
      <c r="C69" s="178"/>
      <c r="D69" s="14">
        <f t="shared" si="5"/>
        <v>55424</v>
      </c>
      <c r="E69" s="17">
        <f>IF(F3="1",SUMIF(Data!A:A,'10'!$A$2,Data!EA:EA),0)</f>
        <v>116625</v>
      </c>
      <c r="F69" s="21">
        <f t="shared" si="4"/>
        <v>2.1</v>
      </c>
    </row>
    <row r="70" spans="1:6" ht="14.25" customHeight="1" x14ac:dyDescent="0.2">
      <c r="A70" s="19">
        <v>4</v>
      </c>
      <c r="B70" s="177" t="s">
        <v>3</v>
      </c>
      <c r="C70" s="178"/>
      <c r="D70" s="14">
        <f t="shared" si="5"/>
        <v>13527</v>
      </c>
      <c r="E70" s="17">
        <f>IF(F3="1",SUMIF(Data!A:A,'10'!$A$2,Data!EB:EB),0)</f>
        <v>77718</v>
      </c>
      <c r="F70" s="21">
        <f t="shared" si="4"/>
        <v>5.75</v>
      </c>
    </row>
    <row r="71" spans="1:6" x14ac:dyDescent="0.2">
      <c r="A71" s="19">
        <v>5</v>
      </c>
      <c r="B71" s="177" t="s">
        <v>4</v>
      </c>
      <c r="C71" s="178"/>
      <c r="D71" s="14">
        <f t="shared" si="5"/>
        <v>0</v>
      </c>
      <c r="E71" s="17">
        <f>IF(F3="1",SUMIF(Data!A:A,'10'!$A$2,Data!EC:EC),0)</f>
        <v>0</v>
      </c>
      <c r="F71" s="21" t="str">
        <f t="shared" si="4"/>
        <v/>
      </c>
    </row>
    <row r="72" spans="1:6" x14ac:dyDescent="0.2">
      <c r="A72" s="19">
        <v>6</v>
      </c>
      <c r="B72" s="177" t="s">
        <v>5</v>
      </c>
      <c r="C72" s="178"/>
      <c r="D72" s="14">
        <f t="shared" si="5"/>
        <v>0</v>
      </c>
      <c r="E72" s="17">
        <f>IF(F3="1",SUMIF(Data!A:A,'10'!$A$2,Data!ED:ED),0)</f>
        <v>0</v>
      </c>
      <c r="F72" s="21" t="str">
        <f t="shared" si="4"/>
        <v/>
      </c>
    </row>
    <row r="73" spans="1:6" x14ac:dyDescent="0.2">
      <c r="A73" s="19">
        <v>7</v>
      </c>
      <c r="B73" s="177" t="s">
        <v>6</v>
      </c>
      <c r="C73" s="178"/>
      <c r="D73" s="14">
        <f t="shared" si="5"/>
        <v>30684</v>
      </c>
      <c r="E73" s="17">
        <f>IF(F3="1",SUMIF(Data!A:A,'10'!$A$2,Data!EE:EE),0)</f>
        <v>104650</v>
      </c>
      <c r="F73" s="21">
        <f t="shared" si="4"/>
        <v>3.41</v>
      </c>
    </row>
    <row r="74" spans="1:6" x14ac:dyDescent="0.2">
      <c r="A74" s="19">
        <v>8</v>
      </c>
      <c r="B74" s="177" t="s">
        <v>7</v>
      </c>
      <c r="C74" s="178"/>
      <c r="D74" s="14">
        <f t="shared" si="5"/>
        <v>0</v>
      </c>
      <c r="E74" s="17">
        <f>IF(F3="1",SUMIF(Data!A:A,'10'!$A$2,Data!EF:EF),0)</f>
        <v>0</v>
      </c>
      <c r="F74" s="21" t="str">
        <f t="shared" si="4"/>
        <v/>
      </c>
    </row>
    <row r="75" spans="1:6" x14ac:dyDescent="0.2">
      <c r="A75" s="19">
        <v>9</v>
      </c>
      <c r="B75" s="177" t="s">
        <v>8</v>
      </c>
      <c r="C75" s="178"/>
      <c r="D75" s="14">
        <f t="shared" si="5"/>
        <v>5952</v>
      </c>
      <c r="E75" s="17">
        <f>IF(F3="1",SUMIF(Data!A:A,'10'!$A$2,Data!EG:EG),0)</f>
        <v>4800</v>
      </c>
      <c r="F75" s="21">
        <f t="shared" si="4"/>
        <v>0.81</v>
      </c>
    </row>
    <row r="76" spans="1:6" x14ac:dyDescent="0.2">
      <c r="A76" s="19">
        <v>10</v>
      </c>
      <c r="B76" s="177" t="s">
        <v>9</v>
      </c>
      <c r="C76" s="178"/>
      <c r="D76" s="14">
        <f t="shared" si="5"/>
        <v>0</v>
      </c>
      <c r="E76" s="17">
        <f>IF(F3="1",SUMIF(Data!A:A,'10'!$A$2,Data!EH:EH),0)</f>
        <v>0</v>
      </c>
      <c r="F76" s="21" t="str">
        <f t="shared" si="4"/>
        <v/>
      </c>
    </row>
    <row r="77" spans="1:6" x14ac:dyDescent="0.2">
      <c r="A77" s="19">
        <v>11</v>
      </c>
      <c r="B77" s="177" t="s">
        <v>10</v>
      </c>
      <c r="C77" s="178"/>
      <c r="D77" s="14">
        <f t="shared" si="5"/>
        <v>2232</v>
      </c>
      <c r="E77" s="17">
        <f>IF(F3="1",SUMIF(Data!A:A,'10'!$A$2,Data!EI:EI),0)</f>
        <v>1800</v>
      </c>
      <c r="F77" s="21">
        <f t="shared" si="4"/>
        <v>0.81</v>
      </c>
    </row>
    <row r="78" spans="1:6" ht="14.25" customHeight="1" x14ac:dyDescent="0.2">
      <c r="A78" s="19">
        <v>12</v>
      </c>
      <c r="B78" s="177" t="s">
        <v>11</v>
      </c>
      <c r="C78" s="178"/>
      <c r="D78" s="14">
        <f t="shared" si="5"/>
        <v>66704</v>
      </c>
      <c r="E78" s="17">
        <f>IF(F3="1",SUMIF(Data!A:A,'10'!$A$2,Data!EJ:EJ),0)</f>
        <v>274714</v>
      </c>
      <c r="F78" s="21">
        <f t="shared" si="4"/>
        <v>4.12</v>
      </c>
    </row>
    <row r="79" spans="1:6" x14ac:dyDescent="0.2">
      <c r="A79" s="19">
        <v>13</v>
      </c>
      <c r="B79" s="177" t="s">
        <v>12</v>
      </c>
      <c r="C79" s="178"/>
      <c r="D79" s="14">
        <f t="shared" si="5"/>
        <v>3760</v>
      </c>
      <c r="E79" s="17">
        <f>IF(F3="1",SUMIF(Data!A:A,'10'!$A$2,Data!EK:EK),0)</f>
        <v>4800</v>
      </c>
      <c r="F79" s="21">
        <f t="shared" si="4"/>
        <v>1.28</v>
      </c>
    </row>
    <row r="80" spans="1:6" ht="14.25" customHeight="1" x14ac:dyDescent="0.2">
      <c r="A80" s="19">
        <v>14</v>
      </c>
      <c r="B80" s="177" t="s">
        <v>464</v>
      </c>
      <c r="C80" s="178"/>
      <c r="D80" s="14">
        <f t="shared" si="5"/>
        <v>0</v>
      </c>
      <c r="E80" s="17">
        <f>IF(F3="1",SUMIF(Data!A:A,'10'!$A$2,Data!EL:EL),0)</f>
        <v>0</v>
      </c>
      <c r="F80" s="21" t="str">
        <f t="shared" si="4"/>
        <v/>
      </c>
    </row>
    <row r="81" spans="1:6" x14ac:dyDescent="0.2">
      <c r="A81" s="19">
        <v>15</v>
      </c>
      <c r="B81" s="177" t="s">
        <v>13</v>
      </c>
      <c r="C81" s="178"/>
      <c r="D81" s="14">
        <f t="shared" si="5"/>
        <v>0</v>
      </c>
      <c r="E81" s="17">
        <f>IF(F3="1",SUMIF(Data!A:A,'10'!$A$2,Data!EM:EM),0)</f>
        <v>0</v>
      </c>
      <c r="F81" s="21" t="str">
        <f t="shared" si="4"/>
        <v/>
      </c>
    </row>
    <row r="82" spans="1:6" x14ac:dyDescent="0.2">
      <c r="A82" s="19">
        <v>16</v>
      </c>
      <c r="B82" s="177" t="s">
        <v>14</v>
      </c>
      <c r="C82" s="178"/>
      <c r="D82" s="14">
        <f t="shared" si="5"/>
        <v>13469</v>
      </c>
      <c r="E82" s="17">
        <f>IF(F3="1",SUMIF(Data!A:A,'10'!$A$2,Data!EN:EN),0)</f>
        <v>7200</v>
      </c>
      <c r="F82" s="21">
        <f t="shared" si="4"/>
        <v>0.53</v>
      </c>
    </row>
    <row r="83" spans="1:6" x14ac:dyDescent="0.2">
      <c r="A83" s="19">
        <v>17</v>
      </c>
      <c r="B83" s="177" t="s">
        <v>15</v>
      </c>
      <c r="C83" s="178"/>
      <c r="D83" s="14">
        <f t="shared" si="5"/>
        <v>0</v>
      </c>
      <c r="E83" s="17">
        <f>IF(F3="1",SUMIF(Data!A:A,'10'!$A$2,Data!EO:EO),0)</f>
        <v>0</v>
      </c>
      <c r="F83" s="21" t="str">
        <f t="shared" si="4"/>
        <v/>
      </c>
    </row>
    <row r="84" spans="1:6" x14ac:dyDescent="0.2">
      <c r="A84" s="19">
        <v>18</v>
      </c>
      <c r="B84" s="177" t="s">
        <v>16</v>
      </c>
      <c r="C84" s="178"/>
      <c r="D84" s="14">
        <f t="shared" si="5"/>
        <v>25232</v>
      </c>
      <c r="E84" s="17">
        <f>IF(F3="1",SUMIF(Data!A:A,'10'!$A$2,Data!EP:EP),0)</f>
        <v>106312</v>
      </c>
      <c r="F84" s="21">
        <f t="shared" si="4"/>
        <v>4.21</v>
      </c>
    </row>
    <row r="85" spans="1:6" x14ac:dyDescent="0.2">
      <c r="A85" s="19">
        <v>19</v>
      </c>
      <c r="B85" s="177" t="s">
        <v>17</v>
      </c>
      <c r="C85" s="178"/>
      <c r="D85" s="14">
        <f t="shared" si="5"/>
        <v>26256</v>
      </c>
      <c r="E85" s="17">
        <f>IF(F3="1",SUMIF(Data!A:A,'10'!$A$2,Data!EQ:EQ),0)</f>
        <v>72389</v>
      </c>
      <c r="F85" s="21">
        <f t="shared" si="4"/>
        <v>2.76</v>
      </c>
    </row>
    <row r="86" spans="1:6" x14ac:dyDescent="0.2">
      <c r="A86" s="19">
        <v>20</v>
      </c>
      <c r="B86" s="177" t="s">
        <v>18</v>
      </c>
      <c r="C86" s="178"/>
      <c r="D86" s="14">
        <f t="shared" si="5"/>
        <v>0</v>
      </c>
      <c r="E86" s="17">
        <f>IF(F3="1",SUMIF(Data!A:A,'10'!$A$2,Data!ER:ER),0)</f>
        <v>0</v>
      </c>
      <c r="F86" s="21" t="str">
        <f t="shared" si="4"/>
        <v/>
      </c>
    </row>
    <row r="87" spans="1:6" ht="14.25" customHeight="1" x14ac:dyDescent="0.2">
      <c r="A87" s="19">
        <v>21</v>
      </c>
      <c r="B87" s="177" t="s">
        <v>461</v>
      </c>
      <c r="C87" s="178"/>
      <c r="D87" s="14">
        <f t="shared" si="5"/>
        <v>0</v>
      </c>
      <c r="E87" s="17">
        <f>IF(F3="1",SUMIF(Data!A:A,'10'!$A$2,Data!ES:ES),0)</f>
        <v>0</v>
      </c>
      <c r="F87" s="21" t="str">
        <f t="shared" si="4"/>
        <v/>
      </c>
    </row>
    <row r="88" spans="1:6" x14ac:dyDescent="0.2">
      <c r="A88" s="19">
        <v>22</v>
      </c>
      <c r="B88" s="177" t="s">
        <v>19</v>
      </c>
      <c r="C88" s="178"/>
      <c r="D88" s="14">
        <f t="shared" si="5"/>
        <v>0</v>
      </c>
      <c r="E88" s="17">
        <f>IF(F3="1",SUMIF(Data!A:A,'10'!$A$2,Data!ET:ET),0)</f>
        <v>0</v>
      </c>
      <c r="F88" s="21" t="str">
        <f t="shared" si="4"/>
        <v/>
      </c>
    </row>
    <row r="89" spans="1:6" x14ac:dyDescent="0.2">
      <c r="A89" s="19">
        <v>23</v>
      </c>
      <c r="B89" s="177" t="s">
        <v>20</v>
      </c>
      <c r="C89" s="178"/>
      <c r="D89" s="14">
        <f t="shared" si="5"/>
        <v>12144</v>
      </c>
      <c r="E89" s="17">
        <f>IF(F3="1",SUMIF(Data!A:A,'10'!$A$2,Data!EU:EU),0)</f>
        <v>93988</v>
      </c>
      <c r="F89" s="21">
        <f t="shared" si="4"/>
        <v>7.74</v>
      </c>
    </row>
    <row r="90" spans="1:6" x14ac:dyDescent="0.2">
      <c r="A90" s="19">
        <v>24</v>
      </c>
      <c r="B90" s="177" t="s">
        <v>21</v>
      </c>
      <c r="C90" s="178"/>
      <c r="D90" s="14">
        <f t="shared" si="5"/>
        <v>1296</v>
      </c>
      <c r="E90" s="17">
        <f>IF(F3="1",SUMIF(Data!A:A,'10'!$A$2,Data!EV:EV),0)</f>
        <v>2400</v>
      </c>
      <c r="F90" s="21">
        <f t="shared" si="4"/>
        <v>1.85</v>
      </c>
    </row>
    <row r="91" spans="1:6" x14ac:dyDescent="0.2">
      <c r="A91" s="19">
        <v>25</v>
      </c>
      <c r="B91" s="177" t="s">
        <v>22</v>
      </c>
      <c r="C91" s="178"/>
      <c r="D91" s="14">
        <f t="shared" si="5"/>
        <v>76080</v>
      </c>
      <c r="E91" s="17">
        <f>IF(F3="1",SUMIF(Data!A:A,'10'!$A$2,Data!EW:EW),0)</f>
        <v>182177</v>
      </c>
      <c r="F91" s="21">
        <f t="shared" si="4"/>
        <v>2.39</v>
      </c>
    </row>
    <row r="92" spans="1:6" x14ac:dyDescent="0.2">
      <c r="A92" s="19">
        <v>26</v>
      </c>
      <c r="B92" s="177" t="s">
        <v>23</v>
      </c>
      <c r="C92" s="178"/>
      <c r="D92" s="14">
        <f t="shared" si="5"/>
        <v>26400</v>
      </c>
      <c r="E92" s="17">
        <f>IF(F3="1",SUMIF(Data!A:A,'10'!$A$2,Data!EX:EX),0)</f>
        <v>69262</v>
      </c>
      <c r="F92" s="21">
        <f t="shared" si="4"/>
        <v>2.62</v>
      </c>
    </row>
    <row r="93" spans="1:6" x14ac:dyDescent="0.2">
      <c r="A93" s="19">
        <v>28</v>
      </c>
      <c r="B93" s="177" t="s">
        <v>24</v>
      </c>
      <c r="C93" s="178"/>
      <c r="D93" s="14">
        <f t="shared" si="5"/>
        <v>0</v>
      </c>
      <c r="E93" s="17">
        <f>IF(F3="1",SUMIF(Data!A:A,'10'!$A$2,Data!EZ:EZ),0)</f>
        <v>0</v>
      </c>
      <c r="F93" s="21" t="str">
        <f t="shared" si="4"/>
        <v/>
      </c>
    </row>
    <row r="94" spans="1:6" ht="15.75" customHeight="1" thickBot="1" x14ac:dyDescent="0.25">
      <c r="A94" s="22">
        <v>29</v>
      </c>
      <c r="B94" s="179" t="s">
        <v>25</v>
      </c>
      <c r="C94" s="180"/>
      <c r="D94" s="23">
        <f t="shared" si="5"/>
        <v>0</v>
      </c>
      <c r="E94" s="24">
        <f>IF(F3="1",SUMIF(Data!A:A,'10'!$A$2,Data!FA:FA),0)</f>
        <v>0</v>
      </c>
      <c r="F94" s="25" t="str">
        <f t="shared" si="4"/>
        <v/>
      </c>
    </row>
    <row r="95" spans="1:6" x14ac:dyDescent="0.2">
      <c r="B95" s="30" t="s">
        <v>35</v>
      </c>
      <c r="C95" s="30"/>
      <c r="D95" s="59">
        <f>SUM(D67:D94)</f>
        <v>395848</v>
      </c>
      <c r="E95" s="31">
        <f>SUM(E67:E94)</f>
        <v>1323684</v>
      </c>
      <c r="F95" s="32">
        <f t="shared" si="4"/>
        <v>3.34</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IF(F3="1",SUMIF(Data!A:A,'10'!$A$2,Data!AH:AH),0)</f>
        <v>529779</v>
      </c>
      <c r="F98" s="20">
        <f>IF(OR(E98=0,E98=0),"",ROUND(E98/$D$105,2))</f>
        <v>1.34</v>
      </c>
    </row>
    <row r="99" spans="2:6" x14ac:dyDescent="0.2">
      <c r="B99" s="183" t="s">
        <v>31</v>
      </c>
      <c r="C99" s="184"/>
      <c r="D99" s="36"/>
      <c r="E99" s="17">
        <f>IF(F3="1",SUMIF(Data!A:A,'10'!$A$2,Data!AI:AI),0)</f>
        <v>258298</v>
      </c>
      <c r="F99" s="21">
        <f t="shared" ref="F99:F104" si="6">IF(OR(E99=0,E99=0),"",ROUND(E99/$D$105,2))</f>
        <v>0.65</v>
      </c>
    </row>
    <row r="100" spans="2:6" x14ac:dyDescent="0.2">
      <c r="B100" s="183" t="s">
        <v>1078</v>
      </c>
      <c r="C100" s="184"/>
      <c r="D100" s="36"/>
      <c r="E100" s="17">
        <f>IF(F3="1",SUMIF(Data!A:A,'10'!$A$2,Data!AJ:AJ),0)</f>
        <v>67009</v>
      </c>
      <c r="F100" s="21">
        <f t="shared" si="6"/>
        <v>0.17</v>
      </c>
    </row>
    <row r="101" spans="2:6" x14ac:dyDescent="0.2">
      <c r="B101" s="183" t="s">
        <v>1079</v>
      </c>
      <c r="C101" s="184"/>
      <c r="D101" s="36"/>
      <c r="E101" s="17">
        <f>IF(F3="1",SUMIF(Data!A:A,'10'!$A$2,Data!AK:AK),0)</f>
        <v>157114</v>
      </c>
      <c r="F101" s="21">
        <f t="shared" si="6"/>
        <v>0.4</v>
      </c>
    </row>
    <row r="102" spans="2:6" x14ac:dyDescent="0.2">
      <c r="B102" s="183" t="s">
        <v>1080</v>
      </c>
      <c r="C102" s="184"/>
      <c r="D102" s="36"/>
      <c r="E102" s="17">
        <f>IF(F3="1",SUMIF(Data!A:A,'10'!$A$2,Data!AL:AL),0)</f>
        <v>0</v>
      </c>
      <c r="F102" s="21" t="str">
        <f t="shared" si="6"/>
        <v/>
      </c>
    </row>
    <row r="103" spans="2:6" x14ac:dyDescent="0.2">
      <c r="B103" s="185" t="s">
        <v>34</v>
      </c>
      <c r="C103" s="186"/>
      <c r="D103" s="36"/>
      <c r="E103" s="17">
        <f>IF(F3="1",SUMIF(Data!A:A,'10'!$A$2,Data!AM:AM),0)</f>
        <v>0</v>
      </c>
      <c r="F103" s="21" t="str">
        <f t="shared" si="6"/>
        <v/>
      </c>
    </row>
    <row r="104" spans="2:6" ht="15.75" customHeight="1" thickBot="1" x14ac:dyDescent="0.25">
      <c r="B104" s="175" t="s">
        <v>29</v>
      </c>
      <c r="C104" s="176"/>
      <c r="D104" s="37"/>
      <c r="E104" s="24">
        <f>IF(F3="1",SUMIF(Data!A:A,'10'!$A$2,Data!Q:Q),0)</f>
        <v>117916</v>
      </c>
      <c r="F104" s="25">
        <f t="shared" si="6"/>
        <v>0.3</v>
      </c>
    </row>
    <row r="105" spans="2:6" x14ac:dyDescent="0.2">
      <c r="B105" s="30" t="s">
        <v>35</v>
      </c>
      <c r="C105" s="30"/>
      <c r="D105" s="34">
        <f>D95</f>
        <v>395848</v>
      </c>
      <c r="E105" s="31">
        <f>SUM(E98:E104)</f>
        <v>1130116</v>
      </c>
      <c r="F105" s="32">
        <f>IF($D$105=0,"",ROUND(E105/$D$105,2))</f>
        <v>2.85</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1323684</v>
      </c>
      <c r="D109" s="15">
        <f>IF(F3="1",SUMIF(Data!$A:$A,$A$2,Data!HJ:HJ),0)</f>
        <v>0</v>
      </c>
      <c r="E109" s="15">
        <f>IF(F3="1",SUMIF(Data!$A:$A,$A$2,Data!IN:IN),0)</f>
        <v>0</v>
      </c>
      <c r="F109" s="47">
        <f>SUM(C109:E109)</f>
        <v>1323684</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117916</v>
      </c>
      <c r="E117" s="52"/>
      <c r="F117" s="49">
        <f>SUM(C117:E117)</f>
        <v>117916</v>
      </c>
    </row>
    <row r="118" spans="1:6" x14ac:dyDescent="0.2">
      <c r="B118" s="13" t="s">
        <v>35</v>
      </c>
      <c r="C118" s="4">
        <f>SUM(C109:C116)</f>
        <v>1323684</v>
      </c>
      <c r="D118" s="4">
        <f>SUM(D109:D116)</f>
        <v>0</v>
      </c>
      <c r="E118" s="4">
        <f>SUM(E109:E116)</f>
        <v>0</v>
      </c>
      <c r="F118" s="4">
        <f>SUM(F109:F116)</f>
        <v>1323684</v>
      </c>
    </row>
    <row r="119" spans="1:6" ht="15" thickBot="1" x14ac:dyDescent="0.25"/>
    <row r="120" spans="1:6" ht="15" thickBot="1" x14ac:dyDescent="0.25">
      <c r="B120" s="55" t="s">
        <v>934</v>
      </c>
      <c r="C120" s="53"/>
      <c r="D120" s="53"/>
      <c r="E120" s="53">
        <f>IF(F3="1",SUMIF(Data!A:A,'10'!$A$2,Data!AM:AM),0)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3" width="12.140625" style="10" bestFit="1" customWidth="1"/>
    <col min="14"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354</v>
      </c>
      <c r="B2" s="58" t="str">
        <f>VLOOKUP(A2,Data!A:G,7,0)</f>
        <v>Coastal Bend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18472</v>
      </c>
      <c r="E5" s="15">
        <f>E36+E67+IFERROR($E$105/$D$105*D5,0)</f>
        <v>86769.399347306695</v>
      </c>
      <c r="F5" s="20">
        <f>IF(OR(D5=0,E5=0),"",ROUND(E5/D5,2))</f>
        <v>4.7</v>
      </c>
    </row>
    <row r="6" spans="1:6" x14ac:dyDescent="0.2">
      <c r="A6" s="19">
        <v>2</v>
      </c>
      <c r="B6" s="177" t="s">
        <v>1</v>
      </c>
      <c r="C6" s="178"/>
      <c r="D6" s="14">
        <f t="shared" ref="D6:D32" si="0">D37</f>
        <v>0</v>
      </c>
      <c r="E6" s="17">
        <f t="shared" ref="E6:E32" si="1">E37+E68+IFERROR($E$105/$D$105*D6,0)</f>
        <v>0</v>
      </c>
      <c r="F6" s="21" t="str">
        <f t="shared" ref="F6:F33" si="2">IF(OR(D6=0,E6=0),"",ROUND(E6/D6,2))</f>
        <v/>
      </c>
    </row>
    <row r="7" spans="1:6" ht="14.25" customHeight="1" x14ac:dyDescent="0.2">
      <c r="A7" s="19">
        <v>3</v>
      </c>
      <c r="B7" s="177" t="s">
        <v>2</v>
      </c>
      <c r="C7" s="178"/>
      <c r="D7" s="14">
        <f t="shared" si="0"/>
        <v>162444</v>
      </c>
      <c r="E7" s="17">
        <f t="shared" si="1"/>
        <v>763222.43977771164</v>
      </c>
      <c r="F7" s="21">
        <f t="shared" si="2"/>
        <v>4.7</v>
      </c>
    </row>
    <row r="8" spans="1:6" ht="14.25" customHeight="1" x14ac:dyDescent="0.2">
      <c r="A8" s="19">
        <v>4</v>
      </c>
      <c r="B8" s="177" t="s">
        <v>3</v>
      </c>
      <c r="C8" s="178"/>
      <c r="D8" s="14">
        <f t="shared" si="0"/>
        <v>128592</v>
      </c>
      <c r="E8" s="17">
        <f t="shared" si="1"/>
        <v>755659.4794753606</v>
      </c>
      <c r="F8" s="21">
        <f t="shared" si="2"/>
        <v>5.88</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0</v>
      </c>
      <c r="E10" s="17">
        <f t="shared" si="1"/>
        <v>0</v>
      </c>
      <c r="F10" s="21" t="str">
        <f t="shared" si="2"/>
        <v/>
      </c>
    </row>
    <row r="11" spans="1:6" x14ac:dyDescent="0.2">
      <c r="A11" s="19">
        <v>7</v>
      </c>
      <c r="B11" s="177" t="s">
        <v>6</v>
      </c>
      <c r="C11" s="178"/>
      <c r="D11" s="14">
        <f t="shared" si="0"/>
        <v>135076</v>
      </c>
      <c r="E11" s="17">
        <f t="shared" si="1"/>
        <v>353403.27253339102</v>
      </c>
      <c r="F11" s="21">
        <f t="shared" si="2"/>
        <v>2.62</v>
      </c>
    </row>
    <row r="12" spans="1:6" x14ac:dyDescent="0.2">
      <c r="A12" s="19">
        <v>8</v>
      </c>
      <c r="B12" s="177" t="s">
        <v>7</v>
      </c>
      <c r="C12" s="178"/>
      <c r="D12" s="14">
        <f t="shared" si="0"/>
        <v>101480</v>
      </c>
      <c r="E12" s="17">
        <f t="shared" si="1"/>
        <v>576018.93145109806</v>
      </c>
      <c r="F12" s="21">
        <f t="shared" si="2"/>
        <v>5.68</v>
      </c>
    </row>
    <row r="13" spans="1:6" x14ac:dyDescent="0.2">
      <c r="A13" s="19">
        <v>9</v>
      </c>
      <c r="B13" s="177" t="s">
        <v>8</v>
      </c>
      <c r="C13" s="178"/>
      <c r="D13" s="14">
        <f t="shared" si="0"/>
        <v>127135</v>
      </c>
      <c r="E13" s="17">
        <f t="shared" si="1"/>
        <v>716222.22477370268</v>
      </c>
      <c r="F13" s="21">
        <f t="shared" si="2"/>
        <v>5.63</v>
      </c>
    </row>
    <row r="14" spans="1:6" x14ac:dyDescent="0.2">
      <c r="A14" s="19">
        <v>10</v>
      </c>
      <c r="B14" s="177" t="s">
        <v>9</v>
      </c>
      <c r="C14" s="178"/>
      <c r="D14" s="14">
        <f t="shared" si="0"/>
        <v>1440</v>
      </c>
      <c r="E14" s="17">
        <f t="shared" si="1"/>
        <v>10539.358112825987</v>
      </c>
      <c r="F14" s="21">
        <f t="shared" si="2"/>
        <v>7.32</v>
      </c>
    </row>
    <row r="15" spans="1:6" x14ac:dyDescent="0.2">
      <c r="A15" s="19">
        <v>11</v>
      </c>
      <c r="B15" s="177" t="s">
        <v>10</v>
      </c>
      <c r="C15" s="178"/>
      <c r="D15" s="14">
        <f t="shared" si="0"/>
        <v>15040</v>
      </c>
      <c r="E15" s="17">
        <f t="shared" si="1"/>
        <v>161388.62917840475</v>
      </c>
      <c r="F15" s="21">
        <f t="shared" si="2"/>
        <v>10.73</v>
      </c>
    </row>
    <row r="16" spans="1:6" ht="14.25" customHeight="1" x14ac:dyDescent="0.2">
      <c r="A16" s="19">
        <v>12</v>
      </c>
      <c r="B16" s="177" t="s">
        <v>11</v>
      </c>
      <c r="C16" s="178"/>
      <c r="D16" s="14">
        <f t="shared" si="0"/>
        <v>244208</v>
      </c>
      <c r="E16" s="17">
        <f t="shared" si="1"/>
        <v>1176438.0097340338</v>
      </c>
      <c r="F16" s="21">
        <f t="shared" si="2"/>
        <v>4.82</v>
      </c>
    </row>
    <row r="17" spans="1:6" x14ac:dyDescent="0.2">
      <c r="A17" s="19">
        <v>13</v>
      </c>
      <c r="B17" s="177" t="s">
        <v>12</v>
      </c>
      <c r="C17" s="178"/>
      <c r="D17" s="14">
        <f t="shared" si="0"/>
        <v>13904</v>
      </c>
      <c r="E17" s="17">
        <f t="shared" si="1"/>
        <v>101159.06888939759</v>
      </c>
      <c r="F17" s="21">
        <f t="shared" si="2"/>
        <v>7.28</v>
      </c>
    </row>
    <row r="18" spans="1:6" ht="14.25" customHeight="1" x14ac:dyDescent="0.2">
      <c r="A18" s="19">
        <v>14</v>
      </c>
      <c r="B18" s="177" t="s">
        <v>464</v>
      </c>
      <c r="C18" s="178"/>
      <c r="D18" s="14">
        <f t="shared" si="0"/>
        <v>0</v>
      </c>
      <c r="E18" s="17">
        <f t="shared" si="1"/>
        <v>0</v>
      </c>
      <c r="F18" s="21" t="str">
        <f t="shared" si="2"/>
        <v/>
      </c>
    </row>
    <row r="19" spans="1:6" x14ac:dyDescent="0.2">
      <c r="A19" s="19">
        <v>15</v>
      </c>
      <c r="B19" s="177" t="s">
        <v>13</v>
      </c>
      <c r="C19" s="178"/>
      <c r="D19" s="14">
        <f t="shared" si="0"/>
        <v>47744</v>
      </c>
      <c r="E19" s="17">
        <f t="shared" si="1"/>
        <v>420075.98454080831</v>
      </c>
      <c r="F19" s="21">
        <f t="shared" si="2"/>
        <v>8.8000000000000007</v>
      </c>
    </row>
    <row r="20" spans="1:6" x14ac:dyDescent="0.2">
      <c r="A20" s="19">
        <v>16</v>
      </c>
      <c r="B20" s="177" t="s">
        <v>14</v>
      </c>
      <c r="C20" s="178"/>
      <c r="D20" s="14">
        <f t="shared" si="0"/>
        <v>41157</v>
      </c>
      <c r="E20" s="17">
        <f t="shared" si="1"/>
        <v>219790.64156220775</v>
      </c>
      <c r="F20" s="21">
        <f t="shared" si="2"/>
        <v>5.34</v>
      </c>
    </row>
    <row r="21" spans="1:6" x14ac:dyDescent="0.2">
      <c r="A21" s="19">
        <v>17</v>
      </c>
      <c r="B21" s="177" t="s">
        <v>15</v>
      </c>
      <c r="C21" s="178"/>
      <c r="D21" s="14">
        <f t="shared" si="0"/>
        <v>0</v>
      </c>
      <c r="E21" s="17">
        <f t="shared" si="1"/>
        <v>0</v>
      </c>
      <c r="F21" s="21" t="str">
        <f t="shared" si="2"/>
        <v/>
      </c>
    </row>
    <row r="22" spans="1:6" x14ac:dyDescent="0.2">
      <c r="A22" s="19">
        <v>18</v>
      </c>
      <c r="B22" s="177" t="s">
        <v>16</v>
      </c>
      <c r="C22" s="178"/>
      <c r="D22" s="14">
        <f t="shared" si="0"/>
        <v>133040</v>
      </c>
      <c r="E22" s="17">
        <f t="shared" si="1"/>
        <v>621688.36342386762</v>
      </c>
      <c r="F22" s="21">
        <f t="shared" si="2"/>
        <v>4.67</v>
      </c>
    </row>
    <row r="23" spans="1:6" x14ac:dyDescent="0.2">
      <c r="A23" s="19">
        <v>19</v>
      </c>
      <c r="B23" s="177" t="s">
        <v>17</v>
      </c>
      <c r="C23" s="178"/>
      <c r="D23" s="14">
        <f t="shared" si="0"/>
        <v>156160</v>
      </c>
      <c r="E23" s="17">
        <f t="shared" si="1"/>
        <v>747885.72423535143</v>
      </c>
      <c r="F23" s="21">
        <f t="shared" si="2"/>
        <v>4.79</v>
      </c>
    </row>
    <row r="24" spans="1:6" x14ac:dyDescent="0.2">
      <c r="A24" s="19">
        <v>20</v>
      </c>
      <c r="B24" s="177" t="s">
        <v>18</v>
      </c>
      <c r="C24" s="178"/>
      <c r="D24" s="14">
        <f t="shared" si="0"/>
        <v>48704</v>
      </c>
      <c r="E24" s="17">
        <f t="shared" si="1"/>
        <v>1290235.5566160255</v>
      </c>
      <c r="F24" s="21">
        <f t="shared" si="2"/>
        <v>26.49</v>
      </c>
    </row>
    <row r="25" spans="1:6" ht="14.25" customHeight="1" x14ac:dyDescent="0.2">
      <c r="A25" s="19">
        <v>21</v>
      </c>
      <c r="B25" s="177" t="s">
        <v>461</v>
      </c>
      <c r="C25" s="178"/>
      <c r="D25" s="14">
        <f t="shared" si="0"/>
        <v>0</v>
      </c>
      <c r="E25" s="17">
        <f t="shared" si="1"/>
        <v>0</v>
      </c>
      <c r="F25" s="21" t="str">
        <f t="shared" si="2"/>
        <v/>
      </c>
    </row>
    <row r="26" spans="1:6" x14ac:dyDescent="0.2">
      <c r="A26" s="19">
        <v>22</v>
      </c>
      <c r="B26" s="177" t="s">
        <v>19</v>
      </c>
      <c r="C26" s="178"/>
      <c r="D26" s="14">
        <f t="shared" si="0"/>
        <v>32792</v>
      </c>
      <c r="E26" s="17">
        <f t="shared" si="1"/>
        <v>187535.34946929844</v>
      </c>
      <c r="F26" s="21">
        <f t="shared" si="2"/>
        <v>5.72</v>
      </c>
    </row>
    <row r="27" spans="1:6" x14ac:dyDescent="0.2">
      <c r="A27" s="19">
        <v>23</v>
      </c>
      <c r="B27" s="177" t="s">
        <v>20</v>
      </c>
      <c r="C27" s="178"/>
      <c r="D27" s="14">
        <f t="shared" si="0"/>
        <v>37728</v>
      </c>
      <c r="E27" s="17">
        <f t="shared" si="1"/>
        <v>226908.38255604086</v>
      </c>
      <c r="F27" s="21">
        <f t="shared" si="2"/>
        <v>6.01</v>
      </c>
    </row>
    <row r="28" spans="1:6" x14ac:dyDescent="0.2">
      <c r="A28" s="19">
        <v>24</v>
      </c>
      <c r="B28" s="177" t="s">
        <v>21</v>
      </c>
      <c r="C28" s="178"/>
      <c r="D28" s="14">
        <f t="shared" si="0"/>
        <v>59224</v>
      </c>
      <c r="E28" s="17">
        <f t="shared" si="1"/>
        <v>381027.03394028213</v>
      </c>
      <c r="F28" s="21">
        <f t="shared" si="2"/>
        <v>6.43</v>
      </c>
    </row>
    <row r="29" spans="1:6" x14ac:dyDescent="0.2">
      <c r="A29" s="19">
        <v>25</v>
      </c>
      <c r="B29" s="177" t="s">
        <v>22</v>
      </c>
      <c r="C29" s="178"/>
      <c r="D29" s="14">
        <f t="shared" si="0"/>
        <v>184606</v>
      </c>
      <c r="E29" s="17">
        <f t="shared" si="1"/>
        <v>850932.56928913482</v>
      </c>
      <c r="F29" s="21">
        <f t="shared" si="2"/>
        <v>4.6100000000000003</v>
      </c>
    </row>
    <row r="30" spans="1:6" x14ac:dyDescent="0.2">
      <c r="A30" s="19">
        <v>26</v>
      </c>
      <c r="B30" s="177" t="s">
        <v>23</v>
      </c>
      <c r="C30" s="178"/>
      <c r="D30" s="14">
        <f t="shared" si="0"/>
        <v>49696</v>
      </c>
      <c r="E30" s="17">
        <f t="shared" si="1"/>
        <v>415755.5810937502</v>
      </c>
      <c r="F30" s="21">
        <f t="shared" si="2"/>
        <v>8.3699999999999992</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1738642</v>
      </c>
      <c r="E33" s="31">
        <f>SUM(E5:E32)</f>
        <v>10062656</v>
      </c>
      <c r="F33" s="32">
        <f t="shared" si="2"/>
        <v>5.79</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IF(F3="1",SUMIF(Data!A:A,'11'!$A$2,Data!CU:CU),0)</f>
        <v>18472</v>
      </c>
      <c r="E36" s="15">
        <f>IF(F3="1",SUMIF(Data!$A:$A,$A$2,Data!IO:IO),0)</f>
        <v>1561</v>
      </c>
      <c r="F36" s="20">
        <f t="shared" ref="F36:F64" si="3">IF(OR(D36=0,E36=0),"",ROUND(E36/D36,2))</f>
        <v>0.08</v>
      </c>
    </row>
    <row r="37" spans="1:6" x14ac:dyDescent="0.2">
      <c r="A37" s="19">
        <v>2</v>
      </c>
      <c r="B37" s="177" t="s">
        <v>1</v>
      </c>
      <c r="C37" s="178"/>
      <c r="D37" s="14">
        <f>IF(F3="1",SUMIF(Data!A:A,'11'!$A$2,Data!CV:CV),0)</f>
        <v>0</v>
      </c>
      <c r="E37" s="17">
        <f>IF(F3="1",SUMIF(Data!$A:$A,$A$2,Data!IP:IP),0)</f>
        <v>0</v>
      </c>
      <c r="F37" s="21" t="str">
        <f t="shared" si="3"/>
        <v/>
      </c>
    </row>
    <row r="38" spans="1:6" ht="14.25" customHeight="1" x14ac:dyDescent="0.2">
      <c r="A38" s="19">
        <v>3</v>
      </c>
      <c r="B38" s="177" t="s">
        <v>2</v>
      </c>
      <c r="C38" s="178"/>
      <c r="D38" s="14">
        <f>IF(F3="1",SUMIF(Data!A:A,'11'!$A$2,Data!CW:CW),0)</f>
        <v>162444</v>
      </c>
      <c r="E38" s="17">
        <f>IF($F$3="1",SUMIF(Data!$A:$A,$A$2,Data!IQ:IQ),0)</f>
        <v>49089</v>
      </c>
      <c r="F38" s="21">
        <f t="shared" si="3"/>
        <v>0.3</v>
      </c>
    </row>
    <row r="39" spans="1:6" ht="14.25" customHeight="1" x14ac:dyDescent="0.2">
      <c r="A39" s="19">
        <v>4</v>
      </c>
      <c r="B39" s="177" t="s">
        <v>3</v>
      </c>
      <c r="C39" s="178"/>
      <c r="D39" s="14">
        <f>IF(F3="1",SUMIF(Data!A:A,'11'!$A$2,Data!CX:CX),0)</f>
        <v>128592</v>
      </c>
      <c r="E39" s="17">
        <f>IF($F$3="1",SUMIF(Data!$A:$A,$A$2,Data!IR:IR),0)</f>
        <v>34923</v>
      </c>
      <c r="F39" s="21">
        <f t="shared" si="3"/>
        <v>0.27</v>
      </c>
    </row>
    <row r="40" spans="1:6" x14ac:dyDescent="0.2">
      <c r="A40" s="19">
        <v>5</v>
      </c>
      <c r="B40" s="177" t="s">
        <v>4</v>
      </c>
      <c r="C40" s="178"/>
      <c r="D40" s="14">
        <f>IF(F3="1",SUMIF(Data!A:A,'11'!$A$2,Data!CY:CY),0)</f>
        <v>0</v>
      </c>
      <c r="E40" s="17">
        <f>IF($F$3="1",SUMIF(Data!$A:$A,$A$2,Data!IS:IS),0)</f>
        <v>0</v>
      </c>
      <c r="F40" s="21" t="str">
        <f t="shared" si="3"/>
        <v/>
      </c>
    </row>
    <row r="41" spans="1:6" x14ac:dyDescent="0.2">
      <c r="A41" s="19">
        <v>6</v>
      </c>
      <c r="B41" s="177" t="s">
        <v>5</v>
      </c>
      <c r="C41" s="178"/>
      <c r="D41" s="14">
        <f>IF(F3="1",SUMIF(Data!A:A,'11'!$A$2,Data!CZ:CZ),0)</f>
        <v>0</v>
      </c>
      <c r="E41" s="17">
        <f>IF($F$3="1",SUMIF(Data!$A:$A,$A$2,Data!IT:IT),0)</f>
        <v>0</v>
      </c>
      <c r="F41" s="21" t="str">
        <f t="shared" si="3"/>
        <v/>
      </c>
    </row>
    <row r="42" spans="1:6" x14ac:dyDescent="0.2">
      <c r="A42" s="19">
        <v>7</v>
      </c>
      <c r="B42" s="177" t="s">
        <v>6</v>
      </c>
      <c r="C42" s="178"/>
      <c r="D42" s="14">
        <f>IF(F3="1",SUMIF(Data!A:A,'11'!$A$2,Data!DA:DA),0)</f>
        <v>135076</v>
      </c>
      <c r="E42" s="17">
        <f>IF($F$3="1",SUMIF(Data!$A:$A,$A$2,Data!IU:IU),0)</f>
        <v>40347</v>
      </c>
      <c r="F42" s="21">
        <f t="shared" si="3"/>
        <v>0.3</v>
      </c>
    </row>
    <row r="43" spans="1:6" x14ac:dyDescent="0.2">
      <c r="A43" s="19">
        <v>8</v>
      </c>
      <c r="B43" s="177" t="s">
        <v>7</v>
      </c>
      <c r="C43" s="178"/>
      <c r="D43" s="14">
        <f>IF(F3="1",SUMIF(Data!A:A,'11'!$A$2,Data!DB:DB),0)</f>
        <v>101480</v>
      </c>
      <c r="E43" s="17">
        <f>IF($F$3="1",SUMIF(Data!$A:$A,$A$2,Data!IV:IV),0)</f>
        <v>74320</v>
      </c>
      <c r="F43" s="21">
        <f t="shared" si="3"/>
        <v>0.73</v>
      </c>
    </row>
    <row r="44" spans="1:6" x14ac:dyDescent="0.2">
      <c r="A44" s="19">
        <v>9</v>
      </c>
      <c r="B44" s="177" t="s">
        <v>8</v>
      </c>
      <c r="C44" s="178"/>
      <c r="D44" s="14">
        <f>IF(F3="1",SUMIF(Data!A:A,'11'!$A$2,Data!DC:DC),0)</f>
        <v>127135</v>
      </c>
      <c r="E44" s="17">
        <f>IF($F$3="1",SUMIF(Data!$A:$A,$A$2,Data!IW:IW),0)</f>
        <v>56263</v>
      </c>
      <c r="F44" s="21">
        <f t="shared" si="3"/>
        <v>0.44</v>
      </c>
    </row>
    <row r="45" spans="1:6" x14ac:dyDescent="0.2">
      <c r="A45" s="19">
        <v>10</v>
      </c>
      <c r="B45" s="177" t="s">
        <v>9</v>
      </c>
      <c r="C45" s="178"/>
      <c r="D45" s="14">
        <f>IF(F3="1",SUMIF(Data!A:A,'11'!$A$2,Data!DD:DD),0)</f>
        <v>1440</v>
      </c>
      <c r="E45" s="17">
        <f>IF($F$3="1",SUMIF(Data!$A:$A,$A$2,Data!IX:IX),0)</f>
        <v>3804</v>
      </c>
      <c r="F45" s="21">
        <f t="shared" si="3"/>
        <v>2.64</v>
      </c>
    </row>
    <row r="46" spans="1:6" x14ac:dyDescent="0.2">
      <c r="A46" s="19">
        <v>11</v>
      </c>
      <c r="B46" s="177" t="s">
        <v>10</v>
      </c>
      <c r="C46" s="178"/>
      <c r="D46" s="14">
        <f>IF(F3="1",SUMIF(Data!A:A,'11'!$A$2,Data!DE:DE),0)</f>
        <v>15040</v>
      </c>
      <c r="E46" s="17">
        <f>IF($F$3="1",SUMIF(Data!$A:$A,$A$2,Data!IY:IY),0)</f>
        <v>19804</v>
      </c>
      <c r="F46" s="21">
        <f t="shared" si="3"/>
        <v>1.32</v>
      </c>
    </row>
    <row r="47" spans="1:6" ht="14.25" customHeight="1" x14ac:dyDescent="0.2">
      <c r="A47" s="19">
        <v>12</v>
      </c>
      <c r="B47" s="177" t="s">
        <v>11</v>
      </c>
      <c r="C47" s="178"/>
      <c r="D47" s="14">
        <f>IF(F3="1",SUMIF(Data!A:A,'11'!$A$2,Data!DF:DF),0)</f>
        <v>244208</v>
      </c>
      <c r="E47" s="17">
        <f>IF($F$3="1",SUMIF(Data!$A:$A,$A$2,Data!IZ:IZ),0)</f>
        <v>33140</v>
      </c>
      <c r="F47" s="21">
        <f t="shared" si="3"/>
        <v>0.14000000000000001</v>
      </c>
    </row>
    <row r="48" spans="1:6" x14ac:dyDescent="0.2">
      <c r="A48" s="19">
        <v>13</v>
      </c>
      <c r="B48" s="177" t="s">
        <v>12</v>
      </c>
      <c r="C48" s="178"/>
      <c r="D48" s="14">
        <f>IF(F3="1",SUMIF(Data!A:A,'11'!$A$2,Data!DG:DG),0)</f>
        <v>13904</v>
      </c>
      <c r="E48" s="17">
        <f>IF($F$3="1",SUMIF(Data!$A:$A,$A$2,Data!JA:JA),0)</f>
        <v>15812</v>
      </c>
      <c r="F48" s="21">
        <f t="shared" si="3"/>
        <v>1.1399999999999999</v>
      </c>
    </row>
    <row r="49" spans="1:6" ht="14.25" customHeight="1" x14ac:dyDescent="0.2">
      <c r="A49" s="19">
        <v>14</v>
      </c>
      <c r="B49" s="177" t="s">
        <v>464</v>
      </c>
      <c r="C49" s="178"/>
      <c r="D49" s="14">
        <f>IF(F3="1",SUMIF(Data!A:A,'11'!$A$2,Data!DH:DH),0)</f>
        <v>0</v>
      </c>
      <c r="E49" s="17">
        <f>IF($F$3="1",SUMIF(Data!$A:$A,$A$2,Data!JB:JB),0)</f>
        <v>0</v>
      </c>
      <c r="F49" s="21" t="str">
        <f t="shared" si="3"/>
        <v/>
      </c>
    </row>
    <row r="50" spans="1:6" x14ac:dyDescent="0.2">
      <c r="A50" s="19">
        <v>15</v>
      </c>
      <c r="B50" s="177" t="s">
        <v>13</v>
      </c>
      <c r="C50" s="178"/>
      <c r="D50" s="14">
        <f>IF(F3="1",SUMIF(Data!A:A,'11'!$A$2,Data!DI:DI),0)</f>
        <v>47744</v>
      </c>
      <c r="E50" s="17">
        <f>IF($F$3="1",SUMIF(Data!$A:$A,$A$2,Data!JC:JC),0)</f>
        <v>66610</v>
      </c>
      <c r="F50" s="21">
        <f t="shared" si="3"/>
        <v>1.4</v>
      </c>
    </row>
    <row r="51" spans="1:6" x14ac:dyDescent="0.2">
      <c r="A51" s="19">
        <v>16</v>
      </c>
      <c r="B51" s="177" t="s">
        <v>14</v>
      </c>
      <c r="C51" s="178"/>
      <c r="D51" s="14">
        <f>IF(F3="1",SUMIF(Data!A:A,'11'!$A$2,Data!DJ:DJ),0)</f>
        <v>41157</v>
      </c>
      <c r="E51" s="17">
        <f>IF($F$3="1",SUMIF(Data!$A:$A,$A$2,Data!JD:JD),0)</f>
        <v>21515</v>
      </c>
      <c r="F51" s="21">
        <f t="shared" si="3"/>
        <v>0.52</v>
      </c>
    </row>
    <row r="52" spans="1:6" x14ac:dyDescent="0.2">
      <c r="A52" s="19">
        <v>17</v>
      </c>
      <c r="B52" s="177" t="s">
        <v>15</v>
      </c>
      <c r="C52" s="178"/>
      <c r="D52" s="14">
        <f>IF(F3="1",SUMIF(Data!A:A,'11'!$A$2,Data!DK:DK),0)</f>
        <v>0</v>
      </c>
      <c r="E52" s="17">
        <f>IF($F$3="1",SUMIF(Data!$A:$A,$A$2,Data!JE:JE),0)</f>
        <v>0</v>
      </c>
      <c r="F52" s="21" t="str">
        <f t="shared" si="3"/>
        <v/>
      </c>
    </row>
    <row r="53" spans="1:6" x14ac:dyDescent="0.2">
      <c r="A53" s="19">
        <v>18</v>
      </c>
      <c r="B53" s="177" t="s">
        <v>16</v>
      </c>
      <c r="C53" s="178"/>
      <c r="D53" s="14">
        <f>IF(F3="1",SUMIF(Data!A:A,'11'!$A$2,Data!DL:DL),0)</f>
        <v>133040</v>
      </c>
      <c r="E53" s="17">
        <f>IF($F$3="1",SUMIF(Data!$A:$A,$A$2,Data!JF:JF),0)</f>
        <v>76433</v>
      </c>
      <c r="F53" s="21">
        <f t="shared" si="3"/>
        <v>0.56999999999999995</v>
      </c>
    </row>
    <row r="54" spans="1:6" x14ac:dyDescent="0.2">
      <c r="A54" s="19">
        <v>19</v>
      </c>
      <c r="B54" s="177" t="s">
        <v>17</v>
      </c>
      <c r="C54" s="178"/>
      <c r="D54" s="14">
        <f>IF(F3="1",SUMIF(Data!A:A,'11'!$A$2,Data!DM:DM),0)</f>
        <v>156160</v>
      </c>
      <c r="E54" s="17">
        <f>IF($F$3="1",SUMIF(Data!$A:$A,$A$2,Data!JG:JG),0)</f>
        <v>29938</v>
      </c>
      <c r="F54" s="21">
        <f t="shared" si="3"/>
        <v>0.19</v>
      </c>
    </row>
    <row r="55" spans="1:6" x14ac:dyDescent="0.2">
      <c r="A55" s="19">
        <v>20</v>
      </c>
      <c r="B55" s="177" t="s">
        <v>18</v>
      </c>
      <c r="C55" s="178"/>
      <c r="D55" s="14">
        <f>IF(F3="1",SUMIF(Data!A:A,'11'!$A$2,Data!DN:DN),0)</f>
        <v>48704</v>
      </c>
      <c r="E55" s="17">
        <f>IF($F$3="1",SUMIF(Data!$A:$A,$A$2,Data!JH:JH),0)</f>
        <v>40809</v>
      </c>
      <c r="F55" s="21">
        <f t="shared" si="3"/>
        <v>0.84</v>
      </c>
    </row>
    <row r="56" spans="1:6" ht="14.25" customHeight="1" x14ac:dyDescent="0.2">
      <c r="A56" s="19">
        <v>21</v>
      </c>
      <c r="B56" s="177" t="s">
        <v>461</v>
      </c>
      <c r="C56" s="178"/>
      <c r="D56" s="14">
        <f>IF(F3="1",SUMIF(Data!A:A,'11'!$A$2,Data!DO:DO),0)</f>
        <v>0</v>
      </c>
      <c r="E56" s="17">
        <f>IF($F$3="1",SUMIF(Data!$A:$A,$A$2,Data!JI:JI),0)</f>
        <v>0</v>
      </c>
      <c r="F56" s="21" t="str">
        <f t="shared" si="3"/>
        <v/>
      </c>
    </row>
    <row r="57" spans="1:6" x14ac:dyDescent="0.2">
      <c r="A57" s="19">
        <v>22</v>
      </c>
      <c r="B57" s="177" t="s">
        <v>19</v>
      </c>
      <c r="C57" s="178"/>
      <c r="D57" s="14">
        <f>IF(F3="1",SUMIF(Data!A:A,'11'!$A$2,Data!DP:DP),0)</f>
        <v>32792</v>
      </c>
      <c r="E57" s="17">
        <f>IF($F$3="1",SUMIF(Data!$A:$A,$A$2,Data!JJ:JJ),0)</f>
        <v>28734</v>
      </c>
      <c r="F57" s="21">
        <f t="shared" si="3"/>
        <v>0.88</v>
      </c>
    </row>
    <row r="58" spans="1:6" x14ac:dyDescent="0.2">
      <c r="A58" s="19">
        <v>23</v>
      </c>
      <c r="B58" s="177" t="s">
        <v>20</v>
      </c>
      <c r="C58" s="178"/>
      <c r="D58" s="14">
        <f>IF(F3="1",SUMIF(Data!A:A,'11'!$A$2,Data!DQ:DQ),0)</f>
        <v>37728</v>
      </c>
      <c r="E58" s="17">
        <f>IF($F$3="1",SUMIF(Data!$A:$A,$A$2,Data!JK:JK),0)</f>
        <v>25623</v>
      </c>
      <c r="F58" s="21">
        <f t="shared" si="3"/>
        <v>0.68</v>
      </c>
    </row>
    <row r="59" spans="1:6" x14ac:dyDescent="0.2">
      <c r="A59" s="19">
        <v>24</v>
      </c>
      <c r="B59" s="177" t="s">
        <v>21</v>
      </c>
      <c r="C59" s="178"/>
      <c r="D59" s="14">
        <f>IF(F3="1",SUMIF(Data!A:A,'11'!$A$2,Data!DR:DR),0)</f>
        <v>59224</v>
      </c>
      <c r="E59" s="17">
        <f>IF($F$3="1",SUMIF(Data!$A:$A,$A$2,Data!JL:JL),0)</f>
        <v>57297</v>
      </c>
      <c r="F59" s="21">
        <f t="shared" si="3"/>
        <v>0.97</v>
      </c>
    </row>
    <row r="60" spans="1:6" x14ac:dyDescent="0.2">
      <c r="A60" s="19">
        <v>25</v>
      </c>
      <c r="B60" s="177" t="s">
        <v>22</v>
      </c>
      <c r="C60" s="178"/>
      <c r="D60" s="14">
        <f>IF(F3="1",SUMIF(Data!A:A,'11'!$A$2,Data!DS:DS),0)</f>
        <v>184606</v>
      </c>
      <c r="E60" s="17">
        <f>IF($F$3="1",SUMIF(Data!$A:$A,$A$2,Data!JM:JM),0)</f>
        <v>19032</v>
      </c>
      <c r="F60" s="21">
        <f t="shared" si="3"/>
        <v>0.1</v>
      </c>
    </row>
    <row r="61" spans="1:6" x14ac:dyDescent="0.2">
      <c r="A61" s="19">
        <v>26</v>
      </c>
      <c r="B61" s="177" t="s">
        <v>23</v>
      </c>
      <c r="C61" s="178"/>
      <c r="D61" s="14">
        <f>IF(F3="1",SUMIF(Data!A:A,'11'!$A$2,Data!DT:DT),0)</f>
        <v>49696</v>
      </c>
      <c r="E61" s="17">
        <f>IF($F$3="1",SUMIF(Data!$A:$A,$A$2,Data!JN:JN),0)</f>
        <v>64101</v>
      </c>
      <c r="F61" s="21">
        <f t="shared" si="3"/>
        <v>1.29</v>
      </c>
    </row>
    <row r="62" spans="1:6" x14ac:dyDescent="0.2">
      <c r="A62" s="19">
        <v>28</v>
      </c>
      <c r="B62" s="177" t="s">
        <v>24</v>
      </c>
      <c r="C62" s="178"/>
      <c r="D62" s="14">
        <f>IF(F3="1",SUMIF(Data!A:A,'11'!$A$2,Data!DV:DV),0)</f>
        <v>0</v>
      </c>
      <c r="E62" s="17">
        <f>IF($F$3="1",SUMIF(Data!$A:$A,$A$2,Data!JP:JP),0)</f>
        <v>0</v>
      </c>
      <c r="F62" s="21" t="str">
        <f t="shared" si="3"/>
        <v/>
      </c>
    </row>
    <row r="63" spans="1:6" ht="15.75" customHeight="1" thickBot="1" x14ac:dyDescent="0.25">
      <c r="A63" s="22">
        <v>29</v>
      </c>
      <c r="B63" s="179" t="s">
        <v>25</v>
      </c>
      <c r="C63" s="180"/>
      <c r="D63" s="23">
        <f>IF(F3="1",SUMIF(Data!A:A,'11'!$A$2,Data!DW:DW),0)</f>
        <v>0</v>
      </c>
      <c r="E63" s="24">
        <f>IF($F$3="1",SUMIF(Data!$A:$A,$A$2,Data!JQ:JQ),0)</f>
        <v>0</v>
      </c>
      <c r="F63" s="25" t="str">
        <f t="shared" si="3"/>
        <v/>
      </c>
    </row>
    <row r="64" spans="1:6" x14ac:dyDescent="0.2">
      <c r="B64" s="30" t="s">
        <v>35</v>
      </c>
      <c r="C64" s="30"/>
      <c r="D64" s="59">
        <f>SUM(D36:D63)</f>
        <v>1738642</v>
      </c>
      <c r="E64" s="31">
        <f>SUM(E36:E63)</f>
        <v>759155</v>
      </c>
      <c r="F64" s="32">
        <f t="shared" si="3"/>
        <v>0.44</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18472</v>
      </c>
      <c r="E67" s="15">
        <f>IF(F3="1",SUMIF(Data!A:A,'11'!$A$2,Data!DY:DY),0)</f>
        <v>45117</v>
      </c>
      <c r="F67" s="20">
        <f t="shared" ref="F67:F95" si="4">IF(OR(D67=0,E67=0),"",ROUND(E67/D67,2))</f>
        <v>2.44</v>
      </c>
    </row>
    <row r="68" spans="1:6" x14ac:dyDescent="0.2">
      <c r="A68" s="19">
        <v>2</v>
      </c>
      <c r="B68" s="177" t="s">
        <v>1</v>
      </c>
      <c r="C68" s="178"/>
      <c r="D68" s="14">
        <f t="shared" ref="D68:D94" si="5">D37</f>
        <v>0</v>
      </c>
      <c r="E68" s="17">
        <f>IF(F3="1",SUMIF(Data!A:A,'11'!$A$2,Data!DZ:DZ),0)</f>
        <v>0</v>
      </c>
      <c r="F68" s="21" t="str">
        <f t="shared" si="4"/>
        <v/>
      </c>
    </row>
    <row r="69" spans="1:6" ht="14.25" customHeight="1" x14ac:dyDescent="0.2">
      <c r="A69" s="19">
        <v>3</v>
      </c>
      <c r="B69" s="177" t="s">
        <v>2</v>
      </c>
      <c r="C69" s="178"/>
      <c r="D69" s="14">
        <f t="shared" si="5"/>
        <v>162444</v>
      </c>
      <c r="E69" s="17">
        <f>IF(F3="1",SUMIF(Data!A:A,'11'!$A$2,Data!EA:EA),0)</f>
        <v>361567</v>
      </c>
      <c r="F69" s="21">
        <f t="shared" si="4"/>
        <v>2.23</v>
      </c>
    </row>
    <row r="70" spans="1:6" ht="14.25" customHeight="1" x14ac:dyDescent="0.2">
      <c r="A70" s="19">
        <v>4</v>
      </c>
      <c r="B70" s="177" t="s">
        <v>3</v>
      </c>
      <c r="C70" s="178"/>
      <c r="D70" s="14">
        <f t="shared" si="5"/>
        <v>128592</v>
      </c>
      <c r="E70" s="17">
        <f>IF(F3="1",SUMIF(Data!A:A,'11'!$A$2,Data!EB:EB),0)</f>
        <v>441642</v>
      </c>
      <c r="F70" s="21">
        <f t="shared" si="4"/>
        <v>3.43</v>
      </c>
    </row>
    <row r="71" spans="1:6" x14ac:dyDescent="0.2">
      <c r="A71" s="19">
        <v>5</v>
      </c>
      <c r="B71" s="177" t="s">
        <v>4</v>
      </c>
      <c r="C71" s="178"/>
      <c r="D71" s="14">
        <f t="shared" si="5"/>
        <v>0</v>
      </c>
      <c r="E71" s="17">
        <f>IF(F3="1",SUMIF(Data!A:A,'11'!$A$2,Data!EC:EC),0)</f>
        <v>0</v>
      </c>
      <c r="F71" s="21" t="str">
        <f t="shared" si="4"/>
        <v/>
      </c>
    </row>
    <row r="72" spans="1:6" x14ac:dyDescent="0.2">
      <c r="A72" s="19">
        <v>6</v>
      </c>
      <c r="B72" s="177" t="s">
        <v>5</v>
      </c>
      <c r="C72" s="178"/>
      <c r="D72" s="14">
        <f t="shared" si="5"/>
        <v>0</v>
      </c>
      <c r="E72" s="17">
        <f>IF(F3="1",SUMIF(Data!A:A,'11'!$A$2,Data!ED:ED),0)</f>
        <v>0</v>
      </c>
      <c r="F72" s="21" t="str">
        <f t="shared" si="4"/>
        <v/>
      </c>
    </row>
    <row r="73" spans="1:6" x14ac:dyDescent="0.2">
      <c r="A73" s="19">
        <v>7</v>
      </c>
      <c r="B73" s="177" t="s">
        <v>6</v>
      </c>
      <c r="C73" s="178"/>
      <c r="D73" s="14">
        <f t="shared" si="5"/>
        <v>135076</v>
      </c>
      <c r="E73" s="17">
        <f>IF(F3="1",SUMIF(Data!A:A,'11'!$A$2,Data!EE:EE),0)</f>
        <v>19889</v>
      </c>
      <c r="F73" s="21">
        <f t="shared" si="4"/>
        <v>0.15</v>
      </c>
    </row>
    <row r="74" spans="1:6" x14ac:dyDescent="0.2">
      <c r="A74" s="19">
        <v>8</v>
      </c>
      <c r="B74" s="177" t="s">
        <v>7</v>
      </c>
      <c r="C74" s="178"/>
      <c r="D74" s="14">
        <f t="shared" si="5"/>
        <v>101480</v>
      </c>
      <c r="E74" s="17">
        <f>IF(F3="1",SUMIF(Data!A:A,'11'!$A$2,Data!EF:EF),0)</f>
        <v>281448</v>
      </c>
      <c r="F74" s="21">
        <f t="shared" si="4"/>
        <v>2.77</v>
      </c>
    </row>
    <row r="75" spans="1:6" x14ac:dyDescent="0.2">
      <c r="A75" s="19">
        <v>9</v>
      </c>
      <c r="B75" s="177" t="s">
        <v>8</v>
      </c>
      <c r="C75" s="178"/>
      <c r="D75" s="14">
        <f t="shared" si="5"/>
        <v>127135</v>
      </c>
      <c r="E75" s="17">
        <f>IF(F3="1",SUMIF(Data!A:A,'11'!$A$2,Data!EG:EG),0)</f>
        <v>384027</v>
      </c>
      <c r="F75" s="21">
        <f t="shared" si="4"/>
        <v>3.02</v>
      </c>
    </row>
    <row r="76" spans="1:6" x14ac:dyDescent="0.2">
      <c r="A76" s="19">
        <v>10</v>
      </c>
      <c r="B76" s="177" t="s">
        <v>9</v>
      </c>
      <c r="C76" s="178"/>
      <c r="D76" s="14">
        <f t="shared" si="5"/>
        <v>1440</v>
      </c>
      <c r="E76" s="17">
        <f>IF(F3="1",SUMIF(Data!A:A,'11'!$A$2,Data!EH:EH),0)</f>
        <v>3610</v>
      </c>
      <c r="F76" s="21">
        <f t="shared" si="4"/>
        <v>2.5099999999999998</v>
      </c>
    </row>
    <row r="77" spans="1:6" x14ac:dyDescent="0.2">
      <c r="A77" s="19">
        <v>11</v>
      </c>
      <c r="B77" s="177" t="s">
        <v>10</v>
      </c>
      <c r="C77" s="178"/>
      <c r="D77" s="14">
        <f t="shared" si="5"/>
        <v>15040</v>
      </c>
      <c r="E77" s="17">
        <f>IF(F3="1",SUMIF(Data!A:A,'11'!$A$2,Data!EI:EI),0)</f>
        <v>108942</v>
      </c>
      <c r="F77" s="21">
        <f t="shared" si="4"/>
        <v>7.24</v>
      </c>
    </row>
    <row r="78" spans="1:6" ht="14.25" customHeight="1" x14ac:dyDescent="0.2">
      <c r="A78" s="19">
        <v>12</v>
      </c>
      <c r="B78" s="177" t="s">
        <v>11</v>
      </c>
      <c r="C78" s="178"/>
      <c r="D78" s="14">
        <f t="shared" si="5"/>
        <v>244208</v>
      </c>
      <c r="E78" s="17">
        <f>IF(F3="1",SUMIF(Data!A:A,'11'!$A$2,Data!EJ:EJ),0)</f>
        <v>613272</v>
      </c>
      <c r="F78" s="21">
        <f t="shared" si="4"/>
        <v>2.5099999999999998</v>
      </c>
    </row>
    <row r="79" spans="1:6" x14ac:dyDescent="0.2">
      <c r="A79" s="19">
        <v>13</v>
      </c>
      <c r="B79" s="177" t="s">
        <v>12</v>
      </c>
      <c r="C79" s="178"/>
      <c r="D79" s="14">
        <f t="shared" si="5"/>
        <v>13904</v>
      </c>
      <c r="E79" s="17">
        <f>IF(F3="1",SUMIF(Data!A:A,'11'!$A$2,Data!EK:EK),0)</f>
        <v>55170</v>
      </c>
      <c r="F79" s="21">
        <f t="shared" si="4"/>
        <v>3.97</v>
      </c>
    </row>
    <row r="80" spans="1:6" ht="14.25" customHeight="1" x14ac:dyDescent="0.2">
      <c r="A80" s="19">
        <v>14</v>
      </c>
      <c r="B80" s="177" t="s">
        <v>464</v>
      </c>
      <c r="C80" s="178"/>
      <c r="D80" s="14">
        <f t="shared" si="5"/>
        <v>0</v>
      </c>
      <c r="E80" s="17">
        <f>IF(F3="1",SUMIF(Data!A:A,'11'!$A$2,Data!EL:EL),0)</f>
        <v>0</v>
      </c>
      <c r="F80" s="21" t="str">
        <f t="shared" si="4"/>
        <v/>
      </c>
    </row>
    <row r="81" spans="1:6" x14ac:dyDescent="0.2">
      <c r="A81" s="19">
        <v>15</v>
      </c>
      <c r="B81" s="177" t="s">
        <v>13</v>
      </c>
      <c r="C81" s="178"/>
      <c r="D81" s="14">
        <f t="shared" si="5"/>
        <v>47744</v>
      </c>
      <c r="E81" s="17">
        <f>IF(F3="1",SUMIF(Data!A:A,'11'!$A$2,Data!EM:EM),0)</f>
        <v>249843</v>
      </c>
      <c r="F81" s="21">
        <f t="shared" si="4"/>
        <v>5.23</v>
      </c>
    </row>
    <row r="82" spans="1:6" x14ac:dyDescent="0.2">
      <c r="A82" s="19">
        <v>16</v>
      </c>
      <c r="B82" s="177" t="s">
        <v>14</v>
      </c>
      <c r="C82" s="178"/>
      <c r="D82" s="14">
        <f t="shared" si="5"/>
        <v>41157</v>
      </c>
      <c r="E82" s="17">
        <f>IF(F3="1",SUMIF(Data!A:A,'11'!$A$2,Data!EN:EN),0)</f>
        <v>108949</v>
      </c>
      <c r="F82" s="21">
        <f t="shared" si="4"/>
        <v>2.65</v>
      </c>
    </row>
    <row r="83" spans="1:6" x14ac:dyDescent="0.2">
      <c r="A83" s="19">
        <v>17</v>
      </c>
      <c r="B83" s="177" t="s">
        <v>15</v>
      </c>
      <c r="C83" s="178"/>
      <c r="D83" s="14">
        <f t="shared" si="5"/>
        <v>0</v>
      </c>
      <c r="E83" s="17">
        <f>IF(F3="1",SUMIF(Data!A:A,'11'!$A$2,Data!EO:EO),0)</f>
        <v>0</v>
      </c>
      <c r="F83" s="21" t="str">
        <f t="shared" si="4"/>
        <v/>
      </c>
    </row>
    <row r="84" spans="1:6" x14ac:dyDescent="0.2">
      <c r="A84" s="19">
        <v>18</v>
      </c>
      <c r="B84" s="177" t="s">
        <v>16</v>
      </c>
      <c r="C84" s="178"/>
      <c r="D84" s="14">
        <f t="shared" si="5"/>
        <v>133040</v>
      </c>
      <c r="E84" s="17">
        <f>IF(F3="1",SUMIF(Data!A:A,'11'!$A$2,Data!EP:EP),0)</f>
        <v>256507</v>
      </c>
      <c r="F84" s="21">
        <f t="shared" si="4"/>
        <v>1.93</v>
      </c>
    </row>
    <row r="85" spans="1:6" x14ac:dyDescent="0.2">
      <c r="A85" s="19">
        <v>19</v>
      </c>
      <c r="B85" s="177" t="s">
        <v>17</v>
      </c>
      <c r="C85" s="178"/>
      <c r="D85" s="14">
        <f t="shared" si="5"/>
        <v>156160</v>
      </c>
      <c r="E85" s="17">
        <f>IF(F3="1",SUMIF(Data!A:A,'11'!$A$2,Data!EQ:EQ),0)</f>
        <v>379020</v>
      </c>
      <c r="F85" s="21">
        <f t="shared" si="4"/>
        <v>2.4300000000000002</v>
      </c>
    </row>
    <row r="86" spans="1:6" x14ac:dyDescent="0.2">
      <c r="A86" s="19">
        <v>20</v>
      </c>
      <c r="B86" s="177" t="s">
        <v>18</v>
      </c>
      <c r="C86" s="178"/>
      <c r="D86" s="14">
        <f t="shared" si="5"/>
        <v>48704</v>
      </c>
      <c r="E86" s="17">
        <f>IF(F3="1",SUMIF(Data!A:A,'11'!$A$2,Data!ER:ER),0)</f>
        <v>1143720</v>
      </c>
      <c r="F86" s="21">
        <f t="shared" si="4"/>
        <v>23.48</v>
      </c>
    </row>
    <row r="87" spans="1:6" ht="14.25" customHeight="1" x14ac:dyDescent="0.2">
      <c r="A87" s="19">
        <v>21</v>
      </c>
      <c r="B87" s="177" t="s">
        <v>461</v>
      </c>
      <c r="C87" s="178"/>
      <c r="D87" s="14">
        <f t="shared" si="5"/>
        <v>0</v>
      </c>
      <c r="E87" s="17">
        <f>IF(F3="1",SUMIF(Data!A:A,'11'!$A$2,Data!ES:ES),0)</f>
        <v>0</v>
      </c>
      <c r="F87" s="21" t="str">
        <f t="shared" si="4"/>
        <v/>
      </c>
    </row>
    <row r="88" spans="1:6" x14ac:dyDescent="0.2">
      <c r="A88" s="19">
        <v>22</v>
      </c>
      <c r="B88" s="177" t="s">
        <v>19</v>
      </c>
      <c r="C88" s="178"/>
      <c r="D88" s="14">
        <f t="shared" si="5"/>
        <v>32792</v>
      </c>
      <c r="E88" s="17">
        <f>IF(F3="1",SUMIF(Data!A:A,'11'!$A$2,Data!ET:ET),0)</f>
        <v>87630</v>
      </c>
      <c r="F88" s="21">
        <f t="shared" si="4"/>
        <v>2.67</v>
      </c>
    </row>
    <row r="89" spans="1:6" x14ac:dyDescent="0.2">
      <c r="A89" s="19">
        <v>23</v>
      </c>
      <c r="B89" s="177" t="s">
        <v>20</v>
      </c>
      <c r="C89" s="178"/>
      <c r="D89" s="14">
        <f t="shared" si="5"/>
        <v>37728</v>
      </c>
      <c r="E89" s="17">
        <f>IF(F3="1",SUMIF(Data!A:A,'11'!$A$2,Data!EU:EU),0)</f>
        <v>119401</v>
      </c>
      <c r="F89" s="21">
        <f t="shared" si="4"/>
        <v>3.16</v>
      </c>
    </row>
    <row r="90" spans="1:6" x14ac:dyDescent="0.2">
      <c r="A90" s="19">
        <v>24</v>
      </c>
      <c r="B90" s="177" t="s">
        <v>21</v>
      </c>
      <c r="C90" s="178"/>
      <c r="D90" s="14">
        <f t="shared" si="5"/>
        <v>59224</v>
      </c>
      <c r="E90" s="17">
        <f>IF(F3="1",SUMIF(Data!A:A,'11'!$A$2,Data!EV:EV),0)</f>
        <v>195191</v>
      </c>
      <c r="F90" s="21">
        <f t="shared" si="4"/>
        <v>3.3</v>
      </c>
    </row>
    <row r="91" spans="1:6" x14ac:dyDescent="0.2">
      <c r="A91" s="19">
        <v>25</v>
      </c>
      <c r="B91" s="177" t="s">
        <v>22</v>
      </c>
      <c r="C91" s="178"/>
      <c r="D91" s="14">
        <f t="shared" si="5"/>
        <v>184606</v>
      </c>
      <c r="E91" s="17">
        <f>IF(F3="1",SUMIF(Data!A:A,'11'!$A$2,Data!EW:EW),0)</f>
        <v>431234</v>
      </c>
      <c r="F91" s="21">
        <f t="shared" si="4"/>
        <v>2.34</v>
      </c>
    </row>
    <row r="92" spans="1:6" x14ac:dyDescent="0.2">
      <c r="A92" s="19">
        <v>26</v>
      </c>
      <c r="B92" s="177" t="s">
        <v>23</v>
      </c>
      <c r="C92" s="178"/>
      <c r="D92" s="14">
        <f t="shared" si="5"/>
        <v>49696</v>
      </c>
      <c r="E92" s="17">
        <f>IF(F3="1",SUMIF(Data!A:A,'11'!$A$2,Data!EX:EX),0)</f>
        <v>243795</v>
      </c>
      <c r="F92" s="21">
        <f t="shared" si="4"/>
        <v>4.91</v>
      </c>
    </row>
    <row r="93" spans="1:6" x14ac:dyDescent="0.2">
      <c r="A93" s="19">
        <v>28</v>
      </c>
      <c r="B93" s="177" t="s">
        <v>24</v>
      </c>
      <c r="C93" s="178"/>
      <c r="D93" s="14">
        <f t="shared" si="5"/>
        <v>0</v>
      </c>
      <c r="E93" s="17">
        <f>IF(F3="1",SUMIF(Data!A:A,'11'!$A$2,Data!EZ:EZ),0)</f>
        <v>0</v>
      </c>
      <c r="F93" s="21" t="str">
        <f t="shared" si="4"/>
        <v/>
      </c>
    </row>
    <row r="94" spans="1:6" ht="15.75" customHeight="1" thickBot="1" x14ac:dyDescent="0.25">
      <c r="A94" s="22">
        <v>29</v>
      </c>
      <c r="B94" s="179" t="s">
        <v>25</v>
      </c>
      <c r="C94" s="180"/>
      <c r="D94" s="23">
        <f t="shared" si="5"/>
        <v>0</v>
      </c>
      <c r="E94" s="24">
        <f>IF(F3="1",SUMIF(Data!A:A,'11'!$A$2,Data!FA:FA),0)</f>
        <v>0</v>
      </c>
      <c r="F94" s="25" t="str">
        <f t="shared" si="4"/>
        <v/>
      </c>
    </row>
    <row r="95" spans="1:6" x14ac:dyDescent="0.2">
      <c r="B95" s="30" t="s">
        <v>35</v>
      </c>
      <c r="C95" s="30"/>
      <c r="D95" s="59">
        <f>SUM(D67:D94)</f>
        <v>1738642</v>
      </c>
      <c r="E95" s="31">
        <f>SUM(E67:E94)</f>
        <v>5529974</v>
      </c>
      <c r="F95" s="32">
        <f t="shared" si="4"/>
        <v>3.18</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IF(F3="1",SUMIF(Data!A:A,'11'!$A$2,Data!AH:AH),0)</f>
        <v>1526160</v>
      </c>
      <c r="F98" s="20">
        <f>IF(OR(E98=0,E98=0),"",ROUND(E98/$D$105,2))</f>
        <v>0.88</v>
      </c>
    </row>
    <row r="99" spans="2:6" x14ac:dyDescent="0.2">
      <c r="B99" s="183" t="s">
        <v>31</v>
      </c>
      <c r="C99" s="184"/>
      <c r="D99" s="36"/>
      <c r="E99" s="17">
        <f>IF(F3="1",SUMIF(Data!A:A,'11'!$A$2,Data!AI:AI),0)</f>
        <v>634561</v>
      </c>
      <c r="F99" s="21">
        <f t="shared" ref="F99:F104" si="6">IF(OR(E99=0,E99=0),"",ROUND(E99/$D$105,2))</f>
        <v>0.36</v>
      </c>
    </row>
    <row r="100" spans="2:6" x14ac:dyDescent="0.2">
      <c r="B100" s="183" t="s">
        <v>1078</v>
      </c>
      <c r="C100" s="184"/>
      <c r="D100" s="36"/>
      <c r="E100" s="17">
        <f>IF(F3="1",SUMIF(Data!A:A,'11'!$A$2,Data!AJ:AJ),0)</f>
        <v>541128</v>
      </c>
      <c r="F100" s="21">
        <f t="shared" si="6"/>
        <v>0.31</v>
      </c>
    </row>
    <row r="101" spans="2:6" x14ac:dyDescent="0.2">
      <c r="B101" s="183" t="s">
        <v>1079</v>
      </c>
      <c r="C101" s="184"/>
      <c r="D101" s="36"/>
      <c r="E101" s="17">
        <f>IF(F3="1",SUMIF(Data!A:A,'11'!$A$2,Data!AK:AK),0)</f>
        <v>730015</v>
      </c>
      <c r="F101" s="21">
        <f t="shared" si="6"/>
        <v>0.42</v>
      </c>
    </row>
    <row r="102" spans="2:6" x14ac:dyDescent="0.2">
      <c r="B102" s="183" t="s">
        <v>1080</v>
      </c>
      <c r="C102" s="184"/>
      <c r="D102" s="36"/>
      <c r="E102" s="17">
        <f>IF(F3="1",SUMIF(Data!A:A,'11'!$A$2,Data!AL:AL),0)</f>
        <v>0</v>
      </c>
      <c r="F102" s="21" t="str">
        <f t="shared" si="6"/>
        <v/>
      </c>
    </row>
    <row r="103" spans="2:6" x14ac:dyDescent="0.2">
      <c r="B103" s="185" t="s">
        <v>34</v>
      </c>
      <c r="C103" s="186"/>
      <c r="D103" s="36"/>
      <c r="E103" s="17">
        <f>IF(F3="1",SUMIF(Data!A:A,'11'!$A$2,Data!AM:AM),0)</f>
        <v>0</v>
      </c>
      <c r="F103" s="21" t="str">
        <f t="shared" si="6"/>
        <v/>
      </c>
    </row>
    <row r="104" spans="2:6" ht="15.75" customHeight="1" thickBot="1" x14ac:dyDescent="0.25">
      <c r="B104" s="175" t="s">
        <v>29</v>
      </c>
      <c r="C104" s="176"/>
      <c r="D104" s="37"/>
      <c r="E104" s="24">
        <f>IF(F3="1",SUMIF(Data!A:A,'11'!$A$2,Data!Q:Q),0)</f>
        <v>341663</v>
      </c>
      <c r="F104" s="25">
        <f t="shared" si="6"/>
        <v>0.2</v>
      </c>
    </row>
    <row r="105" spans="2:6" x14ac:dyDescent="0.2">
      <c r="B105" s="30" t="s">
        <v>35</v>
      </c>
      <c r="C105" s="30"/>
      <c r="D105" s="34">
        <f>D95</f>
        <v>1738642</v>
      </c>
      <c r="E105" s="31">
        <f>SUM(E98:E104)</f>
        <v>3773527</v>
      </c>
      <c r="F105" s="32">
        <f>IF($D$105=0,"",ROUND(E105/$D$105,2))</f>
        <v>2.17</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5529974</v>
      </c>
      <c r="D109" s="15">
        <f>IF(F3="1",SUMIF(Data!$A:$A,$A$2,Data!HJ:HJ),0)</f>
        <v>0</v>
      </c>
      <c r="E109" s="15">
        <f>IF(F3="1",SUMIF(Data!$A:$A,$A$2,Data!IN:IN),0)</f>
        <v>0</v>
      </c>
      <c r="F109" s="47">
        <f>SUM(C109:E109)</f>
        <v>5529974</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341663</v>
      </c>
      <c r="E117" s="52"/>
      <c r="F117" s="49">
        <f>SUM(C117:E117)</f>
        <v>341663</v>
      </c>
    </row>
    <row r="118" spans="1:6" x14ac:dyDescent="0.2">
      <c r="B118" s="13" t="s">
        <v>35</v>
      </c>
      <c r="C118" s="4">
        <f>SUM(C109:C116)</f>
        <v>5529974</v>
      </c>
      <c r="D118" s="4">
        <f>SUM(D109:D116)</f>
        <v>0</v>
      </c>
      <c r="E118" s="4">
        <f>SUM(E109:E116)</f>
        <v>0</v>
      </c>
      <c r="F118" s="4">
        <f>SUM(F109:F116)</f>
        <v>5529974</v>
      </c>
    </row>
    <row r="119" spans="1:6" ht="15" thickBot="1" x14ac:dyDescent="0.25"/>
    <row r="120" spans="1:6" ht="15" thickBot="1" x14ac:dyDescent="0.25">
      <c r="B120" s="55" t="s">
        <v>934</v>
      </c>
      <c r="C120" s="53"/>
      <c r="D120" s="53"/>
      <c r="E120" s="53">
        <f>IF(F3="1",SUMIF(Data!A:A,'11'!$A$2,Data!AM:AM),0)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9.140625" style="10"/>
    <col min="12" max="14" width="6"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425</v>
      </c>
      <c r="B2" s="58" t="str">
        <f>VLOOKUP(A2,Data!A:G,7,0)</f>
        <v>College of the Mainland Community College District</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9984</v>
      </c>
      <c r="E5" s="15">
        <f>E36+E67+IFERROR($E$105/$D$105*D5,0)</f>
        <v>113520.52775908113</v>
      </c>
      <c r="F5" s="20">
        <f>IF(OR(D5=0,E5=0),"",ROUND(E5/D5,2))</f>
        <v>11.37</v>
      </c>
    </row>
    <row r="6" spans="1:6" x14ac:dyDescent="0.2">
      <c r="A6" s="19">
        <v>2</v>
      </c>
      <c r="B6" s="177" t="s">
        <v>1</v>
      </c>
      <c r="C6" s="178"/>
      <c r="D6" s="14">
        <f t="shared" ref="D6:D32" si="0">D37</f>
        <v>61040</v>
      </c>
      <c r="E6" s="17">
        <f t="shared" ref="E6:E32" si="1">E37+E68+IFERROR($E$105/$D$105*D6,0)</f>
        <v>1103749.2955142541</v>
      </c>
      <c r="F6" s="21">
        <f t="shared" ref="F6:F33" si="2">IF(OR(D6=0,E6=0),"",ROUND(E6/D6,2))</f>
        <v>18.079999999999998</v>
      </c>
    </row>
    <row r="7" spans="1:6" ht="14.25" customHeight="1" x14ac:dyDescent="0.2">
      <c r="A7" s="19">
        <v>3</v>
      </c>
      <c r="B7" s="177" t="s">
        <v>2</v>
      </c>
      <c r="C7" s="178"/>
      <c r="D7" s="14">
        <f t="shared" si="0"/>
        <v>217728</v>
      </c>
      <c r="E7" s="17">
        <f t="shared" si="1"/>
        <v>1554304.5476691925</v>
      </c>
      <c r="F7" s="21">
        <f t="shared" si="2"/>
        <v>7.14</v>
      </c>
    </row>
    <row r="8" spans="1:6" ht="14.25" customHeight="1" x14ac:dyDescent="0.2">
      <c r="A8" s="19">
        <v>4</v>
      </c>
      <c r="B8" s="177" t="s">
        <v>3</v>
      </c>
      <c r="C8" s="178"/>
      <c r="D8" s="14">
        <f t="shared" si="0"/>
        <v>104576</v>
      </c>
      <c r="E8" s="17">
        <f t="shared" si="1"/>
        <v>958502.89973293967</v>
      </c>
      <c r="F8" s="21">
        <f t="shared" si="2"/>
        <v>9.17</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6192</v>
      </c>
      <c r="E10" s="17">
        <f t="shared" si="1"/>
        <v>456037.92827366089</v>
      </c>
      <c r="F10" s="21">
        <f t="shared" si="2"/>
        <v>73.650000000000006</v>
      </c>
    </row>
    <row r="11" spans="1:6" x14ac:dyDescent="0.2">
      <c r="A11" s="19">
        <v>7</v>
      </c>
      <c r="B11" s="177" t="s">
        <v>6</v>
      </c>
      <c r="C11" s="178"/>
      <c r="D11" s="14">
        <f t="shared" si="0"/>
        <v>51696</v>
      </c>
      <c r="E11" s="17">
        <f t="shared" si="1"/>
        <v>753814.12209870375</v>
      </c>
      <c r="F11" s="21">
        <f t="shared" si="2"/>
        <v>14.58</v>
      </c>
    </row>
    <row r="12" spans="1:6" x14ac:dyDescent="0.2">
      <c r="A12" s="19">
        <v>8</v>
      </c>
      <c r="B12" s="177" t="s">
        <v>7</v>
      </c>
      <c r="C12" s="178"/>
      <c r="D12" s="14">
        <f t="shared" si="0"/>
        <v>0</v>
      </c>
      <c r="E12" s="17">
        <f t="shared" si="1"/>
        <v>0</v>
      </c>
      <c r="F12" s="21" t="str">
        <f t="shared" si="2"/>
        <v/>
      </c>
    </row>
    <row r="13" spans="1:6" x14ac:dyDescent="0.2">
      <c r="A13" s="19">
        <v>9</v>
      </c>
      <c r="B13" s="177" t="s">
        <v>8</v>
      </c>
      <c r="C13" s="178"/>
      <c r="D13" s="14">
        <f t="shared" si="0"/>
        <v>89952</v>
      </c>
      <c r="E13" s="17">
        <f t="shared" si="1"/>
        <v>1007438.8029832598</v>
      </c>
      <c r="F13" s="21">
        <f t="shared" si="2"/>
        <v>11.2</v>
      </c>
    </row>
    <row r="14" spans="1:6" x14ac:dyDescent="0.2">
      <c r="A14" s="19">
        <v>10</v>
      </c>
      <c r="B14" s="177" t="s">
        <v>9</v>
      </c>
      <c r="C14" s="178"/>
      <c r="D14" s="14">
        <f t="shared" si="0"/>
        <v>0</v>
      </c>
      <c r="E14" s="17">
        <f t="shared" si="1"/>
        <v>0</v>
      </c>
      <c r="F14" s="21" t="str">
        <f t="shared" si="2"/>
        <v/>
      </c>
    </row>
    <row r="15" spans="1:6" x14ac:dyDescent="0.2">
      <c r="A15" s="19">
        <v>11</v>
      </c>
      <c r="B15" s="177" t="s">
        <v>10</v>
      </c>
      <c r="C15" s="178"/>
      <c r="D15" s="14">
        <f t="shared" si="0"/>
        <v>29248</v>
      </c>
      <c r="E15" s="17">
        <f t="shared" si="1"/>
        <v>316717.19349935948</v>
      </c>
      <c r="F15" s="21">
        <f t="shared" si="2"/>
        <v>10.83</v>
      </c>
    </row>
    <row r="16" spans="1:6" ht="14.25" customHeight="1" x14ac:dyDescent="0.2">
      <c r="A16" s="19">
        <v>12</v>
      </c>
      <c r="B16" s="177" t="s">
        <v>11</v>
      </c>
      <c r="C16" s="178"/>
      <c r="D16" s="14">
        <f t="shared" si="0"/>
        <v>193320</v>
      </c>
      <c r="E16" s="17">
        <f t="shared" si="1"/>
        <v>1613467.283892785</v>
      </c>
      <c r="F16" s="21">
        <f t="shared" si="2"/>
        <v>8.35</v>
      </c>
    </row>
    <row r="17" spans="1:6" x14ac:dyDescent="0.2">
      <c r="A17" s="19">
        <v>13</v>
      </c>
      <c r="B17" s="177" t="s">
        <v>12</v>
      </c>
      <c r="C17" s="178"/>
      <c r="D17" s="14">
        <f t="shared" si="0"/>
        <v>15776</v>
      </c>
      <c r="E17" s="17">
        <f t="shared" si="1"/>
        <v>121300.73456803526</v>
      </c>
      <c r="F17" s="21">
        <f t="shared" si="2"/>
        <v>7.69</v>
      </c>
    </row>
    <row r="18" spans="1:6" ht="14.25" customHeight="1" x14ac:dyDescent="0.2">
      <c r="A18" s="19">
        <v>14</v>
      </c>
      <c r="B18" s="177" t="s">
        <v>464</v>
      </c>
      <c r="C18" s="178"/>
      <c r="D18" s="14">
        <f t="shared" si="0"/>
        <v>38736</v>
      </c>
      <c r="E18" s="17">
        <f t="shared" si="1"/>
        <v>774382.94664220419</v>
      </c>
      <c r="F18" s="21">
        <f t="shared" si="2"/>
        <v>19.989999999999998</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39456</v>
      </c>
      <c r="E20" s="17">
        <f t="shared" si="1"/>
        <v>321214.84527867642</v>
      </c>
      <c r="F20" s="21">
        <f t="shared" si="2"/>
        <v>8.14</v>
      </c>
    </row>
    <row r="21" spans="1:6" x14ac:dyDescent="0.2">
      <c r="A21" s="19">
        <v>17</v>
      </c>
      <c r="B21" s="177" t="s">
        <v>15</v>
      </c>
      <c r="C21" s="178"/>
      <c r="D21" s="14">
        <f t="shared" si="0"/>
        <v>0</v>
      </c>
      <c r="E21" s="17">
        <f t="shared" si="1"/>
        <v>0</v>
      </c>
      <c r="F21" s="21" t="str">
        <f t="shared" si="2"/>
        <v/>
      </c>
    </row>
    <row r="22" spans="1:6" x14ac:dyDescent="0.2">
      <c r="A22" s="19">
        <v>18</v>
      </c>
      <c r="B22" s="177" t="s">
        <v>16</v>
      </c>
      <c r="C22" s="178"/>
      <c r="D22" s="14">
        <f t="shared" si="0"/>
        <v>0</v>
      </c>
      <c r="E22" s="17">
        <f t="shared" si="1"/>
        <v>0</v>
      </c>
      <c r="F22" s="21" t="str">
        <f t="shared" si="2"/>
        <v/>
      </c>
    </row>
    <row r="23" spans="1:6" x14ac:dyDescent="0.2">
      <c r="A23" s="19">
        <v>19</v>
      </c>
      <c r="B23" s="177" t="s">
        <v>17</v>
      </c>
      <c r="C23" s="178"/>
      <c r="D23" s="14">
        <f t="shared" si="0"/>
        <v>239296</v>
      </c>
      <c r="E23" s="17">
        <f t="shared" si="1"/>
        <v>1774585.4890461818</v>
      </c>
      <c r="F23" s="21">
        <f t="shared" si="2"/>
        <v>7.42</v>
      </c>
    </row>
    <row r="24" spans="1:6" x14ac:dyDescent="0.2">
      <c r="A24" s="19">
        <v>20</v>
      </c>
      <c r="B24" s="177" t="s">
        <v>18</v>
      </c>
      <c r="C24" s="178"/>
      <c r="D24" s="14">
        <f t="shared" si="0"/>
        <v>0</v>
      </c>
      <c r="E24" s="17">
        <f t="shared" si="1"/>
        <v>0</v>
      </c>
      <c r="F24" s="21" t="str">
        <f t="shared" si="2"/>
        <v/>
      </c>
    </row>
    <row r="25" spans="1:6" ht="14.25" customHeight="1" x14ac:dyDescent="0.2">
      <c r="A25" s="19">
        <v>21</v>
      </c>
      <c r="B25" s="177" t="s">
        <v>461</v>
      </c>
      <c r="C25" s="178"/>
      <c r="D25" s="14">
        <f t="shared" si="0"/>
        <v>5232</v>
      </c>
      <c r="E25" s="17">
        <f t="shared" si="1"/>
        <v>87511.39675836463</v>
      </c>
      <c r="F25" s="21">
        <f t="shared" si="2"/>
        <v>16.73</v>
      </c>
    </row>
    <row r="26" spans="1:6" x14ac:dyDescent="0.2">
      <c r="A26" s="19">
        <v>22</v>
      </c>
      <c r="B26" s="177" t="s">
        <v>19</v>
      </c>
      <c r="C26" s="178"/>
      <c r="D26" s="14">
        <f t="shared" si="0"/>
        <v>352</v>
      </c>
      <c r="E26" s="17">
        <f t="shared" si="1"/>
        <v>118219.19488894196</v>
      </c>
      <c r="F26" s="21">
        <f t="shared" si="2"/>
        <v>335.85</v>
      </c>
    </row>
    <row r="27" spans="1:6" x14ac:dyDescent="0.2">
      <c r="A27" s="19">
        <v>23</v>
      </c>
      <c r="B27" s="177" t="s">
        <v>20</v>
      </c>
      <c r="C27" s="178"/>
      <c r="D27" s="14">
        <f t="shared" si="0"/>
        <v>47136</v>
      </c>
      <c r="E27" s="17">
        <f t="shared" si="1"/>
        <v>452081.09740104654</v>
      </c>
      <c r="F27" s="21">
        <f t="shared" si="2"/>
        <v>9.59</v>
      </c>
    </row>
    <row r="28" spans="1:6" x14ac:dyDescent="0.2">
      <c r="A28" s="19">
        <v>24</v>
      </c>
      <c r="B28" s="177" t="s">
        <v>21</v>
      </c>
      <c r="C28" s="178"/>
      <c r="D28" s="14">
        <f t="shared" si="0"/>
        <v>39536</v>
      </c>
      <c r="E28" s="17">
        <f t="shared" si="1"/>
        <v>281206.38957161776</v>
      </c>
      <c r="F28" s="21">
        <f t="shared" si="2"/>
        <v>7.11</v>
      </c>
    </row>
    <row r="29" spans="1:6" x14ac:dyDescent="0.2">
      <c r="A29" s="19">
        <v>25</v>
      </c>
      <c r="B29" s="177" t="s">
        <v>22</v>
      </c>
      <c r="C29" s="178"/>
      <c r="D29" s="14">
        <f t="shared" si="0"/>
        <v>231312</v>
      </c>
      <c r="E29" s="17">
        <f t="shared" si="1"/>
        <v>1681188.5686106347</v>
      </c>
      <c r="F29" s="21">
        <f t="shared" si="2"/>
        <v>7.27</v>
      </c>
    </row>
    <row r="30" spans="1:6" x14ac:dyDescent="0.2">
      <c r="A30" s="19">
        <v>26</v>
      </c>
      <c r="B30" s="177" t="s">
        <v>23</v>
      </c>
      <c r="C30" s="178"/>
      <c r="D30" s="14">
        <f t="shared" si="0"/>
        <v>53256</v>
      </c>
      <c r="E30" s="17">
        <f t="shared" si="1"/>
        <v>710533.73581106018</v>
      </c>
      <c r="F30" s="21">
        <f t="shared" si="2"/>
        <v>13.34</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1473824</v>
      </c>
      <c r="E33" s="31">
        <f>SUM(E5:E32)</f>
        <v>14199777.000000002</v>
      </c>
      <c r="F33" s="32">
        <f t="shared" si="2"/>
        <v>9.6300000000000008</v>
      </c>
    </row>
    <row r="34" spans="1:6" ht="15" thickBot="1" x14ac:dyDescent="0.25"/>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IF(F3="1",SUMIF(Data!A:A,'12'!$A$2,Data!CU:CU),0)</f>
        <v>9984</v>
      </c>
      <c r="E36" s="15">
        <f>IF(F3="1",SUMIF(Data!$A:$A,$A$2,Data!IO:IO),0)</f>
        <v>17667</v>
      </c>
      <c r="F36" s="20">
        <f t="shared" ref="F36:F64" si="3">IF(OR(D36=0,E36=0),"",ROUND(E36/D36,2))</f>
        <v>1.77</v>
      </c>
    </row>
    <row r="37" spans="1:6" x14ac:dyDescent="0.2">
      <c r="A37" s="19">
        <v>2</v>
      </c>
      <c r="B37" s="177" t="s">
        <v>1</v>
      </c>
      <c r="C37" s="178"/>
      <c r="D37" s="14">
        <f>IF(F3="1",SUMIF(Data!A:A,'12'!$A$2,Data!CV:CV),0)</f>
        <v>61040</v>
      </c>
      <c r="E37" s="17">
        <f>IF(F3="1",SUMIF(Data!$A:$A,$A$2,Data!IP:IP),0)</f>
        <v>444129</v>
      </c>
      <c r="F37" s="21">
        <f t="shared" si="3"/>
        <v>7.28</v>
      </c>
    </row>
    <row r="38" spans="1:6" ht="14.25" customHeight="1" x14ac:dyDescent="0.2">
      <c r="A38" s="19">
        <v>3</v>
      </c>
      <c r="B38" s="177" t="s">
        <v>2</v>
      </c>
      <c r="C38" s="178"/>
      <c r="D38" s="14">
        <f>IF(F3="1",SUMIF(Data!A:A,'12'!$A$2,Data!CW:CW),0)</f>
        <v>217728</v>
      </c>
      <c r="E38" s="17">
        <f>IF($F$3="1",SUMIF(Data!$A:$A,$A$2,Data!IQ:IQ),0)</f>
        <v>163166</v>
      </c>
      <c r="F38" s="21">
        <f t="shared" si="3"/>
        <v>0.75</v>
      </c>
    </row>
    <row r="39" spans="1:6" ht="14.25" customHeight="1" x14ac:dyDescent="0.2">
      <c r="A39" s="19">
        <v>4</v>
      </c>
      <c r="B39" s="177" t="s">
        <v>3</v>
      </c>
      <c r="C39" s="178"/>
      <c r="D39" s="14">
        <f>IF(F3="1",SUMIF(Data!A:A,'12'!$A$2,Data!CX:CX),0)</f>
        <v>104576</v>
      </c>
      <c r="E39" s="17">
        <f>IF($F$3="1",SUMIF(Data!$A:$A,$A$2,Data!IR:IR),0)</f>
        <v>121682</v>
      </c>
      <c r="F39" s="21">
        <f t="shared" si="3"/>
        <v>1.1599999999999999</v>
      </c>
    </row>
    <row r="40" spans="1:6" x14ac:dyDescent="0.2">
      <c r="A40" s="19">
        <v>5</v>
      </c>
      <c r="B40" s="177" t="s">
        <v>4</v>
      </c>
      <c r="C40" s="178"/>
      <c r="D40" s="14">
        <f>IF(F3="1",SUMIF(Data!A:A,'12'!$A$2,Data!CY:CY),0)</f>
        <v>0</v>
      </c>
      <c r="E40" s="17">
        <f>IF($F$3="1",SUMIF(Data!$A:$A,$A$2,Data!IS:IS),0)</f>
        <v>0</v>
      </c>
      <c r="F40" s="21" t="str">
        <f t="shared" si="3"/>
        <v/>
      </c>
    </row>
    <row r="41" spans="1:6" x14ac:dyDescent="0.2">
      <c r="A41" s="19">
        <v>6</v>
      </c>
      <c r="B41" s="177" t="s">
        <v>5</v>
      </c>
      <c r="C41" s="178"/>
      <c r="D41" s="14">
        <f>IF(F3="1",SUMIF(Data!A:A,'12'!$A$2,Data!CZ:CZ),0)</f>
        <v>6192</v>
      </c>
      <c r="E41" s="17">
        <f>IF($F$3="1",SUMIF(Data!$A:$A,$A$2,Data!IT:IT),0)</f>
        <v>123897</v>
      </c>
      <c r="F41" s="21">
        <f t="shared" si="3"/>
        <v>20.010000000000002</v>
      </c>
    </row>
    <row r="42" spans="1:6" x14ac:dyDescent="0.2">
      <c r="A42" s="19">
        <v>7</v>
      </c>
      <c r="B42" s="177" t="s">
        <v>6</v>
      </c>
      <c r="C42" s="178"/>
      <c r="D42" s="14">
        <f>IF(F3="1",SUMIF(Data!A:A,'12'!$A$2,Data!DA:DA),0)</f>
        <v>51696</v>
      </c>
      <c r="E42" s="17">
        <f>IF($F$3="1",SUMIF(Data!$A:$A,$A$2,Data!IU:IU),0)</f>
        <v>237410</v>
      </c>
      <c r="F42" s="21">
        <f t="shared" si="3"/>
        <v>4.59</v>
      </c>
    </row>
    <row r="43" spans="1:6" x14ac:dyDescent="0.2">
      <c r="A43" s="19">
        <v>8</v>
      </c>
      <c r="B43" s="177" t="s">
        <v>7</v>
      </c>
      <c r="C43" s="178"/>
      <c r="D43" s="14">
        <f>IF(F3="1",SUMIF(Data!A:A,'12'!$A$2,Data!DB:DB),0)</f>
        <v>0</v>
      </c>
      <c r="E43" s="17">
        <f>IF($F$3="1",SUMIF(Data!$A:$A,$A$2,Data!IV:IV),0)</f>
        <v>0</v>
      </c>
      <c r="F43" s="21" t="str">
        <f t="shared" si="3"/>
        <v/>
      </c>
    </row>
    <row r="44" spans="1:6" x14ac:dyDescent="0.2">
      <c r="A44" s="19">
        <v>9</v>
      </c>
      <c r="B44" s="177" t="s">
        <v>8</v>
      </c>
      <c r="C44" s="178"/>
      <c r="D44" s="14">
        <f>IF(F3="1",SUMIF(Data!A:A,'12'!$A$2,Data!DC:DC),0)</f>
        <v>89952</v>
      </c>
      <c r="E44" s="17">
        <f>IF($F$3="1",SUMIF(Data!$A:$A,$A$2,Data!IW:IW),0)</f>
        <v>320296</v>
      </c>
      <c r="F44" s="21">
        <f t="shared" si="3"/>
        <v>3.56</v>
      </c>
    </row>
    <row r="45" spans="1:6" x14ac:dyDescent="0.2">
      <c r="A45" s="19">
        <v>10</v>
      </c>
      <c r="B45" s="177" t="s">
        <v>9</v>
      </c>
      <c r="C45" s="178"/>
      <c r="D45" s="14">
        <f>IF(F3="1",SUMIF(Data!A:A,'12'!$A$2,Data!DD:DD),0)</f>
        <v>0</v>
      </c>
      <c r="E45" s="17">
        <f>IF($F$3="1",SUMIF(Data!$A:$A,$A$2,Data!IX:IX),0)</f>
        <v>0</v>
      </c>
      <c r="F45" s="21" t="str">
        <f t="shared" si="3"/>
        <v/>
      </c>
    </row>
    <row r="46" spans="1:6" x14ac:dyDescent="0.2">
      <c r="A46" s="19">
        <v>11</v>
      </c>
      <c r="B46" s="177" t="s">
        <v>10</v>
      </c>
      <c r="C46" s="178"/>
      <c r="D46" s="14">
        <f>IF(F3="1",SUMIF(Data!A:A,'12'!$A$2,Data!DE:DE),0)</f>
        <v>29248</v>
      </c>
      <c r="E46" s="17">
        <f>IF($F$3="1",SUMIF(Data!$A:$A,$A$2,Data!IY:IY),0)</f>
        <v>48036</v>
      </c>
      <c r="F46" s="21">
        <f t="shared" si="3"/>
        <v>1.64</v>
      </c>
    </row>
    <row r="47" spans="1:6" ht="14.25" customHeight="1" x14ac:dyDescent="0.2">
      <c r="A47" s="19">
        <v>12</v>
      </c>
      <c r="B47" s="177" t="s">
        <v>11</v>
      </c>
      <c r="C47" s="178"/>
      <c r="D47" s="14">
        <f>IF(F3="1",SUMIF(Data!A:A,'12'!$A$2,Data!DF:DF),0)</f>
        <v>193320</v>
      </c>
      <c r="E47" s="17">
        <f>IF($F$3="1",SUMIF(Data!$A:$A,$A$2,Data!IZ:IZ),0)</f>
        <v>155601</v>
      </c>
      <c r="F47" s="21">
        <f t="shared" si="3"/>
        <v>0.8</v>
      </c>
    </row>
    <row r="48" spans="1:6" x14ac:dyDescent="0.2">
      <c r="A48" s="19">
        <v>13</v>
      </c>
      <c r="B48" s="177" t="s">
        <v>12</v>
      </c>
      <c r="C48" s="178"/>
      <c r="D48" s="14">
        <f>IF(F3="1",SUMIF(Data!A:A,'12'!$A$2,Data!DG:DG),0)</f>
        <v>15776</v>
      </c>
      <c r="E48" s="17">
        <f>IF($F$3="1",SUMIF(Data!$A:$A,$A$2,Data!JA:JA),0)</f>
        <v>3729</v>
      </c>
      <c r="F48" s="21">
        <f t="shared" si="3"/>
        <v>0.24</v>
      </c>
    </row>
    <row r="49" spans="1:6" ht="14.25" customHeight="1" x14ac:dyDescent="0.2">
      <c r="A49" s="19">
        <v>14</v>
      </c>
      <c r="B49" s="177" t="s">
        <v>464</v>
      </c>
      <c r="C49" s="178"/>
      <c r="D49" s="14">
        <f>IF(F3="1",SUMIF(Data!A:A,'12'!$A$2,Data!DH:DH),0)</f>
        <v>38736</v>
      </c>
      <c r="E49" s="17">
        <f>IF($F$3="1",SUMIF(Data!$A:$A,$A$2,Data!JB:JB),0)</f>
        <v>142033</v>
      </c>
      <c r="F49" s="21">
        <f t="shared" si="3"/>
        <v>3.67</v>
      </c>
    </row>
    <row r="50" spans="1:6" x14ac:dyDescent="0.2">
      <c r="A50" s="19">
        <v>15</v>
      </c>
      <c r="B50" s="177" t="s">
        <v>13</v>
      </c>
      <c r="C50" s="178"/>
      <c r="D50" s="14">
        <f>IF(F3="1",SUMIF(Data!A:A,'12'!$A$2,Data!DI:DI),0)</f>
        <v>0</v>
      </c>
      <c r="E50" s="17">
        <f>IF($F$3="1",SUMIF(Data!$A:$A,$A$2,Data!JC:JC),0)</f>
        <v>0</v>
      </c>
      <c r="F50" s="21" t="str">
        <f t="shared" si="3"/>
        <v/>
      </c>
    </row>
    <row r="51" spans="1:6" x14ac:dyDescent="0.2">
      <c r="A51" s="19">
        <v>16</v>
      </c>
      <c r="B51" s="177" t="s">
        <v>14</v>
      </c>
      <c r="C51" s="178"/>
      <c r="D51" s="14">
        <f>IF(F3="1",SUMIF(Data!A:A,'12'!$A$2,Data!DJ:DJ),0)</f>
        <v>39456</v>
      </c>
      <c r="E51" s="17">
        <f>IF($F$3="1",SUMIF(Data!$A:$A,$A$2,Data!JD:JD),0)</f>
        <v>42577</v>
      </c>
      <c r="F51" s="21">
        <f t="shared" si="3"/>
        <v>1.08</v>
      </c>
    </row>
    <row r="52" spans="1:6" x14ac:dyDescent="0.2">
      <c r="A52" s="19">
        <v>17</v>
      </c>
      <c r="B52" s="177" t="s">
        <v>15</v>
      </c>
      <c r="C52" s="178"/>
      <c r="D52" s="14">
        <f>IF(F3="1",SUMIF(Data!A:A,'12'!$A$2,Data!DK:DK),0)</f>
        <v>0</v>
      </c>
      <c r="E52" s="17">
        <f>IF($F$3="1",SUMIF(Data!$A:$A,$A$2,Data!JE:JE),0)</f>
        <v>0</v>
      </c>
      <c r="F52" s="21" t="str">
        <f t="shared" si="3"/>
        <v/>
      </c>
    </row>
    <row r="53" spans="1:6" x14ac:dyDescent="0.2">
      <c r="A53" s="19">
        <v>18</v>
      </c>
      <c r="B53" s="177" t="s">
        <v>16</v>
      </c>
      <c r="C53" s="178"/>
      <c r="D53" s="14">
        <f>IF(F3="1",SUMIF(Data!A:A,'12'!$A$2,Data!DL:DL),0)</f>
        <v>0</v>
      </c>
      <c r="E53" s="17">
        <f>IF($F$3="1",SUMIF(Data!$A:$A,$A$2,Data!JF:JF),0)</f>
        <v>0</v>
      </c>
      <c r="F53" s="21" t="str">
        <f t="shared" si="3"/>
        <v/>
      </c>
    </row>
    <row r="54" spans="1:6" x14ac:dyDescent="0.2">
      <c r="A54" s="19">
        <v>19</v>
      </c>
      <c r="B54" s="177" t="s">
        <v>17</v>
      </c>
      <c r="C54" s="178"/>
      <c r="D54" s="14">
        <f>IF(F3="1",SUMIF(Data!A:A,'12'!$A$2,Data!DM:DM),0)</f>
        <v>239296</v>
      </c>
      <c r="E54" s="17">
        <f>IF($F$3="1",SUMIF(Data!$A:$A,$A$2,Data!JG:JG),0)</f>
        <v>155312</v>
      </c>
      <c r="F54" s="21">
        <f t="shared" si="3"/>
        <v>0.65</v>
      </c>
    </row>
    <row r="55" spans="1:6" x14ac:dyDescent="0.2">
      <c r="A55" s="19">
        <v>20</v>
      </c>
      <c r="B55" s="177" t="s">
        <v>18</v>
      </c>
      <c r="C55" s="178"/>
      <c r="D55" s="14">
        <f>IF(F3="1",SUMIF(Data!A:A,'12'!$A$2,Data!DN:DN),0)</f>
        <v>0</v>
      </c>
      <c r="E55" s="17">
        <f>IF($F$3="1",SUMIF(Data!$A:$A,$A$2,Data!JH:JH),0)</f>
        <v>0</v>
      </c>
      <c r="F55" s="21" t="str">
        <f t="shared" si="3"/>
        <v/>
      </c>
    </row>
    <row r="56" spans="1:6" ht="14.25" customHeight="1" x14ac:dyDescent="0.2">
      <c r="A56" s="19">
        <v>21</v>
      </c>
      <c r="B56" s="177" t="s">
        <v>461</v>
      </c>
      <c r="C56" s="178"/>
      <c r="D56" s="14">
        <f>IF(F3="1",SUMIF(Data!A:A,'12'!$A$2,Data!DO:DO),0)</f>
        <v>5232</v>
      </c>
      <c r="E56" s="17">
        <f>IF($F$3="1",SUMIF(Data!$A:$A,$A$2,Data!JI:JI),0)</f>
        <v>13963</v>
      </c>
      <c r="F56" s="21">
        <f t="shared" si="3"/>
        <v>2.67</v>
      </c>
    </row>
    <row r="57" spans="1:6" x14ac:dyDescent="0.2">
      <c r="A57" s="19">
        <v>22</v>
      </c>
      <c r="B57" s="177" t="s">
        <v>19</v>
      </c>
      <c r="C57" s="178"/>
      <c r="D57" s="14">
        <f>IF(F3="1",SUMIF(Data!A:A,'12'!$A$2,Data!DP:DP),0)</f>
        <v>352</v>
      </c>
      <c r="E57" s="17">
        <f>IF($F$3="1",SUMIF(Data!$A:$A,$A$2,Data!JJ:JJ),0)</f>
        <v>45496</v>
      </c>
      <c r="F57" s="21">
        <f t="shared" si="3"/>
        <v>129.25</v>
      </c>
    </row>
    <row r="58" spans="1:6" x14ac:dyDescent="0.2">
      <c r="A58" s="19">
        <v>23</v>
      </c>
      <c r="B58" s="177" t="s">
        <v>20</v>
      </c>
      <c r="C58" s="178"/>
      <c r="D58" s="14">
        <f>IF(F3="1",SUMIF(Data!A:A,'12'!$A$2,Data!DQ:DQ),0)</f>
        <v>47136</v>
      </c>
      <c r="E58" s="17">
        <f>IF($F$3="1",SUMIF(Data!$A:$A,$A$2,Data!JK:JK),0)</f>
        <v>80993</v>
      </c>
      <c r="F58" s="21">
        <f t="shared" si="3"/>
        <v>1.72</v>
      </c>
    </row>
    <row r="59" spans="1:6" x14ac:dyDescent="0.2">
      <c r="A59" s="19">
        <v>24</v>
      </c>
      <c r="B59" s="177" t="s">
        <v>21</v>
      </c>
      <c r="C59" s="178"/>
      <c r="D59" s="14">
        <f>IF(F3="1",SUMIF(Data!A:A,'12'!$A$2,Data!DR:DR),0)</f>
        <v>39536</v>
      </c>
      <c r="E59" s="17">
        <f>IF($F$3="1",SUMIF(Data!$A:$A,$A$2,Data!JL:JL),0)</f>
        <v>14632</v>
      </c>
      <c r="F59" s="21">
        <f t="shared" si="3"/>
        <v>0.37</v>
      </c>
    </row>
    <row r="60" spans="1:6" x14ac:dyDescent="0.2">
      <c r="A60" s="19">
        <v>25</v>
      </c>
      <c r="B60" s="177" t="s">
        <v>22</v>
      </c>
      <c r="C60" s="178"/>
      <c r="D60" s="14">
        <f>IF(F3="1",SUMIF(Data!A:A,'12'!$A$2,Data!DS:DS),0)</f>
        <v>231312</v>
      </c>
      <c r="E60" s="17">
        <f>IF($F$3="1",SUMIF(Data!$A:$A,$A$2,Data!JM:JM),0)</f>
        <v>81882</v>
      </c>
      <c r="F60" s="21">
        <f t="shared" si="3"/>
        <v>0.35</v>
      </c>
    </row>
    <row r="61" spans="1:6" x14ac:dyDescent="0.2">
      <c r="A61" s="19">
        <v>26</v>
      </c>
      <c r="B61" s="177" t="s">
        <v>23</v>
      </c>
      <c r="C61" s="178"/>
      <c r="D61" s="14">
        <f>IF(F3="1",SUMIF(Data!A:A,'12'!$A$2,Data!DT:DT),0)</f>
        <v>53256</v>
      </c>
      <c r="E61" s="17">
        <f>IF($F$3="1",SUMIF(Data!$A:$A,$A$2,Data!JN:JN),0)</f>
        <v>123369</v>
      </c>
      <c r="F61" s="21">
        <f t="shared" si="3"/>
        <v>2.3199999999999998</v>
      </c>
    </row>
    <row r="62" spans="1:6" x14ac:dyDescent="0.2">
      <c r="A62" s="19">
        <v>28</v>
      </c>
      <c r="B62" s="177" t="s">
        <v>24</v>
      </c>
      <c r="C62" s="178"/>
      <c r="D62" s="14">
        <f>IF(F3="1",SUMIF(Data!A:A,'12'!$A$2,Data!DV:DV),0)</f>
        <v>0</v>
      </c>
      <c r="E62" s="17">
        <f>IF($F$3="1",SUMIF(Data!$A:$A,$A$2,Data!JP:JP),0)</f>
        <v>0</v>
      </c>
      <c r="F62" s="21" t="str">
        <f t="shared" si="3"/>
        <v/>
      </c>
    </row>
    <row r="63" spans="1:6" ht="15.75" customHeight="1" thickBot="1" x14ac:dyDescent="0.25">
      <c r="A63" s="22">
        <v>29</v>
      </c>
      <c r="B63" s="179" t="s">
        <v>25</v>
      </c>
      <c r="C63" s="180"/>
      <c r="D63" s="23">
        <f>IF(F3="1",SUMIF(Data!A:A,'12'!$A$2,Data!DW:DW),0)</f>
        <v>0</v>
      </c>
      <c r="E63" s="24">
        <f>IF($F$3="1",SUMIF(Data!$A:$A,$A$2,Data!JQ:JQ),0)</f>
        <v>0</v>
      </c>
      <c r="F63" s="25" t="str">
        <f t="shared" si="3"/>
        <v/>
      </c>
    </row>
    <row r="64" spans="1:6" x14ac:dyDescent="0.2">
      <c r="B64" s="30" t="s">
        <v>35</v>
      </c>
      <c r="C64" s="30"/>
      <c r="D64" s="59">
        <f>SUM(D36:D63)</f>
        <v>1473824</v>
      </c>
      <c r="E64" s="31">
        <f>SUM(E36:E63)</f>
        <v>2335870</v>
      </c>
      <c r="F64" s="32">
        <f t="shared" si="3"/>
        <v>1.58</v>
      </c>
    </row>
    <row r="65" spans="1:6" ht="15" thickBot="1" x14ac:dyDescent="0.25"/>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9984</v>
      </c>
      <c r="E67" s="15">
        <f>IF(F3="1",SUMIF(Data!A:A,'12'!$A$2,Data!DY:DY),0)</f>
        <v>50608</v>
      </c>
      <c r="F67" s="20">
        <f t="shared" ref="F67:F95" si="4">IF(OR(D67=0,E67=0),"",ROUND(E67/D67,2))</f>
        <v>5.07</v>
      </c>
    </row>
    <row r="68" spans="1:6" x14ac:dyDescent="0.2">
      <c r="A68" s="19">
        <v>2</v>
      </c>
      <c r="B68" s="177" t="s">
        <v>1</v>
      </c>
      <c r="C68" s="178"/>
      <c r="D68" s="14">
        <f t="shared" ref="D68:D94" si="5">D37</f>
        <v>61040</v>
      </c>
      <c r="E68" s="17">
        <f>IF(F3="1",SUMIF(Data!A:A,'12'!$A$2,Data!DZ:DZ),0)</f>
        <v>382999</v>
      </c>
      <c r="F68" s="21">
        <f t="shared" si="4"/>
        <v>6.27</v>
      </c>
    </row>
    <row r="69" spans="1:6" ht="14.25" customHeight="1" x14ac:dyDescent="0.2">
      <c r="A69" s="19">
        <v>3</v>
      </c>
      <c r="B69" s="177" t="s">
        <v>2</v>
      </c>
      <c r="C69" s="178"/>
      <c r="D69" s="14">
        <f t="shared" si="5"/>
        <v>217728</v>
      </c>
      <c r="E69" s="17">
        <f>IF(F3="1",SUMIF(Data!A:A,'12'!$A$2,Data!EA:EA),0)</f>
        <v>404438</v>
      </c>
      <c r="F69" s="21">
        <f t="shared" si="4"/>
        <v>1.86</v>
      </c>
    </row>
    <row r="70" spans="1:6" ht="14.25" customHeight="1" x14ac:dyDescent="0.2">
      <c r="A70" s="19">
        <v>4</v>
      </c>
      <c r="B70" s="177" t="s">
        <v>3</v>
      </c>
      <c r="C70" s="178"/>
      <c r="D70" s="14">
        <f t="shared" si="5"/>
        <v>104576</v>
      </c>
      <c r="E70" s="17">
        <f>IF(F3="1",SUMIF(Data!A:A,'12'!$A$2,Data!EB:EB),0)</f>
        <v>362903</v>
      </c>
      <c r="F70" s="21">
        <f t="shared" si="4"/>
        <v>3.47</v>
      </c>
    </row>
    <row r="71" spans="1:6" x14ac:dyDescent="0.2">
      <c r="A71" s="19">
        <v>5</v>
      </c>
      <c r="B71" s="177" t="s">
        <v>4</v>
      </c>
      <c r="C71" s="178"/>
      <c r="D71" s="14">
        <f t="shared" si="5"/>
        <v>0</v>
      </c>
      <c r="E71" s="17">
        <f>IF(F3="1",SUMIF(Data!A:A,'12'!$A$2,Data!EC:EC),0)</f>
        <v>0</v>
      </c>
      <c r="F71" s="21" t="str">
        <f t="shared" si="4"/>
        <v/>
      </c>
    </row>
    <row r="72" spans="1:6" x14ac:dyDescent="0.2">
      <c r="A72" s="19">
        <v>6</v>
      </c>
      <c r="B72" s="177" t="s">
        <v>5</v>
      </c>
      <c r="C72" s="178"/>
      <c r="D72" s="14">
        <f t="shared" si="5"/>
        <v>6192</v>
      </c>
      <c r="E72" s="17">
        <f>IF(F3="1",SUMIF(Data!A:A,'12'!$A$2,Data!ED:ED),0)</f>
        <v>304080</v>
      </c>
      <c r="F72" s="21">
        <f t="shared" si="4"/>
        <v>49.11</v>
      </c>
    </row>
    <row r="73" spans="1:6" x14ac:dyDescent="0.2">
      <c r="A73" s="19">
        <v>7</v>
      </c>
      <c r="B73" s="177" t="s">
        <v>6</v>
      </c>
      <c r="C73" s="178"/>
      <c r="D73" s="14">
        <f t="shared" si="5"/>
        <v>51696</v>
      </c>
      <c r="E73" s="17">
        <f>IF(F3="1",SUMIF(Data!A:A,'12'!$A$2,Data!EE:EE),0)</f>
        <v>282128</v>
      </c>
      <c r="F73" s="21">
        <f t="shared" si="4"/>
        <v>5.46</v>
      </c>
    </row>
    <row r="74" spans="1:6" x14ac:dyDescent="0.2">
      <c r="A74" s="19">
        <v>8</v>
      </c>
      <c r="B74" s="177" t="s">
        <v>7</v>
      </c>
      <c r="C74" s="178"/>
      <c r="D74" s="14">
        <f t="shared" si="5"/>
        <v>0</v>
      </c>
      <c r="E74" s="17">
        <f>IF(F3="1",SUMIF(Data!A:A,'12'!$A$2,Data!EF:EF),0)</f>
        <v>0</v>
      </c>
      <c r="F74" s="21" t="str">
        <f t="shared" si="4"/>
        <v/>
      </c>
    </row>
    <row r="75" spans="1:6" x14ac:dyDescent="0.2">
      <c r="A75" s="19">
        <v>9</v>
      </c>
      <c r="B75" s="177" t="s">
        <v>8</v>
      </c>
      <c r="C75" s="178"/>
      <c r="D75" s="14">
        <f t="shared" si="5"/>
        <v>89952</v>
      </c>
      <c r="E75" s="17">
        <f>IF(F3="1",SUMIF(Data!A:A,'12'!$A$2,Data!EG:EG),0)</f>
        <v>279498</v>
      </c>
      <c r="F75" s="21">
        <f t="shared" si="4"/>
        <v>3.11</v>
      </c>
    </row>
    <row r="76" spans="1:6" x14ac:dyDescent="0.2">
      <c r="A76" s="19">
        <v>10</v>
      </c>
      <c r="B76" s="177" t="s">
        <v>9</v>
      </c>
      <c r="C76" s="178"/>
      <c r="D76" s="14">
        <f t="shared" si="5"/>
        <v>0</v>
      </c>
      <c r="E76" s="17">
        <f>IF(F3="1",SUMIF(Data!A:A,'12'!$A$2,Data!EH:EH),0)</f>
        <v>0</v>
      </c>
      <c r="F76" s="21" t="str">
        <f t="shared" si="4"/>
        <v/>
      </c>
    </row>
    <row r="77" spans="1:6" x14ac:dyDescent="0.2">
      <c r="A77" s="19">
        <v>11</v>
      </c>
      <c r="B77" s="177" t="s">
        <v>10</v>
      </c>
      <c r="C77" s="178"/>
      <c r="D77" s="14">
        <f t="shared" si="5"/>
        <v>29248</v>
      </c>
      <c r="E77" s="17">
        <f>IF(F3="1",SUMIF(Data!A:A,'12'!$A$2,Data!EI:EI),0)</f>
        <v>136135</v>
      </c>
      <c r="F77" s="21">
        <f t="shared" si="4"/>
        <v>4.6500000000000004</v>
      </c>
    </row>
    <row r="78" spans="1:6" ht="14.25" customHeight="1" x14ac:dyDescent="0.2">
      <c r="A78" s="19">
        <v>12</v>
      </c>
      <c r="B78" s="177" t="s">
        <v>11</v>
      </c>
      <c r="C78" s="178"/>
      <c r="D78" s="14">
        <f t="shared" si="5"/>
        <v>193320</v>
      </c>
      <c r="E78" s="17">
        <f>IF(F3="1",SUMIF(Data!A:A,'12'!$A$2,Data!EJ:EJ),0)</f>
        <v>581778</v>
      </c>
      <c r="F78" s="21">
        <f t="shared" si="4"/>
        <v>3.01</v>
      </c>
    </row>
    <row r="79" spans="1:6" x14ac:dyDescent="0.2">
      <c r="A79" s="19">
        <v>13</v>
      </c>
      <c r="B79" s="177" t="s">
        <v>12</v>
      </c>
      <c r="C79" s="178"/>
      <c r="D79" s="14">
        <f t="shared" si="5"/>
        <v>15776</v>
      </c>
      <c r="E79" s="17">
        <f>IF(F3="1",SUMIF(Data!A:A,'12'!$A$2,Data!EK:EK),0)</f>
        <v>46078</v>
      </c>
      <c r="F79" s="21">
        <f t="shared" si="4"/>
        <v>2.92</v>
      </c>
    </row>
    <row r="80" spans="1:6" ht="14.25" customHeight="1" x14ac:dyDescent="0.2">
      <c r="A80" s="19">
        <v>14</v>
      </c>
      <c r="B80" s="177" t="s">
        <v>464</v>
      </c>
      <c r="C80" s="178"/>
      <c r="D80" s="14">
        <f t="shared" si="5"/>
        <v>38736</v>
      </c>
      <c r="E80" s="17">
        <f>IF(F3="1",SUMIF(Data!A:A,'12'!$A$2,Data!EL:EL),0)</f>
        <v>456806</v>
      </c>
      <c r="F80" s="21">
        <f t="shared" si="4"/>
        <v>11.79</v>
      </c>
    </row>
    <row r="81" spans="1:6" x14ac:dyDescent="0.2">
      <c r="A81" s="19">
        <v>15</v>
      </c>
      <c r="B81" s="177" t="s">
        <v>13</v>
      </c>
      <c r="C81" s="178"/>
      <c r="D81" s="14">
        <f t="shared" si="5"/>
        <v>0</v>
      </c>
      <c r="E81" s="17">
        <f>IF(F3="1",SUMIF(Data!A:A,'12'!$A$2,Data!EM:EM),0)</f>
        <v>0</v>
      </c>
      <c r="F81" s="21" t="str">
        <f t="shared" si="4"/>
        <v/>
      </c>
    </row>
    <row r="82" spans="1:6" x14ac:dyDescent="0.2">
      <c r="A82" s="19">
        <v>16</v>
      </c>
      <c r="B82" s="177" t="s">
        <v>14</v>
      </c>
      <c r="C82" s="178"/>
      <c r="D82" s="14">
        <f t="shared" si="5"/>
        <v>39456</v>
      </c>
      <c r="E82" s="17">
        <f>IF(F3="1",SUMIF(Data!A:A,'12'!$A$2,Data!EN:EN),0)</f>
        <v>99831</v>
      </c>
      <c r="F82" s="21">
        <f t="shared" si="4"/>
        <v>2.5299999999999998</v>
      </c>
    </row>
    <row r="83" spans="1:6" x14ac:dyDescent="0.2">
      <c r="A83" s="19">
        <v>17</v>
      </c>
      <c r="B83" s="177" t="s">
        <v>15</v>
      </c>
      <c r="C83" s="178"/>
      <c r="D83" s="14">
        <f t="shared" si="5"/>
        <v>0</v>
      </c>
      <c r="E83" s="17">
        <f>IF(F3="1",SUMIF(Data!A:A,'12'!$A$2,Data!EO:EO),0)</f>
        <v>0</v>
      </c>
      <c r="F83" s="21" t="str">
        <f t="shared" si="4"/>
        <v/>
      </c>
    </row>
    <row r="84" spans="1:6" x14ac:dyDescent="0.2">
      <c r="A84" s="19">
        <v>18</v>
      </c>
      <c r="B84" s="177" t="s">
        <v>16</v>
      </c>
      <c r="C84" s="178"/>
      <c r="D84" s="14">
        <f t="shared" si="5"/>
        <v>0</v>
      </c>
      <c r="E84" s="17">
        <f>IF(F3="1",SUMIF(Data!A:A,'12'!$A$2,Data!EP:EP),0)</f>
        <v>0</v>
      </c>
      <c r="F84" s="21" t="str">
        <f t="shared" si="4"/>
        <v/>
      </c>
    </row>
    <row r="85" spans="1:6" x14ac:dyDescent="0.2">
      <c r="A85" s="19">
        <v>19</v>
      </c>
      <c r="B85" s="177" t="s">
        <v>17</v>
      </c>
      <c r="C85" s="178"/>
      <c r="D85" s="14">
        <f t="shared" si="5"/>
        <v>239296</v>
      </c>
      <c r="E85" s="17">
        <f>IF(F3="1",SUMIF(Data!A:A,'12'!$A$2,Data!EQ:EQ),0)</f>
        <v>534831</v>
      </c>
      <c r="F85" s="21">
        <f t="shared" si="4"/>
        <v>2.2400000000000002</v>
      </c>
    </row>
    <row r="86" spans="1:6" x14ac:dyDescent="0.2">
      <c r="A86" s="19">
        <v>20</v>
      </c>
      <c r="B86" s="177" t="s">
        <v>18</v>
      </c>
      <c r="C86" s="178"/>
      <c r="D86" s="14">
        <f t="shared" si="5"/>
        <v>0</v>
      </c>
      <c r="E86" s="17">
        <f>IF(F3="1",SUMIF(Data!A:A,'12'!$A$2,Data!ER:ER),0)</f>
        <v>0</v>
      </c>
      <c r="F86" s="21" t="str">
        <f t="shared" si="4"/>
        <v/>
      </c>
    </row>
    <row r="87" spans="1:6" ht="14.25" customHeight="1" x14ac:dyDescent="0.2">
      <c r="A87" s="19">
        <v>21</v>
      </c>
      <c r="B87" s="177" t="s">
        <v>461</v>
      </c>
      <c r="C87" s="178"/>
      <c r="D87" s="14">
        <f t="shared" si="5"/>
        <v>5232</v>
      </c>
      <c r="E87" s="17">
        <f>IF(F3="1",SUMIF(Data!A:A,'12'!$A$2,Data!ES:ES),0)</f>
        <v>49838</v>
      </c>
      <c r="F87" s="21">
        <f t="shared" si="4"/>
        <v>9.5299999999999994</v>
      </c>
    </row>
    <row r="88" spans="1:6" x14ac:dyDescent="0.2">
      <c r="A88" s="19">
        <v>22</v>
      </c>
      <c r="B88" s="177" t="s">
        <v>19</v>
      </c>
      <c r="C88" s="178"/>
      <c r="D88" s="14">
        <f t="shared" si="5"/>
        <v>352</v>
      </c>
      <c r="E88" s="17">
        <f>IF(F3="1",SUMIF(Data!A:A,'12'!$A$2,Data!ET:ET),0)</f>
        <v>71128</v>
      </c>
      <c r="F88" s="21">
        <f t="shared" si="4"/>
        <v>202.07</v>
      </c>
    </row>
    <row r="89" spans="1:6" x14ac:dyDescent="0.2">
      <c r="A89" s="19">
        <v>23</v>
      </c>
      <c r="B89" s="177" t="s">
        <v>20</v>
      </c>
      <c r="C89" s="178"/>
      <c r="D89" s="14">
        <f t="shared" si="5"/>
        <v>47136</v>
      </c>
      <c r="E89" s="17">
        <f>IF(F3="1",SUMIF(Data!A:A,'12'!$A$2,Data!EU:EU),0)</f>
        <v>157477</v>
      </c>
      <c r="F89" s="21">
        <f t="shared" si="4"/>
        <v>3.34</v>
      </c>
    </row>
    <row r="90" spans="1:6" x14ac:dyDescent="0.2">
      <c r="A90" s="19">
        <v>24</v>
      </c>
      <c r="B90" s="177" t="s">
        <v>21</v>
      </c>
      <c r="C90" s="178"/>
      <c r="D90" s="14">
        <f t="shared" si="5"/>
        <v>39536</v>
      </c>
      <c r="E90" s="17">
        <f>IF(F3="1",SUMIF(Data!A:A,'12'!$A$2,Data!EV:EV),0)</f>
        <v>87405</v>
      </c>
      <c r="F90" s="21">
        <f t="shared" si="4"/>
        <v>2.21</v>
      </c>
    </row>
    <row r="91" spans="1:6" x14ac:dyDescent="0.2">
      <c r="A91" s="19">
        <v>25</v>
      </c>
      <c r="B91" s="177" t="s">
        <v>22</v>
      </c>
      <c r="C91" s="178"/>
      <c r="D91" s="14">
        <f t="shared" si="5"/>
        <v>231312</v>
      </c>
      <c r="E91" s="17">
        <f>IF(F3="1",SUMIF(Data!A:A,'12'!$A$2,Data!EW:EW),0)</f>
        <v>551046</v>
      </c>
      <c r="F91" s="21">
        <f t="shared" si="4"/>
        <v>2.38</v>
      </c>
    </row>
    <row r="92" spans="1:6" x14ac:dyDescent="0.2">
      <c r="A92" s="19">
        <v>26</v>
      </c>
      <c r="B92" s="177" t="s">
        <v>23</v>
      </c>
      <c r="C92" s="178"/>
      <c r="D92" s="14">
        <f t="shared" si="5"/>
        <v>53256</v>
      </c>
      <c r="E92" s="17">
        <f>IF(F3="1",SUMIF(Data!A:A,'12'!$A$2,Data!EX:EX),0)</f>
        <v>345819</v>
      </c>
      <c r="F92" s="21">
        <f t="shared" si="4"/>
        <v>6.49</v>
      </c>
    </row>
    <row r="93" spans="1:6" x14ac:dyDescent="0.2">
      <c r="A93" s="19">
        <v>28</v>
      </c>
      <c r="B93" s="177" t="s">
        <v>24</v>
      </c>
      <c r="C93" s="178"/>
      <c r="D93" s="14">
        <f t="shared" si="5"/>
        <v>0</v>
      </c>
      <c r="E93" s="17">
        <f>IF(F3="1",SUMIF(Data!A:A,'12'!$A$2,Data!EZ:EZ),0)</f>
        <v>0</v>
      </c>
      <c r="F93" s="21" t="str">
        <f t="shared" si="4"/>
        <v/>
      </c>
    </row>
    <row r="94" spans="1:6" ht="15.75" customHeight="1" thickBot="1" x14ac:dyDescent="0.25">
      <c r="A94" s="22">
        <v>29</v>
      </c>
      <c r="B94" s="179" t="s">
        <v>25</v>
      </c>
      <c r="C94" s="180"/>
      <c r="D94" s="23">
        <f t="shared" si="5"/>
        <v>0</v>
      </c>
      <c r="E94" s="24">
        <f>IF(F3="1",SUMIF(Data!A:A,'12'!$A$2,Data!FA:FA),0)</f>
        <v>0</v>
      </c>
      <c r="F94" s="25" t="str">
        <f t="shared" si="4"/>
        <v/>
      </c>
    </row>
    <row r="95" spans="1:6" x14ac:dyDescent="0.2">
      <c r="B95" s="30" t="s">
        <v>35</v>
      </c>
      <c r="C95" s="30"/>
      <c r="D95" s="59">
        <f>SUM(D67:D94)</f>
        <v>1473824</v>
      </c>
      <c r="E95" s="31">
        <f>SUM(E67:E94)</f>
        <v>5184826</v>
      </c>
      <c r="F95" s="32">
        <f t="shared" si="4"/>
        <v>3.52</v>
      </c>
    </row>
    <row r="96" spans="1:6" ht="15" thickBot="1" x14ac:dyDescent="0.25"/>
    <row r="97" spans="2:6" ht="29.25" customHeight="1" x14ac:dyDescent="0.2">
      <c r="B97" s="181" t="s">
        <v>468</v>
      </c>
      <c r="C97" s="182"/>
      <c r="D97" s="28" t="s">
        <v>27</v>
      </c>
      <c r="E97" s="33" t="s">
        <v>462</v>
      </c>
      <c r="F97" s="29" t="s">
        <v>463</v>
      </c>
    </row>
    <row r="98" spans="2:6" x14ac:dyDescent="0.2">
      <c r="B98" s="183" t="s">
        <v>30</v>
      </c>
      <c r="C98" s="184"/>
      <c r="D98" s="35"/>
      <c r="E98" s="15">
        <f>IF(F3="1",SUMIF(Data!A:A,'12'!$A$2,Data!AH:AH),0)</f>
        <v>3209145</v>
      </c>
      <c r="F98" s="20">
        <f>IF(OR(E98=0,E98=0),"",ROUND(E98/$D$105,2))</f>
        <v>2.1800000000000002</v>
      </c>
    </row>
    <row r="99" spans="2:6" x14ac:dyDescent="0.2">
      <c r="B99" s="183" t="s">
        <v>31</v>
      </c>
      <c r="C99" s="184"/>
      <c r="D99" s="36"/>
      <c r="E99" s="17">
        <f>IF(F3="1",SUMIF(Data!A:A,'12'!$A$2,Data!AI:AI),0)</f>
        <v>1156394</v>
      </c>
      <c r="F99" s="21">
        <f t="shared" ref="F99:F104" si="6">IF(OR(E99=0,E99=0),"",ROUND(E99/$D$105,2))</f>
        <v>0.78</v>
      </c>
    </row>
    <row r="100" spans="2:6" x14ac:dyDescent="0.2">
      <c r="B100" s="183" t="s">
        <v>1078</v>
      </c>
      <c r="C100" s="184"/>
      <c r="D100" s="36"/>
      <c r="E100" s="17">
        <f>IF(F3="1",SUMIF(Data!A:A,'12'!$A$2,Data!AJ:AJ),0)</f>
        <v>610914</v>
      </c>
      <c r="F100" s="21">
        <f t="shared" si="6"/>
        <v>0.41</v>
      </c>
    </row>
    <row r="101" spans="2:6" x14ac:dyDescent="0.2">
      <c r="B101" s="183" t="s">
        <v>1079</v>
      </c>
      <c r="C101" s="184"/>
      <c r="D101" s="36"/>
      <c r="E101" s="17">
        <f>IF(F3="1",SUMIF(Data!A:A,'12'!$A$2,Data!AK:AK),0)</f>
        <v>475239</v>
      </c>
      <c r="F101" s="21">
        <f t="shared" si="6"/>
        <v>0.32</v>
      </c>
    </row>
    <row r="102" spans="2:6" x14ac:dyDescent="0.2">
      <c r="B102" s="183" t="s">
        <v>1080</v>
      </c>
      <c r="C102" s="184"/>
      <c r="D102" s="36"/>
      <c r="E102" s="17">
        <f>IF(F3="1",SUMIF(Data!A:A,'12'!$A$2,Data!AL:AL),0)</f>
        <v>0</v>
      </c>
      <c r="F102" s="21" t="str">
        <f t="shared" si="6"/>
        <v/>
      </c>
    </row>
    <row r="103" spans="2:6" x14ac:dyDescent="0.2">
      <c r="B103" s="185" t="s">
        <v>34</v>
      </c>
      <c r="C103" s="186"/>
      <c r="D103" s="36"/>
      <c r="E103" s="17">
        <f>IF(F3="1",SUMIF(Data!A:A,'12'!$A$2,Data!AM:AM),0)</f>
        <v>0</v>
      </c>
      <c r="F103" s="21" t="str">
        <f t="shared" si="6"/>
        <v/>
      </c>
    </row>
    <row r="104" spans="2:6" ht="15.75" customHeight="1" thickBot="1" x14ac:dyDescent="0.25">
      <c r="B104" s="175" t="s">
        <v>29</v>
      </c>
      <c r="C104" s="176"/>
      <c r="D104" s="37"/>
      <c r="E104" s="24">
        <f>IF(F3="1",SUMIF(Data!A:A,'12'!$A$2,Data!Q:Q),0)</f>
        <v>1227389</v>
      </c>
      <c r="F104" s="25">
        <f t="shared" si="6"/>
        <v>0.83</v>
      </c>
    </row>
    <row r="105" spans="2:6" x14ac:dyDescent="0.2">
      <c r="B105" s="30" t="s">
        <v>35</v>
      </c>
      <c r="C105" s="30"/>
      <c r="D105" s="34">
        <f>D95</f>
        <v>1473824</v>
      </c>
      <c r="E105" s="31">
        <f>SUM(E98:E104)</f>
        <v>6679081</v>
      </c>
      <c r="F105" s="32">
        <f>IF($D$105=0,"",ROUND(E105/$D$105,2))</f>
        <v>4.53</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5184826</v>
      </c>
      <c r="D109" s="15">
        <f>IF(F3="1",SUMIF(Data!$A:$A,$A$2,Data!HJ:HJ),0)</f>
        <v>0</v>
      </c>
      <c r="E109" s="15">
        <f>IF(F3="1",SUMIF(Data!$A:$A,$A$2,Data!IN:IN),0)</f>
        <v>0</v>
      </c>
      <c r="F109" s="47">
        <f>SUM(C109:E109)</f>
        <v>5184826</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1227389</v>
      </c>
      <c r="E117" s="52"/>
      <c r="F117" s="49">
        <f>SUM(C117:E117)</f>
        <v>1227389</v>
      </c>
    </row>
    <row r="118" spans="1:6" x14ac:dyDescent="0.2">
      <c r="B118" s="13" t="s">
        <v>35</v>
      </c>
      <c r="C118" s="4">
        <f>SUM(C109:C116)</f>
        <v>5184826</v>
      </c>
      <c r="D118" s="4">
        <f>SUM(D109:D116)</f>
        <v>0</v>
      </c>
      <c r="E118" s="4">
        <f>SUM(E109:E116)</f>
        <v>0</v>
      </c>
      <c r="F118" s="4">
        <f>SUM(F109:F116)</f>
        <v>5184826</v>
      </c>
    </row>
    <row r="119" spans="1:6" ht="15" thickBot="1" x14ac:dyDescent="0.25"/>
    <row r="120" spans="1:6" ht="15" thickBot="1" x14ac:dyDescent="0.25">
      <c r="B120" s="55" t="s">
        <v>934</v>
      </c>
      <c r="C120" s="53"/>
      <c r="D120" s="53"/>
      <c r="E120" s="53">
        <f>IF(F3="1",SUMIF(Data!A:A,'12'!$A$2,Data!AM:AM),0)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452</v>
      </c>
      <c r="B2" s="58" t="str">
        <f>VLOOKUP(A2,Data!A:G,7,0)</f>
        <v>Collin County Community College District</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21695</v>
      </c>
      <c r="E5" s="15">
        <f>E36+E67+IFERROR($E$105/$D$105*D5,0)</f>
        <v>140757.65992632319</v>
      </c>
      <c r="F5" s="20">
        <f>IF(OR(D5=0,E5=0),"",ROUND(E5/D5,2))</f>
        <v>6.49</v>
      </c>
    </row>
    <row r="6" spans="1:6" x14ac:dyDescent="0.2">
      <c r="A6" s="19">
        <v>2</v>
      </c>
      <c r="B6" s="177" t="s">
        <v>1</v>
      </c>
      <c r="C6" s="178"/>
      <c r="D6" s="14">
        <f t="shared" ref="D6:D32" si="0">D37</f>
        <v>35650</v>
      </c>
      <c r="E6" s="17">
        <f t="shared" ref="E6:E32" si="1">E37+E68+IFERROR($E$105/$D$105*D6,0)</f>
        <v>722237.68893170881</v>
      </c>
      <c r="F6" s="21">
        <f t="shared" ref="F6:F33" si="2">IF(OR(D6=0,E6=0),"",ROUND(E6/D6,2))</f>
        <v>20.260000000000002</v>
      </c>
    </row>
    <row r="7" spans="1:6" ht="14.25" customHeight="1" x14ac:dyDescent="0.2">
      <c r="A7" s="19">
        <v>3</v>
      </c>
      <c r="B7" s="177" t="s">
        <v>2</v>
      </c>
      <c r="C7" s="178"/>
      <c r="D7" s="14">
        <f t="shared" si="0"/>
        <v>454016</v>
      </c>
      <c r="E7" s="17">
        <f t="shared" si="1"/>
        <v>3043434.7281912677</v>
      </c>
      <c r="F7" s="21">
        <f t="shared" si="2"/>
        <v>6.7</v>
      </c>
    </row>
    <row r="8" spans="1:6" ht="14.25" customHeight="1" x14ac:dyDescent="0.2">
      <c r="A8" s="19">
        <v>4</v>
      </c>
      <c r="B8" s="177" t="s">
        <v>3</v>
      </c>
      <c r="C8" s="178"/>
      <c r="D8" s="14">
        <f t="shared" si="0"/>
        <v>377176</v>
      </c>
      <c r="E8" s="17">
        <f t="shared" si="1"/>
        <v>2532535.1700562742</v>
      </c>
      <c r="F8" s="21">
        <f t="shared" si="2"/>
        <v>6.71</v>
      </c>
    </row>
    <row r="9" spans="1:6" x14ac:dyDescent="0.2">
      <c r="A9" s="19">
        <v>5</v>
      </c>
      <c r="B9" s="177" t="s">
        <v>4</v>
      </c>
      <c r="C9" s="178"/>
      <c r="D9" s="14">
        <f t="shared" si="0"/>
        <v>714</v>
      </c>
      <c r="E9" s="17">
        <f t="shared" si="1"/>
        <v>5115.5326198384309</v>
      </c>
      <c r="F9" s="21">
        <f t="shared" si="2"/>
        <v>7.16</v>
      </c>
    </row>
    <row r="10" spans="1:6" x14ac:dyDescent="0.2">
      <c r="A10" s="19">
        <v>6</v>
      </c>
      <c r="B10" s="177" t="s">
        <v>5</v>
      </c>
      <c r="C10" s="178"/>
      <c r="D10" s="14">
        <f t="shared" si="0"/>
        <v>27387</v>
      </c>
      <c r="E10" s="17">
        <f t="shared" si="1"/>
        <v>188004.14406094552</v>
      </c>
      <c r="F10" s="21">
        <f t="shared" si="2"/>
        <v>6.86</v>
      </c>
    </row>
    <row r="11" spans="1:6" x14ac:dyDescent="0.2">
      <c r="A11" s="19">
        <v>7</v>
      </c>
      <c r="B11" s="177" t="s">
        <v>6</v>
      </c>
      <c r="C11" s="178"/>
      <c r="D11" s="14">
        <f t="shared" si="0"/>
        <v>493693</v>
      </c>
      <c r="E11" s="17">
        <f t="shared" si="1"/>
        <v>3633441.230652513</v>
      </c>
      <c r="F11" s="21">
        <f t="shared" si="2"/>
        <v>7.36</v>
      </c>
    </row>
    <row r="12" spans="1:6" x14ac:dyDescent="0.2">
      <c r="A12" s="19">
        <v>8</v>
      </c>
      <c r="B12" s="177" t="s">
        <v>7</v>
      </c>
      <c r="C12" s="178"/>
      <c r="D12" s="14">
        <f t="shared" si="0"/>
        <v>1941</v>
      </c>
      <c r="E12" s="17">
        <f t="shared" si="1"/>
        <v>14095.590777459936</v>
      </c>
      <c r="F12" s="21">
        <f t="shared" si="2"/>
        <v>7.26</v>
      </c>
    </row>
    <row r="13" spans="1:6" x14ac:dyDescent="0.2">
      <c r="A13" s="19">
        <v>9</v>
      </c>
      <c r="B13" s="177" t="s">
        <v>8</v>
      </c>
      <c r="C13" s="178"/>
      <c r="D13" s="14">
        <f t="shared" si="0"/>
        <v>52638</v>
      </c>
      <c r="E13" s="17">
        <f t="shared" si="1"/>
        <v>336569.12330960127</v>
      </c>
      <c r="F13" s="21">
        <f t="shared" si="2"/>
        <v>6.39</v>
      </c>
    </row>
    <row r="14" spans="1:6" x14ac:dyDescent="0.2">
      <c r="A14" s="19">
        <v>10</v>
      </c>
      <c r="B14" s="177" t="s">
        <v>9</v>
      </c>
      <c r="C14" s="178"/>
      <c r="D14" s="14">
        <f t="shared" si="0"/>
        <v>0</v>
      </c>
      <c r="E14" s="17">
        <f t="shared" si="1"/>
        <v>0</v>
      </c>
      <c r="F14" s="21" t="str">
        <f t="shared" si="2"/>
        <v/>
      </c>
    </row>
    <row r="15" spans="1:6" x14ac:dyDescent="0.2">
      <c r="A15" s="19">
        <v>11</v>
      </c>
      <c r="B15" s="177" t="s">
        <v>10</v>
      </c>
      <c r="C15" s="178"/>
      <c r="D15" s="14">
        <f t="shared" si="0"/>
        <v>91459</v>
      </c>
      <c r="E15" s="17">
        <f t="shared" si="1"/>
        <v>837076.17770000431</v>
      </c>
      <c r="F15" s="21">
        <f t="shared" si="2"/>
        <v>9.15</v>
      </c>
    </row>
    <row r="16" spans="1:6" ht="14.25" customHeight="1" x14ac:dyDescent="0.2">
      <c r="A16" s="19">
        <v>12</v>
      </c>
      <c r="B16" s="177" t="s">
        <v>11</v>
      </c>
      <c r="C16" s="178"/>
      <c r="D16" s="14">
        <f t="shared" si="0"/>
        <v>897467</v>
      </c>
      <c r="E16" s="17">
        <f t="shared" si="1"/>
        <v>5664870.0990595762</v>
      </c>
      <c r="F16" s="21">
        <f t="shared" si="2"/>
        <v>6.31</v>
      </c>
    </row>
    <row r="17" spans="1:6" x14ac:dyDescent="0.2">
      <c r="A17" s="19">
        <v>13</v>
      </c>
      <c r="B17" s="177" t="s">
        <v>12</v>
      </c>
      <c r="C17" s="178"/>
      <c r="D17" s="14">
        <f t="shared" si="0"/>
        <v>161031</v>
      </c>
      <c r="E17" s="17">
        <f t="shared" si="1"/>
        <v>1310975.8379624682</v>
      </c>
      <c r="F17" s="21">
        <f t="shared" si="2"/>
        <v>8.14</v>
      </c>
    </row>
    <row r="18" spans="1:6" ht="14.25" customHeight="1" x14ac:dyDescent="0.2">
      <c r="A18" s="19">
        <v>14</v>
      </c>
      <c r="B18" s="177" t="s">
        <v>464</v>
      </c>
      <c r="C18" s="178"/>
      <c r="D18" s="14">
        <f t="shared" si="0"/>
        <v>40932</v>
      </c>
      <c r="E18" s="17">
        <f t="shared" si="1"/>
        <v>524436.24817258632</v>
      </c>
      <c r="F18" s="21">
        <f t="shared" si="2"/>
        <v>12.81</v>
      </c>
    </row>
    <row r="19" spans="1:6" x14ac:dyDescent="0.2">
      <c r="A19" s="19">
        <v>15</v>
      </c>
      <c r="B19" s="177" t="s">
        <v>13</v>
      </c>
      <c r="C19" s="178"/>
      <c r="D19" s="14">
        <f t="shared" si="0"/>
        <v>22976</v>
      </c>
      <c r="E19" s="17">
        <f t="shared" si="1"/>
        <v>488395.61550897447</v>
      </c>
      <c r="F19" s="21">
        <f t="shared" si="2"/>
        <v>21.26</v>
      </c>
    </row>
    <row r="20" spans="1:6" x14ac:dyDescent="0.2">
      <c r="A20" s="19">
        <v>16</v>
      </c>
      <c r="B20" s="177" t="s">
        <v>14</v>
      </c>
      <c r="C20" s="178"/>
      <c r="D20" s="14">
        <f t="shared" si="0"/>
        <v>115712</v>
      </c>
      <c r="E20" s="17">
        <f t="shared" si="1"/>
        <v>792177.79342681309</v>
      </c>
      <c r="F20" s="21">
        <f t="shared" si="2"/>
        <v>6.85</v>
      </c>
    </row>
    <row r="21" spans="1:6" x14ac:dyDescent="0.2">
      <c r="A21" s="19">
        <v>17</v>
      </c>
      <c r="B21" s="177" t="s">
        <v>15</v>
      </c>
      <c r="C21" s="178"/>
      <c r="D21" s="14">
        <f t="shared" si="0"/>
        <v>29101</v>
      </c>
      <c r="E21" s="17">
        <f t="shared" si="1"/>
        <v>312281.51788503944</v>
      </c>
      <c r="F21" s="21">
        <f t="shared" si="2"/>
        <v>10.73</v>
      </c>
    </row>
    <row r="22" spans="1:6" x14ac:dyDescent="0.2">
      <c r="A22" s="19">
        <v>18</v>
      </c>
      <c r="B22" s="177" t="s">
        <v>16</v>
      </c>
      <c r="C22" s="178"/>
      <c r="D22" s="14">
        <f t="shared" si="0"/>
        <v>0</v>
      </c>
      <c r="E22" s="17">
        <f t="shared" si="1"/>
        <v>0</v>
      </c>
      <c r="F22" s="21" t="str">
        <f t="shared" si="2"/>
        <v/>
      </c>
    </row>
    <row r="23" spans="1:6" x14ac:dyDescent="0.2">
      <c r="A23" s="19">
        <v>19</v>
      </c>
      <c r="B23" s="177" t="s">
        <v>17</v>
      </c>
      <c r="C23" s="178"/>
      <c r="D23" s="14">
        <f t="shared" si="0"/>
        <v>740168</v>
      </c>
      <c r="E23" s="17">
        <f t="shared" si="1"/>
        <v>4034732.6164713888</v>
      </c>
      <c r="F23" s="21">
        <f t="shared" si="2"/>
        <v>5.45</v>
      </c>
    </row>
    <row r="24" spans="1:6" x14ac:dyDescent="0.2">
      <c r="A24" s="19">
        <v>20</v>
      </c>
      <c r="B24" s="177" t="s">
        <v>18</v>
      </c>
      <c r="C24" s="178"/>
      <c r="D24" s="14">
        <f t="shared" si="0"/>
        <v>896</v>
      </c>
      <c r="E24" s="17">
        <f t="shared" si="1"/>
        <v>6275.0017190129329</v>
      </c>
      <c r="F24" s="21">
        <f t="shared" si="2"/>
        <v>7</v>
      </c>
    </row>
    <row r="25" spans="1:6" ht="14.25" customHeight="1" x14ac:dyDescent="0.2">
      <c r="A25" s="19">
        <v>21</v>
      </c>
      <c r="B25" s="177" t="s">
        <v>461</v>
      </c>
      <c r="C25" s="178"/>
      <c r="D25" s="14">
        <f t="shared" si="0"/>
        <v>1728</v>
      </c>
      <c r="E25" s="17">
        <f t="shared" si="1"/>
        <v>12604.717600953514</v>
      </c>
      <c r="F25" s="21">
        <f t="shared" si="2"/>
        <v>7.29</v>
      </c>
    </row>
    <row r="26" spans="1:6" x14ac:dyDescent="0.2">
      <c r="A26" s="19">
        <v>22</v>
      </c>
      <c r="B26" s="177" t="s">
        <v>19</v>
      </c>
      <c r="C26" s="178"/>
      <c r="D26" s="14">
        <f t="shared" si="0"/>
        <v>504</v>
      </c>
      <c r="E26" s="17">
        <f t="shared" si="1"/>
        <v>3634.3759669447745</v>
      </c>
      <c r="F26" s="21">
        <f t="shared" si="2"/>
        <v>7.21</v>
      </c>
    </row>
    <row r="27" spans="1:6" x14ac:dyDescent="0.2">
      <c r="A27" s="19">
        <v>23</v>
      </c>
      <c r="B27" s="177" t="s">
        <v>20</v>
      </c>
      <c r="C27" s="178"/>
      <c r="D27" s="14">
        <f t="shared" si="0"/>
        <v>130624</v>
      </c>
      <c r="E27" s="17">
        <f t="shared" si="1"/>
        <v>1399654.393464671</v>
      </c>
      <c r="F27" s="21">
        <f t="shared" si="2"/>
        <v>10.72</v>
      </c>
    </row>
    <row r="28" spans="1:6" x14ac:dyDescent="0.2">
      <c r="A28" s="19">
        <v>24</v>
      </c>
      <c r="B28" s="177" t="s">
        <v>21</v>
      </c>
      <c r="C28" s="178"/>
      <c r="D28" s="14">
        <f t="shared" si="0"/>
        <v>223226</v>
      </c>
      <c r="E28" s="17">
        <f t="shared" si="1"/>
        <v>1662892.5666611395</v>
      </c>
      <c r="F28" s="21">
        <f t="shared" si="2"/>
        <v>7.45</v>
      </c>
    </row>
    <row r="29" spans="1:6" x14ac:dyDescent="0.2">
      <c r="A29" s="19">
        <v>25</v>
      </c>
      <c r="B29" s="177" t="s">
        <v>22</v>
      </c>
      <c r="C29" s="178"/>
      <c r="D29" s="14">
        <f t="shared" si="0"/>
        <v>950126</v>
      </c>
      <c r="E29" s="17">
        <f t="shared" si="1"/>
        <v>5919217.2380344663</v>
      </c>
      <c r="F29" s="21">
        <f t="shared" si="2"/>
        <v>6.23</v>
      </c>
    </row>
    <row r="30" spans="1:6" x14ac:dyDescent="0.2">
      <c r="A30" s="19">
        <v>26</v>
      </c>
      <c r="B30" s="177" t="s">
        <v>23</v>
      </c>
      <c r="C30" s="178"/>
      <c r="D30" s="14">
        <f t="shared" si="0"/>
        <v>454289</v>
      </c>
      <c r="E30" s="17">
        <f t="shared" si="1"/>
        <v>3349549.9318400295</v>
      </c>
      <c r="F30" s="21">
        <f t="shared" si="2"/>
        <v>7.37</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5325149</v>
      </c>
      <c r="E33" s="31">
        <f>SUM(E5:E32)</f>
        <v>36934964.999999993</v>
      </c>
      <c r="F33" s="32">
        <f t="shared" si="2"/>
        <v>6.94</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IF(F3="1",SUMIF(Data!A:A,'13'!$A$2,Data!CU:CU),0)</f>
        <v>21695</v>
      </c>
      <c r="E36" s="15">
        <f>IF(F3="1",SUMIF(Data!$A:$A,$A$2,Data!IO:IO),0)</f>
        <v>16537</v>
      </c>
      <c r="F36" s="20">
        <f t="shared" ref="F36:F64" si="3">IF(OR(D36=0,E36=0),"",ROUND(E36/D36,2))</f>
        <v>0.76</v>
      </c>
    </row>
    <row r="37" spans="1:6" x14ac:dyDescent="0.2">
      <c r="A37" s="19">
        <v>2</v>
      </c>
      <c r="B37" s="177" t="s">
        <v>1</v>
      </c>
      <c r="C37" s="178"/>
      <c r="D37" s="14">
        <f>IF(F3="1",SUMIF(Data!A:A,'13'!$A$2,Data!CV:CV),0)</f>
        <v>35650</v>
      </c>
      <c r="E37" s="17">
        <f>IF(F3="1",SUMIF(Data!$A:$A,$A$2,Data!IP:IP),0)</f>
        <v>242015</v>
      </c>
      <c r="F37" s="21">
        <f t="shared" si="3"/>
        <v>6.79</v>
      </c>
    </row>
    <row r="38" spans="1:6" ht="14.25" customHeight="1" x14ac:dyDescent="0.2">
      <c r="A38" s="19">
        <v>3</v>
      </c>
      <c r="B38" s="177" t="s">
        <v>2</v>
      </c>
      <c r="C38" s="178"/>
      <c r="D38" s="14">
        <f>IF(F3="1",SUMIF(Data!A:A,'13'!$A$2,Data!CW:CW),0)</f>
        <v>454016</v>
      </c>
      <c r="E38" s="17">
        <f>IF($F$3="1",SUMIF(Data!$A:$A,$A$2,Data!IQ:IQ),0)</f>
        <v>598807</v>
      </c>
      <c r="F38" s="21">
        <f t="shared" si="3"/>
        <v>1.32</v>
      </c>
    </row>
    <row r="39" spans="1:6" ht="14.25" customHeight="1" x14ac:dyDescent="0.2">
      <c r="A39" s="19">
        <v>4</v>
      </c>
      <c r="B39" s="177" t="s">
        <v>3</v>
      </c>
      <c r="C39" s="178"/>
      <c r="D39" s="14">
        <f>IF(F3="1",SUMIF(Data!A:A,'13'!$A$2,Data!CX:CX),0)</f>
        <v>377176</v>
      </c>
      <c r="E39" s="17">
        <f>IF($F$3="1",SUMIF(Data!$A:$A,$A$2,Data!IR:IR),0)</f>
        <v>352648</v>
      </c>
      <c r="F39" s="21">
        <f t="shared" si="3"/>
        <v>0.93</v>
      </c>
    </row>
    <row r="40" spans="1:6" x14ac:dyDescent="0.2">
      <c r="A40" s="19">
        <v>5</v>
      </c>
      <c r="B40" s="177" t="s">
        <v>4</v>
      </c>
      <c r="C40" s="178"/>
      <c r="D40" s="14">
        <f>IF(F3="1",SUMIF(Data!A:A,'13'!$A$2,Data!CY:CY),0)</f>
        <v>714</v>
      </c>
      <c r="E40" s="17">
        <f>IF($F$3="1",SUMIF(Data!$A:$A,$A$2,Data!IS:IS),0)</f>
        <v>1656</v>
      </c>
      <c r="F40" s="21">
        <f t="shared" si="3"/>
        <v>2.3199999999999998</v>
      </c>
    </row>
    <row r="41" spans="1:6" x14ac:dyDescent="0.2">
      <c r="A41" s="19">
        <v>6</v>
      </c>
      <c r="B41" s="177" t="s">
        <v>5</v>
      </c>
      <c r="C41" s="178"/>
      <c r="D41" s="14">
        <f>IF(F3="1",SUMIF(Data!A:A,'13'!$A$2,Data!CZ:CZ),0)</f>
        <v>27387</v>
      </c>
      <c r="E41" s="17">
        <f>IF($F$3="1",SUMIF(Data!$A:$A,$A$2,Data!IT:IT),0)</f>
        <v>72080</v>
      </c>
      <c r="F41" s="21">
        <f t="shared" si="3"/>
        <v>2.63</v>
      </c>
    </row>
    <row r="42" spans="1:6" x14ac:dyDescent="0.2">
      <c r="A42" s="19">
        <v>7</v>
      </c>
      <c r="B42" s="177" t="s">
        <v>6</v>
      </c>
      <c r="C42" s="178"/>
      <c r="D42" s="14">
        <f>IF(F3="1",SUMIF(Data!A:A,'13'!$A$2,Data!DA:DA),0)</f>
        <v>493693</v>
      </c>
      <c r="E42" s="17">
        <f>IF($F$3="1",SUMIF(Data!$A:$A,$A$2,Data!IU:IU),0)</f>
        <v>711266</v>
      </c>
      <c r="F42" s="21">
        <f t="shared" si="3"/>
        <v>1.44</v>
      </c>
    </row>
    <row r="43" spans="1:6" x14ac:dyDescent="0.2">
      <c r="A43" s="19">
        <v>8</v>
      </c>
      <c r="B43" s="177" t="s">
        <v>7</v>
      </c>
      <c r="C43" s="178"/>
      <c r="D43" s="14">
        <f>IF(F3="1",SUMIF(Data!A:A,'13'!$A$2,Data!DB:DB),0)</f>
        <v>1941</v>
      </c>
      <c r="E43" s="17">
        <f>IF($F$3="1",SUMIF(Data!$A:$A,$A$2,Data!IV:IV),0)</f>
        <v>4614</v>
      </c>
      <c r="F43" s="21">
        <f t="shared" si="3"/>
        <v>2.38</v>
      </c>
    </row>
    <row r="44" spans="1:6" x14ac:dyDescent="0.2">
      <c r="A44" s="19">
        <v>9</v>
      </c>
      <c r="B44" s="177" t="s">
        <v>8</v>
      </c>
      <c r="C44" s="178"/>
      <c r="D44" s="14">
        <f>IF(F3="1",SUMIF(Data!A:A,'13'!$A$2,Data!DC:DC),0)</f>
        <v>52638</v>
      </c>
      <c r="E44" s="17">
        <f>IF($F$3="1",SUMIF(Data!$A:$A,$A$2,Data!IW:IW),0)</f>
        <v>37502</v>
      </c>
      <c r="F44" s="21">
        <f t="shared" si="3"/>
        <v>0.71</v>
      </c>
    </row>
    <row r="45" spans="1:6" x14ac:dyDescent="0.2">
      <c r="A45" s="19">
        <v>10</v>
      </c>
      <c r="B45" s="177" t="s">
        <v>9</v>
      </c>
      <c r="C45" s="178"/>
      <c r="D45" s="14">
        <f>IF(F3="1",SUMIF(Data!A:A,'13'!$A$2,Data!DD:DD),0)</f>
        <v>0</v>
      </c>
      <c r="E45" s="17">
        <f>IF($F$3="1",SUMIF(Data!$A:$A,$A$2,Data!IX:IX),0)</f>
        <v>0</v>
      </c>
      <c r="F45" s="21" t="str">
        <f t="shared" si="3"/>
        <v/>
      </c>
    </row>
    <row r="46" spans="1:6" x14ac:dyDescent="0.2">
      <c r="A46" s="19">
        <v>11</v>
      </c>
      <c r="B46" s="177" t="s">
        <v>10</v>
      </c>
      <c r="C46" s="178"/>
      <c r="D46" s="14">
        <f>IF(F3="1",SUMIF(Data!A:A,'13'!$A$2,Data!DE:DE),0)</f>
        <v>91459</v>
      </c>
      <c r="E46" s="17">
        <f>IF($F$3="1",SUMIF(Data!$A:$A,$A$2,Data!IY:IY),0)</f>
        <v>251600</v>
      </c>
      <c r="F46" s="21">
        <f t="shared" si="3"/>
        <v>2.75</v>
      </c>
    </row>
    <row r="47" spans="1:6" ht="14.25" customHeight="1" x14ac:dyDescent="0.2">
      <c r="A47" s="19">
        <v>12</v>
      </c>
      <c r="B47" s="177" t="s">
        <v>11</v>
      </c>
      <c r="C47" s="178"/>
      <c r="D47" s="14">
        <f>IF(F3="1",SUMIF(Data!A:A,'13'!$A$2,Data!DF:DF),0)</f>
        <v>897467</v>
      </c>
      <c r="E47" s="17">
        <f>IF($F$3="1",SUMIF(Data!$A:$A,$A$2,Data!IZ:IZ),0)</f>
        <v>797451</v>
      </c>
      <c r="F47" s="21">
        <f t="shared" si="3"/>
        <v>0.89</v>
      </c>
    </row>
    <row r="48" spans="1:6" x14ac:dyDescent="0.2">
      <c r="A48" s="19">
        <v>13</v>
      </c>
      <c r="B48" s="177" t="s">
        <v>12</v>
      </c>
      <c r="C48" s="178"/>
      <c r="D48" s="14">
        <f>IF(F3="1",SUMIF(Data!A:A,'13'!$A$2,Data!DG:DG),0)</f>
        <v>161031</v>
      </c>
      <c r="E48" s="17">
        <f>IF($F$3="1",SUMIF(Data!$A:$A,$A$2,Data!JA:JA),0)</f>
        <v>343595</v>
      </c>
      <c r="F48" s="21">
        <f t="shared" si="3"/>
        <v>2.13</v>
      </c>
    </row>
    <row r="49" spans="1:6" ht="14.25" customHeight="1" x14ac:dyDescent="0.2">
      <c r="A49" s="19">
        <v>14</v>
      </c>
      <c r="B49" s="177" t="s">
        <v>464</v>
      </c>
      <c r="C49" s="178"/>
      <c r="D49" s="14">
        <f>IF(F3="1",SUMIF(Data!A:A,'13'!$A$2,Data!DH:DH),0)</f>
        <v>40932</v>
      </c>
      <c r="E49" s="17">
        <f>IF($F$3="1",SUMIF(Data!$A:$A,$A$2,Data!JB:JB),0)</f>
        <v>79004</v>
      </c>
      <c r="F49" s="21">
        <f t="shared" si="3"/>
        <v>1.93</v>
      </c>
    </row>
    <row r="50" spans="1:6" x14ac:dyDescent="0.2">
      <c r="A50" s="19">
        <v>15</v>
      </c>
      <c r="B50" s="177" t="s">
        <v>13</v>
      </c>
      <c r="C50" s="178"/>
      <c r="D50" s="14">
        <f>IF(F3="1",SUMIF(Data!A:A,'13'!$A$2,Data!DI:DI),0)</f>
        <v>22976</v>
      </c>
      <c r="E50" s="17">
        <f>IF($F$3="1",SUMIF(Data!$A:$A,$A$2,Data!JC:JC),0)</f>
        <v>181396</v>
      </c>
      <c r="F50" s="21">
        <f t="shared" si="3"/>
        <v>7.9</v>
      </c>
    </row>
    <row r="51" spans="1:6" x14ac:dyDescent="0.2">
      <c r="A51" s="19">
        <v>16</v>
      </c>
      <c r="B51" s="177" t="s">
        <v>14</v>
      </c>
      <c r="C51" s="178"/>
      <c r="D51" s="14">
        <f>IF(F3="1",SUMIF(Data!A:A,'13'!$A$2,Data!DJ:DJ),0)</f>
        <v>115712</v>
      </c>
      <c r="E51" s="17">
        <f>IF($F$3="1",SUMIF(Data!$A:$A,$A$2,Data!JD:JD),0)</f>
        <v>181047</v>
      </c>
      <c r="F51" s="21">
        <f t="shared" si="3"/>
        <v>1.56</v>
      </c>
    </row>
    <row r="52" spans="1:6" x14ac:dyDescent="0.2">
      <c r="A52" s="19">
        <v>17</v>
      </c>
      <c r="B52" s="177" t="s">
        <v>15</v>
      </c>
      <c r="C52" s="178"/>
      <c r="D52" s="14">
        <f>IF(F3="1",SUMIF(Data!A:A,'13'!$A$2,Data!DK:DK),0)</f>
        <v>29101</v>
      </c>
      <c r="E52" s="17">
        <f>IF($F$3="1",SUMIF(Data!$A:$A,$A$2,Data!JE:JE),0)</f>
        <v>57100</v>
      </c>
      <c r="F52" s="21">
        <f t="shared" si="3"/>
        <v>1.96</v>
      </c>
    </row>
    <row r="53" spans="1:6" x14ac:dyDescent="0.2">
      <c r="A53" s="19">
        <v>18</v>
      </c>
      <c r="B53" s="177" t="s">
        <v>16</v>
      </c>
      <c r="C53" s="178"/>
      <c r="D53" s="14">
        <f>IF(F3="1",SUMIF(Data!A:A,'13'!$A$2,Data!DL:DL),0)</f>
        <v>0</v>
      </c>
      <c r="E53" s="17">
        <f>IF($F$3="1",SUMIF(Data!$A:$A,$A$2,Data!JF:JF),0)</f>
        <v>0</v>
      </c>
      <c r="F53" s="21" t="str">
        <f t="shared" si="3"/>
        <v/>
      </c>
    </row>
    <row r="54" spans="1:6" x14ac:dyDescent="0.2">
      <c r="A54" s="19">
        <v>19</v>
      </c>
      <c r="B54" s="177" t="s">
        <v>17</v>
      </c>
      <c r="C54" s="178"/>
      <c r="D54" s="14">
        <f>IF(F3="1",SUMIF(Data!A:A,'13'!$A$2,Data!DM:DM),0)</f>
        <v>740168</v>
      </c>
      <c r="E54" s="17">
        <f>IF($F$3="1",SUMIF(Data!$A:$A,$A$2,Data!JG:JG),0)</f>
        <v>599099</v>
      </c>
      <c r="F54" s="21">
        <f t="shared" si="3"/>
        <v>0.81</v>
      </c>
    </row>
    <row r="55" spans="1:6" x14ac:dyDescent="0.2">
      <c r="A55" s="19">
        <v>20</v>
      </c>
      <c r="B55" s="177" t="s">
        <v>18</v>
      </c>
      <c r="C55" s="178"/>
      <c r="D55" s="14">
        <f>IF(F3="1",SUMIF(Data!A:A,'13'!$A$2,Data!DN:DN),0)</f>
        <v>896</v>
      </c>
      <c r="E55" s="17">
        <f>IF($F$3="1",SUMIF(Data!$A:$A,$A$2,Data!JH:JH),0)</f>
        <v>457</v>
      </c>
      <c r="F55" s="21">
        <f t="shared" si="3"/>
        <v>0.51</v>
      </c>
    </row>
    <row r="56" spans="1:6" ht="14.25" customHeight="1" x14ac:dyDescent="0.2">
      <c r="A56" s="19">
        <v>21</v>
      </c>
      <c r="B56" s="177" t="s">
        <v>461</v>
      </c>
      <c r="C56" s="178"/>
      <c r="D56" s="14">
        <f>IF(F3="1",SUMIF(Data!A:A,'13'!$A$2,Data!DO:DO),0)</f>
        <v>1728</v>
      </c>
      <c r="E56" s="17">
        <f>IF($F$3="1",SUMIF(Data!$A:$A,$A$2,Data!JI:JI),0)</f>
        <v>4140</v>
      </c>
      <c r="F56" s="21">
        <f t="shared" si="3"/>
        <v>2.4</v>
      </c>
    </row>
    <row r="57" spans="1:6" x14ac:dyDescent="0.2">
      <c r="A57" s="19">
        <v>22</v>
      </c>
      <c r="B57" s="177" t="s">
        <v>19</v>
      </c>
      <c r="C57" s="178"/>
      <c r="D57" s="14">
        <f>IF(F3="1",SUMIF(Data!A:A,'13'!$A$2,Data!DP:DP),0)</f>
        <v>504</v>
      </c>
      <c r="E57" s="17">
        <f>IF($F$3="1",SUMIF(Data!$A:$A,$A$2,Data!JJ:JJ),0)</f>
        <v>1183</v>
      </c>
      <c r="F57" s="21">
        <f t="shared" si="3"/>
        <v>2.35</v>
      </c>
    </row>
    <row r="58" spans="1:6" x14ac:dyDescent="0.2">
      <c r="A58" s="19">
        <v>23</v>
      </c>
      <c r="B58" s="177" t="s">
        <v>20</v>
      </c>
      <c r="C58" s="178"/>
      <c r="D58" s="14">
        <f>IF(F3="1",SUMIF(Data!A:A,'13'!$A$2,Data!DQ:DQ),0)</f>
        <v>130624</v>
      </c>
      <c r="E58" s="17">
        <f>IF($F$3="1",SUMIF(Data!$A:$A,$A$2,Data!JK:JK),0)</f>
        <v>431100</v>
      </c>
      <c r="F58" s="21">
        <f t="shared" si="3"/>
        <v>3.3</v>
      </c>
    </row>
    <row r="59" spans="1:6" x14ac:dyDescent="0.2">
      <c r="A59" s="19">
        <v>24</v>
      </c>
      <c r="B59" s="177" t="s">
        <v>21</v>
      </c>
      <c r="C59" s="178"/>
      <c r="D59" s="14">
        <f>IF(F3="1",SUMIF(Data!A:A,'13'!$A$2,Data!DR:DR),0)</f>
        <v>223226</v>
      </c>
      <c r="E59" s="17">
        <f>IF($F$3="1",SUMIF(Data!$A:$A,$A$2,Data!JL:JL),0)</f>
        <v>595425</v>
      </c>
      <c r="F59" s="21">
        <f t="shared" si="3"/>
        <v>2.67</v>
      </c>
    </row>
    <row r="60" spans="1:6" x14ac:dyDescent="0.2">
      <c r="A60" s="19">
        <v>25</v>
      </c>
      <c r="B60" s="177" t="s">
        <v>22</v>
      </c>
      <c r="C60" s="178"/>
      <c r="D60" s="14">
        <f>IF(F3="1",SUMIF(Data!A:A,'13'!$A$2,Data!DS:DS),0)</f>
        <v>950126</v>
      </c>
      <c r="E60" s="17">
        <f>IF($F$3="1",SUMIF(Data!$A:$A,$A$2,Data!JM:JM),0)</f>
        <v>494631</v>
      </c>
      <c r="F60" s="21">
        <f t="shared" si="3"/>
        <v>0.52</v>
      </c>
    </row>
    <row r="61" spans="1:6" x14ac:dyDescent="0.2">
      <c r="A61" s="19">
        <v>26</v>
      </c>
      <c r="B61" s="177" t="s">
        <v>23</v>
      </c>
      <c r="C61" s="178"/>
      <c r="D61" s="14">
        <f>IF(F3="1",SUMIF(Data!A:A,'13'!$A$2,Data!DT:DT),0)</f>
        <v>454289</v>
      </c>
      <c r="E61" s="17">
        <f>IF($F$3="1",SUMIF(Data!$A:$A,$A$2,Data!JN:JN),0)</f>
        <v>779527</v>
      </c>
      <c r="F61" s="21">
        <f t="shared" si="3"/>
        <v>1.72</v>
      </c>
    </row>
    <row r="62" spans="1:6" x14ac:dyDescent="0.2">
      <c r="A62" s="19">
        <v>28</v>
      </c>
      <c r="B62" s="177" t="s">
        <v>24</v>
      </c>
      <c r="C62" s="178"/>
      <c r="D62" s="14">
        <f>IF(F3="1",SUMIF(Data!A:A,'13'!$A$2,Data!DV:DV),0)</f>
        <v>0</v>
      </c>
      <c r="E62" s="17">
        <f>IF($F$3="1",SUMIF(Data!$A:$A,$A$2,Data!JP:JP),0)</f>
        <v>0</v>
      </c>
      <c r="F62" s="21" t="str">
        <f t="shared" si="3"/>
        <v/>
      </c>
    </row>
    <row r="63" spans="1:6" ht="15.75" customHeight="1" thickBot="1" x14ac:dyDescent="0.25">
      <c r="A63" s="22">
        <v>29</v>
      </c>
      <c r="B63" s="179" t="s">
        <v>25</v>
      </c>
      <c r="C63" s="180"/>
      <c r="D63" s="23">
        <f>IF(F3="1",SUMIF(Data!A:A,'13'!$A$2,Data!DW:DW),0)</f>
        <v>0</v>
      </c>
      <c r="E63" s="24">
        <f>IF($F$3="1",SUMIF(Data!$A:$A,$A$2,Data!JQ:JQ),0)</f>
        <v>0</v>
      </c>
      <c r="F63" s="25" t="str">
        <f t="shared" si="3"/>
        <v/>
      </c>
    </row>
    <row r="64" spans="1:6" x14ac:dyDescent="0.2">
      <c r="B64" s="30" t="s">
        <v>35</v>
      </c>
      <c r="C64" s="30"/>
      <c r="D64" s="59">
        <f>SUM(D36:D63)</f>
        <v>5325149</v>
      </c>
      <c r="E64" s="31">
        <f>SUM(E36:E63)</f>
        <v>6833880</v>
      </c>
      <c r="F64" s="32">
        <f t="shared" si="3"/>
        <v>1.28</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21695</v>
      </c>
      <c r="E67" s="15">
        <f>IF(F3="1",SUMIF(Data!A:A,'13'!$A$2,Data!DY:DY),0)</f>
        <v>53954</v>
      </c>
      <c r="F67" s="20">
        <f t="shared" ref="F67:F95" si="4">IF(OR(D67=0,E67=0),"",ROUND(E67/D67,2))</f>
        <v>2.4900000000000002</v>
      </c>
    </row>
    <row r="68" spans="1:6" x14ac:dyDescent="0.2">
      <c r="A68" s="19">
        <v>2</v>
      </c>
      <c r="B68" s="177" t="s">
        <v>1</v>
      </c>
      <c r="C68" s="178"/>
      <c r="D68" s="14">
        <f t="shared" ref="D68:D94" si="5">D37</f>
        <v>35650</v>
      </c>
      <c r="E68" s="17">
        <f>IF(F3="1",SUMIF(Data!A:A,'13'!$A$2,Data!DZ:DZ),0)</f>
        <v>364758</v>
      </c>
      <c r="F68" s="21">
        <f t="shared" si="4"/>
        <v>10.23</v>
      </c>
    </row>
    <row r="69" spans="1:6" ht="14.25" customHeight="1" x14ac:dyDescent="0.2">
      <c r="A69" s="19">
        <v>3</v>
      </c>
      <c r="B69" s="177" t="s">
        <v>2</v>
      </c>
      <c r="C69" s="178"/>
      <c r="D69" s="14">
        <f t="shared" si="5"/>
        <v>454016</v>
      </c>
      <c r="E69" s="17">
        <f>IF(F3="1",SUMIF(Data!A:A,'13'!$A$2,Data!EA:EA),0)</f>
        <v>974142</v>
      </c>
      <c r="F69" s="21">
        <f t="shared" si="4"/>
        <v>2.15</v>
      </c>
    </row>
    <row r="70" spans="1:6" ht="14.25" customHeight="1" x14ac:dyDescent="0.2">
      <c r="A70" s="19">
        <v>4</v>
      </c>
      <c r="B70" s="177" t="s">
        <v>3</v>
      </c>
      <c r="C70" s="178"/>
      <c r="D70" s="14">
        <f t="shared" si="5"/>
        <v>377176</v>
      </c>
      <c r="E70" s="17">
        <f>IF(F3="1",SUMIF(Data!A:A,'13'!$A$2,Data!EB:EB),0)</f>
        <v>958274</v>
      </c>
      <c r="F70" s="21">
        <f t="shared" si="4"/>
        <v>2.54</v>
      </c>
    </row>
    <row r="71" spans="1:6" x14ac:dyDescent="0.2">
      <c r="A71" s="19">
        <v>5</v>
      </c>
      <c r="B71" s="177" t="s">
        <v>4</v>
      </c>
      <c r="C71" s="178"/>
      <c r="D71" s="14">
        <f t="shared" si="5"/>
        <v>714</v>
      </c>
      <c r="E71" s="17">
        <f>IF(F3="1",SUMIF(Data!A:A,'13'!$A$2,Data!EC:EC),0)</f>
        <v>1147</v>
      </c>
      <c r="F71" s="21">
        <f t="shared" si="4"/>
        <v>1.61</v>
      </c>
    </row>
    <row r="72" spans="1:6" x14ac:dyDescent="0.2">
      <c r="A72" s="19">
        <v>6</v>
      </c>
      <c r="B72" s="177" t="s">
        <v>5</v>
      </c>
      <c r="C72" s="178"/>
      <c r="D72" s="14">
        <f t="shared" si="5"/>
        <v>27387</v>
      </c>
      <c r="E72" s="17">
        <f>IF(F3="1",SUMIF(Data!A:A,'13'!$A$2,Data!ED:ED),0)</f>
        <v>27222</v>
      </c>
      <c r="F72" s="21">
        <f t="shared" si="4"/>
        <v>0.99</v>
      </c>
    </row>
    <row r="73" spans="1:6" x14ac:dyDescent="0.2">
      <c r="A73" s="19">
        <v>7</v>
      </c>
      <c r="B73" s="177" t="s">
        <v>6</v>
      </c>
      <c r="C73" s="178"/>
      <c r="D73" s="14">
        <f t="shared" si="5"/>
        <v>493693</v>
      </c>
      <c r="E73" s="17">
        <f>IF(F3="1",SUMIF(Data!A:A,'13'!$A$2,Data!EE:EE),0)</f>
        <v>1323182</v>
      </c>
      <c r="F73" s="21">
        <f t="shared" si="4"/>
        <v>2.68</v>
      </c>
    </row>
    <row r="74" spans="1:6" x14ac:dyDescent="0.2">
      <c r="A74" s="19">
        <v>8</v>
      </c>
      <c r="B74" s="177" t="s">
        <v>7</v>
      </c>
      <c r="C74" s="178"/>
      <c r="D74" s="14">
        <f t="shared" si="5"/>
        <v>1941</v>
      </c>
      <c r="E74" s="17">
        <f>IF(F3="1",SUMIF(Data!A:A,'13'!$A$2,Data!EF:EF),0)</f>
        <v>3195</v>
      </c>
      <c r="F74" s="21">
        <f t="shared" si="4"/>
        <v>1.65</v>
      </c>
    </row>
    <row r="75" spans="1:6" x14ac:dyDescent="0.2">
      <c r="A75" s="19">
        <v>9</v>
      </c>
      <c r="B75" s="177" t="s">
        <v>8</v>
      </c>
      <c r="C75" s="178"/>
      <c r="D75" s="14">
        <f t="shared" si="5"/>
        <v>52638</v>
      </c>
      <c r="E75" s="17">
        <f>IF(F3="1",SUMIF(Data!A:A,'13'!$A$2,Data!EG:EG),0)</f>
        <v>128581</v>
      </c>
      <c r="F75" s="21">
        <f t="shared" si="4"/>
        <v>2.44</v>
      </c>
    </row>
    <row r="76" spans="1:6" x14ac:dyDescent="0.2">
      <c r="A76" s="19">
        <v>10</v>
      </c>
      <c r="B76" s="177" t="s">
        <v>9</v>
      </c>
      <c r="C76" s="178"/>
      <c r="D76" s="14">
        <f t="shared" si="5"/>
        <v>0</v>
      </c>
      <c r="E76" s="17">
        <f>IF(F3="1",SUMIF(Data!A:A,'13'!$A$2,Data!EH:EH),0)</f>
        <v>0</v>
      </c>
      <c r="F76" s="21" t="str">
        <f t="shared" si="4"/>
        <v/>
      </c>
    </row>
    <row r="77" spans="1:6" x14ac:dyDescent="0.2">
      <c r="A77" s="19">
        <v>11</v>
      </c>
      <c r="B77" s="177" t="s">
        <v>10</v>
      </c>
      <c r="C77" s="178"/>
      <c r="D77" s="14">
        <f t="shared" si="5"/>
        <v>91459</v>
      </c>
      <c r="E77" s="17">
        <f>IF(F3="1",SUMIF(Data!A:A,'13'!$A$2,Data!EI:EI),0)</f>
        <v>289255</v>
      </c>
      <c r="F77" s="21">
        <f t="shared" si="4"/>
        <v>3.16</v>
      </c>
    </row>
    <row r="78" spans="1:6" ht="14.25" customHeight="1" x14ac:dyDescent="0.2">
      <c r="A78" s="19">
        <v>12</v>
      </c>
      <c r="B78" s="177" t="s">
        <v>11</v>
      </c>
      <c r="C78" s="178"/>
      <c r="D78" s="14">
        <f t="shared" si="5"/>
        <v>897467</v>
      </c>
      <c r="E78" s="17">
        <f>IF(F3="1",SUMIF(Data!A:A,'13'!$A$2,Data!EJ:EJ),0)</f>
        <v>1960666</v>
      </c>
      <c r="F78" s="21">
        <f t="shared" si="4"/>
        <v>2.1800000000000002</v>
      </c>
    </row>
    <row r="79" spans="1:6" x14ac:dyDescent="0.2">
      <c r="A79" s="19">
        <v>13</v>
      </c>
      <c r="B79" s="177" t="s">
        <v>12</v>
      </c>
      <c r="C79" s="178"/>
      <c r="D79" s="14">
        <f t="shared" si="5"/>
        <v>161031</v>
      </c>
      <c r="E79" s="17">
        <f>IF(F3="1",SUMIF(Data!A:A,'13'!$A$2,Data!EK:EK),0)</f>
        <v>445827</v>
      </c>
      <c r="F79" s="21">
        <f t="shared" si="4"/>
        <v>2.77</v>
      </c>
    </row>
    <row r="80" spans="1:6" ht="14.25" customHeight="1" x14ac:dyDescent="0.2">
      <c r="A80" s="19">
        <v>14</v>
      </c>
      <c r="B80" s="177" t="s">
        <v>464</v>
      </c>
      <c r="C80" s="178"/>
      <c r="D80" s="14">
        <f t="shared" si="5"/>
        <v>40932</v>
      </c>
      <c r="E80" s="17">
        <f>IF(F3="1",SUMIF(Data!A:A,'13'!$A$2,Data!EL:EL),0)</f>
        <v>312860</v>
      </c>
      <c r="F80" s="21">
        <f t="shared" si="4"/>
        <v>7.64</v>
      </c>
    </row>
    <row r="81" spans="1:6" x14ac:dyDescent="0.2">
      <c r="A81" s="19">
        <v>15</v>
      </c>
      <c r="B81" s="177" t="s">
        <v>13</v>
      </c>
      <c r="C81" s="178"/>
      <c r="D81" s="14">
        <f t="shared" si="5"/>
        <v>22976</v>
      </c>
      <c r="E81" s="17">
        <f>IF(F3="1",SUMIF(Data!A:A,'13'!$A$2,Data!EM:EM),0)</f>
        <v>232584</v>
      </c>
      <c r="F81" s="21">
        <f t="shared" si="4"/>
        <v>10.119999999999999</v>
      </c>
    </row>
    <row r="82" spans="1:6" x14ac:dyDescent="0.2">
      <c r="A82" s="19">
        <v>16</v>
      </c>
      <c r="B82" s="177" t="s">
        <v>14</v>
      </c>
      <c r="C82" s="178"/>
      <c r="D82" s="14">
        <f t="shared" si="5"/>
        <v>115712</v>
      </c>
      <c r="E82" s="17">
        <f>IF(F3="1",SUMIF(Data!A:A,'13'!$A$2,Data!EN:EN),0)</f>
        <v>236358</v>
      </c>
      <c r="F82" s="21">
        <f t="shared" si="4"/>
        <v>2.04</v>
      </c>
    </row>
    <row r="83" spans="1:6" x14ac:dyDescent="0.2">
      <c r="A83" s="19">
        <v>17</v>
      </c>
      <c r="B83" s="177" t="s">
        <v>15</v>
      </c>
      <c r="C83" s="178"/>
      <c r="D83" s="14">
        <f t="shared" si="5"/>
        <v>29101</v>
      </c>
      <c r="E83" s="17">
        <f>IF(F3="1",SUMIF(Data!A:A,'13'!$A$2,Data!EO:EO),0)</f>
        <v>160928</v>
      </c>
      <c r="F83" s="21">
        <f t="shared" si="4"/>
        <v>5.53</v>
      </c>
    </row>
    <row r="84" spans="1:6" x14ac:dyDescent="0.2">
      <c r="A84" s="19">
        <v>18</v>
      </c>
      <c r="B84" s="177" t="s">
        <v>16</v>
      </c>
      <c r="C84" s="178"/>
      <c r="D84" s="14">
        <f t="shared" si="5"/>
        <v>0</v>
      </c>
      <c r="E84" s="17">
        <f>IF(F3="1",SUMIF(Data!A:A,'13'!$A$2,Data!EP:EP),0)</f>
        <v>0</v>
      </c>
      <c r="F84" s="21" t="str">
        <f t="shared" si="4"/>
        <v/>
      </c>
    </row>
    <row r="85" spans="1:6" x14ac:dyDescent="0.2">
      <c r="A85" s="19">
        <v>19</v>
      </c>
      <c r="B85" s="177" t="s">
        <v>17</v>
      </c>
      <c r="C85" s="178"/>
      <c r="D85" s="14">
        <f t="shared" si="5"/>
        <v>740168</v>
      </c>
      <c r="E85" s="17">
        <f>IF(F3="1",SUMIF(Data!A:A,'13'!$A$2,Data!EQ:EQ),0)</f>
        <v>1038347</v>
      </c>
      <c r="F85" s="21">
        <f t="shared" si="4"/>
        <v>1.4</v>
      </c>
    </row>
    <row r="86" spans="1:6" x14ac:dyDescent="0.2">
      <c r="A86" s="19">
        <v>20</v>
      </c>
      <c r="B86" s="177" t="s">
        <v>18</v>
      </c>
      <c r="C86" s="178"/>
      <c r="D86" s="14">
        <f t="shared" si="5"/>
        <v>896</v>
      </c>
      <c r="E86" s="17">
        <f>IF(F3="1",SUMIF(Data!A:A,'13'!$A$2,Data!ER:ER),0)</f>
        <v>2916</v>
      </c>
      <c r="F86" s="21">
        <f t="shared" si="4"/>
        <v>3.25</v>
      </c>
    </row>
    <row r="87" spans="1:6" ht="14.25" customHeight="1" x14ac:dyDescent="0.2">
      <c r="A87" s="19">
        <v>21</v>
      </c>
      <c r="B87" s="177" t="s">
        <v>461</v>
      </c>
      <c r="C87" s="178"/>
      <c r="D87" s="14">
        <f t="shared" si="5"/>
        <v>1728</v>
      </c>
      <c r="E87" s="17">
        <f>IF(F3="1",SUMIF(Data!A:A,'13'!$A$2,Data!ES:ES),0)</f>
        <v>2868</v>
      </c>
      <c r="F87" s="21">
        <f t="shared" si="4"/>
        <v>1.66</v>
      </c>
    </row>
    <row r="88" spans="1:6" x14ac:dyDescent="0.2">
      <c r="A88" s="19">
        <v>22</v>
      </c>
      <c r="B88" s="177" t="s">
        <v>19</v>
      </c>
      <c r="C88" s="178"/>
      <c r="D88" s="14">
        <f t="shared" si="5"/>
        <v>504</v>
      </c>
      <c r="E88" s="17">
        <f>IF(F3="1",SUMIF(Data!A:A,'13'!$A$2,Data!ET:ET),0)</f>
        <v>819</v>
      </c>
      <c r="F88" s="21">
        <f t="shared" si="4"/>
        <v>1.63</v>
      </c>
    </row>
    <row r="89" spans="1:6" x14ac:dyDescent="0.2">
      <c r="A89" s="19">
        <v>23</v>
      </c>
      <c r="B89" s="177" t="s">
        <v>20</v>
      </c>
      <c r="C89" s="178"/>
      <c r="D89" s="14">
        <f t="shared" si="5"/>
        <v>130624</v>
      </c>
      <c r="E89" s="17">
        <f>IF(F3="1",SUMIF(Data!A:A,'13'!$A$2,Data!EU:EU),0)</f>
        <v>545484</v>
      </c>
      <c r="F89" s="21">
        <f t="shared" si="4"/>
        <v>4.18</v>
      </c>
    </row>
    <row r="90" spans="1:6" x14ac:dyDescent="0.2">
      <c r="A90" s="19">
        <v>24</v>
      </c>
      <c r="B90" s="177" t="s">
        <v>21</v>
      </c>
      <c r="C90" s="178"/>
      <c r="D90" s="14">
        <f t="shared" si="5"/>
        <v>223226</v>
      </c>
      <c r="E90" s="17">
        <f>IF(F3="1",SUMIF(Data!A:A,'13'!$A$2,Data!EV:EV),0)</f>
        <v>344474</v>
      </c>
      <c r="F90" s="21">
        <f t="shared" si="4"/>
        <v>1.54</v>
      </c>
    </row>
    <row r="91" spans="1:6" x14ac:dyDescent="0.2">
      <c r="A91" s="19">
        <v>25</v>
      </c>
      <c r="B91" s="177" t="s">
        <v>22</v>
      </c>
      <c r="C91" s="178"/>
      <c r="D91" s="14">
        <f t="shared" si="5"/>
        <v>950126</v>
      </c>
      <c r="E91" s="17">
        <f>IF(F3="1",SUMIF(Data!A:A,'13'!$A$2,Data!EW:EW),0)</f>
        <v>2347279</v>
      </c>
      <c r="F91" s="21">
        <f t="shared" si="4"/>
        <v>2.4700000000000002</v>
      </c>
    </row>
    <row r="92" spans="1:6" x14ac:dyDescent="0.2">
      <c r="A92" s="19">
        <v>26</v>
      </c>
      <c r="B92" s="177" t="s">
        <v>23</v>
      </c>
      <c r="C92" s="178"/>
      <c r="D92" s="14">
        <f t="shared" si="5"/>
        <v>454289</v>
      </c>
      <c r="E92" s="17">
        <f>IF(F3="1",SUMIF(Data!A:A,'13'!$A$2,Data!EX:EX),0)</f>
        <v>1098653</v>
      </c>
      <c r="F92" s="21">
        <f t="shared" si="4"/>
        <v>2.42</v>
      </c>
    </row>
    <row r="93" spans="1:6" x14ac:dyDescent="0.2">
      <c r="A93" s="19">
        <v>28</v>
      </c>
      <c r="B93" s="177" t="s">
        <v>24</v>
      </c>
      <c r="C93" s="178"/>
      <c r="D93" s="14">
        <f t="shared" si="5"/>
        <v>0</v>
      </c>
      <c r="E93" s="17">
        <f>IF(F3="1",SUMIF(Data!A:A,'13'!$A$2,Data!EZ:EZ),0)</f>
        <v>0</v>
      </c>
      <c r="F93" s="21" t="str">
        <f t="shared" si="4"/>
        <v/>
      </c>
    </row>
    <row r="94" spans="1:6" ht="15.75" customHeight="1" thickBot="1" x14ac:dyDescent="0.25">
      <c r="A94" s="22">
        <v>29</v>
      </c>
      <c r="B94" s="179" t="s">
        <v>25</v>
      </c>
      <c r="C94" s="180"/>
      <c r="D94" s="23">
        <f t="shared" si="5"/>
        <v>0</v>
      </c>
      <c r="E94" s="24">
        <f>IF(F3="1",SUMIF(Data!A:A,'13'!$A$2,Data!FA:FA),0)</f>
        <v>0</v>
      </c>
      <c r="F94" s="25" t="str">
        <f t="shared" si="4"/>
        <v/>
      </c>
    </row>
    <row r="95" spans="1:6" x14ac:dyDescent="0.2">
      <c r="B95" s="30" t="s">
        <v>35</v>
      </c>
      <c r="C95" s="30"/>
      <c r="D95" s="59">
        <f>SUM(D67:D94)</f>
        <v>5325149</v>
      </c>
      <c r="E95" s="31">
        <f>SUM(E67:E94)</f>
        <v>12853773</v>
      </c>
      <c r="F95" s="32">
        <f t="shared" si="4"/>
        <v>2.41</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IF(F3="1",SUMIF(Data!A:A,'13'!$A$2,Data!AH:AH),0)</f>
        <v>7326993</v>
      </c>
      <c r="F98" s="20">
        <f>IF(OR(E98=0,E98=0),"",ROUND(E98/$D$105,2))</f>
        <v>1.38</v>
      </c>
    </row>
    <row r="99" spans="2:6" x14ac:dyDescent="0.2">
      <c r="B99" s="183" t="s">
        <v>31</v>
      </c>
      <c r="C99" s="184"/>
      <c r="D99" s="36"/>
      <c r="E99" s="17">
        <f>IF(F3="1",SUMIF(Data!A:A,'13'!$A$2,Data!AI:AI),0)</f>
        <v>3906587</v>
      </c>
      <c r="F99" s="21">
        <f t="shared" ref="F99:F104" si="6">IF(OR(E99=0,E99=0),"",ROUND(E99/$D$105,2))</f>
        <v>0.73</v>
      </c>
    </row>
    <row r="100" spans="2:6" x14ac:dyDescent="0.2">
      <c r="B100" s="183" t="s">
        <v>1078</v>
      </c>
      <c r="C100" s="184"/>
      <c r="D100" s="36"/>
      <c r="E100" s="17">
        <f>IF(F3="1",SUMIF(Data!A:A,'13'!$A$2,Data!AJ:AJ),0)</f>
        <v>2417335</v>
      </c>
      <c r="F100" s="21">
        <f t="shared" si="6"/>
        <v>0.45</v>
      </c>
    </row>
    <row r="101" spans="2:6" x14ac:dyDescent="0.2">
      <c r="B101" s="183" t="s">
        <v>1079</v>
      </c>
      <c r="C101" s="184"/>
      <c r="D101" s="36"/>
      <c r="E101" s="17">
        <f>IF(F3="1",SUMIF(Data!A:A,'13'!$A$2,Data!AK:AK),0)</f>
        <v>2342869</v>
      </c>
      <c r="F101" s="21">
        <f t="shared" si="6"/>
        <v>0.44</v>
      </c>
    </row>
    <row r="102" spans="2:6" x14ac:dyDescent="0.2">
      <c r="B102" s="183" t="s">
        <v>1080</v>
      </c>
      <c r="C102" s="184"/>
      <c r="D102" s="36"/>
      <c r="E102" s="17">
        <f>IF(F3="1",SUMIF(Data!A:A,'13'!$A$2,Data!AL:AL),0)</f>
        <v>0</v>
      </c>
      <c r="F102" s="21" t="str">
        <f t="shared" si="6"/>
        <v/>
      </c>
    </row>
    <row r="103" spans="2:6" x14ac:dyDescent="0.2">
      <c r="B103" s="185" t="s">
        <v>34</v>
      </c>
      <c r="C103" s="186"/>
      <c r="D103" s="36"/>
      <c r="E103" s="17">
        <f>IF(F3="1",SUMIF(Data!A:A,'13'!$A$2,Data!AM:AM),0)</f>
        <v>0</v>
      </c>
      <c r="F103" s="21" t="str">
        <f t="shared" si="6"/>
        <v/>
      </c>
    </row>
    <row r="104" spans="2:6" ht="15.75" customHeight="1" thickBot="1" x14ac:dyDescent="0.25">
      <c r="B104" s="175" t="s">
        <v>29</v>
      </c>
      <c r="C104" s="176"/>
      <c r="D104" s="37"/>
      <c r="E104" s="24">
        <f>IF(F3="1",SUMIF(Data!A:A,'13'!$A$2,Data!Q:Q),0)</f>
        <v>1253528</v>
      </c>
      <c r="F104" s="25">
        <f t="shared" si="6"/>
        <v>0.24</v>
      </c>
    </row>
    <row r="105" spans="2:6" x14ac:dyDescent="0.2">
      <c r="B105" s="30" t="s">
        <v>35</v>
      </c>
      <c r="C105" s="30"/>
      <c r="D105" s="34">
        <f>D95</f>
        <v>5325149</v>
      </c>
      <c r="E105" s="31">
        <f>SUM(E98:E104)</f>
        <v>17247312</v>
      </c>
      <c r="F105" s="32">
        <f>IF($D$105=0,"",ROUND(E105/$D$105,2))</f>
        <v>3.24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12853773</v>
      </c>
      <c r="D109" s="15">
        <f>IF(F3="1",SUMIF(Data!$A:$A,$A$2,Data!HJ:HJ),0)</f>
        <v>0</v>
      </c>
      <c r="E109" s="15">
        <f>IF(F3="1",SUMIF(Data!$A:$A,$A$2,Data!IN:IN),0)</f>
        <v>0</v>
      </c>
      <c r="F109" s="47">
        <f>SUM(C109:E109)</f>
        <v>12853773</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1253528</v>
      </c>
      <c r="E117" s="52"/>
      <c r="F117" s="49">
        <f>SUM(C117:E117)</f>
        <v>1253528</v>
      </c>
    </row>
    <row r="118" spans="1:6" x14ac:dyDescent="0.2">
      <c r="B118" s="13" t="s">
        <v>35</v>
      </c>
      <c r="C118" s="4">
        <f>SUM(C109:C116)</f>
        <v>12853773</v>
      </c>
      <c r="D118" s="4">
        <f>SUM(D109:D116)</f>
        <v>0</v>
      </c>
      <c r="E118" s="4">
        <f>SUM(E109:E116)</f>
        <v>0</v>
      </c>
      <c r="F118" s="4">
        <f>SUM(F109:F116)</f>
        <v>12853773</v>
      </c>
    </row>
    <row r="119" spans="1:6" ht="15" thickBot="1" x14ac:dyDescent="0.25"/>
    <row r="120" spans="1:6" ht="15" thickBot="1" x14ac:dyDescent="0.25">
      <c r="B120" s="55" t="s">
        <v>934</v>
      </c>
      <c r="C120" s="53"/>
      <c r="D120" s="53"/>
      <c r="E120" s="53">
        <f>IF(F3="1",SUMIF(Data!A:A,'13'!$A$2,Data!AM:AM),0)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4.5703125" style="10" bestFit="1" customWidth="1"/>
    <col min="13"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454</v>
      </c>
      <c r="B2" s="58" t="str">
        <f>VLOOKUP(A2,Data!A:G,7,0)</f>
        <v>Dallas County Community College District</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167717</v>
      </c>
      <c r="E5" s="15">
        <f>E36+E67+IFERROR($E$105/$D$105*D5,0)</f>
        <v>1555828.2261880888</v>
      </c>
      <c r="F5" s="20">
        <f>IF(OR(D5=0,E5=0),"",ROUND(E5/D5,2))</f>
        <v>9.2799999999999994</v>
      </c>
    </row>
    <row r="6" spans="1:6" x14ac:dyDescent="0.2">
      <c r="A6" s="19">
        <v>2</v>
      </c>
      <c r="B6" s="177" t="s">
        <v>1</v>
      </c>
      <c r="C6" s="178"/>
      <c r="D6" s="14">
        <f t="shared" ref="D6:D32" si="0">D37</f>
        <v>206450</v>
      </c>
      <c r="E6" s="17">
        <f t="shared" ref="E6:E32" si="1">E37+E68+IFERROR($E$105/$D$105*D6,0)</f>
        <v>1212993.5915830291</v>
      </c>
      <c r="F6" s="21">
        <f t="shared" ref="F6:F33" si="2">IF(OR(D6=0,E6=0),"",ROUND(E6/D6,2))</f>
        <v>5.88</v>
      </c>
    </row>
    <row r="7" spans="1:6" ht="14.25" customHeight="1" x14ac:dyDescent="0.2">
      <c r="A7" s="19">
        <v>3</v>
      </c>
      <c r="B7" s="177" t="s">
        <v>2</v>
      </c>
      <c r="C7" s="178"/>
      <c r="D7" s="14">
        <f t="shared" si="0"/>
        <v>1869202</v>
      </c>
      <c r="E7" s="17">
        <f t="shared" si="1"/>
        <v>12496048.266438272</v>
      </c>
      <c r="F7" s="21">
        <f t="shared" si="2"/>
        <v>6.69</v>
      </c>
    </row>
    <row r="8" spans="1:6" ht="14.25" customHeight="1" x14ac:dyDescent="0.2">
      <c r="A8" s="19">
        <v>4</v>
      </c>
      <c r="B8" s="177" t="s">
        <v>3</v>
      </c>
      <c r="C8" s="178"/>
      <c r="D8" s="14">
        <f t="shared" si="0"/>
        <v>1927323</v>
      </c>
      <c r="E8" s="17">
        <f t="shared" si="1"/>
        <v>14250775.678389821</v>
      </c>
      <c r="F8" s="21">
        <f t="shared" si="2"/>
        <v>7.39</v>
      </c>
    </row>
    <row r="9" spans="1:6" x14ac:dyDescent="0.2">
      <c r="A9" s="19">
        <v>5</v>
      </c>
      <c r="B9" s="177" t="s">
        <v>4</v>
      </c>
      <c r="C9" s="178"/>
      <c r="D9" s="14">
        <f t="shared" si="0"/>
        <v>6096</v>
      </c>
      <c r="E9" s="17">
        <f t="shared" si="1"/>
        <v>151861.02722349309</v>
      </c>
      <c r="F9" s="21">
        <f t="shared" si="2"/>
        <v>24.91</v>
      </c>
    </row>
    <row r="10" spans="1:6" x14ac:dyDescent="0.2">
      <c r="A10" s="19">
        <v>6</v>
      </c>
      <c r="B10" s="177" t="s">
        <v>5</v>
      </c>
      <c r="C10" s="178"/>
      <c r="D10" s="14">
        <f t="shared" si="0"/>
        <v>252776</v>
      </c>
      <c r="E10" s="17">
        <f t="shared" si="1"/>
        <v>2994958.8073237673</v>
      </c>
      <c r="F10" s="21">
        <f t="shared" si="2"/>
        <v>11.85</v>
      </c>
    </row>
    <row r="11" spans="1:6" x14ac:dyDescent="0.2">
      <c r="A11" s="19">
        <v>7</v>
      </c>
      <c r="B11" s="177" t="s">
        <v>6</v>
      </c>
      <c r="C11" s="178"/>
      <c r="D11" s="14">
        <f t="shared" si="0"/>
        <v>2496401</v>
      </c>
      <c r="E11" s="17">
        <f t="shared" si="1"/>
        <v>17612343.596088476</v>
      </c>
      <c r="F11" s="21">
        <f t="shared" si="2"/>
        <v>7.06</v>
      </c>
    </row>
    <row r="12" spans="1:6" x14ac:dyDescent="0.2">
      <c r="A12" s="19">
        <v>8</v>
      </c>
      <c r="B12" s="177" t="s">
        <v>7</v>
      </c>
      <c r="C12" s="178"/>
      <c r="D12" s="14">
        <f t="shared" si="0"/>
        <v>205303</v>
      </c>
      <c r="E12" s="17">
        <f t="shared" si="1"/>
        <v>2158597.5754699474</v>
      </c>
      <c r="F12" s="21">
        <f t="shared" si="2"/>
        <v>10.51</v>
      </c>
    </row>
    <row r="13" spans="1:6" x14ac:dyDescent="0.2">
      <c r="A13" s="19">
        <v>9</v>
      </c>
      <c r="B13" s="177" t="s">
        <v>8</v>
      </c>
      <c r="C13" s="178"/>
      <c r="D13" s="14">
        <f t="shared" si="0"/>
        <v>460909</v>
      </c>
      <c r="E13" s="17">
        <f t="shared" si="1"/>
        <v>2386167.7651825738</v>
      </c>
      <c r="F13" s="21">
        <f t="shared" si="2"/>
        <v>5.18</v>
      </c>
    </row>
    <row r="14" spans="1:6" x14ac:dyDescent="0.2">
      <c r="A14" s="19">
        <v>10</v>
      </c>
      <c r="B14" s="177" t="s">
        <v>9</v>
      </c>
      <c r="C14" s="178"/>
      <c r="D14" s="14">
        <f t="shared" si="0"/>
        <v>2800</v>
      </c>
      <c r="E14" s="17">
        <f t="shared" si="1"/>
        <v>17970.456073782909</v>
      </c>
      <c r="F14" s="21">
        <f t="shared" si="2"/>
        <v>6.42</v>
      </c>
    </row>
    <row r="15" spans="1:6" x14ac:dyDescent="0.2">
      <c r="A15" s="19">
        <v>11</v>
      </c>
      <c r="B15" s="177" t="s">
        <v>10</v>
      </c>
      <c r="C15" s="178"/>
      <c r="D15" s="14">
        <f t="shared" si="0"/>
        <v>431027</v>
      </c>
      <c r="E15" s="17">
        <f t="shared" si="1"/>
        <v>2906347.493612295</v>
      </c>
      <c r="F15" s="21">
        <f t="shared" si="2"/>
        <v>6.74</v>
      </c>
    </row>
    <row r="16" spans="1:6" ht="14.25" customHeight="1" x14ac:dyDescent="0.2">
      <c r="A16" s="19">
        <v>12</v>
      </c>
      <c r="B16" s="177" t="s">
        <v>11</v>
      </c>
      <c r="C16" s="178"/>
      <c r="D16" s="14">
        <f t="shared" si="0"/>
        <v>4354724</v>
      </c>
      <c r="E16" s="17">
        <f t="shared" si="1"/>
        <v>28328075.749802932</v>
      </c>
      <c r="F16" s="21">
        <f t="shared" si="2"/>
        <v>6.51</v>
      </c>
    </row>
    <row r="17" spans="1:6" x14ac:dyDescent="0.2">
      <c r="A17" s="19">
        <v>13</v>
      </c>
      <c r="B17" s="177" t="s">
        <v>12</v>
      </c>
      <c r="C17" s="178"/>
      <c r="D17" s="14">
        <f t="shared" si="0"/>
        <v>459399</v>
      </c>
      <c r="E17" s="17">
        <f t="shared" si="1"/>
        <v>2933158.1406570692</v>
      </c>
      <c r="F17" s="21">
        <f t="shared" si="2"/>
        <v>6.38</v>
      </c>
    </row>
    <row r="18" spans="1:6" ht="14.25" customHeight="1" x14ac:dyDescent="0.2">
      <c r="A18" s="19">
        <v>14</v>
      </c>
      <c r="B18" s="177" t="s">
        <v>464</v>
      </c>
      <c r="C18" s="178"/>
      <c r="D18" s="14">
        <f t="shared" si="0"/>
        <v>277404</v>
      </c>
      <c r="E18" s="17">
        <f t="shared" si="1"/>
        <v>3091513.6502470262</v>
      </c>
      <c r="F18" s="21">
        <f t="shared" si="2"/>
        <v>11.14</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433343</v>
      </c>
      <c r="E20" s="17">
        <f t="shared" si="1"/>
        <v>3481010.8051361814</v>
      </c>
      <c r="F20" s="21">
        <f t="shared" si="2"/>
        <v>8.0299999999999994</v>
      </c>
    </row>
    <row r="21" spans="1:6" x14ac:dyDescent="0.2">
      <c r="A21" s="19">
        <v>17</v>
      </c>
      <c r="B21" s="177" t="s">
        <v>15</v>
      </c>
      <c r="C21" s="178"/>
      <c r="D21" s="14">
        <f t="shared" si="0"/>
        <v>5368</v>
      </c>
      <c r="E21" s="17">
        <f t="shared" si="1"/>
        <v>165490.14864430952</v>
      </c>
      <c r="F21" s="21">
        <f t="shared" si="2"/>
        <v>30.83</v>
      </c>
    </row>
    <row r="22" spans="1:6" x14ac:dyDescent="0.2">
      <c r="A22" s="19">
        <v>18</v>
      </c>
      <c r="B22" s="177" t="s">
        <v>16</v>
      </c>
      <c r="C22" s="178"/>
      <c r="D22" s="14">
        <f t="shared" si="0"/>
        <v>25280</v>
      </c>
      <c r="E22" s="17">
        <f t="shared" si="1"/>
        <v>218140.57483758283</v>
      </c>
      <c r="F22" s="21">
        <f t="shared" si="2"/>
        <v>8.6300000000000008</v>
      </c>
    </row>
    <row r="23" spans="1:6" x14ac:dyDescent="0.2">
      <c r="A23" s="19">
        <v>19</v>
      </c>
      <c r="B23" s="177" t="s">
        <v>17</v>
      </c>
      <c r="C23" s="178"/>
      <c r="D23" s="14">
        <f t="shared" si="0"/>
        <v>2292364</v>
      </c>
      <c r="E23" s="17">
        <f t="shared" si="1"/>
        <v>13317914.911114745</v>
      </c>
      <c r="F23" s="21">
        <f t="shared" si="2"/>
        <v>5.81</v>
      </c>
    </row>
    <row r="24" spans="1:6" x14ac:dyDescent="0.2">
      <c r="A24" s="19">
        <v>20</v>
      </c>
      <c r="B24" s="177" t="s">
        <v>18</v>
      </c>
      <c r="C24" s="178"/>
      <c r="D24" s="14">
        <f t="shared" si="0"/>
        <v>331956</v>
      </c>
      <c r="E24" s="17">
        <f t="shared" si="1"/>
        <v>2803881.6615816713</v>
      </c>
      <c r="F24" s="21">
        <f t="shared" si="2"/>
        <v>8.4499999999999993</v>
      </c>
    </row>
    <row r="25" spans="1:6" ht="14.25" customHeight="1" x14ac:dyDescent="0.2">
      <c r="A25" s="19">
        <v>21</v>
      </c>
      <c r="B25" s="177" t="s">
        <v>461</v>
      </c>
      <c r="C25" s="178"/>
      <c r="D25" s="14">
        <f t="shared" si="0"/>
        <v>152356</v>
      </c>
      <c r="E25" s="17">
        <f t="shared" si="1"/>
        <v>832740.12199188175</v>
      </c>
      <c r="F25" s="21">
        <f t="shared" si="2"/>
        <v>5.47</v>
      </c>
    </row>
    <row r="26" spans="1:6" x14ac:dyDescent="0.2">
      <c r="A26" s="19">
        <v>22</v>
      </c>
      <c r="B26" s="177" t="s">
        <v>19</v>
      </c>
      <c r="C26" s="178"/>
      <c r="D26" s="14">
        <f t="shared" si="0"/>
        <v>30575</v>
      </c>
      <c r="E26" s="17">
        <f t="shared" si="1"/>
        <v>163945.06944854016</v>
      </c>
      <c r="F26" s="21">
        <f t="shared" si="2"/>
        <v>5.36</v>
      </c>
    </row>
    <row r="27" spans="1:6" x14ac:dyDescent="0.2">
      <c r="A27" s="19">
        <v>23</v>
      </c>
      <c r="B27" s="177" t="s">
        <v>20</v>
      </c>
      <c r="C27" s="178"/>
      <c r="D27" s="14">
        <f t="shared" si="0"/>
        <v>523792</v>
      </c>
      <c r="E27" s="17">
        <f t="shared" si="1"/>
        <v>4223074.8142138924</v>
      </c>
      <c r="F27" s="21">
        <f t="shared" si="2"/>
        <v>8.06</v>
      </c>
    </row>
    <row r="28" spans="1:6" x14ac:dyDescent="0.2">
      <c r="A28" s="19">
        <v>24</v>
      </c>
      <c r="B28" s="177" t="s">
        <v>21</v>
      </c>
      <c r="C28" s="178"/>
      <c r="D28" s="14">
        <f t="shared" si="0"/>
        <v>627868</v>
      </c>
      <c r="E28" s="17">
        <f t="shared" si="1"/>
        <v>3516471.1864764029</v>
      </c>
      <c r="F28" s="21">
        <f t="shared" si="2"/>
        <v>5.6</v>
      </c>
    </row>
    <row r="29" spans="1:6" x14ac:dyDescent="0.2">
      <c r="A29" s="19">
        <v>25</v>
      </c>
      <c r="B29" s="177" t="s">
        <v>22</v>
      </c>
      <c r="C29" s="178"/>
      <c r="D29" s="14">
        <f t="shared" si="0"/>
        <v>2885181</v>
      </c>
      <c r="E29" s="17">
        <f t="shared" si="1"/>
        <v>16583820.021933232</v>
      </c>
      <c r="F29" s="21">
        <f t="shared" si="2"/>
        <v>5.75</v>
      </c>
    </row>
    <row r="30" spans="1:6" x14ac:dyDescent="0.2">
      <c r="A30" s="19">
        <v>26</v>
      </c>
      <c r="B30" s="177" t="s">
        <v>23</v>
      </c>
      <c r="C30" s="178"/>
      <c r="D30" s="14">
        <f t="shared" si="0"/>
        <v>944972</v>
      </c>
      <c r="E30" s="17">
        <f t="shared" si="1"/>
        <v>8512615.6603409946</v>
      </c>
      <c r="F30" s="21">
        <f t="shared" si="2"/>
        <v>9.01</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21370586</v>
      </c>
      <c r="E33" s="31">
        <f>SUM(E5:E32)</f>
        <v>145915745.00000003</v>
      </c>
      <c r="F33" s="32">
        <f t="shared" si="2"/>
        <v>6.83</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IF(F3="1",SUMIF(Data!A:A,'14'!$A$2,Data!CU:CU),0)</f>
        <v>167717</v>
      </c>
      <c r="E36" s="15">
        <f>IF(F3="1",SUMIF(Data!$A:$A,$A$2,Data!IO:IO),0)</f>
        <v>609201</v>
      </c>
      <c r="F36" s="20">
        <f t="shared" ref="F36:F64" si="3">IF(OR(D36=0,E36=0),"",ROUND(E36/D36,2))</f>
        <v>3.63</v>
      </c>
    </row>
    <row r="37" spans="1:6" x14ac:dyDescent="0.2">
      <c r="A37" s="19">
        <v>2</v>
      </c>
      <c r="B37" s="177" t="s">
        <v>1</v>
      </c>
      <c r="C37" s="178"/>
      <c r="D37" s="14">
        <f>IF(F3="1",SUMIF(Data!A:A,'14'!$A$2,Data!CV:CV),0)</f>
        <v>206450</v>
      </c>
      <c r="E37" s="17">
        <f>IF(F3="1",SUMIF(Data!$A:$A,$A$2,Data!IP:IP),0)</f>
        <v>278235</v>
      </c>
      <c r="F37" s="21">
        <f t="shared" si="3"/>
        <v>1.35</v>
      </c>
    </row>
    <row r="38" spans="1:6" ht="14.25" customHeight="1" x14ac:dyDescent="0.2">
      <c r="A38" s="19">
        <v>3</v>
      </c>
      <c r="B38" s="177" t="s">
        <v>2</v>
      </c>
      <c r="C38" s="178"/>
      <c r="D38" s="14">
        <f>IF(F3="1",SUMIF(Data!A:A,'14'!$A$2,Data!CW:CW),0)</f>
        <v>1869202</v>
      </c>
      <c r="E38" s="17">
        <f>IF($F$3="1",SUMIF(Data!$A:$A,$A$2,Data!IQ:IQ),0)</f>
        <v>2843414</v>
      </c>
      <c r="F38" s="21">
        <f t="shared" si="3"/>
        <v>1.52</v>
      </c>
    </row>
    <row r="39" spans="1:6" ht="14.25" customHeight="1" x14ac:dyDescent="0.2">
      <c r="A39" s="19">
        <v>4</v>
      </c>
      <c r="B39" s="177" t="s">
        <v>3</v>
      </c>
      <c r="C39" s="178"/>
      <c r="D39" s="14">
        <f>IF(F3="1",SUMIF(Data!A:A,'14'!$A$2,Data!CX:CX),0)</f>
        <v>1927323</v>
      </c>
      <c r="E39" s="17">
        <f>IF($F$3="1",SUMIF(Data!$A:$A,$A$2,Data!IR:IR),0)</f>
        <v>3214351</v>
      </c>
      <c r="F39" s="21">
        <f t="shared" si="3"/>
        <v>1.67</v>
      </c>
    </row>
    <row r="40" spans="1:6" x14ac:dyDescent="0.2">
      <c r="A40" s="19">
        <v>5</v>
      </c>
      <c r="B40" s="177" t="s">
        <v>4</v>
      </c>
      <c r="C40" s="178"/>
      <c r="D40" s="14">
        <f>IF(F3="1",SUMIF(Data!A:A,'14'!$A$2,Data!CY:CY),0)</f>
        <v>6096</v>
      </c>
      <c r="E40" s="17">
        <f>IF($F$3="1",SUMIF(Data!$A:$A,$A$2,Data!IS:IS),0)</f>
        <v>26886</v>
      </c>
      <c r="F40" s="21">
        <f t="shared" si="3"/>
        <v>4.41</v>
      </c>
    </row>
    <row r="41" spans="1:6" x14ac:dyDescent="0.2">
      <c r="A41" s="19">
        <v>6</v>
      </c>
      <c r="B41" s="177" t="s">
        <v>5</v>
      </c>
      <c r="C41" s="178"/>
      <c r="D41" s="14">
        <f>IF(F3="1",SUMIF(Data!A:A,'14'!$A$2,Data!CZ:CZ),0)</f>
        <v>252776</v>
      </c>
      <c r="E41" s="17">
        <f>IF($F$3="1",SUMIF(Data!$A:$A,$A$2,Data!IT:IT),0)</f>
        <v>1765929</v>
      </c>
      <c r="F41" s="21">
        <f t="shared" si="3"/>
        <v>6.99</v>
      </c>
    </row>
    <row r="42" spans="1:6" x14ac:dyDescent="0.2">
      <c r="A42" s="19">
        <v>7</v>
      </c>
      <c r="B42" s="177" t="s">
        <v>6</v>
      </c>
      <c r="C42" s="178"/>
      <c r="D42" s="14">
        <f>IF(F3="1",SUMIF(Data!A:A,'14'!$A$2,Data!DA:DA),0)</f>
        <v>2496401</v>
      </c>
      <c r="E42" s="17">
        <f>IF($F$3="1",SUMIF(Data!$A:$A,$A$2,Data!IU:IU),0)</f>
        <v>5067365</v>
      </c>
      <c r="F42" s="21">
        <f t="shared" si="3"/>
        <v>2.0299999999999998</v>
      </c>
    </row>
    <row r="43" spans="1:6" x14ac:dyDescent="0.2">
      <c r="A43" s="19">
        <v>8</v>
      </c>
      <c r="B43" s="177" t="s">
        <v>7</v>
      </c>
      <c r="C43" s="178"/>
      <c r="D43" s="14">
        <f>IF(F3="1",SUMIF(Data!A:A,'14'!$A$2,Data!DB:DB),0)</f>
        <v>205303</v>
      </c>
      <c r="E43" s="17">
        <f>IF($F$3="1",SUMIF(Data!$A:$A,$A$2,Data!IV:IV),0)</f>
        <v>886271</v>
      </c>
      <c r="F43" s="21">
        <f t="shared" si="3"/>
        <v>4.32</v>
      </c>
    </row>
    <row r="44" spans="1:6" x14ac:dyDescent="0.2">
      <c r="A44" s="19">
        <v>9</v>
      </c>
      <c r="B44" s="177" t="s">
        <v>8</v>
      </c>
      <c r="C44" s="178"/>
      <c r="D44" s="14">
        <f>IF(F3="1",SUMIF(Data!A:A,'14'!$A$2,Data!DC:DC),0)</f>
        <v>460909</v>
      </c>
      <c r="E44" s="17">
        <f>IF($F$3="1",SUMIF(Data!$A:$A,$A$2,Data!IW:IW),0)</f>
        <v>282713</v>
      </c>
      <c r="F44" s="21">
        <f t="shared" si="3"/>
        <v>0.61</v>
      </c>
    </row>
    <row r="45" spans="1:6" x14ac:dyDescent="0.2">
      <c r="A45" s="19">
        <v>10</v>
      </c>
      <c r="B45" s="177" t="s">
        <v>9</v>
      </c>
      <c r="C45" s="178"/>
      <c r="D45" s="14">
        <f>IF(F3="1",SUMIF(Data!A:A,'14'!$A$2,Data!DD:DD),0)</f>
        <v>2800</v>
      </c>
      <c r="E45" s="17">
        <f>IF($F$3="1",SUMIF(Data!$A:$A,$A$2,Data!IX:IX),0)</f>
        <v>1010</v>
      </c>
      <c r="F45" s="21">
        <f t="shared" si="3"/>
        <v>0.36</v>
      </c>
    </row>
    <row r="46" spans="1:6" x14ac:dyDescent="0.2">
      <c r="A46" s="19">
        <v>11</v>
      </c>
      <c r="B46" s="177" t="s">
        <v>10</v>
      </c>
      <c r="C46" s="178"/>
      <c r="D46" s="14">
        <f>IF(F3="1",SUMIF(Data!A:A,'14'!$A$2,Data!DE:DE),0)</f>
        <v>431027</v>
      </c>
      <c r="E46" s="17">
        <f>IF($F$3="1",SUMIF(Data!$A:$A,$A$2,Data!IY:IY),0)</f>
        <v>561001</v>
      </c>
      <c r="F46" s="21">
        <f t="shared" si="3"/>
        <v>1.3</v>
      </c>
    </row>
    <row r="47" spans="1:6" ht="14.25" customHeight="1" x14ac:dyDescent="0.2">
      <c r="A47" s="19">
        <v>12</v>
      </c>
      <c r="B47" s="177" t="s">
        <v>11</v>
      </c>
      <c r="C47" s="178"/>
      <c r="D47" s="14">
        <f>IF(F3="1",SUMIF(Data!A:A,'14'!$A$2,Data!DF:DF),0)</f>
        <v>4354724</v>
      </c>
      <c r="E47" s="17">
        <f>IF($F$3="1",SUMIF(Data!$A:$A,$A$2,Data!IZ:IZ),0)</f>
        <v>4028300</v>
      </c>
      <c r="F47" s="21">
        <f t="shared" si="3"/>
        <v>0.93</v>
      </c>
    </row>
    <row r="48" spans="1:6" x14ac:dyDescent="0.2">
      <c r="A48" s="19">
        <v>13</v>
      </c>
      <c r="B48" s="177" t="s">
        <v>12</v>
      </c>
      <c r="C48" s="178"/>
      <c r="D48" s="14">
        <f>IF(F3="1",SUMIF(Data!A:A,'14'!$A$2,Data!DG:DG),0)</f>
        <v>459399</v>
      </c>
      <c r="E48" s="17">
        <f>IF($F$3="1",SUMIF(Data!$A:$A,$A$2,Data!JA:JA),0)</f>
        <v>355573</v>
      </c>
      <c r="F48" s="21">
        <f t="shared" si="3"/>
        <v>0.77</v>
      </c>
    </row>
    <row r="49" spans="1:6" ht="14.25" customHeight="1" x14ac:dyDescent="0.2">
      <c r="A49" s="19">
        <v>14</v>
      </c>
      <c r="B49" s="177" t="s">
        <v>464</v>
      </c>
      <c r="C49" s="178"/>
      <c r="D49" s="14">
        <f>IF(F3="1",SUMIF(Data!A:A,'14'!$A$2,Data!DH:DH),0)</f>
        <v>277404</v>
      </c>
      <c r="E49" s="17">
        <f>IF($F$3="1",SUMIF(Data!$A:$A,$A$2,Data!JB:JB),0)</f>
        <v>636661</v>
      </c>
      <c r="F49" s="21">
        <f t="shared" si="3"/>
        <v>2.2999999999999998</v>
      </c>
    </row>
    <row r="50" spans="1:6" x14ac:dyDescent="0.2">
      <c r="A50" s="19">
        <v>15</v>
      </c>
      <c r="B50" s="177" t="s">
        <v>13</v>
      </c>
      <c r="C50" s="178"/>
      <c r="D50" s="14">
        <f>IF(F3="1",SUMIF(Data!A:A,'14'!$A$2,Data!DI:DI),0)</f>
        <v>0</v>
      </c>
      <c r="E50" s="17">
        <f>IF($F$3="1",SUMIF(Data!$A:$A,$A$2,Data!JC:JC),0)</f>
        <v>0</v>
      </c>
      <c r="F50" s="21" t="str">
        <f t="shared" si="3"/>
        <v/>
      </c>
    </row>
    <row r="51" spans="1:6" x14ac:dyDescent="0.2">
      <c r="A51" s="19">
        <v>16</v>
      </c>
      <c r="B51" s="177" t="s">
        <v>14</v>
      </c>
      <c r="C51" s="178"/>
      <c r="D51" s="14">
        <f>IF(F3="1",SUMIF(Data!A:A,'14'!$A$2,Data!DJ:DJ),0)</f>
        <v>433343</v>
      </c>
      <c r="E51" s="17">
        <f>IF($F$3="1",SUMIF(Data!$A:$A,$A$2,Data!JD:JD),0)</f>
        <v>1341896</v>
      </c>
      <c r="F51" s="21">
        <f t="shared" si="3"/>
        <v>3.1</v>
      </c>
    </row>
    <row r="52" spans="1:6" x14ac:dyDescent="0.2">
      <c r="A52" s="19">
        <v>17</v>
      </c>
      <c r="B52" s="177" t="s">
        <v>15</v>
      </c>
      <c r="C52" s="178"/>
      <c r="D52" s="14">
        <f>IF(F3="1",SUMIF(Data!A:A,'14'!$A$2,Data!DK:DK),0)</f>
        <v>5368</v>
      </c>
      <c r="E52" s="17">
        <f>IF($F$3="1",SUMIF(Data!$A:$A,$A$2,Data!JE:JE),0)</f>
        <v>25156</v>
      </c>
      <c r="F52" s="21">
        <f t="shared" si="3"/>
        <v>4.6900000000000004</v>
      </c>
    </row>
    <row r="53" spans="1:6" x14ac:dyDescent="0.2">
      <c r="A53" s="19">
        <v>18</v>
      </c>
      <c r="B53" s="177" t="s">
        <v>16</v>
      </c>
      <c r="C53" s="178"/>
      <c r="D53" s="14">
        <f>IF(F3="1",SUMIF(Data!A:A,'14'!$A$2,Data!DL:DL),0)</f>
        <v>25280</v>
      </c>
      <c r="E53" s="17">
        <f>IF($F$3="1",SUMIF(Data!$A:$A,$A$2,Data!JF:JF),0)</f>
        <v>32504</v>
      </c>
      <c r="F53" s="21">
        <f t="shared" si="3"/>
        <v>1.29</v>
      </c>
    </row>
    <row r="54" spans="1:6" x14ac:dyDescent="0.2">
      <c r="A54" s="19">
        <v>19</v>
      </c>
      <c r="B54" s="177" t="s">
        <v>17</v>
      </c>
      <c r="C54" s="178"/>
      <c r="D54" s="14">
        <f>IF(F3="1",SUMIF(Data!A:A,'14'!$A$2,Data!DM:DM),0)</f>
        <v>2292364</v>
      </c>
      <c r="E54" s="17">
        <f>IF($F$3="1",SUMIF(Data!$A:$A,$A$2,Data!JG:JG),0)</f>
        <v>1560462</v>
      </c>
      <c r="F54" s="21">
        <f t="shared" si="3"/>
        <v>0.68</v>
      </c>
    </row>
    <row r="55" spans="1:6" x14ac:dyDescent="0.2">
      <c r="A55" s="19">
        <v>20</v>
      </c>
      <c r="B55" s="177" t="s">
        <v>18</v>
      </c>
      <c r="C55" s="178"/>
      <c r="D55" s="14">
        <f>IF(F3="1",SUMIF(Data!A:A,'14'!$A$2,Data!DN:DN),0)</f>
        <v>331956</v>
      </c>
      <c r="E55" s="17">
        <f>IF($F$3="1",SUMIF(Data!$A:$A,$A$2,Data!JH:JH),0)</f>
        <v>612614</v>
      </c>
      <c r="F55" s="21">
        <f t="shared" si="3"/>
        <v>1.85</v>
      </c>
    </row>
    <row r="56" spans="1:6" ht="14.25" customHeight="1" x14ac:dyDescent="0.2">
      <c r="A56" s="19">
        <v>21</v>
      </c>
      <c r="B56" s="177" t="s">
        <v>461</v>
      </c>
      <c r="C56" s="178"/>
      <c r="D56" s="14">
        <f>IF(F3="1",SUMIF(Data!A:A,'14'!$A$2,Data!DO:DO),0)</f>
        <v>152356</v>
      </c>
      <c r="E56" s="17">
        <f>IF($F$3="1",SUMIF(Data!$A:$A,$A$2,Data!JI:JI),0)</f>
        <v>197419</v>
      </c>
      <c r="F56" s="21">
        <f t="shared" si="3"/>
        <v>1.3</v>
      </c>
    </row>
    <row r="57" spans="1:6" x14ac:dyDescent="0.2">
      <c r="A57" s="19">
        <v>22</v>
      </c>
      <c r="B57" s="177" t="s">
        <v>19</v>
      </c>
      <c r="C57" s="178"/>
      <c r="D57" s="14">
        <f>IF(F3="1",SUMIF(Data!A:A,'14'!$A$2,Data!DP:DP),0)</f>
        <v>30575</v>
      </c>
      <c r="E57" s="17">
        <f>IF($F$3="1",SUMIF(Data!$A:$A,$A$2,Data!JJ:JJ),0)</f>
        <v>41507</v>
      </c>
      <c r="F57" s="21">
        <f t="shared" si="3"/>
        <v>1.36</v>
      </c>
    </row>
    <row r="58" spans="1:6" x14ac:dyDescent="0.2">
      <c r="A58" s="19">
        <v>23</v>
      </c>
      <c r="B58" s="177" t="s">
        <v>20</v>
      </c>
      <c r="C58" s="178"/>
      <c r="D58" s="14">
        <f>IF(F3="1",SUMIF(Data!A:A,'14'!$A$2,Data!DQ:DQ),0)</f>
        <v>523792</v>
      </c>
      <c r="E58" s="17">
        <f>IF($F$3="1",SUMIF(Data!$A:$A,$A$2,Data!JK:JK),0)</f>
        <v>806521</v>
      </c>
      <c r="F58" s="21">
        <f t="shared" si="3"/>
        <v>1.54</v>
      </c>
    </row>
    <row r="59" spans="1:6" x14ac:dyDescent="0.2">
      <c r="A59" s="19">
        <v>24</v>
      </c>
      <c r="B59" s="177" t="s">
        <v>21</v>
      </c>
      <c r="C59" s="178"/>
      <c r="D59" s="14">
        <f>IF(F3="1",SUMIF(Data!A:A,'14'!$A$2,Data!DR:DR),0)</f>
        <v>627868</v>
      </c>
      <c r="E59" s="17">
        <f>IF($F$3="1",SUMIF(Data!$A:$A,$A$2,Data!JL:JL),0)</f>
        <v>889794</v>
      </c>
      <c r="F59" s="21">
        <f t="shared" si="3"/>
        <v>1.42</v>
      </c>
    </row>
    <row r="60" spans="1:6" x14ac:dyDescent="0.2">
      <c r="A60" s="19">
        <v>25</v>
      </c>
      <c r="B60" s="177" t="s">
        <v>22</v>
      </c>
      <c r="C60" s="178"/>
      <c r="D60" s="14">
        <f>IF(F3="1",SUMIF(Data!A:A,'14'!$A$2,Data!DS:DS),0)</f>
        <v>2885181</v>
      </c>
      <c r="E60" s="17">
        <f>IF($F$3="1",SUMIF(Data!$A:$A,$A$2,Data!JM:JM),0)</f>
        <v>1557106</v>
      </c>
      <c r="F60" s="21">
        <f t="shared" si="3"/>
        <v>0.54</v>
      </c>
    </row>
    <row r="61" spans="1:6" x14ac:dyDescent="0.2">
      <c r="A61" s="19">
        <v>26</v>
      </c>
      <c r="B61" s="177" t="s">
        <v>23</v>
      </c>
      <c r="C61" s="178"/>
      <c r="D61" s="14">
        <f>IF(F3="1",SUMIF(Data!A:A,'14'!$A$2,Data!DT:DT),0)</f>
        <v>944972</v>
      </c>
      <c r="E61" s="17">
        <f>IF($F$3="1",SUMIF(Data!$A:$A,$A$2,Data!JN:JN),0)</f>
        <v>1906473</v>
      </c>
      <c r="F61" s="21">
        <f t="shared" si="3"/>
        <v>2.02</v>
      </c>
    </row>
    <row r="62" spans="1:6" x14ac:dyDescent="0.2">
      <c r="A62" s="19">
        <v>28</v>
      </c>
      <c r="B62" s="177" t="s">
        <v>24</v>
      </c>
      <c r="C62" s="178"/>
      <c r="D62" s="14">
        <f>IF(F3="1",SUMIF(Data!A:A,'14'!$A$2,Data!DV:DV),0)</f>
        <v>0</v>
      </c>
      <c r="E62" s="17">
        <f>IF($F$3="1",SUMIF(Data!$A:$A,$A$2,Data!JP:JP),0)</f>
        <v>0</v>
      </c>
      <c r="F62" s="21" t="str">
        <f t="shared" si="3"/>
        <v/>
      </c>
    </row>
    <row r="63" spans="1:6" ht="15.75" customHeight="1" thickBot="1" x14ac:dyDescent="0.25">
      <c r="A63" s="22">
        <v>29</v>
      </c>
      <c r="B63" s="179" t="s">
        <v>25</v>
      </c>
      <c r="C63" s="180"/>
      <c r="D63" s="23">
        <f>IF(F3="1",SUMIF(Data!A:A,'14'!$A$2,Data!DW:DW),0)</f>
        <v>0</v>
      </c>
      <c r="E63" s="24">
        <f>IF($F$3="1",SUMIF(Data!$A:$A,$A$2,Data!JQ:JQ),0)</f>
        <v>0</v>
      </c>
      <c r="F63" s="25" t="str">
        <f t="shared" si="3"/>
        <v/>
      </c>
    </row>
    <row r="64" spans="1:6" x14ac:dyDescent="0.2">
      <c r="B64" s="30" t="s">
        <v>35</v>
      </c>
      <c r="C64" s="30"/>
      <c r="D64" s="59">
        <f>SUM(D36:D63)</f>
        <v>21370586</v>
      </c>
      <c r="E64" s="31">
        <f>SUM(E36:E63)</f>
        <v>29528362</v>
      </c>
      <c r="F64" s="32">
        <f t="shared" si="3"/>
        <v>1.38</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167717</v>
      </c>
      <c r="E67" s="15">
        <f>IF(F3="1",SUMIF(Data!A:A,'14'!$A$2,Data!DY:DY),0)</f>
        <v>471841</v>
      </c>
      <c r="F67" s="20">
        <f t="shared" ref="F67:F95" si="4">IF(OR(D67=0,E67=0),"",ROUND(E67/D67,2))</f>
        <v>2.81</v>
      </c>
    </row>
    <row r="68" spans="1:6" x14ac:dyDescent="0.2">
      <c r="A68" s="19">
        <v>2</v>
      </c>
      <c r="B68" s="177" t="s">
        <v>1</v>
      </c>
      <c r="C68" s="178"/>
      <c r="D68" s="14">
        <f t="shared" ref="D68:D94" si="5">D37</f>
        <v>206450</v>
      </c>
      <c r="E68" s="17">
        <f>IF(F3="1",SUMIF(Data!A:A,'14'!$A$2,Data!DZ:DZ),0)</f>
        <v>350324</v>
      </c>
      <c r="F68" s="21">
        <f t="shared" si="4"/>
        <v>1.7</v>
      </c>
    </row>
    <row r="69" spans="1:6" ht="14.25" customHeight="1" x14ac:dyDescent="0.2">
      <c r="A69" s="19">
        <v>3</v>
      </c>
      <c r="B69" s="177" t="s">
        <v>2</v>
      </c>
      <c r="C69" s="178"/>
      <c r="D69" s="14">
        <f t="shared" si="5"/>
        <v>1869202</v>
      </c>
      <c r="E69" s="17">
        <f>IF(F3="1",SUMIF(Data!A:A,'14'!$A$2,Data!EA:EA),0)</f>
        <v>4361153</v>
      </c>
      <c r="F69" s="21">
        <f t="shared" si="4"/>
        <v>2.33</v>
      </c>
    </row>
    <row r="70" spans="1:6" ht="14.25" customHeight="1" x14ac:dyDescent="0.2">
      <c r="A70" s="19">
        <v>4</v>
      </c>
      <c r="B70" s="177" t="s">
        <v>3</v>
      </c>
      <c r="C70" s="178"/>
      <c r="D70" s="14">
        <f t="shared" si="5"/>
        <v>1927323</v>
      </c>
      <c r="E70" s="17">
        <f>IF(F3="1",SUMIF(Data!A:A,'14'!$A$2,Data!EB:EB),0)</f>
        <v>5580410</v>
      </c>
      <c r="F70" s="21">
        <f t="shared" si="4"/>
        <v>2.9</v>
      </c>
    </row>
    <row r="71" spans="1:6" x14ac:dyDescent="0.2">
      <c r="A71" s="19">
        <v>5</v>
      </c>
      <c r="B71" s="177" t="s">
        <v>4</v>
      </c>
      <c r="C71" s="178"/>
      <c r="D71" s="14">
        <f t="shared" si="5"/>
        <v>6096</v>
      </c>
      <c r="E71" s="17">
        <f>IF(F3="1",SUMIF(Data!A:A,'14'!$A$2,Data!EC:EC),0)</f>
        <v>107718</v>
      </c>
      <c r="F71" s="21">
        <f t="shared" si="4"/>
        <v>17.670000000000002</v>
      </c>
    </row>
    <row r="72" spans="1:6" x14ac:dyDescent="0.2">
      <c r="A72" s="19">
        <v>6</v>
      </c>
      <c r="B72" s="177" t="s">
        <v>5</v>
      </c>
      <c r="C72" s="178"/>
      <c r="D72" s="14">
        <f t="shared" si="5"/>
        <v>252776</v>
      </c>
      <c r="E72" s="17">
        <f>IF(F3="1",SUMIF(Data!A:A,'14'!$A$2,Data!ED:ED),0)</f>
        <v>513452</v>
      </c>
      <c r="F72" s="21">
        <f t="shared" si="4"/>
        <v>2.0299999999999998</v>
      </c>
    </row>
    <row r="73" spans="1:6" x14ac:dyDescent="0.2">
      <c r="A73" s="19">
        <v>7</v>
      </c>
      <c r="B73" s="177" t="s">
        <v>6</v>
      </c>
      <c r="C73" s="178"/>
      <c r="D73" s="14">
        <f t="shared" si="5"/>
        <v>2496401</v>
      </c>
      <c r="E73" s="17">
        <f>IF(F3="1",SUMIF(Data!A:A,'14'!$A$2,Data!EE:EE),0)</f>
        <v>5477974</v>
      </c>
      <c r="F73" s="21">
        <f t="shared" si="4"/>
        <v>2.19</v>
      </c>
    </row>
    <row r="74" spans="1:6" x14ac:dyDescent="0.2">
      <c r="A74" s="19">
        <v>8</v>
      </c>
      <c r="B74" s="177" t="s">
        <v>7</v>
      </c>
      <c r="C74" s="178"/>
      <c r="D74" s="14">
        <f t="shared" si="5"/>
        <v>205303</v>
      </c>
      <c r="E74" s="17">
        <f>IF(F3="1",SUMIF(Data!A:A,'14'!$A$2,Data!EF:EF),0)</f>
        <v>691139</v>
      </c>
      <c r="F74" s="21">
        <f t="shared" si="4"/>
        <v>3.37</v>
      </c>
    </row>
    <row r="75" spans="1:6" x14ac:dyDescent="0.2">
      <c r="A75" s="19">
        <v>9</v>
      </c>
      <c r="B75" s="177" t="s">
        <v>8</v>
      </c>
      <c r="C75" s="178"/>
      <c r="D75" s="14">
        <f t="shared" si="5"/>
        <v>460909</v>
      </c>
      <c r="E75" s="17">
        <f>IF(F3="1",SUMIF(Data!A:A,'14'!$A$2,Data!EG:EG),0)</f>
        <v>798678</v>
      </c>
      <c r="F75" s="21">
        <f t="shared" si="4"/>
        <v>1.73</v>
      </c>
    </row>
    <row r="76" spans="1:6" x14ac:dyDescent="0.2">
      <c r="A76" s="19">
        <v>10</v>
      </c>
      <c r="B76" s="177" t="s">
        <v>9</v>
      </c>
      <c r="C76" s="178"/>
      <c r="D76" s="14">
        <f t="shared" si="5"/>
        <v>2800</v>
      </c>
      <c r="E76" s="17">
        <f>IF(F3="1",SUMIF(Data!A:A,'14'!$A$2,Data!EH:EH),0)</f>
        <v>9034</v>
      </c>
      <c r="F76" s="21">
        <f t="shared" si="4"/>
        <v>3.23</v>
      </c>
    </row>
    <row r="77" spans="1:6" x14ac:dyDescent="0.2">
      <c r="A77" s="19">
        <v>11</v>
      </c>
      <c r="B77" s="177" t="s">
        <v>10</v>
      </c>
      <c r="C77" s="178"/>
      <c r="D77" s="14">
        <f t="shared" si="5"/>
        <v>431027</v>
      </c>
      <c r="E77" s="17">
        <f>IF(F3="1",SUMIF(Data!A:A,'14'!$A$2,Data!EI:EI),0)</f>
        <v>1125162</v>
      </c>
      <c r="F77" s="21">
        <f t="shared" si="4"/>
        <v>2.61</v>
      </c>
    </row>
    <row r="78" spans="1:6" ht="14.25" customHeight="1" x14ac:dyDescent="0.2">
      <c r="A78" s="19">
        <v>12</v>
      </c>
      <c r="B78" s="177" t="s">
        <v>11</v>
      </c>
      <c r="C78" s="178"/>
      <c r="D78" s="14">
        <f t="shared" si="5"/>
        <v>4354724</v>
      </c>
      <c r="E78" s="17">
        <f>IF(F3="1",SUMIF(Data!A:A,'14'!$A$2,Data!EJ:EJ),0)</f>
        <v>11972087</v>
      </c>
      <c r="F78" s="21">
        <f t="shared" si="4"/>
        <v>2.75</v>
      </c>
    </row>
    <row r="79" spans="1:6" x14ac:dyDescent="0.2">
      <c r="A79" s="19">
        <v>13</v>
      </c>
      <c r="B79" s="177" t="s">
        <v>12</v>
      </c>
      <c r="C79" s="178"/>
      <c r="D79" s="14">
        <f t="shared" si="5"/>
        <v>459399</v>
      </c>
      <c r="E79" s="17">
        <f>IF(F3="1",SUMIF(Data!A:A,'14'!$A$2,Data!EK:EK),0)</f>
        <v>1277083</v>
      </c>
      <c r="F79" s="21">
        <f t="shared" si="4"/>
        <v>2.78</v>
      </c>
    </row>
    <row r="80" spans="1:6" ht="14.25" customHeight="1" x14ac:dyDescent="0.2">
      <c r="A80" s="19">
        <v>14</v>
      </c>
      <c r="B80" s="177" t="s">
        <v>464</v>
      </c>
      <c r="C80" s="178"/>
      <c r="D80" s="14">
        <f t="shared" si="5"/>
        <v>277404</v>
      </c>
      <c r="E80" s="17">
        <f>IF(F3="1",SUMIF(Data!A:A,'14'!$A$2,Data!EL:EL),0)</f>
        <v>1669556</v>
      </c>
      <c r="F80" s="21">
        <f t="shared" si="4"/>
        <v>6.02</v>
      </c>
    </row>
    <row r="81" spans="1:6" x14ac:dyDescent="0.2">
      <c r="A81" s="19">
        <v>15</v>
      </c>
      <c r="B81" s="177" t="s">
        <v>13</v>
      </c>
      <c r="C81" s="178"/>
      <c r="D81" s="14">
        <f t="shared" si="5"/>
        <v>0</v>
      </c>
      <c r="E81" s="17">
        <f>IF(F3="1",SUMIF(Data!A:A,'14'!$A$2,Data!EM:EM),0)</f>
        <v>0</v>
      </c>
      <c r="F81" s="21" t="str">
        <f t="shared" si="4"/>
        <v/>
      </c>
    </row>
    <row r="82" spans="1:6" x14ac:dyDescent="0.2">
      <c r="A82" s="19">
        <v>16</v>
      </c>
      <c r="B82" s="177" t="s">
        <v>14</v>
      </c>
      <c r="C82" s="178"/>
      <c r="D82" s="14">
        <f t="shared" si="5"/>
        <v>433343</v>
      </c>
      <c r="E82" s="17">
        <f>IF(F3="1",SUMIF(Data!A:A,'14'!$A$2,Data!EN:EN),0)</f>
        <v>912374</v>
      </c>
      <c r="F82" s="21">
        <f t="shared" si="4"/>
        <v>2.11</v>
      </c>
    </row>
    <row r="83" spans="1:6" x14ac:dyDescent="0.2">
      <c r="A83" s="19">
        <v>17</v>
      </c>
      <c r="B83" s="177" t="s">
        <v>15</v>
      </c>
      <c r="C83" s="178"/>
      <c r="D83" s="14">
        <f t="shared" si="5"/>
        <v>5368</v>
      </c>
      <c r="E83" s="17">
        <f>IF(F3="1",SUMIF(Data!A:A,'14'!$A$2,Data!EO:EO),0)</f>
        <v>125138</v>
      </c>
      <c r="F83" s="21">
        <f t="shared" si="4"/>
        <v>23.31</v>
      </c>
    </row>
    <row r="84" spans="1:6" x14ac:dyDescent="0.2">
      <c r="A84" s="19">
        <v>18</v>
      </c>
      <c r="B84" s="177" t="s">
        <v>16</v>
      </c>
      <c r="C84" s="178"/>
      <c r="D84" s="14">
        <f t="shared" si="5"/>
        <v>25280</v>
      </c>
      <c r="E84" s="17">
        <f>IF(F3="1",SUMIF(Data!A:A,'14'!$A$2,Data!EP:EP),0)</f>
        <v>114072</v>
      </c>
      <c r="F84" s="21">
        <f t="shared" si="4"/>
        <v>4.51</v>
      </c>
    </row>
    <row r="85" spans="1:6" x14ac:dyDescent="0.2">
      <c r="A85" s="19">
        <v>19</v>
      </c>
      <c r="B85" s="177" t="s">
        <v>17</v>
      </c>
      <c r="C85" s="178"/>
      <c r="D85" s="14">
        <f t="shared" si="5"/>
        <v>2292364</v>
      </c>
      <c r="E85" s="17">
        <f>IF(F3="1",SUMIF(Data!A:A,'14'!$A$2,Data!EQ:EQ),0)</f>
        <v>5268052</v>
      </c>
      <c r="F85" s="21">
        <f t="shared" si="4"/>
        <v>2.2999999999999998</v>
      </c>
    </row>
    <row r="86" spans="1:6" x14ac:dyDescent="0.2">
      <c r="A86" s="19">
        <v>20</v>
      </c>
      <c r="B86" s="177" t="s">
        <v>18</v>
      </c>
      <c r="C86" s="178"/>
      <c r="D86" s="14">
        <f t="shared" si="5"/>
        <v>331956</v>
      </c>
      <c r="E86" s="17">
        <f>IF(F3="1",SUMIF(Data!A:A,'14'!$A$2,Data!ER:ER),0)</f>
        <v>1251541</v>
      </c>
      <c r="F86" s="21">
        <f t="shared" si="4"/>
        <v>3.77</v>
      </c>
    </row>
    <row r="87" spans="1:6" ht="14.25" customHeight="1" x14ac:dyDescent="0.2">
      <c r="A87" s="19">
        <v>21</v>
      </c>
      <c r="B87" s="177" t="s">
        <v>461</v>
      </c>
      <c r="C87" s="178"/>
      <c r="D87" s="14">
        <f t="shared" si="5"/>
        <v>152356</v>
      </c>
      <c r="E87" s="17">
        <f>IF(F3="1",SUMIF(Data!A:A,'14'!$A$2,Data!ES:ES),0)</f>
        <v>204020</v>
      </c>
      <c r="F87" s="21">
        <f t="shared" si="4"/>
        <v>1.34</v>
      </c>
    </row>
    <row r="88" spans="1:6" x14ac:dyDescent="0.2">
      <c r="A88" s="19">
        <v>22</v>
      </c>
      <c r="B88" s="177" t="s">
        <v>19</v>
      </c>
      <c r="C88" s="178"/>
      <c r="D88" s="14">
        <f t="shared" si="5"/>
        <v>30575</v>
      </c>
      <c r="E88" s="17">
        <f>IF(F3="1",SUMIF(Data!A:A,'14'!$A$2,Data!ET:ET),0)</f>
        <v>35884</v>
      </c>
      <c r="F88" s="21">
        <f t="shared" si="4"/>
        <v>1.17</v>
      </c>
    </row>
    <row r="89" spans="1:6" x14ac:dyDescent="0.2">
      <c r="A89" s="19">
        <v>23</v>
      </c>
      <c r="B89" s="177" t="s">
        <v>20</v>
      </c>
      <c r="C89" s="178"/>
      <c r="D89" s="14">
        <f t="shared" si="5"/>
        <v>523792</v>
      </c>
      <c r="E89" s="17">
        <f>IF(F3="1",SUMIF(Data!A:A,'14'!$A$2,Data!EU:EU),0)</f>
        <v>1933763</v>
      </c>
      <c r="F89" s="21">
        <f t="shared" si="4"/>
        <v>3.69</v>
      </c>
    </row>
    <row r="90" spans="1:6" x14ac:dyDescent="0.2">
      <c r="A90" s="19">
        <v>24</v>
      </c>
      <c r="B90" s="177" t="s">
        <v>21</v>
      </c>
      <c r="C90" s="178"/>
      <c r="D90" s="14">
        <f t="shared" si="5"/>
        <v>627868</v>
      </c>
      <c r="E90" s="17">
        <f>IF(F3="1",SUMIF(Data!A:A,'14'!$A$2,Data!EV:EV),0)</f>
        <v>849260</v>
      </c>
      <c r="F90" s="21">
        <f t="shared" si="4"/>
        <v>1.35</v>
      </c>
    </row>
    <row r="91" spans="1:6" x14ac:dyDescent="0.2">
      <c r="A91" s="19">
        <v>25</v>
      </c>
      <c r="B91" s="177" t="s">
        <v>22</v>
      </c>
      <c r="C91" s="178"/>
      <c r="D91" s="14">
        <f t="shared" si="5"/>
        <v>2885181</v>
      </c>
      <c r="E91" s="17">
        <f>IF(F3="1",SUMIF(Data!A:A,'14'!$A$2,Data!EW:EW),0)</f>
        <v>6859121</v>
      </c>
      <c r="F91" s="21">
        <f t="shared" si="4"/>
        <v>2.38</v>
      </c>
    </row>
    <row r="92" spans="1:6" x14ac:dyDescent="0.2">
      <c r="A92" s="19">
        <v>26</v>
      </c>
      <c r="B92" s="177" t="s">
        <v>23</v>
      </c>
      <c r="C92" s="178"/>
      <c r="D92" s="14">
        <f t="shared" si="5"/>
        <v>944972</v>
      </c>
      <c r="E92" s="17">
        <f>IF(F3="1",SUMIF(Data!A:A,'14'!$A$2,Data!EX:EX),0)</f>
        <v>3931043</v>
      </c>
      <c r="F92" s="21">
        <f t="shared" si="4"/>
        <v>4.16</v>
      </c>
    </row>
    <row r="93" spans="1:6" x14ac:dyDescent="0.2">
      <c r="A93" s="19">
        <v>28</v>
      </c>
      <c r="B93" s="177" t="s">
        <v>24</v>
      </c>
      <c r="C93" s="178"/>
      <c r="D93" s="14">
        <f t="shared" si="5"/>
        <v>0</v>
      </c>
      <c r="E93" s="17">
        <f>IF(F3="1",SUMIF(Data!A:A,'14'!$A$2,Data!EZ:EZ),0)</f>
        <v>0</v>
      </c>
      <c r="F93" s="21" t="str">
        <f t="shared" si="4"/>
        <v/>
      </c>
    </row>
    <row r="94" spans="1:6" ht="15.75" customHeight="1" thickBot="1" x14ac:dyDescent="0.25">
      <c r="A94" s="22">
        <v>29</v>
      </c>
      <c r="B94" s="179" t="s">
        <v>25</v>
      </c>
      <c r="C94" s="180"/>
      <c r="D94" s="23">
        <f t="shared" si="5"/>
        <v>0</v>
      </c>
      <c r="E94" s="24">
        <f>IF(F3="1",SUMIF(Data!A:A,'14'!$A$2,Data!FA:FA),0)</f>
        <v>0</v>
      </c>
      <c r="F94" s="25" t="str">
        <f t="shared" si="4"/>
        <v/>
      </c>
    </row>
    <row r="95" spans="1:6" x14ac:dyDescent="0.2">
      <c r="B95" s="30" t="s">
        <v>35</v>
      </c>
      <c r="C95" s="30"/>
      <c r="D95" s="59">
        <f>SUM(D67:D94)</f>
        <v>21370586</v>
      </c>
      <c r="E95" s="31">
        <f>SUM(E67:E94)</f>
        <v>55889879</v>
      </c>
      <c r="F95" s="32">
        <f t="shared" si="4"/>
        <v>2.62</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IF(F3="1",SUMIF(Data!A:A,'14'!$A$2,Data!AH:AH),0)</f>
        <v>29406297</v>
      </c>
      <c r="F98" s="20">
        <f>IF(OR(E98=0,E98=0),"",ROUND(E98/$D$105,2))</f>
        <v>1.38</v>
      </c>
    </row>
    <row r="99" spans="2:6" x14ac:dyDescent="0.2">
      <c r="B99" s="183" t="s">
        <v>31</v>
      </c>
      <c r="C99" s="184"/>
      <c r="D99" s="36"/>
      <c r="E99" s="17">
        <f>IF(F3="1",SUMIF(Data!A:A,'14'!$A$2,Data!AI:AI),0)</f>
        <v>14289768</v>
      </c>
      <c r="F99" s="21">
        <f t="shared" ref="F99:F104" si="6">IF(OR(E99=0,E99=0),"",ROUND(E99/$D$105,2))</f>
        <v>0.67</v>
      </c>
    </row>
    <row r="100" spans="2:6" x14ac:dyDescent="0.2">
      <c r="B100" s="183" t="s">
        <v>1078</v>
      </c>
      <c r="C100" s="184"/>
      <c r="D100" s="36"/>
      <c r="E100" s="17">
        <f>IF(F3="1",SUMIF(Data!A:A,'14'!$A$2,Data!AJ:AJ),0)</f>
        <v>6702248</v>
      </c>
      <c r="F100" s="21">
        <f t="shared" si="6"/>
        <v>0.31</v>
      </c>
    </row>
    <row r="101" spans="2:6" x14ac:dyDescent="0.2">
      <c r="B101" s="183" t="s">
        <v>1079</v>
      </c>
      <c r="C101" s="184"/>
      <c r="D101" s="36"/>
      <c r="E101" s="17">
        <f>IF(F3="1",SUMIF(Data!A:A,'14'!$A$2,Data!AK:AK),0)</f>
        <v>5433651</v>
      </c>
      <c r="F101" s="21">
        <f t="shared" si="6"/>
        <v>0.25</v>
      </c>
    </row>
    <row r="102" spans="2:6" x14ac:dyDescent="0.2">
      <c r="B102" s="183" t="s">
        <v>1080</v>
      </c>
      <c r="C102" s="184"/>
      <c r="D102" s="36"/>
      <c r="E102" s="17">
        <f>IF(F3="1",SUMIF(Data!A:A,'14'!$A$2,Data!AL:AL),0)</f>
        <v>577790</v>
      </c>
      <c r="F102" s="21">
        <f t="shared" si="6"/>
        <v>0.03</v>
      </c>
    </row>
    <row r="103" spans="2:6" x14ac:dyDescent="0.2">
      <c r="B103" s="185" t="s">
        <v>34</v>
      </c>
      <c r="C103" s="186"/>
      <c r="D103" s="36"/>
      <c r="E103" s="17">
        <f>IF(F3="1",SUMIF(Data!A:A,'14'!$A$2,Data!AM:AM),0)</f>
        <v>0</v>
      </c>
      <c r="F103" s="21" t="str">
        <f t="shared" si="6"/>
        <v/>
      </c>
    </row>
    <row r="104" spans="2:6" ht="15.75" customHeight="1" thickBot="1" x14ac:dyDescent="0.25">
      <c r="B104" s="175" t="s">
        <v>29</v>
      </c>
      <c r="C104" s="176"/>
      <c r="D104" s="37"/>
      <c r="E104" s="24">
        <f>IF(F3="1",SUMIF(Data!A:A,'14'!$A$2,Data!Q:Q),0)</f>
        <v>4087750</v>
      </c>
      <c r="F104" s="25">
        <f t="shared" si="6"/>
        <v>0.19</v>
      </c>
    </row>
    <row r="105" spans="2:6" x14ac:dyDescent="0.2">
      <c r="B105" s="30" t="s">
        <v>35</v>
      </c>
      <c r="C105" s="30"/>
      <c r="D105" s="34">
        <f>D95</f>
        <v>21370586</v>
      </c>
      <c r="E105" s="31">
        <f>SUM(E98:E104)</f>
        <v>60497504</v>
      </c>
      <c r="F105" s="32">
        <f>IF($D$105=0,"",ROUND(E105/$D$105,2))</f>
        <v>2.83</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55889879</v>
      </c>
      <c r="D109" s="15">
        <f>IF(F3="1",SUMIF(Data!$A:$A,$A$2,Data!HJ:HJ),0)</f>
        <v>0</v>
      </c>
      <c r="E109" s="15">
        <f>IF(F3="1",SUMIF(Data!$A:$A,$A$2,Data!IN:IN),0)</f>
        <v>0</v>
      </c>
      <c r="F109" s="47">
        <f>SUM(C109:E109)</f>
        <v>55889879</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577790</v>
      </c>
      <c r="F116" s="48">
        <f t="shared" si="7"/>
        <v>577790</v>
      </c>
    </row>
    <row r="117" spans="1:6" ht="15" thickBot="1" x14ac:dyDescent="0.25">
      <c r="B117" s="43" t="s">
        <v>933</v>
      </c>
      <c r="C117" s="52"/>
      <c r="D117" s="52">
        <f>IF(F3="1",SUMIF(Data!A:A,$A$2,Data!Q:Q),0)</f>
        <v>4087750</v>
      </c>
      <c r="E117" s="52"/>
      <c r="F117" s="49">
        <f>SUM(C117:E117)</f>
        <v>4087750</v>
      </c>
    </row>
    <row r="118" spans="1:6" x14ac:dyDescent="0.2">
      <c r="B118" s="13" t="s">
        <v>35</v>
      </c>
      <c r="C118" s="4">
        <f>SUM(C109:C116)</f>
        <v>55889879</v>
      </c>
      <c r="D118" s="4">
        <f>SUM(D109:D116)</f>
        <v>0</v>
      </c>
      <c r="E118" s="4">
        <f>SUM(E109:E116)</f>
        <v>577790</v>
      </c>
      <c r="F118" s="4">
        <f>SUM(F109:F116)</f>
        <v>56467669</v>
      </c>
    </row>
    <row r="119" spans="1:6" ht="15" thickBot="1" x14ac:dyDescent="0.25"/>
    <row r="120" spans="1:6" ht="15" thickBot="1" x14ac:dyDescent="0.25">
      <c r="B120" s="55" t="s">
        <v>934</v>
      </c>
      <c r="C120" s="53"/>
      <c r="D120" s="53"/>
      <c r="E120" s="53">
        <f>IF(F3="1",SUMIF(Data!A:A,'14'!$A$2,Data!AM:AM),0)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42578125" style="10" bestFit="1" customWidth="1"/>
    <col min="12" max="12" width="13.5703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364</v>
      </c>
      <c r="B2" s="58" t="str">
        <f>VLOOKUP(A2,Data!A:G,7,0)</f>
        <v>Del Mar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0</v>
      </c>
      <c r="E5" s="15">
        <f>E36+E67+IFERROR($E$105/$D$105*D5,0)</f>
        <v>0</v>
      </c>
      <c r="F5" s="20" t="str">
        <f>IF(OR(D5=0,E5=0),"",ROUND(E5/D5,2))</f>
        <v/>
      </c>
    </row>
    <row r="6" spans="1:6" x14ac:dyDescent="0.2">
      <c r="A6" s="19">
        <v>2</v>
      </c>
      <c r="B6" s="177" t="s">
        <v>1</v>
      </c>
      <c r="C6" s="178"/>
      <c r="D6" s="14">
        <f t="shared" ref="D6:D32" si="0">D37</f>
        <v>119003</v>
      </c>
      <c r="E6" s="17">
        <f t="shared" ref="E6:E32" si="1">E37+E68+IFERROR($E$105/$D$105*D6,0)</f>
        <v>930691.98987688113</v>
      </c>
      <c r="F6" s="21">
        <f t="shared" ref="F6:F33" si="2">IF(OR(D6=0,E6=0),"",ROUND(E6/D6,2))</f>
        <v>7.82</v>
      </c>
    </row>
    <row r="7" spans="1:6" ht="14.25" customHeight="1" x14ac:dyDescent="0.2">
      <c r="A7" s="19">
        <v>3</v>
      </c>
      <c r="B7" s="177" t="s">
        <v>2</v>
      </c>
      <c r="C7" s="178"/>
      <c r="D7" s="14">
        <f t="shared" si="0"/>
        <v>437056</v>
      </c>
      <c r="E7" s="17">
        <f t="shared" si="1"/>
        <v>3336362.6983574377</v>
      </c>
      <c r="F7" s="21">
        <f t="shared" si="2"/>
        <v>7.63</v>
      </c>
    </row>
    <row r="8" spans="1:6" ht="14.25" customHeight="1" x14ac:dyDescent="0.2">
      <c r="A8" s="19">
        <v>4</v>
      </c>
      <c r="B8" s="177" t="s">
        <v>3</v>
      </c>
      <c r="C8" s="178"/>
      <c r="D8" s="14">
        <f t="shared" si="0"/>
        <v>373264</v>
      </c>
      <c r="E8" s="17">
        <f t="shared" si="1"/>
        <v>3013544.4194970224</v>
      </c>
      <c r="F8" s="21">
        <f t="shared" si="2"/>
        <v>8.07</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23352</v>
      </c>
      <c r="E10" s="17">
        <f t="shared" si="1"/>
        <v>122667.32668592327</v>
      </c>
      <c r="F10" s="21">
        <f t="shared" si="2"/>
        <v>5.25</v>
      </c>
    </row>
    <row r="11" spans="1:6" x14ac:dyDescent="0.2">
      <c r="A11" s="19">
        <v>7</v>
      </c>
      <c r="B11" s="177" t="s">
        <v>6</v>
      </c>
      <c r="C11" s="178"/>
      <c r="D11" s="14">
        <f t="shared" si="0"/>
        <v>311088</v>
      </c>
      <c r="E11" s="17">
        <f t="shared" si="1"/>
        <v>2006276.903908466</v>
      </c>
      <c r="F11" s="21">
        <f t="shared" si="2"/>
        <v>6.45</v>
      </c>
    </row>
    <row r="12" spans="1:6" x14ac:dyDescent="0.2">
      <c r="A12" s="19">
        <v>8</v>
      </c>
      <c r="B12" s="177" t="s">
        <v>7</v>
      </c>
      <c r="C12" s="178"/>
      <c r="D12" s="14">
        <f t="shared" si="0"/>
        <v>25746</v>
      </c>
      <c r="E12" s="17">
        <f t="shared" si="1"/>
        <v>99682.318810199577</v>
      </c>
      <c r="F12" s="21">
        <f t="shared" si="2"/>
        <v>3.87</v>
      </c>
    </row>
    <row r="13" spans="1:6" x14ac:dyDescent="0.2">
      <c r="A13" s="19">
        <v>9</v>
      </c>
      <c r="B13" s="177" t="s">
        <v>8</v>
      </c>
      <c r="C13" s="178"/>
      <c r="D13" s="14">
        <f t="shared" si="0"/>
        <v>222301</v>
      </c>
      <c r="E13" s="17">
        <f t="shared" si="1"/>
        <v>1664939.9975851076</v>
      </c>
      <c r="F13" s="21">
        <f t="shared" si="2"/>
        <v>7.49</v>
      </c>
    </row>
    <row r="14" spans="1:6" x14ac:dyDescent="0.2">
      <c r="A14" s="19">
        <v>10</v>
      </c>
      <c r="B14" s="177" t="s">
        <v>9</v>
      </c>
      <c r="C14" s="178"/>
      <c r="D14" s="14">
        <f t="shared" si="0"/>
        <v>224</v>
      </c>
      <c r="E14" s="17">
        <f t="shared" si="1"/>
        <v>867.27411689135033</v>
      </c>
      <c r="F14" s="21">
        <f t="shared" si="2"/>
        <v>3.87</v>
      </c>
    </row>
    <row r="15" spans="1:6" x14ac:dyDescent="0.2">
      <c r="A15" s="19">
        <v>11</v>
      </c>
      <c r="B15" s="177" t="s">
        <v>10</v>
      </c>
      <c r="C15" s="178"/>
      <c r="D15" s="14">
        <f t="shared" si="0"/>
        <v>150288</v>
      </c>
      <c r="E15" s="17">
        <f t="shared" si="1"/>
        <v>1084808.9842828894</v>
      </c>
      <c r="F15" s="21">
        <f t="shared" si="2"/>
        <v>7.22</v>
      </c>
    </row>
    <row r="16" spans="1:6" ht="14.25" customHeight="1" x14ac:dyDescent="0.2">
      <c r="A16" s="19">
        <v>12</v>
      </c>
      <c r="B16" s="177" t="s">
        <v>11</v>
      </c>
      <c r="C16" s="178"/>
      <c r="D16" s="14">
        <f t="shared" si="0"/>
        <v>698766</v>
      </c>
      <c r="E16" s="17">
        <f t="shared" si="1"/>
        <v>9519237.8641236667</v>
      </c>
      <c r="F16" s="21">
        <f t="shared" si="2"/>
        <v>13.62</v>
      </c>
    </row>
    <row r="17" spans="1:6" x14ac:dyDescent="0.2">
      <c r="A17" s="19">
        <v>13</v>
      </c>
      <c r="B17" s="177" t="s">
        <v>12</v>
      </c>
      <c r="C17" s="178"/>
      <c r="D17" s="14">
        <f t="shared" si="0"/>
        <v>59916</v>
      </c>
      <c r="E17" s="17">
        <f t="shared" si="1"/>
        <v>421821.33923063462</v>
      </c>
      <c r="F17" s="21">
        <f t="shared" si="2"/>
        <v>7.04</v>
      </c>
    </row>
    <row r="18" spans="1:6" ht="14.25" customHeight="1" x14ac:dyDescent="0.2">
      <c r="A18" s="19">
        <v>14</v>
      </c>
      <c r="B18" s="177" t="s">
        <v>464</v>
      </c>
      <c r="C18" s="178"/>
      <c r="D18" s="14">
        <f t="shared" si="0"/>
        <v>237492</v>
      </c>
      <c r="E18" s="17">
        <f t="shared" si="1"/>
        <v>2416448.8953962526</v>
      </c>
      <c r="F18" s="21">
        <f t="shared" si="2"/>
        <v>10.17</v>
      </c>
    </row>
    <row r="19" spans="1:6" x14ac:dyDescent="0.2">
      <c r="A19" s="19">
        <v>15</v>
      </c>
      <c r="B19" s="177" t="s">
        <v>13</v>
      </c>
      <c r="C19" s="178"/>
      <c r="D19" s="14">
        <f t="shared" si="0"/>
        <v>20128</v>
      </c>
      <c r="E19" s="17">
        <f t="shared" si="1"/>
        <v>275681.7742178085</v>
      </c>
      <c r="F19" s="21">
        <f t="shared" si="2"/>
        <v>13.7</v>
      </c>
    </row>
    <row r="20" spans="1:6" x14ac:dyDescent="0.2">
      <c r="A20" s="19">
        <v>16</v>
      </c>
      <c r="B20" s="177" t="s">
        <v>14</v>
      </c>
      <c r="C20" s="178"/>
      <c r="D20" s="14">
        <f t="shared" si="0"/>
        <v>428820</v>
      </c>
      <c r="E20" s="17">
        <f t="shared" si="1"/>
        <v>3469888.8875238788</v>
      </c>
      <c r="F20" s="21">
        <f t="shared" si="2"/>
        <v>8.09</v>
      </c>
    </row>
    <row r="21" spans="1:6" x14ac:dyDescent="0.2">
      <c r="A21" s="19">
        <v>17</v>
      </c>
      <c r="B21" s="177" t="s">
        <v>15</v>
      </c>
      <c r="C21" s="178"/>
      <c r="D21" s="14">
        <f t="shared" si="0"/>
        <v>16080</v>
      </c>
      <c r="E21" s="17">
        <f t="shared" si="1"/>
        <v>223288.89196255765</v>
      </c>
      <c r="F21" s="21">
        <f t="shared" si="2"/>
        <v>13.89</v>
      </c>
    </row>
    <row r="22" spans="1:6" x14ac:dyDescent="0.2">
      <c r="A22" s="19">
        <v>18</v>
      </c>
      <c r="B22" s="177" t="s">
        <v>16</v>
      </c>
      <c r="C22" s="178"/>
      <c r="D22" s="14">
        <f t="shared" si="0"/>
        <v>220</v>
      </c>
      <c r="E22" s="17">
        <f t="shared" si="1"/>
        <v>851.7870790897191</v>
      </c>
      <c r="F22" s="21">
        <f t="shared" si="2"/>
        <v>3.87</v>
      </c>
    </row>
    <row r="23" spans="1:6" x14ac:dyDescent="0.2">
      <c r="A23" s="19">
        <v>19</v>
      </c>
      <c r="B23" s="177" t="s">
        <v>17</v>
      </c>
      <c r="C23" s="178"/>
      <c r="D23" s="14">
        <f t="shared" si="0"/>
        <v>479140</v>
      </c>
      <c r="E23" s="17">
        <f t="shared" si="1"/>
        <v>3346219.8230683999</v>
      </c>
      <c r="F23" s="21">
        <f t="shared" si="2"/>
        <v>6.98</v>
      </c>
    </row>
    <row r="24" spans="1:6" x14ac:dyDescent="0.2">
      <c r="A24" s="19">
        <v>20</v>
      </c>
      <c r="B24" s="177" t="s">
        <v>18</v>
      </c>
      <c r="C24" s="178"/>
      <c r="D24" s="14">
        <f t="shared" si="0"/>
        <v>81428</v>
      </c>
      <c r="E24" s="17">
        <f t="shared" si="1"/>
        <v>686960.62852780754</v>
      </c>
      <c r="F24" s="21">
        <f t="shared" si="2"/>
        <v>8.44</v>
      </c>
    </row>
    <row r="25" spans="1:6" ht="14.25" customHeight="1" x14ac:dyDescent="0.2">
      <c r="A25" s="19">
        <v>21</v>
      </c>
      <c r="B25" s="177" t="s">
        <v>461</v>
      </c>
      <c r="C25" s="178"/>
      <c r="D25" s="14">
        <f t="shared" si="0"/>
        <v>76510</v>
      </c>
      <c r="E25" s="17">
        <f t="shared" si="1"/>
        <v>379927.31555070187</v>
      </c>
      <c r="F25" s="21">
        <f t="shared" si="2"/>
        <v>4.97</v>
      </c>
    </row>
    <row r="26" spans="1:6" x14ac:dyDescent="0.2">
      <c r="A26" s="19">
        <v>22</v>
      </c>
      <c r="B26" s="177" t="s">
        <v>19</v>
      </c>
      <c r="C26" s="178"/>
      <c r="D26" s="14">
        <f t="shared" si="0"/>
        <v>16096</v>
      </c>
      <c r="E26" s="17">
        <f t="shared" si="1"/>
        <v>120387.84011376418</v>
      </c>
      <c r="F26" s="21">
        <f t="shared" si="2"/>
        <v>7.48</v>
      </c>
    </row>
    <row r="27" spans="1:6" x14ac:dyDescent="0.2">
      <c r="A27" s="19">
        <v>23</v>
      </c>
      <c r="B27" s="177" t="s">
        <v>20</v>
      </c>
      <c r="C27" s="178"/>
      <c r="D27" s="14">
        <f t="shared" si="0"/>
        <v>127008</v>
      </c>
      <c r="E27" s="17">
        <f t="shared" si="1"/>
        <v>971446.42427739571</v>
      </c>
      <c r="F27" s="21">
        <f t="shared" si="2"/>
        <v>7.65</v>
      </c>
    </row>
    <row r="28" spans="1:6" x14ac:dyDescent="0.2">
      <c r="A28" s="19">
        <v>24</v>
      </c>
      <c r="B28" s="177" t="s">
        <v>21</v>
      </c>
      <c r="C28" s="178"/>
      <c r="D28" s="14">
        <f t="shared" si="0"/>
        <v>152912</v>
      </c>
      <c r="E28" s="17">
        <f t="shared" si="1"/>
        <v>1148311.4810807598</v>
      </c>
      <c r="F28" s="21">
        <f t="shared" si="2"/>
        <v>7.51</v>
      </c>
    </row>
    <row r="29" spans="1:6" x14ac:dyDescent="0.2">
      <c r="A29" s="19">
        <v>25</v>
      </c>
      <c r="B29" s="177" t="s">
        <v>22</v>
      </c>
      <c r="C29" s="178"/>
      <c r="D29" s="14">
        <f t="shared" si="0"/>
        <v>511076</v>
      </c>
      <c r="E29" s="17">
        <f t="shared" si="1"/>
        <v>3461077.3328766241</v>
      </c>
      <c r="F29" s="21">
        <f t="shared" si="2"/>
        <v>6.77</v>
      </c>
    </row>
    <row r="30" spans="1:6" x14ac:dyDescent="0.2">
      <c r="A30" s="19">
        <v>26</v>
      </c>
      <c r="B30" s="177" t="s">
        <v>23</v>
      </c>
      <c r="C30" s="178"/>
      <c r="D30" s="14">
        <f t="shared" si="0"/>
        <v>208282</v>
      </c>
      <c r="E30" s="17">
        <f t="shared" si="1"/>
        <v>2402319.8018498402</v>
      </c>
      <c r="F30" s="21">
        <f t="shared" si="2"/>
        <v>11.53</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4776196</v>
      </c>
      <c r="E33" s="31">
        <f>SUM(E5:E32)</f>
        <v>41103712</v>
      </c>
      <c r="F33" s="32">
        <f t="shared" si="2"/>
        <v>8.61</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IF(F3="1",SUMIF(Data!A:A,'15'!$A$2,Data!CU:CU),0)</f>
        <v>0</v>
      </c>
      <c r="E36" s="15">
        <f>IF(F3="1",SUMIF(Data!$A:$A,$A$2,Data!IO:IO),0)</f>
        <v>0</v>
      </c>
      <c r="F36" s="20" t="str">
        <f t="shared" ref="F36:F64" si="3">IF(OR(D36=0,E36=0),"",ROUND(E36/D36,2))</f>
        <v/>
      </c>
    </row>
    <row r="37" spans="1:6" x14ac:dyDescent="0.2">
      <c r="A37" s="19">
        <v>2</v>
      </c>
      <c r="B37" s="177" t="s">
        <v>1</v>
      </c>
      <c r="C37" s="178"/>
      <c r="D37" s="14">
        <f>IF(F3="1",SUMIF(Data!A:A,'15'!$A$2,Data!CV:CV),0)</f>
        <v>119003</v>
      </c>
      <c r="E37" s="17">
        <f>IF(F3="1",SUMIF(Data!$A:$A,$A$2,Data!IP:IP),0)</f>
        <v>89648</v>
      </c>
      <c r="F37" s="21">
        <f t="shared" si="3"/>
        <v>0.75</v>
      </c>
    </row>
    <row r="38" spans="1:6" ht="14.25" customHeight="1" x14ac:dyDescent="0.2">
      <c r="A38" s="19">
        <v>3</v>
      </c>
      <c r="B38" s="177" t="s">
        <v>2</v>
      </c>
      <c r="C38" s="178"/>
      <c r="D38" s="14">
        <f>IF(F3="1",SUMIF(Data!A:A,'15'!$A$2,Data!CW:CW),0)</f>
        <v>437056</v>
      </c>
      <c r="E38" s="17">
        <f>IF($F$3="1",SUMIF(Data!$A:$A,$A$2,Data!IQ:IQ),0)</f>
        <v>217389</v>
      </c>
      <c r="F38" s="21">
        <f t="shared" si="3"/>
        <v>0.5</v>
      </c>
    </row>
    <row r="39" spans="1:6" ht="14.25" customHeight="1" x14ac:dyDescent="0.2">
      <c r="A39" s="19">
        <v>4</v>
      </c>
      <c r="B39" s="177" t="s">
        <v>3</v>
      </c>
      <c r="C39" s="178"/>
      <c r="D39" s="14">
        <f>IF(F3="1",SUMIF(Data!A:A,'15'!$A$2,Data!CX:CX),0)</f>
        <v>373264</v>
      </c>
      <c r="E39" s="17">
        <f>IF($F$3="1",SUMIF(Data!$A:$A,$A$2,Data!IR:IR),0)</f>
        <v>169526</v>
      </c>
      <c r="F39" s="21">
        <f t="shared" si="3"/>
        <v>0.45</v>
      </c>
    </row>
    <row r="40" spans="1:6" x14ac:dyDescent="0.2">
      <c r="A40" s="19">
        <v>5</v>
      </c>
      <c r="B40" s="177" t="s">
        <v>4</v>
      </c>
      <c r="C40" s="178"/>
      <c r="D40" s="14">
        <f>IF(F3="1",SUMIF(Data!A:A,'15'!$A$2,Data!CY:CY),0)</f>
        <v>0</v>
      </c>
      <c r="E40" s="17">
        <f>IF($F$3="1",SUMIF(Data!$A:$A,$A$2,Data!IS:IS),0)</f>
        <v>0</v>
      </c>
      <c r="F40" s="21" t="str">
        <f t="shared" si="3"/>
        <v/>
      </c>
    </row>
    <row r="41" spans="1:6" x14ac:dyDescent="0.2">
      <c r="A41" s="19">
        <v>6</v>
      </c>
      <c r="B41" s="177" t="s">
        <v>5</v>
      </c>
      <c r="C41" s="178"/>
      <c r="D41" s="14">
        <f>IF(F3="1",SUMIF(Data!A:A,'15'!$A$2,Data!CZ:CZ),0)</f>
        <v>23352</v>
      </c>
      <c r="E41" s="17">
        <f>IF($F$3="1",SUMIF(Data!$A:$A,$A$2,Data!IT:IT),0)</f>
        <v>32254</v>
      </c>
      <c r="F41" s="21">
        <f t="shared" si="3"/>
        <v>1.38</v>
      </c>
    </row>
    <row r="42" spans="1:6" x14ac:dyDescent="0.2">
      <c r="A42" s="19">
        <v>7</v>
      </c>
      <c r="B42" s="177" t="s">
        <v>6</v>
      </c>
      <c r="C42" s="178"/>
      <c r="D42" s="14">
        <f>IF(F3="1",SUMIF(Data!A:A,'15'!$A$2,Data!DA:DA),0)</f>
        <v>311088</v>
      </c>
      <c r="E42" s="17">
        <f>IF($F$3="1",SUMIF(Data!$A:$A,$A$2,Data!IU:IU),0)</f>
        <v>46334</v>
      </c>
      <c r="F42" s="21">
        <f t="shared" si="3"/>
        <v>0.15</v>
      </c>
    </row>
    <row r="43" spans="1:6" x14ac:dyDescent="0.2">
      <c r="A43" s="19">
        <v>8</v>
      </c>
      <c r="B43" s="177" t="s">
        <v>7</v>
      </c>
      <c r="C43" s="178"/>
      <c r="D43" s="14">
        <f>IF(F3="1",SUMIF(Data!A:A,'15'!$A$2,Data!DB:DB),0)</f>
        <v>25746</v>
      </c>
      <c r="E43" s="17">
        <f>IF($F$3="1",SUMIF(Data!$A:$A,$A$2,Data!IV:IV),0)</f>
        <v>0</v>
      </c>
      <c r="F43" s="21" t="str">
        <f t="shared" si="3"/>
        <v/>
      </c>
    </row>
    <row r="44" spans="1:6" x14ac:dyDescent="0.2">
      <c r="A44" s="19">
        <v>9</v>
      </c>
      <c r="B44" s="177" t="s">
        <v>8</v>
      </c>
      <c r="C44" s="178"/>
      <c r="D44" s="14">
        <f>IF(F3="1",SUMIF(Data!A:A,'15'!$A$2,Data!DC:DC),0)</f>
        <v>222301</v>
      </c>
      <c r="E44" s="17">
        <f>IF($F$3="1",SUMIF(Data!$A:$A,$A$2,Data!IW:IW),0)</f>
        <v>129598</v>
      </c>
      <c r="F44" s="21">
        <f t="shared" si="3"/>
        <v>0.57999999999999996</v>
      </c>
    </row>
    <row r="45" spans="1:6" x14ac:dyDescent="0.2">
      <c r="A45" s="19">
        <v>10</v>
      </c>
      <c r="B45" s="177" t="s">
        <v>9</v>
      </c>
      <c r="C45" s="178"/>
      <c r="D45" s="14">
        <f>IF(F3="1",SUMIF(Data!A:A,'15'!$A$2,Data!DD:DD),0)</f>
        <v>224</v>
      </c>
      <c r="E45" s="17">
        <f>IF($F$3="1",SUMIF(Data!$A:$A,$A$2,Data!IX:IX),0)</f>
        <v>0</v>
      </c>
      <c r="F45" s="21" t="str">
        <f t="shared" si="3"/>
        <v/>
      </c>
    </row>
    <row r="46" spans="1:6" x14ac:dyDescent="0.2">
      <c r="A46" s="19">
        <v>11</v>
      </c>
      <c r="B46" s="177" t="s">
        <v>10</v>
      </c>
      <c r="C46" s="178"/>
      <c r="D46" s="14">
        <f>IF(F3="1",SUMIF(Data!A:A,'15'!$A$2,Data!DE:DE),0)</f>
        <v>150288</v>
      </c>
      <c r="E46" s="17">
        <f>IF($F$3="1",SUMIF(Data!$A:$A,$A$2,Data!IY:IY),0)</f>
        <v>52007</v>
      </c>
      <c r="F46" s="21">
        <f t="shared" si="3"/>
        <v>0.35</v>
      </c>
    </row>
    <row r="47" spans="1:6" ht="14.25" customHeight="1" x14ac:dyDescent="0.2">
      <c r="A47" s="19">
        <v>12</v>
      </c>
      <c r="B47" s="177" t="s">
        <v>11</v>
      </c>
      <c r="C47" s="178"/>
      <c r="D47" s="14">
        <f>IF(F3="1",SUMIF(Data!A:A,'15'!$A$2,Data!DF:DF),0)</f>
        <v>698766</v>
      </c>
      <c r="E47" s="17">
        <f>IF($F$3="1",SUMIF(Data!$A:$A,$A$2,Data!IZ:IZ),0)</f>
        <v>255274</v>
      </c>
      <c r="F47" s="21">
        <f t="shared" si="3"/>
        <v>0.37</v>
      </c>
    </row>
    <row r="48" spans="1:6" x14ac:dyDescent="0.2">
      <c r="A48" s="19">
        <v>13</v>
      </c>
      <c r="B48" s="177" t="s">
        <v>12</v>
      </c>
      <c r="C48" s="178"/>
      <c r="D48" s="14">
        <f>IF(F3="1",SUMIF(Data!A:A,'15'!$A$2,Data!DG:DG),0)</f>
        <v>59916</v>
      </c>
      <c r="E48" s="17">
        <f>IF($F$3="1",SUMIF(Data!$A:$A,$A$2,Data!JA:JA),0)</f>
        <v>22910</v>
      </c>
      <c r="F48" s="21">
        <f t="shared" si="3"/>
        <v>0.38</v>
      </c>
    </row>
    <row r="49" spans="1:6" ht="14.25" customHeight="1" x14ac:dyDescent="0.2">
      <c r="A49" s="19">
        <v>14</v>
      </c>
      <c r="B49" s="177" t="s">
        <v>464</v>
      </c>
      <c r="C49" s="178"/>
      <c r="D49" s="14">
        <f>IF(F3="1",SUMIF(Data!A:A,'15'!$A$2,Data!DH:DH),0)</f>
        <v>237492</v>
      </c>
      <c r="E49" s="17">
        <f>IF($F$3="1",SUMIF(Data!$A:$A,$A$2,Data!JB:JB),0)</f>
        <v>78049</v>
      </c>
      <c r="F49" s="21">
        <f t="shared" si="3"/>
        <v>0.33</v>
      </c>
    </row>
    <row r="50" spans="1:6" x14ac:dyDescent="0.2">
      <c r="A50" s="19">
        <v>15</v>
      </c>
      <c r="B50" s="177" t="s">
        <v>13</v>
      </c>
      <c r="C50" s="178"/>
      <c r="D50" s="14">
        <f>IF(F3="1",SUMIF(Data!A:A,'15'!$A$2,Data!DI:DI),0)</f>
        <v>20128</v>
      </c>
      <c r="E50" s="17">
        <f>IF($F$3="1",SUMIF(Data!$A:$A,$A$2,Data!JC:JC),0)</f>
        <v>22903</v>
      </c>
      <c r="F50" s="21">
        <f t="shared" si="3"/>
        <v>1.1399999999999999</v>
      </c>
    </row>
    <row r="51" spans="1:6" x14ac:dyDescent="0.2">
      <c r="A51" s="19">
        <v>16</v>
      </c>
      <c r="B51" s="177" t="s">
        <v>14</v>
      </c>
      <c r="C51" s="178"/>
      <c r="D51" s="14">
        <f>IF(F3="1",SUMIF(Data!A:A,'15'!$A$2,Data!DJ:DJ),0)</f>
        <v>428820</v>
      </c>
      <c r="E51" s="17">
        <f>IF($F$3="1",SUMIF(Data!$A:$A,$A$2,Data!JD:JD),0)</f>
        <v>147544</v>
      </c>
      <c r="F51" s="21">
        <f t="shared" si="3"/>
        <v>0.34</v>
      </c>
    </row>
    <row r="52" spans="1:6" x14ac:dyDescent="0.2">
      <c r="A52" s="19">
        <v>17</v>
      </c>
      <c r="B52" s="177" t="s">
        <v>15</v>
      </c>
      <c r="C52" s="178"/>
      <c r="D52" s="14">
        <f>IF(F3="1",SUMIF(Data!A:A,'15'!$A$2,Data!DK:DK),0)</f>
        <v>16080</v>
      </c>
      <c r="E52" s="17">
        <f>IF($F$3="1",SUMIF(Data!$A:$A,$A$2,Data!JE:JE),0)</f>
        <v>6113</v>
      </c>
      <c r="F52" s="21">
        <f t="shared" si="3"/>
        <v>0.38</v>
      </c>
    </row>
    <row r="53" spans="1:6" x14ac:dyDescent="0.2">
      <c r="A53" s="19">
        <v>18</v>
      </c>
      <c r="B53" s="177" t="s">
        <v>16</v>
      </c>
      <c r="C53" s="178"/>
      <c r="D53" s="14">
        <f>IF(F3="1",SUMIF(Data!A:A,'15'!$A$2,Data!DL:DL),0)</f>
        <v>220</v>
      </c>
      <c r="E53" s="17">
        <f>IF($F$3="1",SUMIF(Data!$A:$A,$A$2,Data!JF:JF),0)</f>
        <v>0</v>
      </c>
      <c r="F53" s="21" t="str">
        <f t="shared" si="3"/>
        <v/>
      </c>
    </row>
    <row r="54" spans="1:6" x14ac:dyDescent="0.2">
      <c r="A54" s="19">
        <v>19</v>
      </c>
      <c r="B54" s="177" t="s">
        <v>17</v>
      </c>
      <c r="C54" s="178"/>
      <c r="D54" s="14">
        <f>IF(F3="1",SUMIF(Data!A:A,'15'!$A$2,Data!DM:DM),0)</f>
        <v>479140</v>
      </c>
      <c r="E54" s="17">
        <f>IF($F$3="1",SUMIF(Data!$A:$A,$A$2,Data!JG:JG),0)</f>
        <v>107137</v>
      </c>
      <c r="F54" s="21">
        <f t="shared" si="3"/>
        <v>0.22</v>
      </c>
    </row>
    <row r="55" spans="1:6" x14ac:dyDescent="0.2">
      <c r="A55" s="19">
        <v>20</v>
      </c>
      <c r="B55" s="177" t="s">
        <v>18</v>
      </c>
      <c r="C55" s="178"/>
      <c r="D55" s="14">
        <f>IF(F3="1",SUMIF(Data!A:A,'15'!$A$2,Data!DN:DN),0)</f>
        <v>81428</v>
      </c>
      <c r="E55" s="17">
        <f>IF($F$3="1",SUMIF(Data!$A:$A,$A$2,Data!JH:JH),0)</f>
        <v>40282</v>
      </c>
      <c r="F55" s="21">
        <f t="shared" si="3"/>
        <v>0.49</v>
      </c>
    </row>
    <row r="56" spans="1:6" ht="14.25" customHeight="1" x14ac:dyDescent="0.2">
      <c r="A56" s="19">
        <v>21</v>
      </c>
      <c r="B56" s="177" t="s">
        <v>461</v>
      </c>
      <c r="C56" s="178"/>
      <c r="D56" s="14">
        <f>IF(F3="1",SUMIF(Data!A:A,'15'!$A$2,Data!DO:DO),0)</f>
        <v>76510</v>
      </c>
      <c r="E56" s="17">
        <f>IF($F$3="1",SUMIF(Data!$A:$A,$A$2,Data!JI:JI),0)</f>
        <v>12624</v>
      </c>
      <c r="F56" s="21">
        <f t="shared" si="3"/>
        <v>0.16</v>
      </c>
    </row>
    <row r="57" spans="1:6" x14ac:dyDescent="0.2">
      <c r="A57" s="19">
        <v>22</v>
      </c>
      <c r="B57" s="177" t="s">
        <v>19</v>
      </c>
      <c r="C57" s="178"/>
      <c r="D57" s="14">
        <f>IF(F3="1",SUMIF(Data!A:A,'15'!$A$2,Data!DP:DP),0)</f>
        <v>16096</v>
      </c>
      <c r="E57" s="17">
        <f>IF($F$3="1",SUMIF(Data!$A:$A,$A$2,Data!JJ:JJ),0)</f>
        <v>20702</v>
      </c>
      <c r="F57" s="21">
        <f t="shared" si="3"/>
        <v>1.29</v>
      </c>
    </row>
    <row r="58" spans="1:6" x14ac:dyDescent="0.2">
      <c r="A58" s="19">
        <v>23</v>
      </c>
      <c r="B58" s="177" t="s">
        <v>20</v>
      </c>
      <c r="C58" s="178"/>
      <c r="D58" s="14">
        <f>IF(F3="1",SUMIF(Data!A:A,'15'!$A$2,Data!DQ:DQ),0)</f>
        <v>127008</v>
      </c>
      <c r="E58" s="17">
        <f>IF($F$3="1",SUMIF(Data!$A:$A,$A$2,Data!JK:JK),0)</f>
        <v>73149</v>
      </c>
      <c r="F58" s="21">
        <f t="shared" si="3"/>
        <v>0.57999999999999996</v>
      </c>
    </row>
    <row r="59" spans="1:6" x14ac:dyDescent="0.2">
      <c r="A59" s="19">
        <v>24</v>
      </c>
      <c r="B59" s="177" t="s">
        <v>21</v>
      </c>
      <c r="C59" s="178"/>
      <c r="D59" s="14">
        <f>IF(F3="1",SUMIF(Data!A:A,'15'!$A$2,Data!DR:DR),0)</f>
        <v>152912</v>
      </c>
      <c r="E59" s="17">
        <f>IF($F$3="1",SUMIF(Data!$A:$A,$A$2,Data!JL:JL),0)</f>
        <v>117978</v>
      </c>
      <c r="F59" s="21">
        <f t="shared" si="3"/>
        <v>0.77</v>
      </c>
    </row>
    <row r="60" spans="1:6" x14ac:dyDescent="0.2">
      <c r="A60" s="19">
        <v>25</v>
      </c>
      <c r="B60" s="177" t="s">
        <v>22</v>
      </c>
      <c r="C60" s="178"/>
      <c r="D60" s="14">
        <f>IF(F3="1",SUMIF(Data!A:A,'15'!$A$2,Data!DS:DS),0)</f>
        <v>511076</v>
      </c>
      <c r="E60" s="17">
        <f>IF($F$3="1",SUMIF(Data!$A:$A,$A$2,Data!JM:JM),0)</f>
        <v>25323</v>
      </c>
      <c r="F60" s="21">
        <f t="shared" si="3"/>
        <v>0.05</v>
      </c>
    </row>
    <row r="61" spans="1:6" x14ac:dyDescent="0.2">
      <c r="A61" s="19">
        <v>26</v>
      </c>
      <c r="B61" s="177" t="s">
        <v>23</v>
      </c>
      <c r="C61" s="178"/>
      <c r="D61" s="14">
        <f>IF(F3="1",SUMIF(Data!A:A,'15'!$A$2,Data!DT:DT),0)</f>
        <v>208282</v>
      </c>
      <c r="E61" s="17">
        <f>IF($F$3="1",SUMIF(Data!$A:$A,$A$2,Data!JN:JN),0)</f>
        <v>196278</v>
      </c>
      <c r="F61" s="21">
        <f t="shared" si="3"/>
        <v>0.94</v>
      </c>
    </row>
    <row r="62" spans="1:6" x14ac:dyDescent="0.2">
      <c r="A62" s="19">
        <v>28</v>
      </c>
      <c r="B62" s="177" t="s">
        <v>24</v>
      </c>
      <c r="C62" s="178"/>
      <c r="D62" s="14">
        <f>IF(F3="1",SUMIF(Data!A:A,'15'!$A$2,Data!DV:DV),0)</f>
        <v>0</v>
      </c>
      <c r="E62" s="17">
        <f>IF($F$3="1",SUMIF(Data!$A:$A,$A$2,Data!JP:JP),0)</f>
        <v>0</v>
      </c>
      <c r="F62" s="21" t="str">
        <f t="shared" si="3"/>
        <v/>
      </c>
    </row>
    <row r="63" spans="1:6" ht="15.75" customHeight="1" thickBot="1" x14ac:dyDescent="0.25">
      <c r="A63" s="22">
        <v>29</v>
      </c>
      <c r="B63" s="179" t="s">
        <v>25</v>
      </c>
      <c r="C63" s="180"/>
      <c r="D63" s="23">
        <f>IF(F3="1",SUMIF(Data!A:A,'15'!$A$2,Data!DW:DW),0)</f>
        <v>0</v>
      </c>
      <c r="E63" s="24">
        <f>IF($F$3="1",SUMIF(Data!$A:$A,$A$2,Data!JQ:JQ),0)</f>
        <v>0</v>
      </c>
      <c r="F63" s="25" t="str">
        <f t="shared" si="3"/>
        <v/>
      </c>
    </row>
    <row r="64" spans="1:6" x14ac:dyDescent="0.2">
      <c r="B64" s="30" t="s">
        <v>35</v>
      </c>
      <c r="C64" s="30"/>
      <c r="D64" s="59">
        <f>SUM(D36:D63)</f>
        <v>4776196</v>
      </c>
      <c r="E64" s="31">
        <f>SUM(E36:E63)</f>
        <v>1863022</v>
      </c>
      <c r="F64" s="32">
        <f t="shared" si="3"/>
        <v>0.39</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0</v>
      </c>
      <c r="E67" s="15">
        <f>IF(F3="1",SUMIF(Data!A:A,'15'!$A$2,Data!DY:DY),0)</f>
        <v>0</v>
      </c>
      <c r="F67" s="20" t="str">
        <f t="shared" ref="F67:F95" si="4">IF(OR(D67=0,E67=0),"",ROUND(E67/D67,2))</f>
        <v/>
      </c>
    </row>
    <row r="68" spans="1:6" x14ac:dyDescent="0.2">
      <c r="A68" s="19">
        <v>2</v>
      </c>
      <c r="B68" s="177" t="s">
        <v>1</v>
      </c>
      <c r="C68" s="178"/>
      <c r="D68" s="14">
        <f t="shared" ref="D68:D94" si="5">D37</f>
        <v>119003</v>
      </c>
      <c r="E68" s="17">
        <f>IF(F3="1",SUMIF(Data!A:A,'15'!$A$2,Data!DZ:DZ),0)</f>
        <v>380293</v>
      </c>
      <c r="F68" s="21">
        <f t="shared" si="4"/>
        <v>3.2</v>
      </c>
    </row>
    <row r="69" spans="1:6" ht="14.25" customHeight="1" x14ac:dyDescent="0.2">
      <c r="A69" s="19">
        <v>3</v>
      </c>
      <c r="B69" s="177" t="s">
        <v>2</v>
      </c>
      <c r="C69" s="178"/>
      <c r="D69" s="14">
        <f t="shared" si="5"/>
        <v>437056</v>
      </c>
      <c r="E69" s="17">
        <f>IF(F3="1",SUMIF(Data!A:A,'15'!$A$2,Data!EA:EA),0)</f>
        <v>1426798</v>
      </c>
      <c r="F69" s="21">
        <f t="shared" si="4"/>
        <v>3.26</v>
      </c>
    </row>
    <row r="70" spans="1:6" ht="14.25" customHeight="1" x14ac:dyDescent="0.2">
      <c r="A70" s="19">
        <v>4</v>
      </c>
      <c r="B70" s="177" t="s">
        <v>3</v>
      </c>
      <c r="C70" s="178"/>
      <c r="D70" s="14">
        <f t="shared" si="5"/>
        <v>373264</v>
      </c>
      <c r="E70" s="17">
        <f>IF(F3="1",SUMIF(Data!A:A,'15'!$A$2,Data!EB:EB),0)</f>
        <v>1398830</v>
      </c>
      <c r="F70" s="21">
        <f t="shared" si="4"/>
        <v>3.75</v>
      </c>
    </row>
    <row r="71" spans="1:6" x14ac:dyDescent="0.2">
      <c r="A71" s="19">
        <v>5</v>
      </c>
      <c r="B71" s="177" t="s">
        <v>4</v>
      </c>
      <c r="C71" s="178"/>
      <c r="D71" s="14">
        <f t="shared" si="5"/>
        <v>0</v>
      </c>
      <c r="E71" s="17">
        <f>IF(F3="1",SUMIF(Data!A:A,'15'!$A$2,Data!EC:EC),0)</f>
        <v>0</v>
      </c>
      <c r="F71" s="21" t="str">
        <f t="shared" si="4"/>
        <v/>
      </c>
    </row>
    <row r="72" spans="1:6" x14ac:dyDescent="0.2">
      <c r="A72" s="19">
        <v>6</v>
      </c>
      <c r="B72" s="177" t="s">
        <v>5</v>
      </c>
      <c r="C72" s="178"/>
      <c r="D72" s="14">
        <f t="shared" si="5"/>
        <v>23352</v>
      </c>
      <c r="E72" s="17">
        <f>IF(F3="1",SUMIF(Data!A:A,'15'!$A$2,Data!ED:ED),0)</f>
        <v>0</v>
      </c>
      <c r="F72" s="21" t="str">
        <f t="shared" si="4"/>
        <v/>
      </c>
    </row>
    <row r="73" spans="1:6" x14ac:dyDescent="0.2">
      <c r="A73" s="19">
        <v>7</v>
      </c>
      <c r="B73" s="177" t="s">
        <v>6</v>
      </c>
      <c r="C73" s="178"/>
      <c r="D73" s="14">
        <f t="shared" si="5"/>
        <v>311088</v>
      </c>
      <c r="E73" s="17">
        <f>IF(F3="1",SUMIF(Data!A:A,'15'!$A$2,Data!EE:EE),0)</f>
        <v>755485</v>
      </c>
      <c r="F73" s="21">
        <f t="shared" si="4"/>
        <v>2.4300000000000002</v>
      </c>
    </row>
    <row r="74" spans="1:6" x14ac:dyDescent="0.2">
      <c r="A74" s="19">
        <v>8</v>
      </c>
      <c r="B74" s="177" t="s">
        <v>7</v>
      </c>
      <c r="C74" s="178"/>
      <c r="D74" s="14">
        <f t="shared" si="5"/>
        <v>25746</v>
      </c>
      <c r="E74" s="17">
        <f>IF(F3="1",SUMIF(Data!A:A,'15'!$A$2,Data!EF:EF),0)</f>
        <v>0</v>
      </c>
      <c r="F74" s="21" t="str">
        <f t="shared" si="4"/>
        <v/>
      </c>
    </row>
    <row r="75" spans="1:6" x14ac:dyDescent="0.2">
      <c r="A75" s="19">
        <v>9</v>
      </c>
      <c r="B75" s="177" t="s">
        <v>8</v>
      </c>
      <c r="C75" s="178"/>
      <c r="D75" s="14">
        <f t="shared" si="5"/>
        <v>222301</v>
      </c>
      <c r="E75" s="17">
        <f>IF(F3="1",SUMIF(Data!A:A,'15'!$A$2,Data!EG:EG),0)</f>
        <v>674646</v>
      </c>
      <c r="F75" s="21">
        <f t="shared" si="4"/>
        <v>3.03</v>
      </c>
    </row>
    <row r="76" spans="1:6" x14ac:dyDescent="0.2">
      <c r="A76" s="19">
        <v>10</v>
      </c>
      <c r="B76" s="177" t="s">
        <v>9</v>
      </c>
      <c r="C76" s="178"/>
      <c r="D76" s="14">
        <f t="shared" si="5"/>
        <v>224</v>
      </c>
      <c r="E76" s="17">
        <f>IF(F3="1",SUMIF(Data!A:A,'15'!$A$2,Data!EH:EH),0)</f>
        <v>0</v>
      </c>
      <c r="F76" s="21" t="str">
        <f t="shared" si="4"/>
        <v/>
      </c>
    </row>
    <row r="77" spans="1:6" x14ac:dyDescent="0.2">
      <c r="A77" s="19">
        <v>11</v>
      </c>
      <c r="B77" s="177" t="s">
        <v>10</v>
      </c>
      <c r="C77" s="178"/>
      <c r="D77" s="14">
        <f t="shared" si="5"/>
        <v>150288</v>
      </c>
      <c r="E77" s="17">
        <f>IF(F3="1",SUMIF(Data!A:A,'15'!$A$2,Data!EI:EI),0)</f>
        <v>450923</v>
      </c>
      <c r="F77" s="21">
        <f t="shared" si="4"/>
        <v>3</v>
      </c>
    </row>
    <row r="78" spans="1:6" ht="14.25" customHeight="1" x14ac:dyDescent="0.2">
      <c r="A78" s="19">
        <v>12</v>
      </c>
      <c r="B78" s="177" t="s">
        <v>11</v>
      </c>
      <c r="C78" s="178"/>
      <c r="D78" s="14">
        <f t="shared" si="5"/>
        <v>698766</v>
      </c>
      <c r="E78" s="17">
        <f>IF(F3="1",SUMIF(Data!A:A,'15'!$A$2,Data!EJ:EJ),0)</f>
        <v>6558510</v>
      </c>
      <c r="F78" s="21">
        <f t="shared" si="4"/>
        <v>9.39</v>
      </c>
    </row>
    <row r="79" spans="1:6" x14ac:dyDescent="0.2">
      <c r="A79" s="19">
        <v>13</v>
      </c>
      <c r="B79" s="177" t="s">
        <v>12</v>
      </c>
      <c r="C79" s="178"/>
      <c r="D79" s="14">
        <f t="shared" si="5"/>
        <v>59916</v>
      </c>
      <c r="E79" s="17">
        <f>IF(F3="1",SUMIF(Data!A:A,'15'!$A$2,Data!EK:EK),0)</f>
        <v>166931</v>
      </c>
      <c r="F79" s="21">
        <f t="shared" si="4"/>
        <v>2.79</v>
      </c>
    </row>
    <row r="80" spans="1:6" ht="14.25" customHeight="1" x14ac:dyDescent="0.2">
      <c r="A80" s="19">
        <v>14</v>
      </c>
      <c r="B80" s="177" t="s">
        <v>464</v>
      </c>
      <c r="C80" s="178"/>
      <c r="D80" s="14">
        <f t="shared" si="5"/>
        <v>237492</v>
      </c>
      <c r="E80" s="17">
        <f>IF(F3="1",SUMIF(Data!A:A,'15'!$A$2,Data!EL:EL),0)</f>
        <v>1418888</v>
      </c>
      <c r="F80" s="21">
        <f t="shared" si="4"/>
        <v>5.97</v>
      </c>
    </row>
    <row r="81" spans="1:6" x14ac:dyDescent="0.2">
      <c r="A81" s="19">
        <v>15</v>
      </c>
      <c r="B81" s="177" t="s">
        <v>13</v>
      </c>
      <c r="C81" s="178"/>
      <c r="D81" s="14">
        <f t="shared" si="5"/>
        <v>20128</v>
      </c>
      <c r="E81" s="17">
        <f>IF(F3="1",SUMIF(Data!A:A,'15'!$A$2,Data!EM:EM),0)</f>
        <v>174848</v>
      </c>
      <c r="F81" s="21">
        <f t="shared" si="4"/>
        <v>8.69</v>
      </c>
    </row>
    <row r="82" spans="1:6" x14ac:dyDescent="0.2">
      <c r="A82" s="19">
        <v>16</v>
      </c>
      <c r="B82" s="177" t="s">
        <v>14</v>
      </c>
      <c r="C82" s="178"/>
      <c r="D82" s="14">
        <f t="shared" si="5"/>
        <v>428820</v>
      </c>
      <c r="E82" s="17">
        <f>IF(F3="1",SUMIF(Data!A:A,'15'!$A$2,Data!EN:EN),0)</f>
        <v>1662057</v>
      </c>
      <c r="F82" s="21">
        <f t="shared" si="4"/>
        <v>3.88</v>
      </c>
    </row>
    <row r="83" spans="1:6" x14ac:dyDescent="0.2">
      <c r="A83" s="19">
        <v>17</v>
      </c>
      <c r="B83" s="177" t="s">
        <v>15</v>
      </c>
      <c r="C83" s="178"/>
      <c r="D83" s="14">
        <f t="shared" si="5"/>
        <v>16080</v>
      </c>
      <c r="E83" s="17">
        <f>IF(F3="1",SUMIF(Data!A:A,'15'!$A$2,Data!EO:EO),0)</f>
        <v>154918</v>
      </c>
      <c r="F83" s="21">
        <f t="shared" si="4"/>
        <v>9.6300000000000008</v>
      </c>
    </row>
    <row r="84" spans="1:6" x14ac:dyDescent="0.2">
      <c r="A84" s="19">
        <v>18</v>
      </c>
      <c r="B84" s="177" t="s">
        <v>16</v>
      </c>
      <c r="C84" s="178"/>
      <c r="D84" s="14">
        <f t="shared" si="5"/>
        <v>220</v>
      </c>
      <c r="E84" s="17">
        <f>IF(F3="1",SUMIF(Data!A:A,'15'!$A$2,Data!EP:EP),0)</f>
        <v>0</v>
      </c>
      <c r="F84" s="21" t="str">
        <f t="shared" si="4"/>
        <v/>
      </c>
    </row>
    <row r="85" spans="1:6" x14ac:dyDescent="0.2">
      <c r="A85" s="19">
        <v>19</v>
      </c>
      <c r="B85" s="177" t="s">
        <v>17</v>
      </c>
      <c r="C85" s="178"/>
      <c r="D85" s="14">
        <f t="shared" si="5"/>
        <v>479140</v>
      </c>
      <c r="E85" s="17">
        <f>IF(F3="1",SUMIF(Data!A:A,'15'!$A$2,Data!EQ:EQ),0)</f>
        <v>1383968</v>
      </c>
      <c r="F85" s="21">
        <f t="shared" si="4"/>
        <v>2.89</v>
      </c>
    </row>
    <row r="86" spans="1:6" x14ac:dyDescent="0.2">
      <c r="A86" s="19">
        <v>20</v>
      </c>
      <c r="B86" s="177" t="s">
        <v>18</v>
      </c>
      <c r="C86" s="178"/>
      <c r="D86" s="14">
        <f t="shared" si="5"/>
        <v>81428</v>
      </c>
      <c r="E86" s="17">
        <f>IF(F3="1",SUMIF(Data!A:A,'15'!$A$2,Data!ER:ER),0)</f>
        <v>331409</v>
      </c>
      <c r="F86" s="21">
        <f t="shared" si="4"/>
        <v>4.07</v>
      </c>
    </row>
    <row r="87" spans="1:6" ht="14.25" customHeight="1" x14ac:dyDescent="0.2">
      <c r="A87" s="19">
        <v>21</v>
      </c>
      <c r="B87" s="177" t="s">
        <v>461</v>
      </c>
      <c r="C87" s="178"/>
      <c r="D87" s="14">
        <f t="shared" si="5"/>
        <v>76510</v>
      </c>
      <c r="E87" s="17">
        <f>IF(F3="1",SUMIF(Data!A:A,'15'!$A$2,Data!ES:ES),0)</f>
        <v>71075</v>
      </c>
      <c r="F87" s="21">
        <f t="shared" si="4"/>
        <v>0.93</v>
      </c>
    </row>
    <row r="88" spans="1:6" x14ac:dyDescent="0.2">
      <c r="A88" s="19">
        <v>22</v>
      </c>
      <c r="B88" s="177" t="s">
        <v>19</v>
      </c>
      <c r="C88" s="178"/>
      <c r="D88" s="14">
        <f t="shared" si="5"/>
        <v>16096</v>
      </c>
      <c r="E88" s="17">
        <f>IF(F3="1",SUMIF(Data!A:A,'15'!$A$2,Data!ET:ET),0)</f>
        <v>37366</v>
      </c>
      <c r="F88" s="21">
        <f t="shared" si="4"/>
        <v>2.3199999999999998</v>
      </c>
    </row>
    <row r="89" spans="1:6" x14ac:dyDescent="0.2">
      <c r="A89" s="19">
        <v>23</v>
      </c>
      <c r="B89" s="177" t="s">
        <v>20</v>
      </c>
      <c r="C89" s="178"/>
      <c r="D89" s="14">
        <f t="shared" si="5"/>
        <v>127008</v>
      </c>
      <c r="E89" s="17">
        <f>IF(F3="1",SUMIF(Data!A:A,'15'!$A$2,Data!EU:EU),0)</f>
        <v>406553</v>
      </c>
      <c r="F89" s="21">
        <f t="shared" si="4"/>
        <v>3.2</v>
      </c>
    </row>
    <row r="90" spans="1:6" x14ac:dyDescent="0.2">
      <c r="A90" s="19">
        <v>24</v>
      </c>
      <c r="B90" s="177" t="s">
        <v>21</v>
      </c>
      <c r="C90" s="178"/>
      <c r="D90" s="14">
        <f t="shared" si="5"/>
        <v>152912</v>
      </c>
      <c r="E90" s="17">
        <f>IF(F3="1",SUMIF(Data!A:A,'15'!$A$2,Data!EV:EV),0)</f>
        <v>438295</v>
      </c>
      <c r="F90" s="21">
        <f t="shared" si="4"/>
        <v>2.87</v>
      </c>
    </row>
    <row r="91" spans="1:6" x14ac:dyDescent="0.2">
      <c r="A91" s="19">
        <v>25</v>
      </c>
      <c r="B91" s="177" t="s">
        <v>22</v>
      </c>
      <c r="C91" s="178"/>
      <c r="D91" s="14">
        <f t="shared" si="5"/>
        <v>511076</v>
      </c>
      <c r="E91" s="17">
        <f>IF(F3="1",SUMIF(Data!A:A,'15'!$A$2,Data!EW:EW),0)</f>
        <v>1456991</v>
      </c>
      <c r="F91" s="21">
        <f t="shared" si="4"/>
        <v>2.85</v>
      </c>
    </row>
    <row r="92" spans="1:6" x14ac:dyDescent="0.2">
      <c r="A92" s="19">
        <v>26</v>
      </c>
      <c r="B92" s="177" t="s">
        <v>23</v>
      </c>
      <c r="C92" s="178"/>
      <c r="D92" s="14">
        <f t="shared" si="5"/>
        <v>208282</v>
      </c>
      <c r="E92" s="17">
        <f>IF(F3="1",SUMIF(Data!A:A,'15'!$A$2,Data!EX:EX),0)</f>
        <v>1399624</v>
      </c>
      <c r="F92" s="21">
        <f t="shared" si="4"/>
        <v>6.72</v>
      </c>
    </row>
    <row r="93" spans="1:6" x14ac:dyDescent="0.2">
      <c r="A93" s="19">
        <v>28</v>
      </c>
      <c r="B93" s="177" t="s">
        <v>24</v>
      </c>
      <c r="C93" s="178"/>
      <c r="D93" s="14">
        <f t="shared" si="5"/>
        <v>0</v>
      </c>
      <c r="E93" s="17">
        <f>IF(F3="1",SUMIF(Data!A:A,'15'!$A$2,Data!EZ:EZ),0)</f>
        <v>0</v>
      </c>
      <c r="F93" s="21" t="str">
        <f t="shared" si="4"/>
        <v/>
      </c>
    </row>
    <row r="94" spans="1:6" ht="15.75" customHeight="1" thickBot="1" x14ac:dyDescent="0.25">
      <c r="A94" s="22">
        <v>29</v>
      </c>
      <c r="B94" s="179" t="s">
        <v>25</v>
      </c>
      <c r="C94" s="180"/>
      <c r="D94" s="23">
        <f t="shared" si="5"/>
        <v>0</v>
      </c>
      <c r="E94" s="24">
        <f>IF(F3="1",SUMIF(Data!A:A,'15'!$A$2,Data!FA:FA),0)</f>
        <v>0</v>
      </c>
      <c r="F94" s="25" t="str">
        <f t="shared" si="4"/>
        <v/>
      </c>
    </row>
    <row r="95" spans="1:6" x14ac:dyDescent="0.2">
      <c r="B95" s="30" t="s">
        <v>35</v>
      </c>
      <c r="C95" s="30"/>
      <c r="D95" s="59">
        <f>SUM(D67:D94)</f>
        <v>4776196</v>
      </c>
      <c r="E95" s="31">
        <f>SUM(E67:E94)</f>
        <v>20748408</v>
      </c>
      <c r="F95" s="32">
        <f t="shared" si="4"/>
        <v>4.34</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IF(F3="1",SUMIF(Data!A:A,'15'!$A$2,Data!AH:AH),0)</f>
        <v>7132765</v>
      </c>
      <c r="F98" s="20">
        <f>IF(OR(E98=0,E98=0),"",ROUND(E98/$D$105,2))</f>
        <v>1.49</v>
      </c>
    </row>
    <row r="99" spans="2:6" x14ac:dyDescent="0.2">
      <c r="B99" s="183" t="s">
        <v>31</v>
      </c>
      <c r="C99" s="184"/>
      <c r="D99" s="36"/>
      <c r="E99" s="17">
        <f>IF(F3="1",SUMIF(Data!A:A,'15'!$A$2,Data!AI:AI),0)</f>
        <v>3212423</v>
      </c>
      <c r="F99" s="21">
        <f t="shared" ref="F99:F104" si="6">IF(OR(E99=0,E99=0),"",ROUND(E99/$D$105,2))</f>
        <v>0.67</v>
      </c>
    </row>
    <row r="100" spans="2:6" x14ac:dyDescent="0.2">
      <c r="B100" s="183" t="s">
        <v>1078</v>
      </c>
      <c r="C100" s="184"/>
      <c r="D100" s="36"/>
      <c r="E100" s="17">
        <f>IF(F3="1",SUMIF(Data!A:A,'15'!$A$2,Data!AJ:AJ),0)</f>
        <v>2337764</v>
      </c>
      <c r="F100" s="21">
        <f t="shared" si="6"/>
        <v>0.49</v>
      </c>
    </row>
    <row r="101" spans="2:6" x14ac:dyDescent="0.2">
      <c r="B101" s="183" t="s">
        <v>1079</v>
      </c>
      <c r="C101" s="184"/>
      <c r="D101" s="36"/>
      <c r="E101" s="17">
        <f>IF(F3="1",SUMIF(Data!A:A,'15'!$A$2,Data!AK:AK),0)</f>
        <v>1903087</v>
      </c>
      <c r="F101" s="21">
        <f t="shared" si="6"/>
        <v>0.4</v>
      </c>
    </row>
    <row r="102" spans="2:6" x14ac:dyDescent="0.2">
      <c r="B102" s="183" t="s">
        <v>1080</v>
      </c>
      <c r="C102" s="184"/>
      <c r="D102" s="36"/>
      <c r="E102" s="17">
        <f>IF(F3="1",SUMIF(Data!A:A,'15'!$A$2,Data!AL:AL),0)</f>
        <v>0</v>
      </c>
      <c r="F102" s="21" t="str">
        <f t="shared" si="6"/>
        <v/>
      </c>
    </row>
    <row r="103" spans="2:6" x14ac:dyDescent="0.2">
      <c r="B103" s="185" t="s">
        <v>34</v>
      </c>
      <c r="C103" s="186"/>
      <c r="D103" s="36"/>
      <c r="E103" s="17">
        <f>IF(F3="1",SUMIF(Data!A:A,'15'!$A$2,Data!AM:AM),0)</f>
        <v>0</v>
      </c>
      <c r="F103" s="21" t="str">
        <f t="shared" si="6"/>
        <v/>
      </c>
    </row>
    <row r="104" spans="2:6" ht="15.75" customHeight="1" thickBot="1" x14ac:dyDescent="0.25">
      <c r="B104" s="175" t="s">
        <v>29</v>
      </c>
      <c r="C104" s="176"/>
      <c r="D104" s="37"/>
      <c r="E104" s="24">
        <f>IF(F3="1",SUMIF(Data!A:A,'15'!$A$2,Data!Q:Q),0)</f>
        <v>3906243</v>
      </c>
      <c r="F104" s="25">
        <f t="shared" si="6"/>
        <v>0.82</v>
      </c>
    </row>
    <row r="105" spans="2:6" x14ac:dyDescent="0.2">
      <c r="B105" s="30" t="s">
        <v>35</v>
      </c>
      <c r="C105" s="30"/>
      <c r="D105" s="34">
        <f>D95</f>
        <v>4776196</v>
      </c>
      <c r="E105" s="31">
        <f>SUM(E98:E104)</f>
        <v>18492282</v>
      </c>
      <c r="F105" s="32">
        <f>IF($D$105=0,"",ROUND(E105/$D$105,2))</f>
        <v>3.87</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20748408</v>
      </c>
      <c r="D109" s="15">
        <f>IF(F3="1",SUMIF(Data!$A:$A,$A$2,Data!HJ:HJ),0)</f>
        <v>0</v>
      </c>
      <c r="E109" s="15">
        <f>IF(F3="1",SUMIF(Data!$A:$A,$A$2,Data!IN:IN),0)</f>
        <v>0</v>
      </c>
      <c r="F109" s="47">
        <f>SUM(C109:E109)</f>
        <v>20748408</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3906243</v>
      </c>
      <c r="E117" s="52"/>
      <c r="F117" s="49">
        <f>SUM(C117:E117)</f>
        <v>3906243</v>
      </c>
    </row>
    <row r="118" spans="1:6" x14ac:dyDescent="0.2">
      <c r="B118" s="13" t="s">
        <v>35</v>
      </c>
      <c r="C118" s="4">
        <f>SUM(C109:C116)</f>
        <v>20748408</v>
      </c>
      <c r="D118" s="4">
        <f>SUM(D109:D116)</f>
        <v>0</v>
      </c>
      <c r="E118" s="4">
        <f>SUM(E109:E116)</f>
        <v>0</v>
      </c>
      <c r="F118" s="4">
        <f>SUM(F109:F116)</f>
        <v>20748408</v>
      </c>
    </row>
    <row r="119" spans="1:6" ht="15" thickBot="1" x14ac:dyDescent="0.25"/>
    <row r="120" spans="1:6" ht="15" thickBot="1" x14ac:dyDescent="0.25">
      <c r="B120" s="55" t="s">
        <v>934</v>
      </c>
      <c r="C120" s="53"/>
      <c r="D120" s="53"/>
      <c r="E120" s="53">
        <f>IF(F3="1",SUMIF(Data!A:A,'15'!$A$2,Data!AM:AM),0)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42578125" style="10" bestFit="1" customWidth="1"/>
    <col min="12" max="12" width="13.5703125" style="10" bestFit="1" customWidth="1"/>
    <col min="13" max="13" width="12.140625" style="10" bestFit="1" customWidth="1"/>
    <col min="14" max="14" width="13.5703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439</v>
      </c>
      <c r="B2" s="58" t="str">
        <f>VLOOKUP(A2,Data!A:G,7,0)</f>
        <v>El Paso Community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1248</v>
      </c>
      <c r="E5" s="15">
        <f>E36+E67+IFERROR($E$105/$D$105*D5,0)</f>
        <v>48784.437219794163</v>
      </c>
      <c r="F5" s="20">
        <f>IF(OR(D5=0,E5=0),"",ROUND(E5/D5,2))</f>
        <v>39.090000000000003</v>
      </c>
    </row>
    <row r="6" spans="1:6" x14ac:dyDescent="0.2">
      <c r="A6" s="19">
        <v>2</v>
      </c>
      <c r="B6" s="177" t="s">
        <v>1</v>
      </c>
      <c r="C6" s="178"/>
      <c r="D6" s="14">
        <f t="shared" ref="D6:D32" si="0">D37</f>
        <v>68000</v>
      </c>
      <c r="E6" s="17">
        <f t="shared" ref="E6:E32" si="1">E37+E68+IFERROR($E$105/$D$105*D6,0)</f>
        <v>824014.79723237432</v>
      </c>
      <c r="F6" s="21">
        <f t="shared" ref="F6:F33" si="2">IF(OR(D6=0,E6=0),"",ROUND(E6/D6,2))</f>
        <v>12.12</v>
      </c>
    </row>
    <row r="7" spans="1:6" ht="14.25" customHeight="1" x14ac:dyDescent="0.2">
      <c r="A7" s="19">
        <v>3</v>
      </c>
      <c r="B7" s="177" t="s">
        <v>2</v>
      </c>
      <c r="C7" s="178"/>
      <c r="D7" s="14">
        <f t="shared" si="0"/>
        <v>781952</v>
      </c>
      <c r="E7" s="17">
        <f t="shared" si="1"/>
        <v>4860349.0744330809</v>
      </c>
      <c r="F7" s="21">
        <f t="shared" si="2"/>
        <v>6.22</v>
      </c>
    </row>
    <row r="8" spans="1:6" ht="14.25" customHeight="1" x14ac:dyDescent="0.2">
      <c r="A8" s="19">
        <v>4</v>
      </c>
      <c r="B8" s="177" t="s">
        <v>3</v>
      </c>
      <c r="C8" s="178"/>
      <c r="D8" s="14">
        <f t="shared" si="0"/>
        <v>727936</v>
      </c>
      <c r="E8" s="17">
        <f t="shared" si="1"/>
        <v>4304811.5865609646</v>
      </c>
      <c r="F8" s="21">
        <f t="shared" si="2"/>
        <v>5.91</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8768</v>
      </c>
      <c r="E10" s="17">
        <f t="shared" si="1"/>
        <v>209492.12303137436</v>
      </c>
      <c r="F10" s="21">
        <f t="shared" si="2"/>
        <v>23.89</v>
      </c>
    </row>
    <row r="11" spans="1:6" x14ac:dyDescent="0.2">
      <c r="A11" s="19">
        <v>7</v>
      </c>
      <c r="B11" s="177" t="s">
        <v>6</v>
      </c>
      <c r="C11" s="178"/>
      <c r="D11" s="14">
        <f t="shared" si="0"/>
        <v>148336</v>
      </c>
      <c r="E11" s="17">
        <f t="shared" si="1"/>
        <v>2404011.6854450218</v>
      </c>
      <c r="F11" s="21">
        <f t="shared" si="2"/>
        <v>16.21</v>
      </c>
    </row>
    <row r="12" spans="1:6" x14ac:dyDescent="0.2">
      <c r="A12" s="19">
        <v>8</v>
      </c>
      <c r="B12" s="177" t="s">
        <v>7</v>
      </c>
      <c r="C12" s="178"/>
      <c r="D12" s="14">
        <f t="shared" si="0"/>
        <v>0</v>
      </c>
      <c r="E12" s="17">
        <f t="shared" si="1"/>
        <v>0</v>
      </c>
      <c r="F12" s="21" t="str">
        <f t="shared" si="2"/>
        <v/>
      </c>
    </row>
    <row r="13" spans="1:6" x14ac:dyDescent="0.2">
      <c r="A13" s="19">
        <v>9</v>
      </c>
      <c r="B13" s="177" t="s">
        <v>8</v>
      </c>
      <c r="C13" s="178"/>
      <c r="D13" s="14">
        <f t="shared" si="0"/>
        <v>186816</v>
      </c>
      <c r="E13" s="17">
        <f t="shared" si="1"/>
        <v>827735.83305534162</v>
      </c>
      <c r="F13" s="21">
        <f t="shared" si="2"/>
        <v>4.43</v>
      </c>
    </row>
    <row r="14" spans="1:6" x14ac:dyDescent="0.2">
      <c r="A14" s="19">
        <v>10</v>
      </c>
      <c r="B14" s="177" t="s">
        <v>9</v>
      </c>
      <c r="C14" s="178"/>
      <c r="D14" s="14">
        <f t="shared" si="0"/>
        <v>4800</v>
      </c>
      <c r="E14" s="17">
        <f t="shared" si="1"/>
        <v>48850.373922285245</v>
      </c>
      <c r="F14" s="21">
        <f t="shared" si="2"/>
        <v>10.18</v>
      </c>
    </row>
    <row r="15" spans="1:6" x14ac:dyDescent="0.2">
      <c r="A15" s="19">
        <v>11</v>
      </c>
      <c r="B15" s="177" t="s">
        <v>10</v>
      </c>
      <c r="C15" s="178"/>
      <c r="D15" s="14">
        <f t="shared" si="0"/>
        <v>51216</v>
      </c>
      <c r="E15" s="17">
        <f t="shared" si="1"/>
        <v>291587.01975078357</v>
      </c>
      <c r="F15" s="21">
        <f t="shared" si="2"/>
        <v>5.69</v>
      </c>
    </row>
    <row r="16" spans="1:6" ht="14.25" customHeight="1" x14ac:dyDescent="0.2">
      <c r="A16" s="19">
        <v>12</v>
      </c>
      <c r="B16" s="177" t="s">
        <v>11</v>
      </c>
      <c r="C16" s="178"/>
      <c r="D16" s="14">
        <f t="shared" si="0"/>
        <v>2117104</v>
      </c>
      <c r="E16" s="17">
        <f t="shared" si="1"/>
        <v>14606405.493409537</v>
      </c>
      <c r="F16" s="21">
        <f t="shared" si="2"/>
        <v>6.9</v>
      </c>
    </row>
    <row r="17" spans="1:6" x14ac:dyDescent="0.2">
      <c r="A17" s="19">
        <v>13</v>
      </c>
      <c r="B17" s="177" t="s">
        <v>12</v>
      </c>
      <c r="C17" s="178"/>
      <c r="D17" s="14">
        <f t="shared" si="0"/>
        <v>76080</v>
      </c>
      <c r="E17" s="17">
        <f t="shared" si="1"/>
        <v>594814.57666822104</v>
      </c>
      <c r="F17" s="21">
        <f t="shared" si="2"/>
        <v>7.82</v>
      </c>
    </row>
    <row r="18" spans="1:6" ht="14.25" customHeight="1" x14ac:dyDescent="0.2">
      <c r="A18" s="19">
        <v>14</v>
      </c>
      <c r="B18" s="177" t="s">
        <v>464</v>
      </c>
      <c r="C18" s="178"/>
      <c r="D18" s="14">
        <f t="shared" si="0"/>
        <v>125632</v>
      </c>
      <c r="E18" s="17">
        <f t="shared" si="1"/>
        <v>864838.34679261246</v>
      </c>
      <c r="F18" s="21">
        <f t="shared" si="2"/>
        <v>6.88</v>
      </c>
    </row>
    <row r="19" spans="1:6" x14ac:dyDescent="0.2">
      <c r="A19" s="19">
        <v>15</v>
      </c>
      <c r="B19" s="177" t="s">
        <v>13</v>
      </c>
      <c r="C19" s="178"/>
      <c r="D19" s="14">
        <f t="shared" si="0"/>
        <v>20160</v>
      </c>
      <c r="E19" s="17">
        <f t="shared" si="1"/>
        <v>369089.37047359801</v>
      </c>
      <c r="F19" s="21">
        <f t="shared" si="2"/>
        <v>18.309999999999999</v>
      </c>
    </row>
    <row r="20" spans="1:6" x14ac:dyDescent="0.2">
      <c r="A20" s="19">
        <v>16</v>
      </c>
      <c r="B20" s="177" t="s">
        <v>14</v>
      </c>
      <c r="C20" s="178"/>
      <c r="D20" s="14">
        <f t="shared" si="0"/>
        <v>357136</v>
      </c>
      <c r="E20" s="17">
        <f t="shared" si="1"/>
        <v>3046960.4510644297</v>
      </c>
      <c r="F20" s="21">
        <f t="shared" si="2"/>
        <v>8.5299999999999994</v>
      </c>
    </row>
    <row r="21" spans="1:6" x14ac:dyDescent="0.2">
      <c r="A21" s="19">
        <v>17</v>
      </c>
      <c r="B21" s="177" t="s">
        <v>15</v>
      </c>
      <c r="C21" s="178"/>
      <c r="D21" s="14">
        <f t="shared" si="0"/>
        <v>31392</v>
      </c>
      <c r="E21" s="17">
        <f t="shared" si="1"/>
        <v>421533.30545174552</v>
      </c>
      <c r="F21" s="21">
        <f t="shared" si="2"/>
        <v>13.43</v>
      </c>
    </row>
    <row r="22" spans="1:6" x14ac:dyDescent="0.2">
      <c r="A22" s="19">
        <v>18</v>
      </c>
      <c r="B22" s="177" t="s">
        <v>16</v>
      </c>
      <c r="C22" s="178"/>
      <c r="D22" s="14">
        <f t="shared" si="0"/>
        <v>4080</v>
      </c>
      <c r="E22" s="17">
        <f t="shared" si="1"/>
        <v>1217847.9678339425</v>
      </c>
      <c r="F22" s="21">
        <f t="shared" si="2"/>
        <v>298.49</v>
      </c>
    </row>
    <row r="23" spans="1:6" x14ac:dyDescent="0.2">
      <c r="A23" s="19">
        <v>19</v>
      </c>
      <c r="B23" s="177" t="s">
        <v>17</v>
      </c>
      <c r="C23" s="178"/>
      <c r="D23" s="14">
        <f t="shared" si="0"/>
        <v>1057584</v>
      </c>
      <c r="E23" s="17">
        <f t="shared" si="1"/>
        <v>6467298.3562971074</v>
      </c>
      <c r="F23" s="21">
        <f t="shared" si="2"/>
        <v>6.12</v>
      </c>
    </row>
    <row r="24" spans="1:6" x14ac:dyDescent="0.2">
      <c r="A24" s="19">
        <v>20</v>
      </c>
      <c r="B24" s="177" t="s">
        <v>18</v>
      </c>
      <c r="C24" s="178"/>
      <c r="D24" s="14">
        <f t="shared" si="0"/>
        <v>49168</v>
      </c>
      <c r="E24" s="17">
        <f t="shared" si="1"/>
        <v>517055.02021060849</v>
      </c>
      <c r="F24" s="21">
        <f t="shared" si="2"/>
        <v>10.52</v>
      </c>
    </row>
    <row r="25" spans="1:6" ht="14.25" customHeight="1" x14ac:dyDescent="0.2">
      <c r="A25" s="19">
        <v>21</v>
      </c>
      <c r="B25" s="177" t="s">
        <v>461</v>
      </c>
      <c r="C25" s="178"/>
      <c r="D25" s="14">
        <f t="shared" si="0"/>
        <v>0</v>
      </c>
      <c r="E25" s="17">
        <f t="shared" si="1"/>
        <v>0</v>
      </c>
      <c r="F25" s="21" t="str">
        <f t="shared" si="2"/>
        <v/>
      </c>
    </row>
    <row r="26" spans="1:6" x14ac:dyDescent="0.2">
      <c r="A26" s="19">
        <v>22</v>
      </c>
      <c r="B26" s="177" t="s">
        <v>19</v>
      </c>
      <c r="C26" s="178"/>
      <c r="D26" s="14">
        <f t="shared" si="0"/>
        <v>576</v>
      </c>
      <c r="E26" s="17">
        <f t="shared" si="1"/>
        <v>187943.12487067422</v>
      </c>
      <c r="F26" s="21">
        <f t="shared" si="2"/>
        <v>326.29000000000002</v>
      </c>
    </row>
    <row r="27" spans="1:6" x14ac:dyDescent="0.2">
      <c r="A27" s="19">
        <v>23</v>
      </c>
      <c r="B27" s="177" t="s">
        <v>20</v>
      </c>
      <c r="C27" s="178"/>
      <c r="D27" s="14">
        <f t="shared" si="0"/>
        <v>96288</v>
      </c>
      <c r="E27" s="17">
        <f t="shared" si="1"/>
        <v>1002021.0408810419</v>
      </c>
      <c r="F27" s="21">
        <f t="shared" si="2"/>
        <v>10.41</v>
      </c>
    </row>
    <row r="28" spans="1:6" x14ac:dyDescent="0.2">
      <c r="A28" s="19">
        <v>24</v>
      </c>
      <c r="B28" s="177" t="s">
        <v>21</v>
      </c>
      <c r="C28" s="178"/>
      <c r="D28" s="14">
        <f t="shared" si="0"/>
        <v>143632</v>
      </c>
      <c r="E28" s="17">
        <f t="shared" si="1"/>
        <v>1409703.4990011822</v>
      </c>
      <c r="F28" s="21">
        <f t="shared" si="2"/>
        <v>9.81</v>
      </c>
    </row>
    <row r="29" spans="1:6" x14ac:dyDescent="0.2">
      <c r="A29" s="19">
        <v>25</v>
      </c>
      <c r="B29" s="177" t="s">
        <v>22</v>
      </c>
      <c r="C29" s="178"/>
      <c r="D29" s="14">
        <f t="shared" si="0"/>
        <v>1079376</v>
      </c>
      <c r="E29" s="17">
        <f t="shared" si="1"/>
        <v>6727991.9139042823</v>
      </c>
      <c r="F29" s="21">
        <f t="shared" si="2"/>
        <v>6.23</v>
      </c>
    </row>
    <row r="30" spans="1:6" x14ac:dyDescent="0.2">
      <c r="A30" s="19">
        <v>26</v>
      </c>
      <c r="B30" s="177" t="s">
        <v>23</v>
      </c>
      <c r="C30" s="178"/>
      <c r="D30" s="14">
        <f t="shared" si="0"/>
        <v>239440</v>
      </c>
      <c r="E30" s="17">
        <f t="shared" si="1"/>
        <v>1664357.6024899955</v>
      </c>
      <c r="F30" s="21">
        <f t="shared" si="2"/>
        <v>6.95</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7376720</v>
      </c>
      <c r="E33" s="31">
        <f>SUM(E5:E32)</f>
        <v>52917496.999999993</v>
      </c>
      <c r="F33" s="32">
        <f t="shared" si="2"/>
        <v>7.17</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IF(F3="1",SUMIF(Data!A:A,'16'!$A$2,Data!CU:CU),0)</f>
        <v>1248</v>
      </c>
      <c r="E36" s="15">
        <f>IF(F3="1",SUMIF(Data!$A:$A,$A$2,Data!IO:IO),0)</f>
        <v>2501</v>
      </c>
      <c r="F36" s="20">
        <f t="shared" ref="F36:F64" si="3">IF(OR(D36=0,E36=0),"",ROUND(E36/D36,2))</f>
        <v>2</v>
      </c>
    </row>
    <row r="37" spans="1:6" x14ac:dyDescent="0.2">
      <c r="A37" s="19">
        <v>2</v>
      </c>
      <c r="B37" s="177" t="s">
        <v>1</v>
      </c>
      <c r="C37" s="178"/>
      <c r="D37" s="14">
        <f>IF(F3="1",SUMIF(Data!A:A,'16'!$A$2,Data!CV:CV),0)</f>
        <v>68000</v>
      </c>
      <c r="E37" s="17">
        <f>IF(F3="1",SUMIF(Data!$A:$A,$A$2,Data!IP:IP),0)</f>
        <v>104228</v>
      </c>
      <c r="F37" s="21">
        <f t="shared" si="3"/>
        <v>1.53</v>
      </c>
    </row>
    <row r="38" spans="1:6" ht="14.25" customHeight="1" x14ac:dyDescent="0.2">
      <c r="A38" s="19">
        <v>3</v>
      </c>
      <c r="B38" s="177" t="s">
        <v>2</v>
      </c>
      <c r="C38" s="178"/>
      <c r="D38" s="14">
        <f>IF(F3="1",SUMIF(Data!A:A,'16'!$A$2,Data!CW:CW),0)</f>
        <v>781952</v>
      </c>
      <c r="E38" s="17">
        <f>IF($F$3="1",SUMIF(Data!$A:$A,$A$2,Data!IQ:IQ),0)</f>
        <v>255804</v>
      </c>
      <c r="F38" s="21">
        <f t="shared" si="3"/>
        <v>0.33</v>
      </c>
    </row>
    <row r="39" spans="1:6" ht="14.25" customHeight="1" x14ac:dyDescent="0.2">
      <c r="A39" s="19">
        <v>4</v>
      </c>
      <c r="B39" s="177" t="s">
        <v>3</v>
      </c>
      <c r="C39" s="178"/>
      <c r="D39" s="14">
        <f>IF(F3="1",SUMIF(Data!A:A,'16'!$A$2,Data!CX:CX),0)</f>
        <v>727936</v>
      </c>
      <c r="E39" s="17">
        <f>IF($F$3="1",SUMIF(Data!$A:$A,$A$2,Data!IR:IR),0)</f>
        <v>284226</v>
      </c>
      <c r="F39" s="21">
        <f t="shared" si="3"/>
        <v>0.39</v>
      </c>
    </row>
    <row r="40" spans="1:6" x14ac:dyDescent="0.2">
      <c r="A40" s="19">
        <v>5</v>
      </c>
      <c r="B40" s="177" t="s">
        <v>4</v>
      </c>
      <c r="C40" s="178"/>
      <c r="D40" s="14">
        <f>IF(F3="1",SUMIF(Data!A:A,'16'!$A$2,Data!CY:CY),0)</f>
        <v>0</v>
      </c>
      <c r="E40" s="17">
        <f>IF($F$3="1",SUMIF(Data!$A:$A,$A$2,Data!IS:IS),0)</f>
        <v>0</v>
      </c>
      <c r="F40" s="21" t="str">
        <f t="shared" si="3"/>
        <v/>
      </c>
    </row>
    <row r="41" spans="1:6" x14ac:dyDescent="0.2">
      <c r="A41" s="19">
        <v>6</v>
      </c>
      <c r="B41" s="177" t="s">
        <v>5</v>
      </c>
      <c r="C41" s="178"/>
      <c r="D41" s="14">
        <f>IF(F3="1",SUMIF(Data!A:A,'16'!$A$2,Data!CZ:CZ),0)</f>
        <v>8768</v>
      </c>
      <c r="E41" s="17">
        <f>IF($F$3="1",SUMIF(Data!$A:$A,$A$2,Data!IT:IT),0)</f>
        <v>54010</v>
      </c>
      <c r="F41" s="21">
        <f t="shared" si="3"/>
        <v>6.16</v>
      </c>
    </row>
    <row r="42" spans="1:6" x14ac:dyDescent="0.2">
      <c r="A42" s="19">
        <v>7</v>
      </c>
      <c r="B42" s="177" t="s">
        <v>6</v>
      </c>
      <c r="C42" s="178"/>
      <c r="D42" s="14">
        <f>IF(F3="1",SUMIF(Data!A:A,'16'!$A$2,Data!DA:DA),0)</f>
        <v>148336</v>
      </c>
      <c r="E42" s="17">
        <f>IF($F$3="1",SUMIF(Data!$A:$A,$A$2,Data!IU:IU),0)</f>
        <v>347847</v>
      </c>
      <c r="F42" s="21">
        <f t="shared" si="3"/>
        <v>2.34</v>
      </c>
    </row>
    <row r="43" spans="1:6" x14ac:dyDescent="0.2">
      <c r="A43" s="19">
        <v>8</v>
      </c>
      <c r="B43" s="177" t="s">
        <v>7</v>
      </c>
      <c r="C43" s="178"/>
      <c r="D43" s="14">
        <f>IF(F3="1",SUMIF(Data!A:A,'16'!$A$2,Data!DB:DB),0)</f>
        <v>0</v>
      </c>
      <c r="E43" s="17">
        <f>IF($F$3="1",SUMIF(Data!$A:$A,$A$2,Data!IV:IV),0)</f>
        <v>0</v>
      </c>
      <c r="F43" s="21" t="str">
        <f t="shared" si="3"/>
        <v/>
      </c>
    </row>
    <row r="44" spans="1:6" x14ac:dyDescent="0.2">
      <c r="A44" s="19">
        <v>9</v>
      </c>
      <c r="B44" s="177" t="s">
        <v>8</v>
      </c>
      <c r="C44" s="178"/>
      <c r="D44" s="14">
        <f>IF(F3="1",SUMIF(Data!A:A,'16'!$A$2,Data!DC:DC),0)</f>
        <v>186816</v>
      </c>
      <c r="E44" s="17">
        <f>IF($F$3="1",SUMIF(Data!$A:$A,$A$2,Data!IW:IW),0)</f>
        <v>18421</v>
      </c>
      <c r="F44" s="21">
        <f t="shared" si="3"/>
        <v>0.1</v>
      </c>
    </row>
    <row r="45" spans="1:6" x14ac:dyDescent="0.2">
      <c r="A45" s="19">
        <v>10</v>
      </c>
      <c r="B45" s="177" t="s">
        <v>9</v>
      </c>
      <c r="C45" s="178"/>
      <c r="D45" s="14">
        <f>IF(F3="1",SUMIF(Data!A:A,'16'!$A$2,Data!DD:DD),0)</f>
        <v>4800</v>
      </c>
      <c r="E45" s="17">
        <f>IF($F$3="1",SUMIF(Data!$A:$A,$A$2,Data!IX:IX),0)</f>
        <v>3542</v>
      </c>
      <c r="F45" s="21">
        <f t="shared" si="3"/>
        <v>0.74</v>
      </c>
    </row>
    <row r="46" spans="1:6" x14ac:dyDescent="0.2">
      <c r="A46" s="19">
        <v>11</v>
      </c>
      <c r="B46" s="177" t="s">
        <v>10</v>
      </c>
      <c r="C46" s="178"/>
      <c r="D46" s="14">
        <f>IF(F3="1",SUMIF(Data!A:A,'16'!$A$2,Data!DE:DE),0)</f>
        <v>51216</v>
      </c>
      <c r="E46" s="17">
        <f>IF($F$3="1",SUMIF(Data!$A:$A,$A$2,Data!IY:IY),0)</f>
        <v>28328</v>
      </c>
      <c r="F46" s="21">
        <f t="shared" si="3"/>
        <v>0.55000000000000004</v>
      </c>
    </row>
    <row r="47" spans="1:6" ht="14.25" customHeight="1" x14ac:dyDescent="0.2">
      <c r="A47" s="19">
        <v>12</v>
      </c>
      <c r="B47" s="177" t="s">
        <v>11</v>
      </c>
      <c r="C47" s="178"/>
      <c r="D47" s="14">
        <f>IF(F3="1",SUMIF(Data!A:A,'16'!$A$2,Data!DF:DF),0)</f>
        <v>2117104</v>
      </c>
      <c r="E47" s="17">
        <f>IF($F$3="1",SUMIF(Data!$A:$A,$A$2,Data!IZ:IZ),0)</f>
        <v>864461</v>
      </c>
      <c r="F47" s="21">
        <f t="shared" si="3"/>
        <v>0.41</v>
      </c>
    </row>
    <row r="48" spans="1:6" x14ac:dyDescent="0.2">
      <c r="A48" s="19">
        <v>13</v>
      </c>
      <c r="B48" s="177" t="s">
        <v>12</v>
      </c>
      <c r="C48" s="178"/>
      <c r="D48" s="14">
        <f>IF(F3="1",SUMIF(Data!A:A,'16'!$A$2,Data!DG:DG),0)</f>
        <v>76080</v>
      </c>
      <c r="E48" s="17">
        <f>IF($F$3="1",SUMIF(Data!$A:$A,$A$2,Data!JA:JA),0)</f>
        <v>22868</v>
      </c>
      <c r="F48" s="21">
        <f t="shared" si="3"/>
        <v>0.3</v>
      </c>
    </row>
    <row r="49" spans="1:6" ht="14.25" customHeight="1" x14ac:dyDescent="0.2">
      <c r="A49" s="19">
        <v>14</v>
      </c>
      <c r="B49" s="177" t="s">
        <v>464</v>
      </c>
      <c r="C49" s="178"/>
      <c r="D49" s="14">
        <f>IF(F3="1",SUMIF(Data!A:A,'16'!$A$2,Data!DH:DH),0)</f>
        <v>125632</v>
      </c>
      <c r="E49" s="17">
        <f>IF($F$3="1",SUMIF(Data!$A:$A,$A$2,Data!JB:JB),0)</f>
        <v>60936</v>
      </c>
      <c r="F49" s="21">
        <f t="shared" si="3"/>
        <v>0.49</v>
      </c>
    </row>
    <row r="50" spans="1:6" x14ac:dyDescent="0.2">
      <c r="A50" s="19">
        <v>15</v>
      </c>
      <c r="B50" s="177" t="s">
        <v>13</v>
      </c>
      <c r="C50" s="178"/>
      <c r="D50" s="14">
        <f>IF(F3="1",SUMIF(Data!A:A,'16'!$A$2,Data!DI:DI),0)</f>
        <v>20160</v>
      </c>
      <c r="E50" s="17">
        <f>IF($F$3="1",SUMIF(Data!$A:$A,$A$2,Data!JC:JC),0)</f>
        <v>22191</v>
      </c>
      <c r="F50" s="21">
        <f t="shared" si="3"/>
        <v>1.1000000000000001</v>
      </c>
    </row>
    <row r="51" spans="1:6" x14ac:dyDescent="0.2">
      <c r="A51" s="19">
        <v>16</v>
      </c>
      <c r="B51" s="177" t="s">
        <v>14</v>
      </c>
      <c r="C51" s="178"/>
      <c r="D51" s="14">
        <f>IF(F3="1",SUMIF(Data!A:A,'16'!$A$2,Data!DJ:DJ),0)</f>
        <v>357136</v>
      </c>
      <c r="E51" s="17">
        <f>IF($F$3="1",SUMIF(Data!$A:$A,$A$2,Data!JD:JD),0)</f>
        <v>165272</v>
      </c>
      <c r="F51" s="21">
        <f t="shared" si="3"/>
        <v>0.46</v>
      </c>
    </row>
    <row r="52" spans="1:6" x14ac:dyDescent="0.2">
      <c r="A52" s="19">
        <v>17</v>
      </c>
      <c r="B52" s="177" t="s">
        <v>15</v>
      </c>
      <c r="C52" s="178"/>
      <c r="D52" s="14">
        <f>IF(F3="1",SUMIF(Data!A:A,'16'!$A$2,Data!DK:DK),0)</f>
        <v>31392</v>
      </c>
      <c r="E52" s="17">
        <f>IF($F$3="1",SUMIF(Data!$A:$A,$A$2,Data!JE:JE),0)</f>
        <v>5397</v>
      </c>
      <c r="F52" s="21">
        <f t="shared" si="3"/>
        <v>0.17</v>
      </c>
    </row>
    <row r="53" spans="1:6" x14ac:dyDescent="0.2">
      <c r="A53" s="19">
        <v>18</v>
      </c>
      <c r="B53" s="177" t="s">
        <v>16</v>
      </c>
      <c r="C53" s="178"/>
      <c r="D53" s="14">
        <f>IF(F3="1",SUMIF(Data!A:A,'16'!$A$2,Data!DL:DL),0)</f>
        <v>4080</v>
      </c>
      <c r="E53" s="17">
        <f>IF($F$3="1",SUMIF(Data!$A:$A,$A$2,Data!JF:JF),0)</f>
        <v>121266</v>
      </c>
      <c r="F53" s="21">
        <f t="shared" si="3"/>
        <v>29.72</v>
      </c>
    </row>
    <row r="54" spans="1:6" x14ac:dyDescent="0.2">
      <c r="A54" s="19">
        <v>19</v>
      </c>
      <c r="B54" s="177" t="s">
        <v>17</v>
      </c>
      <c r="C54" s="178"/>
      <c r="D54" s="14">
        <f>IF(F3="1",SUMIF(Data!A:A,'16'!$A$2,Data!DM:DM),0)</f>
        <v>1057584</v>
      </c>
      <c r="E54" s="17">
        <f>IF($F$3="1",SUMIF(Data!$A:$A,$A$2,Data!JG:JG),0)</f>
        <v>303641</v>
      </c>
      <c r="F54" s="21">
        <f t="shared" si="3"/>
        <v>0.28999999999999998</v>
      </c>
    </row>
    <row r="55" spans="1:6" x14ac:dyDescent="0.2">
      <c r="A55" s="19">
        <v>20</v>
      </c>
      <c r="B55" s="177" t="s">
        <v>18</v>
      </c>
      <c r="C55" s="178"/>
      <c r="D55" s="14">
        <f>IF(F3="1",SUMIF(Data!A:A,'16'!$A$2,Data!DN:DN),0)</f>
        <v>49168</v>
      </c>
      <c r="E55" s="17">
        <f>IF($F$3="1",SUMIF(Data!$A:$A,$A$2,Data!JH:JH),0)</f>
        <v>69096</v>
      </c>
      <c r="F55" s="21">
        <f t="shared" si="3"/>
        <v>1.41</v>
      </c>
    </row>
    <row r="56" spans="1:6" ht="14.25" customHeight="1" x14ac:dyDescent="0.2">
      <c r="A56" s="19">
        <v>21</v>
      </c>
      <c r="B56" s="177" t="s">
        <v>461</v>
      </c>
      <c r="C56" s="178"/>
      <c r="D56" s="14">
        <f>IF(F3="1",SUMIF(Data!A:A,'16'!$A$2,Data!DO:DO),0)</f>
        <v>0</v>
      </c>
      <c r="E56" s="17">
        <f>IF($F$3="1",SUMIF(Data!$A:$A,$A$2,Data!JI:JI),0)</f>
        <v>0</v>
      </c>
      <c r="F56" s="21" t="str">
        <f t="shared" si="3"/>
        <v/>
      </c>
    </row>
    <row r="57" spans="1:6" x14ac:dyDescent="0.2">
      <c r="A57" s="19">
        <v>22</v>
      </c>
      <c r="B57" s="177" t="s">
        <v>19</v>
      </c>
      <c r="C57" s="178"/>
      <c r="D57" s="14">
        <f>IF(F3="1",SUMIF(Data!A:A,'16'!$A$2,Data!DP:DP),0)</f>
        <v>576</v>
      </c>
      <c r="E57" s="17">
        <f>IF($F$3="1",SUMIF(Data!$A:$A,$A$2,Data!JJ:JJ),0)</f>
        <v>33503</v>
      </c>
      <c r="F57" s="21">
        <f t="shared" si="3"/>
        <v>58.16</v>
      </c>
    </row>
    <row r="58" spans="1:6" x14ac:dyDescent="0.2">
      <c r="A58" s="19">
        <v>23</v>
      </c>
      <c r="B58" s="177" t="s">
        <v>20</v>
      </c>
      <c r="C58" s="178"/>
      <c r="D58" s="14">
        <f>IF(F3="1",SUMIF(Data!A:A,'16'!$A$2,Data!DQ:DQ),0)</f>
        <v>96288</v>
      </c>
      <c r="E58" s="17">
        <f>IF($F$3="1",SUMIF(Data!$A:$A,$A$2,Data!JK:JK),0)</f>
        <v>166274</v>
      </c>
      <c r="F58" s="21">
        <f t="shared" si="3"/>
        <v>1.73</v>
      </c>
    </row>
    <row r="59" spans="1:6" x14ac:dyDescent="0.2">
      <c r="A59" s="19">
        <v>24</v>
      </c>
      <c r="B59" s="177" t="s">
        <v>21</v>
      </c>
      <c r="C59" s="178"/>
      <c r="D59" s="14">
        <f>IF(F3="1",SUMIF(Data!A:A,'16'!$A$2,Data!DR:DR),0)</f>
        <v>143632</v>
      </c>
      <c r="E59" s="17">
        <f>IF($F$3="1",SUMIF(Data!$A:$A,$A$2,Data!JL:JL),0)</f>
        <v>50044</v>
      </c>
      <c r="F59" s="21">
        <f t="shared" si="3"/>
        <v>0.35</v>
      </c>
    </row>
    <row r="60" spans="1:6" x14ac:dyDescent="0.2">
      <c r="A60" s="19">
        <v>25</v>
      </c>
      <c r="B60" s="177" t="s">
        <v>22</v>
      </c>
      <c r="C60" s="178"/>
      <c r="D60" s="14">
        <f>IF(F3="1",SUMIF(Data!A:A,'16'!$A$2,Data!DS:DS),0)</f>
        <v>1079376</v>
      </c>
      <c r="E60" s="17">
        <f>IF($F$3="1",SUMIF(Data!$A:$A,$A$2,Data!JM:JM),0)</f>
        <v>122578</v>
      </c>
      <c r="F60" s="21">
        <f t="shared" si="3"/>
        <v>0.11</v>
      </c>
    </row>
    <row r="61" spans="1:6" x14ac:dyDescent="0.2">
      <c r="A61" s="19">
        <v>26</v>
      </c>
      <c r="B61" s="177" t="s">
        <v>23</v>
      </c>
      <c r="C61" s="178"/>
      <c r="D61" s="14">
        <f>IF(F3="1",SUMIF(Data!A:A,'16'!$A$2,Data!DT:DT),0)</f>
        <v>239440</v>
      </c>
      <c r="E61" s="17">
        <f>IF($F$3="1",SUMIF(Data!$A:$A,$A$2,Data!JN:JN),0)</f>
        <v>72832</v>
      </c>
      <c r="F61" s="21">
        <f t="shared" si="3"/>
        <v>0.3</v>
      </c>
    </row>
    <row r="62" spans="1:6" x14ac:dyDescent="0.2">
      <c r="A62" s="19">
        <v>28</v>
      </c>
      <c r="B62" s="177" t="s">
        <v>24</v>
      </c>
      <c r="C62" s="178"/>
      <c r="D62" s="14">
        <f>IF(F3="1",SUMIF(Data!A:A,'16'!$A$2,Data!DV:DV),0)</f>
        <v>0</v>
      </c>
      <c r="E62" s="17">
        <f>IF($F$3="1",SUMIF(Data!$A:$A,$A$2,Data!JP:JP),0)</f>
        <v>0</v>
      </c>
      <c r="F62" s="21" t="str">
        <f t="shared" si="3"/>
        <v/>
      </c>
    </row>
    <row r="63" spans="1:6" ht="15.75" customHeight="1" thickBot="1" x14ac:dyDescent="0.25">
      <c r="A63" s="22">
        <v>29</v>
      </c>
      <c r="B63" s="179" t="s">
        <v>25</v>
      </c>
      <c r="C63" s="180"/>
      <c r="D63" s="23">
        <f>IF(F3="1",SUMIF(Data!A:A,'16'!$A$2,Data!DW:DW),0)</f>
        <v>0</v>
      </c>
      <c r="E63" s="24">
        <f>IF($F$3="1",SUMIF(Data!$A:$A,$A$2,Data!JQ:JQ),0)</f>
        <v>0</v>
      </c>
      <c r="F63" s="25" t="str">
        <f t="shared" si="3"/>
        <v/>
      </c>
    </row>
    <row r="64" spans="1:6" x14ac:dyDescent="0.2">
      <c r="B64" s="30" t="s">
        <v>35</v>
      </c>
      <c r="C64" s="30"/>
      <c r="D64" s="59">
        <f>SUM(D36:D63)</f>
        <v>7376720</v>
      </c>
      <c r="E64" s="31">
        <f>SUM(E36:E63)</f>
        <v>3179266</v>
      </c>
      <c r="F64" s="32">
        <f t="shared" si="3"/>
        <v>0.43</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1248</v>
      </c>
      <c r="E67" s="15">
        <f>IF(F3="1",SUMIF(Data!A:A,'16'!$A$2,Data!DY:DY),0)</f>
        <v>41289</v>
      </c>
      <c r="F67" s="20">
        <f t="shared" ref="F67:F95" si="4">IF(OR(D67=0,E67=0),"",ROUND(E67/D67,2))</f>
        <v>33.08</v>
      </c>
    </row>
    <row r="68" spans="1:6" x14ac:dyDescent="0.2">
      <c r="A68" s="19">
        <v>2</v>
      </c>
      <c r="B68" s="177" t="s">
        <v>1</v>
      </c>
      <c r="C68" s="178"/>
      <c r="D68" s="14">
        <f t="shared" ref="D68:D94" si="5">D37</f>
        <v>68000</v>
      </c>
      <c r="E68" s="17">
        <f>IF(F3="1",SUMIF(Data!A:A,'16'!$A$2,Data!DZ:DZ),0)</f>
        <v>447654</v>
      </c>
      <c r="F68" s="21">
        <f t="shared" si="4"/>
        <v>6.58</v>
      </c>
    </row>
    <row r="69" spans="1:6" ht="14.25" customHeight="1" x14ac:dyDescent="0.2">
      <c r="A69" s="19">
        <v>3</v>
      </c>
      <c r="B69" s="177" t="s">
        <v>2</v>
      </c>
      <c r="C69" s="178"/>
      <c r="D69" s="14">
        <f t="shared" si="5"/>
        <v>781952</v>
      </c>
      <c r="E69" s="17">
        <f>IF(F3="1",SUMIF(Data!A:A,'16'!$A$2,Data!EA:EA),0)</f>
        <v>1475210</v>
      </c>
      <c r="F69" s="21">
        <f t="shared" si="4"/>
        <v>1.89</v>
      </c>
    </row>
    <row r="70" spans="1:6" ht="14.25" customHeight="1" x14ac:dyDescent="0.2">
      <c r="A70" s="19">
        <v>4</v>
      </c>
      <c r="B70" s="177" t="s">
        <v>3</v>
      </c>
      <c r="C70" s="178"/>
      <c r="D70" s="14">
        <f t="shared" si="5"/>
        <v>727936</v>
      </c>
      <c r="E70" s="17">
        <f>IF(F3="1",SUMIF(Data!A:A,'16'!$A$2,Data!EB:EB),0)</f>
        <v>1107420</v>
      </c>
      <c r="F70" s="21">
        <f t="shared" si="4"/>
        <v>1.52</v>
      </c>
    </row>
    <row r="71" spans="1:6" x14ac:dyDescent="0.2">
      <c r="A71" s="19">
        <v>5</v>
      </c>
      <c r="B71" s="177" t="s">
        <v>4</v>
      </c>
      <c r="C71" s="178"/>
      <c r="D71" s="14">
        <f t="shared" si="5"/>
        <v>0</v>
      </c>
      <c r="E71" s="17">
        <f>IF(F3="1",SUMIF(Data!A:A,'16'!$A$2,Data!EC:EC),0)</f>
        <v>0</v>
      </c>
      <c r="F71" s="21" t="str">
        <f t="shared" si="4"/>
        <v/>
      </c>
    </row>
    <row r="72" spans="1:6" x14ac:dyDescent="0.2">
      <c r="A72" s="19">
        <v>6</v>
      </c>
      <c r="B72" s="177" t="s">
        <v>5</v>
      </c>
      <c r="C72" s="178"/>
      <c r="D72" s="14">
        <f t="shared" si="5"/>
        <v>8768</v>
      </c>
      <c r="E72" s="17">
        <f>IF(F3="1",SUMIF(Data!A:A,'16'!$A$2,Data!ED:ED),0)</f>
        <v>120393</v>
      </c>
      <c r="F72" s="21">
        <f t="shared" si="4"/>
        <v>13.73</v>
      </c>
    </row>
    <row r="73" spans="1:6" x14ac:dyDescent="0.2">
      <c r="A73" s="19">
        <v>7</v>
      </c>
      <c r="B73" s="177" t="s">
        <v>6</v>
      </c>
      <c r="C73" s="178"/>
      <c r="D73" s="14">
        <f t="shared" si="5"/>
        <v>148336</v>
      </c>
      <c r="E73" s="17">
        <f>IF(F3="1",SUMIF(Data!A:A,'16'!$A$2,Data!EE:EE),0)</f>
        <v>1462531</v>
      </c>
      <c r="F73" s="21">
        <f t="shared" si="4"/>
        <v>9.86</v>
      </c>
    </row>
    <row r="74" spans="1:6" x14ac:dyDescent="0.2">
      <c r="A74" s="19">
        <v>8</v>
      </c>
      <c r="B74" s="177" t="s">
        <v>7</v>
      </c>
      <c r="C74" s="178"/>
      <c r="D74" s="14">
        <f t="shared" si="5"/>
        <v>0</v>
      </c>
      <c r="E74" s="17">
        <f>IF(F3="1",SUMIF(Data!A:A,'16'!$A$2,Data!EF:EF),0)</f>
        <v>0</v>
      </c>
      <c r="F74" s="21" t="str">
        <f t="shared" si="4"/>
        <v/>
      </c>
    </row>
    <row r="75" spans="1:6" x14ac:dyDescent="0.2">
      <c r="A75" s="19">
        <v>9</v>
      </c>
      <c r="B75" s="177" t="s">
        <v>8</v>
      </c>
      <c r="C75" s="178"/>
      <c r="D75" s="14">
        <f t="shared" si="5"/>
        <v>186816</v>
      </c>
      <c r="E75" s="17">
        <f>IF(F3="1",SUMIF(Data!A:A,'16'!$A$2,Data!EG:EG),0)</f>
        <v>61686</v>
      </c>
      <c r="F75" s="21">
        <f t="shared" si="4"/>
        <v>0.33</v>
      </c>
    </row>
    <row r="76" spans="1:6" x14ac:dyDescent="0.2">
      <c r="A76" s="19">
        <v>10</v>
      </c>
      <c r="B76" s="177" t="s">
        <v>9</v>
      </c>
      <c r="C76" s="178"/>
      <c r="D76" s="14">
        <f t="shared" si="5"/>
        <v>4800</v>
      </c>
      <c r="E76" s="17">
        <f>IF(F3="1",SUMIF(Data!A:A,'16'!$A$2,Data!EH:EH),0)</f>
        <v>26099</v>
      </c>
      <c r="F76" s="21">
        <f t="shared" si="4"/>
        <v>5.44</v>
      </c>
    </row>
    <row r="77" spans="1:6" x14ac:dyDescent="0.2">
      <c r="A77" s="19">
        <v>11</v>
      </c>
      <c r="B77" s="177" t="s">
        <v>10</v>
      </c>
      <c r="C77" s="178"/>
      <c r="D77" s="14">
        <f t="shared" si="5"/>
        <v>51216</v>
      </c>
      <c r="E77" s="17">
        <f>IF(F3="1",SUMIF(Data!A:A,'16'!$A$2,Data!EI:EI),0)</f>
        <v>58295</v>
      </c>
      <c r="F77" s="21">
        <f t="shared" si="4"/>
        <v>1.1399999999999999</v>
      </c>
    </row>
    <row r="78" spans="1:6" ht="14.25" customHeight="1" x14ac:dyDescent="0.2">
      <c r="A78" s="19">
        <v>12</v>
      </c>
      <c r="B78" s="177" t="s">
        <v>11</v>
      </c>
      <c r="C78" s="178"/>
      <c r="D78" s="14">
        <f t="shared" si="5"/>
        <v>2117104</v>
      </c>
      <c r="E78" s="17">
        <f>IF(F3="1",SUMIF(Data!A:A,'16'!$A$2,Data!EJ:EJ),0)</f>
        <v>5269394</v>
      </c>
      <c r="F78" s="21">
        <f t="shared" si="4"/>
        <v>2.4900000000000002</v>
      </c>
    </row>
    <row r="79" spans="1:6" x14ac:dyDescent="0.2">
      <c r="A79" s="19">
        <v>13</v>
      </c>
      <c r="B79" s="177" t="s">
        <v>12</v>
      </c>
      <c r="C79" s="178"/>
      <c r="D79" s="14">
        <f t="shared" si="5"/>
        <v>76080</v>
      </c>
      <c r="E79" s="17">
        <f>IF(F3="1",SUMIF(Data!A:A,'16'!$A$2,Data!EK:EK),0)</f>
        <v>267478</v>
      </c>
      <c r="F79" s="21">
        <f t="shared" si="4"/>
        <v>3.52</v>
      </c>
    </row>
    <row r="80" spans="1:6" ht="14.25" customHeight="1" x14ac:dyDescent="0.2">
      <c r="A80" s="19">
        <v>14</v>
      </c>
      <c r="B80" s="177" t="s">
        <v>464</v>
      </c>
      <c r="C80" s="178"/>
      <c r="D80" s="14">
        <f t="shared" si="5"/>
        <v>125632</v>
      </c>
      <c r="E80" s="17">
        <f>IF(F3="1",SUMIF(Data!A:A,'16'!$A$2,Data!EL:EL),0)</f>
        <v>301129</v>
      </c>
      <c r="F80" s="21">
        <f t="shared" si="4"/>
        <v>2.4</v>
      </c>
    </row>
    <row r="81" spans="1:6" x14ac:dyDescent="0.2">
      <c r="A81" s="19">
        <v>15</v>
      </c>
      <c r="B81" s="177" t="s">
        <v>13</v>
      </c>
      <c r="C81" s="178"/>
      <c r="D81" s="14">
        <f t="shared" si="5"/>
        <v>20160</v>
      </c>
      <c r="E81" s="17">
        <f>IF(F3="1",SUMIF(Data!A:A,'16'!$A$2,Data!EM:EM),0)</f>
        <v>266219</v>
      </c>
      <c r="F81" s="21">
        <f t="shared" si="4"/>
        <v>13.21</v>
      </c>
    </row>
    <row r="82" spans="1:6" x14ac:dyDescent="0.2">
      <c r="A82" s="19">
        <v>16</v>
      </c>
      <c r="B82" s="177" t="s">
        <v>14</v>
      </c>
      <c r="C82" s="178"/>
      <c r="D82" s="14">
        <f t="shared" si="5"/>
        <v>357136</v>
      </c>
      <c r="E82" s="17">
        <f>IF(F3="1",SUMIF(Data!A:A,'16'!$A$2,Data!EN:EN),0)</f>
        <v>1452447</v>
      </c>
      <c r="F82" s="21">
        <f t="shared" si="4"/>
        <v>4.07</v>
      </c>
    </row>
    <row r="83" spans="1:6" x14ac:dyDescent="0.2">
      <c r="A83" s="19">
        <v>17</v>
      </c>
      <c r="B83" s="177" t="s">
        <v>15</v>
      </c>
      <c r="C83" s="178"/>
      <c r="D83" s="14">
        <f t="shared" si="5"/>
        <v>31392</v>
      </c>
      <c r="E83" s="17">
        <f>IF(F3="1",SUMIF(Data!A:A,'16'!$A$2,Data!EO:EO),0)</f>
        <v>290507</v>
      </c>
      <c r="F83" s="21">
        <f t="shared" si="4"/>
        <v>9.25</v>
      </c>
    </row>
    <row r="84" spans="1:6" x14ac:dyDescent="0.2">
      <c r="A84" s="19">
        <v>18</v>
      </c>
      <c r="B84" s="177" t="s">
        <v>16</v>
      </c>
      <c r="C84" s="178"/>
      <c r="D84" s="14">
        <f t="shared" si="5"/>
        <v>4080</v>
      </c>
      <c r="E84" s="17">
        <f>IF(F3="1",SUMIF(Data!A:A,'16'!$A$2,Data!EP:EP),0)</f>
        <v>1080254</v>
      </c>
      <c r="F84" s="21">
        <f t="shared" si="4"/>
        <v>264.77</v>
      </c>
    </row>
    <row r="85" spans="1:6" x14ac:dyDescent="0.2">
      <c r="A85" s="19">
        <v>19</v>
      </c>
      <c r="B85" s="177" t="s">
        <v>17</v>
      </c>
      <c r="C85" s="178"/>
      <c r="D85" s="14">
        <f t="shared" si="5"/>
        <v>1057584</v>
      </c>
      <c r="E85" s="17">
        <f>IF(F3="1",SUMIF(Data!A:A,'16'!$A$2,Data!EQ:EQ),0)</f>
        <v>1931256</v>
      </c>
      <c r="F85" s="21">
        <f t="shared" si="4"/>
        <v>1.83</v>
      </c>
    </row>
    <row r="86" spans="1:6" x14ac:dyDescent="0.2">
      <c r="A86" s="19">
        <v>20</v>
      </c>
      <c r="B86" s="177" t="s">
        <v>18</v>
      </c>
      <c r="C86" s="178"/>
      <c r="D86" s="14">
        <f t="shared" si="5"/>
        <v>49168</v>
      </c>
      <c r="E86" s="17">
        <f>IF(F3="1",SUMIF(Data!A:A,'16'!$A$2,Data!ER:ER),0)</f>
        <v>251191</v>
      </c>
      <c r="F86" s="21">
        <f t="shared" si="4"/>
        <v>5.1100000000000003</v>
      </c>
    </row>
    <row r="87" spans="1:6" ht="14.25" customHeight="1" x14ac:dyDescent="0.2">
      <c r="A87" s="19">
        <v>21</v>
      </c>
      <c r="B87" s="177" t="s">
        <v>461</v>
      </c>
      <c r="C87" s="178"/>
      <c r="D87" s="14">
        <f t="shared" si="5"/>
        <v>0</v>
      </c>
      <c r="E87" s="17">
        <f>IF(F3="1",SUMIF(Data!A:A,'16'!$A$2,Data!ES:ES),0)</f>
        <v>0</v>
      </c>
      <c r="F87" s="21" t="str">
        <f t="shared" si="4"/>
        <v/>
      </c>
    </row>
    <row r="88" spans="1:6" x14ac:dyDescent="0.2">
      <c r="A88" s="19">
        <v>22</v>
      </c>
      <c r="B88" s="177" t="s">
        <v>19</v>
      </c>
      <c r="C88" s="178"/>
      <c r="D88" s="14">
        <f t="shared" si="5"/>
        <v>576</v>
      </c>
      <c r="E88" s="17">
        <f>IF(F3="1",SUMIF(Data!A:A,'16'!$A$2,Data!ET:ET),0)</f>
        <v>152135</v>
      </c>
      <c r="F88" s="21">
        <f t="shared" si="4"/>
        <v>264.12</v>
      </c>
    </row>
    <row r="89" spans="1:6" x14ac:dyDescent="0.2">
      <c r="A89" s="19">
        <v>23</v>
      </c>
      <c r="B89" s="177" t="s">
        <v>20</v>
      </c>
      <c r="C89" s="178"/>
      <c r="D89" s="14">
        <f t="shared" si="5"/>
        <v>96288</v>
      </c>
      <c r="E89" s="17">
        <f>IF(F3="1",SUMIF(Data!A:A,'16'!$A$2,Data!EU:EU),0)</f>
        <v>450407</v>
      </c>
      <c r="F89" s="21">
        <f t="shared" si="4"/>
        <v>4.68</v>
      </c>
    </row>
    <row r="90" spans="1:6" x14ac:dyDescent="0.2">
      <c r="A90" s="19">
        <v>24</v>
      </c>
      <c r="B90" s="177" t="s">
        <v>21</v>
      </c>
      <c r="C90" s="178"/>
      <c r="D90" s="14">
        <f t="shared" si="5"/>
        <v>143632</v>
      </c>
      <c r="E90" s="17">
        <f>IF(F3="1",SUMIF(Data!A:A,'16'!$A$2,Data!EV:EV),0)</f>
        <v>784851</v>
      </c>
      <c r="F90" s="21">
        <f t="shared" si="4"/>
        <v>5.46</v>
      </c>
    </row>
    <row r="91" spans="1:6" x14ac:dyDescent="0.2">
      <c r="A91" s="19">
        <v>25</v>
      </c>
      <c r="B91" s="177" t="s">
        <v>22</v>
      </c>
      <c r="C91" s="178"/>
      <c r="D91" s="14">
        <f t="shared" si="5"/>
        <v>1079376</v>
      </c>
      <c r="E91" s="17">
        <f>IF(F3="1",SUMIF(Data!A:A,'16'!$A$2,Data!EW:EW),0)</f>
        <v>2285802</v>
      </c>
      <c r="F91" s="21">
        <f t="shared" si="4"/>
        <v>2.12</v>
      </c>
    </row>
    <row r="92" spans="1:6" x14ac:dyDescent="0.2">
      <c r="A92" s="19">
        <v>26</v>
      </c>
      <c r="B92" s="177" t="s">
        <v>23</v>
      </c>
      <c r="C92" s="178"/>
      <c r="D92" s="14">
        <f t="shared" si="5"/>
        <v>239440</v>
      </c>
      <c r="E92" s="17">
        <f>IF(F3="1",SUMIF(Data!A:A,'16'!$A$2,Data!EX:EX),0)</f>
        <v>633298</v>
      </c>
      <c r="F92" s="21">
        <f t="shared" si="4"/>
        <v>2.64</v>
      </c>
    </row>
    <row r="93" spans="1:6" x14ac:dyDescent="0.2">
      <c r="A93" s="19">
        <v>28</v>
      </c>
      <c r="B93" s="177" t="s">
        <v>24</v>
      </c>
      <c r="C93" s="178"/>
      <c r="D93" s="14">
        <f t="shared" si="5"/>
        <v>0</v>
      </c>
      <c r="E93" s="17">
        <f>IF(F3="1",SUMIF(Data!A:A,'16'!$A$2,Data!EZ:EZ),0)</f>
        <v>0</v>
      </c>
      <c r="F93" s="21" t="str">
        <f t="shared" si="4"/>
        <v/>
      </c>
    </row>
    <row r="94" spans="1:6" ht="15.75" customHeight="1" thickBot="1" x14ac:dyDescent="0.25">
      <c r="A94" s="22">
        <v>29</v>
      </c>
      <c r="B94" s="179" t="s">
        <v>25</v>
      </c>
      <c r="C94" s="180"/>
      <c r="D94" s="23">
        <f t="shared" si="5"/>
        <v>0</v>
      </c>
      <c r="E94" s="24">
        <f>IF(F3="1",SUMIF(Data!A:A,'16'!$A$2,Data!FA:FA),0)</f>
        <v>0</v>
      </c>
      <c r="F94" s="25" t="str">
        <f t="shared" si="4"/>
        <v/>
      </c>
    </row>
    <row r="95" spans="1:6" x14ac:dyDescent="0.2">
      <c r="B95" s="30" t="s">
        <v>35</v>
      </c>
      <c r="C95" s="30"/>
      <c r="D95" s="59">
        <f>SUM(D67:D94)</f>
        <v>7376720</v>
      </c>
      <c r="E95" s="31">
        <f>SUM(E67:E94)</f>
        <v>20216945</v>
      </c>
      <c r="F95" s="32">
        <f t="shared" si="4"/>
        <v>2.74</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IF(F3="1",SUMIF(Data!A:A,'16'!$A$2,Data!AH:AH),0)</f>
        <v>12045783</v>
      </c>
      <c r="F98" s="20">
        <f>IF(OR(E98=0,E98=0),"",ROUND(E98/$D$105,2))</f>
        <v>1.63</v>
      </c>
    </row>
    <row r="99" spans="2:6" x14ac:dyDescent="0.2">
      <c r="B99" s="183" t="s">
        <v>31</v>
      </c>
      <c r="C99" s="184"/>
      <c r="D99" s="36"/>
      <c r="E99" s="17">
        <f>IF(F3="1",SUMIF(Data!A:A,'16'!$A$2,Data!AI:AI),0)</f>
        <v>7374771</v>
      </c>
      <c r="F99" s="21">
        <f t="shared" ref="F99:F104" si="6">IF(OR(E99=0,E99=0),"",ROUND(E99/$D$105,2))</f>
        <v>1</v>
      </c>
    </row>
    <row r="100" spans="2:6" x14ac:dyDescent="0.2">
      <c r="B100" s="183" t="s">
        <v>1078</v>
      </c>
      <c r="C100" s="184"/>
      <c r="D100" s="36"/>
      <c r="E100" s="17">
        <f>IF(F3="1",SUMIF(Data!A:A,'16'!$A$2,Data!AJ:AJ),0)</f>
        <v>2789370</v>
      </c>
      <c r="F100" s="21">
        <f t="shared" si="6"/>
        <v>0.38</v>
      </c>
    </row>
    <row r="101" spans="2:6" x14ac:dyDescent="0.2">
      <c r="B101" s="183" t="s">
        <v>1079</v>
      </c>
      <c r="C101" s="184"/>
      <c r="D101" s="36"/>
      <c r="E101" s="17">
        <f>IF(F3="1",SUMIF(Data!A:A,'16'!$A$2,Data!AK:AK),0)</f>
        <v>3938493</v>
      </c>
      <c r="F101" s="21">
        <f t="shared" si="6"/>
        <v>0.53</v>
      </c>
    </row>
    <row r="102" spans="2:6" x14ac:dyDescent="0.2">
      <c r="B102" s="183" t="s">
        <v>1080</v>
      </c>
      <c r="C102" s="184"/>
      <c r="D102" s="36"/>
      <c r="E102" s="17">
        <f>IF(F3="1",SUMIF(Data!A:A,'16'!$A$2,Data!AL:AL),0)</f>
        <v>13780</v>
      </c>
      <c r="F102" s="21">
        <f t="shared" si="6"/>
        <v>0</v>
      </c>
    </row>
    <row r="103" spans="2:6" x14ac:dyDescent="0.2">
      <c r="B103" s="185" t="s">
        <v>34</v>
      </c>
      <c r="C103" s="186"/>
      <c r="D103" s="36"/>
      <c r="E103" s="17">
        <f>IF(F3="1",SUMIF(Data!A:A,'16'!$A$2,Data!AM:AM),0)</f>
        <v>0</v>
      </c>
      <c r="F103" s="21" t="str">
        <f t="shared" si="6"/>
        <v/>
      </c>
    </row>
    <row r="104" spans="2:6" ht="15.75" customHeight="1" thickBot="1" x14ac:dyDescent="0.25">
      <c r="B104" s="175" t="s">
        <v>29</v>
      </c>
      <c r="C104" s="176"/>
      <c r="D104" s="37"/>
      <c r="E104" s="24">
        <f>IF(F3="1",SUMIF(Data!A:A,'16'!$A$2,Data!Q:Q),0)</f>
        <v>3359089</v>
      </c>
      <c r="F104" s="25">
        <f t="shared" si="6"/>
        <v>0.46</v>
      </c>
    </row>
    <row r="105" spans="2:6" x14ac:dyDescent="0.2">
      <c r="B105" s="30" t="s">
        <v>35</v>
      </c>
      <c r="C105" s="30"/>
      <c r="D105" s="34">
        <f>D95</f>
        <v>7376720</v>
      </c>
      <c r="E105" s="31">
        <f>SUM(E98:E104)</f>
        <v>29521286</v>
      </c>
      <c r="F105" s="32">
        <f>IF($D$105=0,"",ROUND(E105/$D$105,2))</f>
        <v>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20216945</v>
      </c>
      <c r="D109" s="15">
        <f>IF(F3="1",SUMIF(Data!$A:$A,$A$2,Data!HJ:HJ),0)</f>
        <v>0</v>
      </c>
      <c r="E109" s="15">
        <f>IF(F3="1",SUMIF(Data!$A:$A,$A$2,Data!IN:IN),0)</f>
        <v>0</v>
      </c>
      <c r="F109" s="47">
        <f>SUM(C109:E109)</f>
        <v>20216945</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13780</v>
      </c>
      <c r="F116" s="48">
        <f t="shared" si="7"/>
        <v>13780</v>
      </c>
    </row>
    <row r="117" spans="1:6" ht="15" thickBot="1" x14ac:dyDescent="0.25">
      <c r="B117" s="43" t="s">
        <v>933</v>
      </c>
      <c r="C117" s="52"/>
      <c r="D117" s="52">
        <f>IF(F3="1",SUMIF(Data!A:A,$A$2,Data!Q:Q),0)</f>
        <v>3359089</v>
      </c>
      <c r="E117" s="52"/>
      <c r="F117" s="49">
        <f>SUM(C117:E117)</f>
        <v>3359089</v>
      </c>
    </row>
    <row r="118" spans="1:6" x14ac:dyDescent="0.2">
      <c r="B118" s="13" t="s">
        <v>35</v>
      </c>
      <c r="C118" s="4">
        <f>SUM(C109:C116)</f>
        <v>20216945</v>
      </c>
      <c r="D118" s="4">
        <f>SUM(D109:D116)</f>
        <v>0</v>
      </c>
      <c r="E118" s="4">
        <f>SUM(E109:E116)</f>
        <v>13780</v>
      </c>
      <c r="F118" s="4">
        <f>SUM(F109:F116)</f>
        <v>20230725</v>
      </c>
    </row>
    <row r="119" spans="1:6" ht="15" thickBot="1" x14ac:dyDescent="0.25"/>
    <row r="120" spans="1:6" ht="15" thickBot="1" x14ac:dyDescent="0.25">
      <c r="B120" s="55" t="s">
        <v>934</v>
      </c>
      <c r="C120" s="53"/>
      <c r="D120" s="53"/>
      <c r="E120" s="53">
        <f>IF(F3="1",SUMIF(Data!A:A,'16'!$A$2,Data!AM:AM),0)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366</v>
      </c>
      <c r="B2" s="58" t="str">
        <f>VLOOKUP(A2,Data!A:G,7,0)</f>
        <v>Frank Phillips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24112</v>
      </c>
      <c r="E5" s="15">
        <f>E36+E67+IFERROR($E$105/$D$105*D5,0)</f>
        <v>203099.80934478622</v>
      </c>
      <c r="F5" s="20">
        <f>IF(OR(D5=0,E5=0),"",ROUND(E5/D5,2))</f>
        <v>8.42</v>
      </c>
    </row>
    <row r="6" spans="1:6" x14ac:dyDescent="0.2">
      <c r="A6" s="19">
        <v>2</v>
      </c>
      <c r="B6" s="177" t="s">
        <v>1</v>
      </c>
      <c r="C6" s="178"/>
      <c r="D6" s="14">
        <f t="shared" ref="D6:D32" si="0">D37</f>
        <v>7559</v>
      </c>
      <c r="E6" s="17">
        <f t="shared" ref="E6:E32" si="1">E37+E68+IFERROR($E$105/$D$105*D6,0)</f>
        <v>46560.500905658555</v>
      </c>
      <c r="F6" s="21">
        <f t="shared" ref="F6:F33" si="2">IF(OR(D6=0,E6=0),"",ROUND(E6/D6,2))</f>
        <v>6.16</v>
      </c>
    </row>
    <row r="7" spans="1:6" ht="14.25" customHeight="1" x14ac:dyDescent="0.2">
      <c r="A7" s="19">
        <v>3</v>
      </c>
      <c r="B7" s="177" t="s">
        <v>2</v>
      </c>
      <c r="C7" s="178"/>
      <c r="D7" s="14">
        <f t="shared" si="0"/>
        <v>63680</v>
      </c>
      <c r="E7" s="17">
        <f t="shared" si="1"/>
        <v>420905.32129545399</v>
      </c>
      <c r="F7" s="21">
        <f t="shared" si="2"/>
        <v>6.61</v>
      </c>
    </row>
    <row r="8" spans="1:6" ht="14.25" customHeight="1" x14ac:dyDescent="0.2">
      <c r="A8" s="19">
        <v>4</v>
      </c>
      <c r="B8" s="177" t="s">
        <v>3</v>
      </c>
      <c r="C8" s="178"/>
      <c r="D8" s="14">
        <f t="shared" si="0"/>
        <v>36998</v>
      </c>
      <c r="E8" s="17">
        <f t="shared" si="1"/>
        <v>248319.24851270739</v>
      </c>
      <c r="F8" s="21">
        <f t="shared" si="2"/>
        <v>6.71</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48</v>
      </c>
      <c r="E10" s="17">
        <f t="shared" si="1"/>
        <v>486.4959708257191</v>
      </c>
      <c r="F10" s="21">
        <f t="shared" si="2"/>
        <v>10.14</v>
      </c>
    </row>
    <row r="11" spans="1:6" x14ac:dyDescent="0.2">
      <c r="A11" s="19">
        <v>7</v>
      </c>
      <c r="B11" s="177" t="s">
        <v>6</v>
      </c>
      <c r="C11" s="178"/>
      <c r="D11" s="14">
        <f t="shared" si="0"/>
        <v>51905</v>
      </c>
      <c r="E11" s="17">
        <f t="shared" si="1"/>
        <v>256439.09095226979</v>
      </c>
      <c r="F11" s="21">
        <f t="shared" si="2"/>
        <v>4.9400000000000004</v>
      </c>
    </row>
    <row r="12" spans="1:6" x14ac:dyDescent="0.2">
      <c r="A12" s="19">
        <v>8</v>
      </c>
      <c r="B12" s="177" t="s">
        <v>7</v>
      </c>
      <c r="C12" s="178"/>
      <c r="D12" s="14">
        <f t="shared" si="0"/>
        <v>768</v>
      </c>
      <c r="E12" s="17">
        <f t="shared" si="1"/>
        <v>5647.9355332115056</v>
      </c>
      <c r="F12" s="21">
        <f t="shared" si="2"/>
        <v>7.35</v>
      </c>
    </row>
    <row r="13" spans="1:6" x14ac:dyDescent="0.2">
      <c r="A13" s="19">
        <v>9</v>
      </c>
      <c r="B13" s="177" t="s">
        <v>8</v>
      </c>
      <c r="C13" s="178"/>
      <c r="D13" s="14">
        <f t="shared" si="0"/>
        <v>49756</v>
      </c>
      <c r="E13" s="17">
        <f t="shared" si="1"/>
        <v>220795.03175842666</v>
      </c>
      <c r="F13" s="21">
        <f t="shared" si="2"/>
        <v>4.4400000000000004</v>
      </c>
    </row>
    <row r="14" spans="1:6" x14ac:dyDescent="0.2">
      <c r="A14" s="19">
        <v>10</v>
      </c>
      <c r="B14" s="177" t="s">
        <v>9</v>
      </c>
      <c r="C14" s="178"/>
      <c r="D14" s="14">
        <f t="shared" si="0"/>
        <v>0</v>
      </c>
      <c r="E14" s="17">
        <f t="shared" si="1"/>
        <v>0</v>
      </c>
      <c r="F14" s="21" t="str">
        <f t="shared" si="2"/>
        <v/>
      </c>
    </row>
    <row r="15" spans="1:6" x14ac:dyDescent="0.2">
      <c r="A15" s="19">
        <v>11</v>
      </c>
      <c r="B15" s="177" t="s">
        <v>10</v>
      </c>
      <c r="C15" s="178"/>
      <c r="D15" s="14">
        <f t="shared" si="0"/>
        <v>45977</v>
      </c>
      <c r="E15" s="17">
        <f t="shared" si="1"/>
        <v>235961.33855529348</v>
      </c>
      <c r="F15" s="21">
        <f t="shared" si="2"/>
        <v>5.13</v>
      </c>
    </row>
    <row r="16" spans="1:6" ht="14.25" customHeight="1" x14ac:dyDescent="0.2">
      <c r="A16" s="19">
        <v>12</v>
      </c>
      <c r="B16" s="177" t="s">
        <v>11</v>
      </c>
      <c r="C16" s="178"/>
      <c r="D16" s="14">
        <f t="shared" si="0"/>
        <v>74342</v>
      </c>
      <c r="E16" s="17">
        <f t="shared" si="1"/>
        <v>413722.11381511681</v>
      </c>
      <c r="F16" s="21">
        <f t="shared" si="2"/>
        <v>5.57</v>
      </c>
    </row>
    <row r="17" spans="1:6" x14ac:dyDescent="0.2">
      <c r="A17" s="19">
        <v>13</v>
      </c>
      <c r="B17" s="177" t="s">
        <v>12</v>
      </c>
      <c r="C17" s="178"/>
      <c r="D17" s="14">
        <f t="shared" si="0"/>
        <v>4110</v>
      </c>
      <c r="E17" s="17">
        <f t="shared" si="1"/>
        <v>18759.592501952196</v>
      </c>
      <c r="F17" s="21">
        <f t="shared" si="2"/>
        <v>4.5599999999999996</v>
      </c>
    </row>
    <row r="18" spans="1:6" ht="14.25" customHeight="1" x14ac:dyDescent="0.2">
      <c r="A18" s="19">
        <v>14</v>
      </c>
      <c r="B18" s="177" t="s">
        <v>464</v>
      </c>
      <c r="C18" s="178"/>
      <c r="D18" s="14">
        <f t="shared" si="0"/>
        <v>18384</v>
      </c>
      <c r="E18" s="17">
        <f t="shared" si="1"/>
        <v>204642.95682625042</v>
      </c>
      <c r="F18" s="21">
        <f t="shared" si="2"/>
        <v>11.13</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40757</v>
      </c>
      <c r="E20" s="17">
        <f t="shared" si="1"/>
        <v>219201.65172799653</v>
      </c>
      <c r="F20" s="21">
        <f t="shared" si="2"/>
        <v>5.38</v>
      </c>
    </row>
    <row r="21" spans="1:6" x14ac:dyDescent="0.2">
      <c r="A21" s="19">
        <v>17</v>
      </c>
      <c r="B21" s="177" t="s">
        <v>15</v>
      </c>
      <c r="C21" s="178"/>
      <c r="D21" s="14">
        <f t="shared" si="0"/>
        <v>0</v>
      </c>
      <c r="E21" s="17">
        <f t="shared" si="1"/>
        <v>0</v>
      </c>
      <c r="F21" s="21" t="str">
        <f t="shared" si="2"/>
        <v/>
      </c>
    </row>
    <row r="22" spans="1:6" x14ac:dyDescent="0.2">
      <c r="A22" s="19">
        <v>18</v>
      </c>
      <c r="B22" s="177" t="s">
        <v>16</v>
      </c>
      <c r="C22" s="178"/>
      <c r="D22" s="14">
        <f t="shared" si="0"/>
        <v>7448</v>
      </c>
      <c r="E22" s="17">
        <f t="shared" si="1"/>
        <v>43831.791473124074</v>
      </c>
      <c r="F22" s="21">
        <f t="shared" si="2"/>
        <v>5.89</v>
      </c>
    </row>
    <row r="23" spans="1:6" x14ac:dyDescent="0.2">
      <c r="A23" s="19">
        <v>19</v>
      </c>
      <c r="B23" s="177" t="s">
        <v>17</v>
      </c>
      <c r="C23" s="178"/>
      <c r="D23" s="14">
        <f t="shared" si="0"/>
        <v>51984</v>
      </c>
      <c r="E23" s="17">
        <f t="shared" si="1"/>
        <v>266719.13640425378</v>
      </c>
      <c r="F23" s="21">
        <f t="shared" si="2"/>
        <v>5.13</v>
      </c>
    </row>
    <row r="24" spans="1:6" x14ac:dyDescent="0.2">
      <c r="A24" s="19">
        <v>20</v>
      </c>
      <c r="B24" s="177" t="s">
        <v>18</v>
      </c>
      <c r="C24" s="178"/>
      <c r="D24" s="14">
        <f t="shared" si="0"/>
        <v>0</v>
      </c>
      <c r="E24" s="17">
        <f t="shared" si="1"/>
        <v>0</v>
      </c>
      <c r="F24" s="21" t="str">
        <f t="shared" si="2"/>
        <v/>
      </c>
    </row>
    <row r="25" spans="1:6" ht="14.25" customHeight="1" x14ac:dyDescent="0.2">
      <c r="A25" s="19">
        <v>21</v>
      </c>
      <c r="B25" s="177" t="s">
        <v>461</v>
      </c>
      <c r="C25" s="178"/>
      <c r="D25" s="14">
        <f t="shared" si="0"/>
        <v>0</v>
      </c>
      <c r="E25" s="17">
        <f t="shared" si="1"/>
        <v>0</v>
      </c>
      <c r="F25" s="21" t="str">
        <f t="shared" si="2"/>
        <v/>
      </c>
    </row>
    <row r="26" spans="1:6" x14ac:dyDescent="0.2">
      <c r="A26" s="19">
        <v>22</v>
      </c>
      <c r="B26" s="177" t="s">
        <v>19</v>
      </c>
      <c r="C26" s="178"/>
      <c r="D26" s="14">
        <f t="shared" si="0"/>
        <v>9600</v>
      </c>
      <c r="E26" s="17">
        <f t="shared" si="1"/>
        <v>33155.194165143817</v>
      </c>
      <c r="F26" s="21">
        <f t="shared" si="2"/>
        <v>3.45</v>
      </c>
    </row>
    <row r="27" spans="1:6" x14ac:dyDescent="0.2">
      <c r="A27" s="19">
        <v>23</v>
      </c>
      <c r="B27" s="177" t="s">
        <v>20</v>
      </c>
      <c r="C27" s="178"/>
      <c r="D27" s="14">
        <f t="shared" si="0"/>
        <v>29923</v>
      </c>
      <c r="E27" s="17">
        <f t="shared" si="1"/>
        <v>238452.16531287483</v>
      </c>
      <c r="F27" s="21">
        <f t="shared" si="2"/>
        <v>7.97</v>
      </c>
    </row>
    <row r="28" spans="1:6" x14ac:dyDescent="0.2">
      <c r="A28" s="19">
        <v>24</v>
      </c>
      <c r="B28" s="177" t="s">
        <v>21</v>
      </c>
      <c r="C28" s="178"/>
      <c r="D28" s="14">
        <f t="shared" si="0"/>
        <v>4672</v>
      </c>
      <c r="E28" s="17">
        <f t="shared" si="1"/>
        <v>26385.941160369992</v>
      </c>
      <c r="F28" s="21">
        <f t="shared" si="2"/>
        <v>5.65</v>
      </c>
    </row>
    <row r="29" spans="1:6" x14ac:dyDescent="0.2">
      <c r="A29" s="19">
        <v>25</v>
      </c>
      <c r="B29" s="177" t="s">
        <v>22</v>
      </c>
      <c r="C29" s="178"/>
      <c r="D29" s="14">
        <f t="shared" si="0"/>
        <v>80832</v>
      </c>
      <c r="E29" s="17">
        <f t="shared" si="1"/>
        <v>451726.21487051097</v>
      </c>
      <c r="F29" s="21">
        <f t="shared" si="2"/>
        <v>5.59</v>
      </c>
    </row>
    <row r="30" spans="1:6" x14ac:dyDescent="0.2">
      <c r="A30" s="19">
        <v>26</v>
      </c>
      <c r="B30" s="177" t="s">
        <v>23</v>
      </c>
      <c r="C30" s="178"/>
      <c r="D30" s="14">
        <f t="shared" si="0"/>
        <v>18240</v>
      </c>
      <c r="E30" s="17">
        <f t="shared" si="1"/>
        <v>137364.46891377325</v>
      </c>
      <c r="F30" s="21">
        <f t="shared" si="2"/>
        <v>7.53</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621095</v>
      </c>
      <c r="E33" s="31">
        <f>SUM(E5:E32)</f>
        <v>3692176</v>
      </c>
      <c r="F33" s="32">
        <f t="shared" si="2"/>
        <v>5.94</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IF(F3="1",SUMIF(Data!A:A,'17'!$A$2,Data!CU:CU),0)</f>
        <v>24112</v>
      </c>
      <c r="E36" s="15">
        <f>IF(F3="1",SUMIF(Data!$A:$A,$A$2,Data!IO:IO),0)</f>
        <v>17811</v>
      </c>
      <c r="F36" s="20">
        <f t="shared" ref="F36:F64" si="3">IF(OR(D36=0,E36=0),"",ROUND(E36/D36,2))</f>
        <v>0.74</v>
      </c>
    </row>
    <row r="37" spans="1:6" x14ac:dyDescent="0.2">
      <c r="A37" s="19">
        <v>2</v>
      </c>
      <c r="B37" s="177" t="s">
        <v>1</v>
      </c>
      <c r="C37" s="178"/>
      <c r="D37" s="14">
        <f>IF(F3="1",SUMIF(Data!A:A,'17'!$A$2,Data!CV:CV),0)</f>
        <v>7559</v>
      </c>
      <c r="E37" s="17">
        <f>IF(F3="1",SUMIF(Data!$A:$A,$A$2,Data!IP:IP),0)</f>
        <v>19911</v>
      </c>
      <c r="F37" s="21">
        <f t="shared" si="3"/>
        <v>2.63</v>
      </c>
    </row>
    <row r="38" spans="1:6" ht="14.25" customHeight="1" x14ac:dyDescent="0.2">
      <c r="A38" s="19">
        <v>3</v>
      </c>
      <c r="B38" s="177" t="s">
        <v>2</v>
      </c>
      <c r="C38" s="178"/>
      <c r="D38" s="14">
        <f>IF(F3="1",SUMIF(Data!A:A,'17'!$A$2,Data!CW:CW),0)</f>
        <v>63680</v>
      </c>
      <c r="E38" s="17">
        <f>IF($F$3="1",SUMIF(Data!$A:$A,$A$2,Data!IQ:IQ),0)</f>
        <v>51776</v>
      </c>
      <c r="F38" s="21">
        <f t="shared" si="3"/>
        <v>0.81</v>
      </c>
    </row>
    <row r="39" spans="1:6" ht="14.25" customHeight="1" x14ac:dyDescent="0.2">
      <c r="A39" s="19">
        <v>4</v>
      </c>
      <c r="B39" s="177" t="s">
        <v>3</v>
      </c>
      <c r="C39" s="178"/>
      <c r="D39" s="14">
        <f>IF(F3="1",SUMIF(Data!A:A,'17'!$A$2,Data!CX:CX),0)</f>
        <v>36998</v>
      </c>
      <c r="E39" s="17">
        <f>IF($F$3="1",SUMIF(Data!$A:$A,$A$2,Data!IR:IR),0)</f>
        <v>34302</v>
      </c>
      <c r="F39" s="21">
        <f t="shared" si="3"/>
        <v>0.93</v>
      </c>
    </row>
    <row r="40" spans="1:6" x14ac:dyDescent="0.2">
      <c r="A40" s="19">
        <v>5</v>
      </c>
      <c r="B40" s="177" t="s">
        <v>4</v>
      </c>
      <c r="C40" s="178"/>
      <c r="D40" s="14">
        <f>IF(F3="1",SUMIF(Data!A:A,'17'!$A$2,Data!CY:CY),0)</f>
        <v>0</v>
      </c>
      <c r="E40" s="17">
        <f>IF($F$3="1",SUMIF(Data!$A:$A,$A$2,Data!IS:IS),0)</f>
        <v>0</v>
      </c>
      <c r="F40" s="21" t="str">
        <f t="shared" si="3"/>
        <v/>
      </c>
    </row>
    <row r="41" spans="1:6" x14ac:dyDescent="0.2">
      <c r="A41" s="19">
        <v>6</v>
      </c>
      <c r="B41" s="177" t="s">
        <v>5</v>
      </c>
      <c r="C41" s="178"/>
      <c r="D41" s="14">
        <f>IF(F3="1",SUMIF(Data!A:A,'17'!$A$2,Data!CZ:CZ),0)</f>
        <v>48</v>
      </c>
      <c r="E41" s="17">
        <f>IF($F$3="1",SUMIF(Data!$A:$A,$A$2,Data!IT:IT),0)</f>
        <v>337</v>
      </c>
      <c r="F41" s="21">
        <f t="shared" si="3"/>
        <v>7.02</v>
      </c>
    </row>
    <row r="42" spans="1:6" x14ac:dyDescent="0.2">
      <c r="A42" s="19">
        <v>7</v>
      </c>
      <c r="B42" s="177" t="s">
        <v>6</v>
      </c>
      <c r="C42" s="178"/>
      <c r="D42" s="14">
        <f>IF(F3="1",SUMIF(Data!A:A,'17'!$A$2,Data!DA:DA),0)</f>
        <v>51905</v>
      </c>
      <c r="E42" s="17">
        <f>IF($F$3="1",SUMIF(Data!$A:$A,$A$2,Data!IU:IU),0)</f>
        <v>71949</v>
      </c>
      <c r="F42" s="21">
        <f t="shared" si="3"/>
        <v>1.39</v>
      </c>
    </row>
    <row r="43" spans="1:6" x14ac:dyDescent="0.2">
      <c r="A43" s="19">
        <v>8</v>
      </c>
      <c r="B43" s="177" t="s">
        <v>7</v>
      </c>
      <c r="C43" s="178"/>
      <c r="D43" s="14">
        <f>IF(F3="1",SUMIF(Data!A:A,'17'!$A$2,Data!DB:DB),0)</f>
        <v>768</v>
      </c>
      <c r="E43" s="17">
        <f>IF($F$3="1",SUMIF(Data!$A:$A,$A$2,Data!IV:IV),0)</f>
        <v>3256</v>
      </c>
      <c r="F43" s="21">
        <f t="shared" si="3"/>
        <v>4.24</v>
      </c>
    </row>
    <row r="44" spans="1:6" x14ac:dyDescent="0.2">
      <c r="A44" s="19">
        <v>9</v>
      </c>
      <c r="B44" s="177" t="s">
        <v>8</v>
      </c>
      <c r="C44" s="178"/>
      <c r="D44" s="14">
        <f>IF(F3="1",SUMIF(Data!A:A,'17'!$A$2,Data!DC:DC),0)</f>
        <v>49756</v>
      </c>
      <c r="E44" s="17">
        <f>IF($F$3="1",SUMIF(Data!$A:$A,$A$2,Data!IW:IW),0)</f>
        <v>26043</v>
      </c>
      <c r="F44" s="21">
        <f t="shared" si="3"/>
        <v>0.52</v>
      </c>
    </row>
    <row r="45" spans="1:6" x14ac:dyDescent="0.2">
      <c r="A45" s="19">
        <v>10</v>
      </c>
      <c r="B45" s="177" t="s">
        <v>9</v>
      </c>
      <c r="C45" s="178"/>
      <c r="D45" s="14">
        <f>IF(F3="1",SUMIF(Data!A:A,'17'!$A$2,Data!DD:DD),0)</f>
        <v>0</v>
      </c>
      <c r="E45" s="17">
        <f>IF($F$3="1",SUMIF(Data!$A:$A,$A$2,Data!IX:IX),0)</f>
        <v>0</v>
      </c>
      <c r="F45" s="21" t="str">
        <f t="shared" si="3"/>
        <v/>
      </c>
    </row>
    <row r="46" spans="1:6" x14ac:dyDescent="0.2">
      <c r="A46" s="19">
        <v>11</v>
      </c>
      <c r="B46" s="177" t="s">
        <v>10</v>
      </c>
      <c r="C46" s="178"/>
      <c r="D46" s="14">
        <f>IF(F3="1",SUMIF(Data!A:A,'17'!$A$2,Data!DE:DE),0)</f>
        <v>45977</v>
      </c>
      <c r="E46" s="17">
        <f>IF($F$3="1",SUMIF(Data!$A:$A,$A$2,Data!IY:IY),0)</f>
        <v>60006</v>
      </c>
      <c r="F46" s="21">
        <f t="shared" si="3"/>
        <v>1.31</v>
      </c>
    </row>
    <row r="47" spans="1:6" ht="14.25" customHeight="1" x14ac:dyDescent="0.2">
      <c r="A47" s="19">
        <v>12</v>
      </c>
      <c r="B47" s="177" t="s">
        <v>11</v>
      </c>
      <c r="C47" s="178"/>
      <c r="D47" s="14">
        <f>IF(F3="1",SUMIF(Data!A:A,'17'!$A$2,Data!DF:DF),0)</f>
        <v>74342</v>
      </c>
      <c r="E47" s="17">
        <f>IF($F$3="1",SUMIF(Data!$A:$A,$A$2,Data!IZ:IZ),0)</f>
        <v>50058</v>
      </c>
      <c r="F47" s="21">
        <f t="shared" si="3"/>
        <v>0.67</v>
      </c>
    </row>
    <row r="48" spans="1:6" x14ac:dyDescent="0.2">
      <c r="A48" s="19">
        <v>13</v>
      </c>
      <c r="B48" s="177" t="s">
        <v>12</v>
      </c>
      <c r="C48" s="178"/>
      <c r="D48" s="14">
        <f>IF(F3="1",SUMIF(Data!A:A,'17'!$A$2,Data!DG:DG),0)</f>
        <v>4110</v>
      </c>
      <c r="E48" s="17">
        <f>IF($F$3="1",SUMIF(Data!$A:$A,$A$2,Data!JA:JA),0)</f>
        <v>5959</v>
      </c>
      <c r="F48" s="21">
        <f t="shared" si="3"/>
        <v>1.45</v>
      </c>
    </row>
    <row r="49" spans="1:6" ht="14.25" customHeight="1" x14ac:dyDescent="0.2">
      <c r="A49" s="19">
        <v>14</v>
      </c>
      <c r="B49" s="177" t="s">
        <v>464</v>
      </c>
      <c r="C49" s="178"/>
      <c r="D49" s="14">
        <f>IF(F3="1",SUMIF(Data!A:A,'17'!$A$2,Data!DH:DH),0)</f>
        <v>18384</v>
      </c>
      <c r="E49" s="17">
        <f>IF($F$3="1",SUMIF(Data!$A:$A,$A$2,Data!JB:JB),0)</f>
        <v>49537</v>
      </c>
      <c r="F49" s="21">
        <f t="shared" si="3"/>
        <v>2.69</v>
      </c>
    </row>
    <row r="50" spans="1:6" x14ac:dyDescent="0.2">
      <c r="A50" s="19">
        <v>15</v>
      </c>
      <c r="B50" s="177" t="s">
        <v>13</v>
      </c>
      <c r="C50" s="178"/>
      <c r="D50" s="14">
        <f>IF(F3="1",SUMIF(Data!A:A,'17'!$A$2,Data!DI:DI),0)</f>
        <v>0</v>
      </c>
      <c r="E50" s="17">
        <f>IF($F$3="1",SUMIF(Data!$A:$A,$A$2,Data!JC:JC),0)</f>
        <v>0</v>
      </c>
      <c r="F50" s="21" t="str">
        <f t="shared" si="3"/>
        <v/>
      </c>
    </row>
    <row r="51" spans="1:6" x14ac:dyDescent="0.2">
      <c r="A51" s="19">
        <v>16</v>
      </c>
      <c r="B51" s="177" t="s">
        <v>14</v>
      </c>
      <c r="C51" s="178"/>
      <c r="D51" s="14">
        <f>IF(F3="1",SUMIF(Data!A:A,'17'!$A$2,Data!DJ:DJ),0)</f>
        <v>40757</v>
      </c>
      <c r="E51" s="17">
        <f>IF($F$3="1",SUMIF(Data!$A:$A,$A$2,Data!JD:JD),0)</f>
        <v>64516</v>
      </c>
      <c r="F51" s="21">
        <f t="shared" si="3"/>
        <v>1.58</v>
      </c>
    </row>
    <row r="52" spans="1:6" x14ac:dyDescent="0.2">
      <c r="A52" s="19">
        <v>17</v>
      </c>
      <c r="B52" s="177" t="s">
        <v>15</v>
      </c>
      <c r="C52" s="178"/>
      <c r="D52" s="14">
        <f>IF(F3="1",SUMIF(Data!A:A,'17'!$A$2,Data!DK:DK),0)</f>
        <v>0</v>
      </c>
      <c r="E52" s="17">
        <f>IF($F$3="1",SUMIF(Data!$A:$A,$A$2,Data!JE:JE),0)</f>
        <v>0</v>
      </c>
      <c r="F52" s="21" t="str">
        <f t="shared" si="3"/>
        <v/>
      </c>
    </row>
    <row r="53" spans="1:6" x14ac:dyDescent="0.2">
      <c r="A53" s="19">
        <v>18</v>
      </c>
      <c r="B53" s="177" t="s">
        <v>16</v>
      </c>
      <c r="C53" s="178"/>
      <c r="D53" s="14">
        <f>IF(F3="1",SUMIF(Data!A:A,'17'!$A$2,Data!DL:DL),0)</f>
        <v>7448</v>
      </c>
      <c r="E53" s="17">
        <f>IF($F$3="1",SUMIF(Data!$A:$A,$A$2,Data!JF:JF),0)</f>
        <v>189</v>
      </c>
      <c r="F53" s="21">
        <f t="shared" si="3"/>
        <v>0.03</v>
      </c>
    </row>
    <row r="54" spans="1:6" x14ac:dyDescent="0.2">
      <c r="A54" s="19">
        <v>19</v>
      </c>
      <c r="B54" s="177" t="s">
        <v>17</v>
      </c>
      <c r="C54" s="178"/>
      <c r="D54" s="14">
        <f>IF(F3="1",SUMIF(Data!A:A,'17'!$A$2,Data!DM:DM),0)</f>
        <v>51984</v>
      </c>
      <c r="E54" s="17">
        <f>IF($F$3="1",SUMIF(Data!$A:$A,$A$2,Data!JG:JG),0)</f>
        <v>43840</v>
      </c>
      <c r="F54" s="21">
        <f t="shared" si="3"/>
        <v>0.84</v>
      </c>
    </row>
    <row r="55" spans="1:6" x14ac:dyDescent="0.2">
      <c r="A55" s="19">
        <v>20</v>
      </c>
      <c r="B55" s="177" t="s">
        <v>18</v>
      </c>
      <c r="C55" s="178"/>
      <c r="D55" s="14">
        <f>IF(F3="1",SUMIF(Data!A:A,'17'!$A$2,Data!DN:DN),0)</f>
        <v>0</v>
      </c>
      <c r="E55" s="17">
        <f>IF($F$3="1",SUMIF(Data!$A:$A,$A$2,Data!JH:JH),0)</f>
        <v>0</v>
      </c>
      <c r="F55" s="21" t="str">
        <f t="shared" si="3"/>
        <v/>
      </c>
    </row>
    <row r="56" spans="1:6" ht="14.25" customHeight="1" x14ac:dyDescent="0.2">
      <c r="A56" s="19">
        <v>21</v>
      </c>
      <c r="B56" s="177" t="s">
        <v>461</v>
      </c>
      <c r="C56" s="178"/>
      <c r="D56" s="14">
        <f>IF(F3="1",SUMIF(Data!A:A,'17'!$A$2,Data!DO:DO),0)</f>
        <v>0</v>
      </c>
      <c r="E56" s="17">
        <f>IF($F$3="1",SUMIF(Data!$A:$A,$A$2,Data!JI:JI),0)</f>
        <v>0</v>
      </c>
      <c r="F56" s="21" t="str">
        <f t="shared" si="3"/>
        <v/>
      </c>
    </row>
    <row r="57" spans="1:6" x14ac:dyDescent="0.2">
      <c r="A57" s="19">
        <v>22</v>
      </c>
      <c r="B57" s="177" t="s">
        <v>19</v>
      </c>
      <c r="C57" s="178"/>
      <c r="D57" s="14">
        <f>IF(F3="1",SUMIF(Data!A:A,'17'!$A$2,Data!DP:DP),0)</f>
        <v>9600</v>
      </c>
      <c r="E57" s="17">
        <f>IF($F$3="1",SUMIF(Data!$A:$A,$A$2,Data!JJ:JJ),0)</f>
        <v>3256</v>
      </c>
      <c r="F57" s="21">
        <f t="shared" si="3"/>
        <v>0.34</v>
      </c>
    </row>
    <row r="58" spans="1:6" x14ac:dyDescent="0.2">
      <c r="A58" s="19">
        <v>23</v>
      </c>
      <c r="B58" s="177" t="s">
        <v>20</v>
      </c>
      <c r="C58" s="178"/>
      <c r="D58" s="14">
        <f>IF(F3="1",SUMIF(Data!A:A,'17'!$A$2,Data!DQ:DQ),0)</f>
        <v>29923</v>
      </c>
      <c r="E58" s="17">
        <f>IF($F$3="1",SUMIF(Data!$A:$A,$A$2,Data!JK:JK),0)</f>
        <v>19877</v>
      </c>
      <c r="F58" s="21">
        <f t="shared" si="3"/>
        <v>0.66</v>
      </c>
    </row>
    <row r="59" spans="1:6" x14ac:dyDescent="0.2">
      <c r="A59" s="19">
        <v>24</v>
      </c>
      <c r="B59" s="177" t="s">
        <v>21</v>
      </c>
      <c r="C59" s="178"/>
      <c r="D59" s="14">
        <f>IF(F3="1",SUMIF(Data!A:A,'17'!$A$2,Data!DR:DR),0)</f>
        <v>4672</v>
      </c>
      <c r="E59" s="17">
        <f>IF($F$3="1",SUMIF(Data!$A:$A,$A$2,Data!JL:JL),0)</f>
        <v>11835</v>
      </c>
      <c r="F59" s="21">
        <f t="shared" si="3"/>
        <v>2.5299999999999998</v>
      </c>
    </row>
    <row r="60" spans="1:6" x14ac:dyDescent="0.2">
      <c r="A60" s="19">
        <v>25</v>
      </c>
      <c r="B60" s="177" t="s">
        <v>22</v>
      </c>
      <c r="C60" s="178"/>
      <c r="D60" s="14">
        <f>IF(F3="1",SUMIF(Data!A:A,'17'!$A$2,Data!DS:DS),0)</f>
        <v>80832</v>
      </c>
      <c r="E60" s="17">
        <f>IF($F$3="1",SUMIF(Data!$A:$A,$A$2,Data!JM:JM),0)</f>
        <v>53572</v>
      </c>
      <c r="F60" s="21">
        <f t="shared" si="3"/>
        <v>0.66</v>
      </c>
    </row>
    <row r="61" spans="1:6" x14ac:dyDescent="0.2">
      <c r="A61" s="19">
        <v>26</v>
      </c>
      <c r="B61" s="177" t="s">
        <v>23</v>
      </c>
      <c r="C61" s="178"/>
      <c r="D61" s="14">
        <f>IF(F3="1",SUMIF(Data!A:A,'17'!$A$2,Data!DT:DT),0)</f>
        <v>18240</v>
      </c>
      <c r="E61" s="17">
        <f>IF($F$3="1",SUMIF(Data!$A:$A,$A$2,Data!JN:JN),0)</f>
        <v>35084</v>
      </c>
      <c r="F61" s="21">
        <f t="shared" si="3"/>
        <v>1.92</v>
      </c>
    </row>
    <row r="62" spans="1:6" x14ac:dyDescent="0.2">
      <c r="A62" s="19">
        <v>28</v>
      </c>
      <c r="B62" s="177" t="s">
        <v>24</v>
      </c>
      <c r="C62" s="178"/>
      <c r="D62" s="14">
        <f>IF(F3="1",SUMIF(Data!A:A,'17'!$A$2,Data!DV:DV),0)</f>
        <v>0</v>
      </c>
      <c r="E62" s="17">
        <f>IF($F$3="1",SUMIF(Data!$A:$A,$A$2,Data!JP:JP),0)</f>
        <v>0</v>
      </c>
      <c r="F62" s="21" t="str">
        <f t="shared" si="3"/>
        <v/>
      </c>
    </row>
    <row r="63" spans="1:6" ht="15.75" customHeight="1" thickBot="1" x14ac:dyDescent="0.25">
      <c r="A63" s="22">
        <v>29</v>
      </c>
      <c r="B63" s="179" t="s">
        <v>25</v>
      </c>
      <c r="C63" s="180"/>
      <c r="D63" s="23">
        <f>IF(F3="1",SUMIF(Data!A:A,'17'!$A$2,Data!DW:DW),0)</f>
        <v>0</v>
      </c>
      <c r="E63" s="24">
        <f>IF($F$3="1",SUMIF(Data!$A:$A,$A$2,Data!JQ:JQ),0)</f>
        <v>0</v>
      </c>
      <c r="F63" s="25" t="str">
        <f t="shared" si="3"/>
        <v/>
      </c>
    </row>
    <row r="64" spans="1:6" x14ac:dyDescent="0.2">
      <c r="B64" s="30" t="s">
        <v>35</v>
      </c>
      <c r="C64" s="30"/>
      <c r="D64" s="59">
        <f>SUM(D36:D63)</f>
        <v>621095</v>
      </c>
      <c r="E64" s="31">
        <f>SUM(E36:E63)</f>
        <v>623114</v>
      </c>
      <c r="F64" s="32">
        <f t="shared" si="3"/>
        <v>1</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24112</v>
      </c>
      <c r="E67" s="15">
        <f>IF(F3="1",SUMIF(Data!A:A,'17'!$A$2,Data!DY:DY),0)</f>
        <v>110192</v>
      </c>
      <c r="F67" s="20">
        <f t="shared" ref="F67:F95" si="4">IF(OR(D67=0,E67=0),"",ROUND(E67/D67,2))</f>
        <v>4.57</v>
      </c>
    </row>
    <row r="68" spans="1:6" x14ac:dyDescent="0.2">
      <c r="A68" s="19">
        <v>2</v>
      </c>
      <c r="B68" s="177" t="s">
        <v>1</v>
      </c>
      <c r="C68" s="178"/>
      <c r="D68" s="14">
        <f t="shared" ref="D68:D94" si="5">D37</f>
        <v>7559</v>
      </c>
      <c r="E68" s="17">
        <f>IF(F3="1",SUMIF(Data!A:A,'17'!$A$2,Data!DZ:DZ),0)</f>
        <v>3107</v>
      </c>
      <c r="F68" s="21">
        <f t="shared" si="4"/>
        <v>0.41</v>
      </c>
    </row>
    <row r="69" spans="1:6" ht="14.25" customHeight="1" x14ac:dyDescent="0.2">
      <c r="A69" s="19">
        <v>3</v>
      </c>
      <c r="B69" s="177" t="s">
        <v>2</v>
      </c>
      <c r="C69" s="178"/>
      <c r="D69" s="14">
        <f t="shared" si="5"/>
        <v>63680</v>
      </c>
      <c r="E69" s="17">
        <f>IF(F3="1",SUMIF(Data!A:A,'17'!$A$2,Data!EA:EA),0)</f>
        <v>170798</v>
      </c>
      <c r="F69" s="21">
        <f t="shared" si="4"/>
        <v>2.68</v>
      </c>
    </row>
    <row r="70" spans="1:6" ht="14.25" customHeight="1" x14ac:dyDescent="0.2">
      <c r="A70" s="19">
        <v>4</v>
      </c>
      <c r="B70" s="177" t="s">
        <v>3</v>
      </c>
      <c r="C70" s="178"/>
      <c r="D70" s="14">
        <f t="shared" si="5"/>
        <v>36998</v>
      </c>
      <c r="E70" s="17">
        <f>IF(F3="1",SUMIF(Data!A:A,'17'!$A$2,Data!EB:EB),0)</f>
        <v>98787</v>
      </c>
      <c r="F70" s="21">
        <f t="shared" si="4"/>
        <v>2.67</v>
      </c>
    </row>
    <row r="71" spans="1:6" x14ac:dyDescent="0.2">
      <c r="A71" s="19">
        <v>5</v>
      </c>
      <c r="B71" s="177" t="s">
        <v>4</v>
      </c>
      <c r="C71" s="178"/>
      <c r="D71" s="14">
        <f t="shared" si="5"/>
        <v>0</v>
      </c>
      <c r="E71" s="17">
        <f>IF(F3="1",SUMIF(Data!A:A,'17'!$A$2,Data!EC:EC),0)</f>
        <v>0</v>
      </c>
      <c r="F71" s="21" t="str">
        <f t="shared" si="4"/>
        <v/>
      </c>
    </row>
    <row r="72" spans="1:6" x14ac:dyDescent="0.2">
      <c r="A72" s="19">
        <v>6</v>
      </c>
      <c r="B72" s="177" t="s">
        <v>5</v>
      </c>
      <c r="C72" s="178"/>
      <c r="D72" s="14">
        <f t="shared" si="5"/>
        <v>48</v>
      </c>
      <c r="E72" s="17">
        <f>IF(F3="1",SUMIF(Data!A:A,'17'!$A$2,Data!ED:ED),0)</f>
        <v>0</v>
      </c>
      <c r="F72" s="21" t="str">
        <f t="shared" si="4"/>
        <v/>
      </c>
    </row>
    <row r="73" spans="1:6" x14ac:dyDescent="0.2">
      <c r="A73" s="19">
        <v>7</v>
      </c>
      <c r="B73" s="177" t="s">
        <v>6</v>
      </c>
      <c r="C73" s="178"/>
      <c r="D73" s="14">
        <f t="shared" si="5"/>
        <v>51905</v>
      </c>
      <c r="E73" s="17">
        <f>IF(F3="1",SUMIF(Data!A:A,'17'!$A$2,Data!EE:EE),0)</f>
        <v>22832</v>
      </c>
      <c r="F73" s="21">
        <f t="shared" si="4"/>
        <v>0.44</v>
      </c>
    </row>
    <row r="74" spans="1:6" x14ac:dyDescent="0.2">
      <c r="A74" s="19">
        <v>8</v>
      </c>
      <c r="B74" s="177" t="s">
        <v>7</v>
      </c>
      <c r="C74" s="178"/>
      <c r="D74" s="14">
        <f t="shared" si="5"/>
        <v>768</v>
      </c>
      <c r="E74" s="17">
        <f>IF(F3="1",SUMIF(Data!A:A,'17'!$A$2,Data!EF:EF),0)</f>
        <v>0</v>
      </c>
      <c r="F74" s="21" t="str">
        <f t="shared" si="4"/>
        <v/>
      </c>
    </row>
    <row r="75" spans="1:6" x14ac:dyDescent="0.2">
      <c r="A75" s="19">
        <v>9</v>
      </c>
      <c r="B75" s="177" t="s">
        <v>8</v>
      </c>
      <c r="C75" s="178"/>
      <c r="D75" s="14">
        <f t="shared" si="5"/>
        <v>49756</v>
      </c>
      <c r="E75" s="17">
        <f>IF(F3="1",SUMIF(Data!A:A,'17'!$A$2,Data!EG:EG),0)</f>
        <v>39787</v>
      </c>
      <c r="F75" s="21">
        <f t="shared" si="4"/>
        <v>0.8</v>
      </c>
    </row>
    <row r="76" spans="1:6" x14ac:dyDescent="0.2">
      <c r="A76" s="19">
        <v>10</v>
      </c>
      <c r="B76" s="177" t="s">
        <v>9</v>
      </c>
      <c r="C76" s="178"/>
      <c r="D76" s="14">
        <f t="shared" si="5"/>
        <v>0</v>
      </c>
      <c r="E76" s="17">
        <f>IF(F3="1",SUMIF(Data!A:A,'17'!$A$2,Data!EH:EH),0)</f>
        <v>0</v>
      </c>
      <c r="F76" s="21" t="str">
        <f t="shared" si="4"/>
        <v/>
      </c>
    </row>
    <row r="77" spans="1:6" x14ac:dyDescent="0.2">
      <c r="A77" s="19">
        <v>11</v>
      </c>
      <c r="B77" s="177" t="s">
        <v>10</v>
      </c>
      <c r="C77" s="178"/>
      <c r="D77" s="14">
        <f t="shared" si="5"/>
        <v>45977</v>
      </c>
      <c r="E77" s="17">
        <f>IF(F3="1",SUMIF(Data!A:A,'17'!$A$2,Data!EI:EI),0)</f>
        <v>32760</v>
      </c>
      <c r="F77" s="21">
        <f t="shared" si="4"/>
        <v>0.71</v>
      </c>
    </row>
    <row r="78" spans="1:6" ht="14.25" customHeight="1" x14ac:dyDescent="0.2">
      <c r="A78" s="19">
        <v>12</v>
      </c>
      <c r="B78" s="177" t="s">
        <v>11</v>
      </c>
      <c r="C78" s="178"/>
      <c r="D78" s="14">
        <f t="shared" si="5"/>
        <v>74342</v>
      </c>
      <c r="E78" s="17">
        <f>IF(F3="1",SUMIF(Data!A:A,'17'!$A$2,Data!EJ:EJ),0)</f>
        <v>132126</v>
      </c>
      <c r="F78" s="21">
        <f t="shared" si="4"/>
        <v>1.78</v>
      </c>
    </row>
    <row r="79" spans="1:6" x14ac:dyDescent="0.2">
      <c r="A79" s="19">
        <v>13</v>
      </c>
      <c r="B79" s="177" t="s">
        <v>12</v>
      </c>
      <c r="C79" s="178"/>
      <c r="D79" s="14">
        <f t="shared" si="5"/>
        <v>4110</v>
      </c>
      <c r="E79" s="17">
        <f>IF(F3="1",SUMIF(Data!A:A,'17'!$A$2,Data!EK:EK),0)</f>
        <v>0</v>
      </c>
      <c r="F79" s="21" t="str">
        <f t="shared" si="4"/>
        <v/>
      </c>
    </row>
    <row r="80" spans="1:6" ht="14.25" customHeight="1" x14ac:dyDescent="0.2">
      <c r="A80" s="19">
        <v>14</v>
      </c>
      <c r="B80" s="177" t="s">
        <v>464</v>
      </c>
      <c r="C80" s="178"/>
      <c r="D80" s="14">
        <f t="shared" si="5"/>
        <v>18384</v>
      </c>
      <c r="E80" s="17">
        <f>IF(F3="1",SUMIF(Data!A:A,'17'!$A$2,Data!EL:EL),0)</f>
        <v>97849</v>
      </c>
      <c r="F80" s="21">
        <f t="shared" si="4"/>
        <v>5.32</v>
      </c>
    </row>
    <row r="81" spans="1:6" x14ac:dyDescent="0.2">
      <c r="A81" s="19">
        <v>15</v>
      </c>
      <c r="B81" s="177" t="s">
        <v>13</v>
      </c>
      <c r="C81" s="178"/>
      <c r="D81" s="14">
        <f t="shared" si="5"/>
        <v>0</v>
      </c>
      <c r="E81" s="17">
        <f>IF(F3="1",SUMIF(Data!A:A,'17'!$A$2,Data!EM:EM),0)</f>
        <v>0</v>
      </c>
      <c r="F81" s="21" t="str">
        <f t="shared" si="4"/>
        <v/>
      </c>
    </row>
    <row r="82" spans="1:6" x14ac:dyDescent="0.2">
      <c r="A82" s="19">
        <v>16</v>
      </c>
      <c r="B82" s="177" t="s">
        <v>14</v>
      </c>
      <c r="C82" s="178"/>
      <c r="D82" s="14">
        <f t="shared" si="5"/>
        <v>40757</v>
      </c>
      <c r="E82" s="17">
        <f>IF(F3="1",SUMIF(Data!A:A,'17'!$A$2,Data!EN:EN),0)</f>
        <v>27748</v>
      </c>
      <c r="F82" s="21">
        <f t="shared" si="4"/>
        <v>0.68</v>
      </c>
    </row>
    <row r="83" spans="1:6" x14ac:dyDescent="0.2">
      <c r="A83" s="19">
        <v>17</v>
      </c>
      <c r="B83" s="177" t="s">
        <v>15</v>
      </c>
      <c r="C83" s="178"/>
      <c r="D83" s="14">
        <f t="shared" si="5"/>
        <v>0</v>
      </c>
      <c r="E83" s="17">
        <f>IF(F3="1",SUMIF(Data!A:A,'17'!$A$2,Data!EO:EO),0)</f>
        <v>0</v>
      </c>
      <c r="F83" s="21" t="str">
        <f t="shared" si="4"/>
        <v/>
      </c>
    </row>
    <row r="84" spans="1:6" x14ac:dyDescent="0.2">
      <c r="A84" s="19">
        <v>18</v>
      </c>
      <c r="B84" s="177" t="s">
        <v>16</v>
      </c>
      <c r="C84" s="178"/>
      <c r="D84" s="14">
        <f t="shared" si="5"/>
        <v>7448</v>
      </c>
      <c r="E84" s="17">
        <f>IF(F3="1",SUMIF(Data!A:A,'17'!$A$2,Data!EP:EP),0)</f>
        <v>20446</v>
      </c>
      <c r="F84" s="21">
        <f t="shared" si="4"/>
        <v>2.75</v>
      </c>
    </row>
    <row r="85" spans="1:6" x14ac:dyDescent="0.2">
      <c r="A85" s="19">
        <v>19</v>
      </c>
      <c r="B85" s="177" t="s">
        <v>17</v>
      </c>
      <c r="C85" s="178"/>
      <c r="D85" s="14">
        <f t="shared" si="5"/>
        <v>51984</v>
      </c>
      <c r="E85" s="17">
        <f>IF(F3="1",SUMIF(Data!A:A,'17'!$A$2,Data!EQ:EQ),0)</f>
        <v>60975</v>
      </c>
      <c r="F85" s="21">
        <f t="shared" si="4"/>
        <v>1.17</v>
      </c>
    </row>
    <row r="86" spans="1:6" x14ac:dyDescent="0.2">
      <c r="A86" s="19">
        <v>20</v>
      </c>
      <c r="B86" s="177" t="s">
        <v>18</v>
      </c>
      <c r="C86" s="178"/>
      <c r="D86" s="14">
        <f t="shared" si="5"/>
        <v>0</v>
      </c>
      <c r="E86" s="17">
        <f>IF(F3="1",SUMIF(Data!A:A,'17'!$A$2,Data!ER:ER),0)</f>
        <v>0</v>
      </c>
      <c r="F86" s="21" t="str">
        <f t="shared" si="4"/>
        <v/>
      </c>
    </row>
    <row r="87" spans="1:6" ht="14.25" customHeight="1" x14ac:dyDescent="0.2">
      <c r="A87" s="19">
        <v>21</v>
      </c>
      <c r="B87" s="177" t="s">
        <v>461</v>
      </c>
      <c r="C87" s="178"/>
      <c r="D87" s="14">
        <f t="shared" si="5"/>
        <v>0</v>
      </c>
      <c r="E87" s="17">
        <f>IF(F3="1",SUMIF(Data!A:A,'17'!$A$2,Data!ES:ES),0)</f>
        <v>0</v>
      </c>
      <c r="F87" s="21" t="str">
        <f t="shared" si="4"/>
        <v/>
      </c>
    </row>
    <row r="88" spans="1:6" x14ac:dyDescent="0.2">
      <c r="A88" s="19">
        <v>22</v>
      </c>
      <c r="B88" s="177" t="s">
        <v>19</v>
      </c>
      <c r="C88" s="178"/>
      <c r="D88" s="14">
        <f t="shared" si="5"/>
        <v>9600</v>
      </c>
      <c r="E88" s="17">
        <f>IF(F3="1",SUMIF(Data!A:A,'17'!$A$2,Data!ET:ET),0)</f>
        <v>0</v>
      </c>
      <c r="F88" s="21" t="str">
        <f t="shared" si="4"/>
        <v/>
      </c>
    </row>
    <row r="89" spans="1:6" x14ac:dyDescent="0.2">
      <c r="A89" s="19">
        <v>23</v>
      </c>
      <c r="B89" s="177" t="s">
        <v>20</v>
      </c>
      <c r="C89" s="178"/>
      <c r="D89" s="14">
        <f t="shared" si="5"/>
        <v>29923</v>
      </c>
      <c r="E89" s="17">
        <f>IF(F3="1",SUMIF(Data!A:A,'17'!$A$2,Data!EU:EU),0)</f>
        <v>125380</v>
      </c>
      <c r="F89" s="21">
        <f t="shared" si="4"/>
        <v>4.1900000000000004</v>
      </c>
    </row>
    <row r="90" spans="1:6" x14ac:dyDescent="0.2">
      <c r="A90" s="19">
        <v>24</v>
      </c>
      <c r="B90" s="177" t="s">
        <v>21</v>
      </c>
      <c r="C90" s="178"/>
      <c r="D90" s="14">
        <f t="shared" si="5"/>
        <v>4672</v>
      </c>
      <c r="E90" s="17">
        <f>IF(F3="1",SUMIF(Data!A:A,'17'!$A$2,Data!EV:EV),0)</f>
        <v>0</v>
      </c>
      <c r="F90" s="21" t="str">
        <f t="shared" si="4"/>
        <v/>
      </c>
    </row>
    <row r="91" spans="1:6" x14ac:dyDescent="0.2">
      <c r="A91" s="19">
        <v>25</v>
      </c>
      <c r="B91" s="177" t="s">
        <v>22</v>
      </c>
      <c r="C91" s="178"/>
      <c r="D91" s="14">
        <f t="shared" si="5"/>
        <v>80832</v>
      </c>
      <c r="E91" s="17">
        <f>IF(F3="1",SUMIF(Data!A:A,'17'!$A$2,Data!EW:EW),0)</f>
        <v>146403</v>
      </c>
      <c r="F91" s="21">
        <f t="shared" si="4"/>
        <v>1.81</v>
      </c>
    </row>
    <row r="92" spans="1:6" x14ac:dyDescent="0.2">
      <c r="A92" s="19">
        <v>26</v>
      </c>
      <c r="B92" s="177" t="s">
        <v>23</v>
      </c>
      <c r="C92" s="178"/>
      <c r="D92" s="14">
        <f t="shared" si="5"/>
        <v>18240</v>
      </c>
      <c r="E92" s="17">
        <f>IF(F3="1",SUMIF(Data!A:A,'17'!$A$2,Data!EX:EX),0)</f>
        <v>45472</v>
      </c>
      <c r="F92" s="21">
        <f t="shared" si="4"/>
        <v>2.4900000000000002</v>
      </c>
    </row>
    <row r="93" spans="1:6" x14ac:dyDescent="0.2">
      <c r="A93" s="19">
        <v>28</v>
      </c>
      <c r="B93" s="177" t="s">
        <v>24</v>
      </c>
      <c r="C93" s="178"/>
      <c r="D93" s="14">
        <f t="shared" si="5"/>
        <v>0</v>
      </c>
      <c r="E93" s="17">
        <f>IF(F3="1",SUMIF(Data!A:A,'17'!$A$2,Data!EZ:EZ),0)</f>
        <v>0</v>
      </c>
      <c r="F93" s="21" t="str">
        <f t="shared" si="4"/>
        <v/>
      </c>
    </row>
    <row r="94" spans="1:6" ht="15.75" customHeight="1" thickBot="1" x14ac:dyDescent="0.25">
      <c r="A94" s="22">
        <v>29</v>
      </c>
      <c r="B94" s="179" t="s">
        <v>25</v>
      </c>
      <c r="C94" s="180"/>
      <c r="D94" s="23">
        <f t="shared" si="5"/>
        <v>0</v>
      </c>
      <c r="E94" s="24">
        <f>IF(F3="1",SUMIF(Data!A:A,'17'!$A$2,Data!FA:FA),0)</f>
        <v>0</v>
      </c>
      <c r="F94" s="25" t="str">
        <f t="shared" si="4"/>
        <v/>
      </c>
    </row>
    <row r="95" spans="1:6" x14ac:dyDescent="0.2">
      <c r="B95" s="30" t="s">
        <v>35</v>
      </c>
      <c r="C95" s="30"/>
      <c r="D95" s="59">
        <f>SUM(D67:D94)</f>
        <v>621095</v>
      </c>
      <c r="E95" s="31">
        <f>SUM(E67:E94)</f>
        <v>1134662</v>
      </c>
      <c r="F95" s="32">
        <f t="shared" si="4"/>
        <v>1.83</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IF(F3="1",SUMIF(Data!A:A,'17'!$A$2,Data!AH:AH),0)</f>
        <v>733958</v>
      </c>
      <c r="F98" s="20">
        <f>IF(OR(E98=0,E98=0),"",ROUND(E98/$D$105,2))</f>
        <v>1.18</v>
      </c>
    </row>
    <row r="99" spans="2:6" x14ac:dyDescent="0.2">
      <c r="B99" s="183" t="s">
        <v>31</v>
      </c>
      <c r="C99" s="184"/>
      <c r="D99" s="36"/>
      <c r="E99" s="17">
        <f>IF(F3="1",SUMIF(Data!A:A,'17'!$A$2,Data!AI:AI),0)</f>
        <v>325687</v>
      </c>
      <c r="F99" s="21">
        <f t="shared" ref="F99:F104" si="6">IF(OR(E99=0,E99=0),"",ROUND(E99/$D$105,2))</f>
        <v>0.52</v>
      </c>
    </row>
    <row r="100" spans="2:6" x14ac:dyDescent="0.2">
      <c r="B100" s="183" t="s">
        <v>1078</v>
      </c>
      <c r="C100" s="184"/>
      <c r="D100" s="36"/>
      <c r="E100" s="17">
        <f>IF(F3="1",SUMIF(Data!A:A,'17'!$A$2,Data!AJ:AJ),0)</f>
        <v>123851</v>
      </c>
      <c r="F100" s="21">
        <f t="shared" si="6"/>
        <v>0.2</v>
      </c>
    </row>
    <row r="101" spans="2:6" x14ac:dyDescent="0.2">
      <c r="B101" s="183" t="s">
        <v>1079</v>
      </c>
      <c r="C101" s="184"/>
      <c r="D101" s="36"/>
      <c r="E101" s="17">
        <f>IF(F3="1",SUMIF(Data!A:A,'17'!$A$2,Data!AK:AK),0)</f>
        <v>508912</v>
      </c>
      <c r="F101" s="21">
        <f t="shared" si="6"/>
        <v>0.82</v>
      </c>
    </row>
    <row r="102" spans="2:6" x14ac:dyDescent="0.2">
      <c r="B102" s="183" t="s">
        <v>1080</v>
      </c>
      <c r="C102" s="184"/>
      <c r="D102" s="36"/>
      <c r="E102" s="17">
        <f>IF(F3="1",SUMIF(Data!A:A,'17'!$A$2,Data!AL:AL),0)</f>
        <v>41002</v>
      </c>
      <c r="F102" s="21">
        <f t="shared" si="6"/>
        <v>7.0000000000000007E-2</v>
      </c>
    </row>
    <row r="103" spans="2:6" x14ac:dyDescent="0.2">
      <c r="B103" s="185" t="s">
        <v>34</v>
      </c>
      <c r="C103" s="186"/>
      <c r="D103" s="36"/>
      <c r="E103" s="17">
        <f>IF(F3="1",SUMIF(Data!A:A,'17'!$A$2,Data!AM:AM),0)</f>
        <v>0</v>
      </c>
      <c r="F103" s="21" t="str">
        <f t="shared" si="6"/>
        <v/>
      </c>
    </row>
    <row r="104" spans="2:6" ht="15.75" customHeight="1" thickBot="1" x14ac:dyDescent="0.25">
      <c r="B104" s="175" t="s">
        <v>29</v>
      </c>
      <c r="C104" s="176"/>
      <c r="D104" s="37"/>
      <c r="E104" s="24">
        <f>IF(F3="1",SUMIF(Data!A:A,'17'!$A$2,Data!Q:Q),0)</f>
        <v>200990</v>
      </c>
      <c r="F104" s="25">
        <f t="shared" si="6"/>
        <v>0.32</v>
      </c>
    </row>
    <row r="105" spans="2:6" x14ac:dyDescent="0.2">
      <c r="B105" s="30" t="s">
        <v>35</v>
      </c>
      <c r="C105" s="30"/>
      <c r="D105" s="34">
        <f>D95</f>
        <v>621095</v>
      </c>
      <c r="E105" s="31">
        <f>SUM(E98:E104)</f>
        <v>1934400</v>
      </c>
      <c r="F105" s="32">
        <f>IF($D$105=0,"",ROUND(E105/$D$105,2))</f>
        <v>3.11</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1134662</v>
      </c>
      <c r="D109" s="15">
        <f>IF(F3="1",SUMIF(Data!$A:$A,$A$2,Data!HJ:HJ),0)</f>
        <v>0</v>
      </c>
      <c r="E109" s="15">
        <f>IF(F3="1",SUMIF(Data!$A:$A,$A$2,Data!IN:IN),0)</f>
        <v>0</v>
      </c>
      <c r="F109" s="47">
        <f>SUM(C109:E109)</f>
        <v>1134662</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41002</v>
      </c>
      <c r="F116" s="48">
        <f t="shared" si="7"/>
        <v>41002</v>
      </c>
    </row>
    <row r="117" spans="1:6" ht="15" thickBot="1" x14ac:dyDescent="0.25">
      <c r="B117" s="43" t="s">
        <v>933</v>
      </c>
      <c r="C117" s="52"/>
      <c r="D117" s="52">
        <f>IF(F3="1",SUMIF(Data!A:A,$A$2,Data!Q:Q),0)</f>
        <v>200990</v>
      </c>
      <c r="E117" s="52"/>
      <c r="F117" s="49">
        <f>SUM(C117:E117)</f>
        <v>200990</v>
      </c>
    </row>
    <row r="118" spans="1:6" x14ac:dyDescent="0.2">
      <c r="B118" s="13" t="s">
        <v>35</v>
      </c>
      <c r="C118" s="4">
        <f>SUM(C109:C116)</f>
        <v>1134662</v>
      </c>
      <c r="D118" s="4">
        <f>SUM(D109:D116)</f>
        <v>0</v>
      </c>
      <c r="E118" s="4">
        <f>SUM(E109:E116)</f>
        <v>41002</v>
      </c>
      <c r="F118" s="4">
        <f>SUM(F109:F116)</f>
        <v>1175664</v>
      </c>
    </row>
    <row r="119" spans="1:6" ht="15" thickBot="1" x14ac:dyDescent="0.25"/>
    <row r="120" spans="1:6" ht="15" thickBot="1" x14ac:dyDescent="0.25">
      <c r="B120" s="55" t="s">
        <v>934</v>
      </c>
      <c r="C120" s="53"/>
      <c r="D120" s="53"/>
      <c r="E120" s="53">
        <f>IF(F3="1",SUMIF(Data!A:A,'17'!$A$2,Data!AM:AM),0)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42578125" style="10" bestFit="1" customWidth="1"/>
    <col min="13"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423</v>
      </c>
      <c r="B2" s="58" t="str">
        <f>VLOOKUP(A2,Data!A:G,7,0)</f>
        <v>Galveston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0</v>
      </c>
      <c r="E5" s="15">
        <f>E36+E67+IFERROR($E$105/$D$105*D5,0)</f>
        <v>0</v>
      </c>
      <c r="F5" s="20" t="str">
        <f>IF(OR(D5=0,E5=0),"",ROUND(E5/D5,2))</f>
        <v/>
      </c>
    </row>
    <row r="6" spans="1:6" x14ac:dyDescent="0.2">
      <c r="A6" s="19">
        <v>2</v>
      </c>
      <c r="B6" s="177" t="s">
        <v>1</v>
      </c>
      <c r="C6" s="178"/>
      <c r="D6" s="14">
        <f t="shared" ref="D6:D32" si="0">D37</f>
        <v>16836</v>
      </c>
      <c r="E6" s="17">
        <f t="shared" ref="E6:E32" si="1">E37+E68+IFERROR($E$105/$D$105*D6,0)</f>
        <v>100869.51307275539</v>
      </c>
      <c r="F6" s="21">
        <f t="shared" ref="F6:F33" si="2">IF(OR(D6=0,E6=0),"",ROUND(E6/D6,2))</f>
        <v>5.99</v>
      </c>
    </row>
    <row r="7" spans="1:6" ht="14.25" customHeight="1" x14ac:dyDescent="0.2">
      <c r="A7" s="19">
        <v>3</v>
      </c>
      <c r="B7" s="177" t="s">
        <v>2</v>
      </c>
      <c r="C7" s="178"/>
      <c r="D7" s="14">
        <f t="shared" si="0"/>
        <v>95712</v>
      </c>
      <c r="E7" s="17">
        <f t="shared" si="1"/>
        <v>751898.4820158924</v>
      </c>
      <c r="F7" s="21">
        <f t="shared" si="2"/>
        <v>7.86</v>
      </c>
    </row>
    <row r="8" spans="1:6" ht="14.25" customHeight="1" x14ac:dyDescent="0.2">
      <c r="A8" s="19">
        <v>4</v>
      </c>
      <c r="B8" s="177" t="s">
        <v>3</v>
      </c>
      <c r="C8" s="178"/>
      <c r="D8" s="14">
        <f t="shared" si="0"/>
        <v>87574</v>
      </c>
      <c r="E8" s="17">
        <f t="shared" si="1"/>
        <v>837536.26299794973</v>
      </c>
      <c r="F8" s="21">
        <f t="shared" si="2"/>
        <v>9.56</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0</v>
      </c>
      <c r="E10" s="17">
        <f t="shared" si="1"/>
        <v>0</v>
      </c>
      <c r="F10" s="21" t="str">
        <f t="shared" si="2"/>
        <v/>
      </c>
    </row>
    <row r="11" spans="1:6" x14ac:dyDescent="0.2">
      <c r="A11" s="19">
        <v>7</v>
      </c>
      <c r="B11" s="177" t="s">
        <v>6</v>
      </c>
      <c r="C11" s="178"/>
      <c r="D11" s="14">
        <f t="shared" si="0"/>
        <v>64749</v>
      </c>
      <c r="E11" s="17">
        <f t="shared" si="1"/>
        <v>674350.66886124015</v>
      </c>
      <c r="F11" s="21">
        <f t="shared" si="2"/>
        <v>10.41</v>
      </c>
    </row>
    <row r="12" spans="1:6" x14ac:dyDescent="0.2">
      <c r="A12" s="19">
        <v>8</v>
      </c>
      <c r="B12" s="177" t="s">
        <v>7</v>
      </c>
      <c r="C12" s="178"/>
      <c r="D12" s="14">
        <f t="shared" si="0"/>
        <v>10368</v>
      </c>
      <c r="E12" s="17">
        <f t="shared" si="1"/>
        <v>133691.44639690709</v>
      </c>
      <c r="F12" s="21">
        <f t="shared" si="2"/>
        <v>12.89</v>
      </c>
    </row>
    <row r="13" spans="1:6" x14ac:dyDescent="0.2">
      <c r="A13" s="19">
        <v>9</v>
      </c>
      <c r="B13" s="177" t="s">
        <v>8</v>
      </c>
      <c r="C13" s="178"/>
      <c r="D13" s="14">
        <f t="shared" si="0"/>
        <v>74118</v>
      </c>
      <c r="E13" s="17">
        <f t="shared" si="1"/>
        <v>662025.34568344522</v>
      </c>
      <c r="F13" s="21">
        <f t="shared" si="2"/>
        <v>8.93</v>
      </c>
    </row>
    <row r="14" spans="1:6" x14ac:dyDescent="0.2">
      <c r="A14" s="19">
        <v>10</v>
      </c>
      <c r="B14" s="177" t="s">
        <v>9</v>
      </c>
      <c r="C14" s="178"/>
      <c r="D14" s="14">
        <f t="shared" si="0"/>
        <v>0</v>
      </c>
      <c r="E14" s="17">
        <f t="shared" si="1"/>
        <v>0</v>
      </c>
      <c r="F14" s="21" t="str">
        <f t="shared" si="2"/>
        <v/>
      </c>
    </row>
    <row r="15" spans="1:6" x14ac:dyDescent="0.2">
      <c r="A15" s="19">
        <v>11</v>
      </c>
      <c r="B15" s="177" t="s">
        <v>10</v>
      </c>
      <c r="C15" s="178"/>
      <c r="D15" s="14">
        <f t="shared" si="0"/>
        <v>11675</v>
      </c>
      <c r="E15" s="17">
        <f t="shared" si="1"/>
        <v>61548.457241887576</v>
      </c>
      <c r="F15" s="21">
        <f t="shared" si="2"/>
        <v>5.27</v>
      </c>
    </row>
    <row r="16" spans="1:6" ht="14.25" customHeight="1" x14ac:dyDescent="0.2">
      <c r="A16" s="19">
        <v>12</v>
      </c>
      <c r="B16" s="177" t="s">
        <v>11</v>
      </c>
      <c r="C16" s="178"/>
      <c r="D16" s="14">
        <f t="shared" si="0"/>
        <v>179130</v>
      </c>
      <c r="E16" s="17">
        <f t="shared" si="1"/>
        <v>1311556.5024187856</v>
      </c>
      <c r="F16" s="21">
        <f t="shared" si="2"/>
        <v>7.32</v>
      </c>
    </row>
    <row r="17" spans="1:6" x14ac:dyDescent="0.2">
      <c r="A17" s="19">
        <v>13</v>
      </c>
      <c r="B17" s="177" t="s">
        <v>12</v>
      </c>
      <c r="C17" s="178"/>
      <c r="D17" s="14">
        <f t="shared" si="0"/>
        <v>11968</v>
      </c>
      <c r="E17" s="17">
        <f t="shared" si="1"/>
        <v>71414.089359392761</v>
      </c>
      <c r="F17" s="21">
        <f t="shared" si="2"/>
        <v>5.97</v>
      </c>
    </row>
    <row r="18" spans="1:6" ht="14.25" customHeight="1" x14ac:dyDescent="0.2">
      <c r="A18" s="19">
        <v>14</v>
      </c>
      <c r="B18" s="177" t="s">
        <v>464</v>
      </c>
      <c r="C18" s="178"/>
      <c r="D18" s="14">
        <f t="shared" si="0"/>
        <v>83192</v>
      </c>
      <c r="E18" s="17">
        <f t="shared" si="1"/>
        <v>831863.37583444209</v>
      </c>
      <c r="F18" s="21">
        <f t="shared" si="2"/>
        <v>10</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129519</v>
      </c>
      <c r="E20" s="17">
        <f t="shared" si="1"/>
        <v>1113029.9905363629</v>
      </c>
      <c r="F20" s="21">
        <f t="shared" si="2"/>
        <v>8.59</v>
      </c>
    </row>
    <row r="21" spans="1:6" x14ac:dyDescent="0.2">
      <c r="A21" s="19">
        <v>17</v>
      </c>
      <c r="B21" s="177" t="s">
        <v>15</v>
      </c>
      <c r="C21" s="178"/>
      <c r="D21" s="14">
        <f t="shared" si="0"/>
        <v>0</v>
      </c>
      <c r="E21" s="17">
        <f t="shared" si="1"/>
        <v>0</v>
      </c>
      <c r="F21" s="21" t="str">
        <f t="shared" si="2"/>
        <v/>
      </c>
    </row>
    <row r="22" spans="1:6" x14ac:dyDescent="0.2">
      <c r="A22" s="19">
        <v>18</v>
      </c>
      <c r="B22" s="177" t="s">
        <v>16</v>
      </c>
      <c r="C22" s="178"/>
      <c r="D22" s="14">
        <f t="shared" si="0"/>
        <v>23760</v>
      </c>
      <c r="E22" s="17">
        <f t="shared" si="1"/>
        <v>207475.8979929121</v>
      </c>
      <c r="F22" s="21">
        <f t="shared" si="2"/>
        <v>8.73</v>
      </c>
    </row>
    <row r="23" spans="1:6" x14ac:dyDescent="0.2">
      <c r="A23" s="19">
        <v>19</v>
      </c>
      <c r="B23" s="177" t="s">
        <v>17</v>
      </c>
      <c r="C23" s="178"/>
      <c r="D23" s="14">
        <f t="shared" si="0"/>
        <v>134064</v>
      </c>
      <c r="E23" s="17">
        <f t="shared" si="1"/>
        <v>852184.56382667378</v>
      </c>
      <c r="F23" s="21">
        <f t="shared" si="2"/>
        <v>6.36</v>
      </c>
    </row>
    <row r="24" spans="1:6" x14ac:dyDescent="0.2">
      <c r="A24" s="19">
        <v>20</v>
      </c>
      <c r="B24" s="177" t="s">
        <v>18</v>
      </c>
      <c r="C24" s="178"/>
      <c r="D24" s="14">
        <f t="shared" si="0"/>
        <v>0</v>
      </c>
      <c r="E24" s="17">
        <f t="shared" si="1"/>
        <v>0</v>
      </c>
      <c r="F24" s="21" t="str">
        <f t="shared" si="2"/>
        <v/>
      </c>
    </row>
    <row r="25" spans="1:6" ht="14.25" customHeight="1" x14ac:dyDescent="0.2">
      <c r="A25" s="19">
        <v>21</v>
      </c>
      <c r="B25" s="177" t="s">
        <v>461</v>
      </c>
      <c r="C25" s="178"/>
      <c r="D25" s="14">
        <f t="shared" si="0"/>
        <v>6480</v>
      </c>
      <c r="E25" s="17">
        <f t="shared" si="1"/>
        <v>94902.153998066933</v>
      </c>
      <c r="F25" s="21">
        <f t="shared" si="2"/>
        <v>14.65</v>
      </c>
    </row>
    <row r="26" spans="1:6" x14ac:dyDescent="0.2">
      <c r="A26" s="19">
        <v>22</v>
      </c>
      <c r="B26" s="177" t="s">
        <v>19</v>
      </c>
      <c r="C26" s="178"/>
      <c r="D26" s="14">
        <f t="shared" si="0"/>
        <v>0</v>
      </c>
      <c r="E26" s="17">
        <f t="shared" si="1"/>
        <v>0</v>
      </c>
      <c r="F26" s="21" t="str">
        <f t="shared" si="2"/>
        <v/>
      </c>
    </row>
    <row r="27" spans="1:6" x14ac:dyDescent="0.2">
      <c r="A27" s="19">
        <v>23</v>
      </c>
      <c r="B27" s="177" t="s">
        <v>20</v>
      </c>
      <c r="C27" s="178"/>
      <c r="D27" s="14">
        <f t="shared" si="0"/>
        <v>48912</v>
      </c>
      <c r="E27" s="17">
        <f t="shared" si="1"/>
        <v>759730.92536318675</v>
      </c>
      <c r="F27" s="21">
        <f t="shared" si="2"/>
        <v>15.53</v>
      </c>
    </row>
    <row r="28" spans="1:6" x14ac:dyDescent="0.2">
      <c r="A28" s="19">
        <v>24</v>
      </c>
      <c r="B28" s="177" t="s">
        <v>21</v>
      </c>
      <c r="C28" s="178"/>
      <c r="D28" s="14">
        <f t="shared" si="0"/>
        <v>35912</v>
      </c>
      <c r="E28" s="17">
        <f t="shared" si="1"/>
        <v>260178.32629299071</v>
      </c>
      <c r="F28" s="21">
        <f t="shared" si="2"/>
        <v>7.24</v>
      </c>
    </row>
    <row r="29" spans="1:6" x14ac:dyDescent="0.2">
      <c r="A29" s="19">
        <v>25</v>
      </c>
      <c r="B29" s="177" t="s">
        <v>22</v>
      </c>
      <c r="C29" s="178"/>
      <c r="D29" s="14">
        <f t="shared" si="0"/>
        <v>148884</v>
      </c>
      <c r="E29" s="17">
        <f t="shared" si="1"/>
        <v>1161309.4067666973</v>
      </c>
      <c r="F29" s="21">
        <f t="shared" si="2"/>
        <v>7.8</v>
      </c>
    </row>
    <row r="30" spans="1:6" x14ac:dyDescent="0.2">
      <c r="A30" s="19">
        <v>26</v>
      </c>
      <c r="B30" s="177" t="s">
        <v>23</v>
      </c>
      <c r="C30" s="178"/>
      <c r="D30" s="14">
        <f t="shared" si="0"/>
        <v>56974</v>
      </c>
      <c r="E30" s="17">
        <f t="shared" si="1"/>
        <v>373212.59134041134</v>
      </c>
      <c r="F30" s="21">
        <f t="shared" si="2"/>
        <v>6.55</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1219827</v>
      </c>
      <c r="E33" s="31">
        <f>SUM(E5:E32)</f>
        <v>10258778</v>
      </c>
      <c r="F33" s="32">
        <f t="shared" si="2"/>
        <v>8.41</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IF(F3="1",SUMIF(Data!A:A,'18'!$A$2,Data!CU:CU),0)</f>
        <v>0</v>
      </c>
      <c r="E36" s="15">
        <f>IF(F3="1",SUMIF(Data!$A:$A,$A$2,Data!IO:IO),0)</f>
        <v>0</v>
      </c>
      <c r="F36" s="20" t="str">
        <f t="shared" ref="F36:F64" si="3">IF(OR(D36=0,E36=0),"",ROUND(E36/D36,2))</f>
        <v/>
      </c>
    </row>
    <row r="37" spans="1:6" x14ac:dyDescent="0.2">
      <c r="A37" s="19">
        <v>2</v>
      </c>
      <c r="B37" s="177" t="s">
        <v>1</v>
      </c>
      <c r="C37" s="178"/>
      <c r="D37" s="14">
        <f>IF(F3="1",SUMIF(Data!A:A,'18'!$A$2,Data!CV:CV),0)</f>
        <v>16836</v>
      </c>
      <c r="E37" s="17">
        <f>IF(F3="1",SUMIF(Data!$A:$A,$A$2,Data!IP:IP),0)</f>
        <v>7971</v>
      </c>
      <c r="F37" s="21">
        <f t="shared" si="3"/>
        <v>0.47</v>
      </c>
    </row>
    <row r="38" spans="1:6" ht="14.25" customHeight="1" x14ac:dyDescent="0.2">
      <c r="A38" s="19">
        <v>3</v>
      </c>
      <c r="B38" s="177" t="s">
        <v>2</v>
      </c>
      <c r="C38" s="178"/>
      <c r="D38" s="14">
        <f>IF(F3="1",SUMIF(Data!A:A,'18'!$A$2,Data!CW:CW),0)</f>
        <v>95712</v>
      </c>
      <c r="E38" s="17">
        <f>IF($F$3="1",SUMIF(Data!$A:$A,$A$2,Data!IQ:IQ),0)</f>
        <v>34572</v>
      </c>
      <c r="F38" s="21">
        <f t="shared" si="3"/>
        <v>0.36</v>
      </c>
    </row>
    <row r="39" spans="1:6" ht="14.25" customHeight="1" x14ac:dyDescent="0.2">
      <c r="A39" s="19">
        <v>4</v>
      </c>
      <c r="B39" s="177" t="s">
        <v>3</v>
      </c>
      <c r="C39" s="178"/>
      <c r="D39" s="14">
        <f>IF(F3="1",SUMIF(Data!A:A,'18'!$A$2,Data!CX:CX),0)</f>
        <v>87574</v>
      </c>
      <c r="E39" s="17">
        <f>IF($F$3="1",SUMIF(Data!$A:$A,$A$2,Data!IR:IR),0)</f>
        <v>196123</v>
      </c>
      <c r="F39" s="21">
        <f t="shared" si="3"/>
        <v>2.2400000000000002</v>
      </c>
    </row>
    <row r="40" spans="1:6" x14ac:dyDescent="0.2">
      <c r="A40" s="19">
        <v>5</v>
      </c>
      <c r="B40" s="177" t="s">
        <v>4</v>
      </c>
      <c r="C40" s="178"/>
      <c r="D40" s="14">
        <f>IF(F3="1",SUMIF(Data!A:A,'18'!$A$2,Data!CY:CY),0)</f>
        <v>0</v>
      </c>
      <c r="E40" s="17">
        <f>IF($F$3="1",SUMIF(Data!$A:$A,$A$2,Data!IS:IS),0)</f>
        <v>0</v>
      </c>
      <c r="F40" s="21" t="str">
        <f t="shared" si="3"/>
        <v/>
      </c>
    </row>
    <row r="41" spans="1:6" x14ac:dyDescent="0.2">
      <c r="A41" s="19">
        <v>6</v>
      </c>
      <c r="B41" s="177" t="s">
        <v>5</v>
      </c>
      <c r="C41" s="178"/>
      <c r="D41" s="14">
        <f>IF(F3="1",SUMIF(Data!A:A,'18'!$A$2,Data!CZ:CZ),0)</f>
        <v>0</v>
      </c>
      <c r="E41" s="17">
        <f>IF($F$3="1",SUMIF(Data!$A:$A,$A$2,Data!IT:IT),0)</f>
        <v>0</v>
      </c>
      <c r="F41" s="21" t="str">
        <f t="shared" si="3"/>
        <v/>
      </c>
    </row>
    <row r="42" spans="1:6" x14ac:dyDescent="0.2">
      <c r="A42" s="19">
        <v>7</v>
      </c>
      <c r="B42" s="177" t="s">
        <v>6</v>
      </c>
      <c r="C42" s="178"/>
      <c r="D42" s="14">
        <f>IF(F3="1",SUMIF(Data!A:A,'18'!$A$2,Data!DA:DA),0)</f>
        <v>64749</v>
      </c>
      <c r="E42" s="17">
        <f>IF($F$3="1",SUMIF(Data!$A:$A,$A$2,Data!IU:IU),0)</f>
        <v>199433</v>
      </c>
      <c r="F42" s="21">
        <f t="shared" si="3"/>
        <v>3.08</v>
      </c>
    </row>
    <row r="43" spans="1:6" x14ac:dyDescent="0.2">
      <c r="A43" s="19">
        <v>8</v>
      </c>
      <c r="B43" s="177" t="s">
        <v>7</v>
      </c>
      <c r="C43" s="178"/>
      <c r="D43" s="14">
        <f>IF(F3="1",SUMIF(Data!A:A,'18'!$A$2,Data!DB:DB),0)</f>
        <v>10368</v>
      </c>
      <c r="E43" s="17">
        <f>IF($F$3="1",SUMIF(Data!$A:$A,$A$2,Data!IV:IV),0)</f>
        <v>56687</v>
      </c>
      <c r="F43" s="21">
        <f t="shared" si="3"/>
        <v>5.47</v>
      </c>
    </row>
    <row r="44" spans="1:6" x14ac:dyDescent="0.2">
      <c r="A44" s="19">
        <v>9</v>
      </c>
      <c r="B44" s="177" t="s">
        <v>8</v>
      </c>
      <c r="C44" s="178"/>
      <c r="D44" s="14">
        <f>IF(F3="1",SUMIF(Data!A:A,'18'!$A$2,Data!DC:DC),0)</f>
        <v>74118</v>
      </c>
      <c r="E44" s="17">
        <f>IF($F$3="1",SUMIF(Data!$A:$A,$A$2,Data!IW:IW),0)</f>
        <v>214077</v>
      </c>
      <c r="F44" s="21">
        <f t="shared" si="3"/>
        <v>2.89</v>
      </c>
    </row>
    <row r="45" spans="1:6" x14ac:dyDescent="0.2">
      <c r="A45" s="19">
        <v>10</v>
      </c>
      <c r="B45" s="177" t="s">
        <v>9</v>
      </c>
      <c r="C45" s="178"/>
      <c r="D45" s="14">
        <f>IF(F3="1",SUMIF(Data!A:A,'18'!$A$2,Data!DD:DD),0)</f>
        <v>0</v>
      </c>
      <c r="E45" s="17">
        <f>IF($F$3="1",SUMIF(Data!$A:$A,$A$2,Data!IX:IX),0)</f>
        <v>0</v>
      </c>
      <c r="F45" s="21" t="str">
        <f t="shared" si="3"/>
        <v/>
      </c>
    </row>
    <row r="46" spans="1:6" x14ac:dyDescent="0.2">
      <c r="A46" s="19">
        <v>11</v>
      </c>
      <c r="B46" s="177" t="s">
        <v>10</v>
      </c>
      <c r="C46" s="178"/>
      <c r="D46" s="14">
        <f>IF(F3="1",SUMIF(Data!A:A,'18'!$A$2,Data!DE:DE),0)</f>
        <v>11675</v>
      </c>
      <c r="E46" s="17">
        <f>IF($F$3="1",SUMIF(Data!$A:$A,$A$2,Data!IY:IY),0)</f>
        <v>453</v>
      </c>
      <c r="F46" s="21">
        <f t="shared" si="3"/>
        <v>0.04</v>
      </c>
    </row>
    <row r="47" spans="1:6" ht="14.25" customHeight="1" x14ac:dyDescent="0.2">
      <c r="A47" s="19">
        <v>12</v>
      </c>
      <c r="B47" s="177" t="s">
        <v>11</v>
      </c>
      <c r="C47" s="178"/>
      <c r="D47" s="14">
        <f>IF(F3="1",SUMIF(Data!A:A,'18'!$A$2,Data!DF:DF),0)</f>
        <v>179130</v>
      </c>
      <c r="E47" s="17">
        <f>IF($F$3="1",SUMIF(Data!$A:$A,$A$2,Data!IZ:IZ),0)</f>
        <v>32898</v>
      </c>
      <c r="F47" s="21">
        <f t="shared" si="3"/>
        <v>0.18</v>
      </c>
    </row>
    <row r="48" spans="1:6" x14ac:dyDescent="0.2">
      <c r="A48" s="19">
        <v>13</v>
      </c>
      <c r="B48" s="177" t="s">
        <v>12</v>
      </c>
      <c r="C48" s="178"/>
      <c r="D48" s="14">
        <f>IF(F3="1",SUMIF(Data!A:A,'18'!$A$2,Data!DG:DG),0)</f>
        <v>11968</v>
      </c>
      <c r="E48" s="17">
        <f>IF($F$3="1",SUMIF(Data!$A:$A,$A$2,Data!JA:JA),0)</f>
        <v>481</v>
      </c>
      <c r="F48" s="21">
        <f t="shared" si="3"/>
        <v>0.04</v>
      </c>
    </row>
    <row r="49" spans="1:6" ht="14.25" customHeight="1" x14ac:dyDescent="0.2">
      <c r="A49" s="19">
        <v>14</v>
      </c>
      <c r="B49" s="177" t="s">
        <v>464</v>
      </c>
      <c r="C49" s="178"/>
      <c r="D49" s="14">
        <f>IF(F3="1",SUMIF(Data!A:A,'18'!$A$2,Data!DH:DH),0)</f>
        <v>83192</v>
      </c>
      <c r="E49" s="17">
        <f>IF($F$3="1",SUMIF(Data!$A:$A,$A$2,Data!JB:JB),0)</f>
        <v>24985</v>
      </c>
      <c r="F49" s="21">
        <f t="shared" si="3"/>
        <v>0.3</v>
      </c>
    </row>
    <row r="50" spans="1:6" x14ac:dyDescent="0.2">
      <c r="A50" s="19">
        <v>15</v>
      </c>
      <c r="B50" s="177" t="s">
        <v>13</v>
      </c>
      <c r="C50" s="178"/>
      <c r="D50" s="14">
        <f>IF(F3="1",SUMIF(Data!A:A,'18'!$A$2,Data!DI:DI),0)</f>
        <v>0</v>
      </c>
      <c r="E50" s="17">
        <f>IF($F$3="1",SUMIF(Data!$A:$A,$A$2,Data!JC:JC),0)</f>
        <v>0</v>
      </c>
      <c r="F50" s="21" t="str">
        <f t="shared" si="3"/>
        <v/>
      </c>
    </row>
    <row r="51" spans="1:6" x14ac:dyDescent="0.2">
      <c r="A51" s="19">
        <v>16</v>
      </c>
      <c r="B51" s="177" t="s">
        <v>14</v>
      </c>
      <c r="C51" s="178"/>
      <c r="D51" s="14">
        <f>IF(F3="1",SUMIF(Data!A:A,'18'!$A$2,Data!DJ:DJ),0)</f>
        <v>129519</v>
      </c>
      <c r="E51" s="17">
        <f>IF($F$3="1",SUMIF(Data!$A:$A,$A$2,Data!JD:JD),0)</f>
        <v>326087</v>
      </c>
      <c r="F51" s="21">
        <f t="shared" si="3"/>
        <v>2.52</v>
      </c>
    </row>
    <row r="52" spans="1:6" x14ac:dyDescent="0.2">
      <c r="A52" s="19">
        <v>17</v>
      </c>
      <c r="B52" s="177" t="s">
        <v>15</v>
      </c>
      <c r="C52" s="178"/>
      <c r="D52" s="14">
        <f>IF(F3="1",SUMIF(Data!A:A,'18'!$A$2,Data!DK:DK),0)</f>
        <v>0</v>
      </c>
      <c r="E52" s="17">
        <f>IF($F$3="1",SUMIF(Data!$A:$A,$A$2,Data!JE:JE),0)</f>
        <v>0</v>
      </c>
      <c r="F52" s="21" t="str">
        <f t="shared" si="3"/>
        <v/>
      </c>
    </row>
    <row r="53" spans="1:6" x14ac:dyDescent="0.2">
      <c r="A53" s="19">
        <v>18</v>
      </c>
      <c r="B53" s="177" t="s">
        <v>16</v>
      </c>
      <c r="C53" s="178"/>
      <c r="D53" s="14">
        <f>IF(F3="1",SUMIF(Data!A:A,'18'!$A$2,Data!DL:DL),0)</f>
        <v>23760</v>
      </c>
      <c r="E53" s="17">
        <f>IF($F$3="1",SUMIF(Data!$A:$A,$A$2,Data!JF:JF),0)</f>
        <v>10643</v>
      </c>
      <c r="F53" s="21">
        <f t="shared" si="3"/>
        <v>0.45</v>
      </c>
    </row>
    <row r="54" spans="1:6" x14ac:dyDescent="0.2">
      <c r="A54" s="19">
        <v>19</v>
      </c>
      <c r="B54" s="177" t="s">
        <v>17</v>
      </c>
      <c r="C54" s="178"/>
      <c r="D54" s="14">
        <f>IF(F3="1",SUMIF(Data!A:A,'18'!$A$2,Data!DM:DM),0)</f>
        <v>134064</v>
      </c>
      <c r="E54" s="17">
        <f>IF($F$3="1",SUMIF(Data!$A:$A,$A$2,Data!JG:JG),0)</f>
        <v>20449</v>
      </c>
      <c r="F54" s="21">
        <f t="shared" si="3"/>
        <v>0.15</v>
      </c>
    </row>
    <row r="55" spans="1:6" x14ac:dyDescent="0.2">
      <c r="A55" s="19">
        <v>20</v>
      </c>
      <c r="B55" s="177" t="s">
        <v>18</v>
      </c>
      <c r="C55" s="178"/>
      <c r="D55" s="14">
        <f>IF(F3="1",SUMIF(Data!A:A,'18'!$A$2,Data!DN:DN),0)</f>
        <v>0</v>
      </c>
      <c r="E55" s="17">
        <f>IF($F$3="1",SUMIF(Data!$A:$A,$A$2,Data!JH:JH),0)</f>
        <v>0</v>
      </c>
      <c r="F55" s="21" t="str">
        <f t="shared" si="3"/>
        <v/>
      </c>
    </row>
    <row r="56" spans="1:6" ht="14.25" customHeight="1" x14ac:dyDescent="0.2">
      <c r="A56" s="19">
        <v>21</v>
      </c>
      <c r="B56" s="177" t="s">
        <v>461</v>
      </c>
      <c r="C56" s="178"/>
      <c r="D56" s="14">
        <f>IF(F3="1",SUMIF(Data!A:A,'18'!$A$2,Data!DO:DO),0)</f>
        <v>6480</v>
      </c>
      <c r="E56" s="17">
        <f>IF($F$3="1",SUMIF(Data!$A:$A,$A$2,Data!JI:JI),0)</f>
        <v>65695</v>
      </c>
      <c r="F56" s="21">
        <f t="shared" si="3"/>
        <v>10.14</v>
      </c>
    </row>
    <row r="57" spans="1:6" x14ac:dyDescent="0.2">
      <c r="A57" s="19">
        <v>22</v>
      </c>
      <c r="B57" s="177" t="s">
        <v>19</v>
      </c>
      <c r="C57" s="178"/>
      <c r="D57" s="14">
        <f>IF(F3="1",SUMIF(Data!A:A,'18'!$A$2,Data!DP:DP),0)</f>
        <v>0</v>
      </c>
      <c r="E57" s="17">
        <f>IF($F$3="1",SUMIF(Data!$A:$A,$A$2,Data!JJ:JJ),0)</f>
        <v>0</v>
      </c>
      <c r="F57" s="21" t="str">
        <f t="shared" si="3"/>
        <v/>
      </c>
    </row>
    <row r="58" spans="1:6" x14ac:dyDescent="0.2">
      <c r="A58" s="19">
        <v>23</v>
      </c>
      <c r="B58" s="177" t="s">
        <v>20</v>
      </c>
      <c r="C58" s="178"/>
      <c r="D58" s="14">
        <f>IF(F3="1",SUMIF(Data!A:A,'18'!$A$2,Data!DQ:DQ),0)</f>
        <v>48912</v>
      </c>
      <c r="E58" s="17">
        <f>IF($F$3="1",SUMIF(Data!$A:$A,$A$2,Data!JK:JK),0)</f>
        <v>329817</v>
      </c>
      <c r="F58" s="21">
        <f t="shared" si="3"/>
        <v>6.74</v>
      </c>
    </row>
    <row r="59" spans="1:6" x14ac:dyDescent="0.2">
      <c r="A59" s="19">
        <v>24</v>
      </c>
      <c r="B59" s="177" t="s">
        <v>21</v>
      </c>
      <c r="C59" s="178"/>
      <c r="D59" s="14">
        <f>IF(F3="1",SUMIF(Data!A:A,'18'!$A$2,Data!DR:DR),0)</f>
        <v>35912</v>
      </c>
      <c r="E59" s="17">
        <f>IF($F$3="1",SUMIF(Data!$A:$A,$A$2,Data!JL:JL),0)</f>
        <v>14699</v>
      </c>
      <c r="F59" s="21">
        <f t="shared" si="3"/>
        <v>0.41</v>
      </c>
    </row>
    <row r="60" spans="1:6" x14ac:dyDescent="0.2">
      <c r="A60" s="19">
        <v>25</v>
      </c>
      <c r="B60" s="177" t="s">
        <v>22</v>
      </c>
      <c r="C60" s="178"/>
      <c r="D60" s="14">
        <f>IF(F3="1",SUMIF(Data!A:A,'18'!$A$2,Data!DS:DS),0)</f>
        <v>148884</v>
      </c>
      <c r="E60" s="17">
        <f>IF($F$3="1",SUMIF(Data!$A:$A,$A$2,Data!JM:JM),0)</f>
        <v>30713</v>
      </c>
      <c r="F60" s="21">
        <f t="shared" si="3"/>
        <v>0.21</v>
      </c>
    </row>
    <row r="61" spans="1:6" x14ac:dyDescent="0.2">
      <c r="A61" s="19">
        <v>26</v>
      </c>
      <c r="B61" s="177" t="s">
        <v>23</v>
      </c>
      <c r="C61" s="178"/>
      <c r="D61" s="14">
        <f>IF(F3="1",SUMIF(Data!A:A,'18'!$A$2,Data!DT:DT),0)</f>
        <v>56974</v>
      </c>
      <c r="E61" s="17">
        <f>IF($F$3="1",SUMIF(Data!$A:$A,$A$2,Data!JN:JN),0)</f>
        <v>7965</v>
      </c>
      <c r="F61" s="21">
        <f t="shared" si="3"/>
        <v>0.14000000000000001</v>
      </c>
    </row>
    <row r="62" spans="1:6" x14ac:dyDescent="0.2">
      <c r="A62" s="19">
        <v>28</v>
      </c>
      <c r="B62" s="177" t="s">
        <v>24</v>
      </c>
      <c r="C62" s="178"/>
      <c r="D62" s="14">
        <f>IF(F3="1",SUMIF(Data!A:A,'18'!$A$2,Data!DV:DV),0)</f>
        <v>0</v>
      </c>
      <c r="E62" s="17">
        <f>IF($F$3="1",SUMIF(Data!$A:$A,$A$2,Data!JP:JP),0)</f>
        <v>0</v>
      </c>
      <c r="F62" s="21" t="str">
        <f t="shared" si="3"/>
        <v/>
      </c>
    </row>
    <row r="63" spans="1:6" ht="15.75" customHeight="1" thickBot="1" x14ac:dyDescent="0.25">
      <c r="A63" s="22">
        <v>29</v>
      </c>
      <c r="B63" s="179" t="s">
        <v>25</v>
      </c>
      <c r="C63" s="180"/>
      <c r="D63" s="23">
        <f>IF(F3="1",SUMIF(Data!A:A,'18'!$A$2,Data!DW:DW),0)</f>
        <v>0</v>
      </c>
      <c r="E63" s="24">
        <f>IF($F$3="1",SUMIF(Data!$A:$A,$A$2,Data!JQ:JQ),0)</f>
        <v>0</v>
      </c>
      <c r="F63" s="25" t="str">
        <f t="shared" si="3"/>
        <v/>
      </c>
    </row>
    <row r="64" spans="1:6" x14ac:dyDescent="0.2">
      <c r="B64" s="30" t="s">
        <v>35</v>
      </c>
      <c r="C64" s="30"/>
      <c r="D64" s="59">
        <f>SUM(D36:D63)</f>
        <v>1219827</v>
      </c>
      <c r="E64" s="31">
        <f>SUM(E36:E63)</f>
        <v>1573748</v>
      </c>
      <c r="F64" s="32">
        <f t="shared" si="3"/>
        <v>1.29</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0</v>
      </c>
      <c r="E67" s="15">
        <f>IF(F3="1",SUMIF(Data!A:A,'18'!$A$2,Data!DY:DY),0)</f>
        <v>0</v>
      </c>
      <c r="F67" s="20" t="str">
        <f t="shared" ref="F67:F95" si="4">IF(OR(D67=0,E67=0),"",ROUND(E67/D67,2))</f>
        <v/>
      </c>
    </row>
    <row r="68" spans="1:6" x14ac:dyDescent="0.2">
      <c r="A68" s="19">
        <v>2</v>
      </c>
      <c r="B68" s="177" t="s">
        <v>1</v>
      </c>
      <c r="C68" s="178"/>
      <c r="D68" s="14">
        <f t="shared" ref="D68:D94" si="5">D37</f>
        <v>16836</v>
      </c>
      <c r="E68" s="17">
        <f>IF(F3="1",SUMIF(Data!A:A,'18'!$A$2,Data!DZ:DZ),0)</f>
        <v>17014</v>
      </c>
      <c r="F68" s="21">
        <f t="shared" si="4"/>
        <v>1.01</v>
      </c>
    </row>
    <row r="69" spans="1:6" ht="14.25" customHeight="1" x14ac:dyDescent="0.2">
      <c r="A69" s="19">
        <v>3</v>
      </c>
      <c r="B69" s="177" t="s">
        <v>2</v>
      </c>
      <c r="C69" s="178"/>
      <c r="D69" s="14">
        <f t="shared" si="5"/>
        <v>95712</v>
      </c>
      <c r="E69" s="17">
        <f>IF(F3="1",SUMIF(Data!A:A,'18'!$A$2,Data!EA:EA),0)</f>
        <v>285926</v>
      </c>
      <c r="F69" s="21">
        <f t="shared" si="4"/>
        <v>2.99</v>
      </c>
    </row>
    <row r="70" spans="1:6" ht="14.25" customHeight="1" x14ac:dyDescent="0.2">
      <c r="A70" s="19">
        <v>4</v>
      </c>
      <c r="B70" s="177" t="s">
        <v>3</v>
      </c>
      <c r="C70" s="178"/>
      <c r="D70" s="14">
        <f t="shared" si="5"/>
        <v>87574</v>
      </c>
      <c r="E70" s="17">
        <f>IF(F3="1",SUMIF(Data!A:A,'18'!$A$2,Data!EB:EB),0)</f>
        <v>246693</v>
      </c>
      <c r="F70" s="21">
        <f t="shared" si="4"/>
        <v>2.82</v>
      </c>
    </row>
    <row r="71" spans="1:6" x14ac:dyDescent="0.2">
      <c r="A71" s="19">
        <v>5</v>
      </c>
      <c r="B71" s="177" t="s">
        <v>4</v>
      </c>
      <c r="C71" s="178"/>
      <c r="D71" s="14">
        <f t="shared" si="5"/>
        <v>0</v>
      </c>
      <c r="E71" s="17">
        <f>IF(F3="1",SUMIF(Data!A:A,'18'!$A$2,Data!EC:EC),0)</f>
        <v>0</v>
      </c>
      <c r="F71" s="21" t="str">
        <f t="shared" si="4"/>
        <v/>
      </c>
    </row>
    <row r="72" spans="1:6" x14ac:dyDescent="0.2">
      <c r="A72" s="19">
        <v>6</v>
      </c>
      <c r="B72" s="177" t="s">
        <v>5</v>
      </c>
      <c r="C72" s="178"/>
      <c r="D72" s="14">
        <f t="shared" si="5"/>
        <v>0</v>
      </c>
      <c r="E72" s="17">
        <f>IF(F3="1",SUMIF(Data!A:A,'18'!$A$2,Data!ED:ED),0)</f>
        <v>0</v>
      </c>
      <c r="F72" s="21" t="str">
        <f t="shared" si="4"/>
        <v/>
      </c>
    </row>
    <row r="73" spans="1:6" x14ac:dyDescent="0.2">
      <c r="A73" s="19">
        <v>7</v>
      </c>
      <c r="B73" s="177" t="s">
        <v>6</v>
      </c>
      <c r="C73" s="178"/>
      <c r="D73" s="14">
        <f t="shared" si="5"/>
        <v>64749</v>
      </c>
      <c r="E73" s="17">
        <f>IF(F3="1",SUMIF(Data!A:A,'18'!$A$2,Data!EE:EE),0)</f>
        <v>183076</v>
      </c>
      <c r="F73" s="21">
        <f t="shared" si="4"/>
        <v>2.83</v>
      </c>
    </row>
    <row r="74" spans="1:6" x14ac:dyDescent="0.2">
      <c r="A74" s="19">
        <v>8</v>
      </c>
      <c r="B74" s="177" t="s">
        <v>7</v>
      </c>
      <c r="C74" s="178"/>
      <c r="D74" s="14">
        <f t="shared" si="5"/>
        <v>10368</v>
      </c>
      <c r="E74" s="17">
        <f>IF(F3="1",SUMIF(Data!A:A,'18'!$A$2,Data!EF:EF),0)</f>
        <v>30273</v>
      </c>
      <c r="F74" s="21">
        <f t="shared" si="4"/>
        <v>2.92</v>
      </c>
    </row>
    <row r="75" spans="1:6" x14ac:dyDescent="0.2">
      <c r="A75" s="19">
        <v>9</v>
      </c>
      <c r="B75" s="177" t="s">
        <v>8</v>
      </c>
      <c r="C75" s="178"/>
      <c r="D75" s="14">
        <f t="shared" si="5"/>
        <v>74118</v>
      </c>
      <c r="E75" s="17">
        <f>IF(F3="1",SUMIF(Data!A:A,'18'!$A$2,Data!EG:EG),0)</f>
        <v>113878</v>
      </c>
      <c r="F75" s="21">
        <f t="shared" si="4"/>
        <v>1.54</v>
      </c>
    </row>
    <row r="76" spans="1:6" x14ac:dyDescent="0.2">
      <c r="A76" s="19">
        <v>10</v>
      </c>
      <c r="B76" s="177" t="s">
        <v>9</v>
      </c>
      <c r="C76" s="178"/>
      <c r="D76" s="14">
        <f t="shared" si="5"/>
        <v>0</v>
      </c>
      <c r="E76" s="17">
        <f>IF(F3="1",SUMIF(Data!A:A,'18'!$A$2,Data!EH:EH),0)</f>
        <v>0</v>
      </c>
      <c r="F76" s="21" t="str">
        <f t="shared" si="4"/>
        <v/>
      </c>
    </row>
    <row r="77" spans="1:6" x14ac:dyDescent="0.2">
      <c r="A77" s="19">
        <v>11</v>
      </c>
      <c r="B77" s="177" t="s">
        <v>10</v>
      </c>
      <c r="C77" s="178"/>
      <c r="D77" s="14">
        <f t="shared" si="5"/>
        <v>11675</v>
      </c>
      <c r="E77" s="17">
        <f>IF(F3="1",SUMIF(Data!A:A,'18'!$A$2,Data!EI:EI),0)</f>
        <v>8473</v>
      </c>
      <c r="F77" s="21">
        <f t="shared" si="4"/>
        <v>0.73</v>
      </c>
    </row>
    <row r="78" spans="1:6" ht="14.25" customHeight="1" x14ac:dyDescent="0.2">
      <c r="A78" s="19">
        <v>12</v>
      </c>
      <c r="B78" s="177" t="s">
        <v>11</v>
      </c>
      <c r="C78" s="178"/>
      <c r="D78" s="14">
        <f t="shared" si="5"/>
        <v>179130</v>
      </c>
      <c r="E78" s="17">
        <f>IF(F3="1",SUMIF(Data!A:A,'18'!$A$2,Data!EJ:EJ),0)</f>
        <v>471270</v>
      </c>
      <c r="F78" s="21">
        <f t="shared" si="4"/>
        <v>2.63</v>
      </c>
    </row>
    <row r="79" spans="1:6" x14ac:dyDescent="0.2">
      <c r="A79" s="19">
        <v>13</v>
      </c>
      <c r="B79" s="177" t="s">
        <v>12</v>
      </c>
      <c r="C79" s="178"/>
      <c r="D79" s="14">
        <f t="shared" si="5"/>
        <v>11968</v>
      </c>
      <c r="E79" s="17">
        <f>IF(F3="1",SUMIF(Data!A:A,'18'!$A$2,Data!EK:EK),0)</f>
        <v>16990</v>
      </c>
      <c r="F79" s="21">
        <f t="shared" si="4"/>
        <v>1.42</v>
      </c>
    </row>
    <row r="80" spans="1:6" ht="14.25" customHeight="1" x14ac:dyDescent="0.2">
      <c r="A80" s="19">
        <v>14</v>
      </c>
      <c r="B80" s="177" t="s">
        <v>464</v>
      </c>
      <c r="C80" s="178"/>
      <c r="D80" s="14">
        <f t="shared" si="5"/>
        <v>83192</v>
      </c>
      <c r="E80" s="17">
        <f>IF(F3="1",SUMIF(Data!A:A,'18'!$A$2,Data!EL:EL),0)</f>
        <v>431909</v>
      </c>
      <c r="F80" s="21">
        <f t="shared" si="4"/>
        <v>5.19</v>
      </c>
    </row>
    <row r="81" spans="1:6" x14ac:dyDescent="0.2">
      <c r="A81" s="19">
        <v>15</v>
      </c>
      <c r="B81" s="177" t="s">
        <v>13</v>
      </c>
      <c r="C81" s="178"/>
      <c r="D81" s="14">
        <f t="shared" si="5"/>
        <v>0</v>
      </c>
      <c r="E81" s="17">
        <f>IF(F3="1",SUMIF(Data!A:A,'18'!$A$2,Data!EM:EM),0)</f>
        <v>0</v>
      </c>
      <c r="F81" s="21" t="str">
        <f t="shared" si="4"/>
        <v/>
      </c>
    </row>
    <row r="82" spans="1:6" x14ac:dyDescent="0.2">
      <c r="A82" s="19">
        <v>16</v>
      </c>
      <c r="B82" s="177" t="s">
        <v>14</v>
      </c>
      <c r="C82" s="178"/>
      <c r="D82" s="14">
        <f t="shared" si="5"/>
        <v>129519</v>
      </c>
      <c r="E82" s="17">
        <f>IF(F3="1",SUMIF(Data!A:A,'18'!$A$2,Data!EN:EN),0)</f>
        <v>203165</v>
      </c>
      <c r="F82" s="21">
        <f t="shared" si="4"/>
        <v>1.57</v>
      </c>
    </row>
    <row r="83" spans="1:6" x14ac:dyDescent="0.2">
      <c r="A83" s="19">
        <v>17</v>
      </c>
      <c r="B83" s="177" t="s">
        <v>15</v>
      </c>
      <c r="C83" s="178"/>
      <c r="D83" s="14">
        <f t="shared" si="5"/>
        <v>0</v>
      </c>
      <c r="E83" s="17">
        <f>IF(F3="1",SUMIF(Data!A:A,'18'!$A$2,Data!EO:EO),0)</f>
        <v>0</v>
      </c>
      <c r="F83" s="21" t="str">
        <f t="shared" si="4"/>
        <v/>
      </c>
    </row>
    <row r="84" spans="1:6" x14ac:dyDescent="0.2">
      <c r="A84" s="19">
        <v>18</v>
      </c>
      <c r="B84" s="177" t="s">
        <v>16</v>
      </c>
      <c r="C84" s="178"/>
      <c r="D84" s="14">
        <f t="shared" si="5"/>
        <v>23760</v>
      </c>
      <c r="E84" s="17">
        <f>IF(F3="1",SUMIF(Data!A:A,'18'!$A$2,Data!EP:EP),0)</f>
        <v>89740</v>
      </c>
      <c r="F84" s="21">
        <f t="shared" si="4"/>
        <v>3.78</v>
      </c>
    </row>
    <row r="85" spans="1:6" x14ac:dyDescent="0.2">
      <c r="A85" s="19">
        <v>19</v>
      </c>
      <c r="B85" s="177" t="s">
        <v>17</v>
      </c>
      <c r="C85" s="178"/>
      <c r="D85" s="14">
        <f t="shared" si="5"/>
        <v>134064</v>
      </c>
      <c r="E85" s="17">
        <f>IF(F3="1",SUMIF(Data!A:A,'18'!$A$2,Data!EQ:EQ),0)</f>
        <v>227472</v>
      </c>
      <c r="F85" s="21">
        <f t="shared" si="4"/>
        <v>1.7</v>
      </c>
    </row>
    <row r="86" spans="1:6" x14ac:dyDescent="0.2">
      <c r="A86" s="19">
        <v>20</v>
      </c>
      <c r="B86" s="177" t="s">
        <v>18</v>
      </c>
      <c r="C86" s="178"/>
      <c r="D86" s="14">
        <f t="shared" si="5"/>
        <v>0</v>
      </c>
      <c r="E86" s="17">
        <f>IF(F3="1",SUMIF(Data!A:A,'18'!$A$2,Data!ER:ER),0)</f>
        <v>0</v>
      </c>
      <c r="F86" s="21" t="str">
        <f t="shared" si="4"/>
        <v/>
      </c>
    </row>
    <row r="87" spans="1:6" ht="14.25" customHeight="1" x14ac:dyDescent="0.2">
      <c r="A87" s="19">
        <v>21</v>
      </c>
      <c r="B87" s="177" t="s">
        <v>461</v>
      </c>
      <c r="C87" s="178"/>
      <c r="D87" s="14">
        <f t="shared" si="5"/>
        <v>6480</v>
      </c>
      <c r="E87" s="17">
        <f>IF(F3="1",SUMIF(Data!A:A,'18'!$A$2,Data!ES:ES),0)</f>
        <v>0</v>
      </c>
      <c r="F87" s="21" t="str">
        <f t="shared" si="4"/>
        <v/>
      </c>
    </row>
    <row r="88" spans="1:6" x14ac:dyDescent="0.2">
      <c r="A88" s="19">
        <v>22</v>
      </c>
      <c r="B88" s="177" t="s">
        <v>19</v>
      </c>
      <c r="C88" s="178"/>
      <c r="D88" s="14">
        <f t="shared" si="5"/>
        <v>0</v>
      </c>
      <c r="E88" s="17">
        <f>IF(F3="1",SUMIF(Data!A:A,'18'!$A$2,Data!ET:ET),0)</f>
        <v>0</v>
      </c>
      <c r="F88" s="21" t="str">
        <f t="shared" si="4"/>
        <v/>
      </c>
    </row>
    <row r="89" spans="1:6" x14ac:dyDescent="0.2">
      <c r="A89" s="19">
        <v>23</v>
      </c>
      <c r="B89" s="177" t="s">
        <v>20</v>
      </c>
      <c r="C89" s="178"/>
      <c r="D89" s="14">
        <f t="shared" si="5"/>
        <v>48912</v>
      </c>
      <c r="E89" s="17">
        <f>IF(F3="1",SUMIF(Data!A:A,'18'!$A$2,Data!EU:EU),0)</f>
        <v>209454</v>
      </c>
      <c r="F89" s="21">
        <f t="shared" si="4"/>
        <v>4.28</v>
      </c>
    </row>
    <row r="90" spans="1:6" x14ac:dyDescent="0.2">
      <c r="A90" s="19">
        <v>24</v>
      </c>
      <c r="B90" s="177" t="s">
        <v>21</v>
      </c>
      <c r="C90" s="178"/>
      <c r="D90" s="14">
        <f t="shared" si="5"/>
        <v>35912</v>
      </c>
      <c r="E90" s="17">
        <f>IF(F3="1",SUMIF(Data!A:A,'18'!$A$2,Data!EV:EV),0)</f>
        <v>83614</v>
      </c>
      <c r="F90" s="21">
        <f t="shared" si="4"/>
        <v>2.33</v>
      </c>
    </row>
    <row r="91" spans="1:6" x14ac:dyDescent="0.2">
      <c r="A91" s="19">
        <v>25</v>
      </c>
      <c r="B91" s="177" t="s">
        <v>22</v>
      </c>
      <c r="C91" s="178"/>
      <c r="D91" s="14">
        <f t="shared" si="5"/>
        <v>148884</v>
      </c>
      <c r="E91" s="17">
        <f>IF(F3="1",SUMIF(Data!A:A,'18'!$A$2,Data!EW:EW),0)</f>
        <v>459535</v>
      </c>
      <c r="F91" s="21">
        <f t="shared" si="4"/>
        <v>3.09</v>
      </c>
    </row>
    <row r="92" spans="1:6" x14ac:dyDescent="0.2">
      <c r="A92" s="19">
        <v>26</v>
      </c>
      <c r="B92" s="177" t="s">
        <v>23</v>
      </c>
      <c r="C92" s="178"/>
      <c r="D92" s="14">
        <f t="shared" si="5"/>
        <v>56974</v>
      </c>
      <c r="E92" s="17">
        <f>IF(F3="1",SUMIF(Data!A:A,'18'!$A$2,Data!EX:EX),0)</f>
        <v>108450</v>
      </c>
      <c r="F92" s="21">
        <f t="shared" si="4"/>
        <v>1.9</v>
      </c>
    </row>
    <row r="93" spans="1:6" x14ac:dyDescent="0.2">
      <c r="A93" s="19">
        <v>28</v>
      </c>
      <c r="B93" s="177" t="s">
        <v>24</v>
      </c>
      <c r="C93" s="178"/>
      <c r="D93" s="14">
        <f t="shared" si="5"/>
        <v>0</v>
      </c>
      <c r="E93" s="17">
        <f>IF(F3="1",SUMIF(Data!A:A,'18'!$A$2,Data!EZ:EZ),0)</f>
        <v>0</v>
      </c>
      <c r="F93" s="21" t="str">
        <f t="shared" si="4"/>
        <v/>
      </c>
    </row>
    <row r="94" spans="1:6" ht="15.75" customHeight="1" thickBot="1" x14ac:dyDescent="0.25">
      <c r="A94" s="22">
        <v>29</v>
      </c>
      <c r="B94" s="179" t="s">
        <v>25</v>
      </c>
      <c r="C94" s="180"/>
      <c r="D94" s="23">
        <f t="shared" si="5"/>
        <v>0</v>
      </c>
      <c r="E94" s="24">
        <f>IF(F3="1",SUMIF(Data!A:A,'18'!$A$2,Data!FA:FA),0)</f>
        <v>0</v>
      </c>
      <c r="F94" s="25" t="str">
        <f t="shared" si="4"/>
        <v/>
      </c>
    </row>
    <row r="95" spans="1:6" x14ac:dyDescent="0.2">
      <c r="B95" s="30" t="s">
        <v>35</v>
      </c>
      <c r="C95" s="30"/>
      <c r="D95" s="59">
        <f>SUM(D67:D94)</f>
        <v>1219827</v>
      </c>
      <c r="E95" s="31">
        <f>SUM(E67:E94)</f>
        <v>3186932</v>
      </c>
      <c r="F95" s="32">
        <f t="shared" si="4"/>
        <v>2.61</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IF(F3="1",SUMIF(Data!A:A,'18'!$A$2,Data!AH:AH),0)</f>
        <v>1928325</v>
      </c>
      <c r="F98" s="20">
        <f>IF(OR(E98=0,E98=0),"",ROUND(E98/$D$105,2))</f>
        <v>1.58</v>
      </c>
    </row>
    <row r="99" spans="2:6" x14ac:dyDescent="0.2">
      <c r="B99" s="183" t="s">
        <v>31</v>
      </c>
      <c r="C99" s="184"/>
      <c r="D99" s="36"/>
      <c r="E99" s="17">
        <f>IF(F3="1",SUMIF(Data!A:A,'18'!$A$2,Data!AI:AI),0)</f>
        <v>454568</v>
      </c>
      <c r="F99" s="21">
        <f t="shared" ref="F99:F104" si="6">IF(OR(E99=0,E99=0),"",ROUND(E99/$D$105,2))</f>
        <v>0.37</v>
      </c>
    </row>
    <row r="100" spans="2:6" x14ac:dyDescent="0.2">
      <c r="B100" s="183" t="s">
        <v>1078</v>
      </c>
      <c r="C100" s="184"/>
      <c r="D100" s="36"/>
      <c r="E100" s="17">
        <f>IF(F3="1",SUMIF(Data!A:A,'18'!$A$2,Data!AJ:AJ),0)</f>
        <v>293020</v>
      </c>
      <c r="F100" s="21">
        <f t="shared" si="6"/>
        <v>0.24</v>
      </c>
    </row>
    <row r="101" spans="2:6" x14ac:dyDescent="0.2">
      <c r="B101" s="183" t="s">
        <v>1079</v>
      </c>
      <c r="C101" s="184"/>
      <c r="D101" s="36"/>
      <c r="E101" s="17">
        <f>IF(F3="1",SUMIF(Data!A:A,'18'!$A$2,Data!AK:AK),0)</f>
        <v>2005004</v>
      </c>
      <c r="F101" s="21">
        <f t="shared" si="6"/>
        <v>1.64</v>
      </c>
    </row>
    <row r="102" spans="2:6" x14ac:dyDescent="0.2">
      <c r="B102" s="183" t="s">
        <v>1080</v>
      </c>
      <c r="C102" s="184"/>
      <c r="D102" s="36"/>
      <c r="E102" s="17">
        <f>IF(F3="1",SUMIF(Data!A:A,'18'!$A$2,Data!AL:AL),0)</f>
        <v>0</v>
      </c>
      <c r="F102" s="21" t="str">
        <f t="shared" si="6"/>
        <v/>
      </c>
    </row>
    <row r="103" spans="2:6" x14ac:dyDescent="0.2">
      <c r="B103" s="185" t="s">
        <v>34</v>
      </c>
      <c r="C103" s="186"/>
      <c r="D103" s="36"/>
      <c r="E103" s="17">
        <f>IF(F3="1",SUMIF(Data!A:A,'18'!$A$2,Data!AM:AM),0)</f>
        <v>0</v>
      </c>
      <c r="F103" s="21" t="str">
        <f t="shared" si="6"/>
        <v/>
      </c>
    </row>
    <row r="104" spans="2:6" ht="15.75" customHeight="1" thickBot="1" x14ac:dyDescent="0.25">
      <c r="B104" s="175" t="s">
        <v>29</v>
      </c>
      <c r="C104" s="176"/>
      <c r="D104" s="37"/>
      <c r="E104" s="24">
        <f>IF(F3="1",SUMIF(Data!A:A,'18'!$A$2,Data!Q:Q),0)</f>
        <v>817181</v>
      </c>
      <c r="F104" s="25">
        <f t="shared" si="6"/>
        <v>0.67</v>
      </c>
    </row>
    <row r="105" spans="2:6" x14ac:dyDescent="0.2">
      <c r="B105" s="30" t="s">
        <v>35</v>
      </c>
      <c r="C105" s="30"/>
      <c r="D105" s="34">
        <f>D95</f>
        <v>1219827</v>
      </c>
      <c r="E105" s="31">
        <f>SUM(E98:E104)</f>
        <v>5498098</v>
      </c>
      <c r="F105" s="32">
        <f>IF($D$105=0,"",ROUND(E105/$D$105,2))</f>
        <v>4.51</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3186932</v>
      </c>
      <c r="D109" s="15">
        <f>IF(F3="1",SUMIF(Data!$A:$A,$A$2,Data!HJ:HJ),0)</f>
        <v>0</v>
      </c>
      <c r="E109" s="15">
        <f>IF(F3="1",SUMIF(Data!$A:$A,$A$2,Data!IN:IN),0)</f>
        <v>0</v>
      </c>
      <c r="F109" s="47">
        <f>SUM(C109:E109)</f>
        <v>3186932</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817181</v>
      </c>
      <c r="E117" s="52"/>
      <c r="F117" s="49">
        <f>SUM(C117:E117)</f>
        <v>817181</v>
      </c>
    </row>
    <row r="118" spans="1:6" x14ac:dyDescent="0.2">
      <c r="B118" s="13" t="s">
        <v>35</v>
      </c>
      <c r="C118" s="4">
        <f>SUM(C109:C116)</f>
        <v>3186932</v>
      </c>
      <c r="D118" s="4">
        <f>SUM(D109:D116)</f>
        <v>0</v>
      </c>
      <c r="E118" s="4">
        <f>SUM(E109:E116)</f>
        <v>0</v>
      </c>
      <c r="F118" s="4">
        <f>SUM(F109:F116)</f>
        <v>3186932</v>
      </c>
    </row>
    <row r="119" spans="1:6" ht="15" thickBot="1" x14ac:dyDescent="0.25"/>
    <row r="120" spans="1:6" ht="15" thickBot="1" x14ac:dyDescent="0.25">
      <c r="B120" s="55" t="s">
        <v>934</v>
      </c>
      <c r="C120" s="53"/>
      <c r="D120" s="53"/>
      <c r="E120" s="53">
        <f>IF(F3="1",SUMIF(Data!A:A,'18'!$A$2,Data!AM:AM),0)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3" width="12.42578125" style="10" bestFit="1" customWidth="1"/>
    <col min="14"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368</v>
      </c>
      <c r="B2" s="58" t="str">
        <f>VLOOKUP(A2,Data!A:G,7,0)</f>
        <v>Grayson County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13416</v>
      </c>
      <c r="E5" s="15">
        <f>E36+E67+IFERROR($E$105/$D$105*D5,0)</f>
        <v>105017.77005219896</v>
      </c>
      <c r="F5" s="20">
        <f>IF(OR(D5=0,E5=0),"",ROUND(E5/D5,2))</f>
        <v>7.83</v>
      </c>
    </row>
    <row r="6" spans="1:6" x14ac:dyDescent="0.2">
      <c r="A6" s="19">
        <v>2</v>
      </c>
      <c r="B6" s="177" t="s">
        <v>1</v>
      </c>
      <c r="C6" s="178"/>
      <c r="D6" s="14">
        <f t="shared" ref="D6:D32" si="0">D37</f>
        <v>47351</v>
      </c>
      <c r="E6" s="17">
        <f t="shared" ref="E6:E32" si="1">E37+E68+IFERROR($E$105/$D$105*D6,0)</f>
        <v>304117.19489726244</v>
      </c>
      <c r="F6" s="21">
        <f t="shared" ref="F6:F33" si="2">IF(OR(D6=0,E6=0),"",ROUND(E6/D6,2))</f>
        <v>6.42</v>
      </c>
    </row>
    <row r="7" spans="1:6" ht="14.25" customHeight="1" x14ac:dyDescent="0.2">
      <c r="A7" s="19">
        <v>3</v>
      </c>
      <c r="B7" s="177" t="s">
        <v>2</v>
      </c>
      <c r="C7" s="178"/>
      <c r="D7" s="14">
        <f t="shared" si="0"/>
        <v>173088</v>
      </c>
      <c r="E7" s="17">
        <f t="shared" si="1"/>
        <v>908033.53061978333</v>
      </c>
      <c r="F7" s="21">
        <f t="shared" si="2"/>
        <v>5.25</v>
      </c>
    </row>
    <row r="8" spans="1:6" ht="14.25" customHeight="1" x14ac:dyDescent="0.2">
      <c r="A8" s="19">
        <v>4</v>
      </c>
      <c r="B8" s="177" t="s">
        <v>3</v>
      </c>
      <c r="C8" s="178"/>
      <c r="D8" s="14">
        <f t="shared" si="0"/>
        <v>86420</v>
      </c>
      <c r="E8" s="17">
        <f t="shared" si="1"/>
        <v>484791.67172861018</v>
      </c>
      <c r="F8" s="21">
        <f t="shared" si="2"/>
        <v>5.61</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1536</v>
      </c>
      <c r="E10" s="17">
        <f t="shared" si="1"/>
        <v>6274.4495229709009</v>
      </c>
      <c r="F10" s="21">
        <f t="shared" si="2"/>
        <v>4.08</v>
      </c>
    </row>
    <row r="11" spans="1:6" x14ac:dyDescent="0.2">
      <c r="A11" s="19">
        <v>7</v>
      </c>
      <c r="B11" s="177" t="s">
        <v>6</v>
      </c>
      <c r="C11" s="178"/>
      <c r="D11" s="14">
        <f t="shared" si="0"/>
        <v>82849</v>
      </c>
      <c r="E11" s="17">
        <f t="shared" si="1"/>
        <v>553352.06544831779</v>
      </c>
      <c r="F11" s="21">
        <f t="shared" si="2"/>
        <v>6.68</v>
      </c>
    </row>
    <row r="12" spans="1:6" x14ac:dyDescent="0.2">
      <c r="A12" s="19">
        <v>8</v>
      </c>
      <c r="B12" s="177" t="s">
        <v>7</v>
      </c>
      <c r="C12" s="178"/>
      <c r="D12" s="14">
        <f t="shared" si="0"/>
        <v>2244</v>
      </c>
      <c r="E12" s="17">
        <f t="shared" si="1"/>
        <v>6695.0160999653008</v>
      </c>
      <c r="F12" s="21">
        <f t="shared" si="2"/>
        <v>2.98</v>
      </c>
    </row>
    <row r="13" spans="1:6" x14ac:dyDescent="0.2">
      <c r="A13" s="19">
        <v>9</v>
      </c>
      <c r="B13" s="177" t="s">
        <v>8</v>
      </c>
      <c r="C13" s="178"/>
      <c r="D13" s="14">
        <f t="shared" si="0"/>
        <v>53683</v>
      </c>
      <c r="E13" s="17">
        <f t="shared" si="1"/>
        <v>287734.52196721802</v>
      </c>
      <c r="F13" s="21">
        <f t="shared" si="2"/>
        <v>5.36</v>
      </c>
    </row>
    <row r="14" spans="1:6" x14ac:dyDescent="0.2">
      <c r="A14" s="19">
        <v>10</v>
      </c>
      <c r="B14" s="177" t="s">
        <v>9</v>
      </c>
      <c r="C14" s="178"/>
      <c r="D14" s="14">
        <f t="shared" si="0"/>
        <v>0</v>
      </c>
      <c r="E14" s="17">
        <f t="shared" si="1"/>
        <v>0</v>
      </c>
      <c r="F14" s="21" t="str">
        <f t="shared" si="2"/>
        <v/>
      </c>
    </row>
    <row r="15" spans="1:6" x14ac:dyDescent="0.2">
      <c r="A15" s="19">
        <v>11</v>
      </c>
      <c r="B15" s="177" t="s">
        <v>10</v>
      </c>
      <c r="C15" s="178"/>
      <c r="D15" s="14">
        <f t="shared" si="0"/>
        <v>61508</v>
      </c>
      <c r="E15" s="17">
        <f t="shared" si="1"/>
        <v>445128.19352792588</v>
      </c>
      <c r="F15" s="21">
        <f t="shared" si="2"/>
        <v>7.24</v>
      </c>
    </row>
    <row r="16" spans="1:6" ht="14.25" customHeight="1" x14ac:dyDescent="0.2">
      <c r="A16" s="19">
        <v>12</v>
      </c>
      <c r="B16" s="177" t="s">
        <v>11</v>
      </c>
      <c r="C16" s="178"/>
      <c r="D16" s="14">
        <f t="shared" si="0"/>
        <v>229051</v>
      </c>
      <c r="E16" s="17">
        <f t="shared" si="1"/>
        <v>1127397.0635976614</v>
      </c>
      <c r="F16" s="21">
        <f t="shared" si="2"/>
        <v>4.92</v>
      </c>
    </row>
    <row r="17" spans="1:6" x14ac:dyDescent="0.2">
      <c r="A17" s="19">
        <v>13</v>
      </c>
      <c r="B17" s="177" t="s">
        <v>12</v>
      </c>
      <c r="C17" s="178"/>
      <c r="D17" s="14">
        <f t="shared" si="0"/>
        <v>13760</v>
      </c>
      <c r="E17" s="17">
        <f t="shared" si="1"/>
        <v>77327.61030994766</v>
      </c>
      <c r="F17" s="21">
        <f t="shared" si="2"/>
        <v>5.62</v>
      </c>
    </row>
    <row r="18" spans="1:6" ht="14.25" customHeight="1" x14ac:dyDescent="0.2">
      <c r="A18" s="19">
        <v>14</v>
      </c>
      <c r="B18" s="177" t="s">
        <v>464</v>
      </c>
      <c r="C18" s="178"/>
      <c r="D18" s="14">
        <f t="shared" si="0"/>
        <v>134148</v>
      </c>
      <c r="E18" s="17">
        <f t="shared" si="1"/>
        <v>1166588.3688850915</v>
      </c>
      <c r="F18" s="21">
        <f t="shared" si="2"/>
        <v>8.6999999999999993</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69497</v>
      </c>
      <c r="E20" s="17">
        <f t="shared" si="1"/>
        <v>438698.73079290928</v>
      </c>
      <c r="F20" s="21">
        <f t="shared" si="2"/>
        <v>6.31</v>
      </c>
    </row>
    <row r="21" spans="1:6" x14ac:dyDescent="0.2">
      <c r="A21" s="19">
        <v>17</v>
      </c>
      <c r="B21" s="177" t="s">
        <v>15</v>
      </c>
      <c r="C21" s="178"/>
      <c r="D21" s="14">
        <f t="shared" si="0"/>
        <v>0</v>
      </c>
      <c r="E21" s="17">
        <f t="shared" si="1"/>
        <v>0</v>
      </c>
      <c r="F21" s="21" t="str">
        <f t="shared" si="2"/>
        <v/>
      </c>
    </row>
    <row r="22" spans="1:6" x14ac:dyDescent="0.2">
      <c r="A22" s="19">
        <v>18</v>
      </c>
      <c r="B22" s="177" t="s">
        <v>16</v>
      </c>
      <c r="C22" s="178"/>
      <c r="D22" s="14">
        <f t="shared" si="0"/>
        <v>56848</v>
      </c>
      <c r="E22" s="17">
        <f t="shared" si="1"/>
        <v>289900.74119912094</v>
      </c>
      <c r="F22" s="21">
        <f t="shared" si="2"/>
        <v>5.0999999999999996</v>
      </c>
    </row>
    <row r="23" spans="1:6" x14ac:dyDescent="0.2">
      <c r="A23" s="19">
        <v>19</v>
      </c>
      <c r="B23" s="177" t="s">
        <v>17</v>
      </c>
      <c r="C23" s="178"/>
      <c r="D23" s="14">
        <f t="shared" si="0"/>
        <v>151264</v>
      </c>
      <c r="E23" s="17">
        <f t="shared" si="1"/>
        <v>672801.06031423854</v>
      </c>
      <c r="F23" s="21">
        <f t="shared" si="2"/>
        <v>4.45</v>
      </c>
    </row>
    <row r="24" spans="1:6" x14ac:dyDescent="0.2">
      <c r="A24" s="19">
        <v>20</v>
      </c>
      <c r="B24" s="177" t="s">
        <v>18</v>
      </c>
      <c r="C24" s="178"/>
      <c r="D24" s="14">
        <f t="shared" si="0"/>
        <v>21432</v>
      </c>
      <c r="E24" s="17">
        <f t="shared" si="1"/>
        <v>134727.30350020336</v>
      </c>
      <c r="F24" s="21">
        <f t="shared" si="2"/>
        <v>6.29</v>
      </c>
    </row>
    <row r="25" spans="1:6" ht="14.25" customHeight="1" x14ac:dyDescent="0.2">
      <c r="A25" s="19">
        <v>21</v>
      </c>
      <c r="B25" s="177" t="s">
        <v>461</v>
      </c>
      <c r="C25" s="178"/>
      <c r="D25" s="14">
        <f t="shared" si="0"/>
        <v>11648</v>
      </c>
      <c r="E25" s="17">
        <f t="shared" si="1"/>
        <v>32524.242215862665</v>
      </c>
      <c r="F25" s="21">
        <f t="shared" si="2"/>
        <v>2.79</v>
      </c>
    </row>
    <row r="26" spans="1:6" x14ac:dyDescent="0.2">
      <c r="A26" s="19">
        <v>22</v>
      </c>
      <c r="B26" s="177" t="s">
        <v>19</v>
      </c>
      <c r="C26" s="178"/>
      <c r="D26" s="14">
        <f t="shared" si="0"/>
        <v>2368</v>
      </c>
      <c r="E26" s="17">
        <f t="shared" si="1"/>
        <v>7951.1096812468058</v>
      </c>
      <c r="F26" s="21">
        <f t="shared" si="2"/>
        <v>3.36</v>
      </c>
    </row>
    <row r="27" spans="1:6" x14ac:dyDescent="0.2">
      <c r="A27" s="19">
        <v>23</v>
      </c>
      <c r="B27" s="177" t="s">
        <v>20</v>
      </c>
      <c r="C27" s="178"/>
      <c r="D27" s="14">
        <f t="shared" si="0"/>
        <v>36528</v>
      </c>
      <c r="E27" s="17">
        <f t="shared" si="1"/>
        <v>256948.50271815172</v>
      </c>
      <c r="F27" s="21">
        <f t="shared" si="2"/>
        <v>7.03</v>
      </c>
    </row>
    <row r="28" spans="1:6" x14ac:dyDescent="0.2">
      <c r="A28" s="19">
        <v>24</v>
      </c>
      <c r="B28" s="177" t="s">
        <v>21</v>
      </c>
      <c r="C28" s="178"/>
      <c r="D28" s="14">
        <f t="shared" si="0"/>
        <v>60607</v>
      </c>
      <c r="E28" s="17">
        <f t="shared" si="1"/>
        <v>360420.87645748525</v>
      </c>
      <c r="F28" s="21">
        <f t="shared" si="2"/>
        <v>5.95</v>
      </c>
    </row>
    <row r="29" spans="1:6" x14ac:dyDescent="0.2">
      <c r="A29" s="19">
        <v>25</v>
      </c>
      <c r="B29" s="177" t="s">
        <v>22</v>
      </c>
      <c r="C29" s="178"/>
      <c r="D29" s="14">
        <f t="shared" si="0"/>
        <v>233248</v>
      </c>
      <c r="E29" s="17">
        <f t="shared" si="1"/>
        <v>1130381.8036028105</v>
      </c>
      <c r="F29" s="21">
        <f t="shared" si="2"/>
        <v>4.8499999999999996</v>
      </c>
    </row>
    <row r="30" spans="1:6" x14ac:dyDescent="0.2">
      <c r="A30" s="19">
        <v>26</v>
      </c>
      <c r="B30" s="177" t="s">
        <v>23</v>
      </c>
      <c r="C30" s="178"/>
      <c r="D30" s="14">
        <f t="shared" si="0"/>
        <v>65584</v>
      </c>
      <c r="E30" s="17">
        <f t="shared" si="1"/>
        <v>398008.17286101799</v>
      </c>
      <c r="F30" s="21">
        <f t="shared" si="2"/>
        <v>6.07</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1608078</v>
      </c>
      <c r="E33" s="31">
        <f>SUM(E5:E32)</f>
        <v>9194820</v>
      </c>
      <c r="F33" s="32">
        <f t="shared" si="2"/>
        <v>5.72</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IF(F3="1",SUMIF(Data!A:A,'19'!$A$2,Data!CU:CU),0)</f>
        <v>13416</v>
      </c>
      <c r="E36" s="15">
        <f>IF(F3="1",SUMIF(Data!$A:$A,$A$2,Data!IO:IO),0)</f>
        <v>18748</v>
      </c>
      <c r="F36" s="20">
        <f t="shared" ref="F36:F64" si="3">IF(OR(D36=0,E36=0),"",ROUND(E36/D36,2))</f>
        <v>1.4</v>
      </c>
    </row>
    <row r="37" spans="1:6" x14ac:dyDescent="0.2">
      <c r="A37" s="19">
        <v>2</v>
      </c>
      <c r="B37" s="177" t="s">
        <v>1</v>
      </c>
      <c r="C37" s="178"/>
      <c r="D37" s="14">
        <f>IF(F3="1",SUMIF(Data!A:A,'19'!$A$2,Data!CV:CV),0)</f>
        <v>47351</v>
      </c>
      <c r="E37" s="17">
        <f>IF(F3="1",SUMIF(Data!$A:$A,$A$2,Data!IP:IP),0)</f>
        <v>42726</v>
      </c>
      <c r="F37" s="21">
        <f t="shared" si="3"/>
        <v>0.9</v>
      </c>
    </row>
    <row r="38" spans="1:6" ht="14.25" customHeight="1" x14ac:dyDescent="0.2">
      <c r="A38" s="19">
        <v>3</v>
      </c>
      <c r="B38" s="177" t="s">
        <v>2</v>
      </c>
      <c r="C38" s="178"/>
      <c r="D38" s="14">
        <f>IF(F3="1",SUMIF(Data!A:A,'19'!$A$2,Data!CW:CW),0)</f>
        <v>173088</v>
      </c>
      <c r="E38" s="17">
        <f>IF($F$3="1",SUMIF(Data!$A:$A,$A$2,Data!IQ:IQ),0)</f>
        <v>81997</v>
      </c>
      <c r="F38" s="21">
        <f t="shared" si="3"/>
        <v>0.47</v>
      </c>
    </row>
    <row r="39" spans="1:6" ht="14.25" customHeight="1" x14ac:dyDescent="0.2">
      <c r="A39" s="19">
        <v>4</v>
      </c>
      <c r="B39" s="177" t="s">
        <v>3</v>
      </c>
      <c r="C39" s="178"/>
      <c r="D39" s="14">
        <f>IF(F3="1",SUMIF(Data!A:A,'19'!$A$2,Data!CX:CX),0)</f>
        <v>86420</v>
      </c>
      <c r="E39" s="17">
        <f>IF($F$3="1",SUMIF(Data!$A:$A,$A$2,Data!IR:IR),0)</f>
        <v>11820</v>
      </c>
      <c r="F39" s="21">
        <f t="shared" si="3"/>
        <v>0.14000000000000001</v>
      </c>
    </row>
    <row r="40" spans="1:6" x14ac:dyDescent="0.2">
      <c r="A40" s="19">
        <v>5</v>
      </c>
      <c r="B40" s="177" t="s">
        <v>4</v>
      </c>
      <c r="C40" s="178"/>
      <c r="D40" s="14">
        <f>IF(F3="1",SUMIF(Data!A:A,'19'!$A$2,Data!CY:CY),0)</f>
        <v>0</v>
      </c>
      <c r="E40" s="17">
        <f>IF($F$3="1",SUMIF(Data!$A:$A,$A$2,Data!IS:IS),0)</f>
        <v>0</v>
      </c>
      <c r="F40" s="21" t="str">
        <f t="shared" si="3"/>
        <v/>
      </c>
    </row>
    <row r="41" spans="1:6" x14ac:dyDescent="0.2">
      <c r="A41" s="19">
        <v>6</v>
      </c>
      <c r="B41" s="177" t="s">
        <v>5</v>
      </c>
      <c r="C41" s="178"/>
      <c r="D41" s="14">
        <f>IF(F3="1",SUMIF(Data!A:A,'19'!$A$2,Data!CZ:CZ),0)</f>
        <v>1536</v>
      </c>
      <c r="E41" s="17">
        <f>IF($F$3="1",SUMIF(Data!$A:$A,$A$2,Data!IT:IT),0)</f>
        <v>0</v>
      </c>
      <c r="F41" s="21" t="str">
        <f t="shared" si="3"/>
        <v/>
      </c>
    </row>
    <row r="42" spans="1:6" x14ac:dyDescent="0.2">
      <c r="A42" s="19">
        <v>7</v>
      </c>
      <c r="B42" s="177" t="s">
        <v>6</v>
      </c>
      <c r="C42" s="178"/>
      <c r="D42" s="14">
        <f>IF(F3="1",SUMIF(Data!A:A,'19'!$A$2,Data!DA:DA),0)</f>
        <v>82849</v>
      </c>
      <c r="E42" s="17">
        <f>IF($F$3="1",SUMIF(Data!$A:$A,$A$2,Data!IU:IU),0)</f>
        <v>47501</v>
      </c>
      <c r="F42" s="21">
        <f t="shared" si="3"/>
        <v>0.56999999999999995</v>
      </c>
    </row>
    <row r="43" spans="1:6" x14ac:dyDescent="0.2">
      <c r="A43" s="19">
        <v>8</v>
      </c>
      <c r="B43" s="177" t="s">
        <v>7</v>
      </c>
      <c r="C43" s="178"/>
      <c r="D43" s="14">
        <f>IF(F3="1",SUMIF(Data!A:A,'19'!$A$2,Data!DB:DB),0)</f>
        <v>2244</v>
      </c>
      <c r="E43" s="17">
        <f>IF($F$3="1",SUMIF(Data!$A:$A,$A$2,Data!IV:IV),0)</f>
        <v>1210</v>
      </c>
      <c r="F43" s="21">
        <f t="shared" si="3"/>
        <v>0.54</v>
      </c>
    </row>
    <row r="44" spans="1:6" x14ac:dyDescent="0.2">
      <c r="A44" s="19">
        <v>9</v>
      </c>
      <c r="B44" s="177" t="s">
        <v>8</v>
      </c>
      <c r="C44" s="178"/>
      <c r="D44" s="14">
        <f>IF(F3="1",SUMIF(Data!A:A,'19'!$A$2,Data!DC:DC),0)</f>
        <v>53683</v>
      </c>
      <c r="E44" s="17">
        <f>IF($F$3="1",SUMIF(Data!$A:$A,$A$2,Data!IW:IW),0)</f>
        <v>30093</v>
      </c>
      <c r="F44" s="21">
        <f t="shared" si="3"/>
        <v>0.56000000000000005</v>
      </c>
    </row>
    <row r="45" spans="1:6" x14ac:dyDescent="0.2">
      <c r="A45" s="19">
        <v>10</v>
      </c>
      <c r="B45" s="177" t="s">
        <v>9</v>
      </c>
      <c r="C45" s="178"/>
      <c r="D45" s="14">
        <f>IF(F3="1",SUMIF(Data!A:A,'19'!$A$2,Data!DD:DD),0)</f>
        <v>0</v>
      </c>
      <c r="E45" s="17">
        <f>IF($F$3="1",SUMIF(Data!$A:$A,$A$2,Data!IX:IX),0)</f>
        <v>0</v>
      </c>
      <c r="F45" s="21" t="str">
        <f t="shared" si="3"/>
        <v/>
      </c>
    </row>
    <row r="46" spans="1:6" x14ac:dyDescent="0.2">
      <c r="A46" s="19">
        <v>11</v>
      </c>
      <c r="B46" s="177" t="s">
        <v>10</v>
      </c>
      <c r="C46" s="178"/>
      <c r="D46" s="14">
        <f>IF(F3="1",SUMIF(Data!A:A,'19'!$A$2,Data!DE:DE),0)</f>
        <v>61508</v>
      </c>
      <c r="E46" s="17">
        <f>IF($F$3="1",SUMIF(Data!$A:$A,$A$2,Data!IY:IY),0)</f>
        <v>54877</v>
      </c>
      <c r="F46" s="21">
        <f t="shared" si="3"/>
        <v>0.89</v>
      </c>
    </row>
    <row r="47" spans="1:6" ht="14.25" customHeight="1" x14ac:dyDescent="0.2">
      <c r="A47" s="19">
        <v>12</v>
      </c>
      <c r="B47" s="177" t="s">
        <v>11</v>
      </c>
      <c r="C47" s="178"/>
      <c r="D47" s="14">
        <f>IF(F3="1",SUMIF(Data!A:A,'19'!$A$2,Data!DF:DF),0)</f>
        <v>229051</v>
      </c>
      <c r="E47" s="17">
        <f>IF($F$3="1",SUMIF(Data!$A:$A,$A$2,Data!IZ:IZ),0)</f>
        <v>53964</v>
      </c>
      <c r="F47" s="21">
        <f t="shared" si="3"/>
        <v>0.24</v>
      </c>
    </row>
    <row r="48" spans="1:6" x14ac:dyDescent="0.2">
      <c r="A48" s="19">
        <v>13</v>
      </c>
      <c r="B48" s="177" t="s">
        <v>12</v>
      </c>
      <c r="C48" s="178"/>
      <c r="D48" s="14">
        <f>IF(F3="1",SUMIF(Data!A:A,'19'!$A$2,Data!DG:DG),0)</f>
        <v>13760</v>
      </c>
      <c r="E48" s="17">
        <f>IF($F$3="1",SUMIF(Data!$A:$A,$A$2,Data!JA:JA),0)</f>
        <v>2893</v>
      </c>
      <c r="F48" s="21">
        <f t="shared" si="3"/>
        <v>0.21</v>
      </c>
    </row>
    <row r="49" spans="1:6" ht="14.25" customHeight="1" x14ac:dyDescent="0.2">
      <c r="A49" s="19">
        <v>14</v>
      </c>
      <c r="B49" s="177" t="s">
        <v>464</v>
      </c>
      <c r="C49" s="178"/>
      <c r="D49" s="14">
        <f>IF(F3="1",SUMIF(Data!A:A,'19'!$A$2,Data!DH:DH),0)</f>
        <v>134148</v>
      </c>
      <c r="E49" s="17">
        <f>IF($F$3="1",SUMIF(Data!$A:$A,$A$2,Data!JB:JB),0)</f>
        <v>50616</v>
      </c>
      <c r="F49" s="21">
        <f t="shared" si="3"/>
        <v>0.38</v>
      </c>
    </row>
    <row r="50" spans="1:6" x14ac:dyDescent="0.2">
      <c r="A50" s="19">
        <v>15</v>
      </c>
      <c r="B50" s="177" t="s">
        <v>13</v>
      </c>
      <c r="C50" s="178"/>
      <c r="D50" s="14">
        <f>IF(F3="1",SUMIF(Data!A:A,'19'!$A$2,Data!DI:DI),0)</f>
        <v>0</v>
      </c>
      <c r="E50" s="17">
        <f>IF($F$3="1",SUMIF(Data!$A:$A,$A$2,Data!JC:JC),0)</f>
        <v>0</v>
      </c>
      <c r="F50" s="21" t="str">
        <f t="shared" si="3"/>
        <v/>
      </c>
    </row>
    <row r="51" spans="1:6" x14ac:dyDescent="0.2">
      <c r="A51" s="19">
        <v>16</v>
      </c>
      <c r="B51" s="177" t="s">
        <v>14</v>
      </c>
      <c r="C51" s="178"/>
      <c r="D51" s="14">
        <f>IF(F3="1",SUMIF(Data!A:A,'19'!$A$2,Data!DJ:DJ),0)</f>
        <v>69497</v>
      </c>
      <c r="E51" s="17">
        <f>IF($F$3="1",SUMIF(Data!$A:$A,$A$2,Data!JD:JD),0)</f>
        <v>28705</v>
      </c>
      <c r="F51" s="21">
        <f t="shared" si="3"/>
        <v>0.41</v>
      </c>
    </row>
    <row r="52" spans="1:6" x14ac:dyDescent="0.2">
      <c r="A52" s="19">
        <v>17</v>
      </c>
      <c r="B52" s="177" t="s">
        <v>15</v>
      </c>
      <c r="C52" s="178"/>
      <c r="D52" s="14">
        <f>IF(F3="1",SUMIF(Data!A:A,'19'!$A$2,Data!DK:DK),0)</f>
        <v>0</v>
      </c>
      <c r="E52" s="17">
        <f>IF($F$3="1",SUMIF(Data!$A:$A,$A$2,Data!JE:JE),0)</f>
        <v>0</v>
      </c>
      <c r="F52" s="21" t="str">
        <f t="shared" si="3"/>
        <v/>
      </c>
    </row>
    <row r="53" spans="1:6" x14ac:dyDescent="0.2">
      <c r="A53" s="19">
        <v>18</v>
      </c>
      <c r="B53" s="177" t="s">
        <v>16</v>
      </c>
      <c r="C53" s="178"/>
      <c r="D53" s="14">
        <f>IF(F3="1",SUMIF(Data!A:A,'19'!$A$2,Data!DL:DL),0)</f>
        <v>56848</v>
      </c>
      <c r="E53" s="17">
        <f>IF($F$3="1",SUMIF(Data!$A:$A,$A$2,Data!JF:JF),0)</f>
        <v>11268</v>
      </c>
      <c r="F53" s="21">
        <f t="shared" si="3"/>
        <v>0.2</v>
      </c>
    </row>
    <row r="54" spans="1:6" x14ac:dyDescent="0.2">
      <c r="A54" s="19">
        <v>19</v>
      </c>
      <c r="B54" s="177" t="s">
        <v>17</v>
      </c>
      <c r="C54" s="178"/>
      <c r="D54" s="14">
        <f>IF(F3="1",SUMIF(Data!A:A,'19'!$A$2,Data!DM:DM),0)</f>
        <v>151264</v>
      </c>
      <c r="E54" s="17">
        <f>IF($F$3="1",SUMIF(Data!$A:$A,$A$2,Data!JG:JG),0)</f>
        <v>3118</v>
      </c>
      <c r="F54" s="21">
        <f t="shared" si="3"/>
        <v>0.02</v>
      </c>
    </row>
    <row r="55" spans="1:6" x14ac:dyDescent="0.2">
      <c r="A55" s="19">
        <v>20</v>
      </c>
      <c r="B55" s="177" t="s">
        <v>18</v>
      </c>
      <c r="C55" s="178"/>
      <c r="D55" s="14">
        <f>IF(F3="1",SUMIF(Data!A:A,'19'!$A$2,Data!DN:DN),0)</f>
        <v>21432</v>
      </c>
      <c r="E55" s="17">
        <f>IF($F$3="1",SUMIF(Data!$A:$A,$A$2,Data!JH:JH),0)</f>
        <v>21563</v>
      </c>
      <c r="F55" s="21">
        <f t="shared" si="3"/>
        <v>1.01</v>
      </c>
    </row>
    <row r="56" spans="1:6" ht="14.25" customHeight="1" x14ac:dyDescent="0.2">
      <c r="A56" s="19">
        <v>21</v>
      </c>
      <c r="B56" s="177" t="s">
        <v>461</v>
      </c>
      <c r="C56" s="178"/>
      <c r="D56" s="14">
        <f>IF(F3="1",SUMIF(Data!A:A,'19'!$A$2,Data!DO:DO),0)</f>
        <v>11648</v>
      </c>
      <c r="E56" s="17">
        <f>IF($F$3="1",SUMIF(Data!$A:$A,$A$2,Data!JI:JI),0)</f>
        <v>4053</v>
      </c>
      <c r="F56" s="21">
        <f t="shared" si="3"/>
        <v>0.35</v>
      </c>
    </row>
    <row r="57" spans="1:6" x14ac:dyDescent="0.2">
      <c r="A57" s="19">
        <v>22</v>
      </c>
      <c r="B57" s="177" t="s">
        <v>19</v>
      </c>
      <c r="C57" s="178"/>
      <c r="D57" s="14">
        <f>IF(F3="1",SUMIF(Data!A:A,'19'!$A$2,Data!DP:DP),0)</f>
        <v>2368</v>
      </c>
      <c r="E57" s="17">
        <f>IF($F$3="1",SUMIF(Data!$A:$A,$A$2,Data!JJ:JJ),0)</f>
        <v>563</v>
      </c>
      <c r="F57" s="21">
        <f t="shared" si="3"/>
        <v>0.24</v>
      </c>
    </row>
    <row r="58" spans="1:6" x14ac:dyDescent="0.2">
      <c r="A58" s="19">
        <v>23</v>
      </c>
      <c r="B58" s="177" t="s">
        <v>20</v>
      </c>
      <c r="C58" s="178"/>
      <c r="D58" s="14">
        <f>IF(F3="1",SUMIF(Data!A:A,'19'!$A$2,Data!DQ:DQ),0)</f>
        <v>36528</v>
      </c>
      <c r="E58" s="17">
        <f>IF($F$3="1",SUMIF(Data!$A:$A,$A$2,Data!JK:JK),0)</f>
        <v>3186</v>
      </c>
      <c r="F58" s="21">
        <f t="shared" si="3"/>
        <v>0.09</v>
      </c>
    </row>
    <row r="59" spans="1:6" x14ac:dyDescent="0.2">
      <c r="A59" s="19">
        <v>24</v>
      </c>
      <c r="B59" s="177" t="s">
        <v>21</v>
      </c>
      <c r="C59" s="178"/>
      <c r="D59" s="14">
        <f>IF(F3="1",SUMIF(Data!A:A,'19'!$A$2,Data!DR:DR),0)</f>
        <v>60607</v>
      </c>
      <c r="E59" s="17">
        <f>IF($F$3="1",SUMIF(Data!$A:$A,$A$2,Data!JL:JL),0)</f>
        <v>22020</v>
      </c>
      <c r="F59" s="21">
        <f t="shared" si="3"/>
        <v>0.36</v>
      </c>
    </row>
    <row r="60" spans="1:6" x14ac:dyDescent="0.2">
      <c r="A60" s="19">
        <v>25</v>
      </c>
      <c r="B60" s="177" t="s">
        <v>22</v>
      </c>
      <c r="C60" s="178"/>
      <c r="D60" s="14">
        <f>IF(F3="1",SUMIF(Data!A:A,'19'!$A$2,Data!DS:DS),0)</f>
        <v>233248</v>
      </c>
      <c r="E60" s="17">
        <f>IF($F$3="1",SUMIF(Data!$A:$A,$A$2,Data!JM:JM),0)</f>
        <v>15097</v>
      </c>
      <c r="F60" s="21">
        <f t="shared" si="3"/>
        <v>0.06</v>
      </c>
    </row>
    <row r="61" spans="1:6" x14ac:dyDescent="0.2">
      <c r="A61" s="19">
        <v>26</v>
      </c>
      <c r="B61" s="177" t="s">
        <v>23</v>
      </c>
      <c r="C61" s="178"/>
      <c r="D61" s="14">
        <f>IF(F3="1",SUMIF(Data!A:A,'19'!$A$2,Data!DT:DT),0)</f>
        <v>65584</v>
      </c>
      <c r="E61" s="17">
        <f>IF($F$3="1",SUMIF(Data!$A:$A,$A$2,Data!JN:JN),0)</f>
        <v>21441</v>
      </c>
      <c r="F61" s="21">
        <f t="shared" si="3"/>
        <v>0.33</v>
      </c>
    </row>
    <row r="62" spans="1:6" x14ac:dyDescent="0.2">
      <c r="A62" s="19">
        <v>28</v>
      </c>
      <c r="B62" s="177" t="s">
        <v>24</v>
      </c>
      <c r="C62" s="178"/>
      <c r="D62" s="14">
        <f>IF(F3="1",SUMIF(Data!A:A,'19'!$A$2,Data!DV:DV),0)</f>
        <v>0</v>
      </c>
      <c r="E62" s="17">
        <f>IF($F$3="1",SUMIF(Data!$A:$A,$A$2,Data!JP:JP),0)</f>
        <v>0</v>
      </c>
      <c r="F62" s="21" t="str">
        <f t="shared" si="3"/>
        <v/>
      </c>
    </row>
    <row r="63" spans="1:6" ht="15.75" customHeight="1" thickBot="1" x14ac:dyDescent="0.25">
      <c r="A63" s="22">
        <v>29</v>
      </c>
      <c r="B63" s="179" t="s">
        <v>25</v>
      </c>
      <c r="C63" s="180"/>
      <c r="D63" s="23">
        <f>IF(F3="1",SUMIF(Data!A:A,'19'!$A$2,Data!DW:DW),0)</f>
        <v>0</v>
      </c>
      <c r="E63" s="24">
        <f>IF($F$3="1",SUMIF(Data!$A:$A,$A$2,Data!JQ:JQ),0)</f>
        <v>0</v>
      </c>
      <c r="F63" s="25" t="str">
        <f t="shared" si="3"/>
        <v/>
      </c>
    </row>
    <row r="64" spans="1:6" x14ac:dyDescent="0.2">
      <c r="B64" s="30" t="s">
        <v>35</v>
      </c>
      <c r="C64" s="30"/>
      <c r="D64" s="59">
        <f>SUM(D36:D63)</f>
        <v>1608078</v>
      </c>
      <c r="E64" s="31">
        <f>SUM(E36:E63)</f>
        <v>527459</v>
      </c>
      <c r="F64" s="32">
        <f t="shared" si="3"/>
        <v>0.33</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13416</v>
      </c>
      <c r="E67" s="15">
        <f>IF(F3="1",SUMIF(Data!A:A,'19'!$A$2,Data!DY:DY),0)</f>
        <v>53477</v>
      </c>
      <c r="F67" s="20">
        <f t="shared" ref="F67:F95" si="4">IF(OR(D67=0,E67=0),"",ROUND(E67/D67,2))</f>
        <v>3.99</v>
      </c>
    </row>
    <row r="68" spans="1:6" x14ac:dyDescent="0.2">
      <c r="A68" s="19">
        <v>2</v>
      </c>
      <c r="B68" s="177" t="s">
        <v>1</v>
      </c>
      <c r="C68" s="178"/>
      <c r="D68" s="14">
        <f t="shared" ref="D68:D94" si="5">D37</f>
        <v>47351</v>
      </c>
      <c r="E68" s="17">
        <f>IF(F3="1",SUMIF(Data!A:A,'19'!$A$2,Data!DZ:DZ),0)</f>
        <v>145651</v>
      </c>
      <c r="F68" s="21">
        <f t="shared" si="4"/>
        <v>3.08</v>
      </c>
    </row>
    <row r="69" spans="1:6" ht="14.25" customHeight="1" x14ac:dyDescent="0.2">
      <c r="A69" s="19">
        <v>3</v>
      </c>
      <c r="B69" s="177" t="s">
        <v>2</v>
      </c>
      <c r="C69" s="178"/>
      <c r="D69" s="14">
        <f t="shared" si="5"/>
        <v>173088</v>
      </c>
      <c r="E69" s="17">
        <f>IF(F3="1",SUMIF(Data!A:A,'19'!$A$2,Data!EA:EA),0)</f>
        <v>402957</v>
      </c>
      <c r="F69" s="21">
        <f t="shared" si="4"/>
        <v>2.33</v>
      </c>
    </row>
    <row r="70" spans="1:6" ht="14.25" customHeight="1" x14ac:dyDescent="0.2">
      <c r="A70" s="19">
        <v>4</v>
      </c>
      <c r="B70" s="177" t="s">
        <v>3</v>
      </c>
      <c r="C70" s="178"/>
      <c r="D70" s="14">
        <f t="shared" si="5"/>
        <v>86420</v>
      </c>
      <c r="E70" s="17">
        <f>IF(F3="1",SUMIF(Data!A:A,'19'!$A$2,Data!EB:EB),0)</f>
        <v>261735</v>
      </c>
      <c r="F70" s="21">
        <f t="shared" si="4"/>
        <v>3.03</v>
      </c>
    </row>
    <row r="71" spans="1:6" x14ac:dyDescent="0.2">
      <c r="A71" s="19">
        <v>5</v>
      </c>
      <c r="B71" s="177" t="s">
        <v>4</v>
      </c>
      <c r="C71" s="178"/>
      <c r="D71" s="14">
        <f t="shared" si="5"/>
        <v>0</v>
      </c>
      <c r="E71" s="17">
        <f>IF(F3="1",SUMIF(Data!A:A,'19'!$A$2,Data!EC:EC),0)</f>
        <v>0</v>
      </c>
      <c r="F71" s="21" t="str">
        <f t="shared" si="4"/>
        <v/>
      </c>
    </row>
    <row r="72" spans="1:6" x14ac:dyDescent="0.2">
      <c r="A72" s="19">
        <v>6</v>
      </c>
      <c r="B72" s="177" t="s">
        <v>5</v>
      </c>
      <c r="C72" s="178"/>
      <c r="D72" s="14">
        <f t="shared" si="5"/>
        <v>1536</v>
      </c>
      <c r="E72" s="17">
        <f>IF(F3="1",SUMIF(Data!A:A,'19'!$A$2,Data!ED:ED),0)</f>
        <v>2520</v>
      </c>
      <c r="F72" s="21">
        <f t="shared" si="4"/>
        <v>1.64</v>
      </c>
    </row>
    <row r="73" spans="1:6" x14ac:dyDescent="0.2">
      <c r="A73" s="19">
        <v>7</v>
      </c>
      <c r="B73" s="177" t="s">
        <v>6</v>
      </c>
      <c r="C73" s="178"/>
      <c r="D73" s="14">
        <f t="shared" si="5"/>
        <v>82849</v>
      </c>
      <c r="E73" s="17">
        <f>IF(F3="1",SUMIF(Data!A:A,'19'!$A$2,Data!EE:EE),0)</f>
        <v>303343</v>
      </c>
      <c r="F73" s="21">
        <f t="shared" si="4"/>
        <v>3.66</v>
      </c>
    </row>
    <row r="74" spans="1:6" x14ac:dyDescent="0.2">
      <c r="A74" s="19">
        <v>8</v>
      </c>
      <c r="B74" s="177" t="s">
        <v>7</v>
      </c>
      <c r="C74" s="178"/>
      <c r="D74" s="14">
        <f t="shared" si="5"/>
        <v>2244</v>
      </c>
      <c r="E74" s="17">
        <f>IF(F3="1",SUMIF(Data!A:A,'19'!$A$2,Data!EF:EF),0)</f>
        <v>0</v>
      </c>
      <c r="F74" s="21" t="str">
        <f t="shared" si="4"/>
        <v/>
      </c>
    </row>
    <row r="75" spans="1:6" x14ac:dyDescent="0.2">
      <c r="A75" s="19">
        <v>9</v>
      </c>
      <c r="B75" s="177" t="s">
        <v>8</v>
      </c>
      <c r="C75" s="178"/>
      <c r="D75" s="14">
        <f t="shared" si="5"/>
        <v>53683</v>
      </c>
      <c r="E75" s="17">
        <f>IF(F3="1",SUMIF(Data!A:A,'19'!$A$2,Data!EG:EG),0)</f>
        <v>126424</v>
      </c>
      <c r="F75" s="21">
        <f t="shared" si="4"/>
        <v>2.36</v>
      </c>
    </row>
    <row r="76" spans="1:6" x14ac:dyDescent="0.2">
      <c r="A76" s="19">
        <v>10</v>
      </c>
      <c r="B76" s="177" t="s">
        <v>9</v>
      </c>
      <c r="C76" s="178"/>
      <c r="D76" s="14">
        <f t="shared" si="5"/>
        <v>0</v>
      </c>
      <c r="E76" s="17">
        <f>IF(F3="1",SUMIF(Data!A:A,'19'!$A$2,Data!EH:EH),0)</f>
        <v>0</v>
      </c>
      <c r="F76" s="21" t="str">
        <f t="shared" si="4"/>
        <v/>
      </c>
    </row>
    <row r="77" spans="1:6" x14ac:dyDescent="0.2">
      <c r="A77" s="19">
        <v>11</v>
      </c>
      <c r="B77" s="177" t="s">
        <v>10</v>
      </c>
      <c r="C77" s="178"/>
      <c r="D77" s="14">
        <f t="shared" si="5"/>
        <v>61508</v>
      </c>
      <c r="E77" s="17">
        <f>IF(F3="1",SUMIF(Data!A:A,'19'!$A$2,Data!EI:EI),0)</f>
        <v>239907</v>
      </c>
      <c r="F77" s="21">
        <f t="shared" si="4"/>
        <v>3.9</v>
      </c>
    </row>
    <row r="78" spans="1:6" ht="14.25" customHeight="1" x14ac:dyDescent="0.2">
      <c r="A78" s="19">
        <v>12</v>
      </c>
      <c r="B78" s="177" t="s">
        <v>11</v>
      </c>
      <c r="C78" s="178"/>
      <c r="D78" s="14">
        <f t="shared" si="5"/>
        <v>229051</v>
      </c>
      <c r="E78" s="17">
        <f>IF(F3="1",SUMIF(Data!A:A,'19'!$A$2,Data!EJ:EJ),0)</f>
        <v>513563</v>
      </c>
      <c r="F78" s="21">
        <f t="shared" si="4"/>
        <v>2.2400000000000002</v>
      </c>
    </row>
    <row r="79" spans="1:6" x14ac:dyDescent="0.2">
      <c r="A79" s="19">
        <v>13</v>
      </c>
      <c r="B79" s="177" t="s">
        <v>12</v>
      </c>
      <c r="C79" s="178"/>
      <c r="D79" s="14">
        <f t="shared" si="5"/>
        <v>13760</v>
      </c>
      <c r="E79" s="17">
        <f>IF(F3="1",SUMIF(Data!A:A,'19'!$A$2,Data!EK:EK),0)</f>
        <v>40801</v>
      </c>
      <c r="F79" s="21">
        <f t="shared" si="4"/>
        <v>2.97</v>
      </c>
    </row>
    <row r="80" spans="1:6" ht="14.25" customHeight="1" x14ac:dyDescent="0.2">
      <c r="A80" s="19">
        <v>14</v>
      </c>
      <c r="B80" s="177" t="s">
        <v>464</v>
      </c>
      <c r="C80" s="178"/>
      <c r="D80" s="14">
        <f t="shared" si="5"/>
        <v>134148</v>
      </c>
      <c r="E80" s="17">
        <f>IF(F3="1",SUMIF(Data!A:A,'19'!$A$2,Data!EL:EL),0)</f>
        <v>788074</v>
      </c>
      <c r="F80" s="21">
        <f t="shared" si="4"/>
        <v>5.87</v>
      </c>
    </row>
    <row r="81" spans="1:6" x14ac:dyDescent="0.2">
      <c r="A81" s="19">
        <v>15</v>
      </c>
      <c r="B81" s="177" t="s">
        <v>13</v>
      </c>
      <c r="C81" s="178"/>
      <c r="D81" s="14">
        <f t="shared" si="5"/>
        <v>0</v>
      </c>
      <c r="E81" s="17">
        <f>IF(F3="1",SUMIF(Data!A:A,'19'!$A$2,Data!EM:EM),0)</f>
        <v>0</v>
      </c>
      <c r="F81" s="21" t="str">
        <f t="shared" si="4"/>
        <v/>
      </c>
    </row>
    <row r="82" spans="1:6" x14ac:dyDescent="0.2">
      <c r="A82" s="19">
        <v>16</v>
      </c>
      <c r="B82" s="177" t="s">
        <v>14</v>
      </c>
      <c r="C82" s="178"/>
      <c r="D82" s="14">
        <f t="shared" si="5"/>
        <v>69497</v>
      </c>
      <c r="E82" s="17">
        <f>IF(F3="1",SUMIF(Data!A:A,'19'!$A$2,Data!EN:EN),0)</f>
        <v>240122</v>
      </c>
      <c r="F82" s="21">
        <f t="shared" si="4"/>
        <v>3.46</v>
      </c>
    </row>
    <row r="83" spans="1:6" x14ac:dyDescent="0.2">
      <c r="A83" s="19">
        <v>17</v>
      </c>
      <c r="B83" s="177" t="s">
        <v>15</v>
      </c>
      <c r="C83" s="178"/>
      <c r="D83" s="14">
        <f t="shared" si="5"/>
        <v>0</v>
      </c>
      <c r="E83" s="17">
        <f>IF(F3="1",SUMIF(Data!A:A,'19'!$A$2,Data!EO:EO),0)</f>
        <v>0</v>
      </c>
      <c r="F83" s="21" t="str">
        <f t="shared" si="4"/>
        <v/>
      </c>
    </row>
    <row r="84" spans="1:6" x14ac:dyDescent="0.2">
      <c r="A84" s="19">
        <v>18</v>
      </c>
      <c r="B84" s="177" t="s">
        <v>16</v>
      </c>
      <c r="C84" s="178"/>
      <c r="D84" s="14">
        <f t="shared" si="5"/>
        <v>56848</v>
      </c>
      <c r="E84" s="17">
        <f>IF(F3="1",SUMIF(Data!A:A,'19'!$A$2,Data!EP:EP),0)</f>
        <v>139679</v>
      </c>
      <c r="F84" s="21">
        <f t="shared" si="4"/>
        <v>2.46</v>
      </c>
    </row>
    <row r="85" spans="1:6" x14ac:dyDescent="0.2">
      <c r="A85" s="19">
        <v>19</v>
      </c>
      <c r="B85" s="177" t="s">
        <v>17</v>
      </c>
      <c r="C85" s="178"/>
      <c r="D85" s="14">
        <f t="shared" si="5"/>
        <v>151264</v>
      </c>
      <c r="E85" s="17">
        <f>IF(F3="1",SUMIF(Data!A:A,'19'!$A$2,Data!EQ:EQ),0)</f>
        <v>299948</v>
      </c>
      <c r="F85" s="21">
        <f t="shared" si="4"/>
        <v>1.98</v>
      </c>
    </row>
    <row r="86" spans="1:6" x14ac:dyDescent="0.2">
      <c r="A86" s="19">
        <v>20</v>
      </c>
      <c r="B86" s="177" t="s">
        <v>18</v>
      </c>
      <c r="C86" s="178"/>
      <c r="D86" s="14">
        <f t="shared" si="5"/>
        <v>21432</v>
      </c>
      <c r="E86" s="17">
        <f>IF(F3="1",SUMIF(Data!A:A,'19'!$A$2,Data!ER:ER),0)</f>
        <v>60778</v>
      </c>
      <c r="F86" s="21">
        <f t="shared" si="4"/>
        <v>2.84</v>
      </c>
    </row>
    <row r="87" spans="1:6" ht="14.25" customHeight="1" x14ac:dyDescent="0.2">
      <c r="A87" s="19">
        <v>21</v>
      </c>
      <c r="B87" s="177" t="s">
        <v>461</v>
      </c>
      <c r="C87" s="178"/>
      <c r="D87" s="14">
        <f t="shared" si="5"/>
        <v>11648</v>
      </c>
      <c r="E87" s="17">
        <f>IF(F3="1",SUMIF(Data!A:A,'19'!$A$2,Data!ES:ES),0)</f>
        <v>0</v>
      </c>
      <c r="F87" s="21" t="str">
        <f t="shared" si="4"/>
        <v/>
      </c>
    </row>
    <row r="88" spans="1:6" x14ac:dyDescent="0.2">
      <c r="A88" s="19">
        <v>22</v>
      </c>
      <c r="B88" s="177" t="s">
        <v>19</v>
      </c>
      <c r="C88" s="178"/>
      <c r="D88" s="14">
        <f t="shared" si="5"/>
        <v>2368</v>
      </c>
      <c r="E88" s="17">
        <f>IF(F3="1",SUMIF(Data!A:A,'19'!$A$2,Data!ET:ET),0)</f>
        <v>1600</v>
      </c>
      <c r="F88" s="21">
        <f t="shared" si="4"/>
        <v>0.68</v>
      </c>
    </row>
    <row r="89" spans="1:6" x14ac:dyDescent="0.2">
      <c r="A89" s="19">
        <v>23</v>
      </c>
      <c r="B89" s="177" t="s">
        <v>20</v>
      </c>
      <c r="C89" s="178"/>
      <c r="D89" s="14">
        <f t="shared" si="5"/>
        <v>36528</v>
      </c>
      <c r="E89" s="17">
        <f>IF(F3="1",SUMIF(Data!A:A,'19'!$A$2,Data!EU:EU),0)</f>
        <v>164477</v>
      </c>
      <c r="F89" s="21">
        <f t="shared" si="4"/>
        <v>4.5</v>
      </c>
    </row>
    <row r="90" spans="1:6" x14ac:dyDescent="0.2">
      <c r="A90" s="19">
        <v>24</v>
      </c>
      <c r="B90" s="177" t="s">
        <v>21</v>
      </c>
      <c r="C90" s="178"/>
      <c r="D90" s="14">
        <f t="shared" si="5"/>
        <v>60607</v>
      </c>
      <c r="E90" s="17">
        <f>IF(F3="1",SUMIF(Data!A:A,'19'!$A$2,Data!EV:EV),0)</f>
        <v>190259</v>
      </c>
      <c r="F90" s="21">
        <f t="shared" si="4"/>
        <v>3.14</v>
      </c>
    </row>
    <row r="91" spans="1:6" x14ac:dyDescent="0.2">
      <c r="A91" s="19">
        <v>25</v>
      </c>
      <c r="B91" s="177" t="s">
        <v>22</v>
      </c>
      <c r="C91" s="178"/>
      <c r="D91" s="14">
        <f t="shared" si="5"/>
        <v>233248</v>
      </c>
      <c r="E91" s="17">
        <f>IF(F3="1",SUMIF(Data!A:A,'19'!$A$2,Data!EW:EW),0)</f>
        <v>545156</v>
      </c>
      <c r="F91" s="21">
        <f t="shared" si="4"/>
        <v>2.34</v>
      </c>
    </row>
    <row r="92" spans="1:6" x14ac:dyDescent="0.2">
      <c r="A92" s="19">
        <v>26</v>
      </c>
      <c r="B92" s="177" t="s">
        <v>23</v>
      </c>
      <c r="C92" s="178"/>
      <c r="D92" s="14">
        <f t="shared" si="5"/>
        <v>65584</v>
      </c>
      <c r="E92" s="17">
        <f>IF(F3="1",SUMIF(Data!A:A,'19'!$A$2,Data!EX:EX),0)</f>
        <v>216260</v>
      </c>
      <c r="F92" s="21">
        <f t="shared" si="4"/>
        <v>3.3</v>
      </c>
    </row>
    <row r="93" spans="1:6" x14ac:dyDescent="0.2">
      <c r="A93" s="19">
        <v>28</v>
      </c>
      <c r="B93" s="177" t="s">
        <v>24</v>
      </c>
      <c r="C93" s="178"/>
      <c r="D93" s="14">
        <f t="shared" si="5"/>
        <v>0</v>
      </c>
      <c r="E93" s="17">
        <f>IF(F3="1",SUMIF(Data!A:A,'19'!$A$2,Data!EZ:EZ),0)</f>
        <v>0</v>
      </c>
      <c r="F93" s="21" t="str">
        <f t="shared" si="4"/>
        <v/>
      </c>
    </row>
    <row r="94" spans="1:6" ht="15.75" customHeight="1" thickBot="1" x14ac:dyDescent="0.25">
      <c r="A94" s="22">
        <v>29</v>
      </c>
      <c r="B94" s="179" t="s">
        <v>25</v>
      </c>
      <c r="C94" s="180"/>
      <c r="D94" s="23">
        <f t="shared" si="5"/>
        <v>0</v>
      </c>
      <c r="E94" s="24">
        <f>IF(F3="1",SUMIF(Data!A:A,'19'!$A$2,Data!FA:FA),0)</f>
        <v>0</v>
      </c>
      <c r="F94" s="25" t="str">
        <f t="shared" si="4"/>
        <v/>
      </c>
    </row>
    <row r="95" spans="1:6" x14ac:dyDescent="0.2">
      <c r="B95" s="30" t="s">
        <v>35</v>
      </c>
      <c r="C95" s="30"/>
      <c r="D95" s="59">
        <f>SUM(D67:D94)</f>
        <v>1608078</v>
      </c>
      <c r="E95" s="31">
        <f>SUM(E67:E94)</f>
        <v>4736731</v>
      </c>
      <c r="F95" s="32">
        <f t="shared" si="4"/>
        <v>2.95</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IF(F3="1",SUMIF(Data!A:A,'19'!$A$2,Data!AH:AH),0)</f>
        <v>1607120</v>
      </c>
      <c r="F98" s="20">
        <f>IF(OR(E98=0,E98=0),"",ROUND(E98/$D$105,2))</f>
        <v>1</v>
      </c>
    </row>
    <row r="99" spans="2:6" x14ac:dyDescent="0.2">
      <c r="B99" s="183" t="s">
        <v>31</v>
      </c>
      <c r="C99" s="184"/>
      <c r="D99" s="36"/>
      <c r="E99" s="17">
        <f>IF(F3="1",SUMIF(Data!A:A,'19'!$A$2,Data!AI:AI),0)</f>
        <v>859556</v>
      </c>
      <c r="F99" s="21">
        <f t="shared" ref="F99:F104" si="6">IF(OR(E99=0,E99=0),"",ROUND(E99/$D$105,2))</f>
        <v>0.53</v>
      </c>
    </row>
    <row r="100" spans="2:6" x14ac:dyDescent="0.2">
      <c r="B100" s="183" t="s">
        <v>1078</v>
      </c>
      <c r="C100" s="184"/>
      <c r="D100" s="36"/>
      <c r="E100" s="17">
        <f>IF(F3="1",SUMIF(Data!A:A,'19'!$A$2,Data!AJ:AJ),0)</f>
        <v>280328</v>
      </c>
      <c r="F100" s="21">
        <f t="shared" si="6"/>
        <v>0.17</v>
      </c>
    </row>
    <row r="101" spans="2:6" x14ac:dyDescent="0.2">
      <c r="B101" s="183" t="s">
        <v>1079</v>
      </c>
      <c r="C101" s="184"/>
      <c r="D101" s="36"/>
      <c r="E101" s="17">
        <f>IF(F3="1",SUMIF(Data!A:A,'19'!$A$2,Data!AK:AK),0)</f>
        <v>357174</v>
      </c>
      <c r="F101" s="21">
        <f t="shared" si="6"/>
        <v>0.22</v>
      </c>
    </row>
    <row r="102" spans="2:6" x14ac:dyDescent="0.2">
      <c r="B102" s="183" t="s">
        <v>1080</v>
      </c>
      <c r="C102" s="184"/>
      <c r="D102" s="36"/>
      <c r="E102" s="17">
        <f>IF(F3="1",SUMIF(Data!A:A,'19'!$A$2,Data!AL:AL),0)</f>
        <v>42319</v>
      </c>
      <c r="F102" s="21">
        <f t="shared" si="6"/>
        <v>0.03</v>
      </c>
    </row>
    <row r="103" spans="2:6" x14ac:dyDescent="0.2">
      <c r="B103" s="185" t="s">
        <v>34</v>
      </c>
      <c r="C103" s="186"/>
      <c r="D103" s="36"/>
      <c r="E103" s="17">
        <f>IF(F3="1",SUMIF(Data!A:A,'19'!$A$2,Data!AM:AM),0)</f>
        <v>0</v>
      </c>
      <c r="F103" s="21" t="str">
        <f t="shared" si="6"/>
        <v/>
      </c>
    </row>
    <row r="104" spans="2:6" ht="15.75" customHeight="1" thickBot="1" x14ac:dyDescent="0.25">
      <c r="B104" s="175" t="s">
        <v>29</v>
      </c>
      <c r="C104" s="176"/>
      <c r="D104" s="37"/>
      <c r="E104" s="24">
        <f>IF(F3="1",SUMIF(Data!A:A,'19'!$A$2,Data!Q:Q),0)</f>
        <v>784133</v>
      </c>
      <c r="F104" s="25">
        <f t="shared" si="6"/>
        <v>0.49</v>
      </c>
    </row>
    <row r="105" spans="2:6" x14ac:dyDescent="0.2">
      <c r="B105" s="30" t="s">
        <v>35</v>
      </c>
      <c r="C105" s="30"/>
      <c r="D105" s="34">
        <f>D95</f>
        <v>1608078</v>
      </c>
      <c r="E105" s="31">
        <f>SUM(E98:E104)</f>
        <v>3930630</v>
      </c>
      <c r="F105" s="32">
        <f>IF($D$105=0,"",ROUND(E105/$D$105,2))</f>
        <v>2.44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4736731</v>
      </c>
      <c r="D109" s="15">
        <f>IF(F3="1",SUMIF(Data!$A:$A,$A$2,Data!HJ:HJ),0)</f>
        <v>0</v>
      </c>
      <c r="E109" s="15">
        <f>IF(F3="1",SUMIF(Data!$A:$A,$A$2,Data!IN:IN),0)</f>
        <v>0</v>
      </c>
      <c r="F109" s="47">
        <f>SUM(C109:E109)</f>
        <v>4736731</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42319</v>
      </c>
      <c r="F116" s="48">
        <f t="shared" si="7"/>
        <v>42319</v>
      </c>
    </row>
    <row r="117" spans="1:6" ht="15" thickBot="1" x14ac:dyDescent="0.25">
      <c r="B117" s="43" t="s">
        <v>933</v>
      </c>
      <c r="C117" s="52"/>
      <c r="D117" s="52">
        <f>IF(F3="1",SUMIF(Data!A:A,$A$2,Data!Q:Q),0)</f>
        <v>784133</v>
      </c>
      <c r="E117" s="52"/>
      <c r="F117" s="49">
        <f>SUM(C117:E117)</f>
        <v>784133</v>
      </c>
    </row>
    <row r="118" spans="1:6" x14ac:dyDescent="0.2">
      <c r="B118" s="13" t="s">
        <v>35</v>
      </c>
      <c r="C118" s="4">
        <f>SUM(C109:C116)</f>
        <v>4736731</v>
      </c>
      <c r="D118" s="4">
        <f>SUM(D109:D116)</f>
        <v>0</v>
      </c>
      <c r="E118" s="4">
        <f>SUM(E109:E116)</f>
        <v>42319</v>
      </c>
      <c r="F118" s="4">
        <f>SUM(F109:F116)</f>
        <v>4779050</v>
      </c>
    </row>
    <row r="119" spans="1:6" ht="15" thickBot="1" x14ac:dyDescent="0.25"/>
    <row r="120" spans="1:6" ht="15" thickBot="1" x14ac:dyDescent="0.25">
      <c r="B120" s="55" t="s">
        <v>934</v>
      </c>
      <c r="C120" s="53"/>
      <c r="D120" s="53"/>
      <c r="E120" s="53">
        <f>IF(F3="1",SUMIF(Data!A:A,'19'!$A$2,Data!AM:AM),0)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42578125" style="10" bestFit="1" customWidth="1"/>
    <col min="13" max="13" width="10.5703125" style="10" bestFit="1" customWidth="1"/>
    <col min="14"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372</v>
      </c>
      <c r="B2" s="58" t="str">
        <f>VLOOKUP(A2,Data!A:G,7,0)</f>
        <v>Hill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9551</v>
      </c>
      <c r="E5" s="15">
        <f>E36+E67+IFERROR($E$105/$D$105*D5,0)</f>
        <v>66859.173537512455</v>
      </c>
      <c r="F5" s="20">
        <f>IF(OR(D5=0,E5=0),"",ROUND(E5/D5,2))</f>
        <v>7</v>
      </c>
    </row>
    <row r="6" spans="1:6" x14ac:dyDescent="0.2">
      <c r="A6" s="19">
        <v>2</v>
      </c>
      <c r="B6" s="177" t="s">
        <v>1</v>
      </c>
      <c r="C6" s="178"/>
      <c r="D6" s="14">
        <f t="shared" ref="D6:D32" si="0">D37</f>
        <v>41612</v>
      </c>
      <c r="E6" s="17">
        <f t="shared" ref="E6:E32" si="1">E37+E68+IFERROR($E$105/$D$105*D6,0)</f>
        <v>295522.15487833403</v>
      </c>
      <c r="F6" s="21">
        <f t="shared" ref="F6:F33" si="2">IF(OR(D6=0,E6=0),"",ROUND(E6/D6,2))</f>
        <v>7.1</v>
      </c>
    </row>
    <row r="7" spans="1:6" ht="14.25" customHeight="1" x14ac:dyDescent="0.2">
      <c r="A7" s="19">
        <v>3</v>
      </c>
      <c r="B7" s="177" t="s">
        <v>2</v>
      </c>
      <c r="C7" s="178"/>
      <c r="D7" s="14">
        <f t="shared" si="0"/>
        <v>78864</v>
      </c>
      <c r="E7" s="17">
        <f t="shared" si="1"/>
        <v>393466.67572635133</v>
      </c>
      <c r="F7" s="21">
        <f t="shared" si="2"/>
        <v>4.99</v>
      </c>
    </row>
    <row r="8" spans="1:6" ht="14.25" customHeight="1" x14ac:dyDescent="0.2">
      <c r="A8" s="19">
        <v>4</v>
      </c>
      <c r="B8" s="177" t="s">
        <v>3</v>
      </c>
      <c r="C8" s="178"/>
      <c r="D8" s="14">
        <f t="shared" si="0"/>
        <v>107458</v>
      </c>
      <c r="E8" s="17">
        <f t="shared" si="1"/>
        <v>322312.80954811146</v>
      </c>
      <c r="F8" s="21">
        <f t="shared" si="2"/>
        <v>3</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0</v>
      </c>
      <c r="E10" s="17">
        <f t="shared" si="1"/>
        <v>0</v>
      </c>
      <c r="F10" s="21" t="str">
        <f t="shared" si="2"/>
        <v/>
      </c>
    </row>
    <row r="11" spans="1:6" x14ac:dyDescent="0.2">
      <c r="A11" s="19">
        <v>7</v>
      </c>
      <c r="B11" s="177" t="s">
        <v>6</v>
      </c>
      <c r="C11" s="178"/>
      <c r="D11" s="14">
        <f t="shared" si="0"/>
        <v>102472</v>
      </c>
      <c r="E11" s="17">
        <f t="shared" si="1"/>
        <v>619686.37668683659</v>
      </c>
      <c r="F11" s="21">
        <f t="shared" si="2"/>
        <v>6.05</v>
      </c>
    </row>
    <row r="12" spans="1:6" x14ac:dyDescent="0.2">
      <c r="A12" s="19">
        <v>8</v>
      </c>
      <c r="B12" s="177" t="s">
        <v>7</v>
      </c>
      <c r="C12" s="178"/>
      <c r="D12" s="14">
        <f t="shared" si="0"/>
        <v>192</v>
      </c>
      <c r="E12" s="17">
        <f t="shared" si="1"/>
        <v>1118.6315903258705</v>
      </c>
      <c r="F12" s="21">
        <f t="shared" si="2"/>
        <v>5.83</v>
      </c>
    </row>
    <row r="13" spans="1:6" x14ac:dyDescent="0.2">
      <c r="A13" s="19">
        <v>9</v>
      </c>
      <c r="B13" s="177" t="s">
        <v>8</v>
      </c>
      <c r="C13" s="178"/>
      <c r="D13" s="14">
        <f t="shared" si="0"/>
        <v>102008</v>
      </c>
      <c r="E13" s="17">
        <f t="shared" si="1"/>
        <v>442911.26701021567</v>
      </c>
      <c r="F13" s="21">
        <f t="shared" si="2"/>
        <v>4.34</v>
      </c>
    </row>
    <row r="14" spans="1:6" x14ac:dyDescent="0.2">
      <c r="A14" s="19">
        <v>10</v>
      </c>
      <c r="B14" s="177" t="s">
        <v>9</v>
      </c>
      <c r="C14" s="178"/>
      <c r="D14" s="14">
        <f t="shared" si="0"/>
        <v>192</v>
      </c>
      <c r="E14" s="17">
        <f t="shared" si="1"/>
        <v>1100.6315903258705</v>
      </c>
      <c r="F14" s="21">
        <f t="shared" si="2"/>
        <v>5.73</v>
      </c>
    </row>
    <row r="15" spans="1:6" x14ac:dyDescent="0.2">
      <c r="A15" s="19">
        <v>11</v>
      </c>
      <c r="B15" s="177" t="s">
        <v>10</v>
      </c>
      <c r="C15" s="178"/>
      <c r="D15" s="14">
        <f t="shared" si="0"/>
        <v>28746</v>
      </c>
      <c r="E15" s="17">
        <f t="shared" si="1"/>
        <v>155601.84216410143</v>
      </c>
      <c r="F15" s="21">
        <f t="shared" si="2"/>
        <v>5.41</v>
      </c>
    </row>
    <row r="16" spans="1:6" ht="14.25" customHeight="1" x14ac:dyDescent="0.2">
      <c r="A16" s="19">
        <v>12</v>
      </c>
      <c r="B16" s="177" t="s">
        <v>11</v>
      </c>
      <c r="C16" s="178"/>
      <c r="D16" s="14">
        <f t="shared" si="0"/>
        <v>172032</v>
      </c>
      <c r="E16" s="17">
        <f t="shared" si="1"/>
        <v>794775.90493198007</v>
      </c>
      <c r="F16" s="21">
        <f t="shared" si="2"/>
        <v>4.62</v>
      </c>
    </row>
    <row r="17" spans="1:6" x14ac:dyDescent="0.2">
      <c r="A17" s="19">
        <v>13</v>
      </c>
      <c r="B17" s="177" t="s">
        <v>12</v>
      </c>
      <c r="C17" s="178"/>
      <c r="D17" s="14">
        <f t="shared" si="0"/>
        <v>24528</v>
      </c>
      <c r="E17" s="17">
        <f t="shared" si="1"/>
        <v>112204.93566412997</v>
      </c>
      <c r="F17" s="21">
        <f t="shared" si="2"/>
        <v>4.57</v>
      </c>
    </row>
    <row r="18" spans="1:6" ht="14.25" customHeight="1" x14ac:dyDescent="0.2">
      <c r="A18" s="19">
        <v>14</v>
      </c>
      <c r="B18" s="177" t="s">
        <v>464</v>
      </c>
      <c r="C18" s="178"/>
      <c r="D18" s="14">
        <f t="shared" si="0"/>
        <v>0</v>
      </c>
      <c r="E18" s="17">
        <f t="shared" si="1"/>
        <v>0</v>
      </c>
      <c r="F18" s="21" t="str">
        <f t="shared" si="2"/>
        <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33080</v>
      </c>
      <c r="E20" s="17">
        <f t="shared" si="1"/>
        <v>121772.52608322812</v>
      </c>
      <c r="F20" s="21">
        <f t="shared" si="2"/>
        <v>3.68</v>
      </c>
    </row>
    <row r="21" spans="1:6" x14ac:dyDescent="0.2">
      <c r="A21" s="19">
        <v>17</v>
      </c>
      <c r="B21" s="177" t="s">
        <v>15</v>
      </c>
      <c r="C21" s="178"/>
      <c r="D21" s="14">
        <f t="shared" si="0"/>
        <v>0</v>
      </c>
      <c r="E21" s="17">
        <f t="shared" si="1"/>
        <v>0</v>
      </c>
      <c r="F21" s="21" t="str">
        <f t="shared" si="2"/>
        <v/>
      </c>
    </row>
    <row r="22" spans="1:6" x14ac:dyDescent="0.2">
      <c r="A22" s="19">
        <v>18</v>
      </c>
      <c r="B22" s="177" t="s">
        <v>16</v>
      </c>
      <c r="C22" s="178"/>
      <c r="D22" s="14">
        <f t="shared" si="0"/>
        <v>81592</v>
      </c>
      <c r="E22" s="17">
        <f t="shared" si="1"/>
        <v>597063.44123889809</v>
      </c>
      <c r="F22" s="21">
        <f t="shared" si="2"/>
        <v>7.32</v>
      </c>
    </row>
    <row r="23" spans="1:6" x14ac:dyDescent="0.2">
      <c r="A23" s="19">
        <v>19</v>
      </c>
      <c r="B23" s="177" t="s">
        <v>17</v>
      </c>
      <c r="C23" s="178"/>
      <c r="D23" s="14">
        <f t="shared" si="0"/>
        <v>119024</v>
      </c>
      <c r="E23" s="17">
        <f t="shared" si="1"/>
        <v>518017.61670284596</v>
      </c>
      <c r="F23" s="21">
        <f t="shared" si="2"/>
        <v>4.3499999999999996</v>
      </c>
    </row>
    <row r="24" spans="1:6" x14ac:dyDescent="0.2">
      <c r="A24" s="19">
        <v>20</v>
      </c>
      <c r="B24" s="177" t="s">
        <v>18</v>
      </c>
      <c r="C24" s="178"/>
      <c r="D24" s="14">
        <f t="shared" si="0"/>
        <v>53844</v>
      </c>
      <c r="E24" s="17">
        <f t="shared" si="1"/>
        <v>352228.68411201134</v>
      </c>
      <c r="F24" s="21">
        <f t="shared" si="2"/>
        <v>6.54</v>
      </c>
    </row>
    <row r="25" spans="1:6" ht="14.25" customHeight="1" x14ac:dyDescent="0.2">
      <c r="A25" s="19">
        <v>21</v>
      </c>
      <c r="B25" s="177" t="s">
        <v>461</v>
      </c>
      <c r="C25" s="178"/>
      <c r="D25" s="14">
        <f t="shared" si="0"/>
        <v>0</v>
      </c>
      <c r="E25" s="17">
        <f t="shared" si="1"/>
        <v>0</v>
      </c>
      <c r="F25" s="21" t="str">
        <f t="shared" si="2"/>
        <v/>
      </c>
    </row>
    <row r="26" spans="1:6" x14ac:dyDescent="0.2">
      <c r="A26" s="19">
        <v>22</v>
      </c>
      <c r="B26" s="177" t="s">
        <v>19</v>
      </c>
      <c r="C26" s="178"/>
      <c r="D26" s="14">
        <f t="shared" si="0"/>
        <v>656</v>
      </c>
      <c r="E26" s="17">
        <f t="shared" si="1"/>
        <v>32246.741266946723</v>
      </c>
      <c r="F26" s="21">
        <f t="shared" si="2"/>
        <v>49.16</v>
      </c>
    </row>
    <row r="27" spans="1:6" x14ac:dyDescent="0.2">
      <c r="A27" s="19">
        <v>23</v>
      </c>
      <c r="B27" s="177" t="s">
        <v>20</v>
      </c>
      <c r="C27" s="178"/>
      <c r="D27" s="14">
        <f t="shared" si="0"/>
        <v>43296</v>
      </c>
      <c r="E27" s="17">
        <f t="shared" si="1"/>
        <v>334377.92361848382</v>
      </c>
      <c r="F27" s="21">
        <f t="shared" si="2"/>
        <v>7.72</v>
      </c>
    </row>
    <row r="28" spans="1:6" x14ac:dyDescent="0.2">
      <c r="A28" s="19">
        <v>24</v>
      </c>
      <c r="B28" s="177" t="s">
        <v>21</v>
      </c>
      <c r="C28" s="178"/>
      <c r="D28" s="14">
        <f t="shared" si="0"/>
        <v>53568</v>
      </c>
      <c r="E28" s="17">
        <f t="shared" si="1"/>
        <v>281573.2137009179</v>
      </c>
      <c r="F28" s="21">
        <f t="shared" si="2"/>
        <v>5.26</v>
      </c>
    </row>
    <row r="29" spans="1:6" x14ac:dyDescent="0.2">
      <c r="A29" s="19">
        <v>25</v>
      </c>
      <c r="B29" s="177" t="s">
        <v>22</v>
      </c>
      <c r="C29" s="178"/>
      <c r="D29" s="14">
        <f t="shared" si="0"/>
        <v>120336</v>
      </c>
      <c r="E29" s="17">
        <f t="shared" si="1"/>
        <v>639586.09923673933</v>
      </c>
      <c r="F29" s="21">
        <f t="shared" si="2"/>
        <v>5.32</v>
      </c>
    </row>
    <row r="30" spans="1:6" x14ac:dyDescent="0.2">
      <c r="A30" s="19">
        <v>26</v>
      </c>
      <c r="B30" s="177" t="s">
        <v>23</v>
      </c>
      <c r="C30" s="178"/>
      <c r="D30" s="14">
        <f t="shared" si="0"/>
        <v>71216</v>
      </c>
      <c r="E30" s="17">
        <f t="shared" si="1"/>
        <v>398960.35071170417</v>
      </c>
      <c r="F30" s="21">
        <f t="shared" si="2"/>
        <v>5.6</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1244267</v>
      </c>
      <c r="E33" s="31">
        <f>SUM(E5:E32)</f>
        <v>6481386.9999999991</v>
      </c>
      <c r="F33" s="32">
        <f t="shared" si="2"/>
        <v>5.21</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IF(F3="1",SUMIF(Data!A:A,'20'!$A$2,Data!CU:CU),0)</f>
        <v>9551</v>
      </c>
      <c r="E36" s="15">
        <f>IF(F3="1",SUMIF(Data!$A:$A,$A$2,Data!IO:IO),0)</f>
        <v>8288</v>
      </c>
      <c r="F36" s="20">
        <f t="shared" ref="F36:F64" si="3">IF(OR(D36=0,E36=0),"",ROUND(E36/D36,2))</f>
        <v>0.87</v>
      </c>
    </row>
    <row r="37" spans="1:6" x14ac:dyDescent="0.2">
      <c r="A37" s="19">
        <v>2</v>
      </c>
      <c r="B37" s="177" t="s">
        <v>1</v>
      </c>
      <c r="C37" s="178"/>
      <c r="D37" s="14">
        <f>IF(F3="1",SUMIF(Data!A:A,'20'!$A$2,Data!CV:CV),0)</f>
        <v>41612</v>
      </c>
      <c r="E37" s="17">
        <f>IF(F3="1",SUMIF(Data!$A:$A,$A$2,Data!IP:IP),0)</f>
        <v>38045</v>
      </c>
      <c r="F37" s="21">
        <f t="shared" si="3"/>
        <v>0.91</v>
      </c>
    </row>
    <row r="38" spans="1:6" ht="14.25" customHeight="1" x14ac:dyDescent="0.2">
      <c r="A38" s="19">
        <v>3</v>
      </c>
      <c r="B38" s="177" t="s">
        <v>2</v>
      </c>
      <c r="C38" s="178"/>
      <c r="D38" s="14">
        <f>IF(F3="1",SUMIF(Data!A:A,'20'!$A$2,Data!CW:CW),0)</f>
        <v>78864</v>
      </c>
      <c r="E38" s="17">
        <f>IF($F$3="1",SUMIF(Data!$A:$A,$A$2,Data!IQ:IQ),0)</f>
        <v>20981</v>
      </c>
      <c r="F38" s="21">
        <f t="shared" si="3"/>
        <v>0.27</v>
      </c>
    </row>
    <row r="39" spans="1:6" ht="14.25" customHeight="1" x14ac:dyDescent="0.2">
      <c r="A39" s="19">
        <v>4</v>
      </c>
      <c r="B39" s="177" t="s">
        <v>3</v>
      </c>
      <c r="C39" s="178"/>
      <c r="D39" s="14">
        <f>IF(F3="1",SUMIF(Data!A:A,'20'!$A$2,Data!CX:CX),0)</f>
        <v>107458</v>
      </c>
      <c r="E39" s="17">
        <f>IF($F$3="1",SUMIF(Data!$A:$A,$A$2,Data!IR:IR),0)</f>
        <v>5399</v>
      </c>
      <c r="F39" s="21">
        <f t="shared" si="3"/>
        <v>0.05</v>
      </c>
    </row>
    <row r="40" spans="1:6" x14ac:dyDescent="0.2">
      <c r="A40" s="19">
        <v>5</v>
      </c>
      <c r="B40" s="177" t="s">
        <v>4</v>
      </c>
      <c r="C40" s="178"/>
      <c r="D40" s="14">
        <f>IF(F3="1",SUMIF(Data!A:A,'20'!$A$2,Data!CY:CY),0)</f>
        <v>0</v>
      </c>
      <c r="E40" s="17">
        <f>IF($F$3="1",SUMIF(Data!$A:$A,$A$2,Data!IS:IS),0)</f>
        <v>0</v>
      </c>
      <c r="F40" s="21" t="str">
        <f t="shared" si="3"/>
        <v/>
      </c>
    </row>
    <row r="41" spans="1:6" x14ac:dyDescent="0.2">
      <c r="A41" s="19">
        <v>6</v>
      </c>
      <c r="B41" s="177" t="s">
        <v>5</v>
      </c>
      <c r="C41" s="178"/>
      <c r="D41" s="14">
        <f>IF(F3="1",SUMIF(Data!A:A,'20'!$A$2,Data!CZ:CZ),0)</f>
        <v>0</v>
      </c>
      <c r="E41" s="17">
        <f>IF($F$3="1",SUMIF(Data!$A:$A,$A$2,Data!IT:IT),0)</f>
        <v>0</v>
      </c>
      <c r="F41" s="21" t="str">
        <f t="shared" si="3"/>
        <v/>
      </c>
    </row>
    <row r="42" spans="1:6" x14ac:dyDescent="0.2">
      <c r="A42" s="19">
        <v>7</v>
      </c>
      <c r="B42" s="177" t="s">
        <v>6</v>
      </c>
      <c r="C42" s="178"/>
      <c r="D42" s="14">
        <f>IF(F3="1",SUMIF(Data!A:A,'20'!$A$2,Data!DA:DA),0)</f>
        <v>102472</v>
      </c>
      <c r="E42" s="17">
        <f>IF($F$3="1",SUMIF(Data!$A:$A,$A$2,Data!IU:IU),0)</f>
        <v>53029</v>
      </c>
      <c r="F42" s="21">
        <f t="shared" si="3"/>
        <v>0.52</v>
      </c>
    </row>
    <row r="43" spans="1:6" x14ac:dyDescent="0.2">
      <c r="A43" s="19">
        <v>8</v>
      </c>
      <c r="B43" s="177" t="s">
        <v>7</v>
      </c>
      <c r="C43" s="178"/>
      <c r="D43" s="14">
        <f>IF(F3="1",SUMIF(Data!A:A,'20'!$A$2,Data!DB:DB),0)</f>
        <v>192</v>
      </c>
      <c r="E43" s="17">
        <f>IF($F$3="1",SUMIF(Data!$A:$A,$A$2,Data!IV:IV),0)</f>
        <v>39</v>
      </c>
      <c r="F43" s="21">
        <f t="shared" si="3"/>
        <v>0.2</v>
      </c>
    </row>
    <row r="44" spans="1:6" x14ac:dyDescent="0.2">
      <c r="A44" s="19">
        <v>9</v>
      </c>
      <c r="B44" s="177" t="s">
        <v>8</v>
      </c>
      <c r="C44" s="178"/>
      <c r="D44" s="14">
        <f>IF(F3="1",SUMIF(Data!A:A,'20'!$A$2,Data!DC:DC),0)</f>
        <v>102008</v>
      </c>
      <c r="E44" s="17">
        <f>IF($F$3="1",SUMIF(Data!$A:$A,$A$2,Data!IW:IW),0)</f>
        <v>15934</v>
      </c>
      <c r="F44" s="21">
        <f t="shared" si="3"/>
        <v>0.16</v>
      </c>
    </row>
    <row r="45" spans="1:6" x14ac:dyDescent="0.2">
      <c r="A45" s="19">
        <v>10</v>
      </c>
      <c r="B45" s="177" t="s">
        <v>9</v>
      </c>
      <c r="C45" s="178"/>
      <c r="D45" s="14">
        <f>IF(F3="1",SUMIF(Data!A:A,'20'!$A$2,Data!DD:DD),0)</f>
        <v>192</v>
      </c>
      <c r="E45" s="17">
        <f>IF($F$3="1",SUMIF(Data!$A:$A,$A$2,Data!IX:IX),0)</f>
        <v>21</v>
      </c>
      <c r="F45" s="21">
        <f t="shared" si="3"/>
        <v>0.11</v>
      </c>
    </row>
    <row r="46" spans="1:6" x14ac:dyDescent="0.2">
      <c r="A46" s="19">
        <v>11</v>
      </c>
      <c r="B46" s="177" t="s">
        <v>10</v>
      </c>
      <c r="C46" s="178"/>
      <c r="D46" s="14">
        <f>IF(F3="1",SUMIF(Data!A:A,'20'!$A$2,Data!DE:DE),0)</f>
        <v>28746</v>
      </c>
      <c r="E46" s="17">
        <f>IF($F$3="1",SUMIF(Data!$A:$A,$A$2,Data!IY:IY),0)</f>
        <v>5922</v>
      </c>
      <c r="F46" s="21">
        <f t="shared" si="3"/>
        <v>0.21</v>
      </c>
    </row>
    <row r="47" spans="1:6" ht="14.25" customHeight="1" x14ac:dyDescent="0.2">
      <c r="A47" s="19">
        <v>12</v>
      </c>
      <c r="B47" s="177" t="s">
        <v>11</v>
      </c>
      <c r="C47" s="178"/>
      <c r="D47" s="14">
        <f>IF(F3="1",SUMIF(Data!A:A,'20'!$A$2,Data!DF:DF),0)</f>
        <v>172032</v>
      </c>
      <c r="E47" s="17">
        <f>IF($F$3="1",SUMIF(Data!$A:$A,$A$2,Data!IZ:IZ),0)</f>
        <v>26409</v>
      </c>
      <c r="F47" s="21">
        <f t="shared" si="3"/>
        <v>0.15</v>
      </c>
    </row>
    <row r="48" spans="1:6" x14ac:dyDescent="0.2">
      <c r="A48" s="19">
        <v>13</v>
      </c>
      <c r="B48" s="177" t="s">
        <v>12</v>
      </c>
      <c r="C48" s="178"/>
      <c r="D48" s="14">
        <f>IF(F3="1",SUMIF(Data!A:A,'20'!$A$2,Data!DG:DG),0)</f>
        <v>24528</v>
      </c>
      <c r="E48" s="17">
        <f>IF($F$3="1",SUMIF(Data!$A:$A,$A$2,Data!JA:JA),0)</f>
        <v>2033</v>
      </c>
      <c r="F48" s="21">
        <f t="shared" si="3"/>
        <v>0.08</v>
      </c>
    </row>
    <row r="49" spans="1:6" ht="14.25" customHeight="1" x14ac:dyDescent="0.2">
      <c r="A49" s="19">
        <v>14</v>
      </c>
      <c r="B49" s="177" t="s">
        <v>464</v>
      </c>
      <c r="C49" s="178"/>
      <c r="D49" s="14">
        <f>IF(F3="1",SUMIF(Data!A:A,'20'!$A$2,Data!DH:DH),0)</f>
        <v>0</v>
      </c>
      <c r="E49" s="17">
        <f>IF($F$3="1",SUMIF(Data!$A:$A,$A$2,Data!JB:JB),0)</f>
        <v>0</v>
      </c>
      <c r="F49" s="21" t="str">
        <f t="shared" si="3"/>
        <v/>
      </c>
    </row>
    <row r="50" spans="1:6" x14ac:dyDescent="0.2">
      <c r="A50" s="19">
        <v>15</v>
      </c>
      <c r="B50" s="177" t="s">
        <v>13</v>
      </c>
      <c r="C50" s="178"/>
      <c r="D50" s="14">
        <f>IF(F3="1",SUMIF(Data!A:A,'20'!$A$2,Data!DI:DI),0)</f>
        <v>0</v>
      </c>
      <c r="E50" s="17">
        <f>IF($F$3="1",SUMIF(Data!$A:$A,$A$2,Data!JC:JC),0)</f>
        <v>0</v>
      </c>
      <c r="F50" s="21" t="str">
        <f t="shared" si="3"/>
        <v/>
      </c>
    </row>
    <row r="51" spans="1:6" x14ac:dyDescent="0.2">
      <c r="A51" s="19">
        <v>16</v>
      </c>
      <c r="B51" s="177" t="s">
        <v>14</v>
      </c>
      <c r="C51" s="178"/>
      <c r="D51" s="14">
        <f>IF(F3="1",SUMIF(Data!A:A,'20'!$A$2,Data!DJ:DJ),0)</f>
        <v>33080</v>
      </c>
      <c r="E51" s="17">
        <f>IF($F$3="1",SUMIF(Data!$A:$A,$A$2,Data!JD:JD),0)</f>
        <v>9830</v>
      </c>
      <c r="F51" s="21">
        <f t="shared" si="3"/>
        <v>0.3</v>
      </c>
    </row>
    <row r="52" spans="1:6" x14ac:dyDescent="0.2">
      <c r="A52" s="19">
        <v>17</v>
      </c>
      <c r="B52" s="177" t="s">
        <v>15</v>
      </c>
      <c r="C52" s="178"/>
      <c r="D52" s="14">
        <f>IF(F3="1",SUMIF(Data!A:A,'20'!$A$2,Data!DK:DK),0)</f>
        <v>0</v>
      </c>
      <c r="E52" s="17">
        <f>IF($F$3="1",SUMIF(Data!$A:$A,$A$2,Data!JE:JE),0)</f>
        <v>0</v>
      </c>
      <c r="F52" s="21" t="str">
        <f t="shared" si="3"/>
        <v/>
      </c>
    </row>
    <row r="53" spans="1:6" x14ac:dyDescent="0.2">
      <c r="A53" s="19">
        <v>18</v>
      </c>
      <c r="B53" s="177" t="s">
        <v>16</v>
      </c>
      <c r="C53" s="178"/>
      <c r="D53" s="14">
        <f>IF(F3="1",SUMIF(Data!A:A,'20'!$A$2,Data!DL:DL),0)</f>
        <v>81592</v>
      </c>
      <c r="E53" s="17">
        <f>IF($F$3="1",SUMIF(Data!$A:$A,$A$2,Data!JF:JF),0)</f>
        <v>34009</v>
      </c>
      <c r="F53" s="21">
        <f t="shared" si="3"/>
        <v>0.42</v>
      </c>
    </row>
    <row r="54" spans="1:6" x14ac:dyDescent="0.2">
      <c r="A54" s="19">
        <v>19</v>
      </c>
      <c r="B54" s="177" t="s">
        <v>17</v>
      </c>
      <c r="C54" s="178"/>
      <c r="D54" s="14">
        <f>IF(F3="1",SUMIF(Data!A:A,'20'!$A$2,Data!DM:DM),0)</f>
        <v>119024</v>
      </c>
      <c r="E54" s="17">
        <f>IF($F$3="1",SUMIF(Data!$A:$A,$A$2,Data!JG:JG),0)</f>
        <v>9161</v>
      </c>
      <c r="F54" s="21">
        <f t="shared" si="3"/>
        <v>0.08</v>
      </c>
    </row>
    <row r="55" spans="1:6" x14ac:dyDescent="0.2">
      <c r="A55" s="19">
        <v>20</v>
      </c>
      <c r="B55" s="177" t="s">
        <v>18</v>
      </c>
      <c r="C55" s="178"/>
      <c r="D55" s="14">
        <f>IF(F3="1",SUMIF(Data!A:A,'20'!$A$2,Data!DN:DN),0)</f>
        <v>53844</v>
      </c>
      <c r="E55" s="17">
        <f>IF($F$3="1",SUMIF(Data!$A:$A,$A$2,Data!JH:JH),0)</f>
        <v>34071</v>
      </c>
      <c r="F55" s="21">
        <f t="shared" si="3"/>
        <v>0.63</v>
      </c>
    </row>
    <row r="56" spans="1:6" ht="14.25" customHeight="1" x14ac:dyDescent="0.2">
      <c r="A56" s="19">
        <v>21</v>
      </c>
      <c r="B56" s="177" t="s">
        <v>461</v>
      </c>
      <c r="C56" s="178"/>
      <c r="D56" s="14">
        <f>IF(F3="1",SUMIF(Data!A:A,'20'!$A$2,Data!DO:DO),0)</f>
        <v>0</v>
      </c>
      <c r="E56" s="17">
        <f>IF($F$3="1",SUMIF(Data!$A:$A,$A$2,Data!JI:JI),0)</f>
        <v>0</v>
      </c>
      <c r="F56" s="21" t="str">
        <f t="shared" si="3"/>
        <v/>
      </c>
    </row>
    <row r="57" spans="1:6" x14ac:dyDescent="0.2">
      <c r="A57" s="19">
        <v>22</v>
      </c>
      <c r="B57" s="177" t="s">
        <v>19</v>
      </c>
      <c r="C57" s="178"/>
      <c r="D57" s="14">
        <f>IF(F3="1",SUMIF(Data!A:A,'20'!$A$2,Data!DP:DP),0)</f>
        <v>656</v>
      </c>
      <c r="E57" s="17">
        <f>IF($F$3="1",SUMIF(Data!$A:$A,$A$2,Data!JJ:JJ),0)</f>
        <v>2554</v>
      </c>
      <c r="F57" s="21">
        <f t="shared" si="3"/>
        <v>3.89</v>
      </c>
    </row>
    <row r="58" spans="1:6" x14ac:dyDescent="0.2">
      <c r="A58" s="19">
        <v>23</v>
      </c>
      <c r="B58" s="177" t="s">
        <v>20</v>
      </c>
      <c r="C58" s="178"/>
      <c r="D58" s="14">
        <f>IF(F3="1",SUMIF(Data!A:A,'20'!$A$2,Data!DQ:DQ),0)</f>
        <v>43296</v>
      </c>
      <c r="E58" s="17">
        <f>IF($F$3="1",SUMIF(Data!$A:$A,$A$2,Data!JK:JK),0)</f>
        <v>6807</v>
      </c>
      <c r="F58" s="21">
        <f t="shared" si="3"/>
        <v>0.16</v>
      </c>
    </row>
    <row r="59" spans="1:6" x14ac:dyDescent="0.2">
      <c r="A59" s="19">
        <v>24</v>
      </c>
      <c r="B59" s="177" t="s">
        <v>21</v>
      </c>
      <c r="C59" s="178"/>
      <c r="D59" s="14">
        <f>IF(F3="1",SUMIF(Data!A:A,'20'!$A$2,Data!DR:DR),0)</f>
        <v>53568</v>
      </c>
      <c r="E59" s="17">
        <f>IF($F$3="1",SUMIF(Data!$A:$A,$A$2,Data!JL:JL),0)</f>
        <v>39384</v>
      </c>
      <c r="F59" s="21">
        <f t="shared" si="3"/>
        <v>0.74</v>
      </c>
    </row>
    <row r="60" spans="1:6" x14ac:dyDescent="0.2">
      <c r="A60" s="19">
        <v>25</v>
      </c>
      <c r="B60" s="177" t="s">
        <v>22</v>
      </c>
      <c r="C60" s="178"/>
      <c r="D60" s="14">
        <f>IF(F3="1",SUMIF(Data!A:A,'20'!$A$2,Data!DS:DS),0)</f>
        <v>120336</v>
      </c>
      <c r="E60" s="17">
        <f>IF($F$3="1",SUMIF(Data!$A:$A,$A$2,Data!JM:JM),0)</f>
        <v>25133</v>
      </c>
      <c r="F60" s="21">
        <f t="shared" si="3"/>
        <v>0.21</v>
      </c>
    </row>
    <row r="61" spans="1:6" x14ac:dyDescent="0.2">
      <c r="A61" s="19">
        <v>26</v>
      </c>
      <c r="B61" s="177" t="s">
        <v>23</v>
      </c>
      <c r="C61" s="178"/>
      <c r="D61" s="14">
        <f>IF(F3="1",SUMIF(Data!A:A,'20'!$A$2,Data!DT:DT),0)</f>
        <v>71216</v>
      </c>
      <c r="E61" s="17">
        <f>IF($F$3="1",SUMIF(Data!$A:$A,$A$2,Data!JN:JN),0)</f>
        <v>41828</v>
      </c>
      <c r="F61" s="21">
        <f t="shared" si="3"/>
        <v>0.59</v>
      </c>
    </row>
    <row r="62" spans="1:6" x14ac:dyDescent="0.2">
      <c r="A62" s="19">
        <v>28</v>
      </c>
      <c r="B62" s="177" t="s">
        <v>24</v>
      </c>
      <c r="C62" s="178"/>
      <c r="D62" s="14">
        <f>IF(F3="1",SUMIF(Data!A:A,'20'!$A$2,Data!DV:DV),0)</f>
        <v>0</v>
      </c>
      <c r="E62" s="17">
        <f>IF($F$3="1",SUMIF(Data!$A:$A,$A$2,Data!JP:JP),0)</f>
        <v>0</v>
      </c>
      <c r="F62" s="21" t="str">
        <f t="shared" si="3"/>
        <v/>
      </c>
    </row>
    <row r="63" spans="1:6" ht="15.75" customHeight="1" thickBot="1" x14ac:dyDescent="0.25">
      <c r="A63" s="22">
        <v>29</v>
      </c>
      <c r="B63" s="179" t="s">
        <v>25</v>
      </c>
      <c r="C63" s="180"/>
      <c r="D63" s="23">
        <f>IF(F3="1",SUMIF(Data!A:A,'20'!$A$2,Data!DW:DW),0)</f>
        <v>0</v>
      </c>
      <c r="E63" s="24">
        <f>IF($F$3="1",SUMIF(Data!$A:$A,$A$2,Data!JQ:JQ),0)</f>
        <v>0</v>
      </c>
      <c r="F63" s="25" t="str">
        <f t="shared" si="3"/>
        <v/>
      </c>
    </row>
    <row r="64" spans="1:6" x14ac:dyDescent="0.2">
      <c r="B64" s="30" t="s">
        <v>35</v>
      </c>
      <c r="C64" s="30"/>
      <c r="D64" s="59">
        <f>SUM(D36:D63)</f>
        <v>1244267</v>
      </c>
      <c r="E64" s="31">
        <f>SUM(E36:E63)</f>
        <v>378877</v>
      </c>
      <c r="F64" s="32">
        <f t="shared" si="3"/>
        <v>0.3</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9551</v>
      </c>
      <c r="E67" s="15">
        <f>IF(F3="1",SUMIF(Data!A:A,'20'!$A$2,Data!DY:DY),0)</f>
        <v>34712</v>
      </c>
      <c r="F67" s="20">
        <f t="shared" ref="F67:F95" si="4">IF(OR(D67=0,E67=0),"",ROUND(E67/D67,2))</f>
        <v>3.63</v>
      </c>
    </row>
    <row r="68" spans="1:6" x14ac:dyDescent="0.2">
      <c r="A68" s="19">
        <v>2</v>
      </c>
      <c r="B68" s="177" t="s">
        <v>1</v>
      </c>
      <c r="C68" s="178"/>
      <c r="D68" s="14">
        <f t="shared" ref="D68:D94" si="5">D37</f>
        <v>41612</v>
      </c>
      <c r="E68" s="17">
        <f>IF(F3="1",SUMIF(Data!A:A,'20'!$A$2,Data!DZ:DZ),0)</f>
        <v>153527</v>
      </c>
      <c r="F68" s="21">
        <f t="shared" si="4"/>
        <v>3.69</v>
      </c>
    </row>
    <row r="69" spans="1:6" ht="14.25" customHeight="1" x14ac:dyDescent="0.2">
      <c r="A69" s="19">
        <v>3</v>
      </c>
      <c r="B69" s="177" t="s">
        <v>2</v>
      </c>
      <c r="C69" s="178"/>
      <c r="D69" s="14">
        <f t="shared" si="5"/>
        <v>78864</v>
      </c>
      <c r="E69" s="17">
        <f>IF(F3="1",SUMIF(Data!A:A,'20'!$A$2,Data!EA:EA),0)</f>
        <v>175477</v>
      </c>
      <c r="F69" s="21">
        <f t="shared" si="4"/>
        <v>2.23</v>
      </c>
    </row>
    <row r="70" spans="1:6" ht="14.25" customHeight="1" x14ac:dyDescent="0.2">
      <c r="A70" s="19">
        <v>4</v>
      </c>
      <c r="B70" s="177" t="s">
        <v>3</v>
      </c>
      <c r="C70" s="178"/>
      <c r="D70" s="14">
        <f t="shared" si="5"/>
        <v>107458</v>
      </c>
      <c r="E70" s="17">
        <f>IF(F3="1",SUMIF(Data!A:A,'20'!$A$2,Data!EB:EB),0)</f>
        <v>48475</v>
      </c>
      <c r="F70" s="21">
        <f t="shared" si="4"/>
        <v>0.45</v>
      </c>
    </row>
    <row r="71" spans="1:6" x14ac:dyDescent="0.2">
      <c r="A71" s="19">
        <v>5</v>
      </c>
      <c r="B71" s="177" t="s">
        <v>4</v>
      </c>
      <c r="C71" s="178"/>
      <c r="D71" s="14">
        <f t="shared" si="5"/>
        <v>0</v>
      </c>
      <c r="E71" s="17">
        <f>IF(F3="1",SUMIF(Data!A:A,'20'!$A$2,Data!EC:EC),0)</f>
        <v>0</v>
      </c>
      <c r="F71" s="21" t="str">
        <f t="shared" si="4"/>
        <v/>
      </c>
    </row>
    <row r="72" spans="1:6" x14ac:dyDescent="0.2">
      <c r="A72" s="19">
        <v>6</v>
      </c>
      <c r="B72" s="177" t="s">
        <v>5</v>
      </c>
      <c r="C72" s="178"/>
      <c r="D72" s="14">
        <f t="shared" si="5"/>
        <v>0</v>
      </c>
      <c r="E72" s="17">
        <f>IF(F3="1",SUMIF(Data!A:A,'20'!$A$2,Data!ED:ED),0)</f>
        <v>0</v>
      </c>
      <c r="F72" s="21" t="str">
        <f t="shared" si="4"/>
        <v/>
      </c>
    </row>
    <row r="73" spans="1:6" x14ac:dyDescent="0.2">
      <c r="A73" s="19">
        <v>7</v>
      </c>
      <c r="B73" s="177" t="s">
        <v>6</v>
      </c>
      <c r="C73" s="178"/>
      <c r="D73" s="14">
        <f t="shared" si="5"/>
        <v>102472</v>
      </c>
      <c r="E73" s="17">
        <f>IF(F3="1",SUMIF(Data!A:A,'20'!$A$2,Data!EE:EE),0)</f>
        <v>310674</v>
      </c>
      <c r="F73" s="21">
        <f t="shared" si="4"/>
        <v>3.03</v>
      </c>
    </row>
    <row r="74" spans="1:6" x14ac:dyDescent="0.2">
      <c r="A74" s="19">
        <v>8</v>
      </c>
      <c r="B74" s="177" t="s">
        <v>7</v>
      </c>
      <c r="C74" s="178"/>
      <c r="D74" s="14">
        <f t="shared" si="5"/>
        <v>192</v>
      </c>
      <c r="E74" s="17">
        <f>IF(F3="1",SUMIF(Data!A:A,'20'!$A$2,Data!EF:EF),0)</f>
        <v>600</v>
      </c>
      <c r="F74" s="21">
        <f t="shared" si="4"/>
        <v>3.13</v>
      </c>
    </row>
    <row r="75" spans="1:6" x14ac:dyDescent="0.2">
      <c r="A75" s="19">
        <v>9</v>
      </c>
      <c r="B75" s="177" t="s">
        <v>8</v>
      </c>
      <c r="C75" s="178"/>
      <c r="D75" s="14">
        <f t="shared" si="5"/>
        <v>102008</v>
      </c>
      <c r="E75" s="17">
        <f>IF(F3="1",SUMIF(Data!A:A,'20'!$A$2,Data!EG:EG),0)</f>
        <v>172153</v>
      </c>
      <c r="F75" s="21">
        <f t="shared" si="4"/>
        <v>1.69</v>
      </c>
    </row>
    <row r="76" spans="1:6" x14ac:dyDescent="0.2">
      <c r="A76" s="19">
        <v>10</v>
      </c>
      <c r="B76" s="177" t="s">
        <v>9</v>
      </c>
      <c r="C76" s="178"/>
      <c r="D76" s="14">
        <f t="shared" si="5"/>
        <v>192</v>
      </c>
      <c r="E76" s="17">
        <f>IF(F3="1",SUMIF(Data!A:A,'20'!$A$2,Data!EH:EH),0)</f>
        <v>600</v>
      </c>
      <c r="F76" s="21">
        <f t="shared" si="4"/>
        <v>3.13</v>
      </c>
    </row>
    <row r="77" spans="1:6" x14ac:dyDescent="0.2">
      <c r="A77" s="19">
        <v>11</v>
      </c>
      <c r="B77" s="177" t="s">
        <v>10</v>
      </c>
      <c r="C77" s="178"/>
      <c r="D77" s="14">
        <f t="shared" si="5"/>
        <v>28746</v>
      </c>
      <c r="E77" s="17">
        <f>IF(F3="1",SUMIF(Data!A:A,'20'!$A$2,Data!EI:EI),0)</f>
        <v>77870</v>
      </c>
      <c r="F77" s="21">
        <f t="shared" si="4"/>
        <v>2.71</v>
      </c>
    </row>
    <row r="78" spans="1:6" ht="14.25" customHeight="1" x14ac:dyDescent="0.2">
      <c r="A78" s="19">
        <v>12</v>
      </c>
      <c r="B78" s="177" t="s">
        <v>11</v>
      </c>
      <c r="C78" s="178"/>
      <c r="D78" s="14">
        <f t="shared" si="5"/>
        <v>172032</v>
      </c>
      <c r="E78" s="17">
        <f>IF(F3="1",SUMIF(Data!A:A,'20'!$A$2,Data!EJ:EJ),0)</f>
        <v>338617</v>
      </c>
      <c r="F78" s="21">
        <f t="shared" si="4"/>
        <v>1.97</v>
      </c>
    </row>
    <row r="79" spans="1:6" x14ac:dyDescent="0.2">
      <c r="A79" s="19">
        <v>13</v>
      </c>
      <c r="B79" s="177" t="s">
        <v>12</v>
      </c>
      <c r="C79" s="178"/>
      <c r="D79" s="14">
        <f t="shared" si="5"/>
        <v>24528</v>
      </c>
      <c r="E79" s="17">
        <f>IF(F3="1",SUMIF(Data!A:A,'20'!$A$2,Data!EK:EK),0)</f>
        <v>48899</v>
      </c>
      <c r="F79" s="21">
        <f t="shared" si="4"/>
        <v>1.99</v>
      </c>
    </row>
    <row r="80" spans="1:6" ht="14.25" customHeight="1" x14ac:dyDescent="0.2">
      <c r="A80" s="19">
        <v>14</v>
      </c>
      <c r="B80" s="177" t="s">
        <v>464</v>
      </c>
      <c r="C80" s="178"/>
      <c r="D80" s="14">
        <f t="shared" si="5"/>
        <v>0</v>
      </c>
      <c r="E80" s="17">
        <f>IF(F3="1",SUMIF(Data!A:A,'20'!$A$2,Data!EL:EL),0)</f>
        <v>0</v>
      </c>
      <c r="F80" s="21" t="str">
        <f t="shared" si="4"/>
        <v/>
      </c>
    </row>
    <row r="81" spans="1:6" x14ac:dyDescent="0.2">
      <c r="A81" s="19">
        <v>15</v>
      </c>
      <c r="B81" s="177" t="s">
        <v>13</v>
      </c>
      <c r="C81" s="178"/>
      <c r="D81" s="14">
        <f t="shared" si="5"/>
        <v>0</v>
      </c>
      <c r="E81" s="17">
        <f>IF(F3="1",SUMIF(Data!A:A,'20'!$A$2,Data!EM:EM),0)</f>
        <v>0</v>
      </c>
      <c r="F81" s="21" t="str">
        <f t="shared" si="4"/>
        <v/>
      </c>
    </row>
    <row r="82" spans="1:6" x14ac:dyDescent="0.2">
      <c r="A82" s="19">
        <v>16</v>
      </c>
      <c r="B82" s="177" t="s">
        <v>14</v>
      </c>
      <c r="C82" s="178"/>
      <c r="D82" s="14">
        <f t="shared" si="5"/>
        <v>33080</v>
      </c>
      <c r="E82" s="17">
        <f>IF(F3="1",SUMIF(Data!A:A,'20'!$A$2,Data!EN:EN),0)</f>
        <v>29306</v>
      </c>
      <c r="F82" s="21">
        <f t="shared" si="4"/>
        <v>0.89</v>
      </c>
    </row>
    <row r="83" spans="1:6" x14ac:dyDescent="0.2">
      <c r="A83" s="19">
        <v>17</v>
      </c>
      <c r="B83" s="177" t="s">
        <v>15</v>
      </c>
      <c r="C83" s="178"/>
      <c r="D83" s="14">
        <f t="shared" si="5"/>
        <v>0</v>
      </c>
      <c r="E83" s="17">
        <f>IF(F3="1",SUMIF(Data!A:A,'20'!$A$2,Data!EO:EO),0)</f>
        <v>0</v>
      </c>
      <c r="F83" s="21" t="str">
        <f t="shared" si="4"/>
        <v/>
      </c>
    </row>
    <row r="84" spans="1:6" x14ac:dyDescent="0.2">
      <c r="A84" s="19">
        <v>18</v>
      </c>
      <c r="B84" s="177" t="s">
        <v>16</v>
      </c>
      <c r="C84" s="178"/>
      <c r="D84" s="14">
        <f t="shared" si="5"/>
        <v>81592</v>
      </c>
      <c r="E84" s="17">
        <f>IF(F3="1",SUMIF(Data!A:A,'20'!$A$2,Data!EP:EP),0)</f>
        <v>359231</v>
      </c>
      <c r="F84" s="21">
        <f t="shared" si="4"/>
        <v>4.4000000000000004</v>
      </c>
    </row>
    <row r="85" spans="1:6" x14ac:dyDescent="0.2">
      <c r="A85" s="19">
        <v>19</v>
      </c>
      <c r="B85" s="177" t="s">
        <v>17</v>
      </c>
      <c r="C85" s="178"/>
      <c r="D85" s="14">
        <f t="shared" si="5"/>
        <v>119024</v>
      </c>
      <c r="E85" s="17">
        <f>IF(F3="1",SUMIF(Data!A:A,'20'!$A$2,Data!EQ:EQ),0)</f>
        <v>211525</v>
      </c>
      <c r="F85" s="21">
        <f t="shared" si="4"/>
        <v>1.78</v>
      </c>
    </row>
    <row r="86" spans="1:6" x14ac:dyDescent="0.2">
      <c r="A86" s="19">
        <v>20</v>
      </c>
      <c r="B86" s="177" t="s">
        <v>18</v>
      </c>
      <c r="C86" s="178"/>
      <c r="D86" s="14">
        <f t="shared" si="5"/>
        <v>53844</v>
      </c>
      <c r="E86" s="17">
        <f>IF(F3="1",SUMIF(Data!A:A,'20'!$A$2,Data!ER:ER),0)</f>
        <v>183651</v>
      </c>
      <c r="F86" s="21">
        <f t="shared" si="4"/>
        <v>3.41</v>
      </c>
    </row>
    <row r="87" spans="1:6" ht="14.25" customHeight="1" x14ac:dyDescent="0.2">
      <c r="A87" s="19">
        <v>21</v>
      </c>
      <c r="B87" s="177" t="s">
        <v>461</v>
      </c>
      <c r="C87" s="178"/>
      <c r="D87" s="14">
        <f t="shared" si="5"/>
        <v>0</v>
      </c>
      <c r="E87" s="17">
        <f>IF(F3="1",SUMIF(Data!A:A,'20'!$A$2,Data!ES:ES),0)</f>
        <v>0</v>
      </c>
      <c r="F87" s="21" t="str">
        <f t="shared" si="4"/>
        <v/>
      </c>
    </row>
    <row r="88" spans="1:6" x14ac:dyDescent="0.2">
      <c r="A88" s="19">
        <v>22</v>
      </c>
      <c r="B88" s="177" t="s">
        <v>19</v>
      </c>
      <c r="C88" s="178"/>
      <c r="D88" s="14">
        <f t="shared" si="5"/>
        <v>656</v>
      </c>
      <c r="E88" s="17">
        <f>IF(F3="1",SUMIF(Data!A:A,'20'!$A$2,Data!ET:ET),0)</f>
        <v>28054</v>
      </c>
      <c r="F88" s="21">
        <f t="shared" si="4"/>
        <v>42.77</v>
      </c>
    </row>
    <row r="89" spans="1:6" x14ac:dyDescent="0.2">
      <c r="A89" s="19">
        <v>23</v>
      </c>
      <c r="B89" s="177" t="s">
        <v>20</v>
      </c>
      <c r="C89" s="178"/>
      <c r="D89" s="14">
        <f t="shared" si="5"/>
        <v>43296</v>
      </c>
      <c r="E89" s="17">
        <f>IF(F3="1",SUMIF(Data!A:A,'20'!$A$2,Data!EU:EU),0)</f>
        <v>219414</v>
      </c>
      <c r="F89" s="21">
        <f t="shared" si="4"/>
        <v>5.07</v>
      </c>
    </row>
    <row r="90" spans="1:6" x14ac:dyDescent="0.2">
      <c r="A90" s="19">
        <v>24</v>
      </c>
      <c r="B90" s="177" t="s">
        <v>21</v>
      </c>
      <c r="C90" s="178"/>
      <c r="D90" s="14">
        <f t="shared" si="5"/>
        <v>53568</v>
      </c>
      <c r="E90" s="17">
        <f>IF(F3="1",SUMIF(Data!A:A,'20'!$A$2,Data!EV:EV),0)</f>
        <v>108372</v>
      </c>
      <c r="F90" s="21">
        <f t="shared" si="4"/>
        <v>2.02</v>
      </c>
    </row>
    <row r="91" spans="1:6" x14ac:dyDescent="0.2">
      <c r="A91" s="19">
        <v>25</v>
      </c>
      <c r="B91" s="177" t="s">
        <v>22</v>
      </c>
      <c r="C91" s="178"/>
      <c r="D91" s="14">
        <f t="shared" si="5"/>
        <v>120336</v>
      </c>
      <c r="E91" s="17">
        <f>IF(F3="1",SUMIF(Data!A:A,'20'!$A$2,Data!EW:EW),0)</f>
        <v>313844</v>
      </c>
      <c r="F91" s="21">
        <f t="shared" si="4"/>
        <v>2.61</v>
      </c>
    </row>
    <row r="92" spans="1:6" x14ac:dyDescent="0.2">
      <c r="A92" s="19">
        <v>26</v>
      </c>
      <c r="B92" s="177" t="s">
        <v>23</v>
      </c>
      <c r="C92" s="178"/>
      <c r="D92" s="14">
        <f t="shared" si="5"/>
        <v>71216</v>
      </c>
      <c r="E92" s="17">
        <f>IF(F3="1",SUMIF(Data!A:A,'20'!$A$2,Data!EX:EX),0)</f>
        <v>179229</v>
      </c>
      <c r="F92" s="21">
        <f t="shared" si="4"/>
        <v>2.52</v>
      </c>
    </row>
    <row r="93" spans="1:6" x14ac:dyDescent="0.2">
      <c r="A93" s="19">
        <v>28</v>
      </c>
      <c r="B93" s="177" t="s">
        <v>24</v>
      </c>
      <c r="C93" s="178"/>
      <c r="D93" s="14">
        <f t="shared" si="5"/>
        <v>0</v>
      </c>
      <c r="E93" s="17">
        <f>IF(F3="1",SUMIF(Data!A:A,'20'!$A$2,Data!EZ:EZ),0)</f>
        <v>0</v>
      </c>
      <c r="F93" s="21" t="str">
        <f t="shared" si="4"/>
        <v/>
      </c>
    </row>
    <row r="94" spans="1:6" ht="15.75" customHeight="1" thickBot="1" x14ac:dyDescent="0.25">
      <c r="A94" s="22">
        <v>29</v>
      </c>
      <c r="B94" s="179" t="s">
        <v>25</v>
      </c>
      <c r="C94" s="180"/>
      <c r="D94" s="23">
        <f t="shared" si="5"/>
        <v>0</v>
      </c>
      <c r="E94" s="24">
        <f>IF(F3="1",SUMIF(Data!A:A,'20'!$A$2,Data!FA:FA),0)</f>
        <v>0</v>
      </c>
      <c r="F94" s="25" t="str">
        <f t="shared" si="4"/>
        <v/>
      </c>
    </row>
    <row r="95" spans="1:6" x14ac:dyDescent="0.2">
      <c r="B95" s="30" t="s">
        <v>35</v>
      </c>
      <c r="C95" s="30"/>
      <c r="D95" s="59">
        <f>SUM(D67:D94)</f>
        <v>1244267</v>
      </c>
      <c r="E95" s="31">
        <f>SUM(E67:E94)</f>
        <v>2994230</v>
      </c>
      <c r="F95" s="32">
        <f t="shared" si="4"/>
        <v>2.41</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IF(F3="1",SUMIF(Data!A:A,'20'!$A$2,Data!AH:AH),0)</f>
        <v>1269296</v>
      </c>
      <c r="F98" s="20">
        <f>IF(OR(E98=0,E98=0),"",ROUND(E98/$D$105,2))</f>
        <v>1.02</v>
      </c>
    </row>
    <row r="99" spans="2:6" x14ac:dyDescent="0.2">
      <c r="B99" s="183" t="s">
        <v>31</v>
      </c>
      <c r="C99" s="184"/>
      <c r="D99" s="36"/>
      <c r="E99" s="17">
        <f>IF(F3="1",SUMIF(Data!A:A,'20'!$A$2,Data!AI:AI),0)</f>
        <v>672392</v>
      </c>
      <c r="F99" s="21">
        <f t="shared" ref="F99:F104" si="6">IF(OR(E99=0,E99=0),"",ROUND(E99/$D$105,2))</f>
        <v>0.54</v>
      </c>
    </row>
    <row r="100" spans="2:6" x14ac:dyDescent="0.2">
      <c r="B100" s="183" t="s">
        <v>1078</v>
      </c>
      <c r="C100" s="184"/>
      <c r="D100" s="36"/>
      <c r="E100" s="17">
        <f>IF(F3="1",SUMIF(Data!A:A,'20'!$A$2,Data!AJ:AJ),0)</f>
        <v>661387</v>
      </c>
      <c r="F100" s="21">
        <f t="shared" si="6"/>
        <v>0.53</v>
      </c>
    </row>
    <row r="101" spans="2:6" x14ac:dyDescent="0.2">
      <c r="B101" s="183" t="s">
        <v>1079</v>
      </c>
      <c r="C101" s="184"/>
      <c r="D101" s="36"/>
      <c r="E101" s="17">
        <f>IF(F3="1",SUMIF(Data!A:A,'20'!$A$2,Data!AK:AK),0)</f>
        <v>376329</v>
      </c>
      <c r="F101" s="21">
        <f t="shared" si="6"/>
        <v>0.3</v>
      </c>
    </row>
    <row r="102" spans="2:6" x14ac:dyDescent="0.2">
      <c r="B102" s="183" t="s">
        <v>1080</v>
      </c>
      <c r="C102" s="184"/>
      <c r="D102" s="36"/>
      <c r="E102" s="17">
        <f>IF(F3="1",SUMIF(Data!A:A,'20'!$A$2,Data!AL:AL),0)</f>
        <v>0</v>
      </c>
      <c r="F102" s="21" t="str">
        <f t="shared" si="6"/>
        <v/>
      </c>
    </row>
    <row r="103" spans="2:6" x14ac:dyDescent="0.2">
      <c r="B103" s="185" t="s">
        <v>34</v>
      </c>
      <c r="C103" s="186"/>
      <c r="D103" s="36"/>
      <c r="E103" s="17">
        <f>IF(F3="1",SUMIF(Data!A:A,'20'!$A$2,Data!AM:AM),0)</f>
        <v>0</v>
      </c>
      <c r="F103" s="21" t="str">
        <f t="shared" si="6"/>
        <v/>
      </c>
    </row>
    <row r="104" spans="2:6" ht="15.75" customHeight="1" thickBot="1" x14ac:dyDescent="0.25">
      <c r="B104" s="175" t="s">
        <v>29</v>
      </c>
      <c r="C104" s="176"/>
      <c r="D104" s="37"/>
      <c r="E104" s="24">
        <f>IF(F3="1",SUMIF(Data!A:A,'20'!$A$2,Data!Q:Q),0)</f>
        <v>128876</v>
      </c>
      <c r="F104" s="25">
        <f t="shared" si="6"/>
        <v>0.1</v>
      </c>
    </row>
    <row r="105" spans="2:6" x14ac:dyDescent="0.2">
      <c r="B105" s="30" t="s">
        <v>35</v>
      </c>
      <c r="C105" s="30"/>
      <c r="D105" s="34">
        <f>D95</f>
        <v>1244267</v>
      </c>
      <c r="E105" s="31">
        <f>SUM(E98:E104)</f>
        <v>3108280</v>
      </c>
      <c r="F105" s="32">
        <f>IF($D$105=0,"",ROUND(E105/$D$105,2))</f>
        <v>2.5</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2994230</v>
      </c>
      <c r="D109" s="15">
        <f>IF(F3="1",SUMIF(Data!$A:$A,$A$2,Data!HJ:HJ),0)</f>
        <v>0</v>
      </c>
      <c r="E109" s="15">
        <f>IF(F3="1",SUMIF(Data!$A:$A,$A$2,Data!IN:IN),0)</f>
        <v>0</v>
      </c>
      <c r="F109" s="47">
        <f>SUM(C109:E109)</f>
        <v>2994230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128876</v>
      </c>
      <c r="E117" s="52"/>
      <c r="F117" s="49">
        <f>SUM(C117:E117)</f>
        <v>128876</v>
      </c>
    </row>
    <row r="118" spans="1:6" x14ac:dyDescent="0.2">
      <c r="B118" s="13" t="s">
        <v>35</v>
      </c>
      <c r="C118" s="4">
        <f>SUM(C109:C116)</f>
        <v>2994230</v>
      </c>
      <c r="D118" s="4">
        <f>SUM(D109:D116)</f>
        <v>0</v>
      </c>
      <c r="E118" s="4">
        <f>SUM(E109:E116)</f>
        <v>0</v>
      </c>
      <c r="F118" s="4">
        <f>SUM(F109:F116)</f>
        <v>2994230</v>
      </c>
    </row>
    <row r="119" spans="1:6" ht="15" thickBot="1" x14ac:dyDescent="0.25"/>
    <row r="120" spans="1:6" ht="15" thickBot="1" x14ac:dyDescent="0.25">
      <c r="B120" s="55" t="s">
        <v>934</v>
      </c>
      <c r="C120" s="53"/>
      <c r="D120" s="53"/>
      <c r="E120" s="53">
        <f>IF(F3="1",SUMIF(Data!A:A,'20'!$A$2,Data!AM:AM),0)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5703125" style="10" bestFit="1" customWidth="1"/>
    <col min="13"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441</v>
      </c>
      <c r="B2" s="58" t="str">
        <f>VLOOKUP(A2,Data!A:G,7,0)</f>
        <v>Houston Community College System</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93478</v>
      </c>
      <c r="E5" s="15">
        <f>E36+E67+IFERROR($E$105/$D$105*D5,0)</f>
        <v>809040.1932799276</v>
      </c>
      <c r="F5" s="20">
        <f>IF(OR(D5=0,E5=0),"",ROUND(E5/D5,2))</f>
        <v>8.65</v>
      </c>
    </row>
    <row r="6" spans="1:6" x14ac:dyDescent="0.2">
      <c r="A6" s="19">
        <v>2</v>
      </c>
      <c r="B6" s="177" t="s">
        <v>1</v>
      </c>
      <c r="C6" s="178"/>
      <c r="D6" s="14">
        <f t="shared" ref="D6:D32" si="0">D37</f>
        <v>628156</v>
      </c>
      <c r="E6" s="17">
        <f t="shared" ref="E6:E32" si="1">E37+E68+IFERROR($E$105/$D$105*D6,0)</f>
        <v>4196327.8345701257</v>
      </c>
      <c r="F6" s="21">
        <f t="shared" ref="F6:F33" si="2">IF(OR(D6=0,E6=0),"",ROUND(E6/D6,2))</f>
        <v>6.68</v>
      </c>
    </row>
    <row r="7" spans="1:6" ht="14.25" customHeight="1" x14ac:dyDescent="0.2">
      <c r="A7" s="19">
        <v>3</v>
      </c>
      <c r="B7" s="177" t="s">
        <v>2</v>
      </c>
      <c r="C7" s="178"/>
      <c r="D7" s="14">
        <f t="shared" si="0"/>
        <v>1477760</v>
      </c>
      <c r="E7" s="17">
        <f t="shared" si="1"/>
        <v>9851808.9192467295</v>
      </c>
      <c r="F7" s="21">
        <f t="shared" si="2"/>
        <v>6.67</v>
      </c>
    </row>
    <row r="8" spans="1:6" ht="14.25" customHeight="1" x14ac:dyDescent="0.2">
      <c r="A8" s="19">
        <v>4</v>
      </c>
      <c r="B8" s="177" t="s">
        <v>3</v>
      </c>
      <c r="C8" s="178"/>
      <c r="D8" s="14">
        <f t="shared" si="0"/>
        <v>1637439</v>
      </c>
      <c r="E8" s="17">
        <f t="shared" si="1"/>
        <v>10768002.256317971</v>
      </c>
      <c r="F8" s="21">
        <f t="shared" si="2"/>
        <v>6.58</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96923</v>
      </c>
      <c r="E10" s="17">
        <f t="shared" si="1"/>
        <v>1822704.9243166351</v>
      </c>
      <c r="F10" s="21">
        <f t="shared" si="2"/>
        <v>18.809999999999999</v>
      </c>
    </row>
    <row r="11" spans="1:6" x14ac:dyDescent="0.2">
      <c r="A11" s="19">
        <v>7</v>
      </c>
      <c r="B11" s="177" t="s">
        <v>6</v>
      </c>
      <c r="C11" s="178"/>
      <c r="D11" s="14">
        <f t="shared" si="0"/>
        <v>556072</v>
      </c>
      <c r="E11" s="17">
        <f t="shared" si="1"/>
        <v>7404805.1347007416</v>
      </c>
      <c r="F11" s="21">
        <f t="shared" si="2"/>
        <v>13.32</v>
      </c>
    </row>
    <row r="12" spans="1:6" x14ac:dyDescent="0.2">
      <c r="A12" s="19">
        <v>8</v>
      </c>
      <c r="B12" s="177" t="s">
        <v>7</v>
      </c>
      <c r="C12" s="178"/>
      <c r="D12" s="14">
        <f t="shared" si="0"/>
        <v>472967</v>
      </c>
      <c r="E12" s="17">
        <f t="shared" si="1"/>
        <v>2868063.2064552894</v>
      </c>
      <c r="F12" s="21">
        <f t="shared" si="2"/>
        <v>6.06</v>
      </c>
    </row>
    <row r="13" spans="1:6" x14ac:dyDescent="0.2">
      <c r="A13" s="19">
        <v>9</v>
      </c>
      <c r="B13" s="177" t="s">
        <v>8</v>
      </c>
      <c r="C13" s="178"/>
      <c r="D13" s="14">
        <f t="shared" si="0"/>
        <v>428669</v>
      </c>
      <c r="E13" s="17">
        <f t="shared" si="1"/>
        <v>3163091.0457980838</v>
      </c>
      <c r="F13" s="21">
        <f t="shared" si="2"/>
        <v>7.38</v>
      </c>
    </row>
    <row r="14" spans="1:6" x14ac:dyDescent="0.2">
      <c r="A14" s="19">
        <v>10</v>
      </c>
      <c r="B14" s="177" t="s">
        <v>9</v>
      </c>
      <c r="C14" s="178"/>
      <c r="D14" s="14">
        <f t="shared" si="0"/>
        <v>0</v>
      </c>
      <c r="E14" s="17">
        <f t="shared" si="1"/>
        <v>0</v>
      </c>
      <c r="F14" s="21" t="str">
        <f t="shared" si="2"/>
        <v/>
      </c>
    </row>
    <row r="15" spans="1:6" x14ac:dyDescent="0.2">
      <c r="A15" s="19">
        <v>11</v>
      </c>
      <c r="B15" s="177" t="s">
        <v>10</v>
      </c>
      <c r="C15" s="178"/>
      <c r="D15" s="14">
        <f t="shared" si="0"/>
        <v>336924</v>
      </c>
      <c r="E15" s="17">
        <f t="shared" si="1"/>
        <v>2800835.6063313968</v>
      </c>
      <c r="F15" s="21">
        <f t="shared" si="2"/>
        <v>8.31</v>
      </c>
    </row>
    <row r="16" spans="1:6" ht="14.25" customHeight="1" x14ac:dyDescent="0.2">
      <c r="A16" s="19">
        <v>12</v>
      </c>
      <c r="B16" s="177" t="s">
        <v>11</v>
      </c>
      <c r="C16" s="178"/>
      <c r="D16" s="14">
        <f t="shared" si="0"/>
        <v>2938584</v>
      </c>
      <c r="E16" s="17">
        <f t="shared" si="1"/>
        <v>19578568.203997761</v>
      </c>
      <c r="F16" s="21">
        <f t="shared" si="2"/>
        <v>6.66</v>
      </c>
    </row>
    <row r="17" spans="1:6" x14ac:dyDescent="0.2">
      <c r="A17" s="19">
        <v>13</v>
      </c>
      <c r="B17" s="177" t="s">
        <v>12</v>
      </c>
      <c r="C17" s="178"/>
      <c r="D17" s="14">
        <f t="shared" si="0"/>
        <v>235047</v>
      </c>
      <c r="E17" s="17">
        <f t="shared" si="1"/>
        <v>1811967.1474557344</v>
      </c>
      <c r="F17" s="21">
        <f t="shared" si="2"/>
        <v>7.71</v>
      </c>
    </row>
    <row r="18" spans="1:6" ht="14.25" customHeight="1" x14ac:dyDescent="0.2">
      <c r="A18" s="19">
        <v>14</v>
      </c>
      <c r="B18" s="177" t="s">
        <v>464</v>
      </c>
      <c r="C18" s="178"/>
      <c r="D18" s="14">
        <f t="shared" si="0"/>
        <v>199376</v>
      </c>
      <c r="E18" s="17">
        <f t="shared" si="1"/>
        <v>3003766.6839403799</v>
      </c>
      <c r="F18" s="21">
        <f t="shared" si="2"/>
        <v>15.07</v>
      </c>
    </row>
    <row r="19" spans="1:6" x14ac:dyDescent="0.2">
      <c r="A19" s="19">
        <v>15</v>
      </c>
      <c r="B19" s="177" t="s">
        <v>13</v>
      </c>
      <c r="C19" s="178"/>
      <c r="D19" s="14">
        <f t="shared" si="0"/>
        <v>352</v>
      </c>
      <c r="E19" s="17">
        <f t="shared" si="1"/>
        <v>3131.3504571614121</v>
      </c>
      <c r="F19" s="21">
        <f t="shared" si="2"/>
        <v>8.9</v>
      </c>
    </row>
    <row r="20" spans="1:6" x14ac:dyDescent="0.2">
      <c r="A20" s="19">
        <v>16</v>
      </c>
      <c r="B20" s="177" t="s">
        <v>14</v>
      </c>
      <c r="C20" s="178"/>
      <c r="D20" s="14">
        <f t="shared" si="0"/>
        <v>543681</v>
      </c>
      <c r="E20" s="17">
        <f t="shared" si="1"/>
        <v>4835742.5764203798</v>
      </c>
      <c r="F20" s="21">
        <f t="shared" si="2"/>
        <v>8.89</v>
      </c>
    </row>
    <row r="21" spans="1:6" x14ac:dyDescent="0.2">
      <c r="A21" s="19">
        <v>17</v>
      </c>
      <c r="B21" s="177" t="s">
        <v>15</v>
      </c>
      <c r="C21" s="178"/>
      <c r="D21" s="14">
        <f t="shared" si="0"/>
        <v>77408</v>
      </c>
      <c r="E21" s="17">
        <f t="shared" si="1"/>
        <v>849219.25053395063</v>
      </c>
      <c r="F21" s="21">
        <f t="shared" si="2"/>
        <v>10.97</v>
      </c>
    </row>
    <row r="22" spans="1:6" x14ac:dyDescent="0.2">
      <c r="A22" s="19">
        <v>18</v>
      </c>
      <c r="B22" s="177" t="s">
        <v>16</v>
      </c>
      <c r="C22" s="178"/>
      <c r="D22" s="14">
        <f t="shared" si="0"/>
        <v>98896</v>
      </c>
      <c r="E22" s="17">
        <f t="shared" si="1"/>
        <v>928786.55344157689</v>
      </c>
      <c r="F22" s="21">
        <f t="shared" si="2"/>
        <v>9.39</v>
      </c>
    </row>
    <row r="23" spans="1:6" x14ac:dyDescent="0.2">
      <c r="A23" s="19">
        <v>19</v>
      </c>
      <c r="B23" s="177" t="s">
        <v>17</v>
      </c>
      <c r="C23" s="178"/>
      <c r="D23" s="14">
        <f t="shared" si="0"/>
        <v>1757256</v>
      </c>
      <c r="E23" s="17">
        <f t="shared" si="1"/>
        <v>10985296.144743282</v>
      </c>
      <c r="F23" s="21">
        <f t="shared" si="2"/>
        <v>6.25</v>
      </c>
    </row>
    <row r="24" spans="1:6" x14ac:dyDescent="0.2">
      <c r="A24" s="19">
        <v>20</v>
      </c>
      <c r="B24" s="177" t="s">
        <v>18</v>
      </c>
      <c r="C24" s="178"/>
      <c r="D24" s="14">
        <f t="shared" si="0"/>
        <v>224967</v>
      </c>
      <c r="E24" s="17">
        <f t="shared" si="1"/>
        <v>2533959.3843642939</v>
      </c>
      <c r="F24" s="21">
        <f t="shared" si="2"/>
        <v>11.26</v>
      </c>
    </row>
    <row r="25" spans="1:6" ht="14.25" customHeight="1" x14ac:dyDescent="0.2">
      <c r="A25" s="19">
        <v>21</v>
      </c>
      <c r="B25" s="177" t="s">
        <v>461</v>
      </c>
      <c r="C25" s="178"/>
      <c r="D25" s="14">
        <f t="shared" si="0"/>
        <v>748496</v>
      </c>
      <c r="E25" s="17">
        <f t="shared" si="1"/>
        <v>7876493.3971121833</v>
      </c>
      <c r="F25" s="21">
        <f t="shared" si="2"/>
        <v>10.52</v>
      </c>
    </row>
    <row r="26" spans="1:6" x14ac:dyDescent="0.2">
      <c r="A26" s="19">
        <v>22</v>
      </c>
      <c r="B26" s="177" t="s">
        <v>19</v>
      </c>
      <c r="C26" s="178"/>
      <c r="D26" s="14">
        <f t="shared" si="0"/>
        <v>65396</v>
      </c>
      <c r="E26" s="17">
        <f t="shared" si="1"/>
        <v>1245362.0411833173</v>
      </c>
      <c r="F26" s="21">
        <f t="shared" si="2"/>
        <v>19.04</v>
      </c>
    </row>
    <row r="27" spans="1:6" x14ac:dyDescent="0.2">
      <c r="A27" s="19">
        <v>23</v>
      </c>
      <c r="B27" s="177" t="s">
        <v>20</v>
      </c>
      <c r="C27" s="178"/>
      <c r="D27" s="14">
        <f t="shared" si="0"/>
        <v>57072</v>
      </c>
      <c r="E27" s="17">
        <f t="shared" si="1"/>
        <v>437299.549122489</v>
      </c>
      <c r="F27" s="21">
        <f t="shared" si="2"/>
        <v>7.66</v>
      </c>
    </row>
    <row r="28" spans="1:6" x14ac:dyDescent="0.2">
      <c r="A28" s="19">
        <v>24</v>
      </c>
      <c r="B28" s="177" t="s">
        <v>21</v>
      </c>
      <c r="C28" s="178"/>
      <c r="D28" s="14">
        <f t="shared" si="0"/>
        <v>279084</v>
      </c>
      <c r="E28" s="17">
        <f t="shared" si="1"/>
        <v>2462747.6562114647</v>
      </c>
      <c r="F28" s="21">
        <f t="shared" si="2"/>
        <v>8.82</v>
      </c>
    </row>
    <row r="29" spans="1:6" x14ac:dyDescent="0.2">
      <c r="A29" s="19">
        <v>25</v>
      </c>
      <c r="B29" s="177" t="s">
        <v>22</v>
      </c>
      <c r="C29" s="178"/>
      <c r="D29" s="14">
        <f t="shared" si="0"/>
        <v>2469558</v>
      </c>
      <c r="E29" s="17">
        <f t="shared" si="1"/>
        <v>15482038.404223362</v>
      </c>
      <c r="F29" s="21">
        <f t="shared" si="2"/>
        <v>6.27</v>
      </c>
    </row>
    <row r="30" spans="1:6" x14ac:dyDescent="0.2">
      <c r="A30" s="19">
        <v>26</v>
      </c>
      <c r="B30" s="177" t="s">
        <v>23</v>
      </c>
      <c r="C30" s="178"/>
      <c r="D30" s="14">
        <f t="shared" si="0"/>
        <v>624272</v>
      </c>
      <c r="E30" s="17">
        <f t="shared" si="1"/>
        <v>5898999.5357757648</v>
      </c>
      <c r="F30" s="21">
        <f t="shared" si="2"/>
        <v>9.4499999999999993</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16047833</v>
      </c>
      <c r="E33" s="31">
        <f>SUM(E5:E32)</f>
        <v>121618057.00000003</v>
      </c>
      <c r="F33" s="32">
        <f t="shared" si="2"/>
        <v>7.58</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IF(F3="1",SUMIF(Data!A:A,'21'!$A$2,Data!CU:CU),0)</f>
        <v>93478</v>
      </c>
      <c r="E36" s="15">
        <f>IF(F3="1",SUMIF(Data!$A:$A,$A$2,Data!IO:IO),0)</f>
        <v>206191</v>
      </c>
      <c r="F36" s="20">
        <f t="shared" ref="F36:F64" si="3">IF(OR(D36=0,E36=0),"",ROUND(E36/D36,2))</f>
        <v>2.21</v>
      </c>
    </row>
    <row r="37" spans="1:6" x14ac:dyDescent="0.2">
      <c r="A37" s="19">
        <v>2</v>
      </c>
      <c r="B37" s="177" t="s">
        <v>1</v>
      </c>
      <c r="C37" s="178"/>
      <c r="D37" s="14">
        <f>IF(F3="1",SUMIF(Data!A:A,'21'!$A$2,Data!CV:CV),0)</f>
        <v>628156</v>
      </c>
      <c r="E37" s="17">
        <f>IF(F3="1",SUMIF(Data!$A:$A,$A$2,Data!IP:IP),0)</f>
        <v>711627</v>
      </c>
      <c r="F37" s="21">
        <f t="shared" si="3"/>
        <v>1.1299999999999999</v>
      </c>
    </row>
    <row r="38" spans="1:6" ht="14.25" customHeight="1" x14ac:dyDescent="0.2">
      <c r="A38" s="19">
        <v>3</v>
      </c>
      <c r="B38" s="177" t="s">
        <v>2</v>
      </c>
      <c r="C38" s="178"/>
      <c r="D38" s="14">
        <f>IF(F3="1",SUMIF(Data!A:A,'21'!$A$2,Data!CW:CW),0)</f>
        <v>1477760</v>
      </c>
      <c r="E38" s="17">
        <f>IF($F$3="1",SUMIF(Data!$A:$A,$A$2,Data!IQ:IQ),0)</f>
        <v>1069027</v>
      </c>
      <c r="F38" s="21">
        <f t="shared" si="3"/>
        <v>0.72</v>
      </c>
    </row>
    <row r="39" spans="1:6" ht="14.25" customHeight="1" x14ac:dyDescent="0.2">
      <c r="A39" s="19">
        <v>4</v>
      </c>
      <c r="B39" s="177" t="s">
        <v>3</v>
      </c>
      <c r="C39" s="178"/>
      <c r="D39" s="14">
        <f>IF(F3="1",SUMIF(Data!A:A,'21'!$A$2,Data!CX:CX),0)</f>
        <v>1637439</v>
      </c>
      <c r="E39" s="17">
        <f>IF($F$3="1",SUMIF(Data!$A:$A,$A$2,Data!IR:IR),0)</f>
        <v>802661</v>
      </c>
      <c r="F39" s="21">
        <f t="shared" si="3"/>
        <v>0.49</v>
      </c>
    </row>
    <row r="40" spans="1:6" x14ac:dyDescent="0.2">
      <c r="A40" s="19">
        <v>5</v>
      </c>
      <c r="B40" s="177" t="s">
        <v>4</v>
      </c>
      <c r="C40" s="178"/>
      <c r="D40" s="14">
        <f>IF(F3="1",SUMIF(Data!A:A,'21'!$A$2,Data!CY:CY),0)</f>
        <v>0</v>
      </c>
      <c r="E40" s="17">
        <f>IF($F$3="1",SUMIF(Data!$A:$A,$A$2,Data!IS:IS),0)</f>
        <v>0</v>
      </c>
      <c r="F40" s="21" t="str">
        <f t="shared" si="3"/>
        <v/>
      </c>
    </row>
    <row r="41" spans="1:6" x14ac:dyDescent="0.2">
      <c r="A41" s="19">
        <v>6</v>
      </c>
      <c r="B41" s="177" t="s">
        <v>5</v>
      </c>
      <c r="C41" s="178"/>
      <c r="D41" s="14">
        <f>IF(F3="1",SUMIF(Data!A:A,'21'!$A$2,Data!CZ:CZ),0)</f>
        <v>96923</v>
      </c>
      <c r="E41" s="17">
        <f>IF($F$3="1",SUMIF(Data!$A:$A,$A$2,Data!IT:IT),0)</f>
        <v>1053383</v>
      </c>
      <c r="F41" s="21">
        <f t="shared" si="3"/>
        <v>10.87</v>
      </c>
    </row>
    <row r="42" spans="1:6" x14ac:dyDescent="0.2">
      <c r="A42" s="19">
        <v>7</v>
      </c>
      <c r="B42" s="177" t="s">
        <v>6</v>
      </c>
      <c r="C42" s="178"/>
      <c r="D42" s="14">
        <f>IF(F3="1",SUMIF(Data!A:A,'21'!$A$2,Data!DA:DA),0)</f>
        <v>556072</v>
      </c>
      <c r="E42" s="17">
        <f>IF($F$3="1",SUMIF(Data!$A:$A,$A$2,Data!IU:IU),0)</f>
        <v>3263164</v>
      </c>
      <c r="F42" s="21">
        <f t="shared" si="3"/>
        <v>5.87</v>
      </c>
    </row>
    <row r="43" spans="1:6" x14ac:dyDescent="0.2">
      <c r="A43" s="19">
        <v>8</v>
      </c>
      <c r="B43" s="177" t="s">
        <v>7</v>
      </c>
      <c r="C43" s="178"/>
      <c r="D43" s="14">
        <f>IF(F3="1",SUMIF(Data!A:A,'21'!$A$2,Data!DB:DB),0)</f>
        <v>472967</v>
      </c>
      <c r="E43" s="17">
        <f>IF($F$3="1",SUMIF(Data!$A:$A,$A$2,Data!IV:IV),0)</f>
        <v>390656</v>
      </c>
      <c r="F43" s="21">
        <f t="shared" si="3"/>
        <v>0.83</v>
      </c>
    </row>
    <row r="44" spans="1:6" x14ac:dyDescent="0.2">
      <c r="A44" s="19">
        <v>9</v>
      </c>
      <c r="B44" s="177" t="s">
        <v>8</v>
      </c>
      <c r="C44" s="178"/>
      <c r="D44" s="14">
        <f>IF(F3="1",SUMIF(Data!A:A,'21'!$A$2,Data!DC:DC),0)</f>
        <v>428669</v>
      </c>
      <c r="E44" s="17">
        <f>IF($F$3="1",SUMIF(Data!$A:$A,$A$2,Data!IW:IW),0)</f>
        <v>432416</v>
      </c>
      <c r="F44" s="21">
        <f t="shared" si="3"/>
        <v>1.01</v>
      </c>
    </row>
    <row r="45" spans="1:6" x14ac:dyDescent="0.2">
      <c r="A45" s="19">
        <v>10</v>
      </c>
      <c r="B45" s="177" t="s">
        <v>9</v>
      </c>
      <c r="C45" s="178"/>
      <c r="D45" s="14">
        <f>IF(F3="1",SUMIF(Data!A:A,'21'!$A$2,Data!DD:DD),0)</f>
        <v>0</v>
      </c>
      <c r="E45" s="17">
        <f>IF($F$3="1",SUMIF(Data!$A:$A,$A$2,Data!IX:IX),0)</f>
        <v>0</v>
      </c>
      <c r="F45" s="21" t="str">
        <f t="shared" si="3"/>
        <v/>
      </c>
    </row>
    <row r="46" spans="1:6" x14ac:dyDescent="0.2">
      <c r="A46" s="19">
        <v>11</v>
      </c>
      <c r="B46" s="177" t="s">
        <v>10</v>
      </c>
      <c r="C46" s="178"/>
      <c r="D46" s="14">
        <f>IF(F3="1",SUMIF(Data!A:A,'21'!$A$2,Data!DE:DE),0)</f>
        <v>336924</v>
      </c>
      <c r="E46" s="17">
        <f>IF($F$3="1",SUMIF(Data!$A:$A,$A$2,Data!IY:IY),0)</f>
        <v>376115</v>
      </c>
      <c r="F46" s="21">
        <f t="shared" si="3"/>
        <v>1.1200000000000001</v>
      </c>
    </row>
    <row r="47" spans="1:6" ht="14.25" customHeight="1" x14ac:dyDescent="0.2">
      <c r="A47" s="19">
        <v>12</v>
      </c>
      <c r="B47" s="177" t="s">
        <v>11</v>
      </c>
      <c r="C47" s="178"/>
      <c r="D47" s="14">
        <f>IF(F3="1",SUMIF(Data!A:A,'21'!$A$2,Data!DF:DF),0)</f>
        <v>2938584</v>
      </c>
      <c r="E47" s="17">
        <f>IF($F$3="1",SUMIF(Data!$A:$A,$A$2,Data!IZ:IZ),0)</f>
        <v>1443916</v>
      </c>
      <c r="F47" s="21">
        <f t="shared" si="3"/>
        <v>0.49</v>
      </c>
    </row>
    <row r="48" spans="1:6" x14ac:dyDescent="0.2">
      <c r="A48" s="19">
        <v>13</v>
      </c>
      <c r="B48" s="177" t="s">
        <v>12</v>
      </c>
      <c r="C48" s="178"/>
      <c r="D48" s="14">
        <f>IF(F3="1",SUMIF(Data!A:A,'21'!$A$2,Data!DG:DG),0)</f>
        <v>235047</v>
      </c>
      <c r="E48" s="17">
        <f>IF($F$3="1",SUMIF(Data!$A:$A,$A$2,Data!JA:JA),0)</f>
        <v>183244</v>
      </c>
      <c r="F48" s="21">
        <f t="shared" si="3"/>
        <v>0.78</v>
      </c>
    </row>
    <row r="49" spans="1:6" ht="14.25" customHeight="1" x14ac:dyDescent="0.2">
      <c r="A49" s="19">
        <v>14</v>
      </c>
      <c r="B49" s="177" t="s">
        <v>464</v>
      </c>
      <c r="C49" s="178"/>
      <c r="D49" s="14">
        <f>IF(F3="1",SUMIF(Data!A:A,'21'!$A$2,Data!DH:DH),0)</f>
        <v>199376</v>
      </c>
      <c r="E49" s="17">
        <f>IF($F$3="1",SUMIF(Data!$A:$A,$A$2,Data!JB:JB),0)</f>
        <v>534266</v>
      </c>
      <c r="F49" s="21">
        <f t="shared" si="3"/>
        <v>2.68</v>
      </c>
    </row>
    <row r="50" spans="1:6" x14ac:dyDescent="0.2">
      <c r="A50" s="19">
        <v>15</v>
      </c>
      <c r="B50" s="177" t="s">
        <v>13</v>
      </c>
      <c r="C50" s="178"/>
      <c r="D50" s="14">
        <f>IF(F3="1",SUMIF(Data!A:A,'21'!$A$2,Data!DI:DI),0)</f>
        <v>352</v>
      </c>
      <c r="E50" s="17">
        <f>IF($F$3="1",SUMIF(Data!$A:$A,$A$2,Data!JC:JC),0)</f>
        <v>309</v>
      </c>
      <c r="F50" s="21">
        <f t="shared" si="3"/>
        <v>0.88</v>
      </c>
    </row>
    <row r="51" spans="1:6" x14ac:dyDescent="0.2">
      <c r="A51" s="19">
        <v>16</v>
      </c>
      <c r="B51" s="177" t="s">
        <v>14</v>
      </c>
      <c r="C51" s="178"/>
      <c r="D51" s="14">
        <f>IF(F3="1",SUMIF(Data!A:A,'21'!$A$2,Data!DJ:DJ),0)</f>
        <v>543681</v>
      </c>
      <c r="E51" s="17">
        <f>IF($F$3="1",SUMIF(Data!$A:$A,$A$2,Data!JD:JD),0)</f>
        <v>475840</v>
      </c>
      <c r="F51" s="21">
        <f t="shared" si="3"/>
        <v>0.88</v>
      </c>
    </row>
    <row r="52" spans="1:6" x14ac:dyDescent="0.2">
      <c r="A52" s="19">
        <v>17</v>
      </c>
      <c r="B52" s="177" t="s">
        <v>15</v>
      </c>
      <c r="C52" s="178"/>
      <c r="D52" s="14">
        <f>IF(F3="1",SUMIF(Data!A:A,'21'!$A$2,Data!DK:DK),0)</f>
        <v>77408</v>
      </c>
      <c r="E52" s="17">
        <f>IF($F$3="1",SUMIF(Data!$A:$A,$A$2,Data!JE:JE),0)</f>
        <v>62783</v>
      </c>
      <c r="F52" s="21">
        <f t="shared" si="3"/>
        <v>0.81</v>
      </c>
    </row>
    <row r="53" spans="1:6" x14ac:dyDescent="0.2">
      <c r="A53" s="19">
        <v>18</v>
      </c>
      <c r="B53" s="177" t="s">
        <v>16</v>
      </c>
      <c r="C53" s="178"/>
      <c r="D53" s="14">
        <f>IF(F3="1",SUMIF(Data!A:A,'21'!$A$2,Data!DL:DL),0)</f>
        <v>98896</v>
      </c>
      <c r="E53" s="17">
        <f>IF($F$3="1",SUMIF(Data!$A:$A,$A$2,Data!JF:JF),0)</f>
        <v>77402</v>
      </c>
      <c r="F53" s="21">
        <f t="shared" si="3"/>
        <v>0.78</v>
      </c>
    </row>
    <row r="54" spans="1:6" x14ac:dyDescent="0.2">
      <c r="A54" s="19">
        <v>19</v>
      </c>
      <c r="B54" s="177" t="s">
        <v>17</v>
      </c>
      <c r="C54" s="178"/>
      <c r="D54" s="14">
        <f>IF(F3="1",SUMIF(Data!A:A,'21'!$A$2,Data!DM:DM),0)</f>
        <v>1757256</v>
      </c>
      <c r="E54" s="17">
        <f>IF($F$3="1",SUMIF(Data!$A:$A,$A$2,Data!JG:JG),0)</f>
        <v>718064</v>
      </c>
      <c r="F54" s="21">
        <f t="shared" si="3"/>
        <v>0.41</v>
      </c>
    </row>
    <row r="55" spans="1:6" x14ac:dyDescent="0.2">
      <c r="A55" s="19">
        <v>20</v>
      </c>
      <c r="B55" s="177" t="s">
        <v>18</v>
      </c>
      <c r="C55" s="178"/>
      <c r="D55" s="14">
        <f>IF(F3="1",SUMIF(Data!A:A,'21'!$A$2,Data!DN:DN),0)</f>
        <v>224967</v>
      </c>
      <c r="E55" s="17">
        <f>IF($F$3="1",SUMIF(Data!$A:$A,$A$2,Data!JH:JH),0)</f>
        <v>552390</v>
      </c>
      <c r="F55" s="21">
        <f t="shared" si="3"/>
        <v>2.46</v>
      </c>
    </row>
    <row r="56" spans="1:6" ht="14.25" customHeight="1" x14ac:dyDescent="0.2">
      <c r="A56" s="19">
        <v>21</v>
      </c>
      <c r="B56" s="177" t="s">
        <v>461</v>
      </c>
      <c r="C56" s="178"/>
      <c r="D56" s="14">
        <f>IF(F3="1",SUMIF(Data!A:A,'21'!$A$2,Data!DO:DO),0)</f>
        <v>748496</v>
      </c>
      <c r="E56" s="17">
        <f>IF($F$3="1",SUMIF(Data!$A:$A,$A$2,Data!JI:JI),0)</f>
        <v>5289338</v>
      </c>
      <c r="F56" s="21">
        <f t="shared" si="3"/>
        <v>7.07</v>
      </c>
    </row>
    <row r="57" spans="1:6" x14ac:dyDescent="0.2">
      <c r="A57" s="19">
        <v>22</v>
      </c>
      <c r="B57" s="177" t="s">
        <v>19</v>
      </c>
      <c r="C57" s="178"/>
      <c r="D57" s="14">
        <f>IF(F3="1",SUMIF(Data!A:A,'21'!$A$2,Data!DP:DP),0)</f>
        <v>65396</v>
      </c>
      <c r="E57" s="17">
        <f>IF($F$3="1",SUMIF(Data!$A:$A,$A$2,Data!JJ:JJ),0)</f>
        <v>122613</v>
      </c>
      <c r="F57" s="21">
        <f t="shared" si="3"/>
        <v>1.87</v>
      </c>
    </row>
    <row r="58" spans="1:6" x14ac:dyDescent="0.2">
      <c r="A58" s="19">
        <v>23</v>
      </c>
      <c r="B58" s="177" t="s">
        <v>20</v>
      </c>
      <c r="C58" s="178"/>
      <c r="D58" s="14">
        <f>IF(F3="1",SUMIF(Data!A:A,'21'!$A$2,Data!DQ:DQ),0)</f>
        <v>57072</v>
      </c>
      <c r="E58" s="17">
        <f>IF($F$3="1",SUMIF(Data!$A:$A,$A$2,Data!JK:JK),0)</f>
        <v>49997</v>
      </c>
      <c r="F58" s="21">
        <f t="shared" si="3"/>
        <v>0.88</v>
      </c>
    </row>
    <row r="59" spans="1:6" x14ac:dyDescent="0.2">
      <c r="A59" s="19">
        <v>24</v>
      </c>
      <c r="B59" s="177" t="s">
        <v>21</v>
      </c>
      <c r="C59" s="178"/>
      <c r="D59" s="14">
        <f>IF(F3="1",SUMIF(Data!A:A,'21'!$A$2,Data!DR:DR),0)</f>
        <v>279084</v>
      </c>
      <c r="E59" s="17">
        <f>IF($F$3="1",SUMIF(Data!$A:$A,$A$2,Data!JL:JL),0)</f>
        <v>415111</v>
      </c>
      <c r="F59" s="21">
        <f t="shared" si="3"/>
        <v>1.49</v>
      </c>
    </row>
    <row r="60" spans="1:6" x14ac:dyDescent="0.2">
      <c r="A60" s="19">
        <v>25</v>
      </c>
      <c r="B60" s="177" t="s">
        <v>22</v>
      </c>
      <c r="C60" s="178"/>
      <c r="D60" s="14">
        <f>IF(F3="1",SUMIF(Data!A:A,'21'!$A$2,Data!DS:DS),0)</f>
        <v>2469558</v>
      </c>
      <c r="E60" s="17">
        <f>IF($F$3="1",SUMIF(Data!$A:$A,$A$2,Data!JM:JM),0)</f>
        <v>854119</v>
      </c>
      <c r="F60" s="21">
        <f t="shared" si="3"/>
        <v>0.35</v>
      </c>
    </row>
    <row r="61" spans="1:6" x14ac:dyDescent="0.2">
      <c r="A61" s="19">
        <v>26</v>
      </c>
      <c r="B61" s="177" t="s">
        <v>23</v>
      </c>
      <c r="C61" s="178"/>
      <c r="D61" s="14">
        <f>IF(F3="1",SUMIF(Data!A:A,'21'!$A$2,Data!DT:DT),0)</f>
        <v>624272</v>
      </c>
      <c r="E61" s="17">
        <f>IF($F$3="1",SUMIF(Data!$A:$A,$A$2,Data!JN:JN),0)</f>
        <v>957981</v>
      </c>
      <c r="F61" s="21">
        <f t="shared" si="3"/>
        <v>1.53</v>
      </c>
    </row>
    <row r="62" spans="1:6" x14ac:dyDescent="0.2">
      <c r="A62" s="19">
        <v>28</v>
      </c>
      <c r="B62" s="177" t="s">
        <v>24</v>
      </c>
      <c r="C62" s="178"/>
      <c r="D62" s="14">
        <f>IF(F3="1",SUMIF(Data!A:A,'21'!$A$2,Data!DV:DV),0)</f>
        <v>0</v>
      </c>
      <c r="E62" s="17">
        <f>IF($F$3="1",SUMIF(Data!$A:$A,$A$2,Data!JP:JP),0)</f>
        <v>0</v>
      </c>
      <c r="F62" s="21" t="str">
        <f t="shared" si="3"/>
        <v/>
      </c>
    </row>
    <row r="63" spans="1:6" ht="15.75" customHeight="1" thickBot="1" x14ac:dyDescent="0.25">
      <c r="A63" s="22">
        <v>29</v>
      </c>
      <c r="B63" s="179" t="s">
        <v>25</v>
      </c>
      <c r="C63" s="180"/>
      <c r="D63" s="23">
        <f>IF(F3="1",SUMIF(Data!A:A,'21'!$A$2,Data!DW:DW),0)</f>
        <v>0</v>
      </c>
      <c r="E63" s="24">
        <f>IF($F$3="1",SUMIF(Data!$A:$A,$A$2,Data!JQ:JQ),0)</f>
        <v>0</v>
      </c>
      <c r="F63" s="25" t="str">
        <f t="shared" si="3"/>
        <v/>
      </c>
    </row>
    <row r="64" spans="1:6" x14ac:dyDescent="0.2">
      <c r="B64" s="30" t="s">
        <v>35</v>
      </c>
      <c r="C64" s="30"/>
      <c r="D64" s="59">
        <f>SUM(D36:D63)</f>
        <v>16047833</v>
      </c>
      <c r="E64" s="31">
        <f>SUM(E36:E63)</f>
        <v>20042613</v>
      </c>
      <c r="F64" s="32">
        <f t="shared" si="3"/>
        <v>1.25</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93478</v>
      </c>
      <c r="E67" s="15">
        <f>IF(F3="1",SUMIF(Data!A:A,'21'!$A$2,Data!DY:DY),0)</f>
        <v>287799</v>
      </c>
      <c r="F67" s="20">
        <f t="shared" ref="F67:F95" si="4">IF(OR(D67=0,E67=0),"",ROUND(E67/D67,2))</f>
        <v>3.08</v>
      </c>
    </row>
    <row r="68" spans="1:6" x14ac:dyDescent="0.2">
      <c r="A68" s="19">
        <v>2</v>
      </c>
      <c r="B68" s="177" t="s">
        <v>1</v>
      </c>
      <c r="C68" s="178"/>
      <c r="D68" s="14">
        <f t="shared" ref="D68:D94" si="5">D37</f>
        <v>628156</v>
      </c>
      <c r="E68" s="17">
        <f>IF(F3="1",SUMIF(Data!A:A,'21'!$A$2,Data!DZ:DZ),0)</f>
        <v>1367618</v>
      </c>
      <c r="F68" s="21">
        <f t="shared" si="4"/>
        <v>2.1800000000000002</v>
      </c>
    </row>
    <row r="69" spans="1:6" ht="14.25" customHeight="1" x14ac:dyDescent="0.2">
      <c r="A69" s="19">
        <v>3</v>
      </c>
      <c r="B69" s="177" t="s">
        <v>2</v>
      </c>
      <c r="C69" s="178"/>
      <c r="D69" s="14">
        <f t="shared" si="5"/>
        <v>1477760</v>
      </c>
      <c r="E69" s="17">
        <f>IF(F3="1",SUMIF(Data!A:A,'21'!$A$2,Data!EA:EA),0)</f>
        <v>3802267</v>
      </c>
      <c r="F69" s="21">
        <f t="shared" si="4"/>
        <v>2.57</v>
      </c>
    </row>
    <row r="70" spans="1:6" ht="14.25" customHeight="1" x14ac:dyDescent="0.2">
      <c r="A70" s="19">
        <v>4</v>
      </c>
      <c r="B70" s="177" t="s">
        <v>3</v>
      </c>
      <c r="C70" s="178"/>
      <c r="D70" s="14">
        <f t="shared" si="5"/>
        <v>1637439</v>
      </c>
      <c r="E70" s="17">
        <f>IF(F3="1",SUMIF(Data!A:A,'21'!$A$2,Data!EB:EB),0)</f>
        <v>4446658</v>
      </c>
      <c r="F70" s="21">
        <f t="shared" si="4"/>
        <v>2.72</v>
      </c>
    </row>
    <row r="71" spans="1:6" x14ac:dyDescent="0.2">
      <c r="A71" s="19">
        <v>5</v>
      </c>
      <c r="B71" s="177" t="s">
        <v>4</v>
      </c>
      <c r="C71" s="178"/>
      <c r="D71" s="14">
        <f t="shared" si="5"/>
        <v>0</v>
      </c>
      <c r="E71" s="17">
        <f>IF(F3="1",SUMIF(Data!A:A,'21'!$A$2,Data!EC:EC),0)</f>
        <v>0</v>
      </c>
      <c r="F71" s="21" t="str">
        <f t="shared" si="4"/>
        <v/>
      </c>
    </row>
    <row r="72" spans="1:6" x14ac:dyDescent="0.2">
      <c r="A72" s="19">
        <v>6</v>
      </c>
      <c r="B72" s="177" t="s">
        <v>5</v>
      </c>
      <c r="C72" s="178"/>
      <c r="D72" s="14">
        <f t="shared" si="5"/>
        <v>96923</v>
      </c>
      <c r="E72" s="17">
        <f>IF(F3="1",SUMIF(Data!A:A,'21'!$A$2,Data!ED:ED),0)</f>
        <v>442661</v>
      </c>
      <c r="F72" s="21">
        <f t="shared" si="4"/>
        <v>4.57</v>
      </c>
    </row>
    <row r="73" spans="1:6" x14ac:dyDescent="0.2">
      <c r="A73" s="19">
        <v>7</v>
      </c>
      <c r="B73" s="177" t="s">
        <v>6</v>
      </c>
      <c r="C73" s="178"/>
      <c r="D73" s="14">
        <f t="shared" si="5"/>
        <v>556072</v>
      </c>
      <c r="E73" s="17">
        <f>IF(F3="1",SUMIF(Data!A:A,'21'!$A$2,Data!EE:EE),0)</f>
        <v>2267504</v>
      </c>
      <c r="F73" s="21">
        <f t="shared" si="4"/>
        <v>4.08</v>
      </c>
    </row>
    <row r="74" spans="1:6" x14ac:dyDescent="0.2">
      <c r="A74" s="19">
        <v>8</v>
      </c>
      <c r="B74" s="177" t="s">
        <v>7</v>
      </c>
      <c r="C74" s="178"/>
      <c r="D74" s="14">
        <f t="shared" si="5"/>
        <v>472967</v>
      </c>
      <c r="E74" s="17">
        <f>IF(F3="1",SUMIF(Data!A:A,'21'!$A$2,Data!EF:EF),0)</f>
        <v>883360</v>
      </c>
      <c r="F74" s="21">
        <f t="shared" si="4"/>
        <v>1.87</v>
      </c>
    </row>
    <row r="75" spans="1:6" x14ac:dyDescent="0.2">
      <c r="A75" s="19">
        <v>9</v>
      </c>
      <c r="B75" s="177" t="s">
        <v>8</v>
      </c>
      <c r="C75" s="178"/>
      <c r="D75" s="14">
        <f t="shared" si="5"/>
        <v>428669</v>
      </c>
      <c r="E75" s="17">
        <f>IF(F3="1",SUMIF(Data!A:A,'21'!$A$2,Data!EG:EG),0)</f>
        <v>1285926</v>
      </c>
      <c r="F75" s="21">
        <f t="shared" si="4"/>
        <v>3</v>
      </c>
    </row>
    <row r="76" spans="1:6" x14ac:dyDescent="0.2">
      <c r="A76" s="19">
        <v>10</v>
      </c>
      <c r="B76" s="177" t="s">
        <v>9</v>
      </c>
      <c r="C76" s="178"/>
      <c r="D76" s="14">
        <f t="shared" si="5"/>
        <v>0</v>
      </c>
      <c r="E76" s="17">
        <f>IF(F3="1",SUMIF(Data!A:A,'21'!$A$2,Data!EH:EH),0)</f>
        <v>0</v>
      </c>
      <c r="F76" s="21" t="str">
        <f t="shared" si="4"/>
        <v/>
      </c>
    </row>
    <row r="77" spans="1:6" x14ac:dyDescent="0.2">
      <c r="A77" s="19">
        <v>11</v>
      </c>
      <c r="B77" s="177" t="s">
        <v>10</v>
      </c>
      <c r="C77" s="178"/>
      <c r="D77" s="14">
        <f t="shared" si="5"/>
        <v>336924</v>
      </c>
      <c r="E77" s="17">
        <f>IF(F3="1",SUMIF(Data!A:A,'21'!$A$2,Data!EI:EI),0)</f>
        <v>1289181</v>
      </c>
      <c r="F77" s="21">
        <f t="shared" si="4"/>
        <v>3.83</v>
      </c>
    </row>
    <row r="78" spans="1:6" ht="14.25" customHeight="1" x14ac:dyDescent="0.2">
      <c r="A78" s="19">
        <v>12</v>
      </c>
      <c r="B78" s="177" t="s">
        <v>11</v>
      </c>
      <c r="C78" s="178"/>
      <c r="D78" s="14">
        <f t="shared" si="5"/>
        <v>2938584</v>
      </c>
      <c r="E78" s="17">
        <f>IF(F3="1",SUMIF(Data!A:A,'21'!$A$2,Data!EJ:EJ),0)</f>
        <v>8230702</v>
      </c>
      <c r="F78" s="21">
        <f t="shared" si="4"/>
        <v>2.8</v>
      </c>
    </row>
    <row r="79" spans="1:6" x14ac:dyDescent="0.2">
      <c r="A79" s="19">
        <v>13</v>
      </c>
      <c r="B79" s="177" t="s">
        <v>12</v>
      </c>
      <c r="C79" s="178"/>
      <c r="D79" s="14">
        <f t="shared" si="5"/>
        <v>235047</v>
      </c>
      <c r="E79" s="17">
        <f>IF(F3="1",SUMIF(Data!A:A,'21'!$A$2,Data!EK:EK),0)</f>
        <v>836541</v>
      </c>
      <c r="F79" s="21">
        <f t="shared" si="4"/>
        <v>3.56</v>
      </c>
    </row>
    <row r="80" spans="1:6" ht="14.25" customHeight="1" x14ac:dyDescent="0.2">
      <c r="A80" s="19">
        <v>14</v>
      </c>
      <c r="B80" s="177" t="s">
        <v>464</v>
      </c>
      <c r="C80" s="178"/>
      <c r="D80" s="14">
        <f t="shared" si="5"/>
        <v>199376</v>
      </c>
      <c r="E80" s="17">
        <f>IF(F3="1",SUMIF(Data!A:A,'21'!$A$2,Data!EL:EL),0)</f>
        <v>1797541</v>
      </c>
      <c r="F80" s="21">
        <f t="shared" si="4"/>
        <v>9.02</v>
      </c>
    </row>
    <row r="81" spans="1:6" x14ac:dyDescent="0.2">
      <c r="A81" s="19">
        <v>15</v>
      </c>
      <c r="B81" s="177" t="s">
        <v>13</v>
      </c>
      <c r="C81" s="178"/>
      <c r="D81" s="14">
        <f t="shared" si="5"/>
        <v>352</v>
      </c>
      <c r="E81" s="17">
        <f>IF(F3="1",SUMIF(Data!A:A,'21'!$A$2,Data!EM:EM),0)</f>
        <v>1636</v>
      </c>
      <c r="F81" s="21">
        <f t="shared" si="4"/>
        <v>4.6500000000000004</v>
      </c>
    </row>
    <row r="82" spans="1:6" x14ac:dyDescent="0.2">
      <c r="A82" s="19">
        <v>16</v>
      </c>
      <c r="B82" s="177" t="s">
        <v>14</v>
      </c>
      <c r="C82" s="178"/>
      <c r="D82" s="14">
        <f t="shared" si="5"/>
        <v>543681</v>
      </c>
      <c r="E82" s="17">
        <f>IF(F3="1",SUMIF(Data!A:A,'21'!$A$2,Data!EN:EN),0)</f>
        <v>2527527</v>
      </c>
      <c r="F82" s="21">
        <f t="shared" si="4"/>
        <v>4.6500000000000004</v>
      </c>
    </row>
    <row r="83" spans="1:6" x14ac:dyDescent="0.2">
      <c r="A83" s="19">
        <v>17</v>
      </c>
      <c r="B83" s="177" t="s">
        <v>15</v>
      </c>
      <c r="C83" s="178"/>
      <c r="D83" s="14">
        <f t="shared" si="5"/>
        <v>77408</v>
      </c>
      <c r="E83" s="17">
        <f>IF(F3="1",SUMIF(Data!A:A,'21'!$A$2,Data!EO:EO),0)</f>
        <v>525547</v>
      </c>
      <c r="F83" s="21">
        <f t="shared" si="4"/>
        <v>6.79</v>
      </c>
    </row>
    <row r="84" spans="1:6" x14ac:dyDescent="0.2">
      <c r="A84" s="19">
        <v>18</v>
      </c>
      <c r="B84" s="177" t="s">
        <v>16</v>
      </c>
      <c r="C84" s="178"/>
      <c r="D84" s="14">
        <f t="shared" si="5"/>
        <v>98896</v>
      </c>
      <c r="E84" s="17">
        <f>IF(F3="1",SUMIF(Data!A:A,'21'!$A$2,Data!EP:EP),0)</f>
        <v>518074</v>
      </c>
      <c r="F84" s="21">
        <f t="shared" si="4"/>
        <v>5.24</v>
      </c>
    </row>
    <row r="85" spans="1:6" x14ac:dyDescent="0.2">
      <c r="A85" s="19">
        <v>19</v>
      </c>
      <c r="B85" s="177" t="s">
        <v>17</v>
      </c>
      <c r="C85" s="178"/>
      <c r="D85" s="14">
        <f t="shared" si="5"/>
        <v>1757256</v>
      </c>
      <c r="E85" s="17">
        <f>IF(F3="1",SUMIF(Data!A:A,'21'!$A$2,Data!EQ:EQ),0)</f>
        <v>4344728</v>
      </c>
      <c r="F85" s="21">
        <f t="shared" si="4"/>
        <v>2.4700000000000002</v>
      </c>
    </row>
    <row r="86" spans="1:6" x14ac:dyDescent="0.2">
      <c r="A86" s="19">
        <v>20</v>
      </c>
      <c r="B86" s="177" t="s">
        <v>18</v>
      </c>
      <c r="C86" s="178"/>
      <c r="D86" s="14">
        <f t="shared" si="5"/>
        <v>224967</v>
      </c>
      <c r="E86" s="17">
        <f>IF(F3="1",SUMIF(Data!A:A,'21'!$A$2,Data!ER:ER),0)</f>
        <v>1223360</v>
      </c>
      <c r="F86" s="21">
        <f t="shared" si="4"/>
        <v>5.44</v>
      </c>
    </row>
    <row r="87" spans="1:6" ht="14.25" customHeight="1" x14ac:dyDescent="0.2">
      <c r="A87" s="19">
        <v>21</v>
      </c>
      <c r="B87" s="177" t="s">
        <v>461</v>
      </c>
      <c r="C87" s="178"/>
      <c r="D87" s="14">
        <f t="shared" si="5"/>
        <v>748496</v>
      </c>
      <c r="E87" s="17">
        <f>IF(F3="1",SUMIF(Data!A:A,'21'!$A$2,Data!ES:ES),0)</f>
        <v>64489</v>
      </c>
      <c r="F87" s="21">
        <f t="shared" si="4"/>
        <v>0.09</v>
      </c>
    </row>
    <row r="88" spans="1:6" x14ac:dyDescent="0.2">
      <c r="A88" s="19">
        <v>22</v>
      </c>
      <c r="B88" s="177" t="s">
        <v>19</v>
      </c>
      <c r="C88" s="178"/>
      <c r="D88" s="14">
        <f t="shared" si="5"/>
        <v>65396</v>
      </c>
      <c r="E88" s="17">
        <f>IF(F3="1",SUMIF(Data!A:A,'21'!$A$2,Data!ET:ET),0)</f>
        <v>902344</v>
      </c>
      <c r="F88" s="21">
        <f t="shared" si="4"/>
        <v>13.8</v>
      </c>
    </row>
    <row r="89" spans="1:6" x14ac:dyDescent="0.2">
      <c r="A89" s="19">
        <v>23</v>
      </c>
      <c r="B89" s="177" t="s">
        <v>20</v>
      </c>
      <c r="C89" s="178"/>
      <c r="D89" s="14">
        <f t="shared" si="5"/>
        <v>57072</v>
      </c>
      <c r="E89" s="17">
        <f>IF(F3="1",SUMIF(Data!A:A,'21'!$A$2,Data!EU:EU),0)</f>
        <v>194952</v>
      </c>
      <c r="F89" s="21">
        <f t="shared" si="4"/>
        <v>3.42</v>
      </c>
    </row>
    <row r="90" spans="1:6" x14ac:dyDescent="0.2">
      <c r="A90" s="19">
        <v>24</v>
      </c>
      <c r="B90" s="177" t="s">
        <v>21</v>
      </c>
      <c r="C90" s="178"/>
      <c r="D90" s="14">
        <f t="shared" si="5"/>
        <v>279084</v>
      </c>
      <c r="E90" s="17">
        <f>IF(F3="1",SUMIF(Data!A:A,'21'!$A$2,Data!EV:EV),0)</f>
        <v>1107036</v>
      </c>
      <c r="F90" s="21">
        <f t="shared" si="4"/>
        <v>3.97</v>
      </c>
    </row>
    <row r="91" spans="1:6" x14ac:dyDescent="0.2">
      <c r="A91" s="19">
        <v>25</v>
      </c>
      <c r="B91" s="177" t="s">
        <v>22</v>
      </c>
      <c r="C91" s="178"/>
      <c r="D91" s="14">
        <f t="shared" si="5"/>
        <v>2469558</v>
      </c>
      <c r="E91" s="17">
        <f>IF(F3="1",SUMIF(Data!A:A,'21'!$A$2,Data!EW:EW),0)</f>
        <v>6304734</v>
      </c>
      <c r="F91" s="21">
        <f t="shared" si="4"/>
        <v>2.5499999999999998</v>
      </c>
    </row>
    <row r="92" spans="1:6" x14ac:dyDescent="0.2">
      <c r="A92" s="19">
        <v>26</v>
      </c>
      <c r="B92" s="177" t="s">
        <v>23</v>
      </c>
      <c r="C92" s="178"/>
      <c r="D92" s="14">
        <f t="shared" si="5"/>
        <v>624272</v>
      </c>
      <c r="E92" s="17">
        <f>IF(F3="1",SUMIF(Data!A:A,'21'!$A$2,Data!EX:EX),0)</f>
        <v>2837026</v>
      </c>
      <c r="F92" s="21">
        <f t="shared" si="4"/>
        <v>4.54</v>
      </c>
    </row>
    <row r="93" spans="1:6" x14ac:dyDescent="0.2">
      <c r="A93" s="19">
        <v>28</v>
      </c>
      <c r="B93" s="177" t="s">
        <v>24</v>
      </c>
      <c r="C93" s="178"/>
      <c r="D93" s="14">
        <f t="shared" si="5"/>
        <v>0</v>
      </c>
      <c r="E93" s="17">
        <f>IF(F3="1",SUMIF(Data!A:A,'21'!$A$2,Data!EZ:EZ),0)</f>
        <v>0</v>
      </c>
      <c r="F93" s="21" t="str">
        <f t="shared" si="4"/>
        <v/>
      </c>
    </row>
    <row r="94" spans="1:6" ht="15.75" customHeight="1" thickBot="1" x14ac:dyDescent="0.25">
      <c r="A94" s="22">
        <v>29</v>
      </c>
      <c r="B94" s="179" t="s">
        <v>25</v>
      </c>
      <c r="C94" s="180"/>
      <c r="D94" s="23">
        <f t="shared" si="5"/>
        <v>0</v>
      </c>
      <c r="E94" s="24">
        <f>IF(F3="1",SUMIF(Data!A:A,'21'!$A$2,Data!FA:FA),0)</f>
        <v>0</v>
      </c>
      <c r="F94" s="25" t="str">
        <f t="shared" si="4"/>
        <v/>
      </c>
    </row>
    <row r="95" spans="1:6" x14ac:dyDescent="0.2">
      <c r="B95" s="30" t="s">
        <v>35</v>
      </c>
      <c r="C95" s="30"/>
      <c r="D95" s="59">
        <f>SUM(D67:D94)</f>
        <v>16047833</v>
      </c>
      <c r="E95" s="31">
        <f>SUM(E67:E94)</f>
        <v>47489211</v>
      </c>
      <c r="F95" s="32">
        <f t="shared" si="4"/>
        <v>2.96</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IF(F3="1",SUMIF(Data!A:A,'21'!$A$2,Data!AH:AH),0)</f>
        <v>30210364</v>
      </c>
      <c r="F98" s="20">
        <f>IF(OR(E98=0,E98=0),"",ROUND(E98/$D$105,2))</f>
        <v>1.88</v>
      </c>
    </row>
    <row r="99" spans="2:6" x14ac:dyDescent="0.2">
      <c r="B99" s="183" t="s">
        <v>31</v>
      </c>
      <c r="C99" s="184"/>
      <c r="D99" s="36"/>
      <c r="E99" s="17">
        <f>IF(F3="1",SUMIF(Data!A:A,'21'!$A$2,Data!AI:AI),0)</f>
        <v>17116180</v>
      </c>
      <c r="F99" s="21">
        <f t="shared" ref="F99:F104" si="6">IF(OR(E99=0,E99=0),"",ROUND(E99/$D$105,2))</f>
        <v>1.07</v>
      </c>
    </row>
    <row r="100" spans="2:6" x14ac:dyDescent="0.2">
      <c r="B100" s="183" t="s">
        <v>1078</v>
      </c>
      <c r="C100" s="184"/>
      <c r="D100" s="36"/>
      <c r="E100" s="17">
        <f>IF(F3="1",SUMIF(Data!A:A,'21'!$A$2,Data!AJ:AJ),0)</f>
        <v>3458865</v>
      </c>
      <c r="F100" s="21">
        <f t="shared" si="6"/>
        <v>0.22</v>
      </c>
    </row>
    <row r="101" spans="2:6" x14ac:dyDescent="0.2">
      <c r="B101" s="183" t="s">
        <v>1079</v>
      </c>
      <c r="C101" s="184"/>
      <c r="D101" s="36"/>
      <c r="E101" s="17">
        <f>IF(F3="1",SUMIF(Data!A:A,'21'!$A$2,Data!AK:AK),0)</f>
        <v>1686574</v>
      </c>
      <c r="F101" s="21">
        <f t="shared" si="6"/>
        <v>0.11</v>
      </c>
    </row>
    <row r="102" spans="2:6" x14ac:dyDescent="0.2">
      <c r="B102" s="183" t="s">
        <v>1080</v>
      </c>
      <c r="C102" s="184"/>
      <c r="D102" s="36"/>
      <c r="E102" s="17">
        <f>IF(F3="1",SUMIF(Data!A:A,'21'!$A$2,Data!AL:AL),0)</f>
        <v>0</v>
      </c>
      <c r="F102" s="21" t="str">
        <f t="shared" si="6"/>
        <v/>
      </c>
    </row>
    <row r="103" spans="2:6" x14ac:dyDescent="0.2">
      <c r="B103" s="185" t="s">
        <v>34</v>
      </c>
      <c r="C103" s="186"/>
      <c r="D103" s="36"/>
      <c r="E103" s="17">
        <f>IF(F3="1",SUMIF(Data!A:A,'21'!$A$2,Data!AM:AM),0)</f>
        <v>0</v>
      </c>
      <c r="F103" s="21" t="str">
        <f t="shared" si="6"/>
        <v/>
      </c>
    </row>
    <row r="104" spans="2:6" ht="15.75" customHeight="1" thickBot="1" x14ac:dyDescent="0.25">
      <c r="B104" s="175" t="s">
        <v>29</v>
      </c>
      <c r="C104" s="176"/>
      <c r="D104" s="37"/>
      <c r="E104" s="24">
        <f>IF(F3="1",SUMIF(Data!A:A,'21'!$A$2,Data!Q:Q),0)</f>
        <v>1614250</v>
      </c>
      <c r="F104" s="25">
        <f t="shared" si="6"/>
        <v>0.1</v>
      </c>
    </row>
    <row r="105" spans="2:6" x14ac:dyDescent="0.2">
      <c r="B105" s="30" t="s">
        <v>35</v>
      </c>
      <c r="C105" s="30"/>
      <c r="D105" s="34">
        <f>D95</f>
        <v>16047833</v>
      </c>
      <c r="E105" s="31">
        <f>SUM(E98:E104)</f>
        <v>54086233</v>
      </c>
      <c r="F105" s="32">
        <f>IF($D$105=0,"",ROUND(E105/$D$105,2))</f>
        <v>3.37</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47489211</v>
      </c>
      <c r="D109" s="15">
        <f>IF(F3="1",SUMIF(Data!$A:$A,$A$2,Data!HJ:HJ),0)</f>
        <v>0</v>
      </c>
      <c r="E109" s="15">
        <f>IF(F3="1",SUMIF(Data!$A:$A,$A$2,Data!IN:IN),0)</f>
        <v>0</v>
      </c>
      <c r="F109" s="47">
        <f>SUM(C109:E109)</f>
        <v>47489211</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1614250</v>
      </c>
      <c r="E117" s="52"/>
      <c r="F117" s="49">
        <f>SUM(C117:E117)</f>
        <v>1614250</v>
      </c>
    </row>
    <row r="118" spans="1:6" x14ac:dyDescent="0.2">
      <c r="B118" s="13" t="s">
        <v>35</v>
      </c>
      <c r="C118" s="4">
        <f>SUM(C109:C116)</f>
        <v>47489211</v>
      </c>
      <c r="D118" s="4">
        <f>SUM(D109:D116)</f>
        <v>0</v>
      </c>
      <c r="E118" s="4">
        <f>SUM(E109:E116)</f>
        <v>0</v>
      </c>
      <c r="F118" s="4">
        <f>SUM(F109:F116)</f>
        <v>47489211</v>
      </c>
    </row>
    <row r="119" spans="1:6" ht="15" thickBot="1" x14ac:dyDescent="0.25"/>
    <row r="120" spans="1:6" ht="15" thickBot="1" x14ac:dyDescent="0.25">
      <c r="B120" s="55" t="s">
        <v>934</v>
      </c>
      <c r="C120" s="53"/>
      <c r="D120" s="53"/>
      <c r="E120" s="53">
        <f>IF(F3="1",SUMIF(Data!A:A,'21'!$A$2,Data!AM:AM),0)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42578125" style="10" bestFit="1" customWidth="1"/>
    <col min="13"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374</v>
      </c>
      <c r="B2" s="58" t="str">
        <f>VLOOKUP(A2,Data!A:G,7,0)</f>
        <v>Howard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64773</v>
      </c>
      <c r="E5" s="15">
        <f>E36+E67+IFERROR($E$105/$D$105*D5,0)</f>
        <v>379712.52763889468</v>
      </c>
      <c r="F5" s="20">
        <f>IF(OR(D5=0,E5=0),"",ROUND(E5/D5,2))</f>
        <v>5.86</v>
      </c>
    </row>
    <row r="6" spans="1:6" x14ac:dyDescent="0.2">
      <c r="A6" s="19">
        <v>2</v>
      </c>
      <c r="B6" s="177" t="s">
        <v>1</v>
      </c>
      <c r="C6" s="178"/>
      <c r="D6" s="14">
        <f t="shared" ref="D6:D32" si="0">D37</f>
        <v>66601</v>
      </c>
      <c r="E6" s="17">
        <f t="shared" ref="E6:E32" si="1">E37+E68+IFERROR($E$105/$D$105*D6,0)</f>
        <v>247429.76777790167</v>
      </c>
      <c r="F6" s="21">
        <f t="shared" ref="F6:F33" si="2">IF(OR(D6=0,E6=0),"",ROUND(E6/D6,2))</f>
        <v>3.72</v>
      </c>
    </row>
    <row r="7" spans="1:6" ht="14.25" customHeight="1" x14ac:dyDescent="0.2">
      <c r="A7" s="19">
        <v>3</v>
      </c>
      <c r="B7" s="177" t="s">
        <v>2</v>
      </c>
      <c r="C7" s="178"/>
      <c r="D7" s="14">
        <f t="shared" si="0"/>
        <v>94880</v>
      </c>
      <c r="E7" s="17">
        <f t="shared" si="1"/>
        <v>510262.76388894027</v>
      </c>
      <c r="F7" s="21">
        <f t="shared" si="2"/>
        <v>5.38</v>
      </c>
    </row>
    <row r="8" spans="1:6" ht="14.25" customHeight="1" x14ac:dyDescent="0.2">
      <c r="A8" s="19">
        <v>4</v>
      </c>
      <c r="B8" s="177" t="s">
        <v>3</v>
      </c>
      <c r="C8" s="178"/>
      <c r="D8" s="14">
        <f t="shared" si="0"/>
        <v>267356</v>
      </c>
      <c r="E8" s="17">
        <f t="shared" si="1"/>
        <v>986976.16553848563</v>
      </c>
      <c r="F8" s="21">
        <f t="shared" si="2"/>
        <v>3.69</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576</v>
      </c>
      <c r="E10" s="17">
        <f t="shared" si="1"/>
        <v>2161.8218381116103</v>
      </c>
      <c r="F10" s="21">
        <f t="shared" si="2"/>
        <v>3.75</v>
      </c>
    </row>
    <row r="11" spans="1:6" x14ac:dyDescent="0.2">
      <c r="A11" s="19">
        <v>7</v>
      </c>
      <c r="B11" s="177" t="s">
        <v>6</v>
      </c>
      <c r="C11" s="178"/>
      <c r="D11" s="14">
        <f t="shared" si="0"/>
        <v>175965</v>
      </c>
      <c r="E11" s="17">
        <f t="shared" si="1"/>
        <v>785696.96830435679</v>
      </c>
      <c r="F11" s="21">
        <f t="shared" si="2"/>
        <v>4.47</v>
      </c>
    </row>
    <row r="12" spans="1:6" x14ac:dyDescent="0.2">
      <c r="A12" s="19">
        <v>8</v>
      </c>
      <c r="B12" s="177" t="s">
        <v>7</v>
      </c>
      <c r="C12" s="178"/>
      <c r="D12" s="14">
        <f t="shared" si="0"/>
        <v>121554</v>
      </c>
      <c r="E12" s="17">
        <f t="shared" si="1"/>
        <v>556361.0272739908</v>
      </c>
      <c r="F12" s="21">
        <f t="shared" si="2"/>
        <v>4.58</v>
      </c>
    </row>
    <row r="13" spans="1:6" x14ac:dyDescent="0.2">
      <c r="A13" s="19">
        <v>9</v>
      </c>
      <c r="B13" s="177" t="s">
        <v>8</v>
      </c>
      <c r="C13" s="178"/>
      <c r="D13" s="14">
        <f t="shared" si="0"/>
        <v>166975</v>
      </c>
      <c r="E13" s="17">
        <f t="shared" si="1"/>
        <v>525063.92954633012</v>
      </c>
      <c r="F13" s="21">
        <f t="shared" si="2"/>
        <v>3.14</v>
      </c>
    </row>
    <row r="14" spans="1:6" x14ac:dyDescent="0.2">
      <c r="A14" s="19">
        <v>10</v>
      </c>
      <c r="B14" s="177" t="s">
        <v>9</v>
      </c>
      <c r="C14" s="178"/>
      <c r="D14" s="14">
        <f t="shared" si="0"/>
        <v>0</v>
      </c>
      <c r="E14" s="17">
        <f t="shared" si="1"/>
        <v>0</v>
      </c>
      <c r="F14" s="21" t="str">
        <f t="shared" si="2"/>
        <v/>
      </c>
    </row>
    <row r="15" spans="1:6" x14ac:dyDescent="0.2">
      <c r="A15" s="19">
        <v>11</v>
      </c>
      <c r="B15" s="177" t="s">
        <v>10</v>
      </c>
      <c r="C15" s="178"/>
      <c r="D15" s="14">
        <f t="shared" si="0"/>
        <v>105397</v>
      </c>
      <c r="E15" s="17">
        <f t="shared" si="1"/>
        <v>474027.85116571072</v>
      </c>
      <c r="F15" s="21">
        <f t="shared" si="2"/>
        <v>4.5</v>
      </c>
    </row>
    <row r="16" spans="1:6" ht="14.25" customHeight="1" x14ac:dyDescent="0.2">
      <c r="A16" s="19">
        <v>12</v>
      </c>
      <c r="B16" s="177" t="s">
        <v>11</v>
      </c>
      <c r="C16" s="178"/>
      <c r="D16" s="14">
        <f t="shared" si="0"/>
        <v>251797</v>
      </c>
      <c r="E16" s="17">
        <f t="shared" si="1"/>
        <v>1161823.901685745</v>
      </c>
      <c r="F16" s="21">
        <f t="shared" si="2"/>
        <v>4.6100000000000003</v>
      </c>
    </row>
    <row r="17" spans="1:6" x14ac:dyDescent="0.2">
      <c r="A17" s="19">
        <v>13</v>
      </c>
      <c r="B17" s="177" t="s">
        <v>12</v>
      </c>
      <c r="C17" s="178"/>
      <c r="D17" s="14">
        <f t="shared" si="0"/>
        <v>15648</v>
      </c>
      <c r="E17" s="17">
        <f t="shared" si="1"/>
        <v>42970.493268698745</v>
      </c>
      <c r="F17" s="21">
        <f t="shared" si="2"/>
        <v>2.75</v>
      </c>
    </row>
    <row r="18" spans="1:6" ht="14.25" customHeight="1" x14ac:dyDescent="0.2">
      <c r="A18" s="19">
        <v>14</v>
      </c>
      <c r="B18" s="177" t="s">
        <v>464</v>
      </c>
      <c r="C18" s="178"/>
      <c r="D18" s="14">
        <f t="shared" si="0"/>
        <v>14970</v>
      </c>
      <c r="E18" s="17">
        <f t="shared" si="1"/>
        <v>93657.161313421544</v>
      </c>
      <c r="F18" s="21">
        <f t="shared" si="2"/>
        <v>6.26</v>
      </c>
    </row>
    <row r="19" spans="1:6" x14ac:dyDescent="0.2">
      <c r="A19" s="19">
        <v>15</v>
      </c>
      <c r="B19" s="177" t="s">
        <v>13</v>
      </c>
      <c r="C19" s="178"/>
      <c r="D19" s="14">
        <f t="shared" si="0"/>
        <v>17680</v>
      </c>
      <c r="E19" s="17">
        <f t="shared" si="1"/>
        <v>205272.75364203693</v>
      </c>
      <c r="F19" s="21">
        <f t="shared" si="2"/>
        <v>11.61</v>
      </c>
    </row>
    <row r="20" spans="1:6" x14ac:dyDescent="0.2">
      <c r="A20" s="19">
        <v>16</v>
      </c>
      <c r="B20" s="177" t="s">
        <v>14</v>
      </c>
      <c r="C20" s="178"/>
      <c r="D20" s="14">
        <f t="shared" si="0"/>
        <v>117587</v>
      </c>
      <c r="E20" s="17">
        <f t="shared" si="1"/>
        <v>851220.67791324644</v>
      </c>
      <c r="F20" s="21">
        <f t="shared" si="2"/>
        <v>7.24</v>
      </c>
    </row>
    <row r="21" spans="1:6" x14ac:dyDescent="0.2">
      <c r="A21" s="19">
        <v>17</v>
      </c>
      <c r="B21" s="177" t="s">
        <v>15</v>
      </c>
      <c r="C21" s="178"/>
      <c r="D21" s="14">
        <f t="shared" si="0"/>
        <v>19200</v>
      </c>
      <c r="E21" s="17">
        <f t="shared" si="1"/>
        <v>129055.72793705369</v>
      </c>
      <c r="F21" s="21">
        <f t="shared" si="2"/>
        <v>6.72</v>
      </c>
    </row>
    <row r="22" spans="1:6" x14ac:dyDescent="0.2">
      <c r="A22" s="19">
        <v>18</v>
      </c>
      <c r="B22" s="177" t="s">
        <v>16</v>
      </c>
      <c r="C22" s="178"/>
      <c r="D22" s="14">
        <f t="shared" si="0"/>
        <v>7176</v>
      </c>
      <c r="E22" s="17">
        <f t="shared" si="1"/>
        <v>79140.947066473818</v>
      </c>
      <c r="F22" s="21">
        <f t="shared" si="2"/>
        <v>11.03</v>
      </c>
    </row>
    <row r="23" spans="1:6" x14ac:dyDescent="0.2">
      <c r="A23" s="19">
        <v>19</v>
      </c>
      <c r="B23" s="177" t="s">
        <v>17</v>
      </c>
      <c r="C23" s="178"/>
      <c r="D23" s="14">
        <f t="shared" si="0"/>
        <v>98636</v>
      </c>
      <c r="E23" s="17">
        <f t="shared" si="1"/>
        <v>433605.01879162638</v>
      </c>
      <c r="F23" s="21">
        <f t="shared" si="2"/>
        <v>4.4000000000000004</v>
      </c>
    </row>
    <row r="24" spans="1:6" x14ac:dyDescent="0.2">
      <c r="A24" s="19">
        <v>20</v>
      </c>
      <c r="B24" s="177" t="s">
        <v>18</v>
      </c>
      <c r="C24" s="178"/>
      <c r="D24" s="14">
        <f t="shared" si="0"/>
        <v>0</v>
      </c>
      <c r="E24" s="17">
        <f t="shared" si="1"/>
        <v>0</v>
      </c>
      <c r="F24" s="21" t="str">
        <f t="shared" si="2"/>
        <v/>
      </c>
    </row>
    <row r="25" spans="1:6" ht="14.25" customHeight="1" x14ac:dyDescent="0.2">
      <c r="A25" s="19">
        <v>21</v>
      </c>
      <c r="B25" s="177" t="s">
        <v>461</v>
      </c>
      <c r="C25" s="178"/>
      <c r="D25" s="14">
        <f t="shared" si="0"/>
        <v>7499</v>
      </c>
      <c r="E25" s="17">
        <f t="shared" si="1"/>
        <v>18570.229104164871</v>
      </c>
      <c r="F25" s="21">
        <f t="shared" si="2"/>
        <v>2.48</v>
      </c>
    </row>
    <row r="26" spans="1:6" x14ac:dyDescent="0.2">
      <c r="A26" s="19">
        <v>22</v>
      </c>
      <c r="B26" s="177" t="s">
        <v>19</v>
      </c>
      <c r="C26" s="178"/>
      <c r="D26" s="14">
        <f t="shared" si="0"/>
        <v>8978</v>
      </c>
      <c r="E26" s="17">
        <f t="shared" si="1"/>
        <v>21084.625803066039</v>
      </c>
      <c r="F26" s="21">
        <f t="shared" si="2"/>
        <v>2.35</v>
      </c>
    </row>
    <row r="27" spans="1:6" x14ac:dyDescent="0.2">
      <c r="A27" s="19">
        <v>23</v>
      </c>
      <c r="B27" s="177" t="s">
        <v>20</v>
      </c>
      <c r="C27" s="178"/>
      <c r="D27" s="14">
        <f t="shared" si="0"/>
        <v>40240</v>
      </c>
      <c r="E27" s="17">
        <f t="shared" si="1"/>
        <v>465930.10896807502</v>
      </c>
      <c r="F27" s="21">
        <f t="shared" si="2"/>
        <v>11.58</v>
      </c>
    </row>
    <row r="28" spans="1:6" x14ac:dyDescent="0.2">
      <c r="A28" s="19">
        <v>24</v>
      </c>
      <c r="B28" s="177" t="s">
        <v>21</v>
      </c>
      <c r="C28" s="178"/>
      <c r="D28" s="14">
        <f t="shared" si="0"/>
        <v>70231</v>
      </c>
      <c r="E28" s="17">
        <f t="shared" si="1"/>
        <v>250562.68665350089</v>
      </c>
      <c r="F28" s="21">
        <f t="shared" si="2"/>
        <v>3.57</v>
      </c>
    </row>
    <row r="29" spans="1:6" x14ac:dyDescent="0.2">
      <c r="A29" s="19">
        <v>25</v>
      </c>
      <c r="B29" s="177" t="s">
        <v>22</v>
      </c>
      <c r="C29" s="178"/>
      <c r="D29" s="14">
        <f t="shared" si="0"/>
        <v>135744</v>
      </c>
      <c r="E29" s="17">
        <f t="shared" si="1"/>
        <v>575215.34651496948</v>
      </c>
      <c r="F29" s="21">
        <f t="shared" si="2"/>
        <v>4.24</v>
      </c>
    </row>
    <row r="30" spans="1:6" x14ac:dyDescent="0.2">
      <c r="A30" s="19">
        <v>26</v>
      </c>
      <c r="B30" s="177" t="s">
        <v>23</v>
      </c>
      <c r="C30" s="178"/>
      <c r="D30" s="14">
        <f t="shared" si="0"/>
        <v>22816</v>
      </c>
      <c r="E30" s="17">
        <f t="shared" si="1"/>
        <v>192849.49836519879</v>
      </c>
      <c r="F30" s="21">
        <f t="shared" si="2"/>
        <v>8.4499999999999993</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1892279</v>
      </c>
      <c r="E33" s="31">
        <f>SUM(E5:E32)</f>
        <v>8988652</v>
      </c>
      <c r="F33" s="32">
        <f t="shared" si="2"/>
        <v>4.75</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IF(F3="1",SUMIF(Data!A:A,'22'!$A$2,Data!CU:CU),0)</f>
        <v>64773</v>
      </c>
      <c r="E36" s="15">
        <f>IF(F3="1",SUMIF(Data!$A:$A,$A$2,Data!IO:IO),0)</f>
        <v>66696</v>
      </c>
      <c r="F36" s="20">
        <f t="shared" ref="F36:F64" si="3">IF(OR(D36=0,E36=0),"",ROUND(E36/D36,2))</f>
        <v>1.03</v>
      </c>
    </row>
    <row r="37" spans="1:6" x14ac:dyDescent="0.2">
      <c r="A37" s="19">
        <v>2</v>
      </c>
      <c r="B37" s="177" t="s">
        <v>1</v>
      </c>
      <c r="C37" s="178"/>
      <c r="D37" s="14">
        <f>IF(F3="1",SUMIF(Data!A:A,'22'!$A$2,Data!CV:CV),0)</f>
        <v>66601</v>
      </c>
      <c r="E37" s="17">
        <f>IF(F3="1",SUMIF(Data!$A:$A,$A$2,Data!IP:IP),0)</f>
        <v>27806</v>
      </c>
      <c r="F37" s="21">
        <f t="shared" si="3"/>
        <v>0.42</v>
      </c>
    </row>
    <row r="38" spans="1:6" ht="14.25" customHeight="1" x14ac:dyDescent="0.2">
      <c r="A38" s="19">
        <v>3</v>
      </c>
      <c r="B38" s="177" t="s">
        <v>2</v>
      </c>
      <c r="C38" s="178"/>
      <c r="D38" s="14">
        <f>IF(F3="1",SUMIF(Data!A:A,'22'!$A$2,Data!CW:CW),0)</f>
        <v>94880</v>
      </c>
      <c r="E38" s="17">
        <f>IF($F$3="1",SUMIF(Data!$A:$A,$A$2,Data!IQ:IQ),0)</f>
        <v>42447</v>
      </c>
      <c r="F38" s="21">
        <f t="shared" si="3"/>
        <v>0.45</v>
      </c>
    </row>
    <row r="39" spans="1:6" ht="14.25" customHeight="1" x14ac:dyDescent="0.2">
      <c r="A39" s="19">
        <v>4</v>
      </c>
      <c r="B39" s="177" t="s">
        <v>3</v>
      </c>
      <c r="C39" s="178"/>
      <c r="D39" s="14">
        <f>IF(F3="1",SUMIF(Data!A:A,'22'!$A$2,Data!CX:CX),0)</f>
        <v>267356</v>
      </c>
      <c r="E39" s="17">
        <f>IF($F$3="1",SUMIF(Data!$A:$A,$A$2,Data!IR:IR),0)</f>
        <v>118079</v>
      </c>
      <c r="F39" s="21">
        <f t="shared" si="3"/>
        <v>0.44</v>
      </c>
    </row>
    <row r="40" spans="1:6" x14ac:dyDescent="0.2">
      <c r="A40" s="19">
        <v>5</v>
      </c>
      <c r="B40" s="177" t="s">
        <v>4</v>
      </c>
      <c r="C40" s="178"/>
      <c r="D40" s="14">
        <f>IF(F3="1",SUMIF(Data!A:A,'22'!$A$2,Data!CY:CY),0)</f>
        <v>0</v>
      </c>
      <c r="E40" s="17">
        <f>IF($F$3="1",SUMIF(Data!$A:$A,$A$2,Data!IS:IS),0)</f>
        <v>0</v>
      </c>
      <c r="F40" s="21" t="str">
        <f t="shared" si="3"/>
        <v/>
      </c>
    </row>
    <row r="41" spans="1:6" x14ac:dyDescent="0.2">
      <c r="A41" s="19">
        <v>6</v>
      </c>
      <c r="B41" s="177" t="s">
        <v>5</v>
      </c>
      <c r="C41" s="178"/>
      <c r="D41" s="14">
        <f>IF(F3="1",SUMIF(Data!A:A,'22'!$A$2,Data!CZ:CZ),0)</f>
        <v>576</v>
      </c>
      <c r="E41" s="17">
        <f>IF($F$3="1",SUMIF(Data!$A:$A,$A$2,Data!IT:IT),0)</f>
        <v>0</v>
      </c>
      <c r="F41" s="21" t="str">
        <f t="shared" si="3"/>
        <v/>
      </c>
    </row>
    <row r="42" spans="1:6" x14ac:dyDescent="0.2">
      <c r="A42" s="19">
        <v>7</v>
      </c>
      <c r="B42" s="177" t="s">
        <v>6</v>
      </c>
      <c r="C42" s="178"/>
      <c r="D42" s="14">
        <f>IF(F3="1",SUMIF(Data!A:A,'22'!$A$2,Data!DA:DA),0)</f>
        <v>175965</v>
      </c>
      <c r="E42" s="17">
        <f>IF($F$3="1",SUMIF(Data!$A:$A,$A$2,Data!IU:IU),0)</f>
        <v>129109</v>
      </c>
      <c r="F42" s="21">
        <f t="shared" si="3"/>
        <v>0.73</v>
      </c>
    </row>
    <row r="43" spans="1:6" x14ac:dyDescent="0.2">
      <c r="A43" s="19">
        <v>8</v>
      </c>
      <c r="B43" s="177" t="s">
        <v>7</v>
      </c>
      <c r="C43" s="178"/>
      <c r="D43" s="14">
        <f>IF(F3="1",SUMIF(Data!A:A,'22'!$A$2,Data!DB:DB),0)</f>
        <v>121554</v>
      </c>
      <c r="E43" s="17">
        <f>IF($F$3="1",SUMIF(Data!$A:$A,$A$2,Data!IV:IV),0)</f>
        <v>73523</v>
      </c>
      <c r="F43" s="21">
        <f t="shared" si="3"/>
        <v>0.6</v>
      </c>
    </row>
    <row r="44" spans="1:6" x14ac:dyDescent="0.2">
      <c r="A44" s="19">
        <v>9</v>
      </c>
      <c r="B44" s="177" t="s">
        <v>8</v>
      </c>
      <c r="C44" s="178"/>
      <c r="D44" s="14">
        <f>IF(F3="1",SUMIF(Data!A:A,'22'!$A$2,Data!DC:DC),0)</f>
        <v>166975</v>
      </c>
      <c r="E44" s="17">
        <f>IF($F$3="1",SUMIF(Data!$A:$A,$A$2,Data!IW:IW),0)</f>
        <v>62436</v>
      </c>
      <c r="F44" s="21">
        <f t="shared" si="3"/>
        <v>0.37</v>
      </c>
    </row>
    <row r="45" spans="1:6" x14ac:dyDescent="0.2">
      <c r="A45" s="19">
        <v>10</v>
      </c>
      <c r="B45" s="177" t="s">
        <v>9</v>
      </c>
      <c r="C45" s="178"/>
      <c r="D45" s="14">
        <f>IF(F3="1",SUMIF(Data!A:A,'22'!$A$2,Data!DD:DD),0)</f>
        <v>0</v>
      </c>
      <c r="E45" s="17">
        <f>IF($F$3="1",SUMIF(Data!$A:$A,$A$2,Data!IX:IX),0)</f>
        <v>0</v>
      </c>
      <c r="F45" s="21" t="str">
        <f t="shared" si="3"/>
        <v/>
      </c>
    </row>
    <row r="46" spans="1:6" x14ac:dyDescent="0.2">
      <c r="A46" s="19">
        <v>11</v>
      </c>
      <c r="B46" s="177" t="s">
        <v>10</v>
      </c>
      <c r="C46" s="178"/>
      <c r="D46" s="14">
        <f>IF(F3="1",SUMIF(Data!A:A,'22'!$A$2,Data!DE:DE),0)</f>
        <v>105397</v>
      </c>
      <c r="E46" s="17">
        <f>IF($F$3="1",SUMIF(Data!$A:$A,$A$2,Data!IY:IY),0)</f>
        <v>51240</v>
      </c>
      <c r="F46" s="21">
        <f t="shared" si="3"/>
        <v>0.49</v>
      </c>
    </row>
    <row r="47" spans="1:6" ht="14.25" customHeight="1" x14ac:dyDescent="0.2">
      <c r="A47" s="19">
        <v>12</v>
      </c>
      <c r="B47" s="177" t="s">
        <v>11</v>
      </c>
      <c r="C47" s="178"/>
      <c r="D47" s="14">
        <f>IF(F3="1",SUMIF(Data!A:A,'22'!$A$2,Data!DF:DF),0)</f>
        <v>251797</v>
      </c>
      <c r="E47" s="17">
        <f>IF($F$3="1",SUMIF(Data!$A:$A,$A$2,Data!IZ:IZ),0)</f>
        <v>98574</v>
      </c>
      <c r="F47" s="21">
        <f t="shared" si="3"/>
        <v>0.39</v>
      </c>
    </row>
    <row r="48" spans="1:6" x14ac:dyDescent="0.2">
      <c r="A48" s="19">
        <v>13</v>
      </c>
      <c r="B48" s="177" t="s">
        <v>12</v>
      </c>
      <c r="C48" s="178"/>
      <c r="D48" s="14">
        <f>IF(F3="1",SUMIF(Data!A:A,'22'!$A$2,Data!DG:DG),0)</f>
        <v>15648</v>
      </c>
      <c r="E48" s="17">
        <f>IF($F$3="1",SUMIF(Data!$A:$A,$A$2,Data!JA:JA),0)</f>
        <v>1641</v>
      </c>
      <c r="F48" s="21">
        <f t="shared" si="3"/>
        <v>0.1</v>
      </c>
    </row>
    <row r="49" spans="1:6" ht="14.25" customHeight="1" x14ac:dyDescent="0.2">
      <c r="A49" s="19">
        <v>14</v>
      </c>
      <c r="B49" s="177" t="s">
        <v>464</v>
      </c>
      <c r="C49" s="178"/>
      <c r="D49" s="14">
        <f>IF(F3="1",SUMIF(Data!A:A,'22'!$A$2,Data!DH:DH),0)</f>
        <v>14970</v>
      </c>
      <c r="E49" s="17">
        <f>IF($F$3="1",SUMIF(Data!$A:$A,$A$2,Data!JB:JB),0)</f>
        <v>21753</v>
      </c>
      <c r="F49" s="21">
        <f t="shared" si="3"/>
        <v>1.45</v>
      </c>
    </row>
    <row r="50" spans="1:6" x14ac:dyDescent="0.2">
      <c r="A50" s="19">
        <v>15</v>
      </c>
      <c r="B50" s="177" t="s">
        <v>13</v>
      </c>
      <c r="C50" s="178"/>
      <c r="D50" s="14">
        <f>IF(F3="1",SUMIF(Data!A:A,'22'!$A$2,Data!DI:DI),0)</f>
        <v>17680</v>
      </c>
      <c r="E50" s="17">
        <f>IF($F$3="1",SUMIF(Data!$A:$A,$A$2,Data!JC:JC),0)</f>
        <v>44365</v>
      </c>
      <c r="F50" s="21">
        <f t="shared" si="3"/>
        <v>2.5099999999999998</v>
      </c>
    </row>
    <row r="51" spans="1:6" x14ac:dyDescent="0.2">
      <c r="A51" s="19">
        <v>16</v>
      </c>
      <c r="B51" s="177" t="s">
        <v>14</v>
      </c>
      <c r="C51" s="178"/>
      <c r="D51" s="14">
        <f>IF(F3="1",SUMIF(Data!A:A,'22'!$A$2,Data!DJ:DJ),0)</f>
        <v>117587</v>
      </c>
      <c r="E51" s="17">
        <f>IF($F$3="1",SUMIF(Data!$A:$A,$A$2,Data!JD:JD),0)</f>
        <v>105151</v>
      </c>
      <c r="F51" s="21">
        <f t="shared" si="3"/>
        <v>0.89</v>
      </c>
    </row>
    <row r="52" spans="1:6" x14ac:dyDescent="0.2">
      <c r="A52" s="19">
        <v>17</v>
      </c>
      <c r="B52" s="177" t="s">
        <v>15</v>
      </c>
      <c r="C52" s="178"/>
      <c r="D52" s="14">
        <f>IF(F3="1",SUMIF(Data!A:A,'22'!$A$2,Data!DK:DK),0)</f>
        <v>19200</v>
      </c>
      <c r="E52" s="17">
        <f>IF($F$3="1",SUMIF(Data!$A:$A,$A$2,Data!JE:JE),0)</f>
        <v>828</v>
      </c>
      <c r="F52" s="21">
        <f t="shared" si="3"/>
        <v>0.04</v>
      </c>
    </row>
    <row r="53" spans="1:6" x14ac:dyDescent="0.2">
      <c r="A53" s="19">
        <v>18</v>
      </c>
      <c r="B53" s="177" t="s">
        <v>16</v>
      </c>
      <c r="C53" s="178"/>
      <c r="D53" s="14">
        <f>IF(F3="1",SUMIF(Data!A:A,'22'!$A$2,Data!DL:DL),0)</f>
        <v>7176</v>
      </c>
      <c r="E53" s="17">
        <f>IF($F$3="1",SUMIF(Data!$A:$A,$A$2,Data!JF:JF),0)</f>
        <v>24883</v>
      </c>
      <c r="F53" s="21">
        <f t="shared" si="3"/>
        <v>3.47</v>
      </c>
    </row>
    <row r="54" spans="1:6" x14ac:dyDescent="0.2">
      <c r="A54" s="19">
        <v>19</v>
      </c>
      <c r="B54" s="177" t="s">
        <v>17</v>
      </c>
      <c r="C54" s="178"/>
      <c r="D54" s="14">
        <f>IF(F3="1",SUMIF(Data!A:A,'22'!$A$2,Data!DM:DM),0)</f>
        <v>98636</v>
      </c>
      <c r="E54" s="17">
        <f>IF($F$3="1",SUMIF(Data!$A:$A,$A$2,Data!JG:JG),0)</f>
        <v>20535</v>
      </c>
      <c r="F54" s="21">
        <f t="shared" si="3"/>
        <v>0.21</v>
      </c>
    </row>
    <row r="55" spans="1:6" x14ac:dyDescent="0.2">
      <c r="A55" s="19">
        <v>20</v>
      </c>
      <c r="B55" s="177" t="s">
        <v>18</v>
      </c>
      <c r="C55" s="178"/>
      <c r="D55" s="14">
        <f>IF(F3="1",SUMIF(Data!A:A,'22'!$A$2,Data!DN:DN),0)</f>
        <v>0</v>
      </c>
      <c r="E55" s="17">
        <f>IF($F$3="1",SUMIF(Data!$A:$A,$A$2,Data!JH:JH),0)</f>
        <v>0</v>
      </c>
      <c r="F55" s="21" t="str">
        <f t="shared" si="3"/>
        <v/>
      </c>
    </row>
    <row r="56" spans="1:6" ht="14.25" customHeight="1" x14ac:dyDescent="0.2">
      <c r="A56" s="19">
        <v>21</v>
      </c>
      <c r="B56" s="177" t="s">
        <v>461</v>
      </c>
      <c r="C56" s="178"/>
      <c r="D56" s="14">
        <f>IF(F3="1",SUMIF(Data!A:A,'22'!$A$2,Data!DO:DO),0)</f>
        <v>7499</v>
      </c>
      <c r="E56" s="17">
        <f>IF($F$3="1",SUMIF(Data!$A:$A,$A$2,Data!JI:JI),0)</f>
        <v>1985</v>
      </c>
      <c r="F56" s="21">
        <f t="shared" si="3"/>
        <v>0.26</v>
      </c>
    </row>
    <row r="57" spans="1:6" x14ac:dyDescent="0.2">
      <c r="A57" s="19">
        <v>22</v>
      </c>
      <c r="B57" s="177" t="s">
        <v>19</v>
      </c>
      <c r="C57" s="178"/>
      <c r="D57" s="14">
        <f>IF(F3="1",SUMIF(Data!A:A,'22'!$A$2,Data!DP:DP),0)</f>
        <v>8978</v>
      </c>
      <c r="E57" s="17">
        <f>IF($F$3="1",SUMIF(Data!$A:$A,$A$2,Data!JJ:JJ),0)</f>
        <v>1728</v>
      </c>
      <c r="F57" s="21">
        <f t="shared" si="3"/>
        <v>0.19</v>
      </c>
    </row>
    <row r="58" spans="1:6" x14ac:dyDescent="0.2">
      <c r="A58" s="19">
        <v>23</v>
      </c>
      <c r="B58" s="177" t="s">
        <v>20</v>
      </c>
      <c r="C58" s="178"/>
      <c r="D58" s="14">
        <f>IF(F3="1",SUMIF(Data!A:A,'22'!$A$2,Data!DQ:DQ),0)</f>
        <v>40240</v>
      </c>
      <c r="E58" s="17">
        <f>IF($F$3="1",SUMIF(Data!$A:$A,$A$2,Data!JK:JK),0)</f>
        <v>61851</v>
      </c>
      <c r="F58" s="21">
        <f t="shared" si="3"/>
        <v>1.54</v>
      </c>
    </row>
    <row r="59" spans="1:6" x14ac:dyDescent="0.2">
      <c r="A59" s="19">
        <v>24</v>
      </c>
      <c r="B59" s="177" t="s">
        <v>21</v>
      </c>
      <c r="C59" s="178"/>
      <c r="D59" s="14">
        <f>IF(F3="1",SUMIF(Data!A:A,'22'!$A$2,Data!DR:DR),0)</f>
        <v>70231</v>
      </c>
      <c r="E59" s="17">
        <f>IF($F$3="1",SUMIF(Data!$A:$A,$A$2,Data!JL:JL),0)</f>
        <v>25951</v>
      </c>
      <c r="F59" s="21">
        <f t="shared" si="3"/>
        <v>0.37</v>
      </c>
    </row>
    <row r="60" spans="1:6" x14ac:dyDescent="0.2">
      <c r="A60" s="19">
        <v>25</v>
      </c>
      <c r="B60" s="177" t="s">
        <v>22</v>
      </c>
      <c r="C60" s="178"/>
      <c r="D60" s="14">
        <f>IF(F3="1",SUMIF(Data!A:A,'22'!$A$2,Data!DS:DS),0)</f>
        <v>135744</v>
      </c>
      <c r="E60" s="17">
        <f>IF($F$3="1",SUMIF(Data!$A:$A,$A$2,Data!JM:JM),0)</f>
        <v>5900</v>
      </c>
      <c r="F60" s="21">
        <f t="shared" si="3"/>
        <v>0.04</v>
      </c>
    </row>
    <row r="61" spans="1:6" x14ac:dyDescent="0.2">
      <c r="A61" s="19">
        <v>26</v>
      </c>
      <c r="B61" s="177" t="s">
        <v>23</v>
      </c>
      <c r="C61" s="178"/>
      <c r="D61" s="14">
        <f>IF(F3="1",SUMIF(Data!A:A,'22'!$A$2,Data!DT:DT),0)</f>
        <v>22816</v>
      </c>
      <c r="E61" s="17">
        <f>IF($F$3="1",SUMIF(Data!$A:$A,$A$2,Data!JN:JN),0)</f>
        <v>38052</v>
      </c>
      <c r="F61" s="21">
        <f t="shared" si="3"/>
        <v>1.67</v>
      </c>
    </row>
    <row r="62" spans="1:6" x14ac:dyDescent="0.2">
      <c r="A62" s="19">
        <v>28</v>
      </c>
      <c r="B62" s="177" t="s">
        <v>24</v>
      </c>
      <c r="C62" s="178"/>
      <c r="D62" s="14">
        <f>IF(F3="1",SUMIF(Data!A:A,'22'!$A$2,Data!DV:DV),0)</f>
        <v>0</v>
      </c>
      <c r="E62" s="17">
        <f>IF($F$3="1",SUMIF(Data!$A:$A,$A$2,Data!JP:JP),0)</f>
        <v>0</v>
      </c>
      <c r="F62" s="21" t="str">
        <f t="shared" si="3"/>
        <v/>
      </c>
    </row>
    <row r="63" spans="1:6" ht="15.75" customHeight="1" thickBot="1" x14ac:dyDescent="0.25">
      <c r="A63" s="22">
        <v>29</v>
      </c>
      <c r="B63" s="179" t="s">
        <v>25</v>
      </c>
      <c r="C63" s="180"/>
      <c r="D63" s="23">
        <f>IF(F3="1",SUMIF(Data!A:A,'22'!$A$2,Data!DW:DW),0)</f>
        <v>0</v>
      </c>
      <c r="E63" s="24">
        <f>IF($F$3="1",SUMIF(Data!$A:$A,$A$2,Data!JQ:JQ),0)</f>
        <v>0</v>
      </c>
      <c r="F63" s="25" t="str">
        <f t="shared" si="3"/>
        <v/>
      </c>
    </row>
    <row r="64" spans="1:6" x14ac:dyDescent="0.2">
      <c r="B64" s="30" t="s">
        <v>35</v>
      </c>
      <c r="C64" s="30"/>
      <c r="D64" s="59">
        <f>SUM(D36:D63)</f>
        <v>1892279</v>
      </c>
      <c r="E64" s="31">
        <f>SUM(E36:E63)</f>
        <v>1024533</v>
      </c>
      <c r="F64" s="32">
        <f t="shared" si="3"/>
        <v>0.54</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64773</v>
      </c>
      <c r="E67" s="15">
        <f>IF(F3="1",SUMIF(Data!A:A,'22'!$A$2,Data!DY:DY),0)</f>
        <v>192037</v>
      </c>
      <c r="F67" s="20">
        <f t="shared" ref="F67:F95" si="4">IF(OR(D67=0,E67=0),"",ROUND(E67/D67,2))</f>
        <v>2.96</v>
      </c>
    </row>
    <row r="68" spans="1:6" x14ac:dyDescent="0.2">
      <c r="A68" s="19">
        <v>2</v>
      </c>
      <c r="B68" s="177" t="s">
        <v>1</v>
      </c>
      <c r="C68" s="178"/>
      <c r="D68" s="14">
        <f t="shared" ref="D68:D94" si="5">D37</f>
        <v>66601</v>
      </c>
      <c r="E68" s="17">
        <f>IF(F3="1",SUMIF(Data!A:A,'22'!$A$2,Data!DZ:DZ),0)</f>
        <v>95230</v>
      </c>
      <c r="F68" s="21">
        <f t="shared" si="4"/>
        <v>1.43</v>
      </c>
    </row>
    <row r="69" spans="1:6" ht="14.25" customHeight="1" x14ac:dyDescent="0.2">
      <c r="A69" s="19">
        <v>3</v>
      </c>
      <c r="B69" s="177" t="s">
        <v>2</v>
      </c>
      <c r="C69" s="178"/>
      <c r="D69" s="14">
        <f t="shared" si="5"/>
        <v>94880</v>
      </c>
      <c r="E69" s="17">
        <f>IF(F3="1",SUMIF(Data!A:A,'22'!$A$2,Data!EA:EA),0)</f>
        <v>290604</v>
      </c>
      <c r="F69" s="21">
        <f t="shared" si="4"/>
        <v>3.06</v>
      </c>
    </row>
    <row r="70" spans="1:6" ht="14.25" customHeight="1" x14ac:dyDescent="0.2">
      <c r="A70" s="19">
        <v>4</v>
      </c>
      <c r="B70" s="177" t="s">
        <v>3</v>
      </c>
      <c r="C70" s="178"/>
      <c r="D70" s="14">
        <f t="shared" si="5"/>
        <v>267356</v>
      </c>
      <c r="E70" s="17">
        <f>IF(F3="1",SUMIF(Data!A:A,'22'!$A$2,Data!EB:EB),0)</f>
        <v>369544</v>
      </c>
      <c r="F70" s="21">
        <f t="shared" si="4"/>
        <v>1.38</v>
      </c>
    </row>
    <row r="71" spans="1:6" x14ac:dyDescent="0.2">
      <c r="A71" s="19">
        <v>5</v>
      </c>
      <c r="B71" s="177" t="s">
        <v>4</v>
      </c>
      <c r="C71" s="178"/>
      <c r="D71" s="14">
        <f t="shared" si="5"/>
        <v>0</v>
      </c>
      <c r="E71" s="17">
        <f>IF(F3="1",SUMIF(Data!A:A,'22'!$A$2,Data!EC:EC),0)</f>
        <v>0</v>
      </c>
      <c r="F71" s="21" t="str">
        <f t="shared" si="4"/>
        <v/>
      </c>
    </row>
    <row r="72" spans="1:6" x14ac:dyDescent="0.2">
      <c r="A72" s="19">
        <v>6</v>
      </c>
      <c r="B72" s="177" t="s">
        <v>5</v>
      </c>
      <c r="C72" s="178"/>
      <c r="D72" s="14">
        <f t="shared" si="5"/>
        <v>576</v>
      </c>
      <c r="E72" s="17">
        <f>IF(F3="1",SUMIF(Data!A:A,'22'!$A$2,Data!ED:ED),0)</f>
        <v>1086</v>
      </c>
      <c r="F72" s="21">
        <f t="shared" si="4"/>
        <v>1.89</v>
      </c>
    </row>
    <row r="73" spans="1:6" x14ac:dyDescent="0.2">
      <c r="A73" s="19">
        <v>7</v>
      </c>
      <c r="B73" s="177" t="s">
        <v>6</v>
      </c>
      <c r="C73" s="178"/>
      <c r="D73" s="14">
        <f t="shared" si="5"/>
        <v>175965</v>
      </c>
      <c r="E73" s="17">
        <f>IF(F3="1",SUMIF(Data!A:A,'22'!$A$2,Data!EE:EE),0)</f>
        <v>327930</v>
      </c>
      <c r="F73" s="21">
        <f t="shared" si="4"/>
        <v>1.86</v>
      </c>
    </row>
    <row r="74" spans="1:6" x14ac:dyDescent="0.2">
      <c r="A74" s="19">
        <v>8</v>
      </c>
      <c r="B74" s="177" t="s">
        <v>7</v>
      </c>
      <c r="C74" s="178"/>
      <c r="D74" s="14">
        <f t="shared" si="5"/>
        <v>121554</v>
      </c>
      <c r="E74" s="17">
        <f>IF(F3="1",SUMIF(Data!A:A,'22'!$A$2,Data!EF:EF),0)</f>
        <v>255806</v>
      </c>
      <c r="F74" s="21">
        <f t="shared" si="4"/>
        <v>2.1</v>
      </c>
    </row>
    <row r="75" spans="1:6" x14ac:dyDescent="0.2">
      <c r="A75" s="19">
        <v>9</v>
      </c>
      <c r="B75" s="177" t="s">
        <v>8</v>
      </c>
      <c r="C75" s="178"/>
      <c r="D75" s="14">
        <f t="shared" si="5"/>
        <v>166975</v>
      </c>
      <c r="E75" s="17">
        <f>IF(F3="1",SUMIF(Data!A:A,'22'!$A$2,Data!EG:EG),0)</f>
        <v>150761</v>
      </c>
      <c r="F75" s="21">
        <f t="shared" si="4"/>
        <v>0.9</v>
      </c>
    </row>
    <row r="76" spans="1:6" x14ac:dyDescent="0.2">
      <c r="A76" s="19">
        <v>10</v>
      </c>
      <c r="B76" s="177" t="s">
        <v>9</v>
      </c>
      <c r="C76" s="178"/>
      <c r="D76" s="14">
        <f t="shared" si="5"/>
        <v>0</v>
      </c>
      <c r="E76" s="17">
        <f>IF(F3="1",SUMIF(Data!A:A,'22'!$A$2,Data!EH:EH),0)</f>
        <v>0</v>
      </c>
      <c r="F76" s="21" t="str">
        <f t="shared" si="4"/>
        <v/>
      </c>
    </row>
    <row r="77" spans="1:6" x14ac:dyDescent="0.2">
      <c r="A77" s="19">
        <v>11</v>
      </c>
      <c r="B77" s="177" t="s">
        <v>10</v>
      </c>
      <c r="C77" s="178"/>
      <c r="D77" s="14">
        <f t="shared" si="5"/>
        <v>105397</v>
      </c>
      <c r="E77" s="17">
        <f>IF(F3="1",SUMIF(Data!A:A,'22'!$A$2,Data!EI:EI),0)</f>
        <v>225933</v>
      </c>
      <c r="F77" s="21">
        <f t="shared" si="4"/>
        <v>2.14</v>
      </c>
    </row>
    <row r="78" spans="1:6" ht="14.25" customHeight="1" x14ac:dyDescent="0.2">
      <c r="A78" s="19">
        <v>12</v>
      </c>
      <c r="B78" s="177" t="s">
        <v>11</v>
      </c>
      <c r="C78" s="178"/>
      <c r="D78" s="14">
        <f t="shared" si="5"/>
        <v>251797</v>
      </c>
      <c r="E78" s="17">
        <f>IF(F3="1",SUMIF(Data!A:A,'22'!$A$2,Data!EJ:EJ),0)</f>
        <v>592957</v>
      </c>
      <c r="F78" s="21">
        <f t="shared" si="4"/>
        <v>2.35</v>
      </c>
    </row>
    <row r="79" spans="1:6" x14ac:dyDescent="0.2">
      <c r="A79" s="19">
        <v>13</v>
      </c>
      <c r="B79" s="177" t="s">
        <v>12</v>
      </c>
      <c r="C79" s="178"/>
      <c r="D79" s="14">
        <f t="shared" si="5"/>
        <v>15648</v>
      </c>
      <c r="E79" s="17">
        <f>IF(F3="1",SUMIF(Data!A:A,'22'!$A$2,Data!EK:EK),0)</f>
        <v>12103</v>
      </c>
      <c r="F79" s="21">
        <f t="shared" si="4"/>
        <v>0.77</v>
      </c>
    </row>
    <row r="80" spans="1:6" ht="14.25" customHeight="1" x14ac:dyDescent="0.2">
      <c r="A80" s="19">
        <v>14</v>
      </c>
      <c r="B80" s="177" t="s">
        <v>464</v>
      </c>
      <c r="C80" s="178"/>
      <c r="D80" s="14">
        <f t="shared" si="5"/>
        <v>14970</v>
      </c>
      <c r="E80" s="17">
        <f>IF(F3="1",SUMIF(Data!A:A,'22'!$A$2,Data!EL:EL),0)</f>
        <v>43944</v>
      </c>
      <c r="F80" s="21">
        <f t="shared" si="4"/>
        <v>2.94</v>
      </c>
    </row>
    <row r="81" spans="1:6" x14ac:dyDescent="0.2">
      <c r="A81" s="19">
        <v>15</v>
      </c>
      <c r="B81" s="177" t="s">
        <v>13</v>
      </c>
      <c r="C81" s="178"/>
      <c r="D81" s="14">
        <f t="shared" si="5"/>
        <v>17680</v>
      </c>
      <c r="E81" s="17">
        <f>IF(F3="1",SUMIF(Data!A:A,'22'!$A$2,Data!EM:EM),0)</f>
        <v>127886</v>
      </c>
      <c r="F81" s="21">
        <f t="shared" si="4"/>
        <v>7.23</v>
      </c>
    </row>
    <row r="82" spans="1:6" x14ac:dyDescent="0.2">
      <c r="A82" s="19">
        <v>16</v>
      </c>
      <c r="B82" s="177" t="s">
        <v>14</v>
      </c>
      <c r="C82" s="178"/>
      <c r="D82" s="14">
        <f t="shared" si="5"/>
        <v>117587</v>
      </c>
      <c r="E82" s="17">
        <f>IF(F3="1",SUMIF(Data!A:A,'22'!$A$2,Data!EN:EN),0)</f>
        <v>526447</v>
      </c>
      <c r="F82" s="21">
        <f t="shared" si="4"/>
        <v>4.4800000000000004</v>
      </c>
    </row>
    <row r="83" spans="1:6" x14ac:dyDescent="0.2">
      <c r="A83" s="19">
        <v>17</v>
      </c>
      <c r="B83" s="177" t="s">
        <v>15</v>
      </c>
      <c r="C83" s="178"/>
      <c r="D83" s="14">
        <f t="shared" si="5"/>
        <v>19200</v>
      </c>
      <c r="E83" s="17">
        <f>IF(F3="1",SUMIF(Data!A:A,'22'!$A$2,Data!EO:EO),0)</f>
        <v>92367</v>
      </c>
      <c r="F83" s="21">
        <f t="shared" si="4"/>
        <v>4.8099999999999996</v>
      </c>
    </row>
    <row r="84" spans="1:6" x14ac:dyDescent="0.2">
      <c r="A84" s="19">
        <v>18</v>
      </c>
      <c r="B84" s="177" t="s">
        <v>16</v>
      </c>
      <c r="C84" s="178"/>
      <c r="D84" s="14">
        <f t="shared" si="5"/>
        <v>7176</v>
      </c>
      <c r="E84" s="17">
        <f>IF(F3="1",SUMIF(Data!A:A,'22'!$A$2,Data!EP:EP),0)</f>
        <v>40855</v>
      </c>
      <c r="F84" s="21">
        <f t="shared" si="4"/>
        <v>5.69</v>
      </c>
    </row>
    <row r="85" spans="1:6" x14ac:dyDescent="0.2">
      <c r="A85" s="19">
        <v>19</v>
      </c>
      <c r="B85" s="177" t="s">
        <v>17</v>
      </c>
      <c r="C85" s="178"/>
      <c r="D85" s="14">
        <f t="shared" si="5"/>
        <v>98636</v>
      </c>
      <c r="E85" s="17">
        <f>IF(F3="1",SUMIF(Data!A:A,'22'!$A$2,Data!EQ:EQ),0)</f>
        <v>228843</v>
      </c>
      <c r="F85" s="21">
        <f t="shared" si="4"/>
        <v>2.3199999999999998</v>
      </c>
    </row>
    <row r="86" spans="1:6" x14ac:dyDescent="0.2">
      <c r="A86" s="19">
        <v>20</v>
      </c>
      <c r="B86" s="177" t="s">
        <v>18</v>
      </c>
      <c r="C86" s="178"/>
      <c r="D86" s="14">
        <f t="shared" si="5"/>
        <v>0</v>
      </c>
      <c r="E86" s="17">
        <f>IF(F3="1",SUMIF(Data!A:A,'22'!$A$2,Data!ER:ER),0)</f>
        <v>0</v>
      </c>
      <c r="F86" s="21" t="str">
        <f t="shared" si="4"/>
        <v/>
      </c>
    </row>
    <row r="87" spans="1:6" ht="14.25" customHeight="1" x14ac:dyDescent="0.2">
      <c r="A87" s="19">
        <v>21</v>
      </c>
      <c r="B87" s="177" t="s">
        <v>461</v>
      </c>
      <c r="C87" s="178"/>
      <c r="D87" s="14">
        <f t="shared" si="5"/>
        <v>7499</v>
      </c>
      <c r="E87" s="17">
        <f>IF(F3="1",SUMIF(Data!A:A,'22'!$A$2,Data!ES:ES),0)</f>
        <v>2579</v>
      </c>
      <c r="F87" s="21">
        <f t="shared" si="4"/>
        <v>0.34</v>
      </c>
    </row>
    <row r="88" spans="1:6" x14ac:dyDescent="0.2">
      <c r="A88" s="19">
        <v>22</v>
      </c>
      <c r="B88" s="177" t="s">
        <v>19</v>
      </c>
      <c r="C88" s="178"/>
      <c r="D88" s="14">
        <f t="shared" si="5"/>
        <v>8978</v>
      </c>
      <c r="E88" s="17">
        <f>IF(F3="1",SUMIF(Data!A:A,'22'!$A$2,Data!ET:ET),0)</f>
        <v>2588</v>
      </c>
      <c r="F88" s="21">
        <f t="shared" si="4"/>
        <v>0.28999999999999998</v>
      </c>
    </row>
    <row r="89" spans="1:6" x14ac:dyDescent="0.2">
      <c r="A89" s="19">
        <v>23</v>
      </c>
      <c r="B89" s="177" t="s">
        <v>20</v>
      </c>
      <c r="C89" s="178"/>
      <c r="D89" s="14">
        <f t="shared" si="5"/>
        <v>40240</v>
      </c>
      <c r="E89" s="17">
        <f>IF(F3="1",SUMIF(Data!A:A,'22'!$A$2,Data!EU:EU),0)</f>
        <v>328921</v>
      </c>
      <c r="F89" s="21">
        <f t="shared" si="4"/>
        <v>8.17</v>
      </c>
    </row>
    <row r="90" spans="1:6" x14ac:dyDescent="0.2">
      <c r="A90" s="19">
        <v>24</v>
      </c>
      <c r="B90" s="177" t="s">
        <v>21</v>
      </c>
      <c r="C90" s="178"/>
      <c r="D90" s="14">
        <f t="shared" si="5"/>
        <v>70231</v>
      </c>
      <c r="E90" s="17">
        <f>IF(F3="1",SUMIF(Data!A:A,'22'!$A$2,Data!EV:EV),0)</f>
        <v>93438</v>
      </c>
      <c r="F90" s="21">
        <f t="shared" si="4"/>
        <v>1.33</v>
      </c>
    </row>
    <row r="91" spans="1:6" x14ac:dyDescent="0.2">
      <c r="A91" s="19">
        <v>25</v>
      </c>
      <c r="B91" s="177" t="s">
        <v>22</v>
      </c>
      <c r="C91" s="178"/>
      <c r="D91" s="14">
        <f t="shared" si="5"/>
        <v>135744</v>
      </c>
      <c r="E91" s="17">
        <f>IF(F3="1",SUMIF(Data!A:A,'22'!$A$2,Data!EW:EW),0)</f>
        <v>315780</v>
      </c>
      <c r="F91" s="21">
        <f t="shared" si="4"/>
        <v>2.33</v>
      </c>
    </row>
    <row r="92" spans="1:6" x14ac:dyDescent="0.2">
      <c r="A92" s="19">
        <v>26</v>
      </c>
      <c r="B92" s="177" t="s">
        <v>23</v>
      </c>
      <c r="C92" s="178"/>
      <c r="D92" s="14">
        <f t="shared" si="5"/>
        <v>22816</v>
      </c>
      <c r="E92" s="17">
        <f>IF(F3="1",SUMIF(Data!A:A,'22'!$A$2,Data!EX:EX),0)</f>
        <v>112183</v>
      </c>
      <c r="F92" s="21">
        <f t="shared" si="4"/>
        <v>4.92</v>
      </c>
    </row>
    <row r="93" spans="1:6" x14ac:dyDescent="0.2">
      <c r="A93" s="19">
        <v>28</v>
      </c>
      <c r="B93" s="177" t="s">
        <v>24</v>
      </c>
      <c r="C93" s="178"/>
      <c r="D93" s="14">
        <f t="shared" si="5"/>
        <v>0</v>
      </c>
      <c r="E93" s="17">
        <f>IF(F3="1",SUMIF(Data!A:A,'22'!$A$2,Data!EZ:EZ),0)</f>
        <v>0</v>
      </c>
      <c r="F93" s="21" t="str">
        <f t="shared" si="4"/>
        <v/>
      </c>
    </row>
    <row r="94" spans="1:6" ht="15.75" customHeight="1" thickBot="1" x14ac:dyDescent="0.25">
      <c r="A94" s="22">
        <v>29</v>
      </c>
      <c r="B94" s="179" t="s">
        <v>25</v>
      </c>
      <c r="C94" s="180"/>
      <c r="D94" s="23">
        <f t="shared" si="5"/>
        <v>0</v>
      </c>
      <c r="E94" s="24">
        <f>IF(F3="1",SUMIF(Data!A:A,'22'!$A$2,Data!FA:FA),0)</f>
        <v>0</v>
      </c>
      <c r="F94" s="25" t="str">
        <f t="shared" si="4"/>
        <v/>
      </c>
    </row>
    <row r="95" spans="1:6" x14ac:dyDescent="0.2">
      <c r="B95" s="30" t="s">
        <v>35</v>
      </c>
      <c r="C95" s="30"/>
      <c r="D95" s="59">
        <f>SUM(D67:D94)</f>
        <v>1892279</v>
      </c>
      <c r="E95" s="31">
        <f>SUM(E67:E94)</f>
        <v>4429822</v>
      </c>
      <c r="F95" s="32">
        <f t="shared" si="4"/>
        <v>2.34</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IF(F3="1",SUMIF(Data!A:A,'22'!$A$2,Data!AH:AH),0)</f>
        <v>1599307</v>
      </c>
      <c r="F98" s="20">
        <f>IF(OR(E98=0,E98=0),"",ROUND(E98/$D$105,2))</f>
        <v>0.85</v>
      </c>
    </row>
    <row r="99" spans="2:6" x14ac:dyDescent="0.2">
      <c r="B99" s="183" t="s">
        <v>31</v>
      </c>
      <c r="C99" s="184"/>
      <c r="D99" s="36"/>
      <c r="E99" s="17">
        <f>IF(F3="1",SUMIF(Data!A:A,'22'!$A$2,Data!AI:AI),0)</f>
        <v>728424</v>
      </c>
      <c r="F99" s="21">
        <f t="shared" ref="F99:F104" si="6">IF(OR(E99=0,E99=0),"",ROUND(E99/$D$105,2))</f>
        <v>0.38</v>
      </c>
    </row>
    <row r="100" spans="2:6" x14ac:dyDescent="0.2">
      <c r="B100" s="183" t="s">
        <v>1078</v>
      </c>
      <c r="C100" s="184"/>
      <c r="D100" s="36"/>
      <c r="E100" s="17">
        <f>IF(F3="1",SUMIF(Data!A:A,'22'!$A$2,Data!AJ:AJ),0)</f>
        <v>175127</v>
      </c>
      <c r="F100" s="21">
        <f t="shared" si="6"/>
        <v>0.09</v>
      </c>
    </row>
    <row r="101" spans="2:6" x14ac:dyDescent="0.2">
      <c r="B101" s="183" t="s">
        <v>1079</v>
      </c>
      <c r="C101" s="184"/>
      <c r="D101" s="36"/>
      <c r="E101" s="17">
        <f>IF(F3="1",SUMIF(Data!A:A,'22'!$A$2,Data!AK:AK),0)</f>
        <v>343048</v>
      </c>
      <c r="F101" s="21">
        <f t="shared" si="6"/>
        <v>0.18</v>
      </c>
    </row>
    <row r="102" spans="2:6" x14ac:dyDescent="0.2">
      <c r="B102" s="183" t="s">
        <v>1080</v>
      </c>
      <c r="C102" s="184"/>
      <c r="D102" s="36"/>
      <c r="E102" s="17">
        <f>IF(F3="1",SUMIF(Data!A:A,'22'!$A$2,Data!AL:AL),0)</f>
        <v>0</v>
      </c>
      <c r="F102" s="21" t="str">
        <f t="shared" si="6"/>
        <v/>
      </c>
    </row>
    <row r="103" spans="2:6" x14ac:dyDescent="0.2">
      <c r="B103" s="185" t="s">
        <v>34</v>
      </c>
      <c r="C103" s="186"/>
      <c r="D103" s="36"/>
      <c r="E103" s="17">
        <f>IF(F3="1",SUMIF(Data!A:A,'22'!$A$2,Data!AM:AM),0)</f>
        <v>0</v>
      </c>
      <c r="F103" s="21" t="str">
        <f t="shared" si="6"/>
        <v/>
      </c>
    </row>
    <row r="104" spans="2:6" ht="15.75" customHeight="1" thickBot="1" x14ac:dyDescent="0.25">
      <c r="B104" s="175" t="s">
        <v>29</v>
      </c>
      <c r="C104" s="176"/>
      <c r="D104" s="37"/>
      <c r="E104" s="24">
        <f>IF(F3="1",SUMIF(Data!A:A,'22'!$A$2,Data!Q:Q),0)</f>
        <v>688391</v>
      </c>
      <c r="F104" s="25">
        <f t="shared" si="6"/>
        <v>0.36</v>
      </c>
    </row>
    <row r="105" spans="2:6" x14ac:dyDescent="0.2">
      <c r="B105" s="30" t="s">
        <v>35</v>
      </c>
      <c r="C105" s="30"/>
      <c r="D105" s="34">
        <f>D95</f>
        <v>1892279</v>
      </c>
      <c r="E105" s="31">
        <f>SUM(E98:E104)</f>
        <v>3534297</v>
      </c>
      <c r="F105" s="32">
        <f>IF($D$105=0,"",ROUND(E105/$D$105,2))</f>
        <v>1.87</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4429822</v>
      </c>
      <c r="D109" s="15">
        <f>IF(F3="1",SUMIF(Data!$A:$A,$A$2,Data!HJ:HJ),0)</f>
        <v>0</v>
      </c>
      <c r="E109" s="15">
        <f>IF(F3="1",SUMIF(Data!$A:$A,$A$2,Data!IN:IN),0)</f>
        <v>0</v>
      </c>
      <c r="F109" s="47">
        <f>SUM(C109:E109)</f>
        <v>4429822</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688391</v>
      </c>
      <c r="E117" s="52"/>
      <c r="F117" s="49">
        <f>SUM(C117:E117)</f>
        <v>688391</v>
      </c>
    </row>
    <row r="118" spans="1:6" x14ac:dyDescent="0.2">
      <c r="B118" s="13" t="s">
        <v>35</v>
      </c>
      <c r="C118" s="4">
        <f>SUM(C109:C116)</f>
        <v>4429822</v>
      </c>
      <c r="D118" s="4">
        <f>SUM(D109:D116)</f>
        <v>0</v>
      </c>
      <c r="E118" s="4">
        <f>SUM(E109:E116)</f>
        <v>0</v>
      </c>
      <c r="F118" s="4">
        <f>SUM(F109:F116)</f>
        <v>4429822</v>
      </c>
    </row>
    <row r="119" spans="1:6" ht="15" thickBot="1" x14ac:dyDescent="0.25"/>
    <row r="120" spans="1:6" ht="15" thickBot="1" x14ac:dyDescent="0.25">
      <c r="B120" s="55" t="s">
        <v>934</v>
      </c>
      <c r="C120" s="53"/>
      <c r="D120" s="53"/>
      <c r="E120" s="53">
        <f>IF(F3="1",SUMIF(Data!A:A,'22'!$A$2,Data!AM:AM),0)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376</v>
      </c>
      <c r="B2" s="58" t="str">
        <f>VLOOKUP(A2,Data!A:G,7,0)</f>
        <v>Kilgore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25129</v>
      </c>
      <c r="E5" s="15">
        <f>E36+E67+IFERROR($E$105/$D$105*D5,0)</f>
        <v>99257.301233914914</v>
      </c>
      <c r="F5" s="20">
        <f>IF(OR(D5=0,E5=0),"",ROUND(E5/D5,2))</f>
        <v>3.95</v>
      </c>
    </row>
    <row r="6" spans="1:6" x14ac:dyDescent="0.2">
      <c r="A6" s="19">
        <v>2</v>
      </c>
      <c r="B6" s="177" t="s">
        <v>1</v>
      </c>
      <c r="C6" s="178"/>
      <c r="D6" s="14">
        <f t="shared" ref="D6:D32" si="0">D37</f>
        <v>53297</v>
      </c>
      <c r="E6" s="17">
        <f t="shared" ref="E6:E32" si="1">E37+E68+IFERROR($E$105/$D$105*D6,0)</f>
        <v>233476.37959584396</v>
      </c>
      <c r="F6" s="21">
        <f t="shared" ref="F6:F33" si="2">IF(OR(D6=0,E6=0),"",ROUND(E6/D6,2))</f>
        <v>4.38</v>
      </c>
    </row>
    <row r="7" spans="1:6" ht="14.25" customHeight="1" x14ac:dyDescent="0.2">
      <c r="A7" s="19">
        <v>3</v>
      </c>
      <c r="B7" s="177" t="s">
        <v>2</v>
      </c>
      <c r="C7" s="178"/>
      <c r="D7" s="14">
        <f t="shared" si="0"/>
        <v>181136</v>
      </c>
      <c r="E7" s="17">
        <f t="shared" si="1"/>
        <v>975035.02989798284</v>
      </c>
      <c r="F7" s="21">
        <f t="shared" si="2"/>
        <v>5.38</v>
      </c>
    </row>
    <row r="8" spans="1:6" ht="14.25" customHeight="1" x14ac:dyDescent="0.2">
      <c r="A8" s="19">
        <v>4</v>
      </c>
      <c r="B8" s="177" t="s">
        <v>3</v>
      </c>
      <c r="C8" s="178"/>
      <c r="D8" s="14">
        <f t="shared" si="0"/>
        <v>183583</v>
      </c>
      <c r="E8" s="17">
        <f t="shared" si="1"/>
        <v>983217.34698658134</v>
      </c>
      <c r="F8" s="21">
        <f t="shared" si="2"/>
        <v>5.36</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9360</v>
      </c>
      <c r="E10" s="17">
        <f t="shared" si="1"/>
        <v>148034.16548805934</v>
      </c>
      <c r="F10" s="21">
        <f t="shared" si="2"/>
        <v>15.82</v>
      </c>
    </row>
    <row r="11" spans="1:6" x14ac:dyDescent="0.2">
      <c r="A11" s="19">
        <v>7</v>
      </c>
      <c r="B11" s="177" t="s">
        <v>6</v>
      </c>
      <c r="C11" s="178"/>
      <c r="D11" s="14">
        <f t="shared" si="0"/>
        <v>138324</v>
      </c>
      <c r="E11" s="17">
        <f t="shared" si="1"/>
        <v>623498.93664212851</v>
      </c>
      <c r="F11" s="21">
        <f t="shared" si="2"/>
        <v>4.51</v>
      </c>
    </row>
    <row r="12" spans="1:6" x14ac:dyDescent="0.2">
      <c r="A12" s="19">
        <v>8</v>
      </c>
      <c r="B12" s="177" t="s">
        <v>7</v>
      </c>
      <c r="C12" s="178"/>
      <c r="D12" s="14">
        <f t="shared" si="0"/>
        <v>83199</v>
      </c>
      <c r="E12" s="17">
        <f t="shared" si="1"/>
        <v>276188.01489754813</v>
      </c>
      <c r="F12" s="21">
        <f t="shared" si="2"/>
        <v>3.32</v>
      </c>
    </row>
    <row r="13" spans="1:6" x14ac:dyDescent="0.2">
      <c r="A13" s="19">
        <v>9</v>
      </c>
      <c r="B13" s="177" t="s">
        <v>8</v>
      </c>
      <c r="C13" s="178"/>
      <c r="D13" s="14">
        <f t="shared" si="0"/>
        <v>250589</v>
      </c>
      <c r="E13" s="17">
        <f t="shared" si="1"/>
        <v>907706.05881274631</v>
      </c>
      <c r="F13" s="21">
        <f t="shared" si="2"/>
        <v>3.62</v>
      </c>
    </row>
    <row r="14" spans="1:6" x14ac:dyDescent="0.2">
      <c r="A14" s="19">
        <v>10</v>
      </c>
      <c r="B14" s="177" t="s">
        <v>9</v>
      </c>
      <c r="C14" s="178"/>
      <c r="D14" s="14">
        <f t="shared" si="0"/>
        <v>1200</v>
      </c>
      <c r="E14" s="17">
        <f t="shared" si="1"/>
        <v>42734.66224205889</v>
      </c>
      <c r="F14" s="21">
        <f t="shared" si="2"/>
        <v>35.61</v>
      </c>
    </row>
    <row r="15" spans="1:6" x14ac:dyDescent="0.2">
      <c r="A15" s="19">
        <v>11</v>
      </c>
      <c r="B15" s="177" t="s">
        <v>10</v>
      </c>
      <c r="C15" s="178"/>
      <c r="D15" s="14">
        <f t="shared" si="0"/>
        <v>112546</v>
      </c>
      <c r="E15" s="17">
        <f t="shared" si="1"/>
        <v>557791.84391229996</v>
      </c>
      <c r="F15" s="21">
        <f t="shared" si="2"/>
        <v>4.96</v>
      </c>
    </row>
    <row r="16" spans="1:6" ht="14.25" customHeight="1" x14ac:dyDescent="0.2">
      <c r="A16" s="19">
        <v>12</v>
      </c>
      <c r="B16" s="177" t="s">
        <v>11</v>
      </c>
      <c r="C16" s="178"/>
      <c r="D16" s="14">
        <f t="shared" si="0"/>
        <v>260764</v>
      </c>
      <c r="E16" s="17">
        <f t="shared" si="1"/>
        <v>1344171.8407402041</v>
      </c>
      <c r="F16" s="21">
        <f t="shared" si="2"/>
        <v>5.15</v>
      </c>
    </row>
    <row r="17" spans="1:6" x14ac:dyDescent="0.2">
      <c r="A17" s="19">
        <v>13</v>
      </c>
      <c r="B17" s="177" t="s">
        <v>12</v>
      </c>
      <c r="C17" s="178"/>
      <c r="D17" s="14">
        <f t="shared" si="0"/>
        <v>13914</v>
      </c>
      <c r="E17" s="17">
        <f t="shared" si="1"/>
        <v>146602.27869667285</v>
      </c>
      <c r="F17" s="21">
        <f t="shared" si="2"/>
        <v>10.54</v>
      </c>
    </row>
    <row r="18" spans="1:6" ht="14.25" customHeight="1" x14ac:dyDescent="0.2">
      <c r="A18" s="19">
        <v>14</v>
      </c>
      <c r="B18" s="177" t="s">
        <v>464</v>
      </c>
      <c r="C18" s="178"/>
      <c r="D18" s="14">
        <f t="shared" si="0"/>
        <v>89776</v>
      </c>
      <c r="E18" s="17">
        <f t="shared" si="1"/>
        <v>665778.27786923258</v>
      </c>
      <c r="F18" s="21">
        <f t="shared" si="2"/>
        <v>7.42</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175049</v>
      </c>
      <c r="E20" s="17">
        <f t="shared" si="1"/>
        <v>827869.37067513913</v>
      </c>
      <c r="F20" s="21">
        <f t="shared" si="2"/>
        <v>4.7300000000000004</v>
      </c>
    </row>
    <row r="21" spans="1:6" x14ac:dyDescent="0.2">
      <c r="A21" s="19">
        <v>17</v>
      </c>
      <c r="B21" s="177" t="s">
        <v>15</v>
      </c>
      <c r="C21" s="178"/>
      <c r="D21" s="14">
        <f t="shared" si="0"/>
        <v>0</v>
      </c>
      <c r="E21" s="17">
        <f t="shared" si="1"/>
        <v>0</v>
      </c>
      <c r="F21" s="21" t="str">
        <f t="shared" si="2"/>
        <v/>
      </c>
    </row>
    <row r="22" spans="1:6" x14ac:dyDescent="0.2">
      <c r="A22" s="19">
        <v>18</v>
      </c>
      <c r="B22" s="177" t="s">
        <v>16</v>
      </c>
      <c r="C22" s="178"/>
      <c r="D22" s="14">
        <f t="shared" si="0"/>
        <v>74272</v>
      </c>
      <c r="E22" s="17">
        <f t="shared" si="1"/>
        <v>357267.1217018317</v>
      </c>
      <c r="F22" s="21">
        <f t="shared" si="2"/>
        <v>4.8099999999999996</v>
      </c>
    </row>
    <row r="23" spans="1:6" x14ac:dyDescent="0.2">
      <c r="A23" s="19">
        <v>19</v>
      </c>
      <c r="B23" s="177" t="s">
        <v>17</v>
      </c>
      <c r="C23" s="178"/>
      <c r="D23" s="14">
        <f t="shared" si="0"/>
        <v>229766</v>
      </c>
      <c r="E23" s="17">
        <f t="shared" si="1"/>
        <v>996130.86725741951</v>
      </c>
      <c r="F23" s="21">
        <f t="shared" si="2"/>
        <v>4.34</v>
      </c>
    </row>
    <row r="24" spans="1:6" x14ac:dyDescent="0.2">
      <c r="A24" s="19">
        <v>20</v>
      </c>
      <c r="B24" s="177" t="s">
        <v>18</v>
      </c>
      <c r="C24" s="178"/>
      <c r="D24" s="14">
        <f t="shared" si="0"/>
        <v>9920</v>
      </c>
      <c r="E24" s="17">
        <f t="shared" si="1"/>
        <v>78925.141201020175</v>
      </c>
      <c r="F24" s="21">
        <f t="shared" si="2"/>
        <v>7.96</v>
      </c>
    </row>
    <row r="25" spans="1:6" ht="14.25" customHeight="1" x14ac:dyDescent="0.2">
      <c r="A25" s="19">
        <v>21</v>
      </c>
      <c r="B25" s="177" t="s">
        <v>461</v>
      </c>
      <c r="C25" s="178"/>
      <c r="D25" s="14">
        <f t="shared" si="0"/>
        <v>12964</v>
      </c>
      <c r="E25" s="17">
        <f t="shared" si="1"/>
        <v>182771.08775504288</v>
      </c>
      <c r="F25" s="21">
        <f t="shared" si="2"/>
        <v>14.1</v>
      </c>
    </row>
    <row r="26" spans="1:6" x14ac:dyDescent="0.2">
      <c r="A26" s="19">
        <v>22</v>
      </c>
      <c r="B26" s="177" t="s">
        <v>19</v>
      </c>
      <c r="C26" s="178"/>
      <c r="D26" s="14">
        <f t="shared" si="0"/>
        <v>6128</v>
      </c>
      <c r="E26" s="17">
        <f t="shared" si="1"/>
        <v>69473.248516114079</v>
      </c>
      <c r="F26" s="21">
        <f t="shared" si="2"/>
        <v>11.34</v>
      </c>
    </row>
    <row r="27" spans="1:6" x14ac:dyDescent="0.2">
      <c r="A27" s="19">
        <v>23</v>
      </c>
      <c r="B27" s="177" t="s">
        <v>20</v>
      </c>
      <c r="C27" s="178"/>
      <c r="D27" s="14">
        <f t="shared" si="0"/>
        <v>101456</v>
      </c>
      <c r="E27" s="17">
        <f t="shared" si="1"/>
        <v>621091.0570252724</v>
      </c>
      <c r="F27" s="21">
        <f t="shared" si="2"/>
        <v>6.12</v>
      </c>
    </row>
    <row r="28" spans="1:6" x14ac:dyDescent="0.2">
      <c r="A28" s="19">
        <v>24</v>
      </c>
      <c r="B28" s="177" t="s">
        <v>21</v>
      </c>
      <c r="C28" s="178"/>
      <c r="D28" s="14">
        <f t="shared" si="0"/>
        <v>294863</v>
      </c>
      <c r="E28" s="17">
        <f t="shared" si="1"/>
        <v>1686741.0922335093</v>
      </c>
      <c r="F28" s="21">
        <f t="shared" si="2"/>
        <v>5.72</v>
      </c>
    </row>
    <row r="29" spans="1:6" x14ac:dyDescent="0.2">
      <c r="A29" s="19">
        <v>25</v>
      </c>
      <c r="B29" s="177" t="s">
        <v>22</v>
      </c>
      <c r="C29" s="178"/>
      <c r="D29" s="14">
        <f t="shared" si="0"/>
        <v>294471</v>
      </c>
      <c r="E29" s="17">
        <f t="shared" si="1"/>
        <v>1220715.4092344367</v>
      </c>
      <c r="F29" s="21">
        <f t="shared" si="2"/>
        <v>4.1500000000000004</v>
      </c>
    </row>
    <row r="30" spans="1:6" x14ac:dyDescent="0.2">
      <c r="A30" s="19">
        <v>26</v>
      </c>
      <c r="B30" s="177" t="s">
        <v>23</v>
      </c>
      <c r="C30" s="178"/>
      <c r="D30" s="14">
        <f t="shared" si="0"/>
        <v>158614</v>
      </c>
      <c r="E30" s="17">
        <f t="shared" si="1"/>
        <v>1086740.4673849409</v>
      </c>
      <c r="F30" s="21">
        <f t="shared" si="2"/>
        <v>6.85</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2760320</v>
      </c>
      <c r="E33" s="31">
        <f>SUM(E5:E32)</f>
        <v>14131217</v>
      </c>
      <c r="F33" s="32">
        <f t="shared" si="2"/>
        <v>5.12</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IF(F3="1",SUMIF(Data!A:A,'23'!$A$2,Data!CU:CU),0)</f>
        <v>25129</v>
      </c>
      <c r="E36" s="15">
        <f>IF(F3="1",SUMIF(Data!$A:$A,$A$2,Data!IO:IO),0)</f>
        <v>1122</v>
      </c>
      <c r="F36" s="20">
        <f t="shared" ref="F36:F64" si="3">IF(OR(D36=0,E36=0),"",ROUND(E36/D36,2))</f>
        <v>0.04</v>
      </c>
    </row>
    <row r="37" spans="1:6" x14ac:dyDescent="0.2">
      <c r="A37" s="19">
        <v>2</v>
      </c>
      <c r="B37" s="177" t="s">
        <v>1</v>
      </c>
      <c r="C37" s="178"/>
      <c r="D37" s="14">
        <f>IF(F3="1",SUMIF(Data!A:A,'23'!$A$2,Data!CV:CV),0)</f>
        <v>53297</v>
      </c>
      <c r="E37" s="17">
        <f>IF(F3="1",SUMIF(Data!$A:$A,$A$2,Data!IP:IP),0)</f>
        <v>24907</v>
      </c>
      <c r="F37" s="21">
        <f t="shared" si="3"/>
        <v>0.47</v>
      </c>
    </row>
    <row r="38" spans="1:6" ht="14.25" customHeight="1" x14ac:dyDescent="0.2">
      <c r="A38" s="19">
        <v>3</v>
      </c>
      <c r="B38" s="177" t="s">
        <v>2</v>
      </c>
      <c r="C38" s="178"/>
      <c r="D38" s="14">
        <f>IF(F3="1",SUMIF(Data!A:A,'23'!$A$2,Data!CW:CW),0)</f>
        <v>181136</v>
      </c>
      <c r="E38" s="17">
        <f>IF($F$3="1",SUMIF(Data!$A:$A,$A$2,Data!IQ:IQ),0)</f>
        <v>56897</v>
      </c>
      <c r="F38" s="21">
        <f t="shared" si="3"/>
        <v>0.31</v>
      </c>
    </row>
    <row r="39" spans="1:6" ht="14.25" customHeight="1" x14ac:dyDescent="0.2">
      <c r="A39" s="19">
        <v>4</v>
      </c>
      <c r="B39" s="177" t="s">
        <v>3</v>
      </c>
      <c r="C39" s="178"/>
      <c r="D39" s="14">
        <f>IF(F3="1",SUMIF(Data!A:A,'23'!$A$2,Data!CX:CX),0)</f>
        <v>183583</v>
      </c>
      <c r="E39" s="17">
        <f>IF($F$3="1",SUMIF(Data!$A:$A,$A$2,Data!IR:IR),0)</f>
        <v>53050</v>
      </c>
      <c r="F39" s="21">
        <f t="shared" si="3"/>
        <v>0.28999999999999998</v>
      </c>
    </row>
    <row r="40" spans="1:6" x14ac:dyDescent="0.2">
      <c r="A40" s="19">
        <v>5</v>
      </c>
      <c r="B40" s="177" t="s">
        <v>4</v>
      </c>
      <c r="C40" s="178"/>
      <c r="D40" s="14">
        <f>IF(F3="1",SUMIF(Data!A:A,'23'!$A$2,Data!CY:CY),0)</f>
        <v>0</v>
      </c>
      <c r="E40" s="17">
        <f>IF($F$3="1",SUMIF(Data!$A:$A,$A$2,Data!IS:IS),0)</f>
        <v>0</v>
      </c>
      <c r="F40" s="21" t="str">
        <f t="shared" si="3"/>
        <v/>
      </c>
    </row>
    <row r="41" spans="1:6" x14ac:dyDescent="0.2">
      <c r="A41" s="19">
        <v>6</v>
      </c>
      <c r="B41" s="177" t="s">
        <v>5</v>
      </c>
      <c r="C41" s="178"/>
      <c r="D41" s="14">
        <f>IF(F3="1",SUMIF(Data!A:A,'23'!$A$2,Data!CZ:CZ),0)</f>
        <v>9360</v>
      </c>
      <c r="E41" s="17">
        <f>IF($F$3="1",SUMIF(Data!$A:$A,$A$2,Data!IT:IT),0)</f>
        <v>5024</v>
      </c>
      <c r="F41" s="21">
        <f t="shared" si="3"/>
        <v>0.54</v>
      </c>
    </row>
    <row r="42" spans="1:6" x14ac:dyDescent="0.2">
      <c r="A42" s="19">
        <v>7</v>
      </c>
      <c r="B42" s="177" t="s">
        <v>6</v>
      </c>
      <c r="C42" s="178"/>
      <c r="D42" s="14">
        <f>IF(F3="1",SUMIF(Data!A:A,'23'!$A$2,Data!DA:DA),0)</f>
        <v>138324</v>
      </c>
      <c r="E42" s="17">
        <f>IF($F$3="1",SUMIF(Data!$A:$A,$A$2,Data!IU:IU),0)</f>
        <v>44642</v>
      </c>
      <c r="F42" s="21">
        <f t="shared" si="3"/>
        <v>0.32</v>
      </c>
    </row>
    <row r="43" spans="1:6" x14ac:dyDescent="0.2">
      <c r="A43" s="19">
        <v>8</v>
      </c>
      <c r="B43" s="177" t="s">
        <v>7</v>
      </c>
      <c r="C43" s="178"/>
      <c r="D43" s="14">
        <f>IF(F3="1",SUMIF(Data!A:A,'23'!$A$2,Data!DB:DB),0)</f>
        <v>83199</v>
      </c>
      <c r="E43" s="17">
        <f>IF($F$3="1",SUMIF(Data!$A:$A,$A$2,Data!IV:IV),0)</f>
        <v>29439</v>
      </c>
      <c r="F43" s="21">
        <f t="shared" si="3"/>
        <v>0.35</v>
      </c>
    </row>
    <row r="44" spans="1:6" x14ac:dyDescent="0.2">
      <c r="A44" s="19">
        <v>9</v>
      </c>
      <c r="B44" s="177" t="s">
        <v>8</v>
      </c>
      <c r="C44" s="178"/>
      <c r="D44" s="14">
        <f>IF(F3="1",SUMIF(Data!A:A,'23'!$A$2,Data!DC:DC),0)</f>
        <v>250589</v>
      </c>
      <c r="E44" s="17">
        <f>IF($F$3="1",SUMIF(Data!$A:$A,$A$2,Data!IW:IW),0)</f>
        <v>43312</v>
      </c>
      <c r="F44" s="21">
        <f t="shared" si="3"/>
        <v>0.17</v>
      </c>
    </row>
    <row r="45" spans="1:6" x14ac:dyDescent="0.2">
      <c r="A45" s="19">
        <v>10</v>
      </c>
      <c r="B45" s="177" t="s">
        <v>9</v>
      </c>
      <c r="C45" s="178"/>
      <c r="D45" s="14">
        <f>IF(F3="1",SUMIF(Data!A:A,'23'!$A$2,Data!DD:DD),0)</f>
        <v>1200</v>
      </c>
      <c r="E45" s="17">
        <f>IF($F$3="1",SUMIF(Data!$A:$A,$A$2,Data!IX:IX),0)</f>
        <v>3288</v>
      </c>
      <c r="F45" s="21">
        <f t="shared" si="3"/>
        <v>2.74</v>
      </c>
    </row>
    <row r="46" spans="1:6" x14ac:dyDescent="0.2">
      <c r="A46" s="19">
        <v>11</v>
      </c>
      <c r="B46" s="177" t="s">
        <v>10</v>
      </c>
      <c r="C46" s="178"/>
      <c r="D46" s="14">
        <f>IF(F3="1",SUMIF(Data!A:A,'23'!$A$2,Data!DE:DE),0)</f>
        <v>112546</v>
      </c>
      <c r="E46" s="17">
        <f>IF($F$3="1",SUMIF(Data!$A:$A,$A$2,Data!IY:IY),0)</f>
        <v>56528</v>
      </c>
      <c r="F46" s="21">
        <f t="shared" si="3"/>
        <v>0.5</v>
      </c>
    </row>
    <row r="47" spans="1:6" ht="14.25" customHeight="1" x14ac:dyDescent="0.2">
      <c r="A47" s="19">
        <v>12</v>
      </c>
      <c r="B47" s="177" t="s">
        <v>11</v>
      </c>
      <c r="C47" s="178"/>
      <c r="D47" s="14">
        <f>IF(F3="1",SUMIF(Data!A:A,'23'!$A$2,Data!DF:DF),0)</f>
        <v>260764</v>
      </c>
      <c r="E47" s="17">
        <f>IF($F$3="1",SUMIF(Data!$A:$A,$A$2,Data!IZ:IZ),0)</f>
        <v>93717</v>
      </c>
      <c r="F47" s="21">
        <f t="shared" si="3"/>
        <v>0.36</v>
      </c>
    </row>
    <row r="48" spans="1:6" x14ac:dyDescent="0.2">
      <c r="A48" s="19">
        <v>13</v>
      </c>
      <c r="B48" s="177" t="s">
        <v>12</v>
      </c>
      <c r="C48" s="178"/>
      <c r="D48" s="14">
        <f>IF(F3="1",SUMIF(Data!A:A,'23'!$A$2,Data!DG:DG),0)</f>
        <v>13914</v>
      </c>
      <c r="E48" s="17">
        <f>IF($F$3="1",SUMIF(Data!$A:$A,$A$2,Data!JA:JA),0)</f>
        <v>6606</v>
      </c>
      <c r="F48" s="21">
        <f t="shared" si="3"/>
        <v>0.47</v>
      </c>
    </row>
    <row r="49" spans="1:6" ht="14.25" customHeight="1" x14ac:dyDescent="0.2">
      <c r="A49" s="19">
        <v>14</v>
      </c>
      <c r="B49" s="177" t="s">
        <v>464</v>
      </c>
      <c r="C49" s="178"/>
      <c r="D49" s="14">
        <f>IF(F3="1",SUMIF(Data!A:A,'23'!$A$2,Data!DH:DH),0)</f>
        <v>89776</v>
      </c>
      <c r="E49" s="17">
        <f>IF($F$3="1",SUMIF(Data!$A:$A,$A$2,Data!JB:JB),0)</f>
        <v>60300</v>
      </c>
      <c r="F49" s="21">
        <f t="shared" si="3"/>
        <v>0.67</v>
      </c>
    </row>
    <row r="50" spans="1:6" x14ac:dyDescent="0.2">
      <c r="A50" s="19">
        <v>15</v>
      </c>
      <c r="B50" s="177" t="s">
        <v>13</v>
      </c>
      <c r="C50" s="178"/>
      <c r="D50" s="14">
        <f>IF(F3="1",SUMIF(Data!A:A,'23'!$A$2,Data!DI:DI),0)</f>
        <v>0</v>
      </c>
      <c r="E50" s="17">
        <f>IF($F$3="1",SUMIF(Data!$A:$A,$A$2,Data!JC:JC),0)</f>
        <v>0</v>
      </c>
      <c r="F50" s="21" t="str">
        <f t="shared" si="3"/>
        <v/>
      </c>
    </row>
    <row r="51" spans="1:6" x14ac:dyDescent="0.2">
      <c r="A51" s="19">
        <v>16</v>
      </c>
      <c r="B51" s="177" t="s">
        <v>14</v>
      </c>
      <c r="C51" s="178"/>
      <c r="D51" s="14">
        <f>IF(F3="1",SUMIF(Data!A:A,'23'!$A$2,Data!DJ:DJ),0)</f>
        <v>175049</v>
      </c>
      <c r="E51" s="17">
        <f>IF($F$3="1",SUMIF(Data!$A:$A,$A$2,Data!JD:JD),0)</f>
        <v>45115</v>
      </c>
      <c r="F51" s="21">
        <f t="shared" si="3"/>
        <v>0.26</v>
      </c>
    </row>
    <row r="52" spans="1:6" x14ac:dyDescent="0.2">
      <c r="A52" s="19">
        <v>17</v>
      </c>
      <c r="B52" s="177" t="s">
        <v>15</v>
      </c>
      <c r="C52" s="178"/>
      <c r="D52" s="14">
        <f>IF(F3="1",SUMIF(Data!A:A,'23'!$A$2,Data!DK:DK),0)</f>
        <v>0</v>
      </c>
      <c r="E52" s="17">
        <f>IF($F$3="1",SUMIF(Data!$A:$A,$A$2,Data!JE:JE),0)</f>
        <v>0</v>
      </c>
      <c r="F52" s="21" t="str">
        <f t="shared" si="3"/>
        <v/>
      </c>
    </row>
    <row r="53" spans="1:6" x14ac:dyDescent="0.2">
      <c r="A53" s="19">
        <v>18</v>
      </c>
      <c r="B53" s="177" t="s">
        <v>16</v>
      </c>
      <c r="C53" s="178"/>
      <c r="D53" s="14">
        <f>IF(F3="1",SUMIF(Data!A:A,'23'!$A$2,Data!DL:DL),0)</f>
        <v>74272</v>
      </c>
      <c r="E53" s="17">
        <f>IF($F$3="1",SUMIF(Data!$A:$A,$A$2,Data!JF:JF),0)</f>
        <v>8095</v>
      </c>
      <c r="F53" s="21">
        <f t="shared" si="3"/>
        <v>0.11</v>
      </c>
    </row>
    <row r="54" spans="1:6" x14ac:dyDescent="0.2">
      <c r="A54" s="19">
        <v>19</v>
      </c>
      <c r="B54" s="177" t="s">
        <v>17</v>
      </c>
      <c r="C54" s="178"/>
      <c r="D54" s="14">
        <f>IF(F3="1",SUMIF(Data!A:A,'23'!$A$2,Data!DM:DM),0)</f>
        <v>229766</v>
      </c>
      <c r="E54" s="17">
        <f>IF($F$3="1",SUMIF(Data!$A:$A,$A$2,Data!JG:JG),0)</f>
        <v>33045</v>
      </c>
      <c r="F54" s="21">
        <f t="shared" si="3"/>
        <v>0.14000000000000001</v>
      </c>
    </row>
    <row r="55" spans="1:6" x14ac:dyDescent="0.2">
      <c r="A55" s="19">
        <v>20</v>
      </c>
      <c r="B55" s="177" t="s">
        <v>18</v>
      </c>
      <c r="C55" s="178"/>
      <c r="D55" s="14">
        <f>IF(F3="1",SUMIF(Data!A:A,'23'!$A$2,Data!DN:DN),0)</f>
        <v>9920</v>
      </c>
      <c r="E55" s="17">
        <f>IF($F$3="1",SUMIF(Data!$A:$A,$A$2,Data!JH:JH),0)</f>
        <v>14457</v>
      </c>
      <c r="F55" s="21">
        <f t="shared" si="3"/>
        <v>1.46</v>
      </c>
    </row>
    <row r="56" spans="1:6" ht="14.25" customHeight="1" x14ac:dyDescent="0.2">
      <c r="A56" s="19">
        <v>21</v>
      </c>
      <c r="B56" s="177" t="s">
        <v>461</v>
      </c>
      <c r="C56" s="178"/>
      <c r="D56" s="14">
        <f>IF(F3="1",SUMIF(Data!A:A,'23'!$A$2,Data!DO:DO),0)</f>
        <v>12964</v>
      </c>
      <c r="E56" s="17">
        <f>IF($F$3="1",SUMIF(Data!$A:$A,$A$2,Data!JI:JI),0)</f>
        <v>33411</v>
      </c>
      <c r="F56" s="21">
        <f t="shared" si="3"/>
        <v>2.58</v>
      </c>
    </row>
    <row r="57" spans="1:6" x14ac:dyDescent="0.2">
      <c r="A57" s="19">
        <v>22</v>
      </c>
      <c r="B57" s="177" t="s">
        <v>19</v>
      </c>
      <c r="C57" s="178"/>
      <c r="D57" s="14">
        <f>IF(F3="1",SUMIF(Data!A:A,'23'!$A$2,Data!DP:DP),0)</f>
        <v>6128</v>
      </c>
      <c r="E57" s="17">
        <f>IF($F$3="1",SUMIF(Data!$A:$A,$A$2,Data!JJ:JJ),0)</f>
        <v>5122</v>
      </c>
      <c r="F57" s="21">
        <f t="shared" si="3"/>
        <v>0.84</v>
      </c>
    </row>
    <row r="58" spans="1:6" x14ac:dyDescent="0.2">
      <c r="A58" s="19">
        <v>23</v>
      </c>
      <c r="B58" s="177" t="s">
        <v>20</v>
      </c>
      <c r="C58" s="178"/>
      <c r="D58" s="14">
        <f>IF(F3="1",SUMIF(Data!A:A,'23'!$A$2,Data!DQ:DQ),0)</f>
        <v>101456</v>
      </c>
      <c r="E58" s="17">
        <f>IF($F$3="1",SUMIF(Data!$A:$A,$A$2,Data!JK:JK),0)</f>
        <v>13178</v>
      </c>
      <c r="F58" s="21">
        <f t="shared" si="3"/>
        <v>0.13</v>
      </c>
    </row>
    <row r="59" spans="1:6" x14ac:dyDescent="0.2">
      <c r="A59" s="19">
        <v>24</v>
      </c>
      <c r="B59" s="177" t="s">
        <v>21</v>
      </c>
      <c r="C59" s="178"/>
      <c r="D59" s="14">
        <f>IF(F3="1",SUMIF(Data!A:A,'23'!$A$2,Data!DR:DR),0)</f>
        <v>294863</v>
      </c>
      <c r="E59" s="17">
        <f>IF($F$3="1",SUMIF(Data!$A:$A,$A$2,Data!JL:JL),0)</f>
        <v>278905</v>
      </c>
      <c r="F59" s="21">
        <f t="shared" si="3"/>
        <v>0.95</v>
      </c>
    </row>
    <row r="60" spans="1:6" x14ac:dyDescent="0.2">
      <c r="A60" s="19">
        <v>25</v>
      </c>
      <c r="B60" s="177" t="s">
        <v>22</v>
      </c>
      <c r="C60" s="178"/>
      <c r="D60" s="14">
        <f>IF(F3="1",SUMIF(Data!A:A,'23'!$A$2,Data!DS:DS),0)</f>
        <v>294471</v>
      </c>
      <c r="E60" s="17">
        <f>IF($F$3="1",SUMIF(Data!$A:$A,$A$2,Data!JM:JM),0)</f>
        <v>23517</v>
      </c>
      <c r="F60" s="21">
        <f t="shared" si="3"/>
        <v>0.08</v>
      </c>
    </row>
    <row r="61" spans="1:6" x14ac:dyDescent="0.2">
      <c r="A61" s="19">
        <v>26</v>
      </c>
      <c r="B61" s="177" t="s">
        <v>23</v>
      </c>
      <c r="C61" s="178"/>
      <c r="D61" s="14">
        <f>IF(F3="1",SUMIF(Data!A:A,'23'!$A$2,Data!DT:DT),0)</f>
        <v>158614</v>
      </c>
      <c r="E61" s="17">
        <f>IF($F$3="1",SUMIF(Data!$A:$A,$A$2,Data!JN:JN),0)</f>
        <v>144249</v>
      </c>
      <c r="F61" s="21">
        <f t="shared" si="3"/>
        <v>0.91</v>
      </c>
    </row>
    <row r="62" spans="1:6" x14ac:dyDescent="0.2">
      <c r="A62" s="19">
        <v>28</v>
      </c>
      <c r="B62" s="177" t="s">
        <v>24</v>
      </c>
      <c r="C62" s="178"/>
      <c r="D62" s="14">
        <f>IF(F3="1",SUMIF(Data!A:A,'23'!$A$2,Data!DV:DV),0)</f>
        <v>0</v>
      </c>
      <c r="E62" s="17">
        <f>IF($F$3="1",SUMIF(Data!$A:$A,$A$2,Data!JP:JP),0)</f>
        <v>0</v>
      </c>
      <c r="F62" s="21" t="str">
        <f t="shared" si="3"/>
        <v/>
      </c>
    </row>
    <row r="63" spans="1:6" ht="15.75" customHeight="1" thickBot="1" x14ac:dyDescent="0.25">
      <c r="A63" s="22">
        <v>29</v>
      </c>
      <c r="B63" s="179" t="s">
        <v>25</v>
      </c>
      <c r="C63" s="180"/>
      <c r="D63" s="23">
        <f>IF(F3="1",SUMIF(Data!A:A,'23'!$A$2,Data!DW:DW),0)</f>
        <v>0</v>
      </c>
      <c r="E63" s="24">
        <f>IF($F$3="1",SUMIF(Data!$A:$A,$A$2,Data!JQ:JQ),0)</f>
        <v>0</v>
      </c>
      <c r="F63" s="25" t="str">
        <f t="shared" si="3"/>
        <v/>
      </c>
    </row>
    <row r="64" spans="1:6" x14ac:dyDescent="0.2">
      <c r="B64" s="30" t="s">
        <v>35</v>
      </c>
      <c r="C64" s="30"/>
      <c r="D64" s="59">
        <f>SUM(D36:D63)</f>
        <v>2760320</v>
      </c>
      <c r="E64" s="31">
        <f>SUM(E36:E63)</f>
        <v>1077926</v>
      </c>
      <c r="F64" s="32">
        <f t="shared" si="3"/>
        <v>0.39</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25129</v>
      </c>
      <c r="E67" s="15">
        <f>IF(F3="1",SUMIF(Data!A:A,'23'!$A$2,Data!DY:DY),0)</f>
        <v>42000</v>
      </c>
      <c r="F67" s="20">
        <f t="shared" ref="F67:F95" si="4">IF(OR(D67=0,E67=0),"",ROUND(E67/D67,2))</f>
        <v>1.67</v>
      </c>
    </row>
    <row r="68" spans="1:6" x14ac:dyDescent="0.2">
      <c r="A68" s="19">
        <v>2</v>
      </c>
      <c r="B68" s="177" t="s">
        <v>1</v>
      </c>
      <c r="C68" s="178"/>
      <c r="D68" s="14">
        <f t="shared" ref="D68:D94" si="5">D37</f>
        <v>53297</v>
      </c>
      <c r="E68" s="17">
        <f>IF(F3="1",SUMIF(Data!A:A,'23'!$A$2,Data!DZ:DZ),0)</f>
        <v>89510</v>
      </c>
      <c r="F68" s="21">
        <f t="shared" si="4"/>
        <v>1.68</v>
      </c>
    </row>
    <row r="69" spans="1:6" ht="14.25" customHeight="1" x14ac:dyDescent="0.2">
      <c r="A69" s="19">
        <v>3</v>
      </c>
      <c r="B69" s="177" t="s">
        <v>2</v>
      </c>
      <c r="C69" s="178"/>
      <c r="D69" s="14">
        <f t="shared" si="5"/>
        <v>181136</v>
      </c>
      <c r="E69" s="17">
        <f>IF(F3="1",SUMIF(Data!A:A,'23'!$A$2,Data!EA:EA),0)</f>
        <v>513501</v>
      </c>
      <c r="F69" s="21">
        <f t="shared" si="4"/>
        <v>2.83</v>
      </c>
    </row>
    <row r="70" spans="1:6" ht="14.25" customHeight="1" x14ac:dyDescent="0.2">
      <c r="A70" s="19">
        <v>4</v>
      </c>
      <c r="B70" s="177" t="s">
        <v>3</v>
      </c>
      <c r="C70" s="178"/>
      <c r="D70" s="14">
        <f t="shared" si="5"/>
        <v>183583</v>
      </c>
      <c r="E70" s="17">
        <f>IF(F3="1",SUMIF(Data!A:A,'23'!$A$2,Data!EB:EB),0)</f>
        <v>520064</v>
      </c>
      <c r="F70" s="21">
        <f t="shared" si="4"/>
        <v>2.83</v>
      </c>
    </row>
    <row r="71" spans="1:6" x14ac:dyDescent="0.2">
      <c r="A71" s="19">
        <v>5</v>
      </c>
      <c r="B71" s="177" t="s">
        <v>4</v>
      </c>
      <c r="C71" s="178"/>
      <c r="D71" s="14">
        <f t="shared" si="5"/>
        <v>0</v>
      </c>
      <c r="E71" s="17">
        <f>IF(F3="1",SUMIF(Data!A:A,'23'!$A$2,Data!EC:EC),0)</f>
        <v>0</v>
      </c>
      <c r="F71" s="21" t="str">
        <f t="shared" si="4"/>
        <v/>
      </c>
    </row>
    <row r="72" spans="1:6" x14ac:dyDescent="0.2">
      <c r="A72" s="19">
        <v>6</v>
      </c>
      <c r="B72" s="177" t="s">
        <v>5</v>
      </c>
      <c r="C72" s="178"/>
      <c r="D72" s="14">
        <f t="shared" si="5"/>
        <v>9360</v>
      </c>
      <c r="E72" s="17">
        <f>IF(F3="1",SUMIF(Data!A:A,'23'!$A$2,Data!ED:ED),0)</f>
        <v>122101</v>
      </c>
      <c r="F72" s="21">
        <f t="shared" si="4"/>
        <v>13.04</v>
      </c>
    </row>
    <row r="73" spans="1:6" x14ac:dyDescent="0.2">
      <c r="A73" s="19">
        <v>7</v>
      </c>
      <c r="B73" s="177" t="s">
        <v>6</v>
      </c>
      <c r="C73" s="178"/>
      <c r="D73" s="14">
        <f t="shared" si="5"/>
        <v>138324</v>
      </c>
      <c r="E73" s="17">
        <f>IF(F3="1",SUMIF(Data!A:A,'23'!$A$2,Data!EE:EE),0)</f>
        <v>269857</v>
      </c>
      <c r="F73" s="21">
        <f t="shared" si="4"/>
        <v>1.95</v>
      </c>
    </row>
    <row r="74" spans="1:6" x14ac:dyDescent="0.2">
      <c r="A74" s="19">
        <v>8</v>
      </c>
      <c r="B74" s="177" t="s">
        <v>7</v>
      </c>
      <c r="C74" s="178"/>
      <c r="D74" s="14">
        <f t="shared" si="5"/>
        <v>83199</v>
      </c>
      <c r="E74" s="17">
        <f>IF(F3="1",SUMIF(Data!A:A,'23'!$A$2,Data!EF:EF),0)</f>
        <v>60892</v>
      </c>
      <c r="F74" s="21">
        <f t="shared" si="4"/>
        <v>0.73</v>
      </c>
    </row>
    <row r="75" spans="1:6" x14ac:dyDescent="0.2">
      <c r="A75" s="19">
        <v>9</v>
      </c>
      <c r="B75" s="177" t="s">
        <v>8</v>
      </c>
      <c r="C75" s="178"/>
      <c r="D75" s="14">
        <f t="shared" si="5"/>
        <v>250589</v>
      </c>
      <c r="E75" s="17">
        <f>IF(F3="1",SUMIF(Data!A:A,'23'!$A$2,Data!EG:EG),0)</f>
        <v>304607</v>
      </c>
      <c r="F75" s="21">
        <f t="shared" si="4"/>
        <v>1.22</v>
      </c>
    </row>
    <row r="76" spans="1:6" x14ac:dyDescent="0.2">
      <c r="A76" s="19">
        <v>10</v>
      </c>
      <c r="B76" s="177" t="s">
        <v>9</v>
      </c>
      <c r="C76" s="178"/>
      <c r="D76" s="14">
        <f t="shared" si="5"/>
        <v>1200</v>
      </c>
      <c r="E76" s="17">
        <f>IF(F3="1",SUMIF(Data!A:A,'23'!$A$2,Data!EH:EH),0)</f>
        <v>36766</v>
      </c>
      <c r="F76" s="21">
        <f t="shared" si="4"/>
        <v>30.64</v>
      </c>
    </row>
    <row r="77" spans="1:6" x14ac:dyDescent="0.2">
      <c r="A77" s="19">
        <v>11</v>
      </c>
      <c r="B77" s="177" t="s">
        <v>10</v>
      </c>
      <c r="C77" s="178"/>
      <c r="D77" s="14">
        <f t="shared" si="5"/>
        <v>112546</v>
      </c>
      <c r="E77" s="17">
        <f>IF(F3="1",SUMIF(Data!A:A,'23'!$A$2,Data!EI:EI),0)</f>
        <v>249849</v>
      </c>
      <c r="F77" s="21">
        <f t="shared" si="4"/>
        <v>2.2200000000000002</v>
      </c>
    </row>
    <row r="78" spans="1:6" ht="14.25" customHeight="1" x14ac:dyDescent="0.2">
      <c r="A78" s="19">
        <v>12</v>
      </c>
      <c r="B78" s="177" t="s">
        <v>11</v>
      </c>
      <c r="C78" s="178"/>
      <c r="D78" s="14">
        <f t="shared" si="5"/>
        <v>260764</v>
      </c>
      <c r="E78" s="17">
        <f>IF(F3="1",SUMIF(Data!A:A,'23'!$A$2,Data!EJ:EJ),0)</f>
        <v>667938</v>
      </c>
      <c r="F78" s="21">
        <f t="shared" si="4"/>
        <v>2.56</v>
      </c>
    </row>
    <row r="79" spans="1:6" x14ac:dyDescent="0.2">
      <c r="A79" s="19">
        <v>13</v>
      </c>
      <c r="B79" s="177" t="s">
        <v>12</v>
      </c>
      <c r="C79" s="178"/>
      <c r="D79" s="14">
        <f t="shared" si="5"/>
        <v>13914</v>
      </c>
      <c r="E79" s="17">
        <f>IF(F3="1",SUMIF(Data!A:A,'23'!$A$2,Data!EK:EK),0)</f>
        <v>108914</v>
      </c>
      <c r="F79" s="21">
        <f t="shared" si="4"/>
        <v>7.83</v>
      </c>
    </row>
    <row r="80" spans="1:6" ht="14.25" customHeight="1" x14ac:dyDescent="0.2">
      <c r="A80" s="19">
        <v>14</v>
      </c>
      <c r="B80" s="177" t="s">
        <v>464</v>
      </c>
      <c r="C80" s="178"/>
      <c r="D80" s="14">
        <f t="shared" si="5"/>
        <v>89776</v>
      </c>
      <c r="E80" s="17">
        <f>IF(F3="1",SUMIF(Data!A:A,'23'!$A$2,Data!EL:EL),0)</f>
        <v>404929</v>
      </c>
      <c r="F80" s="21">
        <f t="shared" si="4"/>
        <v>4.51</v>
      </c>
    </row>
    <row r="81" spans="1:6" x14ac:dyDescent="0.2">
      <c r="A81" s="19">
        <v>15</v>
      </c>
      <c r="B81" s="177" t="s">
        <v>13</v>
      </c>
      <c r="C81" s="178"/>
      <c r="D81" s="14">
        <f t="shared" si="5"/>
        <v>0</v>
      </c>
      <c r="E81" s="17">
        <f>IF(F3="1",SUMIF(Data!A:A,'23'!$A$2,Data!EM:EM),0)</f>
        <v>0</v>
      </c>
      <c r="F81" s="21" t="str">
        <f t="shared" si="4"/>
        <v/>
      </c>
    </row>
    <row r="82" spans="1:6" x14ac:dyDescent="0.2">
      <c r="A82" s="19">
        <v>16</v>
      </c>
      <c r="B82" s="177" t="s">
        <v>14</v>
      </c>
      <c r="C82" s="178"/>
      <c r="D82" s="14">
        <f t="shared" si="5"/>
        <v>175049</v>
      </c>
      <c r="E82" s="17">
        <f>IF(F3="1",SUMIF(Data!A:A,'23'!$A$2,Data!EN:EN),0)</f>
        <v>391715</v>
      </c>
      <c r="F82" s="21">
        <f t="shared" si="4"/>
        <v>2.2400000000000002</v>
      </c>
    </row>
    <row r="83" spans="1:6" x14ac:dyDescent="0.2">
      <c r="A83" s="19">
        <v>17</v>
      </c>
      <c r="B83" s="177" t="s">
        <v>15</v>
      </c>
      <c r="C83" s="178"/>
      <c r="D83" s="14">
        <f t="shared" si="5"/>
        <v>0</v>
      </c>
      <c r="E83" s="17">
        <f>IF(F3="1",SUMIF(Data!A:A,'23'!$A$2,Data!EO:EO),0)</f>
        <v>0</v>
      </c>
      <c r="F83" s="21" t="str">
        <f t="shared" si="4"/>
        <v/>
      </c>
    </row>
    <row r="84" spans="1:6" x14ac:dyDescent="0.2">
      <c r="A84" s="19">
        <v>18</v>
      </c>
      <c r="B84" s="177" t="s">
        <v>16</v>
      </c>
      <c r="C84" s="178"/>
      <c r="D84" s="14">
        <f t="shared" si="5"/>
        <v>74272</v>
      </c>
      <c r="E84" s="17">
        <f>IF(F3="1",SUMIF(Data!A:A,'23'!$A$2,Data!EP:EP),0)</f>
        <v>183257</v>
      </c>
      <c r="F84" s="21">
        <f t="shared" si="4"/>
        <v>2.4700000000000002</v>
      </c>
    </row>
    <row r="85" spans="1:6" x14ac:dyDescent="0.2">
      <c r="A85" s="19">
        <v>19</v>
      </c>
      <c r="B85" s="177" t="s">
        <v>17</v>
      </c>
      <c r="C85" s="178"/>
      <c r="D85" s="14">
        <f t="shared" si="5"/>
        <v>229766</v>
      </c>
      <c r="E85" s="17">
        <f>IF(F3="1",SUMIF(Data!A:A,'23'!$A$2,Data!EQ:EQ),0)</f>
        <v>449815</v>
      </c>
      <c r="F85" s="21">
        <f t="shared" si="4"/>
        <v>1.96</v>
      </c>
    </row>
    <row r="86" spans="1:6" x14ac:dyDescent="0.2">
      <c r="A86" s="19">
        <v>20</v>
      </c>
      <c r="B86" s="177" t="s">
        <v>18</v>
      </c>
      <c r="C86" s="178"/>
      <c r="D86" s="14">
        <f t="shared" si="5"/>
        <v>9920</v>
      </c>
      <c r="E86" s="17">
        <f>IF(F3="1",SUMIF(Data!A:A,'23'!$A$2,Data!ER:ER),0)</f>
        <v>42308</v>
      </c>
      <c r="F86" s="21">
        <f t="shared" si="4"/>
        <v>4.26</v>
      </c>
    </row>
    <row r="87" spans="1:6" ht="14.25" customHeight="1" x14ac:dyDescent="0.2">
      <c r="A87" s="19">
        <v>21</v>
      </c>
      <c r="B87" s="177" t="s">
        <v>461</v>
      </c>
      <c r="C87" s="178"/>
      <c r="D87" s="14">
        <f t="shared" si="5"/>
        <v>12964</v>
      </c>
      <c r="E87" s="17">
        <f>IF(F3="1",SUMIF(Data!A:A,'23'!$A$2,Data!ES:ES),0)</f>
        <v>120400</v>
      </c>
      <c r="F87" s="21">
        <f t="shared" si="4"/>
        <v>9.2899999999999991</v>
      </c>
    </row>
    <row r="88" spans="1:6" x14ac:dyDescent="0.2">
      <c r="A88" s="19">
        <v>22</v>
      </c>
      <c r="B88" s="177" t="s">
        <v>19</v>
      </c>
      <c r="C88" s="178"/>
      <c r="D88" s="14">
        <f t="shared" si="5"/>
        <v>6128</v>
      </c>
      <c r="E88" s="17">
        <f>IF(F3="1",SUMIF(Data!A:A,'23'!$A$2,Data!ET:ET),0)</f>
        <v>50662</v>
      </c>
      <c r="F88" s="21">
        <f t="shared" si="4"/>
        <v>8.27</v>
      </c>
    </row>
    <row r="89" spans="1:6" x14ac:dyDescent="0.2">
      <c r="A89" s="19">
        <v>23</v>
      </c>
      <c r="B89" s="177" t="s">
        <v>20</v>
      </c>
      <c r="C89" s="178"/>
      <c r="D89" s="14">
        <f t="shared" si="5"/>
        <v>101456</v>
      </c>
      <c r="E89" s="17">
        <f>IF(F3="1",SUMIF(Data!A:A,'23'!$A$2,Data!EU:EU),0)</f>
        <v>381272</v>
      </c>
      <c r="F89" s="21">
        <f t="shared" si="4"/>
        <v>3.76</v>
      </c>
    </row>
    <row r="90" spans="1:6" x14ac:dyDescent="0.2">
      <c r="A90" s="19">
        <v>24</v>
      </c>
      <c r="B90" s="177" t="s">
        <v>21</v>
      </c>
      <c r="C90" s="178"/>
      <c r="D90" s="14">
        <f t="shared" si="5"/>
        <v>294863</v>
      </c>
      <c r="E90" s="17">
        <f>IF(F3="1",SUMIF(Data!A:A,'23'!$A$2,Data!EV:EV),0)</f>
        <v>749146</v>
      </c>
      <c r="F90" s="21">
        <f t="shared" si="4"/>
        <v>2.54</v>
      </c>
    </row>
    <row r="91" spans="1:6" x14ac:dyDescent="0.2">
      <c r="A91" s="19">
        <v>25</v>
      </c>
      <c r="B91" s="177" t="s">
        <v>22</v>
      </c>
      <c r="C91" s="178"/>
      <c r="D91" s="14">
        <f t="shared" si="5"/>
        <v>294471</v>
      </c>
      <c r="E91" s="17">
        <f>IF(F3="1",SUMIF(Data!A:A,'23'!$A$2,Data!EW:EW),0)</f>
        <v>539384</v>
      </c>
      <c r="F91" s="21">
        <f t="shared" si="4"/>
        <v>1.83</v>
      </c>
    </row>
    <row r="92" spans="1:6" x14ac:dyDescent="0.2">
      <c r="A92" s="19">
        <v>26</v>
      </c>
      <c r="B92" s="177" t="s">
        <v>23</v>
      </c>
      <c r="C92" s="178"/>
      <c r="D92" s="14">
        <f t="shared" si="5"/>
        <v>158614</v>
      </c>
      <c r="E92" s="17">
        <f>IF(F3="1",SUMIF(Data!A:A,'23'!$A$2,Data!EX:EX),0)</f>
        <v>588166</v>
      </c>
      <c r="F92" s="21">
        <f t="shared" si="4"/>
        <v>3.71</v>
      </c>
    </row>
    <row r="93" spans="1:6" x14ac:dyDescent="0.2">
      <c r="A93" s="19">
        <v>28</v>
      </c>
      <c r="B93" s="177" t="s">
        <v>24</v>
      </c>
      <c r="C93" s="178"/>
      <c r="D93" s="14">
        <f t="shared" si="5"/>
        <v>0</v>
      </c>
      <c r="E93" s="17">
        <f>IF(F3="1",SUMIF(Data!A:A,'23'!$A$2,Data!EZ:EZ),0)</f>
        <v>0</v>
      </c>
      <c r="F93" s="21" t="str">
        <f t="shared" si="4"/>
        <v/>
      </c>
    </row>
    <row r="94" spans="1:6" ht="15.75" customHeight="1" thickBot="1" x14ac:dyDescent="0.25">
      <c r="A94" s="22">
        <v>29</v>
      </c>
      <c r="B94" s="179" t="s">
        <v>25</v>
      </c>
      <c r="C94" s="180"/>
      <c r="D94" s="23">
        <f t="shared" si="5"/>
        <v>0</v>
      </c>
      <c r="E94" s="24">
        <f>IF(F3="1",SUMIF(Data!A:A,'23'!$A$2,Data!FA:FA),0)</f>
        <v>0</v>
      </c>
      <c r="F94" s="25" t="str">
        <f t="shared" si="4"/>
        <v/>
      </c>
    </row>
    <row r="95" spans="1:6" x14ac:dyDescent="0.2">
      <c r="B95" s="30" t="s">
        <v>35</v>
      </c>
      <c r="C95" s="30"/>
      <c r="D95" s="59">
        <f>SUM(D67:D94)</f>
        <v>2760320</v>
      </c>
      <c r="E95" s="31">
        <f>SUM(E67:E94)</f>
        <v>6887053</v>
      </c>
      <c r="F95" s="32">
        <f t="shared" si="4"/>
        <v>2.5</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IF(F3="1",SUMIF(Data!A:A,'23'!$A$2,Data!AH:AH),0)</f>
        <v>2508086</v>
      </c>
      <c r="F98" s="20">
        <f>IF(OR(E98=0,E98=0),"",ROUND(E98/$D$105,2))</f>
        <v>0.91</v>
      </c>
    </row>
    <row r="99" spans="2:6" x14ac:dyDescent="0.2">
      <c r="B99" s="183" t="s">
        <v>31</v>
      </c>
      <c r="C99" s="184"/>
      <c r="D99" s="36"/>
      <c r="E99" s="17">
        <f>IF(F3="1",SUMIF(Data!A:A,'23'!$A$2,Data!AI:AI),0)</f>
        <v>874010</v>
      </c>
      <c r="F99" s="21">
        <f t="shared" ref="F99:F104" si="6">IF(OR(E99=0,E99=0),"",ROUND(E99/$D$105,2))</f>
        <v>0.32</v>
      </c>
    </row>
    <row r="100" spans="2:6" x14ac:dyDescent="0.2">
      <c r="B100" s="183" t="s">
        <v>1078</v>
      </c>
      <c r="C100" s="184"/>
      <c r="D100" s="36"/>
      <c r="E100" s="17">
        <f>IF(F3="1",SUMIF(Data!A:A,'23'!$A$2,Data!AJ:AJ),0)</f>
        <v>373968</v>
      </c>
      <c r="F100" s="21">
        <f t="shared" si="6"/>
        <v>0.14000000000000001</v>
      </c>
    </row>
    <row r="101" spans="2:6" x14ac:dyDescent="0.2">
      <c r="B101" s="183" t="s">
        <v>1079</v>
      </c>
      <c r="C101" s="184"/>
      <c r="D101" s="36"/>
      <c r="E101" s="17">
        <f>IF(F3="1",SUMIF(Data!A:A,'23'!$A$2,Data!AK:AK),0)</f>
        <v>1308991</v>
      </c>
      <c r="F101" s="21">
        <f t="shared" si="6"/>
        <v>0.47</v>
      </c>
    </row>
    <row r="102" spans="2:6" x14ac:dyDescent="0.2">
      <c r="B102" s="183" t="s">
        <v>1080</v>
      </c>
      <c r="C102" s="184"/>
      <c r="D102" s="36"/>
      <c r="E102" s="17">
        <f>IF(F3="1",SUMIF(Data!A:A,'23'!$A$2,Data!AL:AL),0)</f>
        <v>0</v>
      </c>
      <c r="F102" s="21" t="str">
        <f t="shared" si="6"/>
        <v/>
      </c>
    </row>
    <row r="103" spans="2:6" x14ac:dyDescent="0.2">
      <c r="B103" s="185" t="s">
        <v>34</v>
      </c>
      <c r="C103" s="186"/>
      <c r="D103" s="36"/>
      <c r="E103" s="17">
        <f>IF(F3="1",SUMIF(Data!A:A,'23'!$A$2,Data!AM:AM),0)</f>
        <v>0</v>
      </c>
      <c r="F103" s="21" t="str">
        <f t="shared" si="6"/>
        <v/>
      </c>
    </row>
    <row r="104" spans="2:6" ht="15.75" customHeight="1" thickBot="1" x14ac:dyDescent="0.25">
      <c r="B104" s="175" t="s">
        <v>29</v>
      </c>
      <c r="C104" s="176"/>
      <c r="D104" s="37"/>
      <c r="E104" s="24">
        <f>IF(F3="1",SUMIF(Data!A:A,'23'!$A$2,Data!Q:Q),0)</f>
        <v>1101183</v>
      </c>
      <c r="F104" s="25">
        <f t="shared" si="6"/>
        <v>0.4</v>
      </c>
    </row>
    <row r="105" spans="2:6" x14ac:dyDescent="0.2">
      <c r="B105" s="30" t="s">
        <v>35</v>
      </c>
      <c r="C105" s="30"/>
      <c r="D105" s="34">
        <f>D95</f>
        <v>2760320</v>
      </c>
      <c r="E105" s="31">
        <f>SUM(E98:E104)</f>
        <v>6166238</v>
      </c>
      <c r="F105" s="32">
        <f>IF($D$105=0,"",ROUND(E105/$D$105,2))</f>
        <v>2.23</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6887053</v>
      </c>
      <c r="D109" s="15">
        <f>IF(F3="1",SUMIF(Data!$A:$A,$A$2,Data!HJ:HJ),0)</f>
        <v>0</v>
      </c>
      <c r="E109" s="15">
        <f>IF(F3="1",SUMIF(Data!$A:$A,$A$2,Data!IN:IN),0)</f>
        <v>0</v>
      </c>
      <c r="F109" s="47">
        <f>SUM(C109:E109)</f>
        <v>6887053</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1101183</v>
      </c>
      <c r="E117" s="52"/>
      <c r="F117" s="49">
        <f>SUM(C117:E117)</f>
        <v>1101183</v>
      </c>
    </row>
    <row r="118" spans="1:6" x14ac:dyDescent="0.2">
      <c r="B118" s="13" t="s">
        <v>35</v>
      </c>
      <c r="C118" s="4">
        <f>SUM(C109:C116)</f>
        <v>6887053</v>
      </c>
      <c r="D118" s="4">
        <f>SUM(D109:D116)</f>
        <v>0</v>
      </c>
      <c r="E118" s="4">
        <f>SUM(E109:E116)</f>
        <v>0</v>
      </c>
      <c r="F118" s="4">
        <f>SUM(F109:F116)</f>
        <v>6887053</v>
      </c>
    </row>
    <row r="119" spans="1:6" ht="15" thickBot="1" x14ac:dyDescent="0.25"/>
    <row r="120" spans="1:6" ht="15" thickBot="1" x14ac:dyDescent="0.25">
      <c r="B120" s="55" t="s">
        <v>934</v>
      </c>
      <c r="C120" s="53"/>
      <c r="D120" s="53"/>
      <c r="E120" s="53">
        <f>IF(F3="1",SUMIF(Data!A:A,'23'!$A$2,Data!AM:AM),0)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378</v>
      </c>
      <c r="B2" s="58" t="str">
        <f>VLOOKUP(A2,Data!A:G,7,0)</f>
        <v>Laredo Community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0</v>
      </c>
      <c r="E5" s="15">
        <f>E36+E67+IFERROR($E$105/$D$105*D5,0)</f>
        <v>0</v>
      </c>
      <c r="F5" s="20" t="str">
        <f>IF(OR(D5=0,E5=0),"",ROUND(E5/D5,2))</f>
        <v/>
      </c>
    </row>
    <row r="6" spans="1:6" x14ac:dyDescent="0.2">
      <c r="A6" s="19">
        <v>2</v>
      </c>
      <c r="B6" s="177" t="s">
        <v>1</v>
      </c>
      <c r="C6" s="178"/>
      <c r="D6" s="14">
        <f t="shared" ref="D6:D32" si="0">D37</f>
        <v>33322</v>
      </c>
      <c r="E6" s="17">
        <f t="shared" ref="E6:E32" si="1">E37+E68+IFERROR($E$105/$D$105*D6,0)</f>
        <v>256629.38714669208</v>
      </c>
      <c r="F6" s="21">
        <f t="shared" ref="F6:F33" si="2">IF(OR(D6=0,E6=0),"",ROUND(E6/D6,2))</f>
        <v>7.7</v>
      </c>
    </row>
    <row r="7" spans="1:6" ht="14.25" customHeight="1" x14ac:dyDescent="0.2">
      <c r="A7" s="19">
        <v>3</v>
      </c>
      <c r="B7" s="177" t="s">
        <v>2</v>
      </c>
      <c r="C7" s="178"/>
      <c r="D7" s="14">
        <f t="shared" si="0"/>
        <v>224608</v>
      </c>
      <c r="E7" s="17">
        <f t="shared" si="1"/>
        <v>1675563.1652435092</v>
      </c>
      <c r="F7" s="21">
        <f t="shared" si="2"/>
        <v>7.46</v>
      </c>
    </row>
    <row r="8" spans="1:6" ht="14.25" customHeight="1" x14ac:dyDescent="0.2">
      <c r="A8" s="19">
        <v>4</v>
      </c>
      <c r="B8" s="177" t="s">
        <v>3</v>
      </c>
      <c r="C8" s="178"/>
      <c r="D8" s="14">
        <f t="shared" si="0"/>
        <v>389191</v>
      </c>
      <c r="E8" s="17">
        <f t="shared" si="1"/>
        <v>2517352.6157496022</v>
      </c>
      <c r="F8" s="21">
        <f t="shared" si="2"/>
        <v>6.47</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0</v>
      </c>
      <c r="E10" s="17">
        <f t="shared" si="1"/>
        <v>0</v>
      </c>
      <c r="F10" s="21" t="str">
        <f t="shared" si="2"/>
        <v/>
      </c>
    </row>
    <row r="11" spans="1:6" x14ac:dyDescent="0.2">
      <c r="A11" s="19">
        <v>7</v>
      </c>
      <c r="B11" s="177" t="s">
        <v>6</v>
      </c>
      <c r="C11" s="178"/>
      <c r="D11" s="14">
        <f t="shared" si="0"/>
        <v>272787</v>
      </c>
      <c r="E11" s="17">
        <f t="shared" si="1"/>
        <v>1735941.5203344545</v>
      </c>
      <c r="F11" s="21">
        <f t="shared" si="2"/>
        <v>6.36</v>
      </c>
    </row>
    <row r="12" spans="1:6" x14ac:dyDescent="0.2">
      <c r="A12" s="19">
        <v>8</v>
      </c>
      <c r="B12" s="177" t="s">
        <v>7</v>
      </c>
      <c r="C12" s="178"/>
      <c r="D12" s="14">
        <f t="shared" si="0"/>
        <v>5919</v>
      </c>
      <c r="E12" s="17">
        <f t="shared" si="1"/>
        <v>142984.85005465671</v>
      </c>
      <c r="F12" s="21">
        <f t="shared" si="2"/>
        <v>24.16</v>
      </c>
    </row>
    <row r="13" spans="1:6" x14ac:dyDescent="0.2">
      <c r="A13" s="19">
        <v>9</v>
      </c>
      <c r="B13" s="177" t="s">
        <v>8</v>
      </c>
      <c r="C13" s="178"/>
      <c r="D13" s="14">
        <f t="shared" si="0"/>
        <v>84729</v>
      </c>
      <c r="E13" s="17">
        <f t="shared" si="1"/>
        <v>591192.36548082565</v>
      </c>
      <c r="F13" s="21">
        <f t="shared" si="2"/>
        <v>6.98</v>
      </c>
    </row>
    <row r="14" spans="1:6" x14ac:dyDescent="0.2">
      <c r="A14" s="19">
        <v>10</v>
      </c>
      <c r="B14" s="177" t="s">
        <v>9</v>
      </c>
      <c r="C14" s="178"/>
      <c r="D14" s="14">
        <f t="shared" si="0"/>
        <v>0</v>
      </c>
      <c r="E14" s="17">
        <f t="shared" si="1"/>
        <v>0</v>
      </c>
      <c r="F14" s="21" t="str">
        <f t="shared" si="2"/>
        <v/>
      </c>
    </row>
    <row r="15" spans="1:6" x14ac:dyDescent="0.2">
      <c r="A15" s="19">
        <v>11</v>
      </c>
      <c r="B15" s="177" t="s">
        <v>10</v>
      </c>
      <c r="C15" s="178"/>
      <c r="D15" s="14">
        <f t="shared" si="0"/>
        <v>40864</v>
      </c>
      <c r="E15" s="17">
        <f t="shared" si="1"/>
        <v>416262.91580224549</v>
      </c>
      <c r="F15" s="21">
        <f t="shared" si="2"/>
        <v>10.19</v>
      </c>
    </row>
    <row r="16" spans="1:6" ht="14.25" customHeight="1" x14ac:dyDescent="0.2">
      <c r="A16" s="19">
        <v>12</v>
      </c>
      <c r="B16" s="177" t="s">
        <v>11</v>
      </c>
      <c r="C16" s="178"/>
      <c r="D16" s="14">
        <f t="shared" si="0"/>
        <v>574340</v>
      </c>
      <c r="E16" s="17">
        <f t="shared" si="1"/>
        <v>3840175.3214042112</v>
      </c>
      <c r="F16" s="21">
        <f t="shared" si="2"/>
        <v>6.69</v>
      </c>
    </row>
    <row r="17" spans="1:6" x14ac:dyDescent="0.2">
      <c r="A17" s="19">
        <v>13</v>
      </c>
      <c r="B17" s="177" t="s">
        <v>12</v>
      </c>
      <c r="C17" s="178"/>
      <c r="D17" s="14">
        <f t="shared" si="0"/>
        <v>17716</v>
      </c>
      <c r="E17" s="17">
        <f t="shared" si="1"/>
        <v>527394.04503603617</v>
      </c>
      <c r="F17" s="21">
        <f t="shared" si="2"/>
        <v>29.77</v>
      </c>
    </row>
    <row r="18" spans="1:6" ht="14.25" customHeight="1" x14ac:dyDescent="0.2">
      <c r="A18" s="19">
        <v>14</v>
      </c>
      <c r="B18" s="177" t="s">
        <v>464</v>
      </c>
      <c r="C18" s="178"/>
      <c r="D18" s="14">
        <f t="shared" si="0"/>
        <v>64466</v>
      </c>
      <c r="E18" s="17">
        <f t="shared" si="1"/>
        <v>907611.96530216234</v>
      </c>
      <c r="F18" s="21">
        <f t="shared" si="2"/>
        <v>14.08</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181824</v>
      </c>
      <c r="E20" s="17">
        <f t="shared" si="1"/>
        <v>1174702.9605233823</v>
      </c>
      <c r="F20" s="21">
        <f t="shared" si="2"/>
        <v>6.46</v>
      </c>
    </row>
    <row r="21" spans="1:6" x14ac:dyDescent="0.2">
      <c r="A21" s="19">
        <v>17</v>
      </c>
      <c r="B21" s="177" t="s">
        <v>15</v>
      </c>
      <c r="C21" s="178"/>
      <c r="D21" s="14">
        <f t="shared" si="0"/>
        <v>3824</v>
      </c>
      <c r="E21" s="17">
        <f t="shared" si="1"/>
        <v>23515.258761447407</v>
      </c>
      <c r="F21" s="21">
        <f t="shared" si="2"/>
        <v>6.15</v>
      </c>
    </row>
    <row r="22" spans="1:6" x14ac:dyDescent="0.2">
      <c r="A22" s="19">
        <v>18</v>
      </c>
      <c r="B22" s="177" t="s">
        <v>16</v>
      </c>
      <c r="C22" s="178"/>
      <c r="D22" s="14">
        <f t="shared" si="0"/>
        <v>24944</v>
      </c>
      <c r="E22" s="17">
        <f t="shared" si="1"/>
        <v>387612.43685814436</v>
      </c>
      <c r="F22" s="21">
        <f t="shared" si="2"/>
        <v>15.54</v>
      </c>
    </row>
    <row r="23" spans="1:6" x14ac:dyDescent="0.2">
      <c r="A23" s="19">
        <v>19</v>
      </c>
      <c r="B23" s="177" t="s">
        <v>17</v>
      </c>
      <c r="C23" s="178"/>
      <c r="D23" s="14">
        <f t="shared" si="0"/>
        <v>356400</v>
      </c>
      <c r="E23" s="17">
        <f t="shared" si="1"/>
        <v>2185775.3803817616</v>
      </c>
      <c r="F23" s="21">
        <f t="shared" si="2"/>
        <v>6.13</v>
      </c>
    </row>
    <row r="24" spans="1:6" x14ac:dyDescent="0.2">
      <c r="A24" s="19">
        <v>20</v>
      </c>
      <c r="B24" s="177" t="s">
        <v>18</v>
      </c>
      <c r="C24" s="178"/>
      <c r="D24" s="14">
        <f t="shared" si="0"/>
        <v>44560</v>
      </c>
      <c r="E24" s="17">
        <f t="shared" si="1"/>
        <v>261496.62196916749</v>
      </c>
      <c r="F24" s="21">
        <f t="shared" si="2"/>
        <v>5.87</v>
      </c>
    </row>
    <row r="25" spans="1:6" ht="14.25" customHeight="1" x14ac:dyDescent="0.2">
      <c r="A25" s="19">
        <v>21</v>
      </c>
      <c r="B25" s="177" t="s">
        <v>461</v>
      </c>
      <c r="C25" s="178"/>
      <c r="D25" s="14">
        <f t="shared" si="0"/>
        <v>7408</v>
      </c>
      <c r="E25" s="17">
        <f t="shared" si="1"/>
        <v>40360.731408159627</v>
      </c>
      <c r="F25" s="21">
        <f t="shared" si="2"/>
        <v>5.45</v>
      </c>
    </row>
    <row r="26" spans="1:6" x14ac:dyDescent="0.2">
      <c r="A26" s="19">
        <v>22</v>
      </c>
      <c r="B26" s="177" t="s">
        <v>19</v>
      </c>
      <c r="C26" s="178"/>
      <c r="D26" s="14">
        <f t="shared" si="0"/>
        <v>54660</v>
      </c>
      <c r="E26" s="17">
        <f t="shared" si="1"/>
        <v>513564.78763094021</v>
      </c>
      <c r="F26" s="21">
        <f t="shared" si="2"/>
        <v>9.4</v>
      </c>
    </row>
    <row r="27" spans="1:6" x14ac:dyDescent="0.2">
      <c r="A27" s="19">
        <v>23</v>
      </c>
      <c r="B27" s="177" t="s">
        <v>20</v>
      </c>
      <c r="C27" s="178"/>
      <c r="D27" s="14">
        <f t="shared" si="0"/>
        <v>107248</v>
      </c>
      <c r="E27" s="17">
        <f t="shared" si="1"/>
        <v>695990.75513799989</v>
      </c>
      <c r="F27" s="21">
        <f t="shared" si="2"/>
        <v>6.49</v>
      </c>
    </row>
    <row r="28" spans="1:6" x14ac:dyDescent="0.2">
      <c r="A28" s="19">
        <v>24</v>
      </c>
      <c r="B28" s="177" t="s">
        <v>21</v>
      </c>
      <c r="C28" s="178"/>
      <c r="D28" s="14">
        <f t="shared" si="0"/>
        <v>149412</v>
      </c>
      <c r="E28" s="17">
        <f t="shared" si="1"/>
        <v>951628.34572839434</v>
      </c>
      <c r="F28" s="21">
        <f t="shared" si="2"/>
        <v>6.37</v>
      </c>
    </row>
    <row r="29" spans="1:6" x14ac:dyDescent="0.2">
      <c r="A29" s="19">
        <v>25</v>
      </c>
      <c r="B29" s="177" t="s">
        <v>22</v>
      </c>
      <c r="C29" s="178"/>
      <c r="D29" s="14">
        <f t="shared" si="0"/>
        <v>495408</v>
      </c>
      <c r="E29" s="17">
        <f t="shared" si="1"/>
        <v>2615247.4980363855</v>
      </c>
      <c r="F29" s="21">
        <f t="shared" si="2"/>
        <v>5.28</v>
      </c>
    </row>
    <row r="30" spans="1:6" x14ac:dyDescent="0.2">
      <c r="A30" s="19">
        <v>26</v>
      </c>
      <c r="B30" s="177" t="s">
        <v>23</v>
      </c>
      <c r="C30" s="178"/>
      <c r="D30" s="14">
        <f t="shared" si="0"/>
        <v>194416</v>
      </c>
      <c r="E30" s="17">
        <f t="shared" si="1"/>
        <v>1539146.0720098219</v>
      </c>
      <c r="F30" s="21">
        <f t="shared" si="2"/>
        <v>7.92</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3328046</v>
      </c>
      <c r="E33" s="31">
        <f>SUM(E5:E32)</f>
        <v>23000148.999999993</v>
      </c>
      <c r="F33" s="32">
        <f t="shared" si="2"/>
        <v>6.91</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IF(F3="1",SUMIF(Data!A:A,'24'!$A$2,Data!CU:CU),0)</f>
        <v>0</v>
      </c>
      <c r="E36" s="15">
        <f>IF(F3="1",SUMIF(Data!$A:$A,$A$2,Data!IO:IO),0)</f>
        <v>0</v>
      </c>
      <c r="F36" s="20" t="str">
        <f t="shared" ref="F36:F64" si="3">IF(OR(D36=0,E36=0),"",ROUND(E36/D36,2))</f>
        <v/>
      </c>
    </row>
    <row r="37" spans="1:6" x14ac:dyDescent="0.2">
      <c r="A37" s="19">
        <v>2</v>
      </c>
      <c r="B37" s="177" t="s">
        <v>1</v>
      </c>
      <c r="C37" s="178"/>
      <c r="D37" s="14">
        <f>IF(F3="1",SUMIF(Data!A:A,'24'!$A$2,Data!CV:CV),0)</f>
        <v>33322</v>
      </c>
      <c r="E37" s="17">
        <f>IF(F3="1",SUMIF(Data!$A:$A,$A$2,Data!IP:IP),0)</f>
        <v>54693</v>
      </c>
      <c r="F37" s="21">
        <f t="shared" si="3"/>
        <v>1.64</v>
      </c>
    </row>
    <row r="38" spans="1:6" ht="14.25" customHeight="1" x14ac:dyDescent="0.2">
      <c r="A38" s="19">
        <v>3</v>
      </c>
      <c r="B38" s="177" t="s">
        <v>2</v>
      </c>
      <c r="C38" s="178"/>
      <c r="D38" s="14">
        <f>IF(F3="1",SUMIF(Data!A:A,'24'!$A$2,Data!CW:CW),0)</f>
        <v>224608</v>
      </c>
      <c r="E38" s="17">
        <f>IF($F$3="1",SUMIF(Data!$A:$A,$A$2,Data!IQ:IQ),0)</f>
        <v>221765</v>
      </c>
      <c r="F38" s="21">
        <f t="shared" si="3"/>
        <v>0.99</v>
      </c>
    </row>
    <row r="39" spans="1:6" ht="14.25" customHeight="1" x14ac:dyDescent="0.2">
      <c r="A39" s="19">
        <v>4</v>
      </c>
      <c r="B39" s="177" t="s">
        <v>3</v>
      </c>
      <c r="C39" s="178"/>
      <c r="D39" s="14">
        <f>IF(F3="1",SUMIF(Data!A:A,'24'!$A$2,Data!CX:CX),0)</f>
        <v>389191</v>
      </c>
      <c r="E39" s="17">
        <f>IF($F$3="1",SUMIF(Data!$A:$A,$A$2,Data!IR:IR),0)</f>
        <v>84905</v>
      </c>
      <c r="F39" s="21">
        <f t="shared" si="3"/>
        <v>0.22</v>
      </c>
    </row>
    <row r="40" spans="1:6" x14ac:dyDescent="0.2">
      <c r="A40" s="19">
        <v>5</v>
      </c>
      <c r="B40" s="177" t="s">
        <v>4</v>
      </c>
      <c r="C40" s="178"/>
      <c r="D40" s="14">
        <f>IF(F3="1",SUMIF(Data!A:A,'24'!$A$2,Data!CY:CY),0)</f>
        <v>0</v>
      </c>
      <c r="E40" s="17">
        <f>IF($F$3="1",SUMIF(Data!$A:$A,$A$2,Data!IS:IS),0)</f>
        <v>0</v>
      </c>
      <c r="F40" s="21" t="str">
        <f t="shared" si="3"/>
        <v/>
      </c>
    </row>
    <row r="41" spans="1:6" x14ac:dyDescent="0.2">
      <c r="A41" s="19">
        <v>6</v>
      </c>
      <c r="B41" s="177" t="s">
        <v>5</v>
      </c>
      <c r="C41" s="178"/>
      <c r="D41" s="14">
        <f>IF(F3="1",SUMIF(Data!A:A,'24'!$A$2,Data!CZ:CZ),0)</f>
        <v>0</v>
      </c>
      <c r="E41" s="17">
        <f>IF($F$3="1",SUMIF(Data!$A:$A,$A$2,Data!IT:IT),0)</f>
        <v>0</v>
      </c>
      <c r="F41" s="21" t="str">
        <f t="shared" si="3"/>
        <v/>
      </c>
    </row>
    <row r="42" spans="1:6" x14ac:dyDescent="0.2">
      <c r="A42" s="19">
        <v>7</v>
      </c>
      <c r="B42" s="177" t="s">
        <v>6</v>
      </c>
      <c r="C42" s="178"/>
      <c r="D42" s="14">
        <f>IF(F3="1",SUMIF(Data!A:A,'24'!$A$2,Data!DA:DA),0)</f>
        <v>272787</v>
      </c>
      <c r="E42" s="17">
        <f>IF($F$3="1",SUMIF(Data!$A:$A,$A$2,Data!IU:IU),0)</f>
        <v>133408</v>
      </c>
      <c r="F42" s="21">
        <f t="shared" si="3"/>
        <v>0.49</v>
      </c>
    </row>
    <row r="43" spans="1:6" x14ac:dyDescent="0.2">
      <c r="A43" s="19">
        <v>8</v>
      </c>
      <c r="B43" s="177" t="s">
        <v>7</v>
      </c>
      <c r="C43" s="178"/>
      <c r="D43" s="14">
        <f>IF(F3="1",SUMIF(Data!A:A,'24'!$A$2,Data!DB:DB),0)</f>
        <v>5919</v>
      </c>
      <c r="E43" s="17">
        <f>IF($F$3="1",SUMIF(Data!$A:$A,$A$2,Data!IV:IV),0)</f>
        <v>17818</v>
      </c>
      <c r="F43" s="21">
        <f t="shared" si="3"/>
        <v>3.01</v>
      </c>
    </row>
    <row r="44" spans="1:6" x14ac:dyDescent="0.2">
      <c r="A44" s="19">
        <v>9</v>
      </c>
      <c r="B44" s="177" t="s">
        <v>8</v>
      </c>
      <c r="C44" s="178"/>
      <c r="D44" s="14">
        <f>IF(F3="1",SUMIF(Data!A:A,'24'!$A$2,Data!DC:DC),0)</f>
        <v>84729</v>
      </c>
      <c r="E44" s="17">
        <f>IF($F$3="1",SUMIF(Data!$A:$A,$A$2,Data!IW:IW),0)</f>
        <v>83124</v>
      </c>
      <c r="F44" s="21">
        <f t="shared" si="3"/>
        <v>0.98</v>
      </c>
    </row>
    <row r="45" spans="1:6" x14ac:dyDescent="0.2">
      <c r="A45" s="19">
        <v>10</v>
      </c>
      <c r="B45" s="177" t="s">
        <v>9</v>
      </c>
      <c r="C45" s="178"/>
      <c r="D45" s="14">
        <f>IF(F3="1",SUMIF(Data!A:A,'24'!$A$2,Data!DD:DD),0)</f>
        <v>0</v>
      </c>
      <c r="E45" s="17">
        <f>IF($F$3="1",SUMIF(Data!$A:$A,$A$2,Data!IX:IX),0)</f>
        <v>0</v>
      </c>
      <c r="F45" s="21" t="str">
        <f t="shared" si="3"/>
        <v/>
      </c>
    </row>
    <row r="46" spans="1:6" x14ac:dyDescent="0.2">
      <c r="A46" s="19">
        <v>11</v>
      </c>
      <c r="B46" s="177" t="s">
        <v>10</v>
      </c>
      <c r="C46" s="178"/>
      <c r="D46" s="14">
        <f>IF(F3="1",SUMIF(Data!A:A,'24'!$A$2,Data!DE:DE),0)</f>
        <v>40864</v>
      </c>
      <c r="E46" s="17">
        <f>IF($F$3="1",SUMIF(Data!$A:$A,$A$2,Data!IY:IY),0)</f>
        <v>114383</v>
      </c>
      <c r="F46" s="21">
        <f t="shared" si="3"/>
        <v>2.8</v>
      </c>
    </row>
    <row r="47" spans="1:6" ht="14.25" customHeight="1" x14ac:dyDescent="0.2">
      <c r="A47" s="19">
        <v>12</v>
      </c>
      <c r="B47" s="177" t="s">
        <v>11</v>
      </c>
      <c r="C47" s="178"/>
      <c r="D47" s="14">
        <f>IF(F3="1",SUMIF(Data!A:A,'24'!$A$2,Data!DF:DF),0)</f>
        <v>574340</v>
      </c>
      <c r="E47" s="17">
        <f>IF($F$3="1",SUMIF(Data!$A:$A,$A$2,Data!IZ:IZ),0)</f>
        <v>126774</v>
      </c>
      <c r="F47" s="21">
        <f t="shared" si="3"/>
        <v>0.22</v>
      </c>
    </row>
    <row r="48" spans="1:6" x14ac:dyDescent="0.2">
      <c r="A48" s="19">
        <v>13</v>
      </c>
      <c r="B48" s="177" t="s">
        <v>12</v>
      </c>
      <c r="C48" s="178"/>
      <c r="D48" s="14">
        <f>IF(F3="1",SUMIF(Data!A:A,'24'!$A$2,Data!DG:DG),0)</f>
        <v>17716</v>
      </c>
      <c r="E48" s="17">
        <f>IF($F$3="1",SUMIF(Data!$A:$A,$A$2,Data!JA:JA),0)</f>
        <v>24168</v>
      </c>
      <c r="F48" s="21">
        <f t="shared" si="3"/>
        <v>1.36</v>
      </c>
    </row>
    <row r="49" spans="1:6" ht="14.25" customHeight="1" x14ac:dyDescent="0.2">
      <c r="A49" s="19">
        <v>14</v>
      </c>
      <c r="B49" s="177" t="s">
        <v>464</v>
      </c>
      <c r="C49" s="178"/>
      <c r="D49" s="14">
        <f>IF(F3="1",SUMIF(Data!A:A,'24'!$A$2,Data!DH:DH),0)</f>
        <v>64466</v>
      </c>
      <c r="E49" s="17">
        <f>IF($F$3="1",SUMIF(Data!$A:$A,$A$2,Data!JB:JB),0)</f>
        <v>48226</v>
      </c>
      <c r="F49" s="21">
        <f t="shared" si="3"/>
        <v>0.75</v>
      </c>
    </row>
    <row r="50" spans="1:6" x14ac:dyDescent="0.2">
      <c r="A50" s="19">
        <v>15</v>
      </c>
      <c r="B50" s="177" t="s">
        <v>13</v>
      </c>
      <c r="C50" s="178"/>
      <c r="D50" s="14">
        <f>IF(F3="1",SUMIF(Data!A:A,'24'!$A$2,Data!DI:DI),0)</f>
        <v>0</v>
      </c>
      <c r="E50" s="17">
        <f>IF($F$3="1",SUMIF(Data!$A:$A,$A$2,Data!JC:JC),0)</f>
        <v>0</v>
      </c>
      <c r="F50" s="21" t="str">
        <f t="shared" si="3"/>
        <v/>
      </c>
    </row>
    <row r="51" spans="1:6" x14ac:dyDescent="0.2">
      <c r="A51" s="19">
        <v>16</v>
      </c>
      <c r="B51" s="177" t="s">
        <v>14</v>
      </c>
      <c r="C51" s="178"/>
      <c r="D51" s="14">
        <f>IF(F3="1",SUMIF(Data!A:A,'24'!$A$2,Data!DJ:DJ),0)</f>
        <v>181824</v>
      </c>
      <c r="E51" s="17">
        <f>IF($F$3="1",SUMIF(Data!$A:$A,$A$2,Data!JD:JD),0)</f>
        <v>40254</v>
      </c>
      <c r="F51" s="21">
        <f t="shared" si="3"/>
        <v>0.22</v>
      </c>
    </row>
    <row r="52" spans="1:6" x14ac:dyDescent="0.2">
      <c r="A52" s="19">
        <v>17</v>
      </c>
      <c r="B52" s="177" t="s">
        <v>15</v>
      </c>
      <c r="C52" s="178"/>
      <c r="D52" s="14">
        <f>IF(F3="1",SUMIF(Data!A:A,'24'!$A$2,Data!DK:DK),0)</f>
        <v>3824</v>
      </c>
      <c r="E52" s="17">
        <f>IF($F$3="1",SUMIF(Data!$A:$A,$A$2,Data!JE:JE),0)</f>
        <v>0</v>
      </c>
      <c r="F52" s="21" t="str">
        <f t="shared" si="3"/>
        <v/>
      </c>
    </row>
    <row r="53" spans="1:6" x14ac:dyDescent="0.2">
      <c r="A53" s="19">
        <v>18</v>
      </c>
      <c r="B53" s="177" t="s">
        <v>16</v>
      </c>
      <c r="C53" s="178"/>
      <c r="D53" s="14">
        <f>IF(F3="1",SUMIF(Data!A:A,'24'!$A$2,Data!DL:DL),0)</f>
        <v>24944</v>
      </c>
      <c r="E53" s="17">
        <f>IF($F$3="1",SUMIF(Data!$A:$A,$A$2,Data!JF:JF),0)</f>
        <v>36289</v>
      </c>
      <c r="F53" s="21">
        <f t="shared" si="3"/>
        <v>1.45</v>
      </c>
    </row>
    <row r="54" spans="1:6" x14ac:dyDescent="0.2">
      <c r="A54" s="19">
        <v>19</v>
      </c>
      <c r="B54" s="177" t="s">
        <v>17</v>
      </c>
      <c r="C54" s="178"/>
      <c r="D54" s="14">
        <f>IF(F3="1",SUMIF(Data!A:A,'24'!$A$2,Data!DM:DM),0)</f>
        <v>356400</v>
      </c>
      <c r="E54" s="17">
        <f>IF($F$3="1",SUMIF(Data!$A:$A,$A$2,Data!JG:JG),0)</f>
        <v>85039</v>
      </c>
      <c r="F54" s="21">
        <f t="shared" si="3"/>
        <v>0.24</v>
      </c>
    </row>
    <row r="55" spans="1:6" x14ac:dyDescent="0.2">
      <c r="A55" s="19">
        <v>20</v>
      </c>
      <c r="B55" s="177" t="s">
        <v>18</v>
      </c>
      <c r="C55" s="178"/>
      <c r="D55" s="14">
        <f>IF(F3="1",SUMIF(Data!A:A,'24'!$A$2,Data!DN:DN),0)</f>
        <v>44560</v>
      </c>
      <c r="E55" s="17">
        <f>IF($F$3="1",SUMIF(Data!$A:$A,$A$2,Data!JH:JH),0)</f>
        <v>16530</v>
      </c>
      <c r="F55" s="21">
        <f t="shared" si="3"/>
        <v>0.37</v>
      </c>
    </row>
    <row r="56" spans="1:6" ht="14.25" customHeight="1" x14ac:dyDescent="0.2">
      <c r="A56" s="19">
        <v>21</v>
      </c>
      <c r="B56" s="177" t="s">
        <v>461</v>
      </c>
      <c r="C56" s="178"/>
      <c r="D56" s="14">
        <f>IF(F3="1",SUMIF(Data!A:A,'24'!$A$2,Data!DO:DO),0)</f>
        <v>7408</v>
      </c>
      <c r="E56" s="17">
        <f>IF($F$3="1",SUMIF(Data!$A:$A,$A$2,Data!JI:JI),0)</f>
        <v>0</v>
      </c>
      <c r="F56" s="21" t="str">
        <f t="shared" si="3"/>
        <v/>
      </c>
    </row>
    <row r="57" spans="1:6" x14ac:dyDescent="0.2">
      <c r="A57" s="19">
        <v>22</v>
      </c>
      <c r="B57" s="177" t="s">
        <v>19</v>
      </c>
      <c r="C57" s="178"/>
      <c r="D57" s="14">
        <f>IF(F3="1",SUMIF(Data!A:A,'24'!$A$2,Data!DP:DP),0)</f>
        <v>54660</v>
      </c>
      <c r="E57" s="17">
        <f>IF($F$3="1",SUMIF(Data!$A:$A,$A$2,Data!JJ:JJ),0)</f>
        <v>63564</v>
      </c>
      <c r="F57" s="21">
        <f t="shared" si="3"/>
        <v>1.1599999999999999</v>
      </c>
    </row>
    <row r="58" spans="1:6" x14ac:dyDescent="0.2">
      <c r="A58" s="19">
        <v>23</v>
      </c>
      <c r="B58" s="177" t="s">
        <v>20</v>
      </c>
      <c r="C58" s="178"/>
      <c r="D58" s="14">
        <f>IF(F3="1",SUMIF(Data!A:A,'24'!$A$2,Data!DQ:DQ),0)</f>
        <v>107248</v>
      </c>
      <c r="E58" s="17">
        <f>IF($F$3="1",SUMIF(Data!$A:$A,$A$2,Data!JK:JK),0)</f>
        <v>43456</v>
      </c>
      <c r="F58" s="21">
        <f t="shared" si="3"/>
        <v>0.41</v>
      </c>
    </row>
    <row r="59" spans="1:6" x14ac:dyDescent="0.2">
      <c r="A59" s="19">
        <v>24</v>
      </c>
      <c r="B59" s="177" t="s">
        <v>21</v>
      </c>
      <c r="C59" s="178"/>
      <c r="D59" s="14">
        <f>IF(F3="1",SUMIF(Data!A:A,'24'!$A$2,Data!DR:DR),0)</f>
        <v>149412</v>
      </c>
      <c r="E59" s="17">
        <f>IF($F$3="1",SUMIF(Data!$A:$A,$A$2,Data!JL:JL),0)</f>
        <v>57440</v>
      </c>
      <c r="F59" s="21">
        <f t="shared" si="3"/>
        <v>0.38</v>
      </c>
    </row>
    <row r="60" spans="1:6" x14ac:dyDescent="0.2">
      <c r="A60" s="19">
        <v>25</v>
      </c>
      <c r="B60" s="177" t="s">
        <v>22</v>
      </c>
      <c r="C60" s="178"/>
      <c r="D60" s="14">
        <f>IF(F3="1",SUMIF(Data!A:A,'24'!$A$2,Data!DS:DS),0)</f>
        <v>495408</v>
      </c>
      <c r="E60" s="17">
        <f>IF($F$3="1",SUMIF(Data!$A:$A,$A$2,Data!JM:JM),0)</f>
        <v>54106</v>
      </c>
      <c r="F60" s="21">
        <f t="shared" si="3"/>
        <v>0.11</v>
      </c>
    </row>
    <row r="61" spans="1:6" x14ac:dyDescent="0.2">
      <c r="A61" s="19">
        <v>26</v>
      </c>
      <c r="B61" s="177" t="s">
        <v>23</v>
      </c>
      <c r="C61" s="178"/>
      <c r="D61" s="14">
        <f>IF(F3="1",SUMIF(Data!A:A,'24'!$A$2,Data!DT:DT),0)</f>
        <v>194416</v>
      </c>
      <c r="E61" s="17">
        <f>IF($F$3="1",SUMIF(Data!$A:$A,$A$2,Data!JN:JN),0)</f>
        <v>192054</v>
      </c>
      <c r="F61" s="21">
        <f t="shared" si="3"/>
        <v>0.99</v>
      </c>
    </row>
    <row r="62" spans="1:6" x14ac:dyDescent="0.2">
      <c r="A62" s="19">
        <v>28</v>
      </c>
      <c r="B62" s="177" t="s">
        <v>24</v>
      </c>
      <c r="C62" s="178"/>
      <c r="D62" s="14">
        <f>IF(F3="1",SUMIF(Data!A:A,'24'!$A$2,Data!DV:DV),0)</f>
        <v>0</v>
      </c>
      <c r="E62" s="17">
        <f>IF($F$3="1",SUMIF(Data!$A:$A,$A$2,Data!JP:JP),0)</f>
        <v>0</v>
      </c>
      <c r="F62" s="21" t="str">
        <f t="shared" si="3"/>
        <v/>
      </c>
    </row>
    <row r="63" spans="1:6" ht="15.75" customHeight="1" thickBot="1" x14ac:dyDescent="0.25">
      <c r="A63" s="22">
        <v>29</v>
      </c>
      <c r="B63" s="179" t="s">
        <v>25</v>
      </c>
      <c r="C63" s="180"/>
      <c r="D63" s="23">
        <f>IF(F3="1",SUMIF(Data!A:A,'24'!$A$2,Data!DW:DW),0)</f>
        <v>0</v>
      </c>
      <c r="E63" s="24">
        <f>IF($F$3="1",SUMIF(Data!$A:$A,$A$2,Data!JQ:JQ),0)</f>
        <v>0</v>
      </c>
      <c r="F63" s="25" t="str">
        <f t="shared" si="3"/>
        <v/>
      </c>
    </row>
    <row r="64" spans="1:6" x14ac:dyDescent="0.2">
      <c r="B64" s="30" t="s">
        <v>35</v>
      </c>
      <c r="C64" s="30"/>
      <c r="D64" s="59">
        <f>SUM(D36:D63)</f>
        <v>3328046</v>
      </c>
      <c r="E64" s="31">
        <f>SUM(E36:E63)</f>
        <v>1497996</v>
      </c>
      <c r="F64" s="32">
        <f t="shared" si="3"/>
        <v>0.45</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0</v>
      </c>
      <c r="E67" s="15">
        <f>IF(F3="1",SUMIF(Data!A:A,'24'!$A$2,Data!DY:DY),0)</f>
        <v>0</v>
      </c>
      <c r="F67" s="20" t="str">
        <f t="shared" ref="F67:F95" si="4">IF(OR(D67=0,E67=0),"",ROUND(E67/D67,2))</f>
        <v/>
      </c>
    </row>
    <row r="68" spans="1:6" x14ac:dyDescent="0.2">
      <c r="A68" s="19">
        <v>2</v>
      </c>
      <c r="B68" s="177" t="s">
        <v>1</v>
      </c>
      <c r="C68" s="178"/>
      <c r="D68" s="14">
        <f t="shared" ref="D68:D94" si="5">D37</f>
        <v>33322</v>
      </c>
      <c r="E68" s="17">
        <f>IF(F3="1",SUMIF(Data!A:A,'24'!$A$2,Data!DZ:DZ),0)</f>
        <v>95058</v>
      </c>
      <c r="F68" s="21">
        <f t="shared" si="4"/>
        <v>2.85</v>
      </c>
    </row>
    <row r="69" spans="1:6" ht="14.25" customHeight="1" x14ac:dyDescent="0.2">
      <c r="A69" s="19">
        <v>3</v>
      </c>
      <c r="B69" s="177" t="s">
        <v>2</v>
      </c>
      <c r="C69" s="178"/>
      <c r="D69" s="14">
        <f t="shared" si="5"/>
        <v>224608</v>
      </c>
      <c r="E69" s="17">
        <f>IF(F3="1",SUMIF(Data!A:A,'24'!$A$2,Data!EA:EA),0)</f>
        <v>733381</v>
      </c>
      <c r="F69" s="21">
        <f t="shared" si="4"/>
        <v>3.27</v>
      </c>
    </row>
    <row r="70" spans="1:6" ht="14.25" customHeight="1" x14ac:dyDescent="0.2">
      <c r="A70" s="19">
        <v>4</v>
      </c>
      <c r="B70" s="177" t="s">
        <v>3</v>
      </c>
      <c r="C70" s="178"/>
      <c r="D70" s="14">
        <f t="shared" si="5"/>
        <v>389191</v>
      </c>
      <c r="E70" s="17">
        <f>IF(F3="1",SUMIF(Data!A:A,'24'!$A$2,Data!EB:EB),0)</f>
        <v>1184140</v>
      </c>
      <c r="F70" s="21">
        <f t="shared" si="4"/>
        <v>3.04</v>
      </c>
    </row>
    <row r="71" spans="1:6" x14ac:dyDescent="0.2">
      <c r="A71" s="19">
        <v>5</v>
      </c>
      <c r="B71" s="177" t="s">
        <v>4</v>
      </c>
      <c r="C71" s="178"/>
      <c r="D71" s="14">
        <f t="shared" si="5"/>
        <v>0</v>
      </c>
      <c r="E71" s="17">
        <f>IF(F3="1",SUMIF(Data!A:A,'24'!$A$2,Data!EC:EC),0)</f>
        <v>0</v>
      </c>
      <c r="F71" s="21" t="str">
        <f t="shared" si="4"/>
        <v/>
      </c>
    </row>
    <row r="72" spans="1:6" x14ac:dyDescent="0.2">
      <c r="A72" s="19">
        <v>6</v>
      </c>
      <c r="B72" s="177" t="s">
        <v>5</v>
      </c>
      <c r="C72" s="178"/>
      <c r="D72" s="14">
        <f t="shared" si="5"/>
        <v>0</v>
      </c>
      <c r="E72" s="17">
        <f>IF(F3="1",SUMIF(Data!A:A,'24'!$A$2,Data!ED:ED),0)</f>
        <v>0</v>
      </c>
      <c r="F72" s="21" t="str">
        <f t="shared" si="4"/>
        <v/>
      </c>
    </row>
    <row r="73" spans="1:6" x14ac:dyDescent="0.2">
      <c r="A73" s="19">
        <v>7</v>
      </c>
      <c r="B73" s="177" t="s">
        <v>6</v>
      </c>
      <c r="C73" s="178"/>
      <c r="D73" s="14">
        <f t="shared" si="5"/>
        <v>272787</v>
      </c>
      <c r="E73" s="17">
        <f>IF(F3="1",SUMIF(Data!A:A,'24'!$A$2,Data!EE:EE),0)</f>
        <v>727585</v>
      </c>
      <c r="F73" s="21">
        <f t="shared" si="4"/>
        <v>2.67</v>
      </c>
    </row>
    <row r="74" spans="1:6" x14ac:dyDescent="0.2">
      <c r="A74" s="19">
        <v>8</v>
      </c>
      <c r="B74" s="177" t="s">
        <v>7</v>
      </c>
      <c r="C74" s="178"/>
      <c r="D74" s="14">
        <f t="shared" si="5"/>
        <v>5919</v>
      </c>
      <c r="E74" s="17">
        <f>IF(F3="1",SUMIF(Data!A:A,'24'!$A$2,Data!EF:EF),0)</f>
        <v>106182</v>
      </c>
      <c r="F74" s="21">
        <f t="shared" si="4"/>
        <v>17.940000000000001</v>
      </c>
    </row>
    <row r="75" spans="1:6" x14ac:dyDescent="0.2">
      <c r="A75" s="19">
        <v>9</v>
      </c>
      <c r="B75" s="177" t="s">
        <v>8</v>
      </c>
      <c r="C75" s="178"/>
      <c r="D75" s="14">
        <f t="shared" si="5"/>
        <v>84729</v>
      </c>
      <c r="E75" s="17">
        <f>IF(F3="1",SUMIF(Data!A:A,'24'!$A$2,Data!EG:EG),0)</f>
        <v>236305</v>
      </c>
      <c r="F75" s="21">
        <f t="shared" si="4"/>
        <v>2.79</v>
      </c>
    </row>
    <row r="76" spans="1:6" x14ac:dyDescent="0.2">
      <c r="A76" s="19">
        <v>10</v>
      </c>
      <c r="B76" s="177" t="s">
        <v>9</v>
      </c>
      <c r="C76" s="178"/>
      <c r="D76" s="14">
        <f t="shared" si="5"/>
        <v>0</v>
      </c>
      <c r="E76" s="17">
        <f>IF(F3="1",SUMIF(Data!A:A,'24'!$A$2,Data!EH:EH),0)</f>
        <v>0</v>
      </c>
      <c r="F76" s="21" t="str">
        <f t="shared" si="4"/>
        <v/>
      </c>
    </row>
    <row r="77" spans="1:6" x14ac:dyDescent="0.2">
      <c r="A77" s="19">
        <v>11</v>
      </c>
      <c r="B77" s="177" t="s">
        <v>10</v>
      </c>
      <c r="C77" s="178"/>
      <c r="D77" s="14">
        <f t="shared" si="5"/>
        <v>40864</v>
      </c>
      <c r="E77" s="17">
        <f>IF(F3="1",SUMIF(Data!A:A,'24'!$A$2,Data!EI:EI),0)</f>
        <v>170811</v>
      </c>
      <c r="F77" s="21">
        <f t="shared" si="4"/>
        <v>4.18</v>
      </c>
    </row>
    <row r="78" spans="1:6" ht="14.25" customHeight="1" x14ac:dyDescent="0.2">
      <c r="A78" s="19">
        <v>12</v>
      </c>
      <c r="B78" s="177" t="s">
        <v>11</v>
      </c>
      <c r="C78" s="178"/>
      <c r="D78" s="14">
        <f t="shared" si="5"/>
        <v>574340</v>
      </c>
      <c r="E78" s="17">
        <f>IF(F3="1",SUMIF(Data!A:A,'24'!$A$2,Data!EJ:EJ),0)</f>
        <v>1871239</v>
      </c>
      <c r="F78" s="21">
        <f t="shared" si="4"/>
        <v>3.26</v>
      </c>
    </row>
    <row r="79" spans="1:6" x14ac:dyDescent="0.2">
      <c r="A79" s="19">
        <v>13</v>
      </c>
      <c r="B79" s="177" t="s">
        <v>12</v>
      </c>
      <c r="C79" s="178"/>
      <c r="D79" s="14">
        <f t="shared" si="5"/>
        <v>17716</v>
      </c>
      <c r="E79" s="17">
        <f>IF(F3="1",SUMIF(Data!A:A,'24'!$A$2,Data!EK:EK),0)</f>
        <v>446403</v>
      </c>
      <c r="F79" s="21">
        <f t="shared" si="4"/>
        <v>25.2</v>
      </c>
    </row>
    <row r="80" spans="1:6" ht="14.25" customHeight="1" x14ac:dyDescent="0.2">
      <c r="A80" s="19">
        <v>14</v>
      </c>
      <c r="B80" s="177" t="s">
        <v>464</v>
      </c>
      <c r="C80" s="178"/>
      <c r="D80" s="14">
        <f t="shared" si="5"/>
        <v>64466</v>
      </c>
      <c r="E80" s="17">
        <f>IF(F3="1",SUMIF(Data!A:A,'24'!$A$2,Data!EL:EL),0)</f>
        <v>652615</v>
      </c>
      <c r="F80" s="21">
        <f t="shared" si="4"/>
        <v>10.119999999999999</v>
      </c>
    </row>
    <row r="81" spans="1:6" x14ac:dyDescent="0.2">
      <c r="A81" s="19">
        <v>15</v>
      </c>
      <c r="B81" s="177" t="s">
        <v>13</v>
      </c>
      <c r="C81" s="178"/>
      <c r="D81" s="14">
        <f t="shared" si="5"/>
        <v>0</v>
      </c>
      <c r="E81" s="17">
        <f>IF(F3="1",SUMIF(Data!A:A,'24'!$A$2,Data!EM:EM),0)</f>
        <v>0</v>
      </c>
      <c r="F81" s="21" t="str">
        <f t="shared" si="4"/>
        <v/>
      </c>
    </row>
    <row r="82" spans="1:6" x14ac:dyDescent="0.2">
      <c r="A82" s="19">
        <v>16</v>
      </c>
      <c r="B82" s="177" t="s">
        <v>14</v>
      </c>
      <c r="C82" s="178"/>
      <c r="D82" s="14">
        <f t="shared" si="5"/>
        <v>181824</v>
      </c>
      <c r="E82" s="17">
        <f>IF(F3="1",SUMIF(Data!A:A,'24'!$A$2,Data!EN:EN),0)</f>
        <v>551259</v>
      </c>
      <c r="F82" s="21">
        <f t="shared" si="4"/>
        <v>3.03</v>
      </c>
    </row>
    <row r="83" spans="1:6" x14ac:dyDescent="0.2">
      <c r="A83" s="19">
        <v>17</v>
      </c>
      <c r="B83" s="177" t="s">
        <v>15</v>
      </c>
      <c r="C83" s="178"/>
      <c r="D83" s="14">
        <f t="shared" si="5"/>
        <v>3824</v>
      </c>
      <c r="E83" s="17">
        <f>IF(F3="1",SUMIF(Data!A:A,'24'!$A$2,Data!EO:EO),0)</f>
        <v>11250</v>
      </c>
      <c r="F83" s="21">
        <f t="shared" si="4"/>
        <v>2.94</v>
      </c>
    </row>
    <row r="84" spans="1:6" x14ac:dyDescent="0.2">
      <c r="A84" s="19">
        <v>18</v>
      </c>
      <c r="B84" s="177" t="s">
        <v>16</v>
      </c>
      <c r="C84" s="178"/>
      <c r="D84" s="14">
        <f t="shared" si="5"/>
        <v>24944</v>
      </c>
      <c r="E84" s="17">
        <f>IF(F3="1",SUMIF(Data!A:A,'24'!$A$2,Data!EP:EP),0)</f>
        <v>271317</v>
      </c>
      <c r="F84" s="21">
        <f t="shared" si="4"/>
        <v>10.88</v>
      </c>
    </row>
    <row r="85" spans="1:6" x14ac:dyDescent="0.2">
      <c r="A85" s="19">
        <v>19</v>
      </c>
      <c r="B85" s="177" t="s">
        <v>17</v>
      </c>
      <c r="C85" s="178"/>
      <c r="D85" s="14">
        <f t="shared" si="5"/>
        <v>356400</v>
      </c>
      <c r="E85" s="17">
        <f>IF(F3="1",SUMIF(Data!A:A,'24'!$A$2,Data!EQ:EQ),0)</f>
        <v>957604</v>
      </c>
      <c r="F85" s="21">
        <f t="shared" si="4"/>
        <v>2.69</v>
      </c>
    </row>
    <row r="86" spans="1:6" x14ac:dyDescent="0.2">
      <c r="A86" s="19">
        <v>20</v>
      </c>
      <c r="B86" s="177" t="s">
        <v>18</v>
      </c>
      <c r="C86" s="178"/>
      <c r="D86" s="14">
        <f t="shared" si="5"/>
        <v>44560</v>
      </c>
      <c r="E86" s="17">
        <f>IF(F3="1",SUMIF(Data!A:A,'24'!$A$2,Data!ER:ER),0)</f>
        <v>102043</v>
      </c>
      <c r="F86" s="21">
        <f t="shared" si="4"/>
        <v>2.29</v>
      </c>
    </row>
    <row r="87" spans="1:6" ht="14.25" customHeight="1" x14ac:dyDescent="0.2">
      <c r="A87" s="19">
        <v>21</v>
      </c>
      <c r="B87" s="177" t="s">
        <v>461</v>
      </c>
      <c r="C87" s="178"/>
      <c r="D87" s="14">
        <f t="shared" si="5"/>
        <v>7408</v>
      </c>
      <c r="E87" s="17">
        <f>IF(F3="1",SUMIF(Data!A:A,'24'!$A$2,Data!ES:ES),0)</f>
        <v>16600</v>
      </c>
      <c r="F87" s="21">
        <f t="shared" si="4"/>
        <v>2.2400000000000002</v>
      </c>
    </row>
    <row r="88" spans="1:6" x14ac:dyDescent="0.2">
      <c r="A88" s="19">
        <v>22</v>
      </c>
      <c r="B88" s="177" t="s">
        <v>19</v>
      </c>
      <c r="C88" s="178"/>
      <c r="D88" s="14">
        <f t="shared" si="5"/>
        <v>54660</v>
      </c>
      <c r="E88" s="17">
        <f>IF(F3="1",SUMIF(Data!A:A,'24'!$A$2,Data!ET:ET),0)</f>
        <v>274682</v>
      </c>
      <c r="F88" s="21">
        <f t="shared" si="4"/>
        <v>5.03</v>
      </c>
    </row>
    <row r="89" spans="1:6" x14ac:dyDescent="0.2">
      <c r="A89" s="19">
        <v>23</v>
      </c>
      <c r="B89" s="177" t="s">
        <v>20</v>
      </c>
      <c r="C89" s="178"/>
      <c r="D89" s="14">
        <f t="shared" si="5"/>
        <v>107248</v>
      </c>
      <c r="E89" s="17">
        <f>IF(F3="1",SUMIF(Data!A:A,'24'!$A$2,Data!EU:EU),0)</f>
        <v>308543</v>
      </c>
      <c r="F89" s="21">
        <f t="shared" si="4"/>
        <v>2.88</v>
      </c>
    </row>
    <row r="90" spans="1:6" x14ac:dyDescent="0.2">
      <c r="A90" s="19">
        <v>24</v>
      </c>
      <c r="B90" s="177" t="s">
        <v>21</v>
      </c>
      <c r="C90" s="178"/>
      <c r="D90" s="14">
        <f t="shared" si="5"/>
        <v>149412</v>
      </c>
      <c r="E90" s="17">
        <f>IF(F3="1",SUMIF(Data!A:A,'24'!$A$2,Data!EV:EV),0)</f>
        <v>414958</v>
      </c>
      <c r="F90" s="21">
        <f t="shared" si="4"/>
        <v>2.78</v>
      </c>
    </row>
    <row r="91" spans="1:6" x14ac:dyDescent="0.2">
      <c r="A91" s="19">
        <v>25</v>
      </c>
      <c r="B91" s="177" t="s">
        <v>22</v>
      </c>
      <c r="C91" s="178"/>
      <c r="D91" s="14">
        <f t="shared" si="5"/>
        <v>495408</v>
      </c>
      <c r="E91" s="17">
        <f>IF(F3="1",SUMIF(Data!A:A,'24'!$A$2,Data!EW:EW),0)</f>
        <v>972149</v>
      </c>
      <c r="F91" s="21">
        <f t="shared" si="4"/>
        <v>1.96</v>
      </c>
    </row>
    <row r="92" spans="1:6" x14ac:dyDescent="0.2">
      <c r="A92" s="19">
        <v>26</v>
      </c>
      <c r="B92" s="177" t="s">
        <v>23</v>
      </c>
      <c r="C92" s="178"/>
      <c r="D92" s="14">
        <f t="shared" si="5"/>
        <v>194416</v>
      </c>
      <c r="E92" s="17">
        <f>IF(F3="1",SUMIF(Data!A:A,'24'!$A$2,Data!EX:EX),0)</f>
        <v>723514</v>
      </c>
      <c r="F92" s="21">
        <f t="shared" si="4"/>
        <v>3.72</v>
      </c>
    </row>
    <row r="93" spans="1:6" x14ac:dyDescent="0.2">
      <c r="A93" s="19">
        <v>28</v>
      </c>
      <c r="B93" s="177" t="s">
        <v>24</v>
      </c>
      <c r="C93" s="178"/>
      <c r="D93" s="14">
        <f t="shared" si="5"/>
        <v>0</v>
      </c>
      <c r="E93" s="17">
        <f>IF(F3="1",SUMIF(Data!A:A,'24'!$A$2,Data!EZ:EZ),0)</f>
        <v>0</v>
      </c>
      <c r="F93" s="21" t="str">
        <f t="shared" si="4"/>
        <v/>
      </c>
    </row>
    <row r="94" spans="1:6" ht="15.75" customHeight="1" thickBot="1" x14ac:dyDescent="0.25">
      <c r="A94" s="22">
        <v>29</v>
      </c>
      <c r="B94" s="179" t="s">
        <v>25</v>
      </c>
      <c r="C94" s="180"/>
      <c r="D94" s="23">
        <f t="shared" si="5"/>
        <v>0</v>
      </c>
      <c r="E94" s="24">
        <f>IF(F3="1",SUMIF(Data!A:A,'24'!$A$2,Data!FA:FA),0)</f>
        <v>0</v>
      </c>
      <c r="F94" s="25" t="str">
        <f t="shared" si="4"/>
        <v/>
      </c>
    </row>
    <row r="95" spans="1:6" x14ac:dyDescent="0.2">
      <c r="B95" s="30" t="s">
        <v>35</v>
      </c>
      <c r="C95" s="30"/>
      <c r="D95" s="59">
        <f>SUM(D67:D94)</f>
        <v>3328046</v>
      </c>
      <c r="E95" s="31">
        <f>SUM(E67:E94)</f>
        <v>10827638</v>
      </c>
      <c r="F95" s="32">
        <f t="shared" si="4"/>
        <v>3.25</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IF(F3="1",SUMIF(Data!A:A,'24'!$A$2,Data!AH:AH),0)</f>
        <v>4222420</v>
      </c>
      <c r="F98" s="20">
        <f>IF(OR(E98=0,E98=0),"",ROUND(E98/$D$105,2))</f>
        <v>1.27</v>
      </c>
    </row>
    <row r="99" spans="2:6" x14ac:dyDescent="0.2">
      <c r="B99" s="183" t="s">
        <v>31</v>
      </c>
      <c r="C99" s="184"/>
      <c r="D99" s="36"/>
      <c r="E99" s="17">
        <f>IF(F3="1",SUMIF(Data!A:A,'24'!$A$2,Data!AI:AI),0)</f>
        <v>2353130</v>
      </c>
      <c r="F99" s="21">
        <f t="shared" ref="F99:F104" si="6">IF(OR(E99=0,E99=0),"",ROUND(E99/$D$105,2))</f>
        <v>0.71</v>
      </c>
    </row>
    <row r="100" spans="2:6" x14ac:dyDescent="0.2">
      <c r="B100" s="183" t="s">
        <v>1078</v>
      </c>
      <c r="C100" s="184"/>
      <c r="D100" s="36"/>
      <c r="E100" s="17">
        <f>IF(F3="1",SUMIF(Data!A:A,'24'!$A$2,Data!AJ:AJ),0)</f>
        <v>1093344</v>
      </c>
      <c r="F100" s="21">
        <f t="shared" si="6"/>
        <v>0.33</v>
      </c>
    </row>
    <row r="101" spans="2:6" x14ac:dyDescent="0.2">
      <c r="B101" s="183" t="s">
        <v>1079</v>
      </c>
      <c r="C101" s="184"/>
      <c r="D101" s="36"/>
      <c r="E101" s="17">
        <f>IF(F3="1",SUMIF(Data!A:A,'24'!$A$2,Data!AK:AK),0)</f>
        <v>681136</v>
      </c>
      <c r="F101" s="21">
        <f t="shared" si="6"/>
        <v>0.2</v>
      </c>
    </row>
    <row r="102" spans="2:6" x14ac:dyDescent="0.2">
      <c r="B102" s="183" t="s">
        <v>1080</v>
      </c>
      <c r="C102" s="184"/>
      <c r="D102" s="36"/>
      <c r="E102" s="17">
        <f>IF(F3="1",SUMIF(Data!A:A,'24'!$A$2,Data!AL:AL),0)</f>
        <v>0</v>
      </c>
      <c r="F102" s="21" t="str">
        <f t="shared" si="6"/>
        <v/>
      </c>
    </row>
    <row r="103" spans="2:6" x14ac:dyDescent="0.2">
      <c r="B103" s="185" t="s">
        <v>34</v>
      </c>
      <c r="C103" s="186"/>
      <c r="D103" s="36"/>
      <c r="E103" s="17">
        <f>IF(F3="1",SUMIF(Data!A:A,'24'!$A$2,Data!AM:AM),0)</f>
        <v>0</v>
      </c>
      <c r="F103" s="21" t="str">
        <f t="shared" si="6"/>
        <v/>
      </c>
    </row>
    <row r="104" spans="2:6" ht="15.75" customHeight="1" thickBot="1" x14ac:dyDescent="0.25">
      <c r="B104" s="175" t="s">
        <v>29</v>
      </c>
      <c r="C104" s="176"/>
      <c r="D104" s="37"/>
      <c r="E104" s="24">
        <f>IF(F3="1",SUMIF(Data!A:A,'24'!$A$2,Data!Q:Q),0)</f>
        <v>2324485</v>
      </c>
      <c r="F104" s="25">
        <f t="shared" si="6"/>
        <v>0.7</v>
      </c>
    </row>
    <row r="105" spans="2:6" x14ac:dyDescent="0.2">
      <c r="B105" s="30" t="s">
        <v>35</v>
      </c>
      <c r="C105" s="30"/>
      <c r="D105" s="34">
        <f>D95</f>
        <v>3328046</v>
      </c>
      <c r="E105" s="31">
        <f>SUM(E98:E104)</f>
        <v>10674515</v>
      </c>
      <c r="F105" s="32">
        <f>IF($D$105=0,"",ROUND(E105/$D$105,2))</f>
        <v>3.21</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10827638</v>
      </c>
      <c r="D109" s="15">
        <f>IF(F3="1",SUMIF(Data!$A:$A,$A$2,Data!HJ:HJ),0)</f>
        <v>0</v>
      </c>
      <c r="E109" s="15">
        <f>IF(F3="1",SUMIF(Data!$A:$A,$A$2,Data!IN:IN),0)</f>
        <v>0</v>
      </c>
      <c r="F109" s="47">
        <f>SUM(C109:E109)</f>
        <v>10827638</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2324485</v>
      </c>
      <c r="E117" s="52"/>
      <c r="F117" s="49">
        <f>SUM(C117:E117)</f>
        <v>2324485</v>
      </c>
    </row>
    <row r="118" spans="1:6" x14ac:dyDescent="0.2">
      <c r="B118" s="13" t="s">
        <v>35</v>
      </c>
      <c r="C118" s="4">
        <f>SUM(C109:C116)</f>
        <v>10827638</v>
      </c>
      <c r="D118" s="4">
        <f>SUM(D109:D116)</f>
        <v>0</v>
      </c>
      <c r="E118" s="4">
        <f>SUM(E109:E116)</f>
        <v>0</v>
      </c>
      <c r="F118" s="4">
        <f>SUM(F109:F116)</f>
        <v>10827638</v>
      </c>
    </row>
    <row r="119" spans="1:6" ht="15" thickBot="1" x14ac:dyDescent="0.25"/>
    <row r="120" spans="1:6" ht="15" thickBot="1" x14ac:dyDescent="0.25">
      <c r="B120" s="55" t="s">
        <v>934</v>
      </c>
      <c r="C120" s="53"/>
      <c r="D120" s="53"/>
      <c r="E120" s="53">
        <f>IF(F3="1",SUMIF(Data!A:A,'24'!$A$2,Data!AM:AM),0)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1406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380</v>
      </c>
      <c r="B2" s="58" t="str">
        <f>VLOOKUP(A2,Data!A:G,7,0)</f>
        <v>Lee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70496</v>
      </c>
      <c r="E5" s="15">
        <f>E36+E67+IFERROR($E$105/$D$105*D5,0)</f>
        <v>468925.30900109443</v>
      </c>
      <c r="F5" s="20">
        <f>IF(OR(D5=0,E5=0),"",ROUND(E5/D5,2))</f>
        <v>6.65</v>
      </c>
    </row>
    <row r="6" spans="1:6" x14ac:dyDescent="0.2">
      <c r="A6" s="19">
        <v>2</v>
      </c>
      <c r="B6" s="177" t="s">
        <v>1</v>
      </c>
      <c r="C6" s="178"/>
      <c r="D6" s="14">
        <f t="shared" ref="D6:D32" si="0">D37</f>
        <v>201632</v>
      </c>
      <c r="E6" s="17">
        <f t="shared" ref="E6:E32" si="1">E37+E68+IFERROR($E$105/$D$105*D6,0)</f>
        <v>1763670.4893399437</v>
      </c>
      <c r="F6" s="21">
        <f t="shared" ref="F6:F33" si="2">IF(OR(D6=0,E6=0),"",ROUND(E6/D6,2))</f>
        <v>8.75</v>
      </c>
    </row>
    <row r="7" spans="1:6" ht="14.25" customHeight="1" x14ac:dyDescent="0.2">
      <c r="A7" s="19">
        <v>3</v>
      </c>
      <c r="B7" s="177" t="s">
        <v>2</v>
      </c>
      <c r="C7" s="178"/>
      <c r="D7" s="14">
        <f t="shared" si="0"/>
        <v>276048</v>
      </c>
      <c r="E7" s="17">
        <f t="shared" si="1"/>
        <v>2473483.5974116847</v>
      </c>
      <c r="F7" s="21">
        <f t="shared" si="2"/>
        <v>8.9600000000000009</v>
      </c>
    </row>
    <row r="8" spans="1:6" ht="14.25" customHeight="1" x14ac:dyDescent="0.2">
      <c r="A8" s="19">
        <v>4</v>
      </c>
      <c r="B8" s="177" t="s">
        <v>3</v>
      </c>
      <c r="C8" s="178"/>
      <c r="D8" s="14">
        <f t="shared" si="0"/>
        <v>216752</v>
      </c>
      <c r="E8" s="17">
        <f t="shared" si="1"/>
        <v>2159570.2857552944</v>
      </c>
      <c r="F8" s="21">
        <f t="shared" si="2"/>
        <v>9.9600000000000009</v>
      </c>
    </row>
    <row r="9" spans="1:6" x14ac:dyDescent="0.2">
      <c r="A9" s="19">
        <v>5</v>
      </c>
      <c r="B9" s="177" t="s">
        <v>4</v>
      </c>
      <c r="C9" s="178"/>
      <c r="D9" s="14">
        <f t="shared" si="0"/>
        <v>6192</v>
      </c>
      <c r="E9" s="17">
        <f t="shared" si="1"/>
        <v>93296.935674857814</v>
      </c>
      <c r="F9" s="21">
        <f t="shared" si="2"/>
        <v>15.07</v>
      </c>
    </row>
    <row r="10" spans="1:6" x14ac:dyDescent="0.2">
      <c r="A10" s="19">
        <v>6</v>
      </c>
      <c r="B10" s="177" t="s">
        <v>5</v>
      </c>
      <c r="C10" s="178"/>
      <c r="D10" s="14">
        <f t="shared" si="0"/>
        <v>7248</v>
      </c>
      <c r="E10" s="17">
        <f t="shared" si="1"/>
        <v>145932.66113878705</v>
      </c>
      <c r="F10" s="21">
        <f t="shared" si="2"/>
        <v>20.13</v>
      </c>
    </row>
    <row r="11" spans="1:6" x14ac:dyDescent="0.2">
      <c r="A11" s="19">
        <v>7</v>
      </c>
      <c r="B11" s="177" t="s">
        <v>6</v>
      </c>
      <c r="C11" s="178"/>
      <c r="D11" s="14">
        <f t="shared" si="0"/>
        <v>170144</v>
      </c>
      <c r="E11" s="17">
        <f t="shared" si="1"/>
        <v>1662238.9482336901</v>
      </c>
      <c r="F11" s="21">
        <f t="shared" si="2"/>
        <v>9.77</v>
      </c>
    </row>
    <row r="12" spans="1:6" x14ac:dyDescent="0.2">
      <c r="A12" s="19">
        <v>8</v>
      </c>
      <c r="B12" s="177" t="s">
        <v>7</v>
      </c>
      <c r="C12" s="178"/>
      <c r="D12" s="14">
        <f t="shared" si="0"/>
        <v>45280</v>
      </c>
      <c r="E12" s="17">
        <f t="shared" si="1"/>
        <v>912523.04640787502</v>
      </c>
      <c r="F12" s="21">
        <f t="shared" si="2"/>
        <v>20.149999999999999</v>
      </c>
    </row>
    <row r="13" spans="1:6" x14ac:dyDescent="0.2">
      <c r="A13" s="19">
        <v>9</v>
      </c>
      <c r="B13" s="177" t="s">
        <v>8</v>
      </c>
      <c r="C13" s="178"/>
      <c r="D13" s="14">
        <f t="shared" si="0"/>
        <v>72880</v>
      </c>
      <c r="E13" s="17">
        <f t="shared" si="1"/>
        <v>597373.32557875291</v>
      </c>
      <c r="F13" s="21">
        <f t="shared" si="2"/>
        <v>8.1999999999999993</v>
      </c>
    </row>
    <row r="14" spans="1:6" x14ac:dyDescent="0.2">
      <c r="A14" s="19">
        <v>10</v>
      </c>
      <c r="B14" s="177" t="s">
        <v>9</v>
      </c>
      <c r="C14" s="178"/>
      <c r="D14" s="14">
        <f t="shared" si="0"/>
        <v>0</v>
      </c>
      <c r="E14" s="17">
        <f t="shared" si="1"/>
        <v>0</v>
      </c>
      <c r="F14" s="21" t="str">
        <f t="shared" si="2"/>
        <v/>
      </c>
    </row>
    <row r="15" spans="1:6" x14ac:dyDescent="0.2">
      <c r="A15" s="19">
        <v>11</v>
      </c>
      <c r="B15" s="177" t="s">
        <v>10</v>
      </c>
      <c r="C15" s="178"/>
      <c r="D15" s="14">
        <f t="shared" si="0"/>
        <v>188800</v>
      </c>
      <c r="E15" s="17">
        <f t="shared" si="1"/>
        <v>1282818.0980964401</v>
      </c>
      <c r="F15" s="21">
        <f t="shared" si="2"/>
        <v>6.79</v>
      </c>
    </row>
    <row r="16" spans="1:6" ht="14.25" customHeight="1" x14ac:dyDescent="0.2">
      <c r="A16" s="19">
        <v>12</v>
      </c>
      <c r="B16" s="177" t="s">
        <v>11</v>
      </c>
      <c r="C16" s="178"/>
      <c r="D16" s="14">
        <f t="shared" si="0"/>
        <v>293072</v>
      </c>
      <c r="E16" s="17">
        <f t="shared" si="1"/>
        <v>2766238.3533756346</v>
      </c>
      <c r="F16" s="21">
        <f t="shared" si="2"/>
        <v>9.44</v>
      </c>
    </row>
    <row r="17" spans="1:6" x14ac:dyDescent="0.2">
      <c r="A17" s="19">
        <v>13</v>
      </c>
      <c r="B17" s="177" t="s">
        <v>12</v>
      </c>
      <c r="C17" s="178"/>
      <c r="D17" s="14">
        <f t="shared" si="0"/>
        <v>44944</v>
      </c>
      <c r="E17" s="17">
        <f t="shared" si="1"/>
        <v>406791.40648753388</v>
      </c>
      <c r="F17" s="21">
        <f t="shared" si="2"/>
        <v>9.0500000000000007</v>
      </c>
    </row>
    <row r="18" spans="1:6" ht="14.25" customHeight="1" x14ac:dyDescent="0.2">
      <c r="A18" s="19">
        <v>14</v>
      </c>
      <c r="B18" s="177" t="s">
        <v>464</v>
      </c>
      <c r="C18" s="178"/>
      <c r="D18" s="14">
        <f t="shared" si="0"/>
        <v>56144</v>
      </c>
      <c r="E18" s="17">
        <f t="shared" si="1"/>
        <v>814460.40383223793</v>
      </c>
      <c r="F18" s="21">
        <f t="shared" si="2"/>
        <v>14.51</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117904</v>
      </c>
      <c r="E20" s="17">
        <f t="shared" si="1"/>
        <v>969689.07490446325</v>
      </c>
      <c r="F20" s="21">
        <f t="shared" si="2"/>
        <v>8.2200000000000006</v>
      </c>
    </row>
    <row r="21" spans="1:6" x14ac:dyDescent="0.2">
      <c r="A21" s="19">
        <v>17</v>
      </c>
      <c r="B21" s="177" t="s">
        <v>15</v>
      </c>
      <c r="C21" s="178"/>
      <c r="D21" s="14">
        <f t="shared" si="0"/>
        <v>0</v>
      </c>
      <c r="E21" s="17">
        <f t="shared" si="1"/>
        <v>0</v>
      </c>
      <c r="F21" s="21" t="str">
        <f t="shared" si="2"/>
        <v/>
      </c>
    </row>
    <row r="22" spans="1:6" x14ac:dyDescent="0.2">
      <c r="A22" s="19">
        <v>18</v>
      </c>
      <c r="B22" s="177" t="s">
        <v>16</v>
      </c>
      <c r="C22" s="178"/>
      <c r="D22" s="14">
        <f t="shared" si="0"/>
        <v>0</v>
      </c>
      <c r="E22" s="17">
        <f t="shared" si="1"/>
        <v>0</v>
      </c>
      <c r="F22" s="21" t="str">
        <f t="shared" si="2"/>
        <v/>
      </c>
    </row>
    <row r="23" spans="1:6" x14ac:dyDescent="0.2">
      <c r="A23" s="19">
        <v>19</v>
      </c>
      <c r="B23" s="177" t="s">
        <v>17</v>
      </c>
      <c r="C23" s="178"/>
      <c r="D23" s="14">
        <f t="shared" si="0"/>
        <v>282288</v>
      </c>
      <c r="E23" s="17">
        <f t="shared" si="1"/>
        <v>2423057.3387894481</v>
      </c>
      <c r="F23" s="21">
        <f t="shared" si="2"/>
        <v>8.58</v>
      </c>
    </row>
    <row r="24" spans="1:6" x14ac:dyDescent="0.2">
      <c r="A24" s="19">
        <v>20</v>
      </c>
      <c r="B24" s="177" t="s">
        <v>18</v>
      </c>
      <c r="C24" s="178"/>
      <c r="D24" s="14">
        <f t="shared" si="0"/>
        <v>74928</v>
      </c>
      <c r="E24" s="17">
        <f t="shared" si="1"/>
        <v>531828.70223607018</v>
      </c>
      <c r="F24" s="21">
        <f t="shared" si="2"/>
        <v>7.1</v>
      </c>
    </row>
    <row r="25" spans="1:6" ht="14.25" customHeight="1" x14ac:dyDescent="0.2">
      <c r="A25" s="19">
        <v>21</v>
      </c>
      <c r="B25" s="177" t="s">
        <v>461</v>
      </c>
      <c r="C25" s="178"/>
      <c r="D25" s="14">
        <f t="shared" si="0"/>
        <v>63536</v>
      </c>
      <c r="E25" s="17">
        <f t="shared" si="1"/>
        <v>478925.48207974259</v>
      </c>
      <c r="F25" s="21">
        <f t="shared" si="2"/>
        <v>7.54</v>
      </c>
    </row>
    <row r="26" spans="1:6" x14ac:dyDescent="0.2">
      <c r="A26" s="19">
        <v>22</v>
      </c>
      <c r="B26" s="177" t="s">
        <v>19</v>
      </c>
      <c r="C26" s="178"/>
      <c r="D26" s="14">
        <f t="shared" si="0"/>
        <v>0</v>
      </c>
      <c r="E26" s="17">
        <f t="shared" si="1"/>
        <v>0</v>
      </c>
      <c r="F26" s="21" t="str">
        <f t="shared" si="2"/>
        <v/>
      </c>
    </row>
    <row r="27" spans="1:6" x14ac:dyDescent="0.2">
      <c r="A27" s="19">
        <v>23</v>
      </c>
      <c r="B27" s="177" t="s">
        <v>20</v>
      </c>
      <c r="C27" s="178"/>
      <c r="D27" s="14">
        <f t="shared" si="0"/>
        <v>98496</v>
      </c>
      <c r="E27" s="17">
        <f t="shared" si="1"/>
        <v>978884.30236285459</v>
      </c>
      <c r="F27" s="21">
        <f t="shared" si="2"/>
        <v>9.94</v>
      </c>
    </row>
    <row r="28" spans="1:6" x14ac:dyDescent="0.2">
      <c r="A28" s="19">
        <v>24</v>
      </c>
      <c r="B28" s="177" t="s">
        <v>21</v>
      </c>
      <c r="C28" s="178"/>
      <c r="D28" s="14">
        <f t="shared" si="0"/>
        <v>28480</v>
      </c>
      <c r="E28" s="17">
        <f t="shared" si="1"/>
        <v>219192.05039081891</v>
      </c>
      <c r="F28" s="21">
        <f t="shared" si="2"/>
        <v>7.7</v>
      </c>
    </row>
    <row r="29" spans="1:6" x14ac:dyDescent="0.2">
      <c r="A29" s="19">
        <v>25</v>
      </c>
      <c r="B29" s="177" t="s">
        <v>22</v>
      </c>
      <c r="C29" s="178"/>
      <c r="D29" s="14">
        <f t="shared" si="0"/>
        <v>283776</v>
      </c>
      <c r="E29" s="17">
        <f t="shared" si="1"/>
        <v>2594619.3155795303</v>
      </c>
      <c r="F29" s="21">
        <f t="shared" si="2"/>
        <v>9.14</v>
      </c>
    </row>
    <row r="30" spans="1:6" x14ac:dyDescent="0.2">
      <c r="A30" s="19">
        <v>26</v>
      </c>
      <c r="B30" s="177" t="s">
        <v>23</v>
      </c>
      <c r="C30" s="178"/>
      <c r="D30" s="14">
        <f t="shared" si="0"/>
        <v>76368</v>
      </c>
      <c r="E30" s="17">
        <f t="shared" si="1"/>
        <v>944036.87332324637</v>
      </c>
      <c r="F30" s="21">
        <f t="shared" si="2"/>
        <v>12.36</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2675408</v>
      </c>
      <c r="E33" s="31">
        <f>SUM(E5:E32)</f>
        <v>24687556</v>
      </c>
      <c r="F33" s="32">
        <f t="shared" si="2"/>
        <v>9.23</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IF(F3="1",SUMIF(Data!A:A,'25'!$A$2,Data!CU:CU),0)</f>
        <v>70496</v>
      </c>
      <c r="E36" s="15">
        <f>IF(F3="1",SUMIF(Data!$A:$A,$A$2,Data!IO:IO),0)</f>
        <v>34672</v>
      </c>
      <c r="F36" s="20">
        <f t="shared" ref="F36:F64" si="3">IF(OR(D36=0,E36=0),"",ROUND(E36/D36,2))</f>
        <v>0.49</v>
      </c>
    </row>
    <row r="37" spans="1:6" x14ac:dyDescent="0.2">
      <c r="A37" s="19">
        <v>2</v>
      </c>
      <c r="B37" s="177" t="s">
        <v>1</v>
      </c>
      <c r="C37" s="178"/>
      <c r="D37" s="14">
        <f>IF(F3="1",SUMIF(Data!A:A,'25'!$A$2,Data!CV:CV),0)</f>
        <v>201632</v>
      </c>
      <c r="E37" s="17">
        <f>IF(F3="1",SUMIF(Data!$A:$A,$A$2,Data!IP:IP),0)</f>
        <v>178559</v>
      </c>
      <c r="F37" s="21">
        <f t="shared" si="3"/>
        <v>0.89</v>
      </c>
    </row>
    <row r="38" spans="1:6" ht="14.25" customHeight="1" x14ac:dyDescent="0.2">
      <c r="A38" s="19">
        <v>3</v>
      </c>
      <c r="B38" s="177" t="s">
        <v>2</v>
      </c>
      <c r="C38" s="178"/>
      <c r="D38" s="14">
        <f>IF(F3="1",SUMIF(Data!A:A,'25'!$A$2,Data!CW:CW),0)</f>
        <v>276048</v>
      </c>
      <c r="E38" s="17">
        <f>IF($F$3="1",SUMIF(Data!$A:$A,$A$2,Data!IQ:IQ),0)</f>
        <v>379856</v>
      </c>
      <c r="F38" s="21">
        <f t="shared" si="3"/>
        <v>1.38</v>
      </c>
    </row>
    <row r="39" spans="1:6" ht="14.25" customHeight="1" x14ac:dyDescent="0.2">
      <c r="A39" s="19">
        <v>4</v>
      </c>
      <c r="B39" s="177" t="s">
        <v>3</v>
      </c>
      <c r="C39" s="178"/>
      <c r="D39" s="14">
        <f>IF(F3="1",SUMIF(Data!A:A,'25'!$A$2,Data!CX:CX),0)</f>
        <v>216752</v>
      </c>
      <c r="E39" s="17">
        <f>IF($F$3="1",SUMIF(Data!$A:$A,$A$2,Data!IR:IR),0)</f>
        <v>254536</v>
      </c>
      <c r="F39" s="21">
        <f t="shared" si="3"/>
        <v>1.17</v>
      </c>
    </row>
    <row r="40" spans="1:6" x14ac:dyDescent="0.2">
      <c r="A40" s="19">
        <v>5</v>
      </c>
      <c r="B40" s="177" t="s">
        <v>4</v>
      </c>
      <c r="C40" s="178"/>
      <c r="D40" s="14">
        <f>IF(F3="1",SUMIF(Data!A:A,'25'!$A$2,Data!CY:CY),0)</f>
        <v>6192</v>
      </c>
      <c r="E40" s="17">
        <f>IF($F$3="1",SUMIF(Data!$A:$A,$A$2,Data!IS:IS),0)</f>
        <v>0</v>
      </c>
      <c r="F40" s="21" t="str">
        <f t="shared" si="3"/>
        <v/>
      </c>
    </row>
    <row r="41" spans="1:6" x14ac:dyDescent="0.2">
      <c r="A41" s="19">
        <v>6</v>
      </c>
      <c r="B41" s="177" t="s">
        <v>5</v>
      </c>
      <c r="C41" s="178"/>
      <c r="D41" s="14">
        <f>IF(F3="1",SUMIF(Data!A:A,'25'!$A$2,Data!CZ:CZ),0)</f>
        <v>7248</v>
      </c>
      <c r="E41" s="17">
        <f>IF($F$3="1",SUMIF(Data!$A:$A,$A$2,Data!IT:IT),0)</f>
        <v>29320</v>
      </c>
      <c r="F41" s="21">
        <f t="shared" si="3"/>
        <v>4.05</v>
      </c>
    </row>
    <row r="42" spans="1:6" x14ac:dyDescent="0.2">
      <c r="A42" s="19">
        <v>7</v>
      </c>
      <c r="B42" s="177" t="s">
        <v>6</v>
      </c>
      <c r="C42" s="178"/>
      <c r="D42" s="14">
        <f>IF(F3="1",SUMIF(Data!A:A,'25'!$A$2,Data!DA:DA),0)</f>
        <v>170144</v>
      </c>
      <c r="E42" s="17">
        <f>IF($F$3="1",SUMIF(Data!$A:$A,$A$2,Data!IU:IU),0)</f>
        <v>322581</v>
      </c>
      <c r="F42" s="21">
        <f t="shared" si="3"/>
        <v>1.9</v>
      </c>
    </row>
    <row r="43" spans="1:6" x14ac:dyDescent="0.2">
      <c r="A43" s="19">
        <v>8</v>
      </c>
      <c r="B43" s="177" t="s">
        <v>7</v>
      </c>
      <c r="C43" s="178"/>
      <c r="D43" s="14">
        <f>IF(F3="1",SUMIF(Data!A:A,'25'!$A$2,Data!DB:DB),0)</f>
        <v>45280</v>
      </c>
      <c r="E43" s="17">
        <f>IF($F$3="1",SUMIF(Data!$A:$A,$A$2,Data!IV:IV),0)</f>
        <v>161414</v>
      </c>
      <c r="F43" s="21">
        <f t="shared" si="3"/>
        <v>3.56</v>
      </c>
    </row>
    <row r="44" spans="1:6" x14ac:dyDescent="0.2">
      <c r="A44" s="19">
        <v>9</v>
      </c>
      <c r="B44" s="177" t="s">
        <v>8</v>
      </c>
      <c r="C44" s="178"/>
      <c r="D44" s="14">
        <f>IF(F3="1",SUMIF(Data!A:A,'25'!$A$2,Data!DC:DC),0)</f>
        <v>72880</v>
      </c>
      <c r="E44" s="17">
        <f>IF($F$3="1",SUMIF(Data!$A:$A,$A$2,Data!IW:IW),0)</f>
        <v>98971</v>
      </c>
      <c r="F44" s="21">
        <f t="shared" si="3"/>
        <v>1.36</v>
      </c>
    </row>
    <row r="45" spans="1:6" x14ac:dyDescent="0.2">
      <c r="A45" s="19">
        <v>10</v>
      </c>
      <c r="B45" s="177" t="s">
        <v>9</v>
      </c>
      <c r="C45" s="178"/>
      <c r="D45" s="14">
        <f>IF(F3="1",SUMIF(Data!A:A,'25'!$A$2,Data!DD:DD),0)</f>
        <v>0</v>
      </c>
      <c r="E45" s="17">
        <f>IF($F$3="1",SUMIF(Data!$A:$A,$A$2,Data!IX:IX),0)</f>
        <v>0</v>
      </c>
      <c r="F45" s="21" t="str">
        <f t="shared" si="3"/>
        <v/>
      </c>
    </row>
    <row r="46" spans="1:6" x14ac:dyDescent="0.2">
      <c r="A46" s="19">
        <v>11</v>
      </c>
      <c r="B46" s="177" t="s">
        <v>10</v>
      </c>
      <c r="C46" s="178"/>
      <c r="D46" s="14">
        <f>IF(F3="1",SUMIF(Data!A:A,'25'!$A$2,Data!DE:DE),0)</f>
        <v>188800</v>
      </c>
      <c r="E46" s="17">
        <f>IF($F$3="1",SUMIF(Data!$A:$A,$A$2,Data!IY:IY),0)</f>
        <v>107013</v>
      </c>
      <c r="F46" s="21">
        <f t="shared" si="3"/>
        <v>0.56999999999999995</v>
      </c>
    </row>
    <row r="47" spans="1:6" ht="14.25" customHeight="1" x14ac:dyDescent="0.2">
      <c r="A47" s="19">
        <v>12</v>
      </c>
      <c r="B47" s="177" t="s">
        <v>11</v>
      </c>
      <c r="C47" s="178"/>
      <c r="D47" s="14">
        <f>IF(F3="1",SUMIF(Data!A:A,'25'!$A$2,Data!DF:DF),0)</f>
        <v>293072</v>
      </c>
      <c r="E47" s="17">
        <f>IF($F$3="1",SUMIF(Data!$A:$A,$A$2,Data!IZ:IZ),0)</f>
        <v>200919</v>
      </c>
      <c r="F47" s="21">
        <f t="shared" si="3"/>
        <v>0.69</v>
      </c>
    </row>
    <row r="48" spans="1:6" x14ac:dyDescent="0.2">
      <c r="A48" s="19">
        <v>13</v>
      </c>
      <c r="B48" s="177" t="s">
        <v>12</v>
      </c>
      <c r="C48" s="178"/>
      <c r="D48" s="14">
        <f>IF(F3="1",SUMIF(Data!A:A,'25'!$A$2,Data!DG:DG),0)</f>
        <v>44944</v>
      </c>
      <c r="E48" s="17">
        <f>IF($F$3="1",SUMIF(Data!$A:$A,$A$2,Data!JA:JA),0)</f>
        <v>24536</v>
      </c>
      <c r="F48" s="21">
        <f t="shared" si="3"/>
        <v>0.55000000000000004</v>
      </c>
    </row>
    <row r="49" spans="1:6" ht="14.25" customHeight="1" x14ac:dyDescent="0.2">
      <c r="A49" s="19">
        <v>14</v>
      </c>
      <c r="B49" s="177" t="s">
        <v>464</v>
      </c>
      <c r="C49" s="178"/>
      <c r="D49" s="14">
        <f>IF(F3="1",SUMIF(Data!A:A,'25'!$A$2,Data!DH:DH),0)</f>
        <v>56144</v>
      </c>
      <c r="E49" s="17">
        <f>IF($F$3="1",SUMIF(Data!$A:$A,$A$2,Data!JB:JB),0)</f>
        <v>109154</v>
      </c>
      <c r="F49" s="21">
        <f t="shared" si="3"/>
        <v>1.94</v>
      </c>
    </row>
    <row r="50" spans="1:6" x14ac:dyDescent="0.2">
      <c r="A50" s="19">
        <v>15</v>
      </c>
      <c r="B50" s="177" t="s">
        <v>13</v>
      </c>
      <c r="C50" s="178"/>
      <c r="D50" s="14">
        <f>IF(F3="1",SUMIF(Data!A:A,'25'!$A$2,Data!DI:DI),0)</f>
        <v>0</v>
      </c>
      <c r="E50" s="17">
        <f>IF($F$3="1",SUMIF(Data!$A:$A,$A$2,Data!JC:JC),0)</f>
        <v>0</v>
      </c>
      <c r="F50" s="21" t="str">
        <f t="shared" si="3"/>
        <v/>
      </c>
    </row>
    <row r="51" spans="1:6" x14ac:dyDescent="0.2">
      <c r="A51" s="19">
        <v>16</v>
      </c>
      <c r="B51" s="177" t="s">
        <v>14</v>
      </c>
      <c r="C51" s="178"/>
      <c r="D51" s="14">
        <f>IF(F3="1",SUMIF(Data!A:A,'25'!$A$2,Data!DJ:DJ),0)</f>
        <v>117904</v>
      </c>
      <c r="E51" s="17">
        <f>IF($F$3="1",SUMIF(Data!$A:$A,$A$2,Data!JD:JD),0)</f>
        <v>80114</v>
      </c>
      <c r="F51" s="21">
        <f t="shared" si="3"/>
        <v>0.68</v>
      </c>
    </row>
    <row r="52" spans="1:6" x14ac:dyDescent="0.2">
      <c r="A52" s="19">
        <v>17</v>
      </c>
      <c r="B52" s="177" t="s">
        <v>15</v>
      </c>
      <c r="C52" s="178"/>
      <c r="D52" s="14">
        <f>IF(F3="1",SUMIF(Data!A:A,'25'!$A$2,Data!DK:DK),0)</f>
        <v>0</v>
      </c>
      <c r="E52" s="17">
        <f>IF($F$3="1",SUMIF(Data!$A:$A,$A$2,Data!JE:JE),0)</f>
        <v>0</v>
      </c>
      <c r="F52" s="21" t="str">
        <f t="shared" si="3"/>
        <v/>
      </c>
    </row>
    <row r="53" spans="1:6" x14ac:dyDescent="0.2">
      <c r="A53" s="19">
        <v>18</v>
      </c>
      <c r="B53" s="177" t="s">
        <v>16</v>
      </c>
      <c r="C53" s="178"/>
      <c r="D53" s="14">
        <f>IF(F3="1",SUMIF(Data!A:A,'25'!$A$2,Data!DL:DL),0)</f>
        <v>0</v>
      </c>
      <c r="E53" s="17">
        <f>IF($F$3="1",SUMIF(Data!$A:$A,$A$2,Data!JF:JF),0)</f>
        <v>0</v>
      </c>
      <c r="F53" s="21" t="str">
        <f t="shared" si="3"/>
        <v/>
      </c>
    </row>
    <row r="54" spans="1:6" x14ac:dyDescent="0.2">
      <c r="A54" s="19">
        <v>19</v>
      </c>
      <c r="B54" s="177" t="s">
        <v>17</v>
      </c>
      <c r="C54" s="178"/>
      <c r="D54" s="14">
        <f>IF(F3="1",SUMIF(Data!A:A,'25'!$A$2,Data!DM:DM),0)</f>
        <v>282288</v>
      </c>
      <c r="E54" s="17">
        <f>IF($F$3="1",SUMIF(Data!$A:$A,$A$2,Data!JG:JG),0)</f>
        <v>273719</v>
      </c>
      <c r="F54" s="21">
        <f t="shared" si="3"/>
        <v>0.97</v>
      </c>
    </row>
    <row r="55" spans="1:6" x14ac:dyDescent="0.2">
      <c r="A55" s="19">
        <v>20</v>
      </c>
      <c r="B55" s="177" t="s">
        <v>18</v>
      </c>
      <c r="C55" s="178"/>
      <c r="D55" s="14">
        <f>IF(F3="1",SUMIF(Data!A:A,'25'!$A$2,Data!DN:DN),0)</f>
        <v>74928</v>
      </c>
      <c r="E55" s="17">
        <f>IF($F$3="1",SUMIF(Data!$A:$A,$A$2,Data!JH:JH),0)</f>
        <v>32673</v>
      </c>
      <c r="F55" s="21">
        <f t="shared" si="3"/>
        <v>0.44</v>
      </c>
    </row>
    <row r="56" spans="1:6" ht="14.25" customHeight="1" x14ac:dyDescent="0.2">
      <c r="A56" s="19">
        <v>21</v>
      </c>
      <c r="B56" s="177" t="s">
        <v>461</v>
      </c>
      <c r="C56" s="178"/>
      <c r="D56" s="14">
        <f>IF(F3="1",SUMIF(Data!A:A,'25'!$A$2,Data!DO:DO),0)</f>
        <v>63536</v>
      </c>
      <c r="E56" s="17">
        <f>IF($F$3="1",SUMIF(Data!$A:$A,$A$2,Data!JI:JI),0)</f>
        <v>26748</v>
      </c>
      <c r="F56" s="21">
        <f t="shared" si="3"/>
        <v>0.42</v>
      </c>
    </row>
    <row r="57" spans="1:6" x14ac:dyDescent="0.2">
      <c r="A57" s="19">
        <v>22</v>
      </c>
      <c r="B57" s="177" t="s">
        <v>19</v>
      </c>
      <c r="C57" s="178"/>
      <c r="D57" s="14">
        <f>IF(F3="1",SUMIF(Data!A:A,'25'!$A$2,Data!DP:DP),0)</f>
        <v>0</v>
      </c>
      <c r="E57" s="17">
        <f>IF($F$3="1",SUMIF(Data!$A:$A,$A$2,Data!JJ:JJ),0)</f>
        <v>0</v>
      </c>
      <c r="F57" s="21" t="str">
        <f t="shared" si="3"/>
        <v/>
      </c>
    </row>
    <row r="58" spans="1:6" x14ac:dyDescent="0.2">
      <c r="A58" s="19">
        <v>23</v>
      </c>
      <c r="B58" s="177" t="s">
        <v>20</v>
      </c>
      <c r="C58" s="178"/>
      <c r="D58" s="14">
        <f>IF(F3="1",SUMIF(Data!A:A,'25'!$A$2,Data!DQ:DQ),0)</f>
        <v>98496</v>
      </c>
      <c r="E58" s="17">
        <f>IF($F$3="1",SUMIF(Data!$A:$A,$A$2,Data!JK:JK),0)</f>
        <v>191587</v>
      </c>
      <c r="F58" s="21">
        <f t="shared" si="3"/>
        <v>1.95</v>
      </c>
    </row>
    <row r="59" spans="1:6" x14ac:dyDescent="0.2">
      <c r="A59" s="19">
        <v>24</v>
      </c>
      <c r="B59" s="177" t="s">
        <v>21</v>
      </c>
      <c r="C59" s="178"/>
      <c r="D59" s="14">
        <f>IF(F3="1",SUMIF(Data!A:A,'25'!$A$2,Data!DR:DR),0)</f>
        <v>28480</v>
      </c>
      <c r="E59" s="17">
        <f>IF($F$3="1",SUMIF(Data!$A:$A,$A$2,Data!JL:JL),0)</f>
        <v>8412</v>
      </c>
      <c r="F59" s="21">
        <f t="shared" si="3"/>
        <v>0.3</v>
      </c>
    </row>
    <row r="60" spans="1:6" x14ac:dyDescent="0.2">
      <c r="A60" s="19">
        <v>25</v>
      </c>
      <c r="B60" s="177" t="s">
        <v>22</v>
      </c>
      <c r="C60" s="178"/>
      <c r="D60" s="14">
        <f>IF(F3="1",SUMIF(Data!A:A,'25'!$A$2,Data!DS:DS),0)</f>
        <v>283776</v>
      </c>
      <c r="E60" s="17">
        <f>IF($F$3="1",SUMIF(Data!$A:$A,$A$2,Data!JM:JM),0)</f>
        <v>166110</v>
      </c>
      <c r="F60" s="21">
        <f t="shared" si="3"/>
        <v>0.59</v>
      </c>
    </row>
    <row r="61" spans="1:6" x14ac:dyDescent="0.2">
      <c r="A61" s="19">
        <v>26</v>
      </c>
      <c r="B61" s="177" t="s">
        <v>23</v>
      </c>
      <c r="C61" s="178"/>
      <c r="D61" s="14">
        <f>IF(F3="1",SUMIF(Data!A:A,'25'!$A$2,Data!DT:DT),0)</f>
        <v>76368</v>
      </c>
      <c r="E61" s="17">
        <f>IF($F$3="1",SUMIF(Data!$A:$A,$A$2,Data!JN:JN),0)</f>
        <v>160109</v>
      </c>
      <c r="F61" s="21">
        <f t="shared" si="3"/>
        <v>2.1</v>
      </c>
    </row>
    <row r="62" spans="1:6" x14ac:dyDescent="0.2">
      <c r="A62" s="19">
        <v>28</v>
      </c>
      <c r="B62" s="177" t="s">
        <v>24</v>
      </c>
      <c r="C62" s="178"/>
      <c r="D62" s="14">
        <f>IF(F3="1",SUMIF(Data!A:A,'25'!$A$2,Data!DV:DV),0)</f>
        <v>0</v>
      </c>
      <c r="E62" s="17">
        <f>IF($F$3="1",SUMIF(Data!$A:$A,$A$2,Data!JP:JP),0)</f>
        <v>0</v>
      </c>
      <c r="F62" s="21" t="str">
        <f t="shared" si="3"/>
        <v/>
      </c>
    </row>
    <row r="63" spans="1:6" ht="15.75" customHeight="1" thickBot="1" x14ac:dyDescent="0.25">
      <c r="A63" s="22">
        <v>29</v>
      </c>
      <c r="B63" s="179" t="s">
        <v>25</v>
      </c>
      <c r="C63" s="180"/>
      <c r="D63" s="23">
        <f>IF(F3="1",SUMIF(Data!A:A,'25'!$A$2,Data!DW:DW),0)</f>
        <v>0</v>
      </c>
      <c r="E63" s="24">
        <f>IF($F$3="1",SUMIF(Data!$A:$A,$A$2,Data!JQ:JQ),0)</f>
        <v>0</v>
      </c>
      <c r="F63" s="25" t="str">
        <f t="shared" si="3"/>
        <v/>
      </c>
    </row>
    <row r="64" spans="1:6" x14ac:dyDescent="0.2">
      <c r="B64" s="30" t="s">
        <v>35</v>
      </c>
      <c r="C64" s="30"/>
      <c r="D64" s="59">
        <f>SUM(D36:D63)</f>
        <v>2675408</v>
      </c>
      <c r="E64" s="31">
        <f>SUM(E36:E63)</f>
        <v>2841003</v>
      </c>
      <c r="F64" s="32">
        <f t="shared" si="3"/>
        <v>1.06</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70496</v>
      </c>
      <c r="E67" s="15">
        <f>IF(F3="1",SUMIF(Data!A:A,'25'!$A$2,Data!DY:DY),0)</f>
        <v>115838</v>
      </c>
      <c r="F67" s="20">
        <f t="shared" ref="F67:F95" si="4">IF(OR(D67=0,E67=0),"",ROUND(E67/D67,2))</f>
        <v>1.64</v>
      </c>
    </row>
    <row r="68" spans="1:6" x14ac:dyDescent="0.2">
      <c r="A68" s="19">
        <v>2</v>
      </c>
      <c r="B68" s="177" t="s">
        <v>1</v>
      </c>
      <c r="C68" s="178"/>
      <c r="D68" s="14">
        <f t="shared" ref="D68:D94" si="5">D37</f>
        <v>201632</v>
      </c>
      <c r="E68" s="17">
        <f>IF(F3="1",SUMIF(Data!A:A,'25'!$A$2,Data!DZ:DZ),0)</f>
        <v>674383</v>
      </c>
      <c r="F68" s="21">
        <f t="shared" si="4"/>
        <v>3.34</v>
      </c>
    </row>
    <row r="69" spans="1:6" ht="14.25" customHeight="1" x14ac:dyDescent="0.2">
      <c r="A69" s="19">
        <v>3</v>
      </c>
      <c r="B69" s="177" t="s">
        <v>2</v>
      </c>
      <c r="C69" s="178"/>
      <c r="D69" s="14">
        <f t="shared" si="5"/>
        <v>276048</v>
      </c>
      <c r="E69" s="17">
        <f>IF(F3="1",SUMIF(Data!A:A,'25'!$A$2,Data!EA:EA),0)</f>
        <v>846778</v>
      </c>
      <c r="F69" s="21">
        <f t="shared" si="4"/>
        <v>3.07</v>
      </c>
    </row>
    <row r="70" spans="1:6" ht="14.25" customHeight="1" x14ac:dyDescent="0.2">
      <c r="A70" s="19">
        <v>4</v>
      </c>
      <c r="B70" s="177" t="s">
        <v>3</v>
      </c>
      <c r="C70" s="178"/>
      <c r="D70" s="14">
        <f t="shared" si="5"/>
        <v>216752</v>
      </c>
      <c r="E70" s="17">
        <f>IF(F3="1",SUMIF(Data!A:A,'25'!$A$2,Data!EB:EB),0)</f>
        <v>926012</v>
      </c>
      <c r="F70" s="21">
        <f t="shared" si="4"/>
        <v>4.2699999999999996</v>
      </c>
    </row>
    <row r="71" spans="1:6" x14ac:dyDescent="0.2">
      <c r="A71" s="19">
        <v>5</v>
      </c>
      <c r="B71" s="177" t="s">
        <v>4</v>
      </c>
      <c r="C71" s="178"/>
      <c r="D71" s="14">
        <f t="shared" si="5"/>
        <v>6192</v>
      </c>
      <c r="E71" s="17">
        <f>IF(F3="1",SUMIF(Data!A:A,'25'!$A$2,Data!EC:EC),0)</f>
        <v>65329</v>
      </c>
      <c r="F71" s="21">
        <f t="shared" si="4"/>
        <v>10.55</v>
      </c>
    </row>
    <row r="72" spans="1:6" x14ac:dyDescent="0.2">
      <c r="A72" s="19">
        <v>6</v>
      </c>
      <c r="B72" s="177" t="s">
        <v>5</v>
      </c>
      <c r="C72" s="178"/>
      <c r="D72" s="14">
        <f t="shared" si="5"/>
        <v>7248</v>
      </c>
      <c r="E72" s="17">
        <f>IF(F3="1",SUMIF(Data!A:A,'25'!$A$2,Data!ED:ED),0)</f>
        <v>83875</v>
      </c>
      <c r="F72" s="21">
        <f t="shared" si="4"/>
        <v>11.57</v>
      </c>
    </row>
    <row r="73" spans="1:6" x14ac:dyDescent="0.2">
      <c r="A73" s="19">
        <v>7</v>
      </c>
      <c r="B73" s="177" t="s">
        <v>6</v>
      </c>
      <c r="C73" s="178"/>
      <c r="D73" s="14">
        <f t="shared" si="5"/>
        <v>170144</v>
      </c>
      <c r="E73" s="17">
        <f>IF(F3="1",SUMIF(Data!A:A,'25'!$A$2,Data!EE:EE),0)</f>
        <v>571154</v>
      </c>
      <c r="F73" s="21">
        <f t="shared" si="4"/>
        <v>3.36</v>
      </c>
    </row>
    <row r="74" spans="1:6" x14ac:dyDescent="0.2">
      <c r="A74" s="19">
        <v>8</v>
      </c>
      <c r="B74" s="177" t="s">
        <v>7</v>
      </c>
      <c r="C74" s="178"/>
      <c r="D74" s="14">
        <f t="shared" si="5"/>
        <v>45280</v>
      </c>
      <c r="E74" s="17">
        <f>IF(F3="1",SUMIF(Data!A:A,'25'!$A$2,Data!EF:EF),0)</f>
        <v>546589</v>
      </c>
      <c r="F74" s="21">
        <f t="shared" si="4"/>
        <v>12.07</v>
      </c>
    </row>
    <row r="75" spans="1:6" x14ac:dyDescent="0.2">
      <c r="A75" s="19">
        <v>9</v>
      </c>
      <c r="B75" s="177" t="s">
        <v>8</v>
      </c>
      <c r="C75" s="178"/>
      <c r="D75" s="14">
        <f t="shared" si="5"/>
        <v>72880</v>
      </c>
      <c r="E75" s="17">
        <f>IF(F3="1",SUMIF(Data!A:A,'25'!$A$2,Data!EG:EG),0)</f>
        <v>169219</v>
      </c>
      <c r="F75" s="21">
        <f t="shared" si="4"/>
        <v>2.3199999999999998</v>
      </c>
    </row>
    <row r="76" spans="1:6" x14ac:dyDescent="0.2">
      <c r="A76" s="19">
        <v>10</v>
      </c>
      <c r="B76" s="177" t="s">
        <v>9</v>
      </c>
      <c r="C76" s="178"/>
      <c r="D76" s="14">
        <f t="shared" si="5"/>
        <v>0</v>
      </c>
      <c r="E76" s="17">
        <f>IF(F3="1",SUMIF(Data!A:A,'25'!$A$2,Data!EH:EH),0)</f>
        <v>0</v>
      </c>
      <c r="F76" s="21" t="str">
        <f t="shared" si="4"/>
        <v/>
      </c>
    </row>
    <row r="77" spans="1:6" x14ac:dyDescent="0.2">
      <c r="A77" s="19">
        <v>11</v>
      </c>
      <c r="B77" s="177" t="s">
        <v>10</v>
      </c>
      <c r="C77" s="178"/>
      <c r="D77" s="14">
        <f t="shared" si="5"/>
        <v>188800</v>
      </c>
      <c r="E77" s="17">
        <f>IF(F3="1",SUMIF(Data!A:A,'25'!$A$2,Data!EI:EI),0)</f>
        <v>323036</v>
      </c>
      <c r="F77" s="21">
        <f t="shared" si="4"/>
        <v>1.71</v>
      </c>
    </row>
    <row r="78" spans="1:6" ht="14.25" customHeight="1" x14ac:dyDescent="0.2">
      <c r="A78" s="19">
        <v>12</v>
      </c>
      <c r="B78" s="177" t="s">
        <v>11</v>
      </c>
      <c r="C78" s="178"/>
      <c r="D78" s="14">
        <f t="shared" si="5"/>
        <v>293072</v>
      </c>
      <c r="E78" s="17">
        <f>IF(F3="1",SUMIF(Data!A:A,'25'!$A$2,Data!EJ:EJ),0)</f>
        <v>1241576</v>
      </c>
      <c r="F78" s="21">
        <f t="shared" si="4"/>
        <v>4.24</v>
      </c>
    </row>
    <row r="79" spans="1:6" x14ac:dyDescent="0.2">
      <c r="A79" s="19">
        <v>13</v>
      </c>
      <c r="B79" s="177" t="s">
        <v>12</v>
      </c>
      <c r="C79" s="178"/>
      <c r="D79" s="14">
        <f t="shared" si="5"/>
        <v>44944</v>
      </c>
      <c r="E79" s="17">
        <f>IF(F3="1",SUMIF(Data!A:A,'25'!$A$2,Data!EK:EK),0)</f>
        <v>179253</v>
      </c>
      <c r="F79" s="21">
        <f t="shared" si="4"/>
        <v>3.99</v>
      </c>
    </row>
    <row r="80" spans="1:6" ht="14.25" customHeight="1" x14ac:dyDescent="0.2">
      <c r="A80" s="19">
        <v>14</v>
      </c>
      <c r="B80" s="177" t="s">
        <v>464</v>
      </c>
      <c r="C80" s="178"/>
      <c r="D80" s="14">
        <f t="shared" si="5"/>
        <v>56144</v>
      </c>
      <c r="E80" s="17">
        <f>IF(F3="1",SUMIF(Data!A:A,'25'!$A$2,Data!EL:EL),0)</f>
        <v>451716</v>
      </c>
      <c r="F80" s="21">
        <f t="shared" si="4"/>
        <v>8.0500000000000007</v>
      </c>
    </row>
    <row r="81" spans="1:6" x14ac:dyDescent="0.2">
      <c r="A81" s="19">
        <v>15</v>
      </c>
      <c r="B81" s="177" t="s">
        <v>13</v>
      </c>
      <c r="C81" s="178"/>
      <c r="D81" s="14">
        <f t="shared" si="5"/>
        <v>0</v>
      </c>
      <c r="E81" s="17">
        <f>IF(F3="1",SUMIF(Data!A:A,'25'!$A$2,Data!EM:EM),0)</f>
        <v>0</v>
      </c>
      <c r="F81" s="21" t="str">
        <f t="shared" si="4"/>
        <v/>
      </c>
    </row>
    <row r="82" spans="1:6" x14ac:dyDescent="0.2">
      <c r="A82" s="19">
        <v>16</v>
      </c>
      <c r="B82" s="177" t="s">
        <v>14</v>
      </c>
      <c r="C82" s="178"/>
      <c r="D82" s="14">
        <f t="shared" si="5"/>
        <v>117904</v>
      </c>
      <c r="E82" s="17">
        <f>IF(F3="1",SUMIF(Data!A:A,'25'!$A$2,Data!EN:EN),0)</f>
        <v>357028</v>
      </c>
      <c r="F82" s="21">
        <f t="shared" si="4"/>
        <v>3.03</v>
      </c>
    </row>
    <row r="83" spans="1:6" x14ac:dyDescent="0.2">
      <c r="A83" s="19">
        <v>17</v>
      </c>
      <c r="B83" s="177" t="s">
        <v>15</v>
      </c>
      <c r="C83" s="178"/>
      <c r="D83" s="14">
        <f t="shared" si="5"/>
        <v>0</v>
      </c>
      <c r="E83" s="17">
        <f>IF(F3="1",SUMIF(Data!A:A,'25'!$A$2,Data!EO:EO),0)</f>
        <v>0</v>
      </c>
      <c r="F83" s="21" t="str">
        <f t="shared" si="4"/>
        <v/>
      </c>
    </row>
    <row r="84" spans="1:6" x14ac:dyDescent="0.2">
      <c r="A84" s="19">
        <v>18</v>
      </c>
      <c r="B84" s="177" t="s">
        <v>16</v>
      </c>
      <c r="C84" s="178"/>
      <c r="D84" s="14">
        <f t="shared" si="5"/>
        <v>0</v>
      </c>
      <c r="E84" s="17">
        <f>IF(F3="1",SUMIF(Data!A:A,'25'!$A$2,Data!EP:EP),0)</f>
        <v>0</v>
      </c>
      <c r="F84" s="21" t="str">
        <f t="shared" si="4"/>
        <v/>
      </c>
    </row>
    <row r="85" spans="1:6" x14ac:dyDescent="0.2">
      <c r="A85" s="19">
        <v>19</v>
      </c>
      <c r="B85" s="177" t="s">
        <v>17</v>
      </c>
      <c r="C85" s="178"/>
      <c r="D85" s="14">
        <f t="shared" si="5"/>
        <v>282288</v>
      </c>
      <c r="E85" s="17">
        <f>IF(F3="1",SUMIF(Data!A:A,'25'!$A$2,Data!EQ:EQ),0)</f>
        <v>874304</v>
      </c>
      <c r="F85" s="21">
        <f t="shared" si="4"/>
        <v>3.1</v>
      </c>
    </row>
    <row r="86" spans="1:6" x14ac:dyDescent="0.2">
      <c r="A86" s="19">
        <v>20</v>
      </c>
      <c r="B86" s="177" t="s">
        <v>18</v>
      </c>
      <c r="C86" s="178"/>
      <c r="D86" s="14">
        <f t="shared" si="5"/>
        <v>74928</v>
      </c>
      <c r="E86" s="17">
        <f>IF(F3="1",SUMIF(Data!A:A,'25'!$A$2,Data!ER:ER),0)</f>
        <v>160722</v>
      </c>
      <c r="F86" s="21">
        <f t="shared" si="4"/>
        <v>2.15</v>
      </c>
    </row>
    <row r="87" spans="1:6" ht="14.25" customHeight="1" x14ac:dyDescent="0.2">
      <c r="A87" s="19">
        <v>21</v>
      </c>
      <c r="B87" s="177" t="s">
        <v>461</v>
      </c>
      <c r="C87" s="178"/>
      <c r="D87" s="14">
        <f t="shared" si="5"/>
        <v>63536</v>
      </c>
      <c r="E87" s="17">
        <f>IF(F3="1",SUMIF(Data!A:A,'25'!$A$2,Data!ES:ES),0)</f>
        <v>165199</v>
      </c>
      <c r="F87" s="21">
        <f t="shared" si="4"/>
        <v>2.6</v>
      </c>
    </row>
    <row r="88" spans="1:6" x14ac:dyDescent="0.2">
      <c r="A88" s="19">
        <v>22</v>
      </c>
      <c r="B88" s="177" t="s">
        <v>19</v>
      </c>
      <c r="C88" s="178"/>
      <c r="D88" s="14">
        <f t="shared" si="5"/>
        <v>0</v>
      </c>
      <c r="E88" s="17">
        <f>IF(F3="1",SUMIF(Data!A:A,'25'!$A$2,Data!ET:ET),0)</f>
        <v>0</v>
      </c>
      <c r="F88" s="21" t="str">
        <f t="shared" si="4"/>
        <v/>
      </c>
    </row>
    <row r="89" spans="1:6" x14ac:dyDescent="0.2">
      <c r="A89" s="19">
        <v>23</v>
      </c>
      <c r="B89" s="177" t="s">
        <v>20</v>
      </c>
      <c r="C89" s="178"/>
      <c r="D89" s="14">
        <f t="shared" si="5"/>
        <v>98496</v>
      </c>
      <c r="E89" s="17">
        <f>IF(F3="1",SUMIF(Data!A:A,'25'!$A$2,Data!EU:EU),0)</f>
        <v>342412</v>
      </c>
      <c r="F89" s="21">
        <f t="shared" si="4"/>
        <v>3.48</v>
      </c>
    </row>
    <row r="90" spans="1:6" x14ac:dyDescent="0.2">
      <c r="A90" s="19">
        <v>24</v>
      </c>
      <c r="B90" s="177" t="s">
        <v>21</v>
      </c>
      <c r="C90" s="178"/>
      <c r="D90" s="14">
        <f t="shared" si="5"/>
        <v>28480</v>
      </c>
      <c r="E90" s="17">
        <f>IF(F3="1",SUMIF(Data!A:A,'25'!$A$2,Data!EV:EV),0)</f>
        <v>82142</v>
      </c>
      <c r="F90" s="21">
        <f t="shared" si="4"/>
        <v>2.88</v>
      </c>
    </row>
    <row r="91" spans="1:6" x14ac:dyDescent="0.2">
      <c r="A91" s="19">
        <v>25</v>
      </c>
      <c r="B91" s="177" t="s">
        <v>22</v>
      </c>
      <c r="C91" s="178"/>
      <c r="D91" s="14">
        <f t="shared" si="5"/>
        <v>283776</v>
      </c>
      <c r="E91" s="17">
        <f>IF(F3="1",SUMIF(Data!A:A,'25'!$A$2,Data!EW:EW),0)</f>
        <v>1146754</v>
      </c>
      <c r="F91" s="21">
        <f t="shared" si="4"/>
        <v>4.04</v>
      </c>
    </row>
    <row r="92" spans="1:6" x14ac:dyDescent="0.2">
      <c r="A92" s="19">
        <v>26</v>
      </c>
      <c r="B92" s="177" t="s">
        <v>23</v>
      </c>
      <c r="C92" s="178"/>
      <c r="D92" s="14">
        <f t="shared" si="5"/>
        <v>76368</v>
      </c>
      <c r="E92" s="17">
        <f>IF(F3="1",SUMIF(Data!A:A,'25'!$A$2,Data!EX:EX),0)</f>
        <v>438990</v>
      </c>
      <c r="F92" s="21">
        <f t="shared" si="4"/>
        <v>5.75</v>
      </c>
    </row>
    <row r="93" spans="1:6" x14ac:dyDescent="0.2">
      <c r="A93" s="19">
        <v>28</v>
      </c>
      <c r="B93" s="177" t="s">
        <v>24</v>
      </c>
      <c r="C93" s="178"/>
      <c r="D93" s="14">
        <f t="shared" si="5"/>
        <v>0</v>
      </c>
      <c r="E93" s="17">
        <f>IF(F3="1",SUMIF(Data!A:A,'25'!$A$2,Data!EZ:EZ),0)</f>
        <v>0</v>
      </c>
      <c r="F93" s="21" t="str">
        <f t="shared" si="4"/>
        <v/>
      </c>
    </row>
    <row r="94" spans="1:6" ht="15.75" customHeight="1" thickBot="1" x14ac:dyDescent="0.25">
      <c r="A94" s="22">
        <v>29</v>
      </c>
      <c r="B94" s="179" t="s">
        <v>25</v>
      </c>
      <c r="C94" s="180"/>
      <c r="D94" s="23">
        <f t="shared" si="5"/>
        <v>0</v>
      </c>
      <c r="E94" s="24">
        <f>IF(F3="1",SUMIF(Data!A:A,'25'!$A$2,Data!FA:FA),0)</f>
        <v>0</v>
      </c>
      <c r="F94" s="25" t="str">
        <f t="shared" si="4"/>
        <v/>
      </c>
    </row>
    <row r="95" spans="1:6" x14ac:dyDescent="0.2">
      <c r="B95" s="30" t="s">
        <v>35</v>
      </c>
      <c r="C95" s="30"/>
      <c r="D95" s="59">
        <f>SUM(D67:D94)</f>
        <v>2675408</v>
      </c>
      <c r="E95" s="31">
        <f>SUM(E67:E94)</f>
        <v>9762309</v>
      </c>
      <c r="F95" s="32">
        <f t="shared" si="4"/>
        <v>3.65</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IF(F3="1",SUMIF(Data!A:A,'25'!$A$2,Data!AH:AH),0)</f>
        <v>6499107</v>
      </c>
      <c r="F98" s="20">
        <f>IF(OR(E98=0,E98=0),"",ROUND(E98/$D$105,2))</f>
        <v>2.4300000000000002</v>
      </c>
    </row>
    <row r="99" spans="2:6" x14ac:dyDescent="0.2">
      <c r="B99" s="183" t="s">
        <v>31</v>
      </c>
      <c r="C99" s="184"/>
      <c r="D99" s="36"/>
      <c r="E99" s="17">
        <f>IF(F3="1",SUMIF(Data!A:A,'25'!$A$2,Data!AI:AI),0)</f>
        <v>1305196</v>
      </c>
      <c r="F99" s="21">
        <f t="shared" ref="F99:F104" si="6">IF(OR(E99=0,E99=0),"",ROUND(E99/$D$105,2))</f>
        <v>0.49</v>
      </c>
    </row>
    <row r="100" spans="2:6" x14ac:dyDescent="0.2">
      <c r="B100" s="183" t="s">
        <v>1078</v>
      </c>
      <c r="C100" s="184"/>
      <c r="D100" s="36"/>
      <c r="E100" s="17">
        <f>IF(F3="1",SUMIF(Data!A:A,'25'!$A$2,Data!AJ:AJ),0)</f>
        <v>688381</v>
      </c>
      <c r="F100" s="21">
        <f t="shared" si="6"/>
        <v>0.26</v>
      </c>
    </row>
    <row r="101" spans="2:6" x14ac:dyDescent="0.2">
      <c r="B101" s="183" t="s">
        <v>1079</v>
      </c>
      <c r="C101" s="184"/>
      <c r="D101" s="36"/>
      <c r="E101" s="17">
        <f>IF(F3="1",SUMIF(Data!A:A,'25'!$A$2,Data!AK:AK),0)</f>
        <v>1932892</v>
      </c>
      <c r="F101" s="21">
        <f t="shared" si="6"/>
        <v>0.72</v>
      </c>
    </row>
    <row r="102" spans="2:6" x14ac:dyDescent="0.2">
      <c r="B102" s="183" t="s">
        <v>1080</v>
      </c>
      <c r="C102" s="184"/>
      <c r="D102" s="36"/>
      <c r="E102" s="17">
        <f>IF(F3="1",SUMIF(Data!A:A,'25'!$A$2,Data!AL:AL),0)</f>
        <v>0</v>
      </c>
      <c r="F102" s="21" t="str">
        <f t="shared" si="6"/>
        <v/>
      </c>
    </row>
    <row r="103" spans="2:6" x14ac:dyDescent="0.2">
      <c r="B103" s="185" t="s">
        <v>34</v>
      </c>
      <c r="C103" s="186"/>
      <c r="D103" s="36"/>
      <c r="E103" s="17">
        <f>IF(F3="1",SUMIF(Data!A:A,'25'!$A$2,Data!AM:AM),0)</f>
        <v>0</v>
      </c>
      <c r="F103" s="21" t="str">
        <f t="shared" si="6"/>
        <v/>
      </c>
    </row>
    <row r="104" spans="2:6" ht="15.75" customHeight="1" thickBot="1" x14ac:dyDescent="0.25">
      <c r="B104" s="175" t="s">
        <v>29</v>
      </c>
      <c r="C104" s="176"/>
      <c r="D104" s="37"/>
      <c r="E104" s="24">
        <f>IF(F3="1",SUMIF(Data!A:A,'25'!$A$2,Data!Q:Q),0)</f>
        <v>1658668</v>
      </c>
      <c r="F104" s="25">
        <f t="shared" si="6"/>
        <v>0.62</v>
      </c>
    </row>
    <row r="105" spans="2:6" x14ac:dyDescent="0.2">
      <c r="B105" s="30" t="s">
        <v>35</v>
      </c>
      <c r="C105" s="30"/>
      <c r="D105" s="34">
        <f>D95</f>
        <v>2675408</v>
      </c>
      <c r="E105" s="31">
        <f>SUM(E98:E104)</f>
        <v>12084244</v>
      </c>
      <c r="F105" s="32">
        <f>IF($D$105=0,"",ROUND(E105/$D$105,2))</f>
        <v>4.5199999999999996</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9762309</v>
      </c>
      <c r="D109" s="15">
        <f>IF(F3="1",SUMIF(Data!$A:$A,$A$2,Data!HJ:HJ),0)</f>
        <v>0</v>
      </c>
      <c r="E109" s="15">
        <f>IF(F3="1",SUMIF(Data!$A:$A,$A$2,Data!IN:IN),0)</f>
        <v>0</v>
      </c>
      <c r="F109" s="47">
        <f>SUM(C109:E109)</f>
        <v>9762309</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1658668</v>
      </c>
      <c r="E117" s="52"/>
      <c r="F117" s="49">
        <f>SUM(C117:E117)</f>
        <v>1658668</v>
      </c>
    </row>
    <row r="118" spans="1:6" x14ac:dyDescent="0.2">
      <c r="B118" s="13" t="s">
        <v>35</v>
      </c>
      <c r="C118" s="4">
        <f>SUM(C109:C116)</f>
        <v>9762309</v>
      </c>
      <c r="D118" s="4">
        <f>SUM(D109:D116)</f>
        <v>0</v>
      </c>
      <c r="E118" s="4">
        <f>SUM(E109:E116)</f>
        <v>0</v>
      </c>
      <c r="F118" s="4">
        <f>SUM(F109:F116)</f>
        <v>9762309</v>
      </c>
    </row>
    <row r="119" spans="1:6" ht="15" thickBot="1" x14ac:dyDescent="0.25"/>
    <row r="120" spans="1:6" ht="15" thickBot="1" x14ac:dyDescent="0.25">
      <c r="B120" s="55" t="s">
        <v>934</v>
      </c>
      <c r="C120" s="53"/>
      <c r="D120" s="53"/>
      <c r="E120" s="53">
        <f>IF(F3="1",SUMIF(Data!A:A,'25'!$A$2,Data!AM:AM),0)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4.5703125" style="10" bestFit="1" customWidth="1"/>
    <col min="13"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443</v>
      </c>
      <c r="B2" s="58" t="str">
        <f>VLOOKUP(A2,Data!A:G,7,0)</f>
        <v>North Harris Montgomery Community College District</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8230</v>
      </c>
      <c r="E5" s="15">
        <f>E36+E67+IFERROR($E$105/$D$105*D5,0)</f>
        <v>84421.239035647188</v>
      </c>
      <c r="F5" s="20">
        <f>IF(OR(D5=0,E5=0),"",ROUND(E5/D5,2))</f>
        <v>10.26</v>
      </c>
    </row>
    <row r="6" spans="1:6" x14ac:dyDescent="0.2">
      <c r="A6" s="19">
        <v>2</v>
      </c>
      <c r="B6" s="177" t="s">
        <v>1</v>
      </c>
      <c r="C6" s="178"/>
      <c r="D6" s="14">
        <f t="shared" ref="D6:D32" si="0">D37</f>
        <v>194550</v>
      </c>
      <c r="E6" s="17">
        <f t="shared" ref="E6:E32" si="1">E37+E68+IFERROR($E$105/$D$105*D6,0)</f>
        <v>1526777.1426956453</v>
      </c>
      <c r="F6" s="21">
        <f t="shared" ref="F6:F33" si="2">IF(OR(D6=0,E6=0),"",ROUND(E6/D6,2))</f>
        <v>7.85</v>
      </c>
    </row>
    <row r="7" spans="1:6" ht="14.25" customHeight="1" x14ac:dyDescent="0.2">
      <c r="A7" s="19">
        <v>3</v>
      </c>
      <c r="B7" s="177" t="s">
        <v>2</v>
      </c>
      <c r="C7" s="178"/>
      <c r="D7" s="14">
        <f t="shared" si="0"/>
        <v>1015328</v>
      </c>
      <c r="E7" s="17">
        <f t="shared" si="1"/>
        <v>7325183.7498888932</v>
      </c>
      <c r="F7" s="21">
        <f t="shared" si="2"/>
        <v>7.21</v>
      </c>
    </row>
    <row r="8" spans="1:6" ht="14.25" customHeight="1" x14ac:dyDescent="0.2">
      <c r="A8" s="19">
        <v>4</v>
      </c>
      <c r="B8" s="177" t="s">
        <v>3</v>
      </c>
      <c r="C8" s="178"/>
      <c r="D8" s="14">
        <f t="shared" si="0"/>
        <v>808607</v>
      </c>
      <c r="E8" s="17">
        <f t="shared" si="1"/>
        <v>5890321.0612269212</v>
      </c>
      <c r="F8" s="21">
        <f t="shared" si="2"/>
        <v>7.28</v>
      </c>
    </row>
    <row r="9" spans="1:6" x14ac:dyDescent="0.2">
      <c r="A9" s="19">
        <v>5</v>
      </c>
      <c r="B9" s="177" t="s">
        <v>4</v>
      </c>
      <c r="C9" s="178"/>
      <c r="D9" s="14">
        <f t="shared" si="0"/>
        <v>912</v>
      </c>
      <c r="E9" s="17">
        <f t="shared" si="1"/>
        <v>16175.293560207805</v>
      </c>
      <c r="F9" s="21">
        <f t="shared" si="2"/>
        <v>17.739999999999998</v>
      </c>
    </row>
    <row r="10" spans="1:6" x14ac:dyDescent="0.2">
      <c r="A10" s="19">
        <v>6</v>
      </c>
      <c r="B10" s="177" t="s">
        <v>5</v>
      </c>
      <c r="C10" s="178"/>
      <c r="D10" s="14">
        <f t="shared" si="0"/>
        <v>65018</v>
      </c>
      <c r="E10" s="17">
        <f t="shared" si="1"/>
        <v>433760.97006314807</v>
      </c>
      <c r="F10" s="21">
        <f t="shared" si="2"/>
        <v>6.67</v>
      </c>
    </row>
    <row r="11" spans="1:6" x14ac:dyDescent="0.2">
      <c r="A11" s="19">
        <v>7</v>
      </c>
      <c r="B11" s="177" t="s">
        <v>6</v>
      </c>
      <c r="C11" s="178"/>
      <c r="D11" s="14">
        <f t="shared" si="0"/>
        <v>797184</v>
      </c>
      <c r="E11" s="17">
        <f t="shared" si="1"/>
        <v>6531929.8130490119</v>
      </c>
      <c r="F11" s="21">
        <f t="shared" si="2"/>
        <v>8.19</v>
      </c>
    </row>
    <row r="12" spans="1:6" x14ac:dyDescent="0.2">
      <c r="A12" s="19">
        <v>8</v>
      </c>
      <c r="B12" s="177" t="s">
        <v>7</v>
      </c>
      <c r="C12" s="178"/>
      <c r="D12" s="14">
        <f t="shared" si="0"/>
        <v>3656</v>
      </c>
      <c r="E12" s="17">
        <f t="shared" si="1"/>
        <v>29694.027693113741</v>
      </c>
      <c r="F12" s="21">
        <f t="shared" si="2"/>
        <v>8.1199999999999992</v>
      </c>
    </row>
    <row r="13" spans="1:6" x14ac:dyDescent="0.2">
      <c r="A13" s="19">
        <v>9</v>
      </c>
      <c r="B13" s="177" t="s">
        <v>8</v>
      </c>
      <c r="C13" s="178"/>
      <c r="D13" s="14">
        <f t="shared" si="0"/>
        <v>166358</v>
      </c>
      <c r="E13" s="17">
        <f t="shared" si="1"/>
        <v>1349543.5768520285</v>
      </c>
      <c r="F13" s="21">
        <f t="shared" si="2"/>
        <v>8.11</v>
      </c>
    </row>
    <row r="14" spans="1:6" x14ac:dyDescent="0.2">
      <c r="A14" s="19">
        <v>10</v>
      </c>
      <c r="B14" s="177" t="s">
        <v>9</v>
      </c>
      <c r="C14" s="178"/>
      <c r="D14" s="14">
        <f t="shared" si="0"/>
        <v>624</v>
      </c>
      <c r="E14" s="17">
        <f t="shared" si="1"/>
        <v>6923.5692780369191</v>
      </c>
      <c r="F14" s="21">
        <f t="shared" si="2"/>
        <v>11.1</v>
      </c>
    </row>
    <row r="15" spans="1:6" x14ac:dyDescent="0.2">
      <c r="A15" s="19">
        <v>11</v>
      </c>
      <c r="B15" s="177" t="s">
        <v>10</v>
      </c>
      <c r="C15" s="178"/>
      <c r="D15" s="14">
        <f t="shared" si="0"/>
        <v>134390</v>
      </c>
      <c r="E15" s="17">
        <f t="shared" si="1"/>
        <v>1473412.1815310603</v>
      </c>
      <c r="F15" s="21">
        <f t="shared" si="2"/>
        <v>10.96</v>
      </c>
    </row>
    <row r="16" spans="1:6" ht="14.25" customHeight="1" x14ac:dyDescent="0.2">
      <c r="A16" s="19">
        <v>12</v>
      </c>
      <c r="B16" s="177" t="s">
        <v>11</v>
      </c>
      <c r="C16" s="178"/>
      <c r="D16" s="14">
        <f t="shared" si="0"/>
        <v>1696124</v>
      </c>
      <c r="E16" s="17">
        <f t="shared" si="1"/>
        <v>11939784.612405594</v>
      </c>
      <c r="F16" s="21">
        <f t="shared" si="2"/>
        <v>7.04</v>
      </c>
    </row>
    <row r="17" spans="1:6" x14ac:dyDescent="0.2">
      <c r="A17" s="19">
        <v>13</v>
      </c>
      <c r="B17" s="177" t="s">
        <v>12</v>
      </c>
      <c r="C17" s="178"/>
      <c r="D17" s="14">
        <f t="shared" si="0"/>
        <v>171328</v>
      </c>
      <c r="E17" s="17">
        <f t="shared" si="1"/>
        <v>1168425.5340825468</v>
      </c>
      <c r="F17" s="21">
        <f t="shared" si="2"/>
        <v>6.82</v>
      </c>
    </row>
    <row r="18" spans="1:6" ht="14.25" customHeight="1" x14ac:dyDescent="0.2">
      <c r="A18" s="19">
        <v>14</v>
      </c>
      <c r="B18" s="177" t="s">
        <v>464</v>
      </c>
      <c r="C18" s="178"/>
      <c r="D18" s="14">
        <f t="shared" si="0"/>
        <v>142294</v>
      </c>
      <c r="E18" s="17">
        <f t="shared" si="1"/>
        <v>1568749.3923861946</v>
      </c>
      <c r="F18" s="21">
        <f t="shared" si="2"/>
        <v>11.02</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346423</v>
      </c>
      <c r="E20" s="17">
        <f t="shared" si="1"/>
        <v>2685047.5625086278</v>
      </c>
      <c r="F20" s="21">
        <f t="shared" si="2"/>
        <v>7.75</v>
      </c>
    </row>
    <row r="21" spans="1:6" x14ac:dyDescent="0.2">
      <c r="A21" s="19">
        <v>17</v>
      </c>
      <c r="B21" s="177" t="s">
        <v>15</v>
      </c>
      <c r="C21" s="178"/>
      <c r="D21" s="14">
        <f t="shared" si="0"/>
        <v>24176</v>
      </c>
      <c r="E21" s="17">
        <f t="shared" si="1"/>
        <v>271967.13279778935</v>
      </c>
      <c r="F21" s="21">
        <f t="shared" si="2"/>
        <v>11.25</v>
      </c>
    </row>
    <row r="22" spans="1:6" x14ac:dyDescent="0.2">
      <c r="A22" s="19">
        <v>18</v>
      </c>
      <c r="B22" s="177" t="s">
        <v>16</v>
      </c>
      <c r="C22" s="178"/>
      <c r="D22" s="14">
        <f t="shared" si="0"/>
        <v>109372</v>
      </c>
      <c r="E22" s="17">
        <f t="shared" si="1"/>
        <v>978111.47288053506</v>
      </c>
      <c r="F22" s="21">
        <f t="shared" si="2"/>
        <v>8.94</v>
      </c>
    </row>
    <row r="23" spans="1:6" x14ac:dyDescent="0.2">
      <c r="A23" s="19">
        <v>19</v>
      </c>
      <c r="B23" s="177" t="s">
        <v>17</v>
      </c>
      <c r="C23" s="178"/>
      <c r="D23" s="14">
        <f t="shared" si="0"/>
        <v>1366282</v>
      </c>
      <c r="E23" s="17">
        <f t="shared" si="1"/>
        <v>8716132.8114340343</v>
      </c>
      <c r="F23" s="21">
        <f t="shared" si="2"/>
        <v>6.38</v>
      </c>
    </row>
    <row r="24" spans="1:6" x14ac:dyDescent="0.2">
      <c r="A24" s="19">
        <v>20</v>
      </c>
      <c r="B24" s="177" t="s">
        <v>18</v>
      </c>
      <c r="C24" s="178"/>
      <c r="D24" s="14">
        <f t="shared" si="0"/>
        <v>41116</v>
      </c>
      <c r="E24" s="17">
        <f t="shared" si="1"/>
        <v>368211.81800603517</v>
      </c>
      <c r="F24" s="21">
        <f t="shared" si="2"/>
        <v>8.9600000000000009</v>
      </c>
    </row>
    <row r="25" spans="1:6" ht="14.25" customHeight="1" x14ac:dyDescent="0.2">
      <c r="A25" s="19">
        <v>21</v>
      </c>
      <c r="B25" s="177" t="s">
        <v>461</v>
      </c>
      <c r="C25" s="178"/>
      <c r="D25" s="14">
        <f t="shared" si="0"/>
        <v>32688</v>
      </c>
      <c r="E25" s="17">
        <f t="shared" si="1"/>
        <v>371724.20602639555</v>
      </c>
      <c r="F25" s="21">
        <f t="shared" si="2"/>
        <v>11.37</v>
      </c>
    </row>
    <row r="26" spans="1:6" x14ac:dyDescent="0.2">
      <c r="A26" s="19">
        <v>22</v>
      </c>
      <c r="B26" s="177" t="s">
        <v>19</v>
      </c>
      <c r="C26" s="178"/>
      <c r="D26" s="14">
        <f t="shared" si="0"/>
        <v>2828</v>
      </c>
      <c r="E26" s="17">
        <f t="shared" si="1"/>
        <v>32140.195381872447</v>
      </c>
      <c r="F26" s="21">
        <f t="shared" si="2"/>
        <v>11.36</v>
      </c>
    </row>
    <row r="27" spans="1:6" x14ac:dyDescent="0.2">
      <c r="A27" s="19">
        <v>23</v>
      </c>
      <c r="B27" s="177" t="s">
        <v>20</v>
      </c>
      <c r="C27" s="178"/>
      <c r="D27" s="14">
        <f t="shared" si="0"/>
        <v>280320</v>
      </c>
      <c r="E27" s="17">
        <f t="shared" si="1"/>
        <v>2260593.9679796621</v>
      </c>
      <c r="F27" s="21">
        <f t="shared" si="2"/>
        <v>8.06</v>
      </c>
    </row>
    <row r="28" spans="1:6" x14ac:dyDescent="0.2">
      <c r="A28" s="19">
        <v>24</v>
      </c>
      <c r="B28" s="177" t="s">
        <v>21</v>
      </c>
      <c r="C28" s="178"/>
      <c r="D28" s="14">
        <f t="shared" si="0"/>
        <v>175734</v>
      </c>
      <c r="E28" s="17">
        <f t="shared" si="1"/>
        <v>1160993.8229271474</v>
      </c>
      <c r="F28" s="21">
        <f t="shared" si="2"/>
        <v>6.61</v>
      </c>
    </row>
    <row r="29" spans="1:6" x14ac:dyDescent="0.2">
      <c r="A29" s="19">
        <v>25</v>
      </c>
      <c r="B29" s="177" t="s">
        <v>22</v>
      </c>
      <c r="C29" s="178"/>
      <c r="D29" s="14">
        <f t="shared" si="0"/>
        <v>1668704</v>
      </c>
      <c r="E29" s="17">
        <f t="shared" si="1"/>
        <v>11089375.904707242</v>
      </c>
      <c r="F29" s="21">
        <f t="shared" si="2"/>
        <v>6.65</v>
      </c>
    </row>
    <row r="30" spans="1:6" x14ac:dyDescent="0.2">
      <c r="A30" s="19">
        <v>26</v>
      </c>
      <c r="B30" s="177" t="s">
        <v>23</v>
      </c>
      <c r="C30" s="178"/>
      <c r="D30" s="14">
        <f t="shared" si="0"/>
        <v>382568</v>
      </c>
      <c r="E30" s="17">
        <f t="shared" si="1"/>
        <v>3328757.9416026091</v>
      </c>
      <c r="F30" s="21">
        <f t="shared" si="2"/>
        <v>8.6999999999999993</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9634814</v>
      </c>
      <c r="E33" s="31">
        <f>SUM(E5:E32)</f>
        <v>70608159.000000015</v>
      </c>
      <c r="F33" s="32">
        <f t="shared" si="2"/>
        <v>7.33</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IF(F3="1",SUMIF(Data!A:A,'26'!$A$2,Data!CU:CU),0)</f>
        <v>8230</v>
      </c>
      <c r="E36" s="15">
        <f>IF(F3="1",SUMIF(Data!$A:$A,$A$2,Data!IO:IO),0)</f>
        <v>23991</v>
      </c>
      <c r="F36" s="20">
        <f t="shared" ref="F36:F64" si="3">IF(OR(D36=0,E36=0),"",ROUND(E36/D36,2))</f>
        <v>2.92</v>
      </c>
    </row>
    <row r="37" spans="1:6" x14ac:dyDescent="0.2">
      <c r="A37" s="19">
        <v>2</v>
      </c>
      <c r="B37" s="177" t="s">
        <v>1</v>
      </c>
      <c r="C37" s="178"/>
      <c r="D37" s="14">
        <f>IF(F3="1",SUMIF(Data!A:A,'26'!$A$2,Data!CV:CV),0)</f>
        <v>194550</v>
      </c>
      <c r="E37" s="17">
        <f>IF(F3="1",SUMIF(Data!$A:$A,$A$2,Data!IP:IP),0)</f>
        <v>283483</v>
      </c>
      <c r="F37" s="21">
        <f t="shared" si="3"/>
        <v>1.46</v>
      </c>
    </row>
    <row r="38" spans="1:6" ht="14.25" customHeight="1" x14ac:dyDescent="0.2">
      <c r="A38" s="19">
        <v>3</v>
      </c>
      <c r="B38" s="177" t="s">
        <v>2</v>
      </c>
      <c r="C38" s="178"/>
      <c r="D38" s="14">
        <f>IF(F3="1",SUMIF(Data!A:A,'26'!$A$2,Data!CW:CW),0)</f>
        <v>1015328</v>
      </c>
      <c r="E38" s="17">
        <f>IF($F$3="1",SUMIF(Data!$A:$A,$A$2,Data!IQ:IQ),0)</f>
        <v>1157015</v>
      </c>
      <c r="F38" s="21">
        <f t="shared" si="3"/>
        <v>1.1399999999999999</v>
      </c>
    </row>
    <row r="39" spans="1:6" ht="14.25" customHeight="1" x14ac:dyDescent="0.2">
      <c r="A39" s="19">
        <v>4</v>
      </c>
      <c r="B39" s="177" t="s">
        <v>3</v>
      </c>
      <c r="C39" s="178"/>
      <c r="D39" s="14">
        <f>IF(F3="1",SUMIF(Data!A:A,'26'!$A$2,Data!CX:CX),0)</f>
        <v>808607</v>
      </c>
      <c r="E39" s="17">
        <f>IF($F$3="1",SUMIF(Data!$A:$A,$A$2,Data!IR:IR),0)</f>
        <v>928712</v>
      </c>
      <c r="F39" s="21">
        <f t="shared" si="3"/>
        <v>1.1499999999999999</v>
      </c>
    </row>
    <row r="40" spans="1:6" x14ac:dyDescent="0.2">
      <c r="A40" s="19">
        <v>5</v>
      </c>
      <c r="B40" s="177" t="s">
        <v>4</v>
      </c>
      <c r="C40" s="178"/>
      <c r="D40" s="14">
        <f>IF(F3="1",SUMIF(Data!A:A,'26'!$A$2,Data!CY:CY),0)</f>
        <v>912</v>
      </c>
      <c r="E40" s="17">
        <f>IF($F$3="1",SUMIF(Data!$A:$A,$A$2,Data!IS:IS),0)</f>
        <v>11551</v>
      </c>
      <c r="F40" s="21">
        <f t="shared" si="3"/>
        <v>12.67</v>
      </c>
    </row>
    <row r="41" spans="1:6" x14ac:dyDescent="0.2">
      <c r="A41" s="19">
        <v>6</v>
      </c>
      <c r="B41" s="177" t="s">
        <v>5</v>
      </c>
      <c r="C41" s="178"/>
      <c r="D41" s="14">
        <f>IF(F3="1",SUMIF(Data!A:A,'26'!$A$2,Data!CZ:CZ),0)</f>
        <v>65018</v>
      </c>
      <c r="E41" s="17">
        <f>IF($F$3="1",SUMIF(Data!$A:$A,$A$2,Data!IT:IT),0)</f>
        <v>169730</v>
      </c>
      <c r="F41" s="21">
        <f t="shared" si="3"/>
        <v>2.61</v>
      </c>
    </row>
    <row r="42" spans="1:6" x14ac:dyDescent="0.2">
      <c r="A42" s="19">
        <v>7</v>
      </c>
      <c r="B42" s="177" t="s">
        <v>6</v>
      </c>
      <c r="C42" s="178"/>
      <c r="D42" s="14">
        <f>IF(F3="1",SUMIF(Data!A:A,'26'!$A$2,Data!DA:DA),0)</f>
        <v>797184</v>
      </c>
      <c r="E42" s="17">
        <f>IF($F$3="1",SUMIF(Data!$A:$A,$A$2,Data!IU:IU),0)</f>
        <v>1386393</v>
      </c>
      <c r="F42" s="21">
        <f t="shared" si="3"/>
        <v>1.74</v>
      </c>
    </row>
    <row r="43" spans="1:6" x14ac:dyDescent="0.2">
      <c r="A43" s="19">
        <v>8</v>
      </c>
      <c r="B43" s="177" t="s">
        <v>7</v>
      </c>
      <c r="C43" s="178"/>
      <c r="D43" s="14">
        <f>IF(F3="1",SUMIF(Data!A:A,'26'!$A$2,Data!DB:DB),0)</f>
        <v>3656</v>
      </c>
      <c r="E43" s="17">
        <f>IF($F$3="1",SUMIF(Data!$A:$A,$A$2,Data!IV:IV),0)</f>
        <v>2635</v>
      </c>
      <c r="F43" s="21">
        <f t="shared" si="3"/>
        <v>0.72</v>
      </c>
    </row>
    <row r="44" spans="1:6" x14ac:dyDescent="0.2">
      <c r="A44" s="19">
        <v>9</v>
      </c>
      <c r="B44" s="177" t="s">
        <v>8</v>
      </c>
      <c r="C44" s="178"/>
      <c r="D44" s="14">
        <f>IF(F3="1",SUMIF(Data!A:A,'26'!$A$2,Data!DC:DC),0)</f>
        <v>166358</v>
      </c>
      <c r="E44" s="17">
        <f>IF($F$3="1",SUMIF(Data!$A:$A,$A$2,Data!IW:IW),0)</f>
        <v>218584</v>
      </c>
      <c r="F44" s="21">
        <f t="shared" si="3"/>
        <v>1.31</v>
      </c>
    </row>
    <row r="45" spans="1:6" x14ac:dyDescent="0.2">
      <c r="A45" s="19">
        <v>10</v>
      </c>
      <c r="B45" s="177" t="s">
        <v>9</v>
      </c>
      <c r="C45" s="178"/>
      <c r="D45" s="14">
        <f>IF(F3="1",SUMIF(Data!A:A,'26'!$A$2,Data!DD:DD),0)</f>
        <v>624</v>
      </c>
      <c r="E45" s="17">
        <f>IF($F$3="1",SUMIF(Data!$A:$A,$A$2,Data!IX:IX),0)</f>
        <v>0</v>
      </c>
      <c r="F45" s="21" t="str">
        <f t="shared" si="3"/>
        <v/>
      </c>
    </row>
    <row r="46" spans="1:6" x14ac:dyDescent="0.2">
      <c r="A46" s="19">
        <v>11</v>
      </c>
      <c r="B46" s="177" t="s">
        <v>10</v>
      </c>
      <c r="C46" s="178"/>
      <c r="D46" s="14">
        <f>IF(F3="1",SUMIF(Data!A:A,'26'!$A$2,Data!DE:DE),0)</f>
        <v>134390</v>
      </c>
      <c r="E46" s="17">
        <f>IF($F$3="1",SUMIF(Data!$A:$A,$A$2,Data!IY:IY),0)</f>
        <v>350022</v>
      </c>
      <c r="F46" s="21">
        <f t="shared" si="3"/>
        <v>2.6</v>
      </c>
    </row>
    <row r="47" spans="1:6" ht="14.25" customHeight="1" x14ac:dyDescent="0.2">
      <c r="A47" s="19">
        <v>12</v>
      </c>
      <c r="B47" s="177" t="s">
        <v>11</v>
      </c>
      <c r="C47" s="178"/>
      <c r="D47" s="14">
        <f>IF(F3="1",SUMIF(Data!A:A,'26'!$A$2,Data!DF:DF),0)</f>
        <v>1696124</v>
      </c>
      <c r="E47" s="17">
        <f>IF($F$3="1",SUMIF(Data!$A:$A,$A$2,Data!IZ:IZ),0)</f>
        <v>1518488</v>
      </c>
      <c r="F47" s="21">
        <f t="shared" si="3"/>
        <v>0.9</v>
      </c>
    </row>
    <row r="48" spans="1:6" x14ac:dyDescent="0.2">
      <c r="A48" s="19">
        <v>13</v>
      </c>
      <c r="B48" s="177" t="s">
        <v>12</v>
      </c>
      <c r="C48" s="178"/>
      <c r="D48" s="14">
        <f>IF(F3="1",SUMIF(Data!A:A,'26'!$A$2,Data!DG:DG),0)</f>
        <v>171328</v>
      </c>
      <c r="E48" s="17">
        <f>IF($F$3="1",SUMIF(Data!$A:$A,$A$2,Data!JA:JA),0)</f>
        <v>127224</v>
      </c>
      <c r="F48" s="21">
        <f t="shared" si="3"/>
        <v>0.74</v>
      </c>
    </row>
    <row r="49" spans="1:6" ht="14.25" customHeight="1" x14ac:dyDescent="0.2">
      <c r="A49" s="19">
        <v>14</v>
      </c>
      <c r="B49" s="177" t="s">
        <v>464</v>
      </c>
      <c r="C49" s="178"/>
      <c r="D49" s="14">
        <f>IF(F3="1",SUMIF(Data!A:A,'26'!$A$2,Data!DH:DH),0)</f>
        <v>142294</v>
      </c>
      <c r="E49" s="17">
        <f>IF($F$3="1",SUMIF(Data!$A:$A,$A$2,Data!JB:JB),0)</f>
        <v>178958</v>
      </c>
      <c r="F49" s="21">
        <f t="shared" si="3"/>
        <v>1.26</v>
      </c>
    </row>
    <row r="50" spans="1:6" x14ac:dyDescent="0.2">
      <c r="A50" s="19">
        <v>15</v>
      </c>
      <c r="B50" s="177" t="s">
        <v>13</v>
      </c>
      <c r="C50" s="178"/>
      <c r="D50" s="14">
        <f>IF(F3="1",SUMIF(Data!A:A,'26'!$A$2,Data!DI:DI),0)</f>
        <v>0</v>
      </c>
      <c r="E50" s="17">
        <f>IF($F$3="1",SUMIF(Data!$A:$A,$A$2,Data!JC:JC),0)</f>
        <v>0</v>
      </c>
      <c r="F50" s="21" t="str">
        <f t="shared" si="3"/>
        <v/>
      </c>
    </row>
    <row r="51" spans="1:6" x14ac:dyDescent="0.2">
      <c r="A51" s="19">
        <v>16</v>
      </c>
      <c r="B51" s="177" t="s">
        <v>14</v>
      </c>
      <c r="C51" s="178"/>
      <c r="D51" s="14">
        <f>IF(F3="1",SUMIF(Data!A:A,'26'!$A$2,Data!DJ:DJ),0)</f>
        <v>346423</v>
      </c>
      <c r="E51" s="17">
        <f>IF($F$3="1",SUMIF(Data!$A:$A,$A$2,Data!JD:JD),0)</f>
        <v>506275</v>
      </c>
      <c r="F51" s="21">
        <f t="shared" si="3"/>
        <v>1.46</v>
      </c>
    </row>
    <row r="52" spans="1:6" x14ac:dyDescent="0.2">
      <c r="A52" s="19">
        <v>17</v>
      </c>
      <c r="B52" s="177" t="s">
        <v>15</v>
      </c>
      <c r="C52" s="178"/>
      <c r="D52" s="14">
        <f>IF(F3="1",SUMIF(Data!A:A,'26'!$A$2,Data!DK:DK),0)</f>
        <v>24176</v>
      </c>
      <c r="E52" s="17">
        <f>IF($F$3="1",SUMIF(Data!$A:$A,$A$2,Data!JE:JE),0)</f>
        <v>21708</v>
      </c>
      <c r="F52" s="21">
        <f t="shared" si="3"/>
        <v>0.9</v>
      </c>
    </row>
    <row r="53" spans="1:6" x14ac:dyDescent="0.2">
      <c r="A53" s="19">
        <v>18</v>
      </c>
      <c r="B53" s="177" t="s">
        <v>16</v>
      </c>
      <c r="C53" s="178"/>
      <c r="D53" s="14">
        <f>IF(F3="1",SUMIF(Data!A:A,'26'!$A$2,Data!DL:DL),0)</f>
        <v>109372</v>
      </c>
      <c r="E53" s="17">
        <f>IF($F$3="1",SUMIF(Data!$A:$A,$A$2,Data!JF:JF),0)</f>
        <v>123959</v>
      </c>
      <c r="F53" s="21">
        <f t="shared" si="3"/>
        <v>1.1299999999999999</v>
      </c>
    </row>
    <row r="54" spans="1:6" x14ac:dyDescent="0.2">
      <c r="A54" s="19">
        <v>19</v>
      </c>
      <c r="B54" s="177" t="s">
        <v>17</v>
      </c>
      <c r="C54" s="178"/>
      <c r="D54" s="14">
        <f>IF(F3="1",SUMIF(Data!A:A,'26'!$A$2,Data!DM:DM),0)</f>
        <v>1366282</v>
      </c>
      <c r="E54" s="17">
        <f>IF($F$3="1",SUMIF(Data!$A:$A,$A$2,Data!JG:JG),0)</f>
        <v>1058396</v>
      </c>
      <c r="F54" s="21">
        <f t="shared" si="3"/>
        <v>0.77</v>
      </c>
    </row>
    <row r="55" spans="1:6" x14ac:dyDescent="0.2">
      <c r="A55" s="19">
        <v>20</v>
      </c>
      <c r="B55" s="177" t="s">
        <v>18</v>
      </c>
      <c r="C55" s="178"/>
      <c r="D55" s="14">
        <f>IF(F3="1",SUMIF(Data!A:A,'26'!$A$2,Data!DN:DN),0)</f>
        <v>41116</v>
      </c>
      <c r="E55" s="17">
        <f>IF($F$3="1",SUMIF(Data!$A:$A,$A$2,Data!JH:JH),0)</f>
        <v>55932</v>
      </c>
      <c r="F55" s="21">
        <f t="shared" si="3"/>
        <v>1.36</v>
      </c>
    </row>
    <row r="56" spans="1:6" ht="14.25" customHeight="1" x14ac:dyDescent="0.2">
      <c r="A56" s="19">
        <v>21</v>
      </c>
      <c r="B56" s="177" t="s">
        <v>461</v>
      </c>
      <c r="C56" s="178"/>
      <c r="D56" s="14">
        <f>IF(F3="1",SUMIF(Data!A:A,'26'!$A$2,Data!DO:DO),0)</f>
        <v>32688</v>
      </c>
      <c r="E56" s="17">
        <f>IF($F$3="1",SUMIF(Data!$A:$A,$A$2,Data!JI:JI),0)</f>
        <v>47130</v>
      </c>
      <c r="F56" s="21">
        <f t="shared" si="3"/>
        <v>1.44</v>
      </c>
    </row>
    <row r="57" spans="1:6" x14ac:dyDescent="0.2">
      <c r="A57" s="19">
        <v>22</v>
      </c>
      <c r="B57" s="177" t="s">
        <v>19</v>
      </c>
      <c r="C57" s="178"/>
      <c r="D57" s="14">
        <f>IF(F3="1",SUMIF(Data!A:A,'26'!$A$2,Data!DP:DP),0)</f>
        <v>2828</v>
      </c>
      <c r="E57" s="17">
        <f>IF($F$3="1",SUMIF(Data!$A:$A,$A$2,Data!JJ:JJ),0)</f>
        <v>2038</v>
      </c>
      <c r="F57" s="21">
        <f t="shared" si="3"/>
        <v>0.72</v>
      </c>
    </row>
    <row r="58" spans="1:6" x14ac:dyDescent="0.2">
      <c r="A58" s="19">
        <v>23</v>
      </c>
      <c r="B58" s="177" t="s">
        <v>20</v>
      </c>
      <c r="C58" s="178"/>
      <c r="D58" s="14">
        <f>IF(F3="1",SUMIF(Data!A:A,'26'!$A$2,Data!DQ:DQ),0)</f>
        <v>280320</v>
      </c>
      <c r="E58" s="17">
        <f>IF($F$3="1",SUMIF(Data!$A:$A,$A$2,Data!JK:JK),0)</f>
        <v>343833</v>
      </c>
      <c r="F58" s="21">
        <f t="shared" si="3"/>
        <v>1.23</v>
      </c>
    </row>
    <row r="59" spans="1:6" x14ac:dyDescent="0.2">
      <c r="A59" s="19">
        <v>24</v>
      </c>
      <c r="B59" s="177" t="s">
        <v>21</v>
      </c>
      <c r="C59" s="178"/>
      <c r="D59" s="14">
        <f>IF(F3="1",SUMIF(Data!A:A,'26'!$A$2,Data!DR:DR),0)</f>
        <v>175734</v>
      </c>
      <c r="E59" s="17">
        <f>IF($F$3="1",SUMIF(Data!$A:$A,$A$2,Data!JL:JL),0)</f>
        <v>335585</v>
      </c>
      <c r="F59" s="21">
        <f t="shared" si="3"/>
        <v>1.91</v>
      </c>
    </row>
    <row r="60" spans="1:6" x14ac:dyDescent="0.2">
      <c r="A60" s="19">
        <v>25</v>
      </c>
      <c r="B60" s="177" t="s">
        <v>22</v>
      </c>
      <c r="C60" s="178"/>
      <c r="D60" s="14">
        <f>IF(F3="1",SUMIF(Data!A:A,'26'!$A$2,Data!DS:DS),0)</f>
        <v>1668704</v>
      </c>
      <c r="E60" s="17">
        <f>IF($F$3="1",SUMIF(Data!$A:$A,$A$2,Data!JM:JM),0)</f>
        <v>1252742</v>
      </c>
      <c r="F60" s="21">
        <f t="shared" si="3"/>
        <v>0.75</v>
      </c>
    </row>
    <row r="61" spans="1:6" x14ac:dyDescent="0.2">
      <c r="A61" s="19">
        <v>26</v>
      </c>
      <c r="B61" s="177" t="s">
        <v>23</v>
      </c>
      <c r="C61" s="178"/>
      <c r="D61" s="14">
        <f>IF(F3="1",SUMIF(Data!A:A,'26'!$A$2,Data!DT:DT),0)</f>
        <v>382568</v>
      </c>
      <c r="E61" s="17">
        <f>IF($F$3="1",SUMIF(Data!$A:$A,$A$2,Data!JN:JN),0)</f>
        <v>514763</v>
      </c>
      <c r="F61" s="21">
        <f t="shared" si="3"/>
        <v>1.35</v>
      </c>
    </row>
    <row r="62" spans="1:6" x14ac:dyDescent="0.2">
      <c r="A62" s="19">
        <v>28</v>
      </c>
      <c r="B62" s="177" t="s">
        <v>24</v>
      </c>
      <c r="C62" s="178"/>
      <c r="D62" s="14">
        <f>IF(F3="1",SUMIF(Data!A:A,'26'!$A$2,Data!DV:DV),0)</f>
        <v>0</v>
      </c>
      <c r="E62" s="17">
        <f>IF($F$3="1",SUMIF(Data!$A:$A,$A$2,Data!JP:JP),0)</f>
        <v>0</v>
      </c>
      <c r="F62" s="21" t="str">
        <f t="shared" si="3"/>
        <v/>
      </c>
    </row>
    <row r="63" spans="1:6" ht="15.75" customHeight="1" thickBot="1" x14ac:dyDescent="0.25">
      <c r="A63" s="22">
        <v>29</v>
      </c>
      <c r="B63" s="179" t="s">
        <v>25</v>
      </c>
      <c r="C63" s="180"/>
      <c r="D63" s="23">
        <f>IF(F3="1",SUMIF(Data!A:A,'26'!$A$2,Data!DW:DW),0)</f>
        <v>0</v>
      </c>
      <c r="E63" s="24">
        <f>IF($F$3="1",SUMIF(Data!$A:$A,$A$2,Data!JQ:JQ),0)</f>
        <v>0</v>
      </c>
      <c r="F63" s="25" t="str">
        <f t="shared" si="3"/>
        <v/>
      </c>
    </row>
    <row r="64" spans="1:6" x14ac:dyDescent="0.2">
      <c r="B64" s="30" t="s">
        <v>35</v>
      </c>
      <c r="C64" s="30"/>
      <c r="D64" s="59">
        <f>SUM(D36:D63)</f>
        <v>9634814</v>
      </c>
      <c r="E64" s="31">
        <f>SUM(E36:E63)</f>
        <v>10619147</v>
      </c>
      <c r="F64" s="32">
        <f t="shared" si="3"/>
        <v>1.1000000000000001</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8230</v>
      </c>
      <c r="E67" s="15">
        <f>IF(F3="1",SUMIF(Data!A:A,'26'!$A$2,Data!DY:DY),0)</f>
        <v>31776</v>
      </c>
      <c r="F67" s="20">
        <f t="shared" ref="F67:F95" si="4">IF(OR(D67=0,E67=0),"",ROUND(E67/D67,2))</f>
        <v>3.86</v>
      </c>
    </row>
    <row r="68" spans="1:6" x14ac:dyDescent="0.2">
      <c r="A68" s="19">
        <v>2</v>
      </c>
      <c r="B68" s="177" t="s">
        <v>1</v>
      </c>
      <c r="C68" s="178"/>
      <c r="D68" s="14">
        <f t="shared" ref="D68:D94" si="5">D37</f>
        <v>194550</v>
      </c>
      <c r="E68" s="17">
        <f>IF(F3="1",SUMIF(Data!A:A,'26'!$A$2,Data!DZ:DZ),0)</f>
        <v>565933</v>
      </c>
      <c r="F68" s="21">
        <f t="shared" si="4"/>
        <v>2.91</v>
      </c>
    </row>
    <row r="69" spans="1:6" ht="14.25" customHeight="1" x14ac:dyDescent="0.2">
      <c r="A69" s="19">
        <v>3</v>
      </c>
      <c r="B69" s="177" t="s">
        <v>2</v>
      </c>
      <c r="C69" s="178"/>
      <c r="D69" s="14">
        <f t="shared" si="5"/>
        <v>1015328</v>
      </c>
      <c r="E69" s="17">
        <f>IF(F3="1",SUMIF(Data!A:A,'26'!$A$2,Data!EA:EA),0)</f>
        <v>2633120</v>
      </c>
      <c r="F69" s="21">
        <f t="shared" si="4"/>
        <v>2.59</v>
      </c>
    </row>
    <row r="70" spans="1:6" ht="14.25" customHeight="1" x14ac:dyDescent="0.2">
      <c r="A70" s="19">
        <v>4</v>
      </c>
      <c r="B70" s="177" t="s">
        <v>3</v>
      </c>
      <c r="C70" s="178"/>
      <c r="D70" s="14">
        <f t="shared" si="5"/>
        <v>808607</v>
      </c>
      <c r="E70" s="17">
        <f>IF(F3="1",SUMIF(Data!A:A,'26'!$A$2,Data!EB:EB),0)</f>
        <v>2146297</v>
      </c>
      <c r="F70" s="21">
        <f t="shared" si="4"/>
        <v>2.65</v>
      </c>
    </row>
    <row r="71" spans="1:6" x14ac:dyDescent="0.2">
      <c r="A71" s="19">
        <v>5</v>
      </c>
      <c r="B71" s="177" t="s">
        <v>4</v>
      </c>
      <c r="C71" s="178"/>
      <c r="D71" s="14">
        <f t="shared" si="5"/>
        <v>912</v>
      </c>
      <c r="E71" s="17">
        <f>IF(F3="1",SUMIF(Data!A:A,'26'!$A$2,Data!EC:EC),0)</f>
        <v>1449</v>
      </c>
      <c r="F71" s="21">
        <f t="shared" si="4"/>
        <v>1.59</v>
      </c>
    </row>
    <row r="72" spans="1:6" x14ac:dyDescent="0.2">
      <c r="A72" s="19">
        <v>6</v>
      </c>
      <c r="B72" s="177" t="s">
        <v>5</v>
      </c>
      <c r="C72" s="178"/>
      <c r="D72" s="14">
        <f t="shared" si="5"/>
        <v>65018</v>
      </c>
      <c r="E72" s="17">
        <f>IF(F3="1",SUMIF(Data!A:A,'26'!$A$2,Data!ED:ED),0)</f>
        <v>37659</v>
      </c>
      <c r="F72" s="21">
        <f t="shared" si="4"/>
        <v>0.57999999999999996</v>
      </c>
    </row>
    <row r="73" spans="1:6" x14ac:dyDescent="0.2">
      <c r="A73" s="19">
        <v>7</v>
      </c>
      <c r="B73" s="177" t="s">
        <v>6</v>
      </c>
      <c r="C73" s="178"/>
      <c r="D73" s="14">
        <f t="shared" si="5"/>
        <v>797184</v>
      </c>
      <c r="E73" s="17">
        <f>IF(F3="1",SUMIF(Data!A:A,'26'!$A$2,Data!EE:EE),0)</f>
        <v>2369996</v>
      </c>
      <c r="F73" s="21">
        <f t="shared" si="4"/>
        <v>2.97</v>
      </c>
    </row>
    <row r="74" spans="1:6" x14ac:dyDescent="0.2">
      <c r="A74" s="19">
        <v>8</v>
      </c>
      <c r="B74" s="177" t="s">
        <v>7</v>
      </c>
      <c r="C74" s="178"/>
      <c r="D74" s="14">
        <f t="shared" si="5"/>
        <v>3656</v>
      </c>
      <c r="E74" s="17">
        <f>IF(F3="1",SUMIF(Data!A:A,'26'!$A$2,Data!EF:EF),0)</f>
        <v>14330</v>
      </c>
      <c r="F74" s="21">
        <f t="shared" si="4"/>
        <v>3.92</v>
      </c>
    </row>
    <row r="75" spans="1:6" x14ac:dyDescent="0.2">
      <c r="A75" s="19">
        <v>9</v>
      </c>
      <c r="B75" s="177" t="s">
        <v>8</v>
      </c>
      <c r="C75" s="178"/>
      <c r="D75" s="14">
        <f t="shared" si="5"/>
        <v>166358</v>
      </c>
      <c r="E75" s="17">
        <f>IF(F3="1",SUMIF(Data!A:A,'26'!$A$2,Data!EG:EG),0)</f>
        <v>551754</v>
      </c>
      <c r="F75" s="21">
        <f t="shared" si="4"/>
        <v>3.32</v>
      </c>
    </row>
    <row r="76" spans="1:6" x14ac:dyDescent="0.2">
      <c r="A76" s="19">
        <v>10</v>
      </c>
      <c r="B76" s="177" t="s">
        <v>9</v>
      </c>
      <c r="C76" s="178"/>
      <c r="D76" s="14">
        <f t="shared" si="5"/>
        <v>624</v>
      </c>
      <c r="E76" s="17">
        <f>IF(F3="1",SUMIF(Data!A:A,'26'!$A$2,Data!EH:EH),0)</f>
        <v>4751</v>
      </c>
      <c r="F76" s="21">
        <f t="shared" si="4"/>
        <v>7.61</v>
      </c>
    </row>
    <row r="77" spans="1:6" x14ac:dyDescent="0.2">
      <c r="A77" s="19">
        <v>11</v>
      </c>
      <c r="B77" s="177" t="s">
        <v>10</v>
      </c>
      <c r="C77" s="178"/>
      <c r="D77" s="14">
        <f t="shared" si="5"/>
        <v>134390</v>
      </c>
      <c r="E77" s="17">
        <f>IF(F3="1",SUMIF(Data!A:A,'26'!$A$2,Data!EI:EI),0)</f>
        <v>655487</v>
      </c>
      <c r="F77" s="21">
        <f t="shared" si="4"/>
        <v>4.88</v>
      </c>
    </row>
    <row r="78" spans="1:6" ht="14.25" customHeight="1" x14ac:dyDescent="0.2">
      <c r="A78" s="19">
        <v>12</v>
      </c>
      <c r="B78" s="177" t="s">
        <v>11</v>
      </c>
      <c r="C78" s="178"/>
      <c r="D78" s="14">
        <f t="shared" si="5"/>
        <v>1696124</v>
      </c>
      <c r="E78" s="17">
        <f>IF(F3="1",SUMIF(Data!A:A,'26'!$A$2,Data!EJ:EJ),0)</f>
        <v>4515933</v>
      </c>
      <c r="F78" s="21">
        <f t="shared" si="4"/>
        <v>2.66</v>
      </c>
    </row>
    <row r="79" spans="1:6" x14ac:dyDescent="0.2">
      <c r="A79" s="19">
        <v>13</v>
      </c>
      <c r="B79" s="177" t="s">
        <v>12</v>
      </c>
      <c r="C79" s="178"/>
      <c r="D79" s="14">
        <f t="shared" si="5"/>
        <v>171328</v>
      </c>
      <c r="E79" s="17">
        <f>IF(F3="1",SUMIF(Data!A:A,'26'!$A$2,Data!EK:EK),0)</f>
        <v>444692</v>
      </c>
      <c r="F79" s="21">
        <f t="shared" si="4"/>
        <v>2.6</v>
      </c>
    </row>
    <row r="80" spans="1:6" ht="14.25" customHeight="1" x14ac:dyDescent="0.2">
      <c r="A80" s="19">
        <v>14</v>
      </c>
      <c r="B80" s="177" t="s">
        <v>464</v>
      </c>
      <c r="C80" s="178"/>
      <c r="D80" s="14">
        <f t="shared" si="5"/>
        <v>142294</v>
      </c>
      <c r="E80" s="17">
        <f>IF(F3="1",SUMIF(Data!A:A,'26'!$A$2,Data!EL:EL),0)</f>
        <v>894369</v>
      </c>
      <c r="F80" s="21">
        <f t="shared" si="4"/>
        <v>6.29</v>
      </c>
    </row>
    <row r="81" spans="1:6" x14ac:dyDescent="0.2">
      <c r="A81" s="19">
        <v>15</v>
      </c>
      <c r="B81" s="177" t="s">
        <v>13</v>
      </c>
      <c r="C81" s="178"/>
      <c r="D81" s="14">
        <f t="shared" si="5"/>
        <v>0</v>
      </c>
      <c r="E81" s="17">
        <f>IF(F3="1",SUMIF(Data!A:A,'26'!$A$2,Data!EM:EM),0)</f>
        <v>0</v>
      </c>
      <c r="F81" s="21" t="str">
        <f t="shared" si="4"/>
        <v/>
      </c>
    </row>
    <row r="82" spans="1:6" x14ac:dyDescent="0.2">
      <c r="A82" s="19">
        <v>16</v>
      </c>
      <c r="B82" s="177" t="s">
        <v>14</v>
      </c>
      <c r="C82" s="178"/>
      <c r="D82" s="14">
        <f t="shared" si="5"/>
        <v>346423</v>
      </c>
      <c r="E82" s="17">
        <f>IF(F3="1",SUMIF(Data!A:A,'26'!$A$2,Data!EN:EN),0)</f>
        <v>972638</v>
      </c>
      <c r="F82" s="21">
        <f t="shared" si="4"/>
        <v>2.81</v>
      </c>
    </row>
    <row r="83" spans="1:6" x14ac:dyDescent="0.2">
      <c r="A83" s="19">
        <v>17</v>
      </c>
      <c r="B83" s="177" t="s">
        <v>15</v>
      </c>
      <c r="C83" s="178"/>
      <c r="D83" s="14">
        <f t="shared" si="5"/>
        <v>24176</v>
      </c>
      <c r="E83" s="17">
        <f>IF(F3="1",SUMIF(Data!A:A,'26'!$A$2,Data!EO:EO),0)</f>
        <v>166086</v>
      </c>
      <c r="F83" s="21">
        <f t="shared" si="4"/>
        <v>6.87</v>
      </c>
    </row>
    <row r="84" spans="1:6" x14ac:dyDescent="0.2">
      <c r="A84" s="19">
        <v>18</v>
      </c>
      <c r="B84" s="177" t="s">
        <v>16</v>
      </c>
      <c r="C84" s="178"/>
      <c r="D84" s="14">
        <f t="shared" si="5"/>
        <v>109372</v>
      </c>
      <c r="E84" s="17">
        <f>IF(F3="1",SUMIF(Data!A:A,'26'!$A$2,Data!EP:EP),0)</f>
        <v>473354</v>
      </c>
      <c r="F84" s="21">
        <f t="shared" si="4"/>
        <v>4.33</v>
      </c>
    </row>
    <row r="85" spans="1:6" x14ac:dyDescent="0.2">
      <c r="A85" s="19">
        <v>19</v>
      </c>
      <c r="B85" s="177" t="s">
        <v>17</v>
      </c>
      <c r="C85" s="178"/>
      <c r="D85" s="14">
        <f t="shared" si="5"/>
        <v>1366282</v>
      </c>
      <c r="E85" s="17">
        <f>IF(F3="1",SUMIF(Data!A:A,'26'!$A$2,Data!EQ:EQ),0)</f>
        <v>2900778</v>
      </c>
      <c r="F85" s="21">
        <f t="shared" si="4"/>
        <v>2.12</v>
      </c>
    </row>
    <row r="86" spans="1:6" x14ac:dyDescent="0.2">
      <c r="A86" s="19">
        <v>20</v>
      </c>
      <c r="B86" s="177" t="s">
        <v>18</v>
      </c>
      <c r="C86" s="178"/>
      <c r="D86" s="14">
        <f t="shared" si="5"/>
        <v>41116</v>
      </c>
      <c r="E86" s="17">
        <f>IF(F3="1",SUMIF(Data!A:A,'26'!$A$2,Data!ER:ER),0)</f>
        <v>169127</v>
      </c>
      <c r="F86" s="21">
        <f t="shared" si="4"/>
        <v>4.1100000000000003</v>
      </c>
    </row>
    <row r="87" spans="1:6" ht="14.25" customHeight="1" x14ac:dyDescent="0.2">
      <c r="A87" s="19">
        <v>21</v>
      </c>
      <c r="B87" s="177" t="s">
        <v>461</v>
      </c>
      <c r="C87" s="178"/>
      <c r="D87" s="14">
        <f t="shared" si="5"/>
        <v>32688</v>
      </c>
      <c r="E87" s="17">
        <f>IF(F3="1",SUMIF(Data!A:A,'26'!$A$2,Data!ES:ES),0)</f>
        <v>210785</v>
      </c>
      <c r="F87" s="21">
        <f t="shared" si="4"/>
        <v>6.45</v>
      </c>
    </row>
    <row r="88" spans="1:6" x14ac:dyDescent="0.2">
      <c r="A88" s="19">
        <v>22</v>
      </c>
      <c r="B88" s="177" t="s">
        <v>19</v>
      </c>
      <c r="C88" s="178"/>
      <c r="D88" s="14">
        <f t="shared" si="5"/>
        <v>2828</v>
      </c>
      <c r="E88" s="17">
        <f>IF(F3="1",SUMIF(Data!A:A,'26'!$A$2,Data!ET:ET),0)</f>
        <v>20256</v>
      </c>
      <c r="F88" s="21">
        <f t="shared" si="4"/>
        <v>7.16</v>
      </c>
    </row>
    <row r="89" spans="1:6" x14ac:dyDescent="0.2">
      <c r="A89" s="19">
        <v>23</v>
      </c>
      <c r="B89" s="177" t="s">
        <v>20</v>
      </c>
      <c r="C89" s="178"/>
      <c r="D89" s="14">
        <f t="shared" si="5"/>
        <v>280320</v>
      </c>
      <c r="E89" s="17">
        <f>IF(F3="1",SUMIF(Data!A:A,'26'!$A$2,Data!EU:EU),0)</f>
        <v>940776</v>
      </c>
      <c r="F89" s="21">
        <f t="shared" si="4"/>
        <v>3.36</v>
      </c>
    </row>
    <row r="90" spans="1:6" x14ac:dyDescent="0.2">
      <c r="A90" s="19">
        <v>24</v>
      </c>
      <c r="B90" s="177" t="s">
        <v>21</v>
      </c>
      <c r="C90" s="178"/>
      <c r="D90" s="14">
        <f t="shared" si="5"/>
        <v>175734</v>
      </c>
      <c r="E90" s="17">
        <f>IF(F3="1",SUMIF(Data!A:A,'26'!$A$2,Data!EV:EV),0)</f>
        <v>213559</v>
      </c>
      <c r="F90" s="21">
        <f t="shared" si="4"/>
        <v>1.22</v>
      </c>
    </row>
    <row r="91" spans="1:6" x14ac:dyDescent="0.2">
      <c r="A91" s="19">
        <v>25</v>
      </c>
      <c r="B91" s="177" t="s">
        <v>22</v>
      </c>
      <c r="C91" s="178"/>
      <c r="D91" s="14">
        <f t="shared" si="5"/>
        <v>1668704</v>
      </c>
      <c r="E91" s="17">
        <f>IF(F3="1",SUMIF(Data!A:A,'26'!$A$2,Data!EW:EW),0)</f>
        <v>4026738</v>
      </c>
      <c r="F91" s="21">
        <f t="shared" si="4"/>
        <v>2.41</v>
      </c>
    </row>
    <row r="92" spans="1:6" x14ac:dyDescent="0.2">
      <c r="A92" s="19">
        <v>26</v>
      </c>
      <c r="B92" s="177" t="s">
        <v>23</v>
      </c>
      <c r="C92" s="178"/>
      <c r="D92" s="14">
        <f t="shared" si="5"/>
        <v>382568</v>
      </c>
      <c r="E92" s="17">
        <f>IF(F3="1",SUMIF(Data!A:A,'26'!$A$2,Data!EX:EX),0)</f>
        <v>1482015</v>
      </c>
      <c r="F92" s="21">
        <f t="shared" si="4"/>
        <v>3.87</v>
      </c>
    </row>
    <row r="93" spans="1:6" x14ac:dyDescent="0.2">
      <c r="A93" s="19">
        <v>28</v>
      </c>
      <c r="B93" s="177" t="s">
        <v>24</v>
      </c>
      <c r="C93" s="178"/>
      <c r="D93" s="14">
        <f t="shared" si="5"/>
        <v>0</v>
      </c>
      <c r="E93" s="17">
        <f>IF(F3="1",SUMIF(Data!A:A,'26'!$A$2,Data!EZ:EZ),0)</f>
        <v>0</v>
      </c>
      <c r="F93" s="21" t="str">
        <f t="shared" si="4"/>
        <v/>
      </c>
    </row>
    <row r="94" spans="1:6" ht="15.75" customHeight="1" thickBot="1" x14ac:dyDescent="0.25">
      <c r="A94" s="22">
        <v>29</v>
      </c>
      <c r="B94" s="179" t="s">
        <v>25</v>
      </c>
      <c r="C94" s="180"/>
      <c r="D94" s="23">
        <f t="shared" si="5"/>
        <v>0</v>
      </c>
      <c r="E94" s="24">
        <f>IF(F3="1",SUMIF(Data!A:A,'26'!$A$2,Data!FA:FA),0)</f>
        <v>0</v>
      </c>
      <c r="F94" s="25" t="str">
        <f t="shared" si="4"/>
        <v/>
      </c>
    </row>
    <row r="95" spans="1:6" x14ac:dyDescent="0.2">
      <c r="B95" s="30" t="s">
        <v>35</v>
      </c>
      <c r="C95" s="30"/>
      <c r="D95" s="59">
        <f>SUM(D67:D94)</f>
        <v>9634814</v>
      </c>
      <c r="E95" s="31">
        <f>SUM(E67:E94)</f>
        <v>26443658</v>
      </c>
      <c r="F95" s="32">
        <f t="shared" si="4"/>
        <v>2.74</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IF(F3="1",SUMIF(Data!A:A,'26'!$A$2,Data!AH:AH),0)</f>
        <v>10967831</v>
      </c>
      <c r="F98" s="20">
        <f>IF(OR(E98=0,E98=0),"",ROUND(E98/$D$105,2))</f>
        <v>1.1399999999999999</v>
      </c>
    </row>
    <row r="99" spans="2:6" x14ac:dyDescent="0.2">
      <c r="B99" s="183" t="s">
        <v>31</v>
      </c>
      <c r="C99" s="184"/>
      <c r="D99" s="36"/>
      <c r="E99" s="17">
        <f>IF(F3="1",SUMIF(Data!A:A,'26'!$A$2,Data!AI:AI),0)</f>
        <v>6898764</v>
      </c>
      <c r="F99" s="21">
        <f t="shared" ref="F99:F104" si="6">IF(OR(E99=0,E99=0),"",ROUND(E99/$D$105,2))</f>
        <v>0.72</v>
      </c>
    </row>
    <row r="100" spans="2:6" x14ac:dyDescent="0.2">
      <c r="B100" s="183" t="s">
        <v>1078</v>
      </c>
      <c r="C100" s="184"/>
      <c r="D100" s="36"/>
      <c r="E100" s="17">
        <f>IF(F3="1",SUMIF(Data!A:A,'26'!$A$2,Data!AJ:AJ),0)</f>
        <v>3519688</v>
      </c>
      <c r="F100" s="21">
        <f t="shared" si="6"/>
        <v>0.37</v>
      </c>
    </row>
    <row r="101" spans="2:6" x14ac:dyDescent="0.2">
      <c r="B101" s="183" t="s">
        <v>1079</v>
      </c>
      <c r="C101" s="184"/>
      <c r="D101" s="36"/>
      <c r="E101" s="17">
        <f>IF(F3="1",SUMIF(Data!A:A,'26'!$A$2,Data!AK:AK),0)</f>
        <v>9093447</v>
      </c>
      <c r="F101" s="21">
        <f t="shared" si="6"/>
        <v>0.94</v>
      </c>
    </row>
    <row r="102" spans="2:6" x14ac:dyDescent="0.2">
      <c r="B102" s="183" t="s">
        <v>1080</v>
      </c>
      <c r="C102" s="184"/>
      <c r="D102" s="36"/>
      <c r="E102" s="17">
        <f>IF(F3="1",SUMIF(Data!A:A,'26'!$A$2,Data!AL:AL),0)</f>
        <v>21604</v>
      </c>
      <c r="F102" s="21">
        <f t="shared" si="6"/>
        <v>0</v>
      </c>
    </row>
    <row r="103" spans="2:6" x14ac:dyDescent="0.2">
      <c r="B103" s="185" t="s">
        <v>34</v>
      </c>
      <c r="C103" s="186"/>
      <c r="D103" s="36"/>
      <c r="E103" s="17">
        <f>IF(F3="1",SUMIF(Data!A:A,'26'!$A$2,Data!AM:AM),0)</f>
        <v>0</v>
      </c>
      <c r="F103" s="21" t="str">
        <f t="shared" si="6"/>
        <v/>
      </c>
    </row>
    <row r="104" spans="2:6" ht="15.75" customHeight="1" thickBot="1" x14ac:dyDescent="0.25">
      <c r="B104" s="175" t="s">
        <v>29</v>
      </c>
      <c r="C104" s="176"/>
      <c r="D104" s="37"/>
      <c r="E104" s="24">
        <f>IF(F3="1",SUMIF(Data!A:A,'26'!$A$2,Data!Q:Q),0)</f>
        <v>3044020</v>
      </c>
      <c r="F104" s="25">
        <f t="shared" si="6"/>
        <v>0.32</v>
      </c>
    </row>
    <row r="105" spans="2:6" x14ac:dyDescent="0.2">
      <c r="B105" s="30" t="s">
        <v>35</v>
      </c>
      <c r="C105" s="30"/>
      <c r="D105" s="34">
        <f>D95</f>
        <v>9634814</v>
      </c>
      <c r="E105" s="31">
        <f>SUM(E98:E104)</f>
        <v>33545354</v>
      </c>
      <c r="F105" s="32">
        <f>IF($D$105=0,"",ROUND(E105/$D$105,2))</f>
        <v>3.48</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26443658</v>
      </c>
      <c r="D109" s="15">
        <f>IF(F3="1",SUMIF(Data!$A:$A,$A$2,Data!HJ:HJ),0)</f>
        <v>0</v>
      </c>
      <c r="E109" s="15">
        <f>IF(F3="1",SUMIF(Data!$A:$A,$A$2,Data!IN:IN),0)</f>
        <v>0</v>
      </c>
      <c r="F109" s="47">
        <f>SUM(C109:E109)</f>
        <v>26443658</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21604</v>
      </c>
      <c r="F116" s="48">
        <f t="shared" si="7"/>
        <v>21604</v>
      </c>
    </row>
    <row r="117" spans="1:6" ht="15" thickBot="1" x14ac:dyDescent="0.25">
      <c r="B117" s="43" t="s">
        <v>933</v>
      </c>
      <c r="C117" s="52"/>
      <c r="D117" s="52">
        <f>IF(F3="1",SUMIF(Data!A:A,$A$2,Data!Q:Q),0)</f>
        <v>3044020</v>
      </c>
      <c r="E117" s="52"/>
      <c r="F117" s="49">
        <f>SUM(C117:E117)</f>
        <v>3044020</v>
      </c>
    </row>
    <row r="118" spans="1:6" x14ac:dyDescent="0.2">
      <c r="B118" s="13" t="s">
        <v>35</v>
      </c>
      <c r="C118" s="4">
        <f>SUM(C109:C116)</f>
        <v>26443658</v>
      </c>
      <c r="D118" s="4">
        <f>SUM(D109:D116)</f>
        <v>0</v>
      </c>
      <c r="E118" s="4">
        <f>SUM(E109:E116)</f>
        <v>21604</v>
      </c>
      <c r="F118" s="4">
        <f>SUM(F109:F116)</f>
        <v>26465262</v>
      </c>
    </row>
    <row r="119" spans="1:6" ht="15" thickBot="1" x14ac:dyDescent="0.25"/>
    <row r="120" spans="1:6" ht="15" thickBot="1" x14ac:dyDescent="0.25">
      <c r="B120" s="55" t="s">
        <v>934</v>
      </c>
      <c r="C120" s="53"/>
      <c r="D120" s="53"/>
      <c r="E120" s="53">
        <f>IF(F3="1",SUMIF(Data!A:A,'26'!$A$2,Data!AM:AM),0)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2" width="13.42578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382</v>
      </c>
      <c r="B2" s="58" t="str">
        <f>VLOOKUP(A2,Data!A:G,7,0)</f>
        <v>McLennan Community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8304</v>
      </c>
      <c r="E5" s="15">
        <f>E36+E67+IFERROR($E$105/$D$105*D5,0)</f>
        <v>25213.667689064085</v>
      </c>
      <c r="F5" s="20">
        <f>IF(OR(D5=0,E5=0),"",ROUND(E5/D5,2))</f>
        <v>3.04</v>
      </c>
    </row>
    <row r="6" spans="1:6" x14ac:dyDescent="0.2">
      <c r="A6" s="19">
        <v>2</v>
      </c>
      <c r="B6" s="177" t="s">
        <v>1</v>
      </c>
      <c r="C6" s="178"/>
      <c r="D6" s="14">
        <f t="shared" ref="D6:D32" si="0">D37</f>
        <v>4336</v>
      </c>
      <c r="E6" s="17">
        <f t="shared" ref="E6:E32" si="1">E37+E68+IFERROR($E$105/$D$105*D6,0)</f>
        <v>450865.33322492556</v>
      </c>
      <c r="F6" s="21">
        <f t="shared" ref="F6:F33" si="2">IF(OR(D6=0,E6=0),"",ROUND(E6/D6,2))</f>
        <v>103.98</v>
      </c>
    </row>
    <row r="7" spans="1:6" ht="14.25" customHeight="1" x14ac:dyDescent="0.2">
      <c r="A7" s="19">
        <v>3</v>
      </c>
      <c r="B7" s="177" t="s">
        <v>2</v>
      </c>
      <c r="C7" s="178"/>
      <c r="D7" s="14">
        <f t="shared" si="0"/>
        <v>205600</v>
      </c>
      <c r="E7" s="17">
        <f t="shared" si="1"/>
        <v>1034771.3946136291</v>
      </c>
      <c r="F7" s="21">
        <f t="shared" si="2"/>
        <v>5.03</v>
      </c>
    </row>
    <row r="8" spans="1:6" ht="14.25" customHeight="1" x14ac:dyDescent="0.2">
      <c r="A8" s="19">
        <v>4</v>
      </c>
      <c r="B8" s="177" t="s">
        <v>3</v>
      </c>
      <c r="C8" s="178"/>
      <c r="D8" s="14">
        <f t="shared" si="0"/>
        <v>329245</v>
      </c>
      <c r="E8" s="17">
        <f t="shared" si="1"/>
        <v>1758399.5787916551</v>
      </c>
      <c r="F8" s="21">
        <f t="shared" si="2"/>
        <v>5.34</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15312</v>
      </c>
      <c r="E10" s="17">
        <f t="shared" si="1"/>
        <v>101874.77452492164</v>
      </c>
      <c r="F10" s="21">
        <f t="shared" si="2"/>
        <v>6.65</v>
      </c>
    </row>
    <row r="11" spans="1:6" x14ac:dyDescent="0.2">
      <c r="A11" s="19">
        <v>7</v>
      </c>
      <c r="B11" s="177" t="s">
        <v>6</v>
      </c>
      <c r="C11" s="178"/>
      <c r="D11" s="14">
        <f t="shared" si="0"/>
        <v>88883</v>
      </c>
      <c r="E11" s="17">
        <f t="shared" si="1"/>
        <v>1110388.6653669416</v>
      </c>
      <c r="F11" s="21">
        <f t="shared" si="2"/>
        <v>12.49</v>
      </c>
    </row>
    <row r="12" spans="1:6" x14ac:dyDescent="0.2">
      <c r="A12" s="19">
        <v>8</v>
      </c>
      <c r="B12" s="177" t="s">
        <v>7</v>
      </c>
      <c r="C12" s="178"/>
      <c r="D12" s="14">
        <f t="shared" si="0"/>
        <v>8257</v>
      </c>
      <c r="E12" s="17">
        <f t="shared" si="1"/>
        <v>57124.409695159222</v>
      </c>
      <c r="F12" s="21">
        <f t="shared" si="2"/>
        <v>6.92</v>
      </c>
    </row>
    <row r="13" spans="1:6" x14ac:dyDescent="0.2">
      <c r="A13" s="19">
        <v>9</v>
      </c>
      <c r="B13" s="177" t="s">
        <v>8</v>
      </c>
      <c r="C13" s="178"/>
      <c r="D13" s="14">
        <f t="shared" si="0"/>
        <v>154117</v>
      </c>
      <c r="E13" s="17">
        <f t="shared" si="1"/>
        <v>1321885.4946092833</v>
      </c>
      <c r="F13" s="21">
        <f t="shared" si="2"/>
        <v>8.58</v>
      </c>
    </row>
    <row r="14" spans="1:6" x14ac:dyDescent="0.2">
      <c r="A14" s="19">
        <v>10</v>
      </c>
      <c r="B14" s="177" t="s">
        <v>9</v>
      </c>
      <c r="C14" s="178"/>
      <c r="D14" s="14">
        <f t="shared" si="0"/>
        <v>224</v>
      </c>
      <c r="E14" s="17">
        <f t="shared" si="1"/>
        <v>819.82533265298116</v>
      </c>
      <c r="F14" s="21">
        <f t="shared" si="2"/>
        <v>3.66</v>
      </c>
    </row>
    <row r="15" spans="1:6" x14ac:dyDescent="0.2">
      <c r="A15" s="19">
        <v>11</v>
      </c>
      <c r="B15" s="177" t="s">
        <v>10</v>
      </c>
      <c r="C15" s="178"/>
      <c r="D15" s="14">
        <f t="shared" si="0"/>
        <v>4728</v>
      </c>
      <c r="E15" s="17">
        <f t="shared" si="1"/>
        <v>16618.527557068279</v>
      </c>
      <c r="F15" s="21">
        <f t="shared" si="2"/>
        <v>3.51</v>
      </c>
    </row>
    <row r="16" spans="1:6" ht="14.25" customHeight="1" x14ac:dyDescent="0.2">
      <c r="A16" s="19">
        <v>12</v>
      </c>
      <c r="B16" s="177" t="s">
        <v>11</v>
      </c>
      <c r="C16" s="178"/>
      <c r="D16" s="14">
        <f t="shared" si="0"/>
        <v>429309</v>
      </c>
      <c r="E16" s="17">
        <f t="shared" si="1"/>
        <v>2300772.9809639226</v>
      </c>
      <c r="F16" s="21">
        <f t="shared" si="2"/>
        <v>5.36</v>
      </c>
    </row>
    <row r="17" spans="1:6" x14ac:dyDescent="0.2">
      <c r="A17" s="19">
        <v>13</v>
      </c>
      <c r="B17" s="177" t="s">
        <v>12</v>
      </c>
      <c r="C17" s="178"/>
      <c r="D17" s="14">
        <f t="shared" si="0"/>
        <v>54704</v>
      </c>
      <c r="E17" s="17">
        <f t="shared" si="1"/>
        <v>264530.77231003874</v>
      </c>
      <c r="F17" s="21">
        <f t="shared" si="2"/>
        <v>4.84</v>
      </c>
    </row>
    <row r="18" spans="1:6" ht="14.25" customHeight="1" x14ac:dyDescent="0.2">
      <c r="A18" s="19">
        <v>14</v>
      </c>
      <c r="B18" s="177" t="s">
        <v>464</v>
      </c>
      <c r="C18" s="178"/>
      <c r="D18" s="14">
        <f t="shared" si="0"/>
        <v>152256</v>
      </c>
      <c r="E18" s="17">
        <f t="shared" si="1"/>
        <v>1471365.7046804121</v>
      </c>
      <c r="F18" s="21">
        <f t="shared" si="2"/>
        <v>9.66</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250219</v>
      </c>
      <c r="E20" s="17">
        <f t="shared" si="1"/>
        <v>1626574.3612102512</v>
      </c>
      <c r="F20" s="21">
        <f t="shared" si="2"/>
        <v>6.5</v>
      </c>
    </row>
    <row r="21" spans="1:6" x14ac:dyDescent="0.2">
      <c r="A21" s="19">
        <v>17</v>
      </c>
      <c r="B21" s="177" t="s">
        <v>15</v>
      </c>
      <c r="C21" s="178"/>
      <c r="D21" s="14">
        <f t="shared" si="0"/>
        <v>22128</v>
      </c>
      <c r="E21" s="17">
        <f t="shared" si="1"/>
        <v>182891.31678993377</v>
      </c>
      <c r="F21" s="21">
        <f t="shared" si="2"/>
        <v>8.27</v>
      </c>
    </row>
    <row r="22" spans="1:6" x14ac:dyDescent="0.2">
      <c r="A22" s="19">
        <v>18</v>
      </c>
      <c r="B22" s="177" t="s">
        <v>16</v>
      </c>
      <c r="C22" s="178"/>
      <c r="D22" s="14">
        <f t="shared" si="0"/>
        <v>79216</v>
      </c>
      <c r="E22" s="17">
        <f t="shared" si="1"/>
        <v>435839.51585463638</v>
      </c>
      <c r="F22" s="21">
        <f t="shared" si="2"/>
        <v>5.5</v>
      </c>
    </row>
    <row r="23" spans="1:6" x14ac:dyDescent="0.2">
      <c r="A23" s="19">
        <v>19</v>
      </c>
      <c r="B23" s="177" t="s">
        <v>17</v>
      </c>
      <c r="C23" s="178"/>
      <c r="D23" s="14">
        <f t="shared" si="0"/>
        <v>240784</v>
      </c>
      <c r="E23" s="17">
        <f t="shared" si="1"/>
        <v>1198238.1022210508</v>
      </c>
      <c r="F23" s="21">
        <f t="shared" si="2"/>
        <v>4.9800000000000004</v>
      </c>
    </row>
    <row r="24" spans="1:6" x14ac:dyDescent="0.2">
      <c r="A24" s="19">
        <v>20</v>
      </c>
      <c r="B24" s="177" t="s">
        <v>18</v>
      </c>
      <c r="C24" s="178"/>
      <c r="D24" s="14">
        <f t="shared" si="0"/>
        <v>0</v>
      </c>
      <c r="E24" s="17">
        <f t="shared" si="1"/>
        <v>0</v>
      </c>
      <c r="F24" s="21" t="str">
        <f t="shared" si="2"/>
        <v/>
      </c>
    </row>
    <row r="25" spans="1:6" ht="14.25" customHeight="1" x14ac:dyDescent="0.2">
      <c r="A25" s="19">
        <v>21</v>
      </c>
      <c r="B25" s="177" t="s">
        <v>461</v>
      </c>
      <c r="C25" s="178"/>
      <c r="D25" s="14">
        <f t="shared" si="0"/>
        <v>0</v>
      </c>
      <c r="E25" s="17">
        <f t="shared" si="1"/>
        <v>0</v>
      </c>
      <c r="F25" s="21" t="str">
        <f t="shared" si="2"/>
        <v/>
      </c>
    </row>
    <row r="26" spans="1:6" x14ac:dyDescent="0.2">
      <c r="A26" s="19">
        <v>22</v>
      </c>
      <c r="B26" s="177" t="s">
        <v>19</v>
      </c>
      <c r="C26" s="178"/>
      <c r="D26" s="14">
        <f t="shared" si="0"/>
        <v>0</v>
      </c>
      <c r="E26" s="17">
        <f t="shared" si="1"/>
        <v>0</v>
      </c>
      <c r="F26" s="21" t="str">
        <f t="shared" si="2"/>
        <v/>
      </c>
    </row>
    <row r="27" spans="1:6" x14ac:dyDescent="0.2">
      <c r="A27" s="19">
        <v>23</v>
      </c>
      <c r="B27" s="177" t="s">
        <v>20</v>
      </c>
      <c r="C27" s="178"/>
      <c r="D27" s="14">
        <f t="shared" si="0"/>
        <v>96720</v>
      </c>
      <c r="E27" s="17">
        <f t="shared" si="1"/>
        <v>812299.15256337647</v>
      </c>
      <c r="F27" s="21">
        <f t="shared" si="2"/>
        <v>8.4</v>
      </c>
    </row>
    <row r="28" spans="1:6" x14ac:dyDescent="0.2">
      <c r="A28" s="19">
        <v>24</v>
      </c>
      <c r="B28" s="177" t="s">
        <v>21</v>
      </c>
      <c r="C28" s="178"/>
      <c r="D28" s="14">
        <f t="shared" si="0"/>
        <v>97944</v>
      </c>
      <c r="E28" s="17">
        <f t="shared" si="1"/>
        <v>444299.12670251599</v>
      </c>
      <c r="F28" s="21">
        <f t="shared" si="2"/>
        <v>4.54</v>
      </c>
    </row>
    <row r="29" spans="1:6" x14ac:dyDescent="0.2">
      <c r="A29" s="19">
        <v>25</v>
      </c>
      <c r="B29" s="177" t="s">
        <v>22</v>
      </c>
      <c r="C29" s="178"/>
      <c r="D29" s="14">
        <f t="shared" si="0"/>
        <v>401808</v>
      </c>
      <c r="E29" s="17">
        <f t="shared" si="1"/>
        <v>1547722.2556367368</v>
      </c>
      <c r="F29" s="21">
        <f t="shared" si="2"/>
        <v>3.85</v>
      </c>
    </row>
    <row r="30" spans="1:6" x14ac:dyDescent="0.2">
      <c r="A30" s="19">
        <v>26</v>
      </c>
      <c r="B30" s="177" t="s">
        <v>23</v>
      </c>
      <c r="C30" s="178"/>
      <c r="D30" s="14">
        <f t="shared" si="0"/>
        <v>209330</v>
      </c>
      <c r="E30" s="17">
        <f t="shared" si="1"/>
        <v>1391624.0396618238</v>
      </c>
      <c r="F30" s="21">
        <f t="shared" si="2"/>
        <v>6.65</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2853424</v>
      </c>
      <c r="E33" s="31">
        <f>SUM(E5:E32)</f>
        <v>17554119</v>
      </c>
      <c r="F33" s="32">
        <f t="shared" si="2"/>
        <v>6.15</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IF(F3="1",SUMIF(Data!A:A,'27'!$A$2,Data!CU:CU),0)</f>
        <v>8304</v>
      </c>
      <c r="E36" s="15">
        <f>IF(F3="1",SUMIF(Data!$A:$A,$A$2,Data!IO:IO),0)</f>
        <v>0</v>
      </c>
      <c r="F36" s="20" t="str">
        <f t="shared" ref="F36:F64" si="3">IF(OR(D36=0,E36=0),"",ROUND(E36/D36,2))</f>
        <v/>
      </c>
    </row>
    <row r="37" spans="1:6" x14ac:dyDescent="0.2">
      <c r="A37" s="19">
        <v>2</v>
      </c>
      <c r="B37" s="177" t="s">
        <v>1</v>
      </c>
      <c r="C37" s="178"/>
      <c r="D37" s="14">
        <f>IF(F3="1",SUMIF(Data!A:A,'27'!$A$2,Data!CV:CV),0)</f>
        <v>4336</v>
      </c>
      <c r="E37" s="17">
        <f>IF(F3="1",SUMIF(Data!$A:$A,$A$2,Data!IP:IP),0)</f>
        <v>80711</v>
      </c>
      <c r="F37" s="21">
        <f t="shared" si="3"/>
        <v>18.61</v>
      </c>
    </row>
    <row r="38" spans="1:6" ht="14.25" customHeight="1" x14ac:dyDescent="0.2">
      <c r="A38" s="19">
        <v>3</v>
      </c>
      <c r="B38" s="177" t="s">
        <v>2</v>
      </c>
      <c r="C38" s="178"/>
      <c r="D38" s="14">
        <f>IF(F3="1",SUMIF(Data!A:A,'27'!$A$2,Data!CW:CW),0)</f>
        <v>205600</v>
      </c>
      <c r="E38" s="17">
        <f>IF($F$3="1",SUMIF(Data!$A:$A,$A$2,Data!IQ:IQ),0)</f>
        <v>50853</v>
      </c>
      <c r="F38" s="21">
        <f t="shared" si="3"/>
        <v>0.25</v>
      </c>
    </row>
    <row r="39" spans="1:6" ht="14.25" customHeight="1" x14ac:dyDescent="0.2">
      <c r="A39" s="19">
        <v>4</v>
      </c>
      <c r="B39" s="177" t="s">
        <v>3</v>
      </c>
      <c r="C39" s="178"/>
      <c r="D39" s="14">
        <f>IF(F3="1",SUMIF(Data!A:A,'27'!$A$2,Data!CX:CX),0)</f>
        <v>329245</v>
      </c>
      <c r="E39" s="17">
        <f>IF($F$3="1",SUMIF(Data!$A:$A,$A$2,Data!IR:IR),0)</f>
        <v>340408</v>
      </c>
      <c r="F39" s="21">
        <f t="shared" si="3"/>
        <v>1.03</v>
      </c>
    </row>
    <row r="40" spans="1:6" x14ac:dyDescent="0.2">
      <c r="A40" s="19">
        <v>5</v>
      </c>
      <c r="B40" s="177" t="s">
        <v>4</v>
      </c>
      <c r="C40" s="178"/>
      <c r="D40" s="14">
        <f>IF(F3="1",SUMIF(Data!A:A,'27'!$A$2,Data!CY:CY),0)</f>
        <v>0</v>
      </c>
      <c r="E40" s="17">
        <f>IF($F$3="1",SUMIF(Data!$A:$A,$A$2,Data!IS:IS),0)</f>
        <v>0</v>
      </c>
      <c r="F40" s="21" t="str">
        <f t="shared" si="3"/>
        <v/>
      </c>
    </row>
    <row r="41" spans="1:6" x14ac:dyDescent="0.2">
      <c r="A41" s="19">
        <v>6</v>
      </c>
      <c r="B41" s="177" t="s">
        <v>5</v>
      </c>
      <c r="C41" s="178"/>
      <c r="D41" s="14">
        <f>IF(F3="1",SUMIF(Data!A:A,'27'!$A$2,Data!CZ:CZ),0)</f>
        <v>15312</v>
      </c>
      <c r="E41" s="17">
        <f>IF($F$3="1",SUMIF(Data!$A:$A,$A$2,Data!IT:IT),0)</f>
        <v>29681</v>
      </c>
      <c r="F41" s="21">
        <f t="shared" si="3"/>
        <v>1.94</v>
      </c>
    </row>
    <row r="42" spans="1:6" x14ac:dyDescent="0.2">
      <c r="A42" s="19">
        <v>7</v>
      </c>
      <c r="B42" s="177" t="s">
        <v>6</v>
      </c>
      <c r="C42" s="178"/>
      <c r="D42" s="14">
        <f>IF(F3="1",SUMIF(Data!A:A,'27'!$A$2,Data!DA:DA),0)</f>
        <v>88883</v>
      </c>
      <c r="E42" s="17">
        <f>IF($F$3="1",SUMIF(Data!$A:$A,$A$2,Data!IU:IU),0)</f>
        <v>192370</v>
      </c>
      <c r="F42" s="21">
        <f t="shared" si="3"/>
        <v>2.16</v>
      </c>
    </row>
    <row r="43" spans="1:6" x14ac:dyDescent="0.2">
      <c r="A43" s="19">
        <v>8</v>
      </c>
      <c r="B43" s="177" t="s">
        <v>7</v>
      </c>
      <c r="C43" s="178"/>
      <c r="D43" s="14">
        <f>IF(F3="1",SUMIF(Data!A:A,'27'!$A$2,Data!DB:DB),0)</f>
        <v>8257</v>
      </c>
      <c r="E43" s="17">
        <f>IF($F$3="1",SUMIF(Data!$A:$A,$A$2,Data!IV:IV),0)</f>
        <v>37547</v>
      </c>
      <c r="F43" s="21">
        <f t="shared" si="3"/>
        <v>4.55</v>
      </c>
    </row>
    <row r="44" spans="1:6" x14ac:dyDescent="0.2">
      <c r="A44" s="19">
        <v>9</v>
      </c>
      <c r="B44" s="177" t="s">
        <v>8</v>
      </c>
      <c r="C44" s="178"/>
      <c r="D44" s="14">
        <f>IF(F3="1",SUMIF(Data!A:A,'27'!$A$2,Data!DC:DC),0)</f>
        <v>154117</v>
      </c>
      <c r="E44" s="17">
        <f>IF($F$3="1",SUMIF(Data!$A:$A,$A$2,Data!IW:IW),0)</f>
        <v>682656</v>
      </c>
      <c r="F44" s="21">
        <f t="shared" si="3"/>
        <v>4.43</v>
      </c>
    </row>
    <row r="45" spans="1:6" x14ac:dyDescent="0.2">
      <c r="A45" s="19">
        <v>10</v>
      </c>
      <c r="B45" s="177" t="s">
        <v>9</v>
      </c>
      <c r="C45" s="178"/>
      <c r="D45" s="14">
        <f>IF(F3="1",SUMIF(Data!A:A,'27'!$A$2,Data!DD:DD),0)</f>
        <v>224</v>
      </c>
      <c r="E45" s="17">
        <f>IF($F$3="1",SUMIF(Data!$A:$A,$A$2,Data!IX:IX),0)</f>
        <v>0</v>
      </c>
      <c r="F45" s="21" t="str">
        <f t="shared" si="3"/>
        <v/>
      </c>
    </row>
    <row r="46" spans="1:6" x14ac:dyDescent="0.2">
      <c r="A46" s="19">
        <v>11</v>
      </c>
      <c r="B46" s="177" t="s">
        <v>10</v>
      </c>
      <c r="C46" s="178"/>
      <c r="D46" s="14">
        <f>IF(F3="1",SUMIF(Data!A:A,'27'!$A$2,Data!DE:DE),0)</f>
        <v>4728</v>
      </c>
      <c r="E46" s="17">
        <f>IF($F$3="1",SUMIF(Data!$A:$A,$A$2,Data!IY:IY),0)</f>
        <v>28</v>
      </c>
      <c r="F46" s="21">
        <f t="shared" si="3"/>
        <v>0.01</v>
      </c>
    </row>
    <row r="47" spans="1:6" ht="14.25" customHeight="1" x14ac:dyDescent="0.2">
      <c r="A47" s="19">
        <v>12</v>
      </c>
      <c r="B47" s="177" t="s">
        <v>11</v>
      </c>
      <c r="C47" s="178"/>
      <c r="D47" s="14">
        <f>IF(F3="1",SUMIF(Data!A:A,'27'!$A$2,Data!DF:DF),0)</f>
        <v>429309</v>
      </c>
      <c r="E47" s="17">
        <f>IF($F$3="1",SUMIF(Data!$A:$A,$A$2,Data!IZ:IZ),0)</f>
        <v>98541</v>
      </c>
      <c r="F47" s="21">
        <f t="shared" si="3"/>
        <v>0.23</v>
      </c>
    </row>
    <row r="48" spans="1:6" x14ac:dyDescent="0.2">
      <c r="A48" s="19">
        <v>13</v>
      </c>
      <c r="B48" s="177" t="s">
        <v>12</v>
      </c>
      <c r="C48" s="178"/>
      <c r="D48" s="14">
        <f>IF(F3="1",SUMIF(Data!A:A,'27'!$A$2,Data!DG:DG),0)</f>
        <v>54704</v>
      </c>
      <c r="E48" s="17">
        <f>IF($F$3="1",SUMIF(Data!$A:$A,$A$2,Data!JA:JA),0)</f>
        <v>28993</v>
      </c>
      <c r="F48" s="21">
        <f t="shared" si="3"/>
        <v>0.53</v>
      </c>
    </row>
    <row r="49" spans="1:6" ht="14.25" customHeight="1" x14ac:dyDescent="0.2">
      <c r="A49" s="19">
        <v>14</v>
      </c>
      <c r="B49" s="177" t="s">
        <v>464</v>
      </c>
      <c r="C49" s="178"/>
      <c r="D49" s="14">
        <f>IF(F3="1",SUMIF(Data!A:A,'27'!$A$2,Data!DH:DH),0)</f>
        <v>152256</v>
      </c>
      <c r="E49" s="17">
        <f>IF($F$3="1",SUMIF(Data!$A:$A,$A$2,Data!JB:JB),0)</f>
        <v>142667</v>
      </c>
      <c r="F49" s="21">
        <f t="shared" si="3"/>
        <v>0.94</v>
      </c>
    </row>
    <row r="50" spans="1:6" x14ac:dyDescent="0.2">
      <c r="A50" s="19">
        <v>15</v>
      </c>
      <c r="B50" s="177" t="s">
        <v>13</v>
      </c>
      <c r="C50" s="178"/>
      <c r="D50" s="14">
        <f>IF(F3="1",SUMIF(Data!A:A,'27'!$A$2,Data!DI:DI),0)</f>
        <v>0</v>
      </c>
      <c r="E50" s="17">
        <f>IF($F$3="1",SUMIF(Data!$A:$A,$A$2,Data!JC:JC),0)</f>
        <v>0</v>
      </c>
      <c r="F50" s="21" t="str">
        <f t="shared" si="3"/>
        <v/>
      </c>
    </row>
    <row r="51" spans="1:6" x14ac:dyDescent="0.2">
      <c r="A51" s="19">
        <v>16</v>
      </c>
      <c r="B51" s="177" t="s">
        <v>14</v>
      </c>
      <c r="C51" s="178"/>
      <c r="D51" s="14">
        <f>IF(F3="1",SUMIF(Data!A:A,'27'!$A$2,Data!DJ:DJ),0)</f>
        <v>250219</v>
      </c>
      <c r="E51" s="17">
        <f>IF($F$3="1",SUMIF(Data!$A:$A,$A$2,Data!JD:JD),0)</f>
        <v>183547</v>
      </c>
      <c r="F51" s="21">
        <f t="shared" si="3"/>
        <v>0.73</v>
      </c>
    </row>
    <row r="52" spans="1:6" x14ac:dyDescent="0.2">
      <c r="A52" s="19">
        <v>17</v>
      </c>
      <c r="B52" s="177" t="s">
        <v>15</v>
      </c>
      <c r="C52" s="178"/>
      <c r="D52" s="14">
        <f>IF(F3="1",SUMIF(Data!A:A,'27'!$A$2,Data!DK:DK),0)</f>
        <v>22128</v>
      </c>
      <c r="E52" s="17">
        <f>IF($F$3="1",SUMIF(Data!$A:$A,$A$2,Data!JE:JE),0)</f>
        <v>21352</v>
      </c>
      <c r="F52" s="21">
        <f t="shared" si="3"/>
        <v>0.96</v>
      </c>
    </row>
    <row r="53" spans="1:6" x14ac:dyDescent="0.2">
      <c r="A53" s="19">
        <v>18</v>
      </c>
      <c r="B53" s="177" t="s">
        <v>16</v>
      </c>
      <c r="C53" s="178"/>
      <c r="D53" s="14">
        <f>IF(F3="1",SUMIF(Data!A:A,'27'!$A$2,Data!DL:DL),0)</f>
        <v>79216</v>
      </c>
      <c r="E53" s="17">
        <f>IF($F$3="1",SUMIF(Data!$A:$A,$A$2,Data!JF:JF),0)</f>
        <v>25203</v>
      </c>
      <c r="F53" s="21">
        <f t="shared" si="3"/>
        <v>0.32</v>
      </c>
    </row>
    <row r="54" spans="1:6" x14ac:dyDescent="0.2">
      <c r="A54" s="19">
        <v>19</v>
      </c>
      <c r="B54" s="177" t="s">
        <v>17</v>
      </c>
      <c r="C54" s="178"/>
      <c r="D54" s="14">
        <f>IF(F3="1",SUMIF(Data!A:A,'27'!$A$2,Data!DM:DM),0)</f>
        <v>240784</v>
      </c>
      <c r="E54" s="17">
        <f>IF($F$3="1",SUMIF(Data!$A:$A,$A$2,Data!JG:JG),0)</f>
        <v>98961</v>
      </c>
      <c r="F54" s="21">
        <f t="shared" si="3"/>
        <v>0.41</v>
      </c>
    </row>
    <row r="55" spans="1:6" x14ac:dyDescent="0.2">
      <c r="A55" s="19">
        <v>20</v>
      </c>
      <c r="B55" s="177" t="s">
        <v>18</v>
      </c>
      <c r="C55" s="178"/>
      <c r="D55" s="14">
        <f>IF(F3="1",SUMIF(Data!A:A,'27'!$A$2,Data!DN:DN),0)</f>
        <v>0</v>
      </c>
      <c r="E55" s="17">
        <f>IF($F$3="1",SUMIF(Data!$A:$A,$A$2,Data!JH:JH),0)</f>
        <v>0</v>
      </c>
      <c r="F55" s="21" t="str">
        <f t="shared" si="3"/>
        <v/>
      </c>
    </row>
    <row r="56" spans="1:6" ht="14.25" customHeight="1" x14ac:dyDescent="0.2">
      <c r="A56" s="19">
        <v>21</v>
      </c>
      <c r="B56" s="177" t="s">
        <v>461</v>
      </c>
      <c r="C56" s="178"/>
      <c r="D56" s="14">
        <f>IF(F3="1",SUMIF(Data!A:A,'27'!$A$2,Data!DO:DO),0)</f>
        <v>0</v>
      </c>
      <c r="E56" s="17">
        <f>IF($F$3="1",SUMIF(Data!$A:$A,$A$2,Data!JI:JI),0)</f>
        <v>0</v>
      </c>
      <c r="F56" s="21" t="str">
        <f t="shared" si="3"/>
        <v/>
      </c>
    </row>
    <row r="57" spans="1:6" x14ac:dyDescent="0.2">
      <c r="A57" s="19">
        <v>22</v>
      </c>
      <c r="B57" s="177" t="s">
        <v>19</v>
      </c>
      <c r="C57" s="178"/>
      <c r="D57" s="14">
        <f>IF(F3="1",SUMIF(Data!A:A,'27'!$A$2,Data!DP:DP),0)</f>
        <v>0</v>
      </c>
      <c r="E57" s="17">
        <f>IF($F$3="1",SUMIF(Data!$A:$A,$A$2,Data!JJ:JJ),0)</f>
        <v>0</v>
      </c>
      <c r="F57" s="21" t="str">
        <f t="shared" si="3"/>
        <v/>
      </c>
    </row>
    <row r="58" spans="1:6" x14ac:dyDescent="0.2">
      <c r="A58" s="19">
        <v>23</v>
      </c>
      <c r="B58" s="177" t="s">
        <v>20</v>
      </c>
      <c r="C58" s="178"/>
      <c r="D58" s="14">
        <f>IF(F3="1",SUMIF(Data!A:A,'27'!$A$2,Data!DQ:DQ),0)</f>
        <v>96720</v>
      </c>
      <c r="E58" s="17">
        <f>IF($F$3="1",SUMIF(Data!$A:$A,$A$2,Data!JK:JK),0)</f>
        <v>65726</v>
      </c>
      <c r="F58" s="21">
        <f t="shared" si="3"/>
        <v>0.68</v>
      </c>
    </row>
    <row r="59" spans="1:6" x14ac:dyDescent="0.2">
      <c r="A59" s="19">
        <v>24</v>
      </c>
      <c r="B59" s="177" t="s">
        <v>21</v>
      </c>
      <c r="C59" s="178"/>
      <c r="D59" s="14">
        <f>IF(F3="1",SUMIF(Data!A:A,'27'!$A$2,Data!DR:DR),0)</f>
        <v>97944</v>
      </c>
      <c r="E59" s="17">
        <f>IF($F$3="1",SUMIF(Data!$A:$A,$A$2,Data!JL:JL),0)</f>
        <v>116008</v>
      </c>
      <c r="F59" s="21">
        <f t="shared" si="3"/>
        <v>1.18</v>
      </c>
    </row>
    <row r="60" spans="1:6" x14ac:dyDescent="0.2">
      <c r="A60" s="19">
        <v>25</v>
      </c>
      <c r="B60" s="177" t="s">
        <v>22</v>
      </c>
      <c r="C60" s="178"/>
      <c r="D60" s="14">
        <f>IF(F3="1",SUMIF(Data!A:A,'27'!$A$2,Data!DS:DS),0)</f>
        <v>401808</v>
      </c>
      <c r="E60" s="17">
        <f>IF($F$3="1",SUMIF(Data!$A:$A,$A$2,Data!JM:JM),0)</f>
        <v>47022</v>
      </c>
      <c r="F60" s="21">
        <f t="shared" si="3"/>
        <v>0.12</v>
      </c>
    </row>
    <row r="61" spans="1:6" x14ac:dyDescent="0.2">
      <c r="A61" s="19">
        <v>26</v>
      </c>
      <c r="B61" s="177" t="s">
        <v>23</v>
      </c>
      <c r="C61" s="178"/>
      <c r="D61" s="14">
        <f>IF(F3="1",SUMIF(Data!A:A,'27'!$A$2,Data!DT:DT),0)</f>
        <v>209330</v>
      </c>
      <c r="E61" s="17">
        <f>IF($F$3="1",SUMIF(Data!$A:$A,$A$2,Data!JN:JN),0)</f>
        <v>190172</v>
      </c>
      <c r="F61" s="21">
        <f t="shared" si="3"/>
        <v>0.91</v>
      </c>
    </row>
    <row r="62" spans="1:6" x14ac:dyDescent="0.2">
      <c r="A62" s="19">
        <v>28</v>
      </c>
      <c r="B62" s="177" t="s">
        <v>24</v>
      </c>
      <c r="C62" s="178"/>
      <c r="D62" s="14">
        <f>IF(F3="1",SUMIF(Data!A:A,'27'!$A$2,Data!DV:DV),0)</f>
        <v>0</v>
      </c>
      <c r="E62" s="17">
        <f>IF($F$3="1",SUMIF(Data!$A:$A,$A$2,Data!JP:JP),0)</f>
        <v>0</v>
      </c>
      <c r="F62" s="21" t="str">
        <f t="shared" si="3"/>
        <v/>
      </c>
    </row>
    <row r="63" spans="1:6" ht="15.75" customHeight="1" thickBot="1" x14ac:dyDescent="0.25">
      <c r="A63" s="22">
        <v>29</v>
      </c>
      <c r="B63" s="179" t="s">
        <v>25</v>
      </c>
      <c r="C63" s="180"/>
      <c r="D63" s="23">
        <f>IF(F3="1",SUMIF(Data!A:A,'27'!$A$2,Data!DW:DW),0)</f>
        <v>0</v>
      </c>
      <c r="E63" s="24">
        <f>IF($F$3="1",SUMIF(Data!$A:$A,$A$2,Data!JQ:JQ),0)</f>
        <v>0</v>
      </c>
      <c r="F63" s="25" t="str">
        <f t="shared" si="3"/>
        <v/>
      </c>
    </row>
    <row r="64" spans="1:6" x14ac:dyDescent="0.2">
      <c r="B64" s="30" t="s">
        <v>35</v>
      </c>
      <c r="C64" s="30"/>
      <c r="D64" s="59">
        <f>SUM(D36:D63)</f>
        <v>2853424</v>
      </c>
      <c r="E64" s="31">
        <f>SUM(E36:E63)</f>
        <v>2432446</v>
      </c>
      <c r="F64" s="32">
        <f t="shared" si="3"/>
        <v>0.85</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8304</v>
      </c>
      <c r="E67" s="15">
        <f>IF(F3="1",SUMIF(Data!A:A,'27'!$A$2,Data!DY:DY),0)</f>
        <v>7500</v>
      </c>
      <c r="F67" s="20">
        <f t="shared" ref="F67:F95" si="4">IF(OR(D67=0,E67=0),"",ROUND(E67/D67,2))</f>
        <v>0.9</v>
      </c>
    </row>
    <row r="68" spans="1:6" x14ac:dyDescent="0.2">
      <c r="A68" s="19">
        <v>2</v>
      </c>
      <c r="B68" s="177" t="s">
        <v>1</v>
      </c>
      <c r="C68" s="178"/>
      <c r="D68" s="14">
        <f t="shared" ref="D68:D94" si="5">D37</f>
        <v>4336</v>
      </c>
      <c r="E68" s="17">
        <f>IF(F3="1",SUMIF(Data!A:A,'27'!$A$2,Data!DZ:DZ),0)</f>
        <v>360905</v>
      </c>
      <c r="F68" s="21">
        <f t="shared" si="4"/>
        <v>83.23</v>
      </c>
    </row>
    <row r="69" spans="1:6" ht="14.25" customHeight="1" x14ac:dyDescent="0.2">
      <c r="A69" s="19">
        <v>3</v>
      </c>
      <c r="B69" s="177" t="s">
        <v>2</v>
      </c>
      <c r="C69" s="178"/>
      <c r="D69" s="14">
        <f t="shared" si="5"/>
        <v>205600</v>
      </c>
      <c r="E69" s="17">
        <f>IF(F3="1",SUMIF(Data!A:A,'27'!$A$2,Data!EA:EA),0)</f>
        <v>545343</v>
      </c>
      <c r="F69" s="21">
        <f t="shared" si="4"/>
        <v>2.65</v>
      </c>
    </row>
    <row r="70" spans="1:6" ht="14.25" customHeight="1" x14ac:dyDescent="0.2">
      <c r="A70" s="19">
        <v>4</v>
      </c>
      <c r="B70" s="177" t="s">
        <v>3</v>
      </c>
      <c r="C70" s="178"/>
      <c r="D70" s="14">
        <f t="shared" si="5"/>
        <v>329245</v>
      </c>
      <c r="E70" s="17">
        <f>IF(F3="1",SUMIF(Data!A:A,'27'!$A$2,Data!EB:EB),0)</f>
        <v>715663</v>
      </c>
      <c r="F70" s="21">
        <f t="shared" si="4"/>
        <v>2.17</v>
      </c>
    </row>
    <row r="71" spans="1:6" x14ac:dyDescent="0.2">
      <c r="A71" s="19">
        <v>5</v>
      </c>
      <c r="B71" s="177" t="s">
        <v>4</v>
      </c>
      <c r="C71" s="178"/>
      <c r="D71" s="14">
        <f t="shared" si="5"/>
        <v>0</v>
      </c>
      <c r="E71" s="17">
        <f>IF(F3="1",SUMIF(Data!A:A,'27'!$A$2,Data!EC:EC),0)</f>
        <v>0</v>
      </c>
      <c r="F71" s="21" t="str">
        <f t="shared" si="4"/>
        <v/>
      </c>
    </row>
    <row r="72" spans="1:6" x14ac:dyDescent="0.2">
      <c r="A72" s="19">
        <v>6</v>
      </c>
      <c r="B72" s="177" t="s">
        <v>5</v>
      </c>
      <c r="C72" s="178"/>
      <c r="D72" s="14">
        <f t="shared" si="5"/>
        <v>15312</v>
      </c>
      <c r="E72" s="17">
        <f>IF(F3="1",SUMIF(Data!A:A,'27'!$A$2,Data!ED:ED),0)</f>
        <v>39531</v>
      </c>
      <c r="F72" s="21">
        <f t="shared" si="4"/>
        <v>2.58</v>
      </c>
    </row>
    <row r="73" spans="1:6" x14ac:dyDescent="0.2">
      <c r="A73" s="19">
        <v>7</v>
      </c>
      <c r="B73" s="177" t="s">
        <v>6</v>
      </c>
      <c r="C73" s="178"/>
      <c r="D73" s="14">
        <f t="shared" si="5"/>
        <v>88883</v>
      </c>
      <c r="E73" s="17">
        <f>IF(F3="1",SUMIF(Data!A:A,'27'!$A$2,Data!EE:EE),0)</f>
        <v>728418</v>
      </c>
      <c r="F73" s="21">
        <f t="shared" si="4"/>
        <v>8.1999999999999993</v>
      </c>
    </row>
    <row r="74" spans="1:6" x14ac:dyDescent="0.2">
      <c r="A74" s="19">
        <v>8</v>
      </c>
      <c r="B74" s="177" t="s">
        <v>7</v>
      </c>
      <c r="C74" s="178"/>
      <c r="D74" s="14">
        <f t="shared" si="5"/>
        <v>8257</v>
      </c>
      <c r="E74" s="17">
        <f>IF(F3="1",SUMIF(Data!A:A,'27'!$A$2,Data!EF:EF),0)</f>
        <v>1964</v>
      </c>
      <c r="F74" s="21">
        <f t="shared" si="4"/>
        <v>0.24</v>
      </c>
    </row>
    <row r="75" spans="1:6" x14ac:dyDescent="0.2">
      <c r="A75" s="19">
        <v>9</v>
      </c>
      <c r="B75" s="177" t="s">
        <v>8</v>
      </c>
      <c r="C75" s="178"/>
      <c r="D75" s="14">
        <f t="shared" si="5"/>
        <v>154117</v>
      </c>
      <c r="E75" s="17">
        <f>IF(F3="1",SUMIF(Data!A:A,'27'!$A$2,Data!EG:EG),0)</f>
        <v>310475</v>
      </c>
      <c r="F75" s="21">
        <f t="shared" si="4"/>
        <v>2.0099999999999998</v>
      </c>
    </row>
    <row r="76" spans="1:6" x14ac:dyDescent="0.2">
      <c r="A76" s="19">
        <v>10</v>
      </c>
      <c r="B76" s="177" t="s">
        <v>9</v>
      </c>
      <c r="C76" s="178"/>
      <c r="D76" s="14">
        <f t="shared" si="5"/>
        <v>224</v>
      </c>
      <c r="E76" s="17">
        <f>IF(F3="1",SUMIF(Data!A:A,'27'!$A$2,Data!EH:EH),0)</f>
        <v>342</v>
      </c>
      <c r="F76" s="21">
        <f t="shared" si="4"/>
        <v>1.53</v>
      </c>
    </row>
    <row r="77" spans="1:6" x14ac:dyDescent="0.2">
      <c r="A77" s="19">
        <v>11</v>
      </c>
      <c r="B77" s="177" t="s">
        <v>10</v>
      </c>
      <c r="C77" s="178"/>
      <c r="D77" s="14">
        <f t="shared" si="5"/>
        <v>4728</v>
      </c>
      <c r="E77" s="17">
        <f>IF(F3="1",SUMIF(Data!A:A,'27'!$A$2,Data!EI:EI),0)</f>
        <v>6505</v>
      </c>
      <c r="F77" s="21">
        <f t="shared" si="4"/>
        <v>1.38</v>
      </c>
    </row>
    <row r="78" spans="1:6" ht="14.25" customHeight="1" x14ac:dyDescent="0.2">
      <c r="A78" s="19">
        <v>12</v>
      </c>
      <c r="B78" s="177" t="s">
        <v>11</v>
      </c>
      <c r="C78" s="178"/>
      <c r="D78" s="14">
        <f t="shared" si="5"/>
        <v>429309</v>
      </c>
      <c r="E78" s="17">
        <f>IF(F3="1",SUMIF(Data!A:A,'27'!$A$2,Data!EJ:EJ),0)</f>
        <v>1286452</v>
      </c>
      <c r="F78" s="21">
        <f t="shared" si="4"/>
        <v>3</v>
      </c>
    </row>
    <row r="79" spans="1:6" x14ac:dyDescent="0.2">
      <c r="A79" s="19">
        <v>13</v>
      </c>
      <c r="B79" s="177" t="s">
        <v>12</v>
      </c>
      <c r="C79" s="178"/>
      <c r="D79" s="14">
        <f t="shared" si="5"/>
        <v>54704</v>
      </c>
      <c r="E79" s="17">
        <f>IF(F3="1",SUMIF(Data!A:A,'27'!$A$2,Data!EK:EK),0)</f>
        <v>118846</v>
      </c>
      <c r="F79" s="21">
        <f t="shared" si="4"/>
        <v>2.17</v>
      </c>
    </row>
    <row r="80" spans="1:6" ht="14.25" customHeight="1" x14ac:dyDescent="0.2">
      <c r="A80" s="19">
        <v>14</v>
      </c>
      <c r="B80" s="177" t="s">
        <v>464</v>
      </c>
      <c r="C80" s="178"/>
      <c r="D80" s="14">
        <f t="shared" si="5"/>
        <v>152256</v>
      </c>
      <c r="E80" s="17">
        <f>IF(F3="1",SUMIF(Data!A:A,'27'!$A$2,Data!EL:EL),0)</f>
        <v>1003914</v>
      </c>
      <c r="F80" s="21">
        <f t="shared" si="4"/>
        <v>6.59</v>
      </c>
    </row>
    <row r="81" spans="1:6" x14ac:dyDescent="0.2">
      <c r="A81" s="19">
        <v>15</v>
      </c>
      <c r="B81" s="177" t="s">
        <v>13</v>
      </c>
      <c r="C81" s="178"/>
      <c r="D81" s="14">
        <f t="shared" si="5"/>
        <v>0</v>
      </c>
      <c r="E81" s="17">
        <f>IF(F3="1",SUMIF(Data!A:A,'27'!$A$2,Data!EM:EM),0)</f>
        <v>0</v>
      </c>
      <c r="F81" s="21" t="str">
        <f t="shared" si="4"/>
        <v/>
      </c>
    </row>
    <row r="82" spans="1:6" x14ac:dyDescent="0.2">
      <c r="A82" s="19">
        <v>16</v>
      </c>
      <c r="B82" s="177" t="s">
        <v>14</v>
      </c>
      <c r="C82" s="178"/>
      <c r="D82" s="14">
        <f t="shared" si="5"/>
        <v>250219</v>
      </c>
      <c r="E82" s="17">
        <f>IF(F3="1",SUMIF(Data!A:A,'27'!$A$2,Data!EN:EN),0)</f>
        <v>909273</v>
      </c>
      <c r="F82" s="21">
        <f t="shared" si="4"/>
        <v>3.63</v>
      </c>
    </row>
    <row r="83" spans="1:6" x14ac:dyDescent="0.2">
      <c r="A83" s="19">
        <v>17</v>
      </c>
      <c r="B83" s="177" t="s">
        <v>15</v>
      </c>
      <c r="C83" s="178"/>
      <c r="D83" s="14">
        <f t="shared" si="5"/>
        <v>22128</v>
      </c>
      <c r="E83" s="17">
        <f>IF(F3="1",SUMIF(Data!A:A,'27'!$A$2,Data!EO:EO),0)</f>
        <v>114337</v>
      </c>
      <c r="F83" s="21">
        <f t="shared" si="4"/>
        <v>5.17</v>
      </c>
    </row>
    <row r="84" spans="1:6" x14ac:dyDescent="0.2">
      <c r="A84" s="19">
        <v>18</v>
      </c>
      <c r="B84" s="177" t="s">
        <v>16</v>
      </c>
      <c r="C84" s="178"/>
      <c r="D84" s="14">
        <f t="shared" si="5"/>
        <v>79216</v>
      </c>
      <c r="E84" s="17">
        <f>IF(F3="1",SUMIF(Data!A:A,'27'!$A$2,Data!EP:EP),0)</f>
        <v>241657</v>
      </c>
      <c r="F84" s="21">
        <f t="shared" si="4"/>
        <v>3.05</v>
      </c>
    </row>
    <row r="85" spans="1:6" x14ac:dyDescent="0.2">
      <c r="A85" s="19">
        <v>19</v>
      </c>
      <c r="B85" s="177" t="s">
        <v>17</v>
      </c>
      <c r="C85" s="178"/>
      <c r="D85" s="14">
        <f t="shared" si="5"/>
        <v>240784</v>
      </c>
      <c r="E85" s="17">
        <f>IF(F3="1",SUMIF(Data!A:A,'27'!$A$2,Data!EQ:EQ),0)</f>
        <v>585649</v>
      </c>
      <c r="F85" s="21">
        <f t="shared" si="4"/>
        <v>2.4300000000000002</v>
      </c>
    </row>
    <row r="86" spans="1:6" x14ac:dyDescent="0.2">
      <c r="A86" s="19">
        <v>20</v>
      </c>
      <c r="B86" s="177" t="s">
        <v>18</v>
      </c>
      <c r="C86" s="178"/>
      <c r="D86" s="14">
        <f t="shared" si="5"/>
        <v>0</v>
      </c>
      <c r="E86" s="17">
        <f>IF(F3="1",SUMIF(Data!A:A,'27'!$A$2,Data!ER:ER),0)</f>
        <v>0</v>
      </c>
      <c r="F86" s="21" t="str">
        <f t="shared" si="4"/>
        <v/>
      </c>
    </row>
    <row r="87" spans="1:6" ht="14.25" customHeight="1" x14ac:dyDescent="0.2">
      <c r="A87" s="19">
        <v>21</v>
      </c>
      <c r="B87" s="177" t="s">
        <v>461</v>
      </c>
      <c r="C87" s="178"/>
      <c r="D87" s="14">
        <f t="shared" si="5"/>
        <v>0</v>
      </c>
      <c r="E87" s="17">
        <f>IF(F3="1",SUMIF(Data!A:A,'27'!$A$2,Data!ES:ES),0)</f>
        <v>0</v>
      </c>
      <c r="F87" s="21" t="str">
        <f t="shared" si="4"/>
        <v/>
      </c>
    </row>
    <row r="88" spans="1:6" x14ac:dyDescent="0.2">
      <c r="A88" s="19">
        <v>22</v>
      </c>
      <c r="B88" s="177" t="s">
        <v>19</v>
      </c>
      <c r="C88" s="178"/>
      <c r="D88" s="14">
        <f t="shared" si="5"/>
        <v>0</v>
      </c>
      <c r="E88" s="17">
        <f>IF(F3="1",SUMIF(Data!A:A,'27'!$A$2,Data!ET:ET),0)</f>
        <v>0</v>
      </c>
      <c r="F88" s="21" t="str">
        <f t="shared" si="4"/>
        <v/>
      </c>
    </row>
    <row r="89" spans="1:6" x14ac:dyDescent="0.2">
      <c r="A89" s="19">
        <v>23</v>
      </c>
      <c r="B89" s="177" t="s">
        <v>20</v>
      </c>
      <c r="C89" s="178"/>
      <c r="D89" s="14">
        <f t="shared" si="5"/>
        <v>96720</v>
      </c>
      <c r="E89" s="17">
        <f>IF(F3="1",SUMIF(Data!A:A,'27'!$A$2,Data!EU:EU),0)</f>
        <v>540255</v>
      </c>
      <c r="F89" s="21">
        <f t="shared" si="4"/>
        <v>5.59</v>
      </c>
    </row>
    <row r="90" spans="1:6" x14ac:dyDescent="0.2">
      <c r="A90" s="19">
        <v>24</v>
      </c>
      <c r="B90" s="177" t="s">
        <v>21</v>
      </c>
      <c r="C90" s="178"/>
      <c r="D90" s="14">
        <f t="shared" si="5"/>
        <v>97944</v>
      </c>
      <c r="E90" s="17">
        <f>IF(F3="1",SUMIF(Data!A:A,'27'!$A$2,Data!EV:EV),0)</f>
        <v>119362</v>
      </c>
      <c r="F90" s="21">
        <f t="shared" si="4"/>
        <v>1.22</v>
      </c>
    </row>
    <row r="91" spans="1:6" x14ac:dyDescent="0.2">
      <c r="A91" s="19">
        <v>25</v>
      </c>
      <c r="B91" s="177" t="s">
        <v>22</v>
      </c>
      <c r="C91" s="178"/>
      <c r="D91" s="14">
        <f t="shared" si="5"/>
        <v>401808</v>
      </c>
      <c r="E91" s="17">
        <f>IF(F3="1",SUMIF(Data!A:A,'27'!$A$2,Data!EW:EW),0)</f>
        <v>643584</v>
      </c>
      <c r="F91" s="21">
        <f t="shared" si="4"/>
        <v>1.6</v>
      </c>
    </row>
    <row r="92" spans="1:6" x14ac:dyDescent="0.2">
      <c r="A92" s="19">
        <v>26</v>
      </c>
      <c r="B92" s="177" t="s">
        <v>23</v>
      </c>
      <c r="C92" s="178"/>
      <c r="D92" s="14">
        <f t="shared" si="5"/>
        <v>209330</v>
      </c>
      <c r="E92" s="17">
        <f>IF(F3="1",SUMIF(Data!A:A,'27'!$A$2,Data!EX:EX),0)</f>
        <v>754920</v>
      </c>
      <c r="F92" s="21">
        <f t="shared" si="4"/>
        <v>3.61</v>
      </c>
    </row>
    <row r="93" spans="1:6" x14ac:dyDescent="0.2">
      <c r="A93" s="19">
        <v>28</v>
      </c>
      <c r="B93" s="177" t="s">
        <v>24</v>
      </c>
      <c r="C93" s="178"/>
      <c r="D93" s="14">
        <f t="shared" si="5"/>
        <v>0</v>
      </c>
      <c r="E93" s="17">
        <f>IF(F3="1",SUMIF(Data!A:A,'27'!$A$2,Data!EZ:EZ),0)</f>
        <v>0</v>
      </c>
      <c r="F93" s="21" t="str">
        <f t="shared" si="4"/>
        <v/>
      </c>
    </row>
    <row r="94" spans="1:6" ht="15.75" customHeight="1" thickBot="1" x14ac:dyDescent="0.25">
      <c r="A94" s="22">
        <v>29</v>
      </c>
      <c r="B94" s="179" t="s">
        <v>25</v>
      </c>
      <c r="C94" s="180"/>
      <c r="D94" s="23">
        <f t="shared" si="5"/>
        <v>0</v>
      </c>
      <c r="E94" s="24">
        <f>IF(F3="1",SUMIF(Data!A:A,'27'!$A$2,Data!FA:FA),0)</f>
        <v>0</v>
      </c>
      <c r="F94" s="25" t="str">
        <f t="shared" si="4"/>
        <v/>
      </c>
    </row>
    <row r="95" spans="1:6" x14ac:dyDescent="0.2">
      <c r="B95" s="30" t="s">
        <v>35</v>
      </c>
      <c r="C95" s="30"/>
      <c r="D95" s="59">
        <f>SUM(D67:D94)</f>
        <v>2853424</v>
      </c>
      <c r="E95" s="31">
        <f>SUM(E67:E94)</f>
        <v>9034895</v>
      </c>
      <c r="F95" s="32">
        <f t="shared" si="4"/>
        <v>3.17</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IF(F3="1",SUMIF(Data!A:A,'27'!$A$2,Data!AH:AH),0)</f>
        <v>3598006</v>
      </c>
      <c r="F98" s="20">
        <f>IF(OR(E98=0,E98=0),"",ROUND(E98/$D$105,2))</f>
        <v>1.26</v>
      </c>
    </row>
    <row r="99" spans="2:6" x14ac:dyDescent="0.2">
      <c r="B99" s="183" t="s">
        <v>31</v>
      </c>
      <c r="C99" s="184"/>
      <c r="D99" s="36"/>
      <c r="E99" s="17">
        <f>IF(F3="1",SUMIF(Data!A:A,'27'!$A$2,Data!AI:AI),0)</f>
        <v>1528287</v>
      </c>
      <c r="F99" s="21">
        <f t="shared" ref="F99:F104" si="6">IF(OR(E99=0,E99=0),"",ROUND(E99/$D$105,2))</f>
        <v>0.54</v>
      </c>
    </row>
    <row r="100" spans="2:6" x14ac:dyDescent="0.2">
      <c r="B100" s="183" t="s">
        <v>1078</v>
      </c>
      <c r="C100" s="184"/>
      <c r="D100" s="36"/>
      <c r="E100" s="17">
        <f>IF(F3="1",SUMIF(Data!A:A,'27'!$A$2,Data!AJ:AJ),0)</f>
        <v>872932</v>
      </c>
      <c r="F100" s="21">
        <f t="shared" si="6"/>
        <v>0.31</v>
      </c>
    </row>
    <row r="101" spans="2:6" x14ac:dyDescent="0.2">
      <c r="B101" s="183" t="s">
        <v>1079</v>
      </c>
      <c r="C101" s="184"/>
      <c r="D101" s="36"/>
      <c r="E101" s="17">
        <f>IF(F3="1",SUMIF(Data!A:A,'27'!$A$2,Data!AK:AK),0)</f>
        <v>87553</v>
      </c>
      <c r="F101" s="21">
        <f t="shared" si="6"/>
        <v>0.03</v>
      </c>
    </row>
    <row r="102" spans="2:6" x14ac:dyDescent="0.2">
      <c r="B102" s="183" t="s">
        <v>1080</v>
      </c>
      <c r="C102" s="184"/>
      <c r="D102" s="36"/>
      <c r="E102" s="17">
        <f>IF(F3="1",SUMIF(Data!A:A,'27'!$A$2,Data!AL:AL),0)</f>
        <v>0</v>
      </c>
      <c r="F102" s="21" t="str">
        <f t="shared" si="6"/>
        <v/>
      </c>
    </row>
    <row r="103" spans="2:6" x14ac:dyDescent="0.2">
      <c r="B103" s="185" t="s">
        <v>34</v>
      </c>
      <c r="C103" s="186"/>
      <c r="D103" s="36"/>
      <c r="E103" s="17">
        <f>IF(F3="1",SUMIF(Data!A:A,'27'!$A$2,Data!AM:AM),0)</f>
        <v>0</v>
      </c>
      <c r="F103" s="21" t="str">
        <f t="shared" si="6"/>
        <v/>
      </c>
    </row>
    <row r="104" spans="2:6" ht="15.75" customHeight="1" thickBot="1" x14ac:dyDescent="0.25">
      <c r="B104" s="175" t="s">
        <v>29</v>
      </c>
      <c r="C104" s="176"/>
      <c r="D104" s="37"/>
      <c r="E104" s="24">
        <f>IF(F3="1",SUMIF(Data!A:A,'27'!$A$2,Data!Q:Q),0)</f>
        <v>0</v>
      </c>
      <c r="F104" s="25" t="str">
        <f t="shared" si="6"/>
        <v/>
      </c>
    </row>
    <row r="105" spans="2:6" x14ac:dyDescent="0.2">
      <c r="B105" s="30" t="s">
        <v>35</v>
      </c>
      <c r="C105" s="30"/>
      <c r="D105" s="34">
        <f>D95</f>
        <v>2853424</v>
      </c>
      <c r="E105" s="31">
        <f>SUM(E98:E104)</f>
        <v>6086778</v>
      </c>
      <c r="F105" s="32">
        <f>IF($D$105=0,"",ROUND(E105/$D$105,2))</f>
        <v>2.13</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9034895</v>
      </c>
      <c r="D109" s="15">
        <f>IF(F3="1",SUMIF(Data!$A:$A,$A$2,Data!HJ:HJ),0)</f>
        <v>0</v>
      </c>
      <c r="E109" s="15">
        <f>IF(F3="1",SUMIF(Data!$A:$A,$A$2,Data!IN:IN),0)</f>
        <v>0</v>
      </c>
      <c r="F109" s="47">
        <f>SUM(C109:E109)</f>
        <v>9034895</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0</v>
      </c>
      <c r="E117" s="52"/>
      <c r="F117" s="49">
        <f>SUM(C117:E117)</f>
        <v>0</v>
      </c>
    </row>
    <row r="118" spans="1:6" x14ac:dyDescent="0.2">
      <c r="B118" s="13" t="s">
        <v>35</v>
      </c>
      <c r="C118" s="4">
        <f>SUM(C109:C116)</f>
        <v>9034895</v>
      </c>
      <c r="D118" s="4">
        <f>SUM(D109:D116)</f>
        <v>0</v>
      </c>
      <c r="E118" s="4">
        <f>SUM(E109:E116)</f>
        <v>0</v>
      </c>
      <c r="F118" s="4">
        <f>SUM(F109:F116)</f>
        <v>9034895</v>
      </c>
    </row>
    <row r="119" spans="1:6" ht="15" thickBot="1" x14ac:dyDescent="0.25"/>
    <row r="120" spans="1:6" ht="15" thickBot="1" x14ac:dyDescent="0.25">
      <c r="B120" s="55" t="s">
        <v>934</v>
      </c>
      <c r="C120" s="53"/>
      <c r="D120" s="53"/>
      <c r="E120" s="53">
        <f>IF(F3="1",SUMIF(Data!A:A,'27'!$A$2,Data!AM:AM),0)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433</v>
      </c>
      <c r="B2" s="58" t="str">
        <f>VLOOKUP(A2,Data!A:G,7,0)</f>
        <v>Midland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13248</v>
      </c>
      <c r="E5" s="15">
        <f>E36+E67+IFERROR($E$105/$D$105*D5,0)</f>
        <v>122438.38527023693</v>
      </c>
      <c r="F5" s="20">
        <f>IF(OR(D5=0,E5=0),"",ROUND(E5/D5,2))</f>
        <v>9.24</v>
      </c>
    </row>
    <row r="6" spans="1:6" x14ac:dyDescent="0.2">
      <c r="A6" s="19">
        <v>2</v>
      </c>
      <c r="B6" s="177" t="s">
        <v>1</v>
      </c>
      <c r="C6" s="178"/>
      <c r="D6" s="14">
        <f t="shared" ref="D6:D32" si="0">D37</f>
        <v>84066</v>
      </c>
      <c r="E6" s="17">
        <f t="shared" ref="E6:E32" si="1">E37+E68+IFERROR($E$105/$D$105*D6,0)</f>
        <v>589666.21740094642</v>
      </c>
      <c r="F6" s="21">
        <f t="shared" ref="F6:F33" si="2">IF(OR(D6=0,E6=0),"",ROUND(E6/D6,2))</f>
        <v>7.01</v>
      </c>
    </row>
    <row r="7" spans="1:6" ht="14.25" customHeight="1" x14ac:dyDescent="0.2">
      <c r="A7" s="19">
        <v>3</v>
      </c>
      <c r="B7" s="177" t="s">
        <v>2</v>
      </c>
      <c r="C7" s="178"/>
      <c r="D7" s="14">
        <f t="shared" si="0"/>
        <v>260512</v>
      </c>
      <c r="E7" s="17">
        <f t="shared" si="1"/>
        <v>1599042.2958574852</v>
      </c>
      <c r="F7" s="21">
        <f t="shared" si="2"/>
        <v>6.14</v>
      </c>
    </row>
    <row r="8" spans="1:6" ht="14.25" customHeight="1" x14ac:dyDescent="0.2">
      <c r="A8" s="19">
        <v>4</v>
      </c>
      <c r="B8" s="177" t="s">
        <v>3</v>
      </c>
      <c r="C8" s="178"/>
      <c r="D8" s="14">
        <f t="shared" si="0"/>
        <v>155456</v>
      </c>
      <c r="E8" s="17">
        <f t="shared" si="1"/>
        <v>1042003.0329536498</v>
      </c>
      <c r="F8" s="21">
        <f t="shared" si="2"/>
        <v>6.7</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18480</v>
      </c>
      <c r="E10" s="17">
        <f t="shared" si="1"/>
        <v>192717.84901826529</v>
      </c>
      <c r="F10" s="21">
        <f t="shared" si="2"/>
        <v>10.43</v>
      </c>
    </row>
    <row r="11" spans="1:6" x14ac:dyDescent="0.2">
      <c r="A11" s="19">
        <v>7</v>
      </c>
      <c r="B11" s="177" t="s">
        <v>6</v>
      </c>
      <c r="C11" s="178"/>
      <c r="D11" s="14">
        <f t="shared" si="0"/>
        <v>132335</v>
      </c>
      <c r="E11" s="17">
        <f t="shared" si="1"/>
        <v>811143.56844329741</v>
      </c>
      <c r="F11" s="21">
        <f t="shared" si="2"/>
        <v>6.13</v>
      </c>
    </row>
    <row r="12" spans="1:6" x14ac:dyDescent="0.2">
      <c r="A12" s="19">
        <v>8</v>
      </c>
      <c r="B12" s="177" t="s">
        <v>7</v>
      </c>
      <c r="C12" s="178"/>
      <c r="D12" s="14">
        <f t="shared" si="0"/>
        <v>0</v>
      </c>
      <c r="E12" s="17">
        <f t="shared" si="1"/>
        <v>0</v>
      </c>
      <c r="F12" s="21" t="str">
        <f t="shared" si="2"/>
        <v/>
      </c>
    </row>
    <row r="13" spans="1:6" x14ac:dyDescent="0.2">
      <c r="A13" s="19">
        <v>9</v>
      </c>
      <c r="B13" s="177" t="s">
        <v>8</v>
      </c>
      <c r="C13" s="178"/>
      <c r="D13" s="14">
        <f t="shared" si="0"/>
        <v>33764</v>
      </c>
      <c r="E13" s="17">
        <f t="shared" si="1"/>
        <v>163362.32912622884</v>
      </c>
      <c r="F13" s="21">
        <f t="shared" si="2"/>
        <v>4.84</v>
      </c>
    </row>
    <row r="14" spans="1:6" x14ac:dyDescent="0.2">
      <c r="A14" s="19">
        <v>10</v>
      </c>
      <c r="B14" s="177" t="s">
        <v>9</v>
      </c>
      <c r="C14" s="178"/>
      <c r="D14" s="14">
        <f t="shared" si="0"/>
        <v>2030</v>
      </c>
      <c r="E14" s="17">
        <f t="shared" si="1"/>
        <v>15101.979627006414</v>
      </c>
      <c r="F14" s="21">
        <f t="shared" si="2"/>
        <v>7.44</v>
      </c>
    </row>
    <row r="15" spans="1:6" x14ac:dyDescent="0.2">
      <c r="A15" s="19">
        <v>11</v>
      </c>
      <c r="B15" s="177" t="s">
        <v>10</v>
      </c>
      <c r="C15" s="178"/>
      <c r="D15" s="14">
        <f t="shared" si="0"/>
        <v>54868</v>
      </c>
      <c r="E15" s="17">
        <f t="shared" si="1"/>
        <v>504349.56363280193</v>
      </c>
      <c r="F15" s="21">
        <f t="shared" si="2"/>
        <v>9.19</v>
      </c>
    </row>
    <row r="16" spans="1:6" ht="14.25" customHeight="1" x14ac:dyDescent="0.2">
      <c r="A16" s="19">
        <v>12</v>
      </c>
      <c r="B16" s="177" t="s">
        <v>11</v>
      </c>
      <c r="C16" s="178"/>
      <c r="D16" s="14">
        <f t="shared" si="0"/>
        <v>269056</v>
      </c>
      <c r="E16" s="17">
        <f t="shared" si="1"/>
        <v>1734451.3559230727</v>
      </c>
      <c r="F16" s="21">
        <f t="shared" si="2"/>
        <v>6.45</v>
      </c>
    </row>
    <row r="17" spans="1:6" x14ac:dyDescent="0.2">
      <c r="A17" s="19">
        <v>13</v>
      </c>
      <c r="B17" s="177" t="s">
        <v>12</v>
      </c>
      <c r="C17" s="178"/>
      <c r="D17" s="14">
        <f t="shared" si="0"/>
        <v>55792</v>
      </c>
      <c r="E17" s="17">
        <f t="shared" si="1"/>
        <v>334482.30608371517</v>
      </c>
      <c r="F17" s="21">
        <f t="shared" si="2"/>
        <v>6</v>
      </c>
    </row>
    <row r="18" spans="1:6" ht="14.25" customHeight="1" x14ac:dyDescent="0.2">
      <c r="A18" s="19">
        <v>14</v>
      </c>
      <c r="B18" s="177" t="s">
        <v>464</v>
      </c>
      <c r="C18" s="178"/>
      <c r="D18" s="14">
        <f t="shared" si="0"/>
        <v>21268</v>
      </c>
      <c r="E18" s="17">
        <f t="shared" si="1"/>
        <v>190794.38359959231</v>
      </c>
      <c r="F18" s="21">
        <f t="shared" si="2"/>
        <v>8.9700000000000006</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181653</v>
      </c>
      <c r="E20" s="17">
        <f t="shared" si="1"/>
        <v>1627593.5621598996</v>
      </c>
      <c r="F20" s="21">
        <f t="shared" si="2"/>
        <v>8.9600000000000009</v>
      </c>
    </row>
    <row r="21" spans="1:6" x14ac:dyDescent="0.2">
      <c r="A21" s="19">
        <v>17</v>
      </c>
      <c r="B21" s="177" t="s">
        <v>15</v>
      </c>
      <c r="C21" s="178"/>
      <c r="D21" s="14">
        <f t="shared" si="0"/>
        <v>20696</v>
      </c>
      <c r="E21" s="17">
        <f t="shared" si="1"/>
        <v>193206.40017759841</v>
      </c>
      <c r="F21" s="21">
        <f t="shared" si="2"/>
        <v>9.34</v>
      </c>
    </row>
    <row r="22" spans="1:6" x14ac:dyDescent="0.2">
      <c r="A22" s="19">
        <v>18</v>
      </c>
      <c r="B22" s="177" t="s">
        <v>16</v>
      </c>
      <c r="C22" s="178"/>
      <c r="D22" s="14">
        <f t="shared" si="0"/>
        <v>50936</v>
      </c>
      <c r="E22" s="17">
        <f t="shared" si="1"/>
        <v>452398.06220748706</v>
      </c>
      <c r="F22" s="21">
        <f t="shared" si="2"/>
        <v>8.8800000000000008</v>
      </c>
    </row>
    <row r="23" spans="1:6" x14ac:dyDescent="0.2">
      <c r="A23" s="19">
        <v>19</v>
      </c>
      <c r="B23" s="177" t="s">
        <v>17</v>
      </c>
      <c r="C23" s="178"/>
      <c r="D23" s="14">
        <f t="shared" si="0"/>
        <v>204496</v>
      </c>
      <c r="E23" s="17">
        <f t="shared" si="1"/>
        <v>1255184.6885735486</v>
      </c>
      <c r="F23" s="21">
        <f t="shared" si="2"/>
        <v>6.14</v>
      </c>
    </row>
    <row r="24" spans="1:6" x14ac:dyDescent="0.2">
      <c r="A24" s="19">
        <v>20</v>
      </c>
      <c r="B24" s="177" t="s">
        <v>18</v>
      </c>
      <c r="C24" s="178"/>
      <c r="D24" s="14">
        <f t="shared" si="0"/>
        <v>0</v>
      </c>
      <c r="E24" s="17">
        <f t="shared" si="1"/>
        <v>0</v>
      </c>
      <c r="F24" s="21" t="str">
        <f t="shared" si="2"/>
        <v/>
      </c>
    </row>
    <row r="25" spans="1:6" ht="14.25" customHeight="1" x14ac:dyDescent="0.2">
      <c r="A25" s="19">
        <v>21</v>
      </c>
      <c r="B25" s="177" t="s">
        <v>461</v>
      </c>
      <c r="C25" s="178"/>
      <c r="D25" s="14">
        <f t="shared" si="0"/>
        <v>45688</v>
      </c>
      <c r="E25" s="17">
        <f t="shared" si="1"/>
        <v>669961.29123087146</v>
      </c>
      <c r="F25" s="21">
        <f t="shared" si="2"/>
        <v>14.66</v>
      </c>
    </row>
    <row r="26" spans="1:6" x14ac:dyDescent="0.2">
      <c r="A26" s="19">
        <v>22</v>
      </c>
      <c r="B26" s="177" t="s">
        <v>19</v>
      </c>
      <c r="C26" s="178"/>
      <c r="D26" s="14">
        <f t="shared" si="0"/>
        <v>20112</v>
      </c>
      <c r="E26" s="17">
        <f t="shared" si="1"/>
        <v>205219.18633416406</v>
      </c>
      <c r="F26" s="21">
        <f t="shared" si="2"/>
        <v>10.199999999999999</v>
      </c>
    </row>
    <row r="27" spans="1:6" x14ac:dyDescent="0.2">
      <c r="A27" s="19">
        <v>23</v>
      </c>
      <c r="B27" s="177" t="s">
        <v>20</v>
      </c>
      <c r="C27" s="178"/>
      <c r="D27" s="14">
        <f t="shared" si="0"/>
        <v>54864</v>
      </c>
      <c r="E27" s="17">
        <f t="shared" si="1"/>
        <v>539143.4868256551</v>
      </c>
      <c r="F27" s="21">
        <f t="shared" si="2"/>
        <v>9.83</v>
      </c>
    </row>
    <row r="28" spans="1:6" x14ac:dyDescent="0.2">
      <c r="A28" s="19">
        <v>24</v>
      </c>
      <c r="B28" s="177" t="s">
        <v>21</v>
      </c>
      <c r="C28" s="178"/>
      <c r="D28" s="14">
        <f t="shared" si="0"/>
        <v>105240</v>
      </c>
      <c r="E28" s="17">
        <f t="shared" si="1"/>
        <v>552966.7960325887</v>
      </c>
      <c r="F28" s="21">
        <f t="shared" si="2"/>
        <v>5.25</v>
      </c>
    </row>
    <row r="29" spans="1:6" x14ac:dyDescent="0.2">
      <c r="A29" s="19">
        <v>25</v>
      </c>
      <c r="B29" s="177" t="s">
        <v>22</v>
      </c>
      <c r="C29" s="178"/>
      <c r="D29" s="14">
        <f t="shared" si="0"/>
        <v>283522</v>
      </c>
      <c r="E29" s="17">
        <f t="shared" si="1"/>
        <v>1736182.1289695133</v>
      </c>
      <c r="F29" s="21">
        <f t="shared" si="2"/>
        <v>6.12</v>
      </c>
    </row>
    <row r="30" spans="1:6" x14ac:dyDescent="0.2">
      <c r="A30" s="19">
        <v>26</v>
      </c>
      <c r="B30" s="177" t="s">
        <v>23</v>
      </c>
      <c r="C30" s="178"/>
      <c r="D30" s="14">
        <f t="shared" si="0"/>
        <v>96352</v>
      </c>
      <c r="E30" s="17">
        <f t="shared" si="1"/>
        <v>856291.13055237534</v>
      </c>
      <c r="F30" s="21">
        <f t="shared" si="2"/>
        <v>8.89</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2164434</v>
      </c>
      <c r="E33" s="31">
        <f>SUM(E5:E32)</f>
        <v>15387700</v>
      </c>
      <c r="F33" s="32">
        <f t="shared" si="2"/>
        <v>7.11</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IF(F3="1",SUMIF(Data!A:A,'28'!$A$2,Data!CU:CU),0)</f>
        <v>13248</v>
      </c>
      <c r="E36" s="15">
        <f>IF(F3="1",SUMIF(Data!$A:$A,$A$2,Data!IO:IO),0)</f>
        <v>25579</v>
      </c>
      <c r="F36" s="20">
        <f t="shared" ref="F36:F64" si="3">IF(OR(D36=0,E36=0),"",ROUND(E36/D36,2))</f>
        <v>1.93</v>
      </c>
    </row>
    <row r="37" spans="1:6" x14ac:dyDescent="0.2">
      <c r="A37" s="19">
        <v>2</v>
      </c>
      <c r="B37" s="177" t="s">
        <v>1</v>
      </c>
      <c r="C37" s="178"/>
      <c r="D37" s="14">
        <f>IF(F3="1",SUMIF(Data!A:A,'28'!$A$2,Data!CV:CV),0)</f>
        <v>84066</v>
      </c>
      <c r="E37" s="17">
        <f>IF(F3="1",SUMIF(Data!$A:$A,$A$2,Data!IP:IP),0)</f>
        <v>70641</v>
      </c>
      <c r="F37" s="21">
        <f t="shared" si="3"/>
        <v>0.84</v>
      </c>
    </row>
    <row r="38" spans="1:6" ht="14.25" customHeight="1" x14ac:dyDescent="0.2">
      <c r="A38" s="19">
        <v>3</v>
      </c>
      <c r="B38" s="177" t="s">
        <v>2</v>
      </c>
      <c r="C38" s="178"/>
      <c r="D38" s="14">
        <f>IF(F3="1",SUMIF(Data!A:A,'28'!$A$2,Data!CW:CW),0)</f>
        <v>260512</v>
      </c>
      <c r="E38" s="17">
        <f>IF($F$3="1",SUMIF(Data!$A:$A,$A$2,Data!IQ:IQ),0)</f>
        <v>305153</v>
      </c>
      <c r="F38" s="21">
        <f t="shared" si="3"/>
        <v>1.17</v>
      </c>
    </row>
    <row r="39" spans="1:6" ht="14.25" customHeight="1" x14ac:dyDescent="0.2">
      <c r="A39" s="19">
        <v>4</v>
      </c>
      <c r="B39" s="177" t="s">
        <v>3</v>
      </c>
      <c r="C39" s="178"/>
      <c r="D39" s="14">
        <f>IF(F3="1",SUMIF(Data!A:A,'28'!$A$2,Data!CX:CX),0)</f>
        <v>155456</v>
      </c>
      <c r="E39" s="17">
        <f>IF($F$3="1",SUMIF(Data!$A:$A,$A$2,Data!IR:IR),0)</f>
        <v>154350</v>
      </c>
      <c r="F39" s="21">
        <f t="shared" si="3"/>
        <v>0.99</v>
      </c>
    </row>
    <row r="40" spans="1:6" x14ac:dyDescent="0.2">
      <c r="A40" s="19">
        <v>5</v>
      </c>
      <c r="B40" s="177" t="s">
        <v>4</v>
      </c>
      <c r="C40" s="178"/>
      <c r="D40" s="14">
        <f>IF(F3="1",SUMIF(Data!A:A,'28'!$A$2,Data!CY:CY),0)</f>
        <v>0</v>
      </c>
      <c r="E40" s="17">
        <f>IF($F$3="1",SUMIF(Data!$A:$A,$A$2,Data!IS:IS),0)</f>
        <v>0</v>
      </c>
      <c r="F40" s="21" t="str">
        <f t="shared" si="3"/>
        <v/>
      </c>
    </row>
    <row r="41" spans="1:6" x14ac:dyDescent="0.2">
      <c r="A41" s="19">
        <v>6</v>
      </c>
      <c r="B41" s="177" t="s">
        <v>5</v>
      </c>
      <c r="C41" s="178"/>
      <c r="D41" s="14">
        <f>IF(F3="1",SUMIF(Data!A:A,'28'!$A$2,Data!CZ:CZ),0)</f>
        <v>18480</v>
      </c>
      <c r="E41" s="17">
        <f>IF($F$3="1",SUMIF(Data!$A:$A,$A$2,Data!IT:IT),0)</f>
        <v>36757</v>
      </c>
      <c r="F41" s="21">
        <f t="shared" si="3"/>
        <v>1.99</v>
      </c>
    </row>
    <row r="42" spans="1:6" x14ac:dyDescent="0.2">
      <c r="A42" s="19">
        <v>7</v>
      </c>
      <c r="B42" s="177" t="s">
        <v>6</v>
      </c>
      <c r="C42" s="178"/>
      <c r="D42" s="14">
        <f>IF(F3="1",SUMIF(Data!A:A,'28'!$A$2,Data!DA:DA),0)</f>
        <v>132335</v>
      </c>
      <c r="E42" s="17">
        <f>IF($F$3="1",SUMIF(Data!$A:$A,$A$2,Data!IU:IU),0)</f>
        <v>97819</v>
      </c>
      <c r="F42" s="21">
        <f t="shared" si="3"/>
        <v>0.74</v>
      </c>
    </row>
    <row r="43" spans="1:6" x14ac:dyDescent="0.2">
      <c r="A43" s="19">
        <v>8</v>
      </c>
      <c r="B43" s="177" t="s">
        <v>7</v>
      </c>
      <c r="C43" s="178"/>
      <c r="D43" s="14">
        <f>IF(F3="1",SUMIF(Data!A:A,'28'!$A$2,Data!DB:DB),0)</f>
        <v>0</v>
      </c>
      <c r="E43" s="17">
        <f>IF($F$3="1",SUMIF(Data!$A:$A,$A$2,Data!IV:IV),0)</f>
        <v>0</v>
      </c>
      <c r="F43" s="21" t="str">
        <f t="shared" si="3"/>
        <v/>
      </c>
    </row>
    <row r="44" spans="1:6" x14ac:dyDescent="0.2">
      <c r="A44" s="19">
        <v>9</v>
      </c>
      <c r="B44" s="177" t="s">
        <v>8</v>
      </c>
      <c r="C44" s="178"/>
      <c r="D44" s="14">
        <f>IF(F3="1",SUMIF(Data!A:A,'28'!$A$2,Data!DC:DC),0)</f>
        <v>33764</v>
      </c>
      <c r="E44" s="17">
        <f>IF($F$3="1",SUMIF(Data!$A:$A,$A$2,Data!IW:IW),0)</f>
        <v>6215</v>
      </c>
      <c r="F44" s="21">
        <f t="shared" si="3"/>
        <v>0.18</v>
      </c>
    </row>
    <row r="45" spans="1:6" x14ac:dyDescent="0.2">
      <c r="A45" s="19">
        <v>10</v>
      </c>
      <c r="B45" s="177" t="s">
        <v>9</v>
      </c>
      <c r="C45" s="178"/>
      <c r="D45" s="14">
        <f>IF(F3="1",SUMIF(Data!A:A,'28'!$A$2,Data!DD:DD),0)</f>
        <v>2030</v>
      </c>
      <c r="E45" s="17">
        <f>IF($F$3="1",SUMIF(Data!$A:$A,$A$2,Data!IX:IX),0)</f>
        <v>0</v>
      </c>
      <c r="F45" s="21" t="str">
        <f t="shared" si="3"/>
        <v/>
      </c>
    </row>
    <row r="46" spans="1:6" x14ac:dyDescent="0.2">
      <c r="A46" s="19">
        <v>11</v>
      </c>
      <c r="B46" s="177" t="s">
        <v>10</v>
      </c>
      <c r="C46" s="178"/>
      <c r="D46" s="14">
        <f>IF(F3="1",SUMIF(Data!A:A,'28'!$A$2,Data!DE:DE),0)</f>
        <v>54868</v>
      </c>
      <c r="E46" s="17">
        <f>IF($F$3="1",SUMIF(Data!$A:$A,$A$2,Data!IY:IY),0)</f>
        <v>107035</v>
      </c>
      <c r="F46" s="21">
        <f t="shared" si="3"/>
        <v>1.95</v>
      </c>
    </row>
    <row r="47" spans="1:6" ht="14.25" customHeight="1" x14ac:dyDescent="0.2">
      <c r="A47" s="19">
        <v>12</v>
      </c>
      <c r="B47" s="177" t="s">
        <v>11</v>
      </c>
      <c r="C47" s="178"/>
      <c r="D47" s="14">
        <f>IF(F3="1",SUMIF(Data!A:A,'28'!$A$2,Data!DF:DF),0)</f>
        <v>269056</v>
      </c>
      <c r="E47" s="17">
        <f>IF($F$3="1",SUMIF(Data!$A:$A,$A$2,Data!IZ:IZ),0)</f>
        <v>219426</v>
      </c>
      <c r="F47" s="21">
        <f t="shared" si="3"/>
        <v>0.82</v>
      </c>
    </row>
    <row r="48" spans="1:6" x14ac:dyDescent="0.2">
      <c r="A48" s="19">
        <v>13</v>
      </c>
      <c r="B48" s="177" t="s">
        <v>12</v>
      </c>
      <c r="C48" s="178"/>
      <c r="D48" s="14">
        <f>IF(F3="1",SUMIF(Data!A:A,'28'!$A$2,Data!DG:DG),0)</f>
        <v>55792</v>
      </c>
      <c r="E48" s="17">
        <f>IF($F$3="1",SUMIF(Data!$A:$A,$A$2,Data!JA:JA),0)</f>
        <v>41085</v>
      </c>
      <c r="F48" s="21">
        <f t="shared" si="3"/>
        <v>0.74</v>
      </c>
    </row>
    <row r="49" spans="1:6" ht="14.25" customHeight="1" x14ac:dyDescent="0.2">
      <c r="A49" s="19">
        <v>14</v>
      </c>
      <c r="B49" s="177" t="s">
        <v>464</v>
      </c>
      <c r="C49" s="178"/>
      <c r="D49" s="14">
        <f>IF(F3="1",SUMIF(Data!A:A,'28'!$A$2,Data!DH:DH),0)</f>
        <v>21268</v>
      </c>
      <c r="E49" s="17">
        <f>IF($F$3="1",SUMIF(Data!$A:$A,$A$2,Data!JB:JB),0)</f>
        <v>29394</v>
      </c>
      <c r="F49" s="21">
        <f t="shared" si="3"/>
        <v>1.38</v>
      </c>
    </row>
    <row r="50" spans="1:6" x14ac:dyDescent="0.2">
      <c r="A50" s="19">
        <v>15</v>
      </c>
      <c r="B50" s="177" t="s">
        <v>13</v>
      </c>
      <c r="C50" s="178"/>
      <c r="D50" s="14">
        <f>IF(F3="1",SUMIF(Data!A:A,'28'!$A$2,Data!DI:DI),0)</f>
        <v>0</v>
      </c>
      <c r="E50" s="17">
        <f>IF($F$3="1",SUMIF(Data!$A:$A,$A$2,Data!JC:JC),0)</f>
        <v>0</v>
      </c>
      <c r="F50" s="21" t="str">
        <f t="shared" si="3"/>
        <v/>
      </c>
    </row>
    <row r="51" spans="1:6" x14ac:dyDescent="0.2">
      <c r="A51" s="19">
        <v>16</v>
      </c>
      <c r="B51" s="177" t="s">
        <v>14</v>
      </c>
      <c r="C51" s="178"/>
      <c r="D51" s="14">
        <f>IF(F3="1",SUMIF(Data!A:A,'28'!$A$2,Data!DJ:DJ),0)</f>
        <v>181653</v>
      </c>
      <c r="E51" s="17">
        <f>IF($F$3="1",SUMIF(Data!$A:$A,$A$2,Data!JD:JD),0)</f>
        <v>250549</v>
      </c>
      <c r="F51" s="21">
        <f t="shared" si="3"/>
        <v>1.38</v>
      </c>
    </row>
    <row r="52" spans="1:6" x14ac:dyDescent="0.2">
      <c r="A52" s="19">
        <v>17</v>
      </c>
      <c r="B52" s="177" t="s">
        <v>15</v>
      </c>
      <c r="C52" s="178"/>
      <c r="D52" s="14">
        <f>IF(F3="1",SUMIF(Data!A:A,'28'!$A$2,Data!DK:DK),0)</f>
        <v>20696</v>
      </c>
      <c r="E52" s="17">
        <f>IF($F$3="1",SUMIF(Data!$A:$A,$A$2,Data!JE:JE),0)</f>
        <v>11832</v>
      </c>
      <c r="F52" s="21">
        <f t="shared" si="3"/>
        <v>0.56999999999999995</v>
      </c>
    </row>
    <row r="53" spans="1:6" x14ac:dyDescent="0.2">
      <c r="A53" s="19">
        <v>18</v>
      </c>
      <c r="B53" s="177" t="s">
        <v>16</v>
      </c>
      <c r="C53" s="178"/>
      <c r="D53" s="14">
        <f>IF(F3="1",SUMIF(Data!A:A,'28'!$A$2,Data!DL:DL),0)</f>
        <v>50936</v>
      </c>
      <c r="E53" s="17">
        <f>IF($F$3="1",SUMIF(Data!$A:$A,$A$2,Data!JF:JF),0)</f>
        <v>48355</v>
      </c>
      <c r="F53" s="21">
        <f t="shared" si="3"/>
        <v>0.95</v>
      </c>
    </row>
    <row r="54" spans="1:6" x14ac:dyDescent="0.2">
      <c r="A54" s="19">
        <v>19</v>
      </c>
      <c r="B54" s="177" t="s">
        <v>17</v>
      </c>
      <c r="C54" s="178"/>
      <c r="D54" s="14">
        <f>IF(F3="1",SUMIF(Data!A:A,'28'!$A$2,Data!DM:DM),0)</f>
        <v>204496</v>
      </c>
      <c r="E54" s="17">
        <f>IF($F$3="1",SUMIF(Data!$A:$A,$A$2,Data!JG:JG),0)</f>
        <v>101103</v>
      </c>
      <c r="F54" s="21">
        <f t="shared" si="3"/>
        <v>0.49</v>
      </c>
    </row>
    <row r="55" spans="1:6" x14ac:dyDescent="0.2">
      <c r="A55" s="19">
        <v>20</v>
      </c>
      <c r="B55" s="177" t="s">
        <v>18</v>
      </c>
      <c r="C55" s="178"/>
      <c r="D55" s="14">
        <f>IF(F3="1",SUMIF(Data!A:A,'28'!$A$2,Data!DN:DN),0)</f>
        <v>0</v>
      </c>
      <c r="E55" s="17">
        <f>IF($F$3="1",SUMIF(Data!$A:$A,$A$2,Data!JH:JH),0)</f>
        <v>0</v>
      </c>
      <c r="F55" s="21" t="str">
        <f t="shared" si="3"/>
        <v/>
      </c>
    </row>
    <row r="56" spans="1:6" ht="14.25" customHeight="1" x14ac:dyDescent="0.2">
      <c r="A56" s="19">
        <v>21</v>
      </c>
      <c r="B56" s="177" t="s">
        <v>461</v>
      </c>
      <c r="C56" s="178"/>
      <c r="D56" s="14">
        <f>IF(F3="1",SUMIF(Data!A:A,'28'!$A$2,Data!DO:DO),0)</f>
        <v>45688</v>
      </c>
      <c r="E56" s="17">
        <f>IF($F$3="1",SUMIF(Data!$A:$A,$A$2,Data!JI:JI),0)</f>
        <v>43435</v>
      </c>
      <c r="F56" s="21">
        <f t="shared" si="3"/>
        <v>0.95</v>
      </c>
    </row>
    <row r="57" spans="1:6" x14ac:dyDescent="0.2">
      <c r="A57" s="19">
        <v>22</v>
      </c>
      <c r="B57" s="177" t="s">
        <v>19</v>
      </c>
      <c r="C57" s="178"/>
      <c r="D57" s="14">
        <f>IF(F3="1",SUMIF(Data!A:A,'28'!$A$2,Data!DP:DP),0)</f>
        <v>20112</v>
      </c>
      <c r="E57" s="17">
        <f>IF($F$3="1",SUMIF(Data!$A:$A,$A$2,Data!JJ:JJ),0)</f>
        <v>44807</v>
      </c>
      <c r="F57" s="21">
        <f t="shared" si="3"/>
        <v>2.23</v>
      </c>
    </row>
    <row r="58" spans="1:6" x14ac:dyDescent="0.2">
      <c r="A58" s="19">
        <v>23</v>
      </c>
      <c r="B58" s="177" t="s">
        <v>20</v>
      </c>
      <c r="C58" s="178"/>
      <c r="D58" s="14">
        <f>IF(F3="1",SUMIF(Data!A:A,'28'!$A$2,Data!DQ:DQ),0)</f>
        <v>54864</v>
      </c>
      <c r="E58" s="17">
        <f>IF($F$3="1",SUMIF(Data!$A:$A,$A$2,Data!JK:JK),0)</f>
        <v>19998</v>
      </c>
      <c r="F58" s="21">
        <f t="shared" si="3"/>
        <v>0.36</v>
      </c>
    </row>
    <row r="59" spans="1:6" x14ac:dyDescent="0.2">
      <c r="A59" s="19">
        <v>24</v>
      </c>
      <c r="B59" s="177" t="s">
        <v>21</v>
      </c>
      <c r="C59" s="178"/>
      <c r="D59" s="14">
        <f>IF(F3="1",SUMIF(Data!A:A,'28'!$A$2,Data!DR:DR),0)</f>
        <v>105240</v>
      </c>
      <c r="E59" s="17">
        <f>IF($F$3="1",SUMIF(Data!$A:$A,$A$2,Data!JL:JL),0)</f>
        <v>35594</v>
      </c>
      <c r="F59" s="21">
        <f t="shared" si="3"/>
        <v>0.34</v>
      </c>
    </row>
    <row r="60" spans="1:6" x14ac:dyDescent="0.2">
      <c r="A60" s="19">
        <v>25</v>
      </c>
      <c r="B60" s="177" t="s">
        <v>22</v>
      </c>
      <c r="C60" s="178"/>
      <c r="D60" s="14">
        <f>IF(F3="1",SUMIF(Data!A:A,'28'!$A$2,Data!DS:DS),0)</f>
        <v>283522</v>
      </c>
      <c r="E60" s="17">
        <f>IF($F$3="1",SUMIF(Data!$A:$A,$A$2,Data!JM:JM),0)</f>
        <v>32652</v>
      </c>
      <c r="F60" s="21">
        <f t="shared" si="3"/>
        <v>0.12</v>
      </c>
    </row>
    <row r="61" spans="1:6" x14ac:dyDescent="0.2">
      <c r="A61" s="19">
        <v>26</v>
      </c>
      <c r="B61" s="177" t="s">
        <v>23</v>
      </c>
      <c r="C61" s="178"/>
      <c r="D61" s="14">
        <f>IF(F3="1",SUMIF(Data!A:A,'28'!$A$2,Data!DT:DT),0)</f>
        <v>96352</v>
      </c>
      <c r="E61" s="17">
        <f>IF($F$3="1",SUMIF(Data!$A:$A,$A$2,Data!JN:JN),0)</f>
        <v>140152</v>
      </c>
      <c r="F61" s="21">
        <f t="shared" si="3"/>
        <v>1.45</v>
      </c>
    </row>
    <row r="62" spans="1:6" x14ac:dyDescent="0.2">
      <c r="A62" s="19">
        <v>28</v>
      </c>
      <c r="B62" s="177" t="s">
        <v>24</v>
      </c>
      <c r="C62" s="178"/>
      <c r="D62" s="14">
        <f>IF(F3="1",SUMIF(Data!A:A,'28'!$A$2,Data!DV:DV),0)</f>
        <v>0</v>
      </c>
      <c r="E62" s="17">
        <f>IF($F$3="1",SUMIF(Data!$A:$A,$A$2,Data!JP:JP),0)</f>
        <v>0</v>
      </c>
      <c r="F62" s="21" t="str">
        <f t="shared" si="3"/>
        <v/>
      </c>
    </row>
    <row r="63" spans="1:6" ht="15.75" customHeight="1" thickBot="1" x14ac:dyDescent="0.25">
      <c r="A63" s="22">
        <v>29</v>
      </c>
      <c r="B63" s="179" t="s">
        <v>25</v>
      </c>
      <c r="C63" s="180"/>
      <c r="D63" s="23">
        <f>IF(F3="1",SUMIF(Data!A:A,'28'!$A$2,Data!DW:DW),0)</f>
        <v>0</v>
      </c>
      <c r="E63" s="24">
        <f>IF($F$3="1",SUMIF(Data!$A:$A,$A$2,Data!JQ:JQ),0)</f>
        <v>0</v>
      </c>
      <c r="F63" s="25" t="str">
        <f t="shared" si="3"/>
        <v/>
      </c>
    </row>
    <row r="64" spans="1:6" x14ac:dyDescent="0.2">
      <c r="B64" s="30" t="s">
        <v>35</v>
      </c>
      <c r="C64" s="30"/>
      <c r="D64" s="59">
        <f>SUM(D36:D63)</f>
        <v>2164434</v>
      </c>
      <c r="E64" s="31">
        <f>SUM(E36:E63)</f>
        <v>1821931</v>
      </c>
      <c r="F64" s="32">
        <f t="shared" si="3"/>
        <v>0.84</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13248</v>
      </c>
      <c r="E67" s="15">
        <f>IF(F3="1",SUMIF(Data!A:A,'28'!$A$2,Data!DY:DY),0)</f>
        <v>50237</v>
      </c>
      <c r="F67" s="20">
        <f t="shared" ref="F67:F95" si="4">IF(OR(D67=0,E67=0),"",ROUND(E67/D67,2))</f>
        <v>3.79</v>
      </c>
    </row>
    <row r="68" spans="1:6" x14ac:dyDescent="0.2">
      <c r="A68" s="19">
        <v>2</v>
      </c>
      <c r="B68" s="177" t="s">
        <v>1</v>
      </c>
      <c r="C68" s="178"/>
      <c r="D68" s="14">
        <f t="shared" ref="D68:D94" si="5">D37</f>
        <v>84066</v>
      </c>
      <c r="E68" s="17">
        <f>IF(F3="1",SUMIF(Data!A:A,'28'!$A$2,Data!DZ:DZ),0)</f>
        <v>223180</v>
      </c>
      <c r="F68" s="21">
        <f t="shared" si="4"/>
        <v>2.65</v>
      </c>
    </row>
    <row r="69" spans="1:6" ht="14.25" customHeight="1" x14ac:dyDescent="0.2">
      <c r="A69" s="19">
        <v>3</v>
      </c>
      <c r="B69" s="177" t="s">
        <v>2</v>
      </c>
      <c r="C69" s="178"/>
      <c r="D69" s="14">
        <f t="shared" si="5"/>
        <v>260512</v>
      </c>
      <c r="E69" s="17">
        <f>IF(F3="1",SUMIF(Data!A:A,'28'!$A$2,Data!EA:EA),0)</f>
        <v>377095</v>
      </c>
      <c r="F69" s="21">
        <f t="shared" si="4"/>
        <v>1.45</v>
      </c>
    </row>
    <row r="70" spans="1:6" ht="14.25" customHeight="1" x14ac:dyDescent="0.2">
      <c r="A70" s="19">
        <v>4</v>
      </c>
      <c r="B70" s="177" t="s">
        <v>3</v>
      </c>
      <c r="C70" s="178"/>
      <c r="D70" s="14">
        <f t="shared" si="5"/>
        <v>155456</v>
      </c>
      <c r="E70" s="17">
        <f>IF(F3="1",SUMIF(Data!A:A,'28'!$A$2,Data!EB:EB),0)</f>
        <v>340572</v>
      </c>
      <c r="F70" s="21">
        <f t="shared" si="4"/>
        <v>2.19</v>
      </c>
    </row>
    <row r="71" spans="1:6" x14ac:dyDescent="0.2">
      <c r="A71" s="19">
        <v>5</v>
      </c>
      <c r="B71" s="177" t="s">
        <v>4</v>
      </c>
      <c r="C71" s="178"/>
      <c r="D71" s="14">
        <f t="shared" si="5"/>
        <v>0</v>
      </c>
      <c r="E71" s="17">
        <f>IF(F3="1",SUMIF(Data!A:A,'28'!$A$2,Data!EC:EC),0)</f>
        <v>0</v>
      </c>
      <c r="F71" s="21" t="str">
        <f t="shared" si="4"/>
        <v/>
      </c>
    </row>
    <row r="72" spans="1:6" x14ac:dyDescent="0.2">
      <c r="A72" s="19">
        <v>6</v>
      </c>
      <c r="B72" s="177" t="s">
        <v>5</v>
      </c>
      <c r="C72" s="178"/>
      <c r="D72" s="14">
        <f t="shared" si="5"/>
        <v>18480</v>
      </c>
      <c r="E72" s="17">
        <f>IF(F3="1",SUMIF(Data!A:A,'28'!$A$2,Data!ED:ED),0)</f>
        <v>90926</v>
      </c>
      <c r="F72" s="21">
        <f t="shared" si="4"/>
        <v>4.92</v>
      </c>
    </row>
    <row r="73" spans="1:6" x14ac:dyDescent="0.2">
      <c r="A73" s="19">
        <v>7</v>
      </c>
      <c r="B73" s="177" t="s">
        <v>6</v>
      </c>
      <c r="C73" s="178"/>
      <c r="D73" s="14">
        <f t="shared" si="5"/>
        <v>132335</v>
      </c>
      <c r="E73" s="17">
        <f>IF(F3="1",SUMIF(Data!A:A,'28'!$A$2,Data!EE:EE),0)</f>
        <v>247611</v>
      </c>
      <c r="F73" s="21">
        <f t="shared" si="4"/>
        <v>1.87</v>
      </c>
    </row>
    <row r="74" spans="1:6" x14ac:dyDescent="0.2">
      <c r="A74" s="19">
        <v>8</v>
      </c>
      <c r="B74" s="177" t="s">
        <v>7</v>
      </c>
      <c r="C74" s="178"/>
      <c r="D74" s="14">
        <f t="shared" si="5"/>
        <v>0</v>
      </c>
      <c r="E74" s="17">
        <f>IF(F3="1",SUMIF(Data!A:A,'28'!$A$2,Data!EF:EF),0)</f>
        <v>0</v>
      </c>
      <c r="F74" s="21" t="str">
        <f t="shared" si="4"/>
        <v/>
      </c>
    </row>
    <row r="75" spans="1:6" x14ac:dyDescent="0.2">
      <c r="A75" s="19">
        <v>9</v>
      </c>
      <c r="B75" s="177" t="s">
        <v>8</v>
      </c>
      <c r="C75" s="178"/>
      <c r="D75" s="14">
        <f t="shared" si="5"/>
        <v>33764</v>
      </c>
      <c r="E75" s="17">
        <f>IF(F3="1",SUMIF(Data!A:A,'28'!$A$2,Data!EG:EG),0)</f>
        <v>38325</v>
      </c>
      <c r="F75" s="21">
        <f t="shared" si="4"/>
        <v>1.1399999999999999</v>
      </c>
    </row>
    <row r="76" spans="1:6" x14ac:dyDescent="0.2">
      <c r="A76" s="19">
        <v>10</v>
      </c>
      <c r="B76" s="177" t="s">
        <v>9</v>
      </c>
      <c r="C76" s="178"/>
      <c r="D76" s="14">
        <f t="shared" si="5"/>
        <v>2030</v>
      </c>
      <c r="E76" s="17">
        <f>IF(F3="1",SUMIF(Data!A:A,'28'!$A$2,Data!EH:EH),0)</f>
        <v>7958</v>
      </c>
      <c r="F76" s="21">
        <f t="shared" si="4"/>
        <v>3.92</v>
      </c>
    </row>
    <row r="77" spans="1:6" x14ac:dyDescent="0.2">
      <c r="A77" s="19">
        <v>11</v>
      </c>
      <c r="B77" s="177" t="s">
        <v>10</v>
      </c>
      <c r="C77" s="178"/>
      <c r="D77" s="14">
        <f t="shared" si="5"/>
        <v>54868</v>
      </c>
      <c r="E77" s="17">
        <f>IF(F3="1",SUMIF(Data!A:A,'28'!$A$2,Data!EI:EI),0)</f>
        <v>204223</v>
      </c>
      <c r="F77" s="21">
        <f t="shared" si="4"/>
        <v>3.72</v>
      </c>
    </row>
    <row r="78" spans="1:6" ht="14.25" customHeight="1" x14ac:dyDescent="0.2">
      <c r="A78" s="19">
        <v>12</v>
      </c>
      <c r="B78" s="177" t="s">
        <v>11</v>
      </c>
      <c r="C78" s="178"/>
      <c r="D78" s="14">
        <f t="shared" si="5"/>
        <v>269056</v>
      </c>
      <c r="E78" s="17">
        <f>IF(F3="1",SUMIF(Data!A:A,'28'!$A$2,Data!EJ:EJ),0)</f>
        <v>568163</v>
      </c>
      <c r="F78" s="21">
        <f t="shared" si="4"/>
        <v>2.11</v>
      </c>
    </row>
    <row r="79" spans="1:6" x14ac:dyDescent="0.2">
      <c r="A79" s="19">
        <v>13</v>
      </c>
      <c r="B79" s="177" t="s">
        <v>12</v>
      </c>
      <c r="C79" s="178"/>
      <c r="D79" s="14">
        <f t="shared" si="5"/>
        <v>55792</v>
      </c>
      <c r="E79" s="17">
        <f>IF(F3="1",SUMIF(Data!A:A,'28'!$A$2,Data!EK:EK),0)</f>
        <v>97054</v>
      </c>
      <c r="F79" s="21">
        <f t="shared" si="4"/>
        <v>1.74</v>
      </c>
    </row>
    <row r="80" spans="1:6" ht="14.25" customHeight="1" x14ac:dyDescent="0.2">
      <c r="A80" s="19">
        <v>14</v>
      </c>
      <c r="B80" s="177" t="s">
        <v>464</v>
      </c>
      <c r="C80" s="178"/>
      <c r="D80" s="14">
        <f t="shared" si="5"/>
        <v>21268</v>
      </c>
      <c r="E80" s="17">
        <f>IF(F3="1",SUMIF(Data!A:A,'28'!$A$2,Data!EL:EL),0)</f>
        <v>86554</v>
      </c>
      <c r="F80" s="21">
        <f t="shared" si="4"/>
        <v>4.07</v>
      </c>
    </row>
    <row r="81" spans="1:6" x14ac:dyDescent="0.2">
      <c r="A81" s="19">
        <v>15</v>
      </c>
      <c r="B81" s="177" t="s">
        <v>13</v>
      </c>
      <c r="C81" s="178"/>
      <c r="D81" s="14">
        <f t="shared" si="5"/>
        <v>0</v>
      </c>
      <c r="E81" s="17">
        <f>IF(F3="1",SUMIF(Data!A:A,'28'!$A$2,Data!EM:EM),0)</f>
        <v>0</v>
      </c>
      <c r="F81" s="21" t="str">
        <f t="shared" si="4"/>
        <v/>
      </c>
    </row>
    <row r="82" spans="1:6" x14ac:dyDescent="0.2">
      <c r="A82" s="19">
        <v>16</v>
      </c>
      <c r="B82" s="177" t="s">
        <v>14</v>
      </c>
      <c r="C82" s="178"/>
      <c r="D82" s="14">
        <f t="shared" si="5"/>
        <v>181653</v>
      </c>
      <c r="E82" s="17">
        <f>IF(F3="1",SUMIF(Data!A:A,'28'!$A$2,Data!EN:EN),0)</f>
        <v>737771</v>
      </c>
      <c r="F82" s="21">
        <f t="shared" si="4"/>
        <v>4.0599999999999996</v>
      </c>
    </row>
    <row r="83" spans="1:6" x14ac:dyDescent="0.2">
      <c r="A83" s="19">
        <v>17</v>
      </c>
      <c r="B83" s="177" t="s">
        <v>15</v>
      </c>
      <c r="C83" s="178"/>
      <c r="D83" s="14">
        <f t="shared" si="5"/>
        <v>20696</v>
      </c>
      <c r="E83" s="17">
        <f>IF(F3="1",SUMIF(Data!A:A,'28'!$A$2,Data!EO:EO),0)</f>
        <v>108541</v>
      </c>
      <c r="F83" s="21">
        <f t="shared" si="4"/>
        <v>5.24</v>
      </c>
    </row>
    <row r="84" spans="1:6" x14ac:dyDescent="0.2">
      <c r="A84" s="19">
        <v>18</v>
      </c>
      <c r="B84" s="177" t="s">
        <v>16</v>
      </c>
      <c r="C84" s="178"/>
      <c r="D84" s="14">
        <f t="shared" si="5"/>
        <v>50936</v>
      </c>
      <c r="E84" s="17">
        <f>IF(F3="1",SUMIF(Data!A:A,'28'!$A$2,Data!EP:EP),0)</f>
        <v>224789</v>
      </c>
      <c r="F84" s="21">
        <f t="shared" si="4"/>
        <v>4.41</v>
      </c>
    </row>
    <row r="85" spans="1:6" x14ac:dyDescent="0.2">
      <c r="A85" s="19">
        <v>19</v>
      </c>
      <c r="B85" s="177" t="s">
        <v>17</v>
      </c>
      <c r="C85" s="178"/>
      <c r="D85" s="14">
        <f t="shared" si="5"/>
        <v>204496</v>
      </c>
      <c r="E85" s="17">
        <f>IF(F3="1",SUMIF(Data!A:A,'28'!$A$2,Data!EQ:EQ),0)</f>
        <v>434419</v>
      </c>
      <c r="F85" s="21">
        <f t="shared" si="4"/>
        <v>2.12</v>
      </c>
    </row>
    <row r="86" spans="1:6" x14ac:dyDescent="0.2">
      <c r="A86" s="19">
        <v>20</v>
      </c>
      <c r="B86" s="177" t="s">
        <v>18</v>
      </c>
      <c r="C86" s="178"/>
      <c r="D86" s="14">
        <f t="shared" si="5"/>
        <v>0</v>
      </c>
      <c r="E86" s="17">
        <f>IF(F3="1",SUMIF(Data!A:A,'28'!$A$2,Data!ER:ER),0)</f>
        <v>0</v>
      </c>
      <c r="F86" s="21" t="str">
        <f t="shared" si="4"/>
        <v/>
      </c>
    </row>
    <row r="87" spans="1:6" ht="14.25" customHeight="1" x14ac:dyDescent="0.2">
      <c r="A87" s="19">
        <v>21</v>
      </c>
      <c r="B87" s="177" t="s">
        <v>461</v>
      </c>
      <c r="C87" s="178"/>
      <c r="D87" s="14">
        <f t="shared" si="5"/>
        <v>45688</v>
      </c>
      <c r="E87" s="17">
        <f>IF(F3="1",SUMIF(Data!A:A,'28'!$A$2,Data!ES:ES),0)</f>
        <v>465741</v>
      </c>
      <c r="F87" s="21">
        <f t="shared" si="4"/>
        <v>10.19</v>
      </c>
    </row>
    <row r="88" spans="1:6" x14ac:dyDescent="0.2">
      <c r="A88" s="19">
        <v>22</v>
      </c>
      <c r="B88" s="177" t="s">
        <v>19</v>
      </c>
      <c r="C88" s="178"/>
      <c r="D88" s="14">
        <f t="shared" si="5"/>
        <v>20112</v>
      </c>
      <c r="E88" s="17">
        <f>IF(F3="1",SUMIF(Data!A:A,'28'!$A$2,Data!ET:ET),0)</f>
        <v>89634</v>
      </c>
      <c r="F88" s="21">
        <f t="shared" si="4"/>
        <v>4.46</v>
      </c>
    </row>
    <row r="89" spans="1:6" x14ac:dyDescent="0.2">
      <c r="A89" s="19">
        <v>23</v>
      </c>
      <c r="B89" s="177" t="s">
        <v>20</v>
      </c>
      <c r="C89" s="178"/>
      <c r="D89" s="14">
        <f t="shared" si="5"/>
        <v>54864</v>
      </c>
      <c r="E89" s="17">
        <f>IF(F3="1",SUMIF(Data!A:A,'28'!$A$2,Data!EU:EU),0)</f>
        <v>326068</v>
      </c>
      <c r="F89" s="21">
        <f t="shared" si="4"/>
        <v>5.94</v>
      </c>
    </row>
    <row r="90" spans="1:6" x14ac:dyDescent="0.2">
      <c r="A90" s="19">
        <v>24</v>
      </c>
      <c r="B90" s="177" t="s">
        <v>21</v>
      </c>
      <c r="C90" s="178"/>
      <c r="D90" s="14">
        <f t="shared" si="5"/>
        <v>105240</v>
      </c>
      <c r="E90" s="17">
        <f>IF(F3="1",SUMIF(Data!A:A,'28'!$A$2,Data!EV:EV),0)</f>
        <v>147012</v>
      </c>
      <c r="F90" s="21">
        <f t="shared" si="4"/>
        <v>1.4</v>
      </c>
    </row>
    <row r="91" spans="1:6" x14ac:dyDescent="0.2">
      <c r="A91" s="19">
        <v>25</v>
      </c>
      <c r="B91" s="177" t="s">
        <v>22</v>
      </c>
      <c r="C91" s="178"/>
      <c r="D91" s="14">
        <f t="shared" si="5"/>
        <v>283522</v>
      </c>
      <c r="E91" s="17">
        <f>IF(F3="1",SUMIF(Data!A:A,'28'!$A$2,Data!EW:EW),0)</f>
        <v>705759</v>
      </c>
      <c r="F91" s="21">
        <f t="shared" si="4"/>
        <v>2.4900000000000002</v>
      </c>
    </row>
    <row r="92" spans="1:6" x14ac:dyDescent="0.2">
      <c r="A92" s="19">
        <v>26</v>
      </c>
      <c r="B92" s="177" t="s">
        <v>23</v>
      </c>
      <c r="C92" s="178"/>
      <c r="D92" s="14">
        <f t="shared" si="5"/>
        <v>96352</v>
      </c>
      <c r="E92" s="17">
        <f>IF(F3="1",SUMIF(Data!A:A,'28'!$A$2,Data!EX:EX),0)</f>
        <v>377057</v>
      </c>
      <c r="F92" s="21">
        <f t="shared" si="4"/>
        <v>3.91</v>
      </c>
    </row>
    <row r="93" spans="1:6" x14ac:dyDescent="0.2">
      <c r="A93" s="19">
        <v>28</v>
      </c>
      <c r="B93" s="177" t="s">
        <v>24</v>
      </c>
      <c r="C93" s="178"/>
      <c r="D93" s="14">
        <f t="shared" si="5"/>
        <v>0</v>
      </c>
      <c r="E93" s="17">
        <f>IF(F3="1",SUMIF(Data!A:A,'28'!$A$2,Data!EZ:EZ),0)</f>
        <v>0</v>
      </c>
      <c r="F93" s="21" t="str">
        <f t="shared" si="4"/>
        <v/>
      </c>
    </row>
    <row r="94" spans="1:6" ht="15.75" customHeight="1" thickBot="1" x14ac:dyDescent="0.25">
      <c r="A94" s="22">
        <v>29</v>
      </c>
      <c r="B94" s="179" t="s">
        <v>25</v>
      </c>
      <c r="C94" s="180"/>
      <c r="D94" s="23">
        <f t="shared" si="5"/>
        <v>0</v>
      </c>
      <c r="E94" s="24">
        <f>IF(F3="1",SUMIF(Data!A:A,'28'!$A$2,Data!FA:FA),0)</f>
        <v>0</v>
      </c>
      <c r="F94" s="25" t="str">
        <f t="shared" si="4"/>
        <v/>
      </c>
    </row>
    <row r="95" spans="1:6" x14ac:dyDescent="0.2">
      <c r="B95" s="30" t="s">
        <v>35</v>
      </c>
      <c r="C95" s="30"/>
      <c r="D95" s="59">
        <f>SUM(D67:D94)</f>
        <v>2164434</v>
      </c>
      <c r="E95" s="31">
        <f>SUM(E67:E94)</f>
        <v>5948689</v>
      </c>
      <c r="F95" s="32">
        <f t="shared" si="4"/>
        <v>2.75</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IF(F3="1",SUMIF(Data!A:A,'28'!$A$2,Data!AH:AH),0)</f>
        <v>2259552</v>
      </c>
      <c r="F98" s="20">
        <f>IF(OR(E98=0,E98=0),"",ROUND(E98/$D$105,2))</f>
        <v>1.04</v>
      </c>
    </row>
    <row r="99" spans="2:6" x14ac:dyDescent="0.2">
      <c r="B99" s="183" t="s">
        <v>31</v>
      </c>
      <c r="C99" s="184"/>
      <c r="D99" s="36"/>
      <c r="E99" s="17">
        <f>IF(F3="1",SUMIF(Data!A:A,'28'!$A$2,Data!AI:AI),0)</f>
        <v>1385599</v>
      </c>
      <c r="F99" s="21">
        <f t="shared" ref="F99:F104" si="6">IF(OR(E99=0,E99=0),"",ROUND(E99/$D$105,2))</f>
        <v>0.64</v>
      </c>
    </row>
    <row r="100" spans="2:6" x14ac:dyDescent="0.2">
      <c r="B100" s="183" t="s">
        <v>1078</v>
      </c>
      <c r="C100" s="184"/>
      <c r="D100" s="36"/>
      <c r="E100" s="17">
        <f>IF(F3="1",SUMIF(Data!A:A,'28'!$A$2,Data!AJ:AJ),0)</f>
        <v>522009</v>
      </c>
      <c r="F100" s="21">
        <f t="shared" si="6"/>
        <v>0.24</v>
      </c>
    </row>
    <row r="101" spans="2:6" x14ac:dyDescent="0.2">
      <c r="B101" s="183" t="s">
        <v>1079</v>
      </c>
      <c r="C101" s="184"/>
      <c r="D101" s="36"/>
      <c r="E101" s="17">
        <f>IF(F3="1",SUMIF(Data!A:A,'28'!$A$2,Data!AK:AK),0)</f>
        <v>1795751</v>
      </c>
      <c r="F101" s="21">
        <f t="shared" si="6"/>
        <v>0.83</v>
      </c>
    </row>
    <row r="102" spans="2:6" x14ac:dyDescent="0.2">
      <c r="B102" s="183" t="s">
        <v>1080</v>
      </c>
      <c r="C102" s="184"/>
      <c r="D102" s="36"/>
      <c r="E102" s="17">
        <f>IF(F3="1",SUMIF(Data!A:A,'28'!$A$2,Data!AL:AL),0)</f>
        <v>191695</v>
      </c>
      <c r="F102" s="21">
        <f t="shared" si="6"/>
        <v>0.09</v>
      </c>
    </row>
    <row r="103" spans="2:6" x14ac:dyDescent="0.2">
      <c r="B103" s="185" t="s">
        <v>34</v>
      </c>
      <c r="C103" s="186"/>
      <c r="D103" s="36"/>
      <c r="E103" s="17">
        <f>IF(F3="1",SUMIF(Data!A:A,'28'!$A$2,Data!AM:AM),0)</f>
        <v>0</v>
      </c>
      <c r="F103" s="21" t="str">
        <f t="shared" si="6"/>
        <v/>
      </c>
    </row>
    <row r="104" spans="2:6" ht="15.75" customHeight="1" thickBot="1" x14ac:dyDescent="0.25">
      <c r="B104" s="175" t="s">
        <v>29</v>
      </c>
      <c r="C104" s="176"/>
      <c r="D104" s="37"/>
      <c r="E104" s="24">
        <f>IF(F3="1",SUMIF(Data!A:A,'28'!$A$2,Data!Q:Q),0)</f>
        <v>1462474</v>
      </c>
      <c r="F104" s="25">
        <f t="shared" si="6"/>
        <v>0.68</v>
      </c>
    </row>
    <row r="105" spans="2:6" x14ac:dyDescent="0.2">
      <c r="B105" s="30" t="s">
        <v>35</v>
      </c>
      <c r="C105" s="30"/>
      <c r="D105" s="34">
        <f>D95</f>
        <v>2164434</v>
      </c>
      <c r="E105" s="31">
        <f>SUM(E98:E104)</f>
        <v>7617080</v>
      </c>
      <c r="F105" s="32">
        <f>IF($D$105=0,"",ROUND(E105/$D$105,2))</f>
        <v>3.52</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5948689</v>
      </c>
      <c r="D109" s="15">
        <f>IF(F3="1",SUMIF(Data!$A:$A,$A$2,Data!HJ:HJ),0)</f>
        <v>0</v>
      </c>
      <c r="E109" s="15">
        <f>IF(F3="1",SUMIF(Data!$A:$A,$A$2,Data!IN:IN),0)</f>
        <v>0</v>
      </c>
      <c r="F109" s="47">
        <f>SUM(C109:E109)</f>
        <v>5948689</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191695</v>
      </c>
      <c r="F116" s="48">
        <f t="shared" si="7"/>
        <v>191695</v>
      </c>
    </row>
    <row r="117" spans="1:6" ht="15" thickBot="1" x14ac:dyDescent="0.25">
      <c r="B117" s="43" t="s">
        <v>933</v>
      </c>
      <c r="C117" s="52"/>
      <c r="D117" s="52">
        <f>IF(F3="1",SUMIF(Data!A:A,$A$2,Data!Q:Q),0)</f>
        <v>1462474</v>
      </c>
      <c r="E117" s="52"/>
      <c r="F117" s="49">
        <f>SUM(C117:E117)</f>
        <v>1462474</v>
      </c>
    </row>
    <row r="118" spans="1:6" x14ac:dyDescent="0.2">
      <c r="B118" s="13" t="s">
        <v>35</v>
      </c>
      <c r="C118" s="4">
        <f>SUM(C109:C116)</f>
        <v>5948689</v>
      </c>
      <c r="D118" s="4">
        <f>SUM(D109:D116)</f>
        <v>0</v>
      </c>
      <c r="E118" s="4">
        <f>SUM(E109:E116)</f>
        <v>191695</v>
      </c>
      <c r="F118" s="4">
        <f>SUM(F109:F116)</f>
        <v>6140384</v>
      </c>
    </row>
    <row r="119" spans="1:6" ht="15" thickBot="1" x14ac:dyDescent="0.25"/>
    <row r="120" spans="1:6" ht="15" thickBot="1" x14ac:dyDescent="0.25">
      <c r="B120" s="55" t="s">
        <v>934</v>
      </c>
      <c r="C120" s="53"/>
      <c r="D120" s="53"/>
      <c r="E120" s="53">
        <f>IF(F3="1",SUMIF(Data!A:A,'28'!$A$2,Data!AM:AM),0)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384</v>
      </c>
      <c r="B2" s="58" t="str">
        <f>VLOOKUP(A2,Data!A:G,7,0)</f>
        <v>Navarro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5808</v>
      </c>
      <c r="E5" s="15">
        <f>E36+E67+IFERROR($E$105/$D$105*D5,0)</f>
        <v>17081.876563125403</v>
      </c>
      <c r="F5" s="20">
        <f>IF(OR(D5=0,E5=0),"",ROUND(E5/D5,2))</f>
        <v>2.94</v>
      </c>
    </row>
    <row r="6" spans="1:6" x14ac:dyDescent="0.2">
      <c r="A6" s="19">
        <v>2</v>
      </c>
      <c r="B6" s="177" t="s">
        <v>1</v>
      </c>
      <c r="C6" s="178"/>
      <c r="D6" s="14">
        <f t="shared" ref="D6:D32" si="0">D37</f>
        <v>16352</v>
      </c>
      <c r="E6" s="17">
        <f t="shared" ref="E6:E32" si="1">E37+E68+IFERROR($E$105/$D$105*D6,0)</f>
        <v>94103.68002070018</v>
      </c>
      <c r="F6" s="21">
        <f t="shared" ref="F6:F33" si="2">IF(OR(D6=0,E6=0),"",ROUND(E6/D6,2))</f>
        <v>5.75</v>
      </c>
    </row>
    <row r="7" spans="1:6" ht="14.25" customHeight="1" x14ac:dyDescent="0.2">
      <c r="A7" s="19">
        <v>3</v>
      </c>
      <c r="B7" s="177" t="s">
        <v>2</v>
      </c>
      <c r="C7" s="178"/>
      <c r="D7" s="14">
        <f t="shared" si="0"/>
        <v>197088</v>
      </c>
      <c r="E7" s="17">
        <f t="shared" si="1"/>
        <v>920909.83610076783</v>
      </c>
      <c r="F7" s="21">
        <f t="shared" si="2"/>
        <v>4.67</v>
      </c>
    </row>
    <row r="8" spans="1:6" ht="14.25" customHeight="1" x14ac:dyDescent="0.2">
      <c r="A8" s="19">
        <v>4</v>
      </c>
      <c r="B8" s="177" t="s">
        <v>3</v>
      </c>
      <c r="C8" s="178"/>
      <c r="D8" s="14">
        <f t="shared" si="0"/>
        <v>174108</v>
      </c>
      <c r="E8" s="17">
        <f t="shared" si="1"/>
        <v>897004.7769718729</v>
      </c>
      <c r="F8" s="21">
        <f t="shared" si="2"/>
        <v>5.15</v>
      </c>
    </row>
    <row r="9" spans="1:6" x14ac:dyDescent="0.2">
      <c r="A9" s="19">
        <v>5</v>
      </c>
      <c r="B9" s="177" t="s">
        <v>4</v>
      </c>
      <c r="C9" s="178"/>
      <c r="D9" s="14">
        <f t="shared" si="0"/>
        <v>1024</v>
      </c>
      <c r="E9" s="17">
        <f t="shared" si="1"/>
        <v>51616.578787989049</v>
      </c>
      <c r="F9" s="21">
        <f t="shared" si="2"/>
        <v>50.41</v>
      </c>
    </row>
    <row r="10" spans="1:6" x14ac:dyDescent="0.2">
      <c r="A10" s="19">
        <v>6</v>
      </c>
      <c r="B10" s="177" t="s">
        <v>5</v>
      </c>
      <c r="C10" s="178"/>
      <c r="D10" s="14">
        <f t="shared" si="0"/>
        <v>8752</v>
      </c>
      <c r="E10" s="17">
        <f t="shared" si="1"/>
        <v>217950.29057859394</v>
      </c>
      <c r="F10" s="21">
        <f t="shared" si="2"/>
        <v>24.9</v>
      </c>
    </row>
    <row r="11" spans="1:6" x14ac:dyDescent="0.2">
      <c r="A11" s="19">
        <v>7</v>
      </c>
      <c r="B11" s="177" t="s">
        <v>6</v>
      </c>
      <c r="C11" s="178"/>
      <c r="D11" s="14">
        <f t="shared" si="0"/>
        <v>209320</v>
      </c>
      <c r="E11" s="17">
        <f t="shared" si="1"/>
        <v>976378.0155291683</v>
      </c>
      <c r="F11" s="21">
        <f t="shared" si="2"/>
        <v>4.66</v>
      </c>
    </row>
    <row r="12" spans="1:6" x14ac:dyDescent="0.2">
      <c r="A12" s="19">
        <v>8</v>
      </c>
      <c r="B12" s="177" t="s">
        <v>7</v>
      </c>
      <c r="C12" s="178"/>
      <c r="D12" s="14">
        <f t="shared" si="0"/>
        <v>0</v>
      </c>
      <c r="E12" s="17">
        <f t="shared" si="1"/>
        <v>0</v>
      </c>
      <c r="F12" s="21" t="str">
        <f t="shared" si="2"/>
        <v/>
      </c>
    </row>
    <row r="13" spans="1:6" x14ac:dyDescent="0.2">
      <c r="A13" s="19">
        <v>9</v>
      </c>
      <c r="B13" s="177" t="s">
        <v>8</v>
      </c>
      <c r="C13" s="178"/>
      <c r="D13" s="14">
        <f t="shared" si="0"/>
        <v>29040</v>
      </c>
      <c r="E13" s="17">
        <f t="shared" si="1"/>
        <v>103808.38281562702</v>
      </c>
      <c r="F13" s="21">
        <f t="shared" si="2"/>
        <v>3.57</v>
      </c>
    </row>
    <row r="14" spans="1:6" x14ac:dyDescent="0.2">
      <c r="A14" s="19">
        <v>10</v>
      </c>
      <c r="B14" s="177" t="s">
        <v>9</v>
      </c>
      <c r="C14" s="178"/>
      <c r="D14" s="14">
        <f t="shared" si="0"/>
        <v>896</v>
      </c>
      <c r="E14" s="17">
        <f t="shared" si="1"/>
        <v>83015.256439490418</v>
      </c>
      <c r="F14" s="21">
        <f t="shared" si="2"/>
        <v>92.65</v>
      </c>
    </row>
    <row r="15" spans="1:6" x14ac:dyDescent="0.2">
      <c r="A15" s="19">
        <v>11</v>
      </c>
      <c r="B15" s="177" t="s">
        <v>10</v>
      </c>
      <c r="C15" s="178"/>
      <c r="D15" s="14">
        <f t="shared" si="0"/>
        <v>0</v>
      </c>
      <c r="E15" s="17">
        <f t="shared" si="1"/>
        <v>0</v>
      </c>
      <c r="F15" s="21" t="str">
        <f t="shared" si="2"/>
        <v/>
      </c>
    </row>
    <row r="16" spans="1:6" ht="14.25" customHeight="1" x14ac:dyDescent="0.2">
      <c r="A16" s="19">
        <v>12</v>
      </c>
      <c r="B16" s="177" t="s">
        <v>11</v>
      </c>
      <c r="C16" s="178"/>
      <c r="D16" s="14">
        <f t="shared" si="0"/>
        <v>331824</v>
      </c>
      <c r="E16" s="17">
        <f t="shared" si="1"/>
        <v>1564980.8981891398</v>
      </c>
      <c r="F16" s="21">
        <f t="shared" si="2"/>
        <v>4.72</v>
      </c>
    </row>
    <row r="17" spans="1:6" x14ac:dyDescent="0.2">
      <c r="A17" s="19">
        <v>13</v>
      </c>
      <c r="B17" s="177" t="s">
        <v>12</v>
      </c>
      <c r="C17" s="178"/>
      <c r="D17" s="14">
        <f t="shared" si="0"/>
        <v>15728</v>
      </c>
      <c r="E17" s="17">
        <f t="shared" si="1"/>
        <v>83564.85857176935</v>
      </c>
      <c r="F17" s="21">
        <f t="shared" si="2"/>
        <v>5.31</v>
      </c>
    </row>
    <row r="18" spans="1:6" ht="14.25" customHeight="1" x14ac:dyDescent="0.2">
      <c r="A18" s="19">
        <v>14</v>
      </c>
      <c r="B18" s="177" t="s">
        <v>464</v>
      </c>
      <c r="C18" s="178"/>
      <c r="D18" s="14">
        <f t="shared" si="0"/>
        <v>182912</v>
      </c>
      <c r="E18" s="17">
        <f t="shared" si="1"/>
        <v>1189452.6360045443</v>
      </c>
      <c r="F18" s="21">
        <f t="shared" si="2"/>
        <v>6.5</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31872</v>
      </c>
      <c r="E20" s="17">
        <f t="shared" si="1"/>
        <v>310645.26477615925</v>
      </c>
      <c r="F20" s="21">
        <f t="shared" si="2"/>
        <v>9.75</v>
      </c>
    </row>
    <row r="21" spans="1:6" x14ac:dyDescent="0.2">
      <c r="A21" s="19">
        <v>17</v>
      </c>
      <c r="B21" s="177" t="s">
        <v>15</v>
      </c>
      <c r="C21" s="178"/>
      <c r="D21" s="14">
        <f t="shared" si="0"/>
        <v>0</v>
      </c>
      <c r="E21" s="17">
        <f t="shared" si="1"/>
        <v>0</v>
      </c>
      <c r="F21" s="21" t="str">
        <f t="shared" si="2"/>
        <v/>
      </c>
    </row>
    <row r="22" spans="1:6" x14ac:dyDescent="0.2">
      <c r="A22" s="19">
        <v>18</v>
      </c>
      <c r="B22" s="177" t="s">
        <v>16</v>
      </c>
      <c r="C22" s="178"/>
      <c r="D22" s="14">
        <f t="shared" si="0"/>
        <v>0</v>
      </c>
      <c r="E22" s="17">
        <f t="shared" si="1"/>
        <v>0</v>
      </c>
      <c r="F22" s="21" t="str">
        <f t="shared" si="2"/>
        <v/>
      </c>
    </row>
    <row r="23" spans="1:6" x14ac:dyDescent="0.2">
      <c r="A23" s="19">
        <v>19</v>
      </c>
      <c r="B23" s="177" t="s">
        <v>17</v>
      </c>
      <c r="C23" s="178"/>
      <c r="D23" s="14">
        <f t="shared" si="0"/>
        <v>204128</v>
      </c>
      <c r="E23" s="17">
        <f t="shared" si="1"/>
        <v>978605.56526819256</v>
      </c>
      <c r="F23" s="21">
        <f t="shared" si="2"/>
        <v>4.79</v>
      </c>
    </row>
    <row r="24" spans="1:6" x14ac:dyDescent="0.2">
      <c r="A24" s="19">
        <v>20</v>
      </c>
      <c r="B24" s="177" t="s">
        <v>18</v>
      </c>
      <c r="C24" s="178"/>
      <c r="D24" s="14">
        <f t="shared" si="0"/>
        <v>0</v>
      </c>
      <c r="E24" s="17">
        <f t="shared" si="1"/>
        <v>0</v>
      </c>
      <c r="F24" s="21" t="str">
        <f t="shared" si="2"/>
        <v/>
      </c>
    </row>
    <row r="25" spans="1:6" ht="14.25" customHeight="1" x14ac:dyDescent="0.2">
      <c r="A25" s="19">
        <v>21</v>
      </c>
      <c r="B25" s="177" t="s">
        <v>461</v>
      </c>
      <c r="C25" s="178"/>
      <c r="D25" s="14">
        <f t="shared" si="0"/>
        <v>27004</v>
      </c>
      <c r="E25" s="17">
        <f t="shared" si="1"/>
        <v>290032.81795982068</v>
      </c>
      <c r="F25" s="21">
        <f t="shared" si="2"/>
        <v>10.74</v>
      </c>
    </row>
    <row r="26" spans="1:6" x14ac:dyDescent="0.2">
      <c r="A26" s="19">
        <v>22</v>
      </c>
      <c r="B26" s="177" t="s">
        <v>19</v>
      </c>
      <c r="C26" s="178"/>
      <c r="D26" s="14">
        <f t="shared" si="0"/>
        <v>0</v>
      </c>
      <c r="E26" s="17">
        <f t="shared" si="1"/>
        <v>0</v>
      </c>
      <c r="F26" s="21" t="str">
        <f t="shared" si="2"/>
        <v/>
      </c>
    </row>
    <row r="27" spans="1:6" x14ac:dyDescent="0.2">
      <c r="A27" s="19">
        <v>23</v>
      </c>
      <c r="B27" s="177" t="s">
        <v>20</v>
      </c>
      <c r="C27" s="178"/>
      <c r="D27" s="14">
        <f t="shared" si="0"/>
        <v>107520</v>
      </c>
      <c r="E27" s="17">
        <f t="shared" si="1"/>
        <v>530123.77273885044</v>
      </c>
      <c r="F27" s="21">
        <f t="shared" si="2"/>
        <v>4.93</v>
      </c>
    </row>
    <row r="28" spans="1:6" x14ac:dyDescent="0.2">
      <c r="A28" s="19">
        <v>24</v>
      </c>
      <c r="B28" s="177" t="s">
        <v>21</v>
      </c>
      <c r="C28" s="178"/>
      <c r="D28" s="14">
        <f t="shared" si="0"/>
        <v>27600</v>
      </c>
      <c r="E28" s="17">
        <f t="shared" si="1"/>
        <v>211086.25639501741</v>
      </c>
      <c r="F28" s="21">
        <f t="shared" si="2"/>
        <v>7.65</v>
      </c>
    </row>
    <row r="29" spans="1:6" x14ac:dyDescent="0.2">
      <c r="A29" s="19">
        <v>25</v>
      </c>
      <c r="B29" s="177" t="s">
        <v>22</v>
      </c>
      <c r="C29" s="178"/>
      <c r="D29" s="14">
        <f t="shared" si="0"/>
        <v>283504</v>
      </c>
      <c r="E29" s="17">
        <f t="shared" si="1"/>
        <v>1180385.2116309064</v>
      </c>
      <c r="F29" s="21">
        <f t="shared" si="2"/>
        <v>4.16</v>
      </c>
    </row>
    <row r="30" spans="1:6" x14ac:dyDescent="0.2">
      <c r="A30" s="19">
        <v>26</v>
      </c>
      <c r="B30" s="177" t="s">
        <v>23</v>
      </c>
      <c r="C30" s="178"/>
      <c r="D30" s="14">
        <f t="shared" si="0"/>
        <v>124248</v>
      </c>
      <c r="E30" s="17">
        <f t="shared" si="1"/>
        <v>655569.02465826529</v>
      </c>
      <c r="F30" s="21">
        <f t="shared" si="2"/>
        <v>5.28</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1978728</v>
      </c>
      <c r="E33" s="31">
        <f>SUM(E5:E32)</f>
        <v>10356315</v>
      </c>
      <c r="F33" s="32">
        <f t="shared" si="2"/>
        <v>5.23</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IF(F3="1",SUMIF(Data!A:A,'29'!$A$2,Data!CU:CU),0)</f>
        <v>5808</v>
      </c>
      <c r="E36" s="15">
        <f>IF(F3="1",SUMIF(Data!$A:$A,$A$2,Data!IO:IO),0)</f>
        <v>675</v>
      </c>
      <c r="F36" s="20">
        <f t="shared" ref="F36:F64" si="3">IF(OR(D36=0,E36=0),"",ROUND(E36/D36,2))</f>
        <v>0.12</v>
      </c>
    </row>
    <row r="37" spans="1:6" x14ac:dyDescent="0.2">
      <c r="A37" s="19">
        <v>2</v>
      </c>
      <c r="B37" s="177" t="s">
        <v>1</v>
      </c>
      <c r="C37" s="178"/>
      <c r="D37" s="14">
        <f>IF(F3="1",SUMIF(Data!A:A,'29'!$A$2,Data!CV:CV),0)</f>
        <v>16352</v>
      </c>
      <c r="E37" s="17">
        <f>IF(F3="1",SUMIF(Data!$A:$A,$A$2,Data!IP:IP),0)</f>
        <v>772</v>
      </c>
      <c r="F37" s="21">
        <f t="shared" si="3"/>
        <v>0.05</v>
      </c>
    </row>
    <row r="38" spans="1:6" ht="14.25" customHeight="1" x14ac:dyDescent="0.2">
      <c r="A38" s="19">
        <v>3</v>
      </c>
      <c r="B38" s="177" t="s">
        <v>2</v>
      </c>
      <c r="C38" s="178"/>
      <c r="D38" s="14">
        <f>IF(F3="1",SUMIF(Data!A:A,'29'!$A$2,Data!CW:CW),0)</f>
        <v>197088</v>
      </c>
      <c r="E38" s="17">
        <f>IF($F$3="1",SUMIF(Data!$A:$A,$A$2,Data!IQ:IQ),0)</f>
        <v>40625</v>
      </c>
      <c r="F38" s="21">
        <f t="shared" si="3"/>
        <v>0.21</v>
      </c>
    </row>
    <row r="39" spans="1:6" ht="14.25" customHeight="1" x14ac:dyDescent="0.2">
      <c r="A39" s="19">
        <v>4</v>
      </c>
      <c r="B39" s="177" t="s">
        <v>3</v>
      </c>
      <c r="C39" s="178"/>
      <c r="D39" s="14">
        <f>IF(F3="1",SUMIF(Data!A:A,'29'!$A$2,Data!CX:CX),0)</f>
        <v>174108</v>
      </c>
      <c r="E39" s="17">
        <f>IF($F$3="1",SUMIF(Data!$A:$A,$A$2,Data!IR:IR),0)</f>
        <v>19865</v>
      </c>
      <c r="F39" s="21">
        <f t="shared" si="3"/>
        <v>0.11</v>
      </c>
    </row>
    <row r="40" spans="1:6" x14ac:dyDescent="0.2">
      <c r="A40" s="19">
        <v>5</v>
      </c>
      <c r="B40" s="177" t="s">
        <v>4</v>
      </c>
      <c r="C40" s="178"/>
      <c r="D40" s="14">
        <f>IF(F3="1",SUMIF(Data!A:A,'29'!$A$2,Data!CY:CY),0)</f>
        <v>1024</v>
      </c>
      <c r="E40" s="17">
        <f>IF($F$3="1",SUMIF(Data!$A:$A,$A$2,Data!IS:IS),0)</f>
        <v>33638</v>
      </c>
      <c r="F40" s="21">
        <f t="shared" si="3"/>
        <v>32.85</v>
      </c>
    </row>
    <row r="41" spans="1:6" x14ac:dyDescent="0.2">
      <c r="A41" s="19">
        <v>6</v>
      </c>
      <c r="B41" s="177" t="s">
        <v>5</v>
      </c>
      <c r="C41" s="178"/>
      <c r="D41" s="14">
        <f>IF(F3="1",SUMIF(Data!A:A,'29'!$A$2,Data!CZ:CZ),0)</f>
        <v>8752</v>
      </c>
      <c r="E41" s="17">
        <f>IF($F$3="1",SUMIF(Data!$A:$A,$A$2,Data!IT:IT),0)</f>
        <v>41491</v>
      </c>
      <c r="F41" s="21">
        <f t="shared" si="3"/>
        <v>4.74</v>
      </c>
    </row>
    <row r="42" spans="1:6" x14ac:dyDescent="0.2">
      <c r="A42" s="19">
        <v>7</v>
      </c>
      <c r="B42" s="177" t="s">
        <v>6</v>
      </c>
      <c r="C42" s="178"/>
      <c r="D42" s="14">
        <f>IF(F3="1",SUMIF(Data!A:A,'29'!$A$2,Data!DA:DA),0)</f>
        <v>209320</v>
      </c>
      <c r="E42" s="17">
        <f>IF($F$3="1",SUMIF(Data!$A:$A,$A$2,Data!IU:IU),0)</f>
        <v>66786</v>
      </c>
      <c r="F42" s="21">
        <f t="shared" si="3"/>
        <v>0.32</v>
      </c>
    </row>
    <row r="43" spans="1:6" x14ac:dyDescent="0.2">
      <c r="A43" s="19">
        <v>8</v>
      </c>
      <c r="B43" s="177" t="s">
        <v>7</v>
      </c>
      <c r="C43" s="178"/>
      <c r="D43" s="14">
        <f>IF(F3="1",SUMIF(Data!A:A,'29'!$A$2,Data!DB:DB),0)</f>
        <v>0</v>
      </c>
      <c r="E43" s="17">
        <f>IF($F$3="1",SUMIF(Data!$A:$A,$A$2,Data!IV:IV),0)</f>
        <v>0</v>
      </c>
      <c r="F43" s="21" t="str">
        <f t="shared" si="3"/>
        <v/>
      </c>
    </row>
    <row r="44" spans="1:6" x14ac:dyDescent="0.2">
      <c r="A44" s="19">
        <v>9</v>
      </c>
      <c r="B44" s="177" t="s">
        <v>8</v>
      </c>
      <c r="C44" s="178"/>
      <c r="D44" s="14">
        <f>IF(F3="1",SUMIF(Data!A:A,'29'!$A$2,Data!DC:DC),0)</f>
        <v>29040</v>
      </c>
      <c r="E44" s="17">
        <f>IF($F$3="1",SUMIF(Data!$A:$A,$A$2,Data!IW:IW),0)</f>
        <v>3655</v>
      </c>
      <c r="F44" s="21">
        <f t="shared" si="3"/>
        <v>0.13</v>
      </c>
    </row>
    <row r="45" spans="1:6" x14ac:dyDescent="0.2">
      <c r="A45" s="19">
        <v>10</v>
      </c>
      <c r="B45" s="177" t="s">
        <v>9</v>
      </c>
      <c r="C45" s="178"/>
      <c r="D45" s="14">
        <f>IF(F3="1",SUMIF(Data!A:A,'29'!$A$2,Data!DD:DD),0)</f>
        <v>896</v>
      </c>
      <c r="E45" s="17">
        <f>IF($F$3="1",SUMIF(Data!$A:$A,$A$2,Data!IX:IX),0)</f>
        <v>27286</v>
      </c>
      <c r="F45" s="21">
        <f t="shared" si="3"/>
        <v>30.45</v>
      </c>
    </row>
    <row r="46" spans="1:6" x14ac:dyDescent="0.2">
      <c r="A46" s="19">
        <v>11</v>
      </c>
      <c r="B46" s="177" t="s">
        <v>10</v>
      </c>
      <c r="C46" s="178"/>
      <c r="D46" s="14">
        <f>IF(F3="1",SUMIF(Data!A:A,'29'!$A$2,Data!DE:DE),0)</f>
        <v>0</v>
      </c>
      <c r="E46" s="17">
        <f>IF($F$3="1",SUMIF(Data!$A:$A,$A$2,Data!IY:IY),0)</f>
        <v>0</v>
      </c>
      <c r="F46" s="21" t="str">
        <f t="shared" si="3"/>
        <v/>
      </c>
    </row>
    <row r="47" spans="1:6" ht="14.25" customHeight="1" x14ac:dyDescent="0.2">
      <c r="A47" s="19">
        <v>12</v>
      </c>
      <c r="B47" s="177" t="s">
        <v>11</v>
      </c>
      <c r="C47" s="178"/>
      <c r="D47" s="14">
        <f>IF(F3="1",SUMIF(Data!A:A,'29'!$A$2,Data!DF:DF),0)</f>
        <v>331824</v>
      </c>
      <c r="E47" s="17">
        <f>IF($F$3="1",SUMIF(Data!$A:$A,$A$2,Data!IZ:IZ),0)</f>
        <v>38267</v>
      </c>
      <c r="F47" s="21">
        <f t="shared" si="3"/>
        <v>0.12</v>
      </c>
    </row>
    <row r="48" spans="1:6" x14ac:dyDescent="0.2">
      <c r="A48" s="19">
        <v>13</v>
      </c>
      <c r="B48" s="177" t="s">
        <v>12</v>
      </c>
      <c r="C48" s="178"/>
      <c r="D48" s="14">
        <f>IF(F3="1",SUMIF(Data!A:A,'29'!$A$2,Data!DG:DG),0)</f>
        <v>15728</v>
      </c>
      <c r="E48" s="17">
        <f>IF($F$3="1",SUMIF(Data!$A:$A,$A$2,Data!JA:JA),0)</f>
        <v>791</v>
      </c>
      <c r="F48" s="21">
        <f t="shared" si="3"/>
        <v>0.05</v>
      </c>
    </row>
    <row r="49" spans="1:6" ht="14.25" customHeight="1" x14ac:dyDescent="0.2">
      <c r="A49" s="19">
        <v>14</v>
      </c>
      <c r="B49" s="177" t="s">
        <v>464</v>
      </c>
      <c r="C49" s="178"/>
      <c r="D49" s="14">
        <f>IF(F3="1",SUMIF(Data!A:A,'29'!$A$2,Data!DH:DH),0)</f>
        <v>182912</v>
      </c>
      <c r="E49" s="17">
        <f>IF($F$3="1",SUMIF(Data!$A:$A,$A$2,Data!JB:JB),0)</f>
        <v>71345</v>
      </c>
      <c r="F49" s="21">
        <f t="shared" si="3"/>
        <v>0.39</v>
      </c>
    </row>
    <row r="50" spans="1:6" x14ac:dyDescent="0.2">
      <c r="A50" s="19">
        <v>15</v>
      </c>
      <c r="B50" s="177" t="s">
        <v>13</v>
      </c>
      <c r="C50" s="178"/>
      <c r="D50" s="14">
        <f>IF(F3="1",SUMIF(Data!A:A,'29'!$A$2,Data!DI:DI),0)</f>
        <v>0</v>
      </c>
      <c r="E50" s="17">
        <f>IF($F$3="1",SUMIF(Data!$A:$A,$A$2,Data!JC:JC),0)</f>
        <v>0</v>
      </c>
      <c r="F50" s="21" t="str">
        <f t="shared" si="3"/>
        <v/>
      </c>
    </row>
    <row r="51" spans="1:6" x14ac:dyDescent="0.2">
      <c r="A51" s="19">
        <v>16</v>
      </c>
      <c r="B51" s="177" t="s">
        <v>14</v>
      </c>
      <c r="C51" s="178"/>
      <c r="D51" s="14">
        <f>IF(F3="1",SUMIF(Data!A:A,'29'!$A$2,Data!DJ:DJ),0)</f>
        <v>31872</v>
      </c>
      <c r="E51" s="17">
        <f>IF($F$3="1",SUMIF(Data!$A:$A,$A$2,Data!JD:JD),0)</f>
        <v>30898</v>
      </c>
      <c r="F51" s="21">
        <f t="shared" si="3"/>
        <v>0.97</v>
      </c>
    </row>
    <row r="52" spans="1:6" x14ac:dyDescent="0.2">
      <c r="A52" s="19">
        <v>17</v>
      </c>
      <c r="B52" s="177" t="s">
        <v>15</v>
      </c>
      <c r="C52" s="178"/>
      <c r="D52" s="14">
        <f>IF(F3="1",SUMIF(Data!A:A,'29'!$A$2,Data!DK:DK),0)</f>
        <v>0</v>
      </c>
      <c r="E52" s="17">
        <f>IF($F$3="1",SUMIF(Data!$A:$A,$A$2,Data!JE:JE),0)</f>
        <v>0</v>
      </c>
      <c r="F52" s="21" t="str">
        <f t="shared" si="3"/>
        <v/>
      </c>
    </row>
    <row r="53" spans="1:6" x14ac:dyDescent="0.2">
      <c r="A53" s="19">
        <v>18</v>
      </c>
      <c r="B53" s="177" t="s">
        <v>16</v>
      </c>
      <c r="C53" s="178"/>
      <c r="D53" s="14">
        <f>IF(F3="1",SUMIF(Data!A:A,'29'!$A$2,Data!DL:DL),0)</f>
        <v>0</v>
      </c>
      <c r="E53" s="17">
        <f>IF($F$3="1",SUMIF(Data!$A:$A,$A$2,Data!JF:JF),0)</f>
        <v>0</v>
      </c>
      <c r="F53" s="21" t="str">
        <f t="shared" si="3"/>
        <v/>
      </c>
    </row>
    <row r="54" spans="1:6" x14ac:dyDescent="0.2">
      <c r="A54" s="19">
        <v>19</v>
      </c>
      <c r="B54" s="177" t="s">
        <v>17</v>
      </c>
      <c r="C54" s="178"/>
      <c r="D54" s="14">
        <f>IF(F3="1",SUMIF(Data!A:A,'29'!$A$2,Data!DM:DM),0)</f>
        <v>204128</v>
      </c>
      <c r="E54" s="17">
        <f>IF($F$3="1",SUMIF(Data!$A:$A,$A$2,Data!JG:JG),0)</f>
        <v>48162</v>
      </c>
      <c r="F54" s="21">
        <f t="shared" si="3"/>
        <v>0.24</v>
      </c>
    </row>
    <row r="55" spans="1:6" x14ac:dyDescent="0.2">
      <c r="A55" s="19">
        <v>20</v>
      </c>
      <c r="B55" s="177" t="s">
        <v>18</v>
      </c>
      <c r="C55" s="178"/>
      <c r="D55" s="14">
        <f>IF(F3="1",SUMIF(Data!A:A,'29'!$A$2,Data!DN:DN),0)</f>
        <v>0</v>
      </c>
      <c r="E55" s="17">
        <f>IF($F$3="1",SUMIF(Data!$A:$A,$A$2,Data!JH:JH),0)</f>
        <v>0</v>
      </c>
      <c r="F55" s="21" t="str">
        <f t="shared" si="3"/>
        <v/>
      </c>
    </row>
    <row r="56" spans="1:6" ht="14.25" customHeight="1" x14ac:dyDescent="0.2">
      <c r="A56" s="19">
        <v>21</v>
      </c>
      <c r="B56" s="177" t="s">
        <v>461</v>
      </c>
      <c r="C56" s="178"/>
      <c r="D56" s="14">
        <f>IF(F3="1",SUMIF(Data!A:A,'29'!$A$2,Data!DO:DO),0)</f>
        <v>27004</v>
      </c>
      <c r="E56" s="17">
        <f>IF($F$3="1",SUMIF(Data!$A:$A,$A$2,Data!JI:JI),0)</f>
        <v>64879</v>
      </c>
      <c r="F56" s="21">
        <f t="shared" si="3"/>
        <v>2.4</v>
      </c>
    </row>
    <row r="57" spans="1:6" x14ac:dyDescent="0.2">
      <c r="A57" s="19">
        <v>22</v>
      </c>
      <c r="B57" s="177" t="s">
        <v>19</v>
      </c>
      <c r="C57" s="178"/>
      <c r="D57" s="14">
        <f>IF(F3="1",SUMIF(Data!A:A,'29'!$A$2,Data!DP:DP),0)</f>
        <v>0</v>
      </c>
      <c r="E57" s="17">
        <f>IF($F$3="1",SUMIF(Data!$A:$A,$A$2,Data!JJ:JJ),0)</f>
        <v>0</v>
      </c>
      <c r="F57" s="21" t="str">
        <f t="shared" si="3"/>
        <v/>
      </c>
    </row>
    <row r="58" spans="1:6" x14ac:dyDescent="0.2">
      <c r="A58" s="19">
        <v>23</v>
      </c>
      <c r="B58" s="177" t="s">
        <v>20</v>
      </c>
      <c r="C58" s="178"/>
      <c r="D58" s="14">
        <f>IF(F3="1",SUMIF(Data!A:A,'29'!$A$2,Data!DQ:DQ),0)</f>
        <v>107520</v>
      </c>
      <c r="E58" s="17">
        <f>IF($F$3="1",SUMIF(Data!$A:$A,$A$2,Data!JK:JK),0)</f>
        <v>25761</v>
      </c>
      <c r="F58" s="21">
        <f t="shared" si="3"/>
        <v>0.24</v>
      </c>
    </row>
    <row r="59" spans="1:6" x14ac:dyDescent="0.2">
      <c r="A59" s="19">
        <v>24</v>
      </c>
      <c r="B59" s="177" t="s">
        <v>21</v>
      </c>
      <c r="C59" s="178"/>
      <c r="D59" s="14">
        <f>IF(F3="1",SUMIF(Data!A:A,'29'!$A$2,Data!DR:DR),0)</f>
        <v>27600</v>
      </c>
      <c r="E59" s="17">
        <f>IF($F$3="1",SUMIF(Data!$A:$A,$A$2,Data!JL:JL),0)</f>
        <v>19117</v>
      </c>
      <c r="F59" s="21">
        <f t="shared" si="3"/>
        <v>0.69</v>
      </c>
    </row>
    <row r="60" spans="1:6" x14ac:dyDescent="0.2">
      <c r="A60" s="19">
        <v>25</v>
      </c>
      <c r="B60" s="177" t="s">
        <v>22</v>
      </c>
      <c r="C60" s="178"/>
      <c r="D60" s="14">
        <f>IF(F3="1",SUMIF(Data!A:A,'29'!$A$2,Data!DS:DS),0)</f>
        <v>283504</v>
      </c>
      <c r="E60" s="17">
        <f>IF($F$3="1",SUMIF(Data!$A:$A,$A$2,Data!JM:JM),0)</f>
        <v>38049</v>
      </c>
      <c r="F60" s="21">
        <f t="shared" si="3"/>
        <v>0.13</v>
      </c>
    </row>
    <row r="61" spans="1:6" x14ac:dyDescent="0.2">
      <c r="A61" s="19">
        <v>26</v>
      </c>
      <c r="B61" s="177" t="s">
        <v>23</v>
      </c>
      <c r="C61" s="178"/>
      <c r="D61" s="14">
        <f>IF(F3="1",SUMIF(Data!A:A,'29'!$A$2,Data!DT:DT),0)</f>
        <v>124248</v>
      </c>
      <c r="E61" s="17">
        <f>IF($F$3="1",SUMIF(Data!$A:$A,$A$2,Data!JN:JN),0)</f>
        <v>77104</v>
      </c>
      <c r="F61" s="21">
        <f t="shared" si="3"/>
        <v>0.62</v>
      </c>
    </row>
    <row r="62" spans="1:6" x14ac:dyDescent="0.2">
      <c r="A62" s="19">
        <v>28</v>
      </c>
      <c r="B62" s="177" t="s">
        <v>24</v>
      </c>
      <c r="C62" s="178"/>
      <c r="D62" s="14">
        <f>IF(F3="1",SUMIF(Data!A:A,'29'!$A$2,Data!DV:DV),0)</f>
        <v>0</v>
      </c>
      <c r="E62" s="17">
        <f>IF($F$3="1",SUMIF(Data!$A:$A,$A$2,Data!JP:JP),0)</f>
        <v>0</v>
      </c>
      <c r="F62" s="21" t="str">
        <f t="shared" si="3"/>
        <v/>
      </c>
    </row>
    <row r="63" spans="1:6" ht="15.75" customHeight="1" thickBot="1" x14ac:dyDescent="0.25">
      <c r="A63" s="22">
        <v>29</v>
      </c>
      <c r="B63" s="179" t="s">
        <v>25</v>
      </c>
      <c r="C63" s="180"/>
      <c r="D63" s="23">
        <f>IF(F3="1",SUMIF(Data!A:A,'29'!$A$2,Data!DW:DW),0)</f>
        <v>0</v>
      </c>
      <c r="E63" s="24">
        <f>IF($F$3="1",SUMIF(Data!$A:$A,$A$2,Data!JQ:JQ),0)</f>
        <v>0</v>
      </c>
      <c r="F63" s="25" t="str">
        <f t="shared" si="3"/>
        <v/>
      </c>
    </row>
    <row r="64" spans="1:6" x14ac:dyDescent="0.2">
      <c r="B64" s="30" t="s">
        <v>35</v>
      </c>
      <c r="C64" s="30"/>
      <c r="D64" s="59">
        <f>SUM(D36:D63)</f>
        <v>1978728</v>
      </c>
      <c r="E64" s="31">
        <f>SUM(E36:E63)</f>
        <v>649166</v>
      </c>
      <c r="F64" s="32">
        <f t="shared" si="3"/>
        <v>0.33</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5808</v>
      </c>
      <c r="E67" s="15">
        <f>IF(F3="1",SUMIF(Data!A:A,'29'!$A$2,Data!DY:DY),0)</f>
        <v>1600</v>
      </c>
      <c r="F67" s="20">
        <f t="shared" ref="F67:F95" si="4">IF(OR(D67=0,E67=0),"",ROUND(E67/D67,2))</f>
        <v>0.28000000000000003</v>
      </c>
    </row>
    <row r="68" spans="1:6" x14ac:dyDescent="0.2">
      <c r="A68" s="19">
        <v>2</v>
      </c>
      <c r="B68" s="177" t="s">
        <v>1</v>
      </c>
      <c r="C68" s="178"/>
      <c r="D68" s="14">
        <f t="shared" ref="D68:D94" si="5">D37</f>
        <v>16352</v>
      </c>
      <c r="E68" s="17">
        <f>IF(F3="1",SUMIF(Data!A:A,'29'!$A$2,Data!DZ:DZ),0)</f>
        <v>51644</v>
      </c>
      <c r="F68" s="21">
        <f t="shared" si="4"/>
        <v>3.16</v>
      </c>
    </row>
    <row r="69" spans="1:6" ht="14.25" customHeight="1" x14ac:dyDescent="0.2">
      <c r="A69" s="19">
        <v>3</v>
      </c>
      <c r="B69" s="177" t="s">
        <v>2</v>
      </c>
      <c r="C69" s="178"/>
      <c r="D69" s="14">
        <f t="shared" si="5"/>
        <v>197088</v>
      </c>
      <c r="E69" s="17">
        <f>IF(F3="1",SUMIF(Data!A:A,'29'!$A$2,Data!EA:EA),0)</f>
        <v>377830</v>
      </c>
      <c r="F69" s="21">
        <f t="shared" si="4"/>
        <v>1.92</v>
      </c>
    </row>
    <row r="70" spans="1:6" ht="14.25" customHeight="1" x14ac:dyDescent="0.2">
      <c r="A70" s="19">
        <v>4</v>
      </c>
      <c r="B70" s="177" t="s">
        <v>3</v>
      </c>
      <c r="C70" s="178"/>
      <c r="D70" s="14">
        <f t="shared" si="5"/>
        <v>174108</v>
      </c>
      <c r="E70" s="17">
        <f>IF(F3="1",SUMIF(Data!A:A,'29'!$A$2,Data!EB:EB),0)</f>
        <v>433270</v>
      </c>
      <c r="F70" s="21">
        <f t="shared" si="4"/>
        <v>2.4900000000000002</v>
      </c>
    </row>
    <row r="71" spans="1:6" x14ac:dyDescent="0.2">
      <c r="A71" s="19">
        <v>5</v>
      </c>
      <c r="B71" s="177" t="s">
        <v>4</v>
      </c>
      <c r="C71" s="178"/>
      <c r="D71" s="14">
        <f t="shared" si="5"/>
        <v>1024</v>
      </c>
      <c r="E71" s="17">
        <f>IF(F3="1",SUMIF(Data!A:A,'29'!$A$2,Data!EC:EC),0)</f>
        <v>15368</v>
      </c>
      <c r="F71" s="21">
        <f t="shared" si="4"/>
        <v>15.01</v>
      </c>
    </row>
    <row r="72" spans="1:6" x14ac:dyDescent="0.2">
      <c r="A72" s="19">
        <v>6</v>
      </c>
      <c r="B72" s="177" t="s">
        <v>5</v>
      </c>
      <c r="C72" s="178"/>
      <c r="D72" s="14">
        <f t="shared" si="5"/>
        <v>8752</v>
      </c>
      <c r="E72" s="17">
        <f>IF(F3="1",SUMIF(Data!A:A,'29'!$A$2,Data!ED:ED),0)</f>
        <v>154147</v>
      </c>
      <c r="F72" s="21">
        <f t="shared" si="4"/>
        <v>17.61</v>
      </c>
    </row>
    <row r="73" spans="1:6" x14ac:dyDescent="0.2">
      <c r="A73" s="19">
        <v>7</v>
      </c>
      <c r="B73" s="177" t="s">
        <v>6</v>
      </c>
      <c r="C73" s="178"/>
      <c r="D73" s="14">
        <f t="shared" si="5"/>
        <v>209320</v>
      </c>
      <c r="E73" s="17">
        <f>IF(F3="1",SUMIF(Data!A:A,'29'!$A$2,Data!EE:EE),0)</f>
        <v>375953</v>
      </c>
      <c r="F73" s="21">
        <f t="shared" si="4"/>
        <v>1.8</v>
      </c>
    </row>
    <row r="74" spans="1:6" x14ac:dyDescent="0.2">
      <c r="A74" s="19">
        <v>8</v>
      </c>
      <c r="B74" s="177" t="s">
        <v>7</v>
      </c>
      <c r="C74" s="178"/>
      <c r="D74" s="14">
        <f t="shared" si="5"/>
        <v>0</v>
      </c>
      <c r="E74" s="17">
        <f>IF(F3="1",SUMIF(Data!A:A,'29'!$A$2,Data!EF:EF),0)</f>
        <v>0</v>
      </c>
      <c r="F74" s="21" t="str">
        <f t="shared" si="4"/>
        <v/>
      </c>
    </row>
    <row r="75" spans="1:6" x14ac:dyDescent="0.2">
      <c r="A75" s="19">
        <v>9</v>
      </c>
      <c r="B75" s="177" t="s">
        <v>8</v>
      </c>
      <c r="C75" s="178"/>
      <c r="D75" s="14">
        <f t="shared" si="5"/>
        <v>29040</v>
      </c>
      <c r="E75" s="17">
        <f>IF(F3="1",SUMIF(Data!A:A,'29'!$A$2,Data!EG:EG),0)</f>
        <v>26119</v>
      </c>
      <c r="F75" s="21">
        <f t="shared" si="4"/>
        <v>0.9</v>
      </c>
    </row>
    <row r="76" spans="1:6" x14ac:dyDescent="0.2">
      <c r="A76" s="19">
        <v>10</v>
      </c>
      <c r="B76" s="177" t="s">
        <v>9</v>
      </c>
      <c r="C76" s="178"/>
      <c r="D76" s="14">
        <f t="shared" si="5"/>
        <v>896</v>
      </c>
      <c r="E76" s="17">
        <f>IF(F3="1",SUMIF(Data!A:A,'29'!$A$2,Data!EH:EH),0)</f>
        <v>53445</v>
      </c>
      <c r="F76" s="21">
        <f t="shared" si="4"/>
        <v>59.65</v>
      </c>
    </row>
    <row r="77" spans="1:6" x14ac:dyDescent="0.2">
      <c r="A77" s="19">
        <v>11</v>
      </c>
      <c r="B77" s="177" t="s">
        <v>10</v>
      </c>
      <c r="C77" s="178"/>
      <c r="D77" s="14">
        <f t="shared" si="5"/>
        <v>0</v>
      </c>
      <c r="E77" s="17">
        <f>IF(F3="1",SUMIF(Data!A:A,'29'!$A$2,Data!EI:EI),0)</f>
        <v>0</v>
      </c>
      <c r="F77" s="21" t="str">
        <f t="shared" si="4"/>
        <v/>
      </c>
    </row>
    <row r="78" spans="1:6" ht="14.25" customHeight="1" x14ac:dyDescent="0.2">
      <c r="A78" s="19">
        <v>12</v>
      </c>
      <c r="B78" s="177" t="s">
        <v>11</v>
      </c>
      <c r="C78" s="178"/>
      <c r="D78" s="14">
        <f t="shared" si="5"/>
        <v>331824</v>
      </c>
      <c r="E78" s="17">
        <f>IF(F3="1",SUMIF(Data!A:A,'29'!$A$2,Data!EJ:EJ),0)</f>
        <v>680764</v>
      </c>
      <c r="F78" s="21">
        <f t="shared" si="4"/>
        <v>2.0499999999999998</v>
      </c>
    </row>
    <row r="79" spans="1:6" x14ac:dyDescent="0.2">
      <c r="A79" s="19">
        <v>13</v>
      </c>
      <c r="B79" s="177" t="s">
        <v>12</v>
      </c>
      <c r="C79" s="178"/>
      <c r="D79" s="14">
        <f t="shared" si="5"/>
        <v>15728</v>
      </c>
      <c r="E79" s="17">
        <f>IF(F3="1",SUMIF(Data!A:A,'29'!$A$2,Data!EK:EK),0)</f>
        <v>42677</v>
      </c>
      <c r="F79" s="21">
        <f t="shared" si="4"/>
        <v>2.71</v>
      </c>
    </row>
    <row r="80" spans="1:6" ht="14.25" customHeight="1" x14ac:dyDescent="0.2">
      <c r="A80" s="19">
        <v>14</v>
      </c>
      <c r="B80" s="177" t="s">
        <v>464</v>
      </c>
      <c r="C80" s="178"/>
      <c r="D80" s="14">
        <f t="shared" si="5"/>
        <v>182912</v>
      </c>
      <c r="E80" s="17">
        <f>IF(F3="1",SUMIF(Data!A:A,'29'!$A$2,Data!EL:EL),0)</f>
        <v>651793</v>
      </c>
      <c r="F80" s="21">
        <f t="shared" si="4"/>
        <v>3.56</v>
      </c>
    </row>
    <row r="81" spans="1:6" x14ac:dyDescent="0.2">
      <c r="A81" s="19">
        <v>15</v>
      </c>
      <c r="B81" s="177" t="s">
        <v>13</v>
      </c>
      <c r="C81" s="178"/>
      <c r="D81" s="14">
        <f t="shared" si="5"/>
        <v>0</v>
      </c>
      <c r="E81" s="17">
        <f>IF(F3="1",SUMIF(Data!A:A,'29'!$A$2,Data!EM:EM),0)</f>
        <v>0</v>
      </c>
      <c r="F81" s="21" t="str">
        <f t="shared" si="4"/>
        <v/>
      </c>
    </row>
    <row r="82" spans="1:6" x14ac:dyDescent="0.2">
      <c r="A82" s="19">
        <v>16</v>
      </c>
      <c r="B82" s="177" t="s">
        <v>14</v>
      </c>
      <c r="C82" s="178"/>
      <c r="D82" s="14">
        <f t="shared" si="5"/>
        <v>31872</v>
      </c>
      <c r="E82" s="17">
        <f>IF(F3="1",SUMIF(Data!A:A,'29'!$A$2,Data!EN:EN),0)</f>
        <v>198493</v>
      </c>
      <c r="F82" s="21">
        <f t="shared" si="4"/>
        <v>6.23</v>
      </c>
    </row>
    <row r="83" spans="1:6" x14ac:dyDescent="0.2">
      <c r="A83" s="19">
        <v>17</v>
      </c>
      <c r="B83" s="177" t="s">
        <v>15</v>
      </c>
      <c r="C83" s="178"/>
      <c r="D83" s="14">
        <f t="shared" si="5"/>
        <v>0</v>
      </c>
      <c r="E83" s="17">
        <f>IF(F3="1",SUMIF(Data!A:A,'29'!$A$2,Data!EO:EO),0)</f>
        <v>0</v>
      </c>
      <c r="F83" s="21" t="str">
        <f t="shared" si="4"/>
        <v/>
      </c>
    </row>
    <row r="84" spans="1:6" x14ac:dyDescent="0.2">
      <c r="A84" s="19">
        <v>18</v>
      </c>
      <c r="B84" s="177" t="s">
        <v>16</v>
      </c>
      <c r="C84" s="178"/>
      <c r="D84" s="14">
        <f t="shared" si="5"/>
        <v>0</v>
      </c>
      <c r="E84" s="17">
        <f>IF(F3="1",SUMIF(Data!A:A,'29'!$A$2,Data!EP:EP),0)</f>
        <v>0</v>
      </c>
      <c r="F84" s="21" t="str">
        <f t="shared" si="4"/>
        <v/>
      </c>
    </row>
    <row r="85" spans="1:6" x14ac:dyDescent="0.2">
      <c r="A85" s="19">
        <v>19</v>
      </c>
      <c r="B85" s="177" t="s">
        <v>17</v>
      </c>
      <c r="C85" s="178"/>
      <c r="D85" s="14">
        <f t="shared" si="5"/>
        <v>204128</v>
      </c>
      <c r="E85" s="17">
        <f>IF(F3="1",SUMIF(Data!A:A,'29'!$A$2,Data!EQ:EQ),0)</f>
        <v>410041</v>
      </c>
      <c r="F85" s="21">
        <f t="shared" si="4"/>
        <v>2.0099999999999998</v>
      </c>
    </row>
    <row r="86" spans="1:6" x14ac:dyDescent="0.2">
      <c r="A86" s="19">
        <v>20</v>
      </c>
      <c r="B86" s="177" t="s">
        <v>18</v>
      </c>
      <c r="C86" s="178"/>
      <c r="D86" s="14">
        <f t="shared" si="5"/>
        <v>0</v>
      </c>
      <c r="E86" s="17">
        <f>IF(F3="1",SUMIF(Data!A:A,'29'!$A$2,Data!ER:ER),0)</f>
        <v>0</v>
      </c>
      <c r="F86" s="21" t="str">
        <f t="shared" si="4"/>
        <v/>
      </c>
    </row>
    <row r="87" spans="1:6" ht="14.25" customHeight="1" x14ac:dyDescent="0.2">
      <c r="A87" s="19">
        <v>21</v>
      </c>
      <c r="B87" s="177" t="s">
        <v>461</v>
      </c>
      <c r="C87" s="178"/>
      <c r="D87" s="14">
        <f t="shared" si="5"/>
        <v>27004</v>
      </c>
      <c r="E87" s="17">
        <f>IF(F3="1",SUMIF(Data!A:A,'29'!$A$2,Data!ES:ES),0)</f>
        <v>156310</v>
      </c>
      <c r="F87" s="21">
        <f t="shared" si="4"/>
        <v>5.79</v>
      </c>
    </row>
    <row r="88" spans="1:6" x14ac:dyDescent="0.2">
      <c r="A88" s="19">
        <v>22</v>
      </c>
      <c r="B88" s="177" t="s">
        <v>19</v>
      </c>
      <c r="C88" s="178"/>
      <c r="D88" s="14">
        <f t="shared" si="5"/>
        <v>0</v>
      </c>
      <c r="E88" s="17">
        <f>IF(F3="1",SUMIF(Data!A:A,'29'!$A$2,Data!ET:ET),0)</f>
        <v>0</v>
      </c>
      <c r="F88" s="21" t="str">
        <f t="shared" si="4"/>
        <v/>
      </c>
    </row>
    <row r="89" spans="1:6" x14ac:dyDescent="0.2">
      <c r="A89" s="19">
        <v>23</v>
      </c>
      <c r="B89" s="177" t="s">
        <v>20</v>
      </c>
      <c r="C89" s="178"/>
      <c r="D89" s="14">
        <f t="shared" si="5"/>
        <v>107520</v>
      </c>
      <c r="E89" s="17">
        <f>IF(F3="1",SUMIF(Data!A:A,'29'!$A$2,Data!EU:EU),0)</f>
        <v>230252</v>
      </c>
      <c r="F89" s="21">
        <f t="shared" si="4"/>
        <v>2.14</v>
      </c>
    </row>
    <row r="90" spans="1:6" x14ac:dyDescent="0.2">
      <c r="A90" s="19">
        <v>24</v>
      </c>
      <c r="B90" s="177" t="s">
        <v>21</v>
      </c>
      <c r="C90" s="178"/>
      <c r="D90" s="14">
        <f t="shared" si="5"/>
        <v>27600</v>
      </c>
      <c r="E90" s="17">
        <f>IF(F3="1",SUMIF(Data!A:A,'29'!$A$2,Data!EV:EV),0)</f>
        <v>121606</v>
      </c>
      <c r="F90" s="21">
        <f t="shared" si="4"/>
        <v>4.41</v>
      </c>
    </row>
    <row r="91" spans="1:6" x14ac:dyDescent="0.2">
      <c r="A91" s="19">
        <v>25</v>
      </c>
      <c r="B91" s="177" t="s">
        <v>22</v>
      </c>
      <c r="C91" s="178"/>
      <c r="D91" s="14">
        <f t="shared" si="5"/>
        <v>283504</v>
      </c>
      <c r="E91" s="17">
        <f>IF(F3="1",SUMIF(Data!A:A,'29'!$A$2,Data!EW:EW),0)</f>
        <v>419573</v>
      </c>
      <c r="F91" s="21">
        <f t="shared" si="4"/>
        <v>1.48</v>
      </c>
    </row>
    <row r="92" spans="1:6" x14ac:dyDescent="0.2">
      <c r="A92" s="19">
        <v>26</v>
      </c>
      <c r="B92" s="177" t="s">
        <v>23</v>
      </c>
      <c r="C92" s="178"/>
      <c r="D92" s="14">
        <f t="shared" si="5"/>
        <v>124248</v>
      </c>
      <c r="E92" s="17">
        <f>IF(F3="1",SUMIF(Data!A:A,'29'!$A$2,Data!EX:EX),0)</f>
        <v>261708</v>
      </c>
      <c r="F92" s="21">
        <f t="shared" si="4"/>
        <v>2.11</v>
      </c>
    </row>
    <row r="93" spans="1:6" x14ac:dyDescent="0.2">
      <c r="A93" s="19">
        <v>28</v>
      </c>
      <c r="B93" s="177" t="s">
        <v>24</v>
      </c>
      <c r="C93" s="178"/>
      <c r="D93" s="14">
        <f t="shared" si="5"/>
        <v>0</v>
      </c>
      <c r="E93" s="17">
        <f>IF(F3="1",SUMIF(Data!A:A,'29'!$A$2,Data!EZ:EZ),0)</f>
        <v>0</v>
      </c>
      <c r="F93" s="21" t="str">
        <f t="shared" si="4"/>
        <v/>
      </c>
    </row>
    <row r="94" spans="1:6" ht="15.75" customHeight="1" thickBot="1" x14ac:dyDescent="0.25">
      <c r="A94" s="22">
        <v>29</v>
      </c>
      <c r="B94" s="179" t="s">
        <v>25</v>
      </c>
      <c r="C94" s="180"/>
      <c r="D94" s="23">
        <f t="shared" si="5"/>
        <v>0</v>
      </c>
      <c r="E94" s="24">
        <f>IF(F3="1",SUMIF(Data!A:A,'29'!$A$2,Data!FA:FA),0)</f>
        <v>0</v>
      </c>
      <c r="F94" s="25" t="str">
        <f t="shared" si="4"/>
        <v/>
      </c>
    </row>
    <row r="95" spans="1:6" x14ac:dyDescent="0.2">
      <c r="B95" s="30" t="s">
        <v>35</v>
      </c>
      <c r="C95" s="30"/>
      <c r="D95" s="59">
        <f>SUM(D67:D94)</f>
        <v>1978728</v>
      </c>
      <c r="E95" s="31">
        <f>SUM(E67:E94)</f>
        <v>4662593</v>
      </c>
      <c r="F95" s="32">
        <f t="shared" si="4"/>
        <v>2.36</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IF(F3="1",SUMIF(Data!A:A,'29'!$A$2,Data!AH:AH),0)</f>
        <v>1808227</v>
      </c>
      <c r="F98" s="20">
        <f>IF(OR(E98=0,E98=0),"",ROUND(E98/$D$105,2))</f>
        <v>0.91</v>
      </c>
    </row>
    <row r="99" spans="2:6" x14ac:dyDescent="0.2">
      <c r="B99" s="183" t="s">
        <v>31</v>
      </c>
      <c r="C99" s="184"/>
      <c r="D99" s="36"/>
      <c r="E99" s="17">
        <f>IF(F3="1",SUMIF(Data!A:A,'29'!$A$2,Data!AI:AI),0)</f>
        <v>792035</v>
      </c>
      <c r="F99" s="21">
        <f t="shared" ref="F99:F104" si="6">IF(OR(E99=0,E99=0),"",ROUND(E99/$D$105,2))</f>
        <v>0.4</v>
      </c>
    </row>
    <row r="100" spans="2:6" x14ac:dyDescent="0.2">
      <c r="B100" s="183" t="s">
        <v>1078</v>
      </c>
      <c r="C100" s="184"/>
      <c r="D100" s="36"/>
      <c r="E100" s="17">
        <f>IF(F3="1",SUMIF(Data!A:A,'29'!$A$2,Data!AJ:AJ),0)</f>
        <v>544828</v>
      </c>
      <c r="F100" s="21">
        <f t="shared" si="6"/>
        <v>0.28000000000000003</v>
      </c>
    </row>
    <row r="101" spans="2:6" x14ac:dyDescent="0.2">
      <c r="B101" s="183" t="s">
        <v>1079</v>
      </c>
      <c r="C101" s="184"/>
      <c r="D101" s="36"/>
      <c r="E101" s="17">
        <f>IF(F3="1",SUMIF(Data!A:A,'29'!$A$2,Data!AK:AK),0)</f>
        <v>993568</v>
      </c>
      <c r="F101" s="21">
        <f t="shared" si="6"/>
        <v>0.5</v>
      </c>
    </row>
    <row r="102" spans="2:6" x14ac:dyDescent="0.2">
      <c r="B102" s="183" t="s">
        <v>1080</v>
      </c>
      <c r="C102" s="184"/>
      <c r="D102" s="36"/>
      <c r="E102" s="17">
        <f>IF(F3="1",SUMIF(Data!A:A,'29'!$A$2,Data!AL:AL),0)</f>
        <v>0</v>
      </c>
      <c r="F102" s="21" t="str">
        <f t="shared" si="6"/>
        <v/>
      </c>
    </row>
    <row r="103" spans="2:6" x14ac:dyDescent="0.2">
      <c r="B103" s="185" t="s">
        <v>34</v>
      </c>
      <c r="C103" s="186"/>
      <c r="D103" s="36"/>
      <c r="E103" s="17">
        <f>IF(F3="1",SUMIF(Data!A:A,'29'!$A$2,Data!AM:AM),0)</f>
        <v>0</v>
      </c>
      <c r="F103" s="21" t="str">
        <f t="shared" si="6"/>
        <v/>
      </c>
    </row>
    <row r="104" spans="2:6" ht="15.75" customHeight="1" thickBot="1" x14ac:dyDescent="0.25">
      <c r="B104" s="175" t="s">
        <v>29</v>
      </c>
      <c r="C104" s="176"/>
      <c r="D104" s="37"/>
      <c r="E104" s="24">
        <f>IF(F3="1",SUMIF(Data!A:A,'29'!$A$2,Data!Q:Q),0)</f>
        <v>905898</v>
      </c>
      <c r="F104" s="25">
        <f t="shared" si="6"/>
        <v>0.46</v>
      </c>
    </row>
    <row r="105" spans="2:6" x14ac:dyDescent="0.2">
      <c r="B105" s="30" t="s">
        <v>35</v>
      </c>
      <c r="C105" s="30"/>
      <c r="D105" s="34">
        <f>D95</f>
        <v>1978728</v>
      </c>
      <c r="E105" s="31">
        <f>SUM(E98:E104)</f>
        <v>5044556</v>
      </c>
      <c r="F105" s="32">
        <f>IF($D$105=0,"",ROUND(E105/$D$105,2))</f>
        <v>2.5499999999999998</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4662593</v>
      </c>
      <c r="D109" s="15">
        <f>IF(F3="1",SUMIF(Data!$A:$A,$A$2,Data!HJ:HJ),0)</f>
        <v>0</v>
      </c>
      <c r="E109" s="15">
        <f>IF(F3="1",SUMIF(Data!$A:$A,$A$2,Data!IN:IN),0)</f>
        <v>0</v>
      </c>
      <c r="F109" s="47">
        <f>SUM(C109:E109)</f>
        <v>4662593</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905898</v>
      </c>
      <c r="E117" s="52"/>
      <c r="F117" s="49">
        <f>SUM(C117:E117)</f>
        <v>905898</v>
      </c>
    </row>
    <row r="118" spans="1:6" x14ac:dyDescent="0.2">
      <c r="B118" s="13" t="s">
        <v>35</v>
      </c>
      <c r="C118" s="4">
        <f>SUM(C109:C116)</f>
        <v>4662593</v>
      </c>
      <c r="D118" s="4">
        <f>SUM(D109:D116)</f>
        <v>0</v>
      </c>
      <c r="E118" s="4">
        <f>SUM(E109:E116)</f>
        <v>0</v>
      </c>
      <c r="F118" s="4">
        <f>SUM(F109:F116)</f>
        <v>4662593</v>
      </c>
    </row>
    <row r="119" spans="1:6" ht="15" thickBot="1" x14ac:dyDescent="0.25"/>
    <row r="120" spans="1:6" ht="15" thickBot="1" x14ac:dyDescent="0.25">
      <c r="B120" s="55" t="s">
        <v>934</v>
      </c>
      <c r="C120" s="53"/>
      <c r="D120" s="53"/>
      <c r="E120" s="53">
        <f>IF(F3="1",SUMIF(Data!A:A,'29'!$A$2,Data!AM:AM),0)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362</v>
      </c>
      <c r="B2" s="58" t="str">
        <f>VLOOKUP(A2,Data!A:G,7,0)</f>
        <v>North Central Texas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30944</v>
      </c>
      <c r="E5" s="15">
        <f>E36+E67+IFERROR($E$105/$D$105*D5,0)</f>
        <v>337142.03939987894</v>
      </c>
      <c r="F5" s="20">
        <f>IF(OR(D5=0,E5=0),"",ROUND(E5/D5,2))</f>
        <v>10.9</v>
      </c>
    </row>
    <row r="6" spans="1:6" x14ac:dyDescent="0.2">
      <c r="A6" s="19">
        <v>2</v>
      </c>
      <c r="B6" s="177" t="s">
        <v>1</v>
      </c>
      <c r="C6" s="178"/>
      <c r="D6" s="14">
        <f t="shared" ref="D6:D32" si="0">D37</f>
        <v>32576</v>
      </c>
      <c r="E6" s="17">
        <f t="shared" ref="E6:E32" si="1">E37+E68+IFERROR($E$105/$D$105*D6,0)</f>
        <v>246543.09421828002</v>
      </c>
      <c r="F6" s="21">
        <f t="shared" ref="F6:F33" si="2">IF(OR(D6=0,E6=0),"",ROUND(E6/D6,2))</f>
        <v>7.57</v>
      </c>
    </row>
    <row r="7" spans="1:6" ht="14.25" customHeight="1" x14ac:dyDescent="0.2">
      <c r="A7" s="19">
        <v>3</v>
      </c>
      <c r="B7" s="177" t="s">
        <v>2</v>
      </c>
      <c r="C7" s="178"/>
      <c r="D7" s="14">
        <f t="shared" si="0"/>
        <v>138800</v>
      </c>
      <c r="E7" s="17">
        <f t="shared" si="1"/>
        <v>649326.16225126688</v>
      </c>
      <c r="F7" s="21">
        <f t="shared" si="2"/>
        <v>4.68</v>
      </c>
    </row>
    <row r="8" spans="1:6" ht="14.25" customHeight="1" x14ac:dyDescent="0.2">
      <c r="A8" s="19">
        <v>4</v>
      </c>
      <c r="B8" s="177" t="s">
        <v>3</v>
      </c>
      <c r="C8" s="178"/>
      <c r="D8" s="14">
        <f t="shared" si="0"/>
        <v>60666</v>
      </c>
      <c r="E8" s="17">
        <f t="shared" si="1"/>
        <v>266792.22525313654</v>
      </c>
      <c r="F8" s="21">
        <f t="shared" si="2"/>
        <v>4.4000000000000004</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0</v>
      </c>
      <c r="E10" s="17">
        <f t="shared" si="1"/>
        <v>0</v>
      </c>
      <c r="F10" s="21" t="str">
        <f t="shared" si="2"/>
        <v/>
      </c>
    </row>
    <row r="11" spans="1:6" x14ac:dyDescent="0.2">
      <c r="A11" s="19">
        <v>7</v>
      </c>
      <c r="B11" s="177" t="s">
        <v>6</v>
      </c>
      <c r="C11" s="178"/>
      <c r="D11" s="14">
        <f t="shared" si="0"/>
        <v>126419</v>
      </c>
      <c r="E11" s="17">
        <f t="shared" si="1"/>
        <v>870436.65262711025</v>
      </c>
      <c r="F11" s="21">
        <f t="shared" si="2"/>
        <v>6.89</v>
      </c>
    </row>
    <row r="12" spans="1:6" x14ac:dyDescent="0.2">
      <c r="A12" s="19">
        <v>8</v>
      </c>
      <c r="B12" s="177" t="s">
        <v>7</v>
      </c>
      <c r="C12" s="178"/>
      <c r="D12" s="14">
        <f t="shared" si="0"/>
        <v>0</v>
      </c>
      <c r="E12" s="17">
        <f t="shared" si="1"/>
        <v>0</v>
      </c>
      <c r="F12" s="21" t="str">
        <f t="shared" si="2"/>
        <v/>
      </c>
    </row>
    <row r="13" spans="1:6" x14ac:dyDescent="0.2">
      <c r="A13" s="19">
        <v>9</v>
      </c>
      <c r="B13" s="177" t="s">
        <v>8</v>
      </c>
      <c r="C13" s="178"/>
      <c r="D13" s="14">
        <f t="shared" si="0"/>
        <v>57856</v>
      </c>
      <c r="E13" s="17">
        <f t="shared" si="1"/>
        <v>212615.9433660612</v>
      </c>
      <c r="F13" s="21">
        <f t="shared" si="2"/>
        <v>3.67</v>
      </c>
    </row>
    <row r="14" spans="1:6" x14ac:dyDescent="0.2">
      <c r="A14" s="19">
        <v>10</v>
      </c>
      <c r="B14" s="177" t="s">
        <v>9</v>
      </c>
      <c r="C14" s="178"/>
      <c r="D14" s="14">
        <f t="shared" si="0"/>
        <v>0</v>
      </c>
      <c r="E14" s="17">
        <f t="shared" si="1"/>
        <v>0</v>
      </c>
      <c r="F14" s="21" t="str">
        <f t="shared" si="2"/>
        <v/>
      </c>
    </row>
    <row r="15" spans="1:6" x14ac:dyDescent="0.2">
      <c r="A15" s="19">
        <v>11</v>
      </c>
      <c r="B15" s="177" t="s">
        <v>10</v>
      </c>
      <c r="C15" s="178"/>
      <c r="D15" s="14">
        <f t="shared" si="0"/>
        <v>24256</v>
      </c>
      <c r="E15" s="17">
        <f t="shared" si="1"/>
        <v>239618.81475192169</v>
      </c>
      <c r="F15" s="21">
        <f t="shared" si="2"/>
        <v>9.8800000000000008</v>
      </c>
    </row>
    <row r="16" spans="1:6" ht="14.25" customHeight="1" x14ac:dyDescent="0.2">
      <c r="A16" s="19">
        <v>12</v>
      </c>
      <c r="B16" s="177" t="s">
        <v>11</v>
      </c>
      <c r="C16" s="178"/>
      <c r="D16" s="14">
        <f t="shared" si="0"/>
        <v>259590</v>
      </c>
      <c r="E16" s="17">
        <f t="shared" si="1"/>
        <v>1124175.532051919</v>
      </c>
      <c r="F16" s="21">
        <f t="shared" si="2"/>
        <v>4.33</v>
      </c>
    </row>
    <row r="17" spans="1:6" x14ac:dyDescent="0.2">
      <c r="A17" s="19">
        <v>13</v>
      </c>
      <c r="B17" s="177" t="s">
        <v>12</v>
      </c>
      <c r="C17" s="178"/>
      <c r="D17" s="14">
        <f t="shared" si="0"/>
        <v>37190</v>
      </c>
      <c r="E17" s="17">
        <f t="shared" si="1"/>
        <v>152067.06170118597</v>
      </c>
      <c r="F17" s="21">
        <f t="shared" si="2"/>
        <v>4.09</v>
      </c>
    </row>
    <row r="18" spans="1:6" ht="14.25" customHeight="1" x14ac:dyDescent="0.2">
      <c r="A18" s="19">
        <v>14</v>
      </c>
      <c r="B18" s="177" t="s">
        <v>464</v>
      </c>
      <c r="C18" s="178"/>
      <c r="D18" s="14">
        <f t="shared" si="0"/>
        <v>76992</v>
      </c>
      <c r="E18" s="17">
        <f t="shared" si="1"/>
        <v>528105.58613868547</v>
      </c>
      <c r="F18" s="21">
        <f t="shared" si="2"/>
        <v>6.86</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106119</v>
      </c>
      <c r="E20" s="17">
        <f t="shared" si="1"/>
        <v>638342.34575606766</v>
      </c>
      <c r="F20" s="21">
        <f t="shared" si="2"/>
        <v>6.02</v>
      </c>
    </row>
    <row r="21" spans="1:6" x14ac:dyDescent="0.2">
      <c r="A21" s="19">
        <v>17</v>
      </c>
      <c r="B21" s="177" t="s">
        <v>15</v>
      </c>
      <c r="C21" s="178"/>
      <c r="D21" s="14">
        <f t="shared" si="0"/>
        <v>0</v>
      </c>
      <c r="E21" s="17">
        <f t="shared" si="1"/>
        <v>0</v>
      </c>
      <c r="F21" s="21" t="str">
        <f t="shared" si="2"/>
        <v/>
      </c>
    </row>
    <row r="22" spans="1:6" x14ac:dyDescent="0.2">
      <c r="A22" s="19">
        <v>18</v>
      </c>
      <c r="B22" s="177" t="s">
        <v>16</v>
      </c>
      <c r="C22" s="178"/>
      <c r="D22" s="14">
        <f t="shared" si="0"/>
        <v>110096</v>
      </c>
      <c r="E22" s="17">
        <f t="shared" si="1"/>
        <v>644549.19809233048</v>
      </c>
      <c r="F22" s="21">
        <f t="shared" si="2"/>
        <v>5.85</v>
      </c>
    </row>
    <row r="23" spans="1:6" x14ac:dyDescent="0.2">
      <c r="A23" s="19">
        <v>19</v>
      </c>
      <c r="B23" s="177" t="s">
        <v>17</v>
      </c>
      <c r="C23" s="178"/>
      <c r="D23" s="14">
        <f t="shared" si="0"/>
        <v>177024</v>
      </c>
      <c r="E23" s="17">
        <f t="shared" si="1"/>
        <v>693914.94618420932</v>
      </c>
      <c r="F23" s="21">
        <f t="shared" si="2"/>
        <v>3.92</v>
      </c>
    </row>
    <row r="24" spans="1:6" x14ac:dyDescent="0.2">
      <c r="A24" s="19">
        <v>20</v>
      </c>
      <c r="B24" s="177" t="s">
        <v>18</v>
      </c>
      <c r="C24" s="178"/>
      <c r="D24" s="14">
        <f t="shared" si="0"/>
        <v>0</v>
      </c>
      <c r="E24" s="17">
        <f t="shared" si="1"/>
        <v>0</v>
      </c>
      <c r="F24" s="21" t="str">
        <f t="shared" si="2"/>
        <v/>
      </c>
    </row>
    <row r="25" spans="1:6" ht="14.25" customHeight="1" x14ac:dyDescent="0.2">
      <c r="A25" s="19">
        <v>21</v>
      </c>
      <c r="B25" s="177" t="s">
        <v>461</v>
      </c>
      <c r="C25" s="178"/>
      <c r="D25" s="14">
        <f t="shared" si="0"/>
        <v>0</v>
      </c>
      <c r="E25" s="17">
        <f t="shared" si="1"/>
        <v>0</v>
      </c>
      <c r="F25" s="21" t="str">
        <f t="shared" si="2"/>
        <v/>
      </c>
    </row>
    <row r="26" spans="1:6" x14ac:dyDescent="0.2">
      <c r="A26" s="19">
        <v>22</v>
      </c>
      <c r="B26" s="177" t="s">
        <v>19</v>
      </c>
      <c r="C26" s="178"/>
      <c r="D26" s="14">
        <f t="shared" si="0"/>
        <v>6984</v>
      </c>
      <c r="E26" s="17">
        <f t="shared" si="1"/>
        <v>59961.98459051043</v>
      </c>
      <c r="F26" s="21">
        <f t="shared" si="2"/>
        <v>8.59</v>
      </c>
    </row>
    <row r="27" spans="1:6" x14ac:dyDescent="0.2">
      <c r="A27" s="19">
        <v>23</v>
      </c>
      <c r="B27" s="177" t="s">
        <v>20</v>
      </c>
      <c r="C27" s="178"/>
      <c r="D27" s="14">
        <f t="shared" si="0"/>
        <v>49776</v>
      </c>
      <c r="E27" s="17">
        <f t="shared" si="1"/>
        <v>278973.17196123244</v>
      </c>
      <c r="F27" s="21">
        <f t="shared" si="2"/>
        <v>5.6</v>
      </c>
    </row>
    <row r="28" spans="1:6" x14ac:dyDescent="0.2">
      <c r="A28" s="19">
        <v>24</v>
      </c>
      <c r="B28" s="177" t="s">
        <v>21</v>
      </c>
      <c r="C28" s="178"/>
      <c r="D28" s="14">
        <f t="shared" si="0"/>
        <v>44080</v>
      </c>
      <c r="E28" s="17">
        <f t="shared" si="1"/>
        <v>165689.98063426401</v>
      </c>
      <c r="F28" s="21">
        <f t="shared" si="2"/>
        <v>3.76</v>
      </c>
    </row>
    <row r="29" spans="1:6" x14ac:dyDescent="0.2">
      <c r="A29" s="19">
        <v>25</v>
      </c>
      <c r="B29" s="177" t="s">
        <v>22</v>
      </c>
      <c r="C29" s="178"/>
      <c r="D29" s="14">
        <f t="shared" si="0"/>
        <v>369216</v>
      </c>
      <c r="E29" s="17">
        <f t="shared" si="1"/>
        <v>1354438.4018570874</v>
      </c>
      <c r="F29" s="21">
        <f t="shared" si="2"/>
        <v>3.67</v>
      </c>
    </row>
    <row r="30" spans="1:6" x14ac:dyDescent="0.2">
      <c r="A30" s="19">
        <v>26</v>
      </c>
      <c r="B30" s="177" t="s">
        <v>23</v>
      </c>
      <c r="C30" s="178"/>
      <c r="D30" s="14">
        <f t="shared" si="0"/>
        <v>62792</v>
      </c>
      <c r="E30" s="17">
        <f t="shared" si="1"/>
        <v>333721.85916485265</v>
      </c>
      <c r="F30" s="21">
        <f t="shared" si="2"/>
        <v>5.31</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1771376</v>
      </c>
      <c r="E33" s="31">
        <f>SUM(E5:E32)</f>
        <v>8796415</v>
      </c>
      <c r="F33" s="32">
        <f t="shared" si="2"/>
        <v>4.97</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IF(F3="1",SUMIF(Data!A:A,'30'!$A$2,Data!CU:CU),0)</f>
        <v>30944</v>
      </c>
      <c r="E36" s="15">
        <f>IF(F3="1",SUMIF(Data!$A:$A,$A$2,Data!IO:IO),0)</f>
        <v>116273</v>
      </c>
      <c r="F36" s="20">
        <f t="shared" ref="F36:F64" si="3">IF(OR(D36=0,E36=0),"",ROUND(E36/D36,2))</f>
        <v>3.76</v>
      </c>
    </row>
    <row r="37" spans="1:6" x14ac:dyDescent="0.2">
      <c r="A37" s="19">
        <v>2</v>
      </c>
      <c r="B37" s="177" t="s">
        <v>1</v>
      </c>
      <c r="C37" s="178"/>
      <c r="D37" s="14">
        <f>IF(F3="1",SUMIF(Data!A:A,'30'!$A$2,Data!CV:CV),0)</f>
        <v>32576</v>
      </c>
      <c r="E37" s="17">
        <f>IF(F3="1",SUMIF(Data!$A:$A,$A$2,Data!IP:IP),0)</f>
        <v>30196</v>
      </c>
      <c r="F37" s="21">
        <f t="shared" si="3"/>
        <v>0.93</v>
      </c>
    </row>
    <row r="38" spans="1:6" ht="14.25" customHeight="1" x14ac:dyDescent="0.2">
      <c r="A38" s="19">
        <v>3</v>
      </c>
      <c r="B38" s="177" t="s">
        <v>2</v>
      </c>
      <c r="C38" s="178"/>
      <c r="D38" s="14">
        <f>IF(F3="1",SUMIF(Data!A:A,'30'!$A$2,Data!CW:CW),0)</f>
        <v>138800</v>
      </c>
      <c r="E38" s="17">
        <f>IF($F$3="1",SUMIF(Data!$A:$A,$A$2,Data!IQ:IQ),0)</f>
        <v>79702</v>
      </c>
      <c r="F38" s="21">
        <f t="shared" si="3"/>
        <v>0.56999999999999995</v>
      </c>
    </row>
    <row r="39" spans="1:6" ht="14.25" customHeight="1" x14ac:dyDescent="0.2">
      <c r="A39" s="19">
        <v>4</v>
      </c>
      <c r="B39" s="177" t="s">
        <v>3</v>
      </c>
      <c r="C39" s="178"/>
      <c r="D39" s="14">
        <f>IF(F3="1",SUMIF(Data!A:A,'30'!$A$2,Data!CX:CX),0)</f>
        <v>60666</v>
      </c>
      <c r="E39" s="17">
        <f>IF($F$3="1",SUMIF(Data!$A:$A,$A$2,Data!IR:IR),0)</f>
        <v>15569</v>
      </c>
      <c r="F39" s="21">
        <f t="shared" si="3"/>
        <v>0.26</v>
      </c>
    </row>
    <row r="40" spans="1:6" x14ac:dyDescent="0.2">
      <c r="A40" s="19">
        <v>5</v>
      </c>
      <c r="B40" s="177" t="s">
        <v>4</v>
      </c>
      <c r="C40" s="178"/>
      <c r="D40" s="14">
        <f>IF(F3="1",SUMIF(Data!A:A,'30'!$A$2,Data!CY:CY),0)</f>
        <v>0</v>
      </c>
      <c r="E40" s="17">
        <f>IF($F$3="1",SUMIF(Data!$A:$A,$A$2,Data!IS:IS),0)</f>
        <v>0</v>
      </c>
      <c r="F40" s="21" t="str">
        <f t="shared" si="3"/>
        <v/>
      </c>
    </row>
    <row r="41" spans="1:6" x14ac:dyDescent="0.2">
      <c r="A41" s="19">
        <v>6</v>
      </c>
      <c r="B41" s="177" t="s">
        <v>5</v>
      </c>
      <c r="C41" s="178"/>
      <c r="D41" s="14">
        <f>IF(F3="1",SUMIF(Data!A:A,'30'!$A$2,Data!CZ:CZ),0)</f>
        <v>0</v>
      </c>
      <c r="E41" s="17">
        <f>IF($F$3="1",SUMIF(Data!$A:$A,$A$2,Data!IT:IT),0)</f>
        <v>0</v>
      </c>
      <c r="F41" s="21" t="str">
        <f t="shared" si="3"/>
        <v/>
      </c>
    </row>
    <row r="42" spans="1:6" x14ac:dyDescent="0.2">
      <c r="A42" s="19">
        <v>7</v>
      </c>
      <c r="B42" s="177" t="s">
        <v>6</v>
      </c>
      <c r="C42" s="178"/>
      <c r="D42" s="14">
        <f>IF(F3="1",SUMIF(Data!A:A,'30'!$A$2,Data!DA:DA),0)</f>
        <v>126419</v>
      </c>
      <c r="E42" s="17">
        <f>IF($F$3="1",SUMIF(Data!$A:$A,$A$2,Data!IU:IU),0)</f>
        <v>312319</v>
      </c>
      <c r="F42" s="21">
        <f t="shared" si="3"/>
        <v>2.4700000000000002</v>
      </c>
    </row>
    <row r="43" spans="1:6" x14ac:dyDescent="0.2">
      <c r="A43" s="19">
        <v>8</v>
      </c>
      <c r="B43" s="177" t="s">
        <v>7</v>
      </c>
      <c r="C43" s="178"/>
      <c r="D43" s="14">
        <f>IF(F3="1",SUMIF(Data!A:A,'30'!$A$2,Data!DB:DB),0)</f>
        <v>0</v>
      </c>
      <c r="E43" s="17">
        <f>IF($F$3="1",SUMIF(Data!$A:$A,$A$2,Data!IV:IV),0)</f>
        <v>0</v>
      </c>
      <c r="F43" s="21" t="str">
        <f t="shared" si="3"/>
        <v/>
      </c>
    </row>
    <row r="44" spans="1:6" x14ac:dyDescent="0.2">
      <c r="A44" s="19">
        <v>9</v>
      </c>
      <c r="B44" s="177" t="s">
        <v>8</v>
      </c>
      <c r="C44" s="178"/>
      <c r="D44" s="14">
        <f>IF(F3="1",SUMIF(Data!A:A,'30'!$A$2,Data!DC:DC),0)</f>
        <v>57856</v>
      </c>
      <c r="E44" s="17">
        <f>IF($F$3="1",SUMIF(Data!$A:$A,$A$2,Data!IW:IW),0)</f>
        <v>18824</v>
      </c>
      <c r="F44" s="21">
        <f t="shared" si="3"/>
        <v>0.33</v>
      </c>
    </row>
    <row r="45" spans="1:6" x14ac:dyDescent="0.2">
      <c r="A45" s="19">
        <v>10</v>
      </c>
      <c r="B45" s="177" t="s">
        <v>9</v>
      </c>
      <c r="C45" s="178"/>
      <c r="D45" s="14">
        <f>IF(F3="1",SUMIF(Data!A:A,'30'!$A$2,Data!DD:DD),0)</f>
        <v>0</v>
      </c>
      <c r="E45" s="17">
        <f>IF($F$3="1",SUMIF(Data!$A:$A,$A$2,Data!IX:IX),0)</f>
        <v>0</v>
      </c>
      <c r="F45" s="21" t="str">
        <f t="shared" si="3"/>
        <v/>
      </c>
    </row>
    <row r="46" spans="1:6" x14ac:dyDescent="0.2">
      <c r="A46" s="19">
        <v>11</v>
      </c>
      <c r="B46" s="177" t="s">
        <v>10</v>
      </c>
      <c r="C46" s="178"/>
      <c r="D46" s="14">
        <f>IF(F3="1",SUMIF(Data!A:A,'30'!$A$2,Data!DE:DE),0)</f>
        <v>24256</v>
      </c>
      <c r="E46" s="17">
        <f>IF($F$3="1",SUMIF(Data!$A:$A,$A$2,Data!IY:IY),0)</f>
        <v>92091</v>
      </c>
      <c r="F46" s="21">
        <f t="shared" si="3"/>
        <v>3.8</v>
      </c>
    </row>
    <row r="47" spans="1:6" ht="14.25" customHeight="1" x14ac:dyDescent="0.2">
      <c r="A47" s="19">
        <v>12</v>
      </c>
      <c r="B47" s="177" t="s">
        <v>11</v>
      </c>
      <c r="C47" s="178"/>
      <c r="D47" s="14">
        <f>IF(F3="1",SUMIF(Data!A:A,'30'!$A$2,Data!DF:DF),0)</f>
        <v>259590</v>
      </c>
      <c r="E47" s="17">
        <f>IF($F$3="1",SUMIF(Data!$A:$A,$A$2,Data!IZ:IZ),0)</f>
        <v>25155</v>
      </c>
      <c r="F47" s="21">
        <f t="shared" si="3"/>
        <v>0.1</v>
      </c>
    </row>
    <row r="48" spans="1:6" x14ac:dyDescent="0.2">
      <c r="A48" s="19">
        <v>13</v>
      </c>
      <c r="B48" s="177" t="s">
        <v>12</v>
      </c>
      <c r="C48" s="178"/>
      <c r="D48" s="14">
        <f>IF(F3="1",SUMIF(Data!A:A,'30'!$A$2,Data!DG:DG),0)</f>
        <v>37190</v>
      </c>
      <c r="E48" s="17">
        <f>IF($F$3="1",SUMIF(Data!$A:$A,$A$2,Data!JA:JA),0)</f>
        <v>3211</v>
      </c>
      <c r="F48" s="21">
        <f t="shared" si="3"/>
        <v>0.09</v>
      </c>
    </row>
    <row r="49" spans="1:6" ht="14.25" customHeight="1" x14ac:dyDescent="0.2">
      <c r="A49" s="19">
        <v>14</v>
      </c>
      <c r="B49" s="177" t="s">
        <v>464</v>
      </c>
      <c r="C49" s="178"/>
      <c r="D49" s="14">
        <f>IF(F3="1",SUMIF(Data!A:A,'30'!$A$2,Data!DH:DH),0)</f>
        <v>76992</v>
      </c>
      <c r="E49" s="17">
        <f>IF($F$3="1",SUMIF(Data!$A:$A,$A$2,Data!JB:JB),0)</f>
        <v>30611</v>
      </c>
      <c r="F49" s="21">
        <f t="shared" si="3"/>
        <v>0.4</v>
      </c>
    </row>
    <row r="50" spans="1:6" x14ac:dyDescent="0.2">
      <c r="A50" s="19">
        <v>15</v>
      </c>
      <c r="B50" s="177" t="s">
        <v>13</v>
      </c>
      <c r="C50" s="178"/>
      <c r="D50" s="14">
        <f>IF(F3="1",SUMIF(Data!A:A,'30'!$A$2,Data!DI:DI),0)</f>
        <v>0</v>
      </c>
      <c r="E50" s="17">
        <f>IF($F$3="1",SUMIF(Data!$A:$A,$A$2,Data!JC:JC),0)</f>
        <v>0</v>
      </c>
      <c r="F50" s="21" t="str">
        <f t="shared" si="3"/>
        <v/>
      </c>
    </row>
    <row r="51" spans="1:6" x14ac:dyDescent="0.2">
      <c r="A51" s="19">
        <v>16</v>
      </c>
      <c r="B51" s="177" t="s">
        <v>14</v>
      </c>
      <c r="C51" s="178"/>
      <c r="D51" s="14">
        <f>IF(F3="1",SUMIF(Data!A:A,'30'!$A$2,Data!DJ:DJ),0)</f>
        <v>106119</v>
      </c>
      <c r="E51" s="17">
        <f>IF($F$3="1",SUMIF(Data!$A:$A,$A$2,Data!JD:JD),0)</f>
        <v>107532</v>
      </c>
      <c r="F51" s="21">
        <f t="shared" si="3"/>
        <v>1.01</v>
      </c>
    </row>
    <row r="52" spans="1:6" x14ac:dyDescent="0.2">
      <c r="A52" s="19">
        <v>17</v>
      </c>
      <c r="B52" s="177" t="s">
        <v>15</v>
      </c>
      <c r="C52" s="178"/>
      <c r="D52" s="14">
        <f>IF(F3="1",SUMIF(Data!A:A,'30'!$A$2,Data!DK:DK),0)</f>
        <v>0</v>
      </c>
      <c r="E52" s="17">
        <f>IF($F$3="1",SUMIF(Data!$A:$A,$A$2,Data!JE:JE),0)</f>
        <v>0</v>
      </c>
      <c r="F52" s="21" t="str">
        <f t="shared" si="3"/>
        <v/>
      </c>
    </row>
    <row r="53" spans="1:6" x14ac:dyDescent="0.2">
      <c r="A53" s="19">
        <v>18</v>
      </c>
      <c r="B53" s="177" t="s">
        <v>16</v>
      </c>
      <c r="C53" s="178"/>
      <c r="D53" s="14">
        <f>IF(F3="1",SUMIF(Data!A:A,'30'!$A$2,Data!DL:DL),0)</f>
        <v>110096</v>
      </c>
      <c r="E53" s="17">
        <f>IF($F$3="1",SUMIF(Data!$A:$A,$A$2,Data!JF:JF),0)</f>
        <v>63293</v>
      </c>
      <c r="F53" s="21">
        <f t="shared" si="3"/>
        <v>0.56999999999999995</v>
      </c>
    </row>
    <row r="54" spans="1:6" x14ac:dyDescent="0.2">
      <c r="A54" s="19">
        <v>19</v>
      </c>
      <c r="B54" s="177" t="s">
        <v>17</v>
      </c>
      <c r="C54" s="178"/>
      <c r="D54" s="14">
        <f>IF(F3="1",SUMIF(Data!A:A,'30'!$A$2,Data!DM:DM),0)</f>
        <v>177024</v>
      </c>
      <c r="E54" s="17">
        <f>IF($F$3="1",SUMIF(Data!$A:$A,$A$2,Data!JG:JG),0)</f>
        <v>28369</v>
      </c>
      <c r="F54" s="21">
        <f t="shared" si="3"/>
        <v>0.16</v>
      </c>
    </row>
    <row r="55" spans="1:6" x14ac:dyDescent="0.2">
      <c r="A55" s="19">
        <v>20</v>
      </c>
      <c r="B55" s="177" t="s">
        <v>18</v>
      </c>
      <c r="C55" s="178"/>
      <c r="D55" s="14">
        <f>IF(F3="1",SUMIF(Data!A:A,'30'!$A$2,Data!DN:DN),0)</f>
        <v>0</v>
      </c>
      <c r="E55" s="17">
        <f>IF($F$3="1",SUMIF(Data!$A:$A,$A$2,Data!JH:JH),0)</f>
        <v>0</v>
      </c>
      <c r="F55" s="21" t="str">
        <f t="shared" si="3"/>
        <v/>
      </c>
    </row>
    <row r="56" spans="1:6" ht="14.25" customHeight="1" x14ac:dyDescent="0.2">
      <c r="A56" s="19">
        <v>21</v>
      </c>
      <c r="B56" s="177" t="s">
        <v>461</v>
      </c>
      <c r="C56" s="178"/>
      <c r="D56" s="14">
        <f>IF(F3="1",SUMIF(Data!A:A,'30'!$A$2,Data!DO:DO),0)</f>
        <v>0</v>
      </c>
      <c r="E56" s="17">
        <f>IF($F$3="1",SUMIF(Data!$A:$A,$A$2,Data!JI:JI),0)</f>
        <v>0</v>
      </c>
      <c r="F56" s="21" t="str">
        <f t="shared" si="3"/>
        <v/>
      </c>
    </row>
    <row r="57" spans="1:6" x14ac:dyDescent="0.2">
      <c r="A57" s="19">
        <v>22</v>
      </c>
      <c r="B57" s="177" t="s">
        <v>19</v>
      </c>
      <c r="C57" s="178"/>
      <c r="D57" s="14">
        <f>IF(F3="1",SUMIF(Data!A:A,'30'!$A$2,Data!DP:DP),0)</f>
        <v>6984</v>
      </c>
      <c r="E57" s="17">
        <f>IF($F$3="1",SUMIF(Data!$A:$A,$A$2,Data!JJ:JJ),0)</f>
        <v>4847</v>
      </c>
      <c r="F57" s="21">
        <f t="shared" si="3"/>
        <v>0.69</v>
      </c>
    </row>
    <row r="58" spans="1:6" x14ac:dyDescent="0.2">
      <c r="A58" s="19">
        <v>23</v>
      </c>
      <c r="B58" s="177" t="s">
        <v>20</v>
      </c>
      <c r="C58" s="178"/>
      <c r="D58" s="14">
        <f>IF(F3="1",SUMIF(Data!A:A,'30'!$A$2,Data!DQ:DQ),0)</f>
        <v>49776</v>
      </c>
      <c r="E58" s="17">
        <f>IF($F$3="1",SUMIF(Data!$A:$A,$A$2,Data!JK:JK),0)</f>
        <v>11676</v>
      </c>
      <c r="F58" s="21">
        <f t="shared" si="3"/>
        <v>0.23</v>
      </c>
    </row>
    <row r="59" spans="1:6" x14ac:dyDescent="0.2">
      <c r="A59" s="19">
        <v>24</v>
      </c>
      <c r="B59" s="177" t="s">
        <v>21</v>
      </c>
      <c r="C59" s="178"/>
      <c r="D59" s="14">
        <f>IF(F3="1",SUMIF(Data!A:A,'30'!$A$2,Data!DR:DR),0)</f>
        <v>44080</v>
      </c>
      <c r="E59" s="17">
        <f>IF($F$3="1",SUMIF(Data!$A:$A,$A$2,Data!JL:JL),0)</f>
        <v>4146</v>
      </c>
      <c r="F59" s="21">
        <f t="shared" si="3"/>
        <v>0.09</v>
      </c>
    </row>
    <row r="60" spans="1:6" x14ac:dyDescent="0.2">
      <c r="A60" s="19">
        <v>25</v>
      </c>
      <c r="B60" s="177" t="s">
        <v>22</v>
      </c>
      <c r="C60" s="178"/>
      <c r="D60" s="14">
        <f>IF(F3="1",SUMIF(Data!A:A,'30'!$A$2,Data!DS:DS),0)</f>
        <v>369216</v>
      </c>
      <c r="E60" s="17">
        <f>IF($F$3="1",SUMIF(Data!$A:$A,$A$2,Data!JM:JM),0)</f>
        <v>31249</v>
      </c>
      <c r="F60" s="21">
        <f t="shared" si="3"/>
        <v>0.08</v>
      </c>
    </row>
    <row r="61" spans="1:6" x14ac:dyDescent="0.2">
      <c r="A61" s="19">
        <v>26</v>
      </c>
      <c r="B61" s="177" t="s">
        <v>23</v>
      </c>
      <c r="C61" s="178"/>
      <c r="D61" s="14">
        <f>IF(F3="1",SUMIF(Data!A:A,'30'!$A$2,Data!DT:DT),0)</f>
        <v>62792</v>
      </c>
      <c r="E61" s="17">
        <f>IF($F$3="1",SUMIF(Data!$A:$A,$A$2,Data!JN:JN),0)</f>
        <v>34814</v>
      </c>
      <c r="F61" s="21">
        <f t="shared" si="3"/>
        <v>0.55000000000000004</v>
      </c>
    </row>
    <row r="62" spans="1:6" x14ac:dyDescent="0.2">
      <c r="A62" s="19">
        <v>28</v>
      </c>
      <c r="B62" s="177" t="s">
        <v>24</v>
      </c>
      <c r="C62" s="178"/>
      <c r="D62" s="14">
        <f>IF(F3="1",SUMIF(Data!A:A,'30'!$A$2,Data!DV:DV),0)</f>
        <v>0</v>
      </c>
      <c r="E62" s="17">
        <f>IF($F$3="1",SUMIF(Data!$A:$A,$A$2,Data!JP:JP),0)</f>
        <v>0</v>
      </c>
      <c r="F62" s="21" t="str">
        <f t="shared" si="3"/>
        <v/>
      </c>
    </row>
    <row r="63" spans="1:6" ht="15.75" customHeight="1" thickBot="1" x14ac:dyDescent="0.25">
      <c r="A63" s="22">
        <v>29</v>
      </c>
      <c r="B63" s="179" t="s">
        <v>25</v>
      </c>
      <c r="C63" s="180"/>
      <c r="D63" s="23">
        <f>IF(F3="1",SUMIF(Data!A:A,'30'!$A$2,Data!DW:DW),0)</f>
        <v>0</v>
      </c>
      <c r="E63" s="24">
        <f>IF($F$3="1",SUMIF(Data!$A:$A,$A$2,Data!JQ:JQ),0)</f>
        <v>0</v>
      </c>
      <c r="F63" s="25" t="str">
        <f t="shared" si="3"/>
        <v/>
      </c>
    </row>
    <row r="64" spans="1:6" x14ac:dyDescent="0.2">
      <c r="B64" s="30" t="s">
        <v>35</v>
      </c>
      <c r="C64" s="30"/>
      <c r="D64" s="59">
        <f>SUM(D36:D63)</f>
        <v>1771376</v>
      </c>
      <c r="E64" s="31">
        <f>SUM(E36:E63)</f>
        <v>1009877</v>
      </c>
      <c r="F64" s="32">
        <f t="shared" si="3"/>
        <v>0.56999999999999995</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30944</v>
      </c>
      <c r="E67" s="15">
        <f>IF(F3="1",SUMIF(Data!A:A,'30'!$A$2,Data!DY:DY),0)</f>
        <v>159947</v>
      </c>
      <c r="F67" s="20">
        <f t="shared" ref="F67:F95" si="4">IF(OR(D67=0,E67=0),"",ROUND(E67/D67,2))</f>
        <v>5.17</v>
      </c>
    </row>
    <row r="68" spans="1:6" x14ac:dyDescent="0.2">
      <c r="A68" s="19">
        <v>2</v>
      </c>
      <c r="B68" s="177" t="s">
        <v>1</v>
      </c>
      <c r="C68" s="178"/>
      <c r="D68" s="14">
        <f t="shared" ref="D68:D94" si="5">D37</f>
        <v>32576</v>
      </c>
      <c r="E68" s="17">
        <f>IF(F3="1",SUMIF(Data!A:A,'30'!$A$2,Data!DZ:DZ),0)</f>
        <v>152212</v>
      </c>
      <c r="F68" s="21">
        <f t="shared" si="4"/>
        <v>4.67</v>
      </c>
    </row>
    <row r="69" spans="1:6" ht="14.25" customHeight="1" x14ac:dyDescent="0.2">
      <c r="A69" s="19">
        <v>3</v>
      </c>
      <c r="B69" s="177" t="s">
        <v>2</v>
      </c>
      <c r="C69" s="178"/>
      <c r="D69" s="14">
        <f t="shared" si="5"/>
        <v>138800</v>
      </c>
      <c r="E69" s="17">
        <f>IF(F3="1",SUMIF(Data!A:A,'30'!$A$2,Data!EA:EA),0)</f>
        <v>296357</v>
      </c>
      <c r="F69" s="21">
        <f t="shared" si="4"/>
        <v>2.14</v>
      </c>
    </row>
    <row r="70" spans="1:6" ht="14.25" customHeight="1" x14ac:dyDescent="0.2">
      <c r="A70" s="19">
        <v>4</v>
      </c>
      <c r="B70" s="177" t="s">
        <v>3</v>
      </c>
      <c r="C70" s="178"/>
      <c r="D70" s="14">
        <f t="shared" si="5"/>
        <v>60666</v>
      </c>
      <c r="E70" s="17">
        <f>IF(F3="1",SUMIF(Data!A:A,'30'!$A$2,Data!EB:EB),0)</f>
        <v>131785</v>
      </c>
      <c r="F70" s="21">
        <f t="shared" si="4"/>
        <v>2.17</v>
      </c>
    </row>
    <row r="71" spans="1:6" x14ac:dyDescent="0.2">
      <c r="A71" s="19">
        <v>5</v>
      </c>
      <c r="B71" s="177" t="s">
        <v>4</v>
      </c>
      <c r="C71" s="178"/>
      <c r="D71" s="14">
        <f t="shared" si="5"/>
        <v>0</v>
      </c>
      <c r="E71" s="17">
        <f>IF(F3="1",SUMIF(Data!A:A,'30'!$A$2,Data!EC:EC),0)</f>
        <v>0</v>
      </c>
      <c r="F71" s="21" t="str">
        <f t="shared" si="4"/>
        <v/>
      </c>
    </row>
    <row r="72" spans="1:6" x14ac:dyDescent="0.2">
      <c r="A72" s="19">
        <v>6</v>
      </c>
      <c r="B72" s="177" t="s">
        <v>5</v>
      </c>
      <c r="C72" s="178"/>
      <c r="D72" s="14">
        <f t="shared" si="5"/>
        <v>0</v>
      </c>
      <c r="E72" s="17">
        <f>IF(F3="1",SUMIF(Data!A:A,'30'!$A$2,Data!ED:ED),0)</f>
        <v>0</v>
      </c>
      <c r="F72" s="21" t="str">
        <f t="shared" si="4"/>
        <v/>
      </c>
    </row>
    <row r="73" spans="1:6" x14ac:dyDescent="0.2">
      <c r="A73" s="19">
        <v>7</v>
      </c>
      <c r="B73" s="177" t="s">
        <v>6</v>
      </c>
      <c r="C73" s="178"/>
      <c r="D73" s="14">
        <f t="shared" si="5"/>
        <v>126419</v>
      </c>
      <c r="E73" s="17">
        <f>IF(F3="1",SUMIF(Data!A:A,'30'!$A$2,Data!EE:EE),0)</f>
        <v>309226</v>
      </c>
      <c r="F73" s="21">
        <f t="shared" si="4"/>
        <v>2.4500000000000002</v>
      </c>
    </row>
    <row r="74" spans="1:6" x14ac:dyDescent="0.2">
      <c r="A74" s="19">
        <v>8</v>
      </c>
      <c r="B74" s="177" t="s">
        <v>7</v>
      </c>
      <c r="C74" s="178"/>
      <c r="D74" s="14">
        <f t="shared" si="5"/>
        <v>0</v>
      </c>
      <c r="E74" s="17">
        <f>IF(F3="1",SUMIF(Data!A:A,'30'!$A$2,Data!EF:EF),0)</f>
        <v>0</v>
      </c>
      <c r="F74" s="21" t="str">
        <f t="shared" si="4"/>
        <v/>
      </c>
    </row>
    <row r="75" spans="1:6" x14ac:dyDescent="0.2">
      <c r="A75" s="19">
        <v>9</v>
      </c>
      <c r="B75" s="177" t="s">
        <v>8</v>
      </c>
      <c r="C75" s="178"/>
      <c r="D75" s="14">
        <f t="shared" si="5"/>
        <v>57856</v>
      </c>
      <c r="E75" s="17">
        <f>IF(F3="1",SUMIF(Data!A:A,'30'!$A$2,Data!EG:EG),0)</f>
        <v>79886</v>
      </c>
      <c r="F75" s="21">
        <f t="shared" si="4"/>
        <v>1.38</v>
      </c>
    </row>
    <row r="76" spans="1:6" x14ac:dyDescent="0.2">
      <c r="A76" s="19">
        <v>10</v>
      </c>
      <c r="B76" s="177" t="s">
        <v>9</v>
      </c>
      <c r="C76" s="178"/>
      <c r="D76" s="14">
        <f t="shared" si="5"/>
        <v>0</v>
      </c>
      <c r="E76" s="17">
        <f>IF(F3="1",SUMIF(Data!A:A,'30'!$A$2,Data!EH:EH),0)</f>
        <v>0</v>
      </c>
      <c r="F76" s="21" t="str">
        <f t="shared" si="4"/>
        <v/>
      </c>
    </row>
    <row r="77" spans="1:6" x14ac:dyDescent="0.2">
      <c r="A77" s="19">
        <v>11</v>
      </c>
      <c r="B77" s="177" t="s">
        <v>10</v>
      </c>
      <c r="C77" s="178"/>
      <c r="D77" s="14">
        <f t="shared" si="5"/>
        <v>24256</v>
      </c>
      <c r="E77" s="17">
        <f>IF(F3="1",SUMIF(Data!A:A,'30'!$A$2,Data!EI:EI),0)</f>
        <v>99773</v>
      </c>
      <c r="F77" s="21">
        <f t="shared" si="4"/>
        <v>4.1100000000000003</v>
      </c>
    </row>
    <row r="78" spans="1:6" ht="14.25" customHeight="1" x14ac:dyDescent="0.2">
      <c r="A78" s="19">
        <v>12</v>
      </c>
      <c r="B78" s="177" t="s">
        <v>11</v>
      </c>
      <c r="C78" s="178"/>
      <c r="D78" s="14">
        <f t="shared" si="5"/>
        <v>259590</v>
      </c>
      <c r="E78" s="17">
        <f>IF(F3="1",SUMIF(Data!A:A,'30'!$A$2,Data!EJ:EJ),0)</f>
        <v>587944</v>
      </c>
      <c r="F78" s="21">
        <f t="shared" si="4"/>
        <v>2.2599999999999998</v>
      </c>
    </row>
    <row r="79" spans="1:6" x14ac:dyDescent="0.2">
      <c r="A79" s="19">
        <v>13</v>
      </c>
      <c r="B79" s="177" t="s">
        <v>12</v>
      </c>
      <c r="C79" s="178"/>
      <c r="D79" s="14">
        <f t="shared" si="5"/>
        <v>37190</v>
      </c>
      <c r="E79" s="17">
        <f>IF(F3="1",SUMIF(Data!A:A,'30'!$A$2,Data!EK:EK),0)</f>
        <v>75637</v>
      </c>
      <c r="F79" s="21">
        <f t="shared" si="4"/>
        <v>2.0299999999999998</v>
      </c>
    </row>
    <row r="80" spans="1:6" ht="14.25" customHeight="1" x14ac:dyDescent="0.2">
      <c r="A80" s="19">
        <v>14</v>
      </c>
      <c r="B80" s="177" t="s">
        <v>464</v>
      </c>
      <c r="C80" s="178"/>
      <c r="D80" s="14">
        <f t="shared" si="5"/>
        <v>76992</v>
      </c>
      <c r="E80" s="17">
        <f>IF(F3="1",SUMIF(Data!A:A,'30'!$A$2,Data!EL:EL),0)</f>
        <v>345914</v>
      </c>
      <c r="F80" s="21">
        <f t="shared" si="4"/>
        <v>4.49</v>
      </c>
    </row>
    <row r="81" spans="1:6" x14ac:dyDescent="0.2">
      <c r="A81" s="19">
        <v>15</v>
      </c>
      <c r="B81" s="177" t="s">
        <v>13</v>
      </c>
      <c r="C81" s="178"/>
      <c r="D81" s="14">
        <f t="shared" si="5"/>
        <v>0</v>
      </c>
      <c r="E81" s="17">
        <f>IF(F3="1",SUMIF(Data!A:A,'30'!$A$2,Data!EM:EM),0)</f>
        <v>0</v>
      </c>
      <c r="F81" s="21" t="str">
        <f t="shared" si="4"/>
        <v/>
      </c>
    </row>
    <row r="82" spans="1:6" x14ac:dyDescent="0.2">
      <c r="A82" s="19">
        <v>16</v>
      </c>
      <c r="B82" s="177" t="s">
        <v>14</v>
      </c>
      <c r="C82" s="178"/>
      <c r="D82" s="14">
        <f t="shared" si="5"/>
        <v>106119</v>
      </c>
      <c r="E82" s="17">
        <f>IF(F3="1",SUMIF(Data!A:A,'30'!$A$2,Data!EN:EN),0)</f>
        <v>321885</v>
      </c>
      <c r="F82" s="21">
        <f t="shared" si="4"/>
        <v>3.03</v>
      </c>
    </row>
    <row r="83" spans="1:6" x14ac:dyDescent="0.2">
      <c r="A83" s="19">
        <v>17</v>
      </c>
      <c r="B83" s="177" t="s">
        <v>15</v>
      </c>
      <c r="C83" s="178"/>
      <c r="D83" s="14">
        <f t="shared" si="5"/>
        <v>0</v>
      </c>
      <c r="E83" s="17">
        <f>IF(F3="1",SUMIF(Data!A:A,'30'!$A$2,Data!EO:EO),0)</f>
        <v>0</v>
      </c>
      <c r="F83" s="21" t="str">
        <f t="shared" si="4"/>
        <v/>
      </c>
    </row>
    <row r="84" spans="1:6" x14ac:dyDescent="0.2">
      <c r="A84" s="19">
        <v>18</v>
      </c>
      <c r="B84" s="177" t="s">
        <v>16</v>
      </c>
      <c r="C84" s="178"/>
      <c r="D84" s="14">
        <f t="shared" si="5"/>
        <v>110096</v>
      </c>
      <c r="E84" s="17">
        <f>IF(F3="1",SUMIF(Data!A:A,'30'!$A$2,Data!EP:EP),0)</f>
        <v>364501</v>
      </c>
      <c r="F84" s="21">
        <f t="shared" si="4"/>
        <v>3.31</v>
      </c>
    </row>
    <row r="85" spans="1:6" x14ac:dyDescent="0.2">
      <c r="A85" s="19">
        <v>19</v>
      </c>
      <c r="B85" s="177" t="s">
        <v>17</v>
      </c>
      <c r="C85" s="178"/>
      <c r="D85" s="14">
        <f t="shared" si="5"/>
        <v>177024</v>
      </c>
      <c r="E85" s="17">
        <f>IF(F3="1",SUMIF(Data!A:A,'30'!$A$2,Data!EQ:EQ),0)</f>
        <v>317024</v>
      </c>
      <c r="F85" s="21">
        <f t="shared" si="4"/>
        <v>1.79</v>
      </c>
    </row>
    <row r="86" spans="1:6" x14ac:dyDescent="0.2">
      <c r="A86" s="19">
        <v>20</v>
      </c>
      <c r="B86" s="177" t="s">
        <v>18</v>
      </c>
      <c r="C86" s="178"/>
      <c r="D86" s="14">
        <f t="shared" si="5"/>
        <v>0</v>
      </c>
      <c r="E86" s="17">
        <f>IF(F3="1",SUMIF(Data!A:A,'30'!$A$2,Data!ER:ER),0)</f>
        <v>0</v>
      </c>
      <c r="F86" s="21" t="str">
        <f t="shared" si="4"/>
        <v/>
      </c>
    </row>
    <row r="87" spans="1:6" ht="14.25" customHeight="1" x14ac:dyDescent="0.2">
      <c r="A87" s="19">
        <v>21</v>
      </c>
      <c r="B87" s="177" t="s">
        <v>461</v>
      </c>
      <c r="C87" s="178"/>
      <c r="D87" s="14">
        <f t="shared" si="5"/>
        <v>0</v>
      </c>
      <c r="E87" s="17">
        <f>IF(F3="1",SUMIF(Data!A:A,'30'!$A$2,Data!ES:ES),0)</f>
        <v>0</v>
      </c>
      <c r="F87" s="21" t="str">
        <f t="shared" si="4"/>
        <v/>
      </c>
    </row>
    <row r="88" spans="1:6" x14ac:dyDescent="0.2">
      <c r="A88" s="19">
        <v>22</v>
      </c>
      <c r="B88" s="177" t="s">
        <v>19</v>
      </c>
      <c r="C88" s="178"/>
      <c r="D88" s="14">
        <f t="shared" si="5"/>
        <v>6984</v>
      </c>
      <c r="E88" s="17">
        <f>IF(F3="1",SUMIF(Data!A:A,'30'!$A$2,Data!ET:ET),0)</f>
        <v>41365</v>
      </c>
      <c r="F88" s="21">
        <f t="shared" si="4"/>
        <v>5.92</v>
      </c>
    </row>
    <row r="89" spans="1:6" x14ac:dyDescent="0.2">
      <c r="A89" s="19">
        <v>23</v>
      </c>
      <c r="B89" s="177" t="s">
        <v>20</v>
      </c>
      <c r="C89" s="178"/>
      <c r="D89" s="14">
        <f t="shared" si="5"/>
        <v>49776</v>
      </c>
      <c r="E89" s="17">
        <f>IF(F3="1",SUMIF(Data!A:A,'30'!$A$2,Data!EU:EU),0)</f>
        <v>169299</v>
      </c>
      <c r="F89" s="21">
        <f t="shared" si="4"/>
        <v>3.4</v>
      </c>
    </row>
    <row r="90" spans="1:6" x14ac:dyDescent="0.2">
      <c r="A90" s="19">
        <v>24</v>
      </c>
      <c r="B90" s="177" t="s">
        <v>21</v>
      </c>
      <c r="C90" s="178"/>
      <c r="D90" s="14">
        <f t="shared" si="5"/>
        <v>44080</v>
      </c>
      <c r="E90" s="17">
        <f>IF(F3="1",SUMIF(Data!A:A,'30'!$A$2,Data!EV:EV),0)</f>
        <v>74760</v>
      </c>
      <c r="F90" s="21">
        <f t="shared" si="4"/>
        <v>1.7</v>
      </c>
    </row>
    <row r="91" spans="1:6" x14ac:dyDescent="0.2">
      <c r="A91" s="19">
        <v>25</v>
      </c>
      <c r="B91" s="177" t="s">
        <v>22</v>
      </c>
      <c r="C91" s="178"/>
      <c r="D91" s="14">
        <f t="shared" si="5"/>
        <v>369216</v>
      </c>
      <c r="E91" s="17">
        <f>IF(F3="1",SUMIF(Data!A:A,'30'!$A$2,Data!EW:EW),0)</f>
        <v>596283</v>
      </c>
      <c r="F91" s="21">
        <f t="shared" si="4"/>
        <v>1.61</v>
      </c>
    </row>
    <row r="92" spans="1:6" x14ac:dyDescent="0.2">
      <c r="A92" s="19">
        <v>26</v>
      </c>
      <c r="B92" s="177" t="s">
        <v>23</v>
      </c>
      <c r="C92" s="178"/>
      <c r="D92" s="14">
        <f t="shared" si="5"/>
        <v>62792</v>
      </c>
      <c r="E92" s="17">
        <f>IF(F3="1",SUMIF(Data!A:A,'30'!$A$2,Data!EX:EX),0)</f>
        <v>175284</v>
      </c>
      <c r="F92" s="21">
        <f t="shared" si="4"/>
        <v>2.79</v>
      </c>
    </row>
    <row r="93" spans="1:6" x14ac:dyDescent="0.2">
      <c r="A93" s="19">
        <v>28</v>
      </c>
      <c r="B93" s="177" t="s">
        <v>24</v>
      </c>
      <c r="C93" s="178"/>
      <c r="D93" s="14">
        <f t="shared" si="5"/>
        <v>0</v>
      </c>
      <c r="E93" s="17">
        <f>IF(F3="1",SUMIF(Data!A:A,'30'!$A$2,Data!EZ:EZ),0)</f>
        <v>0</v>
      </c>
      <c r="F93" s="21" t="str">
        <f t="shared" si="4"/>
        <v/>
      </c>
    </row>
    <row r="94" spans="1:6" ht="15.75" customHeight="1" thickBot="1" x14ac:dyDescent="0.25">
      <c r="A94" s="22">
        <v>29</v>
      </c>
      <c r="B94" s="179" t="s">
        <v>25</v>
      </c>
      <c r="C94" s="180"/>
      <c r="D94" s="23">
        <f t="shared" si="5"/>
        <v>0</v>
      </c>
      <c r="E94" s="24">
        <f>IF(F3="1",SUMIF(Data!A:A,'30'!$A$2,Data!FA:FA),0)</f>
        <v>0</v>
      </c>
      <c r="F94" s="25" t="str">
        <f t="shared" si="4"/>
        <v/>
      </c>
    </row>
    <row r="95" spans="1:6" x14ac:dyDescent="0.2">
      <c r="B95" s="30" t="s">
        <v>35</v>
      </c>
      <c r="C95" s="30"/>
      <c r="D95" s="59">
        <f>SUM(D67:D94)</f>
        <v>1771376</v>
      </c>
      <c r="E95" s="31">
        <f>SUM(E67:E94)</f>
        <v>4299082</v>
      </c>
      <c r="F95" s="32">
        <f t="shared" si="4"/>
        <v>2.4300000000000002</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IF(F3="1",SUMIF(Data!A:A,'30'!$A$2,Data!AH:AH),0)</f>
        <v>1469130</v>
      </c>
      <c r="F98" s="20">
        <f>IF(OR(E98=0,E98=0),"",ROUND(E98/$D$105,2))</f>
        <v>0.83</v>
      </c>
    </row>
    <row r="99" spans="2:6" x14ac:dyDescent="0.2">
      <c r="B99" s="183" t="s">
        <v>31</v>
      </c>
      <c r="C99" s="184"/>
      <c r="D99" s="36"/>
      <c r="E99" s="17">
        <f>IF(F3="1",SUMIF(Data!A:A,'30'!$A$2,Data!AI:AI),0)</f>
        <v>660238</v>
      </c>
      <c r="F99" s="21">
        <f t="shared" ref="F99:F104" si="6">IF(OR(E99=0,E99=0),"",ROUND(E99/$D$105,2))</f>
        <v>0.37</v>
      </c>
    </row>
    <row r="100" spans="2:6" x14ac:dyDescent="0.2">
      <c r="B100" s="183" t="s">
        <v>1078</v>
      </c>
      <c r="C100" s="184"/>
      <c r="D100" s="36"/>
      <c r="E100" s="17">
        <f>IF(F3="1",SUMIF(Data!A:A,'30'!$A$2,Data!AJ:AJ),0)</f>
        <v>336046</v>
      </c>
      <c r="F100" s="21">
        <f t="shared" si="6"/>
        <v>0.19</v>
      </c>
    </row>
    <row r="101" spans="2:6" x14ac:dyDescent="0.2">
      <c r="B101" s="183" t="s">
        <v>1079</v>
      </c>
      <c r="C101" s="184"/>
      <c r="D101" s="36"/>
      <c r="E101" s="17">
        <f>IF(F3="1",SUMIF(Data!A:A,'30'!$A$2,Data!AK:AK),0)</f>
        <v>703556</v>
      </c>
      <c r="F101" s="21">
        <f t="shared" si="6"/>
        <v>0.4</v>
      </c>
    </row>
    <row r="102" spans="2:6" x14ac:dyDescent="0.2">
      <c r="B102" s="183" t="s">
        <v>1080</v>
      </c>
      <c r="C102" s="184"/>
      <c r="D102" s="36"/>
      <c r="E102" s="17">
        <f>IF(F3="1",SUMIF(Data!A:A,'30'!$A$2,Data!AL:AL),0)</f>
        <v>0</v>
      </c>
      <c r="F102" s="21" t="str">
        <f t="shared" si="6"/>
        <v/>
      </c>
    </row>
    <row r="103" spans="2:6" x14ac:dyDescent="0.2">
      <c r="B103" s="185" t="s">
        <v>34</v>
      </c>
      <c r="C103" s="186"/>
      <c r="D103" s="36"/>
      <c r="E103" s="17">
        <f>IF(F3="1",SUMIF(Data!A:A,'30'!$A$2,Data!AM:AM),0)</f>
        <v>0</v>
      </c>
      <c r="F103" s="21" t="str">
        <f t="shared" si="6"/>
        <v/>
      </c>
    </row>
    <row r="104" spans="2:6" ht="15.75" customHeight="1" thickBot="1" x14ac:dyDescent="0.25">
      <c r="B104" s="175" t="s">
        <v>29</v>
      </c>
      <c r="C104" s="176"/>
      <c r="D104" s="37"/>
      <c r="E104" s="24">
        <f>IF(F3="1",SUMIF(Data!A:A,'30'!$A$2,Data!Q:Q),0)</f>
        <v>318486</v>
      </c>
      <c r="F104" s="25">
        <f t="shared" si="6"/>
        <v>0.18</v>
      </c>
    </row>
    <row r="105" spans="2:6" x14ac:dyDescent="0.2">
      <c r="B105" s="30" t="s">
        <v>35</v>
      </c>
      <c r="C105" s="30"/>
      <c r="D105" s="34">
        <f>D95</f>
        <v>1771376</v>
      </c>
      <c r="E105" s="31">
        <f>SUM(E98:E104)</f>
        <v>3487456</v>
      </c>
      <c r="F105" s="32">
        <f>IF($D$105=0,"",ROUND(E105/$D$105,2))</f>
        <v>1.97</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4299082</v>
      </c>
      <c r="D109" s="15">
        <f>IF(F3="1",SUMIF(Data!$A:$A,$A$2,Data!HJ:HJ),0)</f>
        <v>0</v>
      </c>
      <c r="E109" s="15">
        <f>IF(F3="1",SUMIF(Data!$A:$A,$A$2,Data!IN:IN),0)</f>
        <v>0</v>
      </c>
      <c r="F109" s="47">
        <f>SUM(C109:E109)</f>
        <v>4299082</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318486</v>
      </c>
      <c r="E117" s="52"/>
      <c r="F117" s="49">
        <f>SUM(C117:E117)</f>
        <v>318486</v>
      </c>
    </row>
    <row r="118" spans="1:6" x14ac:dyDescent="0.2">
      <c r="B118" s="13" t="s">
        <v>35</v>
      </c>
      <c r="C118" s="4">
        <f>SUM(C109:C116)</f>
        <v>4299082</v>
      </c>
      <c r="D118" s="4">
        <f>SUM(D109:D116)</f>
        <v>0</v>
      </c>
      <c r="E118" s="4">
        <f>SUM(E109:E116)</f>
        <v>0</v>
      </c>
      <c r="F118" s="4">
        <f>SUM(F109:F116)</f>
        <v>4299082</v>
      </c>
    </row>
    <row r="119" spans="1:6" ht="15" thickBot="1" x14ac:dyDescent="0.25"/>
    <row r="120" spans="1:6" ht="15" thickBot="1" x14ac:dyDescent="0.25">
      <c r="B120" s="55" t="s">
        <v>934</v>
      </c>
      <c r="C120" s="53"/>
      <c r="D120" s="53"/>
      <c r="E120" s="53">
        <f>IF(F3="1",SUMIF(Data!A:A,'30'!$A$2,Data!AM:AM),0)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446</v>
      </c>
      <c r="B2" s="58" t="str">
        <f>VLOOKUP(A2,Data!A:G,7,0)</f>
        <v>Northeast Texas Community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13392</v>
      </c>
      <c r="E5" s="15">
        <f>E36+E67+IFERROR($E$105/$D$105*D5,0)</f>
        <v>85112.067899048474</v>
      </c>
      <c r="F5" s="20">
        <f>IF(OR(D5=0,E5=0),"",ROUND(E5/D5,2))</f>
        <v>6.36</v>
      </c>
    </row>
    <row r="6" spans="1:6" x14ac:dyDescent="0.2">
      <c r="A6" s="19">
        <v>2</v>
      </c>
      <c r="B6" s="177" t="s">
        <v>1</v>
      </c>
      <c r="C6" s="178"/>
      <c r="D6" s="14">
        <f t="shared" ref="D6:D32" si="0">D37</f>
        <v>12796</v>
      </c>
      <c r="E6" s="17">
        <f t="shared" ref="E6:E32" si="1">E37+E68+IFERROR($E$105/$D$105*D6,0)</f>
        <v>94606.218401749124</v>
      </c>
      <c r="F6" s="21">
        <f t="shared" ref="F6:F33" si="2">IF(OR(D6=0,E6=0),"",ROUND(E6/D6,2))</f>
        <v>7.39</v>
      </c>
    </row>
    <row r="7" spans="1:6" ht="14.25" customHeight="1" x14ac:dyDescent="0.2">
      <c r="A7" s="19">
        <v>3</v>
      </c>
      <c r="B7" s="177" t="s">
        <v>2</v>
      </c>
      <c r="C7" s="178"/>
      <c r="D7" s="14">
        <f t="shared" si="0"/>
        <v>108592</v>
      </c>
      <c r="E7" s="17">
        <f t="shared" si="1"/>
        <v>708856.91377639421</v>
      </c>
      <c r="F7" s="21">
        <f t="shared" si="2"/>
        <v>6.53</v>
      </c>
    </row>
    <row r="8" spans="1:6" ht="14.25" customHeight="1" x14ac:dyDescent="0.2">
      <c r="A8" s="19">
        <v>4</v>
      </c>
      <c r="B8" s="177" t="s">
        <v>3</v>
      </c>
      <c r="C8" s="178"/>
      <c r="D8" s="14">
        <f t="shared" si="0"/>
        <v>55300</v>
      </c>
      <c r="E8" s="17">
        <f t="shared" si="1"/>
        <v>373639.34429639939</v>
      </c>
      <c r="F8" s="21">
        <f t="shared" si="2"/>
        <v>6.76</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4608</v>
      </c>
      <c r="E10" s="17">
        <f t="shared" si="1"/>
        <v>51484.722287844634</v>
      </c>
      <c r="F10" s="21">
        <f t="shared" si="2"/>
        <v>11.17</v>
      </c>
    </row>
    <row r="11" spans="1:6" x14ac:dyDescent="0.2">
      <c r="A11" s="19">
        <v>7</v>
      </c>
      <c r="B11" s="177" t="s">
        <v>6</v>
      </c>
      <c r="C11" s="178"/>
      <c r="D11" s="14">
        <f t="shared" si="0"/>
        <v>60436</v>
      </c>
      <c r="E11" s="17">
        <f t="shared" si="1"/>
        <v>342371.40976305952</v>
      </c>
      <c r="F11" s="21">
        <f t="shared" si="2"/>
        <v>5.67</v>
      </c>
    </row>
    <row r="12" spans="1:6" x14ac:dyDescent="0.2">
      <c r="A12" s="19">
        <v>8</v>
      </c>
      <c r="B12" s="177" t="s">
        <v>7</v>
      </c>
      <c r="C12" s="178"/>
      <c r="D12" s="14">
        <f t="shared" si="0"/>
        <v>0</v>
      </c>
      <c r="E12" s="17">
        <f t="shared" si="1"/>
        <v>0</v>
      </c>
      <c r="F12" s="21" t="str">
        <f t="shared" si="2"/>
        <v/>
      </c>
    </row>
    <row r="13" spans="1:6" x14ac:dyDescent="0.2">
      <c r="A13" s="19">
        <v>9</v>
      </c>
      <c r="B13" s="177" t="s">
        <v>8</v>
      </c>
      <c r="C13" s="178"/>
      <c r="D13" s="14">
        <f t="shared" si="0"/>
        <v>28282</v>
      </c>
      <c r="E13" s="17">
        <f t="shared" si="1"/>
        <v>130989.11322587282</v>
      </c>
      <c r="F13" s="21">
        <f t="shared" si="2"/>
        <v>4.63</v>
      </c>
    </row>
    <row r="14" spans="1:6" x14ac:dyDescent="0.2">
      <c r="A14" s="19">
        <v>10</v>
      </c>
      <c r="B14" s="177" t="s">
        <v>9</v>
      </c>
      <c r="C14" s="178"/>
      <c r="D14" s="14">
        <f t="shared" si="0"/>
        <v>480</v>
      </c>
      <c r="E14" s="17">
        <f t="shared" si="1"/>
        <v>7663.2210716504824</v>
      </c>
      <c r="F14" s="21">
        <f t="shared" si="2"/>
        <v>15.97</v>
      </c>
    </row>
    <row r="15" spans="1:6" x14ac:dyDescent="0.2">
      <c r="A15" s="19">
        <v>11</v>
      </c>
      <c r="B15" s="177" t="s">
        <v>10</v>
      </c>
      <c r="C15" s="178"/>
      <c r="D15" s="14">
        <f t="shared" si="0"/>
        <v>1584</v>
      </c>
      <c r="E15" s="17">
        <f t="shared" si="1"/>
        <v>25288.029536446593</v>
      </c>
      <c r="F15" s="21">
        <f t="shared" si="2"/>
        <v>15.96</v>
      </c>
    </row>
    <row r="16" spans="1:6" ht="14.25" customHeight="1" x14ac:dyDescent="0.2">
      <c r="A16" s="19">
        <v>12</v>
      </c>
      <c r="B16" s="177" t="s">
        <v>11</v>
      </c>
      <c r="C16" s="178"/>
      <c r="D16" s="14">
        <f t="shared" si="0"/>
        <v>125312</v>
      </c>
      <c r="E16" s="17">
        <f t="shared" si="1"/>
        <v>634486.11443888606</v>
      </c>
      <c r="F16" s="21">
        <f t="shared" si="2"/>
        <v>5.0599999999999996</v>
      </c>
    </row>
    <row r="17" spans="1:6" x14ac:dyDescent="0.2">
      <c r="A17" s="19">
        <v>13</v>
      </c>
      <c r="B17" s="177" t="s">
        <v>12</v>
      </c>
      <c r="C17" s="178"/>
      <c r="D17" s="14">
        <f t="shared" si="0"/>
        <v>10992</v>
      </c>
      <c r="E17" s="17">
        <f t="shared" si="1"/>
        <v>76059.962540796056</v>
      </c>
      <c r="F17" s="21">
        <f t="shared" si="2"/>
        <v>6.92</v>
      </c>
    </row>
    <row r="18" spans="1:6" ht="14.25" customHeight="1" x14ac:dyDescent="0.2">
      <c r="A18" s="19">
        <v>14</v>
      </c>
      <c r="B18" s="177" t="s">
        <v>464</v>
      </c>
      <c r="C18" s="178"/>
      <c r="D18" s="14">
        <f t="shared" si="0"/>
        <v>26948</v>
      </c>
      <c r="E18" s="17">
        <f t="shared" si="1"/>
        <v>273880.88633091084</v>
      </c>
      <c r="F18" s="21">
        <f t="shared" si="2"/>
        <v>10.16</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36414</v>
      </c>
      <c r="E20" s="17">
        <f t="shared" si="1"/>
        <v>175036.13354808473</v>
      </c>
      <c r="F20" s="21">
        <f t="shared" si="2"/>
        <v>4.8099999999999996</v>
      </c>
    </row>
    <row r="21" spans="1:6" x14ac:dyDescent="0.2">
      <c r="A21" s="19">
        <v>17</v>
      </c>
      <c r="B21" s="177" t="s">
        <v>15</v>
      </c>
      <c r="C21" s="178"/>
      <c r="D21" s="14">
        <f t="shared" si="0"/>
        <v>2608</v>
      </c>
      <c r="E21" s="17">
        <f t="shared" si="1"/>
        <v>41635.301155967623</v>
      </c>
      <c r="F21" s="21">
        <f t="shared" si="2"/>
        <v>15.96</v>
      </c>
    </row>
    <row r="22" spans="1:6" x14ac:dyDescent="0.2">
      <c r="A22" s="19">
        <v>18</v>
      </c>
      <c r="B22" s="177" t="s">
        <v>16</v>
      </c>
      <c r="C22" s="178"/>
      <c r="D22" s="14">
        <f t="shared" si="0"/>
        <v>34144</v>
      </c>
      <c r="E22" s="17">
        <f t="shared" si="1"/>
        <v>230743.52556340431</v>
      </c>
      <c r="F22" s="21">
        <f t="shared" si="2"/>
        <v>6.76</v>
      </c>
    </row>
    <row r="23" spans="1:6" x14ac:dyDescent="0.2">
      <c r="A23" s="19">
        <v>19</v>
      </c>
      <c r="B23" s="177" t="s">
        <v>17</v>
      </c>
      <c r="C23" s="178"/>
      <c r="D23" s="14">
        <f t="shared" si="0"/>
        <v>87584</v>
      </c>
      <c r="E23" s="17">
        <f t="shared" si="1"/>
        <v>477515.13820715807</v>
      </c>
      <c r="F23" s="21">
        <f t="shared" si="2"/>
        <v>5.45</v>
      </c>
    </row>
    <row r="24" spans="1:6" x14ac:dyDescent="0.2">
      <c r="A24" s="19">
        <v>20</v>
      </c>
      <c r="B24" s="177" t="s">
        <v>18</v>
      </c>
      <c r="C24" s="178"/>
      <c r="D24" s="14">
        <f t="shared" si="0"/>
        <v>14144</v>
      </c>
      <c r="E24" s="17">
        <f t="shared" si="1"/>
        <v>134133.31424463424</v>
      </c>
      <c r="F24" s="21">
        <f t="shared" si="2"/>
        <v>9.48</v>
      </c>
    </row>
    <row r="25" spans="1:6" ht="14.25" customHeight="1" x14ac:dyDescent="0.2">
      <c r="A25" s="19">
        <v>21</v>
      </c>
      <c r="B25" s="177" t="s">
        <v>461</v>
      </c>
      <c r="C25" s="178"/>
      <c r="D25" s="14">
        <f t="shared" si="0"/>
        <v>26392</v>
      </c>
      <c r="E25" s="17">
        <f t="shared" si="1"/>
        <v>233109.80525624903</v>
      </c>
      <c r="F25" s="21">
        <f t="shared" si="2"/>
        <v>8.83</v>
      </c>
    </row>
    <row r="26" spans="1:6" x14ac:dyDescent="0.2">
      <c r="A26" s="19">
        <v>22</v>
      </c>
      <c r="B26" s="177" t="s">
        <v>19</v>
      </c>
      <c r="C26" s="178"/>
      <c r="D26" s="14">
        <f t="shared" si="0"/>
        <v>160</v>
      </c>
      <c r="E26" s="17">
        <f t="shared" si="1"/>
        <v>2555.0736905501608</v>
      </c>
      <c r="F26" s="21">
        <f t="shared" si="2"/>
        <v>15.97</v>
      </c>
    </row>
    <row r="27" spans="1:6" x14ac:dyDescent="0.2">
      <c r="A27" s="19">
        <v>23</v>
      </c>
      <c r="B27" s="177" t="s">
        <v>20</v>
      </c>
      <c r="C27" s="178"/>
      <c r="D27" s="14">
        <f t="shared" si="0"/>
        <v>36304</v>
      </c>
      <c r="E27" s="17">
        <f t="shared" si="1"/>
        <v>213985.02038583151</v>
      </c>
      <c r="F27" s="21">
        <f t="shared" si="2"/>
        <v>5.89</v>
      </c>
    </row>
    <row r="28" spans="1:6" x14ac:dyDescent="0.2">
      <c r="A28" s="19">
        <v>24</v>
      </c>
      <c r="B28" s="177" t="s">
        <v>21</v>
      </c>
      <c r="C28" s="178"/>
      <c r="D28" s="14">
        <f t="shared" si="0"/>
        <v>60426</v>
      </c>
      <c r="E28" s="17">
        <f t="shared" si="1"/>
        <v>391648.21765740012</v>
      </c>
      <c r="F28" s="21">
        <f t="shared" si="2"/>
        <v>6.48</v>
      </c>
    </row>
    <row r="29" spans="1:6" x14ac:dyDescent="0.2">
      <c r="A29" s="19">
        <v>25</v>
      </c>
      <c r="B29" s="177" t="s">
        <v>22</v>
      </c>
      <c r="C29" s="178"/>
      <c r="D29" s="14">
        <f t="shared" si="0"/>
        <v>156528</v>
      </c>
      <c r="E29" s="17">
        <f t="shared" si="1"/>
        <v>807060.19146522239</v>
      </c>
      <c r="F29" s="21">
        <f t="shared" si="2"/>
        <v>5.16</v>
      </c>
    </row>
    <row r="30" spans="1:6" x14ac:dyDescent="0.2">
      <c r="A30" s="19">
        <v>26</v>
      </c>
      <c r="B30" s="177" t="s">
        <v>23</v>
      </c>
      <c r="C30" s="178"/>
      <c r="D30" s="14">
        <f t="shared" si="0"/>
        <v>39680</v>
      </c>
      <c r="E30" s="17">
        <f t="shared" si="1"/>
        <v>356297.27525643993</v>
      </c>
      <c r="F30" s="21">
        <f t="shared" si="2"/>
        <v>8.98</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943106</v>
      </c>
      <c r="E33" s="31">
        <f>SUM(E5:E32)</f>
        <v>5868157</v>
      </c>
      <c r="F33" s="32">
        <f t="shared" si="2"/>
        <v>6.22</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IF(F3="1",SUMIF(Data!A:A,'31'!$A$2,Data!CU:CU),0)</f>
        <v>13392</v>
      </c>
      <c r="E36" s="15">
        <f>IF(F3="1",SUMIF(Data!$A:$A,$A$2,Data!IO:IO),0)</f>
        <v>4274</v>
      </c>
      <c r="F36" s="20">
        <f t="shared" ref="F36:F64" si="3">IF(OR(D36=0,E36=0),"",ROUND(E36/D36,2))</f>
        <v>0.32</v>
      </c>
    </row>
    <row r="37" spans="1:6" x14ac:dyDescent="0.2">
      <c r="A37" s="19">
        <v>2</v>
      </c>
      <c r="B37" s="177" t="s">
        <v>1</v>
      </c>
      <c r="C37" s="178"/>
      <c r="D37" s="14">
        <f>IF(F3="1",SUMIF(Data!A:A,'31'!$A$2,Data!CV:CV),0)</f>
        <v>12796</v>
      </c>
      <c r="E37" s="17">
        <f>IF(F3="1",SUMIF(Data!$A:$A,$A$2,Data!IP:IP),0)</f>
        <v>10655</v>
      </c>
      <c r="F37" s="21">
        <f t="shared" si="3"/>
        <v>0.83</v>
      </c>
    </row>
    <row r="38" spans="1:6" ht="14.25" customHeight="1" x14ac:dyDescent="0.2">
      <c r="A38" s="19">
        <v>3</v>
      </c>
      <c r="B38" s="177" t="s">
        <v>2</v>
      </c>
      <c r="C38" s="178"/>
      <c r="D38" s="14">
        <f>IF(F3="1",SUMIF(Data!A:A,'31'!$A$2,Data!CW:CW),0)</f>
        <v>108592</v>
      </c>
      <c r="E38" s="17">
        <f>IF($F$3="1",SUMIF(Data!$A:$A,$A$2,Data!IQ:IQ),0)</f>
        <v>72817</v>
      </c>
      <c r="F38" s="21">
        <f t="shared" si="3"/>
        <v>0.67</v>
      </c>
    </row>
    <row r="39" spans="1:6" ht="14.25" customHeight="1" x14ac:dyDescent="0.2">
      <c r="A39" s="19">
        <v>4</v>
      </c>
      <c r="B39" s="177" t="s">
        <v>3</v>
      </c>
      <c r="C39" s="178"/>
      <c r="D39" s="14">
        <f>IF(F3="1",SUMIF(Data!A:A,'31'!$A$2,Data!CX:CX),0)</f>
        <v>55300</v>
      </c>
      <c r="E39" s="17">
        <f>IF($F$3="1",SUMIF(Data!$A:$A,$A$2,Data!IR:IR),0)</f>
        <v>38477</v>
      </c>
      <c r="F39" s="21">
        <f t="shared" si="3"/>
        <v>0.7</v>
      </c>
    </row>
    <row r="40" spans="1:6" x14ac:dyDescent="0.2">
      <c r="A40" s="19">
        <v>5</v>
      </c>
      <c r="B40" s="177" t="s">
        <v>4</v>
      </c>
      <c r="C40" s="178"/>
      <c r="D40" s="14">
        <f>IF(F3="1",SUMIF(Data!A:A,'31'!$A$2,Data!CY:CY),0)</f>
        <v>0</v>
      </c>
      <c r="E40" s="17">
        <f>IF($F$3="1",SUMIF(Data!$A:$A,$A$2,Data!IS:IS),0)</f>
        <v>0</v>
      </c>
      <c r="F40" s="21" t="str">
        <f t="shared" si="3"/>
        <v/>
      </c>
    </row>
    <row r="41" spans="1:6" x14ac:dyDescent="0.2">
      <c r="A41" s="19">
        <v>6</v>
      </c>
      <c r="B41" s="177" t="s">
        <v>5</v>
      </c>
      <c r="C41" s="178"/>
      <c r="D41" s="14">
        <f>IF(F3="1",SUMIF(Data!A:A,'31'!$A$2,Data!CZ:CZ),0)</f>
        <v>4608</v>
      </c>
      <c r="E41" s="17">
        <f>IF($F$3="1",SUMIF(Data!$A:$A,$A$2,Data!IT:IT),0)</f>
        <v>5529</v>
      </c>
      <c r="F41" s="21">
        <f t="shared" si="3"/>
        <v>1.2</v>
      </c>
    </row>
    <row r="42" spans="1:6" x14ac:dyDescent="0.2">
      <c r="A42" s="19">
        <v>7</v>
      </c>
      <c r="B42" s="177" t="s">
        <v>6</v>
      </c>
      <c r="C42" s="178"/>
      <c r="D42" s="14">
        <f>IF(F3="1",SUMIF(Data!A:A,'31'!$A$2,Data!DA:DA),0)</f>
        <v>60436</v>
      </c>
      <c r="E42" s="17">
        <f>IF($F$3="1",SUMIF(Data!$A:$A,$A$2,Data!IU:IU),0)</f>
        <v>21694</v>
      </c>
      <c r="F42" s="21">
        <f t="shared" si="3"/>
        <v>0.36</v>
      </c>
    </row>
    <row r="43" spans="1:6" x14ac:dyDescent="0.2">
      <c r="A43" s="19">
        <v>8</v>
      </c>
      <c r="B43" s="177" t="s">
        <v>7</v>
      </c>
      <c r="C43" s="178"/>
      <c r="D43" s="14">
        <f>IF(F3="1",SUMIF(Data!A:A,'31'!$A$2,Data!DB:DB),0)</f>
        <v>0</v>
      </c>
      <c r="E43" s="17">
        <f>IF($F$3="1",SUMIF(Data!$A:$A,$A$2,Data!IV:IV),0)</f>
        <v>0</v>
      </c>
      <c r="F43" s="21" t="str">
        <f t="shared" si="3"/>
        <v/>
      </c>
    </row>
    <row r="44" spans="1:6" x14ac:dyDescent="0.2">
      <c r="A44" s="19">
        <v>9</v>
      </c>
      <c r="B44" s="177" t="s">
        <v>8</v>
      </c>
      <c r="C44" s="178"/>
      <c r="D44" s="14">
        <f>IF(F3="1",SUMIF(Data!A:A,'31'!$A$2,Data!DC:DC),0)</f>
        <v>28282</v>
      </c>
      <c r="E44" s="17">
        <f>IF($F$3="1",SUMIF(Data!$A:$A,$A$2,Data!IW:IW),0)</f>
        <v>8479</v>
      </c>
      <c r="F44" s="21">
        <f t="shared" si="3"/>
        <v>0.3</v>
      </c>
    </row>
    <row r="45" spans="1:6" x14ac:dyDescent="0.2">
      <c r="A45" s="19">
        <v>10</v>
      </c>
      <c r="B45" s="177" t="s">
        <v>9</v>
      </c>
      <c r="C45" s="178"/>
      <c r="D45" s="14">
        <f>IF(F3="1",SUMIF(Data!A:A,'31'!$A$2,Data!DD:DD),0)</f>
        <v>480</v>
      </c>
      <c r="E45" s="17">
        <f>IF($F$3="1",SUMIF(Data!$A:$A,$A$2,Data!IX:IX),0)</f>
        <v>2171</v>
      </c>
      <c r="F45" s="21">
        <f t="shared" si="3"/>
        <v>4.5199999999999996</v>
      </c>
    </row>
    <row r="46" spans="1:6" x14ac:dyDescent="0.2">
      <c r="A46" s="19">
        <v>11</v>
      </c>
      <c r="B46" s="177" t="s">
        <v>10</v>
      </c>
      <c r="C46" s="178"/>
      <c r="D46" s="14">
        <f>IF(F3="1",SUMIF(Data!A:A,'31'!$A$2,Data!DE:DE),0)</f>
        <v>1584</v>
      </c>
      <c r="E46" s="17">
        <f>IF($F$3="1",SUMIF(Data!$A:$A,$A$2,Data!IY:IY),0)</f>
        <v>7165</v>
      </c>
      <c r="F46" s="21">
        <f t="shared" si="3"/>
        <v>4.5199999999999996</v>
      </c>
    </row>
    <row r="47" spans="1:6" ht="14.25" customHeight="1" x14ac:dyDescent="0.2">
      <c r="A47" s="19">
        <v>12</v>
      </c>
      <c r="B47" s="177" t="s">
        <v>11</v>
      </c>
      <c r="C47" s="178"/>
      <c r="D47" s="14">
        <f>IF(F3="1",SUMIF(Data!A:A,'31'!$A$2,Data!DF:DF),0)</f>
        <v>125312</v>
      </c>
      <c r="E47" s="17">
        <f>IF($F$3="1",SUMIF(Data!$A:$A,$A$2,Data!IZ:IZ),0)</f>
        <v>8343</v>
      </c>
      <c r="F47" s="21">
        <f t="shared" si="3"/>
        <v>7.0000000000000007E-2</v>
      </c>
    </row>
    <row r="48" spans="1:6" x14ac:dyDescent="0.2">
      <c r="A48" s="19">
        <v>13</v>
      </c>
      <c r="B48" s="177" t="s">
        <v>12</v>
      </c>
      <c r="C48" s="178"/>
      <c r="D48" s="14">
        <f>IF(F3="1",SUMIF(Data!A:A,'31'!$A$2,Data!DG:DG),0)</f>
        <v>10992</v>
      </c>
      <c r="E48" s="17">
        <f>IF($F$3="1",SUMIF(Data!$A:$A,$A$2,Data!JA:JA),0)</f>
        <v>2658</v>
      </c>
      <c r="F48" s="21">
        <f t="shared" si="3"/>
        <v>0.24</v>
      </c>
    </row>
    <row r="49" spans="1:6" ht="14.25" customHeight="1" x14ac:dyDescent="0.2">
      <c r="A49" s="19">
        <v>14</v>
      </c>
      <c r="B49" s="177" t="s">
        <v>464</v>
      </c>
      <c r="C49" s="178"/>
      <c r="D49" s="14">
        <f>IF(F3="1",SUMIF(Data!A:A,'31'!$A$2,Data!DH:DH),0)</f>
        <v>26948</v>
      </c>
      <c r="E49" s="17">
        <f>IF($F$3="1",SUMIF(Data!$A:$A,$A$2,Data!JB:JB),0)</f>
        <v>20953</v>
      </c>
      <c r="F49" s="21">
        <f t="shared" si="3"/>
        <v>0.78</v>
      </c>
    </row>
    <row r="50" spans="1:6" x14ac:dyDescent="0.2">
      <c r="A50" s="19">
        <v>15</v>
      </c>
      <c r="B50" s="177" t="s">
        <v>13</v>
      </c>
      <c r="C50" s="178"/>
      <c r="D50" s="14">
        <f>IF(F3="1",SUMIF(Data!A:A,'31'!$A$2,Data!DI:DI),0)</f>
        <v>0</v>
      </c>
      <c r="E50" s="17">
        <f>IF($F$3="1",SUMIF(Data!$A:$A,$A$2,Data!JC:JC),0)</f>
        <v>0</v>
      </c>
      <c r="F50" s="21" t="str">
        <f t="shared" si="3"/>
        <v/>
      </c>
    </row>
    <row r="51" spans="1:6" x14ac:dyDescent="0.2">
      <c r="A51" s="19">
        <v>16</v>
      </c>
      <c r="B51" s="177" t="s">
        <v>14</v>
      </c>
      <c r="C51" s="178"/>
      <c r="D51" s="14">
        <f>IF(F3="1",SUMIF(Data!A:A,'31'!$A$2,Data!DJ:DJ),0)</f>
        <v>36414</v>
      </c>
      <c r="E51" s="17">
        <f>IF($F$3="1",SUMIF(Data!$A:$A,$A$2,Data!JD:JD),0)</f>
        <v>13592</v>
      </c>
      <c r="F51" s="21">
        <f t="shared" si="3"/>
        <v>0.37</v>
      </c>
    </row>
    <row r="52" spans="1:6" x14ac:dyDescent="0.2">
      <c r="A52" s="19">
        <v>17</v>
      </c>
      <c r="B52" s="177" t="s">
        <v>15</v>
      </c>
      <c r="C52" s="178"/>
      <c r="D52" s="14">
        <f>IF(F3="1",SUMIF(Data!A:A,'31'!$A$2,Data!DK:DK),0)</f>
        <v>2608</v>
      </c>
      <c r="E52" s="17">
        <f>IF($F$3="1",SUMIF(Data!$A:$A,$A$2,Data!JE:JE),0)</f>
        <v>11796</v>
      </c>
      <c r="F52" s="21">
        <f t="shared" si="3"/>
        <v>4.5199999999999996</v>
      </c>
    </row>
    <row r="53" spans="1:6" x14ac:dyDescent="0.2">
      <c r="A53" s="19">
        <v>18</v>
      </c>
      <c r="B53" s="177" t="s">
        <v>16</v>
      </c>
      <c r="C53" s="178"/>
      <c r="D53" s="14">
        <f>IF(F3="1",SUMIF(Data!A:A,'31'!$A$2,Data!DL:DL),0)</f>
        <v>34144</v>
      </c>
      <c r="E53" s="17">
        <f>IF($F$3="1",SUMIF(Data!$A:$A,$A$2,Data!JF:JF),0)</f>
        <v>11731</v>
      </c>
      <c r="F53" s="21">
        <f t="shared" si="3"/>
        <v>0.34</v>
      </c>
    </row>
    <row r="54" spans="1:6" x14ac:dyDescent="0.2">
      <c r="A54" s="19">
        <v>19</v>
      </c>
      <c r="B54" s="177" t="s">
        <v>17</v>
      </c>
      <c r="C54" s="178"/>
      <c r="D54" s="14">
        <f>IF(F3="1",SUMIF(Data!A:A,'31'!$A$2,Data!DM:DM),0)</f>
        <v>87584</v>
      </c>
      <c r="E54" s="17">
        <f>IF($F$3="1",SUMIF(Data!$A:$A,$A$2,Data!JG:JG),0)</f>
        <v>12438</v>
      </c>
      <c r="F54" s="21">
        <f t="shared" si="3"/>
        <v>0.14000000000000001</v>
      </c>
    </row>
    <row r="55" spans="1:6" x14ac:dyDescent="0.2">
      <c r="A55" s="19">
        <v>20</v>
      </c>
      <c r="B55" s="177" t="s">
        <v>18</v>
      </c>
      <c r="C55" s="178"/>
      <c r="D55" s="14">
        <f>IF(F3="1",SUMIF(Data!A:A,'31'!$A$2,Data!DN:DN),0)</f>
        <v>14144</v>
      </c>
      <c r="E55" s="17">
        <f>IF($F$3="1",SUMIF(Data!$A:$A,$A$2,Data!JH:JH),0)</f>
        <v>39798</v>
      </c>
      <c r="F55" s="21">
        <f t="shared" si="3"/>
        <v>2.81</v>
      </c>
    </row>
    <row r="56" spans="1:6" ht="14.25" customHeight="1" x14ac:dyDescent="0.2">
      <c r="A56" s="19">
        <v>21</v>
      </c>
      <c r="B56" s="177" t="s">
        <v>461</v>
      </c>
      <c r="C56" s="178"/>
      <c r="D56" s="14">
        <f>IF(F3="1",SUMIF(Data!A:A,'31'!$A$2,Data!DO:DO),0)</f>
        <v>26392</v>
      </c>
      <c r="E56" s="17">
        <f>IF($F$3="1",SUMIF(Data!$A:$A,$A$2,Data!JI:JI),0)</f>
        <v>51038</v>
      </c>
      <c r="F56" s="21">
        <f t="shared" si="3"/>
        <v>1.93</v>
      </c>
    </row>
    <row r="57" spans="1:6" x14ac:dyDescent="0.2">
      <c r="A57" s="19">
        <v>22</v>
      </c>
      <c r="B57" s="177" t="s">
        <v>19</v>
      </c>
      <c r="C57" s="178"/>
      <c r="D57" s="14">
        <f>IF(F3="1",SUMIF(Data!A:A,'31'!$A$2,Data!DP:DP),0)</f>
        <v>160</v>
      </c>
      <c r="E57" s="17">
        <f>IF($F$3="1",SUMIF(Data!$A:$A,$A$2,Data!JJ:JJ),0)</f>
        <v>724</v>
      </c>
      <c r="F57" s="21">
        <f t="shared" si="3"/>
        <v>4.53</v>
      </c>
    </row>
    <row r="58" spans="1:6" x14ac:dyDescent="0.2">
      <c r="A58" s="19">
        <v>23</v>
      </c>
      <c r="B58" s="177" t="s">
        <v>20</v>
      </c>
      <c r="C58" s="178"/>
      <c r="D58" s="14">
        <f>IF(F3="1",SUMIF(Data!A:A,'31'!$A$2,Data!DQ:DQ),0)</f>
        <v>36304</v>
      </c>
      <c r="E58" s="17">
        <f>IF($F$3="1",SUMIF(Data!$A:$A,$A$2,Data!JK:JK),0)</f>
        <v>2284</v>
      </c>
      <c r="F58" s="21">
        <f t="shared" si="3"/>
        <v>0.06</v>
      </c>
    </row>
    <row r="59" spans="1:6" x14ac:dyDescent="0.2">
      <c r="A59" s="19">
        <v>24</v>
      </c>
      <c r="B59" s="177" t="s">
        <v>21</v>
      </c>
      <c r="C59" s="178"/>
      <c r="D59" s="14">
        <f>IF(F3="1",SUMIF(Data!A:A,'31'!$A$2,Data!DR:DR),0)</f>
        <v>60426</v>
      </c>
      <c r="E59" s="17">
        <f>IF($F$3="1",SUMIF(Data!$A:$A,$A$2,Data!JL:JL),0)</f>
        <v>12797</v>
      </c>
      <c r="F59" s="21">
        <f t="shared" si="3"/>
        <v>0.21</v>
      </c>
    </row>
    <row r="60" spans="1:6" x14ac:dyDescent="0.2">
      <c r="A60" s="19">
        <v>25</v>
      </c>
      <c r="B60" s="177" t="s">
        <v>22</v>
      </c>
      <c r="C60" s="178"/>
      <c r="D60" s="14">
        <f>IF(F3="1",SUMIF(Data!A:A,'31'!$A$2,Data!DS:DS),0)</f>
        <v>156528</v>
      </c>
      <c r="E60" s="17">
        <f>IF($F$3="1",SUMIF(Data!$A:$A,$A$2,Data!JM:JM),0)</f>
        <v>17070</v>
      </c>
      <c r="F60" s="21">
        <f t="shared" si="3"/>
        <v>0.11</v>
      </c>
    </row>
    <row r="61" spans="1:6" x14ac:dyDescent="0.2">
      <c r="A61" s="19">
        <v>26</v>
      </c>
      <c r="B61" s="177" t="s">
        <v>23</v>
      </c>
      <c r="C61" s="178"/>
      <c r="D61" s="14">
        <f>IF(F3="1",SUMIF(Data!A:A,'31'!$A$2,Data!DT:DT),0)</f>
        <v>39680</v>
      </c>
      <c r="E61" s="17">
        <f>IF($F$3="1",SUMIF(Data!$A:$A,$A$2,Data!JN:JN),0)</f>
        <v>31625</v>
      </c>
      <c r="F61" s="21">
        <f t="shared" si="3"/>
        <v>0.8</v>
      </c>
    </row>
    <row r="62" spans="1:6" x14ac:dyDescent="0.2">
      <c r="A62" s="19">
        <v>28</v>
      </c>
      <c r="B62" s="177" t="s">
        <v>24</v>
      </c>
      <c r="C62" s="178"/>
      <c r="D62" s="14">
        <f>IF(F3="1",SUMIF(Data!A:A,'31'!$A$2,Data!DV:DV),0)</f>
        <v>0</v>
      </c>
      <c r="E62" s="17">
        <f>IF($F$3="1",SUMIF(Data!$A:$A,$A$2,Data!JP:JP),0)</f>
        <v>0</v>
      </c>
      <c r="F62" s="21" t="str">
        <f t="shared" si="3"/>
        <v/>
      </c>
    </row>
    <row r="63" spans="1:6" ht="15.75" customHeight="1" thickBot="1" x14ac:dyDescent="0.25">
      <c r="A63" s="22">
        <v>29</v>
      </c>
      <c r="B63" s="179" t="s">
        <v>25</v>
      </c>
      <c r="C63" s="180"/>
      <c r="D63" s="23">
        <f>IF(F3="1",SUMIF(Data!A:A,'31'!$A$2,Data!DW:DW),0)</f>
        <v>0</v>
      </c>
      <c r="E63" s="24">
        <f>IF($F$3="1",SUMIF(Data!$A:$A,$A$2,Data!JQ:JQ),0)</f>
        <v>0</v>
      </c>
      <c r="F63" s="25" t="str">
        <f t="shared" si="3"/>
        <v/>
      </c>
    </row>
    <row r="64" spans="1:6" x14ac:dyDescent="0.2">
      <c r="B64" s="30" t="s">
        <v>35</v>
      </c>
      <c r="C64" s="30"/>
      <c r="D64" s="59">
        <f>SUM(D36:D63)</f>
        <v>943106</v>
      </c>
      <c r="E64" s="31">
        <f>SUM(E36:E63)</f>
        <v>408108</v>
      </c>
      <c r="F64" s="32">
        <f t="shared" si="3"/>
        <v>0.43</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13392</v>
      </c>
      <c r="E67" s="15">
        <f>IF(F3="1",SUMIF(Data!A:A,'31'!$A$2,Data!DY:DY),0)</f>
        <v>41744</v>
      </c>
      <c r="F67" s="20">
        <f t="shared" ref="F67:F95" si="4">IF(OR(D67=0,E67=0),"",ROUND(E67/D67,2))</f>
        <v>3.12</v>
      </c>
    </row>
    <row r="68" spans="1:6" x14ac:dyDescent="0.2">
      <c r="A68" s="19">
        <v>2</v>
      </c>
      <c r="B68" s="177" t="s">
        <v>1</v>
      </c>
      <c r="C68" s="178"/>
      <c r="D68" s="14">
        <f t="shared" ref="D68:D94" si="5">D37</f>
        <v>12796</v>
      </c>
      <c r="E68" s="17">
        <f>IF(F3="1",SUMIF(Data!A:A,'31'!$A$2,Data!DZ:DZ),0)</f>
        <v>46597</v>
      </c>
      <c r="F68" s="21">
        <f t="shared" si="4"/>
        <v>3.64</v>
      </c>
    </row>
    <row r="69" spans="1:6" ht="14.25" customHeight="1" x14ac:dyDescent="0.2">
      <c r="A69" s="19">
        <v>3</v>
      </c>
      <c r="B69" s="177" t="s">
        <v>2</v>
      </c>
      <c r="C69" s="178"/>
      <c r="D69" s="14">
        <f t="shared" si="5"/>
        <v>108592</v>
      </c>
      <c r="E69" s="17">
        <f>IF(F3="1",SUMIF(Data!A:A,'31'!$A$2,Data!EA:EA),0)</f>
        <v>319037</v>
      </c>
      <c r="F69" s="21">
        <f t="shared" si="4"/>
        <v>2.94</v>
      </c>
    </row>
    <row r="70" spans="1:6" ht="14.25" customHeight="1" x14ac:dyDescent="0.2">
      <c r="A70" s="19">
        <v>4</v>
      </c>
      <c r="B70" s="177" t="s">
        <v>3</v>
      </c>
      <c r="C70" s="178"/>
      <c r="D70" s="14">
        <f t="shared" si="5"/>
        <v>55300</v>
      </c>
      <c r="E70" s="17">
        <f>IF(F3="1",SUMIF(Data!A:A,'31'!$A$2,Data!EB:EB),0)</f>
        <v>173730</v>
      </c>
      <c r="F70" s="21">
        <f t="shared" si="4"/>
        <v>3.14</v>
      </c>
    </row>
    <row r="71" spans="1:6" x14ac:dyDescent="0.2">
      <c r="A71" s="19">
        <v>5</v>
      </c>
      <c r="B71" s="177" t="s">
        <v>4</v>
      </c>
      <c r="C71" s="178"/>
      <c r="D71" s="14">
        <f t="shared" si="5"/>
        <v>0</v>
      </c>
      <c r="E71" s="17">
        <f>IF(F3="1",SUMIF(Data!A:A,'31'!$A$2,Data!EC:EC),0)</f>
        <v>0</v>
      </c>
      <c r="F71" s="21" t="str">
        <f t="shared" si="4"/>
        <v/>
      </c>
    </row>
    <row r="72" spans="1:6" x14ac:dyDescent="0.2">
      <c r="A72" s="19">
        <v>6</v>
      </c>
      <c r="B72" s="177" t="s">
        <v>5</v>
      </c>
      <c r="C72" s="178"/>
      <c r="D72" s="14">
        <f t="shared" si="5"/>
        <v>4608</v>
      </c>
      <c r="E72" s="17">
        <f>IF(F3="1",SUMIF(Data!A:A,'31'!$A$2,Data!ED:ED),0)</f>
        <v>32504</v>
      </c>
      <c r="F72" s="21">
        <f t="shared" si="4"/>
        <v>7.05</v>
      </c>
    </row>
    <row r="73" spans="1:6" x14ac:dyDescent="0.2">
      <c r="A73" s="19">
        <v>7</v>
      </c>
      <c r="B73" s="177" t="s">
        <v>6</v>
      </c>
      <c r="C73" s="178"/>
      <c r="D73" s="14">
        <f t="shared" si="5"/>
        <v>60436</v>
      </c>
      <c r="E73" s="17">
        <f>IF(F3="1",SUMIF(Data!A:A,'31'!$A$2,Data!EE:EE),0)</f>
        <v>144252</v>
      </c>
      <c r="F73" s="21">
        <f t="shared" si="4"/>
        <v>2.39</v>
      </c>
    </row>
    <row r="74" spans="1:6" x14ac:dyDescent="0.2">
      <c r="A74" s="19">
        <v>8</v>
      </c>
      <c r="B74" s="177" t="s">
        <v>7</v>
      </c>
      <c r="C74" s="178"/>
      <c r="D74" s="14">
        <f t="shared" si="5"/>
        <v>0</v>
      </c>
      <c r="E74" s="17">
        <f>IF(F3="1",SUMIF(Data!A:A,'31'!$A$2,Data!EF:EF),0)</f>
        <v>0</v>
      </c>
      <c r="F74" s="21" t="str">
        <f t="shared" si="4"/>
        <v/>
      </c>
    </row>
    <row r="75" spans="1:6" x14ac:dyDescent="0.2">
      <c r="A75" s="19">
        <v>9</v>
      </c>
      <c r="B75" s="177" t="s">
        <v>8</v>
      </c>
      <c r="C75" s="178"/>
      <c r="D75" s="14">
        <f t="shared" si="5"/>
        <v>28282</v>
      </c>
      <c r="E75" s="17">
        <f>IF(F3="1",SUMIF(Data!A:A,'31'!$A$2,Data!EG:EG),0)</f>
        <v>39949</v>
      </c>
      <c r="F75" s="21">
        <f t="shared" si="4"/>
        <v>1.41</v>
      </c>
    </row>
    <row r="76" spans="1:6" x14ac:dyDescent="0.2">
      <c r="A76" s="19">
        <v>10</v>
      </c>
      <c r="B76" s="177" t="s">
        <v>9</v>
      </c>
      <c r="C76" s="178"/>
      <c r="D76" s="14">
        <f t="shared" si="5"/>
        <v>480</v>
      </c>
      <c r="E76" s="17">
        <f>IF(F3="1",SUMIF(Data!A:A,'31'!$A$2,Data!EH:EH),0)</f>
        <v>4091</v>
      </c>
      <c r="F76" s="21">
        <f t="shared" si="4"/>
        <v>8.52</v>
      </c>
    </row>
    <row r="77" spans="1:6" x14ac:dyDescent="0.2">
      <c r="A77" s="19">
        <v>11</v>
      </c>
      <c r="B77" s="177" t="s">
        <v>10</v>
      </c>
      <c r="C77" s="178"/>
      <c r="D77" s="14">
        <f t="shared" si="5"/>
        <v>1584</v>
      </c>
      <c r="E77" s="17">
        <f>IF(F3="1",SUMIF(Data!A:A,'31'!$A$2,Data!EI:EI),0)</f>
        <v>13499</v>
      </c>
      <c r="F77" s="21">
        <f t="shared" si="4"/>
        <v>8.52</v>
      </c>
    </row>
    <row r="78" spans="1:6" ht="14.25" customHeight="1" x14ac:dyDescent="0.2">
      <c r="A78" s="19">
        <v>12</v>
      </c>
      <c r="B78" s="177" t="s">
        <v>11</v>
      </c>
      <c r="C78" s="178"/>
      <c r="D78" s="14">
        <f t="shared" si="5"/>
        <v>125312</v>
      </c>
      <c r="E78" s="17">
        <f>IF(F3="1",SUMIF(Data!A:A,'31'!$A$2,Data!EJ:EJ),0)</f>
        <v>260331</v>
      </c>
      <c r="F78" s="21">
        <f t="shared" si="4"/>
        <v>2.08</v>
      </c>
    </row>
    <row r="79" spans="1:6" x14ac:dyDescent="0.2">
      <c r="A79" s="19">
        <v>13</v>
      </c>
      <c r="B79" s="177" t="s">
        <v>12</v>
      </c>
      <c r="C79" s="178"/>
      <c r="D79" s="14">
        <f t="shared" si="5"/>
        <v>10992</v>
      </c>
      <c r="E79" s="17">
        <f>IF(F3="1",SUMIF(Data!A:A,'31'!$A$2,Data!EK:EK),0)</f>
        <v>41314</v>
      </c>
      <c r="F79" s="21">
        <f t="shared" si="4"/>
        <v>3.76</v>
      </c>
    </row>
    <row r="80" spans="1:6" ht="14.25" customHeight="1" x14ac:dyDescent="0.2">
      <c r="A80" s="19">
        <v>14</v>
      </c>
      <c r="B80" s="177" t="s">
        <v>464</v>
      </c>
      <c r="C80" s="178"/>
      <c r="D80" s="14">
        <f t="shared" si="5"/>
        <v>26948</v>
      </c>
      <c r="E80" s="17">
        <f>IF(F3="1",SUMIF(Data!A:A,'31'!$A$2,Data!EL:EL),0)</f>
        <v>174261</v>
      </c>
      <c r="F80" s="21">
        <f t="shared" si="4"/>
        <v>6.47</v>
      </c>
    </row>
    <row r="81" spans="1:6" x14ac:dyDescent="0.2">
      <c r="A81" s="19">
        <v>15</v>
      </c>
      <c r="B81" s="177" t="s">
        <v>13</v>
      </c>
      <c r="C81" s="178"/>
      <c r="D81" s="14">
        <f t="shared" si="5"/>
        <v>0</v>
      </c>
      <c r="E81" s="17">
        <f>IF(F3="1",SUMIF(Data!A:A,'31'!$A$2,Data!EM:EM),0)</f>
        <v>0</v>
      </c>
      <c r="F81" s="21" t="str">
        <f t="shared" si="4"/>
        <v/>
      </c>
    </row>
    <row r="82" spans="1:6" x14ac:dyDescent="0.2">
      <c r="A82" s="19">
        <v>16</v>
      </c>
      <c r="B82" s="177" t="s">
        <v>14</v>
      </c>
      <c r="C82" s="178"/>
      <c r="D82" s="14">
        <f t="shared" si="5"/>
        <v>36414</v>
      </c>
      <c r="E82" s="17">
        <f>IF(F3="1",SUMIF(Data!A:A,'31'!$A$2,Data!EN:EN),0)</f>
        <v>55144</v>
      </c>
      <c r="F82" s="21">
        <f t="shared" si="4"/>
        <v>1.51</v>
      </c>
    </row>
    <row r="83" spans="1:6" x14ac:dyDescent="0.2">
      <c r="A83" s="19">
        <v>17</v>
      </c>
      <c r="B83" s="177" t="s">
        <v>15</v>
      </c>
      <c r="C83" s="178"/>
      <c r="D83" s="14">
        <f t="shared" si="5"/>
        <v>2608</v>
      </c>
      <c r="E83" s="17">
        <f>IF(F3="1",SUMIF(Data!A:A,'31'!$A$2,Data!EO:EO),0)</f>
        <v>22226</v>
      </c>
      <c r="F83" s="21">
        <f t="shared" si="4"/>
        <v>8.52</v>
      </c>
    </row>
    <row r="84" spans="1:6" x14ac:dyDescent="0.2">
      <c r="A84" s="19">
        <v>18</v>
      </c>
      <c r="B84" s="177" t="s">
        <v>16</v>
      </c>
      <c r="C84" s="178"/>
      <c r="D84" s="14">
        <f t="shared" si="5"/>
        <v>34144</v>
      </c>
      <c r="E84" s="17">
        <f>IF(F3="1",SUMIF(Data!A:A,'31'!$A$2,Data!EP:EP),0)</f>
        <v>119339</v>
      </c>
      <c r="F84" s="21">
        <f t="shared" si="4"/>
        <v>3.5</v>
      </c>
    </row>
    <row r="85" spans="1:6" x14ac:dyDescent="0.2">
      <c r="A85" s="19">
        <v>19</v>
      </c>
      <c r="B85" s="177" t="s">
        <v>17</v>
      </c>
      <c r="C85" s="178"/>
      <c r="D85" s="14">
        <f t="shared" si="5"/>
        <v>87584</v>
      </c>
      <c r="E85" s="17">
        <f>IF(F3="1",SUMIF(Data!A:A,'31'!$A$2,Data!EQ:EQ),0)</f>
        <v>209401</v>
      </c>
      <c r="F85" s="21">
        <f t="shared" si="4"/>
        <v>2.39</v>
      </c>
    </row>
    <row r="86" spans="1:6" x14ac:dyDescent="0.2">
      <c r="A86" s="19">
        <v>20</v>
      </c>
      <c r="B86" s="177" t="s">
        <v>18</v>
      </c>
      <c r="C86" s="178"/>
      <c r="D86" s="14">
        <f t="shared" si="5"/>
        <v>14144</v>
      </c>
      <c r="E86" s="17">
        <f>IF(F3="1",SUMIF(Data!A:A,'31'!$A$2,Data!ER:ER),0)</f>
        <v>53046</v>
      </c>
      <c r="F86" s="21">
        <f t="shared" si="4"/>
        <v>3.75</v>
      </c>
    </row>
    <row r="87" spans="1:6" ht="14.25" customHeight="1" x14ac:dyDescent="0.2">
      <c r="A87" s="19">
        <v>21</v>
      </c>
      <c r="B87" s="177" t="s">
        <v>461</v>
      </c>
      <c r="C87" s="178"/>
      <c r="D87" s="14">
        <f t="shared" si="5"/>
        <v>26392</v>
      </c>
      <c r="E87" s="17">
        <f>IF(F3="1",SUMIF(Data!A:A,'31'!$A$2,Data!ES:ES),0)</f>
        <v>105028</v>
      </c>
      <c r="F87" s="21">
        <f t="shared" si="4"/>
        <v>3.98</v>
      </c>
    </row>
    <row r="88" spans="1:6" x14ac:dyDescent="0.2">
      <c r="A88" s="19">
        <v>22</v>
      </c>
      <c r="B88" s="177" t="s">
        <v>19</v>
      </c>
      <c r="C88" s="178"/>
      <c r="D88" s="14">
        <f t="shared" si="5"/>
        <v>160</v>
      </c>
      <c r="E88" s="17">
        <f>IF(F3="1",SUMIF(Data!A:A,'31'!$A$2,Data!ET:ET),0)</f>
        <v>1364</v>
      </c>
      <c r="F88" s="21">
        <f t="shared" si="4"/>
        <v>8.5299999999999994</v>
      </c>
    </row>
    <row r="89" spans="1:6" x14ac:dyDescent="0.2">
      <c r="A89" s="19">
        <v>23</v>
      </c>
      <c r="B89" s="177" t="s">
        <v>20</v>
      </c>
      <c r="C89" s="178"/>
      <c r="D89" s="14">
        <f t="shared" si="5"/>
        <v>36304</v>
      </c>
      <c r="E89" s="17">
        <f>IF(F3="1",SUMIF(Data!A:A,'31'!$A$2,Data!EU:EU),0)</f>
        <v>105722</v>
      </c>
      <c r="F89" s="21">
        <f t="shared" si="4"/>
        <v>2.91</v>
      </c>
    </row>
    <row r="90" spans="1:6" x14ac:dyDescent="0.2">
      <c r="A90" s="19">
        <v>24</v>
      </c>
      <c r="B90" s="177" t="s">
        <v>21</v>
      </c>
      <c r="C90" s="178"/>
      <c r="D90" s="14">
        <f t="shared" si="5"/>
        <v>60426</v>
      </c>
      <c r="E90" s="17">
        <f>IF(F3="1",SUMIF(Data!A:A,'31'!$A$2,Data!EV:EV),0)</f>
        <v>202455</v>
      </c>
      <c r="F90" s="21">
        <f t="shared" si="4"/>
        <v>3.35</v>
      </c>
    </row>
    <row r="91" spans="1:6" x14ac:dyDescent="0.2">
      <c r="A91" s="19">
        <v>25</v>
      </c>
      <c r="B91" s="177" t="s">
        <v>22</v>
      </c>
      <c r="C91" s="178"/>
      <c r="D91" s="14">
        <f t="shared" si="5"/>
        <v>156528</v>
      </c>
      <c r="E91" s="17">
        <f>IF(F3="1",SUMIF(Data!A:A,'31'!$A$2,Data!EW:EW),0)</f>
        <v>333052</v>
      </c>
      <c r="F91" s="21">
        <f t="shared" si="4"/>
        <v>2.13</v>
      </c>
    </row>
    <row r="92" spans="1:6" x14ac:dyDescent="0.2">
      <c r="A92" s="19">
        <v>26</v>
      </c>
      <c r="B92" s="177" t="s">
        <v>23</v>
      </c>
      <c r="C92" s="178"/>
      <c r="D92" s="14">
        <f t="shared" si="5"/>
        <v>39680</v>
      </c>
      <c r="E92" s="17">
        <f>IF(F3="1",SUMIF(Data!A:A,'31'!$A$2,Data!EX:EX),0)</f>
        <v>208838</v>
      </c>
      <c r="F92" s="21">
        <f t="shared" si="4"/>
        <v>5.26</v>
      </c>
    </row>
    <row r="93" spans="1:6" x14ac:dyDescent="0.2">
      <c r="A93" s="19">
        <v>28</v>
      </c>
      <c r="B93" s="177" t="s">
        <v>24</v>
      </c>
      <c r="C93" s="178"/>
      <c r="D93" s="14">
        <f t="shared" si="5"/>
        <v>0</v>
      </c>
      <c r="E93" s="17">
        <f>IF(F3="1",SUMIF(Data!A:A,'31'!$A$2,Data!EZ:EZ),0)</f>
        <v>0</v>
      </c>
      <c r="F93" s="21" t="str">
        <f t="shared" si="4"/>
        <v/>
      </c>
    </row>
    <row r="94" spans="1:6" ht="15.75" customHeight="1" thickBot="1" x14ac:dyDescent="0.25">
      <c r="A94" s="22">
        <v>29</v>
      </c>
      <c r="B94" s="179" t="s">
        <v>25</v>
      </c>
      <c r="C94" s="180"/>
      <c r="D94" s="23">
        <f t="shared" si="5"/>
        <v>0</v>
      </c>
      <c r="E94" s="24">
        <f>IF(F3="1",SUMIF(Data!A:A,'31'!$A$2,Data!FA:FA),0)</f>
        <v>0</v>
      </c>
      <c r="F94" s="25" t="str">
        <f t="shared" si="4"/>
        <v/>
      </c>
    </row>
    <row r="95" spans="1:6" x14ac:dyDescent="0.2">
      <c r="B95" s="30" t="s">
        <v>35</v>
      </c>
      <c r="C95" s="30"/>
      <c r="D95" s="59">
        <f>SUM(D67:D94)</f>
        <v>943106</v>
      </c>
      <c r="E95" s="31">
        <f>SUM(E67:E94)</f>
        <v>2706924</v>
      </c>
      <c r="F95" s="32">
        <f t="shared" si="4"/>
        <v>2.87</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IF(F3="1",SUMIF(Data!A:A,'31'!$A$2,Data!AH:AH),0)</f>
        <v>1171001</v>
      </c>
      <c r="F98" s="20">
        <f>IF(OR(E98=0,E98=0),"",ROUND(E98/$D$105,2))</f>
        <v>1.24</v>
      </c>
    </row>
    <row r="99" spans="2:6" x14ac:dyDescent="0.2">
      <c r="B99" s="183" t="s">
        <v>31</v>
      </c>
      <c r="C99" s="184"/>
      <c r="D99" s="36"/>
      <c r="E99" s="17">
        <f>IF(F3="1",SUMIF(Data!A:A,'31'!$A$2,Data!AI:AI),0)</f>
        <v>488556</v>
      </c>
      <c r="F99" s="21">
        <f t="shared" ref="F99:F104" si="6">IF(OR(E99=0,E99=0),"",ROUND(E99/$D$105,2))</f>
        <v>0.52</v>
      </c>
    </row>
    <row r="100" spans="2:6" x14ac:dyDescent="0.2">
      <c r="B100" s="183" t="s">
        <v>1078</v>
      </c>
      <c r="C100" s="184"/>
      <c r="D100" s="36"/>
      <c r="E100" s="17">
        <f>IF(F3="1",SUMIF(Data!A:A,'31'!$A$2,Data!AJ:AJ),0)</f>
        <v>224275</v>
      </c>
      <c r="F100" s="21">
        <f t="shared" si="6"/>
        <v>0.24</v>
      </c>
    </row>
    <row r="101" spans="2:6" x14ac:dyDescent="0.2">
      <c r="B101" s="183" t="s">
        <v>1079</v>
      </c>
      <c r="C101" s="184"/>
      <c r="D101" s="36"/>
      <c r="E101" s="17">
        <f>IF(F3="1",SUMIF(Data!A:A,'31'!$A$2,Data!AK:AK),0)</f>
        <v>455283</v>
      </c>
      <c r="F101" s="21">
        <f t="shared" si="6"/>
        <v>0.48</v>
      </c>
    </row>
    <row r="102" spans="2:6" x14ac:dyDescent="0.2">
      <c r="B102" s="183" t="s">
        <v>1080</v>
      </c>
      <c r="C102" s="184"/>
      <c r="D102" s="36"/>
      <c r="E102" s="17">
        <f>IF(F3="1",SUMIF(Data!A:A,'31'!$A$2,Data!AL:AL),0)</f>
        <v>157855</v>
      </c>
      <c r="F102" s="21">
        <f t="shared" si="6"/>
        <v>0.17</v>
      </c>
    </row>
    <row r="103" spans="2:6" x14ac:dyDescent="0.2">
      <c r="B103" s="185" t="s">
        <v>34</v>
      </c>
      <c r="C103" s="186"/>
      <c r="D103" s="36"/>
      <c r="E103" s="17">
        <f>IF(F3="1",SUMIF(Data!A:A,'31'!$A$2,Data!AM:AM),0)</f>
        <v>0</v>
      </c>
      <c r="F103" s="21" t="str">
        <f t="shared" si="6"/>
        <v/>
      </c>
    </row>
    <row r="104" spans="2:6" ht="15.75" customHeight="1" thickBot="1" x14ac:dyDescent="0.25">
      <c r="B104" s="175" t="s">
        <v>29</v>
      </c>
      <c r="C104" s="176"/>
      <c r="D104" s="37"/>
      <c r="E104" s="24">
        <f>IF(F3="1",SUMIF(Data!A:A,'31'!$A$2,Data!Q:Q),0)</f>
        <v>256155</v>
      </c>
      <c r="F104" s="25">
        <f t="shared" si="6"/>
        <v>0.27</v>
      </c>
    </row>
    <row r="105" spans="2:6" x14ac:dyDescent="0.2">
      <c r="B105" s="30" t="s">
        <v>35</v>
      </c>
      <c r="C105" s="30"/>
      <c r="D105" s="34">
        <f>D95</f>
        <v>943106</v>
      </c>
      <c r="E105" s="31">
        <f>SUM(E98:E104)</f>
        <v>2753125</v>
      </c>
      <c r="F105" s="32">
        <f>IF($D$105=0,"",ROUND(E105/$D$105,2))</f>
        <v>2.92</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2706924</v>
      </c>
      <c r="D109" s="15">
        <f>IF(F3="1",SUMIF(Data!$A:$A,$A$2,Data!HJ:HJ),0)</f>
        <v>0</v>
      </c>
      <c r="E109" s="15">
        <f>IF(F3="1",SUMIF(Data!$A:$A,$A$2,Data!IN:IN),0)</f>
        <v>0</v>
      </c>
      <c r="F109" s="47">
        <f>SUM(C109:E109)</f>
        <v>2706924</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157855</v>
      </c>
      <c r="F116" s="48">
        <f t="shared" si="7"/>
        <v>157855</v>
      </c>
    </row>
    <row r="117" spans="1:6" ht="15" thickBot="1" x14ac:dyDescent="0.25">
      <c r="B117" s="43" t="s">
        <v>933</v>
      </c>
      <c r="C117" s="52"/>
      <c r="D117" s="52">
        <f>IF(F3="1",SUMIF(Data!A:A,$A$2,Data!Q:Q),0)</f>
        <v>256155</v>
      </c>
      <c r="E117" s="52"/>
      <c r="F117" s="49">
        <f>SUM(C117:E117)</f>
        <v>256155</v>
      </c>
    </row>
    <row r="118" spans="1:6" x14ac:dyDescent="0.2">
      <c r="B118" s="13" t="s">
        <v>35</v>
      </c>
      <c r="C118" s="4">
        <f>SUM(C109:C116)</f>
        <v>2706924</v>
      </c>
      <c r="D118" s="4">
        <f>SUM(D109:D116)</f>
        <v>0</v>
      </c>
      <c r="E118" s="4">
        <f>SUM(E109:E116)</f>
        <v>157855</v>
      </c>
      <c r="F118" s="4">
        <f>SUM(F109:F116)</f>
        <v>2864779</v>
      </c>
    </row>
    <row r="119" spans="1:6" ht="15" thickBot="1" x14ac:dyDescent="0.25"/>
    <row r="120" spans="1:6" ht="15" thickBot="1" x14ac:dyDescent="0.25">
      <c r="B120" s="55" t="s">
        <v>934</v>
      </c>
      <c r="C120" s="53"/>
      <c r="D120" s="53"/>
      <c r="E120" s="53">
        <f>IF(F3="1",SUMIF(Data!A:A,'31'!$A$2,Data!AM:AM),0)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386</v>
      </c>
      <c r="B2" s="58" t="str">
        <f>VLOOKUP(A2,Data!A:G,7,0)</f>
        <v>Odessa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5936</v>
      </c>
      <c r="E5" s="15">
        <f>E36+E67+IFERROR($E$105/$D$105*D5,0)</f>
        <v>39450.972246101381</v>
      </c>
      <c r="F5" s="20">
        <f>IF(OR(D5=0,E5=0),"",ROUND(E5/D5,2))</f>
        <v>6.65</v>
      </c>
    </row>
    <row r="6" spans="1:6" x14ac:dyDescent="0.2">
      <c r="A6" s="19">
        <v>2</v>
      </c>
      <c r="B6" s="177" t="s">
        <v>1</v>
      </c>
      <c r="C6" s="178"/>
      <c r="D6" s="14">
        <f t="shared" ref="D6:D32" si="0">D37</f>
        <v>48498</v>
      </c>
      <c r="E6" s="17">
        <f t="shared" ref="E6:E32" si="1">E37+E68+IFERROR($E$105/$D$105*D6,0)</f>
        <v>314929.18092847452</v>
      </c>
      <c r="F6" s="21">
        <f t="shared" ref="F6:F33" si="2">IF(OR(D6=0,E6=0),"",ROUND(E6/D6,2))</f>
        <v>6.49</v>
      </c>
    </row>
    <row r="7" spans="1:6" ht="14.25" customHeight="1" x14ac:dyDescent="0.2">
      <c r="A7" s="19">
        <v>3</v>
      </c>
      <c r="B7" s="177" t="s">
        <v>2</v>
      </c>
      <c r="C7" s="178"/>
      <c r="D7" s="14">
        <f t="shared" si="0"/>
        <v>175344</v>
      </c>
      <c r="E7" s="17">
        <f t="shared" si="1"/>
        <v>1078260.6599596362</v>
      </c>
      <c r="F7" s="21">
        <f t="shared" si="2"/>
        <v>6.15</v>
      </c>
    </row>
    <row r="8" spans="1:6" ht="14.25" customHeight="1" x14ac:dyDescent="0.2">
      <c r="A8" s="19">
        <v>4</v>
      </c>
      <c r="B8" s="177" t="s">
        <v>3</v>
      </c>
      <c r="C8" s="178"/>
      <c r="D8" s="14">
        <f t="shared" si="0"/>
        <v>113278</v>
      </c>
      <c r="E8" s="17">
        <f t="shared" si="1"/>
        <v>818610.82818292989</v>
      </c>
      <c r="F8" s="21">
        <f t="shared" si="2"/>
        <v>7.23</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2952</v>
      </c>
      <c r="E10" s="17">
        <f t="shared" si="1"/>
        <v>29980.573798937206</v>
      </c>
      <c r="F10" s="21">
        <f t="shared" si="2"/>
        <v>10.16</v>
      </c>
    </row>
    <row r="11" spans="1:6" x14ac:dyDescent="0.2">
      <c r="A11" s="19">
        <v>7</v>
      </c>
      <c r="B11" s="177" t="s">
        <v>6</v>
      </c>
      <c r="C11" s="178"/>
      <c r="D11" s="14">
        <f t="shared" si="0"/>
        <v>93639</v>
      </c>
      <c r="E11" s="17">
        <f t="shared" si="1"/>
        <v>580058.41360388929</v>
      </c>
      <c r="F11" s="21">
        <f t="shared" si="2"/>
        <v>6.19</v>
      </c>
    </row>
    <row r="12" spans="1:6" x14ac:dyDescent="0.2">
      <c r="A12" s="19">
        <v>8</v>
      </c>
      <c r="B12" s="177" t="s">
        <v>7</v>
      </c>
      <c r="C12" s="178"/>
      <c r="D12" s="14">
        <f t="shared" si="0"/>
        <v>8496</v>
      </c>
      <c r="E12" s="17">
        <f t="shared" si="1"/>
        <v>41243.944104258306</v>
      </c>
      <c r="F12" s="21">
        <f t="shared" si="2"/>
        <v>4.8499999999999996</v>
      </c>
    </row>
    <row r="13" spans="1:6" x14ac:dyDescent="0.2">
      <c r="A13" s="19">
        <v>9</v>
      </c>
      <c r="B13" s="177" t="s">
        <v>8</v>
      </c>
      <c r="C13" s="178"/>
      <c r="D13" s="14">
        <f t="shared" si="0"/>
        <v>187410</v>
      </c>
      <c r="E13" s="17">
        <f t="shared" si="1"/>
        <v>1123966.9788817149</v>
      </c>
      <c r="F13" s="21">
        <f t="shared" si="2"/>
        <v>6</v>
      </c>
    </row>
    <row r="14" spans="1:6" x14ac:dyDescent="0.2">
      <c r="A14" s="19">
        <v>10</v>
      </c>
      <c r="B14" s="177" t="s">
        <v>9</v>
      </c>
      <c r="C14" s="178"/>
      <c r="D14" s="14">
        <f t="shared" si="0"/>
        <v>0</v>
      </c>
      <c r="E14" s="17">
        <f t="shared" si="1"/>
        <v>0</v>
      </c>
      <c r="F14" s="21" t="str">
        <f t="shared" si="2"/>
        <v/>
      </c>
    </row>
    <row r="15" spans="1:6" x14ac:dyDescent="0.2">
      <c r="A15" s="19">
        <v>11</v>
      </c>
      <c r="B15" s="177" t="s">
        <v>10</v>
      </c>
      <c r="C15" s="178"/>
      <c r="D15" s="14">
        <f t="shared" si="0"/>
        <v>73893</v>
      </c>
      <c r="E15" s="17">
        <f t="shared" si="1"/>
        <v>572544.17910733982</v>
      </c>
      <c r="F15" s="21">
        <f t="shared" si="2"/>
        <v>7.75</v>
      </c>
    </row>
    <row r="16" spans="1:6" ht="14.25" customHeight="1" x14ac:dyDescent="0.2">
      <c r="A16" s="19">
        <v>12</v>
      </c>
      <c r="B16" s="177" t="s">
        <v>11</v>
      </c>
      <c r="C16" s="178"/>
      <c r="D16" s="14">
        <f t="shared" si="0"/>
        <v>357623</v>
      </c>
      <c r="E16" s="17">
        <f t="shared" si="1"/>
        <v>2251649.3491522092</v>
      </c>
      <c r="F16" s="21">
        <f t="shared" si="2"/>
        <v>6.3</v>
      </c>
    </row>
    <row r="17" spans="1:6" x14ac:dyDescent="0.2">
      <c r="A17" s="19">
        <v>13</v>
      </c>
      <c r="B17" s="177" t="s">
        <v>12</v>
      </c>
      <c r="C17" s="178"/>
      <c r="D17" s="14">
        <f t="shared" si="0"/>
        <v>15572</v>
      </c>
      <c r="E17" s="17">
        <f t="shared" si="1"/>
        <v>112596.04444344519</v>
      </c>
      <c r="F17" s="21">
        <f t="shared" si="2"/>
        <v>7.23</v>
      </c>
    </row>
    <row r="18" spans="1:6" ht="14.25" customHeight="1" x14ac:dyDescent="0.2">
      <c r="A18" s="19">
        <v>14</v>
      </c>
      <c r="B18" s="177" t="s">
        <v>464</v>
      </c>
      <c r="C18" s="178"/>
      <c r="D18" s="14">
        <f t="shared" si="0"/>
        <v>82474</v>
      </c>
      <c r="E18" s="17">
        <f t="shared" si="1"/>
        <v>920925.25118345092</v>
      </c>
      <c r="F18" s="21">
        <f t="shared" si="2"/>
        <v>11.17</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153440</v>
      </c>
      <c r="E20" s="17">
        <f t="shared" si="1"/>
        <v>1140313.1882482809</v>
      </c>
      <c r="F20" s="21">
        <f t="shared" si="2"/>
        <v>7.43</v>
      </c>
    </row>
    <row r="21" spans="1:6" x14ac:dyDescent="0.2">
      <c r="A21" s="19">
        <v>17</v>
      </c>
      <c r="B21" s="177" t="s">
        <v>15</v>
      </c>
      <c r="C21" s="178"/>
      <c r="D21" s="14">
        <f t="shared" si="0"/>
        <v>29728</v>
      </c>
      <c r="E21" s="17">
        <f t="shared" si="1"/>
        <v>241307.09820284735</v>
      </c>
      <c r="F21" s="21">
        <f t="shared" si="2"/>
        <v>8.1199999999999992</v>
      </c>
    </row>
    <row r="22" spans="1:6" x14ac:dyDescent="0.2">
      <c r="A22" s="19">
        <v>18</v>
      </c>
      <c r="B22" s="177" t="s">
        <v>16</v>
      </c>
      <c r="C22" s="178"/>
      <c r="D22" s="14">
        <f t="shared" si="0"/>
        <v>77339</v>
      </c>
      <c r="E22" s="17">
        <f t="shared" si="1"/>
        <v>506729.10841328074</v>
      </c>
      <c r="F22" s="21">
        <f t="shared" si="2"/>
        <v>6.55</v>
      </c>
    </row>
    <row r="23" spans="1:6" x14ac:dyDescent="0.2">
      <c r="A23" s="19">
        <v>19</v>
      </c>
      <c r="B23" s="177" t="s">
        <v>17</v>
      </c>
      <c r="C23" s="178"/>
      <c r="D23" s="14">
        <f t="shared" si="0"/>
        <v>201120</v>
      </c>
      <c r="E23" s="17">
        <f t="shared" si="1"/>
        <v>1168761.9141064538</v>
      </c>
      <c r="F23" s="21">
        <f t="shared" si="2"/>
        <v>5.81</v>
      </c>
    </row>
    <row r="24" spans="1:6" x14ac:dyDescent="0.2">
      <c r="A24" s="19">
        <v>20</v>
      </c>
      <c r="B24" s="177" t="s">
        <v>18</v>
      </c>
      <c r="C24" s="178"/>
      <c r="D24" s="14">
        <f t="shared" si="0"/>
        <v>34368</v>
      </c>
      <c r="E24" s="17">
        <f t="shared" si="1"/>
        <v>197022.67219575678</v>
      </c>
      <c r="F24" s="21">
        <f t="shared" si="2"/>
        <v>5.73</v>
      </c>
    </row>
    <row r="25" spans="1:6" ht="14.25" customHeight="1" x14ac:dyDescent="0.2">
      <c r="A25" s="19">
        <v>21</v>
      </c>
      <c r="B25" s="177" t="s">
        <v>461</v>
      </c>
      <c r="C25" s="178"/>
      <c r="D25" s="14">
        <f t="shared" si="0"/>
        <v>42814</v>
      </c>
      <c r="E25" s="17">
        <f t="shared" si="1"/>
        <v>532651.95278716041</v>
      </c>
      <c r="F25" s="21">
        <f t="shared" si="2"/>
        <v>12.44</v>
      </c>
    </row>
    <row r="26" spans="1:6" x14ac:dyDescent="0.2">
      <c r="A26" s="19">
        <v>22</v>
      </c>
      <c r="B26" s="177" t="s">
        <v>19</v>
      </c>
      <c r="C26" s="178"/>
      <c r="D26" s="14">
        <f t="shared" si="0"/>
        <v>11278</v>
      </c>
      <c r="E26" s="17">
        <f t="shared" si="1"/>
        <v>64525.261959489784</v>
      </c>
      <c r="F26" s="21">
        <f t="shared" si="2"/>
        <v>5.72</v>
      </c>
    </row>
    <row r="27" spans="1:6" x14ac:dyDescent="0.2">
      <c r="A27" s="19">
        <v>23</v>
      </c>
      <c r="B27" s="177" t="s">
        <v>20</v>
      </c>
      <c r="C27" s="178"/>
      <c r="D27" s="14">
        <f t="shared" si="0"/>
        <v>113056</v>
      </c>
      <c r="E27" s="17">
        <f t="shared" si="1"/>
        <v>702348.48218585539</v>
      </c>
      <c r="F27" s="21">
        <f t="shared" si="2"/>
        <v>6.21</v>
      </c>
    </row>
    <row r="28" spans="1:6" x14ac:dyDescent="0.2">
      <c r="A28" s="19">
        <v>24</v>
      </c>
      <c r="B28" s="177" t="s">
        <v>21</v>
      </c>
      <c r="C28" s="178"/>
      <c r="D28" s="14">
        <f t="shared" si="0"/>
        <v>98773</v>
      </c>
      <c r="E28" s="17">
        <f t="shared" si="1"/>
        <v>752002.34310380253</v>
      </c>
      <c r="F28" s="21">
        <f t="shared" si="2"/>
        <v>7.61</v>
      </c>
    </row>
    <row r="29" spans="1:6" x14ac:dyDescent="0.2">
      <c r="A29" s="19">
        <v>25</v>
      </c>
      <c r="B29" s="177" t="s">
        <v>22</v>
      </c>
      <c r="C29" s="178"/>
      <c r="D29" s="14">
        <f t="shared" si="0"/>
        <v>267038</v>
      </c>
      <c r="E29" s="17">
        <f t="shared" si="1"/>
        <v>1586673.2629134804</v>
      </c>
      <c r="F29" s="21">
        <f t="shared" si="2"/>
        <v>5.94</v>
      </c>
    </row>
    <row r="30" spans="1:6" x14ac:dyDescent="0.2">
      <c r="A30" s="19">
        <v>26</v>
      </c>
      <c r="B30" s="177" t="s">
        <v>23</v>
      </c>
      <c r="C30" s="178"/>
      <c r="D30" s="14">
        <f t="shared" si="0"/>
        <v>74297</v>
      </c>
      <c r="E30" s="17">
        <f t="shared" si="1"/>
        <v>715729.34029120521</v>
      </c>
      <c r="F30" s="21">
        <f t="shared" si="2"/>
        <v>9.6300000000000008</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2268366</v>
      </c>
      <c r="E33" s="31">
        <f>SUM(E5:E32)</f>
        <v>15492281</v>
      </c>
      <c r="F33" s="32">
        <f t="shared" si="2"/>
        <v>6.83</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IF(F3="1",SUMIF(Data!A:A,'32'!$A$2,Data!CU:CU),0)</f>
        <v>5936</v>
      </c>
      <c r="E36" s="15">
        <f>IF(F3="1",SUMIF(Data!$A:$A,$A$2,Data!IO:IO),0)</f>
        <v>6407</v>
      </c>
      <c r="F36" s="20">
        <f t="shared" ref="F36:F64" si="3">IF(OR(D36=0,E36=0),"",ROUND(E36/D36,2))</f>
        <v>1.08</v>
      </c>
    </row>
    <row r="37" spans="1:6" x14ac:dyDescent="0.2">
      <c r="A37" s="19">
        <v>2</v>
      </c>
      <c r="B37" s="177" t="s">
        <v>1</v>
      </c>
      <c r="C37" s="178"/>
      <c r="D37" s="14">
        <f>IF(F3="1",SUMIF(Data!A:A,'32'!$A$2,Data!CV:CV),0)</f>
        <v>48498</v>
      </c>
      <c r="E37" s="17">
        <f>IF(F3="1",SUMIF(Data!$A:$A,$A$2,Data!IP:IP),0)</f>
        <v>30306</v>
      </c>
      <c r="F37" s="21">
        <f t="shared" si="3"/>
        <v>0.62</v>
      </c>
    </row>
    <row r="38" spans="1:6" ht="14.25" customHeight="1" x14ac:dyDescent="0.2">
      <c r="A38" s="19">
        <v>3</v>
      </c>
      <c r="B38" s="177" t="s">
        <v>2</v>
      </c>
      <c r="C38" s="178"/>
      <c r="D38" s="14">
        <f>IF(F3="1",SUMIF(Data!A:A,'32'!$A$2,Data!CW:CW),0)</f>
        <v>175344</v>
      </c>
      <c r="E38" s="17">
        <f>IF($F$3="1",SUMIF(Data!$A:$A,$A$2,Data!IQ:IQ),0)</f>
        <v>100430</v>
      </c>
      <c r="F38" s="21">
        <f t="shared" si="3"/>
        <v>0.56999999999999995</v>
      </c>
    </row>
    <row r="39" spans="1:6" ht="14.25" customHeight="1" x14ac:dyDescent="0.2">
      <c r="A39" s="19">
        <v>4</v>
      </c>
      <c r="B39" s="177" t="s">
        <v>3</v>
      </c>
      <c r="C39" s="178"/>
      <c r="D39" s="14">
        <f>IF(F3="1",SUMIF(Data!A:A,'32'!$A$2,Data!CX:CX),0)</f>
        <v>113278</v>
      </c>
      <c r="E39" s="17">
        <f>IF($F$3="1",SUMIF(Data!$A:$A,$A$2,Data!IR:IR),0)</f>
        <v>85209</v>
      </c>
      <c r="F39" s="21">
        <f t="shared" si="3"/>
        <v>0.75</v>
      </c>
    </row>
    <row r="40" spans="1:6" x14ac:dyDescent="0.2">
      <c r="A40" s="19">
        <v>5</v>
      </c>
      <c r="B40" s="177" t="s">
        <v>4</v>
      </c>
      <c r="C40" s="178"/>
      <c r="D40" s="14">
        <f>IF(F3="1",SUMIF(Data!A:A,'32'!$A$2,Data!CY:CY),0)</f>
        <v>0</v>
      </c>
      <c r="E40" s="17">
        <f>IF($F$3="1",SUMIF(Data!$A:$A,$A$2,Data!IS:IS),0)</f>
        <v>0</v>
      </c>
      <c r="F40" s="21" t="str">
        <f t="shared" si="3"/>
        <v/>
      </c>
    </row>
    <row r="41" spans="1:6" x14ac:dyDescent="0.2">
      <c r="A41" s="19">
        <v>6</v>
      </c>
      <c r="B41" s="177" t="s">
        <v>5</v>
      </c>
      <c r="C41" s="178"/>
      <c r="D41" s="14">
        <f>IF(F3="1",SUMIF(Data!A:A,'32'!$A$2,Data!CZ:CZ),0)</f>
        <v>2952</v>
      </c>
      <c r="E41" s="17">
        <f>IF($F$3="1",SUMIF(Data!$A:$A,$A$2,Data!IT:IT),0)</f>
        <v>13797</v>
      </c>
      <c r="F41" s="21">
        <f t="shared" si="3"/>
        <v>4.67</v>
      </c>
    </row>
    <row r="42" spans="1:6" x14ac:dyDescent="0.2">
      <c r="A42" s="19">
        <v>7</v>
      </c>
      <c r="B42" s="177" t="s">
        <v>6</v>
      </c>
      <c r="C42" s="178"/>
      <c r="D42" s="14">
        <f>IF(F3="1",SUMIF(Data!A:A,'32'!$A$2,Data!DA:DA),0)</f>
        <v>93639</v>
      </c>
      <c r="E42" s="17">
        <f>IF($F$3="1",SUMIF(Data!$A:$A,$A$2,Data!IU:IU),0)</f>
        <v>54744</v>
      </c>
      <c r="F42" s="21">
        <f t="shared" si="3"/>
        <v>0.57999999999999996</v>
      </c>
    </row>
    <row r="43" spans="1:6" x14ac:dyDescent="0.2">
      <c r="A43" s="19">
        <v>8</v>
      </c>
      <c r="B43" s="177" t="s">
        <v>7</v>
      </c>
      <c r="C43" s="178"/>
      <c r="D43" s="14">
        <f>IF(F3="1",SUMIF(Data!A:A,'32'!$A$2,Data!DB:DB),0)</f>
        <v>8496</v>
      </c>
      <c r="E43" s="17">
        <f>IF($F$3="1",SUMIF(Data!$A:$A,$A$2,Data!IV:IV),0)</f>
        <v>2615</v>
      </c>
      <c r="F43" s="21">
        <f t="shared" si="3"/>
        <v>0.31</v>
      </c>
    </row>
    <row r="44" spans="1:6" x14ac:dyDescent="0.2">
      <c r="A44" s="19">
        <v>9</v>
      </c>
      <c r="B44" s="177" t="s">
        <v>8</v>
      </c>
      <c r="C44" s="178"/>
      <c r="D44" s="14">
        <f>IF(F3="1",SUMIF(Data!A:A,'32'!$A$2,Data!DC:DC),0)</f>
        <v>187410</v>
      </c>
      <c r="E44" s="17">
        <f>IF($F$3="1",SUMIF(Data!$A:$A,$A$2,Data!IW:IW),0)</f>
        <v>86011</v>
      </c>
      <c r="F44" s="21">
        <f t="shared" si="3"/>
        <v>0.46</v>
      </c>
    </row>
    <row r="45" spans="1:6" x14ac:dyDescent="0.2">
      <c r="A45" s="19">
        <v>10</v>
      </c>
      <c r="B45" s="177" t="s">
        <v>9</v>
      </c>
      <c r="C45" s="178"/>
      <c r="D45" s="14">
        <f>IF(F3="1",SUMIF(Data!A:A,'32'!$A$2,Data!DD:DD),0)</f>
        <v>0</v>
      </c>
      <c r="E45" s="17">
        <f>IF($F$3="1",SUMIF(Data!$A:$A,$A$2,Data!IX:IX),0)</f>
        <v>0</v>
      </c>
      <c r="F45" s="21" t="str">
        <f t="shared" si="3"/>
        <v/>
      </c>
    </row>
    <row r="46" spans="1:6" x14ac:dyDescent="0.2">
      <c r="A46" s="19">
        <v>11</v>
      </c>
      <c r="B46" s="177" t="s">
        <v>10</v>
      </c>
      <c r="C46" s="178"/>
      <c r="D46" s="14">
        <f>IF(F3="1",SUMIF(Data!A:A,'32'!$A$2,Data!DE:DE),0)</f>
        <v>73893</v>
      </c>
      <c r="E46" s="17">
        <f>IF($F$3="1",SUMIF(Data!$A:$A,$A$2,Data!IY:IY),0)</f>
        <v>79071</v>
      </c>
      <c r="F46" s="21">
        <f t="shared" si="3"/>
        <v>1.07</v>
      </c>
    </row>
    <row r="47" spans="1:6" ht="14.25" customHeight="1" x14ac:dyDescent="0.2">
      <c r="A47" s="19">
        <v>12</v>
      </c>
      <c r="B47" s="177" t="s">
        <v>11</v>
      </c>
      <c r="C47" s="178"/>
      <c r="D47" s="14">
        <f>IF(F3="1",SUMIF(Data!A:A,'32'!$A$2,Data!DF:DF),0)</f>
        <v>357623</v>
      </c>
      <c r="E47" s="17">
        <f>IF($F$3="1",SUMIF(Data!$A:$A,$A$2,Data!IZ:IZ),0)</f>
        <v>171246</v>
      </c>
      <c r="F47" s="21">
        <f t="shared" si="3"/>
        <v>0.48</v>
      </c>
    </row>
    <row r="48" spans="1:6" x14ac:dyDescent="0.2">
      <c r="A48" s="19">
        <v>13</v>
      </c>
      <c r="B48" s="177" t="s">
        <v>12</v>
      </c>
      <c r="C48" s="178"/>
      <c r="D48" s="14">
        <f>IF(F3="1",SUMIF(Data!A:A,'32'!$A$2,Data!DG:DG),0)</f>
        <v>15572</v>
      </c>
      <c r="E48" s="17">
        <f>IF($F$3="1",SUMIF(Data!$A:$A,$A$2,Data!JA:JA),0)</f>
        <v>6434</v>
      </c>
      <c r="F48" s="21">
        <f t="shared" si="3"/>
        <v>0.41</v>
      </c>
    </row>
    <row r="49" spans="1:6" ht="14.25" customHeight="1" x14ac:dyDescent="0.2">
      <c r="A49" s="19">
        <v>14</v>
      </c>
      <c r="B49" s="177" t="s">
        <v>464</v>
      </c>
      <c r="C49" s="178"/>
      <c r="D49" s="14">
        <f>IF(F3="1",SUMIF(Data!A:A,'32'!$A$2,Data!DH:DH),0)</f>
        <v>82474</v>
      </c>
      <c r="E49" s="17">
        <f>IF($F$3="1",SUMIF(Data!$A:$A,$A$2,Data!JB:JB),0)</f>
        <v>134625</v>
      </c>
      <c r="F49" s="21">
        <f t="shared" si="3"/>
        <v>1.63</v>
      </c>
    </row>
    <row r="50" spans="1:6" x14ac:dyDescent="0.2">
      <c r="A50" s="19">
        <v>15</v>
      </c>
      <c r="B50" s="177" t="s">
        <v>13</v>
      </c>
      <c r="C50" s="178"/>
      <c r="D50" s="14">
        <f>IF(F3="1",SUMIF(Data!A:A,'32'!$A$2,Data!DI:DI),0)</f>
        <v>0</v>
      </c>
      <c r="E50" s="17">
        <f>IF($F$3="1",SUMIF(Data!$A:$A,$A$2,Data!JC:JC),0)</f>
        <v>0</v>
      </c>
      <c r="F50" s="21" t="str">
        <f t="shared" si="3"/>
        <v/>
      </c>
    </row>
    <row r="51" spans="1:6" x14ac:dyDescent="0.2">
      <c r="A51" s="19">
        <v>16</v>
      </c>
      <c r="B51" s="177" t="s">
        <v>14</v>
      </c>
      <c r="C51" s="178"/>
      <c r="D51" s="14">
        <f>IF(F3="1",SUMIF(Data!A:A,'32'!$A$2,Data!DJ:DJ),0)</f>
        <v>153440</v>
      </c>
      <c r="E51" s="17">
        <f>IF($F$3="1",SUMIF(Data!$A:$A,$A$2,Data!JD:JD),0)</f>
        <v>72156</v>
      </c>
      <c r="F51" s="21">
        <f t="shared" si="3"/>
        <v>0.47</v>
      </c>
    </row>
    <row r="52" spans="1:6" x14ac:dyDescent="0.2">
      <c r="A52" s="19">
        <v>17</v>
      </c>
      <c r="B52" s="177" t="s">
        <v>15</v>
      </c>
      <c r="C52" s="178"/>
      <c r="D52" s="14">
        <f>IF(F3="1",SUMIF(Data!A:A,'32'!$A$2,Data!DK:DK),0)</f>
        <v>29728</v>
      </c>
      <c r="E52" s="17">
        <f>IF($F$3="1",SUMIF(Data!$A:$A,$A$2,Data!JE:JE),0)</f>
        <v>11438</v>
      </c>
      <c r="F52" s="21">
        <f t="shared" si="3"/>
        <v>0.38</v>
      </c>
    </row>
    <row r="53" spans="1:6" x14ac:dyDescent="0.2">
      <c r="A53" s="19">
        <v>18</v>
      </c>
      <c r="B53" s="177" t="s">
        <v>16</v>
      </c>
      <c r="C53" s="178"/>
      <c r="D53" s="14">
        <f>IF(F3="1",SUMIF(Data!A:A,'32'!$A$2,Data!DL:DL),0)</f>
        <v>77339</v>
      </c>
      <c r="E53" s="17">
        <f>IF($F$3="1",SUMIF(Data!$A:$A,$A$2,Data!JF:JF),0)</f>
        <v>56358</v>
      </c>
      <c r="F53" s="21">
        <f t="shared" si="3"/>
        <v>0.73</v>
      </c>
    </row>
    <row r="54" spans="1:6" x14ac:dyDescent="0.2">
      <c r="A54" s="19">
        <v>19</v>
      </c>
      <c r="B54" s="177" t="s">
        <v>17</v>
      </c>
      <c r="C54" s="178"/>
      <c r="D54" s="14">
        <f>IF(F3="1",SUMIF(Data!A:A,'32'!$A$2,Data!DM:DM),0)</f>
        <v>201120</v>
      </c>
      <c r="E54" s="17">
        <f>IF($F$3="1",SUMIF(Data!$A:$A,$A$2,Data!JG:JG),0)</f>
        <v>41013</v>
      </c>
      <c r="F54" s="21">
        <f t="shared" si="3"/>
        <v>0.2</v>
      </c>
    </row>
    <row r="55" spans="1:6" x14ac:dyDescent="0.2">
      <c r="A55" s="19">
        <v>20</v>
      </c>
      <c r="B55" s="177" t="s">
        <v>18</v>
      </c>
      <c r="C55" s="178"/>
      <c r="D55" s="14">
        <f>IF(F3="1",SUMIF(Data!A:A,'32'!$A$2,Data!DN:DN),0)</f>
        <v>34368</v>
      </c>
      <c r="E55" s="17">
        <f>IF($F$3="1",SUMIF(Data!$A:$A,$A$2,Data!JH:JH),0)</f>
        <v>19276</v>
      </c>
      <c r="F55" s="21">
        <f t="shared" si="3"/>
        <v>0.56000000000000005</v>
      </c>
    </row>
    <row r="56" spans="1:6" ht="14.25" customHeight="1" x14ac:dyDescent="0.2">
      <c r="A56" s="19">
        <v>21</v>
      </c>
      <c r="B56" s="177" t="s">
        <v>461</v>
      </c>
      <c r="C56" s="178"/>
      <c r="D56" s="14">
        <f>IF(F3="1",SUMIF(Data!A:A,'32'!$A$2,Data!DO:DO),0)</f>
        <v>42814</v>
      </c>
      <c r="E56" s="17">
        <f>IF($F$3="1",SUMIF(Data!$A:$A,$A$2,Data!JI:JI),0)</f>
        <v>327807</v>
      </c>
      <c r="F56" s="21">
        <f t="shared" si="3"/>
        <v>7.66</v>
      </c>
    </row>
    <row r="57" spans="1:6" x14ac:dyDescent="0.2">
      <c r="A57" s="19">
        <v>22</v>
      </c>
      <c r="B57" s="177" t="s">
        <v>19</v>
      </c>
      <c r="C57" s="178"/>
      <c r="D57" s="14">
        <f>IF(F3="1",SUMIF(Data!A:A,'32'!$A$2,Data!DP:DP),0)</f>
        <v>11278</v>
      </c>
      <c r="E57" s="17">
        <f>IF($F$3="1",SUMIF(Data!$A:$A,$A$2,Data!JJ:JJ),0)</f>
        <v>5585</v>
      </c>
      <c r="F57" s="21">
        <f t="shared" si="3"/>
        <v>0.5</v>
      </c>
    </row>
    <row r="58" spans="1:6" x14ac:dyDescent="0.2">
      <c r="A58" s="19">
        <v>23</v>
      </c>
      <c r="B58" s="177" t="s">
        <v>20</v>
      </c>
      <c r="C58" s="178"/>
      <c r="D58" s="14">
        <f>IF(F3="1",SUMIF(Data!A:A,'32'!$A$2,Data!DQ:DQ),0)</f>
        <v>113056</v>
      </c>
      <c r="E58" s="17">
        <f>IF($F$3="1",SUMIF(Data!$A:$A,$A$2,Data!JK:JK),0)</f>
        <v>54061</v>
      </c>
      <c r="F58" s="21">
        <f t="shared" si="3"/>
        <v>0.48</v>
      </c>
    </row>
    <row r="59" spans="1:6" x14ac:dyDescent="0.2">
      <c r="A59" s="19">
        <v>24</v>
      </c>
      <c r="B59" s="177" t="s">
        <v>21</v>
      </c>
      <c r="C59" s="178"/>
      <c r="D59" s="14">
        <f>IF(F3="1",SUMIF(Data!A:A,'32'!$A$2,Data!DR:DR),0)</f>
        <v>98773</v>
      </c>
      <c r="E59" s="17">
        <f>IF($F$3="1",SUMIF(Data!$A:$A,$A$2,Data!JL:JL),0)</f>
        <v>102658</v>
      </c>
      <c r="F59" s="21">
        <f t="shared" si="3"/>
        <v>1.04</v>
      </c>
    </row>
    <row r="60" spans="1:6" x14ac:dyDescent="0.2">
      <c r="A60" s="19">
        <v>25</v>
      </c>
      <c r="B60" s="177" t="s">
        <v>22</v>
      </c>
      <c r="C60" s="178"/>
      <c r="D60" s="14">
        <f>IF(F3="1",SUMIF(Data!A:A,'32'!$A$2,Data!DS:DS),0)</f>
        <v>267038</v>
      </c>
      <c r="E60" s="17">
        <f>IF($F$3="1",SUMIF(Data!$A:$A,$A$2,Data!JM:JM),0)</f>
        <v>34300</v>
      </c>
      <c r="F60" s="21">
        <f t="shared" si="3"/>
        <v>0.13</v>
      </c>
    </row>
    <row r="61" spans="1:6" x14ac:dyDescent="0.2">
      <c r="A61" s="19">
        <v>26</v>
      </c>
      <c r="B61" s="177" t="s">
        <v>23</v>
      </c>
      <c r="C61" s="178"/>
      <c r="D61" s="14">
        <f>IF(F3="1",SUMIF(Data!A:A,'32'!$A$2,Data!DT:DT),0)</f>
        <v>74297</v>
      </c>
      <c r="E61" s="17">
        <f>IF($F$3="1",SUMIF(Data!$A:$A,$A$2,Data!JN:JN),0)</f>
        <v>91122</v>
      </c>
      <c r="F61" s="21">
        <f t="shared" si="3"/>
        <v>1.23</v>
      </c>
    </row>
    <row r="62" spans="1:6" x14ac:dyDescent="0.2">
      <c r="A62" s="19">
        <v>28</v>
      </c>
      <c r="B62" s="177" t="s">
        <v>24</v>
      </c>
      <c r="C62" s="178"/>
      <c r="D62" s="14">
        <f>IF(F3="1",SUMIF(Data!A:A,'32'!$A$2,Data!DV:DV),0)</f>
        <v>0</v>
      </c>
      <c r="E62" s="17">
        <f>IF($F$3="1",SUMIF(Data!$A:$A,$A$2,Data!JP:JP),0)</f>
        <v>0</v>
      </c>
      <c r="F62" s="21" t="str">
        <f t="shared" si="3"/>
        <v/>
      </c>
    </row>
    <row r="63" spans="1:6" ht="15.75" customHeight="1" thickBot="1" x14ac:dyDescent="0.25">
      <c r="A63" s="22">
        <v>29</v>
      </c>
      <c r="B63" s="179" t="s">
        <v>25</v>
      </c>
      <c r="C63" s="180"/>
      <c r="D63" s="23">
        <f>IF(F3="1",SUMIF(Data!A:A,'32'!$A$2,Data!DW:DW),0)</f>
        <v>0</v>
      </c>
      <c r="E63" s="24">
        <f>IF($F$3="1",SUMIF(Data!$A:$A,$A$2,Data!JQ:JQ),0)</f>
        <v>0</v>
      </c>
      <c r="F63" s="25" t="str">
        <f t="shared" si="3"/>
        <v/>
      </c>
    </row>
    <row r="64" spans="1:6" x14ac:dyDescent="0.2">
      <c r="B64" s="30" t="s">
        <v>35</v>
      </c>
      <c r="C64" s="30"/>
      <c r="D64" s="59">
        <f>SUM(D36:D63)</f>
        <v>2268366</v>
      </c>
      <c r="E64" s="31">
        <f>SUM(E36:E63)</f>
        <v>1586669</v>
      </c>
      <c r="F64" s="32">
        <f t="shared" si="3"/>
        <v>0.7</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5936</v>
      </c>
      <c r="E67" s="15">
        <f>IF(F3="1",SUMIF(Data!A:A,'32'!$A$2,Data!DY:DY),0)</f>
        <v>13970</v>
      </c>
      <c r="F67" s="20">
        <f t="shared" ref="F67:F95" si="4">IF(OR(D67=0,E67=0),"",ROUND(E67/D67,2))</f>
        <v>2.35</v>
      </c>
    </row>
    <row r="68" spans="1:6" x14ac:dyDescent="0.2">
      <c r="A68" s="19">
        <v>2</v>
      </c>
      <c r="B68" s="177" t="s">
        <v>1</v>
      </c>
      <c r="C68" s="178"/>
      <c r="D68" s="14">
        <f t="shared" ref="D68:D94" si="5">D37</f>
        <v>48498</v>
      </c>
      <c r="E68" s="17">
        <f>IF(F3="1",SUMIF(Data!A:A,'32'!$A$2,Data!DZ:DZ),0)</f>
        <v>128786</v>
      </c>
      <c r="F68" s="21">
        <f t="shared" si="4"/>
        <v>2.66</v>
      </c>
    </row>
    <row r="69" spans="1:6" ht="14.25" customHeight="1" x14ac:dyDescent="0.2">
      <c r="A69" s="19">
        <v>3</v>
      </c>
      <c r="B69" s="177" t="s">
        <v>2</v>
      </c>
      <c r="C69" s="178"/>
      <c r="D69" s="14">
        <f t="shared" si="5"/>
        <v>175344</v>
      </c>
      <c r="E69" s="17">
        <f>IF(F3="1",SUMIF(Data!A:A,'32'!$A$2,Data!EA:EA),0)</f>
        <v>414403</v>
      </c>
      <c r="F69" s="21">
        <f t="shared" si="4"/>
        <v>2.36</v>
      </c>
    </row>
    <row r="70" spans="1:6" ht="14.25" customHeight="1" x14ac:dyDescent="0.2">
      <c r="A70" s="19">
        <v>4</v>
      </c>
      <c r="B70" s="177" t="s">
        <v>3</v>
      </c>
      <c r="C70" s="178"/>
      <c r="D70" s="14">
        <f t="shared" si="5"/>
        <v>113278</v>
      </c>
      <c r="E70" s="17">
        <f>IF(F3="1",SUMIF(Data!A:A,'32'!$A$2,Data!EB:EB),0)</f>
        <v>369409</v>
      </c>
      <c r="F70" s="21">
        <f t="shared" si="4"/>
        <v>3.26</v>
      </c>
    </row>
    <row r="71" spans="1:6" x14ac:dyDescent="0.2">
      <c r="A71" s="19">
        <v>5</v>
      </c>
      <c r="B71" s="177" t="s">
        <v>4</v>
      </c>
      <c r="C71" s="178"/>
      <c r="D71" s="14">
        <f t="shared" si="5"/>
        <v>0</v>
      </c>
      <c r="E71" s="17">
        <f>IF(F3="1",SUMIF(Data!A:A,'32'!$A$2,Data!EC:EC),0)</f>
        <v>0</v>
      </c>
      <c r="F71" s="21" t="str">
        <f t="shared" si="4"/>
        <v/>
      </c>
    </row>
    <row r="72" spans="1:6" x14ac:dyDescent="0.2">
      <c r="A72" s="19">
        <v>6</v>
      </c>
      <c r="B72" s="177" t="s">
        <v>5</v>
      </c>
      <c r="C72" s="178"/>
      <c r="D72" s="14">
        <f t="shared" si="5"/>
        <v>2952</v>
      </c>
      <c r="E72" s="17">
        <f>IF(F3="1",SUMIF(Data!A:A,'32'!$A$2,Data!ED:ED),0)</f>
        <v>6698</v>
      </c>
      <c r="F72" s="21">
        <f t="shared" si="4"/>
        <v>2.27</v>
      </c>
    </row>
    <row r="73" spans="1:6" x14ac:dyDescent="0.2">
      <c r="A73" s="19">
        <v>7</v>
      </c>
      <c r="B73" s="177" t="s">
        <v>6</v>
      </c>
      <c r="C73" s="178"/>
      <c r="D73" s="14">
        <f t="shared" si="5"/>
        <v>93639</v>
      </c>
      <c r="E73" s="17">
        <f>IF(F3="1",SUMIF(Data!A:A,'32'!$A$2,Data!EE:EE),0)</f>
        <v>224427</v>
      </c>
      <c r="F73" s="21">
        <f t="shared" si="4"/>
        <v>2.4</v>
      </c>
    </row>
    <row r="74" spans="1:6" x14ac:dyDescent="0.2">
      <c r="A74" s="19">
        <v>8</v>
      </c>
      <c r="B74" s="177" t="s">
        <v>7</v>
      </c>
      <c r="C74" s="178"/>
      <c r="D74" s="14">
        <f t="shared" si="5"/>
        <v>8496</v>
      </c>
      <c r="E74" s="17">
        <f>IF(F3="1",SUMIF(Data!A:A,'32'!$A$2,Data!EF:EF),0)</f>
        <v>11329</v>
      </c>
      <c r="F74" s="21">
        <f t="shared" si="4"/>
        <v>1.33</v>
      </c>
    </row>
    <row r="75" spans="1:6" x14ac:dyDescent="0.2">
      <c r="A75" s="19">
        <v>9</v>
      </c>
      <c r="B75" s="177" t="s">
        <v>8</v>
      </c>
      <c r="C75" s="178"/>
      <c r="D75" s="14">
        <f t="shared" si="5"/>
        <v>187410</v>
      </c>
      <c r="E75" s="17">
        <f>IF(F3="1",SUMIF(Data!A:A,'32'!$A$2,Data!EG:EG),0)</f>
        <v>435757</v>
      </c>
      <c r="F75" s="21">
        <f t="shared" si="4"/>
        <v>2.33</v>
      </c>
    </row>
    <row r="76" spans="1:6" x14ac:dyDescent="0.2">
      <c r="A76" s="19">
        <v>10</v>
      </c>
      <c r="B76" s="177" t="s">
        <v>9</v>
      </c>
      <c r="C76" s="178"/>
      <c r="D76" s="14">
        <f t="shared" si="5"/>
        <v>0</v>
      </c>
      <c r="E76" s="17">
        <f>IF(F3="1",SUMIF(Data!A:A,'32'!$A$2,Data!EH:EH),0)</f>
        <v>0</v>
      </c>
      <c r="F76" s="21" t="str">
        <f t="shared" si="4"/>
        <v/>
      </c>
    </row>
    <row r="77" spans="1:6" x14ac:dyDescent="0.2">
      <c r="A77" s="19">
        <v>11</v>
      </c>
      <c r="B77" s="177" t="s">
        <v>10</v>
      </c>
      <c r="C77" s="178"/>
      <c r="D77" s="14">
        <f t="shared" si="5"/>
        <v>73893</v>
      </c>
      <c r="E77" s="17">
        <f>IF(F3="1",SUMIF(Data!A:A,'32'!$A$2,Data!EI:EI),0)</f>
        <v>256035</v>
      </c>
      <c r="F77" s="21">
        <f t="shared" si="4"/>
        <v>3.46</v>
      </c>
    </row>
    <row r="78" spans="1:6" ht="14.25" customHeight="1" x14ac:dyDescent="0.2">
      <c r="A78" s="19">
        <v>12</v>
      </c>
      <c r="B78" s="177" t="s">
        <v>11</v>
      </c>
      <c r="C78" s="178"/>
      <c r="D78" s="14">
        <f t="shared" si="5"/>
        <v>357623</v>
      </c>
      <c r="E78" s="17">
        <f>IF(F3="1",SUMIF(Data!A:A,'32'!$A$2,Data!EJ:EJ),0)</f>
        <v>931264</v>
      </c>
      <c r="F78" s="21">
        <f t="shared" si="4"/>
        <v>2.6</v>
      </c>
    </row>
    <row r="79" spans="1:6" x14ac:dyDescent="0.2">
      <c r="A79" s="19">
        <v>13</v>
      </c>
      <c r="B79" s="177" t="s">
        <v>12</v>
      </c>
      <c r="C79" s="178"/>
      <c r="D79" s="14">
        <f t="shared" si="5"/>
        <v>15572</v>
      </c>
      <c r="E79" s="17">
        <f>IF(F3="1",SUMIF(Data!A:A,'32'!$A$2,Data!EK:EK),0)</f>
        <v>56125</v>
      </c>
      <c r="F79" s="21">
        <f t="shared" si="4"/>
        <v>3.6</v>
      </c>
    </row>
    <row r="80" spans="1:6" ht="14.25" customHeight="1" x14ac:dyDescent="0.2">
      <c r="A80" s="19">
        <v>14</v>
      </c>
      <c r="B80" s="177" t="s">
        <v>464</v>
      </c>
      <c r="C80" s="178"/>
      <c r="D80" s="14">
        <f t="shared" si="5"/>
        <v>82474</v>
      </c>
      <c r="E80" s="17">
        <f>IF(F3="1",SUMIF(Data!A:A,'32'!$A$2,Data!EL:EL),0)</f>
        <v>521289</v>
      </c>
      <c r="F80" s="21">
        <f t="shared" si="4"/>
        <v>6.32</v>
      </c>
    </row>
    <row r="81" spans="1:6" x14ac:dyDescent="0.2">
      <c r="A81" s="19">
        <v>15</v>
      </c>
      <c r="B81" s="177" t="s">
        <v>13</v>
      </c>
      <c r="C81" s="178"/>
      <c r="D81" s="14">
        <f t="shared" si="5"/>
        <v>0</v>
      </c>
      <c r="E81" s="17">
        <f>IF(F3="1",SUMIF(Data!A:A,'32'!$A$2,Data!EM:EM),0)</f>
        <v>0</v>
      </c>
      <c r="F81" s="21" t="str">
        <f t="shared" si="4"/>
        <v/>
      </c>
    </row>
    <row r="82" spans="1:6" x14ac:dyDescent="0.2">
      <c r="A82" s="19">
        <v>16</v>
      </c>
      <c r="B82" s="177" t="s">
        <v>14</v>
      </c>
      <c r="C82" s="178"/>
      <c r="D82" s="14">
        <f t="shared" si="5"/>
        <v>153440</v>
      </c>
      <c r="E82" s="17">
        <f>IF(F3="1",SUMIF(Data!A:A,'32'!$A$2,Data!EN:EN),0)</f>
        <v>575113</v>
      </c>
      <c r="F82" s="21">
        <f t="shared" si="4"/>
        <v>3.75</v>
      </c>
    </row>
    <row r="83" spans="1:6" x14ac:dyDescent="0.2">
      <c r="A83" s="19">
        <v>17</v>
      </c>
      <c r="B83" s="177" t="s">
        <v>15</v>
      </c>
      <c r="C83" s="178"/>
      <c r="D83" s="14">
        <f t="shared" si="5"/>
        <v>29728</v>
      </c>
      <c r="E83" s="17">
        <f>IF(F3="1",SUMIF(Data!A:A,'32'!$A$2,Data!EO:EO),0)</f>
        <v>134345</v>
      </c>
      <c r="F83" s="21">
        <f t="shared" si="4"/>
        <v>4.5199999999999996</v>
      </c>
    </row>
    <row r="84" spans="1:6" x14ac:dyDescent="0.2">
      <c r="A84" s="19">
        <v>18</v>
      </c>
      <c r="B84" s="177" t="s">
        <v>16</v>
      </c>
      <c r="C84" s="178"/>
      <c r="D84" s="14">
        <f t="shared" si="5"/>
        <v>77339</v>
      </c>
      <c r="E84" s="17">
        <f>IF(F3="1",SUMIF(Data!A:A,'32'!$A$2,Data!EP:EP),0)</f>
        <v>201860</v>
      </c>
      <c r="F84" s="21">
        <f t="shared" si="4"/>
        <v>2.61</v>
      </c>
    </row>
    <row r="85" spans="1:6" x14ac:dyDescent="0.2">
      <c r="A85" s="19">
        <v>19</v>
      </c>
      <c r="B85" s="177" t="s">
        <v>17</v>
      </c>
      <c r="C85" s="178"/>
      <c r="D85" s="14">
        <f t="shared" si="5"/>
        <v>201120</v>
      </c>
      <c r="E85" s="17">
        <f>IF(F3="1",SUMIF(Data!A:A,'32'!$A$2,Data!EQ:EQ),0)</f>
        <v>481496</v>
      </c>
      <c r="F85" s="21">
        <f t="shared" si="4"/>
        <v>2.39</v>
      </c>
    </row>
    <row r="86" spans="1:6" x14ac:dyDescent="0.2">
      <c r="A86" s="19">
        <v>20</v>
      </c>
      <c r="B86" s="177" t="s">
        <v>18</v>
      </c>
      <c r="C86" s="178"/>
      <c r="D86" s="14">
        <f t="shared" si="5"/>
        <v>34368</v>
      </c>
      <c r="E86" s="17">
        <f>IF(F3="1",SUMIF(Data!A:A,'32'!$A$2,Data!ER:ER),0)</f>
        <v>67313</v>
      </c>
      <c r="F86" s="21">
        <f t="shared" si="4"/>
        <v>1.96</v>
      </c>
    </row>
    <row r="87" spans="1:6" ht="14.25" customHeight="1" x14ac:dyDescent="0.2">
      <c r="A87" s="19">
        <v>21</v>
      </c>
      <c r="B87" s="177" t="s">
        <v>461</v>
      </c>
      <c r="C87" s="178"/>
      <c r="D87" s="14">
        <f t="shared" si="5"/>
        <v>42814</v>
      </c>
      <c r="E87" s="17">
        <f>IF(F3="1",SUMIF(Data!A:A,'32'!$A$2,Data!ES:ES),0)</f>
        <v>67272</v>
      </c>
      <c r="F87" s="21">
        <f t="shared" si="4"/>
        <v>1.57</v>
      </c>
    </row>
    <row r="88" spans="1:6" x14ac:dyDescent="0.2">
      <c r="A88" s="19">
        <v>22</v>
      </c>
      <c r="B88" s="177" t="s">
        <v>19</v>
      </c>
      <c r="C88" s="178"/>
      <c r="D88" s="14">
        <f t="shared" si="5"/>
        <v>11278</v>
      </c>
      <c r="E88" s="17">
        <f>IF(F3="1",SUMIF(Data!A:A,'32'!$A$2,Data!ET:ET),0)</f>
        <v>22701</v>
      </c>
      <c r="F88" s="21">
        <f t="shared" si="4"/>
        <v>2.0099999999999998</v>
      </c>
    </row>
    <row r="89" spans="1:6" x14ac:dyDescent="0.2">
      <c r="A89" s="19">
        <v>23</v>
      </c>
      <c r="B89" s="177" t="s">
        <v>20</v>
      </c>
      <c r="C89" s="178"/>
      <c r="D89" s="14">
        <f t="shared" si="5"/>
        <v>113056</v>
      </c>
      <c r="E89" s="17">
        <f>IF(F3="1",SUMIF(Data!A:A,'32'!$A$2,Data!EU:EU),0)</f>
        <v>285008</v>
      </c>
      <c r="F89" s="21">
        <f t="shared" si="4"/>
        <v>2.52</v>
      </c>
    </row>
    <row r="90" spans="1:6" x14ac:dyDescent="0.2">
      <c r="A90" s="19">
        <v>24</v>
      </c>
      <c r="B90" s="177" t="s">
        <v>21</v>
      </c>
      <c r="C90" s="178"/>
      <c r="D90" s="14">
        <f t="shared" si="5"/>
        <v>98773</v>
      </c>
      <c r="E90" s="17">
        <f>IF(F3="1",SUMIF(Data!A:A,'32'!$A$2,Data!EV:EV),0)</f>
        <v>331960</v>
      </c>
      <c r="F90" s="21">
        <f t="shared" si="4"/>
        <v>3.36</v>
      </c>
    </row>
    <row r="91" spans="1:6" x14ac:dyDescent="0.2">
      <c r="A91" s="19">
        <v>25</v>
      </c>
      <c r="B91" s="177" t="s">
        <v>22</v>
      </c>
      <c r="C91" s="178"/>
      <c r="D91" s="14">
        <f t="shared" si="5"/>
        <v>267038</v>
      </c>
      <c r="E91" s="17">
        <f>IF(F3="1",SUMIF(Data!A:A,'32'!$A$2,Data!EW:EW),0)</f>
        <v>694308</v>
      </c>
      <c r="F91" s="21">
        <f t="shared" si="4"/>
        <v>2.6</v>
      </c>
    </row>
    <row r="92" spans="1:6" x14ac:dyDescent="0.2">
      <c r="A92" s="19">
        <v>26</v>
      </c>
      <c r="B92" s="177" t="s">
        <v>23</v>
      </c>
      <c r="C92" s="178"/>
      <c r="D92" s="14">
        <f t="shared" si="5"/>
        <v>74297</v>
      </c>
      <c r="E92" s="17">
        <f>IF(F3="1",SUMIF(Data!A:A,'32'!$A$2,Data!EX:EX),0)</f>
        <v>385871</v>
      </c>
      <c r="F92" s="21">
        <f t="shared" si="4"/>
        <v>5.19</v>
      </c>
    </row>
    <row r="93" spans="1:6" x14ac:dyDescent="0.2">
      <c r="A93" s="19">
        <v>28</v>
      </c>
      <c r="B93" s="177" t="s">
        <v>24</v>
      </c>
      <c r="C93" s="178"/>
      <c r="D93" s="14">
        <f t="shared" si="5"/>
        <v>0</v>
      </c>
      <c r="E93" s="17">
        <f>IF(F3="1",SUMIF(Data!A:A,'32'!$A$2,Data!EZ:EZ),0)</f>
        <v>0</v>
      </c>
      <c r="F93" s="21" t="str">
        <f t="shared" si="4"/>
        <v/>
      </c>
    </row>
    <row r="94" spans="1:6" ht="15.75" customHeight="1" thickBot="1" x14ac:dyDescent="0.25">
      <c r="A94" s="22">
        <v>29</v>
      </c>
      <c r="B94" s="179" t="s">
        <v>25</v>
      </c>
      <c r="C94" s="180"/>
      <c r="D94" s="23">
        <f t="shared" si="5"/>
        <v>0</v>
      </c>
      <c r="E94" s="24">
        <f>IF(F3="1",SUMIF(Data!A:A,'32'!$A$2,Data!FA:FA),0)</f>
        <v>0</v>
      </c>
      <c r="F94" s="25" t="str">
        <f t="shared" si="4"/>
        <v/>
      </c>
    </row>
    <row r="95" spans="1:6" x14ac:dyDescent="0.2">
      <c r="B95" s="30" t="s">
        <v>35</v>
      </c>
      <c r="C95" s="30"/>
      <c r="D95" s="59">
        <f>SUM(D67:D94)</f>
        <v>2268366</v>
      </c>
      <c r="E95" s="31">
        <f>SUM(E67:E94)</f>
        <v>6616739</v>
      </c>
      <c r="F95" s="32">
        <f t="shared" si="4"/>
        <v>2.92</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IF(F3="1",SUMIF(Data!A:A,'32'!$A$2,Data!AH:AH),0)</f>
        <v>2448747</v>
      </c>
      <c r="F98" s="20">
        <f>IF(OR(E98=0,E98=0),"",ROUND(E98/$D$105,2))</f>
        <v>1.08</v>
      </c>
    </row>
    <row r="99" spans="2:6" x14ac:dyDescent="0.2">
      <c r="B99" s="183" t="s">
        <v>31</v>
      </c>
      <c r="C99" s="184"/>
      <c r="D99" s="36"/>
      <c r="E99" s="17">
        <f>IF(F3="1",SUMIF(Data!A:A,'32'!$A$2,Data!AI:AI),0)</f>
        <v>1554606</v>
      </c>
      <c r="F99" s="21">
        <f t="shared" ref="F99:F104" si="6">IF(OR(E99=0,E99=0),"",ROUND(E99/$D$105,2))</f>
        <v>0.69</v>
      </c>
    </row>
    <row r="100" spans="2:6" x14ac:dyDescent="0.2">
      <c r="B100" s="183" t="s">
        <v>1078</v>
      </c>
      <c r="C100" s="184"/>
      <c r="D100" s="36"/>
      <c r="E100" s="17">
        <f>IF(F3="1",SUMIF(Data!A:A,'32'!$A$2,Data!AJ:AJ),0)</f>
        <v>507371</v>
      </c>
      <c r="F100" s="21">
        <f t="shared" si="6"/>
        <v>0.22</v>
      </c>
    </row>
    <row r="101" spans="2:6" x14ac:dyDescent="0.2">
      <c r="B101" s="183" t="s">
        <v>1079</v>
      </c>
      <c r="C101" s="184"/>
      <c r="D101" s="36"/>
      <c r="E101" s="17">
        <f>IF(F3="1",SUMIF(Data!A:A,'32'!$A$2,Data!AK:AK),0)</f>
        <v>1238141</v>
      </c>
      <c r="F101" s="21">
        <f t="shared" si="6"/>
        <v>0.55000000000000004</v>
      </c>
    </row>
    <row r="102" spans="2:6" x14ac:dyDescent="0.2">
      <c r="B102" s="183" t="s">
        <v>1080</v>
      </c>
      <c r="C102" s="184"/>
      <c r="D102" s="36"/>
      <c r="E102" s="17">
        <f>IF(F3="1",SUMIF(Data!A:A,'32'!$A$2,Data!AL:AL),0)</f>
        <v>377552</v>
      </c>
      <c r="F102" s="21">
        <f t="shared" si="6"/>
        <v>0.17</v>
      </c>
    </row>
    <row r="103" spans="2:6" x14ac:dyDescent="0.2">
      <c r="B103" s="185" t="s">
        <v>34</v>
      </c>
      <c r="C103" s="186"/>
      <c r="D103" s="36"/>
      <c r="E103" s="17">
        <f>IF(F3="1",SUMIF(Data!A:A,'32'!$A$2,Data!AM:AM),0)</f>
        <v>0</v>
      </c>
      <c r="F103" s="21" t="str">
        <f t="shared" si="6"/>
        <v/>
      </c>
    </row>
    <row r="104" spans="2:6" ht="15.75" customHeight="1" thickBot="1" x14ac:dyDescent="0.25">
      <c r="B104" s="175" t="s">
        <v>29</v>
      </c>
      <c r="C104" s="176"/>
      <c r="D104" s="37"/>
      <c r="E104" s="24">
        <f>IF(F3="1",SUMIF(Data!A:A,'32'!$A$2,Data!Q:Q),0)</f>
        <v>1162456</v>
      </c>
      <c r="F104" s="25">
        <f t="shared" si="6"/>
        <v>0.51</v>
      </c>
    </row>
    <row r="105" spans="2:6" x14ac:dyDescent="0.2">
      <c r="B105" s="30" t="s">
        <v>35</v>
      </c>
      <c r="C105" s="30"/>
      <c r="D105" s="34">
        <f>D95</f>
        <v>2268366</v>
      </c>
      <c r="E105" s="31">
        <f>SUM(E98:E104)</f>
        <v>7288873</v>
      </c>
      <c r="F105" s="32">
        <f>IF($D$105=0,"",ROUND(E105/$D$105,2))</f>
        <v>3.21</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6616739</v>
      </c>
      <c r="D109" s="15">
        <f>IF(F3="1",SUMIF(Data!$A:$A,$A$2,Data!HJ:HJ),0)</f>
        <v>0</v>
      </c>
      <c r="E109" s="15">
        <f>IF(F3="1",SUMIF(Data!$A:$A,$A$2,Data!IN:IN),0)</f>
        <v>0</v>
      </c>
      <c r="F109" s="47">
        <f>SUM(C109:E109)</f>
        <v>6616739</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377552</v>
      </c>
      <c r="F116" s="48">
        <f t="shared" si="7"/>
        <v>377552</v>
      </c>
    </row>
    <row r="117" spans="1:6" ht="15" thickBot="1" x14ac:dyDescent="0.25">
      <c r="B117" s="43" t="s">
        <v>933</v>
      </c>
      <c r="C117" s="52"/>
      <c r="D117" s="52">
        <f>IF(F3="1",SUMIF(Data!A:A,$A$2,Data!Q:Q),0)</f>
        <v>1162456</v>
      </c>
      <c r="E117" s="52"/>
      <c r="F117" s="49">
        <f>SUM(C117:E117)</f>
        <v>1162456</v>
      </c>
    </row>
    <row r="118" spans="1:6" x14ac:dyDescent="0.2">
      <c r="B118" s="13" t="s">
        <v>35</v>
      </c>
      <c r="C118" s="4">
        <f>SUM(C109:C116)</f>
        <v>6616739</v>
      </c>
      <c r="D118" s="4">
        <f>SUM(D109:D116)</f>
        <v>0</v>
      </c>
      <c r="E118" s="4">
        <f>SUM(E109:E116)</f>
        <v>377552</v>
      </c>
      <c r="F118" s="4">
        <f>SUM(F109:F116)</f>
        <v>6994291</v>
      </c>
    </row>
    <row r="119" spans="1:6" ht="15" thickBot="1" x14ac:dyDescent="0.25"/>
    <row r="120" spans="1:6" ht="15" thickBot="1" x14ac:dyDescent="0.25">
      <c r="B120" s="55" t="s">
        <v>934</v>
      </c>
      <c r="C120" s="53"/>
      <c r="D120" s="53"/>
      <c r="E120" s="53">
        <f>IF(F3="1",SUMIF(Data!A:A,'32'!$A$2,Data!AM:AM),0)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388</v>
      </c>
      <c r="B2" s="58" t="str">
        <f>VLOOKUP(A2,Data!A:G,7,0)</f>
        <v>Panola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35528</v>
      </c>
      <c r="E5" s="15">
        <f>E36+E67+IFERROR($E$105/$D$105*D5,0)</f>
        <v>280006.15170394507</v>
      </c>
      <c r="F5" s="20">
        <f>IF(OR(D5=0,E5=0),"",ROUND(E5/D5,2))</f>
        <v>7.88</v>
      </c>
    </row>
    <row r="6" spans="1:6" x14ac:dyDescent="0.2">
      <c r="A6" s="19">
        <v>2</v>
      </c>
      <c r="B6" s="177" t="s">
        <v>1</v>
      </c>
      <c r="C6" s="178"/>
      <c r="D6" s="14">
        <f t="shared" ref="D6:D32" si="0">D37</f>
        <v>17836</v>
      </c>
      <c r="E6" s="17">
        <f t="shared" ref="E6:E32" si="1">E37+E68+IFERROR($E$105/$D$105*D6,0)</f>
        <v>127327.7048466439</v>
      </c>
      <c r="F6" s="21">
        <f t="shared" ref="F6:F33" si="2">IF(OR(D6=0,E6=0),"",ROUND(E6/D6,2))</f>
        <v>7.14</v>
      </c>
    </row>
    <row r="7" spans="1:6" ht="14.25" customHeight="1" x14ac:dyDescent="0.2">
      <c r="A7" s="19">
        <v>3</v>
      </c>
      <c r="B7" s="177" t="s">
        <v>2</v>
      </c>
      <c r="C7" s="178"/>
      <c r="D7" s="14">
        <f t="shared" si="0"/>
        <v>80576</v>
      </c>
      <c r="E7" s="17">
        <f t="shared" si="1"/>
        <v>533174.35936999205</v>
      </c>
      <c r="F7" s="21">
        <f t="shared" si="2"/>
        <v>6.62</v>
      </c>
    </row>
    <row r="8" spans="1:6" ht="14.25" customHeight="1" x14ac:dyDescent="0.2">
      <c r="A8" s="19">
        <v>4</v>
      </c>
      <c r="B8" s="177" t="s">
        <v>3</v>
      </c>
      <c r="C8" s="178"/>
      <c r="D8" s="14">
        <f t="shared" si="0"/>
        <v>37859</v>
      </c>
      <c r="E8" s="17">
        <f t="shared" si="1"/>
        <v>334040.76540643035</v>
      </c>
      <c r="F8" s="21">
        <f t="shared" si="2"/>
        <v>8.82</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4596</v>
      </c>
      <c r="E10" s="17">
        <f t="shared" si="1"/>
        <v>71904.484159855085</v>
      </c>
      <c r="F10" s="21">
        <f t="shared" si="2"/>
        <v>15.65</v>
      </c>
    </row>
    <row r="11" spans="1:6" x14ac:dyDescent="0.2">
      <c r="A11" s="19">
        <v>7</v>
      </c>
      <c r="B11" s="177" t="s">
        <v>6</v>
      </c>
      <c r="C11" s="178"/>
      <c r="D11" s="14">
        <f t="shared" si="0"/>
        <v>61365</v>
      </c>
      <c r="E11" s="17">
        <f t="shared" si="1"/>
        <v>442929.50358344382</v>
      </c>
      <c r="F11" s="21">
        <f t="shared" si="2"/>
        <v>7.22</v>
      </c>
    </row>
    <row r="12" spans="1:6" x14ac:dyDescent="0.2">
      <c r="A12" s="19">
        <v>8</v>
      </c>
      <c r="B12" s="177" t="s">
        <v>7</v>
      </c>
      <c r="C12" s="178"/>
      <c r="D12" s="14">
        <f t="shared" si="0"/>
        <v>0</v>
      </c>
      <c r="E12" s="17">
        <f t="shared" si="1"/>
        <v>0</v>
      </c>
      <c r="F12" s="21" t="str">
        <f t="shared" si="2"/>
        <v/>
      </c>
    </row>
    <row r="13" spans="1:6" x14ac:dyDescent="0.2">
      <c r="A13" s="19">
        <v>9</v>
      </c>
      <c r="B13" s="177" t="s">
        <v>8</v>
      </c>
      <c r="C13" s="178"/>
      <c r="D13" s="14">
        <f t="shared" si="0"/>
        <v>110842</v>
      </c>
      <c r="E13" s="17">
        <f t="shared" si="1"/>
        <v>688893.70871337201</v>
      </c>
      <c r="F13" s="21">
        <f t="shared" si="2"/>
        <v>6.22</v>
      </c>
    </row>
    <row r="14" spans="1:6" x14ac:dyDescent="0.2">
      <c r="A14" s="19">
        <v>10</v>
      </c>
      <c r="B14" s="177" t="s">
        <v>9</v>
      </c>
      <c r="C14" s="178"/>
      <c r="D14" s="14">
        <f t="shared" si="0"/>
        <v>64</v>
      </c>
      <c r="E14" s="17">
        <f t="shared" si="1"/>
        <v>712.11466193009699</v>
      </c>
      <c r="F14" s="21">
        <f t="shared" si="2"/>
        <v>11.13</v>
      </c>
    </row>
    <row r="15" spans="1:6" x14ac:dyDescent="0.2">
      <c r="A15" s="19">
        <v>11</v>
      </c>
      <c r="B15" s="177" t="s">
        <v>10</v>
      </c>
      <c r="C15" s="178"/>
      <c r="D15" s="14">
        <f t="shared" si="0"/>
        <v>608</v>
      </c>
      <c r="E15" s="17">
        <f t="shared" si="1"/>
        <v>2958.0892883359211</v>
      </c>
      <c r="F15" s="21">
        <f t="shared" si="2"/>
        <v>4.87</v>
      </c>
    </row>
    <row r="16" spans="1:6" ht="14.25" customHeight="1" x14ac:dyDescent="0.2">
      <c r="A16" s="19">
        <v>12</v>
      </c>
      <c r="B16" s="177" t="s">
        <v>11</v>
      </c>
      <c r="C16" s="178"/>
      <c r="D16" s="14">
        <f t="shared" si="0"/>
        <v>128394</v>
      </c>
      <c r="E16" s="17">
        <f t="shared" si="1"/>
        <v>732010.15474770113</v>
      </c>
      <c r="F16" s="21">
        <f t="shared" si="2"/>
        <v>5.7</v>
      </c>
    </row>
    <row r="17" spans="1:6" x14ac:dyDescent="0.2">
      <c r="A17" s="19">
        <v>13</v>
      </c>
      <c r="B17" s="177" t="s">
        <v>12</v>
      </c>
      <c r="C17" s="178"/>
      <c r="D17" s="14">
        <f t="shared" si="0"/>
        <v>5298</v>
      </c>
      <c r="E17" s="17">
        <f t="shared" si="1"/>
        <v>56901.116857900837</v>
      </c>
      <c r="F17" s="21">
        <f t="shared" si="2"/>
        <v>10.74</v>
      </c>
    </row>
    <row r="18" spans="1:6" ht="14.25" customHeight="1" x14ac:dyDescent="0.2">
      <c r="A18" s="19">
        <v>14</v>
      </c>
      <c r="B18" s="177" t="s">
        <v>464</v>
      </c>
      <c r="C18" s="178"/>
      <c r="D18" s="14">
        <f t="shared" si="0"/>
        <v>41904</v>
      </c>
      <c r="E18" s="17">
        <f t="shared" si="1"/>
        <v>566407.07489873096</v>
      </c>
      <c r="F18" s="21">
        <f t="shared" si="2"/>
        <v>13.52</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48468</v>
      </c>
      <c r="E20" s="17">
        <f t="shared" si="1"/>
        <v>522232.08491293655</v>
      </c>
      <c r="F20" s="21">
        <f t="shared" si="2"/>
        <v>10.77</v>
      </c>
    </row>
    <row r="21" spans="1:6" x14ac:dyDescent="0.2">
      <c r="A21" s="19">
        <v>17</v>
      </c>
      <c r="B21" s="177" t="s">
        <v>15</v>
      </c>
      <c r="C21" s="178"/>
      <c r="D21" s="14">
        <f t="shared" si="0"/>
        <v>0</v>
      </c>
      <c r="E21" s="17">
        <f t="shared" si="1"/>
        <v>0</v>
      </c>
      <c r="F21" s="21" t="str">
        <f t="shared" si="2"/>
        <v/>
      </c>
    </row>
    <row r="22" spans="1:6" x14ac:dyDescent="0.2">
      <c r="A22" s="19">
        <v>18</v>
      </c>
      <c r="B22" s="177" t="s">
        <v>16</v>
      </c>
      <c r="C22" s="178"/>
      <c r="D22" s="14">
        <f t="shared" si="0"/>
        <v>142944</v>
      </c>
      <c r="E22" s="17">
        <f t="shared" si="1"/>
        <v>889433.09742087161</v>
      </c>
      <c r="F22" s="21">
        <f t="shared" si="2"/>
        <v>6.22</v>
      </c>
    </row>
    <row r="23" spans="1:6" x14ac:dyDescent="0.2">
      <c r="A23" s="19">
        <v>19</v>
      </c>
      <c r="B23" s="177" t="s">
        <v>17</v>
      </c>
      <c r="C23" s="178"/>
      <c r="D23" s="14">
        <f t="shared" si="0"/>
        <v>68832</v>
      </c>
      <c r="E23" s="17">
        <f t="shared" si="1"/>
        <v>459978.31890581932</v>
      </c>
      <c r="F23" s="21">
        <f t="shared" si="2"/>
        <v>6.68</v>
      </c>
    </row>
    <row r="24" spans="1:6" x14ac:dyDescent="0.2">
      <c r="A24" s="19">
        <v>20</v>
      </c>
      <c r="B24" s="177" t="s">
        <v>18</v>
      </c>
      <c r="C24" s="178"/>
      <c r="D24" s="14">
        <f t="shared" si="0"/>
        <v>0</v>
      </c>
      <c r="E24" s="17">
        <f t="shared" si="1"/>
        <v>0</v>
      </c>
      <c r="F24" s="21" t="str">
        <f t="shared" si="2"/>
        <v/>
      </c>
    </row>
    <row r="25" spans="1:6" ht="14.25" customHeight="1" x14ac:dyDescent="0.2">
      <c r="A25" s="19">
        <v>21</v>
      </c>
      <c r="B25" s="177" t="s">
        <v>461</v>
      </c>
      <c r="C25" s="178"/>
      <c r="D25" s="14">
        <f t="shared" si="0"/>
        <v>0</v>
      </c>
      <c r="E25" s="17">
        <f t="shared" si="1"/>
        <v>0</v>
      </c>
      <c r="F25" s="21" t="str">
        <f t="shared" si="2"/>
        <v/>
      </c>
    </row>
    <row r="26" spans="1:6" x14ac:dyDescent="0.2">
      <c r="A26" s="19">
        <v>22</v>
      </c>
      <c r="B26" s="177" t="s">
        <v>19</v>
      </c>
      <c r="C26" s="178"/>
      <c r="D26" s="14">
        <f t="shared" si="0"/>
        <v>0</v>
      </c>
      <c r="E26" s="17">
        <f t="shared" si="1"/>
        <v>0</v>
      </c>
      <c r="F26" s="21" t="str">
        <f t="shared" si="2"/>
        <v/>
      </c>
    </row>
    <row r="27" spans="1:6" x14ac:dyDescent="0.2">
      <c r="A27" s="19">
        <v>23</v>
      </c>
      <c r="B27" s="177" t="s">
        <v>20</v>
      </c>
      <c r="C27" s="178"/>
      <c r="D27" s="14">
        <f t="shared" si="0"/>
        <v>0</v>
      </c>
      <c r="E27" s="17">
        <f t="shared" si="1"/>
        <v>0</v>
      </c>
      <c r="F27" s="21" t="str">
        <f t="shared" si="2"/>
        <v/>
      </c>
    </row>
    <row r="28" spans="1:6" x14ac:dyDescent="0.2">
      <c r="A28" s="19">
        <v>24</v>
      </c>
      <c r="B28" s="177" t="s">
        <v>21</v>
      </c>
      <c r="C28" s="178"/>
      <c r="D28" s="14">
        <f t="shared" si="0"/>
        <v>0</v>
      </c>
      <c r="E28" s="17">
        <f t="shared" si="1"/>
        <v>0</v>
      </c>
      <c r="F28" s="21" t="str">
        <f t="shared" si="2"/>
        <v/>
      </c>
    </row>
    <row r="29" spans="1:6" x14ac:dyDescent="0.2">
      <c r="A29" s="19">
        <v>25</v>
      </c>
      <c r="B29" s="177" t="s">
        <v>22</v>
      </c>
      <c r="C29" s="178"/>
      <c r="D29" s="14">
        <f t="shared" si="0"/>
        <v>125760</v>
      </c>
      <c r="E29" s="17">
        <f t="shared" si="1"/>
        <v>681416.3106926406</v>
      </c>
      <c r="F29" s="21">
        <f t="shared" si="2"/>
        <v>5.42</v>
      </c>
    </row>
    <row r="30" spans="1:6" x14ac:dyDescent="0.2">
      <c r="A30" s="19">
        <v>26</v>
      </c>
      <c r="B30" s="177" t="s">
        <v>23</v>
      </c>
      <c r="C30" s="178"/>
      <c r="D30" s="14">
        <f t="shared" si="0"/>
        <v>56352</v>
      </c>
      <c r="E30" s="17">
        <f t="shared" si="1"/>
        <v>479672.95982945041</v>
      </c>
      <c r="F30" s="21">
        <f t="shared" si="2"/>
        <v>8.51</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967226</v>
      </c>
      <c r="E33" s="31">
        <f>SUM(E5:E32)</f>
        <v>6869997.9999999991</v>
      </c>
      <c r="F33" s="32">
        <f t="shared" si="2"/>
        <v>7.1</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IF(F3="1",SUMIF(Data!A:A,'33'!$A$2,Data!CU:CU),0)</f>
        <v>35528</v>
      </c>
      <c r="E36" s="15">
        <f>IF(F3="1",SUMIF(Data!$A:$A,$A$2,Data!IO:IO),0)</f>
        <v>12191</v>
      </c>
      <c r="F36" s="20">
        <f t="shared" ref="F36:F64" si="3">IF(OR(D36=0,E36=0),"",ROUND(E36/D36,2))</f>
        <v>0.34</v>
      </c>
    </row>
    <row r="37" spans="1:6" x14ac:dyDescent="0.2">
      <c r="A37" s="19">
        <v>2</v>
      </c>
      <c r="B37" s="177" t="s">
        <v>1</v>
      </c>
      <c r="C37" s="178"/>
      <c r="D37" s="14">
        <f>IF(F3="1",SUMIF(Data!A:A,'33'!$A$2,Data!CV:CV),0)</f>
        <v>17836</v>
      </c>
      <c r="E37" s="17">
        <f>IF(F3="1",SUMIF(Data!$A:$A,$A$2,Data!IP:IP),0)</f>
        <v>14812</v>
      </c>
      <c r="F37" s="21">
        <f t="shared" si="3"/>
        <v>0.83</v>
      </c>
    </row>
    <row r="38" spans="1:6" ht="14.25" customHeight="1" x14ac:dyDescent="0.2">
      <c r="A38" s="19">
        <v>3</v>
      </c>
      <c r="B38" s="177" t="s">
        <v>2</v>
      </c>
      <c r="C38" s="178"/>
      <c r="D38" s="14">
        <f>IF(F3="1",SUMIF(Data!A:A,'33'!$A$2,Data!CW:CW),0)</f>
        <v>80576</v>
      </c>
      <c r="E38" s="17">
        <f>IF($F$3="1",SUMIF(Data!$A:$A,$A$2,Data!IQ:IQ),0)</f>
        <v>38444</v>
      </c>
      <c r="F38" s="21">
        <f t="shared" si="3"/>
        <v>0.48</v>
      </c>
    </row>
    <row r="39" spans="1:6" ht="14.25" customHeight="1" x14ac:dyDescent="0.2">
      <c r="A39" s="19">
        <v>4</v>
      </c>
      <c r="B39" s="177" t="s">
        <v>3</v>
      </c>
      <c r="C39" s="178"/>
      <c r="D39" s="14">
        <f>IF(F3="1",SUMIF(Data!A:A,'33'!$A$2,Data!CX:CX),0)</f>
        <v>37859</v>
      </c>
      <c r="E39" s="17">
        <f>IF($F$3="1",SUMIF(Data!$A:$A,$A$2,Data!IR:IR),0)</f>
        <v>40185</v>
      </c>
      <c r="F39" s="21">
        <f t="shared" si="3"/>
        <v>1.06</v>
      </c>
    </row>
    <row r="40" spans="1:6" x14ac:dyDescent="0.2">
      <c r="A40" s="19">
        <v>5</v>
      </c>
      <c r="B40" s="177" t="s">
        <v>4</v>
      </c>
      <c r="C40" s="178"/>
      <c r="D40" s="14">
        <f>IF(F3="1",SUMIF(Data!A:A,'33'!$A$2,Data!CY:CY),0)</f>
        <v>0</v>
      </c>
      <c r="E40" s="17">
        <f>IF($F$3="1",SUMIF(Data!$A:$A,$A$2,Data!IS:IS),0)</f>
        <v>0</v>
      </c>
      <c r="F40" s="21" t="str">
        <f t="shared" si="3"/>
        <v/>
      </c>
    </row>
    <row r="41" spans="1:6" x14ac:dyDescent="0.2">
      <c r="A41" s="19">
        <v>6</v>
      </c>
      <c r="B41" s="177" t="s">
        <v>5</v>
      </c>
      <c r="C41" s="178"/>
      <c r="D41" s="14">
        <f>IF(F3="1",SUMIF(Data!A:A,'33'!$A$2,Data!CZ:CZ),0)</f>
        <v>4596</v>
      </c>
      <c r="E41" s="17">
        <f>IF($F$3="1",SUMIF(Data!$A:$A,$A$2,Data!IT:IT),0)</f>
        <v>7798</v>
      </c>
      <c r="F41" s="21">
        <f t="shared" si="3"/>
        <v>1.7</v>
      </c>
    </row>
    <row r="42" spans="1:6" x14ac:dyDescent="0.2">
      <c r="A42" s="19">
        <v>7</v>
      </c>
      <c r="B42" s="177" t="s">
        <v>6</v>
      </c>
      <c r="C42" s="178"/>
      <c r="D42" s="14">
        <f>IF(F3="1",SUMIF(Data!A:A,'33'!$A$2,Data!DA:DA),0)</f>
        <v>61365</v>
      </c>
      <c r="E42" s="17">
        <f>IF($F$3="1",SUMIF(Data!$A:$A,$A$2,Data!IU:IU),0)</f>
        <v>44016</v>
      </c>
      <c r="F42" s="21">
        <f t="shared" si="3"/>
        <v>0.72</v>
      </c>
    </row>
    <row r="43" spans="1:6" x14ac:dyDescent="0.2">
      <c r="A43" s="19">
        <v>8</v>
      </c>
      <c r="B43" s="177" t="s">
        <v>7</v>
      </c>
      <c r="C43" s="178"/>
      <c r="D43" s="14">
        <f>IF(F3="1",SUMIF(Data!A:A,'33'!$A$2,Data!DB:DB),0)</f>
        <v>0</v>
      </c>
      <c r="E43" s="17">
        <f>IF($F$3="1",SUMIF(Data!$A:$A,$A$2,Data!IV:IV),0)</f>
        <v>0</v>
      </c>
      <c r="F43" s="21" t="str">
        <f t="shared" si="3"/>
        <v/>
      </c>
    </row>
    <row r="44" spans="1:6" x14ac:dyDescent="0.2">
      <c r="A44" s="19">
        <v>9</v>
      </c>
      <c r="B44" s="177" t="s">
        <v>8</v>
      </c>
      <c r="C44" s="178"/>
      <c r="D44" s="14">
        <f>IF(F3="1",SUMIF(Data!A:A,'33'!$A$2,Data!DC:DC),0)</f>
        <v>110842</v>
      </c>
      <c r="E44" s="17">
        <f>IF($F$3="1",SUMIF(Data!$A:$A,$A$2,Data!IW:IW),0)</f>
        <v>48930</v>
      </c>
      <c r="F44" s="21">
        <f t="shared" si="3"/>
        <v>0.44</v>
      </c>
    </row>
    <row r="45" spans="1:6" x14ac:dyDescent="0.2">
      <c r="A45" s="19">
        <v>10</v>
      </c>
      <c r="B45" s="177" t="s">
        <v>9</v>
      </c>
      <c r="C45" s="178"/>
      <c r="D45" s="14">
        <f>IF(F3="1",SUMIF(Data!A:A,'33'!$A$2,Data!DD:DD),0)</f>
        <v>64</v>
      </c>
      <c r="E45" s="17">
        <f>IF($F$3="1",SUMIF(Data!$A:$A,$A$2,Data!IX:IX),0)</f>
        <v>0</v>
      </c>
      <c r="F45" s="21" t="str">
        <f t="shared" si="3"/>
        <v/>
      </c>
    </row>
    <row r="46" spans="1:6" x14ac:dyDescent="0.2">
      <c r="A46" s="19">
        <v>11</v>
      </c>
      <c r="B46" s="177" t="s">
        <v>10</v>
      </c>
      <c r="C46" s="178"/>
      <c r="D46" s="14">
        <f>IF(F3="1",SUMIF(Data!A:A,'33'!$A$2,Data!DE:DE),0)</f>
        <v>608</v>
      </c>
      <c r="E46" s="17">
        <f>IF($F$3="1",SUMIF(Data!$A:$A,$A$2,Data!IY:IY),0)</f>
        <v>740</v>
      </c>
      <c r="F46" s="21">
        <f t="shared" si="3"/>
        <v>1.22</v>
      </c>
    </row>
    <row r="47" spans="1:6" ht="14.25" customHeight="1" x14ac:dyDescent="0.2">
      <c r="A47" s="19">
        <v>12</v>
      </c>
      <c r="B47" s="177" t="s">
        <v>11</v>
      </c>
      <c r="C47" s="178"/>
      <c r="D47" s="14">
        <f>IF(F3="1",SUMIF(Data!A:A,'33'!$A$2,Data!DF:DF),0)</f>
        <v>128394</v>
      </c>
      <c r="E47" s="17">
        <f>IF($F$3="1",SUMIF(Data!$A:$A,$A$2,Data!IZ:IZ),0)</f>
        <v>47916</v>
      </c>
      <c r="F47" s="21">
        <f t="shared" si="3"/>
        <v>0.37</v>
      </c>
    </row>
    <row r="48" spans="1:6" x14ac:dyDescent="0.2">
      <c r="A48" s="19">
        <v>13</v>
      </c>
      <c r="B48" s="177" t="s">
        <v>12</v>
      </c>
      <c r="C48" s="178"/>
      <c r="D48" s="14">
        <f>IF(F3="1",SUMIF(Data!A:A,'33'!$A$2,Data!DG:DG),0)</f>
        <v>5298</v>
      </c>
      <c r="E48" s="17">
        <f>IF($F$3="1",SUMIF(Data!$A:$A,$A$2,Data!JA:JA),0)</f>
        <v>3744</v>
      </c>
      <c r="F48" s="21">
        <f t="shared" si="3"/>
        <v>0.71</v>
      </c>
    </row>
    <row r="49" spans="1:6" ht="14.25" customHeight="1" x14ac:dyDescent="0.2">
      <c r="A49" s="19">
        <v>14</v>
      </c>
      <c r="B49" s="177" t="s">
        <v>464</v>
      </c>
      <c r="C49" s="178"/>
      <c r="D49" s="14">
        <f>IF(F3="1",SUMIF(Data!A:A,'33'!$A$2,Data!DH:DH),0)</f>
        <v>41904</v>
      </c>
      <c r="E49" s="17">
        <f>IF($F$3="1",SUMIF(Data!$A:$A,$A$2,Data!JB:JB),0)</f>
        <v>53084</v>
      </c>
      <c r="F49" s="21">
        <f t="shared" si="3"/>
        <v>1.27</v>
      </c>
    </row>
    <row r="50" spans="1:6" x14ac:dyDescent="0.2">
      <c r="A50" s="19">
        <v>15</v>
      </c>
      <c r="B50" s="177" t="s">
        <v>13</v>
      </c>
      <c r="C50" s="178"/>
      <c r="D50" s="14">
        <f>IF(F3="1",SUMIF(Data!A:A,'33'!$A$2,Data!DI:DI),0)</f>
        <v>0</v>
      </c>
      <c r="E50" s="17">
        <f>IF($F$3="1",SUMIF(Data!$A:$A,$A$2,Data!JC:JC),0)</f>
        <v>0</v>
      </c>
      <c r="F50" s="21" t="str">
        <f t="shared" si="3"/>
        <v/>
      </c>
    </row>
    <row r="51" spans="1:6" x14ac:dyDescent="0.2">
      <c r="A51" s="19">
        <v>16</v>
      </c>
      <c r="B51" s="177" t="s">
        <v>14</v>
      </c>
      <c r="C51" s="178"/>
      <c r="D51" s="14">
        <f>IF(F3="1",SUMIF(Data!A:A,'33'!$A$2,Data!DJ:DJ),0)</f>
        <v>48468</v>
      </c>
      <c r="E51" s="17">
        <f>IF($F$3="1",SUMIF(Data!$A:$A,$A$2,Data!JD:JD),0)</f>
        <v>48826</v>
      </c>
      <c r="F51" s="21">
        <f t="shared" si="3"/>
        <v>1.01</v>
      </c>
    </row>
    <row r="52" spans="1:6" x14ac:dyDescent="0.2">
      <c r="A52" s="19">
        <v>17</v>
      </c>
      <c r="B52" s="177" t="s">
        <v>15</v>
      </c>
      <c r="C52" s="178"/>
      <c r="D52" s="14">
        <f>IF(F3="1",SUMIF(Data!A:A,'33'!$A$2,Data!DK:DK),0)</f>
        <v>0</v>
      </c>
      <c r="E52" s="17">
        <f>IF($F$3="1",SUMIF(Data!$A:$A,$A$2,Data!JE:JE),0)</f>
        <v>0</v>
      </c>
      <c r="F52" s="21" t="str">
        <f t="shared" si="3"/>
        <v/>
      </c>
    </row>
    <row r="53" spans="1:6" x14ac:dyDescent="0.2">
      <c r="A53" s="19">
        <v>18</v>
      </c>
      <c r="B53" s="177" t="s">
        <v>16</v>
      </c>
      <c r="C53" s="178"/>
      <c r="D53" s="14">
        <f>IF(F3="1",SUMIF(Data!A:A,'33'!$A$2,Data!DL:DL),0)</f>
        <v>142944</v>
      </c>
      <c r="E53" s="17">
        <f>IF($F$3="1",SUMIF(Data!$A:$A,$A$2,Data!JF:JF),0)</f>
        <v>38833</v>
      </c>
      <c r="F53" s="21">
        <f t="shared" si="3"/>
        <v>0.27</v>
      </c>
    </row>
    <row r="54" spans="1:6" x14ac:dyDescent="0.2">
      <c r="A54" s="19">
        <v>19</v>
      </c>
      <c r="B54" s="177" t="s">
        <v>17</v>
      </c>
      <c r="C54" s="178"/>
      <c r="D54" s="14">
        <f>IF(F3="1",SUMIF(Data!A:A,'33'!$A$2,Data!DM:DM),0)</f>
        <v>68832</v>
      </c>
      <c r="E54" s="17">
        <f>IF($F$3="1",SUMIF(Data!$A:$A,$A$2,Data!JG:JG),0)</f>
        <v>18489</v>
      </c>
      <c r="F54" s="21">
        <f t="shared" si="3"/>
        <v>0.27</v>
      </c>
    </row>
    <row r="55" spans="1:6" x14ac:dyDescent="0.2">
      <c r="A55" s="19">
        <v>20</v>
      </c>
      <c r="B55" s="177" t="s">
        <v>18</v>
      </c>
      <c r="C55" s="178"/>
      <c r="D55" s="14">
        <f>IF(F3="1",SUMIF(Data!A:A,'33'!$A$2,Data!DN:DN),0)</f>
        <v>0</v>
      </c>
      <c r="E55" s="17">
        <f>IF($F$3="1",SUMIF(Data!$A:$A,$A$2,Data!JH:JH),0)</f>
        <v>0</v>
      </c>
      <c r="F55" s="21" t="str">
        <f t="shared" si="3"/>
        <v/>
      </c>
    </row>
    <row r="56" spans="1:6" ht="14.25" customHeight="1" x14ac:dyDescent="0.2">
      <c r="A56" s="19">
        <v>21</v>
      </c>
      <c r="B56" s="177" t="s">
        <v>461</v>
      </c>
      <c r="C56" s="178"/>
      <c r="D56" s="14">
        <f>IF(F3="1",SUMIF(Data!A:A,'33'!$A$2,Data!DO:DO),0)</f>
        <v>0</v>
      </c>
      <c r="E56" s="17">
        <f>IF($F$3="1",SUMIF(Data!$A:$A,$A$2,Data!JI:JI),0)</f>
        <v>0</v>
      </c>
      <c r="F56" s="21" t="str">
        <f t="shared" si="3"/>
        <v/>
      </c>
    </row>
    <row r="57" spans="1:6" x14ac:dyDescent="0.2">
      <c r="A57" s="19">
        <v>22</v>
      </c>
      <c r="B57" s="177" t="s">
        <v>19</v>
      </c>
      <c r="C57" s="178"/>
      <c r="D57" s="14">
        <f>IF(F3="1",SUMIF(Data!A:A,'33'!$A$2,Data!DP:DP),0)</f>
        <v>0</v>
      </c>
      <c r="E57" s="17">
        <f>IF($F$3="1",SUMIF(Data!$A:$A,$A$2,Data!JJ:JJ),0)</f>
        <v>0</v>
      </c>
      <c r="F57" s="21" t="str">
        <f t="shared" si="3"/>
        <v/>
      </c>
    </row>
    <row r="58" spans="1:6" x14ac:dyDescent="0.2">
      <c r="A58" s="19">
        <v>23</v>
      </c>
      <c r="B58" s="177" t="s">
        <v>20</v>
      </c>
      <c r="C58" s="178"/>
      <c r="D58" s="14">
        <f>IF(F3="1",SUMIF(Data!A:A,'33'!$A$2,Data!DQ:DQ),0)</f>
        <v>0</v>
      </c>
      <c r="E58" s="17">
        <f>IF($F$3="1",SUMIF(Data!$A:$A,$A$2,Data!JK:JK),0)</f>
        <v>0</v>
      </c>
      <c r="F58" s="21" t="str">
        <f t="shared" si="3"/>
        <v/>
      </c>
    </row>
    <row r="59" spans="1:6" x14ac:dyDescent="0.2">
      <c r="A59" s="19">
        <v>24</v>
      </c>
      <c r="B59" s="177" t="s">
        <v>21</v>
      </c>
      <c r="C59" s="178"/>
      <c r="D59" s="14">
        <f>IF(F3="1",SUMIF(Data!A:A,'33'!$A$2,Data!DR:DR),0)</f>
        <v>0</v>
      </c>
      <c r="E59" s="17">
        <f>IF($F$3="1",SUMIF(Data!$A:$A,$A$2,Data!JL:JL),0)</f>
        <v>0</v>
      </c>
      <c r="F59" s="21" t="str">
        <f t="shared" si="3"/>
        <v/>
      </c>
    </row>
    <row r="60" spans="1:6" x14ac:dyDescent="0.2">
      <c r="A60" s="19">
        <v>25</v>
      </c>
      <c r="B60" s="177" t="s">
        <v>22</v>
      </c>
      <c r="C60" s="178"/>
      <c r="D60" s="14">
        <f>IF(F3="1",SUMIF(Data!A:A,'33'!$A$2,Data!DS:DS),0)</f>
        <v>125760</v>
      </c>
      <c r="E60" s="17">
        <f>IF($F$3="1",SUMIF(Data!$A:$A,$A$2,Data!JM:JM),0)</f>
        <v>11961</v>
      </c>
      <c r="F60" s="21">
        <f t="shared" si="3"/>
        <v>0.1</v>
      </c>
    </row>
    <row r="61" spans="1:6" x14ac:dyDescent="0.2">
      <c r="A61" s="19">
        <v>26</v>
      </c>
      <c r="B61" s="177" t="s">
        <v>23</v>
      </c>
      <c r="C61" s="178"/>
      <c r="D61" s="14">
        <f>IF(F3="1",SUMIF(Data!A:A,'33'!$A$2,Data!DT:DT),0)</f>
        <v>56352</v>
      </c>
      <c r="E61" s="17">
        <f>IF($F$3="1",SUMIF(Data!$A:$A,$A$2,Data!JN:JN),0)</f>
        <v>52514</v>
      </c>
      <c r="F61" s="21">
        <f t="shared" si="3"/>
        <v>0.93</v>
      </c>
    </row>
    <row r="62" spans="1:6" x14ac:dyDescent="0.2">
      <c r="A62" s="19">
        <v>28</v>
      </c>
      <c r="B62" s="177" t="s">
        <v>24</v>
      </c>
      <c r="C62" s="178"/>
      <c r="D62" s="14">
        <f>IF(F3="1",SUMIF(Data!A:A,'33'!$A$2,Data!DV:DV),0)</f>
        <v>0</v>
      </c>
      <c r="E62" s="17">
        <f>IF($F$3="1",SUMIF(Data!$A:$A,$A$2,Data!JP:JP),0)</f>
        <v>0</v>
      </c>
      <c r="F62" s="21" t="str">
        <f t="shared" si="3"/>
        <v/>
      </c>
    </row>
    <row r="63" spans="1:6" ht="15.75" customHeight="1" thickBot="1" x14ac:dyDescent="0.25">
      <c r="A63" s="22">
        <v>29</v>
      </c>
      <c r="B63" s="179" t="s">
        <v>25</v>
      </c>
      <c r="C63" s="180"/>
      <c r="D63" s="23">
        <f>IF(F3="1",SUMIF(Data!A:A,'33'!$A$2,Data!DW:DW),0)</f>
        <v>0</v>
      </c>
      <c r="E63" s="24">
        <f>IF($F$3="1",SUMIF(Data!$A:$A,$A$2,Data!JQ:JQ),0)</f>
        <v>0</v>
      </c>
      <c r="F63" s="25" t="str">
        <f t="shared" si="3"/>
        <v/>
      </c>
    </row>
    <row r="64" spans="1:6" x14ac:dyDescent="0.2">
      <c r="B64" s="30" t="s">
        <v>35</v>
      </c>
      <c r="C64" s="30"/>
      <c r="D64" s="59">
        <f>SUM(D36:D63)</f>
        <v>967226</v>
      </c>
      <c r="E64" s="31">
        <f>SUM(E36:E63)</f>
        <v>482483</v>
      </c>
      <c r="F64" s="32">
        <f t="shared" si="3"/>
        <v>0.5</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35528</v>
      </c>
      <c r="E67" s="15">
        <f>IF(F3="1",SUMIF(Data!A:A,'33'!$A$2,Data!DY:DY),0)</f>
        <v>150065</v>
      </c>
      <c r="F67" s="20">
        <f t="shared" ref="F67:F95" si="4">IF(OR(D67=0,E67=0),"",ROUND(E67/D67,2))</f>
        <v>4.22</v>
      </c>
    </row>
    <row r="68" spans="1:6" x14ac:dyDescent="0.2">
      <c r="A68" s="19">
        <v>2</v>
      </c>
      <c r="B68" s="177" t="s">
        <v>1</v>
      </c>
      <c r="C68" s="178"/>
      <c r="D68" s="14">
        <f t="shared" ref="D68:D94" si="5">D37</f>
        <v>17836</v>
      </c>
      <c r="E68" s="17">
        <f>IF(F3="1",SUMIF(Data!A:A,'33'!$A$2,Data!DZ:DZ),0)</f>
        <v>53402</v>
      </c>
      <c r="F68" s="21">
        <f t="shared" si="4"/>
        <v>2.99</v>
      </c>
    </row>
    <row r="69" spans="1:6" ht="14.25" customHeight="1" x14ac:dyDescent="0.2">
      <c r="A69" s="19">
        <v>3</v>
      </c>
      <c r="B69" s="177" t="s">
        <v>2</v>
      </c>
      <c r="C69" s="178"/>
      <c r="D69" s="14">
        <f t="shared" si="5"/>
        <v>80576</v>
      </c>
      <c r="E69" s="17">
        <f>IF(F3="1",SUMIF(Data!A:A,'33'!$A$2,Data!EA:EA),0)</f>
        <v>227678</v>
      </c>
      <c r="F69" s="21">
        <f t="shared" si="4"/>
        <v>2.83</v>
      </c>
    </row>
    <row r="70" spans="1:6" ht="14.25" customHeight="1" x14ac:dyDescent="0.2">
      <c r="A70" s="19">
        <v>4</v>
      </c>
      <c r="B70" s="177" t="s">
        <v>3</v>
      </c>
      <c r="C70" s="178"/>
      <c r="D70" s="14">
        <f t="shared" si="5"/>
        <v>37859</v>
      </c>
      <c r="E70" s="17">
        <f>IF(F3="1",SUMIF(Data!A:A,'33'!$A$2,Data!EB:EB),0)</f>
        <v>168380</v>
      </c>
      <c r="F70" s="21">
        <f t="shared" si="4"/>
        <v>4.45</v>
      </c>
    </row>
    <row r="71" spans="1:6" x14ac:dyDescent="0.2">
      <c r="A71" s="19">
        <v>5</v>
      </c>
      <c r="B71" s="177" t="s">
        <v>4</v>
      </c>
      <c r="C71" s="178"/>
      <c r="D71" s="14">
        <f t="shared" si="5"/>
        <v>0</v>
      </c>
      <c r="E71" s="17">
        <f>IF(F3="1",SUMIF(Data!A:A,'33'!$A$2,Data!EC:EC),0)</f>
        <v>0</v>
      </c>
      <c r="F71" s="21" t="str">
        <f t="shared" si="4"/>
        <v/>
      </c>
    </row>
    <row r="72" spans="1:6" x14ac:dyDescent="0.2">
      <c r="A72" s="19">
        <v>6</v>
      </c>
      <c r="B72" s="177" t="s">
        <v>5</v>
      </c>
      <c r="C72" s="178"/>
      <c r="D72" s="14">
        <f t="shared" si="5"/>
        <v>4596</v>
      </c>
      <c r="E72" s="17">
        <f>IF(F3="1",SUMIF(Data!A:A,'33'!$A$2,Data!ED:ED),0)</f>
        <v>48874</v>
      </c>
      <c r="F72" s="21">
        <f t="shared" si="4"/>
        <v>10.63</v>
      </c>
    </row>
    <row r="73" spans="1:6" x14ac:dyDescent="0.2">
      <c r="A73" s="19">
        <v>7</v>
      </c>
      <c r="B73" s="177" t="s">
        <v>6</v>
      </c>
      <c r="C73" s="178"/>
      <c r="D73" s="14">
        <f t="shared" si="5"/>
        <v>61365</v>
      </c>
      <c r="E73" s="17">
        <f>IF(F3="1",SUMIF(Data!A:A,'33'!$A$2,Data!EE:EE),0)</f>
        <v>195532</v>
      </c>
      <c r="F73" s="21">
        <f t="shared" si="4"/>
        <v>3.19</v>
      </c>
    </row>
    <row r="74" spans="1:6" x14ac:dyDescent="0.2">
      <c r="A74" s="19">
        <v>8</v>
      </c>
      <c r="B74" s="177" t="s">
        <v>7</v>
      </c>
      <c r="C74" s="178"/>
      <c r="D74" s="14">
        <f t="shared" si="5"/>
        <v>0</v>
      </c>
      <c r="E74" s="17">
        <f>IF(F3="1",SUMIF(Data!A:A,'33'!$A$2,Data!EF:EF),0)</f>
        <v>0</v>
      </c>
      <c r="F74" s="21" t="str">
        <f t="shared" si="4"/>
        <v/>
      </c>
    </row>
    <row r="75" spans="1:6" x14ac:dyDescent="0.2">
      <c r="A75" s="19">
        <v>9</v>
      </c>
      <c r="B75" s="177" t="s">
        <v>8</v>
      </c>
      <c r="C75" s="178"/>
      <c r="D75" s="14">
        <f t="shared" si="5"/>
        <v>110842</v>
      </c>
      <c r="E75" s="17">
        <f>IF(F3="1",SUMIF(Data!A:A,'33'!$A$2,Data!EG:EG),0)</f>
        <v>272601</v>
      </c>
      <c r="F75" s="21">
        <f t="shared" si="4"/>
        <v>2.46</v>
      </c>
    </row>
    <row r="76" spans="1:6" x14ac:dyDescent="0.2">
      <c r="A76" s="19">
        <v>10</v>
      </c>
      <c r="B76" s="177" t="s">
        <v>9</v>
      </c>
      <c r="C76" s="178"/>
      <c r="D76" s="14">
        <f t="shared" si="5"/>
        <v>64</v>
      </c>
      <c r="E76" s="17">
        <f>IF(F3="1",SUMIF(Data!A:A,'33'!$A$2,Data!EH:EH),0)</f>
        <v>500</v>
      </c>
      <c r="F76" s="21">
        <f t="shared" si="4"/>
        <v>7.81</v>
      </c>
    </row>
    <row r="77" spans="1:6" x14ac:dyDescent="0.2">
      <c r="A77" s="19">
        <v>11</v>
      </c>
      <c r="B77" s="177" t="s">
        <v>10</v>
      </c>
      <c r="C77" s="178"/>
      <c r="D77" s="14">
        <f t="shared" si="5"/>
        <v>608</v>
      </c>
      <c r="E77" s="17">
        <f>IF(F3="1",SUMIF(Data!A:A,'33'!$A$2,Data!EI:EI),0)</f>
        <v>203</v>
      </c>
      <c r="F77" s="21">
        <f t="shared" si="4"/>
        <v>0.33</v>
      </c>
    </row>
    <row r="78" spans="1:6" ht="14.25" customHeight="1" x14ac:dyDescent="0.2">
      <c r="A78" s="19">
        <v>12</v>
      </c>
      <c r="B78" s="177" t="s">
        <v>11</v>
      </c>
      <c r="C78" s="178"/>
      <c r="D78" s="14">
        <f t="shared" si="5"/>
        <v>128394</v>
      </c>
      <c r="E78" s="17">
        <f>IF(F3="1",SUMIF(Data!A:A,'33'!$A$2,Data!EJ:EJ),0)</f>
        <v>258559</v>
      </c>
      <c r="F78" s="21">
        <f t="shared" si="4"/>
        <v>2.0099999999999998</v>
      </c>
    </row>
    <row r="79" spans="1:6" x14ac:dyDescent="0.2">
      <c r="A79" s="19">
        <v>13</v>
      </c>
      <c r="B79" s="177" t="s">
        <v>12</v>
      </c>
      <c r="C79" s="178"/>
      <c r="D79" s="14">
        <f t="shared" si="5"/>
        <v>5298</v>
      </c>
      <c r="E79" s="17">
        <f>IF(F3="1",SUMIF(Data!A:A,'33'!$A$2,Data!EK:EK),0)</f>
        <v>35598</v>
      </c>
      <c r="F79" s="21">
        <f t="shared" si="4"/>
        <v>6.72</v>
      </c>
    </row>
    <row r="80" spans="1:6" ht="14.25" customHeight="1" x14ac:dyDescent="0.2">
      <c r="A80" s="19">
        <v>14</v>
      </c>
      <c r="B80" s="177" t="s">
        <v>464</v>
      </c>
      <c r="C80" s="178"/>
      <c r="D80" s="14">
        <f t="shared" si="5"/>
        <v>41904</v>
      </c>
      <c r="E80" s="17">
        <f>IF(F3="1",SUMIF(Data!A:A,'33'!$A$2,Data!EL:EL),0)</f>
        <v>374441</v>
      </c>
      <c r="F80" s="21">
        <f t="shared" si="4"/>
        <v>8.94</v>
      </c>
    </row>
    <row r="81" spans="1:6" x14ac:dyDescent="0.2">
      <c r="A81" s="19">
        <v>15</v>
      </c>
      <c r="B81" s="177" t="s">
        <v>13</v>
      </c>
      <c r="C81" s="178"/>
      <c r="D81" s="14">
        <f t="shared" si="5"/>
        <v>0</v>
      </c>
      <c r="E81" s="17">
        <f>IF(F3="1",SUMIF(Data!A:A,'33'!$A$2,Data!EM:EM),0)</f>
        <v>0</v>
      </c>
      <c r="F81" s="21" t="str">
        <f t="shared" si="4"/>
        <v/>
      </c>
    </row>
    <row r="82" spans="1:6" x14ac:dyDescent="0.2">
      <c r="A82" s="19">
        <v>16</v>
      </c>
      <c r="B82" s="177" t="s">
        <v>14</v>
      </c>
      <c r="C82" s="178"/>
      <c r="D82" s="14">
        <f t="shared" si="5"/>
        <v>48468</v>
      </c>
      <c r="E82" s="17">
        <f>IF(F3="1",SUMIF(Data!A:A,'33'!$A$2,Data!EN:EN),0)</f>
        <v>312769</v>
      </c>
      <c r="F82" s="21">
        <f t="shared" si="4"/>
        <v>6.45</v>
      </c>
    </row>
    <row r="83" spans="1:6" x14ac:dyDescent="0.2">
      <c r="A83" s="19">
        <v>17</v>
      </c>
      <c r="B83" s="177" t="s">
        <v>15</v>
      </c>
      <c r="C83" s="178"/>
      <c r="D83" s="14">
        <f t="shared" si="5"/>
        <v>0</v>
      </c>
      <c r="E83" s="17">
        <f>IF(F3="1",SUMIF(Data!A:A,'33'!$A$2,Data!EO:EO),0)</f>
        <v>0</v>
      </c>
      <c r="F83" s="21" t="str">
        <f t="shared" si="4"/>
        <v/>
      </c>
    </row>
    <row r="84" spans="1:6" x14ac:dyDescent="0.2">
      <c r="A84" s="19">
        <v>18</v>
      </c>
      <c r="B84" s="177" t="s">
        <v>16</v>
      </c>
      <c r="C84" s="178"/>
      <c r="D84" s="14">
        <f t="shared" si="5"/>
        <v>142944</v>
      </c>
      <c r="E84" s="17">
        <f>IF(F3="1",SUMIF(Data!A:A,'33'!$A$2,Data!EP:EP),0)</f>
        <v>376842</v>
      </c>
      <c r="F84" s="21">
        <f t="shared" si="4"/>
        <v>2.64</v>
      </c>
    </row>
    <row r="85" spans="1:6" x14ac:dyDescent="0.2">
      <c r="A85" s="19">
        <v>19</v>
      </c>
      <c r="B85" s="177" t="s">
        <v>17</v>
      </c>
      <c r="C85" s="178"/>
      <c r="D85" s="14">
        <f t="shared" si="5"/>
        <v>68832</v>
      </c>
      <c r="E85" s="17">
        <f>IF(F3="1",SUMIF(Data!A:A,'33'!$A$2,Data!EQ:EQ),0)</f>
        <v>213360</v>
      </c>
      <c r="F85" s="21">
        <f t="shared" si="4"/>
        <v>3.1</v>
      </c>
    </row>
    <row r="86" spans="1:6" x14ac:dyDescent="0.2">
      <c r="A86" s="19">
        <v>20</v>
      </c>
      <c r="B86" s="177" t="s">
        <v>18</v>
      </c>
      <c r="C86" s="178"/>
      <c r="D86" s="14">
        <f t="shared" si="5"/>
        <v>0</v>
      </c>
      <c r="E86" s="17">
        <f>IF(F3="1",SUMIF(Data!A:A,'33'!$A$2,Data!ER:ER),0)</f>
        <v>0</v>
      </c>
      <c r="F86" s="21" t="str">
        <f t="shared" si="4"/>
        <v/>
      </c>
    </row>
    <row r="87" spans="1:6" ht="14.25" customHeight="1" x14ac:dyDescent="0.2">
      <c r="A87" s="19">
        <v>21</v>
      </c>
      <c r="B87" s="177" t="s">
        <v>461</v>
      </c>
      <c r="C87" s="178"/>
      <c r="D87" s="14">
        <f t="shared" si="5"/>
        <v>0</v>
      </c>
      <c r="E87" s="17">
        <f>IF(F3="1",SUMIF(Data!A:A,'33'!$A$2,Data!ES:ES),0)</f>
        <v>0</v>
      </c>
      <c r="F87" s="21" t="str">
        <f t="shared" si="4"/>
        <v/>
      </c>
    </row>
    <row r="88" spans="1:6" x14ac:dyDescent="0.2">
      <c r="A88" s="19">
        <v>22</v>
      </c>
      <c r="B88" s="177" t="s">
        <v>19</v>
      </c>
      <c r="C88" s="178"/>
      <c r="D88" s="14">
        <f t="shared" si="5"/>
        <v>0</v>
      </c>
      <c r="E88" s="17">
        <f>IF(F3="1",SUMIF(Data!A:A,'33'!$A$2,Data!ET:ET),0)</f>
        <v>0</v>
      </c>
      <c r="F88" s="21" t="str">
        <f t="shared" si="4"/>
        <v/>
      </c>
    </row>
    <row r="89" spans="1:6" x14ac:dyDescent="0.2">
      <c r="A89" s="19">
        <v>23</v>
      </c>
      <c r="B89" s="177" t="s">
        <v>20</v>
      </c>
      <c r="C89" s="178"/>
      <c r="D89" s="14">
        <f t="shared" si="5"/>
        <v>0</v>
      </c>
      <c r="E89" s="17">
        <f>IF(F3="1",SUMIF(Data!A:A,'33'!$A$2,Data!EU:EU),0)</f>
        <v>0</v>
      </c>
      <c r="F89" s="21" t="str">
        <f t="shared" si="4"/>
        <v/>
      </c>
    </row>
    <row r="90" spans="1:6" x14ac:dyDescent="0.2">
      <c r="A90" s="19">
        <v>24</v>
      </c>
      <c r="B90" s="177" t="s">
        <v>21</v>
      </c>
      <c r="C90" s="178"/>
      <c r="D90" s="14">
        <f t="shared" si="5"/>
        <v>0</v>
      </c>
      <c r="E90" s="17">
        <f>IF(F3="1",SUMIF(Data!A:A,'33'!$A$2,Data!EV:EV),0)</f>
        <v>0</v>
      </c>
      <c r="F90" s="21" t="str">
        <f t="shared" si="4"/>
        <v/>
      </c>
    </row>
    <row r="91" spans="1:6" x14ac:dyDescent="0.2">
      <c r="A91" s="19">
        <v>25</v>
      </c>
      <c r="B91" s="177" t="s">
        <v>22</v>
      </c>
      <c r="C91" s="178"/>
      <c r="D91" s="14">
        <f t="shared" si="5"/>
        <v>125760</v>
      </c>
      <c r="E91" s="17">
        <f>IF(F3="1",SUMIF(Data!A:A,'33'!$A$2,Data!EW:EW),0)</f>
        <v>252650</v>
      </c>
      <c r="F91" s="21">
        <f t="shared" si="4"/>
        <v>2.0099999999999998</v>
      </c>
    </row>
    <row r="92" spans="1:6" x14ac:dyDescent="0.2">
      <c r="A92" s="19">
        <v>26</v>
      </c>
      <c r="B92" s="177" t="s">
        <v>23</v>
      </c>
      <c r="C92" s="178"/>
      <c r="D92" s="14">
        <f t="shared" si="5"/>
        <v>56352</v>
      </c>
      <c r="E92" s="17">
        <f>IF(F3="1",SUMIF(Data!A:A,'33'!$A$2,Data!EX:EX),0)</f>
        <v>240392</v>
      </c>
      <c r="F92" s="21">
        <f t="shared" si="4"/>
        <v>4.2699999999999996</v>
      </c>
    </row>
    <row r="93" spans="1:6" x14ac:dyDescent="0.2">
      <c r="A93" s="19">
        <v>28</v>
      </c>
      <c r="B93" s="177" t="s">
        <v>24</v>
      </c>
      <c r="C93" s="178"/>
      <c r="D93" s="14">
        <f t="shared" si="5"/>
        <v>0</v>
      </c>
      <c r="E93" s="17">
        <f>IF(F3="1",SUMIF(Data!A:A,'33'!$A$2,Data!EZ:EZ),0)</f>
        <v>0</v>
      </c>
      <c r="F93" s="21" t="str">
        <f t="shared" si="4"/>
        <v/>
      </c>
    </row>
    <row r="94" spans="1:6" ht="15.75" customHeight="1" thickBot="1" x14ac:dyDescent="0.25">
      <c r="A94" s="22">
        <v>29</v>
      </c>
      <c r="B94" s="179" t="s">
        <v>25</v>
      </c>
      <c r="C94" s="180"/>
      <c r="D94" s="23">
        <f t="shared" si="5"/>
        <v>0</v>
      </c>
      <c r="E94" s="24">
        <f>IF(F3="1",SUMIF(Data!A:A,'33'!$A$2,Data!FA:FA),0)</f>
        <v>0</v>
      </c>
      <c r="F94" s="25" t="str">
        <f t="shared" si="4"/>
        <v/>
      </c>
    </row>
    <row r="95" spans="1:6" x14ac:dyDescent="0.2">
      <c r="B95" s="30" t="s">
        <v>35</v>
      </c>
      <c r="C95" s="30"/>
      <c r="D95" s="59">
        <f>SUM(D67:D94)</f>
        <v>967226</v>
      </c>
      <c r="E95" s="31">
        <f>SUM(E67:E94)</f>
        <v>3181846</v>
      </c>
      <c r="F95" s="32">
        <f t="shared" si="4"/>
        <v>3.29</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IF(F3="1",SUMIF(Data!A:A,'33'!$A$2,Data!AH:AH),0)</f>
        <v>987740</v>
      </c>
      <c r="F98" s="20">
        <f>IF(OR(E98=0,E98=0),"",ROUND(E98/$D$105,2))</f>
        <v>1.02</v>
      </c>
    </row>
    <row r="99" spans="2:6" x14ac:dyDescent="0.2">
      <c r="B99" s="183" t="s">
        <v>31</v>
      </c>
      <c r="C99" s="184"/>
      <c r="D99" s="36"/>
      <c r="E99" s="17">
        <f>IF(F3="1",SUMIF(Data!A:A,'33'!$A$2,Data!AI:AI),0)</f>
        <v>513320</v>
      </c>
      <c r="F99" s="21">
        <f t="shared" ref="F99:F104" si="6">IF(OR(E99=0,E99=0),"",ROUND(E99/$D$105,2))</f>
        <v>0.53</v>
      </c>
    </row>
    <row r="100" spans="2:6" x14ac:dyDescent="0.2">
      <c r="B100" s="183" t="s">
        <v>1078</v>
      </c>
      <c r="C100" s="184"/>
      <c r="D100" s="36"/>
      <c r="E100" s="17">
        <f>IF(F3="1",SUMIF(Data!A:A,'33'!$A$2,Data!AJ:AJ),0)</f>
        <v>464325</v>
      </c>
      <c r="F100" s="21">
        <f t="shared" si="6"/>
        <v>0.48</v>
      </c>
    </row>
    <row r="101" spans="2:6" x14ac:dyDescent="0.2">
      <c r="B101" s="183" t="s">
        <v>1079</v>
      </c>
      <c r="C101" s="184"/>
      <c r="D101" s="36"/>
      <c r="E101" s="17">
        <f>IF(F3="1",SUMIF(Data!A:A,'33'!$A$2,Data!AK:AK),0)</f>
        <v>737106</v>
      </c>
      <c r="F101" s="21">
        <f t="shared" si="6"/>
        <v>0.76</v>
      </c>
    </row>
    <row r="102" spans="2:6" x14ac:dyDescent="0.2">
      <c r="B102" s="183" t="s">
        <v>1080</v>
      </c>
      <c r="C102" s="184"/>
      <c r="D102" s="36"/>
      <c r="E102" s="17">
        <f>IF(F3="1",SUMIF(Data!A:A,'33'!$A$2,Data!AL:AL),0)</f>
        <v>0</v>
      </c>
      <c r="F102" s="21" t="str">
        <f t="shared" si="6"/>
        <v/>
      </c>
    </row>
    <row r="103" spans="2:6" x14ac:dyDescent="0.2">
      <c r="B103" s="185" t="s">
        <v>34</v>
      </c>
      <c r="C103" s="186"/>
      <c r="D103" s="36"/>
      <c r="E103" s="17">
        <f>IF(F3="1",SUMIF(Data!A:A,'33'!$A$2,Data!AM:AM),0)</f>
        <v>0</v>
      </c>
      <c r="F103" s="21" t="str">
        <f t="shared" si="6"/>
        <v/>
      </c>
    </row>
    <row r="104" spans="2:6" ht="15.75" customHeight="1" thickBot="1" x14ac:dyDescent="0.25">
      <c r="B104" s="175" t="s">
        <v>29</v>
      </c>
      <c r="C104" s="176"/>
      <c r="D104" s="37"/>
      <c r="E104" s="24">
        <f>IF(F3="1",SUMIF(Data!A:A,'33'!$A$2,Data!Q:Q),0)</f>
        <v>503178</v>
      </c>
      <c r="F104" s="25">
        <f t="shared" si="6"/>
        <v>0.52</v>
      </c>
    </row>
    <row r="105" spans="2:6" x14ac:dyDescent="0.2">
      <c r="B105" s="30" t="s">
        <v>35</v>
      </c>
      <c r="C105" s="30"/>
      <c r="D105" s="34">
        <f>D95</f>
        <v>967226</v>
      </c>
      <c r="E105" s="31">
        <f>SUM(E98:E104)</f>
        <v>3205669</v>
      </c>
      <c r="F105" s="32">
        <f>IF($D$105=0,"",ROUND(E105/$D$105,2))</f>
        <v>3.31</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3181846</v>
      </c>
      <c r="D109" s="15">
        <f>IF(F3="1",SUMIF(Data!$A:$A,$A$2,Data!HJ:HJ),0)</f>
        <v>0</v>
      </c>
      <c r="E109" s="15">
        <f>IF(F3="1",SUMIF(Data!$A:$A,$A$2,Data!IN:IN),0)</f>
        <v>0</v>
      </c>
      <c r="F109" s="47">
        <f>SUM(C109:E109)</f>
        <v>3181846</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503178</v>
      </c>
      <c r="E117" s="52"/>
      <c r="F117" s="49">
        <f>SUM(C117:E117)</f>
        <v>503178</v>
      </c>
    </row>
    <row r="118" spans="1:6" x14ac:dyDescent="0.2">
      <c r="B118" s="13" t="s">
        <v>35</v>
      </c>
      <c r="C118" s="4">
        <f>SUM(C109:C116)</f>
        <v>3181846</v>
      </c>
      <c r="D118" s="4">
        <f>SUM(D109:D116)</f>
        <v>0</v>
      </c>
      <c r="E118" s="4">
        <f>SUM(E109:E116)</f>
        <v>0</v>
      </c>
      <c r="F118" s="4">
        <f>SUM(F109:F116)</f>
        <v>3181846</v>
      </c>
    </row>
    <row r="119" spans="1:6" ht="15" thickBot="1" x14ac:dyDescent="0.25"/>
    <row r="120" spans="1:6" ht="15" thickBot="1" x14ac:dyDescent="0.25">
      <c r="B120" s="55" t="s">
        <v>934</v>
      </c>
      <c r="C120" s="53"/>
      <c r="D120" s="53"/>
      <c r="E120" s="53">
        <f>IF(F3="1",SUMIF(Data!A:A,'33'!$A$2,Data!AM:AM),0)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390</v>
      </c>
      <c r="B2" s="58" t="str">
        <f>VLOOKUP(A2,Data!A:G,7,0)</f>
        <v>Paris Junior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7744</v>
      </c>
      <c r="E5" s="15">
        <f>E36+E67+IFERROR($E$105/$D$105*D5,0)</f>
        <v>67824.280599012796</v>
      </c>
      <c r="F5" s="20">
        <f>IF(OR(D5=0,E5=0),"",ROUND(E5/D5,2))</f>
        <v>8.76</v>
      </c>
    </row>
    <row r="6" spans="1:6" x14ac:dyDescent="0.2">
      <c r="A6" s="19">
        <v>2</v>
      </c>
      <c r="B6" s="177" t="s">
        <v>1</v>
      </c>
      <c r="C6" s="178"/>
      <c r="D6" s="14">
        <f t="shared" ref="D6:D32" si="0">D37</f>
        <v>127968</v>
      </c>
      <c r="E6" s="17">
        <f t="shared" ref="E6:E32" si="1">E37+E68+IFERROR($E$105/$D$105*D6,0)</f>
        <v>1247519.2897332734</v>
      </c>
      <c r="F6" s="21">
        <f t="shared" ref="F6:F33" si="2">IF(OR(D6=0,E6=0),"",ROUND(E6/D6,2))</f>
        <v>9.75</v>
      </c>
    </row>
    <row r="7" spans="1:6" ht="14.25" customHeight="1" x14ac:dyDescent="0.2">
      <c r="A7" s="19">
        <v>3</v>
      </c>
      <c r="B7" s="177" t="s">
        <v>2</v>
      </c>
      <c r="C7" s="178"/>
      <c r="D7" s="14">
        <f t="shared" si="0"/>
        <v>169808</v>
      </c>
      <c r="E7" s="17">
        <f t="shared" si="1"/>
        <v>793600.1652837249</v>
      </c>
      <c r="F7" s="21">
        <f t="shared" si="2"/>
        <v>4.67</v>
      </c>
    </row>
    <row r="8" spans="1:6" ht="14.25" customHeight="1" x14ac:dyDescent="0.2">
      <c r="A8" s="19">
        <v>4</v>
      </c>
      <c r="B8" s="177" t="s">
        <v>3</v>
      </c>
      <c r="C8" s="178"/>
      <c r="D8" s="14">
        <f t="shared" si="0"/>
        <v>84480</v>
      </c>
      <c r="E8" s="17">
        <f t="shared" si="1"/>
        <v>555594.3338074123</v>
      </c>
      <c r="F8" s="21">
        <f t="shared" si="2"/>
        <v>6.58</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5280</v>
      </c>
      <c r="E10" s="17">
        <f t="shared" si="1"/>
        <v>56009.645862963269</v>
      </c>
      <c r="F10" s="21">
        <f t="shared" si="2"/>
        <v>10.61</v>
      </c>
    </row>
    <row r="11" spans="1:6" x14ac:dyDescent="0.2">
      <c r="A11" s="19">
        <v>7</v>
      </c>
      <c r="B11" s="177" t="s">
        <v>6</v>
      </c>
      <c r="C11" s="178"/>
      <c r="D11" s="14">
        <f t="shared" si="0"/>
        <v>71472</v>
      </c>
      <c r="E11" s="17">
        <f t="shared" si="1"/>
        <v>397281.37899956648</v>
      </c>
      <c r="F11" s="21">
        <f t="shared" si="2"/>
        <v>5.56</v>
      </c>
    </row>
    <row r="12" spans="1:6" x14ac:dyDescent="0.2">
      <c r="A12" s="19">
        <v>8</v>
      </c>
      <c r="B12" s="177" t="s">
        <v>7</v>
      </c>
      <c r="C12" s="178"/>
      <c r="D12" s="14">
        <f t="shared" si="0"/>
        <v>0</v>
      </c>
      <c r="E12" s="17">
        <f t="shared" si="1"/>
        <v>0</v>
      </c>
      <c r="F12" s="21" t="str">
        <f t="shared" si="2"/>
        <v/>
      </c>
    </row>
    <row r="13" spans="1:6" x14ac:dyDescent="0.2">
      <c r="A13" s="19">
        <v>9</v>
      </c>
      <c r="B13" s="177" t="s">
        <v>8</v>
      </c>
      <c r="C13" s="178"/>
      <c r="D13" s="14">
        <f t="shared" si="0"/>
        <v>39456</v>
      </c>
      <c r="E13" s="17">
        <f t="shared" si="1"/>
        <v>177951.09908505282</v>
      </c>
      <c r="F13" s="21">
        <f t="shared" si="2"/>
        <v>4.51</v>
      </c>
    </row>
    <row r="14" spans="1:6" x14ac:dyDescent="0.2">
      <c r="A14" s="19">
        <v>10</v>
      </c>
      <c r="B14" s="177" t="s">
        <v>9</v>
      </c>
      <c r="C14" s="178"/>
      <c r="D14" s="14">
        <f t="shared" si="0"/>
        <v>0</v>
      </c>
      <c r="E14" s="17">
        <f t="shared" si="1"/>
        <v>490</v>
      </c>
      <c r="F14" s="21" t="str">
        <f t="shared" si="2"/>
        <v/>
      </c>
    </row>
    <row r="15" spans="1:6" x14ac:dyDescent="0.2">
      <c r="A15" s="19">
        <v>11</v>
      </c>
      <c r="B15" s="177" t="s">
        <v>10</v>
      </c>
      <c r="C15" s="178"/>
      <c r="D15" s="14">
        <f t="shared" si="0"/>
        <v>51744</v>
      </c>
      <c r="E15" s="17">
        <f t="shared" si="1"/>
        <v>398992.32945704006</v>
      </c>
      <c r="F15" s="21">
        <f t="shared" si="2"/>
        <v>7.71</v>
      </c>
    </row>
    <row r="16" spans="1:6" ht="14.25" customHeight="1" x14ac:dyDescent="0.2">
      <c r="A16" s="19">
        <v>12</v>
      </c>
      <c r="B16" s="177" t="s">
        <v>11</v>
      </c>
      <c r="C16" s="178"/>
      <c r="D16" s="14">
        <f t="shared" si="0"/>
        <v>172240</v>
      </c>
      <c r="E16" s="17">
        <f t="shared" si="1"/>
        <v>929329.85671151406</v>
      </c>
      <c r="F16" s="21">
        <f t="shared" si="2"/>
        <v>5.4</v>
      </c>
    </row>
    <row r="17" spans="1:6" x14ac:dyDescent="0.2">
      <c r="A17" s="19">
        <v>13</v>
      </c>
      <c r="B17" s="177" t="s">
        <v>12</v>
      </c>
      <c r="C17" s="178"/>
      <c r="D17" s="14">
        <f t="shared" si="0"/>
        <v>17664</v>
      </c>
      <c r="E17" s="17">
        <f t="shared" si="1"/>
        <v>87941.706159731679</v>
      </c>
      <c r="F17" s="21">
        <f t="shared" si="2"/>
        <v>4.9800000000000004</v>
      </c>
    </row>
    <row r="18" spans="1:6" ht="14.25" customHeight="1" x14ac:dyDescent="0.2">
      <c r="A18" s="19">
        <v>14</v>
      </c>
      <c r="B18" s="177" t="s">
        <v>464</v>
      </c>
      <c r="C18" s="178"/>
      <c r="D18" s="14">
        <f t="shared" si="0"/>
        <v>30768</v>
      </c>
      <c r="E18" s="17">
        <f t="shared" si="1"/>
        <v>439253.49089235871</v>
      </c>
      <c r="F18" s="21">
        <f t="shared" si="2"/>
        <v>14.28</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47040</v>
      </c>
      <c r="E20" s="17">
        <f t="shared" si="1"/>
        <v>120456.6631427637</v>
      </c>
      <c r="F20" s="21">
        <f t="shared" si="2"/>
        <v>2.56</v>
      </c>
    </row>
    <row r="21" spans="1:6" x14ac:dyDescent="0.2">
      <c r="A21" s="19">
        <v>17</v>
      </c>
      <c r="B21" s="177" t="s">
        <v>15</v>
      </c>
      <c r="C21" s="178"/>
      <c r="D21" s="14">
        <f t="shared" si="0"/>
        <v>0</v>
      </c>
      <c r="E21" s="17">
        <f t="shared" si="1"/>
        <v>0</v>
      </c>
      <c r="F21" s="21" t="str">
        <f t="shared" si="2"/>
        <v/>
      </c>
    </row>
    <row r="22" spans="1:6" x14ac:dyDescent="0.2">
      <c r="A22" s="19">
        <v>18</v>
      </c>
      <c r="B22" s="177" t="s">
        <v>16</v>
      </c>
      <c r="C22" s="178"/>
      <c r="D22" s="14">
        <f t="shared" si="0"/>
        <v>78612</v>
      </c>
      <c r="E22" s="17">
        <f t="shared" si="1"/>
        <v>559199.97965516453</v>
      </c>
      <c r="F22" s="21">
        <f t="shared" si="2"/>
        <v>7.11</v>
      </c>
    </row>
    <row r="23" spans="1:6" x14ac:dyDescent="0.2">
      <c r="A23" s="19">
        <v>19</v>
      </c>
      <c r="B23" s="177" t="s">
        <v>17</v>
      </c>
      <c r="C23" s="178"/>
      <c r="D23" s="14">
        <f t="shared" si="0"/>
        <v>355056</v>
      </c>
      <c r="E23" s="17">
        <f t="shared" si="1"/>
        <v>1380099.9768030848</v>
      </c>
      <c r="F23" s="21">
        <f t="shared" si="2"/>
        <v>3.89</v>
      </c>
    </row>
    <row r="24" spans="1:6" x14ac:dyDescent="0.2">
      <c r="A24" s="19">
        <v>20</v>
      </c>
      <c r="B24" s="177" t="s">
        <v>18</v>
      </c>
      <c r="C24" s="178"/>
      <c r="D24" s="14">
        <f t="shared" si="0"/>
        <v>0</v>
      </c>
      <c r="E24" s="17">
        <f t="shared" si="1"/>
        <v>0</v>
      </c>
      <c r="F24" s="21" t="str">
        <f t="shared" si="2"/>
        <v/>
      </c>
    </row>
    <row r="25" spans="1:6" ht="14.25" customHeight="1" x14ac:dyDescent="0.2">
      <c r="A25" s="19">
        <v>21</v>
      </c>
      <c r="B25" s="177" t="s">
        <v>461</v>
      </c>
      <c r="C25" s="178"/>
      <c r="D25" s="14">
        <f t="shared" si="0"/>
        <v>0</v>
      </c>
      <c r="E25" s="17">
        <f t="shared" si="1"/>
        <v>0</v>
      </c>
      <c r="F25" s="21" t="str">
        <f t="shared" si="2"/>
        <v/>
      </c>
    </row>
    <row r="26" spans="1:6" x14ac:dyDescent="0.2">
      <c r="A26" s="19">
        <v>22</v>
      </c>
      <c r="B26" s="177" t="s">
        <v>19</v>
      </c>
      <c r="C26" s="178"/>
      <c r="D26" s="14">
        <f t="shared" si="0"/>
        <v>0</v>
      </c>
      <c r="E26" s="17">
        <f t="shared" si="1"/>
        <v>0</v>
      </c>
      <c r="F26" s="21" t="str">
        <f t="shared" si="2"/>
        <v/>
      </c>
    </row>
    <row r="27" spans="1:6" x14ac:dyDescent="0.2">
      <c r="A27" s="19">
        <v>23</v>
      </c>
      <c r="B27" s="177" t="s">
        <v>20</v>
      </c>
      <c r="C27" s="178"/>
      <c r="D27" s="14">
        <f t="shared" si="0"/>
        <v>65808</v>
      </c>
      <c r="E27" s="17">
        <f t="shared" si="1"/>
        <v>352385.41343747859</v>
      </c>
      <c r="F27" s="21">
        <f t="shared" si="2"/>
        <v>5.35</v>
      </c>
    </row>
    <row r="28" spans="1:6" x14ac:dyDescent="0.2">
      <c r="A28" s="19">
        <v>24</v>
      </c>
      <c r="B28" s="177" t="s">
        <v>21</v>
      </c>
      <c r="C28" s="178"/>
      <c r="D28" s="14">
        <f t="shared" si="0"/>
        <v>0</v>
      </c>
      <c r="E28" s="17">
        <f t="shared" si="1"/>
        <v>0</v>
      </c>
      <c r="F28" s="21" t="str">
        <f t="shared" si="2"/>
        <v/>
      </c>
    </row>
    <row r="29" spans="1:6" x14ac:dyDescent="0.2">
      <c r="A29" s="19">
        <v>25</v>
      </c>
      <c r="B29" s="177" t="s">
        <v>22</v>
      </c>
      <c r="C29" s="178"/>
      <c r="D29" s="14">
        <f t="shared" si="0"/>
        <v>183184</v>
      </c>
      <c r="E29" s="17">
        <f t="shared" si="1"/>
        <v>807189.46813656518</v>
      </c>
      <c r="F29" s="21">
        <f t="shared" si="2"/>
        <v>4.41</v>
      </c>
    </row>
    <row r="30" spans="1:6" x14ac:dyDescent="0.2">
      <c r="A30" s="19">
        <v>26</v>
      </c>
      <c r="B30" s="177" t="s">
        <v>23</v>
      </c>
      <c r="C30" s="178"/>
      <c r="D30" s="14">
        <f t="shared" si="0"/>
        <v>69472</v>
      </c>
      <c r="E30" s="17">
        <f t="shared" si="1"/>
        <v>698827.92223329248</v>
      </c>
      <c r="F30" s="21">
        <f t="shared" si="2"/>
        <v>10.06</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1577796</v>
      </c>
      <c r="E33" s="31">
        <f>SUM(E5:E32)</f>
        <v>9069946.9999999981</v>
      </c>
      <c r="F33" s="32">
        <f t="shared" si="2"/>
        <v>5.75</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IF(F3="1",SUMIF(Data!A:A,'34'!$A$2,Data!CU:CU),0)</f>
        <v>7744</v>
      </c>
      <c r="E36" s="15">
        <f>IF(F3="1",SUMIF(Data!$A:$A,$A$2,Data!IO:IO),0)</f>
        <v>12319</v>
      </c>
      <c r="F36" s="20">
        <f t="shared" ref="F36:F64" si="3">IF(OR(D36=0,E36=0),"",ROUND(E36/D36,2))</f>
        <v>1.59</v>
      </c>
    </row>
    <row r="37" spans="1:6" x14ac:dyDescent="0.2">
      <c r="A37" s="19">
        <v>2</v>
      </c>
      <c r="B37" s="177" t="s">
        <v>1</v>
      </c>
      <c r="C37" s="178"/>
      <c r="D37" s="14">
        <f>IF(F3="1",SUMIF(Data!A:A,'34'!$A$2,Data!CV:CV),0)</f>
        <v>127968</v>
      </c>
      <c r="E37" s="17">
        <f>IF(F3="1",SUMIF(Data!$A:$A,$A$2,Data!IP:IP),0)</f>
        <v>305377</v>
      </c>
      <c r="F37" s="21">
        <f t="shared" si="3"/>
        <v>2.39</v>
      </c>
    </row>
    <row r="38" spans="1:6" ht="14.25" customHeight="1" x14ac:dyDescent="0.2">
      <c r="A38" s="19">
        <v>3</v>
      </c>
      <c r="B38" s="177" t="s">
        <v>2</v>
      </c>
      <c r="C38" s="178"/>
      <c r="D38" s="14">
        <f>IF(F3="1",SUMIF(Data!A:A,'34'!$A$2,Data!CW:CW),0)</f>
        <v>169808</v>
      </c>
      <c r="E38" s="17">
        <f>IF($F$3="1",SUMIF(Data!$A:$A,$A$2,Data!IQ:IQ),0)</f>
        <v>53327</v>
      </c>
      <c r="F38" s="21">
        <f t="shared" si="3"/>
        <v>0.31</v>
      </c>
    </row>
    <row r="39" spans="1:6" ht="14.25" customHeight="1" x14ac:dyDescent="0.2">
      <c r="A39" s="19">
        <v>4</v>
      </c>
      <c r="B39" s="177" t="s">
        <v>3</v>
      </c>
      <c r="C39" s="178"/>
      <c r="D39" s="14">
        <f>IF(F3="1",SUMIF(Data!A:A,'34'!$A$2,Data!CX:CX),0)</f>
        <v>84480</v>
      </c>
      <c r="E39" s="17">
        <f>IF($F$3="1",SUMIF(Data!$A:$A,$A$2,Data!IR:IR),0)</f>
        <v>23387</v>
      </c>
      <c r="F39" s="21">
        <f t="shared" si="3"/>
        <v>0.28000000000000003</v>
      </c>
    </row>
    <row r="40" spans="1:6" x14ac:dyDescent="0.2">
      <c r="A40" s="19">
        <v>5</v>
      </c>
      <c r="B40" s="177" t="s">
        <v>4</v>
      </c>
      <c r="C40" s="178"/>
      <c r="D40" s="14">
        <f>IF(F3="1",SUMIF(Data!A:A,'34'!$A$2,Data!CY:CY),0)</f>
        <v>0</v>
      </c>
      <c r="E40" s="17">
        <f>IF($F$3="1",SUMIF(Data!$A:$A,$A$2,Data!IS:IS),0)</f>
        <v>0</v>
      </c>
      <c r="F40" s="21" t="str">
        <f t="shared" si="3"/>
        <v/>
      </c>
    </row>
    <row r="41" spans="1:6" x14ac:dyDescent="0.2">
      <c r="A41" s="19">
        <v>6</v>
      </c>
      <c r="B41" s="177" t="s">
        <v>5</v>
      </c>
      <c r="C41" s="178"/>
      <c r="D41" s="14">
        <f>IF(F3="1",SUMIF(Data!A:A,'34'!$A$2,Data!CZ:CZ),0)</f>
        <v>5280</v>
      </c>
      <c r="E41" s="17">
        <f>IF($F$3="1",SUMIF(Data!$A:$A,$A$2,Data!IT:IT),0)</f>
        <v>8844</v>
      </c>
      <c r="F41" s="21">
        <f t="shared" si="3"/>
        <v>1.68</v>
      </c>
    </row>
    <row r="42" spans="1:6" x14ac:dyDescent="0.2">
      <c r="A42" s="19">
        <v>7</v>
      </c>
      <c r="B42" s="177" t="s">
        <v>6</v>
      </c>
      <c r="C42" s="178"/>
      <c r="D42" s="14">
        <f>IF(F3="1",SUMIF(Data!A:A,'34'!$A$2,Data!DA:DA),0)</f>
        <v>71472</v>
      </c>
      <c r="E42" s="17">
        <f>IF($F$3="1",SUMIF(Data!$A:$A,$A$2,Data!IU:IU),0)</f>
        <v>18343</v>
      </c>
      <c r="F42" s="21">
        <f t="shared" si="3"/>
        <v>0.26</v>
      </c>
    </row>
    <row r="43" spans="1:6" x14ac:dyDescent="0.2">
      <c r="A43" s="19">
        <v>8</v>
      </c>
      <c r="B43" s="177" t="s">
        <v>7</v>
      </c>
      <c r="C43" s="178"/>
      <c r="D43" s="14">
        <f>IF(F3="1",SUMIF(Data!A:A,'34'!$A$2,Data!DB:DB),0)</f>
        <v>0</v>
      </c>
      <c r="E43" s="17">
        <f>IF($F$3="1",SUMIF(Data!$A:$A,$A$2,Data!IV:IV),0)</f>
        <v>0</v>
      </c>
      <c r="F43" s="21" t="str">
        <f t="shared" si="3"/>
        <v/>
      </c>
    </row>
    <row r="44" spans="1:6" x14ac:dyDescent="0.2">
      <c r="A44" s="19">
        <v>9</v>
      </c>
      <c r="B44" s="177" t="s">
        <v>8</v>
      </c>
      <c r="C44" s="178"/>
      <c r="D44" s="14">
        <f>IF(F3="1",SUMIF(Data!A:A,'34'!$A$2,Data!DC:DC),0)</f>
        <v>39456</v>
      </c>
      <c r="E44" s="17">
        <f>IF($F$3="1",SUMIF(Data!$A:$A,$A$2,Data!IW:IW),0)</f>
        <v>10806</v>
      </c>
      <c r="F44" s="21">
        <f t="shared" si="3"/>
        <v>0.27</v>
      </c>
    </row>
    <row r="45" spans="1:6" x14ac:dyDescent="0.2">
      <c r="A45" s="19">
        <v>10</v>
      </c>
      <c r="B45" s="177" t="s">
        <v>9</v>
      </c>
      <c r="C45" s="178"/>
      <c r="D45" s="14">
        <f>IF(F3="1",SUMIF(Data!A:A,'34'!$A$2,Data!DD:DD),0)</f>
        <v>0</v>
      </c>
      <c r="E45" s="17">
        <f>IF($F$3="1",SUMIF(Data!$A:$A,$A$2,Data!IX:IX),0)</f>
        <v>490</v>
      </c>
      <c r="F45" s="21" t="str">
        <f t="shared" si="3"/>
        <v/>
      </c>
    </row>
    <row r="46" spans="1:6" x14ac:dyDescent="0.2">
      <c r="A46" s="19">
        <v>11</v>
      </c>
      <c r="B46" s="177" t="s">
        <v>10</v>
      </c>
      <c r="C46" s="178"/>
      <c r="D46" s="14">
        <f>IF(F3="1",SUMIF(Data!A:A,'34'!$A$2,Data!DE:DE),0)</f>
        <v>51744</v>
      </c>
      <c r="E46" s="17">
        <f>IF($F$3="1",SUMIF(Data!$A:$A,$A$2,Data!IY:IY),0)</f>
        <v>96854</v>
      </c>
      <c r="F46" s="21">
        <f t="shared" si="3"/>
        <v>1.87</v>
      </c>
    </row>
    <row r="47" spans="1:6" ht="14.25" customHeight="1" x14ac:dyDescent="0.2">
      <c r="A47" s="19">
        <v>12</v>
      </c>
      <c r="B47" s="177" t="s">
        <v>11</v>
      </c>
      <c r="C47" s="178"/>
      <c r="D47" s="14">
        <f>IF(F3="1",SUMIF(Data!A:A,'34'!$A$2,Data!DF:DF),0)</f>
        <v>172240</v>
      </c>
      <c r="E47" s="17">
        <f>IF($F$3="1",SUMIF(Data!$A:$A,$A$2,Data!IZ:IZ),0)</f>
        <v>30016</v>
      </c>
      <c r="F47" s="21">
        <f t="shared" si="3"/>
        <v>0.17</v>
      </c>
    </row>
    <row r="48" spans="1:6" x14ac:dyDescent="0.2">
      <c r="A48" s="19">
        <v>13</v>
      </c>
      <c r="B48" s="177" t="s">
        <v>12</v>
      </c>
      <c r="C48" s="178"/>
      <c r="D48" s="14">
        <f>IF(F3="1",SUMIF(Data!A:A,'34'!$A$2,Data!DG:DG),0)</f>
        <v>17664</v>
      </c>
      <c r="E48" s="17">
        <f>IF($F$3="1",SUMIF(Data!$A:$A,$A$2,Data!JA:JA),0)</f>
        <v>508</v>
      </c>
      <c r="F48" s="21">
        <f t="shared" si="3"/>
        <v>0.03</v>
      </c>
    </row>
    <row r="49" spans="1:6" ht="14.25" customHeight="1" x14ac:dyDescent="0.2">
      <c r="A49" s="19">
        <v>14</v>
      </c>
      <c r="B49" s="177" t="s">
        <v>464</v>
      </c>
      <c r="C49" s="178"/>
      <c r="D49" s="14">
        <f>IF(F3="1",SUMIF(Data!A:A,'34'!$A$2,Data!DH:DH),0)</f>
        <v>30768</v>
      </c>
      <c r="E49" s="17">
        <f>IF($F$3="1",SUMIF(Data!$A:$A,$A$2,Data!JB:JB),0)</f>
        <v>43026</v>
      </c>
      <c r="F49" s="21">
        <f t="shared" si="3"/>
        <v>1.4</v>
      </c>
    </row>
    <row r="50" spans="1:6" x14ac:dyDescent="0.2">
      <c r="A50" s="19">
        <v>15</v>
      </c>
      <c r="B50" s="177" t="s">
        <v>13</v>
      </c>
      <c r="C50" s="178"/>
      <c r="D50" s="14">
        <f>IF(F3="1",SUMIF(Data!A:A,'34'!$A$2,Data!DI:DI),0)</f>
        <v>0</v>
      </c>
      <c r="E50" s="17">
        <f>IF($F$3="1",SUMIF(Data!$A:$A,$A$2,Data!JC:JC),0)</f>
        <v>0</v>
      </c>
      <c r="F50" s="21" t="str">
        <f t="shared" si="3"/>
        <v/>
      </c>
    </row>
    <row r="51" spans="1:6" x14ac:dyDescent="0.2">
      <c r="A51" s="19">
        <v>16</v>
      </c>
      <c r="B51" s="177" t="s">
        <v>14</v>
      </c>
      <c r="C51" s="178"/>
      <c r="D51" s="14">
        <f>IF(F3="1",SUMIF(Data!A:A,'34'!$A$2,Data!DJ:DJ),0)</f>
        <v>47040</v>
      </c>
      <c r="E51" s="17">
        <f>IF($F$3="1",SUMIF(Data!$A:$A,$A$2,Data!JD:JD),0)</f>
        <v>0</v>
      </c>
      <c r="F51" s="21" t="str">
        <f t="shared" si="3"/>
        <v/>
      </c>
    </row>
    <row r="52" spans="1:6" x14ac:dyDescent="0.2">
      <c r="A52" s="19">
        <v>17</v>
      </c>
      <c r="B52" s="177" t="s">
        <v>15</v>
      </c>
      <c r="C52" s="178"/>
      <c r="D52" s="14">
        <f>IF(F3="1",SUMIF(Data!A:A,'34'!$A$2,Data!DK:DK),0)</f>
        <v>0</v>
      </c>
      <c r="E52" s="17">
        <f>IF($F$3="1",SUMIF(Data!$A:$A,$A$2,Data!JE:JE),0)</f>
        <v>0</v>
      </c>
      <c r="F52" s="21" t="str">
        <f t="shared" si="3"/>
        <v/>
      </c>
    </row>
    <row r="53" spans="1:6" x14ac:dyDescent="0.2">
      <c r="A53" s="19">
        <v>18</v>
      </c>
      <c r="B53" s="177" t="s">
        <v>16</v>
      </c>
      <c r="C53" s="178"/>
      <c r="D53" s="14">
        <f>IF(F3="1",SUMIF(Data!A:A,'34'!$A$2,Data!DL:DL),0)</f>
        <v>78612</v>
      </c>
      <c r="E53" s="17">
        <f>IF($F$3="1",SUMIF(Data!$A:$A,$A$2,Data!JF:JF),0)</f>
        <v>11283</v>
      </c>
      <c r="F53" s="21">
        <f t="shared" si="3"/>
        <v>0.14000000000000001</v>
      </c>
    </row>
    <row r="54" spans="1:6" x14ac:dyDescent="0.2">
      <c r="A54" s="19">
        <v>19</v>
      </c>
      <c r="B54" s="177" t="s">
        <v>17</v>
      </c>
      <c r="C54" s="178"/>
      <c r="D54" s="14">
        <f>IF(F3="1",SUMIF(Data!A:A,'34'!$A$2,Data!DM:DM),0)</f>
        <v>355056</v>
      </c>
      <c r="E54" s="17">
        <f>IF($F$3="1",SUMIF(Data!$A:$A,$A$2,Data!JG:JG),0)</f>
        <v>37793</v>
      </c>
      <c r="F54" s="21">
        <f t="shared" si="3"/>
        <v>0.11</v>
      </c>
    </row>
    <row r="55" spans="1:6" x14ac:dyDescent="0.2">
      <c r="A55" s="19">
        <v>20</v>
      </c>
      <c r="B55" s="177" t="s">
        <v>18</v>
      </c>
      <c r="C55" s="178"/>
      <c r="D55" s="14">
        <f>IF(F3="1",SUMIF(Data!A:A,'34'!$A$2,Data!DN:DN),0)</f>
        <v>0</v>
      </c>
      <c r="E55" s="17">
        <f>IF($F$3="1",SUMIF(Data!$A:$A,$A$2,Data!JH:JH),0)</f>
        <v>0</v>
      </c>
      <c r="F55" s="21" t="str">
        <f t="shared" si="3"/>
        <v/>
      </c>
    </row>
    <row r="56" spans="1:6" ht="14.25" customHeight="1" x14ac:dyDescent="0.2">
      <c r="A56" s="19">
        <v>21</v>
      </c>
      <c r="B56" s="177" t="s">
        <v>461</v>
      </c>
      <c r="C56" s="178"/>
      <c r="D56" s="14">
        <f>IF(F3="1",SUMIF(Data!A:A,'34'!$A$2,Data!DO:DO),0)</f>
        <v>0</v>
      </c>
      <c r="E56" s="17">
        <f>IF($F$3="1",SUMIF(Data!$A:$A,$A$2,Data!JI:JI),0)</f>
        <v>0</v>
      </c>
      <c r="F56" s="21" t="str">
        <f t="shared" si="3"/>
        <v/>
      </c>
    </row>
    <row r="57" spans="1:6" x14ac:dyDescent="0.2">
      <c r="A57" s="19">
        <v>22</v>
      </c>
      <c r="B57" s="177" t="s">
        <v>19</v>
      </c>
      <c r="C57" s="178"/>
      <c r="D57" s="14">
        <f>IF(F3="1",SUMIF(Data!A:A,'34'!$A$2,Data!DP:DP),0)</f>
        <v>0</v>
      </c>
      <c r="E57" s="17">
        <f>IF($F$3="1",SUMIF(Data!$A:$A,$A$2,Data!JJ:JJ),0)</f>
        <v>0</v>
      </c>
      <c r="F57" s="21" t="str">
        <f t="shared" si="3"/>
        <v/>
      </c>
    </row>
    <row r="58" spans="1:6" x14ac:dyDescent="0.2">
      <c r="A58" s="19">
        <v>23</v>
      </c>
      <c r="B58" s="177" t="s">
        <v>20</v>
      </c>
      <c r="C58" s="178"/>
      <c r="D58" s="14">
        <f>IF(F3="1",SUMIF(Data!A:A,'34'!$A$2,Data!DQ:DQ),0)</f>
        <v>65808</v>
      </c>
      <c r="E58" s="17">
        <f>IF($F$3="1",SUMIF(Data!$A:$A,$A$2,Data!JK:JK),0)</f>
        <v>20045</v>
      </c>
      <c r="F58" s="21">
        <f t="shared" si="3"/>
        <v>0.3</v>
      </c>
    </row>
    <row r="59" spans="1:6" x14ac:dyDescent="0.2">
      <c r="A59" s="19">
        <v>24</v>
      </c>
      <c r="B59" s="177" t="s">
        <v>21</v>
      </c>
      <c r="C59" s="178"/>
      <c r="D59" s="14">
        <f>IF(F3="1",SUMIF(Data!A:A,'34'!$A$2,Data!DR:DR),0)</f>
        <v>0</v>
      </c>
      <c r="E59" s="17">
        <f>IF($F$3="1",SUMIF(Data!$A:$A,$A$2,Data!JL:JL),0)</f>
        <v>0</v>
      </c>
      <c r="F59" s="21" t="str">
        <f t="shared" si="3"/>
        <v/>
      </c>
    </row>
    <row r="60" spans="1:6" x14ac:dyDescent="0.2">
      <c r="A60" s="19">
        <v>25</v>
      </c>
      <c r="B60" s="177" t="s">
        <v>22</v>
      </c>
      <c r="C60" s="178"/>
      <c r="D60" s="14">
        <f>IF(F3="1",SUMIF(Data!A:A,'34'!$A$2,Data!DS:DS),0)</f>
        <v>183184</v>
      </c>
      <c r="E60" s="17">
        <f>IF($F$3="1",SUMIF(Data!$A:$A,$A$2,Data!JM:JM),0)</f>
        <v>14963</v>
      </c>
      <c r="F60" s="21">
        <f t="shared" si="3"/>
        <v>0.08</v>
      </c>
    </row>
    <row r="61" spans="1:6" x14ac:dyDescent="0.2">
      <c r="A61" s="19">
        <v>26</v>
      </c>
      <c r="B61" s="177" t="s">
        <v>23</v>
      </c>
      <c r="C61" s="178"/>
      <c r="D61" s="14">
        <f>IF(F3="1",SUMIF(Data!A:A,'34'!$A$2,Data!DT:DT),0)</f>
        <v>69472</v>
      </c>
      <c r="E61" s="17">
        <f>IF($F$3="1",SUMIF(Data!$A:$A,$A$2,Data!JN:JN),0)</f>
        <v>157917</v>
      </c>
      <c r="F61" s="21">
        <f t="shared" si="3"/>
        <v>2.27</v>
      </c>
    </row>
    <row r="62" spans="1:6" x14ac:dyDescent="0.2">
      <c r="A62" s="19">
        <v>28</v>
      </c>
      <c r="B62" s="177" t="s">
        <v>24</v>
      </c>
      <c r="C62" s="178"/>
      <c r="D62" s="14">
        <f>IF(F3="1",SUMIF(Data!A:A,'34'!$A$2,Data!DV:DV),0)</f>
        <v>0</v>
      </c>
      <c r="E62" s="17">
        <f>IF($F$3="1",SUMIF(Data!$A:$A,$A$2,Data!JP:JP),0)</f>
        <v>0</v>
      </c>
      <c r="F62" s="21" t="str">
        <f t="shared" si="3"/>
        <v/>
      </c>
    </row>
    <row r="63" spans="1:6" ht="15.75" customHeight="1" thickBot="1" x14ac:dyDescent="0.25">
      <c r="A63" s="22">
        <v>29</v>
      </c>
      <c r="B63" s="179" t="s">
        <v>25</v>
      </c>
      <c r="C63" s="180"/>
      <c r="D63" s="23">
        <f>IF(F3="1",SUMIF(Data!A:A,'34'!$A$2,Data!DW:DW),0)</f>
        <v>0</v>
      </c>
      <c r="E63" s="24">
        <f>IF($F$3="1",SUMIF(Data!$A:$A,$A$2,Data!JQ:JQ),0)</f>
        <v>0</v>
      </c>
      <c r="F63" s="25" t="str">
        <f t="shared" si="3"/>
        <v/>
      </c>
    </row>
    <row r="64" spans="1:6" x14ac:dyDescent="0.2">
      <c r="B64" s="30" t="s">
        <v>35</v>
      </c>
      <c r="C64" s="30"/>
      <c r="D64" s="59">
        <f>SUM(D36:D63)</f>
        <v>1577796</v>
      </c>
      <c r="E64" s="31">
        <f>SUM(E36:E63)</f>
        <v>845298</v>
      </c>
      <c r="F64" s="32">
        <f t="shared" si="3"/>
        <v>0.54</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7744</v>
      </c>
      <c r="E67" s="15">
        <f>IF(F3="1",SUMIF(Data!A:A,'34'!$A$2,Data!DY:DY),0)</f>
        <v>35675</v>
      </c>
      <c r="F67" s="20">
        <f t="shared" ref="F67:F95" si="4">IF(OR(D67=0,E67=0),"",ROUND(E67/D67,2))</f>
        <v>4.6100000000000003</v>
      </c>
    </row>
    <row r="68" spans="1:6" x14ac:dyDescent="0.2">
      <c r="A68" s="19">
        <v>2</v>
      </c>
      <c r="B68" s="177" t="s">
        <v>1</v>
      </c>
      <c r="C68" s="178"/>
      <c r="D68" s="14">
        <f t="shared" ref="D68:D94" si="5">D37</f>
        <v>127968</v>
      </c>
      <c r="E68" s="17">
        <f>IF(F3="1",SUMIF(Data!A:A,'34'!$A$2,Data!DZ:DZ),0)</f>
        <v>614451</v>
      </c>
      <c r="F68" s="21">
        <f t="shared" si="4"/>
        <v>4.8</v>
      </c>
    </row>
    <row r="69" spans="1:6" ht="14.25" customHeight="1" x14ac:dyDescent="0.2">
      <c r="A69" s="19">
        <v>3</v>
      </c>
      <c r="B69" s="177" t="s">
        <v>2</v>
      </c>
      <c r="C69" s="178"/>
      <c r="D69" s="14">
        <f t="shared" si="5"/>
        <v>169808</v>
      </c>
      <c r="E69" s="17">
        <f>IF(F3="1",SUMIF(Data!A:A,'34'!$A$2,Data!EA:EA),0)</f>
        <v>305441</v>
      </c>
      <c r="F69" s="21">
        <f t="shared" si="4"/>
        <v>1.8</v>
      </c>
    </row>
    <row r="70" spans="1:6" ht="14.25" customHeight="1" x14ac:dyDescent="0.2">
      <c r="A70" s="19">
        <v>4</v>
      </c>
      <c r="B70" s="177" t="s">
        <v>3</v>
      </c>
      <c r="C70" s="178"/>
      <c r="D70" s="14">
        <f t="shared" si="5"/>
        <v>84480</v>
      </c>
      <c r="E70" s="17">
        <f>IF(F3="1",SUMIF(Data!A:A,'34'!$A$2,Data!EB:EB),0)</f>
        <v>315877</v>
      </c>
      <c r="F70" s="21">
        <f t="shared" si="4"/>
        <v>3.74</v>
      </c>
    </row>
    <row r="71" spans="1:6" x14ac:dyDescent="0.2">
      <c r="A71" s="19">
        <v>5</v>
      </c>
      <c r="B71" s="177" t="s">
        <v>4</v>
      </c>
      <c r="C71" s="178"/>
      <c r="D71" s="14">
        <f t="shared" si="5"/>
        <v>0</v>
      </c>
      <c r="E71" s="17">
        <f>IF(F3="1",SUMIF(Data!A:A,'34'!$A$2,Data!EC:EC),0)</f>
        <v>0</v>
      </c>
      <c r="F71" s="21" t="str">
        <f t="shared" si="4"/>
        <v/>
      </c>
    </row>
    <row r="72" spans="1:6" x14ac:dyDescent="0.2">
      <c r="A72" s="19">
        <v>6</v>
      </c>
      <c r="B72" s="177" t="s">
        <v>5</v>
      </c>
      <c r="C72" s="178"/>
      <c r="D72" s="14">
        <f t="shared" si="5"/>
        <v>5280</v>
      </c>
      <c r="E72" s="17">
        <f>IF(F3="1",SUMIF(Data!A:A,'34'!$A$2,Data!ED:ED),0)</f>
        <v>33645</v>
      </c>
      <c r="F72" s="21">
        <f t="shared" si="4"/>
        <v>6.37</v>
      </c>
    </row>
    <row r="73" spans="1:6" x14ac:dyDescent="0.2">
      <c r="A73" s="19">
        <v>7</v>
      </c>
      <c r="B73" s="177" t="s">
        <v>6</v>
      </c>
      <c r="C73" s="178"/>
      <c r="D73" s="14">
        <f t="shared" si="5"/>
        <v>71472</v>
      </c>
      <c r="E73" s="17">
        <f>IF(F3="1",SUMIF(Data!A:A,'34'!$A$2,Data!EE:EE),0)</f>
        <v>195918</v>
      </c>
      <c r="F73" s="21">
        <f t="shared" si="4"/>
        <v>2.74</v>
      </c>
    </row>
    <row r="74" spans="1:6" x14ac:dyDescent="0.2">
      <c r="A74" s="19">
        <v>8</v>
      </c>
      <c r="B74" s="177" t="s">
        <v>7</v>
      </c>
      <c r="C74" s="178"/>
      <c r="D74" s="14">
        <f t="shared" si="5"/>
        <v>0</v>
      </c>
      <c r="E74" s="17">
        <f>IF(F3="1",SUMIF(Data!A:A,'34'!$A$2,Data!EF:EF),0)</f>
        <v>0</v>
      </c>
      <c r="F74" s="21" t="str">
        <f t="shared" si="4"/>
        <v/>
      </c>
    </row>
    <row r="75" spans="1:6" x14ac:dyDescent="0.2">
      <c r="A75" s="19">
        <v>9</v>
      </c>
      <c r="B75" s="177" t="s">
        <v>8</v>
      </c>
      <c r="C75" s="178"/>
      <c r="D75" s="14">
        <f t="shared" si="5"/>
        <v>39456</v>
      </c>
      <c r="E75" s="17">
        <f>IF(F3="1",SUMIF(Data!A:A,'34'!$A$2,Data!EG:EG),0)</f>
        <v>66109</v>
      </c>
      <c r="F75" s="21">
        <f t="shared" si="4"/>
        <v>1.68</v>
      </c>
    </row>
    <row r="76" spans="1:6" x14ac:dyDescent="0.2">
      <c r="A76" s="19">
        <v>10</v>
      </c>
      <c r="B76" s="177" t="s">
        <v>9</v>
      </c>
      <c r="C76" s="178"/>
      <c r="D76" s="14">
        <f t="shared" si="5"/>
        <v>0</v>
      </c>
      <c r="E76" s="17">
        <f>IF(F3="1",SUMIF(Data!A:A,'34'!$A$2,Data!EH:EH),0)</f>
        <v>0</v>
      </c>
      <c r="F76" s="21" t="str">
        <f t="shared" si="4"/>
        <v/>
      </c>
    </row>
    <row r="77" spans="1:6" x14ac:dyDescent="0.2">
      <c r="A77" s="19">
        <v>11</v>
      </c>
      <c r="B77" s="177" t="s">
        <v>10</v>
      </c>
      <c r="C77" s="178"/>
      <c r="D77" s="14">
        <f t="shared" si="5"/>
        <v>51744</v>
      </c>
      <c r="E77" s="17">
        <f>IF(F3="1",SUMIF(Data!A:A,'34'!$A$2,Data!EI:EI),0)</f>
        <v>169636</v>
      </c>
      <c r="F77" s="21">
        <f t="shared" si="4"/>
        <v>3.28</v>
      </c>
    </row>
    <row r="78" spans="1:6" ht="14.25" customHeight="1" x14ac:dyDescent="0.2">
      <c r="A78" s="19">
        <v>12</v>
      </c>
      <c r="B78" s="177" t="s">
        <v>11</v>
      </c>
      <c r="C78" s="178"/>
      <c r="D78" s="14">
        <f t="shared" si="5"/>
        <v>172240</v>
      </c>
      <c r="E78" s="17">
        <f>IF(F3="1",SUMIF(Data!A:A,'34'!$A$2,Data!EJ:EJ),0)</f>
        <v>458254</v>
      </c>
      <c r="F78" s="21">
        <f t="shared" si="4"/>
        <v>2.66</v>
      </c>
    </row>
    <row r="79" spans="1:6" x14ac:dyDescent="0.2">
      <c r="A79" s="19">
        <v>13</v>
      </c>
      <c r="B79" s="177" t="s">
        <v>12</v>
      </c>
      <c r="C79" s="178"/>
      <c r="D79" s="14">
        <f t="shared" si="5"/>
        <v>17664</v>
      </c>
      <c r="E79" s="17">
        <f>IF(F3="1",SUMIF(Data!A:A,'34'!$A$2,Data!EK:EK),0)</f>
        <v>42201</v>
      </c>
      <c r="F79" s="21">
        <f t="shared" si="4"/>
        <v>2.39</v>
      </c>
    </row>
    <row r="80" spans="1:6" ht="14.25" customHeight="1" x14ac:dyDescent="0.2">
      <c r="A80" s="19">
        <v>14</v>
      </c>
      <c r="B80" s="177" t="s">
        <v>464</v>
      </c>
      <c r="C80" s="178"/>
      <c r="D80" s="14">
        <f t="shared" si="5"/>
        <v>30768</v>
      </c>
      <c r="E80" s="17">
        <f>IF(F3="1",SUMIF(Data!A:A,'34'!$A$2,Data!EL:EL),0)</f>
        <v>317439</v>
      </c>
      <c r="F80" s="21">
        <f t="shared" si="4"/>
        <v>10.32</v>
      </c>
    </row>
    <row r="81" spans="1:6" x14ac:dyDescent="0.2">
      <c r="A81" s="19">
        <v>15</v>
      </c>
      <c r="B81" s="177" t="s">
        <v>13</v>
      </c>
      <c r="C81" s="178"/>
      <c r="D81" s="14">
        <f t="shared" si="5"/>
        <v>0</v>
      </c>
      <c r="E81" s="17">
        <f>IF(F3="1",SUMIF(Data!A:A,'34'!$A$2,Data!EM:EM),0)</f>
        <v>0</v>
      </c>
      <c r="F81" s="21" t="str">
        <f t="shared" si="4"/>
        <v/>
      </c>
    </row>
    <row r="82" spans="1:6" x14ac:dyDescent="0.2">
      <c r="A82" s="19">
        <v>16</v>
      </c>
      <c r="B82" s="177" t="s">
        <v>14</v>
      </c>
      <c r="C82" s="178"/>
      <c r="D82" s="14">
        <f t="shared" si="5"/>
        <v>47040</v>
      </c>
      <c r="E82" s="17">
        <f>IF(F3="1",SUMIF(Data!A:A,'34'!$A$2,Data!EN:EN),0)</f>
        <v>0</v>
      </c>
      <c r="F82" s="21" t="str">
        <f t="shared" si="4"/>
        <v/>
      </c>
    </row>
    <row r="83" spans="1:6" x14ac:dyDescent="0.2">
      <c r="A83" s="19">
        <v>17</v>
      </c>
      <c r="B83" s="177" t="s">
        <v>15</v>
      </c>
      <c r="C83" s="178"/>
      <c r="D83" s="14">
        <f t="shared" si="5"/>
        <v>0</v>
      </c>
      <c r="E83" s="17">
        <f>IF(F3="1",SUMIF(Data!A:A,'34'!$A$2,Data!EO:EO),0)</f>
        <v>0</v>
      </c>
      <c r="F83" s="21" t="str">
        <f t="shared" si="4"/>
        <v/>
      </c>
    </row>
    <row r="84" spans="1:6" x14ac:dyDescent="0.2">
      <c r="A84" s="19">
        <v>18</v>
      </c>
      <c r="B84" s="177" t="s">
        <v>16</v>
      </c>
      <c r="C84" s="178"/>
      <c r="D84" s="14">
        <f t="shared" si="5"/>
        <v>78612</v>
      </c>
      <c r="E84" s="17">
        <f>IF(F3="1",SUMIF(Data!A:A,'34'!$A$2,Data!EP:EP),0)</f>
        <v>346613</v>
      </c>
      <c r="F84" s="21">
        <f t="shared" si="4"/>
        <v>4.41</v>
      </c>
    </row>
    <row r="85" spans="1:6" x14ac:dyDescent="0.2">
      <c r="A85" s="19">
        <v>19</v>
      </c>
      <c r="B85" s="177" t="s">
        <v>17</v>
      </c>
      <c r="C85" s="178"/>
      <c r="D85" s="14">
        <f t="shared" si="5"/>
        <v>355056</v>
      </c>
      <c r="E85" s="17">
        <f>IF(F3="1",SUMIF(Data!A:A,'34'!$A$2,Data!EQ:EQ),0)</f>
        <v>433105</v>
      </c>
      <c r="F85" s="21">
        <f t="shared" si="4"/>
        <v>1.22</v>
      </c>
    </row>
    <row r="86" spans="1:6" x14ac:dyDescent="0.2">
      <c r="A86" s="19">
        <v>20</v>
      </c>
      <c r="B86" s="177" t="s">
        <v>18</v>
      </c>
      <c r="C86" s="178"/>
      <c r="D86" s="14">
        <f t="shared" si="5"/>
        <v>0</v>
      </c>
      <c r="E86" s="17">
        <f>IF(F3="1",SUMIF(Data!A:A,'34'!$A$2,Data!ER:ER),0)</f>
        <v>0</v>
      </c>
      <c r="F86" s="21" t="str">
        <f t="shared" si="4"/>
        <v/>
      </c>
    </row>
    <row r="87" spans="1:6" ht="14.25" customHeight="1" x14ac:dyDescent="0.2">
      <c r="A87" s="19">
        <v>21</v>
      </c>
      <c r="B87" s="177" t="s">
        <v>461</v>
      </c>
      <c r="C87" s="178"/>
      <c r="D87" s="14">
        <f t="shared" si="5"/>
        <v>0</v>
      </c>
      <c r="E87" s="17">
        <f>IF(F3="1",SUMIF(Data!A:A,'34'!$A$2,Data!ES:ES),0)</f>
        <v>0</v>
      </c>
      <c r="F87" s="21" t="str">
        <f t="shared" si="4"/>
        <v/>
      </c>
    </row>
    <row r="88" spans="1:6" x14ac:dyDescent="0.2">
      <c r="A88" s="19">
        <v>22</v>
      </c>
      <c r="B88" s="177" t="s">
        <v>19</v>
      </c>
      <c r="C88" s="178"/>
      <c r="D88" s="14">
        <f t="shared" si="5"/>
        <v>0</v>
      </c>
      <c r="E88" s="17">
        <f>IF(F3="1",SUMIF(Data!A:A,'34'!$A$2,Data!ET:ET),0)</f>
        <v>0</v>
      </c>
      <c r="F88" s="21" t="str">
        <f t="shared" si="4"/>
        <v/>
      </c>
    </row>
    <row r="89" spans="1:6" x14ac:dyDescent="0.2">
      <c r="A89" s="19">
        <v>23</v>
      </c>
      <c r="B89" s="177" t="s">
        <v>20</v>
      </c>
      <c r="C89" s="178"/>
      <c r="D89" s="14">
        <f t="shared" si="5"/>
        <v>65808</v>
      </c>
      <c r="E89" s="17">
        <f>IF(F3="1",SUMIF(Data!A:A,'34'!$A$2,Data!EU:EU),0)</f>
        <v>163824</v>
      </c>
      <c r="F89" s="21">
        <f t="shared" si="4"/>
        <v>2.4900000000000002</v>
      </c>
    </row>
    <row r="90" spans="1:6" x14ac:dyDescent="0.2">
      <c r="A90" s="19">
        <v>24</v>
      </c>
      <c r="B90" s="177" t="s">
        <v>21</v>
      </c>
      <c r="C90" s="178"/>
      <c r="D90" s="14">
        <f t="shared" si="5"/>
        <v>0</v>
      </c>
      <c r="E90" s="17">
        <f>IF(F3="1",SUMIF(Data!A:A,'34'!$A$2,Data!EV:EV),0)</f>
        <v>0</v>
      </c>
      <c r="F90" s="21" t="str">
        <f t="shared" si="4"/>
        <v/>
      </c>
    </row>
    <row r="91" spans="1:6" x14ac:dyDescent="0.2">
      <c r="A91" s="19">
        <v>25</v>
      </c>
      <c r="B91" s="177" t="s">
        <v>22</v>
      </c>
      <c r="C91" s="178"/>
      <c r="D91" s="14">
        <f t="shared" si="5"/>
        <v>183184</v>
      </c>
      <c r="E91" s="17">
        <f>IF(F3="1",SUMIF(Data!A:A,'34'!$A$2,Data!EW:EW),0)</f>
        <v>323142</v>
      </c>
      <c r="F91" s="21">
        <f t="shared" si="4"/>
        <v>1.76</v>
      </c>
    </row>
    <row r="92" spans="1:6" x14ac:dyDescent="0.2">
      <c r="A92" s="19">
        <v>26</v>
      </c>
      <c r="B92" s="177" t="s">
        <v>23</v>
      </c>
      <c r="C92" s="178"/>
      <c r="D92" s="14">
        <f t="shared" si="5"/>
        <v>69472</v>
      </c>
      <c r="E92" s="17">
        <f>IF(F3="1",SUMIF(Data!A:A,'34'!$A$2,Data!EX:EX),0)</f>
        <v>363012</v>
      </c>
      <c r="F92" s="21">
        <f t="shared" si="4"/>
        <v>5.23</v>
      </c>
    </row>
    <row r="93" spans="1:6" x14ac:dyDescent="0.2">
      <c r="A93" s="19">
        <v>28</v>
      </c>
      <c r="B93" s="177" t="s">
        <v>24</v>
      </c>
      <c r="C93" s="178"/>
      <c r="D93" s="14">
        <f t="shared" si="5"/>
        <v>0</v>
      </c>
      <c r="E93" s="17">
        <f>IF(F3="1",SUMIF(Data!A:A,'34'!$A$2,Data!EZ:EZ),0)</f>
        <v>0</v>
      </c>
      <c r="F93" s="21" t="str">
        <f t="shared" si="4"/>
        <v/>
      </c>
    </row>
    <row r="94" spans="1:6" ht="15.75" customHeight="1" thickBot="1" x14ac:dyDescent="0.25">
      <c r="A94" s="22">
        <v>29</v>
      </c>
      <c r="B94" s="179" t="s">
        <v>25</v>
      </c>
      <c r="C94" s="180"/>
      <c r="D94" s="23">
        <f t="shared" si="5"/>
        <v>0</v>
      </c>
      <c r="E94" s="24">
        <f>IF(F3="1",SUMIF(Data!A:A,'34'!$A$2,Data!FA:FA),0)</f>
        <v>0</v>
      </c>
      <c r="F94" s="25" t="str">
        <f t="shared" si="4"/>
        <v/>
      </c>
    </row>
    <row r="95" spans="1:6" x14ac:dyDescent="0.2">
      <c r="B95" s="30" t="s">
        <v>35</v>
      </c>
      <c r="C95" s="30"/>
      <c r="D95" s="59">
        <f>SUM(D67:D94)</f>
        <v>1577796</v>
      </c>
      <c r="E95" s="31">
        <f>SUM(E67:E94)</f>
        <v>4184342</v>
      </c>
      <c r="F95" s="32">
        <f t="shared" si="4"/>
        <v>2.65</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IF(F3="1",SUMIF(Data!A:A,'34'!$A$2,Data!AH:AH),0)</f>
        <v>1809094</v>
      </c>
      <c r="F98" s="20">
        <f>IF(OR(E98=0,E98=0),"",ROUND(E98/$D$105,2))</f>
        <v>1.1499999999999999</v>
      </c>
    </row>
    <row r="99" spans="2:6" x14ac:dyDescent="0.2">
      <c r="B99" s="183" t="s">
        <v>31</v>
      </c>
      <c r="C99" s="184"/>
      <c r="D99" s="36"/>
      <c r="E99" s="17">
        <f>IF(F3="1",SUMIF(Data!A:A,'34'!$A$2,Data!AI:AI),0)</f>
        <v>616866</v>
      </c>
      <c r="F99" s="21">
        <f t="shared" ref="F99:F104" si="6">IF(OR(E99=0,E99=0),"",ROUND(E99/$D$105,2))</f>
        <v>0.39</v>
      </c>
    </row>
    <row r="100" spans="2:6" x14ac:dyDescent="0.2">
      <c r="B100" s="183" t="s">
        <v>1078</v>
      </c>
      <c r="C100" s="184"/>
      <c r="D100" s="36"/>
      <c r="E100" s="17">
        <f>IF(F3="1",SUMIF(Data!A:A,'34'!$A$2,Data!AJ:AJ),0)</f>
        <v>330695</v>
      </c>
      <c r="F100" s="21">
        <f t="shared" si="6"/>
        <v>0.21</v>
      </c>
    </row>
    <row r="101" spans="2:6" x14ac:dyDescent="0.2">
      <c r="B101" s="183" t="s">
        <v>1079</v>
      </c>
      <c r="C101" s="184"/>
      <c r="D101" s="36"/>
      <c r="E101" s="17">
        <f>IF(F3="1",SUMIF(Data!A:A,'34'!$A$2,Data!AK:AK),0)</f>
        <v>490223</v>
      </c>
      <c r="F101" s="21">
        <f t="shared" si="6"/>
        <v>0.31</v>
      </c>
    </row>
    <row r="102" spans="2:6" x14ac:dyDescent="0.2">
      <c r="B102" s="183" t="s">
        <v>1080</v>
      </c>
      <c r="C102" s="184"/>
      <c r="D102" s="36"/>
      <c r="E102" s="17">
        <f>IF(F3="1",SUMIF(Data!A:A,'34'!$A$2,Data!AL:AL),0)</f>
        <v>22268</v>
      </c>
      <c r="F102" s="21">
        <f t="shared" si="6"/>
        <v>0.01</v>
      </c>
    </row>
    <row r="103" spans="2:6" x14ac:dyDescent="0.2">
      <c r="B103" s="185" t="s">
        <v>34</v>
      </c>
      <c r="C103" s="186"/>
      <c r="D103" s="36"/>
      <c r="E103" s="17">
        <f>IF(F3="1",SUMIF(Data!A:A,'34'!$A$2,Data!AM:AM),0)</f>
        <v>0</v>
      </c>
      <c r="F103" s="21" t="str">
        <f t="shared" si="6"/>
        <v/>
      </c>
    </row>
    <row r="104" spans="2:6" ht="15.75" customHeight="1" thickBot="1" x14ac:dyDescent="0.25">
      <c r="B104" s="175" t="s">
        <v>29</v>
      </c>
      <c r="C104" s="176"/>
      <c r="D104" s="37"/>
      <c r="E104" s="24">
        <f>IF(F3="1",SUMIF(Data!A:A,'34'!$A$2,Data!Q:Q),0)</f>
        <v>771161</v>
      </c>
      <c r="F104" s="25">
        <f t="shared" si="6"/>
        <v>0.49</v>
      </c>
    </row>
    <row r="105" spans="2:6" x14ac:dyDescent="0.2">
      <c r="B105" s="30" t="s">
        <v>35</v>
      </c>
      <c r="C105" s="30"/>
      <c r="D105" s="34">
        <f>D95</f>
        <v>1577796</v>
      </c>
      <c r="E105" s="31">
        <f>SUM(E98:E104)</f>
        <v>4040307</v>
      </c>
      <c r="F105" s="32">
        <f>IF($D$105=0,"",ROUND(E105/$D$105,2))</f>
        <v>2.56</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4184342</v>
      </c>
      <c r="D109" s="15">
        <f>IF(F3="1",SUMIF(Data!$A:$A,$A$2,Data!HJ:HJ),0)</f>
        <v>0</v>
      </c>
      <c r="E109" s="15">
        <f>IF(F3="1",SUMIF(Data!$A:$A,$A$2,Data!IN:IN),0)</f>
        <v>0</v>
      </c>
      <c r="F109" s="47">
        <f>SUM(C109:E109)</f>
        <v>4184342</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22268</v>
      </c>
      <c r="F116" s="48">
        <f t="shared" si="7"/>
        <v>22268</v>
      </c>
    </row>
    <row r="117" spans="1:6" ht="15" thickBot="1" x14ac:dyDescent="0.25">
      <c r="B117" s="43" t="s">
        <v>933</v>
      </c>
      <c r="C117" s="52"/>
      <c r="D117" s="52">
        <f>IF(F3="1",SUMIF(Data!A:A,$A$2,Data!Q:Q),0)</f>
        <v>771161</v>
      </c>
      <c r="E117" s="52"/>
      <c r="F117" s="49">
        <f>SUM(C117:E117)</f>
        <v>771161</v>
      </c>
    </row>
    <row r="118" spans="1:6" x14ac:dyDescent="0.2">
      <c r="B118" s="13" t="s">
        <v>35</v>
      </c>
      <c r="C118" s="4">
        <f>SUM(C109:C116)</f>
        <v>4184342</v>
      </c>
      <c r="D118" s="4">
        <f>SUM(D109:D116)</f>
        <v>0</v>
      </c>
      <c r="E118" s="4">
        <f>SUM(E109:E116)</f>
        <v>22268</v>
      </c>
      <c r="F118" s="4">
        <f>SUM(F109:F116)</f>
        <v>4206610</v>
      </c>
    </row>
    <row r="119" spans="1:6" ht="15" thickBot="1" x14ac:dyDescent="0.25"/>
    <row r="120" spans="1:6" ht="15" thickBot="1" x14ac:dyDescent="0.25">
      <c r="B120" s="55" t="s">
        <v>934</v>
      </c>
      <c r="C120" s="53"/>
      <c r="D120" s="53"/>
      <c r="E120" s="53">
        <f>IF(F3="1",SUMIF(Data!A:A,'34'!$A$2,Data!AM:AM),0)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9.140625" style="10"/>
    <col min="12" max="14" width="6"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392</v>
      </c>
      <c r="B2" s="58" t="str">
        <f>VLOOKUP(A2,Data!A:G,7,0)</f>
        <v>Ranger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1728</v>
      </c>
      <c r="E5" s="15">
        <f>E36+E67+IFERROR($E$105/$D$105*D5,0)</f>
        <v>6438.9532285956557</v>
      </c>
      <c r="F5" s="20">
        <f>IF(OR(D5=0,E5=0),"",ROUND(E5/D5,2))</f>
        <v>3.73</v>
      </c>
    </row>
    <row r="6" spans="1:6" x14ac:dyDescent="0.2">
      <c r="A6" s="19">
        <v>2</v>
      </c>
      <c r="B6" s="177" t="s">
        <v>1</v>
      </c>
      <c r="C6" s="178"/>
      <c r="D6" s="14">
        <f t="shared" ref="D6:D32" si="0">D37</f>
        <v>12000</v>
      </c>
      <c r="E6" s="17">
        <f t="shared" ref="E6:E32" si="1">E37+E68+IFERROR($E$105/$D$105*D6,0)</f>
        <v>70391.84186524761</v>
      </c>
      <c r="F6" s="21">
        <f t="shared" ref="F6:F33" si="2">IF(OR(D6=0,E6=0),"",ROUND(E6/D6,2))</f>
        <v>5.87</v>
      </c>
    </row>
    <row r="7" spans="1:6" ht="14.25" customHeight="1" x14ac:dyDescent="0.2">
      <c r="A7" s="19">
        <v>3</v>
      </c>
      <c r="B7" s="177" t="s">
        <v>2</v>
      </c>
      <c r="C7" s="178"/>
      <c r="D7" s="14">
        <f t="shared" si="0"/>
        <v>35024</v>
      </c>
      <c r="E7" s="17">
        <f t="shared" si="1"/>
        <v>148524.41312403604</v>
      </c>
      <c r="F7" s="21">
        <f t="shared" si="2"/>
        <v>4.24</v>
      </c>
    </row>
    <row r="8" spans="1:6" ht="14.25" customHeight="1" x14ac:dyDescent="0.2">
      <c r="A8" s="19">
        <v>4</v>
      </c>
      <c r="B8" s="177" t="s">
        <v>3</v>
      </c>
      <c r="C8" s="178"/>
      <c r="D8" s="14">
        <f t="shared" si="0"/>
        <v>20693</v>
      </c>
      <c r="E8" s="17">
        <f t="shared" si="1"/>
        <v>101180.77497646408</v>
      </c>
      <c r="F8" s="21">
        <f t="shared" si="2"/>
        <v>4.8899999999999997</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2080</v>
      </c>
      <c r="E10" s="17">
        <f t="shared" si="1"/>
        <v>7230.6659233095861</v>
      </c>
      <c r="F10" s="21">
        <f t="shared" si="2"/>
        <v>3.48</v>
      </c>
    </row>
    <row r="11" spans="1:6" x14ac:dyDescent="0.2">
      <c r="A11" s="19">
        <v>7</v>
      </c>
      <c r="B11" s="177" t="s">
        <v>6</v>
      </c>
      <c r="C11" s="178"/>
      <c r="D11" s="14">
        <f t="shared" si="0"/>
        <v>18464</v>
      </c>
      <c r="E11" s="17">
        <f t="shared" si="1"/>
        <v>88050.111349994317</v>
      </c>
      <c r="F11" s="21">
        <f t="shared" si="2"/>
        <v>4.7699999999999996</v>
      </c>
    </row>
    <row r="12" spans="1:6" x14ac:dyDescent="0.2">
      <c r="A12" s="19">
        <v>8</v>
      </c>
      <c r="B12" s="177" t="s">
        <v>7</v>
      </c>
      <c r="C12" s="178"/>
      <c r="D12" s="14">
        <f t="shared" si="0"/>
        <v>0</v>
      </c>
      <c r="E12" s="17">
        <f t="shared" si="1"/>
        <v>0</v>
      </c>
      <c r="F12" s="21" t="str">
        <f t="shared" si="2"/>
        <v/>
      </c>
    </row>
    <row r="13" spans="1:6" x14ac:dyDescent="0.2">
      <c r="A13" s="19">
        <v>9</v>
      </c>
      <c r="B13" s="177" t="s">
        <v>8</v>
      </c>
      <c r="C13" s="178"/>
      <c r="D13" s="14">
        <f t="shared" si="0"/>
        <v>33952</v>
      </c>
      <c r="E13" s="17">
        <f t="shared" si="1"/>
        <v>177383.46991740726</v>
      </c>
      <c r="F13" s="21">
        <f t="shared" si="2"/>
        <v>5.22</v>
      </c>
    </row>
    <row r="14" spans="1:6" x14ac:dyDescent="0.2">
      <c r="A14" s="19">
        <v>10</v>
      </c>
      <c r="B14" s="177" t="s">
        <v>9</v>
      </c>
      <c r="C14" s="178"/>
      <c r="D14" s="14">
        <f t="shared" si="0"/>
        <v>0</v>
      </c>
      <c r="E14" s="17">
        <f t="shared" si="1"/>
        <v>0</v>
      </c>
      <c r="F14" s="21" t="str">
        <f t="shared" si="2"/>
        <v/>
      </c>
    </row>
    <row r="15" spans="1:6" x14ac:dyDescent="0.2">
      <c r="A15" s="19">
        <v>11</v>
      </c>
      <c r="B15" s="177" t="s">
        <v>10</v>
      </c>
      <c r="C15" s="178"/>
      <c r="D15" s="14">
        <f t="shared" si="0"/>
        <v>0</v>
      </c>
      <c r="E15" s="17">
        <f t="shared" si="1"/>
        <v>0</v>
      </c>
      <c r="F15" s="21" t="str">
        <f t="shared" si="2"/>
        <v/>
      </c>
    </row>
    <row r="16" spans="1:6" ht="14.25" customHeight="1" x14ac:dyDescent="0.2">
      <c r="A16" s="19">
        <v>12</v>
      </c>
      <c r="B16" s="177" t="s">
        <v>11</v>
      </c>
      <c r="C16" s="178"/>
      <c r="D16" s="14">
        <f t="shared" si="0"/>
        <v>94272</v>
      </c>
      <c r="E16" s="17">
        <f t="shared" si="1"/>
        <v>425185.78169338522</v>
      </c>
      <c r="F16" s="21">
        <f t="shared" si="2"/>
        <v>4.51</v>
      </c>
    </row>
    <row r="17" spans="1:6" x14ac:dyDescent="0.2">
      <c r="A17" s="19">
        <v>13</v>
      </c>
      <c r="B17" s="177" t="s">
        <v>12</v>
      </c>
      <c r="C17" s="178"/>
      <c r="D17" s="14">
        <f t="shared" si="0"/>
        <v>4224</v>
      </c>
      <c r="E17" s="17">
        <f t="shared" si="1"/>
        <v>13907.55233656716</v>
      </c>
      <c r="F17" s="21">
        <f t="shared" si="2"/>
        <v>3.29</v>
      </c>
    </row>
    <row r="18" spans="1:6" ht="14.25" customHeight="1" x14ac:dyDescent="0.2">
      <c r="A18" s="19">
        <v>14</v>
      </c>
      <c r="B18" s="177" t="s">
        <v>464</v>
      </c>
      <c r="C18" s="178"/>
      <c r="D18" s="14">
        <f t="shared" si="0"/>
        <v>18208</v>
      </c>
      <c r="E18" s="17">
        <f t="shared" si="1"/>
        <v>83006.229390202381</v>
      </c>
      <c r="F18" s="21">
        <f t="shared" si="2"/>
        <v>4.5599999999999996</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11788</v>
      </c>
      <c r="E20" s="17">
        <f t="shared" si="1"/>
        <v>69030.173992294905</v>
      </c>
      <c r="F20" s="21">
        <f t="shared" si="2"/>
        <v>5.86</v>
      </c>
    </row>
    <row r="21" spans="1:6" x14ac:dyDescent="0.2">
      <c r="A21" s="19">
        <v>17</v>
      </c>
      <c r="B21" s="177" t="s">
        <v>15</v>
      </c>
      <c r="C21" s="178"/>
      <c r="D21" s="14">
        <f t="shared" si="0"/>
        <v>0</v>
      </c>
      <c r="E21" s="17">
        <f t="shared" si="1"/>
        <v>0</v>
      </c>
      <c r="F21" s="21" t="str">
        <f t="shared" si="2"/>
        <v/>
      </c>
    </row>
    <row r="22" spans="1:6" x14ac:dyDescent="0.2">
      <c r="A22" s="19">
        <v>18</v>
      </c>
      <c r="B22" s="177" t="s">
        <v>16</v>
      </c>
      <c r="C22" s="178"/>
      <c r="D22" s="14">
        <f t="shared" si="0"/>
        <v>50736</v>
      </c>
      <c r="E22" s="17">
        <f t="shared" si="1"/>
        <v>241918.04340626689</v>
      </c>
      <c r="F22" s="21">
        <f t="shared" si="2"/>
        <v>4.7699999999999996</v>
      </c>
    </row>
    <row r="23" spans="1:6" x14ac:dyDescent="0.2">
      <c r="A23" s="19">
        <v>19</v>
      </c>
      <c r="B23" s="177" t="s">
        <v>17</v>
      </c>
      <c r="C23" s="178"/>
      <c r="D23" s="14">
        <f t="shared" si="0"/>
        <v>28688</v>
      </c>
      <c r="E23" s="17">
        <f t="shared" si="1"/>
        <v>143242.58461918531</v>
      </c>
      <c r="F23" s="21">
        <f t="shared" si="2"/>
        <v>4.99</v>
      </c>
    </row>
    <row r="24" spans="1:6" x14ac:dyDescent="0.2">
      <c r="A24" s="19">
        <v>20</v>
      </c>
      <c r="B24" s="177" t="s">
        <v>18</v>
      </c>
      <c r="C24" s="178"/>
      <c r="D24" s="14">
        <f t="shared" si="0"/>
        <v>4992</v>
      </c>
      <c r="E24" s="17">
        <f t="shared" si="1"/>
        <v>41712.198215943004</v>
      </c>
      <c r="F24" s="21">
        <f t="shared" si="2"/>
        <v>8.36</v>
      </c>
    </row>
    <row r="25" spans="1:6" ht="14.25" customHeight="1" x14ac:dyDescent="0.2">
      <c r="A25" s="19">
        <v>21</v>
      </c>
      <c r="B25" s="177" t="s">
        <v>461</v>
      </c>
      <c r="C25" s="178"/>
      <c r="D25" s="14">
        <f t="shared" si="0"/>
        <v>0</v>
      </c>
      <c r="E25" s="17">
        <f t="shared" si="1"/>
        <v>0</v>
      </c>
      <c r="F25" s="21" t="str">
        <f t="shared" si="2"/>
        <v/>
      </c>
    </row>
    <row r="26" spans="1:6" x14ac:dyDescent="0.2">
      <c r="A26" s="19">
        <v>22</v>
      </c>
      <c r="B26" s="177" t="s">
        <v>19</v>
      </c>
      <c r="C26" s="178"/>
      <c r="D26" s="14">
        <f t="shared" si="0"/>
        <v>0</v>
      </c>
      <c r="E26" s="17">
        <f t="shared" si="1"/>
        <v>0</v>
      </c>
      <c r="F26" s="21" t="str">
        <f t="shared" si="2"/>
        <v/>
      </c>
    </row>
    <row r="27" spans="1:6" x14ac:dyDescent="0.2">
      <c r="A27" s="19">
        <v>23</v>
      </c>
      <c r="B27" s="177" t="s">
        <v>20</v>
      </c>
      <c r="C27" s="178"/>
      <c r="D27" s="14">
        <f t="shared" si="0"/>
        <v>38432</v>
      </c>
      <c r="E27" s="17">
        <f t="shared" si="1"/>
        <v>428066.90421376633</v>
      </c>
      <c r="F27" s="21">
        <f t="shared" si="2"/>
        <v>11.14</v>
      </c>
    </row>
    <row r="28" spans="1:6" x14ac:dyDescent="0.2">
      <c r="A28" s="19">
        <v>24</v>
      </c>
      <c r="B28" s="177" t="s">
        <v>21</v>
      </c>
      <c r="C28" s="178"/>
      <c r="D28" s="14">
        <f t="shared" si="0"/>
        <v>1152</v>
      </c>
      <c r="E28" s="17">
        <f t="shared" si="1"/>
        <v>5035.9688190637708</v>
      </c>
      <c r="F28" s="21">
        <f t="shared" si="2"/>
        <v>4.37</v>
      </c>
    </row>
    <row r="29" spans="1:6" x14ac:dyDescent="0.2">
      <c r="A29" s="19">
        <v>25</v>
      </c>
      <c r="B29" s="177" t="s">
        <v>22</v>
      </c>
      <c r="C29" s="178"/>
      <c r="D29" s="14">
        <f t="shared" si="0"/>
        <v>50112</v>
      </c>
      <c r="E29" s="17">
        <f t="shared" si="1"/>
        <v>199200.64362927404</v>
      </c>
      <c r="F29" s="21">
        <f t="shared" si="2"/>
        <v>3.98</v>
      </c>
    </row>
    <row r="30" spans="1:6" x14ac:dyDescent="0.2">
      <c r="A30" s="19">
        <v>26</v>
      </c>
      <c r="B30" s="177" t="s">
        <v>23</v>
      </c>
      <c r="C30" s="178"/>
      <c r="D30" s="14">
        <f t="shared" si="0"/>
        <v>22768</v>
      </c>
      <c r="E30" s="17">
        <f t="shared" si="1"/>
        <v>131018.68929899647</v>
      </c>
      <c r="F30" s="21">
        <f t="shared" si="2"/>
        <v>5.75</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449313</v>
      </c>
      <c r="E33" s="31">
        <f>SUM(E5:E32)</f>
        <v>2380525</v>
      </c>
      <c r="F33" s="32">
        <f t="shared" si="2"/>
        <v>5.3</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IF(F3="1",SUMIF(Data!A:A,'35'!$A$2,Data!CU:CU),0)</f>
        <v>1728</v>
      </c>
      <c r="E36" s="15">
        <f>IF(F3="1",SUMIF(Data!$A:$A,$A$2,Data!IO:IO),0)</f>
        <v>22</v>
      </c>
      <c r="F36" s="20">
        <f t="shared" ref="F36:F64" si="3">IF(OR(D36=0,E36=0),"",ROUND(E36/D36,2))</f>
        <v>0.01</v>
      </c>
    </row>
    <row r="37" spans="1:6" x14ac:dyDescent="0.2">
      <c r="A37" s="19">
        <v>2</v>
      </c>
      <c r="B37" s="177" t="s">
        <v>1</v>
      </c>
      <c r="C37" s="178"/>
      <c r="D37" s="14">
        <f>IF(F3="1",SUMIF(Data!A:A,'35'!$A$2,Data!CV:CV),0)</f>
        <v>12000</v>
      </c>
      <c r="E37" s="17">
        <f>IF(F3="1",SUMIF(Data!$A:$A,$A$2,Data!IP:IP),0)</f>
        <v>6048</v>
      </c>
      <c r="F37" s="21">
        <f t="shared" si="3"/>
        <v>0.5</v>
      </c>
    </row>
    <row r="38" spans="1:6" ht="14.25" customHeight="1" x14ac:dyDescent="0.2">
      <c r="A38" s="19">
        <v>3</v>
      </c>
      <c r="B38" s="177" t="s">
        <v>2</v>
      </c>
      <c r="C38" s="178"/>
      <c r="D38" s="14">
        <f>IF(F3="1",SUMIF(Data!A:A,'35'!$A$2,Data!CW:CW),0)</f>
        <v>35024</v>
      </c>
      <c r="E38" s="17">
        <f>IF($F$3="1",SUMIF(Data!$A:$A,$A$2,Data!IQ:IQ),0)</f>
        <v>2262</v>
      </c>
      <c r="F38" s="21">
        <f t="shared" si="3"/>
        <v>0.06</v>
      </c>
    </row>
    <row r="39" spans="1:6" ht="14.25" customHeight="1" x14ac:dyDescent="0.2">
      <c r="A39" s="19">
        <v>4</v>
      </c>
      <c r="B39" s="177" t="s">
        <v>3</v>
      </c>
      <c r="C39" s="178"/>
      <c r="D39" s="14">
        <f>IF(F3="1",SUMIF(Data!A:A,'35'!$A$2,Data!CX:CX),0)</f>
        <v>20693</v>
      </c>
      <c r="E39" s="17">
        <f>IF($F$3="1",SUMIF(Data!$A:$A,$A$2,Data!IR:IR),0)</f>
        <v>3381</v>
      </c>
      <c r="F39" s="21">
        <f t="shared" si="3"/>
        <v>0.16</v>
      </c>
    </row>
    <row r="40" spans="1:6" x14ac:dyDescent="0.2">
      <c r="A40" s="19">
        <v>5</v>
      </c>
      <c r="B40" s="177" t="s">
        <v>4</v>
      </c>
      <c r="C40" s="178"/>
      <c r="D40" s="14">
        <f>IF(F3="1",SUMIF(Data!A:A,'35'!$A$2,Data!CY:CY),0)</f>
        <v>0</v>
      </c>
      <c r="E40" s="17">
        <f>IF($F$3="1",SUMIF(Data!$A:$A,$A$2,Data!IS:IS),0)</f>
        <v>0</v>
      </c>
      <c r="F40" s="21" t="str">
        <f t="shared" si="3"/>
        <v/>
      </c>
    </row>
    <row r="41" spans="1:6" x14ac:dyDescent="0.2">
      <c r="A41" s="19">
        <v>6</v>
      </c>
      <c r="B41" s="177" t="s">
        <v>5</v>
      </c>
      <c r="C41" s="178"/>
      <c r="D41" s="14">
        <f>IF(F3="1",SUMIF(Data!A:A,'35'!$A$2,Data!CZ:CZ),0)</f>
        <v>2080</v>
      </c>
      <c r="E41" s="17">
        <f>IF($F$3="1",SUMIF(Data!$A:$A,$A$2,Data!IT:IT),0)</f>
        <v>126</v>
      </c>
      <c r="F41" s="21">
        <f t="shared" si="3"/>
        <v>0.06</v>
      </c>
    </row>
    <row r="42" spans="1:6" x14ac:dyDescent="0.2">
      <c r="A42" s="19">
        <v>7</v>
      </c>
      <c r="B42" s="177" t="s">
        <v>6</v>
      </c>
      <c r="C42" s="178"/>
      <c r="D42" s="14">
        <f>IF(F3="1",SUMIF(Data!A:A,'35'!$A$2,Data!DA:DA),0)</f>
        <v>18464</v>
      </c>
      <c r="E42" s="17">
        <f>IF($F$3="1",SUMIF(Data!$A:$A,$A$2,Data!IU:IU),0)</f>
        <v>5311</v>
      </c>
      <c r="F42" s="21">
        <f t="shared" si="3"/>
        <v>0.28999999999999998</v>
      </c>
    </row>
    <row r="43" spans="1:6" x14ac:dyDescent="0.2">
      <c r="A43" s="19">
        <v>8</v>
      </c>
      <c r="B43" s="177" t="s">
        <v>7</v>
      </c>
      <c r="C43" s="178"/>
      <c r="D43" s="14">
        <f>IF(F3="1",SUMIF(Data!A:A,'35'!$A$2,Data!DB:DB),0)</f>
        <v>0</v>
      </c>
      <c r="E43" s="17">
        <f>IF($F$3="1",SUMIF(Data!$A:$A,$A$2,Data!IV:IV),0)</f>
        <v>0</v>
      </c>
      <c r="F43" s="21" t="str">
        <f t="shared" si="3"/>
        <v/>
      </c>
    </row>
    <row r="44" spans="1:6" x14ac:dyDescent="0.2">
      <c r="A44" s="19">
        <v>9</v>
      </c>
      <c r="B44" s="177" t="s">
        <v>8</v>
      </c>
      <c r="C44" s="178"/>
      <c r="D44" s="14">
        <f>IF(F3="1",SUMIF(Data!A:A,'35'!$A$2,Data!DC:DC),0)</f>
        <v>33952</v>
      </c>
      <c r="E44" s="17">
        <f>IF($F$3="1",SUMIF(Data!$A:$A,$A$2,Data!IW:IW),0)</f>
        <v>32792</v>
      </c>
      <c r="F44" s="21">
        <f t="shared" si="3"/>
        <v>0.97</v>
      </c>
    </row>
    <row r="45" spans="1:6" x14ac:dyDescent="0.2">
      <c r="A45" s="19">
        <v>10</v>
      </c>
      <c r="B45" s="177" t="s">
        <v>9</v>
      </c>
      <c r="C45" s="178"/>
      <c r="D45" s="14">
        <f>IF(F3="1",SUMIF(Data!A:A,'35'!$A$2,Data!DD:DD),0)</f>
        <v>0</v>
      </c>
      <c r="E45" s="17">
        <f>IF($F$3="1",SUMIF(Data!$A:$A,$A$2,Data!IX:IX),0)</f>
        <v>0</v>
      </c>
      <c r="F45" s="21" t="str">
        <f t="shared" si="3"/>
        <v/>
      </c>
    </row>
    <row r="46" spans="1:6" x14ac:dyDescent="0.2">
      <c r="A46" s="19">
        <v>11</v>
      </c>
      <c r="B46" s="177" t="s">
        <v>10</v>
      </c>
      <c r="C46" s="178"/>
      <c r="D46" s="14">
        <f>IF(F3="1",SUMIF(Data!A:A,'35'!$A$2,Data!DE:DE),0)</f>
        <v>0</v>
      </c>
      <c r="E46" s="17">
        <f>IF($F$3="1",SUMIF(Data!$A:$A,$A$2,Data!IY:IY),0)</f>
        <v>0</v>
      </c>
      <c r="F46" s="21" t="str">
        <f t="shared" si="3"/>
        <v/>
      </c>
    </row>
    <row r="47" spans="1:6" ht="14.25" customHeight="1" x14ac:dyDescent="0.2">
      <c r="A47" s="19">
        <v>12</v>
      </c>
      <c r="B47" s="177" t="s">
        <v>11</v>
      </c>
      <c r="C47" s="178"/>
      <c r="D47" s="14">
        <f>IF(F3="1",SUMIF(Data!A:A,'35'!$A$2,Data!DF:DF),0)</f>
        <v>94272</v>
      </c>
      <c r="E47" s="17">
        <f>IF($F$3="1",SUMIF(Data!$A:$A,$A$2,Data!IZ:IZ),0)</f>
        <v>4266</v>
      </c>
      <c r="F47" s="21">
        <f t="shared" si="3"/>
        <v>0.05</v>
      </c>
    </row>
    <row r="48" spans="1:6" x14ac:dyDescent="0.2">
      <c r="A48" s="19">
        <v>13</v>
      </c>
      <c r="B48" s="177" t="s">
        <v>12</v>
      </c>
      <c r="C48" s="178"/>
      <c r="D48" s="14">
        <f>IF(F3="1",SUMIF(Data!A:A,'35'!$A$2,Data!DG:DG),0)</f>
        <v>4224</v>
      </c>
      <c r="E48" s="17">
        <f>IF($F$3="1",SUMIF(Data!$A:$A,$A$2,Data!JA:JA),0)</f>
        <v>120</v>
      </c>
      <c r="F48" s="21">
        <f t="shared" si="3"/>
        <v>0.03</v>
      </c>
    </row>
    <row r="49" spans="1:6" ht="14.25" customHeight="1" x14ac:dyDescent="0.2">
      <c r="A49" s="19">
        <v>14</v>
      </c>
      <c r="B49" s="177" t="s">
        <v>464</v>
      </c>
      <c r="C49" s="178"/>
      <c r="D49" s="14">
        <f>IF(F3="1",SUMIF(Data!A:A,'35'!$A$2,Data!DH:DH),0)</f>
        <v>18208</v>
      </c>
      <c r="E49" s="17">
        <f>IF($F$3="1",SUMIF(Data!$A:$A,$A$2,Data!JB:JB),0)</f>
        <v>2934</v>
      </c>
      <c r="F49" s="21">
        <f t="shared" si="3"/>
        <v>0.16</v>
      </c>
    </row>
    <row r="50" spans="1:6" x14ac:dyDescent="0.2">
      <c r="A50" s="19">
        <v>15</v>
      </c>
      <c r="B50" s="177" t="s">
        <v>13</v>
      </c>
      <c r="C50" s="178"/>
      <c r="D50" s="14">
        <f>IF(F3="1",SUMIF(Data!A:A,'35'!$A$2,Data!DI:DI),0)</f>
        <v>0</v>
      </c>
      <c r="E50" s="17">
        <f>IF($F$3="1",SUMIF(Data!$A:$A,$A$2,Data!JC:JC),0)</f>
        <v>0</v>
      </c>
      <c r="F50" s="21" t="str">
        <f t="shared" si="3"/>
        <v/>
      </c>
    </row>
    <row r="51" spans="1:6" x14ac:dyDescent="0.2">
      <c r="A51" s="19">
        <v>16</v>
      </c>
      <c r="B51" s="177" t="s">
        <v>14</v>
      </c>
      <c r="C51" s="178"/>
      <c r="D51" s="14">
        <f>IF(F3="1",SUMIF(Data!A:A,'35'!$A$2,Data!DJ:DJ),0)</f>
        <v>11788</v>
      </c>
      <c r="E51" s="17">
        <f>IF($F$3="1",SUMIF(Data!$A:$A,$A$2,Data!JD:JD),0)</f>
        <v>7661</v>
      </c>
      <c r="F51" s="21">
        <f t="shared" si="3"/>
        <v>0.65</v>
      </c>
    </row>
    <row r="52" spans="1:6" x14ac:dyDescent="0.2">
      <c r="A52" s="19">
        <v>17</v>
      </c>
      <c r="B52" s="177" t="s">
        <v>15</v>
      </c>
      <c r="C52" s="178"/>
      <c r="D52" s="14">
        <f>IF(F3="1",SUMIF(Data!A:A,'35'!$A$2,Data!DK:DK),0)</f>
        <v>0</v>
      </c>
      <c r="E52" s="17">
        <f>IF($F$3="1",SUMIF(Data!$A:$A,$A$2,Data!JE:JE),0)</f>
        <v>0</v>
      </c>
      <c r="F52" s="21" t="str">
        <f t="shared" si="3"/>
        <v/>
      </c>
    </row>
    <row r="53" spans="1:6" x14ac:dyDescent="0.2">
      <c r="A53" s="19">
        <v>18</v>
      </c>
      <c r="B53" s="177" t="s">
        <v>16</v>
      </c>
      <c r="C53" s="178"/>
      <c r="D53" s="14">
        <f>IF(F3="1",SUMIF(Data!A:A,'35'!$A$2,Data!DL:DL),0)</f>
        <v>50736</v>
      </c>
      <c r="E53" s="17">
        <f>IF($F$3="1",SUMIF(Data!$A:$A,$A$2,Data!JF:JF),0)</f>
        <v>16792</v>
      </c>
      <c r="F53" s="21">
        <f t="shared" si="3"/>
        <v>0.33</v>
      </c>
    </row>
    <row r="54" spans="1:6" x14ac:dyDescent="0.2">
      <c r="A54" s="19">
        <v>19</v>
      </c>
      <c r="B54" s="177" t="s">
        <v>17</v>
      </c>
      <c r="C54" s="178"/>
      <c r="D54" s="14">
        <f>IF(F3="1",SUMIF(Data!A:A,'35'!$A$2,Data!DM:DM),0)</f>
        <v>28688</v>
      </c>
      <c r="E54" s="17">
        <f>IF($F$3="1",SUMIF(Data!$A:$A,$A$2,Data!JG:JG),0)</f>
        <v>2434</v>
      </c>
      <c r="F54" s="21">
        <f t="shared" si="3"/>
        <v>0.08</v>
      </c>
    </row>
    <row r="55" spans="1:6" x14ac:dyDescent="0.2">
      <c r="A55" s="19">
        <v>20</v>
      </c>
      <c r="B55" s="177" t="s">
        <v>18</v>
      </c>
      <c r="C55" s="178"/>
      <c r="D55" s="14">
        <f>IF(F3="1",SUMIF(Data!A:A,'35'!$A$2,Data!DN:DN),0)</f>
        <v>4992</v>
      </c>
      <c r="E55" s="17">
        <f>IF($F$3="1",SUMIF(Data!$A:$A,$A$2,Data!JH:JH),0)</f>
        <v>2779</v>
      </c>
      <c r="F55" s="21">
        <f t="shared" si="3"/>
        <v>0.56000000000000005</v>
      </c>
    </row>
    <row r="56" spans="1:6" ht="14.25" customHeight="1" x14ac:dyDescent="0.2">
      <c r="A56" s="19">
        <v>21</v>
      </c>
      <c r="B56" s="177" t="s">
        <v>461</v>
      </c>
      <c r="C56" s="178"/>
      <c r="D56" s="14">
        <f>IF(F3="1",SUMIF(Data!A:A,'35'!$A$2,Data!DO:DO),0)</f>
        <v>0</v>
      </c>
      <c r="E56" s="17">
        <f>IF($F$3="1",SUMIF(Data!$A:$A,$A$2,Data!JI:JI),0)</f>
        <v>0</v>
      </c>
      <c r="F56" s="21" t="str">
        <f t="shared" si="3"/>
        <v/>
      </c>
    </row>
    <row r="57" spans="1:6" x14ac:dyDescent="0.2">
      <c r="A57" s="19">
        <v>22</v>
      </c>
      <c r="B57" s="177" t="s">
        <v>19</v>
      </c>
      <c r="C57" s="178"/>
      <c r="D57" s="14">
        <f>IF(F3="1",SUMIF(Data!A:A,'35'!$A$2,Data!DP:DP),0)</f>
        <v>0</v>
      </c>
      <c r="E57" s="17">
        <f>IF($F$3="1",SUMIF(Data!$A:$A,$A$2,Data!JJ:JJ),0)</f>
        <v>0</v>
      </c>
      <c r="F57" s="21" t="str">
        <f t="shared" si="3"/>
        <v/>
      </c>
    </row>
    <row r="58" spans="1:6" x14ac:dyDescent="0.2">
      <c r="A58" s="19">
        <v>23</v>
      </c>
      <c r="B58" s="177" t="s">
        <v>20</v>
      </c>
      <c r="C58" s="178"/>
      <c r="D58" s="14">
        <f>IF(F3="1",SUMIF(Data!A:A,'35'!$A$2,Data!DQ:DQ),0)</f>
        <v>38432</v>
      </c>
      <c r="E58" s="17">
        <f>IF($F$3="1",SUMIF(Data!$A:$A,$A$2,Data!JK:JK),0)</f>
        <v>4782</v>
      </c>
      <c r="F58" s="21">
        <f t="shared" si="3"/>
        <v>0.12</v>
      </c>
    </row>
    <row r="59" spans="1:6" x14ac:dyDescent="0.2">
      <c r="A59" s="19">
        <v>24</v>
      </c>
      <c r="B59" s="177" t="s">
        <v>21</v>
      </c>
      <c r="C59" s="178"/>
      <c r="D59" s="14">
        <f>IF(F3="1",SUMIF(Data!A:A,'35'!$A$2,Data!DR:DR),0)</f>
        <v>1152</v>
      </c>
      <c r="E59" s="17">
        <f>IF($F$3="1",SUMIF(Data!$A:$A,$A$2,Data!JL:JL),0)</f>
        <v>38</v>
      </c>
      <c r="F59" s="21">
        <f t="shared" si="3"/>
        <v>0.03</v>
      </c>
    </row>
    <row r="60" spans="1:6" x14ac:dyDescent="0.2">
      <c r="A60" s="19">
        <v>25</v>
      </c>
      <c r="B60" s="177" t="s">
        <v>22</v>
      </c>
      <c r="C60" s="178"/>
      <c r="D60" s="14">
        <f>IF(F3="1",SUMIF(Data!A:A,'35'!$A$2,Data!DS:DS),0)</f>
        <v>50112</v>
      </c>
      <c r="E60" s="17">
        <f>IF($F$3="1",SUMIF(Data!$A:$A,$A$2,Data!JM:JM),0)</f>
        <v>2278</v>
      </c>
      <c r="F60" s="21">
        <f t="shared" si="3"/>
        <v>0.05</v>
      </c>
    </row>
    <row r="61" spans="1:6" x14ac:dyDescent="0.2">
      <c r="A61" s="19">
        <v>26</v>
      </c>
      <c r="B61" s="177" t="s">
        <v>23</v>
      </c>
      <c r="C61" s="178"/>
      <c r="D61" s="14">
        <f>IF(F3="1",SUMIF(Data!A:A,'35'!$A$2,Data!DT:DT),0)</f>
        <v>22768</v>
      </c>
      <c r="E61" s="17">
        <f>IF($F$3="1",SUMIF(Data!$A:$A,$A$2,Data!JN:JN),0)</f>
        <v>10329</v>
      </c>
      <c r="F61" s="21">
        <f t="shared" si="3"/>
        <v>0.45</v>
      </c>
    </row>
    <row r="62" spans="1:6" x14ac:dyDescent="0.2">
      <c r="A62" s="19">
        <v>28</v>
      </c>
      <c r="B62" s="177" t="s">
        <v>24</v>
      </c>
      <c r="C62" s="178"/>
      <c r="D62" s="14">
        <f>IF(F3="1",SUMIF(Data!A:A,'35'!$A$2,Data!DV:DV),0)</f>
        <v>0</v>
      </c>
      <c r="E62" s="17">
        <f>IF($F$3="1",SUMIF(Data!$A:$A,$A$2,Data!JP:JP),0)</f>
        <v>0</v>
      </c>
      <c r="F62" s="21" t="str">
        <f t="shared" si="3"/>
        <v/>
      </c>
    </row>
    <row r="63" spans="1:6" ht="15.75" customHeight="1" thickBot="1" x14ac:dyDescent="0.25">
      <c r="A63" s="22">
        <v>29</v>
      </c>
      <c r="B63" s="179" t="s">
        <v>25</v>
      </c>
      <c r="C63" s="180"/>
      <c r="D63" s="23">
        <f>IF(F3="1",SUMIF(Data!A:A,'35'!$A$2,Data!DW:DW),0)</f>
        <v>0</v>
      </c>
      <c r="E63" s="24">
        <f>IF($F$3="1",SUMIF(Data!$A:$A,$A$2,Data!JQ:JQ),0)</f>
        <v>0</v>
      </c>
      <c r="F63" s="25" t="str">
        <f t="shared" si="3"/>
        <v/>
      </c>
    </row>
    <row r="64" spans="1:6" x14ac:dyDescent="0.2">
      <c r="B64" s="30" t="s">
        <v>35</v>
      </c>
      <c r="C64" s="30"/>
      <c r="D64" s="59">
        <f>SUM(D36:D63)</f>
        <v>449313</v>
      </c>
      <c r="E64" s="31">
        <f>SUM(E36:E63)</f>
        <v>104355</v>
      </c>
      <c r="F64" s="32">
        <f t="shared" si="3"/>
        <v>0.23</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1728</v>
      </c>
      <c r="E67" s="15">
        <f>IF(F3="1",SUMIF(Data!A:A,'35'!$A$2,Data!DY:DY),0)</f>
        <v>2010</v>
      </c>
      <c r="F67" s="20">
        <f t="shared" ref="F67:F95" si="4">IF(OR(D67=0,E67=0),"",ROUND(E67/D67,2))</f>
        <v>1.1599999999999999</v>
      </c>
    </row>
    <row r="68" spans="1:6" x14ac:dyDescent="0.2">
      <c r="A68" s="19">
        <v>2</v>
      </c>
      <c r="B68" s="177" t="s">
        <v>1</v>
      </c>
      <c r="C68" s="178"/>
      <c r="D68" s="14">
        <f t="shared" ref="D68:D94" si="5">D37</f>
        <v>12000</v>
      </c>
      <c r="E68" s="17">
        <f>IF(F3="1",SUMIF(Data!A:A,'35'!$A$2,Data!DZ:DZ),0)</f>
        <v>33740</v>
      </c>
      <c r="F68" s="21">
        <f t="shared" si="4"/>
        <v>2.81</v>
      </c>
    </row>
    <row r="69" spans="1:6" ht="14.25" customHeight="1" x14ac:dyDescent="0.2">
      <c r="A69" s="19">
        <v>3</v>
      </c>
      <c r="B69" s="177" t="s">
        <v>2</v>
      </c>
      <c r="C69" s="178"/>
      <c r="D69" s="14">
        <f t="shared" si="5"/>
        <v>35024</v>
      </c>
      <c r="E69" s="17">
        <f>IF(F3="1",SUMIF(Data!A:A,'35'!$A$2,Data!EA:EA),0)</f>
        <v>56940</v>
      </c>
      <c r="F69" s="21">
        <f t="shared" si="4"/>
        <v>1.63</v>
      </c>
    </row>
    <row r="70" spans="1:6" ht="14.25" customHeight="1" x14ac:dyDescent="0.2">
      <c r="A70" s="19">
        <v>4</v>
      </c>
      <c r="B70" s="177" t="s">
        <v>3</v>
      </c>
      <c r="C70" s="178"/>
      <c r="D70" s="14">
        <f t="shared" si="5"/>
        <v>20693</v>
      </c>
      <c r="E70" s="17">
        <f>IF(F3="1",SUMIF(Data!A:A,'35'!$A$2,Data!EB:EB),0)</f>
        <v>45026</v>
      </c>
      <c r="F70" s="21">
        <f t="shared" si="4"/>
        <v>2.1800000000000002</v>
      </c>
    </row>
    <row r="71" spans="1:6" x14ac:dyDescent="0.2">
      <c r="A71" s="19">
        <v>5</v>
      </c>
      <c r="B71" s="177" t="s">
        <v>4</v>
      </c>
      <c r="C71" s="178"/>
      <c r="D71" s="14">
        <f t="shared" si="5"/>
        <v>0</v>
      </c>
      <c r="E71" s="17">
        <f>IF(F3="1",SUMIF(Data!A:A,'35'!$A$2,Data!EC:EC),0)</f>
        <v>0</v>
      </c>
      <c r="F71" s="21" t="str">
        <f t="shared" si="4"/>
        <v/>
      </c>
    </row>
    <row r="72" spans="1:6" x14ac:dyDescent="0.2">
      <c r="A72" s="19">
        <v>6</v>
      </c>
      <c r="B72" s="177" t="s">
        <v>5</v>
      </c>
      <c r="C72" s="178"/>
      <c r="D72" s="14">
        <f t="shared" si="5"/>
        <v>2080</v>
      </c>
      <c r="E72" s="17">
        <f>IF(F3="1",SUMIF(Data!A:A,'35'!$A$2,Data!ED:ED),0)</f>
        <v>1800</v>
      </c>
      <c r="F72" s="21">
        <f t="shared" si="4"/>
        <v>0.87</v>
      </c>
    </row>
    <row r="73" spans="1:6" x14ac:dyDescent="0.2">
      <c r="A73" s="19">
        <v>7</v>
      </c>
      <c r="B73" s="177" t="s">
        <v>6</v>
      </c>
      <c r="C73" s="178"/>
      <c r="D73" s="14">
        <f t="shared" si="5"/>
        <v>18464</v>
      </c>
      <c r="E73" s="17">
        <f>IF(F3="1",SUMIF(Data!A:A,'35'!$A$2,Data!EE:EE),0)</f>
        <v>35650</v>
      </c>
      <c r="F73" s="21">
        <f t="shared" si="4"/>
        <v>1.93</v>
      </c>
    </row>
    <row r="74" spans="1:6" x14ac:dyDescent="0.2">
      <c r="A74" s="19">
        <v>8</v>
      </c>
      <c r="B74" s="177" t="s">
        <v>7</v>
      </c>
      <c r="C74" s="178"/>
      <c r="D74" s="14">
        <f t="shared" si="5"/>
        <v>0</v>
      </c>
      <c r="E74" s="17">
        <f>IF(F3="1",SUMIF(Data!A:A,'35'!$A$2,Data!EF:EF),0)</f>
        <v>0</v>
      </c>
      <c r="F74" s="21" t="str">
        <f t="shared" si="4"/>
        <v/>
      </c>
    </row>
    <row r="75" spans="1:6" x14ac:dyDescent="0.2">
      <c r="A75" s="19">
        <v>9</v>
      </c>
      <c r="B75" s="177" t="s">
        <v>8</v>
      </c>
      <c r="C75" s="178"/>
      <c r="D75" s="14">
        <f t="shared" si="5"/>
        <v>33952</v>
      </c>
      <c r="E75" s="17">
        <f>IF(F3="1",SUMIF(Data!A:A,'35'!$A$2,Data!EG:EG),0)</f>
        <v>58003</v>
      </c>
      <c r="F75" s="21">
        <f t="shared" si="4"/>
        <v>1.71</v>
      </c>
    </row>
    <row r="76" spans="1:6" x14ac:dyDescent="0.2">
      <c r="A76" s="19">
        <v>10</v>
      </c>
      <c r="B76" s="177" t="s">
        <v>9</v>
      </c>
      <c r="C76" s="178"/>
      <c r="D76" s="14">
        <f t="shared" si="5"/>
        <v>0</v>
      </c>
      <c r="E76" s="17">
        <f>IF(F3="1",SUMIF(Data!A:A,'35'!$A$2,Data!EH:EH),0)</f>
        <v>0</v>
      </c>
      <c r="F76" s="21" t="str">
        <f t="shared" si="4"/>
        <v/>
      </c>
    </row>
    <row r="77" spans="1:6" x14ac:dyDescent="0.2">
      <c r="A77" s="19">
        <v>11</v>
      </c>
      <c r="B77" s="177" t="s">
        <v>10</v>
      </c>
      <c r="C77" s="178"/>
      <c r="D77" s="14">
        <f t="shared" si="5"/>
        <v>0</v>
      </c>
      <c r="E77" s="17">
        <f>IF(F3="1",SUMIF(Data!A:A,'35'!$A$2,Data!EI:EI),0)</f>
        <v>0</v>
      </c>
      <c r="F77" s="21" t="str">
        <f t="shared" si="4"/>
        <v/>
      </c>
    </row>
    <row r="78" spans="1:6" ht="14.25" customHeight="1" x14ac:dyDescent="0.2">
      <c r="A78" s="19">
        <v>12</v>
      </c>
      <c r="B78" s="177" t="s">
        <v>11</v>
      </c>
      <c r="C78" s="178"/>
      <c r="D78" s="14">
        <f t="shared" si="5"/>
        <v>94272</v>
      </c>
      <c r="E78" s="17">
        <f>IF(F3="1",SUMIF(Data!A:A,'35'!$A$2,Data!EJ:EJ),0)</f>
        <v>180496</v>
      </c>
      <c r="F78" s="21">
        <f t="shared" si="4"/>
        <v>1.91</v>
      </c>
    </row>
    <row r="79" spans="1:6" x14ac:dyDescent="0.2">
      <c r="A79" s="19">
        <v>13</v>
      </c>
      <c r="B79" s="177" t="s">
        <v>12</v>
      </c>
      <c r="C79" s="178"/>
      <c r="D79" s="14">
        <f t="shared" si="5"/>
        <v>4224</v>
      </c>
      <c r="E79" s="17">
        <f>IF(F3="1",SUMIF(Data!A:A,'35'!$A$2,Data!EK:EK),0)</f>
        <v>3015</v>
      </c>
      <c r="F79" s="21">
        <f t="shared" si="4"/>
        <v>0.71</v>
      </c>
    </row>
    <row r="80" spans="1:6" ht="14.25" customHeight="1" x14ac:dyDescent="0.2">
      <c r="A80" s="19">
        <v>14</v>
      </c>
      <c r="B80" s="177" t="s">
        <v>464</v>
      </c>
      <c r="C80" s="178"/>
      <c r="D80" s="14">
        <f t="shared" si="5"/>
        <v>18208</v>
      </c>
      <c r="E80" s="17">
        <f>IF(F3="1",SUMIF(Data!A:A,'35'!$A$2,Data!EL:EL),0)</f>
        <v>33636</v>
      </c>
      <c r="F80" s="21">
        <f t="shared" si="4"/>
        <v>1.85</v>
      </c>
    </row>
    <row r="81" spans="1:6" x14ac:dyDescent="0.2">
      <c r="A81" s="19">
        <v>15</v>
      </c>
      <c r="B81" s="177" t="s">
        <v>13</v>
      </c>
      <c r="C81" s="178"/>
      <c r="D81" s="14">
        <f t="shared" si="5"/>
        <v>0</v>
      </c>
      <c r="E81" s="17">
        <f>IF(F3="1",SUMIF(Data!A:A,'35'!$A$2,Data!EM:EM),0)</f>
        <v>0</v>
      </c>
      <c r="F81" s="21" t="str">
        <f t="shared" si="4"/>
        <v/>
      </c>
    </row>
    <row r="82" spans="1:6" x14ac:dyDescent="0.2">
      <c r="A82" s="19">
        <v>16</v>
      </c>
      <c r="B82" s="177" t="s">
        <v>14</v>
      </c>
      <c r="C82" s="178"/>
      <c r="D82" s="14">
        <f t="shared" si="5"/>
        <v>11788</v>
      </c>
      <c r="E82" s="17">
        <f>IF(F3="1",SUMIF(Data!A:A,'35'!$A$2,Data!EN:EN),0)</f>
        <v>31306</v>
      </c>
      <c r="F82" s="21">
        <f t="shared" si="4"/>
        <v>2.66</v>
      </c>
    </row>
    <row r="83" spans="1:6" x14ac:dyDescent="0.2">
      <c r="A83" s="19">
        <v>17</v>
      </c>
      <c r="B83" s="177" t="s">
        <v>15</v>
      </c>
      <c r="C83" s="178"/>
      <c r="D83" s="14">
        <f t="shared" si="5"/>
        <v>0</v>
      </c>
      <c r="E83" s="17">
        <f>IF(F3="1",SUMIF(Data!A:A,'35'!$A$2,Data!EO:EO),0)</f>
        <v>0</v>
      </c>
      <c r="F83" s="21" t="str">
        <f t="shared" si="4"/>
        <v/>
      </c>
    </row>
    <row r="84" spans="1:6" x14ac:dyDescent="0.2">
      <c r="A84" s="19">
        <v>18</v>
      </c>
      <c r="B84" s="177" t="s">
        <v>16</v>
      </c>
      <c r="C84" s="178"/>
      <c r="D84" s="14">
        <f t="shared" si="5"/>
        <v>50736</v>
      </c>
      <c r="E84" s="17">
        <f>IF(F3="1",SUMIF(Data!A:A,'35'!$A$2,Data!EP:EP),0)</f>
        <v>95733</v>
      </c>
      <c r="F84" s="21">
        <f t="shared" si="4"/>
        <v>1.89</v>
      </c>
    </row>
    <row r="85" spans="1:6" x14ac:dyDescent="0.2">
      <c r="A85" s="19">
        <v>19</v>
      </c>
      <c r="B85" s="177" t="s">
        <v>17</v>
      </c>
      <c r="C85" s="178"/>
      <c r="D85" s="14">
        <f t="shared" si="5"/>
        <v>28688</v>
      </c>
      <c r="E85" s="17">
        <f>IF(F3="1",SUMIF(Data!A:A,'35'!$A$2,Data!EQ:EQ),0)</f>
        <v>67645</v>
      </c>
      <c r="F85" s="21">
        <f t="shared" si="4"/>
        <v>2.36</v>
      </c>
    </row>
    <row r="86" spans="1:6" x14ac:dyDescent="0.2">
      <c r="A86" s="19">
        <v>20</v>
      </c>
      <c r="B86" s="177" t="s">
        <v>18</v>
      </c>
      <c r="C86" s="178"/>
      <c r="D86" s="14">
        <f t="shared" si="5"/>
        <v>4992</v>
      </c>
      <c r="E86" s="17">
        <f>IF(F3="1",SUMIF(Data!A:A,'35'!$A$2,Data!ER:ER),0)</f>
        <v>26202</v>
      </c>
      <c r="F86" s="21">
        <f t="shared" si="4"/>
        <v>5.25</v>
      </c>
    </row>
    <row r="87" spans="1:6" ht="14.25" customHeight="1" x14ac:dyDescent="0.2">
      <c r="A87" s="19">
        <v>21</v>
      </c>
      <c r="B87" s="177" t="s">
        <v>461</v>
      </c>
      <c r="C87" s="178"/>
      <c r="D87" s="14">
        <f t="shared" si="5"/>
        <v>0</v>
      </c>
      <c r="E87" s="17">
        <f>IF(F3="1",SUMIF(Data!A:A,'35'!$A$2,Data!ES:ES),0)</f>
        <v>0</v>
      </c>
      <c r="F87" s="21" t="str">
        <f t="shared" si="4"/>
        <v/>
      </c>
    </row>
    <row r="88" spans="1:6" x14ac:dyDescent="0.2">
      <c r="A88" s="19">
        <v>22</v>
      </c>
      <c r="B88" s="177" t="s">
        <v>19</v>
      </c>
      <c r="C88" s="178"/>
      <c r="D88" s="14">
        <f t="shared" si="5"/>
        <v>0</v>
      </c>
      <c r="E88" s="17">
        <f>IF(F3="1",SUMIF(Data!A:A,'35'!$A$2,Data!ET:ET),0)</f>
        <v>0</v>
      </c>
      <c r="F88" s="21" t="str">
        <f t="shared" si="4"/>
        <v/>
      </c>
    </row>
    <row r="89" spans="1:6" x14ac:dyDescent="0.2">
      <c r="A89" s="19">
        <v>23</v>
      </c>
      <c r="B89" s="177" t="s">
        <v>20</v>
      </c>
      <c r="C89" s="178"/>
      <c r="D89" s="14">
        <f t="shared" si="5"/>
        <v>38432</v>
      </c>
      <c r="E89" s="17">
        <f>IF(F3="1",SUMIF(Data!A:A,'35'!$A$2,Data!EU:EU),0)</f>
        <v>325271</v>
      </c>
      <c r="F89" s="21">
        <f t="shared" si="4"/>
        <v>8.4600000000000009</v>
      </c>
    </row>
    <row r="90" spans="1:6" x14ac:dyDescent="0.2">
      <c r="A90" s="19">
        <v>24</v>
      </c>
      <c r="B90" s="177" t="s">
        <v>21</v>
      </c>
      <c r="C90" s="178"/>
      <c r="D90" s="14">
        <f t="shared" si="5"/>
        <v>1152</v>
      </c>
      <c r="E90" s="17">
        <f>IF(F3="1",SUMIF(Data!A:A,'35'!$A$2,Data!EV:EV),0)</f>
        <v>2060</v>
      </c>
      <c r="F90" s="21">
        <f t="shared" si="4"/>
        <v>1.79</v>
      </c>
    </row>
    <row r="91" spans="1:6" x14ac:dyDescent="0.2">
      <c r="A91" s="19">
        <v>25</v>
      </c>
      <c r="B91" s="177" t="s">
        <v>22</v>
      </c>
      <c r="C91" s="178"/>
      <c r="D91" s="14">
        <f t="shared" si="5"/>
        <v>50112</v>
      </c>
      <c r="E91" s="17">
        <f>IF(F3="1",SUMIF(Data!A:A,'35'!$A$2,Data!EW:EW),0)</f>
        <v>69121</v>
      </c>
      <c r="F91" s="21">
        <f t="shared" si="4"/>
        <v>1.38</v>
      </c>
    </row>
    <row r="92" spans="1:6" x14ac:dyDescent="0.2">
      <c r="A92" s="19">
        <v>26</v>
      </c>
      <c r="B92" s="177" t="s">
        <v>23</v>
      </c>
      <c r="C92" s="178"/>
      <c r="D92" s="14">
        <f t="shared" si="5"/>
        <v>22768</v>
      </c>
      <c r="E92" s="17">
        <f>IF(F3="1",SUMIF(Data!A:A,'35'!$A$2,Data!EX:EX),0)</f>
        <v>62624</v>
      </c>
      <c r="F92" s="21">
        <f t="shared" si="4"/>
        <v>2.75</v>
      </c>
    </row>
    <row r="93" spans="1:6" x14ac:dyDescent="0.2">
      <c r="A93" s="19">
        <v>28</v>
      </c>
      <c r="B93" s="177" t="s">
        <v>24</v>
      </c>
      <c r="C93" s="178"/>
      <c r="D93" s="14">
        <f t="shared" si="5"/>
        <v>0</v>
      </c>
      <c r="E93" s="17">
        <f>IF(F3="1",SUMIF(Data!A:A,'35'!$A$2,Data!EZ:EZ),0)</f>
        <v>0</v>
      </c>
      <c r="F93" s="21" t="str">
        <f t="shared" si="4"/>
        <v/>
      </c>
    </row>
    <row r="94" spans="1:6" ht="15.75" customHeight="1" thickBot="1" x14ac:dyDescent="0.25">
      <c r="A94" s="22">
        <v>29</v>
      </c>
      <c r="B94" s="179" t="s">
        <v>25</v>
      </c>
      <c r="C94" s="180"/>
      <c r="D94" s="23">
        <f t="shared" si="5"/>
        <v>0</v>
      </c>
      <c r="E94" s="24">
        <f>IF(F3="1",SUMIF(Data!A:A,'35'!$A$2,Data!FA:FA),0)</f>
        <v>0</v>
      </c>
      <c r="F94" s="25" t="str">
        <f t="shared" si="4"/>
        <v/>
      </c>
    </row>
    <row r="95" spans="1:6" x14ac:dyDescent="0.2">
      <c r="B95" s="30" t="s">
        <v>35</v>
      </c>
      <c r="C95" s="30"/>
      <c r="D95" s="59">
        <f>SUM(D67:D94)</f>
        <v>449313</v>
      </c>
      <c r="E95" s="31">
        <f>SUM(E67:E94)</f>
        <v>1130278</v>
      </c>
      <c r="F95" s="32">
        <f t="shared" si="4"/>
        <v>2.52</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IF(F3="1",SUMIF(Data!A:A,'35'!$A$2,Data!AH:AH),0)</f>
        <v>614379</v>
      </c>
      <c r="F98" s="20">
        <f>IF(OR(E98=0,E98=0),"",ROUND(E98/$D$105,2))</f>
        <v>1.37</v>
      </c>
    </row>
    <row r="99" spans="2:6" x14ac:dyDescent="0.2">
      <c r="B99" s="183" t="s">
        <v>31</v>
      </c>
      <c r="C99" s="184"/>
      <c r="D99" s="36"/>
      <c r="E99" s="17">
        <f>IF(F3="1",SUMIF(Data!A:A,'35'!$A$2,Data!AI:AI),0)</f>
        <v>246894</v>
      </c>
      <c r="F99" s="21">
        <f t="shared" ref="F99:F104" si="6">IF(OR(E99=0,E99=0),"",ROUND(E99/$D$105,2))</f>
        <v>0.55000000000000004</v>
      </c>
    </row>
    <row r="100" spans="2:6" x14ac:dyDescent="0.2">
      <c r="B100" s="183" t="s">
        <v>1078</v>
      </c>
      <c r="C100" s="184"/>
      <c r="D100" s="36"/>
      <c r="E100" s="17">
        <f>IF(F3="1",SUMIF(Data!A:A,'35'!$A$2,Data!AJ:AJ),0)</f>
        <v>69452</v>
      </c>
      <c r="F100" s="21">
        <f t="shared" si="6"/>
        <v>0.15</v>
      </c>
    </row>
    <row r="101" spans="2:6" x14ac:dyDescent="0.2">
      <c r="B101" s="183" t="s">
        <v>1079</v>
      </c>
      <c r="C101" s="184"/>
      <c r="D101" s="36"/>
      <c r="E101" s="17">
        <f>IF(F3="1",SUMIF(Data!A:A,'35'!$A$2,Data!AK:AK),0)</f>
        <v>138909</v>
      </c>
      <c r="F101" s="21">
        <f t="shared" si="6"/>
        <v>0.31</v>
      </c>
    </row>
    <row r="102" spans="2:6" x14ac:dyDescent="0.2">
      <c r="B102" s="183" t="s">
        <v>1080</v>
      </c>
      <c r="C102" s="184"/>
      <c r="D102" s="36"/>
      <c r="E102" s="17">
        <f>IF(F3="1",SUMIF(Data!A:A,'35'!$A$2,Data!AL:AL),0)</f>
        <v>0</v>
      </c>
      <c r="F102" s="21" t="str">
        <f t="shared" si="6"/>
        <v/>
      </c>
    </row>
    <row r="103" spans="2:6" x14ac:dyDescent="0.2">
      <c r="B103" s="185" t="s">
        <v>34</v>
      </c>
      <c r="C103" s="186"/>
      <c r="D103" s="36"/>
      <c r="E103" s="17">
        <f>IF(F3="1",SUMIF(Data!A:A,'35'!$A$2,Data!AM:AM),0)</f>
        <v>0</v>
      </c>
      <c r="F103" s="21" t="str">
        <f t="shared" si="6"/>
        <v/>
      </c>
    </row>
    <row r="104" spans="2:6" ht="15.75" customHeight="1" thickBot="1" x14ac:dyDescent="0.25">
      <c r="B104" s="175" t="s">
        <v>29</v>
      </c>
      <c r="C104" s="176"/>
      <c r="D104" s="37"/>
      <c r="E104" s="24">
        <f>IF(F3="1",SUMIF(Data!A:A,'35'!$A$2,Data!Q:Q),0)</f>
        <v>76258</v>
      </c>
      <c r="F104" s="25">
        <f t="shared" si="6"/>
        <v>0.17</v>
      </c>
    </row>
    <row r="105" spans="2:6" x14ac:dyDescent="0.2">
      <c r="B105" s="30" t="s">
        <v>35</v>
      </c>
      <c r="C105" s="30"/>
      <c r="D105" s="34">
        <f>D95</f>
        <v>449313</v>
      </c>
      <c r="E105" s="31">
        <f>SUM(E98:E104)</f>
        <v>1145892</v>
      </c>
      <c r="F105" s="32">
        <f>IF($D$105=0,"",ROUND(E105/$D$105,2))</f>
        <v>2.5499999999999998</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1130278</v>
      </c>
      <c r="D109" s="15">
        <f>IF(F3="1",SUMIF(Data!$A:$A,$A$2,Data!HJ:HJ),0)</f>
        <v>0</v>
      </c>
      <c r="E109" s="15">
        <f>IF(F3="1",SUMIF(Data!$A:$A,$A$2,Data!IN:IN),0)</f>
        <v>0</v>
      </c>
      <c r="F109" s="47">
        <f>SUM(C109:E109)</f>
        <v>1130278</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76258</v>
      </c>
      <c r="E117" s="52"/>
      <c r="F117" s="49">
        <f>SUM(C117:E117)</f>
        <v>76258</v>
      </c>
    </row>
    <row r="118" spans="1:6" x14ac:dyDescent="0.2">
      <c r="B118" s="13" t="s">
        <v>35</v>
      </c>
      <c r="C118" s="4">
        <f>SUM(C109:C116)</f>
        <v>1130278</v>
      </c>
      <c r="D118" s="4">
        <f>SUM(D109:D116)</f>
        <v>0</v>
      </c>
      <c r="E118" s="4">
        <f>SUM(E109:E116)</f>
        <v>0</v>
      </c>
      <c r="F118" s="4">
        <f>SUM(F109:F116)</f>
        <v>1130278</v>
      </c>
    </row>
    <row r="119" spans="1:6" ht="15" thickBot="1" x14ac:dyDescent="0.25"/>
    <row r="120" spans="1:6" ht="15" thickBot="1" x14ac:dyDescent="0.25">
      <c r="B120" s="55" t="s">
        <v>934</v>
      </c>
      <c r="C120" s="53"/>
      <c r="D120" s="53"/>
      <c r="E120" s="53">
        <f>IF(F3="1",SUMIF(Data!A:A,'35'!$A$2,Data!AM:AM),0)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5703125" style="10" bestFit="1" customWidth="1"/>
    <col min="13" max="13" width="13.42578125" style="10" bestFit="1" customWidth="1"/>
    <col min="14" max="14" width="13.5703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396</v>
      </c>
      <c r="B2" s="58" t="str">
        <f>VLOOKUP(A2,Data!A:G,7,0)</f>
        <v>San Jacinto College District</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4320</v>
      </c>
      <c r="E5" s="15">
        <f>E36+E67+IFERROR($E$105/$D$105*D5,0)</f>
        <v>22064.255111367274</v>
      </c>
      <c r="F5" s="20">
        <f>IF(OR(D5=0,E5=0),"",ROUND(E5/D5,2))</f>
        <v>5.1100000000000003</v>
      </c>
    </row>
    <row r="6" spans="1:6" x14ac:dyDescent="0.2">
      <c r="A6" s="19">
        <v>2</v>
      </c>
      <c r="B6" s="177" t="s">
        <v>1</v>
      </c>
      <c r="C6" s="178"/>
      <c r="D6" s="14">
        <f t="shared" ref="D6:D32" si="0">D37</f>
        <v>248060</v>
      </c>
      <c r="E6" s="17">
        <f t="shared" ref="E6:E32" si="1">E37+E68+IFERROR($E$105/$D$105*D6,0)</f>
        <v>1507177.6071587421</v>
      </c>
      <c r="F6" s="21">
        <f t="shared" ref="F6:F33" si="2">IF(OR(D6=0,E6=0),"",ROUND(E6/D6,2))</f>
        <v>6.08</v>
      </c>
    </row>
    <row r="7" spans="1:6" ht="14.25" customHeight="1" x14ac:dyDescent="0.2">
      <c r="A7" s="19">
        <v>3</v>
      </c>
      <c r="B7" s="177" t="s">
        <v>2</v>
      </c>
      <c r="C7" s="178"/>
      <c r="D7" s="14">
        <f t="shared" si="0"/>
        <v>889480</v>
      </c>
      <c r="E7" s="17">
        <f t="shared" si="1"/>
        <v>5036371.94362476</v>
      </c>
      <c r="F7" s="21">
        <f t="shared" si="2"/>
        <v>5.66</v>
      </c>
    </row>
    <row r="8" spans="1:6" ht="14.25" customHeight="1" x14ac:dyDescent="0.2">
      <c r="A8" s="19">
        <v>4</v>
      </c>
      <c r="B8" s="177" t="s">
        <v>3</v>
      </c>
      <c r="C8" s="178"/>
      <c r="D8" s="14">
        <f t="shared" si="0"/>
        <v>525553</v>
      </c>
      <c r="E8" s="17">
        <f t="shared" si="1"/>
        <v>3363325.6461908342</v>
      </c>
      <c r="F8" s="21">
        <f t="shared" si="2"/>
        <v>6.4</v>
      </c>
    </row>
    <row r="9" spans="1:6" x14ac:dyDescent="0.2">
      <c r="A9" s="19">
        <v>5</v>
      </c>
      <c r="B9" s="177" t="s">
        <v>4</v>
      </c>
      <c r="C9" s="178"/>
      <c r="D9" s="14">
        <f t="shared" si="0"/>
        <v>73024</v>
      </c>
      <c r="E9" s="17">
        <f t="shared" si="1"/>
        <v>847805.77899363055</v>
      </c>
      <c r="F9" s="21">
        <f t="shared" si="2"/>
        <v>11.61</v>
      </c>
    </row>
    <row r="10" spans="1:6" x14ac:dyDescent="0.2">
      <c r="A10" s="19">
        <v>6</v>
      </c>
      <c r="B10" s="177" t="s">
        <v>5</v>
      </c>
      <c r="C10" s="178"/>
      <c r="D10" s="14">
        <f t="shared" si="0"/>
        <v>30172</v>
      </c>
      <c r="E10" s="17">
        <f t="shared" si="1"/>
        <v>257081.47343059571</v>
      </c>
      <c r="F10" s="21">
        <f t="shared" si="2"/>
        <v>8.52</v>
      </c>
    </row>
    <row r="11" spans="1:6" x14ac:dyDescent="0.2">
      <c r="A11" s="19">
        <v>7</v>
      </c>
      <c r="B11" s="177" t="s">
        <v>6</v>
      </c>
      <c r="C11" s="178"/>
      <c r="D11" s="14">
        <f t="shared" si="0"/>
        <v>631191</v>
      </c>
      <c r="E11" s="17">
        <f t="shared" si="1"/>
        <v>3889502.8803238478</v>
      </c>
      <c r="F11" s="21">
        <f t="shared" si="2"/>
        <v>6.16</v>
      </c>
    </row>
    <row r="12" spans="1:6" x14ac:dyDescent="0.2">
      <c r="A12" s="19">
        <v>8</v>
      </c>
      <c r="B12" s="177" t="s">
        <v>7</v>
      </c>
      <c r="C12" s="178"/>
      <c r="D12" s="14">
        <f t="shared" si="0"/>
        <v>110576</v>
      </c>
      <c r="E12" s="17">
        <f t="shared" si="1"/>
        <v>530121.56323947862</v>
      </c>
      <c r="F12" s="21">
        <f t="shared" si="2"/>
        <v>4.79</v>
      </c>
    </row>
    <row r="13" spans="1:6" x14ac:dyDescent="0.2">
      <c r="A13" s="19">
        <v>9</v>
      </c>
      <c r="B13" s="177" t="s">
        <v>8</v>
      </c>
      <c r="C13" s="178"/>
      <c r="D13" s="14">
        <f t="shared" si="0"/>
        <v>454696</v>
      </c>
      <c r="E13" s="17">
        <f t="shared" si="1"/>
        <v>3031770.468082929</v>
      </c>
      <c r="F13" s="21">
        <f t="shared" si="2"/>
        <v>6.67</v>
      </c>
    </row>
    <row r="14" spans="1:6" x14ac:dyDescent="0.2">
      <c r="A14" s="19">
        <v>10</v>
      </c>
      <c r="B14" s="177" t="s">
        <v>9</v>
      </c>
      <c r="C14" s="178"/>
      <c r="D14" s="14">
        <f t="shared" si="0"/>
        <v>2112</v>
      </c>
      <c r="E14" s="17">
        <f t="shared" si="1"/>
        <v>628072.52472111292</v>
      </c>
      <c r="F14" s="21">
        <f t="shared" si="2"/>
        <v>297.38</v>
      </c>
    </row>
    <row r="15" spans="1:6" x14ac:dyDescent="0.2">
      <c r="A15" s="19">
        <v>11</v>
      </c>
      <c r="B15" s="177" t="s">
        <v>10</v>
      </c>
      <c r="C15" s="178"/>
      <c r="D15" s="14">
        <f t="shared" si="0"/>
        <v>227486</v>
      </c>
      <c r="E15" s="17">
        <f t="shared" si="1"/>
        <v>1602545.2796908556</v>
      </c>
      <c r="F15" s="21">
        <f t="shared" si="2"/>
        <v>7.04</v>
      </c>
    </row>
    <row r="16" spans="1:6" ht="14.25" customHeight="1" x14ac:dyDescent="0.2">
      <c r="A16" s="19">
        <v>12</v>
      </c>
      <c r="B16" s="177" t="s">
        <v>11</v>
      </c>
      <c r="C16" s="178"/>
      <c r="D16" s="14">
        <f t="shared" si="0"/>
        <v>1120826</v>
      </c>
      <c r="E16" s="17">
        <f t="shared" si="1"/>
        <v>6226236.6595956795</v>
      </c>
      <c r="F16" s="21">
        <f t="shared" si="2"/>
        <v>5.56</v>
      </c>
    </row>
    <row r="17" spans="1:6" x14ac:dyDescent="0.2">
      <c r="A17" s="19">
        <v>13</v>
      </c>
      <c r="B17" s="177" t="s">
        <v>12</v>
      </c>
      <c r="C17" s="178"/>
      <c r="D17" s="14">
        <f t="shared" si="0"/>
        <v>91546</v>
      </c>
      <c r="E17" s="17">
        <f t="shared" si="1"/>
        <v>524072.21028361772</v>
      </c>
      <c r="F17" s="21">
        <f t="shared" si="2"/>
        <v>5.72</v>
      </c>
    </row>
    <row r="18" spans="1:6" ht="14.25" customHeight="1" x14ac:dyDescent="0.2">
      <c r="A18" s="19">
        <v>14</v>
      </c>
      <c r="B18" s="177" t="s">
        <v>464</v>
      </c>
      <c r="C18" s="178"/>
      <c r="D18" s="14">
        <f t="shared" si="0"/>
        <v>313382</v>
      </c>
      <c r="E18" s="17">
        <f t="shared" si="1"/>
        <v>2167303.3021552078</v>
      </c>
      <c r="F18" s="21">
        <f t="shared" si="2"/>
        <v>6.92</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544712</v>
      </c>
      <c r="E20" s="17">
        <f t="shared" si="1"/>
        <v>3977320.6505146045</v>
      </c>
      <c r="F20" s="21">
        <f t="shared" si="2"/>
        <v>7.3</v>
      </c>
    </row>
    <row r="21" spans="1:6" x14ac:dyDescent="0.2">
      <c r="A21" s="19">
        <v>17</v>
      </c>
      <c r="B21" s="177" t="s">
        <v>15</v>
      </c>
      <c r="C21" s="178"/>
      <c r="D21" s="14">
        <f t="shared" si="0"/>
        <v>24976</v>
      </c>
      <c r="E21" s="17">
        <f t="shared" si="1"/>
        <v>245878.84158831229</v>
      </c>
      <c r="F21" s="21">
        <f t="shared" si="2"/>
        <v>9.84</v>
      </c>
    </row>
    <row r="22" spans="1:6" x14ac:dyDescent="0.2">
      <c r="A22" s="19">
        <v>18</v>
      </c>
      <c r="B22" s="177" t="s">
        <v>16</v>
      </c>
      <c r="C22" s="178"/>
      <c r="D22" s="14">
        <f t="shared" si="0"/>
        <v>156544</v>
      </c>
      <c r="E22" s="17">
        <f t="shared" si="1"/>
        <v>1434106.7111467312</v>
      </c>
      <c r="F22" s="21">
        <f t="shared" si="2"/>
        <v>9.16</v>
      </c>
    </row>
    <row r="23" spans="1:6" x14ac:dyDescent="0.2">
      <c r="A23" s="19">
        <v>19</v>
      </c>
      <c r="B23" s="177" t="s">
        <v>17</v>
      </c>
      <c r="C23" s="178"/>
      <c r="D23" s="14">
        <f t="shared" si="0"/>
        <v>954954</v>
      </c>
      <c r="E23" s="17">
        <f t="shared" si="1"/>
        <v>6208279.6309306994</v>
      </c>
      <c r="F23" s="21">
        <f t="shared" si="2"/>
        <v>6.5</v>
      </c>
    </row>
    <row r="24" spans="1:6" x14ac:dyDescent="0.2">
      <c r="A24" s="19">
        <v>20</v>
      </c>
      <c r="B24" s="177" t="s">
        <v>18</v>
      </c>
      <c r="C24" s="178"/>
      <c r="D24" s="14">
        <f t="shared" si="0"/>
        <v>155616</v>
      </c>
      <c r="E24" s="17">
        <f t="shared" si="1"/>
        <v>1558863.3896783632</v>
      </c>
      <c r="F24" s="21">
        <f t="shared" si="2"/>
        <v>10.02</v>
      </c>
    </row>
    <row r="25" spans="1:6" ht="14.25" customHeight="1" x14ac:dyDescent="0.2">
      <c r="A25" s="19">
        <v>21</v>
      </c>
      <c r="B25" s="177" t="s">
        <v>461</v>
      </c>
      <c r="C25" s="178"/>
      <c r="D25" s="14">
        <f t="shared" si="0"/>
        <v>71979</v>
      </c>
      <c r="E25" s="17">
        <f t="shared" si="1"/>
        <v>930496.33186599659</v>
      </c>
      <c r="F25" s="21">
        <f t="shared" si="2"/>
        <v>12.93</v>
      </c>
    </row>
    <row r="26" spans="1:6" x14ac:dyDescent="0.2">
      <c r="A26" s="19">
        <v>22</v>
      </c>
      <c r="B26" s="177" t="s">
        <v>19</v>
      </c>
      <c r="C26" s="178"/>
      <c r="D26" s="14">
        <f t="shared" si="0"/>
        <v>9782</v>
      </c>
      <c r="E26" s="17">
        <f t="shared" si="1"/>
        <v>71562.873495230247</v>
      </c>
      <c r="F26" s="21">
        <f t="shared" si="2"/>
        <v>7.32</v>
      </c>
    </row>
    <row r="27" spans="1:6" x14ac:dyDescent="0.2">
      <c r="A27" s="19">
        <v>23</v>
      </c>
      <c r="B27" s="177" t="s">
        <v>20</v>
      </c>
      <c r="C27" s="178"/>
      <c r="D27" s="14">
        <f t="shared" si="0"/>
        <v>333856</v>
      </c>
      <c r="E27" s="17">
        <f t="shared" si="1"/>
        <v>2436237.5820510723</v>
      </c>
      <c r="F27" s="21">
        <f t="shared" si="2"/>
        <v>7.3</v>
      </c>
    </row>
    <row r="28" spans="1:6" x14ac:dyDescent="0.2">
      <c r="A28" s="19">
        <v>24</v>
      </c>
      <c r="B28" s="177" t="s">
        <v>21</v>
      </c>
      <c r="C28" s="178"/>
      <c r="D28" s="14">
        <f t="shared" si="0"/>
        <v>160776</v>
      </c>
      <c r="E28" s="17">
        <f t="shared" si="1"/>
        <v>1000695.4443947187</v>
      </c>
      <c r="F28" s="21">
        <f t="shared" si="2"/>
        <v>6.22</v>
      </c>
    </row>
    <row r="29" spans="1:6" x14ac:dyDescent="0.2">
      <c r="A29" s="19">
        <v>25</v>
      </c>
      <c r="B29" s="177" t="s">
        <v>22</v>
      </c>
      <c r="C29" s="178"/>
      <c r="D29" s="14">
        <f t="shared" si="0"/>
        <v>1187616</v>
      </c>
      <c r="E29" s="17">
        <f t="shared" si="1"/>
        <v>6335329.3329494344</v>
      </c>
      <c r="F29" s="21">
        <f t="shared" si="2"/>
        <v>5.33</v>
      </c>
    </row>
    <row r="30" spans="1:6" x14ac:dyDescent="0.2">
      <c r="A30" s="19">
        <v>26</v>
      </c>
      <c r="B30" s="177" t="s">
        <v>23</v>
      </c>
      <c r="C30" s="178"/>
      <c r="D30" s="14">
        <f t="shared" si="0"/>
        <v>393464</v>
      </c>
      <c r="E30" s="17">
        <f t="shared" si="1"/>
        <v>3196640.618782179</v>
      </c>
      <c r="F30" s="21">
        <f t="shared" si="2"/>
        <v>8.1199999999999992</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8716699</v>
      </c>
      <c r="E33" s="31">
        <f>SUM(E5:E32)</f>
        <v>57028863</v>
      </c>
      <c r="F33" s="32">
        <f t="shared" si="2"/>
        <v>6.54</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IF(F3="1",SUMIF(Data!A:A,'36'!$A$2,Data!CU:CU),0)</f>
        <v>4320</v>
      </c>
      <c r="E36" s="15">
        <f>IF(F3="1",SUMIF(Data!$A:$A,$A$2,Data!IO:IO),0)</f>
        <v>0</v>
      </c>
      <c r="F36" s="20" t="str">
        <f t="shared" ref="F36:F64" si="3">IF(OR(D36=0,E36=0),"",ROUND(E36/D36,2))</f>
        <v/>
      </c>
    </row>
    <row r="37" spans="1:6" x14ac:dyDescent="0.2">
      <c r="A37" s="19">
        <v>2</v>
      </c>
      <c r="B37" s="177" t="s">
        <v>1</v>
      </c>
      <c r="C37" s="178"/>
      <c r="D37" s="14">
        <f>IF(F3="1",SUMIF(Data!A:A,'36'!$A$2,Data!CV:CV),0)</f>
        <v>248060</v>
      </c>
      <c r="E37" s="17">
        <f>IF(F3="1",SUMIF(Data!$A:$A,$A$2,Data!IP:IP),0)</f>
        <v>439846</v>
      </c>
      <c r="F37" s="21">
        <f t="shared" si="3"/>
        <v>1.77</v>
      </c>
    </row>
    <row r="38" spans="1:6" ht="14.25" customHeight="1" x14ac:dyDescent="0.2">
      <c r="A38" s="19">
        <v>3</v>
      </c>
      <c r="B38" s="177" t="s">
        <v>2</v>
      </c>
      <c r="C38" s="178"/>
      <c r="D38" s="14">
        <f>IF(F3="1",SUMIF(Data!A:A,'36'!$A$2,Data!CW:CW),0)</f>
        <v>889480</v>
      </c>
      <c r="E38" s="17">
        <f>IF($F$3="1",SUMIF(Data!$A:$A,$A$2,Data!IQ:IQ),0)</f>
        <v>493302</v>
      </c>
      <c r="F38" s="21">
        <f t="shared" si="3"/>
        <v>0.55000000000000004</v>
      </c>
    </row>
    <row r="39" spans="1:6" ht="14.25" customHeight="1" x14ac:dyDescent="0.2">
      <c r="A39" s="19">
        <v>4</v>
      </c>
      <c r="B39" s="177" t="s">
        <v>3</v>
      </c>
      <c r="C39" s="178"/>
      <c r="D39" s="14">
        <f>IF(F3="1",SUMIF(Data!A:A,'36'!$A$2,Data!CX:CX),0)</f>
        <v>525553</v>
      </c>
      <c r="E39" s="17">
        <f>IF($F$3="1",SUMIF(Data!$A:$A,$A$2,Data!IR:IR),0)</f>
        <v>422290</v>
      </c>
      <c r="F39" s="21">
        <f t="shared" si="3"/>
        <v>0.8</v>
      </c>
    </row>
    <row r="40" spans="1:6" x14ac:dyDescent="0.2">
      <c r="A40" s="19">
        <v>5</v>
      </c>
      <c r="B40" s="177" t="s">
        <v>4</v>
      </c>
      <c r="C40" s="178"/>
      <c r="D40" s="14">
        <f>IF(F3="1",SUMIF(Data!A:A,'36'!$A$2,Data!CY:CY),0)</f>
        <v>73024</v>
      </c>
      <c r="E40" s="17">
        <f>IF($F$3="1",SUMIF(Data!$A:$A,$A$2,Data!IS:IS),0)</f>
        <v>387047</v>
      </c>
      <c r="F40" s="21">
        <f t="shared" si="3"/>
        <v>5.3</v>
      </c>
    </row>
    <row r="41" spans="1:6" x14ac:dyDescent="0.2">
      <c r="A41" s="19">
        <v>6</v>
      </c>
      <c r="B41" s="177" t="s">
        <v>5</v>
      </c>
      <c r="C41" s="178"/>
      <c r="D41" s="14">
        <f>IF(F3="1",SUMIF(Data!A:A,'36'!$A$2,Data!CZ:CZ),0)</f>
        <v>30172</v>
      </c>
      <c r="E41" s="17">
        <f>IF($F$3="1",SUMIF(Data!$A:$A,$A$2,Data!IT:IT),0)</f>
        <v>77500</v>
      </c>
      <c r="F41" s="21">
        <f t="shared" si="3"/>
        <v>2.57</v>
      </c>
    </row>
    <row r="42" spans="1:6" x14ac:dyDescent="0.2">
      <c r="A42" s="19">
        <v>7</v>
      </c>
      <c r="B42" s="177" t="s">
        <v>6</v>
      </c>
      <c r="C42" s="178"/>
      <c r="D42" s="14">
        <f>IF(F3="1",SUMIF(Data!A:A,'36'!$A$2,Data!DA:DA),0)</f>
        <v>631191</v>
      </c>
      <c r="E42" s="17">
        <f>IF($F$3="1",SUMIF(Data!$A:$A,$A$2,Data!IU:IU),0)</f>
        <v>747456</v>
      </c>
      <c r="F42" s="21">
        <f t="shared" si="3"/>
        <v>1.18</v>
      </c>
    </row>
    <row r="43" spans="1:6" x14ac:dyDescent="0.2">
      <c r="A43" s="19">
        <v>8</v>
      </c>
      <c r="B43" s="177" t="s">
        <v>7</v>
      </c>
      <c r="C43" s="178"/>
      <c r="D43" s="14">
        <f>IF(F3="1",SUMIF(Data!A:A,'36'!$A$2,Data!DB:DB),0)</f>
        <v>110576</v>
      </c>
      <c r="E43" s="17">
        <f>IF($F$3="1",SUMIF(Data!$A:$A,$A$2,Data!IV:IV),0)</f>
        <v>115536</v>
      </c>
      <c r="F43" s="21">
        <f t="shared" si="3"/>
        <v>1.04</v>
      </c>
    </row>
    <row r="44" spans="1:6" x14ac:dyDescent="0.2">
      <c r="A44" s="19">
        <v>9</v>
      </c>
      <c r="B44" s="177" t="s">
        <v>8</v>
      </c>
      <c r="C44" s="178"/>
      <c r="D44" s="14">
        <f>IF(F3="1",SUMIF(Data!A:A,'36'!$A$2,Data!DC:DC),0)</f>
        <v>454696</v>
      </c>
      <c r="E44" s="17">
        <f>IF($F$3="1",SUMIF(Data!$A:$A,$A$2,Data!IW:IW),0)</f>
        <v>370673</v>
      </c>
      <c r="F44" s="21">
        <f t="shared" si="3"/>
        <v>0.82</v>
      </c>
    </row>
    <row r="45" spans="1:6" x14ac:dyDescent="0.2">
      <c r="A45" s="19">
        <v>10</v>
      </c>
      <c r="B45" s="177" t="s">
        <v>9</v>
      </c>
      <c r="C45" s="178"/>
      <c r="D45" s="14">
        <f>IF(F3="1",SUMIF(Data!A:A,'36'!$A$2,Data!DD:DD),0)</f>
        <v>2112</v>
      </c>
      <c r="E45" s="17">
        <f>IF($F$3="1",SUMIF(Data!$A:$A,$A$2,Data!IX:IX),0)</f>
        <v>149940</v>
      </c>
      <c r="F45" s="21">
        <f t="shared" si="3"/>
        <v>70.989999999999995</v>
      </c>
    </row>
    <row r="46" spans="1:6" x14ac:dyDescent="0.2">
      <c r="A46" s="19">
        <v>11</v>
      </c>
      <c r="B46" s="177" t="s">
        <v>10</v>
      </c>
      <c r="C46" s="178"/>
      <c r="D46" s="14">
        <f>IF(F3="1",SUMIF(Data!A:A,'36'!$A$2,Data!DE:DE),0)</f>
        <v>227486</v>
      </c>
      <c r="E46" s="17">
        <f>IF($F$3="1",SUMIF(Data!$A:$A,$A$2,Data!IY:IY),0)</f>
        <v>228251</v>
      </c>
      <c r="F46" s="21">
        <f t="shared" si="3"/>
        <v>1</v>
      </c>
    </row>
    <row r="47" spans="1:6" ht="14.25" customHeight="1" x14ac:dyDescent="0.2">
      <c r="A47" s="19">
        <v>12</v>
      </c>
      <c r="B47" s="177" t="s">
        <v>11</v>
      </c>
      <c r="C47" s="178"/>
      <c r="D47" s="14">
        <f>IF(F3="1",SUMIF(Data!A:A,'36'!$A$2,Data!DF:DF),0)</f>
        <v>1120826</v>
      </c>
      <c r="E47" s="17">
        <f>IF($F$3="1",SUMIF(Data!$A:$A,$A$2,Data!IZ:IZ),0)</f>
        <v>519119</v>
      </c>
      <c r="F47" s="21">
        <f t="shared" si="3"/>
        <v>0.46</v>
      </c>
    </row>
    <row r="48" spans="1:6" x14ac:dyDescent="0.2">
      <c r="A48" s="19">
        <v>13</v>
      </c>
      <c r="B48" s="177" t="s">
        <v>12</v>
      </c>
      <c r="C48" s="178"/>
      <c r="D48" s="14">
        <f>IF(F3="1",SUMIF(Data!A:A,'36'!$A$2,Data!DG:DG),0)</f>
        <v>91546</v>
      </c>
      <c r="E48" s="17">
        <f>IF($F$3="1",SUMIF(Data!$A:$A,$A$2,Data!JA:JA),0)</f>
        <v>24404</v>
      </c>
      <c r="F48" s="21">
        <f t="shared" si="3"/>
        <v>0.27</v>
      </c>
    </row>
    <row r="49" spans="1:6" ht="14.25" customHeight="1" x14ac:dyDescent="0.2">
      <c r="A49" s="19">
        <v>14</v>
      </c>
      <c r="B49" s="177" t="s">
        <v>464</v>
      </c>
      <c r="C49" s="178"/>
      <c r="D49" s="14">
        <f>IF(F3="1",SUMIF(Data!A:A,'36'!$A$2,Data!DH:DH),0)</f>
        <v>313382</v>
      </c>
      <c r="E49" s="17">
        <f>IF($F$3="1",SUMIF(Data!$A:$A,$A$2,Data!JB:JB),0)</f>
        <v>153900</v>
      </c>
      <c r="F49" s="21">
        <f t="shared" si="3"/>
        <v>0.49</v>
      </c>
    </row>
    <row r="50" spans="1:6" x14ac:dyDescent="0.2">
      <c r="A50" s="19">
        <v>15</v>
      </c>
      <c r="B50" s="177" t="s">
        <v>13</v>
      </c>
      <c r="C50" s="178"/>
      <c r="D50" s="14">
        <f>IF(F3="1",SUMIF(Data!A:A,'36'!$A$2,Data!DI:DI),0)</f>
        <v>0</v>
      </c>
      <c r="E50" s="17">
        <f>IF($F$3="1",SUMIF(Data!$A:$A,$A$2,Data!JC:JC),0)</f>
        <v>0</v>
      </c>
      <c r="F50" s="21" t="str">
        <f t="shared" si="3"/>
        <v/>
      </c>
    </row>
    <row r="51" spans="1:6" x14ac:dyDescent="0.2">
      <c r="A51" s="19">
        <v>16</v>
      </c>
      <c r="B51" s="177" t="s">
        <v>14</v>
      </c>
      <c r="C51" s="178"/>
      <c r="D51" s="14">
        <f>IF(F3="1",SUMIF(Data!A:A,'36'!$A$2,Data!DJ:DJ),0)</f>
        <v>544712</v>
      </c>
      <c r="E51" s="17">
        <f>IF($F$3="1",SUMIF(Data!$A:$A,$A$2,Data!JD:JD),0)</f>
        <v>380197</v>
      </c>
      <c r="F51" s="21">
        <f t="shared" si="3"/>
        <v>0.7</v>
      </c>
    </row>
    <row r="52" spans="1:6" x14ac:dyDescent="0.2">
      <c r="A52" s="19">
        <v>17</v>
      </c>
      <c r="B52" s="177" t="s">
        <v>15</v>
      </c>
      <c r="C52" s="178"/>
      <c r="D52" s="14">
        <f>IF(F3="1",SUMIF(Data!A:A,'36'!$A$2,Data!DK:DK),0)</f>
        <v>24976</v>
      </c>
      <c r="E52" s="17">
        <f>IF($F$3="1",SUMIF(Data!$A:$A,$A$2,Data!JE:JE),0)</f>
        <v>18055</v>
      </c>
      <c r="F52" s="21">
        <f t="shared" si="3"/>
        <v>0.72</v>
      </c>
    </row>
    <row r="53" spans="1:6" x14ac:dyDescent="0.2">
      <c r="A53" s="19">
        <v>18</v>
      </c>
      <c r="B53" s="177" t="s">
        <v>16</v>
      </c>
      <c r="C53" s="178"/>
      <c r="D53" s="14">
        <f>IF(F3="1",SUMIF(Data!A:A,'36'!$A$2,Data!DL:DL),0)</f>
        <v>156544</v>
      </c>
      <c r="E53" s="17">
        <f>IF($F$3="1",SUMIF(Data!$A:$A,$A$2,Data!JF:JF),0)</f>
        <v>93526</v>
      </c>
      <c r="F53" s="21">
        <f t="shared" si="3"/>
        <v>0.6</v>
      </c>
    </row>
    <row r="54" spans="1:6" x14ac:dyDescent="0.2">
      <c r="A54" s="19">
        <v>19</v>
      </c>
      <c r="B54" s="177" t="s">
        <v>17</v>
      </c>
      <c r="C54" s="178"/>
      <c r="D54" s="14">
        <f>IF(F3="1",SUMIF(Data!A:A,'36'!$A$2,Data!DM:DM),0)</f>
        <v>954954</v>
      </c>
      <c r="E54" s="17">
        <f>IF($F$3="1",SUMIF(Data!$A:$A,$A$2,Data!JG:JG),0)</f>
        <v>330286</v>
      </c>
      <c r="F54" s="21">
        <f t="shared" si="3"/>
        <v>0.35</v>
      </c>
    </row>
    <row r="55" spans="1:6" x14ac:dyDescent="0.2">
      <c r="A55" s="19">
        <v>20</v>
      </c>
      <c r="B55" s="177" t="s">
        <v>18</v>
      </c>
      <c r="C55" s="178"/>
      <c r="D55" s="14">
        <f>IF(F3="1",SUMIF(Data!A:A,'36'!$A$2,Data!DN:DN),0)</f>
        <v>155616</v>
      </c>
      <c r="E55" s="17">
        <f>IF($F$3="1",SUMIF(Data!$A:$A,$A$2,Data!JH:JH),0)</f>
        <v>359795</v>
      </c>
      <c r="F55" s="21">
        <f t="shared" si="3"/>
        <v>2.31</v>
      </c>
    </row>
    <row r="56" spans="1:6" ht="14.25" customHeight="1" x14ac:dyDescent="0.2">
      <c r="A56" s="19">
        <v>21</v>
      </c>
      <c r="B56" s="177" t="s">
        <v>461</v>
      </c>
      <c r="C56" s="178"/>
      <c r="D56" s="14">
        <f>IF(F3="1",SUMIF(Data!A:A,'36'!$A$2,Data!DO:DO),0)</f>
        <v>71979</v>
      </c>
      <c r="E56" s="17">
        <f>IF($F$3="1",SUMIF(Data!$A:$A,$A$2,Data!JI:JI),0)</f>
        <v>323650</v>
      </c>
      <c r="F56" s="21">
        <f t="shared" si="3"/>
        <v>4.5</v>
      </c>
    </row>
    <row r="57" spans="1:6" x14ac:dyDescent="0.2">
      <c r="A57" s="19">
        <v>22</v>
      </c>
      <c r="B57" s="177" t="s">
        <v>19</v>
      </c>
      <c r="C57" s="178"/>
      <c r="D57" s="14">
        <f>IF(F3="1",SUMIF(Data!A:A,'36'!$A$2,Data!DP:DP),0)</f>
        <v>9782</v>
      </c>
      <c r="E57" s="17">
        <f>IF($F$3="1",SUMIF(Data!$A:$A,$A$2,Data!JJ:JJ),0)</f>
        <v>26226</v>
      </c>
      <c r="F57" s="21">
        <f t="shared" si="3"/>
        <v>2.68</v>
      </c>
    </row>
    <row r="58" spans="1:6" x14ac:dyDescent="0.2">
      <c r="A58" s="19">
        <v>23</v>
      </c>
      <c r="B58" s="177" t="s">
        <v>20</v>
      </c>
      <c r="C58" s="178"/>
      <c r="D58" s="14">
        <f>IF(F3="1",SUMIF(Data!A:A,'36'!$A$2,Data!DQ:DQ),0)</f>
        <v>333856</v>
      </c>
      <c r="E58" s="17">
        <f>IF($F$3="1",SUMIF(Data!$A:$A,$A$2,Data!JK:JK),0)</f>
        <v>182507</v>
      </c>
      <c r="F58" s="21">
        <f t="shared" si="3"/>
        <v>0.55000000000000004</v>
      </c>
    </row>
    <row r="59" spans="1:6" x14ac:dyDescent="0.2">
      <c r="A59" s="19">
        <v>24</v>
      </c>
      <c r="B59" s="177" t="s">
        <v>21</v>
      </c>
      <c r="C59" s="178"/>
      <c r="D59" s="14">
        <f>IF(F3="1",SUMIF(Data!A:A,'36'!$A$2,Data!DR:DR),0)</f>
        <v>160776</v>
      </c>
      <c r="E59" s="17">
        <f>IF($F$3="1",SUMIF(Data!$A:$A,$A$2,Data!JL:JL),0)</f>
        <v>107368</v>
      </c>
      <c r="F59" s="21">
        <f t="shared" si="3"/>
        <v>0.67</v>
      </c>
    </row>
    <row r="60" spans="1:6" x14ac:dyDescent="0.2">
      <c r="A60" s="19">
        <v>25</v>
      </c>
      <c r="B60" s="177" t="s">
        <v>22</v>
      </c>
      <c r="C60" s="178"/>
      <c r="D60" s="14">
        <f>IF(F3="1",SUMIF(Data!A:A,'36'!$A$2,Data!DS:DS),0)</f>
        <v>1187616</v>
      </c>
      <c r="E60" s="17">
        <f>IF($F$3="1",SUMIF(Data!$A:$A,$A$2,Data!JM:JM),0)</f>
        <v>215288</v>
      </c>
      <c r="F60" s="21">
        <f t="shared" si="3"/>
        <v>0.18</v>
      </c>
    </row>
    <row r="61" spans="1:6" x14ac:dyDescent="0.2">
      <c r="A61" s="19">
        <v>26</v>
      </c>
      <c r="B61" s="177" t="s">
        <v>23</v>
      </c>
      <c r="C61" s="178"/>
      <c r="D61" s="14">
        <f>IF(F3="1",SUMIF(Data!A:A,'36'!$A$2,Data!DT:DT),0)</f>
        <v>393464</v>
      </c>
      <c r="E61" s="17">
        <f>IF($F$3="1",SUMIF(Data!$A:$A,$A$2,Data!JN:JN),0)</f>
        <v>454830</v>
      </c>
      <c r="F61" s="21">
        <f t="shared" si="3"/>
        <v>1.1599999999999999</v>
      </c>
    </row>
    <row r="62" spans="1:6" x14ac:dyDescent="0.2">
      <c r="A62" s="19">
        <v>28</v>
      </c>
      <c r="B62" s="177" t="s">
        <v>24</v>
      </c>
      <c r="C62" s="178"/>
      <c r="D62" s="14">
        <f>IF(F3="1",SUMIF(Data!A:A,'36'!$A$2,Data!DV:DV),0)</f>
        <v>0</v>
      </c>
      <c r="E62" s="17">
        <f>IF($F$3="1",SUMIF(Data!$A:$A,$A$2,Data!JP:JP),0)</f>
        <v>0</v>
      </c>
      <c r="F62" s="21" t="str">
        <f t="shared" si="3"/>
        <v/>
      </c>
    </row>
    <row r="63" spans="1:6" ht="15.75" customHeight="1" thickBot="1" x14ac:dyDescent="0.25">
      <c r="A63" s="22">
        <v>29</v>
      </c>
      <c r="B63" s="179" t="s">
        <v>25</v>
      </c>
      <c r="C63" s="180"/>
      <c r="D63" s="23">
        <f>IF(F3="1",SUMIF(Data!A:A,'36'!$A$2,Data!DW:DW),0)</f>
        <v>0</v>
      </c>
      <c r="E63" s="24">
        <f>IF($F$3="1",SUMIF(Data!$A:$A,$A$2,Data!JQ:JQ),0)</f>
        <v>0</v>
      </c>
      <c r="F63" s="25" t="str">
        <f t="shared" si="3"/>
        <v/>
      </c>
    </row>
    <row r="64" spans="1:6" x14ac:dyDescent="0.2">
      <c r="B64" s="30" t="s">
        <v>35</v>
      </c>
      <c r="C64" s="30"/>
      <c r="D64" s="59">
        <f>SUM(D36:D63)</f>
        <v>8716699</v>
      </c>
      <c r="E64" s="31">
        <f>SUM(E36:E63)</f>
        <v>6620992</v>
      </c>
      <c r="F64" s="32">
        <f t="shared" si="3"/>
        <v>0.76</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4320</v>
      </c>
      <c r="E67" s="15">
        <f>IF(F3="1",SUMIF(Data!A:A,'36'!$A$2,Data!DY:DY),0)</f>
        <v>10355</v>
      </c>
      <c r="F67" s="20">
        <f t="shared" ref="F67:F95" si="4">IF(OR(D67=0,E67=0),"",ROUND(E67/D67,2))</f>
        <v>2.4</v>
      </c>
    </row>
    <row r="68" spans="1:6" x14ac:dyDescent="0.2">
      <c r="A68" s="19">
        <v>2</v>
      </c>
      <c r="B68" s="177" t="s">
        <v>1</v>
      </c>
      <c r="C68" s="178"/>
      <c r="D68" s="14">
        <f t="shared" ref="D68:D94" si="5">D37</f>
        <v>248060</v>
      </c>
      <c r="E68" s="17">
        <f>IF(F3="1",SUMIF(Data!A:A,'36'!$A$2,Data!DZ:DZ),0)</f>
        <v>394971</v>
      </c>
      <c r="F68" s="21">
        <f t="shared" si="4"/>
        <v>1.59</v>
      </c>
    </row>
    <row r="69" spans="1:6" ht="14.25" customHeight="1" x14ac:dyDescent="0.2">
      <c r="A69" s="19">
        <v>3</v>
      </c>
      <c r="B69" s="177" t="s">
        <v>2</v>
      </c>
      <c r="C69" s="178"/>
      <c r="D69" s="14">
        <f t="shared" si="5"/>
        <v>889480</v>
      </c>
      <c r="E69" s="17">
        <f>IF(F3="1",SUMIF(Data!A:A,'36'!$A$2,Data!EA:EA),0)</f>
        <v>2132156</v>
      </c>
      <c r="F69" s="21">
        <f t="shared" si="4"/>
        <v>2.4</v>
      </c>
    </row>
    <row r="70" spans="1:6" ht="14.25" customHeight="1" x14ac:dyDescent="0.2">
      <c r="A70" s="19">
        <v>4</v>
      </c>
      <c r="B70" s="177" t="s">
        <v>3</v>
      </c>
      <c r="C70" s="178"/>
      <c r="D70" s="14">
        <f t="shared" si="5"/>
        <v>525553</v>
      </c>
      <c r="E70" s="17">
        <f>IF(F3="1",SUMIF(Data!A:A,'36'!$A$2,Data!EB:EB),0)</f>
        <v>1516537</v>
      </c>
      <c r="F70" s="21">
        <f t="shared" si="4"/>
        <v>2.89</v>
      </c>
    </row>
    <row r="71" spans="1:6" x14ac:dyDescent="0.2">
      <c r="A71" s="19">
        <v>5</v>
      </c>
      <c r="B71" s="177" t="s">
        <v>4</v>
      </c>
      <c r="C71" s="178"/>
      <c r="D71" s="14">
        <f t="shared" si="5"/>
        <v>73024</v>
      </c>
      <c r="E71" s="17">
        <f>IF(F3="1",SUMIF(Data!A:A,'36'!$A$2,Data!EC:EC),0)</f>
        <v>262829</v>
      </c>
      <c r="F71" s="21">
        <f t="shared" si="4"/>
        <v>3.6</v>
      </c>
    </row>
    <row r="72" spans="1:6" x14ac:dyDescent="0.2">
      <c r="A72" s="19">
        <v>6</v>
      </c>
      <c r="B72" s="177" t="s">
        <v>5</v>
      </c>
      <c r="C72" s="178"/>
      <c r="D72" s="14">
        <f t="shared" si="5"/>
        <v>30172</v>
      </c>
      <c r="E72" s="17">
        <f>IF(F3="1",SUMIF(Data!A:A,'36'!$A$2,Data!ED:ED),0)</f>
        <v>97801</v>
      </c>
      <c r="F72" s="21">
        <f t="shared" si="4"/>
        <v>3.24</v>
      </c>
    </row>
    <row r="73" spans="1:6" x14ac:dyDescent="0.2">
      <c r="A73" s="19">
        <v>7</v>
      </c>
      <c r="B73" s="177" t="s">
        <v>6</v>
      </c>
      <c r="C73" s="178"/>
      <c r="D73" s="14">
        <f t="shared" si="5"/>
        <v>631191</v>
      </c>
      <c r="E73" s="17">
        <f>IF(F3="1",SUMIF(Data!A:A,'36'!$A$2,Data!EE:EE),0)</f>
        <v>1431219</v>
      </c>
      <c r="F73" s="21">
        <f t="shared" si="4"/>
        <v>2.27</v>
      </c>
    </row>
    <row r="74" spans="1:6" x14ac:dyDescent="0.2">
      <c r="A74" s="19">
        <v>8</v>
      </c>
      <c r="B74" s="177" t="s">
        <v>7</v>
      </c>
      <c r="C74" s="178"/>
      <c r="D74" s="14">
        <f t="shared" si="5"/>
        <v>110576</v>
      </c>
      <c r="E74" s="17">
        <f>IF(F3="1",SUMIF(Data!A:A,'36'!$A$2,Data!EF:EF),0)</f>
        <v>114872</v>
      </c>
      <c r="F74" s="21">
        <f t="shared" si="4"/>
        <v>1.04</v>
      </c>
    </row>
    <row r="75" spans="1:6" x14ac:dyDescent="0.2">
      <c r="A75" s="19">
        <v>9</v>
      </c>
      <c r="B75" s="177" t="s">
        <v>8</v>
      </c>
      <c r="C75" s="178"/>
      <c r="D75" s="14">
        <f t="shared" si="5"/>
        <v>454696</v>
      </c>
      <c r="E75" s="17">
        <f>IF(F3="1",SUMIF(Data!A:A,'36'!$A$2,Data!EG:EG),0)</f>
        <v>1428655</v>
      </c>
      <c r="F75" s="21">
        <f t="shared" si="4"/>
        <v>3.14</v>
      </c>
    </row>
    <row r="76" spans="1:6" x14ac:dyDescent="0.2">
      <c r="A76" s="19">
        <v>10</v>
      </c>
      <c r="B76" s="177" t="s">
        <v>9</v>
      </c>
      <c r="C76" s="178"/>
      <c r="D76" s="14">
        <f t="shared" si="5"/>
        <v>2112</v>
      </c>
      <c r="E76" s="17">
        <f>IF(F3="1",SUMIF(Data!A:A,'36'!$A$2,Data!EH:EH),0)</f>
        <v>472408</v>
      </c>
      <c r="F76" s="21">
        <f t="shared" si="4"/>
        <v>223.68</v>
      </c>
    </row>
    <row r="77" spans="1:6" x14ac:dyDescent="0.2">
      <c r="A77" s="19">
        <v>11</v>
      </c>
      <c r="B77" s="177" t="s">
        <v>10</v>
      </c>
      <c r="C77" s="178"/>
      <c r="D77" s="14">
        <f t="shared" si="5"/>
        <v>227486</v>
      </c>
      <c r="E77" s="17">
        <f>IF(F3="1",SUMIF(Data!A:A,'36'!$A$2,Data!EI:EI),0)</f>
        <v>757699</v>
      </c>
      <c r="F77" s="21">
        <f t="shared" si="4"/>
        <v>3.33</v>
      </c>
    </row>
    <row r="78" spans="1:6" ht="14.25" customHeight="1" x14ac:dyDescent="0.2">
      <c r="A78" s="19">
        <v>12</v>
      </c>
      <c r="B78" s="177" t="s">
        <v>11</v>
      </c>
      <c r="C78" s="178"/>
      <c r="D78" s="14">
        <f t="shared" si="5"/>
        <v>1120826</v>
      </c>
      <c r="E78" s="17">
        <f>IF(F3="1",SUMIF(Data!A:A,'36'!$A$2,Data!EJ:EJ),0)</f>
        <v>2669146</v>
      </c>
      <c r="F78" s="21">
        <f t="shared" si="4"/>
        <v>2.38</v>
      </c>
    </row>
    <row r="79" spans="1:6" x14ac:dyDescent="0.2">
      <c r="A79" s="19">
        <v>13</v>
      </c>
      <c r="B79" s="177" t="s">
        <v>12</v>
      </c>
      <c r="C79" s="178"/>
      <c r="D79" s="14">
        <f t="shared" si="5"/>
        <v>91546</v>
      </c>
      <c r="E79" s="17">
        <f>IF(F3="1",SUMIF(Data!A:A,'36'!$A$2,Data!EK:EK),0)</f>
        <v>251535</v>
      </c>
      <c r="F79" s="21">
        <f t="shared" si="4"/>
        <v>2.75</v>
      </c>
    </row>
    <row r="80" spans="1:6" ht="14.25" customHeight="1" x14ac:dyDescent="0.2">
      <c r="A80" s="19">
        <v>14</v>
      </c>
      <c r="B80" s="177" t="s">
        <v>464</v>
      </c>
      <c r="C80" s="178"/>
      <c r="D80" s="14">
        <f t="shared" si="5"/>
        <v>313382</v>
      </c>
      <c r="E80" s="17">
        <f>IF(F3="1",SUMIF(Data!A:A,'36'!$A$2,Data!EL:EL),0)</f>
        <v>1163989</v>
      </c>
      <c r="F80" s="21">
        <f t="shared" si="4"/>
        <v>3.71</v>
      </c>
    </row>
    <row r="81" spans="1:6" x14ac:dyDescent="0.2">
      <c r="A81" s="19">
        <v>15</v>
      </c>
      <c r="B81" s="177" t="s">
        <v>13</v>
      </c>
      <c r="C81" s="178"/>
      <c r="D81" s="14">
        <f t="shared" si="5"/>
        <v>0</v>
      </c>
      <c r="E81" s="17">
        <f>IF(F3="1",SUMIF(Data!A:A,'36'!$A$2,Data!EM:EM),0)</f>
        <v>0</v>
      </c>
      <c r="F81" s="21" t="str">
        <f t="shared" si="4"/>
        <v/>
      </c>
    </row>
    <row r="82" spans="1:6" x14ac:dyDescent="0.2">
      <c r="A82" s="19">
        <v>16</v>
      </c>
      <c r="B82" s="177" t="s">
        <v>14</v>
      </c>
      <c r="C82" s="178"/>
      <c r="D82" s="14">
        <f t="shared" si="5"/>
        <v>544712</v>
      </c>
      <c r="E82" s="17">
        <f>IF(F3="1",SUMIF(Data!A:A,'36'!$A$2,Data!EN:EN),0)</f>
        <v>2120695</v>
      </c>
      <c r="F82" s="21">
        <f t="shared" si="4"/>
        <v>3.89</v>
      </c>
    </row>
    <row r="83" spans="1:6" x14ac:dyDescent="0.2">
      <c r="A83" s="19">
        <v>17</v>
      </c>
      <c r="B83" s="177" t="s">
        <v>15</v>
      </c>
      <c r="C83" s="178"/>
      <c r="D83" s="14">
        <f t="shared" si="5"/>
        <v>24976</v>
      </c>
      <c r="E83" s="17">
        <f>IF(F3="1",SUMIF(Data!A:A,'36'!$A$2,Data!EO:EO),0)</f>
        <v>160127</v>
      </c>
      <c r="F83" s="21">
        <f t="shared" si="4"/>
        <v>6.41</v>
      </c>
    </row>
    <row r="84" spans="1:6" x14ac:dyDescent="0.2">
      <c r="A84" s="19">
        <v>18</v>
      </c>
      <c r="B84" s="177" t="s">
        <v>16</v>
      </c>
      <c r="C84" s="178"/>
      <c r="D84" s="14">
        <f t="shared" si="5"/>
        <v>156544</v>
      </c>
      <c r="E84" s="17">
        <f>IF(F3="1",SUMIF(Data!A:A,'36'!$A$2,Data!EP:EP),0)</f>
        <v>916272</v>
      </c>
      <c r="F84" s="21">
        <f t="shared" si="4"/>
        <v>5.85</v>
      </c>
    </row>
    <row r="85" spans="1:6" x14ac:dyDescent="0.2">
      <c r="A85" s="19">
        <v>19</v>
      </c>
      <c r="B85" s="177" t="s">
        <v>17</v>
      </c>
      <c r="C85" s="178"/>
      <c r="D85" s="14">
        <f t="shared" si="5"/>
        <v>954954</v>
      </c>
      <c r="E85" s="17">
        <f>IF(F3="1",SUMIF(Data!A:A,'36'!$A$2,Data!EQ:EQ),0)</f>
        <v>3289614</v>
      </c>
      <c r="F85" s="21">
        <f t="shared" si="4"/>
        <v>3.44</v>
      </c>
    </row>
    <row r="86" spans="1:6" x14ac:dyDescent="0.2">
      <c r="A86" s="19">
        <v>20</v>
      </c>
      <c r="B86" s="177" t="s">
        <v>18</v>
      </c>
      <c r="C86" s="178"/>
      <c r="D86" s="14">
        <f t="shared" si="5"/>
        <v>155616</v>
      </c>
      <c r="E86" s="17">
        <f>IF(F3="1",SUMIF(Data!A:A,'36'!$A$2,Data!ER:ER),0)</f>
        <v>777275</v>
      </c>
      <c r="F86" s="21">
        <f t="shared" si="4"/>
        <v>4.99</v>
      </c>
    </row>
    <row r="87" spans="1:6" ht="14.25" customHeight="1" x14ac:dyDescent="0.2">
      <c r="A87" s="19">
        <v>21</v>
      </c>
      <c r="B87" s="177" t="s">
        <v>461</v>
      </c>
      <c r="C87" s="178"/>
      <c r="D87" s="14">
        <f t="shared" si="5"/>
        <v>71979</v>
      </c>
      <c r="E87" s="17">
        <f>IF(F3="1",SUMIF(Data!A:A,'36'!$A$2,Data!ES:ES),0)</f>
        <v>411749</v>
      </c>
      <c r="F87" s="21">
        <f t="shared" si="4"/>
        <v>5.72</v>
      </c>
    </row>
    <row r="88" spans="1:6" x14ac:dyDescent="0.2">
      <c r="A88" s="19">
        <v>22</v>
      </c>
      <c r="B88" s="177" t="s">
        <v>19</v>
      </c>
      <c r="C88" s="178"/>
      <c r="D88" s="14">
        <f t="shared" si="5"/>
        <v>9782</v>
      </c>
      <c r="E88" s="17">
        <f>IF(F3="1",SUMIF(Data!A:A,'36'!$A$2,Data!ET:ET),0)</f>
        <v>18823</v>
      </c>
      <c r="F88" s="21">
        <f t="shared" si="4"/>
        <v>1.92</v>
      </c>
    </row>
    <row r="89" spans="1:6" x14ac:dyDescent="0.2">
      <c r="A89" s="19">
        <v>23</v>
      </c>
      <c r="B89" s="177" t="s">
        <v>20</v>
      </c>
      <c r="C89" s="178"/>
      <c r="D89" s="14">
        <f t="shared" si="5"/>
        <v>333856</v>
      </c>
      <c r="E89" s="17">
        <f>IF(F3="1",SUMIF(Data!A:A,'36'!$A$2,Data!EU:EU),0)</f>
        <v>1348822</v>
      </c>
      <c r="F89" s="21">
        <f t="shared" si="4"/>
        <v>4.04</v>
      </c>
    </row>
    <row r="90" spans="1:6" x14ac:dyDescent="0.2">
      <c r="A90" s="19">
        <v>24</v>
      </c>
      <c r="B90" s="177" t="s">
        <v>21</v>
      </c>
      <c r="C90" s="178"/>
      <c r="D90" s="14">
        <f t="shared" si="5"/>
        <v>160776</v>
      </c>
      <c r="E90" s="17">
        <f>IF(F3="1",SUMIF(Data!A:A,'36'!$A$2,Data!EV:EV),0)</f>
        <v>457548</v>
      </c>
      <c r="F90" s="21">
        <f t="shared" si="4"/>
        <v>2.85</v>
      </c>
    </row>
    <row r="91" spans="1:6" x14ac:dyDescent="0.2">
      <c r="A91" s="19">
        <v>25</v>
      </c>
      <c r="B91" s="177" t="s">
        <v>22</v>
      </c>
      <c r="C91" s="178"/>
      <c r="D91" s="14">
        <f t="shared" si="5"/>
        <v>1187616</v>
      </c>
      <c r="E91" s="17">
        <f>IF(F3="1",SUMIF(Data!A:A,'36'!$A$2,Data!EW:EW),0)</f>
        <v>2901037</v>
      </c>
      <c r="F91" s="21">
        <f t="shared" si="4"/>
        <v>2.44</v>
      </c>
    </row>
    <row r="92" spans="1:6" x14ac:dyDescent="0.2">
      <c r="A92" s="19">
        <v>26</v>
      </c>
      <c r="B92" s="177" t="s">
        <v>23</v>
      </c>
      <c r="C92" s="178"/>
      <c r="D92" s="14">
        <f t="shared" si="5"/>
        <v>393464</v>
      </c>
      <c r="E92" s="17">
        <f>IF(F3="1",SUMIF(Data!A:A,'36'!$A$2,Data!EX:EX),0)</f>
        <v>1675336</v>
      </c>
      <c r="F92" s="21">
        <f t="shared" si="4"/>
        <v>4.26</v>
      </c>
    </row>
    <row r="93" spans="1:6" x14ac:dyDescent="0.2">
      <c r="A93" s="19">
        <v>28</v>
      </c>
      <c r="B93" s="177" t="s">
        <v>24</v>
      </c>
      <c r="C93" s="178"/>
      <c r="D93" s="14">
        <f t="shared" si="5"/>
        <v>0</v>
      </c>
      <c r="E93" s="17">
        <f>IF(F3="1",SUMIF(Data!A:A,'36'!$A$2,Data!EZ:EZ),0)</f>
        <v>0</v>
      </c>
      <c r="F93" s="21" t="str">
        <f t="shared" si="4"/>
        <v/>
      </c>
    </row>
    <row r="94" spans="1:6" ht="15.75" customHeight="1" thickBot="1" x14ac:dyDescent="0.25">
      <c r="A94" s="22">
        <v>29</v>
      </c>
      <c r="B94" s="179" t="s">
        <v>25</v>
      </c>
      <c r="C94" s="180"/>
      <c r="D94" s="23">
        <f t="shared" si="5"/>
        <v>0</v>
      </c>
      <c r="E94" s="24">
        <f>IF(F3="1",SUMIF(Data!A:A,'36'!$A$2,Data!FA:FA),0)</f>
        <v>0</v>
      </c>
      <c r="F94" s="25" t="str">
        <f t="shared" si="4"/>
        <v/>
      </c>
    </row>
    <row r="95" spans="1:6" x14ac:dyDescent="0.2">
      <c r="B95" s="30" t="s">
        <v>35</v>
      </c>
      <c r="C95" s="30"/>
      <c r="D95" s="59">
        <f>SUM(D67:D94)</f>
        <v>8716699</v>
      </c>
      <c r="E95" s="31">
        <f>SUM(E67:E94)</f>
        <v>26781470</v>
      </c>
      <c r="F95" s="32">
        <f t="shared" si="4"/>
        <v>3.07</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IF(F3="1",SUMIF(Data!A:A,'36'!$A$2,Data!AH:AH),0)</f>
        <v>9264510</v>
      </c>
      <c r="F98" s="20">
        <f>IF(OR(E98=0,E98=0),"",ROUND(E98/$D$105,2))</f>
        <v>1.06</v>
      </c>
    </row>
    <row r="99" spans="2:6" x14ac:dyDescent="0.2">
      <c r="B99" s="183" t="s">
        <v>31</v>
      </c>
      <c r="C99" s="184"/>
      <c r="D99" s="36"/>
      <c r="E99" s="17">
        <f>IF(F3="1",SUMIF(Data!A:A,'36'!$A$2,Data!AI:AI),0)</f>
        <v>5859122</v>
      </c>
      <c r="F99" s="21">
        <f t="shared" ref="F99:F104" si="6">IF(OR(E99=0,E99=0),"",ROUND(E99/$D$105,2))</f>
        <v>0.67</v>
      </c>
    </row>
    <row r="100" spans="2:6" x14ac:dyDescent="0.2">
      <c r="B100" s="183" t="s">
        <v>1078</v>
      </c>
      <c r="C100" s="184"/>
      <c r="D100" s="36"/>
      <c r="E100" s="17">
        <f>IF(F3="1",SUMIF(Data!A:A,'36'!$A$2,Data!AJ:AJ),0)</f>
        <v>1823647</v>
      </c>
      <c r="F100" s="21">
        <f t="shared" si="6"/>
        <v>0.21</v>
      </c>
    </row>
    <row r="101" spans="2:6" x14ac:dyDescent="0.2">
      <c r="B101" s="183" t="s">
        <v>1079</v>
      </c>
      <c r="C101" s="184"/>
      <c r="D101" s="36"/>
      <c r="E101" s="17">
        <f>IF(F3="1",SUMIF(Data!A:A,'36'!$A$2,Data!AK:AK),0)</f>
        <v>3501854</v>
      </c>
      <c r="F101" s="21">
        <f t="shared" si="6"/>
        <v>0.4</v>
      </c>
    </row>
    <row r="102" spans="2:6" x14ac:dyDescent="0.2">
      <c r="B102" s="183" t="s">
        <v>1080</v>
      </c>
      <c r="C102" s="184"/>
      <c r="D102" s="36"/>
      <c r="E102" s="17">
        <f>IF(F3="1",SUMIF(Data!A:A,'36'!$A$2,Data!AL:AL),0)</f>
        <v>0</v>
      </c>
      <c r="F102" s="21" t="str">
        <f t="shared" si="6"/>
        <v/>
      </c>
    </row>
    <row r="103" spans="2:6" x14ac:dyDescent="0.2">
      <c r="B103" s="185" t="s">
        <v>34</v>
      </c>
      <c r="C103" s="186"/>
      <c r="D103" s="36"/>
      <c r="E103" s="17">
        <f>IF(F3="1",SUMIF(Data!A:A,'36'!$A$2,Data!AM:AM),0)</f>
        <v>0</v>
      </c>
      <c r="F103" s="21" t="str">
        <f t="shared" si="6"/>
        <v/>
      </c>
    </row>
    <row r="104" spans="2:6" ht="15.75" customHeight="1" thickBot="1" x14ac:dyDescent="0.25">
      <c r="B104" s="175" t="s">
        <v>29</v>
      </c>
      <c r="C104" s="176"/>
      <c r="D104" s="37"/>
      <c r="E104" s="24">
        <f>IF(F3="1",SUMIF(Data!A:A,'36'!$A$2,Data!Q:Q),0)</f>
        <v>3177268</v>
      </c>
      <c r="F104" s="25">
        <f t="shared" si="6"/>
        <v>0.36</v>
      </c>
    </row>
    <row r="105" spans="2:6" x14ac:dyDescent="0.2">
      <c r="B105" s="30" t="s">
        <v>35</v>
      </c>
      <c r="C105" s="30"/>
      <c r="D105" s="34">
        <f>D95</f>
        <v>8716699</v>
      </c>
      <c r="E105" s="31">
        <f>SUM(E98:E104)</f>
        <v>23626401</v>
      </c>
      <c r="F105" s="32">
        <f>IF($D$105=0,"",ROUND(E105/$D$105,2))</f>
        <v>2.71</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26781470</v>
      </c>
      <c r="D109" s="15">
        <f>IF(F3="1",SUMIF(Data!$A:$A,$A$2,Data!HJ:HJ),0)</f>
        <v>0</v>
      </c>
      <c r="E109" s="15">
        <f>IF(F3="1",SUMIF(Data!$A:$A,$A$2,Data!IN:IN),0)</f>
        <v>0</v>
      </c>
      <c r="F109" s="47">
        <f>SUM(C109:E109)</f>
        <v>26781470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3177268</v>
      </c>
      <c r="E117" s="52"/>
      <c r="F117" s="49">
        <f>SUM(C117:E117)</f>
        <v>3177268</v>
      </c>
    </row>
    <row r="118" spans="1:6" x14ac:dyDescent="0.2">
      <c r="B118" s="13" t="s">
        <v>35</v>
      </c>
      <c r="C118" s="4">
        <f>SUM(C109:C116)</f>
        <v>26781470</v>
      </c>
      <c r="D118" s="4">
        <f>SUM(D109:D116)</f>
        <v>0</v>
      </c>
      <c r="E118" s="4">
        <f>SUM(E109:E116)</f>
        <v>0</v>
      </c>
      <c r="F118" s="4">
        <f>SUM(F109:F116)</f>
        <v>26781470</v>
      </c>
    </row>
    <row r="119" spans="1:6" ht="15" thickBot="1" x14ac:dyDescent="0.25"/>
    <row r="120" spans="1:6" ht="15" thickBot="1" x14ac:dyDescent="0.25">
      <c r="B120" s="55" t="s">
        <v>934</v>
      </c>
      <c r="C120" s="53"/>
      <c r="D120" s="53"/>
      <c r="E120" s="53">
        <f>IF(F3="1",SUMIF(Data!A:A,'36'!$A$2,Data!AM:AM),0)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1406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398</v>
      </c>
      <c r="B2" s="58" t="str">
        <f>VLOOKUP(A2,Data!A:G,7,0)</f>
        <v>South Plains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26480</v>
      </c>
      <c r="E5" s="15">
        <f>E36+E67+IFERROR($E$105/$D$105*D5,0)</f>
        <v>245321.15219990676</v>
      </c>
      <c r="F5" s="20">
        <f>IF(OR(D5=0,E5=0),"",ROUND(E5/D5,2))</f>
        <v>9.26</v>
      </c>
    </row>
    <row r="6" spans="1:6" x14ac:dyDescent="0.2">
      <c r="A6" s="19">
        <v>2</v>
      </c>
      <c r="B6" s="177" t="s">
        <v>1</v>
      </c>
      <c r="C6" s="178"/>
      <c r="D6" s="14">
        <f t="shared" ref="D6:D32" si="0">D37</f>
        <v>35200</v>
      </c>
      <c r="E6" s="17">
        <f t="shared" ref="E6:E32" si="1">E37+E68+IFERROR($E$105/$D$105*D6,0)</f>
        <v>347611.5739213262</v>
      </c>
      <c r="F6" s="21">
        <f t="shared" ref="F6:F33" si="2">IF(OR(D6=0,E6=0),"",ROUND(E6/D6,2))</f>
        <v>9.8800000000000008</v>
      </c>
    </row>
    <row r="7" spans="1:6" ht="14.25" customHeight="1" x14ac:dyDescent="0.2">
      <c r="A7" s="19">
        <v>3</v>
      </c>
      <c r="B7" s="177" t="s">
        <v>2</v>
      </c>
      <c r="C7" s="178"/>
      <c r="D7" s="14">
        <f t="shared" si="0"/>
        <v>299584</v>
      </c>
      <c r="E7" s="17">
        <f t="shared" si="1"/>
        <v>1726228.2427740511</v>
      </c>
      <c r="F7" s="21">
        <f t="shared" si="2"/>
        <v>5.76</v>
      </c>
    </row>
    <row r="8" spans="1:6" ht="14.25" customHeight="1" x14ac:dyDescent="0.2">
      <c r="A8" s="19">
        <v>4</v>
      </c>
      <c r="B8" s="177" t="s">
        <v>3</v>
      </c>
      <c r="C8" s="178"/>
      <c r="D8" s="14">
        <f t="shared" si="0"/>
        <v>163504</v>
      </c>
      <c r="E8" s="17">
        <f t="shared" si="1"/>
        <v>1056860.7808645603</v>
      </c>
      <c r="F8" s="21">
        <f t="shared" si="2"/>
        <v>6.46</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62240</v>
      </c>
      <c r="E10" s="17">
        <f t="shared" si="1"/>
        <v>754391.02843361767</v>
      </c>
      <c r="F10" s="21">
        <f t="shared" si="2"/>
        <v>12.12</v>
      </c>
    </row>
    <row r="11" spans="1:6" x14ac:dyDescent="0.2">
      <c r="A11" s="19">
        <v>7</v>
      </c>
      <c r="B11" s="177" t="s">
        <v>6</v>
      </c>
      <c r="C11" s="178"/>
      <c r="D11" s="14">
        <f t="shared" si="0"/>
        <v>205448</v>
      </c>
      <c r="E11" s="17">
        <f t="shared" si="1"/>
        <v>1197115.7240621769</v>
      </c>
      <c r="F11" s="21">
        <f t="shared" si="2"/>
        <v>5.83</v>
      </c>
    </row>
    <row r="12" spans="1:6" x14ac:dyDescent="0.2">
      <c r="A12" s="19">
        <v>8</v>
      </c>
      <c r="B12" s="177" t="s">
        <v>7</v>
      </c>
      <c r="C12" s="178"/>
      <c r="D12" s="14">
        <f t="shared" si="0"/>
        <v>5088</v>
      </c>
      <c r="E12" s="17">
        <f t="shared" si="1"/>
        <v>55431.203866809883</v>
      </c>
      <c r="F12" s="21">
        <f t="shared" si="2"/>
        <v>10.89</v>
      </c>
    </row>
    <row r="13" spans="1:6" x14ac:dyDescent="0.2">
      <c r="A13" s="19">
        <v>9</v>
      </c>
      <c r="B13" s="177" t="s">
        <v>8</v>
      </c>
      <c r="C13" s="178"/>
      <c r="D13" s="14">
        <f t="shared" si="0"/>
        <v>87536</v>
      </c>
      <c r="E13" s="17">
        <f t="shared" si="1"/>
        <v>463653.59860162536</v>
      </c>
      <c r="F13" s="21">
        <f t="shared" si="2"/>
        <v>5.3</v>
      </c>
    </row>
    <row r="14" spans="1:6" x14ac:dyDescent="0.2">
      <c r="A14" s="19">
        <v>10</v>
      </c>
      <c r="B14" s="177" t="s">
        <v>9</v>
      </c>
      <c r="C14" s="178"/>
      <c r="D14" s="14">
        <f t="shared" si="0"/>
        <v>1120</v>
      </c>
      <c r="E14" s="17">
        <f t="shared" si="1"/>
        <v>40681.604624769469</v>
      </c>
      <c r="F14" s="21">
        <f t="shared" si="2"/>
        <v>36.32</v>
      </c>
    </row>
    <row r="15" spans="1:6" x14ac:dyDescent="0.2">
      <c r="A15" s="19">
        <v>11</v>
      </c>
      <c r="B15" s="177" t="s">
        <v>10</v>
      </c>
      <c r="C15" s="178"/>
      <c r="D15" s="14">
        <f t="shared" si="0"/>
        <v>49760</v>
      </c>
      <c r="E15" s="17">
        <f t="shared" si="1"/>
        <v>344276.43404332933</v>
      </c>
      <c r="F15" s="21">
        <f t="shared" si="2"/>
        <v>6.92</v>
      </c>
    </row>
    <row r="16" spans="1:6" ht="14.25" customHeight="1" x14ac:dyDescent="0.2">
      <c r="A16" s="19">
        <v>12</v>
      </c>
      <c r="B16" s="177" t="s">
        <v>11</v>
      </c>
      <c r="C16" s="178"/>
      <c r="D16" s="14">
        <f t="shared" si="0"/>
        <v>629097</v>
      </c>
      <c r="E16" s="17">
        <f t="shared" si="1"/>
        <v>3427801.4514541067</v>
      </c>
      <c r="F16" s="21">
        <f t="shared" si="2"/>
        <v>5.45</v>
      </c>
    </row>
    <row r="17" spans="1:6" x14ac:dyDescent="0.2">
      <c r="A17" s="19">
        <v>13</v>
      </c>
      <c r="B17" s="177" t="s">
        <v>12</v>
      </c>
      <c r="C17" s="178"/>
      <c r="D17" s="14">
        <f t="shared" si="0"/>
        <v>77888</v>
      </c>
      <c r="E17" s="17">
        <f t="shared" si="1"/>
        <v>370829.50447682547</v>
      </c>
      <c r="F17" s="21">
        <f t="shared" si="2"/>
        <v>4.76</v>
      </c>
    </row>
    <row r="18" spans="1:6" ht="14.25" customHeight="1" x14ac:dyDescent="0.2">
      <c r="A18" s="19">
        <v>14</v>
      </c>
      <c r="B18" s="177" t="s">
        <v>464</v>
      </c>
      <c r="C18" s="178"/>
      <c r="D18" s="14">
        <f t="shared" si="0"/>
        <v>71552</v>
      </c>
      <c r="E18" s="17">
        <f t="shared" si="1"/>
        <v>399148.74117098679</v>
      </c>
      <c r="F18" s="21">
        <f t="shared" si="2"/>
        <v>5.58</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175296</v>
      </c>
      <c r="E20" s="17">
        <f t="shared" si="1"/>
        <v>1149598.1181282047</v>
      </c>
      <c r="F20" s="21">
        <f t="shared" si="2"/>
        <v>6.56</v>
      </c>
    </row>
    <row r="21" spans="1:6" x14ac:dyDescent="0.2">
      <c r="A21" s="19">
        <v>17</v>
      </c>
      <c r="B21" s="177" t="s">
        <v>15</v>
      </c>
      <c r="C21" s="178"/>
      <c r="D21" s="14">
        <f t="shared" si="0"/>
        <v>40352</v>
      </c>
      <c r="E21" s="17">
        <f t="shared" si="1"/>
        <v>186321.75519526581</v>
      </c>
      <c r="F21" s="21">
        <f t="shared" si="2"/>
        <v>4.62</v>
      </c>
    </row>
    <row r="22" spans="1:6" x14ac:dyDescent="0.2">
      <c r="A22" s="19">
        <v>18</v>
      </c>
      <c r="B22" s="177" t="s">
        <v>16</v>
      </c>
      <c r="C22" s="178"/>
      <c r="D22" s="14">
        <f t="shared" si="0"/>
        <v>191504</v>
      </c>
      <c r="E22" s="17">
        <f t="shared" si="1"/>
        <v>757380.89648379711</v>
      </c>
      <c r="F22" s="21">
        <f t="shared" si="2"/>
        <v>3.95</v>
      </c>
    </row>
    <row r="23" spans="1:6" x14ac:dyDescent="0.2">
      <c r="A23" s="19">
        <v>19</v>
      </c>
      <c r="B23" s="177" t="s">
        <v>17</v>
      </c>
      <c r="C23" s="178"/>
      <c r="D23" s="14">
        <f t="shared" si="0"/>
        <v>474537</v>
      </c>
      <c r="E23" s="17">
        <f t="shared" si="1"/>
        <v>2086356.0132359201</v>
      </c>
      <c r="F23" s="21">
        <f t="shared" si="2"/>
        <v>4.4000000000000004</v>
      </c>
    </row>
    <row r="24" spans="1:6" x14ac:dyDescent="0.2">
      <c r="A24" s="19">
        <v>20</v>
      </c>
      <c r="B24" s="177" t="s">
        <v>18</v>
      </c>
      <c r="C24" s="178"/>
      <c r="D24" s="14">
        <f t="shared" si="0"/>
        <v>44848</v>
      </c>
      <c r="E24" s="17">
        <f t="shared" si="1"/>
        <v>302778.66804612608</v>
      </c>
      <c r="F24" s="21">
        <f t="shared" si="2"/>
        <v>6.75</v>
      </c>
    </row>
    <row r="25" spans="1:6" ht="14.25" customHeight="1" x14ac:dyDescent="0.2">
      <c r="A25" s="19">
        <v>21</v>
      </c>
      <c r="B25" s="177" t="s">
        <v>461</v>
      </c>
      <c r="C25" s="178"/>
      <c r="D25" s="14">
        <f t="shared" si="0"/>
        <v>17808</v>
      </c>
      <c r="E25" s="17">
        <f t="shared" si="1"/>
        <v>143028.21353383458</v>
      </c>
      <c r="F25" s="21">
        <f t="shared" si="2"/>
        <v>8.0299999999999994</v>
      </c>
    </row>
    <row r="26" spans="1:6" x14ac:dyDescent="0.2">
      <c r="A26" s="19">
        <v>22</v>
      </c>
      <c r="B26" s="177" t="s">
        <v>19</v>
      </c>
      <c r="C26" s="178"/>
      <c r="D26" s="14">
        <f t="shared" si="0"/>
        <v>17088</v>
      </c>
      <c r="E26" s="17">
        <f t="shared" si="1"/>
        <v>136869.96770362565</v>
      </c>
      <c r="F26" s="21">
        <f t="shared" si="2"/>
        <v>8.01</v>
      </c>
    </row>
    <row r="27" spans="1:6" x14ac:dyDescent="0.2">
      <c r="A27" s="19">
        <v>23</v>
      </c>
      <c r="B27" s="177" t="s">
        <v>20</v>
      </c>
      <c r="C27" s="178"/>
      <c r="D27" s="14">
        <f t="shared" si="0"/>
        <v>76912</v>
      </c>
      <c r="E27" s="17">
        <f t="shared" si="1"/>
        <v>704209.34901809786</v>
      </c>
      <c r="F27" s="21">
        <f t="shared" si="2"/>
        <v>9.16</v>
      </c>
    </row>
    <row r="28" spans="1:6" x14ac:dyDescent="0.2">
      <c r="A28" s="19">
        <v>24</v>
      </c>
      <c r="B28" s="177" t="s">
        <v>21</v>
      </c>
      <c r="C28" s="178"/>
      <c r="D28" s="14">
        <f t="shared" si="0"/>
        <v>64272</v>
      </c>
      <c r="E28" s="17">
        <f t="shared" si="1"/>
        <v>459429.81110998522</v>
      </c>
      <c r="F28" s="21">
        <f t="shared" si="2"/>
        <v>7.15</v>
      </c>
    </row>
    <row r="29" spans="1:6" x14ac:dyDescent="0.2">
      <c r="A29" s="19">
        <v>25</v>
      </c>
      <c r="B29" s="177" t="s">
        <v>22</v>
      </c>
      <c r="C29" s="178"/>
      <c r="D29" s="14">
        <f t="shared" si="0"/>
        <v>477264</v>
      </c>
      <c r="E29" s="17">
        <f t="shared" si="1"/>
        <v>2303676.0193178365</v>
      </c>
      <c r="F29" s="21">
        <f t="shared" si="2"/>
        <v>4.83</v>
      </c>
    </row>
    <row r="30" spans="1:6" x14ac:dyDescent="0.2">
      <c r="A30" s="19">
        <v>26</v>
      </c>
      <c r="B30" s="177" t="s">
        <v>23</v>
      </c>
      <c r="C30" s="178"/>
      <c r="D30" s="14">
        <f t="shared" si="0"/>
        <v>159632</v>
      </c>
      <c r="E30" s="17">
        <f t="shared" si="1"/>
        <v>1462442.1477332143</v>
      </c>
      <c r="F30" s="21">
        <f t="shared" si="2"/>
        <v>9.16</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3454010</v>
      </c>
      <c r="E33" s="31">
        <f>SUM(E5:E32)</f>
        <v>20121442</v>
      </c>
      <c r="F33" s="32">
        <f t="shared" si="2"/>
        <v>5.83</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IF(F3="1",SUMIF(Data!A:A,'37'!$A$2,Data!CU:CU),0)</f>
        <v>26480</v>
      </c>
      <c r="E36" s="15">
        <f>IF(F3="1",SUMIF(Data!$A:$A,$A$2,Data!IO:IO),0)</f>
        <v>73980</v>
      </c>
      <c r="F36" s="20">
        <f t="shared" ref="F36:F64" si="3">IF(OR(D36=0,E36=0),"",ROUND(E36/D36,2))</f>
        <v>2.79</v>
      </c>
    </row>
    <row r="37" spans="1:6" x14ac:dyDescent="0.2">
      <c r="A37" s="19">
        <v>2</v>
      </c>
      <c r="B37" s="177" t="s">
        <v>1</v>
      </c>
      <c r="C37" s="178"/>
      <c r="D37" s="14">
        <f>IF(F3="1",SUMIF(Data!A:A,'37'!$A$2,Data!CV:CV),0)</f>
        <v>35200</v>
      </c>
      <c r="E37" s="17">
        <f>IF(F3="1",SUMIF(Data!$A:$A,$A$2,Data!IP:IP),0)</f>
        <v>112914</v>
      </c>
      <c r="F37" s="21">
        <f t="shared" si="3"/>
        <v>3.21</v>
      </c>
    </row>
    <row r="38" spans="1:6" ht="14.25" customHeight="1" x14ac:dyDescent="0.2">
      <c r="A38" s="19">
        <v>3</v>
      </c>
      <c r="B38" s="177" t="s">
        <v>2</v>
      </c>
      <c r="C38" s="178"/>
      <c r="D38" s="14">
        <f>IF(F3="1",SUMIF(Data!A:A,'37'!$A$2,Data!CW:CW),0)</f>
        <v>299584</v>
      </c>
      <c r="E38" s="17">
        <f>IF($F$3="1",SUMIF(Data!$A:$A,$A$2,Data!IQ:IQ),0)</f>
        <v>281450</v>
      </c>
      <c r="F38" s="21">
        <f t="shared" si="3"/>
        <v>0.94</v>
      </c>
    </row>
    <row r="39" spans="1:6" ht="14.25" customHeight="1" x14ac:dyDescent="0.2">
      <c r="A39" s="19">
        <v>4</v>
      </c>
      <c r="B39" s="177" t="s">
        <v>3</v>
      </c>
      <c r="C39" s="178"/>
      <c r="D39" s="14">
        <f>IF(F3="1",SUMIF(Data!A:A,'37'!$A$2,Data!CX:CX),0)</f>
        <v>163504</v>
      </c>
      <c r="E39" s="17">
        <f>IF($F$3="1",SUMIF(Data!$A:$A,$A$2,Data!IR:IR),0)</f>
        <v>93498</v>
      </c>
      <c r="F39" s="21">
        <f t="shared" si="3"/>
        <v>0.56999999999999995</v>
      </c>
    </row>
    <row r="40" spans="1:6" x14ac:dyDescent="0.2">
      <c r="A40" s="19">
        <v>5</v>
      </c>
      <c r="B40" s="177" t="s">
        <v>4</v>
      </c>
      <c r="C40" s="178"/>
      <c r="D40" s="14">
        <f>IF(F3="1",SUMIF(Data!A:A,'37'!$A$2,Data!CY:CY),0)</f>
        <v>0</v>
      </c>
      <c r="E40" s="17">
        <f>IF($F$3="1",SUMIF(Data!$A:$A,$A$2,Data!IS:IS),0)</f>
        <v>0</v>
      </c>
      <c r="F40" s="21" t="str">
        <f t="shared" si="3"/>
        <v/>
      </c>
    </row>
    <row r="41" spans="1:6" x14ac:dyDescent="0.2">
      <c r="A41" s="19">
        <v>6</v>
      </c>
      <c r="B41" s="177" t="s">
        <v>5</v>
      </c>
      <c r="C41" s="178"/>
      <c r="D41" s="14">
        <f>IF(F3="1",SUMIF(Data!A:A,'37'!$A$2,Data!CZ:CZ),0)</f>
        <v>62240</v>
      </c>
      <c r="E41" s="17">
        <f>IF($F$3="1",SUMIF(Data!$A:$A,$A$2,Data!IT:IT),0)</f>
        <v>286378</v>
      </c>
      <c r="F41" s="21">
        <f t="shared" si="3"/>
        <v>4.5999999999999996</v>
      </c>
    </row>
    <row r="42" spans="1:6" x14ac:dyDescent="0.2">
      <c r="A42" s="19">
        <v>7</v>
      </c>
      <c r="B42" s="177" t="s">
        <v>6</v>
      </c>
      <c r="C42" s="178"/>
      <c r="D42" s="14">
        <f>IF(F3="1",SUMIF(Data!A:A,'37'!$A$2,Data!DA:DA),0)</f>
        <v>205448</v>
      </c>
      <c r="E42" s="17">
        <f>IF($F$3="1",SUMIF(Data!$A:$A,$A$2,Data!IU:IU),0)</f>
        <v>126647</v>
      </c>
      <c r="F42" s="21">
        <f t="shared" si="3"/>
        <v>0.62</v>
      </c>
    </row>
    <row r="43" spans="1:6" x14ac:dyDescent="0.2">
      <c r="A43" s="19">
        <v>8</v>
      </c>
      <c r="B43" s="177" t="s">
        <v>7</v>
      </c>
      <c r="C43" s="178"/>
      <c r="D43" s="14">
        <f>IF(F3="1",SUMIF(Data!A:A,'37'!$A$2,Data!DB:DB),0)</f>
        <v>5088</v>
      </c>
      <c r="E43" s="17">
        <f>IF($F$3="1",SUMIF(Data!$A:$A,$A$2,Data!IV:IV),0)</f>
        <v>3056</v>
      </c>
      <c r="F43" s="21">
        <f t="shared" si="3"/>
        <v>0.6</v>
      </c>
    </row>
    <row r="44" spans="1:6" x14ac:dyDescent="0.2">
      <c r="A44" s="19">
        <v>9</v>
      </c>
      <c r="B44" s="177" t="s">
        <v>8</v>
      </c>
      <c r="C44" s="178"/>
      <c r="D44" s="14">
        <f>IF(F3="1",SUMIF(Data!A:A,'37'!$A$2,Data!DC:DC),0)</f>
        <v>87536</v>
      </c>
      <c r="E44" s="17">
        <f>IF($F$3="1",SUMIF(Data!$A:$A,$A$2,Data!IW:IW),0)</f>
        <v>47242</v>
      </c>
      <c r="F44" s="21">
        <f t="shared" si="3"/>
        <v>0.54</v>
      </c>
    </row>
    <row r="45" spans="1:6" x14ac:dyDescent="0.2">
      <c r="A45" s="19">
        <v>10</v>
      </c>
      <c r="B45" s="177" t="s">
        <v>9</v>
      </c>
      <c r="C45" s="178"/>
      <c r="D45" s="14">
        <f>IF(F3="1",SUMIF(Data!A:A,'37'!$A$2,Data!DD:DD),0)</f>
        <v>1120</v>
      </c>
      <c r="E45" s="17">
        <f>IF($F$3="1",SUMIF(Data!$A:$A,$A$2,Data!IX:IX),0)</f>
        <v>33619</v>
      </c>
      <c r="F45" s="21">
        <f t="shared" si="3"/>
        <v>30.02</v>
      </c>
    </row>
    <row r="46" spans="1:6" x14ac:dyDescent="0.2">
      <c r="A46" s="19">
        <v>11</v>
      </c>
      <c r="B46" s="177" t="s">
        <v>10</v>
      </c>
      <c r="C46" s="178"/>
      <c r="D46" s="14">
        <f>IF(F3="1",SUMIF(Data!A:A,'37'!$A$2,Data!DE:DE),0)</f>
        <v>49760</v>
      </c>
      <c r="E46" s="17">
        <f>IF($F$3="1",SUMIF(Data!$A:$A,$A$2,Data!IY:IY),0)</f>
        <v>53471</v>
      </c>
      <c r="F46" s="21">
        <f t="shared" si="3"/>
        <v>1.07</v>
      </c>
    </row>
    <row r="47" spans="1:6" ht="14.25" customHeight="1" x14ac:dyDescent="0.2">
      <c r="A47" s="19">
        <v>12</v>
      </c>
      <c r="B47" s="177" t="s">
        <v>11</v>
      </c>
      <c r="C47" s="178"/>
      <c r="D47" s="14">
        <f>IF(F3="1",SUMIF(Data!A:A,'37'!$A$2,Data!DF:DF),0)</f>
        <v>629097</v>
      </c>
      <c r="E47" s="17">
        <f>IF($F$3="1",SUMIF(Data!$A:$A,$A$2,Data!IZ:IZ),0)</f>
        <v>77119</v>
      </c>
      <c r="F47" s="21">
        <f t="shared" si="3"/>
        <v>0.12</v>
      </c>
    </row>
    <row r="48" spans="1:6" x14ac:dyDescent="0.2">
      <c r="A48" s="19">
        <v>13</v>
      </c>
      <c r="B48" s="177" t="s">
        <v>12</v>
      </c>
      <c r="C48" s="178"/>
      <c r="D48" s="14">
        <f>IF(F3="1",SUMIF(Data!A:A,'37'!$A$2,Data!DG:DG),0)</f>
        <v>77888</v>
      </c>
      <c r="E48" s="17">
        <f>IF($F$3="1",SUMIF(Data!$A:$A,$A$2,Data!JA:JA),0)</f>
        <v>7671</v>
      </c>
      <c r="F48" s="21">
        <f t="shared" si="3"/>
        <v>0.1</v>
      </c>
    </row>
    <row r="49" spans="1:6" ht="14.25" customHeight="1" x14ac:dyDescent="0.2">
      <c r="A49" s="19">
        <v>14</v>
      </c>
      <c r="B49" s="177" t="s">
        <v>464</v>
      </c>
      <c r="C49" s="178"/>
      <c r="D49" s="14">
        <f>IF(F3="1",SUMIF(Data!A:A,'37'!$A$2,Data!DH:DH),0)</f>
        <v>71552</v>
      </c>
      <c r="E49" s="17">
        <f>IF($F$3="1",SUMIF(Data!$A:$A,$A$2,Data!JB:JB),0)</f>
        <v>39253</v>
      </c>
      <c r="F49" s="21">
        <f t="shared" si="3"/>
        <v>0.55000000000000004</v>
      </c>
    </row>
    <row r="50" spans="1:6" x14ac:dyDescent="0.2">
      <c r="A50" s="19">
        <v>15</v>
      </c>
      <c r="B50" s="177" t="s">
        <v>13</v>
      </c>
      <c r="C50" s="178"/>
      <c r="D50" s="14">
        <f>IF(F3="1",SUMIF(Data!A:A,'37'!$A$2,Data!DI:DI),0)</f>
        <v>0</v>
      </c>
      <c r="E50" s="17">
        <f>IF($F$3="1",SUMIF(Data!$A:$A,$A$2,Data!JC:JC),0)</f>
        <v>0</v>
      </c>
      <c r="F50" s="21" t="str">
        <f t="shared" si="3"/>
        <v/>
      </c>
    </row>
    <row r="51" spans="1:6" x14ac:dyDescent="0.2">
      <c r="A51" s="19">
        <v>16</v>
      </c>
      <c r="B51" s="177" t="s">
        <v>14</v>
      </c>
      <c r="C51" s="178"/>
      <c r="D51" s="14">
        <f>IF(F3="1",SUMIF(Data!A:A,'37'!$A$2,Data!DJ:DJ),0)</f>
        <v>175296</v>
      </c>
      <c r="E51" s="17">
        <f>IF($F$3="1",SUMIF(Data!$A:$A,$A$2,Data!JD:JD),0)</f>
        <v>316652</v>
      </c>
      <c r="F51" s="21">
        <f t="shared" si="3"/>
        <v>1.81</v>
      </c>
    </row>
    <row r="52" spans="1:6" x14ac:dyDescent="0.2">
      <c r="A52" s="19">
        <v>17</v>
      </c>
      <c r="B52" s="177" t="s">
        <v>15</v>
      </c>
      <c r="C52" s="178"/>
      <c r="D52" s="14">
        <f>IF(F3="1",SUMIF(Data!A:A,'37'!$A$2,Data!DK:DK),0)</f>
        <v>40352</v>
      </c>
      <c r="E52" s="17">
        <f>IF($F$3="1",SUMIF(Data!$A:$A,$A$2,Data!JE:JE),0)</f>
        <v>16122</v>
      </c>
      <c r="F52" s="21">
        <f t="shared" si="3"/>
        <v>0.4</v>
      </c>
    </row>
    <row r="53" spans="1:6" x14ac:dyDescent="0.2">
      <c r="A53" s="19">
        <v>18</v>
      </c>
      <c r="B53" s="177" t="s">
        <v>16</v>
      </c>
      <c r="C53" s="178"/>
      <c r="D53" s="14">
        <f>IF(F3="1",SUMIF(Data!A:A,'37'!$A$2,Data!DL:DL),0)</f>
        <v>191504</v>
      </c>
      <c r="E53" s="17">
        <f>IF($F$3="1",SUMIF(Data!$A:$A,$A$2,Data!JF:JF),0)</f>
        <v>56090</v>
      </c>
      <c r="F53" s="21">
        <f t="shared" si="3"/>
        <v>0.28999999999999998</v>
      </c>
    </row>
    <row r="54" spans="1:6" x14ac:dyDescent="0.2">
      <c r="A54" s="19">
        <v>19</v>
      </c>
      <c r="B54" s="177" t="s">
        <v>17</v>
      </c>
      <c r="C54" s="178"/>
      <c r="D54" s="14">
        <f>IF(F3="1",SUMIF(Data!A:A,'37'!$A$2,Data!DM:DM),0)</f>
        <v>474537</v>
      </c>
      <c r="E54" s="17">
        <f>IF($F$3="1",SUMIF(Data!$A:$A,$A$2,Data!JG:JG),0)</f>
        <v>94905</v>
      </c>
      <c r="F54" s="21">
        <f t="shared" si="3"/>
        <v>0.2</v>
      </c>
    </row>
    <row r="55" spans="1:6" x14ac:dyDescent="0.2">
      <c r="A55" s="19">
        <v>20</v>
      </c>
      <c r="B55" s="177" t="s">
        <v>18</v>
      </c>
      <c r="C55" s="178"/>
      <c r="D55" s="14">
        <f>IF(F3="1",SUMIF(Data!A:A,'37'!$A$2,Data!DN:DN),0)</f>
        <v>44848</v>
      </c>
      <c r="E55" s="17">
        <f>IF($F$3="1",SUMIF(Data!$A:$A,$A$2,Data!JH:JH),0)</f>
        <v>41841</v>
      </c>
      <c r="F55" s="21">
        <f t="shared" si="3"/>
        <v>0.93</v>
      </c>
    </row>
    <row r="56" spans="1:6" ht="14.25" customHeight="1" x14ac:dyDescent="0.2">
      <c r="A56" s="19">
        <v>21</v>
      </c>
      <c r="B56" s="177" t="s">
        <v>461</v>
      </c>
      <c r="C56" s="178"/>
      <c r="D56" s="14">
        <f>IF(F3="1",SUMIF(Data!A:A,'37'!$A$2,Data!DO:DO),0)</f>
        <v>17808</v>
      </c>
      <c r="E56" s="17">
        <f>IF($F$3="1",SUMIF(Data!$A:$A,$A$2,Data!JI:JI),0)</f>
        <v>37981</v>
      </c>
      <c r="F56" s="21">
        <f t="shared" si="3"/>
        <v>2.13</v>
      </c>
    </row>
    <row r="57" spans="1:6" x14ac:dyDescent="0.2">
      <c r="A57" s="19">
        <v>22</v>
      </c>
      <c r="B57" s="177" t="s">
        <v>19</v>
      </c>
      <c r="C57" s="178"/>
      <c r="D57" s="14">
        <f>IF(F3="1",SUMIF(Data!A:A,'37'!$A$2,Data!DP:DP),0)</f>
        <v>17088</v>
      </c>
      <c r="E57" s="17">
        <f>IF($F$3="1",SUMIF(Data!$A:$A,$A$2,Data!JJ:JJ),0)</f>
        <v>30609</v>
      </c>
      <c r="F57" s="21">
        <f t="shared" si="3"/>
        <v>1.79</v>
      </c>
    </row>
    <row r="58" spans="1:6" x14ac:dyDescent="0.2">
      <c r="A58" s="19">
        <v>23</v>
      </c>
      <c r="B58" s="177" t="s">
        <v>20</v>
      </c>
      <c r="C58" s="178"/>
      <c r="D58" s="14">
        <f>IF(F3="1",SUMIF(Data!A:A,'37'!$A$2,Data!DQ:DQ),0)</f>
        <v>76912</v>
      </c>
      <c r="E58" s="17">
        <f>IF($F$3="1",SUMIF(Data!$A:$A,$A$2,Data!JK:JK),0)</f>
        <v>51937</v>
      </c>
      <c r="F58" s="21">
        <f t="shared" si="3"/>
        <v>0.68</v>
      </c>
    </row>
    <row r="59" spans="1:6" x14ac:dyDescent="0.2">
      <c r="A59" s="19">
        <v>24</v>
      </c>
      <c r="B59" s="177" t="s">
        <v>21</v>
      </c>
      <c r="C59" s="178"/>
      <c r="D59" s="14">
        <f>IF(F3="1",SUMIF(Data!A:A,'37'!$A$2,Data!DR:DR),0)</f>
        <v>64272</v>
      </c>
      <c r="E59" s="17">
        <f>IF($F$3="1",SUMIF(Data!$A:$A,$A$2,Data!JL:JL),0)</f>
        <v>41595</v>
      </c>
      <c r="F59" s="21">
        <f t="shared" si="3"/>
        <v>0.65</v>
      </c>
    </row>
    <row r="60" spans="1:6" x14ac:dyDescent="0.2">
      <c r="A60" s="19">
        <v>25</v>
      </c>
      <c r="B60" s="177" t="s">
        <v>22</v>
      </c>
      <c r="C60" s="178"/>
      <c r="D60" s="14">
        <f>IF(F3="1",SUMIF(Data!A:A,'37'!$A$2,Data!DS:DS),0)</f>
        <v>477264</v>
      </c>
      <c r="E60" s="17">
        <f>IF($F$3="1",SUMIF(Data!$A:$A,$A$2,Data!JM:JM),0)</f>
        <v>64764</v>
      </c>
      <c r="F60" s="21">
        <f t="shared" si="3"/>
        <v>0.14000000000000001</v>
      </c>
    </row>
    <row r="61" spans="1:6" x14ac:dyDescent="0.2">
      <c r="A61" s="19">
        <v>26</v>
      </c>
      <c r="B61" s="177" t="s">
        <v>23</v>
      </c>
      <c r="C61" s="178"/>
      <c r="D61" s="14">
        <f>IF(F3="1",SUMIF(Data!A:A,'37'!$A$2,Data!DT:DT),0)</f>
        <v>159632</v>
      </c>
      <c r="E61" s="17">
        <f>IF($F$3="1",SUMIF(Data!$A:$A,$A$2,Data!JN:JN),0)</f>
        <v>95251</v>
      </c>
      <c r="F61" s="21">
        <f t="shared" si="3"/>
        <v>0.6</v>
      </c>
    </row>
    <row r="62" spans="1:6" x14ac:dyDescent="0.2">
      <c r="A62" s="19">
        <v>28</v>
      </c>
      <c r="B62" s="177" t="s">
        <v>24</v>
      </c>
      <c r="C62" s="178"/>
      <c r="D62" s="14">
        <f>IF(F3="1",SUMIF(Data!A:A,'37'!$A$2,Data!DV:DV),0)</f>
        <v>0</v>
      </c>
      <c r="E62" s="17">
        <f>IF($F$3="1",SUMIF(Data!$A:$A,$A$2,Data!JP:JP),0)</f>
        <v>0</v>
      </c>
      <c r="F62" s="21" t="str">
        <f t="shared" si="3"/>
        <v/>
      </c>
    </row>
    <row r="63" spans="1:6" ht="15.75" customHeight="1" thickBot="1" x14ac:dyDescent="0.25">
      <c r="A63" s="22">
        <v>29</v>
      </c>
      <c r="B63" s="179" t="s">
        <v>25</v>
      </c>
      <c r="C63" s="180"/>
      <c r="D63" s="23">
        <f>IF(F3="1",SUMIF(Data!A:A,'37'!$A$2,Data!DW:DW),0)</f>
        <v>0</v>
      </c>
      <c r="E63" s="24">
        <f>IF($F$3="1",SUMIF(Data!$A:$A,$A$2,Data!JQ:JQ),0)</f>
        <v>0</v>
      </c>
      <c r="F63" s="25" t="str">
        <f t="shared" si="3"/>
        <v/>
      </c>
    </row>
    <row r="64" spans="1:6" x14ac:dyDescent="0.2">
      <c r="B64" s="30" t="s">
        <v>35</v>
      </c>
      <c r="C64" s="30"/>
      <c r="D64" s="59">
        <f>SUM(D36:D63)</f>
        <v>3454010</v>
      </c>
      <c r="E64" s="31">
        <f>SUM(E36:E63)</f>
        <v>2084045</v>
      </c>
      <c r="F64" s="32">
        <f t="shared" si="3"/>
        <v>0.6</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26480</v>
      </c>
      <c r="E67" s="15">
        <f>IF(F3="1",SUMIF(Data!A:A,'37'!$A$2,Data!DY:DY),0)</f>
        <v>110943</v>
      </c>
      <c r="F67" s="20">
        <f t="shared" ref="F67:F95" si="4">IF(OR(D67=0,E67=0),"",ROUND(E67/D67,2))</f>
        <v>4.1900000000000004</v>
      </c>
    </row>
    <row r="68" spans="1:6" x14ac:dyDescent="0.2">
      <c r="A68" s="19">
        <v>2</v>
      </c>
      <c r="B68" s="177" t="s">
        <v>1</v>
      </c>
      <c r="C68" s="178"/>
      <c r="D68" s="14">
        <f t="shared" ref="D68:D94" si="5">D37</f>
        <v>35200</v>
      </c>
      <c r="E68" s="17">
        <f>IF(F3="1",SUMIF(Data!A:A,'37'!$A$2,Data!DZ:DZ),0)</f>
        <v>154410</v>
      </c>
      <c r="F68" s="21">
        <f t="shared" si="4"/>
        <v>4.3899999999999997</v>
      </c>
    </row>
    <row r="69" spans="1:6" ht="14.25" customHeight="1" x14ac:dyDescent="0.2">
      <c r="A69" s="19">
        <v>3</v>
      </c>
      <c r="B69" s="177" t="s">
        <v>2</v>
      </c>
      <c r="C69" s="178"/>
      <c r="D69" s="14">
        <f t="shared" si="5"/>
        <v>299584</v>
      </c>
      <c r="E69" s="17">
        <f>IF(F3="1",SUMIF(Data!A:A,'37'!$A$2,Data!EA:EA),0)</f>
        <v>761458</v>
      </c>
      <c r="F69" s="21">
        <f t="shared" si="4"/>
        <v>2.54</v>
      </c>
    </row>
    <row r="70" spans="1:6" ht="14.25" customHeight="1" x14ac:dyDescent="0.2">
      <c r="A70" s="19">
        <v>4</v>
      </c>
      <c r="B70" s="177" t="s">
        <v>3</v>
      </c>
      <c r="C70" s="178"/>
      <c r="D70" s="14">
        <f t="shared" si="5"/>
        <v>163504</v>
      </c>
      <c r="E70" s="17">
        <f>IF(F3="1",SUMIF(Data!A:A,'37'!$A$2,Data!EB:EB),0)</f>
        <v>590427</v>
      </c>
      <c r="F70" s="21">
        <f t="shared" si="4"/>
        <v>3.61</v>
      </c>
    </row>
    <row r="71" spans="1:6" x14ac:dyDescent="0.2">
      <c r="A71" s="19">
        <v>5</v>
      </c>
      <c r="B71" s="177" t="s">
        <v>4</v>
      </c>
      <c r="C71" s="178"/>
      <c r="D71" s="14">
        <f t="shared" si="5"/>
        <v>0</v>
      </c>
      <c r="E71" s="17">
        <f>IF(F3="1",SUMIF(Data!A:A,'37'!$A$2,Data!EC:EC),0)</f>
        <v>0</v>
      </c>
      <c r="F71" s="21" t="str">
        <f t="shared" si="4"/>
        <v/>
      </c>
    </row>
    <row r="72" spans="1:6" x14ac:dyDescent="0.2">
      <c r="A72" s="19">
        <v>6</v>
      </c>
      <c r="B72" s="177" t="s">
        <v>5</v>
      </c>
      <c r="C72" s="178"/>
      <c r="D72" s="14">
        <f t="shared" si="5"/>
        <v>62240</v>
      </c>
      <c r="E72" s="17">
        <f>IF(F3="1",SUMIF(Data!A:A,'37'!$A$2,Data!ED:ED),0)</f>
        <v>326050</v>
      </c>
      <c r="F72" s="21">
        <f t="shared" si="4"/>
        <v>5.24</v>
      </c>
    </row>
    <row r="73" spans="1:6" x14ac:dyDescent="0.2">
      <c r="A73" s="19">
        <v>7</v>
      </c>
      <c r="B73" s="177" t="s">
        <v>6</v>
      </c>
      <c r="C73" s="178"/>
      <c r="D73" s="14">
        <f t="shared" si="5"/>
        <v>205448</v>
      </c>
      <c r="E73" s="17">
        <f>IF(F3="1",SUMIF(Data!A:A,'37'!$A$2,Data!EE:EE),0)</f>
        <v>601863</v>
      </c>
      <c r="F73" s="21">
        <f t="shared" si="4"/>
        <v>2.93</v>
      </c>
    </row>
    <row r="74" spans="1:6" x14ac:dyDescent="0.2">
      <c r="A74" s="19">
        <v>8</v>
      </c>
      <c r="B74" s="177" t="s">
        <v>7</v>
      </c>
      <c r="C74" s="178"/>
      <c r="D74" s="14">
        <f t="shared" si="5"/>
        <v>5088</v>
      </c>
      <c r="E74" s="17">
        <f>IF(F3="1",SUMIF(Data!A:A,'37'!$A$2,Data!EF:EF),0)</f>
        <v>40770</v>
      </c>
      <c r="F74" s="21">
        <f t="shared" si="4"/>
        <v>8.01</v>
      </c>
    </row>
    <row r="75" spans="1:6" x14ac:dyDescent="0.2">
      <c r="A75" s="19">
        <v>9</v>
      </c>
      <c r="B75" s="177" t="s">
        <v>8</v>
      </c>
      <c r="C75" s="178"/>
      <c r="D75" s="14">
        <f t="shared" si="5"/>
        <v>87536</v>
      </c>
      <c r="E75" s="17">
        <f>IF(F3="1",SUMIF(Data!A:A,'37'!$A$2,Data!EG:EG),0)</f>
        <v>216751</v>
      </c>
      <c r="F75" s="21">
        <f t="shared" si="4"/>
        <v>2.48</v>
      </c>
    </row>
    <row r="76" spans="1:6" x14ac:dyDescent="0.2">
      <c r="A76" s="19">
        <v>10</v>
      </c>
      <c r="B76" s="177" t="s">
        <v>9</v>
      </c>
      <c r="C76" s="178"/>
      <c r="D76" s="14">
        <f t="shared" si="5"/>
        <v>1120</v>
      </c>
      <c r="E76" s="17">
        <f>IF(F3="1",SUMIF(Data!A:A,'37'!$A$2,Data!EH:EH),0)</f>
        <v>4508</v>
      </c>
      <c r="F76" s="21">
        <f t="shared" si="4"/>
        <v>4.03</v>
      </c>
    </row>
    <row r="77" spans="1:6" x14ac:dyDescent="0.2">
      <c r="A77" s="19">
        <v>11</v>
      </c>
      <c r="B77" s="177" t="s">
        <v>10</v>
      </c>
      <c r="C77" s="178"/>
      <c r="D77" s="14">
        <f t="shared" si="5"/>
        <v>49760</v>
      </c>
      <c r="E77" s="17">
        <f>IF(F3="1",SUMIF(Data!A:A,'37'!$A$2,Data!EI:EI),0)</f>
        <v>177308</v>
      </c>
      <c r="F77" s="21">
        <f t="shared" si="4"/>
        <v>3.56</v>
      </c>
    </row>
    <row r="78" spans="1:6" ht="14.25" customHeight="1" x14ac:dyDescent="0.2">
      <c r="A78" s="19">
        <v>12</v>
      </c>
      <c r="B78" s="177" t="s">
        <v>11</v>
      </c>
      <c r="C78" s="178"/>
      <c r="D78" s="14">
        <f t="shared" si="5"/>
        <v>629097</v>
      </c>
      <c r="E78" s="17">
        <f>IF(F3="1",SUMIF(Data!A:A,'37'!$A$2,Data!EJ:EJ),0)</f>
        <v>1915777</v>
      </c>
      <c r="F78" s="21">
        <f t="shared" si="4"/>
        <v>3.05</v>
      </c>
    </row>
    <row r="79" spans="1:6" x14ac:dyDescent="0.2">
      <c r="A79" s="19">
        <v>13</v>
      </c>
      <c r="B79" s="177" t="s">
        <v>12</v>
      </c>
      <c r="C79" s="178"/>
      <c r="D79" s="14">
        <f t="shared" si="5"/>
        <v>77888</v>
      </c>
      <c r="E79" s="17">
        <f>IF(F3="1",SUMIF(Data!A:A,'37'!$A$2,Data!EK:EK),0)</f>
        <v>185504</v>
      </c>
      <c r="F79" s="21">
        <f t="shared" si="4"/>
        <v>2.38</v>
      </c>
    </row>
    <row r="80" spans="1:6" ht="14.25" customHeight="1" x14ac:dyDescent="0.2">
      <c r="A80" s="19">
        <v>14</v>
      </c>
      <c r="B80" s="177" t="s">
        <v>464</v>
      </c>
      <c r="C80" s="178"/>
      <c r="D80" s="14">
        <f t="shared" si="5"/>
        <v>71552</v>
      </c>
      <c r="E80" s="17">
        <f>IF(F3="1",SUMIF(Data!A:A,'37'!$A$2,Data!EL:EL),0)</f>
        <v>196693</v>
      </c>
      <c r="F80" s="21">
        <f t="shared" si="4"/>
        <v>2.75</v>
      </c>
    </row>
    <row r="81" spans="1:6" x14ac:dyDescent="0.2">
      <c r="A81" s="19">
        <v>15</v>
      </c>
      <c r="B81" s="177" t="s">
        <v>13</v>
      </c>
      <c r="C81" s="178"/>
      <c r="D81" s="14">
        <f t="shared" si="5"/>
        <v>0</v>
      </c>
      <c r="E81" s="17">
        <f>IF(F3="1",SUMIF(Data!A:A,'37'!$A$2,Data!EM:EM),0)</f>
        <v>0</v>
      </c>
      <c r="F81" s="21" t="str">
        <f t="shared" si="4"/>
        <v/>
      </c>
    </row>
    <row r="82" spans="1:6" x14ac:dyDescent="0.2">
      <c r="A82" s="19">
        <v>16</v>
      </c>
      <c r="B82" s="177" t="s">
        <v>14</v>
      </c>
      <c r="C82" s="178"/>
      <c r="D82" s="14">
        <f t="shared" si="5"/>
        <v>175296</v>
      </c>
      <c r="E82" s="17">
        <f>IF(F3="1",SUMIF(Data!A:A,'37'!$A$2,Data!EN:EN),0)</f>
        <v>433114</v>
      </c>
      <c r="F82" s="21">
        <f t="shared" si="4"/>
        <v>2.4700000000000002</v>
      </c>
    </row>
    <row r="83" spans="1:6" x14ac:dyDescent="0.2">
      <c r="A83" s="19">
        <v>17</v>
      </c>
      <c r="B83" s="177" t="s">
        <v>15</v>
      </c>
      <c r="C83" s="178"/>
      <c r="D83" s="14">
        <f t="shared" si="5"/>
        <v>40352</v>
      </c>
      <c r="E83" s="17">
        <f>IF(F3="1",SUMIF(Data!A:A,'37'!$A$2,Data!EO:EO),0)</f>
        <v>78161</v>
      </c>
      <c r="F83" s="21">
        <f t="shared" si="4"/>
        <v>1.94</v>
      </c>
    </row>
    <row r="84" spans="1:6" x14ac:dyDescent="0.2">
      <c r="A84" s="19">
        <v>18</v>
      </c>
      <c r="B84" s="177" t="s">
        <v>16</v>
      </c>
      <c r="C84" s="178"/>
      <c r="D84" s="14">
        <f t="shared" si="5"/>
        <v>191504</v>
      </c>
      <c r="E84" s="17">
        <f>IF(F3="1",SUMIF(Data!A:A,'37'!$A$2,Data!EP:EP),0)</f>
        <v>264490</v>
      </c>
      <c r="F84" s="21">
        <f t="shared" si="4"/>
        <v>1.38</v>
      </c>
    </row>
    <row r="85" spans="1:6" x14ac:dyDescent="0.2">
      <c r="A85" s="19">
        <v>19</v>
      </c>
      <c r="B85" s="177" t="s">
        <v>17</v>
      </c>
      <c r="C85" s="178"/>
      <c r="D85" s="14">
        <f t="shared" si="5"/>
        <v>474537</v>
      </c>
      <c r="E85" s="17">
        <f>IF(F3="1",SUMIF(Data!A:A,'37'!$A$2,Data!EQ:EQ),0)</f>
        <v>909081</v>
      </c>
      <c r="F85" s="21">
        <f t="shared" si="4"/>
        <v>1.92</v>
      </c>
    </row>
    <row r="86" spans="1:6" x14ac:dyDescent="0.2">
      <c r="A86" s="19">
        <v>20</v>
      </c>
      <c r="B86" s="177" t="s">
        <v>18</v>
      </c>
      <c r="C86" s="178"/>
      <c r="D86" s="14">
        <f t="shared" si="5"/>
        <v>44848</v>
      </c>
      <c r="E86" s="17">
        <f>IF(F3="1",SUMIF(Data!A:A,'37'!$A$2,Data!ER:ER),0)</f>
        <v>158644</v>
      </c>
      <c r="F86" s="21">
        <f t="shared" si="4"/>
        <v>3.54</v>
      </c>
    </row>
    <row r="87" spans="1:6" ht="14.25" customHeight="1" x14ac:dyDescent="0.2">
      <c r="A87" s="19">
        <v>21</v>
      </c>
      <c r="B87" s="177" t="s">
        <v>461</v>
      </c>
      <c r="C87" s="178"/>
      <c r="D87" s="14">
        <f t="shared" si="5"/>
        <v>17808</v>
      </c>
      <c r="E87" s="17">
        <f>IF(F3="1",SUMIF(Data!A:A,'37'!$A$2,Data!ES:ES),0)</f>
        <v>64429</v>
      </c>
      <c r="F87" s="21">
        <f t="shared" si="4"/>
        <v>3.62</v>
      </c>
    </row>
    <row r="88" spans="1:6" x14ac:dyDescent="0.2">
      <c r="A88" s="19">
        <v>22</v>
      </c>
      <c r="B88" s="177" t="s">
        <v>19</v>
      </c>
      <c r="C88" s="178"/>
      <c r="D88" s="14">
        <f t="shared" si="5"/>
        <v>17088</v>
      </c>
      <c r="E88" s="17">
        <f>IF(F3="1",SUMIF(Data!A:A,'37'!$A$2,Data!ET:ET),0)</f>
        <v>67285</v>
      </c>
      <c r="F88" s="21">
        <f t="shared" si="4"/>
        <v>3.94</v>
      </c>
    </row>
    <row r="89" spans="1:6" x14ac:dyDescent="0.2">
      <c r="A89" s="19">
        <v>23</v>
      </c>
      <c r="B89" s="177" t="s">
        <v>20</v>
      </c>
      <c r="C89" s="178"/>
      <c r="D89" s="14">
        <f t="shared" si="5"/>
        <v>76912</v>
      </c>
      <c r="E89" s="17">
        <f>IF(F3="1",SUMIF(Data!A:A,'37'!$A$2,Data!EU:EU),0)</f>
        <v>476844</v>
      </c>
      <c r="F89" s="21">
        <f t="shared" si="4"/>
        <v>6.2</v>
      </c>
    </row>
    <row r="90" spans="1:6" x14ac:dyDescent="0.2">
      <c r="A90" s="19">
        <v>24</v>
      </c>
      <c r="B90" s="177" t="s">
        <v>21</v>
      </c>
      <c r="C90" s="178"/>
      <c r="D90" s="14">
        <f t="shared" si="5"/>
        <v>64272</v>
      </c>
      <c r="E90" s="17">
        <f>IF(F3="1",SUMIF(Data!A:A,'37'!$A$2,Data!EV:EV),0)</f>
        <v>271237</v>
      </c>
      <c r="F90" s="21">
        <f t="shared" si="4"/>
        <v>4.22</v>
      </c>
    </row>
    <row r="91" spans="1:6" x14ac:dyDescent="0.2">
      <c r="A91" s="19">
        <v>25</v>
      </c>
      <c r="B91" s="177" t="s">
        <v>22</v>
      </c>
      <c r="C91" s="178"/>
      <c r="D91" s="14">
        <f t="shared" si="5"/>
        <v>477264</v>
      </c>
      <c r="E91" s="17">
        <f>IF(F3="1",SUMIF(Data!A:A,'37'!$A$2,Data!EW:EW),0)</f>
        <v>1150322</v>
      </c>
      <c r="F91" s="21">
        <f t="shared" si="4"/>
        <v>2.41</v>
      </c>
    </row>
    <row r="92" spans="1:6" x14ac:dyDescent="0.2">
      <c r="A92" s="19">
        <v>26</v>
      </c>
      <c r="B92" s="177" t="s">
        <v>23</v>
      </c>
      <c r="C92" s="178"/>
      <c r="D92" s="14">
        <f t="shared" si="5"/>
        <v>159632</v>
      </c>
      <c r="E92" s="17">
        <f>IF(F3="1",SUMIF(Data!A:A,'37'!$A$2,Data!EX:EX),0)</f>
        <v>1003087</v>
      </c>
      <c r="F92" s="21">
        <f t="shared" si="4"/>
        <v>6.28</v>
      </c>
    </row>
    <row r="93" spans="1:6" x14ac:dyDescent="0.2">
      <c r="A93" s="19">
        <v>28</v>
      </c>
      <c r="B93" s="177" t="s">
        <v>24</v>
      </c>
      <c r="C93" s="178"/>
      <c r="D93" s="14">
        <f t="shared" si="5"/>
        <v>0</v>
      </c>
      <c r="E93" s="17">
        <f>IF(F3="1",SUMIF(Data!A:A,'37'!$A$2,Data!EZ:EZ),0)</f>
        <v>0</v>
      </c>
      <c r="F93" s="21" t="str">
        <f t="shared" si="4"/>
        <v/>
      </c>
    </row>
    <row r="94" spans="1:6" ht="15.75" customHeight="1" thickBot="1" x14ac:dyDescent="0.25">
      <c r="A94" s="22">
        <v>29</v>
      </c>
      <c r="B94" s="179" t="s">
        <v>25</v>
      </c>
      <c r="C94" s="180"/>
      <c r="D94" s="23">
        <f t="shared" si="5"/>
        <v>0</v>
      </c>
      <c r="E94" s="24">
        <f>IF(F3="1",SUMIF(Data!A:A,'37'!$A$2,Data!FA:FA),0)</f>
        <v>0</v>
      </c>
      <c r="F94" s="25" t="str">
        <f t="shared" si="4"/>
        <v/>
      </c>
    </row>
    <row r="95" spans="1:6" x14ac:dyDescent="0.2">
      <c r="B95" s="30" t="s">
        <v>35</v>
      </c>
      <c r="C95" s="30"/>
      <c r="D95" s="59">
        <f>SUM(D67:D94)</f>
        <v>3454010</v>
      </c>
      <c r="E95" s="31">
        <f>SUM(E67:E94)</f>
        <v>10159156</v>
      </c>
      <c r="F95" s="32">
        <f t="shared" si="4"/>
        <v>2.94</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IF(F3="1",SUMIF(Data!A:A,'37'!$A$2,Data!AH:AH),0)</f>
        <v>2945948</v>
      </c>
      <c r="F98" s="20">
        <f>IF(OR(E98=0,E98=0),"",ROUND(E98/$D$105,2))</f>
        <v>0.85</v>
      </c>
    </row>
    <row r="99" spans="2:6" x14ac:dyDescent="0.2">
      <c r="B99" s="183" t="s">
        <v>31</v>
      </c>
      <c r="C99" s="184"/>
      <c r="D99" s="36"/>
      <c r="E99" s="17">
        <f>IF(F3="1",SUMIF(Data!A:A,'37'!$A$2,Data!AI:AI),0)</f>
        <v>1567541</v>
      </c>
      <c r="F99" s="21">
        <f t="shared" ref="F99:F104" si="6">IF(OR(E99=0,E99=0),"",ROUND(E99/$D$105,2))</f>
        <v>0.45</v>
      </c>
    </row>
    <row r="100" spans="2:6" x14ac:dyDescent="0.2">
      <c r="B100" s="183" t="s">
        <v>1078</v>
      </c>
      <c r="C100" s="184"/>
      <c r="D100" s="36"/>
      <c r="E100" s="17">
        <f>IF(F3="1",SUMIF(Data!A:A,'37'!$A$2,Data!AJ:AJ),0)</f>
        <v>573520</v>
      </c>
      <c r="F100" s="21">
        <f t="shared" si="6"/>
        <v>0.17</v>
      </c>
    </row>
    <row r="101" spans="2:6" x14ac:dyDescent="0.2">
      <c r="B101" s="183" t="s">
        <v>1079</v>
      </c>
      <c r="C101" s="184"/>
      <c r="D101" s="36"/>
      <c r="E101" s="17">
        <f>IF(F3="1",SUMIF(Data!A:A,'37'!$A$2,Data!AK:AK),0)</f>
        <v>320237</v>
      </c>
      <c r="F101" s="21">
        <f t="shared" si="6"/>
        <v>0.09</v>
      </c>
    </row>
    <row r="102" spans="2:6" x14ac:dyDescent="0.2">
      <c r="B102" s="183" t="s">
        <v>1080</v>
      </c>
      <c r="C102" s="184"/>
      <c r="D102" s="36"/>
      <c r="E102" s="17">
        <f>IF(F3="1",SUMIF(Data!A:A,'37'!$A$2,Data!AL:AL),0)</f>
        <v>283613</v>
      </c>
      <c r="F102" s="21">
        <f t="shared" si="6"/>
        <v>0.08</v>
      </c>
    </row>
    <row r="103" spans="2:6" x14ac:dyDescent="0.2">
      <c r="B103" s="185" t="s">
        <v>34</v>
      </c>
      <c r="C103" s="186"/>
      <c r="D103" s="36"/>
      <c r="E103" s="17">
        <f>IF(F3="1",SUMIF(Data!A:A,'37'!$A$2,Data!AM:AM),0)</f>
        <v>0</v>
      </c>
      <c r="F103" s="21" t="str">
        <f t="shared" si="6"/>
        <v/>
      </c>
    </row>
    <row r="104" spans="2:6" ht="15.75" customHeight="1" thickBot="1" x14ac:dyDescent="0.25">
      <c r="B104" s="175" t="s">
        <v>29</v>
      </c>
      <c r="C104" s="176"/>
      <c r="D104" s="37"/>
      <c r="E104" s="24">
        <f>IF(F3="1",SUMIF(Data!A:A,'37'!$A$2,Data!Q:Q),0)</f>
        <v>2187382</v>
      </c>
      <c r="F104" s="25">
        <f t="shared" si="6"/>
        <v>0.63</v>
      </c>
    </row>
    <row r="105" spans="2:6" x14ac:dyDescent="0.2">
      <c r="B105" s="30" t="s">
        <v>35</v>
      </c>
      <c r="C105" s="30"/>
      <c r="D105" s="34">
        <f>D95</f>
        <v>3454010</v>
      </c>
      <c r="E105" s="31">
        <f>SUM(E98:E104)</f>
        <v>7878241</v>
      </c>
      <c r="F105" s="32">
        <f>IF($D$105=0,"",ROUND(E105/$D$105,2))</f>
        <v>2.2799999999999998</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10159156</v>
      </c>
      <c r="D109" s="15">
        <f>IF(F3="1",SUMIF(Data!$A:$A,$A$2,Data!HJ:HJ),0)</f>
        <v>0</v>
      </c>
      <c r="E109" s="15">
        <f>IF(F3="1",SUMIF(Data!$A:$A,$A$2,Data!IN:IN),0)</f>
        <v>0</v>
      </c>
      <c r="F109" s="47">
        <f>SUM(C109:E109)</f>
        <v>10159156</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283613</v>
      </c>
      <c r="F116" s="48">
        <f t="shared" si="7"/>
        <v>283613</v>
      </c>
    </row>
    <row r="117" spans="1:6" ht="15" thickBot="1" x14ac:dyDescent="0.25">
      <c r="B117" s="43" t="s">
        <v>933</v>
      </c>
      <c r="C117" s="52"/>
      <c r="D117" s="52">
        <f>IF(F3="1",SUMIF(Data!A:A,$A$2,Data!Q:Q),0)</f>
        <v>2187382</v>
      </c>
      <c r="E117" s="52"/>
      <c r="F117" s="49">
        <f>SUM(C117:E117)</f>
        <v>2187382</v>
      </c>
    </row>
    <row r="118" spans="1:6" x14ac:dyDescent="0.2">
      <c r="B118" s="13" t="s">
        <v>35</v>
      </c>
      <c r="C118" s="4">
        <f>SUM(C109:C116)</f>
        <v>10159156</v>
      </c>
      <c r="D118" s="4">
        <f>SUM(D109:D116)</f>
        <v>0</v>
      </c>
      <c r="E118" s="4">
        <f>SUM(E109:E116)</f>
        <v>283613</v>
      </c>
      <c r="F118" s="4">
        <f>SUM(F109:F116)</f>
        <v>10442769</v>
      </c>
    </row>
    <row r="119" spans="1:6" ht="15" thickBot="1" x14ac:dyDescent="0.25"/>
    <row r="120" spans="1:6" ht="15" thickBot="1" x14ac:dyDescent="0.25">
      <c r="B120" s="55" t="s">
        <v>934</v>
      </c>
      <c r="C120" s="53"/>
      <c r="D120" s="53"/>
      <c r="E120" s="53">
        <f>IF(F3="1",SUMIF(Data!A:A,'37'!$A$2,Data!AM:AM),0)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5703125" style="10" bestFit="1" customWidth="1"/>
    <col min="13" max="13" width="13.42578125" style="10" bestFit="1" customWidth="1"/>
    <col min="14" max="14" width="13.5703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1072</v>
      </c>
      <c r="B2" s="58" t="str">
        <f>VLOOKUP(A2,Data!A:G,7,0)</f>
        <v>South Texas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1632</v>
      </c>
      <c r="E5" s="15">
        <f>E36+E67+IFERROR($E$105/$D$105*D5,0)</f>
        <v>10785.661946242155</v>
      </c>
      <c r="F5" s="20">
        <f>IF(OR(D5=0,E5=0),"",ROUND(E5/D5,2))</f>
        <v>6.61</v>
      </c>
    </row>
    <row r="6" spans="1:6" x14ac:dyDescent="0.2">
      <c r="A6" s="19">
        <v>2</v>
      </c>
      <c r="B6" s="177" t="s">
        <v>1</v>
      </c>
      <c r="C6" s="178"/>
      <c r="D6" s="14">
        <f t="shared" ref="D6:D32" si="0">D37</f>
        <v>114832</v>
      </c>
      <c r="E6" s="17">
        <f t="shared" ref="E6:E32" si="1">E37+E68+IFERROR($E$105/$D$105*D6,0)</f>
        <v>979903.39988411719</v>
      </c>
      <c r="F6" s="21">
        <f t="shared" ref="F6:F33" si="2">IF(OR(D6=0,E6=0),"",ROUND(E6/D6,2))</f>
        <v>8.5299999999999994</v>
      </c>
    </row>
    <row r="7" spans="1:6" ht="14.25" customHeight="1" x14ac:dyDescent="0.2">
      <c r="A7" s="19">
        <v>3</v>
      </c>
      <c r="B7" s="177" t="s">
        <v>2</v>
      </c>
      <c r="C7" s="178"/>
      <c r="D7" s="14">
        <f t="shared" si="0"/>
        <v>532688</v>
      </c>
      <c r="E7" s="17">
        <f t="shared" si="1"/>
        <v>3520735.6487866677</v>
      </c>
      <c r="F7" s="21">
        <f t="shared" si="2"/>
        <v>6.61</v>
      </c>
    </row>
    <row r="8" spans="1:6" ht="14.25" customHeight="1" x14ac:dyDescent="0.2">
      <c r="A8" s="19">
        <v>4</v>
      </c>
      <c r="B8" s="177" t="s">
        <v>3</v>
      </c>
      <c r="C8" s="178"/>
      <c r="D8" s="14">
        <f t="shared" si="0"/>
        <v>280128</v>
      </c>
      <c r="E8" s="17">
        <f t="shared" si="1"/>
        <v>1629259.7387726242</v>
      </c>
      <c r="F8" s="21">
        <f t="shared" si="2"/>
        <v>5.82</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0</v>
      </c>
      <c r="E10" s="17">
        <f t="shared" si="1"/>
        <v>0</v>
      </c>
      <c r="F10" s="21" t="str">
        <f t="shared" si="2"/>
        <v/>
      </c>
    </row>
    <row r="11" spans="1:6" x14ac:dyDescent="0.2">
      <c r="A11" s="19">
        <v>7</v>
      </c>
      <c r="B11" s="177" t="s">
        <v>6</v>
      </c>
      <c r="C11" s="178"/>
      <c r="D11" s="14">
        <f t="shared" si="0"/>
        <v>435280</v>
      </c>
      <c r="E11" s="17">
        <f t="shared" si="1"/>
        <v>3579511.2573286062</v>
      </c>
      <c r="F11" s="21">
        <f t="shared" si="2"/>
        <v>8.2200000000000006</v>
      </c>
    </row>
    <row r="12" spans="1:6" x14ac:dyDescent="0.2">
      <c r="A12" s="19">
        <v>8</v>
      </c>
      <c r="B12" s="177" t="s">
        <v>7</v>
      </c>
      <c r="C12" s="178"/>
      <c r="D12" s="14">
        <f t="shared" si="0"/>
        <v>0</v>
      </c>
      <c r="E12" s="17">
        <f t="shared" si="1"/>
        <v>0</v>
      </c>
      <c r="F12" s="21" t="str">
        <f t="shared" si="2"/>
        <v/>
      </c>
    </row>
    <row r="13" spans="1:6" x14ac:dyDescent="0.2">
      <c r="A13" s="19">
        <v>9</v>
      </c>
      <c r="B13" s="177" t="s">
        <v>8</v>
      </c>
      <c r="C13" s="178"/>
      <c r="D13" s="14">
        <f t="shared" si="0"/>
        <v>133552</v>
      </c>
      <c r="E13" s="17">
        <f t="shared" si="1"/>
        <v>624835.16926748306</v>
      </c>
      <c r="F13" s="21">
        <f t="shared" si="2"/>
        <v>4.68</v>
      </c>
    </row>
    <row r="14" spans="1:6" x14ac:dyDescent="0.2">
      <c r="A14" s="19">
        <v>10</v>
      </c>
      <c r="B14" s="177" t="s">
        <v>9</v>
      </c>
      <c r="C14" s="178"/>
      <c r="D14" s="14">
        <f t="shared" si="0"/>
        <v>0</v>
      </c>
      <c r="E14" s="17">
        <f t="shared" si="1"/>
        <v>0</v>
      </c>
      <c r="F14" s="21" t="str">
        <f t="shared" si="2"/>
        <v/>
      </c>
    </row>
    <row r="15" spans="1:6" x14ac:dyDescent="0.2">
      <c r="A15" s="19">
        <v>11</v>
      </c>
      <c r="B15" s="177" t="s">
        <v>10</v>
      </c>
      <c r="C15" s="178"/>
      <c r="D15" s="14">
        <f t="shared" si="0"/>
        <v>175152</v>
      </c>
      <c r="E15" s="17">
        <f t="shared" si="1"/>
        <v>1060663.1012305184</v>
      </c>
      <c r="F15" s="21">
        <f t="shared" si="2"/>
        <v>6.06</v>
      </c>
    </row>
    <row r="16" spans="1:6" ht="14.25" customHeight="1" x14ac:dyDescent="0.2">
      <c r="A16" s="19">
        <v>12</v>
      </c>
      <c r="B16" s="177" t="s">
        <v>11</v>
      </c>
      <c r="C16" s="178"/>
      <c r="D16" s="14">
        <f t="shared" si="0"/>
        <v>908960</v>
      </c>
      <c r="E16" s="17">
        <f t="shared" si="1"/>
        <v>5864842.9133923221</v>
      </c>
      <c r="F16" s="21">
        <f t="shared" si="2"/>
        <v>6.45</v>
      </c>
    </row>
    <row r="17" spans="1:6" x14ac:dyDescent="0.2">
      <c r="A17" s="19">
        <v>13</v>
      </c>
      <c r="B17" s="177" t="s">
        <v>12</v>
      </c>
      <c r="C17" s="178"/>
      <c r="D17" s="14">
        <f t="shared" si="0"/>
        <v>135760</v>
      </c>
      <c r="E17" s="17">
        <f t="shared" si="1"/>
        <v>772993.94719475182</v>
      </c>
      <c r="F17" s="21">
        <f t="shared" si="2"/>
        <v>5.69</v>
      </c>
    </row>
    <row r="18" spans="1:6" ht="14.25" customHeight="1" x14ac:dyDescent="0.2">
      <c r="A18" s="19">
        <v>14</v>
      </c>
      <c r="B18" s="177" t="s">
        <v>464</v>
      </c>
      <c r="C18" s="178"/>
      <c r="D18" s="14">
        <f t="shared" si="0"/>
        <v>74640</v>
      </c>
      <c r="E18" s="17">
        <f t="shared" si="1"/>
        <v>668422.86254136916</v>
      </c>
      <c r="F18" s="21">
        <f t="shared" si="2"/>
        <v>8.9600000000000009</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286352</v>
      </c>
      <c r="E20" s="17">
        <f t="shared" si="1"/>
        <v>2666640.3809009399</v>
      </c>
      <c r="F20" s="21">
        <f t="shared" si="2"/>
        <v>9.31</v>
      </c>
    </row>
    <row r="21" spans="1:6" x14ac:dyDescent="0.2">
      <c r="A21" s="19">
        <v>17</v>
      </c>
      <c r="B21" s="177" t="s">
        <v>15</v>
      </c>
      <c r="C21" s="178"/>
      <c r="D21" s="14">
        <f t="shared" si="0"/>
        <v>0</v>
      </c>
      <c r="E21" s="17">
        <f t="shared" si="1"/>
        <v>0</v>
      </c>
      <c r="F21" s="21" t="str">
        <f t="shared" si="2"/>
        <v/>
      </c>
    </row>
    <row r="22" spans="1:6" x14ac:dyDescent="0.2">
      <c r="A22" s="19">
        <v>18</v>
      </c>
      <c r="B22" s="177" t="s">
        <v>16</v>
      </c>
      <c r="C22" s="178"/>
      <c r="D22" s="14">
        <f t="shared" si="0"/>
        <v>134656</v>
      </c>
      <c r="E22" s="17">
        <f t="shared" si="1"/>
        <v>1015861.5582311174</v>
      </c>
      <c r="F22" s="21">
        <f t="shared" si="2"/>
        <v>7.54</v>
      </c>
    </row>
    <row r="23" spans="1:6" x14ac:dyDescent="0.2">
      <c r="A23" s="19">
        <v>19</v>
      </c>
      <c r="B23" s="177" t="s">
        <v>17</v>
      </c>
      <c r="C23" s="178"/>
      <c r="D23" s="14">
        <f t="shared" si="0"/>
        <v>706400</v>
      </c>
      <c r="E23" s="17">
        <f t="shared" si="1"/>
        <v>3988753.4600646193</v>
      </c>
      <c r="F23" s="21">
        <f t="shared" si="2"/>
        <v>5.65</v>
      </c>
    </row>
    <row r="24" spans="1:6" x14ac:dyDescent="0.2">
      <c r="A24" s="19">
        <v>20</v>
      </c>
      <c r="B24" s="177" t="s">
        <v>18</v>
      </c>
      <c r="C24" s="178"/>
      <c r="D24" s="14">
        <f t="shared" si="0"/>
        <v>58304</v>
      </c>
      <c r="E24" s="17">
        <f t="shared" si="1"/>
        <v>619340.29541280796</v>
      </c>
      <c r="F24" s="21">
        <f t="shared" si="2"/>
        <v>10.62</v>
      </c>
    </row>
    <row r="25" spans="1:6" ht="14.25" customHeight="1" x14ac:dyDescent="0.2">
      <c r="A25" s="19">
        <v>21</v>
      </c>
      <c r="B25" s="177" t="s">
        <v>461</v>
      </c>
      <c r="C25" s="178"/>
      <c r="D25" s="14">
        <f t="shared" si="0"/>
        <v>11216</v>
      </c>
      <c r="E25" s="17">
        <f t="shared" si="1"/>
        <v>142284.31396387992</v>
      </c>
      <c r="F25" s="21">
        <f t="shared" si="2"/>
        <v>12.69</v>
      </c>
    </row>
    <row r="26" spans="1:6" x14ac:dyDescent="0.2">
      <c r="A26" s="19">
        <v>22</v>
      </c>
      <c r="B26" s="177" t="s">
        <v>19</v>
      </c>
      <c r="C26" s="178"/>
      <c r="D26" s="14">
        <f t="shared" si="0"/>
        <v>20688</v>
      </c>
      <c r="E26" s="17">
        <f t="shared" si="1"/>
        <v>485750.33231854026</v>
      </c>
      <c r="F26" s="21">
        <f t="shared" si="2"/>
        <v>23.48</v>
      </c>
    </row>
    <row r="27" spans="1:6" x14ac:dyDescent="0.2">
      <c r="A27" s="19">
        <v>23</v>
      </c>
      <c r="B27" s="177" t="s">
        <v>20</v>
      </c>
      <c r="C27" s="178"/>
      <c r="D27" s="14">
        <f t="shared" si="0"/>
        <v>54064</v>
      </c>
      <c r="E27" s="17">
        <f t="shared" si="1"/>
        <v>536152.16388580634</v>
      </c>
      <c r="F27" s="21">
        <f t="shared" si="2"/>
        <v>9.92</v>
      </c>
    </row>
    <row r="28" spans="1:6" x14ac:dyDescent="0.2">
      <c r="A28" s="19">
        <v>24</v>
      </c>
      <c r="B28" s="177" t="s">
        <v>21</v>
      </c>
      <c r="C28" s="178"/>
      <c r="D28" s="14">
        <f t="shared" si="0"/>
        <v>98784</v>
      </c>
      <c r="E28" s="17">
        <f t="shared" si="1"/>
        <v>384050.89074606932</v>
      </c>
      <c r="F28" s="21">
        <f t="shared" si="2"/>
        <v>3.89</v>
      </c>
    </row>
    <row r="29" spans="1:6" x14ac:dyDescent="0.2">
      <c r="A29" s="19">
        <v>25</v>
      </c>
      <c r="B29" s="177" t="s">
        <v>22</v>
      </c>
      <c r="C29" s="178"/>
      <c r="D29" s="14">
        <f t="shared" si="0"/>
        <v>600336</v>
      </c>
      <c r="E29" s="17">
        <f t="shared" si="1"/>
        <v>3586328.3812250188</v>
      </c>
      <c r="F29" s="21">
        <f t="shared" si="2"/>
        <v>5.97</v>
      </c>
    </row>
    <row r="30" spans="1:6" x14ac:dyDescent="0.2">
      <c r="A30" s="19">
        <v>26</v>
      </c>
      <c r="B30" s="177" t="s">
        <v>23</v>
      </c>
      <c r="C30" s="178"/>
      <c r="D30" s="14">
        <f t="shared" si="0"/>
        <v>124272</v>
      </c>
      <c r="E30" s="17">
        <f t="shared" si="1"/>
        <v>860106.52290649829</v>
      </c>
      <c r="F30" s="21">
        <f t="shared" si="2"/>
        <v>6.92</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4887696</v>
      </c>
      <c r="E33" s="31">
        <f>SUM(E5:E32)</f>
        <v>32997222.000000004</v>
      </c>
      <c r="F33" s="32">
        <f t="shared" si="2"/>
        <v>6.75</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IF(F3="1",SUMIF(Data!A:A,'38'!$A$2,Data!CU:CU),0)</f>
        <v>1632</v>
      </c>
      <c r="E36" s="15">
        <f>IF(F3="1",SUMIF(Data!$A:$A,$A$2,Data!IO:IO),0)</f>
        <v>1384</v>
      </c>
      <c r="F36" s="20">
        <f t="shared" ref="F36:F64" si="3">IF(OR(D36=0,E36=0),"",ROUND(E36/D36,2))</f>
        <v>0.85</v>
      </c>
    </row>
    <row r="37" spans="1:6" x14ac:dyDescent="0.2">
      <c r="A37" s="19">
        <v>2</v>
      </c>
      <c r="B37" s="177" t="s">
        <v>1</v>
      </c>
      <c r="C37" s="178"/>
      <c r="D37" s="14">
        <f>IF(F3="1",SUMIF(Data!A:A,'38'!$A$2,Data!CV:CV),0)</f>
        <v>114832</v>
      </c>
      <c r="E37" s="17">
        <f>IF(F3="1",SUMIF(Data!$A:$A,$A$2,Data!IP:IP),0)</f>
        <v>300895</v>
      </c>
      <c r="F37" s="21">
        <f t="shared" si="3"/>
        <v>2.62</v>
      </c>
    </row>
    <row r="38" spans="1:6" ht="14.25" customHeight="1" x14ac:dyDescent="0.2">
      <c r="A38" s="19">
        <v>3</v>
      </c>
      <c r="B38" s="177" t="s">
        <v>2</v>
      </c>
      <c r="C38" s="178"/>
      <c r="D38" s="14">
        <f>IF(F3="1",SUMIF(Data!A:A,'38'!$A$2,Data!CW:CW),0)</f>
        <v>532688</v>
      </c>
      <c r="E38" s="17">
        <f>IF($F$3="1",SUMIF(Data!$A:$A,$A$2,Data!IQ:IQ),0)</f>
        <v>451862</v>
      </c>
      <c r="F38" s="21">
        <f t="shared" si="3"/>
        <v>0.85</v>
      </c>
    </row>
    <row r="39" spans="1:6" ht="14.25" customHeight="1" x14ac:dyDescent="0.2">
      <c r="A39" s="19">
        <v>4</v>
      </c>
      <c r="B39" s="177" t="s">
        <v>3</v>
      </c>
      <c r="C39" s="178"/>
      <c r="D39" s="14">
        <f>IF(F3="1",SUMIF(Data!A:A,'38'!$A$2,Data!CX:CX),0)</f>
        <v>280128</v>
      </c>
      <c r="E39" s="17">
        <f>IF($F$3="1",SUMIF(Data!$A:$A,$A$2,Data!IR:IR),0)</f>
        <v>141021</v>
      </c>
      <c r="F39" s="21">
        <f t="shared" si="3"/>
        <v>0.5</v>
      </c>
    </row>
    <row r="40" spans="1:6" x14ac:dyDescent="0.2">
      <c r="A40" s="19">
        <v>5</v>
      </c>
      <c r="B40" s="177" t="s">
        <v>4</v>
      </c>
      <c r="C40" s="178"/>
      <c r="D40" s="14">
        <f>IF(F3="1",SUMIF(Data!A:A,'38'!$A$2,Data!CY:CY),0)</f>
        <v>0</v>
      </c>
      <c r="E40" s="17">
        <f>IF($F$3="1",SUMIF(Data!$A:$A,$A$2,Data!IS:IS),0)</f>
        <v>0</v>
      </c>
      <c r="F40" s="21" t="str">
        <f t="shared" si="3"/>
        <v/>
      </c>
    </row>
    <row r="41" spans="1:6" x14ac:dyDescent="0.2">
      <c r="A41" s="19">
        <v>6</v>
      </c>
      <c r="B41" s="177" t="s">
        <v>5</v>
      </c>
      <c r="C41" s="178"/>
      <c r="D41" s="14">
        <f>IF(F3="1",SUMIF(Data!A:A,'38'!$A$2,Data!CZ:CZ),0)</f>
        <v>0</v>
      </c>
      <c r="E41" s="17">
        <f>IF($F$3="1",SUMIF(Data!$A:$A,$A$2,Data!IT:IT),0)</f>
        <v>0</v>
      </c>
      <c r="F41" s="21" t="str">
        <f t="shared" si="3"/>
        <v/>
      </c>
    </row>
    <row r="42" spans="1:6" x14ac:dyDescent="0.2">
      <c r="A42" s="19">
        <v>7</v>
      </c>
      <c r="B42" s="177" t="s">
        <v>6</v>
      </c>
      <c r="C42" s="178"/>
      <c r="D42" s="14">
        <f>IF(F3="1",SUMIF(Data!A:A,'38'!$A$2,Data!DA:DA),0)</f>
        <v>435280</v>
      </c>
      <c r="E42" s="17">
        <f>IF($F$3="1",SUMIF(Data!$A:$A,$A$2,Data!IU:IU),0)</f>
        <v>964745</v>
      </c>
      <c r="F42" s="21">
        <f t="shared" si="3"/>
        <v>2.2200000000000002</v>
      </c>
    </row>
    <row r="43" spans="1:6" x14ac:dyDescent="0.2">
      <c r="A43" s="19">
        <v>8</v>
      </c>
      <c r="B43" s="177" t="s">
        <v>7</v>
      </c>
      <c r="C43" s="178"/>
      <c r="D43" s="14">
        <f>IF(F3="1",SUMIF(Data!A:A,'38'!$A$2,Data!DB:DB),0)</f>
        <v>0</v>
      </c>
      <c r="E43" s="17">
        <f>IF($F$3="1",SUMIF(Data!$A:$A,$A$2,Data!IV:IV),0)</f>
        <v>0</v>
      </c>
      <c r="F43" s="21" t="str">
        <f t="shared" si="3"/>
        <v/>
      </c>
    </row>
    <row r="44" spans="1:6" x14ac:dyDescent="0.2">
      <c r="A44" s="19">
        <v>9</v>
      </c>
      <c r="B44" s="177" t="s">
        <v>8</v>
      </c>
      <c r="C44" s="178"/>
      <c r="D44" s="14">
        <f>IF(F3="1",SUMIF(Data!A:A,'38'!$A$2,Data!DC:DC),0)</f>
        <v>133552</v>
      </c>
      <c r="E44" s="17">
        <f>IF($F$3="1",SUMIF(Data!$A:$A,$A$2,Data!IW:IW),0)</f>
        <v>12558</v>
      </c>
      <c r="F44" s="21">
        <f t="shared" si="3"/>
        <v>0.09</v>
      </c>
    </row>
    <row r="45" spans="1:6" x14ac:dyDescent="0.2">
      <c r="A45" s="19">
        <v>10</v>
      </c>
      <c r="B45" s="177" t="s">
        <v>9</v>
      </c>
      <c r="C45" s="178"/>
      <c r="D45" s="14">
        <f>IF(F3="1",SUMIF(Data!A:A,'38'!$A$2,Data!DD:DD),0)</f>
        <v>0</v>
      </c>
      <c r="E45" s="17">
        <f>IF($F$3="1",SUMIF(Data!$A:$A,$A$2,Data!IX:IX),0)</f>
        <v>0</v>
      </c>
      <c r="F45" s="21" t="str">
        <f t="shared" si="3"/>
        <v/>
      </c>
    </row>
    <row r="46" spans="1:6" x14ac:dyDescent="0.2">
      <c r="A46" s="19">
        <v>11</v>
      </c>
      <c r="B46" s="177" t="s">
        <v>10</v>
      </c>
      <c r="C46" s="178"/>
      <c r="D46" s="14">
        <f>IF(F3="1",SUMIF(Data!A:A,'38'!$A$2,Data!DE:DE),0)</f>
        <v>175152</v>
      </c>
      <c r="E46" s="17">
        <f>IF($F$3="1",SUMIF(Data!$A:$A,$A$2,Data!IY:IY),0)</f>
        <v>169535</v>
      </c>
      <c r="F46" s="21">
        <f t="shared" si="3"/>
        <v>0.97</v>
      </c>
    </row>
    <row r="47" spans="1:6" ht="14.25" customHeight="1" x14ac:dyDescent="0.2">
      <c r="A47" s="19">
        <v>12</v>
      </c>
      <c r="B47" s="177" t="s">
        <v>11</v>
      </c>
      <c r="C47" s="178"/>
      <c r="D47" s="14">
        <f>IF(F3="1",SUMIF(Data!A:A,'38'!$A$2,Data!DF:DF),0)</f>
        <v>908960</v>
      </c>
      <c r="E47" s="17">
        <f>IF($F$3="1",SUMIF(Data!$A:$A,$A$2,Data!IZ:IZ),0)</f>
        <v>424472</v>
      </c>
      <c r="F47" s="21">
        <f t="shared" si="3"/>
        <v>0.47</v>
      </c>
    </row>
    <row r="48" spans="1:6" x14ac:dyDescent="0.2">
      <c r="A48" s="19">
        <v>13</v>
      </c>
      <c r="B48" s="177" t="s">
        <v>12</v>
      </c>
      <c r="C48" s="178"/>
      <c r="D48" s="14">
        <f>IF(F3="1",SUMIF(Data!A:A,'38'!$A$2,Data!DG:DG),0)</f>
        <v>135760</v>
      </c>
      <c r="E48" s="17">
        <f>IF($F$3="1",SUMIF(Data!$A:$A,$A$2,Data!JA:JA),0)</f>
        <v>9530</v>
      </c>
      <c r="F48" s="21">
        <f t="shared" si="3"/>
        <v>7.0000000000000007E-2</v>
      </c>
    </row>
    <row r="49" spans="1:6" ht="14.25" customHeight="1" x14ac:dyDescent="0.2">
      <c r="A49" s="19">
        <v>14</v>
      </c>
      <c r="B49" s="177" t="s">
        <v>464</v>
      </c>
      <c r="C49" s="178"/>
      <c r="D49" s="14">
        <f>IF(F3="1",SUMIF(Data!A:A,'38'!$A$2,Data!DH:DH),0)</f>
        <v>74640</v>
      </c>
      <c r="E49" s="17">
        <f>IF($F$3="1",SUMIF(Data!$A:$A,$A$2,Data!JB:JB),0)</f>
        <v>99850</v>
      </c>
      <c r="F49" s="21">
        <f t="shared" si="3"/>
        <v>1.34</v>
      </c>
    </row>
    <row r="50" spans="1:6" x14ac:dyDescent="0.2">
      <c r="A50" s="19">
        <v>15</v>
      </c>
      <c r="B50" s="177" t="s">
        <v>13</v>
      </c>
      <c r="C50" s="178"/>
      <c r="D50" s="14">
        <f>IF(F3="1",SUMIF(Data!A:A,'38'!$A$2,Data!DI:DI),0)</f>
        <v>0</v>
      </c>
      <c r="E50" s="17">
        <f>IF($F$3="1",SUMIF(Data!$A:$A,$A$2,Data!JC:JC),0)</f>
        <v>0</v>
      </c>
      <c r="F50" s="21" t="str">
        <f t="shared" si="3"/>
        <v/>
      </c>
    </row>
    <row r="51" spans="1:6" x14ac:dyDescent="0.2">
      <c r="A51" s="19">
        <v>16</v>
      </c>
      <c r="B51" s="177" t="s">
        <v>14</v>
      </c>
      <c r="C51" s="178"/>
      <c r="D51" s="14">
        <f>IF(F3="1",SUMIF(Data!A:A,'38'!$A$2,Data!DJ:DJ),0)</f>
        <v>286352</v>
      </c>
      <c r="E51" s="17">
        <f>IF($F$3="1",SUMIF(Data!$A:$A,$A$2,Data!JD:JD),0)</f>
        <v>409415</v>
      </c>
      <c r="F51" s="21">
        <f t="shared" si="3"/>
        <v>1.43</v>
      </c>
    </row>
    <row r="52" spans="1:6" x14ac:dyDescent="0.2">
      <c r="A52" s="19">
        <v>17</v>
      </c>
      <c r="B52" s="177" t="s">
        <v>15</v>
      </c>
      <c r="C52" s="178"/>
      <c r="D52" s="14">
        <f>IF(F3="1",SUMIF(Data!A:A,'38'!$A$2,Data!DK:DK),0)</f>
        <v>0</v>
      </c>
      <c r="E52" s="17">
        <f>IF($F$3="1",SUMIF(Data!$A:$A,$A$2,Data!JE:JE),0)</f>
        <v>0</v>
      </c>
      <c r="F52" s="21" t="str">
        <f t="shared" si="3"/>
        <v/>
      </c>
    </row>
    <row r="53" spans="1:6" x14ac:dyDescent="0.2">
      <c r="A53" s="19">
        <v>18</v>
      </c>
      <c r="B53" s="177" t="s">
        <v>16</v>
      </c>
      <c r="C53" s="178"/>
      <c r="D53" s="14">
        <f>IF(F3="1",SUMIF(Data!A:A,'38'!$A$2,Data!DL:DL),0)</f>
        <v>134656</v>
      </c>
      <c r="E53" s="17">
        <f>IF($F$3="1",SUMIF(Data!$A:$A,$A$2,Data!JF:JF),0)</f>
        <v>89595</v>
      </c>
      <c r="F53" s="21">
        <f t="shared" si="3"/>
        <v>0.67</v>
      </c>
    </row>
    <row r="54" spans="1:6" x14ac:dyDescent="0.2">
      <c r="A54" s="19">
        <v>19</v>
      </c>
      <c r="B54" s="177" t="s">
        <v>17</v>
      </c>
      <c r="C54" s="178"/>
      <c r="D54" s="14">
        <f>IF(F3="1",SUMIF(Data!A:A,'38'!$A$2,Data!DM:DM),0)</f>
        <v>706400</v>
      </c>
      <c r="E54" s="17">
        <f>IF($F$3="1",SUMIF(Data!$A:$A,$A$2,Data!JG:JG),0)</f>
        <v>105861</v>
      </c>
      <c r="F54" s="21">
        <f t="shared" si="3"/>
        <v>0.15</v>
      </c>
    </row>
    <row r="55" spans="1:6" x14ac:dyDescent="0.2">
      <c r="A55" s="19">
        <v>20</v>
      </c>
      <c r="B55" s="177" t="s">
        <v>18</v>
      </c>
      <c r="C55" s="178"/>
      <c r="D55" s="14">
        <f>IF(F3="1",SUMIF(Data!A:A,'38'!$A$2,Data!DN:DN),0)</f>
        <v>58304</v>
      </c>
      <c r="E55" s="17">
        <f>IF($F$3="1",SUMIF(Data!$A:$A,$A$2,Data!JH:JH),0)</f>
        <v>184077</v>
      </c>
      <c r="F55" s="21">
        <f t="shared" si="3"/>
        <v>3.16</v>
      </c>
    </row>
    <row r="56" spans="1:6" ht="14.25" customHeight="1" x14ac:dyDescent="0.2">
      <c r="A56" s="19">
        <v>21</v>
      </c>
      <c r="B56" s="177" t="s">
        <v>461</v>
      </c>
      <c r="C56" s="178"/>
      <c r="D56" s="14">
        <f>IF(F3="1",SUMIF(Data!A:A,'38'!$A$2,Data!DO:DO),0)</f>
        <v>11216</v>
      </c>
      <c r="E56" s="17">
        <f>IF($F$3="1",SUMIF(Data!$A:$A,$A$2,Data!JI:JI),0)</f>
        <v>27115</v>
      </c>
      <c r="F56" s="21">
        <f t="shared" si="3"/>
        <v>2.42</v>
      </c>
    </row>
    <row r="57" spans="1:6" x14ac:dyDescent="0.2">
      <c r="A57" s="19">
        <v>22</v>
      </c>
      <c r="B57" s="177" t="s">
        <v>19</v>
      </c>
      <c r="C57" s="178"/>
      <c r="D57" s="14">
        <f>IF(F3="1",SUMIF(Data!A:A,'38'!$A$2,Data!DP:DP),0)</f>
        <v>20688</v>
      </c>
      <c r="E57" s="17">
        <f>IF($F$3="1",SUMIF(Data!$A:$A,$A$2,Data!JJ:JJ),0)</f>
        <v>103113</v>
      </c>
      <c r="F57" s="21">
        <f t="shared" si="3"/>
        <v>4.9800000000000004</v>
      </c>
    </row>
    <row r="58" spans="1:6" x14ac:dyDescent="0.2">
      <c r="A58" s="19">
        <v>23</v>
      </c>
      <c r="B58" s="177" t="s">
        <v>20</v>
      </c>
      <c r="C58" s="178"/>
      <c r="D58" s="14">
        <f>IF(F3="1",SUMIF(Data!A:A,'38'!$A$2,Data!DQ:DQ),0)</f>
        <v>54064</v>
      </c>
      <c r="E58" s="17">
        <f>IF($F$3="1",SUMIF(Data!$A:$A,$A$2,Data!JK:JK),0)</f>
        <v>49888</v>
      </c>
      <c r="F58" s="21">
        <f t="shared" si="3"/>
        <v>0.92</v>
      </c>
    </row>
    <row r="59" spans="1:6" x14ac:dyDescent="0.2">
      <c r="A59" s="19">
        <v>24</v>
      </c>
      <c r="B59" s="177" t="s">
        <v>21</v>
      </c>
      <c r="C59" s="178"/>
      <c r="D59" s="14">
        <f>IF(F3="1",SUMIF(Data!A:A,'38'!$A$2,Data!DR:DR),0)</f>
        <v>98784</v>
      </c>
      <c r="E59" s="17">
        <f>IF($F$3="1",SUMIF(Data!$A:$A,$A$2,Data!JL:JL),0)</f>
        <v>14964</v>
      </c>
      <c r="F59" s="21">
        <f t="shared" si="3"/>
        <v>0.15</v>
      </c>
    </row>
    <row r="60" spans="1:6" x14ac:dyDescent="0.2">
      <c r="A60" s="19">
        <v>25</v>
      </c>
      <c r="B60" s="177" t="s">
        <v>22</v>
      </c>
      <c r="C60" s="178"/>
      <c r="D60" s="14">
        <f>IF(F3="1",SUMIF(Data!A:A,'38'!$A$2,Data!DS:DS),0)</f>
        <v>600336</v>
      </c>
      <c r="E60" s="17">
        <f>IF($F$3="1",SUMIF(Data!$A:$A,$A$2,Data!JM:JM),0)</f>
        <v>73707</v>
      </c>
      <c r="F60" s="21">
        <f t="shared" si="3"/>
        <v>0.12</v>
      </c>
    </row>
    <row r="61" spans="1:6" x14ac:dyDescent="0.2">
      <c r="A61" s="19">
        <v>26</v>
      </c>
      <c r="B61" s="177" t="s">
        <v>23</v>
      </c>
      <c r="C61" s="178"/>
      <c r="D61" s="14">
        <f>IF(F3="1",SUMIF(Data!A:A,'38'!$A$2,Data!DT:DT),0)</f>
        <v>124272</v>
      </c>
      <c r="E61" s="17">
        <f>IF($F$3="1",SUMIF(Data!$A:$A,$A$2,Data!JN:JN),0)</f>
        <v>42452</v>
      </c>
      <c r="F61" s="21">
        <f t="shared" si="3"/>
        <v>0.34</v>
      </c>
    </row>
    <row r="62" spans="1:6" x14ac:dyDescent="0.2">
      <c r="A62" s="19">
        <v>28</v>
      </c>
      <c r="B62" s="177" t="s">
        <v>24</v>
      </c>
      <c r="C62" s="178"/>
      <c r="D62" s="14">
        <f>IF(F3="1",SUMIF(Data!A:A,'38'!$A$2,Data!DV:DV),0)</f>
        <v>0</v>
      </c>
      <c r="E62" s="17">
        <f>IF($F$3="1",SUMIF(Data!$A:$A,$A$2,Data!JP:JP),0)</f>
        <v>0</v>
      </c>
      <c r="F62" s="21" t="str">
        <f t="shared" si="3"/>
        <v/>
      </c>
    </row>
    <row r="63" spans="1:6" ht="15.75" customHeight="1" thickBot="1" x14ac:dyDescent="0.25">
      <c r="A63" s="22">
        <v>29</v>
      </c>
      <c r="B63" s="179" t="s">
        <v>25</v>
      </c>
      <c r="C63" s="180"/>
      <c r="D63" s="23">
        <f>IF(F3="1",SUMIF(Data!A:A,'38'!$A$2,Data!DW:DW),0)</f>
        <v>0</v>
      </c>
      <c r="E63" s="24">
        <f>IF($F$3="1",SUMIF(Data!$A:$A,$A$2,Data!JQ:JQ),0)</f>
        <v>0</v>
      </c>
      <c r="F63" s="25" t="str">
        <f t="shared" si="3"/>
        <v/>
      </c>
    </row>
    <row r="64" spans="1:6" x14ac:dyDescent="0.2">
      <c r="B64" s="30" t="s">
        <v>35</v>
      </c>
      <c r="C64" s="30"/>
      <c r="D64" s="59">
        <f>SUM(D36:D63)</f>
        <v>4887696</v>
      </c>
      <c r="E64" s="31">
        <f>SUM(E36:E63)</f>
        <v>3676039</v>
      </c>
      <c r="F64" s="32">
        <f t="shared" si="3"/>
        <v>0.75</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1632</v>
      </c>
      <c r="E67" s="15">
        <f>IF(F3="1",SUMIF(Data!A:A,'38'!$A$2,Data!DY:DY),0)</f>
        <v>4103</v>
      </c>
      <c r="F67" s="20">
        <f t="shared" ref="F67:F95" si="4">IF(OR(D67=0,E67=0),"",ROUND(E67/D67,2))</f>
        <v>2.5099999999999998</v>
      </c>
    </row>
    <row r="68" spans="1:6" x14ac:dyDescent="0.2">
      <c r="A68" s="19">
        <v>2</v>
      </c>
      <c r="B68" s="177" t="s">
        <v>1</v>
      </c>
      <c r="C68" s="178"/>
      <c r="D68" s="14">
        <f t="shared" ref="D68:D94" si="5">D37</f>
        <v>114832</v>
      </c>
      <c r="E68" s="17">
        <f>IF(F3="1",SUMIF(Data!A:A,'38'!$A$2,Data!DZ:DZ),0)</f>
        <v>306180</v>
      </c>
      <c r="F68" s="21">
        <f t="shared" si="4"/>
        <v>2.67</v>
      </c>
    </row>
    <row r="69" spans="1:6" ht="14.25" customHeight="1" x14ac:dyDescent="0.2">
      <c r="A69" s="19">
        <v>3</v>
      </c>
      <c r="B69" s="177" t="s">
        <v>2</v>
      </c>
      <c r="C69" s="178"/>
      <c r="D69" s="14">
        <f t="shared" si="5"/>
        <v>532688</v>
      </c>
      <c r="E69" s="17">
        <f>IF(F3="1",SUMIF(Data!A:A,'38'!$A$2,Data!EA:EA),0)</f>
        <v>1339380</v>
      </c>
      <c r="F69" s="21">
        <f t="shared" si="4"/>
        <v>2.5099999999999998</v>
      </c>
    </row>
    <row r="70" spans="1:6" ht="14.25" customHeight="1" x14ac:dyDescent="0.2">
      <c r="A70" s="19">
        <v>4</v>
      </c>
      <c r="B70" s="177" t="s">
        <v>3</v>
      </c>
      <c r="C70" s="178"/>
      <c r="D70" s="14">
        <f t="shared" si="5"/>
        <v>280128</v>
      </c>
      <c r="E70" s="17">
        <f>IF(F3="1",SUMIF(Data!A:A,'38'!$A$2,Data!EB:EB),0)</f>
        <v>578739</v>
      </c>
      <c r="F70" s="21">
        <f t="shared" si="4"/>
        <v>2.0699999999999998</v>
      </c>
    </row>
    <row r="71" spans="1:6" x14ac:dyDescent="0.2">
      <c r="A71" s="19">
        <v>5</v>
      </c>
      <c r="B71" s="177" t="s">
        <v>4</v>
      </c>
      <c r="C71" s="178"/>
      <c r="D71" s="14">
        <f t="shared" si="5"/>
        <v>0</v>
      </c>
      <c r="E71" s="17">
        <f>IF(F3="1",SUMIF(Data!A:A,'38'!$A$2,Data!EC:EC),0)</f>
        <v>0</v>
      </c>
      <c r="F71" s="21" t="str">
        <f t="shared" si="4"/>
        <v/>
      </c>
    </row>
    <row r="72" spans="1:6" x14ac:dyDescent="0.2">
      <c r="A72" s="19">
        <v>6</v>
      </c>
      <c r="B72" s="177" t="s">
        <v>5</v>
      </c>
      <c r="C72" s="178"/>
      <c r="D72" s="14">
        <f t="shared" si="5"/>
        <v>0</v>
      </c>
      <c r="E72" s="17">
        <f>IF(F3="1",SUMIF(Data!A:A,'38'!$A$2,Data!ED:ED),0)</f>
        <v>0</v>
      </c>
      <c r="F72" s="21" t="str">
        <f t="shared" si="4"/>
        <v/>
      </c>
    </row>
    <row r="73" spans="1:6" x14ac:dyDescent="0.2">
      <c r="A73" s="19">
        <v>7</v>
      </c>
      <c r="B73" s="177" t="s">
        <v>6</v>
      </c>
      <c r="C73" s="178"/>
      <c r="D73" s="14">
        <f t="shared" si="5"/>
        <v>435280</v>
      </c>
      <c r="E73" s="17">
        <f>IF(F3="1",SUMIF(Data!A:A,'38'!$A$2,Data!EE:EE),0)</f>
        <v>1201530</v>
      </c>
      <c r="F73" s="21">
        <f t="shared" si="4"/>
        <v>2.76</v>
      </c>
    </row>
    <row r="74" spans="1:6" x14ac:dyDescent="0.2">
      <c r="A74" s="19">
        <v>8</v>
      </c>
      <c r="B74" s="177" t="s">
        <v>7</v>
      </c>
      <c r="C74" s="178"/>
      <c r="D74" s="14">
        <f t="shared" si="5"/>
        <v>0</v>
      </c>
      <c r="E74" s="17">
        <f>IF(F3="1",SUMIF(Data!A:A,'38'!$A$2,Data!EF:EF),0)</f>
        <v>0</v>
      </c>
      <c r="F74" s="21" t="str">
        <f t="shared" si="4"/>
        <v/>
      </c>
    </row>
    <row r="75" spans="1:6" x14ac:dyDescent="0.2">
      <c r="A75" s="19">
        <v>9</v>
      </c>
      <c r="B75" s="177" t="s">
        <v>8</v>
      </c>
      <c r="C75" s="178"/>
      <c r="D75" s="14">
        <f t="shared" si="5"/>
        <v>133552</v>
      </c>
      <c r="E75" s="17">
        <f>IF(F3="1",SUMIF(Data!A:A,'38'!$A$2,Data!EG:EG),0)</f>
        <v>178670</v>
      </c>
      <c r="F75" s="21">
        <f t="shared" si="4"/>
        <v>1.34</v>
      </c>
    </row>
    <row r="76" spans="1:6" x14ac:dyDescent="0.2">
      <c r="A76" s="19">
        <v>10</v>
      </c>
      <c r="B76" s="177" t="s">
        <v>9</v>
      </c>
      <c r="C76" s="178"/>
      <c r="D76" s="14">
        <f t="shared" si="5"/>
        <v>0</v>
      </c>
      <c r="E76" s="17">
        <f>IF(F3="1",SUMIF(Data!A:A,'38'!$A$2,Data!EH:EH),0)</f>
        <v>0</v>
      </c>
      <c r="F76" s="21" t="str">
        <f t="shared" si="4"/>
        <v/>
      </c>
    </row>
    <row r="77" spans="1:6" x14ac:dyDescent="0.2">
      <c r="A77" s="19">
        <v>11</v>
      </c>
      <c r="B77" s="177" t="s">
        <v>10</v>
      </c>
      <c r="C77" s="178"/>
      <c r="D77" s="14">
        <f t="shared" si="5"/>
        <v>175152</v>
      </c>
      <c r="E77" s="17">
        <f>IF(F3="1",SUMIF(Data!A:A,'38'!$A$2,Data!EI:EI),0)</f>
        <v>322457</v>
      </c>
      <c r="F77" s="21">
        <f t="shared" si="4"/>
        <v>1.84</v>
      </c>
    </row>
    <row r="78" spans="1:6" ht="14.25" customHeight="1" x14ac:dyDescent="0.2">
      <c r="A78" s="19">
        <v>12</v>
      </c>
      <c r="B78" s="177" t="s">
        <v>11</v>
      </c>
      <c r="C78" s="178"/>
      <c r="D78" s="14">
        <f t="shared" si="5"/>
        <v>908960</v>
      </c>
      <c r="E78" s="17">
        <f>IF(F3="1",SUMIF(Data!A:A,'38'!$A$2,Data!EJ:EJ),0)</f>
        <v>2489224</v>
      </c>
      <c r="F78" s="21">
        <f t="shared" si="4"/>
        <v>2.74</v>
      </c>
    </row>
    <row r="79" spans="1:6" x14ac:dyDescent="0.2">
      <c r="A79" s="19">
        <v>13</v>
      </c>
      <c r="B79" s="177" t="s">
        <v>12</v>
      </c>
      <c r="C79" s="178"/>
      <c r="D79" s="14">
        <f t="shared" si="5"/>
        <v>135760</v>
      </c>
      <c r="E79" s="17">
        <f>IF(F3="1",SUMIF(Data!A:A,'38'!$A$2,Data!EK:EK),0)</f>
        <v>322688</v>
      </c>
      <c r="F79" s="21">
        <f t="shared" si="4"/>
        <v>2.38</v>
      </c>
    </row>
    <row r="80" spans="1:6" ht="14.25" customHeight="1" x14ac:dyDescent="0.2">
      <c r="A80" s="19">
        <v>14</v>
      </c>
      <c r="B80" s="177" t="s">
        <v>464</v>
      </c>
      <c r="C80" s="178"/>
      <c r="D80" s="14">
        <f t="shared" si="5"/>
        <v>74640</v>
      </c>
      <c r="E80" s="17">
        <f>IF(F3="1",SUMIF(Data!A:A,'38'!$A$2,Data!EL:EL),0)</f>
        <v>326237</v>
      </c>
      <c r="F80" s="21">
        <f t="shared" si="4"/>
        <v>4.37</v>
      </c>
    </row>
    <row r="81" spans="1:6" x14ac:dyDescent="0.2">
      <c r="A81" s="19">
        <v>15</v>
      </c>
      <c r="B81" s="177" t="s">
        <v>13</v>
      </c>
      <c r="C81" s="178"/>
      <c r="D81" s="14">
        <f t="shared" si="5"/>
        <v>0</v>
      </c>
      <c r="E81" s="17">
        <f>IF(F3="1",SUMIF(Data!A:A,'38'!$A$2,Data!EM:EM),0)</f>
        <v>0</v>
      </c>
      <c r="F81" s="21" t="str">
        <f t="shared" si="4"/>
        <v/>
      </c>
    </row>
    <row r="82" spans="1:6" x14ac:dyDescent="0.2">
      <c r="A82" s="19">
        <v>16</v>
      </c>
      <c r="B82" s="177" t="s">
        <v>14</v>
      </c>
      <c r="C82" s="178"/>
      <c r="D82" s="14">
        <f t="shared" si="5"/>
        <v>286352</v>
      </c>
      <c r="E82" s="17">
        <f>IF(F3="1",SUMIF(Data!A:A,'38'!$A$2,Data!EN:EN),0)</f>
        <v>1327518</v>
      </c>
      <c r="F82" s="21">
        <f t="shared" si="4"/>
        <v>4.6399999999999997</v>
      </c>
    </row>
    <row r="83" spans="1:6" x14ac:dyDescent="0.2">
      <c r="A83" s="19">
        <v>17</v>
      </c>
      <c r="B83" s="177" t="s">
        <v>15</v>
      </c>
      <c r="C83" s="178"/>
      <c r="D83" s="14">
        <f t="shared" si="5"/>
        <v>0</v>
      </c>
      <c r="E83" s="17">
        <f>IF(F3="1",SUMIF(Data!A:A,'38'!$A$2,Data!EO:EO),0)</f>
        <v>0</v>
      </c>
      <c r="F83" s="21" t="str">
        <f t="shared" si="4"/>
        <v/>
      </c>
    </row>
    <row r="84" spans="1:6" x14ac:dyDescent="0.2">
      <c r="A84" s="19">
        <v>18</v>
      </c>
      <c r="B84" s="177" t="s">
        <v>16</v>
      </c>
      <c r="C84" s="178"/>
      <c r="D84" s="14">
        <f t="shared" si="5"/>
        <v>134656</v>
      </c>
      <c r="E84" s="17">
        <f>IF(F3="1",SUMIF(Data!A:A,'38'!$A$2,Data!EP:EP),0)</f>
        <v>489075</v>
      </c>
      <c r="F84" s="21">
        <f t="shared" si="4"/>
        <v>3.63</v>
      </c>
    </row>
    <row r="85" spans="1:6" x14ac:dyDescent="0.2">
      <c r="A85" s="19">
        <v>19</v>
      </c>
      <c r="B85" s="177" t="s">
        <v>17</v>
      </c>
      <c r="C85" s="178"/>
      <c r="D85" s="14">
        <f t="shared" si="5"/>
        <v>706400</v>
      </c>
      <c r="E85" s="17">
        <f>IF(F3="1",SUMIF(Data!A:A,'38'!$A$2,Data!EQ:EQ),0)</f>
        <v>1589403</v>
      </c>
      <c r="F85" s="21">
        <f t="shared" si="4"/>
        <v>2.25</v>
      </c>
    </row>
    <row r="86" spans="1:6" x14ac:dyDescent="0.2">
      <c r="A86" s="19">
        <v>20</v>
      </c>
      <c r="B86" s="177" t="s">
        <v>18</v>
      </c>
      <c r="C86" s="178"/>
      <c r="D86" s="14">
        <f t="shared" si="5"/>
        <v>58304</v>
      </c>
      <c r="E86" s="17">
        <f>IF(F3="1",SUMIF(Data!A:A,'38'!$A$2,Data!ER:ER),0)</f>
        <v>245966</v>
      </c>
      <c r="F86" s="21">
        <f t="shared" si="4"/>
        <v>4.22</v>
      </c>
    </row>
    <row r="87" spans="1:6" ht="14.25" customHeight="1" x14ac:dyDescent="0.2">
      <c r="A87" s="19">
        <v>21</v>
      </c>
      <c r="B87" s="177" t="s">
        <v>461</v>
      </c>
      <c r="C87" s="178"/>
      <c r="D87" s="14">
        <f t="shared" si="5"/>
        <v>11216</v>
      </c>
      <c r="E87" s="17">
        <f>IF(F3="1",SUMIF(Data!A:A,'38'!$A$2,Data!ES:ES),0)</f>
        <v>78754</v>
      </c>
      <c r="F87" s="21">
        <f t="shared" si="4"/>
        <v>7.02</v>
      </c>
    </row>
    <row r="88" spans="1:6" x14ac:dyDescent="0.2">
      <c r="A88" s="19">
        <v>22</v>
      </c>
      <c r="B88" s="177" t="s">
        <v>19</v>
      </c>
      <c r="C88" s="178"/>
      <c r="D88" s="14">
        <f t="shared" si="5"/>
        <v>20688</v>
      </c>
      <c r="E88" s="17">
        <f>IF(F3="1",SUMIF(Data!A:A,'38'!$A$2,Data!ET:ET),0)</f>
        <v>315469</v>
      </c>
      <c r="F88" s="21">
        <f t="shared" si="4"/>
        <v>15.25</v>
      </c>
    </row>
    <row r="89" spans="1:6" x14ac:dyDescent="0.2">
      <c r="A89" s="19">
        <v>23</v>
      </c>
      <c r="B89" s="177" t="s">
        <v>20</v>
      </c>
      <c r="C89" s="178"/>
      <c r="D89" s="14">
        <f t="shared" si="5"/>
        <v>54064</v>
      </c>
      <c r="E89" s="17">
        <f>IF(F3="1",SUMIF(Data!A:A,'38'!$A$2,Data!EU:EU),0)</f>
        <v>310733</v>
      </c>
      <c r="F89" s="21">
        <f t="shared" si="4"/>
        <v>5.75</v>
      </c>
    </row>
    <row r="90" spans="1:6" x14ac:dyDescent="0.2">
      <c r="A90" s="19">
        <v>24</v>
      </c>
      <c r="B90" s="177" t="s">
        <v>21</v>
      </c>
      <c r="C90" s="178"/>
      <c r="D90" s="14">
        <f t="shared" si="5"/>
        <v>98784</v>
      </c>
      <c r="E90" s="17">
        <f>IF(F3="1",SUMIF(Data!A:A,'38'!$A$2,Data!EV:EV),0)</f>
        <v>48362</v>
      </c>
      <c r="F90" s="21">
        <f t="shared" si="4"/>
        <v>0.49</v>
      </c>
    </row>
    <row r="91" spans="1:6" x14ac:dyDescent="0.2">
      <c r="A91" s="19">
        <v>25</v>
      </c>
      <c r="B91" s="177" t="s">
        <v>22</v>
      </c>
      <c r="C91" s="178"/>
      <c r="D91" s="14">
        <f t="shared" si="5"/>
        <v>600336</v>
      </c>
      <c r="E91" s="17">
        <f>IF(F3="1",SUMIF(Data!A:A,'38'!$A$2,Data!EW:EW),0)</f>
        <v>1563493</v>
      </c>
      <c r="F91" s="21">
        <f t="shared" si="4"/>
        <v>2.6</v>
      </c>
    </row>
    <row r="92" spans="1:6" x14ac:dyDescent="0.2">
      <c r="A92" s="19">
        <v>26</v>
      </c>
      <c r="B92" s="177" t="s">
        <v>23</v>
      </c>
      <c r="C92" s="178"/>
      <c r="D92" s="14">
        <f t="shared" si="5"/>
        <v>124272</v>
      </c>
      <c r="E92" s="17">
        <f>IF(F3="1",SUMIF(Data!A:A,'38'!$A$2,Data!EX:EX),0)</f>
        <v>414177</v>
      </c>
      <c r="F92" s="21">
        <f t="shared" si="4"/>
        <v>3.33</v>
      </c>
    </row>
    <row r="93" spans="1:6" x14ac:dyDescent="0.2">
      <c r="A93" s="19">
        <v>28</v>
      </c>
      <c r="B93" s="177" t="s">
        <v>24</v>
      </c>
      <c r="C93" s="178"/>
      <c r="D93" s="14">
        <f t="shared" si="5"/>
        <v>0</v>
      </c>
      <c r="E93" s="17">
        <f>IF(F3="1",SUMIF(Data!A:A,'38'!$A$2,Data!EZ:EZ),0)</f>
        <v>0</v>
      </c>
      <c r="F93" s="21" t="str">
        <f t="shared" si="4"/>
        <v/>
      </c>
    </row>
    <row r="94" spans="1:6" ht="15.75" customHeight="1" thickBot="1" x14ac:dyDescent="0.25">
      <c r="A94" s="22">
        <v>29</v>
      </c>
      <c r="B94" s="179" t="s">
        <v>25</v>
      </c>
      <c r="C94" s="180"/>
      <c r="D94" s="23">
        <f t="shared" si="5"/>
        <v>0</v>
      </c>
      <c r="E94" s="24">
        <f>IF(F3="1",SUMIF(Data!A:A,'38'!$A$2,Data!FA:FA),0)</f>
        <v>0</v>
      </c>
      <c r="F94" s="25" t="str">
        <f t="shared" si="4"/>
        <v/>
      </c>
    </row>
    <row r="95" spans="1:6" x14ac:dyDescent="0.2">
      <c r="B95" s="30" t="s">
        <v>35</v>
      </c>
      <c r="C95" s="30"/>
      <c r="D95" s="59">
        <f>SUM(D67:D94)</f>
        <v>4887696</v>
      </c>
      <c r="E95" s="31">
        <f>SUM(E67:E94)</f>
        <v>13452158</v>
      </c>
      <c r="F95" s="32">
        <f t="shared" si="4"/>
        <v>2.75</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IF(F3="1",SUMIF(Data!A:A,'38'!$A$2,Data!AH:AH),0)</f>
        <v>7735385</v>
      </c>
      <c r="F98" s="20">
        <f>IF(OR(E98=0,E98=0),"",ROUND(E98/$D$105,2))</f>
        <v>1.58</v>
      </c>
    </row>
    <row r="99" spans="2:6" x14ac:dyDescent="0.2">
      <c r="B99" s="183" t="s">
        <v>31</v>
      </c>
      <c r="C99" s="184"/>
      <c r="D99" s="36"/>
      <c r="E99" s="17">
        <f>IF(F3="1",SUMIF(Data!A:A,'38'!$A$2,Data!AI:AI),0)</f>
        <v>3005880</v>
      </c>
      <c r="F99" s="21">
        <f t="shared" ref="F99:F104" si="6">IF(OR(E99=0,E99=0),"",ROUND(E99/$D$105,2))</f>
        <v>0.61</v>
      </c>
    </row>
    <row r="100" spans="2:6" x14ac:dyDescent="0.2">
      <c r="B100" s="183" t="s">
        <v>1078</v>
      </c>
      <c r="C100" s="184"/>
      <c r="D100" s="36"/>
      <c r="E100" s="17">
        <f>IF(F3="1",SUMIF(Data!A:A,'38'!$A$2,Data!AJ:AJ),0)</f>
        <v>1043840</v>
      </c>
      <c r="F100" s="21">
        <f t="shared" si="6"/>
        <v>0.21</v>
      </c>
    </row>
    <row r="101" spans="2:6" x14ac:dyDescent="0.2">
      <c r="B101" s="183" t="s">
        <v>1079</v>
      </c>
      <c r="C101" s="184"/>
      <c r="D101" s="36"/>
      <c r="E101" s="17">
        <f>IF(F3="1",SUMIF(Data!A:A,'38'!$A$2,Data!AK:AK),0)</f>
        <v>1890043</v>
      </c>
      <c r="F101" s="21">
        <f t="shared" si="6"/>
        <v>0.39</v>
      </c>
    </row>
    <row r="102" spans="2:6" x14ac:dyDescent="0.2">
      <c r="B102" s="183" t="s">
        <v>1080</v>
      </c>
      <c r="C102" s="184"/>
      <c r="D102" s="36"/>
      <c r="E102" s="17">
        <f>IF(F3="1",SUMIF(Data!A:A,'38'!$A$2,Data!AL:AL),0)</f>
        <v>0</v>
      </c>
      <c r="F102" s="21" t="str">
        <f t="shared" si="6"/>
        <v/>
      </c>
    </row>
    <row r="103" spans="2:6" x14ac:dyDescent="0.2">
      <c r="B103" s="185" t="s">
        <v>34</v>
      </c>
      <c r="C103" s="186"/>
      <c r="D103" s="36"/>
      <c r="E103" s="17">
        <f>IF(F3="1",SUMIF(Data!A:A,'38'!$A$2,Data!AM:AM),0)</f>
        <v>0</v>
      </c>
      <c r="F103" s="21" t="str">
        <f t="shared" si="6"/>
        <v/>
      </c>
    </row>
    <row r="104" spans="2:6" ht="15.75" customHeight="1" thickBot="1" x14ac:dyDescent="0.25">
      <c r="B104" s="175" t="s">
        <v>29</v>
      </c>
      <c r="C104" s="176"/>
      <c r="D104" s="37"/>
      <c r="E104" s="24">
        <f>IF(F3="1",SUMIF(Data!A:A,'38'!$A$2,Data!Q:Q),0)</f>
        <v>2193877</v>
      </c>
      <c r="F104" s="25">
        <f t="shared" si="6"/>
        <v>0.45</v>
      </c>
    </row>
    <row r="105" spans="2:6" x14ac:dyDescent="0.2">
      <c r="B105" s="30" t="s">
        <v>35</v>
      </c>
      <c r="C105" s="30"/>
      <c r="D105" s="34">
        <f>D95</f>
        <v>4887696</v>
      </c>
      <c r="E105" s="31">
        <f>SUM(E98:E104)</f>
        <v>15869025</v>
      </c>
      <c r="F105" s="32">
        <f>IF($D$105=0,"",ROUND(E105/$D$105,2))</f>
        <v>3.25</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13452158</v>
      </c>
      <c r="D109" s="15">
        <f>IF(F3="1",SUMIF(Data!$A:$A,$A$2,Data!HJ:HJ),0)</f>
        <v>0</v>
      </c>
      <c r="E109" s="15">
        <f>IF(F3="1",SUMIF(Data!$A:$A,$A$2,Data!IN:IN),0)</f>
        <v>0</v>
      </c>
      <c r="F109" s="47">
        <f>SUM(C109:E109)</f>
        <v>13452158</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2193877</v>
      </c>
      <c r="E117" s="52"/>
      <c r="F117" s="49">
        <f>SUM(C117:E117)</f>
        <v>2193877</v>
      </c>
    </row>
    <row r="118" spans="1:6" x14ac:dyDescent="0.2">
      <c r="B118" s="13" t="s">
        <v>35</v>
      </c>
      <c r="C118" s="4">
        <f>SUM(C109:C116)</f>
        <v>13452158</v>
      </c>
      <c r="D118" s="4">
        <f>SUM(D109:D116)</f>
        <v>0</v>
      </c>
      <c r="E118" s="4">
        <f>SUM(E109:E116)</f>
        <v>0</v>
      </c>
      <c r="F118" s="4">
        <f>SUM(F109:F116)</f>
        <v>13452158</v>
      </c>
    </row>
    <row r="119" spans="1:6" ht="15" thickBot="1" x14ac:dyDescent="0.25"/>
    <row r="120" spans="1:6" ht="15" thickBot="1" x14ac:dyDescent="0.25">
      <c r="B120" s="55" t="s">
        <v>934</v>
      </c>
      <c r="C120" s="53"/>
      <c r="D120" s="53"/>
      <c r="E120" s="53">
        <f>IF(F3="1",SUMIF(Data!A:A,'38'!$A$2,Data!AM:AM),0)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42578125" style="10" bestFit="1" customWidth="1"/>
    <col min="13"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400</v>
      </c>
      <c r="B2" s="58" t="str">
        <f>VLOOKUP(A2,Data!A:G,7,0)</f>
        <v>Southwest Texas Junior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24672</v>
      </c>
      <c r="E5" s="15">
        <f>E36+E67+IFERROR($E$105/$D$105*D5,0)</f>
        <v>250677.63768229561</v>
      </c>
      <c r="F5" s="20">
        <f>IF(OR(D5=0,E5=0),"",ROUND(E5/D5,2))</f>
        <v>10.16</v>
      </c>
    </row>
    <row r="6" spans="1:6" x14ac:dyDescent="0.2">
      <c r="A6" s="19">
        <v>2</v>
      </c>
      <c r="B6" s="177" t="s">
        <v>1</v>
      </c>
      <c r="C6" s="178"/>
      <c r="D6" s="14">
        <f t="shared" ref="D6:D32" si="0">D37</f>
        <v>0</v>
      </c>
      <c r="E6" s="17">
        <f t="shared" ref="E6:E32" si="1">E37+E68+IFERROR($E$105/$D$105*D6,0)</f>
        <v>0</v>
      </c>
      <c r="F6" s="21" t="str">
        <f t="shared" ref="F6:F33" si="2">IF(OR(D6=0,E6=0),"",ROUND(E6/D6,2))</f>
        <v/>
      </c>
    </row>
    <row r="7" spans="1:6" ht="14.25" customHeight="1" x14ac:dyDescent="0.2">
      <c r="A7" s="19">
        <v>3</v>
      </c>
      <c r="B7" s="177" t="s">
        <v>2</v>
      </c>
      <c r="C7" s="178"/>
      <c r="D7" s="14">
        <f t="shared" si="0"/>
        <v>139680</v>
      </c>
      <c r="E7" s="17">
        <f t="shared" si="1"/>
        <v>765974.89816241292</v>
      </c>
      <c r="F7" s="21">
        <f t="shared" si="2"/>
        <v>5.48</v>
      </c>
    </row>
    <row r="8" spans="1:6" ht="14.25" customHeight="1" x14ac:dyDescent="0.2">
      <c r="A8" s="19">
        <v>4</v>
      </c>
      <c r="B8" s="177" t="s">
        <v>3</v>
      </c>
      <c r="C8" s="178"/>
      <c r="D8" s="14">
        <f t="shared" si="0"/>
        <v>144160</v>
      </c>
      <c r="E8" s="17">
        <f t="shared" si="1"/>
        <v>1033986.2694665911</v>
      </c>
      <c r="F8" s="21">
        <f t="shared" si="2"/>
        <v>7.17</v>
      </c>
    </row>
    <row r="9" spans="1:6" x14ac:dyDescent="0.2">
      <c r="A9" s="19">
        <v>5</v>
      </c>
      <c r="B9" s="177" t="s">
        <v>4</v>
      </c>
      <c r="C9" s="178"/>
      <c r="D9" s="14">
        <f t="shared" si="0"/>
        <v>8544</v>
      </c>
      <c r="E9" s="17">
        <f t="shared" si="1"/>
        <v>185962.50098725411</v>
      </c>
      <c r="F9" s="21">
        <f t="shared" si="2"/>
        <v>21.77</v>
      </c>
    </row>
    <row r="10" spans="1:6" x14ac:dyDescent="0.2">
      <c r="A10" s="19">
        <v>6</v>
      </c>
      <c r="B10" s="177" t="s">
        <v>5</v>
      </c>
      <c r="C10" s="178"/>
      <c r="D10" s="14">
        <f t="shared" si="0"/>
        <v>4464</v>
      </c>
      <c r="E10" s="17">
        <f t="shared" si="1"/>
        <v>44532.323549520414</v>
      </c>
      <c r="F10" s="21">
        <f t="shared" si="2"/>
        <v>9.98</v>
      </c>
    </row>
    <row r="11" spans="1:6" x14ac:dyDescent="0.2">
      <c r="A11" s="19">
        <v>7</v>
      </c>
      <c r="B11" s="177" t="s">
        <v>6</v>
      </c>
      <c r="C11" s="178"/>
      <c r="D11" s="14">
        <f t="shared" si="0"/>
        <v>107936</v>
      </c>
      <c r="E11" s="17">
        <f t="shared" si="1"/>
        <v>361719.15292137885</v>
      </c>
      <c r="F11" s="21">
        <f t="shared" si="2"/>
        <v>3.35</v>
      </c>
    </row>
    <row r="12" spans="1:6" x14ac:dyDescent="0.2">
      <c r="A12" s="19">
        <v>8</v>
      </c>
      <c r="B12" s="177" t="s">
        <v>7</v>
      </c>
      <c r="C12" s="178"/>
      <c r="D12" s="14">
        <f t="shared" si="0"/>
        <v>20224</v>
      </c>
      <c r="E12" s="17">
        <f t="shared" si="1"/>
        <v>152167.36188743298</v>
      </c>
      <c r="F12" s="21">
        <f t="shared" si="2"/>
        <v>7.52</v>
      </c>
    </row>
    <row r="13" spans="1:6" x14ac:dyDescent="0.2">
      <c r="A13" s="19">
        <v>9</v>
      </c>
      <c r="B13" s="177" t="s">
        <v>8</v>
      </c>
      <c r="C13" s="178"/>
      <c r="D13" s="14">
        <f t="shared" si="0"/>
        <v>101072</v>
      </c>
      <c r="E13" s="17">
        <f t="shared" si="1"/>
        <v>456272.66617319151</v>
      </c>
      <c r="F13" s="21">
        <f t="shared" si="2"/>
        <v>4.51</v>
      </c>
    </row>
    <row r="14" spans="1:6" x14ac:dyDescent="0.2">
      <c r="A14" s="19">
        <v>10</v>
      </c>
      <c r="B14" s="177" t="s">
        <v>9</v>
      </c>
      <c r="C14" s="178"/>
      <c r="D14" s="14">
        <f t="shared" si="0"/>
        <v>0</v>
      </c>
      <c r="E14" s="17">
        <f t="shared" si="1"/>
        <v>0</v>
      </c>
      <c r="F14" s="21" t="str">
        <f t="shared" si="2"/>
        <v/>
      </c>
    </row>
    <row r="15" spans="1:6" x14ac:dyDescent="0.2">
      <c r="A15" s="19">
        <v>11</v>
      </c>
      <c r="B15" s="177" t="s">
        <v>10</v>
      </c>
      <c r="C15" s="178"/>
      <c r="D15" s="14">
        <f t="shared" si="0"/>
        <v>0</v>
      </c>
      <c r="E15" s="17">
        <f t="shared" si="1"/>
        <v>0</v>
      </c>
      <c r="F15" s="21" t="str">
        <f t="shared" si="2"/>
        <v/>
      </c>
    </row>
    <row r="16" spans="1:6" ht="14.25" customHeight="1" x14ac:dyDescent="0.2">
      <c r="A16" s="19">
        <v>12</v>
      </c>
      <c r="B16" s="177" t="s">
        <v>11</v>
      </c>
      <c r="C16" s="178"/>
      <c r="D16" s="14">
        <f t="shared" si="0"/>
        <v>292464</v>
      </c>
      <c r="E16" s="17">
        <f t="shared" si="1"/>
        <v>1794787.907389547</v>
      </c>
      <c r="F16" s="21">
        <f t="shared" si="2"/>
        <v>6.14</v>
      </c>
    </row>
    <row r="17" spans="1:6" x14ac:dyDescent="0.2">
      <c r="A17" s="19">
        <v>13</v>
      </c>
      <c r="B17" s="177" t="s">
        <v>12</v>
      </c>
      <c r="C17" s="178"/>
      <c r="D17" s="14">
        <f t="shared" si="0"/>
        <v>28096</v>
      </c>
      <c r="E17" s="17">
        <f t="shared" si="1"/>
        <v>152150.85717906035</v>
      </c>
      <c r="F17" s="21">
        <f t="shared" si="2"/>
        <v>5.42</v>
      </c>
    </row>
    <row r="18" spans="1:6" ht="14.25" customHeight="1" x14ac:dyDescent="0.2">
      <c r="A18" s="19">
        <v>14</v>
      </c>
      <c r="B18" s="177" t="s">
        <v>464</v>
      </c>
      <c r="C18" s="178"/>
      <c r="D18" s="14">
        <f t="shared" si="0"/>
        <v>0</v>
      </c>
      <c r="E18" s="17">
        <f t="shared" si="1"/>
        <v>0</v>
      </c>
      <c r="F18" s="21" t="str">
        <f t="shared" si="2"/>
        <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0</v>
      </c>
      <c r="E20" s="17">
        <f t="shared" si="1"/>
        <v>0</v>
      </c>
      <c r="F20" s="21" t="str">
        <f t="shared" si="2"/>
        <v/>
      </c>
    </row>
    <row r="21" spans="1:6" x14ac:dyDescent="0.2">
      <c r="A21" s="19">
        <v>17</v>
      </c>
      <c r="B21" s="177" t="s">
        <v>15</v>
      </c>
      <c r="C21" s="178"/>
      <c r="D21" s="14">
        <f t="shared" si="0"/>
        <v>0</v>
      </c>
      <c r="E21" s="17">
        <f t="shared" si="1"/>
        <v>0</v>
      </c>
      <c r="F21" s="21" t="str">
        <f t="shared" si="2"/>
        <v/>
      </c>
    </row>
    <row r="22" spans="1:6" x14ac:dyDescent="0.2">
      <c r="A22" s="19">
        <v>18</v>
      </c>
      <c r="B22" s="177" t="s">
        <v>16</v>
      </c>
      <c r="C22" s="178"/>
      <c r="D22" s="14">
        <f t="shared" si="0"/>
        <v>59305</v>
      </c>
      <c r="E22" s="17">
        <f t="shared" si="1"/>
        <v>369196.31812372489</v>
      </c>
      <c r="F22" s="21">
        <f t="shared" si="2"/>
        <v>6.23</v>
      </c>
    </row>
    <row r="23" spans="1:6" x14ac:dyDescent="0.2">
      <c r="A23" s="19">
        <v>19</v>
      </c>
      <c r="B23" s="177" t="s">
        <v>17</v>
      </c>
      <c r="C23" s="178"/>
      <c r="D23" s="14">
        <f t="shared" si="0"/>
        <v>149632</v>
      </c>
      <c r="E23" s="17">
        <f t="shared" si="1"/>
        <v>787510.60155955155</v>
      </c>
      <c r="F23" s="21">
        <f t="shared" si="2"/>
        <v>5.26</v>
      </c>
    </row>
    <row r="24" spans="1:6" x14ac:dyDescent="0.2">
      <c r="A24" s="19">
        <v>20</v>
      </c>
      <c r="B24" s="177" t="s">
        <v>18</v>
      </c>
      <c r="C24" s="178"/>
      <c r="D24" s="14">
        <f t="shared" si="0"/>
        <v>20992</v>
      </c>
      <c r="E24" s="17">
        <f t="shared" si="1"/>
        <v>223138.65411100638</v>
      </c>
      <c r="F24" s="21">
        <f t="shared" si="2"/>
        <v>10.63</v>
      </c>
    </row>
    <row r="25" spans="1:6" ht="14.25" customHeight="1" x14ac:dyDescent="0.2">
      <c r="A25" s="19">
        <v>21</v>
      </c>
      <c r="B25" s="177" t="s">
        <v>461</v>
      </c>
      <c r="C25" s="178"/>
      <c r="D25" s="14">
        <f t="shared" si="0"/>
        <v>46284</v>
      </c>
      <c r="E25" s="17">
        <f t="shared" si="1"/>
        <v>600466.89228629088</v>
      </c>
      <c r="F25" s="21">
        <f t="shared" si="2"/>
        <v>12.97</v>
      </c>
    </row>
    <row r="26" spans="1:6" x14ac:dyDescent="0.2">
      <c r="A26" s="19">
        <v>22</v>
      </c>
      <c r="B26" s="177" t="s">
        <v>19</v>
      </c>
      <c r="C26" s="178"/>
      <c r="D26" s="14">
        <f t="shared" si="0"/>
        <v>0</v>
      </c>
      <c r="E26" s="17">
        <f t="shared" si="1"/>
        <v>0</v>
      </c>
      <c r="F26" s="21" t="str">
        <f t="shared" si="2"/>
        <v/>
      </c>
    </row>
    <row r="27" spans="1:6" x14ac:dyDescent="0.2">
      <c r="A27" s="19">
        <v>23</v>
      </c>
      <c r="B27" s="177" t="s">
        <v>20</v>
      </c>
      <c r="C27" s="178"/>
      <c r="D27" s="14">
        <f t="shared" si="0"/>
        <v>67824</v>
      </c>
      <c r="E27" s="17">
        <f t="shared" si="1"/>
        <v>408225.43199432624</v>
      </c>
      <c r="F27" s="21">
        <f t="shared" si="2"/>
        <v>6.02</v>
      </c>
    </row>
    <row r="28" spans="1:6" x14ac:dyDescent="0.2">
      <c r="A28" s="19">
        <v>24</v>
      </c>
      <c r="B28" s="177" t="s">
        <v>21</v>
      </c>
      <c r="C28" s="178"/>
      <c r="D28" s="14">
        <f t="shared" si="0"/>
        <v>81692</v>
      </c>
      <c r="E28" s="17">
        <f t="shared" si="1"/>
        <v>386194.57334395638</v>
      </c>
      <c r="F28" s="21">
        <f t="shared" si="2"/>
        <v>4.7300000000000004</v>
      </c>
    </row>
    <row r="29" spans="1:6" x14ac:dyDescent="0.2">
      <c r="A29" s="19">
        <v>25</v>
      </c>
      <c r="B29" s="177" t="s">
        <v>22</v>
      </c>
      <c r="C29" s="178"/>
      <c r="D29" s="14">
        <f t="shared" si="0"/>
        <v>293712</v>
      </c>
      <c r="E29" s="17">
        <f t="shared" si="1"/>
        <v>1533336.6322528538</v>
      </c>
      <c r="F29" s="21">
        <f t="shared" si="2"/>
        <v>5.22</v>
      </c>
    </row>
    <row r="30" spans="1:6" x14ac:dyDescent="0.2">
      <c r="A30" s="19">
        <v>26</v>
      </c>
      <c r="B30" s="177" t="s">
        <v>23</v>
      </c>
      <c r="C30" s="178"/>
      <c r="D30" s="14">
        <f t="shared" si="0"/>
        <v>54720</v>
      </c>
      <c r="E30" s="17">
        <f t="shared" si="1"/>
        <v>308239.32092960505</v>
      </c>
      <c r="F30" s="21">
        <f t="shared" si="2"/>
        <v>5.63</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1645473</v>
      </c>
      <c r="E33" s="31">
        <f>SUM(E5:E32)</f>
        <v>9814540</v>
      </c>
      <c r="F33" s="32">
        <f t="shared" si="2"/>
        <v>5.96</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IF(F3="1",SUMIF(Data!A:A,'39'!$A$2,Data!CU:CU),0)</f>
        <v>24672</v>
      </c>
      <c r="E36" s="15">
        <f>IF(F3="1",SUMIF(Data!$A:$A,$A$2,Data!IO:IO),0)</f>
        <v>29344</v>
      </c>
      <c r="F36" s="20">
        <f t="shared" ref="F36:F64" si="3">IF(OR(D36=0,E36=0),"",ROUND(E36/D36,2))</f>
        <v>1.19</v>
      </c>
    </row>
    <row r="37" spans="1:6" x14ac:dyDescent="0.2">
      <c r="A37" s="19">
        <v>2</v>
      </c>
      <c r="B37" s="177" t="s">
        <v>1</v>
      </c>
      <c r="C37" s="178"/>
      <c r="D37" s="14">
        <f>IF(F3="1",SUMIF(Data!A:A,'39'!$A$2,Data!CV:CV),0)</f>
        <v>0</v>
      </c>
      <c r="E37" s="17">
        <f>IF(F3="1",SUMIF(Data!$A:$A,$A$2,Data!IP:IP),0)</f>
        <v>0</v>
      </c>
      <c r="F37" s="21" t="str">
        <f t="shared" si="3"/>
        <v/>
      </c>
    </row>
    <row r="38" spans="1:6" ht="14.25" customHeight="1" x14ac:dyDescent="0.2">
      <c r="A38" s="19">
        <v>3</v>
      </c>
      <c r="B38" s="177" t="s">
        <v>2</v>
      </c>
      <c r="C38" s="178"/>
      <c r="D38" s="14">
        <f>IF(F3="1",SUMIF(Data!A:A,'39'!$A$2,Data!CW:CW),0)</f>
        <v>139680</v>
      </c>
      <c r="E38" s="17">
        <f>IF($F$3="1",SUMIF(Data!$A:$A,$A$2,Data!IQ:IQ),0)</f>
        <v>35889</v>
      </c>
      <c r="F38" s="21">
        <f t="shared" si="3"/>
        <v>0.26</v>
      </c>
    </row>
    <row r="39" spans="1:6" ht="14.25" customHeight="1" x14ac:dyDescent="0.2">
      <c r="A39" s="19">
        <v>4</v>
      </c>
      <c r="B39" s="177" t="s">
        <v>3</v>
      </c>
      <c r="C39" s="178"/>
      <c r="D39" s="14">
        <f>IF(F3="1",SUMIF(Data!A:A,'39'!$A$2,Data!CX:CX),0)</f>
        <v>144160</v>
      </c>
      <c r="E39" s="17">
        <f>IF($F$3="1",SUMIF(Data!$A:$A,$A$2,Data!IR:IR),0)</f>
        <v>118220</v>
      </c>
      <c r="F39" s="21">
        <f t="shared" si="3"/>
        <v>0.82</v>
      </c>
    </row>
    <row r="40" spans="1:6" x14ac:dyDescent="0.2">
      <c r="A40" s="19">
        <v>5</v>
      </c>
      <c r="B40" s="177" t="s">
        <v>4</v>
      </c>
      <c r="C40" s="178"/>
      <c r="D40" s="14">
        <f>IF(F3="1",SUMIF(Data!A:A,'39'!$A$2,Data!CY:CY),0)</f>
        <v>8544</v>
      </c>
      <c r="E40" s="17">
        <f>IF($F$3="1",SUMIF(Data!$A:$A,$A$2,Data!IS:IS),0)</f>
        <v>82517</v>
      </c>
      <c r="F40" s="21">
        <f t="shared" si="3"/>
        <v>9.66</v>
      </c>
    </row>
    <row r="41" spans="1:6" x14ac:dyDescent="0.2">
      <c r="A41" s="19">
        <v>6</v>
      </c>
      <c r="B41" s="177" t="s">
        <v>5</v>
      </c>
      <c r="C41" s="178"/>
      <c r="D41" s="14">
        <f>IF(F3="1",SUMIF(Data!A:A,'39'!$A$2,Data!CZ:CZ),0)</f>
        <v>4464</v>
      </c>
      <c r="E41" s="17">
        <f>IF($F$3="1",SUMIF(Data!$A:$A,$A$2,Data!IT:IT),0)</f>
        <v>5943</v>
      </c>
      <c r="F41" s="21">
        <f t="shared" si="3"/>
        <v>1.33</v>
      </c>
    </row>
    <row r="42" spans="1:6" x14ac:dyDescent="0.2">
      <c r="A42" s="19">
        <v>7</v>
      </c>
      <c r="B42" s="177" t="s">
        <v>6</v>
      </c>
      <c r="C42" s="178"/>
      <c r="D42" s="14">
        <f>IF(F3="1",SUMIF(Data!A:A,'39'!$A$2,Data!DA:DA),0)</f>
        <v>107936</v>
      </c>
      <c r="E42" s="17">
        <f>IF($F$3="1",SUMIF(Data!$A:$A,$A$2,Data!IU:IU),0)</f>
        <v>3727</v>
      </c>
      <c r="F42" s="21">
        <f t="shared" si="3"/>
        <v>0.03</v>
      </c>
    </row>
    <row r="43" spans="1:6" x14ac:dyDescent="0.2">
      <c r="A43" s="19">
        <v>8</v>
      </c>
      <c r="B43" s="177" t="s">
        <v>7</v>
      </c>
      <c r="C43" s="178"/>
      <c r="D43" s="14">
        <f>IF(F3="1",SUMIF(Data!A:A,'39'!$A$2,Data!DB:DB),0)</f>
        <v>20224</v>
      </c>
      <c r="E43" s="17">
        <f>IF($F$3="1",SUMIF(Data!$A:$A,$A$2,Data!IV:IV),0)</f>
        <v>14966</v>
      </c>
      <c r="F43" s="21">
        <f t="shared" si="3"/>
        <v>0.74</v>
      </c>
    </row>
    <row r="44" spans="1:6" x14ac:dyDescent="0.2">
      <c r="A44" s="19">
        <v>9</v>
      </c>
      <c r="B44" s="177" t="s">
        <v>8</v>
      </c>
      <c r="C44" s="178"/>
      <c r="D44" s="14">
        <f>IF(F3="1",SUMIF(Data!A:A,'39'!$A$2,Data!DC:DC),0)</f>
        <v>101072</v>
      </c>
      <c r="E44" s="17">
        <f>IF($F$3="1",SUMIF(Data!$A:$A,$A$2,Data!IW:IW),0)</f>
        <v>26703</v>
      </c>
      <c r="F44" s="21">
        <f t="shared" si="3"/>
        <v>0.26</v>
      </c>
    </row>
    <row r="45" spans="1:6" x14ac:dyDescent="0.2">
      <c r="A45" s="19">
        <v>10</v>
      </c>
      <c r="B45" s="177" t="s">
        <v>9</v>
      </c>
      <c r="C45" s="178"/>
      <c r="D45" s="14">
        <f>IF(F3="1",SUMIF(Data!A:A,'39'!$A$2,Data!DD:DD),0)</f>
        <v>0</v>
      </c>
      <c r="E45" s="17">
        <f>IF($F$3="1",SUMIF(Data!$A:$A,$A$2,Data!IX:IX),0)</f>
        <v>0</v>
      </c>
      <c r="F45" s="21" t="str">
        <f t="shared" si="3"/>
        <v/>
      </c>
    </row>
    <row r="46" spans="1:6" x14ac:dyDescent="0.2">
      <c r="A46" s="19">
        <v>11</v>
      </c>
      <c r="B46" s="177" t="s">
        <v>10</v>
      </c>
      <c r="C46" s="178"/>
      <c r="D46" s="14">
        <f>IF(F3="1",SUMIF(Data!A:A,'39'!$A$2,Data!DE:DE),0)</f>
        <v>0</v>
      </c>
      <c r="E46" s="17">
        <f>IF($F$3="1",SUMIF(Data!$A:$A,$A$2,Data!IY:IY),0)</f>
        <v>0</v>
      </c>
      <c r="F46" s="21" t="str">
        <f t="shared" si="3"/>
        <v/>
      </c>
    </row>
    <row r="47" spans="1:6" ht="14.25" customHeight="1" x14ac:dyDescent="0.2">
      <c r="A47" s="19">
        <v>12</v>
      </c>
      <c r="B47" s="177" t="s">
        <v>11</v>
      </c>
      <c r="C47" s="178"/>
      <c r="D47" s="14">
        <f>IF(F3="1",SUMIF(Data!A:A,'39'!$A$2,Data!DF:DF),0)</f>
        <v>292464</v>
      </c>
      <c r="E47" s="17">
        <f>IF($F$3="1",SUMIF(Data!$A:$A,$A$2,Data!IZ:IZ),0)</f>
        <v>110549</v>
      </c>
      <c r="F47" s="21">
        <f t="shared" si="3"/>
        <v>0.38</v>
      </c>
    </row>
    <row r="48" spans="1:6" x14ac:dyDescent="0.2">
      <c r="A48" s="19">
        <v>13</v>
      </c>
      <c r="B48" s="177" t="s">
        <v>12</v>
      </c>
      <c r="C48" s="178"/>
      <c r="D48" s="14">
        <f>IF(F3="1",SUMIF(Data!A:A,'39'!$A$2,Data!DG:DG),0)</f>
        <v>28096</v>
      </c>
      <c r="E48" s="17">
        <f>IF($F$3="1",SUMIF(Data!$A:$A,$A$2,Data!JA:JA),0)</f>
        <v>1785</v>
      </c>
      <c r="F48" s="21">
        <f t="shared" si="3"/>
        <v>0.06</v>
      </c>
    </row>
    <row r="49" spans="1:6" ht="14.25" customHeight="1" x14ac:dyDescent="0.2">
      <c r="A49" s="19">
        <v>14</v>
      </c>
      <c r="B49" s="177" t="s">
        <v>464</v>
      </c>
      <c r="C49" s="178"/>
      <c r="D49" s="14">
        <f>IF(F3="1",SUMIF(Data!A:A,'39'!$A$2,Data!DH:DH),0)</f>
        <v>0</v>
      </c>
      <c r="E49" s="17">
        <f>IF($F$3="1",SUMIF(Data!$A:$A,$A$2,Data!JB:JB),0)</f>
        <v>0</v>
      </c>
      <c r="F49" s="21" t="str">
        <f t="shared" si="3"/>
        <v/>
      </c>
    </row>
    <row r="50" spans="1:6" x14ac:dyDescent="0.2">
      <c r="A50" s="19">
        <v>15</v>
      </c>
      <c r="B50" s="177" t="s">
        <v>13</v>
      </c>
      <c r="C50" s="178"/>
      <c r="D50" s="14">
        <f>IF(F3="1",SUMIF(Data!A:A,'39'!$A$2,Data!DI:DI),0)</f>
        <v>0</v>
      </c>
      <c r="E50" s="17">
        <f>IF($F$3="1",SUMIF(Data!$A:$A,$A$2,Data!JC:JC),0)</f>
        <v>0</v>
      </c>
      <c r="F50" s="21" t="str">
        <f t="shared" si="3"/>
        <v/>
      </c>
    </row>
    <row r="51" spans="1:6" x14ac:dyDescent="0.2">
      <c r="A51" s="19">
        <v>16</v>
      </c>
      <c r="B51" s="177" t="s">
        <v>14</v>
      </c>
      <c r="C51" s="178"/>
      <c r="D51" s="14">
        <f>IF(F3="1",SUMIF(Data!A:A,'39'!$A$2,Data!DJ:DJ),0)</f>
        <v>0</v>
      </c>
      <c r="E51" s="17">
        <f>IF($F$3="1",SUMIF(Data!$A:$A,$A$2,Data!JD:JD),0)</f>
        <v>0</v>
      </c>
      <c r="F51" s="21" t="str">
        <f t="shared" si="3"/>
        <v/>
      </c>
    </row>
    <row r="52" spans="1:6" x14ac:dyDescent="0.2">
      <c r="A52" s="19">
        <v>17</v>
      </c>
      <c r="B52" s="177" t="s">
        <v>15</v>
      </c>
      <c r="C52" s="178"/>
      <c r="D52" s="14">
        <f>IF(F3="1",SUMIF(Data!A:A,'39'!$A$2,Data!DK:DK),0)</f>
        <v>0</v>
      </c>
      <c r="E52" s="17">
        <f>IF($F$3="1",SUMIF(Data!$A:$A,$A$2,Data!JE:JE),0)</f>
        <v>0</v>
      </c>
      <c r="F52" s="21" t="str">
        <f t="shared" si="3"/>
        <v/>
      </c>
    </row>
    <row r="53" spans="1:6" x14ac:dyDescent="0.2">
      <c r="A53" s="19">
        <v>18</v>
      </c>
      <c r="B53" s="177" t="s">
        <v>16</v>
      </c>
      <c r="C53" s="178"/>
      <c r="D53" s="14">
        <f>IF(F3="1",SUMIF(Data!A:A,'39'!$A$2,Data!DL:DL),0)</f>
        <v>59305</v>
      </c>
      <c r="E53" s="17">
        <f>IF($F$3="1",SUMIF(Data!$A:$A,$A$2,Data!JF:JF),0)</f>
        <v>54054</v>
      </c>
      <c r="F53" s="21">
        <f t="shared" si="3"/>
        <v>0.91</v>
      </c>
    </row>
    <row r="54" spans="1:6" x14ac:dyDescent="0.2">
      <c r="A54" s="19">
        <v>19</v>
      </c>
      <c r="B54" s="177" t="s">
        <v>17</v>
      </c>
      <c r="C54" s="178"/>
      <c r="D54" s="14">
        <f>IF(F3="1",SUMIF(Data!A:A,'39'!$A$2,Data!DM:DM),0)</f>
        <v>149632</v>
      </c>
      <c r="E54" s="17">
        <f>IF($F$3="1",SUMIF(Data!$A:$A,$A$2,Data!JG:JG),0)</f>
        <v>68800</v>
      </c>
      <c r="F54" s="21">
        <f t="shared" si="3"/>
        <v>0.46</v>
      </c>
    </row>
    <row r="55" spans="1:6" x14ac:dyDescent="0.2">
      <c r="A55" s="19">
        <v>20</v>
      </c>
      <c r="B55" s="177" t="s">
        <v>18</v>
      </c>
      <c r="C55" s="178"/>
      <c r="D55" s="14">
        <f>IF(F3="1",SUMIF(Data!A:A,'39'!$A$2,Data!DN:DN),0)</f>
        <v>20992</v>
      </c>
      <c r="E55" s="17">
        <f>IF($F$3="1",SUMIF(Data!$A:$A,$A$2,Data!JH:JH),0)</f>
        <v>38299</v>
      </c>
      <c r="F55" s="21">
        <f t="shared" si="3"/>
        <v>1.82</v>
      </c>
    </row>
    <row r="56" spans="1:6" ht="14.25" customHeight="1" x14ac:dyDescent="0.2">
      <c r="A56" s="19">
        <v>21</v>
      </c>
      <c r="B56" s="177" t="s">
        <v>461</v>
      </c>
      <c r="C56" s="178"/>
      <c r="D56" s="14">
        <f>IF(F3="1",SUMIF(Data!A:A,'39'!$A$2,Data!DO:DO),0)</f>
        <v>46284</v>
      </c>
      <c r="E56" s="17">
        <f>IF($F$3="1",SUMIF(Data!$A:$A,$A$2,Data!JI:JI),0)</f>
        <v>470155</v>
      </c>
      <c r="F56" s="21">
        <f t="shared" si="3"/>
        <v>10.16</v>
      </c>
    </row>
    <row r="57" spans="1:6" x14ac:dyDescent="0.2">
      <c r="A57" s="19">
        <v>22</v>
      </c>
      <c r="B57" s="177" t="s">
        <v>19</v>
      </c>
      <c r="C57" s="178"/>
      <c r="D57" s="14">
        <f>IF(F3="1",SUMIF(Data!A:A,'39'!$A$2,Data!DP:DP),0)</f>
        <v>0</v>
      </c>
      <c r="E57" s="17">
        <f>IF($F$3="1",SUMIF(Data!$A:$A,$A$2,Data!JJ:JJ),0)</f>
        <v>0</v>
      </c>
      <c r="F57" s="21" t="str">
        <f t="shared" si="3"/>
        <v/>
      </c>
    </row>
    <row r="58" spans="1:6" x14ac:dyDescent="0.2">
      <c r="A58" s="19">
        <v>23</v>
      </c>
      <c r="B58" s="177" t="s">
        <v>20</v>
      </c>
      <c r="C58" s="178"/>
      <c r="D58" s="14">
        <f>IF(F3="1",SUMIF(Data!A:A,'39'!$A$2,Data!DQ:DQ),0)</f>
        <v>67824</v>
      </c>
      <c r="E58" s="17">
        <f>IF($F$3="1",SUMIF(Data!$A:$A,$A$2,Data!JK:JK),0)</f>
        <v>57823</v>
      </c>
      <c r="F58" s="21">
        <f t="shared" si="3"/>
        <v>0.85</v>
      </c>
    </row>
    <row r="59" spans="1:6" x14ac:dyDescent="0.2">
      <c r="A59" s="19">
        <v>24</v>
      </c>
      <c r="B59" s="177" t="s">
        <v>21</v>
      </c>
      <c r="C59" s="178"/>
      <c r="D59" s="14">
        <f>IF(F3="1",SUMIF(Data!A:A,'39'!$A$2,Data!DR:DR),0)</f>
        <v>81692</v>
      </c>
      <c r="E59" s="17">
        <f>IF($F$3="1",SUMIF(Data!$A:$A,$A$2,Data!JL:JL),0)</f>
        <v>79394</v>
      </c>
      <c r="F59" s="21">
        <f t="shared" si="3"/>
        <v>0.97</v>
      </c>
    </row>
    <row r="60" spans="1:6" x14ac:dyDescent="0.2">
      <c r="A60" s="19">
        <v>25</v>
      </c>
      <c r="B60" s="177" t="s">
        <v>22</v>
      </c>
      <c r="C60" s="178"/>
      <c r="D60" s="14">
        <f>IF(F3="1",SUMIF(Data!A:A,'39'!$A$2,Data!DS:DS),0)</f>
        <v>293712</v>
      </c>
      <c r="E60" s="17">
        <f>IF($F$3="1",SUMIF(Data!$A:$A,$A$2,Data!JM:JM),0)</f>
        <v>33665</v>
      </c>
      <c r="F60" s="21">
        <f t="shared" si="3"/>
        <v>0.11</v>
      </c>
    </row>
    <row r="61" spans="1:6" x14ac:dyDescent="0.2">
      <c r="A61" s="19">
        <v>26</v>
      </c>
      <c r="B61" s="177" t="s">
        <v>23</v>
      </c>
      <c r="C61" s="178"/>
      <c r="D61" s="14">
        <f>IF(F3="1",SUMIF(Data!A:A,'39'!$A$2,Data!DT:DT),0)</f>
        <v>54720</v>
      </c>
      <c r="E61" s="17">
        <f>IF($F$3="1",SUMIF(Data!$A:$A,$A$2,Data!JN:JN),0)</f>
        <v>22713</v>
      </c>
      <c r="F61" s="21">
        <f t="shared" si="3"/>
        <v>0.42</v>
      </c>
    </row>
    <row r="62" spans="1:6" x14ac:dyDescent="0.2">
      <c r="A62" s="19">
        <v>28</v>
      </c>
      <c r="B62" s="177" t="s">
        <v>24</v>
      </c>
      <c r="C62" s="178"/>
      <c r="D62" s="14">
        <f>IF(F3="1",SUMIF(Data!A:A,'39'!$A$2,Data!DV:DV),0)</f>
        <v>0</v>
      </c>
      <c r="E62" s="17">
        <f>IF($F$3="1",SUMIF(Data!$A:$A,$A$2,Data!JP:JP),0)</f>
        <v>0</v>
      </c>
      <c r="F62" s="21" t="str">
        <f t="shared" si="3"/>
        <v/>
      </c>
    </row>
    <row r="63" spans="1:6" ht="15.75" customHeight="1" thickBot="1" x14ac:dyDescent="0.25">
      <c r="A63" s="22">
        <v>29</v>
      </c>
      <c r="B63" s="179" t="s">
        <v>25</v>
      </c>
      <c r="C63" s="180"/>
      <c r="D63" s="23">
        <f>IF(F3="1",SUMIF(Data!A:A,'39'!$A$2,Data!DW:DW),0)</f>
        <v>0</v>
      </c>
      <c r="E63" s="24">
        <f>IF($F$3="1",SUMIF(Data!$A:$A,$A$2,Data!JQ:JQ),0)</f>
        <v>0</v>
      </c>
      <c r="F63" s="25" t="str">
        <f t="shared" si="3"/>
        <v/>
      </c>
    </row>
    <row r="64" spans="1:6" x14ac:dyDescent="0.2">
      <c r="B64" s="30" t="s">
        <v>35</v>
      </c>
      <c r="C64" s="30"/>
      <c r="D64" s="59">
        <f>SUM(D36:D63)</f>
        <v>1645473</v>
      </c>
      <c r="E64" s="31">
        <f>SUM(E36:E63)</f>
        <v>1254546</v>
      </c>
      <c r="F64" s="32">
        <f t="shared" si="3"/>
        <v>0.76</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24672</v>
      </c>
      <c r="E67" s="15">
        <f>IF(F3="1",SUMIF(Data!A:A,'39'!$A$2,Data!DY:DY),0)</f>
        <v>151870</v>
      </c>
      <c r="F67" s="20">
        <f t="shared" ref="F67:F95" si="4">IF(OR(D67=0,E67=0),"",ROUND(E67/D67,2))</f>
        <v>6.16</v>
      </c>
    </row>
    <row r="68" spans="1:6" x14ac:dyDescent="0.2">
      <c r="A68" s="19">
        <v>2</v>
      </c>
      <c r="B68" s="177" t="s">
        <v>1</v>
      </c>
      <c r="C68" s="178"/>
      <c r="D68" s="14">
        <f t="shared" ref="D68:D94" si="5">D37</f>
        <v>0</v>
      </c>
      <c r="E68" s="17">
        <f>IF(F3="1",SUMIF(Data!A:A,'39'!$A$2,Data!DZ:DZ),0)</f>
        <v>0</v>
      </c>
      <c r="F68" s="21" t="str">
        <f t="shared" si="4"/>
        <v/>
      </c>
    </row>
    <row r="69" spans="1:6" ht="14.25" customHeight="1" x14ac:dyDescent="0.2">
      <c r="A69" s="19">
        <v>3</v>
      </c>
      <c r="B69" s="177" t="s">
        <v>2</v>
      </c>
      <c r="C69" s="178"/>
      <c r="D69" s="14">
        <f t="shared" si="5"/>
        <v>139680</v>
      </c>
      <c r="E69" s="17">
        <f>IF(F3="1",SUMIF(Data!A:A,'39'!$A$2,Data!EA:EA),0)</f>
        <v>336819</v>
      </c>
      <c r="F69" s="21">
        <f t="shared" si="4"/>
        <v>2.41</v>
      </c>
    </row>
    <row r="70" spans="1:6" ht="14.25" customHeight="1" x14ac:dyDescent="0.2">
      <c r="A70" s="19">
        <v>4</v>
      </c>
      <c r="B70" s="177" t="s">
        <v>3</v>
      </c>
      <c r="C70" s="178"/>
      <c r="D70" s="14">
        <f t="shared" si="5"/>
        <v>144160</v>
      </c>
      <c r="E70" s="17">
        <f>IF(F3="1",SUMIF(Data!A:A,'39'!$A$2,Data!EB:EB),0)</f>
        <v>509886</v>
      </c>
      <c r="F70" s="21">
        <f t="shared" si="4"/>
        <v>3.54</v>
      </c>
    </row>
    <row r="71" spans="1:6" x14ac:dyDescent="0.2">
      <c r="A71" s="19">
        <v>5</v>
      </c>
      <c r="B71" s="177" t="s">
        <v>4</v>
      </c>
      <c r="C71" s="178"/>
      <c r="D71" s="14">
        <f t="shared" si="5"/>
        <v>8544</v>
      </c>
      <c r="E71" s="17">
        <f>IF(F3="1",SUMIF(Data!A:A,'39'!$A$2,Data!EC:EC),0)</f>
        <v>79390</v>
      </c>
      <c r="F71" s="21">
        <f t="shared" si="4"/>
        <v>9.2899999999999991</v>
      </c>
    </row>
    <row r="72" spans="1:6" x14ac:dyDescent="0.2">
      <c r="A72" s="19">
        <v>6</v>
      </c>
      <c r="B72" s="177" t="s">
        <v>5</v>
      </c>
      <c r="C72" s="178"/>
      <c r="D72" s="14">
        <f t="shared" si="5"/>
        <v>4464</v>
      </c>
      <c r="E72" s="17">
        <f>IF(F3="1",SUMIF(Data!A:A,'39'!$A$2,Data!ED:ED),0)</f>
        <v>26021</v>
      </c>
      <c r="F72" s="21">
        <f t="shared" si="4"/>
        <v>5.83</v>
      </c>
    </row>
    <row r="73" spans="1:6" x14ac:dyDescent="0.2">
      <c r="A73" s="19">
        <v>7</v>
      </c>
      <c r="B73" s="177" t="s">
        <v>6</v>
      </c>
      <c r="C73" s="178"/>
      <c r="D73" s="14">
        <f t="shared" si="5"/>
        <v>107936</v>
      </c>
      <c r="E73" s="17">
        <f>IF(F3="1",SUMIF(Data!A:A,'39'!$A$2,Data!EE:EE),0)</f>
        <v>54100</v>
      </c>
      <c r="F73" s="21">
        <f t="shared" si="4"/>
        <v>0.5</v>
      </c>
    </row>
    <row r="74" spans="1:6" x14ac:dyDescent="0.2">
      <c r="A74" s="19">
        <v>8</v>
      </c>
      <c r="B74" s="177" t="s">
        <v>7</v>
      </c>
      <c r="C74" s="178"/>
      <c r="D74" s="14">
        <f t="shared" si="5"/>
        <v>20224</v>
      </c>
      <c r="E74" s="17">
        <f>IF(F3="1",SUMIF(Data!A:A,'39'!$A$2,Data!EF:EF),0)</f>
        <v>80261</v>
      </c>
      <c r="F74" s="21">
        <f t="shared" si="4"/>
        <v>3.97</v>
      </c>
    </row>
    <row r="75" spans="1:6" x14ac:dyDescent="0.2">
      <c r="A75" s="19">
        <v>9</v>
      </c>
      <c r="B75" s="177" t="s">
        <v>8</v>
      </c>
      <c r="C75" s="178"/>
      <c r="D75" s="14">
        <f t="shared" si="5"/>
        <v>101072</v>
      </c>
      <c r="E75" s="17">
        <f>IF(F3="1",SUMIF(Data!A:A,'39'!$A$2,Data!EG:EG),0)</f>
        <v>145003</v>
      </c>
      <c r="F75" s="21">
        <f t="shared" si="4"/>
        <v>1.43</v>
      </c>
    </row>
    <row r="76" spans="1:6" x14ac:dyDescent="0.2">
      <c r="A76" s="19">
        <v>10</v>
      </c>
      <c r="B76" s="177" t="s">
        <v>9</v>
      </c>
      <c r="C76" s="178"/>
      <c r="D76" s="14">
        <f t="shared" si="5"/>
        <v>0</v>
      </c>
      <c r="E76" s="17">
        <f>IF(F3="1",SUMIF(Data!A:A,'39'!$A$2,Data!EH:EH),0)</f>
        <v>0</v>
      </c>
      <c r="F76" s="21" t="str">
        <f t="shared" si="4"/>
        <v/>
      </c>
    </row>
    <row r="77" spans="1:6" x14ac:dyDescent="0.2">
      <c r="A77" s="19">
        <v>11</v>
      </c>
      <c r="B77" s="177" t="s">
        <v>10</v>
      </c>
      <c r="C77" s="178"/>
      <c r="D77" s="14">
        <f t="shared" si="5"/>
        <v>0</v>
      </c>
      <c r="E77" s="17">
        <f>IF(F3="1",SUMIF(Data!A:A,'39'!$A$2,Data!EI:EI),0)</f>
        <v>0</v>
      </c>
      <c r="F77" s="21" t="str">
        <f t="shared" si="4"/>
        <v/>
      </c>
    </row>
    <row r="78" spans="1:6" ht="14.25" customHeight="1" x14ac:dyDescent="0.2">
      <c r="A78" s="19">
        <v>12</v>
      </c>
      <c r="B78" s="177" t="s">
        <v>11</v>
      </c>
      <c r="C78" s="178"/>
      <c r="D78" s="14">
        <f t="shared" si="5"/>
        <v>292464</v>
      </c>
      <c r="E78" s="17">
        <f>IF(F3="1",SUMIF(Data!A:A,'39'!$A$2,Data!EJ:EJ),0)</f>
        <v>860811</v>
      </c>
      <c r="F78" s="21">
        <f t="shared" si="4"/>
        <v>2.94</v>
      </c>
    </row>
    <row r="79" spans="1:6" x14ac:dyDescent="0.2">
      <c r="A79" s="19">
        <v>13</v>
      </c>
      <c r="B79" s="177" t="s">
        <v>12</v>
      </c>
      <c r="C79" s="178"/>
      <c r="D79" s="14">
        <f t="shared" si="5"/>
        <v>28096</v>
      </c>
      <c r="E79" s="17">
        <f>IF(F3="1",SUMIF(Data!A:A,'39'!$A$2,Data!EK:EK),0)</f>
        <v>71262</v>
      </c>
      <c r="F79" s="21">
        <f t="shared" si="4"/>
        <v>2.54</v>
      </c>
    </row>
    <row r="80" spans="1:6" ht="14.25" customHeight="1" x14ac:dyDescent="0.2">
      <c r="A80" s="19">
        <v>14</v>
      </c>
      <c r="B80" s="177" t="s">
        <v>464</v>
      </c>
      <c r="C80" s="178"/>
      <c r="D80" s="14">
        <f t="shared" si="5"/>
        <v>0</v>
      </c>
      <c r="E80" s="17">
        <f>IF(F3="1",SUMIF(Data!A:A,'39'!$A$2,Data!EL:EL),0)</f>
        <v>0</v>
      </c>
      <c r="F80" s="21" t="str">
        <f t="shared" si="4"/>
        <v/>
      </c>
    </row>
    <row r="81" spans="1:6" x14ac:dyDescent="0.2">
      <c r="A81" s="19">
        <v>15</v>
      </c>
      <c r="B81" s="177" t="s">
        <v>13</v>
      </c>
      <c r="C81" s="178"/>
      <c r="D81" s="14">
        <f t="shared" si="5"/>
        <v>0</v>
      </c>
      <c r="E81" s="17">
        <f>IF(F3="1",SUMIF(Data!A:A,'39'!$A$2,Data!EM:EM),0)</f>
        <v>0</v>
      </c>
      <c r="F81" s="21" t="str">
        <f t="shared" si="4"/>
        <v/>
      </c>
    </row>
    <row r="82" spans="1:6" x14ac:dyDescent="0.2">
      <c r="A82" s="19">
        <v>16</v>
      </c>
      <c r="B82" s="177" t="s">
        <v>14</v>
      </c>
      <c r="C82" s="178"/>
      <c r="D82" s="14">
        <f t="shared" si="5"/>
        <v>0</v>
      </c>
      <c r="E82" s="17">
        <f>IF(F3="1",SUMIF(Data!A:A,'39'!$A$2,Data!EN:EN),0)</f>
        <v>0</v>
      </c>
      <c r="F82" s="21" t="str">
        <f t="shared" si="4"/>
        <v/>
      </c>
    </row>
    <row r="83" spans="1:6" x14ac:dyDescent="0.2">
      <c r="A83" s="19">
        <v>17</v>
      </c>
      <c r="B83" s="177" t="s">
        <v>15</v>
      </c>
      <c r="C83" s="178"/>
      <c r="D83" s="14">
        <f t="shared" si="5"/>
        <v>0</v>
      </c>
      <c r="E83" s="17">
        <f>IF(F3="1",SUMIF(Data!A:A,'39'!$A$2,Data!EO:EO),0)</f>
        <v>0</v>
      </c>
      <c r="F83" s="21" t="str">
        <f t="shared" si="4"/>
        <v/>
      </c>
    </row>
    <row r="84" spans="1:6" x14ac:dyDescent="0.2">
      <c r="A84" s="19">
        <v>18</v>
      </c>
      <c r="B84" s="177" t="s">
        <v>16</v>
      </c>
      <c r="C84" s="178"/>
      <c r="D84" s="14">
        <f t="shared" si="5"/>
        <v>59305</v>
      </c>
      <c r="E84" s="17">
        <f>IF(F3="1",SUMIF(Data!A:A,'39'!$A$2,Data!EP:EP),0)</f>
        <v>148170</v>
      </c>
      <c r="F84" s="21">
        <f t="shared" si="4"/>
        <v>2.5</v>
      </c>
    </row>
    <row r="85" spans="1:6" x14ac:dyDescent="0.2">
      <c r="A85" s="19">
        <v>19</v>
      </c>
      <c r="B85" s="177" t="s">
        <v>17</v>
      </c>
      <c r="C85" s="178"/>
      <c r="D85" s="14">
        <f t="shared" si="5"/>
        <v>149632</v>
      </c>
      <c r="E85" s="17">
        <f>IF(F3="1",SUMIF(Data!A:A,'39'!$A$2,Data!EQ:EQ),0)</f>
        <v>297424</v>
      </c>
      <c r="F85" s="21">
        <f t="shared" si="4"/>
        <v>1.99</v>
      </c>
    </row>
    <row r="86" spans="1:6" x14ac:dyDescent="0.2">
      <c r="A86" s="19">
        <v>20</v>
      </c>
      <c r="B86" s="177" t="s">
        <v>18</v>
      </c>
      <c r="C86" s="178"/>
      <c r="D86" s="14">
        <f t="shared" si="5"/>
        <v>20992</v>
      </c>
      <c r="E86" s="17">
        <f>IF(F3="1",SUMIF(Data!A:A,'39'!$A$2,Data!ER:ER),0)</f>
        <v>125737</v>
      </c>
      <c r="F86" s="21">
        <f t="shared" si="4"/>
        <v>5.99</v>
      </c>
    </row>
    <row r="87" spans="1:6" ht="14.25" customHeight="1" x14ac:dyDescent="0.2">
      <c r="A87" s="19">
        <v>21</v>
      </c>
      <c r="B87" s="177" t="s">
        <v>461</v>
      </c>
      <c r="C87" s="178"/>
      <c r="D87" s="14">
        <f t="shared" si="5"/>
        <v>46284</v>
      </c>
      <c r="E87" s="17">
        <f>IF(F3="1",SUMIF(Data!A:A,'39'!$A$2,Data!ES:ES),0)</f>
        <v>0</v>
      </c>
      <c r="F87" s="21" t="str">
        <f t="shared" si="4"/>
        <v/>
      </c>
    </row>
    <row r="88" spans="1:6" x14ac:dyDescent="0.2">
      <c r="A88" s="19">
        <v>22</v>
      </c>
      <c r="B88" s="177" t="s">
        <v>19</v>
      </c>
      <c r="C88" s="178"/>
      <c r="D88" s="14">
        <f t="shared" si="5"/>
        <v>0</v>
      </c>
      <c r="E88" s="17">
        <f>IF(F3="1",SUMIF(Data!A:A,'39'!$A$2,Data!ET:ET),0)</f>
        <v>0</v>
      </c>
      <c r="F88" s="21" t="str">
        <f t="shared" si="4"/>
        <v/>
      </c>
    </row>
    <row r="89" spans="1:6" x14ac:dyDescent="0.2">
      <c r="A89" s="19">
        <v>23</v>
      </c>
      <c r="B89" s="177" t="s">
        <v>20</v>
      </c>
      <c r="C89" s="178"/>
      <c r="D89" s="14">
        <f t="shared" si="5"/>
        <v>67824</v>
      </c>
      <c r="E89" s="17">
        <f>IF(F3="1",SUMIF(Data!A:A,'39'!$A$2,Data!EU:EU),0)</f>
        <v>159445</v>
      </c>
      <c r="F89" s="21">
        <f t="shared" si="4"/>
        <v>2.35</v>
      </c>
    </row>
    <row r="90" spans="1:6" x14ac:dyDescent="0.2">
      <c r="A90" s="19">
        <v>24</v>
      </c>
      <c r="B90" s="177" t="s">
        <v>21</v>
      </c>
      <c r="C90" s="178"/>
      <c r="D90" s="14">
        <f t="shared" si="5"/>
        <v>81692</v>
      </c>
      <c r="E90" s="17">
        <f>IF(F3="1",SUMIF(Data!A:A,'39'!$A$2,Data!EV:EV),0)</f>
        <v>76798</v>
      </c>
      <c r="F90" s="21">
        <f t="shared" si="4"/>
        <v>0.94</v>
      </c>
    </row>
    <row r="91" spans="1:6" x14ac:dyDescent="0.2">
      <c r="A91" s="19">
        <v>25</v>
      </c>
      <c r="B91" s="177" t="s">
        <v>22</v>
      </c>
      <c r="C91" s="178"/>
      <c r="D91" s="14">
        <f t="shared" si="5"/>
        <v>293712</v>
      </c>
      <c r="E91" s="17">
        <f>IF(F3="1",SUMIF(Data!A:A,'39'!$A$2,Data!EW:EW),0)</f>
        <v>672730</v>
      </c>
      <c r="F91" s="21">
        <f t="shared" si="4"/>
        <v>2.29</v>
      </c>
    </row>
    <row r="92" spans="1:6" x14ac:dyDescent="0.2">
      <c r="A92" s="19">
        <v>26</v>
      </c>
      <c r="B92" s="177" t="s">
        <v>23</v>
      </c>
      <c r="C92" s="178"/>
      <c r="D92" s="14">
        <f t="shared" si="5"/>
        <v>54720</v>
      </c>
      <c r="E92" s="17">
        <f>IF(F3="1",SUMIF(Data!A:A,'39'!$A$2,Data!EX:EX),0)</f>
        <v>131463</v>
      </c>
      <c r="F92" s="21">
        <f t="shared" si="4"/>
        <v>2.4</v>
      </c>
    </row>
    <row r="93" spans="1:6" x14ac:dyDescent="0.2">
      <c r="A93" s="19">
        <v>28</v>
      </c>
      <c r="B93" s="177" t="s">
        <v>24</v>
      </c>
      <c r="C93" s="178"/>
      <c r="D93" s="14">
        <f t="shared" si="5"/>
        <v>0</v>
      </c>
      <c r="E93" s="17">
        <f>IF(F3="1",SUMIF(Data!A:A,'39'!$A$2,Data!EZ:EZ),0)</f>
        <v>0</v>
      </c>
      <c r="F93" s="21" t="str">
        <f t="shared" si="4"/>
        <v/>
      </c>
    </row>
    <row r="94" spans="1:6" ht="15.75" customHeight="1" thickBot="1" x14ac:dyDescent="0.25">
      <c r="A94" s="22">
        <v>29</v>
      </c>
      <c r="B94" s="179" t="s">
        <v>25</v>
      </c>
      <c r="C94" s="180"/>
      <c r="D94" s="23">
        <f t="shared" si="5"/>
        <v>0</v>
      </c>
      <c r="E94" s="24">
        <f>IF(F3="1",SUMIF(Data!A:A,'39'!$A$2,Data!FA:FA),0)</f>
        <v>0</v>
      </c>
      <c r="F94" s="25" t="str">
        <f t="shared" si="4"/>
        <v/>
      </c>
    </row>
    <row r="95" spans="1:6" x14ac:dyDescent="0.2">
      <c r="B95" s="30" t="s">
        <v>35</v>
      </c>
      <c r="C95" s="30"/>
      <c r="D95" s="59">
        <f>SUM(D67:D94)</f>
        <v>1645473</v>
      </c>
      <c r="E95" s="31">
        <f>SUM(E67:E94)</f>
        <v>3927190</v>
      </c>
      <c r="F95" s="32">
        <f t="shared" si="4"/>
        <v>2.39</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IF(F3="1",SUMIF(Data!A:A,'39'!$A$2,Data!AH:AH),0)</f>
        <v>2235442</v>
      </c>
      <c r="F98" s="20">
        <f>IF(OR(E98=0,E98=0),"",ROUND(E98/$D$105,2))</f>
        <v>1.36</v>
      </c>
    </row>
    <row r="99" spans="2:6" x14ac:dyDescent="0.2">
      <c r="B99" s="183" t="s">
        <v>31</v>
      </c>
      <c r="C99" s="184"/>
      <c r="D99" s="36"/>
      <c r="E99" s="17">
        <f>IF(F3="1",SUMIF(Data!A:A,'39'!$A$2,Data!AI:AI),0)</f>
        <v>771348</v>
      </c>
      <c r="F99" s="21">
        <f t="shared" ref="F99:F104" si="6">IF(OR(E99=0,E99=0),"",ROUND(E99/$D$105,2))</f>
        <v>0.47</v>
      </c>
    </row>
    <row r="100" spans="2:6" x14ac:dyDescent="0.2">
      <c r="B100" s="183" t="s">
        <v>1078</v>
      </c>
      <c r="C100" s="184"/>
      <c r="D100" s="36"/>
      <c r="E100" s="17">
        <f>IF(F3="1",SUMIF(Data!A:A,'39'!$A$2,Data!AJ:AJ),0)</f>
        <v>512675</v>
      </c>
      <c r="F100" s="21">
        <f t="shared" si="6"/>
        <v>0.31</v>
      </c>
    </row>
    <row r="101" spans="2:6" x14ac:dyDescent="0.2">
      <c r="B101" s="183" t="s">
        <v>1079</v>
      </c>
      <c r="C101" s="184"/>
      <c r="D101" s="36"/>
      <c r="E101" s="17">
        <f>IF(F3="1",SUMIF(Data!A:A,'39'!$A$2,Data!AK:AK),0)</f>
        <v>864059</v>
      </c>
      <c r="F101" s="21">
        <f t="shared" si="6"/>
        <v>0.53</v>
      </c>
    </row>
    <row r="102" spans="2:6" x14ac:dyDescent="0.2">
      <c r="B102" s="183" t="s">
        <v>1080</v>
      </c>
      <c r="C102" s="184"/>
      <c r="D102" s="36"/>
      <c r="E102" s="17">
        <f>IF(F3="1",SUMIF(Data!A:A,'39'!$A$2,Data!AL:AL),0)</f>
        <v>0</v>
      </c>
      <c r="F102" s="21" t="str">
        <f t="shared" si="6"/>
        <v/>
      </c>
    </row>
    <row r="103" spans="2:6" x14ac:dyDescent="0.2">
      <c r="B103" s="185" t="s">
        <v>34</v>
      </c>
      <c r="C103" s="186"/>
      <c r="D103" s="36"/>
      <c r="E103" s="17">
        <f>IF(F3="1",SUMIF(Data!A:A,'39'!$A$2,Data!AM:AM),0)</f>
        <v>0</v>
      </c>
      <c r="F103" s="21" t="str">
        <f t="shared" si="6"/>
        <v/>
      </c>
    </row>
    <row r="104" spans="2:6" ht="15.75" customHeight="1" thickBot="1" x14ac:dyDescent="0.25">
      <c r="B104" s="175" t="s">
        <v>29</v>
      </c>
      <c r="C104" s="176"/>
      <c r="D104" s="37"/>
      <c r="E104" s="24">
        <f>IF(F3="1",SUMIF(Data!A:A,'39'!$A$2,Data!Q:Q),0)</f>
        <v>249280</v>
      </c>
      <c r="F104" s="25">
        <f t="shared" si="6"/>
        <v>0.15</v>
      </c>
    </row>
    <row r="105" spans="2:6" x14ac:dyDescent="0.2">
      <c r="B105" s="30" t="s">
        <v>35</v>
      </c>
      <c r="C105" s="30"/>
      <c r="D105" s="34">
        <f>D95</f>
        <v>1645473</v>
      </c>
      <c r="E105" s="31">
        <f>SUM(E98:E104)</f>
        <v>4632804</v>
      </c>
      <c r="F105" s="32">
        <f>IF($D$105=0,"",ROUND(E105/$D$105,2))</f>
        <v>2.82</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3927190</v>
      </c>
      <c r="D109" s="15">
        <f>IF(F3="1",SUMIF(Data!$A:$A,$A$2,Data!HJ:HJ),0)</f>
        <v>0</v>
      </c>
      <c r="E109" s="15">
        <f>IF(F3="1",SUMIF(Data!$A:$A,$A$2,Data!IN:IN),0)</f>
        <v>0</v>
      </c>
      <c r="F109" s="47">
        <f>SUM(C109:E109)</f>
        <v>3927190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249280</v>
      </c>
      <c r="E117" s="52"/>
      <c r="F117" s="49">
        <f>SUM(C117:E117)</f>
        <v>249280</v>
      </c>
    </row>
    <row r="118" spans="1:6" x14ac:dyDescent="0.2">
      <c r="B118" s="13" t="s">
        <v>35</v>
      </c>
      <c r="C118" s="4">
        <f>SUM(C109:C116)</f>
        <v>3927190</v>
      </c>
      <c r="D118" s="4">
        <f>SUM(D109:D116)</f>
        <v>0</v>
      </c>
      <c r="E118" s="4">
        <f>SUM(E109:E116)</f>
        <v>0</v>
      </c>
      <c r="F118" s="4">
        <f>SUM(F109:F116)</f>
        <v>3927190</v>
      </c>
    </row>
    <row r="119" spans="1:6" ht="15" thickBot="1" x14ac:dyDescent="0.25"/>
    <row r="120" spans="1:6" ht="15" thickBot="1" x14ac:dyDescent="0.25">
      <c r="B120" s="55" t="s">
        <v>934</v>
      </c>
      <c r="C120" s="53"/>
      <c r="D120" s="53"/>
      <c r="E120" s="53">
        <f>IF(F3="1",SUMIF(Data!A:A,'39'!$A$2,Data!AM:AM),0)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2" width="13.42578125" style="10" bestFit="1" customWidth="1"/>
    <col min="13" max="13" width="13.5703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1070</v>
      </c>
      <c r="B2" s="58" t="str">
        <f>VLOOKUP(A2,Data!A:G,7,0)</f>
        <v>Tarrant County College District</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15234</v>
      </c>
      <c r="E5" s="15">
        <f>E36+E67+IFERROR($E$105/$D$105*D5,0)</f>
        <v>162002.94521343231</v>
      </c>
      <c r="F5" s="20">
        <f>IF(OR(D5=0,E5=0),"",ROUND(E5/D5,2))</f>
        <v>10.63</v>
      </c>
    </row>
    <row r="6" spans="1:6" x14ac:dyDescent="0.2">
      <c r="A6" s="19">
        <v>2</v>
      </c>
      <c r="B6" s="177" t="s">
        <v>1</v>
      </c>
      <c r="C6" s="178"/>
      <c r="D6" s="14">
        <f t="shared" ref="D6:D32" si="0">D37</f>
        <v>137312</v>
      </c>
      <c r="E6" s="17">
        <f t="shared" ref="E6:E32" si="1">E37+E68+IFERROR($E$105/$D$105*D6,0)</f>
        <v>1410349.9111951436</v>
      </c>
      <c r="F6" s="21">
        <f t="shared" ref="F6:F33" si="2">IF(OR(D6=0,E6=0),"",ROUND(E6/D6,2))</f>
        <v>10.27</v>
      </c>
    </row>
    <row r="7" spans="1:6" ht="14.25" customHeight="1" x14ac:dyDescent="0.2">
      <c r="A7" s="19">
        <v>3</v>
      </c>
      <c r="B7" s="177" t="s">
        <v>2</v>
      </c>
      <c r="C7" s="178"/>
      <c r="D7" s="14">
        <f t="shared" si="0"/>
        <v>1156288</v>
      </c>
      <c r="E7" s="17">
        <f t="shared" si="1"/>
        <v>7794351.1624622047</v>
      </c>
      <c r="F7" s="21">
        <f t="shared" si="2"/>
        <v>6.74</v>
      </c>
    </row>
    <row r="8" spans="1:6" ht="14.25" customHeight="1" x14ac:dyDescent="0.2">
      <c r="A8" s="19">
        <v>4</v>
      </c>
      <c r="B8" s="177" t="s">
        <v>3</v>
      </c>
      <c r="C8" s="178"/>
      <c r="D8" s="14">
        <f t="shared" si="0"/>
        <v>602077</v>
      </c>
      <c r="E8" s="17">
        <f t="shared" si="1"/>
        <v>5286285.8700451413</v>
      </c>
      <c r="F8" s="21">
        <f t="shared" si="2"/>
        <v>8.7799999999999994</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41392</v>
      </c>
      <c r="E10" s="17">
        <f t="shared" si="1"/>
        <v>480782.29961102735</v>
      </c>
      <c r="F10" s="21">
        <f t="shared" si="2"/>
        <v>11.62</v>
      </c>
    </row>
    <row r="11" spans="1:6" x14ac:dyDescent="0.2">
      <c r="A11" s="19">
        <v>7</v>
      </c>
      <c r="B11" s="177" t="s">
        <v>6</v>
      </c>
      <c r="C11" s="178"/>
      <c r="D11" s="14">
        <f t="shared" si="0"/>
        <v>987801</v>
      </c>
      <c r="E11" s="17">
        <f t="shared" si="1"/>
        <v>5202251.4053940959</v>
      </c>
      <c r="F11" s="21">
        <f t="shared" si="2"/>
        <v>5.27</v>
      </c>
    </row>
    <row r="12" spans="1:6" x14ac:dyDescent="0.2">
      <c r="A12" s="19">
        <v>8</v>
      </c>
      <c r="B12" s="177" t="s">
        <v>7</v>
      </c>
      <c r="C12" s="178"/>
      <c r="D12" s="14">
        <f t="shared" si="0"/>
        <v>6576</v>
      </c>
      <c r="E12" s="17">
        <f t="shared" si="1"/>
        <v>71983.983046050344</v>
      </c>
      <c r="F12" s="21">
        <f t="shared" si="2"/>
        <v>10.95</v>
      </c>
    </row>
    <row r="13" spans="1:6" x14ac:dyDescent="0.2">
      <c r="A13" s="19">
        <v>9</v>
      </c>
      <c r="B13" s="177" t="s">
        <v>8</v>
      </c>
      <c r="C13" s="178"/>
      <c r="D13" s="14">
        <f t="shared" si="0"/>
        <v>103272</v>
      </c>
      <c r="E13" s="17">
        <f t="shared" si="1"/>
        <v>1035071.3505370606</v>
      </c>
      <c r="F13" s="21">
        <f t="shared" si="2"/>
        <v>10.02</v>
      </c>
    </row>
    <row r="14" spans="1:6" x14ac:dyDescent="0.2">
      <c r="A14" s="19">
        <v>10</v>
      </c>
      <c r="B14" s="177" t="s">
        <v>9</v>
      </c>
      <c r="C14" s="178"/>
      <c r="D14" s="14">
        <f t="shared" si="0"/>
        <v>2016</v>
      </c>
      <c r="E14" s="17">
        <f t="shared" si="1"/>
        <v>20539.169984920543</v>
      </c>
      <c r="F14" s="21">
        <f t="shared" si="2"/>
        <v>10.19</v>
      </c>
    </row>
    <row r="15" spans="1:6" x14ac:dyDescent="0.2">
      <c r="A15" s="19">
        <v>11</v>
      </c>
      <c r="B15" s="177" t="s">
        <v>10</v>
      </c>
      <c r="C15" s="178"/>
      <c r="D15" s="14">
        <f t="shared" si="0"/>
        <v>187147</v>
      </c>
      <c r="E15" s="17">
        <f t="shared" si="1"/>
        <v>2037261.7947261531</v>
      </c>
      <c r="F15" s="21">
        <f t="shared" si="2"/>
        <v>10.89</v>
      </c>
    </row>
    <row r="16" spans="1:6" ht="14.25" customHeight="1" x14ac:dyDescent="0.2">
      <c r="A16" s="19">
        <v>12</v>
      </c>
      <c r="B16" s="177" t="s">
        <v>11</v>
      </c>
      <c r="C16" s="178"/>
      <c r="D16" s="14">
        <f t="shared" si="0"/>
        <v>1742578</v>
      </c>
      <c r="E16" s="17">
        <f t="shared" si="1"/>
        <v>11128425.686499439</v>
      </c>
      <c r="F16" s="21">
        <f t="shared" si="2"/>
        <v>6.39</v>
      </c>
    </row>
    <row r="17" spans="1:6" x14ac:dyDescent="0.2">
      <c r="A17" s="19">
        <v>13</v>
      </c>
      <c r="B17" s="177" t="s">
        <v>12</v>
      </c>
      <c r="C17" s="178"/>
      <c r="D17" s="14">
        <f t="shared" si="0"/>
        <v>330840</v>
      </c>
      <c r="E17" s="17">
        <f t="shared" si="1"/>
        <v>1931259.2528824962</v>
      </c>
      <c r="F17" s="21">
        <f t="shared" si="2"/>
        <v>5.84</v>
      </c>
    </row>
    <row r="18" spans="1:6" ht="14.25" customHeight="1" x14ac:dyDescent="0.2">
      <c r="A18" s="19">
        <v>14</v>
      </c>
      <c r="B18" s="177" t="s">
        <v>464</v>
      </c>
      <c r="C18" s="178"/>
      <c r="D18" s="14">
        <f t="shared" si="0"/>
        <v>167978</v>
      </c>
      <c r="E18" s="17">
        <f t="shared" si="1"/>
        <v>1990806.2290312415</v>
      </c>
      <c r="F18" s="21">
        <f t="shared" si="2"/>
        <v>11.85</v>
      </c>
    </row>
    <row r="19" spans="1:6" x14ac:dyDescent="0.2">
      <c r="A19" s="19">
        <v>15</v>
      </c>
      <c r="B19" s="177" t="s">
        <v>13</v>
      </c>
      <c r="C19" s="178"/>
      <c r="D19" s="14">
        <f t="shared" si="0"/>
        <v>24480</v>
      </c>
      <c r="E19" s="17">
        <f t="shared" si="1"/>
        <v>281890.20695974946</v>
      </c>
      <c r="F19" s="21">
        <f t="shared" si="2"/>
        <v>11.52</v>
      </c>
    </row>
    <row r="20" spans="1:6" x14ac:dyDescent="0.2">
      <c r="A20" s="19">
        <v>16</v>
      </c>
      <c r="B20" s="177" t="s">
        <v>14</v>
      </c>
      <c r="C20" s="178"/>
      <c r="D20" s="14">
        <f t="shared" si="0"/>
        <v>349317</v>
      </c>
      <c r="E20" s="17">
        <f t="shared" si="1"/>
        <v>2650277.8197532189</v>
      </c>
      <c r="F20" s="21">
        <f t="shared" si="2"/>
        <v>7.59</v>
      </c>
    </row>
    <row r="21" spans="1:6" x14ac:dyDescent="0.2">
      <c r="A21" s="19">
        <v>17</v>
      </c>
      <c r="B21" s="177" t="s">
        <v>15</v>
      </c>
      <c r="C21" s="178"/>
      <c r="D21" s="14">
        <f t="shared" si="0"/>
        <v>40864</v>
      </c>
      <c r="E21" s="17">
        <f t="shared" si="1"/>
        <v>452963.82651973865</v>
      </c>
      <c r="F21" s="21">
        <f t="shared" si="2"/>
        <v>11.08</v>
      </c>
    </row>
    <row r="22" spans="1:6" x14ac:dyDescent="0.2">
      <c r="A22" s="19">
        <v>18</v>
      </c>
      <c r="B22" s="177" t="s">
        <v>16</v>
      </c>
      <c r="C22" s="178"/>
      <c r="D22" s="14">
        <f t="shared" si="0"/>
        <v>0</v>
      </c>
      <c r="E22" s="17">
        <f t="shared" si="1"/>
        <v>0</v>
      </c>
      <c r="F22" s="21" t="str">
        <f t="shared" si="2"/>
        <v/>
      </c>
    </row>
    <row r="23" spans="1:6" x14ac:dyDescent="0.2">
      <c r="A23" s="19">
        <v>19</v>
      </c>
      <c r="B23" s="177" t="s">
        <v>17</v>
      </c>
      <c r="C23" s="178"/>
      <c r="D23" s="14">
        <f t="shared" si="0"/>
        <v>1131132</v>
      </c>
      <c r="E23" s="17">
        <f t="shared" si="1"/>
        <v>6672466.910408305</v>
      </c>
      <c r="F23" s="21">
        <f t="shared" si="2"/>
        <v>5.9</v>
      </c>
    </row>
    <row r="24" spans="1:6" x14ac:dyDescent="0.2">
      <c r="A24" s="19">
        <v>20</v>
      </c>
      <c r="B24" s="177" t="s">
        <v>18</v>
      </c>
      <c r="C24" s="178"/>
      <c r="D24" s="14">
        <f t="shared" si="0"/>
        <v>102014</v>
      </c>
      <c r="E24" s="17">
        <f t="shared" si="1"/>
        <v>1014071.9885127402</v>
      </c>
      <c r="F24" s="21">
        <f t="shared" si="2"/>
        <v>9.94</v>
      </c>
    </row>
    <row r="25" spans="1:6" ht="14.25" customHeight="1" x14ac:dyDescent="0.2">
      <c r="A25" s="19">
        <v>21</v>
      </c>
      <c r="B25" s="177" t="s">
        <v>461</v>
      </c>
      <c r="C25" s="178"/>
      <c r="D25" s="14">
        <f t="shared" si="0"/>
        <v>138288</v>
      </c>
      <c r="E25" s="17">
        <f t="shared" si="1"/>
        <v>1335673.0887275259</v>
      </c>
      <c r="F25" s="21">
        <f t="shared" si="2"/>
        <v>9.66</v>
      </c>
    </row>
    <row r="26" spans="1:6" x14ac:dyDescent="0.2">
      <c r="A26" s="19">
        <v>22</v>
      </c>
      <c r="B26" s="177" t="s">
        <v>19</v>
      </c>
      <c r="C26" s="178"/>
      <c r="D26" s="14">
        <f t="shared" si="0"/>
        <v>9260</v>
      </c>
      <c r="E26" s="17">
        <f t="shared" si="1"/>
        <v>65416.221260101302</v>
      </c>
      <c r="F26" s="21">
        <f t="shared" si="2"/>
        <v>7.06</v>
      </c>
    </row>
    <row r="27" spans="1:6" x14ac:dyDescent="0.2">
      <c r="A27" s="19">
        <v>23</v>
      </c>
      <c r="B27" s="177" t="s">
        <v>20</v>
      </c>
      <c r="C27" s="178"/>
      <c r="D27" s="14">
        <f t="shared" si="0"/>
        <v>312144</v>
      </c>
      <c r="E27" s="17">
        <f t="shared" si="1"/>
        <v>2475288.3193318639</v>
      </c>
      <c r="F27" s="21">
        <f t="shared" si="2"/>
        <v>7.93</v>
      </c>
    </row>
    <row r="28" spans="1:6" x14ac:dyDescent="0.2">
      <c r="A28" s="19">
        <v>24</v>
      </c>
      <c r="B28" s="177" t="s">
        <v>21</v>
      </c>
      <c r="C28" s="178"/>
      <c r="D28" s="14">
        <f t="shared" si="0"/>
        <v>277610</v>
      </c>
      <c r="E28" s="17">
        <f t="shared" si="1"/>
        <v>1880271.1872588252</v>
      </c>
      <c r="F28" s="21">
        <f t="shared" si="2"/>
        <v>6.77</v>
      </c>
    </row>
    <row r="29" spans="1:6" x14ac:dyDescent="0.2">
      <c r="A29" s="19">
        <v>25</v>
      </c>
      <c r="B29" s="177" t="s">
        <v>22</v>
      </c>
      <c r="C29" s="178"/>
      <c r="D29" s="14">
        <f t="shared" si="0"/>
        <v>1987100</v>
      </c>
      <c r="E29" s="17">
        <f t="shared" si="1"/>
        <v>11448781.560037505</v>
      </c>
      <c r="F29" s="21">
        <f t="shared" si="2"/>
        <v>5.76</v>
      </c>
    </row>
    <row r="30" spans="1:6" x14ac:dyDescent="0.2">
      <c r="A30" s="19">
        <v>26</v>
      </c>
      <c r="B30" s="177" t="s">
        <v>23</v>
      </c>
      <c r="C30" s="178"/>
      <c r="D30" s="14">
        <f t="shared" si="0"/>
        <v>492480</v>
      </c>
      <c r="E30" s="17">
        <f t="shared" si="1"/>
        <v>3814482.8106020186</v>
      </c>
      <c r="F30" s="21">
        <f t="shared" si="2"/>
        <v>7.75</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10345200</v>
      </c>
      <c r="E33" s="31">
        <f>SUM(E5:E32)</f>
        <v>70642955</v>
      </c>
      <c r="F33" s="32">
        <f t="shared" si="2"/>
        <v>6.83</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IF(F3="1",SUMIF(Data!A:A,'40'!$A$2,Data!CU:CU),0)</f>
        <v>15234</v>
      </c>
      <c r="E36" s="15">
        <f>IF(F3="1",SUMIF(Data!$A:$A,$A$2,Data!IO:IO),0)</f>
        <v>40874</v>
      </c>
      <c r="F36" s="20">
        <f t="shared" ref="F36:F64" si="3">IF(OR(D36=0,E36=0),"",ROUND(E36/D36,2))</f>
        <v>2.68</v>
      </c>
    </row>
    <row r="37" spans="1:6" x14ac:dyDescent="0.2">
      <c r="A37" s="19">
        <v>2</v>
      </c>
      <c r="B37" s="177" t="s">
        <v>1</v>
      </c>
      <c r="C37" s="178"/>
      <c r="D37" s="14">
        <f>IF(F3="1",SUMIF(Data!A:A,'40'!$A$2,Data!CV:CV),0)</f>
        <v>137312</v>
      </c>
      <c r="E37" s="17">
        <f>IF(F3="1",SUMIF(Data!$A:$A,$A$2,Data!IP:IP),0)</f>
        <v>353602</v>
      </c>
      <c r="F37" s="21">
        <f t="shared" si="3"/>
        <v>2.58</v>
      </c>
    </row>
    <row r="38" spans="1:6" ht="14.25" customHeight="1" x14ac:dyDescent="0.2">
      <c r="A38" s="19">
        <v>3</v>
      </c>
      <c r="B38" s="177" t="s">
        <v>2</v>
      </c>
      <c r="C38" s="178"/>
      <c r="D38" s="14">
        <f>IF(F3="1",SUMIF(Data!A:A,'40'!$A$2,Data!CW:CW),0)</f>
        <v>1156288</v>
      </c>
      <c r="E38" s="17">
        <f>IF($F$3="1",SUMIF(Data!$A:$A,$A$2,Data!IQ:IQ),0)</f>
        <v>1085958</v>
      </c>
      <c r="F38" s="21">
        <f t="shared" si="3"/>
        <v>0.94</v>
      </c>
    </row>
    <row r="39" spans="1:6" ht="14.25" customHeight="1" x14ac:dyDescent="0.2">
      <c r="A39" s="19">
        <v>4</v>
      </c>
      <c r="B39" s="177" t="s">
        <v>3</v>
      </c>
      <c r="C39" s="178"/>
      <c r="D39" s="14">
        <f>IF(F3="1",SUMIF(Data!A:A,'40'!$A$2,Data!CX:CX),0)</f>
        <v>602077</v>
      </c>
      <c r="E39" s="17">
        <f>IF($F$3="1",SUMIF(Data!$A:$A,$A$2,Data!IR:IR),0)</f>
        <v>383469</v>
      </c>
      <c r="F39" s="21">
        <f t="shared" si="3"/>
        <v>0.64</v>
      </c>
    </row>
    <row r="40" spans="1:6" x14ac:dyDescent="0.2">
      <c r="A40" s="19">
        <v>5</v>
      </c>
      <c r="B40" s="177" t="s">
        <v>4</v>
      </c>
      <c r="C40" s="178"/>
      <c r="D40" s="14">
        <f>IF(F3="1",SUMIF(Data!A:A,'40'!$A$2,Data!CY:CY),0)</f>
        <v>0</v>
      </c>
      <c r="E40" s="17">
        <f>IF($F$3="1",SUMIF(Data!$A:$A,$A$2,Data!IS:IS),0)</f>
        <v>0</v>
      </c>
      <c r="F40" s="21" t="str">
        <f t="shared" si="3"/>
        <v/>
      </c>
    </row>
    <row r="41" spans="1:6" x14ac:dyDescent="0.2">
      <c r="A41" s="19">
        <v>6</v>
      </c>
      <c r="B41" s="177" t="s">
        <v>5</v>
      </c>
      <c r="C41" s="178"/>
      <c r="D41" s="14">
        <f>IF(F3="1",SUMIF(Data!A:A,'40'!$A$2,Data!CZ:CZ),0)</f>
        <v>41392</v>
      </c>
      <c r="E41" s="17">
        <f>IF($F$3="1",SUMIF(Data!$A:$A,$A$2,Data!IT:IT),0)</f>
        <v>33036</v>
      </c>
      <c r="F41" s="21">
        <f t="shared" si="3"/>
        <v>0.8</v>
      </c>
    </row>
    <row r="42" spans="1:6" x14ac:dyDescent="0.2">
      <c r="A42" s="19">
        <v>7</v>
      </c>
      <c r="B42" s="177" t="s">
        <v>6</v>
      </c>
      <c r="C42" s="178"/>
      <c r="D42" s="14">
        <f>IF(F3="1",SUMIF(Data!A:A,'40'!$A$2,Data!DA:DA),0)</f>
        <v>987801</v>
      </c>
      <c r="E42" s="17">
        <f>IF($F$3="1",SUMIF(Data!$A:$A,$A$2,Data!IU:IU),0)</f>
        <v>452566</v>
      </c>
      <c r="F42" s="21">
        <f t="shared" si="3"/>
        <v>0.46</v>
      </c>
    </row>
    <row r="43" spans="1:6" x14ac:dyDescent="0.2">
      <c r="A43" s="19">
        <v>8</v>
      </c>
      <c r="B43" s="177" t="s">
        <v>7</v>
      </c>
      <c r="C43" s="178"/>
      <c r="D43" s="14">
        <f>IF(F3="1",SUMIF(Data!A:A,'40'!$A$2,Data!DB:DB),0)</f>
        <v>6576</v>
      </c>
      <c r="E43" s="17">
        <f>IF($F$3="1",SUMIF(Data!$A:$A,$A$2,Data!IV:IV),0)</f>
        <v>2175</v>
      </c>
      <c r="F43" s="21">
        <f t="shared" si="3"/>
        <v>0.33</v>
      </c>
    </row>
    <row r="44" spans="1:6" x14ac:dyDescent="0.2">
      <c r="A44" s="19">
        <v>9</v>
      </c>
      <c r="B44" s="177" t="s">
        <v>8</v>
      </c>
      <c r="C44" s="178"/>
      <c r="D44" s="14">
        <f>IF(F3="1",SUMIF(Data!A:A,'40'!$A$2,Data!DC:DC),0)</f>
        <v>103272</v>
      </c>
      <c r="E44" s="17">
        <f>IF($F$3="1",SUMIF(Data!$A:$A,$A$2,Data!IW:IW),0)</f>
        <v>81809</v>
      </c>
      <c r="F44" s="21">
        <f t="shared" si="3"/>
        <v>0.79</v>
      </c>
    </row>
    <row r="45" spans="1:6" x14ac:dyDescent="0.2">
      <c r="A45" s="19">
        <v>10</v>
      </c>
      <c r="B45" s="177" t="s">
        <v>9</v>
      </c>
      <c r="C45" s="178"/>
      <c r="D45" s="14">
        <f>IF(F3="1",SUMIF(Data!A:A,'40'!$A$2,Data!DD:DD),0)</f>
        <v>2016</v>
      </c>
      <c r="E45" s="17">
        <f>IF($F$3="1",SUMIF(Data!$A:$A,$A$2,Data!IX:IX),0)</f>
        <v>9560</v>
      </c>
      <c r="F45" s="21">
        <f t="shared" si="3"/>
        <v>4.74</v>
      </c>
    </row>
    <row r="46" spans="1:6" x14ac:dyDescent="0.2">
      <c r="A46" s="19">
        <v>11</v>
      </c>
      <c r="B46" s="177" t="s">
        <v>10</v>
      </c>
      <c r="C46" s="178"/>
      <c r="D46" s="14">
        <f>IF(F3="1",SUMIF(Data!A:A,'40'!$A$2,Data!DE:DE),0)</f>
        <v>187147</v>
      </c>
      <c r="E46" s="17">
        <f>IF($F$3="1",SUMIF(Data!$A:$A,$A$2,Data!IY:IY),0)</f>
        <v>359126</v>
      </c>
      <c r="F46" s="21">
        <f t="shared" si="3"/>
        <v>1.92</v>
      </c>
    </row>
    <row r="47" spans="1:6" ht="14.25" customHeight="1" x14ac:dyDescent="0.2">
      <c r="A47" s="19">
        <v>12</v>
      </c>
      <c r="B47" s="177" t="s">
        <v>11</v>
      </c>
      <c r="C47" s="178"/>
      <c r="D47" s="14">
        <f>IF(F3="1",SUMIF(Data!A:A,'40'!$A$2,Data!DF:DF),0)</f>
        <v>1742578</v>
      </c>
      <c r="E47" s="17">
        <f>IF($F$3="1",SUMIF(Data!$A:$A,$A$2,Data!IZ:IZ),0)</f>
        <v>1243089</v>
      </c>
      <c r="F47" s="21">
        <f t="shared" si="3"/>
        <v>0.71</v>
      </c>
    </row>
    <row r="48" spans="1:6" x14ac:dyDescent="0.2">
      <c r="A48" s="19">
        <v>13</v>
      </c>
      <c r="B48" s="177" t="s">
        <v>12</v>
      </c>
      <c r="C48" s="178"/>
      <c r="D48" s="14">
        <f>IF(F3="1",SUMIF(Data!A:A,'40'!$A$2,Data!DG:DG),0)</f>
        <v>330840</v>
      </c>
      <c r="E48" s="17">
        <f>IF($F$3="1",SUMIF(Data!$A:$A,$A$2,Data!JA:JA),0)</f>
        <v>139599</v>
      </c>
      <c r="F48" s="21">
        <f t="shared" si="3"/>
        <v>0.42</v>
      </c>
    </row>
    <row r="49" spans="1:6" ht="14.25" customHeight="1" x14ac:dyDescent="0.2">
      <c r="A49" s="19">
        <v>14</v>
      </c>
      <c r="B49" s="177" t="s">
        <v>464</v>
      </c>
      <c r="C49" s="178"/>
      <c r="D49" s="14">
        <f>IF(F3="1",SUMIF(Data!A:A,'40'!$A$2,Data!DH:DH),0)</f>
        <v>167978</v>
      </c>
      <c r="E49" s="17">
        <f>IF($F$3="1",SUMIF(Data!$A:$A,$A$2,Data!JB:JB),0)</f>
        <v>133114</v>
      </c>
      <c r="F49" s="21">
        <f t="shared" si="3"/>
        <v>0.79</v>
      </c>
    </row>
    <row r="50" spans="1:6" x14ac:dyDescent="0.2">
      <c r="A50" s="19">
        <v>15</v>
      </c>
      <c r="B50" s="177" t="s">
        <v>13</v>
      </c>
      <c r="C50" s="178"/>
      <c r="D50" s="14">
        <f>IF(F3="1",SUMIF(Data!A:A,'40'!$A$2,Data!DI:DI),0)</f>
        <v>24480</v>
      </c>
      <c r="E50" s="17">
        <f>IF($F$3="1",SUMIF(Data!$A:$A,$A$2,Data!JC:JC),0)</f>
        <v>10021</v>
      </c>
      <c r="F50" s="21">
        <f t="shared" si="3"/>
        <v>0.41</v>
      </c>
    </row>
    <row r="51" spans="1:6" x14ac:dyDescent="0.2">
      <c r="A51" s="19">
        <v>16</v>
      </c>
      <c r="B51" s="177" t="s">
        <v>14</v>
      </c>
      <c r="C51" s="178"/>
      <c r="D51" s="14">
        <f>IF(F3="1",SUMIF(Data!A:A,'40'!$A$2,Data!DJ:DJ),0)</f>
        <v>349317</v>
      </c>
      <c r="E51" s="17">
        <f>IF($F$3="1",SUMIF(Data!$A:$A,$A$2,Data!JD:JD),0)</f>
        <v>299807</v>
      </c>
      <c r="F51" s="21">
        <f t="shared" si="3"/>
        <v>0.86</v>
      </c>
    </row>
    <row r="52" spans="1:6" x14ac:dyDescent="0.2">
      <c r="A52" s="19">
        <v>17</v>
      </c>
      <c r="B52" s="177" t="s">
        <v>15</v>
      </c>
      <c r="C52" s="178"/>
      <c r="D52" s="14">
        <f>IF(F3="1",SUMIF(Data!A:A,'40'!$A$2,Data!DK:DK),0)</f>
        <v>40864</v>
      </c>
      <c r="E52" s="17">
        <f>IF($F$3="1",SUMIF(Data!$A:$A,$A$2,Data!JE:JE),0)</f>
        <v>23610</v>
      </c>
      <c r="F52" s="21">
        <f t="shared" si="3"/>
        <v>0.57999999999999996</v>
      </c>
    </row>
    <row r="53" spans="1:6" x14ac:dyDescent="0.2">
      <c r="A53" s="19">
        <v>18</v>
      </c>
      <c r="B53" s="177" t="s">
        <v>16</v>
      </c>
      <c r="C53" s="178"/>
      <c r="D53" s="14">
        <f>IF(F3="1",SUMIF(Data!A:A,'40'!$A$2,Data!DL:DL),0)</f>
        <v>0</v>
      </c>
      <c r="E53" s="17">
        <f>IF($F$3="1",SUMIF(Data!$A:$A,$A$2,Data!JF:JF),0)</f>
        <v>0</v>
      </c>
      <c r="F53" s="21" t="str">
        <f t="shared" si="3"/>
        <v/>
      </c>
    </row>
    <row r="54" spans="1:6" x14ac:dyDescent="0.2">
      <c r="A54" s="19">
        <v>19</v>
      </c>
      <c r="B54" s="177" t="s">
        <v>17</v>
      </c>
      <c r="C54" s="178"/>
      <c r="D54" s="14">
        <f>IF(F3="1",SUMIF(Data!A:A,'40'!$A$2,Data!DM:DM),0)</f>
        <v>1131132</v>
      </c>
      <c r="E54" s="17">
        <f>IF($F$3="1",SUMIF(Data!$A:$A,$A$2,Data!JG:JG),0)</f>
        <v>410700</v>
      </c>
      <c r="F54" s="21">
        <f t="shared" si="3"/>
        <v>0.36</v>
      </c>
    </row>
    <row r="55" spans="1:6" x14ac:dyDescent="0.2">
      <c r="A55" s="19">
        <v>20</v>
      </c>
      <c r="B55" s="177" t="s">
        <v>18</v>
      </c>
      <c r="C55" s="178"/>
      <c r="D55" s="14">
        <f>IF(F3="1",SUMIF(Data!A:A,'40'!$A$2,Data!DN:DN),0)</f>
        <v>102014</v>
      </c>
      <c r="E55" s="17">
        <f>IF($F$3="1",SUMIF(Data!$A:$A,$A$2,Data!JH:JH),0)</f>
        <v>213459</v>
      </c>
      <c r="F55" s="21">
        <f t="shared" si="3"/>
        <v>2.09</v>
      </c>
    </row>
    <row r="56" spans="1:6" ht="14.25" customHeight="1" x14ac:dyDescent="0.2">
      <c r="A56" s="19">
        <v>21</v>
      </c>
      <c r="B56" s="177" t="s">
        <v>461</v>
      </c>
      <c r="C56" s="178"/>
      <c r="D56" s="14">
        <f>IF(F3="1",SUMIF(Data!A:A,'40'!$A$2,Data!DO:DO),0)</f>
        <v>138288</v>
      </c>
      <c r="E56" s="17">
        <f>IF($F$3="1",SUMIF(Data!$A:$A,$A$2,Data!JI:JI),0)</f>
        <v>731852</v>
      </c>
      <c r="F56" s="21">
        <f t="shared" si="3"/>
        <v>5.29</v>
      </c>
    </row>
    <row r="57" spans="1:6" x14ac:dyDescent="0.2">
      <c r="A57" s="19">
        <v>22</v>
      </c>
      <c r="B57" s="177" t="s">
        <v>19</v>
      </c>
      <c r="C57" s="178"/>
      <c r="D57" s="14">
        <f>IF(F3="1",SUMIF(Data!A:A,'40'!$A$2,Data!DP:DP),0)</f>
        <v>9260</v>
      </c>
      <c r="E57" s="17">
        <f>IF($F$3="1",SUMIF(Data!$A:$A,$A$2,Data!JJ:JJ),0)</f>
        <v>33508</v>
      </c>
      <c r="F57" s="21">
        <f t="shared" si="3"/>
        <v>3.62</v>
      </c>
    </row>
    <row r="58" spans="1:6" x14ac:dyDescent="0.2">
      <c r="A58" s="19">
        <v>23</v>
      </c>
      <c r="B58" s="177" t="s">
        <v>20</v>
      </c>
      <c r="C58" s="178"/>
      <c r="D58" s="14">
        <f>IF(F3="1",SUMIF(Data!A:A,'40'!$A$2,Data!DQ:DQ),0)</f>
        <v>312144</v>
      </c>
      <c r="E58" s="17">
        <f>IF($F$3="1",SUMIF(Data!$A:$A,$A$2,Data!JK:JK),0)</f>
        <v>384857</v>
      </c>
      <c r="F58" s="21">
        <f t="shared" si="3"/>
        <v>1.23</v>
      </c>
    </row>
    <row r="59" spans="1:6" x14ac:dyDescent="0.2">
      <c r="A59" s="19">
        <v>24</v>
      </c>
      <c r="B59" s="177" t="s">
        <v>21</v>
      </c>
      <c r="C59" s="178"/>
      <c r="D59" s="14">
        <f>IF(F3="1",SUMIF(Data!A:A,'40'!$A$2,Data!DR:DR),0)</f>
        <v>277610</v>
      </c>
      <c r="E59" s="17">
        <f>IF($F$3="1",SUMIF(Data!$A:$A,$A$2,Data!JL:JL),0)</f>
        <v>605394</v>
      </c>
      <c r="F59" s="21">
        <f t="shared" si="3"/>
        <v>2.1800000000000002</v>
      </c>
    </row>
    <row r="60" spans="1:6" x14ac:dyDescent="0.2">
      <c r="A60" s="19">
        <v>25</v>
      </c>
      <c r="B60" s="177" t="s">
        <v>22</v>
      </c>
      <c r="C60" s="178"/>
      <c r="D60" s="14">
        <f>IF(F3="1",SUMIF(Data!A:A,'40'!$A$2,Data!DS:DS),0)</f>
        <v>1987100</v>
      </c>
      <c r="E60" s="17">
        <f>IF($F$3="1",SUMIF(Data!$A:$A,$A$2,Data!JM:JM),0)</f>
        <v>1198692</v>
      </c>
      <c r="F60" s="21">
        <f t="shared" si="3"/>
        <v>0.6</v>
      </c>
    </row>
    <row r="61" spans="1:6" x14ac:dyDescent="0.2">
      <c r="A61" s="19">
        <v>26</v>
      </c>
      <c r="B61" s="177" t="s">
        <v>23</v>
      </c>
      <c r="C61" s="178"/>
      <c r="D61" s="14">
        <f>IF(F3="1",SUMIF(Data!A:A,'40'!$A$2,Data!DT:DT),0)</f>
        <v>492480</v>
      </c>
      <c r="E61" s="17">
        <f>IF($F$3="1",SUMIF(Data!$A:$A,$A$2,Data!JN:JN),0)</f>
        <v>469399</v>
      </c>
      <c r="F61" s="21">
        <f t="shared" si="3"/>
        <v>0.95</v>
      </c>
    </row>
    <row r="62" spans="1:6" x14ac:dyDescent="0.2">
      <c r="A62" s="19">
        <v>28</v>
      </c>
      <c r="B62" s="177" t="s">
        <v>24</v>
      </c>
      <c r="C62" s="178"/>
      <c r="D62" s="14">
        <f>IF(F3="1",SUMIF(Data!A:A,'40'!$A$2,Data!DV:DV),0)</f>
        <v>0</v>
      </c>
      <c r="E62" s="17">
        <f>IF($F$3="1",SUMIF(Data!$A:$A,$A$2,Data!JP:JP),0)</f>
        <v>0</v>
      </c>
      <c r="F62" s="21" t="str">
        <f t="shared" si="3"/>
        <v/>
      </c>
    </row>
    <row r="63" spans="1:6" ht="15.75" customHeight="1" thickBot="1" x14ac:dyDescent="0.25">
      <c r="A63" s="22">
        <v>29</v>
      </c>
      <c r="B63" s="179" t="s">
        <v>25</v>
      </c>
      <c r="C63" s="180"/>
      <c r="D63" s="23">
        <f>IF(F3="1",SUMIF(Data!A:A,'40'!$A$2,Data!DW:DW),0)</f>
        <v>0</v>
      </c>
      <c r="E63" s="24">
        <f>IF($F$3="1",SUMIF(Data!$A:$A,$A$2,Data!JQ:JQ),0)</f>
        <v>0</v>
      </c>
      <c r="F63" s="25" t="str">
        <f t="shared" si="3"/>
        <v/>
      </c>
    </row>
    <row r="64" spans="1:6" x14ac:dyDescent="0.2">
      <c r="B64" s="30" t="s">
        <v>35</v>
      </c>
      <c r="C64" s="30"/>
      <c r="D64" s="59">
        <f>SUM(D36:D63)</f>
        <v>10345200</v>
      </c>
      <c r="E64" s="31">
        <f>SUM(E36:E63)</f>
        <v>8699276</v>
      </c>
      <c r="F64" s="32">
        <f t="shared" si="3"/>
        <v>0.84</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15234</v>
      </c>
      <c r="E67" s="15">
        <f>IF(F3="1",SUMIF(Data!A:A,'40'!$A$2,Data!DY:DY),0)</f>
        <v>75471</v>
      </c>
      <c r="F67" s="20">
        <f t="shared" ref="F67:F95" si="4">IF(OR(D67=0,E67=0),"",ROUND(E67/D67,2))</f>
        <v>4.95</v>
      </c>
    </row>
    <row r="68" spans="1:6" x14ac:dyDescent="0.2">
      <c r="A68" s="19">
        <v>2</v>
      </c>
      <c r="B68" s="177" t="s">
        <v>1</v>
      </c>
      <c r="C68" s="178"/>
      <c r="D68" s="14">
        <f t="shared" ref="D68:D94" si="5">D37</f>
        <v>137312</v>
      </c>
      <c r="E68" s="17">
        <f>IF(F3="1",SUMIF(Data!A:A,'40'!$A$2,Data!DZ:DZ),0)</f>
        <v>645209</v>
      </c>
      <c r="F68" s="21">
        <f t="shared" si="4"/>
        <v>4.7</v>
      </c>
    </row>
    <row r="69" spans="1:6" ht="14.25" customHeight="1" x14ac:dyDescent="0.2">
      <c r="A69" s="19">
        <v>3</v>
      </c>
      <c r="B69" s="177" t="s">
        <v>2</v>
      </c>
      <c r="C69" s="178"/>
      <c r="D69" s="14">
        <f t="shared" si="5"/>
        <v>1156288</v>
      </c>
      <c r="E69" s="17">
        <f>IF(F3="1",SUMIF(Data!A:A,'40'!$A$2,Data!EA:EA),0)</f>
        <v>3242873</v>
      </c>
      <c r="F69" s="21">
        <f t="shared" si="4"/>
        <v>2.8</v>
      </c>
    </row>
    <row r="70" spans="1:6" ht="14.25" customHeight="1" x14ac:dyDescent="0.2">
      <c r="A70" s="19">
        <v>4</v>
      </c>
      <c r="B70" s="177" t="s">
        <v>3</v>
      </c>
      <c r="C70" s="178"/>
      <c r="D70" s="14">
        <f t="shared" si="5"/>
        <v>602077</v>
      </c>
      <c r="E70" s="17">
        <f>IF(F3="1",SUMIF(Data!A:A,'40'!$A$2,Data!EB:EB),0)</f>
        <v>3098327</v>
      </c>
      <c r="F70" s="21">
        <f t="shared" si="4"/>
        <v>5.15</v>
      </c>
    </row>
    <row r="71" spans="1:6" x14ac:dyDescent="0.2">
      <c r="A71" s="19">
        <v>5</v>
      </c>
      <c r="B71" s="177" t="s">
        <v>4</v>
      </c>
      <c r="C71" s="178"/>
      <c r="D71" s="14">
        <f t="shared" si="5"/>
        <v>0</v>
      </c>
      <c r="E71" s="17">
        <f>IF(F3="1",SUMIF(Data!A:A,'40'!$A$2,Data!EC:EC),0)</f>
        <v>0</v>
      </c>
      <c r="F71" s="21" t="str">
        <f t="shared" si="4"/>
        <v/>
      </c>
    </row>
    <row r="72" spans="1:6" x14ac:dyDescent="0.2">
      <c r="A72" s="19">
        <v>6</v>
      </c>
      <c r="B72" s="177" t="s">
        <v>5</v>
      </c>
      <c r="C72" s="178"/>
      <c r="D72" s="14">
        <f t="shared" si="5"/>
        <v>41392</v>
      </c>
      <c r="E72" s="17">
        <f>IF(F3="1",SUMIF(Data!A:A,'40'!$A$2,Data!ED:ED),0)</f>
        <v>323690</v>
      </c>
      <c r="F72" s="21">
        <f t="shared" si="4"/>
        <v>7.82</v>
      </c>
    </row>
    <row r="73" spans="1:6" x14ac:dyDescent="0.2">
      <c r="A73" s="19">
        <v>7</v>
      </c>
      <c r="B73" s="177" t="s">
        <v>6</v>
      </c>
      <c r="C73" s="178"/>
      <c r="D73" s="14">
        <f t="shared" si="5"/>
        <v>987801</v>
      </c>
      <c r="E73" s="17">
        <f>IF(F3="1",SUMIF(Data!A:A,'40'!$A$2,Data!EE:EE),0)</f>
        <v>1789139</v>
      </c>
      <c r="F73" s="21">
        <f t="shared" si="4"/>
        <v>1.81</v>
      </c>
    </row>
    <row r="74" spans="1:6" x14ac:dyDescent="0.2">
      <c r="A74" s="19">
        <v>8</v>
      </c>
      <c r="B74" s="177" t="s">
        <v>7</v>
      </c>
      <c r="C74" s="178"/>
      <c r="D74" s="14">
        <f t="shared" si="5"/>
        <v>6576</v>
      </c>
      <c r="E74" s="17">
        <f>IF(F3="1",SUMIF(Data!A:A,'40'!$A$2,Data!EF:EF),0)</f>
        <v>50100</v>
      </c>
      <c r="F74" s="21">
        <f t="shared" si="4"/>
        <v>7.62</v>
      </c>
    </row>
    <row r="75" spans="1:6" x14ac:dyDescent="0.2">
      <c r="A75" s="19">
        <v>9</v>
      </c>
      <c r="B75" s="177" t="s">
        <v>8</v>
      </c>
      <c r="C75" s="178"/>
      <c r="D75" s="14">
        <f t="shared" si="5"/>
        <v>103272</v>
      </c>
      <c r="E75" s="17">
        <f>IF(F3="1",SUMIF(Data!A:A,'40'!$A$2,Data!EG:EG),0)</f>
        <v>643745</v>
      </c>
      <c r="F75" s="21">
        <f t="shared" si="4"/>
        <v>6.23</v>
      </c>
    </row>
    <row r="76" spans="1:6" x14ac:dyDescent="0.2">
      <c r="A76" s="19">
        <v>10</v>
      </c>
      <c r="B76" s="177" t="s">
        <v>9</v>
      </c>
      <c r="C76" s="178"/>
      <c r="D76" s="14">
        <f t="shared" si="5"/>
        <v>2016</v>
      </c>
      <c r="E76" s="17">
        <f>IF(F3="1",SUMIF(Data!A:A,'40'!$A$2,Data!EH:EH),0)</f>
        <v>4937</v>
      </c>
      <c r="F76" s="21">
        <f t="shared" si="4"/>
        <v>2.4500000000000002</v>
      </c>
    </row>
    <row r="77" spans="1:6" x14ac:dyDescent="0.2">
      <c r="A77" s="19">
        <v>11</v>
      </c>
      <c r="B77" s="177" t="s">
        <v>10</v>
      </c>
      <c r="C77" s="178"/>
      <c r="D77" s="14">
        <f t="shared" si="5"/>
        <v>187147</v>
      </c>
      <c r="E77" s="17">
        <f>IF(F3="1",SUMIF(Data!A:A,'40'!$A$2,Data!EI:EI),0)</f>
        <v>1117236</v>
      </c>
      <c r="F77" s="21">
        <f t="shared" si="4"/>
        <v>5.97</v>
      </c>
    </row>
    <row r="78" spans="1:6" ht="14.25" customHeight="1" x14ac:dyDescent="0.2">
      <c r="A78" s="19">
        <v>12</v>
      </c>
      <c r="B78" s="177" t="s">
        <v>11</v>
      </c>
      <c r="C78" s="178"/>
      <c r="D78" s="14">
        <f t="shared" si="5"/>
        <v>1742578</v>
      </c>
      <c r="E78" s="17">
        <f>IF(F3="1",SUMIF(Data!A:A,'40'!$A$2,Data!EJ:EJ),0)</f>
        <v>4662642</v>
      </c>
      <c r="F78" s="21">
        <f t="shared" si="4"/>
        <v>2.68</v>
      </c>
    </row>
    <row r="79" spans="1:6" x14ac:dyDescent="0.2">
      <c r="A79" s="19">
        <v>13</v>
      </c>
      <c r="B79" s="177" t="s">
        <v>12</v>
      </c>
      <c r="C79" s="178"/>
      <c r="D79" s="14">
        <f t="shared" si="5"/>
        <v>330840</v>
      </c>
      <c r="E79" s="17">
        <f>IF(F3="1",SUMIF(Data!A:A,'40'!$A$2,Data!EK:EK),0)</f>
        <v>800097</v>
      </c>
      <c r="F79" s="21">
        <f t="shared" si="4"/>
        <v>2.42</v>
      </c>
    </row>
    <row r="80" spans="1:6" ht="14.25" customHeight="1" x14ac:dyDescent="0.2">
      <c r="A80" s="19">
        <v>14</v>
      </c>
      <c r="B80" s="177" t="s">
        <v>464</v>
      </c>
      <c r="C80" s="178"/>
      <c r="D80" s="14">
        <f t="shared" si="5"/>
        <v>167978</v>
      </c>
      <c r="E80" s="17">
        <f>IF(F3="1",SUMIF(Data!A:A,'40'!$A$2,Data!EL:EL),0)</f>
        <v>1354244</v>
      </c>
      <c r="F80" s="21">
        <f t="shared" si="4"/>
        <v>8.06</v>
      </c>
    </row>
    <row r="81" spans="1:6" x14ac:dyDescent="0.2">
      <c r="A81" s="19">
        <v>15</v>
      </c>
      <c r="B81" s="177" t="s">
        <v>13</v>
      </c>
      <c r="C81" s="178"/>
      <c r="D81" s="14">
        <f t="shared" si="5"/>
        <v>24480</v>
      </c>
      <c r="E81" s="17">
        <f>IF(F3="1",SUMIF(Data!A:A,'40'!$A$2,Data!EM:EM),0)</f>
        <v>198500</v>
      </c>
      <c r="F81" s="21">
        <f t="shared" si="4"/>
        <v>8.11</v>
      </c>
    </row>
    <row r="82" spans="1:6" x14ac:dyDescent="0.2">
      <c r="A82" s="19">
        <v>16</v>
      </c>
      <c r="B82" s="177" t="s">
        <v>14</v>
      </c>
      <c r="C82" s="178"/>
      <c r="D82" s="14">
        <f t="shared" si="5"/>
        <v>349317</v>
      </c>
      <c r="E82" s="17">
        <f>IF(F3="1",SUMIF(Data!A:A,'40'!$A$2,Data!EN:EN),0)</f>
        <v>1303530</v>
      </c>
      <c r="F82" s="21">
        <f t="shared" si="4"/>
        <v>3.73</v>
      </c>
    </row>
    <row r="83" spans="1:6" x14ac:dyDescent="0.2">
      <c r="A83" s="19">
        <v>17</v>
      </c>
      <c r="B83" s="177" t="s">
        <v>15</v>
      </c>
      <c r="C83" s="178"/>
      <c r="D83" s="14">
        <f t="shared" si="5"/>
        <v>40864</v>
      </c>
      <c r="E83" s="17">
        <f>IF(F3="1",SUMIF(Data!A:A,'40'!$A$2,Data!EO:EO),0)</f>
        <v>306880</v>
      </c>
      <c r="F83" s="21">
        <f t="shared" si="4"/>
        <v>7.51</v>
      </c>
    </row>
    <row r="84" spans="1:6" x14ac:dyDescent="0.2">
      <c r="A84" s="19">
        <v>18</v>
      </c>
      <c r="B84" s="177" t="s">
        <v>16</v>
      </c>
      <c r="C84" s="178"/>
      <c r="D84" s="14">
        <f t="shared" si="5"/>
        <v>0</v>
      </c>
      <c r="E84" s="17">
        <f>IF(F3="1",SUMIF(Data!A:A,'40'!$A$2,Data!EP:EP),0)</f>
        <v>0</v>
      </c>
      <c r="F84" s="21" t="str">
        <f t="shared" si="4"/>
        <v/>
      </c>
    </row>
    <row r="85" spans="1:6" x14ac:dyDescent="0.2">
      <c r="A85" s="19">
        <v>19</v>
      </c>
      <c r="B85" s="177" t="s">
        <v>17</v>
      </c>
      <c r="C85" s="178"/>
      <c r="D85" s="14">
        <f t="shared" si="5"/>
        <v>1131132</v>
      </c>
      <c r="E85" s="17">
        <f>IF(F3="1",SUMIF(Data!A:A,'40'!$A$2,Data!EQ:EQ),0)</f>
        <v>2871642</v>
      </c>
      <c r="F85" s="21">
        <f t="shared" si="4"/>
        <v>2.54</v>
      </c>
    </row>
    <row r="86" spans="1:6" x14ac:dyDescent="0.2">
      <c r="A86" s="19">
        <v>20</v>
      </c>
      <c r="B86" s="177" t="s">
        <v>18</v>
      </c>
      <c r="C86" s="178"/>
      <c r="D86" s="14">
        <f t="shared" si="5"/>
        <v>102014</v>
      </c>
      <c r="E86" s="17">
        <f>IF(F3="1",SUMIF(Data!A:A,'40'!$A$2,Data!ER:ER),0)</f>
        <v>494866</v>
      </c>
      <c r="F86" s="21">
        <f t="shared" si="4"/>
        <v>4.8499999999999996</v>
      </c>
    </row>
    <row r="87" spans="1:6" ht="14.25" customHeight="1" x14ac:dyDescent="0.2">
      <c r="A87" s="19">
        <v>21</v>
      </c>
      <c r="B87" s="177" t="s">
        <v>461</v>
      </c>
      <c r="C87" s="178"/>
      <c r="D87" s="14">
        <f t="shared" si="5"/>
        <v>138288</v>
      </c>
      <c r="E87" s="17">
        <f>IF(F3="1",SUMIF(Data!A:A,'40'!$A$2,Data!ES:ES),0)</f>
        <v>189357</v>
      </c>
      <c r="F87" s="21">
        <f t="shared" si="4"/>
        <v>1.37</v>
      </c>
    </row>
    <row r="88" spans="1:6" x14ac:dyDescent="0.2">
      <c r="A88" s="19">
        <v>22</v>
      </c>
      <c r="B88" s="177" t="s">
        <v>19</v>
      </c>
      <c r="C88" s="178"/>
      <c r="D88" s="14">
        <f t="shared" si="5"/>
        <v>9260</v>
      </c>
      <c r="E88" s="17">
        <f>IF(F3="1",SUMIF(Data!A:A,'40'!$A$2,Data!ET:ET),0)</f>
        <v>4155</v>
      </c>
      <c r="F88" s="21">
        <f t="shared" si="4"/>
        <v>0.45</v>
      </c>
    </row>
    <row r="89" spans="1:6" x14ac:dyDescent="0.2">
      <c r="A89" s="19">
        <v>23</v>
      </c>
      <c r="B89" s="177" t="s">
        <v>20</v>
      </c>
      <c r="C89" s="178"/>
      <c r="D89" s="14">
        <f t="shared" si="5"/>
        <v>312144</v>
      </c>
      <c r="E89" s="17">
        <f>IF(F3="1",SUMIF(Data!A:A,'40'!$A$2,Data!EU:EU),0)</f>
        <v>1154902</v>
      </c>
      <c r="F89" s="21">
        <f t="shared" si="4"/>
        <v>3.7</v>
      </c>
    </row>
    <row r="90" spans="1:6" x14ac:dyDescent="0.2">
      <c r="A90" s="19">
        <v>24</v>
      </c>
      <c r="B90" s="177" t="s">
        <v>21</v>
      </c>
      <c r="C90" s="178"/>
      <c r="D90" s="14">
        <f t="shared" si="5"/>
        <v>277610</v>
      </c>
      <c r="E90" s="17">
        <f>IF(F3="1",SUMIF(Data!A:A,'40'!$A$2,Data!EV:EV),0)</f>
        <v>442850</v>
      </c>
      <c r="F90" s="21">
        <f t="shared" si="4"/>
        <v>1.6</v>
      </c>
    </row>
    <row r="91" spans="1:6" x14ac:dyDescent="0.2">
      <c r="A91" s="19">
        <v>25</v>
      </c>
      <c r="B91" s="177" t="s">
        <v>22</v>
      </c>
      <c r="C91" s="178"/>
      <c r="D91" s="14">
        <f t="shared" si="5"/>
        <v>1987100</v>
      </c>
      <c r="E91" s="17">
        <f>IF(F3="1",SUMIF(Data!A:A,'40'!$A$2,Data!EW:EW),0)</f>
        <v>4294536</v>
      </c>
      <c r="F91" s="21">
        <f t="shared" si="4"/>
        <v>2.16</v>
      </c>
    </row>
    <row r="92" spans="1:6" x14ac:dyDescent="0.2">
      <c r="A92" s="19">
        <v>26</v>
      </c>
      <c r="B92" s="177" t="s">
        <v>23</v>
      </c>
      <c r="C92" s="178"/>
      <c r="D92" s="14">
        <f t="shared" si="5"/>
        <v>492480</v>
      </c>
      <c r="E92" s="17">
        <f>IF(F3="1",SUMIF(Data!A:A,'40'!$A$2,Data!EX:EX),0)</f>
        <v>1869068</v>
      </c>
      <c r="F92" s="21">
        <f t="shared" si="4"/>
        <v>3.8</v>
      </c>
    </row>
    <row r="93" spans="1:6" x14ac:dyDescent="0.2">
      <c r="A93" s="19">
        <v>28</v>
      </c>
      <c r="B93" s="177" t="s">
        <v>24</v>
      </c>
      <c r="C93" s="178"/>
      <c r="D93" s="14">
        <f t="shared" si="5"/>
        <v>0</v>
      </c>
      <c r="E93" s="17">
        <f>IF(F3="1",SUMIF(Data!A:A,'40'!$A$2,Data!EZ:EZ),0)</f>
        <v>0</v>
      </c>
      <c r="F93" s="21" t="str">
        <f t="shared" si="4"/>
        <v/>
      </c>
    </row>
    <row r="94" spans="1:6" ht="15.75" customHeight="1" thickBot="1" x14ac:dyDescent="0.25">
      <c r="A94" s="22">
        <v>29</v>
      </c>
      <c r="B94" s="179" t="s">
        <v>25</v>
      </c>
      <c r="C94" s="180"/>
      <c r="D94" s="23">
        <f t="shared" si="5"/>
        <v>0</v>
      </c>
      <c r="E94" s="24">
        <f>IF(F3="1",SUMIF(Data!A:A,'40'!$A$2,Data!FA:FA),0)</f>
        <v>0</v>
      </c>
      <c r="F94" s="25" t="str">
        <f t="shared" si="4"/>
        <v/>
      </c>
    </row>
    <row r="95" spans="1:6" x14ac:dyDescent="0.2">
      <c r="B95" s="30" t="s">
        <v>35</v>
      </c>
      <c r="C95" s="30"/>
      <c r="D95" s="59">
        <f>SUM(D67:D94)</f>
        <v>10345200</v>
      </c>
      <c r="E95" s="31">
        <f>SUM(E67:E94)</f>
        <v>30937996</v>
      </c>
      <c r="F95" s="32">
        <f t="shared" si="4"/>
        <v>2.99</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IF(F3="1",SUMIF(Data!A:A,'40'!$A$2,Data!AH:AH),0)</f>
        <v>10912386</v>
      </c>
      <c r="F98" s="20">
        <f>IF(OR(E98=0,E98=0),"",ROUND(E98/$D$105,2))</f>
        <v>1.05</v>
      </c>
    </row>
    <row r="99" spans="2:6" x14ac:dyDescent="0.2">
      <c r="B99" s="183" t="s">
        <v>31</v>
      </c>
      <c r="C99" s="184"/>
      <c r="D99" s="36"/>
      <c r="E99" s="17">
        <f>IF(F3="1",SUMIF(Data!A:A,'40'!$A$2,Data!AI:AI),0)</f>
        <v>7264961</v>
      </c>
      <c r="F99" s="21">
        <f t="shared" ref="F99:F104" si="6">IF(OR(E99=0,E99=0),"",ROUND(E99/$D$105,2))</f>
        <v>0.7</v>
      </c>
    </row>
    <row r="100" spans="2:6" x14ac:dyDescent="0.2">
      <c r="B100" s="183" t="s">
        <v>1078</v>
      </c>
      <c r="C100" s="184"/>
      <c r="D100" s="36"/>
      <c r="E100" s="17">
        <f>IF(F3="1",SUMIF(Data!A:A,'40'!$A$2,Data!AJ:AJ),0)</f>
        <v>4506159</v>
      </c>
      <c r="F100" s="21">
        <f t="shared" si="6"/>
        <v>0.44</v>
      </c>
    </row>
    <row r="101" spans="2:6" x14ac:dyDescent="0.2">
      <c r="B101" s="183" t="s">
        <v>1079</v>
      </c>
      <c r="C101" s="184"/>
      <c r="D101" s="36"/>
      <c r="E101" s="17">
        <f>IF(F3="1",SUMIF(Data!A:A,'40'!$A$2,Data!AK:AK),0)</f>
        <v>1756711</v>
      </c>
      <c r="F101" s="21">
        <f t="shared" si="6"/>
        <v>0.17</v>
      </c>
    </row>
    <row r="102" spans="2:6" x14ac:dyDescent="0.2">
      <c r="B102" s="183" t="s">
        <v>1080</v>
      </c>
      <c r="C102" s="184"/>
      <c r="D102" s="36"/>
      <c r="E102" s="17">
        <f>IF(F3="1",SUMIF(Data!A:A,'40'!$A$2,Data!AL:AL),0)</f>
        <v>0</v>
      </c>
      <c r="F102" s="21" t="str">
        <f t="shared" si="6"/>
        <v/>
      </c>
    </row>
    <row r="103" spans="2:6" x14ac:dyDescent="0.2">
      <c r="B103" s="185" t="s">
        <v>34</v>
      </c>
      <c r="C103" s="186"/>
      <c r="D103" s="36"/>
      <c r="E103" s="17">
        <f>IF(F3="1",SUMIF(Data!A:A,'40'!$A$2,Data!AM:AM),0)</f>
        <v>0</v>
      </c>
      <c r="F103" s="21" t="str">
        <f t="shared" si="6"/>
        <v/>
      </c>
    </row>
    <row r="104" spans="2:6" ht="15.75" customHeight="1" thickBot="1" x14ac:dyDescent="0.25">
      <c r="B104" s="175" t="s">
        <v>29</v>
      </c>
      <c r="C104" s="176"/>
      <c r="D104" s="37"/>
      <c r="E104" s="24">
        <f>IF(F3="1",SUMIF(Data!A:A,'40'!$A$2,Data!Q:Q),0)</f>
        <v>6565466</v>
      </c>
      <c r="F104" s="25">
        <f t="shared" si="6"/>
        <v>0.63</v>
      </c>
    </row>
    <row r="105" spans="2:6" x14ac:dyDescent="0.2">
      <c r="B105" s="30" t="s">
        <v>35</v>
      </c>
      <c r="C105" s="30"/>
      <c r="D105" s="34">
        <f>D95</f>
        <v>10345200</v>
      </c>
      <c r="E105" s="31">
        <f>SUM(E98:E104)</f>
        <v>31005683</v>
      </c>
      <c r="F105" s="32">
        <f>IF($D$105=0,"",ROUND(E105/$D$105,2))</f>
        <v>3</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30937996</v>
      </c>
      <c r="D109" s="15">
        <f>IF(F3="1",SUMIF(Data!$A:$A,$A$2,Data!HJ:HJ),0)</f>
        <v>0</v>
      </c>
      <c r="E109" s="15">
        <f>IF(F3="1",SUMIF(Data!$A:$A,$A$2,Data!IN:IN),0)</f>
        <v>0</v>
      </c>
      <c r="F109" s="47">
        <f>SUM(C109:E109)</f>
        <v>30937996</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6565466</v>
      </c>
      <c r="E117" s="52"/>
      <c r="F117" s="49">
        <f>SUM(C117:E117)</f>
        <v>6565466</v>
      </c>
    </row>
    <row r="118" spans="1:6" x14ac:dyDescent="0.2">
      <c r="B118" s="13" t="s">
        <v>35</v>
      </c>
      <c r="C118" s="4">
        <f>SUM(C109:C116)</f>
        <v>30937996</v>
      </c>
      <c r="D118" s="4">
        <f>SUM(D109:D116)</f>
        <v>0</v>
      </c>
      <c r="E118" s="4">
        <f>SUM(E109:E116)</f>
        <v>0</v>
      </c>
      <c r="F118" s="4">
        <f>SUM(F109:F116)</f>
        <v>30937996</v>
      </c>
    </row>
    <row r="119" spans="1:6" ht="15" thickBot="1" x14ac:dyDescent="0.25"/>
    <row r="120" spans="1:6" ht="15" thickBot="1" x14ac:dyDescent="0.25">
      <c r="B120" s="55" t="s">
        <v>934</v>
      </c>
      <c r="C120" s="53"/>
      <c r="D120" s="53"/>
      <c r="E120" s="53">
        <f>IF(F3="1",SUMIF(Data!A:A,'40'!$A$2,Data!AM:AM),0)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42578125" style="10" bestFit="1" customWidth="1"/>
    <col min="13"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403</v>
      </c>
      <c r="B2" s="58" t="str">
        <f>VLOOKUP(A2,Data!A:G,7,0)</f>
        <v>Temple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9680</v>
      </c>
      <c r="E5" s="15">
        <f>E36+E67+IFERROR($E$105/$D$105*D5,0)</f>
        <v>91426.774207634458</v>
      </c>
      <c r="F5" s="20">
        <f>IF(OR(D5=0,E5=0),"",ROUND(E5/D5,2))</f>
        <v>9.44</v>
      </c>
    </row>
    <row r="6" spans="1:6" x14ac:dyDescent="0.2">
      <c r="A6" s="19">
        <v>2</v>
      </c>
      <c r="B6" s="177" t="s">
        <v>1</v>
      </c>
      <c r="C6" s="178"/>
      <c r="D6" s="14">
        <f t="shared" ref="D6:D32" si="0">D37</f>
        <v>44598</v>
      </c>
      <c r="E6" s="17">
        <f t="shared" ref="E6:E32" si="1">E37+E68+IFERROR($E$105/$D$105*D6,0)</f>
        <v>483290.61178843817</v>
      </c>
      <c r="F6" s="21">
        <f t="shared" ref="F6:F33" si="2">IF(OR(D6=0,E6=0),"",ROUND(E6/D6,2))</f>
        <v>10.84</v>
      </c>
    </row>
    <row r="7" spans="1:6" ht="14.25" customHeight="1" x14ac:dyDescent="0.2">
      <c r="A7" s="19">
        <v>3</v>
      </c>
      <c r="B7" s="177" t="s">
        <v>2</v>
      </c>
      <c r="C7" s="178"/>
      <c r="D7" s="14">
        <f t="shared" si="0"/>
        <v>128016</v>
      </c>
      <c r="E7" s="17">
        <f t="shared" si="1"/>
        <v>826050.3924550137</v>
      </c>
      <c r="F7" s="21">
        <f t="shared" si="2"/>
        <v>6.45</v>
      </c>
    </row>
    <row r="8" spans="1:6" ht="14.25" customHeight="1" x14ac:dyDescent="0.2">
      <c r="A8" s="19">
        <v>4</v>
      </c>
      <c r="B8" s="177" t="s">
        <v>3</v>
      </c>
      <c r="C8" s="178"/>
      <c r="D8" s="14">
        <f t="shared" si="0"/>
        <v>123517</v>
      </c>
      <c r="E8" s="17">
        <f t="shared" si="1"/>
        <v>572573.41103351093</v>
      </c>
      <c r="F8" s="21">
        <f t="shared" si="2"/>
        <v>4.6399999999999997</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0</v>
      </c>
      <c r="E10" s="17">
        <f t="shared" si="1"/>
        <v>0</v>
      </c>
      <c r="F10" s="21" t="str">
        <f t="shared" si="2"/>
        <v/>
      </c>
    </row>
    <row r="11" spans="1:6" x14ac:dyDescent="0.2">
      <c r="A11" s="19">
        <v>7</v>
      </c>
      <c r="B11" s="177" t="s">
        <v>6</v>
      </c>
      <c r="C11" s="178"/>
      <c r="D11" s="14">
        <f t="shared" si="0"/>
        <v>118304</v>
      </c>
      <c r="E11" s="17">
        <f t="shared" si="1"/>
        <v>1149046.2751921476</v>
      </c>
      <c r="F11" s="21">
        <f t="shared" si="2"/>
        <v>9.7100000000000009</v>
      </c>
    </row>
    <row r="12" spans="1:6" x14ac:dyDescent="0.2">
      <c r="A12" s="19">
        <v>8</v>
      </c>
      <c r="B12" s="177" t="s">
        <v>7</v>
      </c>
      <c r="C12" s="178"/>
      <c r="D12" s="14">
        <f t="shared" si="0"/>
        <v>2205</v>
      </c>
      <c r="E12" s="17">
        <f t="shared" si="1"/>
        <v>10862.888649569628</v>
      </c>
      <c r="F12" s="21">
        <f t="shared" si="2"/>
        <v>4.93</v>
      </c>
    </row>
    <row r="13" spans="1:6" x14ac:dyDescent="0.2">
      <c r="A13" s="19">
        <v>9</v>
      </c>
      <c r="B13" s="177" t="s">
        <v>8</v>
      </c>
      <c r="C13" s="178"/>
      <c r="D13" s="14">
        <f t="shared" si="0"/>
        <v>5222</v>
      </c>
      <c r="E13" s="17">
        <f t="shared" si="1"/>
        <v>109735.48232564743</v>
      </c>
      <c r="F13" s="21">
        <f t="shared" si="2"/>
        <v>21.01</v>
      </c>
    </row>
    <row r="14" spans="1:6" x14ac:dyDescent="0.2">
      <c r="A14" s="19">
        <v>10</v>
      </c>
      <c r="B14" s="177" t="s">
        <v>9</v>
      </c>
      <c r="C14" s="178"/>
      <c r="D14" s="14">
        <f t="shared" si="0"/>
        <v>288</v>
      </c>
      <c r="E14" s="17">
        <f t="shared" si="1"/>
        <v>2496.0874970866453</v>
      </c>
      <c r="F14" s="21">
        <f t="shared" si="2"/>
        <v>8.67</v>
      </c>
    </row>
    <row r="15" spans="1:6" x14ac:dyDescent="0.2">
      <c r="A15" s="19">
        <v>11</v>
      </c>
      <c r="B15" s="177" t="s">
        <v>10</v>
      </c>
      <c r="C15" s="178"/>
      <c r="D15" s="14">
        <f t="shared" si="0"/>
        <v>4480</v>
      </c>
      <c r="E15" s="17">
        <f t="shared" si="1"/>
        <v>75488.027732458926</v>
      </c>
      <c r="F15" s="21">
        <f t="shared" si="2"/>
        <v>16.850000000000001</v>
      </c>
    </row>
    <row r="16" spans="1:6" ht="14.25" customHeight="1" x14ac:dyDescent="0.2">
      <c r="A16" s="19">
        <v>12</v>
      </c>
      <c r="B16" s="177" t="s">
        <v>11</v>
      </c>
      <c r="C16" s="178"/>
      <c r="D16" s="14">
        <f t="shared" si="0"/>
        <v>203952</v>
      </c>
      <c r="E16" s="17">
        <f t="shared" si="1"/>
        <v>1224975.4625201926</v>
      </c>
      <c r="F16" s="21">
        <f t="shared" si="2"/>
        <v>6.01</v>
      </c>
    </row>
    <row r="17" spans="1:6" x14ac:dyDescent="0.2">
      <c r="A17" s="19">
        <v>13</v>
      </c>
      <c r="B17" s="177" t="s">
        <v>12</v>
      </c>
      <c r="C17" s="178"/>
      <c r="D17" s="14">
        <f t="shared" si="0"/>
        <v>14016</v>
      </c>
      <c r="E17" s="17">
        <f t="shared" si="1"/>
        <v>126449.25819155006</v>
      </c>
      <c r="F17" s="21">
        <f t="shared" si="2"/>
        <v>9.02</v>
      </c>
    </row>
    <row r="18" spans="1:6" ht="14.25" customHeight="1" x14ac:dyDescent="0.2">
      <c r="A18" s="19">
        <v>14</v>
      </c>
      <c r="B18" s="177" t="s">
        <v>464</v>
      </c>
      <c r="C18" s="178"/>
      <c r="D18" s="14">
        <f t="shared" si="0"/>
        <v>121112</v>
      </c>
      <c r="E18" s="17">
        <f t="shared" si="1"/>
        <v>943628.37828874227</v>
      </c>
      <c r="F18" s="21">
        <f t="shared" si="2"/>
        <v>7.79</v>
      </c>
    </row>
    <row r="19" spans="1:6" x14ac:dyDescent="0.2">
      <c r="A19" s="19">
        <v>15</v>
      </c>
      <c r="B19" s="177" t="s">
        <v>13</v>
      </c>
      <c r="C19" s="178"/>
      <c r="D19" s="14">
        <f t="shared" si="0"/>
        <v>10814</v>
      </c>
      <c r="E19" s="17">
        <f t="shared" si="1"/>
        <v>358246.43122741312</v>
      </c>
      <c r="F19" s="21">
        <f t="shared" si="2"/>
        <v>33.130000000000003</v>
      </c>
    </row>
    <row r="20" spans="1:6" x14ac:dyDescent="0.2">
      <c r="A20" s="19">
        <v>16</v>
      </c>
      <c r="B20" s="177" t="s">
        <v>14</v>
      </c>
      <c r="C20" s="178"/>
      <c r="D20" s="14">
        <f t="shared" si="0"/>
        <v>121252</v>
      </c>
      <c r="E20" s="17">
        <f t="shared" si="1"/>
        <v>868328.87915538158</v>
      </c>
      <c r="F20" s="21">
        <f t="shared" si="2"/>
        <v>7.16</v>
      </c>
    </row>
    <row r="21" spans="1:6" x14ac:dyDescent="0.2">
      <c r="A21" s="19">
        <v>17</v>
      </c>
      <c r="B21" s="177" t="s">
        <v>15</v>
      </c>
      <c r="C21" s="178"/>
      <c r="D21" s="14">
        <f t="shared" si="0"/>
        <v>32976</v>
      </c>
      <c r="E21" s="17">
        <f t="shared" si="1"/>
        <v>281443.51841642091</v>
      </c>
      <c r="F21" s="21">
        <f t="shared" si="2"/>
        <v>8.5299999999999994</v>
      </c>
    </row>
    <row r="22" spans="1:6" x14ac:dyDescent="0.2">
      <c r="A22" s="19">
        <v>18</v>
      </c>
      <c r="B22" s="177" t="s">
        <v>16</v>
      </c>
      <c r="C22" s="178"/>
      <c r="D22" s="14">
        <f t="shared" si="0"/>
        <v>20443</v>
      </c>
      <c r="E22" s="17">
        <f t="shared" si="1"/>
        <v>441511.90869077184</v>
      </c>
      <c r="F22" s="21">
        <f t="shared" si="2"/>
        <v>21.6</v>
      </c>
    </row>
    <row r="23" spans="1:6" x14ac:dyDescent="0.2">
      <c r="A23" s="19">
        <v>19</v>
      </c>
      <c r="B23" s="177" t="s">
        <v>17</v>
      </c>
      <c r="C23" s="178"/>
      <c r="D23" s="14">
        <f t="shared" si="0"/>
        <v>121051</v>
      </c>
      <c r="E23" s="17">
        <f t="shared" si="1"/>
        <v>835705.47433970659</v>
      </c>
      <c r="F23" s="21">
        <f t="shared" si="2"/>
        <v>6.9</v>
      </c>
    </row>
    <row r="24" spans="1:6" x14ac:dyDescent="0.2">
      <c r="A24" s="19">
        <v>20</v>
      </c>
      <c r="B24" s="177" t="s">
        <v>18</v>
      </c>
      <c r="C24" s="178"/>
      <c r="D24" s="14">
        <f t="shared" si="0"/>
        <v>11696</v>
      </c>
      <c r="E24" s="17">
        <f t="shared" si="1"/>
        <v>136343.38668724097</v>
      </c>
      <c r="F24" s="21">
        <f t="shared" si="2"/>
        <v>11.66</v>
      </c>
    </row>
    <row r="25" spans="1:6" ht="14.25" customHeight="1" x14ac:dyDescent="0.2">
      <c r="A25" s="19">
        <v>21</v>
      </c>
      <c r="B25" s="177" t="s">
        <v>461</v>
      </c>
      <c r="C25" s="178"/>
      <c r="D25" s="14">
        <f t="shared" si="0"/>
        <v>0</v>
      </c>
      <c r="E25" s="17">
        <f t="shared" si="1"/>
        <v>0</v>
      </c>
      <c r="F25" s="21" t="str">
        <f t="shared" si="2"/>
        <v/>
      </c>
    </row>
    <row r="26" spans="1:6" x14ac:dyDescent="0.2">
      <c r="A26" s="19">
        <v>22</v>
      </c>
      <c r="B26" s="177" t="s">
        <v>19</v>
      </c>
      <c r="C26" s="178"/>
      <c r="D26" s="14">
        <f t="shared" si="0"/>
        <v>0</v>
      </c>
      <c r="E26" s="17">
        <f t="shared" si="1"/>
        <v>0</v>
      </c>
      <c r="F26" s="21" t="str">
        <f t="shared" si="2"/>
        <v/>
      </c>
    </row>
    <row r="27" spans="1:6" x14ac:dyDescent="0.2">
      <c r="A27" s="19">
        <v>23</v>
      </c>
      <c r="B27" s="177" t="s">
        <v>20</v>
      </c>
      <c r="C27" s="178"/>
      <c r="D27" s="14">
        <f t="shared" si="0"/>
        <v>72528</v>
      </c>
      <c r="E27" s="17">
        <f t="shared" si="1"/>
        <v>457456.53468298679</v>
      </c>
      <c r="F27" s="21">
        <f t="shared" si="2"/>
        <v>6.31</v>
      </c>
    </row>
    <row r="28" spans="1:6" x14ac:dyDescent="0.2">
      <c r="A28" s="19">
        <v>24</v>
      </c>
      <c r="B28" s="177" t="s">
        <v>21</v>
      </c>
      <c r="C28" s="178"/>
      <c r="D28" s="14">
        <f t="shared" si="0"/>
        <v>52502</v>
      </c>
      <c r="E28" s="17">
        <f t="shared" si="1"/>
        <v>263964.34643070505</v>
      </c>
      <c r="F28" s="21">
        <f t="shared" si="2"/>
        <v>5.03</v>
      </c>
    </row>
    <row r="29" spans="1:6" x14ac:dyDescent="0.2">
      <c r="A29" s="19">
        <v>25</v>
      </c>
      <c r="B29" s="177" t="s">
        <v>22</v>
      </c>
      <c r="C29" s="178"/>
      <c r="D29" s="14">
        <f t="shared" si="0"/>
        <v>189264</v>
      </c>
      <c r="E29" s="17">
        <f t="shared" si="1"/>
        <v>962512.00016877358</v>
      </c>
      <c r="F29" s="21">
        <f t="shared" si="2"/>
        <v>5.09</v>
      </c>
    </row>
    <row r="30" spans="1:6" x14ac:dyDescent="0.2">
      <c r="A30" s="19">
        <v>26</v>
      </c>
      <c r="B30" s="177" t="s">
        <v>23</v>
      </c>
      <c r="C30" s="178"/>
      <c r="D30" s="14">
        <f t="shared" si="0"/>
        <v>85208</v>
      </c>
      <c r="E30" s="17">
        <f t="shared" si="1"/>
        <v>799016.47031860717</v>
      </c>
      <c r="F30" s="21">
        <f t="shared" si="2"/>
        <v>9.3800000000000008</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1493124</v>
      </c>
      <c r="E33" s="31">
        <f>SUM(E5:E32)</f>
        <v>11020552.000000004</v>
      </c>
      <c r="F33" s="32">
        <f t="shared" si="2"/>
        <v>7.38</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IF(F3="1",SUMIF(Data!A:A,'41'!$A$2,Data!CU:CU),0)</f>
        <v>9680</v>
      </c>
      <c r="E36" s="15">
        <f>IF(F3="1",SUMIF(Data!$A:$A,$A$2,Data!IO:IO),0)</f>
        <v>7543</v>
      </c>
      <c r="F36" s="20">
        <f t="shared" ref="F36:F64" si="3">IF(OR(D36=0,E36=0),"",ROUND(E36/D36,2))</f>
        <v>0.78</v>
      </c>
    </row>
    <row r="37" spans="1:6" x14ac:dyDescent="0.2">
      <c r="A37" s="19">
        <v>2</v>
      </c>
      <c r="B37" s="177" t="s">
        <v>1</v>
      </c>
      <c r="C37" s="178"/>
      <c r="D37" s="14">
        <f>IF(F3="1",SUMIF(Data!A:A,'41'!$A$2,Data!CV:CV),0)</f>
        <v>44598</v>
      </c>
      <c r="E37" s="17">
        <f>IF(F3="1",SUMIF(Data!$A:$A,$A$2,Data!IP:IP),0)</f>
        <v>204203</v>
      </c>
      <c r="F37" s="21">
        <f t="shared" si="3"/>
        <v>4.58</v>
      </c>
    </row>
    <row r="38" spans="1:6" ht="14.25" customHeight="1" x14ac:dyDescent="0.2">
      <c r="A38" s="19">
        <v>3</v>
      </c>
      <c r="B38" s="177" t="s">
        <v>2</v>
      </c>
      <c r="C38" s="178"/>
      <c r="D38" s="14">
        <f>IF(F3="1",SUMIF(Data!A:A,'41'!$A$2,Data!CW:CW),0)</f>
        <v>128016</v>
      </c>
      <c r="E38" s="17">
        <f>IF($F$3="1",SUMIF(Data!$A:$A,$A$2,Data!IQ:IQ),0)</f>
        <v>78201</v>
      </c>
      <c r="F38" s="21">
        <f t="shared" si="3"/>
        <v>0.61</v>
      </c>
    </row>
    <row r="39" spans="1:6" ht="14.25" customHeight="1" x14ac:dyDescent="0.2">
      <c r="A39" s="19">
        <v>4</v>
      </c>
      <c r="B39" s="177" t="s">
        <v>3</v>
      </c>
      <c r="C39" s="178"/>
      <c r="D39" s="14">
        <f>IF(F3="1",SUMIF(Data!A:A,'41'!$A$2,Data!CX:CX),0)</f>
        <v>123517</v>
      </c>
      <c r="E39" s="17">
        <f>IF($F$3="1",SUMIF(Data!$A:$A,$A$2,Data!IR:IR),0)</f>
        <v>24050</v>
      </c>
      <c r="F39" s="21">
        <f t="shared" si="3"/>
        <v>0.19</v>
      </c>
    </row>
    <row r="40" spans="1:6" x14ac:dyDescent="0.2">
      <c r="A40" s="19">
        <v>5</v>
      </c>
      <c r="B40" s="177" t="s">
        <v>4</v>
      </c>
      <c r="C40" s="178"/>
      <c r="D40" s="14">
        <f>IF(F3="1",SUMIF(Data!A:A,'41'!$A$2,Data!CY:CY),0)</f>
        <v>0</v>
      </c>
      <c r="E40" s="17">
        <f>IF($F$3="1",SUMIF(Data!$A:$A,$A$2,Data!IS:IS),0)</f>
        <v>0</v>
      </c>
      <c r="F40" s="21" t="str">
        <f t="shared" si="3"/>
        <v/>
      </c>
    </row>
    <row r="41" spans="1:6" x14ac:dyDescent="0.2">
      <c r="A41" s="19">
        <v>6</v>
      </c>
      <c r="B41" s="177" t="s">
        <v>5</v>
      </c>
      <c r="C41" s="178"/>
      <c r="D41" s="14">
        <f>IF(F3="1",SUMIF(Data!A:A,'41'!$A$2,Data!CZ:CZ),0)</f>
        <v>0</v>
      </c>
      <c r="E41" s="17">
        <f>IF($F$3="1",SUMIF(Data!$A:$A,$A$2,Data!IT:IT),0)</f>
        <v>0</v>
      </c>
      <c r="F41" s="21" t="str">
        <f t="shared" si="3"/>
        <v/>
      </c>
    </row>
    <row r="42" spans="1:6" x14ac:dyDescent="0.2">
      <c r="A42" s="19">
        <v>7</v>
      </c>
      <c r="B42" s="177" t="s">
        <v>6</v>
      </c>
      <c r="C42" s="178"/>
      <c r="D42" s="14">
        <f>IF(F3="1",SUMIF(Data!A:A,'41'!$A$2,Data!DA:DA),0)</f>
        <v>118304</v>
      </c>
      <c r="E42" s="17">
        <f>IF($F$3="1",SUMIF(Data!$A:$A,$A$2,Data!IU:IU),0)</f>
        <v>185368</v>
      </c>
      <c r="F42" s="21">
        <f t="shared" si="3"/>
        <v>1.57</v>
      </c>
    </row>
    <row r="43" spans="1:6" x14ac:dyDescent="0.2">
      <c r="A43" s="19">
        <v>8</v>
      </c>
      <c r="B43" s="177" t="s">
        <v>7</v>
      </c>
      <c r="C43" s="178"/>
      <c r="D43" s="14">
        <f>IF(F3="1",SUMIF(Data!A:A,'41'!$A$2,Data!DB:DB),0)</f>
        <v>2205</v>
      </c>
      <c r="E43" s="17">
        <f>IF($F$3="1",SUMIF(Data!$A:$A,$A$2,Data!IV:IV),0)</f>
        <v>0</v>
      </c>
      <c r="F43" s="21" t="str">
        <f t="shared" si="3"/>
        <v/>
      </c>
    </row>
    <row r="44" spans="1:6" x14ac:dyDescent="0.2">
      <c r="A44" s="19">
        <v>9</v>
      </c>
      <c r="B44" s="177" t="s">
        <v>8</v>
      </c>
      <c r="C44" s="178"/>
      <c r="D44" s="14">
        <f>IF(F3="1",SUMIF(Data!A:A,'41'!$A$2,Data!DC:DC),0)</f>
        <v>5222</v>
      </c>
      <c r="E44" s="17">
        <f>IF($F$3="1",SUMIF(Data!$A:$A,$A$2,Data!IW:IW),0)</f>
        <v>10991</v>
      </c>
      <c r="F44" s="21">
        <f t="shared" si="3"/>
        <v>2.1</v>
      </c>
    </row>
    <row r="45" spans="1:6" x14ac:dyDescent="0.2">
      <c r="A45" s="19">
        <v>10</v>
      </c>
      <c r="B45" s="177" t="s">
        <v>9</v>
      </c>
      <c r="C45" s="178"/>
      <c r="D45" s="14">
        <f>IF(F3="1",SUMIF(Data!A:A,'41'!$A$2,Data!DD:DD),0)</f>
        <v>288</v>
      </c>
      <c r="E45" s="17">
        <f>IF($F$3="1",SUMIF(Data!$A:$A,$A$2,Data!IX:IX),0)</f>
        <v>1005</v>
      </c>
      <c r="F45" s="21">
        <f t="shared" si="3"/>
        <v>3.49</v>
      </c>
    </row>
    <row r="46" spans="1:6" x14ac:dyDescent="0.2">
      <c r="A46" s="19">
        <v>11</v>
      </c>
      <c r="B46" s="177" t="s">
        <v>10</v>
      </c>
      <c r="C46" s="178"/>
      <c r="D46" s="14">
        <f>IF(F3="1",SUMIF(Data!A:A,'41'!$A$2,Data!DE:DE),0)</f>
        <v>4480</v>
      </c>
      <c r="E46" s="17">
        <f>IF($F$3="1",SUMIF(Data!$A:$A,$A$2,Data!IY:IY),0)</f>
        <v>5176</v>
      </c>
      <c r="F46" s="21">
        <f t="shared" si="3"/>
        <v>1.1599999999999999</v>
      </c>
    </row>
    <row r="47" spans="1:6" ht="14.25" customHeight="1" x14ac:dyDescent="0.2">
      <c r="A47" s="19">
        <v>12</v>
      </c>
      <c r="B47" s="177" t="s">
        <v>11</v>
      </c>
      <c r="C47" s="178"/>
      <c r="D47" s="14">
        <f>IF(F3="1",SUMIF(Data!A:A,'41'!$A$2,Data!DF:DF),0)</f>
        <v>203952</v>
      </c>
      <c r="E47" s="17">
        <f>IF($F$3="1",SUMIF(Data!$A:$A,$A$2,Data!IZ:IZ),0)</f>
        <v>90771</v>
      </c>
      <c r="F47" s="21">
        <f t="shared" si="3"/>
        <v>0.45</v>
      </c>
    </row>
    <row r="48" spans="1:6" x14ac:dyDescent="0.2">
      <c r="A48" s="19">
        <v>13</v>
      </c>
      <c r="B48" s="177" t="s">
        <v>12</v>
      </c>
      <c r="C48" s="178"/>
      <c r="D48" s="14">
        <f>IF(F3="1",SUMIF(Data!A:A,'41'!$A$2,Data!DG:DG),0)</f>
        <v>14016</v>
      </c>
      <c r="E48" s="17">
        <f>IF($F$3="1",SUMIF(Data!$A:$A,$A$2,Data!JA:JA),0)</f>
        <v>11509</v>
      </c>
      <c r="F48" s="21">
        <f t="shared" si="3"/>
        <v>0.82</v>
      </c>
    </row>
    <row r="49" spans="1:6" ht="14.25" customHeight="1" x14ac:dyDescent="0.2">
      <c r="A49" s="19">
        <v>14</v>
      </c>
      <c r="B49" s="177" t="s">
        <v>464</v>
      </c>
      <c r="C49" s="178"/>
      <c r="D49" s="14">
        <f>IF(F3="1",SUMIF(Data!A:A,'41'!$A$2,Data!DH:DH),0)</f>
        <v>121112</v>
      </c>
      <c r="E49" s="17">
        <f>IF($F$3="1",SUMIF(Data!$A:$A,$A$2,Data!JB:JB),0)</f>
        <v>105804</v>
      </c>
      <c r="F49" s="21">
        <f t="shared" si="3"/>
        <v>0.87</v>
      </c>
    </row>
    <row r="50" spans="1:6" x14ac:dyDescent="0.2">
      <c r="A50" s="19">
        <v>15</v>
      </c>
      <c r="B50" s="177" t="s">
        <v>13</v>
      </c>
      <c r="C50" s="178"/>
      <c r="D50" s="14">
        <f>IF(F3="1",SUMIF(Data!A:A,'41'!$A$2,Data!DI:DI),0)</f>
        <v>10814</v>
      </c>
      <c r="E50" s="17">
        <f>IF($F$3="1",SUMIF(Data!$A:$A,$A$2,Data!JC:JC),0)</f>
        <v>84320</v>
      </c>
      <c r="F50" s="21">
        <f t="shared" si="3"/>
        <v>7.8</v>
      </c>
    </row>
    <row r="51" spans="1:6" x14ac:dyDescent="0.2">
      <c r="A51" s="19">
        <v>16</v>
      </c>
      <c r="B51" s="177" t="s">
        <v>14</v>
      </c>
      <c r="C51" s="178"/>
      <c r="D51" s="14">
        <f>IF(F3="1",SUMIF(Data!A:A,'41'!$A$2,Data!DJ:DJ),0)</f>
        <v>121252</v>
      </c>
      <c r="E51" s="17">
        <f>IF($F$3="1",SUMIF(Data!$A:$A,$A$2,Data!JD:JD),0)</f>
        <v>116962</v>
      </c>
      <c r="F51" s="21">
        <f t="shared" si="3"/>
        <v>0.96</v>
      </c>
    </row>
    <row r="52" spans="1:6" x14ac:dyDescent="0.2">
      <c r="A52" s="19">
        <v>17</v>
      </c>
      <c r="B52" s="177" t="s">
        <v>15</v>
      </c>
      <c r="C52" s="178"/>
      <c r="D52" s="14">
        <f>IF(F3="1",SUMIF(Data!A:A,'41'!$A$2,Data!DK:DK),0)</f>
        <v>32976</v>
      </c>
      <c r="E52" s="17">
        <f>IF($F$3="1",SUMIF(Data!$A:$A,$A$2,Data!JE:JE),0)</f>
        <v>34545</v>
      </c>
      <c r="F52" s="21">
        <f t="shared" si="3"/>
        <v>1.05</v>
      </c>
    </row>
    <row r="53" spans="1:6" x14ac:dyDescent="0.2">
      <c r="A53" s="19">
        <v>18</v>
      </c>
      <c r="B53" s="177" t="s">
        <v>16</v>
      </c>
      <c r="C53" s="178"/>
      <c r="D53" s="14">
        <f>IF(F3="1",SUMIF(Data!A:A,'41'!$A$2,Data!DL:DL),0)</f>
        <v>20443</v>
      </c>
      <c r="E53" s="17">
        <f>IF($F$3="1",SUMIF(Data!$A:$A,$A$2,Data!JF:JF),0)</f>
        <v>63021</v>
      </c>
      <c r="F53" s="21">
        <f t="shared" si="3"/>
        <v>3.08</v>
      </c>
    </row>
    <row r="54" spans="1:6" x14ac:dyDescent="0.2">
      <c r="A54" s="19">
        <v>19</v>
      </c>
      <c r="B54" s="177" t="s">
        <v>17</v>
      </c>
      <c r="C54" s="178"/>
      <c r="D54" s="14">
        <f>IF(F3="1",SUMIF(Data!A:A,'41'!$A$2,Data!DM:DM),0)</f>
        <v>121051</v>
      </c>
      <c r="E54" s="17">
        <f>IF($F$3="1",SUMIF(Data!$A:$A,$A$2,Data!JG:JG),0)</f>
        <v>67092</v>
      </c>
      <c r="F54" s="21">
        <f t="shared" si="3"/>
        <v>0.55000000000000004</v>
      </c>
    </row>
    <row r="55" spans="1:6" x14ac:dyDescent="0.2">
      <c r="A55" s="19">
        <v>20</v>
      </c>
      <c r="B55" s="177" t="s">
        <v>18</v>
      </c>
      <c r="C55" s="178"/>
      <c r="D55" s="14">
        <f>IF(F3="1",SUMIF(Data!A:A,'41'!$A$2,Data!DN:DN),0)</f>
        <v>11696</v>
      </c>
      <c r="E55" s="17">
        <f>IF($F$3="1",SUMIF(Data!$A:$A,$A$2,Data!JH:JH),0)</f>
        <v>23198</v>
      </c>
      <c r="F55" s="21">
        <f t="shared" si="3"/>
        <v>1.98</v>
      </c>
    </row>
    <row r="56" spans="1:6" ht="14.25" customHeight="1" x14ac:dyDescent="0.2">
      <c r="A56" s="19">
        <v>21</v>
      </c>
      <c r="B56" s="177" t="s">
        <v>461</v>
      </c>
      <c r="C56" s="178"/>
      <c r="D56" s="14">
        <f>IF(F3="1",SUMIF(Data!A:A,'41'!$A$2,Data!DO:DO),0)</f>
        <v>0</v>
      </c>
      <c r="E56" s="17">
        <f>IF($F$3="1",SUMIF(Data!$A:$A,$A$2,Data!JI:JI),0)</f>
        <v>0</v>
      </c>
      <c r="F56" s="21" t="str">
        <f t="shared" si="3"/>
        <v/>
      </c>
    </row>
    <row r="57" spans="1:6" x14ac:dyDescent="0.2">
      <c r="A57" s="19">
        <v>22</v>
      </c>
      <c r="B57" s="177" t="s">
        <v>19</v>
      </c>
      <c r="C57" s="178"/>
      <c r="D57" s="14">
        <f>IF(F3="1",SUMIF(Data!A:A,'41'!$A$2,Data!DP:DP),0)</f>
        <v>0</v>
      </c>
      <c r="E57" s="17">
        <f>IF($F$3="1",SUMIF(Data!$A:$A,$A$2,Data!JJ:JJ),0)</f>
        <v>0</v>
      </c>
      <c r="F57" s="21" t="str">
        <f t="shared" si="3"/>
        <v/>
      </c>
    </row>
    <row r="58" spans="1:6" x14ac:dyDescent="0.2">
      <c r="A58" s="19">
        <v>23</v>
      </c>
      <c r="B58" s="177" t="s">
        <v>20</v>
      </c>
      <c r="C58" s="178"/>
      <c r="D58" s="14">
        <f>IF(F3="1",SUMIF(Data!A:A,'41'!$A$2,Data!DQ:DQ),0)</f>
        <v>72528</v>
      </c>
      <c r="E58" s="17">
        <f>IF($F$3="1",SUMIF(Data!$A:$A,$A$2,Data!JK:JK),0)</f>
        <v>26235</v>
      </c>
      <c r="F58" s="21">
        <f t="shared" si="3"/>
        <v>0.36</v>
      </c>
    </row>
    <row r="59" spans="1:6" x14ac:dyDescent="0.2">
      <c r="A59" s="19">
        <v>24</v>
      </c>
      <c r="B59" s="177" t="s">
        <v>21</v>
      </c>
      <c r="C59" s="178"/>
      <c r="D59" s="14">
        <f>IF(F3="1",SUMIF(Data!A:A,'41'!$A$2,Data!DR:DR),0)</f>
        <v>52502</v>
      </c>
      <c r="E59" s="17">
        <f>IF($F$3="1",SUMIF(Data!$A:$A,$A$2,Data!JL:JL),0)</f>
        <v>26283</v>
      </c>
      <c r="F59" s="21">
        <f t="shared" si="3"/>
        <v>0.5</v>
      </c>
    </row>
    <row r="60" spans="1:6" x14ac:dyDescent="0.2">
      <c r="A60" s="19">
        <v>25</v>
      </c>
      <c r="B60" s="177" t="s">
        <v>22</v>
      </c>
      <c r="C60" s="178"/>
      <c r="D60" s="14">
        <f>IF(F3="1",SUMIF(Data!A:A,'41'!$A$2,Data!DS:DS),0)</f>
        <v>189264</v>
      </c>
      <c r="E60" s="17">
        <f>IF($F$3="1",SUMIF(Data!$A:$A,$A$2,Data!JM:JM),0)</f>
        <v>67586</v>
      </c>
      <c r="F60" s="21">
        <f t="shared" si="3"/>
        <v>0.36</v>
      </c>
    </row>
    <row r="61" spans="1:6" x14ac:dyDescent="0.2">
      <c r="A61" s="19">
        <v>26</v>
      </c>
      <c r="B61" s="177" t="s">
        <v>23</v>
      </c>
      <c r="C61" s="178"/>
      <c r="D61" s="14">
        <f>IF(F3="1",SUMIF(Data!A:A,'41'!$A$2,Data!DT:DT),0)</f>
        <v>85208</v>
      </c>
      <c r="E61" s="17">
        <f>IF($F$3="1",SUMIF(Data!$A:$A,$A$2,Data!JN:JN),0)</f>
        <v>123793</v>
      </c>
      <c r="F61" s="21">
        <f t="shared" si="3"/>
        <v>1.45</v>
      </c>
    </row>
    <row r="62" spans="1:6" x14ac:dyDescent="0.2">
      <c r="A62" s="19">
        <v>28</v>
      </c>
      <c r="B62" s="177" t="s">
        <v>24</v>
      </c>
      <c r="C62" s="178"/>
      <c r="D62" s="14">
        <f>IF(F3="1",SUMIF(Data!A:A,'41'!$A$2,Data!DV:DV),0)</f>
        <v>0</v>
      </c>
      <c r="E62" s="17">
        <f>IF($F$3="1",SUMIF(Data!$A:$A,$A$2,Data!JP:JP),0)</f>
        <v>0</v>
      </c>
      <c r="F62" s="21" t="str">
        <f t="shared" si="3"/>
        <v/>
      </c>
    </row>
    <row r="63" spans="1:6" ht="15.75" customHeight="1" thickBot="1" x14ac:dyDescent="0.25">
      <c r="A63" s="22">
        <v>29</v>
      </c>
      <c r="B63" s="179" t="s">
        <v>25</v>
      </c>
      <c r="C63" s="180"/>
      <c r="D63" s="23">
        <f>IF(F3="1",SUMIF(Data!A:A,'41'!$A$2,Data!DW:DW),0)</f>
        <v>0</v>
      </c>
      <c r="E63" s="24">
        <f>IF($F$3="1",SUMIF(Data!$A:$A,$A$2,Data!JQ:JQ),0)</f>
        <v>0</v>
      </c>
      <c r="F63" s="25" t="str">
        <f t="shared" si="3"/>
        <v/>
      </c>
    </row>
    <row r="64" spans="1:6" x14ac:dyDescent="0.2">
      <c r="B64" s="30" t="s">
        <v>35</v>
      </c>
      <c r="C64" s="30"/>
      <c r="D64" s="59">
        <f>SUM(D36:D63)</f>
        <v>1493124</v>
      </c>
      <c r="E64" s="31">
        <f>SUM(E36:E63)</f>
        <v>1357656</v>
      </c>
      <c r="F64" s="32">
        <f t="shared" si="3"/>
        <v>0.91</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9680</v>
      </c>
      <c r="E67" s="15">
        <f>IF(F3="1",SUMIF(Data!A:A,'41'!$A$2,Data!DY:DY),0)</f>
        <v>62000</v>
      </c>
      <c r="F67" s="20">
        <f t="shared" ref="F67:F95" si="4">IF(OR(D67=0,E67=0),"",ROUND(E67/D67,2))</f>
        <v>6.4</v>
      </c>
    </row>
    <row r="68" spans="1:6" x14ac:dyDescent="0.2">
      <c r="A68" s="19">
        <v>2</v>
      </c>
      <c r="B68" s="177" t="s">
        <v>1</v>
      </c>
      <c r="C68" s="178"/>
      <c r="D68" s="14">
        <f t="shared" ref="D68:D94" si="5">D37</f>
        <v>44598</v>
      </c>
      <c r="E68" s="17">
        <f>IF(F3="1",SUMIF(Data!A:A,'41'!$A$2,Data!DZ:DZ),0)</f>
        <v>178264</v>
      </c>
      <c r="F68" s="21">
        <f t="shared" si="4"/>
        <v>4</v>
      </c>
    </row>
    <row r="69" spans="1:6" ht="14.25" customHeight="1" x14ac:dyDescent="0.2">
      <c r="A69" s="19">
        <v>3</v>
      </c>
      <c r="B69" s="177" t="s">
        <v>2</v>
      </c>
      <c r="C69" s="178"/>
      <c r="D69" s="14">
        <f t="shared" si="5"/>
        <v>128016</v>
      </c>
      <c r="E69" s="17">
        <f>IF(F3="1",SUMIF(Data!A:A,'41'!$A$2,Data!EA:EA),0)</f>
        <v>458441</v>
      </c>
      <c r="F69" s="21">
        <f t="shared" si="4"/>
        <v>3.58</v>
      </c>
    </row>
    <row r="70" spans="1:6" ht="14.25" customHeight="1" x14ac:dyDescent="0.2">
      <c r="A70" s="19">
        <v>4</v>
      </c>
      <c r="B70" s="177" t="s">
        <v>3</v>
      </c>
      <c r="C70" s="178"/>
      <c r="D70" s="14">
        <f t="shared" si="5"/>
        <v>123517</v>
      </c>
      <c r="E70" s="17">
        <f>IF(F3="1",SUMIF(Data!A:A,'41'!$A$2,Data!EB:EB),0)</f>
        <v>269286</v>
      </c>
      <c r="F70" s="21">
        <f t="shared" si="4"/>
        <v>2.1800000000000002</v>
      </c>
    </row>
    <row r="71" spans="1:6" x14ac:dyDescent="0.2">
      <c r="A71" s="19">
        <v>5</v>
      </c>
      <c r="B71" s="177" t="s">
        <v>4</v>
      </c>
      <c r="C71" s="178"/>
      <c r="D71" s="14">
        <f t="shared" si="5"/>
        <v>0</v>
      </c>
      <c r="E71" s="17">
        <f>IF(F3="1",SUMIF(Data!A:A,'41'!$A$2,Data!EC:EC),0)</f>
        <v>0</v>
      </c>
      <c r="F71" s="21" t="str">
        <f t="shared" si="4"/>
        <v/>
      </c>
    </row>
    <row r="72" spans="1:6" x14ac:dyDescent="0.2">
      <c r="A72" s="19">
        <v>6</v>
      </c>
      <c r="B72" s="177" t="s">
        <v>5</v>
      </c>
      <c r="C72" s="178"/>
      <c r="D72" s="14">
        <f t="shared" si="5"/>
        <v>0</v>
      </c>
      <c r="E72" s="17">
        <f>IF(F3="1",SUMIF(Data!A:A,'41'!$A$2,Data!ED:ED),0)</f>
        <v>0</v>
      </c>
      <c r="F72" s="21" t="str">
        <f t="shared" si="4"/>
        <v/>
      </c>
    </row>
    <row r="73" spans="1:6" x14ac:dyDescent="0.2">
      <c r="A73" s="19">
        <v>7</v>
      </c>
      <c r="B73" s="177" t="s">
        <v>6</v>
      </c>
      <c r="C73" s="178"/>
      <c r="D73" s="14">
        <f t="shared" si="5"/>
        <v>118304</v>
      </c>
      <c r="E73" s="17">
        <f>IF(F3="1",SUMIF(Data!A:A,'41'!$A$2,Data!EE:EE),0)</f>
        <v>696226</v>
      </c>
      <c r="F73" s="21">
        <f t="shared" si="4"/>
        <v>5.89</v>
      </c>
    </row>
    <row r="74" spans="1:6" x14ac:dyDescent="0.2">
      <c r="A74" s="19">
        <v>8</v>
      </c>
      <c r="B74" s="177" t="s">
        <v>7</v>
      </c>
      <c r="C74" s="178"/>
      <c r="D74" s="14">
        <f t="shared" si="5"/>
        <v>2205</v>
      </c>
      <c r="E74" s="17">
        <f>IF(F3="1",SUMIF(Data!A:A,'41'!$A$2,Data!EF:EF),0)</f>
        <v>5878</v>
      </c>
      <c r="F74" s="21">
        <f t="shared" si="4"/>
        <v>2.67</v>
      </c>
    </row>
    <row r="75" spans="1:6" x14ac:dyDescent="0.2">
      <c r="A75" s="19">
        <v>9</v>
      </c>
      <c r="B75" s="177" t="s">
        <v>8</v>
      </c>
      <c r="C75" s="178"/>
      <c r="D75" s="14">
        <f t="shared" si="5"/>
        <v>5222</v>
      </c>
      <c r="E75" s="17">
        <f>IF(F3="1",SUMIF(Data!A:A,'41'!$A$2,Data!EG:EG),0)</f>
        <v>86939</v>
      </c>
      <c r="F75" s="21">
        <f t="shared" si="4"/>
        <v>16.649999999999999</v>
      </c>
    </row>
    <row r="76" spans="1:6" x14ac:dyDescent="0.2">
      <c r="A76" s="19">
        <v>10</v>
      </c>
      <c r="B76" s="177" t="s">
        <v>9</v>
      </c>
      <c r="C76" s="178"/>
      <c r="D76" s="14">
        <f t="shared" si="5"/>
        <v>288</v>
      </c>
      <c r="E76" s="17">
        <f>IF(F3="1",SUMIF(Data!A:A,'41'!$A$2,Data!EH:EH),0)</f>
        <v>840</v>
      </c>
      <c r="F76" s="21">
        <f t="shared" si="4"/>
        <v>2.92</v>
      </c>
    </row>
    <row r="77" spans="1:6" x14ac:dyDescent="0.2">
      <c r="A77" s="19">
        <v>11</v>
      </c>
      <c r="B77" s="177" t="s">
        <v>10</v>
      </c>
      <c r="C77" s="178"/>
      <c r="D77" s="14">
        <f t="shared" si="5"/>
        <v>4480</v>
      </c>
      <c r="E77" s="17">
        <f>IF(F3="1",SUMIF(Data!A:A,'41'!$A$2,Data!EI:EI),0)</f>
        <v>60184</v>
      </c>
      <c r="F77" s="21">
        <f t="shared" si="4"/>
        <v>13.43</v>
      </c>
    </row>
    <row r="78" spans="1:6" ht="14.25" customHeight="1" x14ac:dyDescent="0.2">
      <c r="A78" s="19">
        <v>12</v>
      </c>
      <c r="B78" s="177" t="s">
        <v>11</v>
      </c>
      <c r="C78" s="178"/>
      <c r="D78" s="14">
        <f t="shared" si="5"/>
        <v>203952</v>
      </c>
      <c r="E78" s="17">
        <f>IF(F3="1",SUMIF(Data!A:A,'41'!$A$2,Data!EJ:EJ),0)</f>
        <v>673126</v>
      </c>
      <c r="F78" s="21">
        <f t="shared" si="4"/>
        <v>3.3</v>
      </c>
    </row>
    <row r="79" spans="1:6" x14ac:dyDescent="0.2">
      <c r="A79" s="19">
        <v>13</v>
      </c>
      <c r="B79" s="177" t="s">
        <v>12</v>
      </c>
      <c r="C79" s="178"/>
      <c r="D79" s="14">
        <f t="shared" si="5"/>
        <v>14016</v>
      </c>
      <c r="E79" s="17">
        <f>IF(F3="1",SUMIF(Data!A:A,'41'!$A$2,Data!EK:EK),0)</f>
        <v>83254</v>
      </c>
      <c r="F79" s="21">
        <f t="shared" si="4"/>
        <v>5.94</v>
      </c>
    </row>
    <row r="80" spans="1:6" ht="14.25" customHeight="1" x14ac:dyDescent="0.2">
      <c r="A80" s="19">
        <v>14</v>
      </c>
      <c r="B80" s="177" t="s">
        <v>464</v>
      </c>
      <c r="C80" s="178"/>
      <c r="D80" s="14">
        <f t="shared" si="5"/>
        <v>121112</v>
      </c>
      <c r="E80" s="17">
        <f>IF(F3="1",SUMIF(Data!A:A,'41'!$A$2,Data!EL:EL),0)</f>
        <v>564024</v>
      </c>
      <c r="F80" s="21">
        <f t="shared" si="4"/>
        <v>4.66</v>
      </c>
    </row>
    <row r="81" spans="1:6" x14ac:dyDescent="0.2">
      <c r="A81" s="19">
        <v>15</v>
      </c>
      <c r="B81" s="177" t="s">
        <v>13</v>
      </c>
      <c r="C81" s="178"/>
      <c r="D81" s="14">
        <f t="shared" si="5"/>
        <v>10814</v>
      </c>
      <c r="E81" s="17">
        <f>IF(F3="1",SUMIF(Data!A:A,'41'!$A$2,Data!EM:EM),0)</f>
        <v>249479</v>
      </c>
      <c r="F81" s="21">
        <f t="shared" si="4"/>
        <v>23.07</v>
      </c>
    </row>
    <row r="82" spans="1:6" x14ac:dyDescent="0.2">
      <c r="A82" s="19">
        <v>16</v>
      </c>
      <c r="B82" s="177" t="s">
        <v>14</v>
      </c>
      <c r="C82" s="178"/>
      <c r="D82" s="14">
        <f t="shared" si="5"/>
        <v>121252</v>
      </c>
      <c r="E82" s="17">
        <f>IF(F3="1",SUMIF(Data!A:A,'41'!$A$2,Data!EN:EN),0)</f>
        <v>477250</v>
      </c>
      <c r="F82" s="21">
        <f t="shared" si="4"/>
        <v>3.94</v>
      </c>
    </row>
    <row r="83" spans="1:6" x14ac:dyDescent="0.2">
      <c r="A83" s="19">
        <v>17</v>
      </c>
      <c r="B83" s="177" t="s">
        <v>15</v>
      </c>
      <c r="C83" s="178"/>
      <c r="D83" s="14">
        <f t="shared" si="5"/>
        <v>32976</v>
      </c>
      <c r="E83" s="17">
        <f>IF(F3="1",SUMIF(Data!A:A,'41'!$A$2,Data!EO:EO),0)</f>
        <v>172349</v>
      </c>
      <c r="F83" s="21">
        <f t="shared" si="4"/>
        <v>5.23</v>
      </c>
    </row>
    <row r="84" spans="1:6" x14ac:dyDescent="0.2">
      <c r="A84" s="19">
        <v>18</v>
      </c>
      <c r="B84" s="177" t="s">
        <v>16</v>
      </c>
      <c r="C84" s="178"/>
      <c r="D84" s="14">
        <f t="shared" si="5"/>
        <v>20443</v>
      </c>
      <c r="E84" s="17">
        <f>IF(F3="1",SUMIF(Data!A:A,'41'!$A$2,Data!EP:EP),0)</f>
        <v>332275</v>
      </c>
      <c r="F84" s="21">
        <f t="shared" si="4"/>
        <v>16.25</v>
      </c>
    </row>
    <row r="85" spans="1:6" x14ac:dyDescent="0.2">
      <c r="A85" s="19">
        <v>19</v>
      </c>
      <c r="B85" s="177" t="s">
        <v>17</v>
      </c>
      <c r="C85" s="178"/>
      <c r="D85" s="14">
        <f t="shared" si="5"/>
        <v>121051</v>
      </c>
      <c r="E85" s="17">
        <f>IF(F3="1",SUMIF(Data!A:A,'41'!$A$2,Data!EQ:EQ),0)</f>
        <v>494951</v>
      </c>
      <c r="F85" s="21">
        <f t="shared" si="4"/>
        <v>4.09</v>
      </c>
    </row>
    <row r="86" spans="1:6" x14ac:dyDescent="0.2">
      <c r="A86" s="19">
        <v>20</v>
      </c>
      <c r="B86" s="177" t="s">
        <v>18</v>
      </c>
      <c r="C86" s="178"/>
      <c r="D86" s="14">
        <f t="shared" si="5"/>
        <v>11696</v>
      </c>
      <c r="E86" s="17">
        <f>IF(F3="1",SUMIF(Data!A:A,'41'!$A$2,Data!ER:ER),0)</f>
        <v>86704</v>
      </c>
      <c r="F86" s="21">
        <f t="shared" si="4"/>
        <v>7.41</v>
      </c>
    </row>
    <row r="87" spans="1:6" ht="14.25" customHeight="1" x14ac:dyDescent="0.2">
      <c r="A87" s="19">
        <v>21</v>
      </c>
      <c r="B87" s="177" t="s">
        <v>461</v>
      </c>
      <c r="C87" s="178"/>
      <c r="D87" s="14">
        <f t="shared" si="5"/>
        <v>0</v>
      </c>
      <c r="E87" s="17">
        <f>IF(F3="1",SUMIF(Data!A:A,'41'!$A$2,Data!ES:ES),0)</f>
        <v>0</v>
      </c>
      <c r="F87" s="21" t="str">
        <f t="shared" si="4"/>
        <v/>
      </c>
    </row>
    <row r="88" spans="1:6" x14ac:dyDescent="0.2">
      <c r="A88" s="19">
        <v>22</v>
      </c>
      <c r="B88" s="177" t="s">
        <v>19</v>
      </c>
      <c r="C88" s="178"/>
      <c r="D88" s="14">
        <f t="shared" si="5"/>
        <v>0</v>
      </c>
      <c r="E88" s="17">
        <f>IF(F3="1",SUMIF(Data!A:A,'41'!$A$2,Data!ET:ET),0)</f>
        <v>0</v>
      </c>
      <c r="F88" s="21" t="str">
        <f t="shared" si="4"/>
        <v/>
      </c>
    </row>
    <row r="89" spans="1:6" x14ac:dyDescent="0.2">
      <c r="A89" s="19">
        <v>23</v>
      </c>
      <c r="B89" s="177" t="s">
        <v>20</v>
      </c>
      <c r="C89" s="178"/>
      <c r="D89" s="14">
        <f t="shared" si="5"/>
        <v>72528</v>
      </c>
      <c r="E89" s="17">
        <f>IF(F3="1",SUMIF(Data!A:A,'41'!$A$2,Data!EU:EU),0)</f>
        <v>267256</v>
      </c>
      <c r="F89" s="21">
        <f t="shared" si="4"/>
        <v>3.68</v>
      </c>
    </row>
    <row r="90" spans="1:6" x14ac:dyDescent="0.2">
      <c r="A90" s="19">
        <v>24</v>
      </c>
      <c r="B90" s="177" t="s">
        <v>21</v>
      </c>
      <c r="C90" s="178"/>
      <c r="D90" s="14">
        <f t="shared" si="5"/>
        <v>52502</v>
      </c>
      <c r="E90" s="17">
        <f>IF(F3="1",SUMIF(Data!A:A,'41'!$A$2,Data!EV:EV),0)</f>
        <v>118989</v>
      </c>
      <c r="F90" s="21">
        <f t="shared" si="4"/>
        <v>2.27</v>
      </c>
    </row>
    <row r="91" spans="1:6" x14ac:dyDescent="0.2">
      <c r="A91" s="19">
        <v>25</v>
      </c>
      <c r="B91" s="177" t="s">
        <v>22</v>
      </c>
      <c r="C91" s="178"/>
      <c r="D91" s="14">
        <f t="shared" si="5"/>
        <v>189264</v>
      </c>
      <c r="E91" s="17">
        <f>IF(F3="1",SUMIF(Data!A:A,'41'!$A$2,Data!EW:EW),0)</f>
        <v>467053</v>
      </c>
      <c r="F91" s="21">
        <f t="shared" si="4"/>
        <v>2.4700000000000002</v>
      </c>
    </row>
    <row r="92" spans="1:6" x14ac:dyDescent="0.2">
      <c r="A92" s="19">
        <v>26</v>
      </c>
      <c r="B92" s="177" t="s">
        <v>23</v>
      </c>
      <c r="C92" s="178"/>
      <c r="D92" s="14">
        <f t="shared" si="5"/>
        <v>85208</v>
      </c>
      <c r="E92" s="17">
        <f>IF(F3="1",SUMIF(Data!A:A,'41'!$A$2,Data!EX:EX),0)</f>
        <v>482592</v>
      </c>
      <c r="F92" s="21">
        <f t="shared" si="4"/>
        <v>5.66</v>
      </c>
    </row>
    <row r="93" spans="1:6" x14ac:dyDescent="0.2">
      <c r="A93" s="19">
        <v>28</v>
      </c>
      <c r="B93" s="177" t="s">
        <v>24</v>
      </c>
      <c r="C93" s="178"/>
      <c r="D93" s="14">
        <f t="shared" si="5"/>
        <v>0</v>
      </c>
      <c r="E93" s="17">
        <f>IF(F3="1",SUMIF(Data!A:A,'41'!$A$2,Data!EZ:EZ),0)</f>
        <v>0</v>
      </c>
      <c r="F93" s="21" t="str">
        <f t="shared" si="4"/>
        <v/>
      </c>
    </row>
    <row r="94" spans="1:6" ht="15.75" customHeight="1" thickBot="1" x14ac:dyDescent="0.25">
      <c r="A94" s="22">
        <v>29</v>
      </c>
      <c r="B94" s="179" t="s">
        <v>25</v>
      </c>
      <c r="C94" s="180"/>
      <c r="D94" s="23">
        <f t="shared" si="5"/>
        <v>0</v>
      </c>
      <c r="E94" s="24">
        <f>IF(F3="1",SUMIF(Data!A:A,'41'!$A$2,Data!FA:FA),0)</f>
        <v>0</v>
      </c>
      <c r="F94" s="25" t="str">
        <f t="shared" si="4"/>
        <v/>
      </c>
    </row>
    <row r="95" spans="1:6" x14ac:dyDescent="0.2">
      <c r="B95" s="30" t="s">
        <v>35</v>
      </c>
      <c r="C95" s="30"/>
      <c r="D95" s="59">
        <f>SUM(D67:D94)</f>
        <v>1493124</v>
      </c>
      <c r="E95" s="31">
        <f>SUM(E67:E94)</f>
        <v>6287360</v>
      </c>
      <c r="F95" s="32">
        <f t="shared" si="4"/>
        <v>4.21</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IF(F3="1",SUMIF(Data!A:A,'41'!$A$2,Data!AH:AH),0)</f>
        <v>1647702</v>
      </c>
      <c r="F98" s="20">
        <f>IF(OR(E98=0,E98=0),"",ROUND(E98/$D$105,2))</f>
        <v>1.1000000000000001</v>
      </c>
    </row>
    <row r="99" spans="2:6" x14ac:dyDescent="0.2">
      <c r="B99" s="183" t="s">
        <v>31</v>
      </c>
      <c r="C99" s="184"/>
      <c r="D99" s="36"/>
      <c r="E99" s="17">
        <f>IF(F3="1",SUMIF(Data!A:A,'41'!$A$2,Data!AI:AI),0)</f>
        <v>936446</v>
      </c>
      <c r="F99" s="21">
        <f t="shared" ref="F99:F104" si="6">IF(OR(E99=0,E99=0),"",ROUND(E99/$D$105,2))</f>
        <v>0.63</v>
      </c>
    </row>
    <row r="100" spans="2:6" x14ac:dyDescent="0.2">
      <c r="B100" s="183" t="s">
        <v>1078</v>
      </c>
      <c r="C100" s="184"/>
      <c r="D100" s="36"/>
      <c r="E100" s="17">
        <f>IF(F3="1",SUMIF(Data!A:A,'41'!$A$2,Data!AJ:AJ),0)</f>
        <v>592279</v>
      </c>
      <c r="F100" s="21">
        <f t="shared" si="6"/>
        <v>0.4</v>
      </c>
    </row>
    <row r="101" spans="2:6" x14ac:dyDescent="0.2">
      <c r="B101" s="183" t="s">
        <v>1079</v>
      </c>
      <c r="C101" s="184"/>
      <c r="D101" s="36"/>
      <c r="E101" s="17">
        <f>IF(F3="1",SUMIF(Data!A:A,'41'!$A$2,Data!AK:AK),0)</f>
        <v>199109</v>
      </c>
      <c r="F101" s="21">
        <f t="shared" si="6"/>
        <v>0.13</v>
      </c>
    </row>
    <row r="102" spans="2:6" x14ac:dyDescent="0.2">
      <c r="B102" s="183" t="s">
        <v>1080</v>
      </c>
      <c r="C102" s="184"/>
      <c r="D102" s="36"/>
      <c r="E102" s="17">
        <f>IF(F3="1",SUMIF(Data!A:A,'41'!$A$2,Data!AL:AL),0)</f>
        <v>0</v>
      </c>
      <c r="F102" s="21" t="str">
        <f t="shared" si="6"/>
        <v/>
      </c>
    </row>
    <row r="103" spans="2:6" x14ac:dyDescent="0.2">
      <c r="B103" s="185" t="s">
        <v>34</v>
      </c>
      <c r="C103" s="186"/>
      <c r="D103" s="36"/>
      <c r="E103" s="17">
        <f>IF(F3="1",SUMIF(Data!A:A,'41'!$A$2,Data!AM:AM),0)</f>
        <v>0</v>
      </c>
      <c r="F103" s="21" t="str">
        <f t="shared" si="6"/>
        <v/>
      </c>
    </row>
    <row r="104" spans="2:6" ht="15.75" customHeight="1" thickBot="1" x14ac:dyDescent="0.25">
      <c r="B104" s="175" t="s">
        <v>29</v>
      </c>
      <c r="C104" s="176"/>
      <c r="D104" s="37"/>
      <c r="E104" s="24">
        <f>IF(F3="1",SUMIF(Data!A:A,'41'!$A$2,Data!Q:Q),0)</f>
        <v>0</v>
      </c>
      <c r="F104" s="25" t="str">
        <f t="shared" si="6"/>
        <v/>
      </c>
    </row>
    <row r="105" spans="2:6" x14ac:dyDescent="0.2">
      <c r="B105" s="30" t="s">
        <v>35</v>
      </c>
      <c r="C105" s="30"/>
      <c r="D105" s="34">
        <f>D95</f>
        <v>1493124</v>
      </c>
      <c r="E105" s="31">
        <f>SUM(E98:E104)</f>
        <v>3375536</v>
      </c>
      <c r="F105" s="32">
        <f>IF($D$105=0,"",ROUND(E105/$D$105,2))</f>
        <v>2.2599999999999998</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6287360</v>
      </c>
      <c r="D109" s="15">
        <f>IF(F3="1",SUMIF(Data!$A:$A,$A$2,Data!HJ:HJ),0)</f>
        <v>0</v>
      </c>
      <c r="E109" s="15">
        <f>IF(F3="1",SUMIF(Data!$A:$A,$A$2,Data!IN:IN),0)</f>
        <v>0</v>
      </c>
      <c r="F109" s="47">
        <f>SUM(C109:E109)</f>
        <v>6287360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0</v>
      </c>
      <c r="E117" s="52"/>
      <c r="F117" s="49">
        <f>SUM(C117:E117)</f>
        <v>0</v>
      </c>
    </row>
    <row r="118" spans="1:6" x14ac:dyDescent="0.2">
      <c r="B118" s="13" t="s">
        <v>35</v>
      </c>
      <c r="C118" s="4">
        <f>SUM(C109:C116)</f>
        <v>6287360</v>
      </c>
      <c r="D118" s="4">
        <f>SUM(D109:D116)</f>
        <v>0</v>
      </c>
      <c r="E118" s="4">
        <f>SUM(E109:E116)</f>
        <v>0</v>
      </c>
      <c r="F118" s="4">
        <f>SUM(F109:F116)</f>
        <v>6287360</v>
      </c>
    </row>
    <row r="119" spans="1:6" ht="15" thickBot="1" x14ac:dyDescent="0.25"/>
    <row r="120" spans="1:6" ht="15" thickBot="1" x14ac:dyDescent="0.25">
      <c r="B120" s="55" t="s">
        <v>934</v>
      </c>
      <c r="C120" s="53"/>
      <c r="D120" s="53"/>
      <c r="E120" s="53">
        <f>IF(F3="1",SUMIF(Data!A:A,'41'!$A$2,Data!AM:AM),0)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9.140625" style="10"/>
    <col min="12" max="14" width="6"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405</v>
      </c>
      <c r="B2" s="58" t="str">
        <f>VLOOKUP(A2,Data!A:G,7,0)</f>
        <v>Texarkana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36574</v>
      </c>
      <c r="E5" s="15">
        <f>E36+E67+IFERROR($E$105/$D$105*D5,0)</f>
        <v>241018.46308283191</v>
      </c>
      <c r="F5" s="20">
        <f>IF(OR(D5=0,E5=0),"",ROUND(E5/D5,2))</f>
        <v>6.59</v>
      </c>
    </row>
    <row r="6" spans="1:6" x14ac:dyDescent="0.2">
      <c r="A6" s="19">
        <v>2</v>
      </c>
      <c r="B6" s="177" t="s">
        <v>1</v>
      </c>
      <c r="C6" s="178"/>
      <c r="D6" s="14">
        <f t="shared" ref="D6:D32" si="0">D37</f>
        <v>158110</v>
      </c>
      <c r="E6" s="17">
        <f t="shared" ref="E6:E32" si="1">E37+E68+IFERROR($E$105/$D$105*D6,0)</f>
        <v>604524.90578078828</v>
      </c>
      <c r="F6" s="21">
        <f t="shared" ref="F6:F33" si="2">IF(OR(D6=0,E6=0),"",ROUND(E6/D6,2))</f>
        <v>3.82</v>
      </c>
    </row>
    <row r="7" spans="1:6" ht="14.25" customHeight="1" x14ac:dyDescent="0.2">
      <c r="A7" s="19">
        <v>3</v>
      </c>
      <c r="B7" s="177" t="s">
        <v>2</v>
      </c>
      <c r="C7" s="178"/>
      <c r="D7" s="14">
        <f t="shared" si="0"/>
        <v>190632</v>
      </c>
      <c r="E7" s="17">
        <f t="shared" si="1"/>
        <v>938849.65271521872</v>
      </c>
      <c r="F7" s="21">
        <f t="shared" si="2"/>
        <v>4.92</v>
      </c>
    </row>
    <row r="8" spans="1:6" ht="14.25" customHeight="1" x14ac:dyDescent="0.2">
      <c r="A8" s="19">
        <v>4</v>
      </c>
      <c r="B8" s="177" t="s">
        <v>3</v>
      </c>
      <c r="C8" s="178"/>
      <c r="D8" s="14">
        <f t="shared" si="0"/>
        <v>195298</v>
      </c>
      <c r="E8" s="17">
        <f t="shared" si="1"/>
        <v>884989.6037390196</v>
      </c>
      <c r="F8" s="21">
        <f t="shared" si="2"/>
        <v>4.53</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6368</v>
      </c>
      <c r="E10" s="17">
        <f t="shared" si="1"/>
        <v>35074.745417823411</v>
      </c>
      <c r="F10" s="21">
        <f t="shared" si="2"/>
        <v>5.51</v>
      </c>
    </row>
    <row r="11" spans="1:6" x14ac:dyDescent="0.2">
      <c r="A11" s="19">
        <v>7</v>
      </c>
      <c r="B11" s="177" t="s">
        <v>6</v>
      </c>
      <c r="C11" s="178"/>
      <c r="D11" s="14">
        <f t="shared" si="0"/>
        <v>43831</v>
      </c>
      <c r="E11" s="17">
        <f t="shared" si="1"/>
        <v>345808.33847497142</v>
      </c>
      <c r="F11" s="21">
        <f t="shared" si="2"/>
        <v>7.89</v>
      </c>
    </row>
    <row r="12" spans="1:6" x14ac:dyDescent="0.2">
      <c r="A12" s="19">
        <v>8</v>
      </c>
      <c r="B12" s="177" t="s">
        <v>7</v>
      </c>
      <c r="C12" s="178"/>
      <c r="D12" s="14">
        <f t="shared" si="0"/>
        <v>120851</v>
      </c>
      <c r="E12" s="17">
        <f t="shared" si="1"/>
        <v>496583.66763338214</v>
      </c>
      <c r="F12" s="21">
        <f t="shared" si="2"/>
        <v>4.1100000000000003</v>
      </c>
    </row>
    <row r="13" spans="1:6" x14ac:dyDescent="0.2">
      <c r="A13" s="19">
        <v>9</v>
      </c>
      <c r="B13" s="177" t="s">
        <v>8</v>
      </c>
      <c r="C13" s="178"/>
      <c r="D13" s="14">
        <f t="shared" si="0"/>
        <v>85936</v>
      </c>
      <c r="E13" s="17">
        <f t="shared" si="1"/>
        <v>362107.84080183308</v>
      </c>
      <c r="F13" s="21">
        <f t="shared" si="2"/>
        <v>4.21</v>
      </c>
    </row>
    <row r="14" spans="1:6" x14ac:dyDescent="0.2">
      <c r="A14" s="19">
        <v>10</v>
      </c>
      <c r="B14" s="177" t="s">
        <v>9</v>
      </c>
      <c r="C14" s="178"/>
      <c r="D14" s="14">
        <f t="shared" si="0"/>
        <v>1056</v>
      </c>
      <c r="E14" s="17">
        <f t="shared" si="1"/>
        <v>2873.8371798400635</v>
      </c>
      <c r="F14" s="21">
        <f t="shared" si="2"/>
        <v>2.72</v>
      </c>
    </row>
    <row r="15" spans="1:6" x14ac:dyDescent="0.2">
      <c r="A15" s="19">
        <v>11</v>
      </c>
      <c r="B15" s="177" t="s">
        <v>10</v>
      </c>
      <c r="C15" s="178"/>
      <c r="D15" s="14">
        <f t="shared" si="0"/>
        <v>144243</v>
      </c>
      <c r="E15" s="17">
        <f t="shared" si="1"/>
        <v>439793.69728377869</v>
      </c>
      <c r="F15" s="21">
        <f t="shared" si="2"/>
        <v>3.05</v>
      </c>
    </row>
    <row r="16" spans="1:6" ht="14.25" customHeight="1" x14ac:dyDescent="0.2">
      <c r="A16" s="19">
        <v>12</v>
      </c>
      <c r="B16" s="177" t="s">
        <v>11</v>
      </c>
      <c r="C16" s="178"/>
      <c r="D16" s="14">
        <f t="shared" si="0"/>
        <v>205664</v>
      </c>
      <c r="E16" s="17">
        <f t="shared" si="1"/>
        <v>808590.47135854815</v>
      </c>
      <c r="F16" s="21">
        <f t="shared" si="2"/>
        <v>3.93</v>
      </c>
    </row>
    <row r="17" spans="1:6" x14ac:dyDescent="0.2">
      <c r="A17" s="19">
        <v>13</v>
      </c>
      <c r="B17" s="177" t="s">
        <v>12</v>
      </c>
      <c r="C17" s="178"/>
      <c r="D17" s="14">
        <f t="shared" si="0"/>
        <v>16800</v>
      </c>
      <c r="E17" s="17">
        <f t="shared" si="1"/>
        <v>89200.227861091917</v>
      </c>
      <c r="F17" s="21">
        <f t="shared" si="2"/>
        <v>5.31</v>
      </c>
    </row>
    <row r="18" spans="1:6" ht="14.25" customHeight="1" x14ac:dyDescent="0.2">
      <c r="A18" s="19">
        <v>14</v>
      </c>
      <c r="B18" s="177" t="s">
        <v>464</v>
      </c>
      <c r="C18" s="178"/>
      <c r="D18" s="14">
        <f t="shared" si="0"/>
        <v>114432</v>
      </c>
      <c r="E18" s="17">
        <f t="shared" si="1"/>
        <v>927072.08348812326</v>
      </c>
      <c r="F18" s="21">
        <f t="shared" si="2"/>
        <v>8.1</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70756</v>
      </c>
      <c r="E20" s="17">
        <f t="shared" si="1"/>
        <v>356009.43134163215</v>
      </c>
      <c r="F20" s="21">
        <f t="shared" si="2"/>
        <v>5.03</v>
      </c>
    </row>
    <row r="21" spans="1:6" x14ac:dyDescent="0.2">
      <c r="A21" s="19">
        <v>17</v>
      </c>
      <c r="B21" s="177" t="s">
        <v>15</v>
      </c>
      <c r="C21" s="178"/>
      <c r="D21" s="14">
        <f t="shared" si="0"/>
        <v>0</v>
      </c>
      <c r="E21" s="17">
        <f t="shared" si="1"/>
        <v>0</v>
      </c>
      <c r="F21" s="21" t="str">
        <f t="shared" si="2"/>
        <v/>
      </c>
    </row>
    <row r="22" spans="1:6" x14ac:dyDescent="0.2">
      <c r="A22" s="19">
        <v>18</v>
      </c>
      <c r="B22" s="177" t="s">
        <v>16</v>
      </c>
      <c r="C22" s="178"/>
      <c r="D22" s="14">
        <f t="shared" si="0"/>
        <v>136235</v>
      </c>
      <c r="E22" s="17">
        <f t="shared" si="1"/>
        <v>552502.43200332485</v>
      </c>
      <c r="F22" s="21">
        <f t="shared" si="2"/>
        <v>4.0599999999999996</v>
      </c>
    </row>
    <row r="23" spans="1:6" x14ac:dyDescent="0.2">
      <c r="A23" s="19">
        <v>19</v>
      </c>
      <c r="B23" s="177" t="s">
        <v>17</v>
      </c>
      <c r="C23" s="178"/>
      <c r="D23" s="14">
        <f t="shared" si="0"/>
        <v>149344</v>
      </c>
      <c r="E23" s="17">
        <f t="shared" si="1"/>
        <v>590772.15510041139</v>
      </c>
      <c r="F23" s="21">
        <f t="shared" si="2"/>
        <v>3.96</v>
      </c>
    </row>
    <row r="24" spans="1:6" x14ac:dyDescent="0.2">
      <c r="A24" s="19">
        <v>20</v>
      </c>
      <c r="B24" s="177" t="s">
        <v>18</v>
      </c>
      <c r="C24" s="178"/>
      <c r="D24" s="14">
        <f t="shared" si="0"/>
        <v>99771</v>
      </c>
      <c r="E24" s="17">
        <f t="shared" si="1"/>
        <v>452882.32696005964</v>
      </c>
      <c r="F24" s="21">
        <f t="shared" si="2"/>
        <v>4.54</v>
      </c>
    </row>
    <row r="25" spans="1:6" ht="14.25" customHeight="1" x14ac:dyDescent="0.2">
      <c r="A25" s="19">
        <v>21</v>
      </c>
      <c r="B25" s="177" t="s">
        <v>461</v>
      </c>
      <c r="C25" s="178"/>
      <c r="D25" s="14">
        <f t="shared" si="0"/>
        <v>21188</v>
      </c>
      <c r="E25" s="17">
        <f t="shared" si="1"/>
        <v>122822.52856671522</v>
      </c>
      <c r="F25" s="21">
        <f t="shared" si="2"/>
        <v>5.8</v>
      </c>
    </row>
    <row r="26" spans="1:6" x14ac:dyDescent="0.2">
      <c r="A26" s="19">
        <v>22</v>
      </c>
      <c r="B26" s="177" t="s">
        <v>19</v>
      </c>
      <c r="C26" s="178"/>
      <c r="D26" s="14">
        <f t="shared" si="0"/>
        <v>12176</v>
      </c>
      <c r="E26" s="17">
        <f t="shared" si="1"/>
        <v>62376.849906943768</v>
      </c>
      <c r="F26" s="21">
        <f t="shared" si="2"/>
        <v>5.12</v>
      </c>
    </row>
    <row r="27" spans="1:6" x14ac:dyDescent="0.2">
      <c r="A27" s="19">
        <v>23</v>
      </c>
      <c r="B27" s="177" t="s">
        <v>20</v>
      </c>
      <c r="C27" s="178"/>
      <c r="D27" s="14">
        <f t="shared" si="0"/>
        <v>22880</v>
      </c>
      <c r="E27" s="17">
        <f t="shared" si="1"/>
        <v>110767.47222986804</v>
      </c>
      <c r="F27" s="21">
        <f t="shared" si="2"/>
        <v>4.84</v>
      </c>
    </row>
    <row r="28" spans="1:6" x14ac:dyDescent="0.2">
      <c r="A28" s="19">
        <v>24</v>
      </c>
      <c r="B28" s="177" t="s">
        <v>21</v>
      </c>
      <c r="C28" s="178"/>
      <c r="D28" s="14">
        <f t="shared" si="0"/>
        <v>61618</v>
      </c>
      <c r="E28" s="17">
        <f t="shared" si="1"/>
        <v>216145.03347290249</v>
      </c>
      <c r="F28" s="21">
        <f t="shared" si="2"/>
        <v>3.51</v>
      </c>
    </row>
    <row r="29" spans="1:6" x14ac:dyDescent="0.2">
      <c r="A29" s="19">
        <v>25</v>
      </c>
      <c r="B29" s="177" t="s">
        <v>22</v>
      </c>
      <c r="C29" s="178"/>
      <c r="D29" s="14">
        <f t="shared" si="0"/>
        <v>246545</v>
      </c>
      <c r="E29" s="17">
        <f t="shared" si="1"/>
        <v>987651.8442269587</v>
      </c>
      <c r="F29" s="21">
        <f t="shared" si="2"/>
        <v>4.01</v>
      </c>
    </row>
    <row r="30" spans="1:6" x14ac:dyDescent="0.2">
      <c r="A30" s="19">
        <v>26</v>
      </c>
      <c r="B30" s="177" t="s">
        <v>23</v>
      </c>
      <c r="C30" s="178"/>
      <c r="D30" s="14">
        <f t="shared" si="0"/>
        <v>54064</v>
      </c>
      <c r="E30" s="17">
        <f t="shared" si="1"/>
        <v>273500.39137393294</v>
      </c>
      <c r="F30" s="21">
        <f t="shared" si="2"/>
        <v>5.0599999999999996</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2194372</v>
      </c>
      <c r="E33" s="31">
        <f>SUM(E5:E32)</f>
        <v>9901918</v>
      </c>
      <c r="F33" s="32">
        <f t="shared" si="2"/>
        <v>4.51</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IF(F3="1",SUMIF(Data!A:A,'42'!$A$2,Data!CU:CU),0)</f>
        <v>36574</v>
      </c>
      <c r="E36" s="15">
        <f>IF(F3="1",SUMIF(Data!$A:$A,$A$2,Data!IO:IO),0)</f>
        <v>51016</v>
      </c>
      <c r="F36" s="20">
        <f t="shared" ref="F36:F64" si="3">IF(OR(D36=0,E36=0),"",ROUND(E36/D36,2))</f>
        <v>1.39</v>
      </c>
    </row>
    <row r="37" spans="1:6" x14ac:dyDescent="0.2">
      <c r="A37" s="19">
        <v>2</v>
      </c>
      <c r="B37" s="177" t="s">
        <v>1</v>
      </c>
      <c r="C37" s="178"/>
      <c r="D37" s="14">
        <f>IF(F3="1",SUMIF(Data!A:A,'42'!$A$2,Data!CV:CV),0)</f>
        <v>158110</v>
      </c>
      <c r="E37" s="17">
        <f>IF(F3="1",SUMIF(Data!$A:$A,$A$2,Data!IP:IP),0)</f>
        <v>77322</v>
      </c>
      <c r="F37" s="21">
        <f t="shared" si="3"/>
        <v>0.49</v>
      </c>
    </row>
    <row r="38" spans="1:6" ht="14.25" customHeight="1" x14ac:dyDescent="0.2">
      <c r="A38" s="19">
        <v>3</v>
      </c>
      <c r="B38" s="177" t="s">
        <v>2</v>
      </c>
      <c r="C38" s="178"/>
      <c r="D38" s="14">
        <f>IF(F3="1",SUMIF(Data!A:A,'42'!$A$2,Data!CW:CW),0)</f>
        <v>190632</v>
      </c>
      <c r="E38" s="17">
        <f>IF($F$3="1",SUMIF(Data!$A:$A,$A$2,Data!IQ:IQ),0)</f>
        <v>80428</v>
      </c>
      <c r="F38" s="21">
        <f t="shared" si="3"/>
        <v>0.42</v>
      </c>
    </row>
    <row r="39" spans="1:6" ht="14.25" customHeight="1" x14ac:dyDescent="0.2">
      <c r="A39" s="19">
        <v>4</v>
      </c>
      <c r="B39" s="177" t="s">
        <v>3</v>
      </c>
      <c r="C39" s="178"/>
      <c r="D39" s="14">
        <f>IF(F3="1",SUMIF(Data!A:A,'42'!$A$2,Data!CX:CX),0)</f>
        <v>195298</v>
      </c>
      <c r="E39" s="17">
        <f>IF($F$3="1",SUMIF(Data!$A:$A,$A$2,Data!IR:IR),0)</f>
        <v>68664</v>
      </c>
      <c r="F39" s="21">
        <f t="shared" si="3"/>
        <v>0.35</v>
      </c>
    </row>
    <row r="40" spans="1:6" x14ac:dyDescent="0.2">
      <c r="A40" s="19">
        <v>5</v>
      </c>
      <c r="B40" s="177" t="s">
        <v>4</v>
      </c>
      <c r="C40" s="178"/>
      <c r="D40" s="14">
        <f>IF(F3="1",SUMIF(Data!A:A,'42'!$A$2,Data!CY:CY),0)</f>
        <v>0</v>
      </c>
      <c r="E40" s="17">
        <f>IF($F$3="1",SUMIF(Data!$A:$A,$A$2,Data!IS:IS),0)</f>
        <v>0</v>
      </c>
      <c r="F40" s="21" t="str">
        <f t="shared" si="3"/>
        <v/>
      </c>
    </row>
    <row r="41" spans="1:6" x14ac:dyDescent="0.2">
      <c r="A41" s="19">
        <v>6</v>
      </c>
      <c r="B41" s="177" t="s">
        <v>5</v>
      </c>
      <c r="C41" s="178"/>
      <c r="D41" s="14">
        <f>IF(F3="1",SUMIF(Data!A:A,'42'!$A$2,Data!CZ:CZ),0)</f>
        <v>6368</v>
      </c>
      <c r="E41" s="17">
        <f>IF($F$3="1",SUMIF(Data!$A:$A,$A$2,Data!IT:IT),0)</f>
        <v>8359</v>
      </c>
      <c r="F41" s="21">
        <f t="shared" si="3"/>
        <v>1.31</v>
      </c>
    </row>
    <row r="42" spans="1:6" x14ac:dyDescent="0.2">
      <c r="A42" s="19">
        <v>7</v>
      </c>
      <c r="B42" s="177" t="s">
        <v>6</v>
      </c>
      <c r="C42" s="178"/>
      <c r="D42" s="14">
        <f>IF(F3="1",SUMIF(Data!A:A,'42'!$A$2,Data!DA:DA),0)</f>
        <v>43831</v>
      </c>
      <c r="E42" s="17">
        <f>IF($F$3="1",SUMIF(Data!$A:$A,$A$2,Data!IU:IU),0)</f>
        <v>17706</v>
      </c>
      <c r="F42" s="21">
        <f t="shared" si="3"/>
        <v>0.4</v>
      </c>
    </row>
    <row r="43" spans="1:6" x14ac:dyDescent="0.2">
      <c r="A43" s="19">
        <v>8</v>
      </c>
      <c r="B43" s="177" t="s">
        <v>7</v>
      </c>
      <c r="C43" s="178"/>
      <c r="D43" s="14">
        <f>IF(F3="1",SUMIF(Data!A:A,'42'!$A$2,Data!DB:DB),0)</f>
        <v>120851</v>
      </c>
      <c r="E43" s="17">
        <f>IF($F$3="1",SUMIF(Data!$A:$A,$A$2,Data!IV:IV),0)</f>
        <v>12148</v>
      </c>
      <c r="F43" s="21">
        <f t="shared" si="3"/>
        <v>0.1</v>
      </c>
    </row>
    <row r="44" spans="1:6" x14ac:dyDescent="0.2">
      <c r="A44" s="19">
        <v>9</v>
      </c>
      <c r="B44" s="177" t="s">
        <v>8</v>
      </c>
      <c r="C44" s="178"/>
      <c r="D44" s="14">
        <f>IF(F3="1",SUMIF(Data!A:A,'42'!$A$2,Data!DC:DC),0)</f>
        <v>85936</v>
      </c>
      <c r="E44" s="17">
        <f>IF($F$3="1",SUMIF(Data!$A:$A,$A$2,Data!IW:IW),0)</f>
        <v>106349</v>
      </c>
      <c r="F44" s="21">
        <f t="shared" si="3"/>
        <v>1.24</v>
      </c>
    </row>
    <row r="45" spans="1:6" x14ac:dyDescent="0.2">
      <c r="A45" s="19">
        <v>10</v>
      </c>
      <c r="B45" s="177" t="s">
        <v>9</v>
      </c>
      <c r="C45" s="178"/>
      <c r="D45" s="14">
        <f>IF(F3="1",SUMIF(Data!A:A,'42'!$A$2,Data!DD:DD),0)</f>
        <v>1056</v>
      </c>
      <c r="E45" s="17">
        <f>IF($F$3="1",SUMIF(Data!$A:$A,$A$2,Data!IX:IX),0)</f>
        <v>0</v>
      </c>
      <c r="F45" s="21" t="str">
        <f t="shared" si="3"/>
        <v/>
      </c>
    </row>
    <row r="46" spans="1:6" x14ac:dyDescent="0.2">
      <c r="A46" s="19">
        <v>11</v>
      </c>
      <c r="B46" s="177" t="s">
        <v>10</v>
      </c>
      <c r="C46" s="178"/>
      <c r="D46" s="14">
        <f>IF(F3="1",SUMIF(Data!A:A,'42'!$A$2,Data!DE:DE),0)</f>
        <v>144243</v>
      </c>
      <c r="E46" s="17">
        <f>IF($F$3="1",SUMIF(Data!$A:$A,$A$2,Data!IY:IY),0)</f>
        <v>40550</v>
      </c>
      <c r="F46" s="21">
        <f t="shared" si="3"/>
        <v>0.28000000000000003</v>
      </c>
    </row>
    <row r="47" spans="1:6" ht="14.25" customHeight="1" x14ac:dyDescent="0.2">
      <c r="A47" s="19">
        <v>12</v>
      </c>
      <c r="B47" s="177" t="s">
        <v>11</v>
      </c>
      <c r="C47" s="178"/>
      <c r="D47" s="14">
        <f>IF(F3="1",SUMIF(Data!A:A,'42'!$A$2,Data!DF:DF),0)</f>
        <v>205664</v>
      </c>
      <c r="E47" s="17">
        <f>IF($F$3="1",SUMIF(Data!$A:$A,$A$2,Data!IZ:IZ),0)</f>
        <v>39449</v>
      </c>
      <c r="F47" s="21">
        <f t="shared" si="3"/>
        <v>0.19</v>
      </c>
    </row>
    <row r="48" spans="1:6" x14ac:dyDescent="0.2">
      <c r="A48" s="19">
        <v>13</v>
      </c>
      <c r="B48" s="177" t="s">
        <v>12</v>
      </c>
      <c r="C48" s="178"/>
      <c r="D48" s="14">
        <f>IF(F3="1",SUMIF(Data!A:A,'42'!$A$2,Data!DG:DG),0)</f>
        <v>16800</v>
      </c>
      <c r="E48" s="17">
        <f>IF($F$3="1",SUMIF(Data!$A:$A,$A$2,Data!JA:JA),0)</f>
        <v>761</v>
      </c>
      <c r="F48" s="21">
        <f t="shared" si="3"/>
        <v>0.05</v>
      </c>
    </row>
    <row r="49" spans="1:6" ht="14.25" customHeight="1" x14ac:dyDescent="0.2">
      <c r="A49" s="19">
        <v>14</v>
      </c>
      <c r="B49" s="177" t="s">
        <v>464</v>
      </c>
      <c r="C49" s="178"/>
      <c r="D49" s="14">
        <f>IF(F3="1",SUMIF(Data!A:A,'42'!$A$2,Data!DH:DH),0)</f>
        <v>114432</v>
      </c>
      <c r="E49" s="17">
        <f>IF($F$3="1",SUMIF(Data!$A:$A,$A$2,Data!JB:JB),0)</f>
        <v>27587</v>
      </c>
      <c r="F49" s="21">
        <f t="shared" si="3"/>
        <v>0.24</v>
      </c>
    </row>
    <row r="50" spans="1:6" x14ac:dyDescent="0.2">
      <c r="A50" s="19">
        <v>15</v>
      </c>
      <c r="B50" s="177" t="s">
        <v>13</v>
      </c>
      <c r="C50" s="178"/>
      <c r="D50" s="14">
        <f>IF(F3="1",SUMIF(Data!A:A,'42'!$A$2,Data!DI:DI),0)</f>
        <v>0</v>
      </c>
      <c r="E50" s="17">
        <f>IF($F$3="1",SUMIF(Data!$A:$A,$A$2,Data!JC:JC),0)</f>
        <v>0</v>
      </c>
      <c r="F50" s="21" t="str">
        <f t="shared" si="3"/>
        <v/>
      </c>
    </row>
    <row r="51" spans="1:6" x14ac:dyDescent="0.2">
      <c r="A51" s="19">
        <v>16</v>
      </c>
      <c r="B51" s="177" t="s">
        <v>14</v>
      </c>
      <c r="C51" s="178"/>
      <c r="D51" s="14">
        <f>IF(F3="1",SUMIF(Data!A:A,'42'!$A$2,Data!DJ:DJ),0)</f>
        <v>70756</v>
      </c>
      <c r="E51" s="17">
        <f>IF($F$3="1",SUMIF(Data!$A:$A,$A$2,Data!JD:JD),0)</f>
        <v>77691</v>
      </c>
      <c r="F51" s="21">
        <f t="shared" si="3"/>
        <v>1.1000000000000001</v>
      </c>
    </row>
    <row r="52" spans="1:6" x14ac:dyDescent="0.2">
      <c r="A52" s="19">
        <v>17</v>
      </c>
      <c r="B52" s="177" t="s">
        <v>15</v>
      </c>
      <c r="C52" s="178"/>
      <c r="D52" s="14">
        <f>IF(F3="1",SUMIF(Data!A:A,'42'!$A$2,Data!DK:DK),0)</f>
        <v>0</v>
      </c>
      <c r="E52" s="17">
        <f>IF($F$3="1",SUMIF(Data!$A:$A,$A$2,Data!JE:JE),0)</f>
        <v>0</v>
      </c>
      <c r="F52" s="21" t="str">
        <f t="shared" si="3"/>
        <v/>
      </c>
    </row>
    <row r="53" spans="1:6" x14ac:dyDescent="0.2">
      <c r="A53" s="19">
        <v>18</v>
      </c>
      <c r="B53" s="177" t="s">
        <v>16</v>
      </c>
      <c r="C53" s="178"/>
      <c r="D53" s="14">
        <f>IF(F3="1",SUMIF(Data!A:A,'42'!$A$2,Data!DL:DL),0)</f>
        <v>136235</v>
      </c>
      <c r="E53" s="17">
        <f>IF($F$3="1",SUMIF(Data!$A:$A,$A$2,Data!JF:JF),0)</f>
        <v>34335</v>
      </c>
      <c r="F53" s="21">
        <f t="shared" si="3"/>
        <v>0.25</v>
      </c>
    </row>
    <row r="54" spans="1:6" x14ac:dyDescent="0.2">
      <c r="A54" s="19">
        <v>19</v>
      </c>
      <c r="B54" s="177" t="s">
        <v>17</v>
      </c>
      <c r="C54" s="178"/>
      <c r="D54" s="14">
        <f>IF(F3="1",SUMIF(Data!A:A,'42'!$A$2,Data!DM:DM),0)</f>
        <v>149344</v>
      </c>
      <c r="E54" s="17">
        <f>IF($F$3="1",SUMIF(Data!$A:$A,$A$2,Data!JG:JG),0)</f>
        <v>17869</v>
      </c>
      <c r="F54" s="21">
        <f t="shared" si="3"/>
        <v>0.12</v>
      </c>
    </row>
    <row r="55" spans="1:6" x14ac:dyDescent="0.2">
      <c r="A55" s="19">
        <v>20</v>
      </c>
      <c r="B55" s="177" t="s">
        <v>18</v>
      </c>
      <c r="C55" s="178"/>
      <c r="D55" s="14">
        <f>IF(F3="1",SUMIF(Data!A:A,'42'!$A$2,Data!DN:DN),0)</f>
        <v>99771</v>
      </c>
      <c r="E55" s="17">
        <f>IF($F$3="1",SUMIF(Data!$A:$A,$A$2,Data!JH:JH),0)</f>
        <v>59624</v>
      </c>
      <c r="F55" s="21">
        <f t="shared" si="3"/>
        <v>0.6</v>
      </c>
    </row>
    <row r="56" spans="1:6" ht="14.25" customHeight="1" x14ac:dyDescent="0.2">
      <c r="A56" s="19">
        <v>21</v>
      </c>
      <c r="B56" s="177" t="s">
        <v>461</v>
      </c>
      <c r="C56" s="178"/>
      <c r="D56" s="14">
        <f>IF(F3="1",SUMIF(Data!A:A,'42'!$A$2,Data!DO:DO),0)</f>
        <v>21188</v>
      </c>
      <c r="E56" s="17">
        <f>IF($F$3="1",SUMIF(Data!$A:$A,$A$2,Data!JI:JI),0)</f>
        <v>40091</v>
      </c>
      <c r="F56" s="21">
        <f t="shared" si="3"/>
        <v>1.89</v>
      </c>
    </row>
    <row r="57" spans="1:6" x14ac:dyDescent="0.2">
      <c r="A57" s="19">
        <v>22</v>
      </c>
      <c r="B57" s="177" t="s">
        <v>19</v>
      </c>
      <c r="C57" s="178"/>
      <c r="D57" s="14">
        <f>IF(F3="1",SUMIF(Data!A:A,'42'!$A$2,Data!DP:DP),0)</f>
        <v>12176</v>
      </c>
      <c r="E57" s="17">
        <f>IF($F$3="1",SUMIF(Data!$A:$A,$A$2,Data!JJ:JJ),0)</f>
        <v>29236</v>
      </c>
      <c r="F57" s="21">
        <f t="shared" si="3"/>
        <v>2.4</v>
      </c>
    </row>
    <row r="58" spans="1:6" x14ac:dyDescent="0.2">
      <c r="A58" s="19">
        <v>23</v>
      </c>
      <c r="B58" s="177" t="s">
        <v>20</v>
      </c>
      <c r="C58" s="178"/>
      <c r="D58" s="14">
        <f>IF(F3="1",SUMIF(Data!A:A,'42'!$A$2,Data!DQ:DQ),0)</f>
        <v>22880</v>
      </c>
      <c r="E58" s="17">
        <f>IF($F$3="1",SUMIF(Data!$A:$A,$A$2,Data!JK:JK),0)</f>
        <v>9214</v>
      </c>
      <c r="F58" s="21">
        <f t="shared" si="3"/>
        <v>0.4</v>
      </c>
    </row>
    <row r="59" spans="1:6" x14ac:dyDescent="0.2">
      <c r="A59" s="19">
        <v>24</v>
      </c>
      <c r="B59" s="177" t="s">
        <v>21</v>
      </c>
      <c r="C59" s="178"/>
      <c r="D59" s="14">
        <f>IF(F3="1",SUMIF(Data!A:A,'42'!$A$2,Data!DR:DR),0)</f>
        <v>61618</v>
      </c>
      <c r="E59" s="17">
        <f>IF($F$3="1",SUMIF(Data!$A:$A,$A$2,Data!JL:JL),0)</f>
        <v>47548</v>
      </c>
      <c r="F59" s="21">
        <f t="shared" si="3"/>
        <v>0.77</v>
      </c>
    </row>
    <row r="60" spans="1:6" x14ac:dyDescent="0.2">
      <c r="A60" s="19">
        <v>25</v>
      </c>
      <c r="B60" s="177" t="s">
        <v>22</v>
      </c>
      <c r="C60" s="178"/>
      <c r="D60" s="14">
        <f>IF(F3="1",SUMIF(Data!A:A,'42'!$A$2,Data!DS:DS),0)</f>
        <v>246545</v>
      </c>
      <c r="E60" s="17">
        <f>IF($F$3="1",SUMIF(Data!$A:$A,$A$2,Data!JM:JM),0)</f>
        <v>27617</v>
      </c>
      <c r="F60" s="21">
        <f t="shared" si="3"/>
        <v>0.11</v>
      </c>
    </row>
    <row r="61" spans="1:6" x14ac:dyDescent="0.2">
      <c r="A61" s="19">
        <v>26</v>
      </c>
      <c r="B61" s="177" t="s">
        <v>23</v>
      </c>
      <c r="C61" s="178"/>
      <c r="D61" s="14">
        <f>IF(F3="1",SUMIF(Data!A:A,'42'!$A$2,Data!DT:DT),0)</f>
        <v>54064</v>
      </c>
      <c r="E61" s="17">
        <f>IF($F$3="1",SUMIF(Data!$A:$A,$A$2,Data!JN:JN),0)</f>
        <v>30450</v>
      </c>
      <c r="F61" s="21">
        <f t="shared" si="3"/>
        <v>0.56000000000000005</v>
      </c>
    </row>
    <row r="62" spans="1:6" x14ac:dyDescent="0.2">
      <c r="A62" s="19">
        <v>28</v>
      </c>
      <c r="B62" s="177" t="s">
        <v>24</v>
      </c>
      <c r="C62" s="178"/>
      <c r="D62" s="14">
        <f>IF(F3="1",SUMIF(Data!A:A,'42'!$A$2,Data!DV:DV),0)</f>
        <v>0</v>
      </c>
      <c r="E62" s="17">
        <f>IF($F$3="1",SUMIF(Data!$A:$A,$A$2,Data!JP:JP),0)</f>
        <v>0</v>
      </c>
      <c r="F62" s="21" t="str">
        <f t="shared" si="3"/>
        <v/>
      </c>
    </row>
    <row r="63" spans="1:6" ht="15.75" customHeight="1" thickBot="1" x14ac:dyDescent="0.25">
      <c r="A63" s="22">
        <v>29</v>
      </c>
      <c r="B63" s="179" t="s">
        <v>25</v>
      </c>
      <c r="C63" s="180"/>
      <c r="D63" s="23">
        <f>IF(F3="1",SUMIF(Data!A:A,'42'!$A$2,Data!DW:DW),0)</f>
        <v>0</v>
      </c>
      <c r="E63" s="24">
        <f>IF($F$3="1",SUMIF(Data!$A:$A,$A$2,Data!JQ:JQ),0)</f>
        <v>0</v>
      </c>
      <c r="F63" s="25" t="str">
        <f t="shared" si="3"/>
        <v/>
      </c>
    </row>
    <row r="64" spans="1:6" x14ac:dyDescent="0.2">
      <c r="B64" s="30" t="s">
        <v>35</v>
      </c>
      <c r="C64" s="30"/>
      <c r="D64" s="59">
        <f>SUM(D36:D63)</f>
        <v>2194372</v>
      </c>
      <c r="E64" s="31">
        <f>SUM(E36:E63)</f>
        <v>904014</v>
      </c>
      <c r="F64" s="32">
        <f t="shared" si="3"/>
        <v>0.41</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36574</v>
      </c>
      <c r="E67" s="15">
        <f>IF(F3="1",SUMIF(Data!A:A,'42'!$A$2,Data!DY:DY),0)</f>
        <v>132030</v>
      </c>
      <c r="F67" s="20">
        <f t="shared" ref="F67:F95" si="4">IF(OR(D67=0,E67=0),"",ROUND(E67/D67,2))</f>
        <v>3.61</v>
      </c>
    </row>
    <row r="68" spans="1:6" x14ac:dyDescent="0.2">
      <c r="A68" s="19">
        <v>2</v>
      </c>
      <c r="B68" s="177" t="s">
        <v>1</v>
      </c>
      <c r="C68" s="178"/>
      <c r="D68" s="14">
        <f t="shared" ref="D68:D94" si="5">D37</f>
        <v>158110</v>
      </c>
      <c r="E68" s="17">
        <f>IF(F3="1",SUMIF(Data!A:A,'42'!$A$2,Data!DZ:DZ),0)</f>
        <v>276587</v>
      </c>
      <c r="F68" s="21">
        <f t="shared" si="4"/>
        <v>1.75</v>
      </c>
    </row>
    <row r="69" spans="1:6" ht="14.25" customHeight="1" x14ac:dyDescent="0.2">
      <c r="A69" s="19">
        <v>3</v>
      </c>
      <c r="B69" s="177" t="s">
        <v>2</v>
      </c>
      <c r="C69" s="178"/>
      <c r="D69" s="14">
        <f t="shared" si="5"/>
        <v>190632</v>
      </c>
      <c r="E69" s="17">
        <f>IF(F3="1",SUMIF(Data!A:A,'42'!$A$2,Data!EA:EA),0)</f>
        <v>556256</v>
      </c>
      <c r="F69" s="21">
        <f t="shared" si="4"/>
        <v>2.92</v>
      </c>
    </row>
    <row r="70" spans="1:6" ht="14.25" customHeight="1" x14ac:dyDescent="0.2">
      <c r="A70" s="19">
        <v>4</v>
      </c>
      <c r="B70" s="177" t="s">
        <v>3</v>
      </c>
      <c r="C70" s="178"/>
      <c r="D70" s="14">
        <f t="shared" si="5"/>
        <v>195298</v>
      </c>
      <c r="E70" s="17">
        <f>IF(F3="1",SUMIF(Data!A:A,'42'!$A$2,Data!EB:EB),0)</f>
        <v>506764</v>
      </c>
      <c r="F70" s="21">
        <f t="shared" si="4"/>
        <v>2.59</v>
      </c>
    </row>
    <row r="71" spans="1:6" x14ac:dyDescent="0.2">
      <c r="A71" s="19">
        <v>5</v>
      </c>
      <c r="B71" s="177" t="s">
        <v>4</v>
      </c>
      <c r="C71" s="178"/>
      <c r="D71" s="14">
        <f t="shared" si="5"/>
        <v>0</v>
      </c>
      <c r="E71" s="17">
        <f>IF(F3="1",SUMIF(Data!A:A,'42'!$A$2,Data!EC:EC),0)</f>
        <v>0</v>
      </c>
      <c r="F71" s="21" t="str">
        <f t="shared" si="4"/>
        <v/>
      </c>
    </row>
    <row r="72" spans="1:6" x14ac:dyDescent="0.2">
      <c r="A72" s="19">
        <v>6</v>
      </c>
      <c r="B72" s="177" t="s">
        <v>5</v>
      </c>
      <c r="C72" s="178"/>
      <c r="D72" s="14">
        <f t="shared" si="5"/>
        <v>6368</v>
      </c>
      <c r="E72" s="17">
        <f>IF(F3="1",SUMIF(Data!A:A,'42'!$A$2,Data!ED:ED),0)</f>
        <v>16622</v>
      </c>
      <c r="F72" s="21">
        <f t="shared" si="4"/>
        <v>2.61</v>
      </c>
    </row>
    <row r="73" spans="1:6" x14ac:dyDescent="0.2">
      <c r="A73" s="19">
        <v>7</v>
      </c>
      <c r="B73" s="177" t="s">
        <v>6</v>
      </c>
      <c r="C73" s="178"/>
      <c r="D73" s="14">
        <f t="shared" si="5"/>
        <v>43831</v>
      </c>
      <c r="E73" s="17">
        <f>IF(F3="1",SUMIF(Data!A:A,'42'!$A$2,Data!EE:EE),0)</f>
        <v>258627</v>
      </c>
      <c r="F73" s="21">
        <f t="shared" si="4"/>
        <v>5.9</v>
      </c>
    </row>
    <row r="74" spans="1:6" x14ac:dyDescent="0.2">
      <c r="A74" s="19">
        <v>8</v>
      </c>
      <c r="B74" s="177" t="s">
        <v>7</v>
      </c>
      <c r="C74" s="178"/>
      <c r="D74" s="14">
        <f t="shared" si="5"/>
        <v>120851</v>
      </c>
      <c r="E74" s="17">
        <f>IF(F3="1",SUMIF(Data!A:A,'42'!$A$2,Data!EF:EF),0)</f>
        <v>292878</v>
      </c>
      <c r="F74" s="21">
        <f t="shared" si="4"/>
        <v>2.42</v>
      </c>
    </row>
    <row r="75" spans="1:6" x14ac:dyDescent="0.2">
      <c r="A75" s="19">
        <v>9</v>
      </c>
      <c r="B75" s="177" t="s">
        <v>8</v>
      </c>
      <c r="C75" s="178"/>
      <c r="D75" s="14">
        <f t="shared" si="5"/>
        <v>85936</v>
      </c>
      <c r="E75" s="17">
        <f>IF(F3="1",SUMIF(Data!A:A,'42'!$A$2,Data!EG:EG),0)</f>
        <v>119544</v>
      </c>
      <c r="F75" s="21">
        <f t="shared" si="4"/>
        <v>1.39</v>
      </c>
    </row>
    <row r="76" spans="1:6" x14ac:dyDescent="0.2">
      <c r="A76" s="19">
        <v>10</v>
      </c>
      <c r="B76" s="177" t="s">
        <v>9</v>
      </c>
      <c r="C76" s="178"/>
      <c r="D76" s="14">
        <f t="shared" si="5"/>
        <v>1056</v>
      </c>
      <c r="E76" s="17">
        <f>IF(F3="1",SUMIF(Data!A:A,'42'!$A$2,Data!EH:EH),0)</f>
        <v>1200</v>
      </c>
      <c r="F76" s="21">
        <f t="shared" si="4"/>
        <v>1.1399999999999999</v>
      </c>
    </row>
    <row r="77" spans="1:6" x14ac:dyDescent="0.2">
      <c r="A77" s="19">
        <v>11</v>
      </c>
      <c r="B77" s="177" t="s">
        <v>10</v>
      </c>
      <c r="C77" s="178"/>
      <c r="D77" s="14">
        <f t="shared" si="5"/>
        <v>144243</v>
      </c>
      <c r="E77" s="17">
        <f>IF(F3="1",SUMIF(Data!A:A,'42'!$A$2,Data!EI:EI),0)</f>
        <v>170608</v>
      </c>
      <c r="F77" s="21">
        <f t="shared" si="4"/>
        <v>1.18</v>
      </c>
    </row>
    <row r="78" spans="1:6" ht="14.25" customHeight="1" x14ac:dyDescent="0.2">
      <c r="A78" s="19">
        <v>12</v>
      </c>
      <c r="B78" s="177" t="s">
        <v>11</v>
      </c>
      <c r="C78" s="178"/>
      <c r="D78" s="14">
        <f t="shared" si="5"/>
        <v>205664</v>
      </c>
      <c r="E78" s="17">
        <f>IF(F3="1",SUMIF(Data!A:A,'42'!$A$2,Data!EJ:EJ),0)</f>
        <v>443149</v>
      </c>
      <c r="F78" s="21">
        <f t="shared" si="4"/>
        <v>2.15</v>
      </c>
    </row>
    <row r="79" spans="1:6" x14ac:dyDescent="0.2">
      <c r="A79" s="19">
        <v>13</v>
      </c>
      <c r="B79" s="177" t="s">
        <v>12</v>
      </c>
      <c r="C79" s="178"/>
      <c r="D79" s="14">
        <f t="shared" si="5"/>
        <v>16800</v>
      </c>
      <c r="E79" s="17">
        <f>IF(F3="1",SUMIF(Data!A:A,'42'!$A$2,Data!EK:EK),0)</f>
        <v>61810</v>
      </c>
      <c r="F79" s="21">
        <f t="shared" si="4"/>
        <v>3.68</v>
      </c>
    </row>
    <row r="80" spans="1:6" ht="14.25" customHeight="1" x14ac:dyDescent="0.2">
      <c r="A80" s="19">
        <v>14</v>
      </c>
      <c r="B80" s="177" t="s">
        <v>464</v>
      </c>
      <c r="C80" s="178"/>
      <c r="D80" s="14">
        <f t="shared" si="5"/>
        <v>114432</v>
      </c>
      <c r="E80" s="17">
        <f>IF(F3="1",SUMIF(Data!A:A,'42'!$A$2,Data!EL:EL),0)</f>
        <v>718102</v>
      </c>
      <c r="F80" s="21">
        <f t="shared" si="4"/>
        <v>6.28</v>
      </c>
    </row>
    <row r="81" spans="1:6" x14ac:dyDescent="0.2">
      <c r="A81" s="19">
        <v>15</v>
      </c>
      <c r="B81" s="177" t="s">
        <v>13</v>
      </c>
      <c r="C81" s="178"/>
      <c r="D81" s="14">
        <f t="shared" si="5"/>
        <v>0</v>
      </c>
      <c r="E81" s="17">
        <f>IF(F3="1",SUMIF(Data!A:A,'42'!$A$2,Data!EM:EM),0)</f>
        <v>0</v>
      </c>
      <c r="F81" s="21" t="str">
        <f t="shared" si="4"/>
        <v/>
      </c>
    </row>
    <row r="82" spans="1:6" x14ac:dyDescent="0.2">
      <c r="A82" s="19">
        <v>16</v>
      </c>
      <c r="B82" s="177" t="s">
        <v>14</v>
      </c>
      <c r="C82" s="178"/>
      <c r="D82" s="14">
        <f t="shared" si="5"/>
        <v>70756</v>
      </c>
      <c r="E82" s="17">
        <f>IF(F3="1",SUMIF(Data!A:A,'42'!$A$2,Data!EN:EN),0)</f>
        <v>166165</v>
      </c>
      <c r="F82" s="21">
        <f t="shared" si="4"/>
        <v>2.35</v>
      </c>
    </row>
    <row r="83" spans="1:6" x14ac:dyDescent="0.2">
      <c r="A83" s="19">
        <v>17</v>
      </c>
      <c r="B83" s="177" t="s">
        <v>15</v>
      </c>
      <c r="C83" s="178"/>
      <c r="D83" s="14">
        <f t="shared" si="5"/>
        <v>0</v>
      </c>
      <c r="E83" s="17">
        <f>IF(F3="1",SUMIF(Data!A:A,'42'!$A$2,Data!EO:EO),0)</f>
        <v>0</v>
      </c>
      <c r="F83" s="21" t="str">
        <f t="shared" si="4"/>
        <v/>
      </c>
    </row>
    <row r="84" spans="1:6" x14ac:dyDescent="0.2">
      <c r="A84" s="19">
        <v>18</v>
      </c>
      <c r="B84" s="177" t="s">
        <v>16</v>
      </c>
      <c r="C84" s="178"/>
      <c r="D84" s="14">
        <f t="shared" si="5"/>
        <v>136235</v>
      </c>
      <c r="E84" s="17">
        <f>IF(F3="1",SUMIF(Data!A:A,'42'!$A$2,Data!EP:EP),0)</f>
        <v>302225</v>
      </c>
      <c r="F84" s="21">
        <f t="shared" si="4"/>
        <v>2.2200000000000002</v>
      </c>
    </row>
    <row r="85" spans="1:6" x14ac:dyDescent="0.2">
      <c r="A85" s="19">
        <v>19</v>
      </c>
      <c r="B85" s="177" t="s">
        <v>17</v>
      </c>
      <c r="C85" s="178"/>
      <c r="D85" s="14">
        <f t="shared" si="5"/>
        <v>149344</v>
      </c>
      <c r="E85" s="17">
        <f>IF(F3="1",SUMIF(Data!A:A,'42'!$A$2,Data!EQ:EQ),0)</f>
        <v>336182</v>
      </c>
      <c r="F85" s="21">
        <f t="shared" si="4"/>
        <v>2.25</v>
      </c>
    </row>
    <row r="86" spans="1:6" x14ac:dyDescent="0.2">
      <c r="A86" s="19">
        <v>20</v>
      </c>
      <c r="B86" s="177" t="s">
        <v>18</v>
      </c>
      <c r="C86" s="178"/>
      <c r="D86" s="14">
        <f t="shared" si="5"/>
        <v>99771</v>
      </c>
      <c r="E86" s="17">
        <f>IF(F3="1",SUMIF(Data!A:A,'42'!$A$2,Data!ER:ER),0)</f>
        <v>235114</v>
      </c>
      <c r="F86" s="21">
        <f t="shared" si="4"/>
        <v>2.36</v>
      </c>
    </row>
    <row r="87" spans="1:6" ht="14.25" customHeight="1" x14ac:dyDescent="0.2">
      <c r="A87" s="19">
        <v>21</v>
      </c>
      <c r="B87" s="177" t="s">
        <v>461</v>
      </c>
      <c r="C87" s="178"/>
      <c r="D87" s="14">
        <f t="shared" si="5"/>
        <v>21188</v>
      </c>
      <c r="E87" s="17">
        <f>IF(F3="1",SUMIF(Data!A:A,'42'!$A$2,Data!ES:ES),0)</f>
        <v>49147</v>
      </c>
      <c r="F87" s="21">
        <f t="shared" si="4"/>
        <v>2.3199999999999998</v>
      </c>
    </row>
    <row r="88" spans="1:6" x14ac:dyDescent="0.2">
      <c r="A88" s="19">
        <v>22</v>
      </c>
      <c r="B88" s="177" t="s">
        <v>19</v>
      </c>
      <c r="C88" s="178"/>
      <c r="D88" s="14">
        <f t="shared" si="5"/>
        <v>12176</v>
      </c>
      <c r="E88" s="17">
        <f>IF(F3="1",SUMIF(Data!A:A,'42'!$A$2,Data!ET:ET),0)</f>
        <v>13841</v>
      </c>
      <c r="F88" s="21">
        <f t="shared" si="4"/>
        <v>1.1399999999999999</v>
      </c>
    </row>
    <row r="89" spans="1:6" x14ac:dyDescent="0.2">
      <c r="A89" s="19">
        <v>23</v>
      </c>
      <c r="B89" s="177" t="s">
        <v>20</v>
      </c>
      <c r="C89" s="178"/>
      <c r="D89" s="14">
        <f t="shared" si="5"/>
        <v>22880</v>
      </c>
      <c r="E89" s="17">
        <f>IF(F3="1",SUMIF(Data!A:A,'42'!$A$2,Data!EU:EU),0)</f>
        <v>65287</v>
      </c>
      <c r="F89" s="21">
        <f t="shared" si="4"/>
        <v>2.85</v>
      </c>
    </row>
    <row r="90" spans="1:6" x14ac:dyDescent="0.2">
      <c r="A90" s="19">
        <v>24</v>
      </c>
      <c r="B90" s="177" t="s">
        <v>21</v>
      </c>
      <c r="C90" s="178"/>
      <c r="D90" s="14">
        <f t="shared" si="5"/>
        <v>61618</v>
      </c>
      <c r="E90" s="17">
        <f>IF(F3="1",SUMIF(Data!A:A,'42'!$A$2,Data!EV:EV),0)</f>
        <v>70928</v>
      </c>
      <c r="F90" s="21">
        <f t="shared" si="4"/>
        <v>1.1499999999999999</v>
      </c>
    </row>
    <row r="91" spans="1:6" x14ac:dyDescent="0.2">
      <c r="A91" s="19">
        <v>25</v>
      </c>
      <c r="B91" s="177" t="s">
        <v>22</v>
      </c>
      <c r="C91" s="178"/>
      <c r="D91" s="14">
        <f t="shared" si="5"/>
        <v>246545</v>
      </c>
      <c r="E91" s="17">
        <f>IF(F3="1",SUMIF(Data!A:A,'42'!$A$2,Data!EW:EW),0)</f>
        <v>569243</v>
      </c>
      <c r="F91" s="21">
        <f t="shared" si="4"/>
        <v>2.31</v>
      </c>
    </row>
    <row r="92" spans="1:6" x14ac:dyDescent="0.2">
      <c r="A92" s="19">
        <v>26</v>
      </c>
      <c r="B92" s="177" t="s">
        <v>23</v>
      </c>
      <c r="C92" s="178"/>
      <c r="D92" s="14">
        <f t="shared" si="5"/>
        <v>54064</v>
      </c>
      <c r="E92" s="17">
        <f>IF(F3="1",SUMIF(Data!A:A,'42'!$A$2,Data!EX:EX),0)</f>
        <v>157355</v>
      </c>
      <c r="F92" s="21">
        <f t="shared" si="4"/>
        <v>2.91</v>
      </c>
    </row>
    <row r="93" spans="1:6" x14ac:dyDescent="0.2">
      <c r="A93" s="19">
        <v>28</v>
      </c>
      <c r="B93" s="177" t="s">
        <v>24</v>
      </c>
      <c r="C93" s="178"/>
      <c r="D93" s="14">
        <f t="shared" si="5"/>
        <v>0</v>
      </c>
      <c r="E93" s="17">
        <f>IF(F3="1",SUMIF(Data!A:A,'42'!$A$2,Data!EZ:EZ),0)</f>
        <v>0</v>
      </c>
      <c r="F93" s="21" t="str">
        <f t="shared" si="4"/>
        <v/>
      </c>
    </row>
    <row r="94" spans="1:6" ht="15.75" customHeight="1" thickBot="1" x14ac:dyDescent="0.25">
      <c r="A94" s="22">
        <v>29</v>
      </c>
      <c r="B94" s="179" t="s">
        <v>25</v>
      </c>
      <c r="C94" s="180"/>
      <c r="D94" s="23">
        <f t="shared" si="5"/>
        <v>0</v>
      </c>
      <c r="E94" s="24">
        <f>IF(F3="1",SUMIF(Data!A:A,'42'!$A$2,Data!FA:FA),0)</f>
        <v>0</v>
      </c>
      <c r="F94" s="25" t="str">
        <f t="shared" si="4"/>
        <v/>
      </c>
    </row>
    <row r="95" spans="1:6" x14ac:dyDescent="0.2">
      <c r="B95" s="30" t="s">
        <v>35</v>
      </c>
      <c r="C95" s="30"/>
      <c r="D95" s="59">
        <f>SUM(D67:D94)</f>
        <v>2194372</v>
      </c>
      <c r="E95" s="31">
        <f>SUM(E67:E94)</f>
        <v>5519664</v>
      </c>
      <c r="F95" s="32">
        <f t="shared" si="4"/>
        <v>2.52</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IF(F3="1",SUMIF(Data!A:A,'42'!$A$2,Data!AH:AH),0)</f>
        <v>1365458</v>
      </c>
      <c r="F98" s="20">
        <f>IF(OR(E98=0,E98=0),"",ROUND(E98/$D$105,2))</f>
        <v>0.62</v>
      </c>
    </row>
    <row r="99" spans="2:6" x14ac:dyDescent="0.2">
      <c r="B99" s="183" t="s">
        <v>31</v>
      </c>
      <c r="C99" s="184"/>
      <c r="D99" s="36"/>
      <c r="E99" s="17">
        <f>IF(F3="1",SUMIF(Data!A:A,'42'!$A$2,Data!AI:AI),0)</f>
        <v>523758</v>
      </c>
      <c r="F99" s="21">
        <f t="shared" ref="F99:F104" si="6">IF(OR(E99=0,E99=0),"",ROUND(E99/$D$105,2))</f>
        <v>0.24</v>
      </c>
    </row>
    <row r="100" spans="2:6" x14ac:dyDescent="0.2">
      <c r="B100" s="183" t="s">
        <v>1078</v>
      </c>
      <c r="C100" s="184"/>
      <c r="D100" s="36"/>
      <c r="E100" s="17">
        <f>IF(F3="1",SUMIF(Data!A:A,'42'!$A$2,Data!AJ:AJ),0)</f>
        <v>455238</v>
      </c>
      <c r="F100" s="21">
        <f t="shared" si="6"/>
        <v>0.21</v>
      </c>
    </row>
    <row r="101" spans="2:6" x14ac:dyDescent="0.2">
      <c r="B101" s="183" t="s">
        <v>1079</v>
      </c>
      <c r="C101" s="184"/>
      <c r="D101" s="36"/>
      <c r="E101" s="17">
        <f>IF(F3="1",SUMIF(Data!A:A,'42'!$A$2,Data!AK:AK),0)</f>
        <v>170839</v>
      </c>
      <c r="F101" s="21">
        <f t="shared" si="6"/>
        <v>0.08</v>
      </c>
    </row>
    <row r="102" spans="2:6" x14ac:dyDescent="0.2">
      <c r="B102" s="183" t="s">
        <v>1080</v>
      </c>
      <c r="C102" s="184"/>
      <c r="D102" s="36"/>
      <c r="E102" s="17">
        <f>IF(F3="1",SUMIF(Data!A:A,'42'!$A$2,Data!AL:AL),0)</f>
        <v>0</v>
      </c>
      <c r="F102" s="21" t="str">
        <f t="shared" si="6"/>
        <v/>
      </c>
    </row>
    <row r="103" spans="2:6" x14ac:dyDescent="0.2">
      <c r="B103" s="185" t="s">
        <v>34</v>
      </c>
      <c r="C103" s="186"/>
      <c r="D103" s="36"/>
      <c r="E103" s="17">
        <f>IF(F3="1",SUMIF(Data!A:A,'42'!$A$2,Data!AM:AM),0)</f>
        <v>0</v>
      </c>
      <c r="F103" s="21" t="str">
        <f t="shared" si="6"/>
        <v/>
      </c>
    </row>
    <row r="104" spans="2:6" ht="15.75" customHeight="1" thickBot="1" x14ac:dyDescent="0.25">
      <c r="B104" s="175" t="s">
        <v>29</v>
      </c>
      <c r="C104" s="176"/>
      <c r="D104" s="37"/>
      <c r="E104" s="24">
        <f>IF(F3="1",SUMIF(Data!A:A,'42'!$A$2,Data!Q:Q),0)</f>
        <v>962947</v>
      </c>
      <c r="F104" s="25">
        <f t="shared" si="6"/>
        <v>0.44</v>
      </c>
    </row>
    <row r="105" spans="2:6" x14ac:dyDescent="0.2">
      <c r="B105" s="30" t="s">
        <v>35</v>
      </c>
      <c r="C105" s="30"/>
      <c r="D105" s="34">
        <f>D95</f>
        <v>2194372</v>
      </c>
      <c r="E105" s="31">
        <f>SUM(E98:E104)</f>
        <v>3478240</v>
      </c>
      <c r="F105" s="32">
        <f>IF($D$105=0,"",ROUND(E105/$D$105,2))</f>
        <v>1.59</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5519664</v>
      </c>
      <c r="D109" s="15">
        <f>IF(F3="1",SUMIF(Data!$A:$A,$A$2,Data!HJ:HJ),0)</f>
        <v>0</v>
      </c>
      <c r="E109" s="15">
        <f>IF(F3="1",SUMIF(Data!$A:$A,$A$2,Data!IN:IN),0)</f>
        <v>0</v>
      </c>
      <c r="F109" s="47">
        <f>SUM(C109:E109)</f>
        <v>5519664</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962947</v>
      </c>
      <c r="E117" s="52"/>
      <c r="F117" s="49">
        <f>SUM(C117:E117)</f>
        <v>962947</v>
      </c>
    </row>
    <row r="118" spans="1:6" x14ac:dyDescent="0.2">
      <c r="B118" s="13" t="s">
        <v>35</v>
      </c>
      <c r="C118" s="4">
        <f>SUM(C109:C116)</f>
        <v>5519664</v>
      </c>
      <c r="D118" s="4">
        <f>SUM(D109:D116)</f>
        <v>0</v>
      </c>
      <c r="E118" s="4">
        <f>SUM(E109:E116)</f>
        <v>0</v>
      </c>
      <c r="F118" s="4">
        <f>SUM(F109:F116)</f>
        <v>5519664</v>
      </c>
    </row>
    <row r="119" spans="1:6" ht="15" thickBot="1" x14ac:dyDescent="0.25"/>
    <row r="120" spans="1:6" ht="15" thickBot="1" x14ac:dyDescent="0.25">
      <c r="B120" s="55" t="s">
        <v>934</v>
      </c>
      <c r="C120" s="53"/>
      <c r="D120" s="53"/>
      <c r="E120" s="53">
        <f>IF(F3="1",SUMIF(Data!A:A,'42'!$A$2,Data!AM:AM),0)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9.140625" style="10"/>
    <col min="12" max="14" width="6"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409</v>
      </c>
      <c r="B2" s="58" t="str">
        <f>VLOOKUP(A2,Data!A:G,7,0)</f>
        <v>Texas Southmost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0</v>
      </c>
      <c r="E5" s="15">
        <f>E36+E67+IFERROR($E$105/$D$105*D5,0)</f>
        <v>0</v>
      </c>
      <c r="F5" s="20" t="str">
        <f>IF(OR(D5=0,E5=0),"",ROUND(E5/D5,2))</f>
        <v/>
      </c>
    </row>
    <row r="6" spans="1:6" x14ac:dyDescent="0.2">
      <c r="A6" s="19">
        <v>2</v>
      </c>
      <c r="B6" s="177" t="s">
        <v>1</v>
      </c>
      <c r="C6" s="178"/>
      <c r="D6" s="14">
        <f t="shared" ref="D6:D32" si="0">D37</f>
        <v>32128</v>
      </c>
      <c r="E6" s="17">
        <f t="shared" ref="E6:E32" si="1">E37+E68+IFERROR($E$105/$D$105*D6,0)</f>
        <v>261067.14330194308</v>
      </c>
      <c r="F6" s="21">
        <f t="shared" ref="F6:F33" si="2">IF(OR(D6=0,E6=0),"",ROUND(E6/D6,2))</f>
        <v>8.1300000000000008</v>
      </c>
    </row>
    <row r="7" spans="1:6" ht="14.25" customHeight="1" x14ac:dyDescent="0.2">
      <c r="A7" s="19">
        <v>3</v>
      </c>
      <c r="B7" s="177" t="s">
        <v>2</v>
      </c>
      <c r="C7" s="178"/>
      <c r="D7" s="14">
        <f t="shared" si="0"/>
        <v>296072</v>
      </c>
      <c r="E7" s="17">
        <f t="shared" si="1"/>
        <v>2448249.279248409</v>
      </c>
      <c r="F7" s="21">
        <f t="shared" si="2"/>
        <v>8.27</v>
      </c>
    </row>
    <row r="8" spans="1:6" ht="14.25" customHeight="1" x14ac:dyDescent="0.2">
      <c r="A8" s="19">
        <v>4</v>
      </c>
      <c r="B8" s="177" t="s">
        <v>3</v>
      </c>
      <c r="C8" s="178"/>
      <c r="D8" s="14">
        <f t="shared" si="0"/>
        <v>166870</v>
      </c>
      <c r="E8" s="17">
        <f t="shared" si="1"/>
        <v>1593595.6854082183</v>
      </c>
      <c r="F8" s="21">
        <f t="shared" si="2"/>
        <v>9.5500000000000007</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1632</v>
      </c>
      <c r="E10" s="17">
        <f t="shared" si="1"/>
        <v>19216.909669720215</v>
      </c>
      <c r="F10" s="21">
        <f t="shared" si="2"/>
        <v>11.78</v>
      </c>
    </row>
    <row r="11" spans="1:6" x14ac:dyDescent="0.2">
      <c r="A11" s="19">
        <v>7</v>
      </c>
      <c r="B11" s="177" t="s">
        <v>6</v>
      </c>
      <c r="C11" s="178"/>
      <c r="D11" s="14">
        <f t="shared" si="0"/>
        <v>100003</v>
      </c>
      <c r="E11" s="17">
        <f t="shared" si="1"/>
        <v>787168.65116484731</v>
      </c>
      <c r="F11" s="21">
        <f t="shared" si="2"/>
        <v>7.87</v>
      </c>
    </row>
    <row r="12" spans="1:6" x14ac:dyDescent="0.2">
      <c r="A12" s="19">
        <v>8</v>
      </c>
      <c r="B12" s="177" t="s">
        <v>7</v>
      </c>
      <c r="C12" s="178"/>
      <c r="D12" s="14">
        <f t="shared" si="0"/>
        <v>8752</v>
      </c>
      <c r="E12" s="17">
        <f t="shared" si="1"/>
        <v>82778.731268009404</v>
      </c>
      <c r="F12" s="21">
        <f t="shared" si="2"/>
        <v>9.4600000000000009</v>
      </c>
    </row>
    <row r="13" spans="1:6" x14ac:dyDescent="0.2">
      <c r="A13" s="19">
        <v>9</v>
      </c>
      <c r="B13" s="177" t="s">
        <v>8</v>
      </c>
      <c r="C13" s="178"/>
      <c r="D13" s="14">
        <f t="shared" si="0"/>
        <v>54448</v>
      </c>
      <c r="E13" s="17">
        <f t="shared" si="1"/>
        <v>294923.20202017541</v>
      </c>
      <c r="F13" s="21">
        <f t="shared" si="2"/>
        <v>5.42</v>
      </c>
    </row>
    <row r="14" spans="1:6" x14ac:dyDescent="0.2">
      <c r="A14" s="19">
        <v>10</v>
      </c>
      <c r="B14" s="177" t="s">
        <v>9</v>
      </c>
      <c r="C14" s="178"/>
      <c r="D14" s="14">
        <f t="shared" si="0"/>
        <v>816</v>
      </c>
      <c r="E14" s="17">
        <f t="shared" si="1"/>
        <v>24211.954834860109</v>
      </c>
      <c r="F14" s="21">
        <f t="shared" si="2"/>
        <v>29.67</v>
      </c>
    </row>
    <row r="15" spans="1:6" x14ac:dyDescent="0.2">
      <c r="A15" s="19">
        <v>11</v>
      </c>
      <c r="B15" s="177" t="s">
        <v>10</v>
      </c>
      <c r="C15" s="178"/>
      <c r="D15" s="14">
        <f t="shared" si="0"/>
        <v>39123</v>
      </c>
      <c r="E15" s="17">
        <f t="shared" si="1"/>
        <v>412406.56985812745</v>
      </c>
      <c r="F15" s="21">
        <f t="shared" si="2"/>
        <v>10.54</v>
      </c>
    </row>
    <row r="16" spans="1:6" ht="14.25" customHeight="1" x14ac:dyDescent="0.2">
      <c r="A16" s="19">
        <v>12</v>
      </c>
      <c r="B16" s="177" t="s">
        <v>11</v>
      </c>
      <c r="C16" s="178"/>
      <c r="D16" s="14">
        <f t="shared" si="0"/>
        <v>675884</v>
      </c>
      <c r="E16" s="17">
        <f t="shared" si="1"/>
        <v>4582505.8451036634</v>
      </c>
      <c r="F16" s="21">
        <f t="shared" si="2"/>
        <v>6.78</v>
      </c>
    </row>
    <row r="17" spans="1:6" x14ac:dyDescent="0.2">
      <c r="A17" s="19">
        <v>13</v>
      </c>
      <c r="B17" s="177" t="s">
        <v>12</v>
      </c>
      <c r="C17" s="178"/>
      <c r="D17" s="14">
        <f t="shared" si="0"/>
        <v>133820</v>
      </c>
      <c r="E17" s="17">
        <f t="shared" si="1"/>
        <v>966995.43627571035</v>
      </c>
      <c r="F17" s="21">
        <f t="shared" si="2"/>
        <v>7.23</v>
      </c>
    </row>
    <row r="18" spans="1:6" ht="14.25" customHeight="1" x14ac:dyDescent="0.2">
      <c r="A18" s="19">
        <v>14</v>
      </c>
      <c r="B18" s="177" t="s">
        <v>464</v>
      </c>
      <c r="C18" s="178"/>
      <c r="D18" s="14">
        <f t="shared" si="0"/>
        <v>68228</v>
      </c>
      <c r="E18" s="17">
        <f t="shared" si="1"/>
        <v>720347.83146180818</v>
      </c>
      <c r="F18" s="21">
        <f t="shared" si="2"/>
        <v>10.56</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116299</v>
      </c>
      <c r="E20" s="17">
        <f t="shared" si="1"/>
        <v>1290846.8080139654</v>
      </c>
      <c r="F20" s="21">
        <f t="shared" si="2"/>
        <v>11.1</v>
      </c>
    </row>
    <row r="21" spans="1:6" x14ac:dyDescent="0.2">
      <c r="A21" s="19">
        <v>17</v>
      </c>
      <c r="B21" s="177" t="s">
        <v>15</v>
      </c>
      <c r="C21" s="178"/>
      <c r="D21" s="14">
        <f t="shared" si="0"/>
        <v>24592</v>
      </c>
      <c r="E21" s="17">
        <f t="shared" si="1"/>
        <v>314624.03100352915</v>
      </c>
      <c r="F21" s="21">
        <f t="shared" si="2"/>
        <v>12.79</v>
      </c>
    </row>
    <row r="22" spans="1:6" x14ac:dyDescent="0.2">
      <c r="A22" s="19">
        <v>18</v>
      </c>
      <c r="B22" s="177" t="s">
        <v>16</v>
      </c>
      <c r="C22" s="178"/>
      <c r="D22" s="14">
        <f t="shared" si="0"/>
        <v>15024</v>
      </c>
      <c r="E22" s="17">
        <f t="shared" si="1"/>
        <v>82946.344900659635</v>
      </c>
      <c r="F22" s="21">
        <f t="shared" si="2"/>
        <v>5.52</v>
      </c>
    </row>
    <row r="23" spans="1:6" x14ac:dyDescent="0.2">
      <c r="A23" s="19">
        <v>19</v>
      </c>
      <c r="B23" s="177" t="s">
        <v>17</v>
      </c>
      <c r="C23" s="178"/>
      <c r="D23" s="14">
        <f t="shared" si="0"/>
        <v>396720</v>
      </c>
      <c r="E23" s="17">
        <f t="shared" si="1"/>
        <v>2851773.6888305172</v>
      </c>
      <c r="F23" s="21">
        <f t="shared" si="2"/>
        <v>7.19</v>
      </c>
    </row>
    <row r="24" spans="1:6" x14ac:dyDescent="0.2">
      <c r="A24" s="19">
        <v>20</v>
      </c>
      <c r="B24" s="177" t="s">
        <v>18</v>
      </c>
      <c r="C24" s="178"/>
      <c r="D24" s="14">
        <f t="shared" si="0"/>
        <v>23296</v>
      </c>
      <c r="E24" s="17">
        <f t="shared" si="1"/>
        <v>138775.2792069866</v>
      </c>
      <c r="F24" s="21">
        <f t="shared" si="2"/>
        <v>5.96</v>
      </c>
    </row>
    <row r="25" spans="1:6" ht="14.25" customHeight="1" x14ac:dyDescent="0.2">
      <c r="A25" s="19">
        <v>21</v>
      </c>
      <c r="B25" s="177" t="s">
        <v>461</v>
      </c>
      <c r="C25" s="178"/>
      <c r="D25" s="14">
        <f t="shared" si="0"/>
        <v>10832</v>
      </c>
      <c r="E25" s="17">
        <f t="shared" si="1"/>
        <v>132533.18476863319</v>
      </c>
      <c r="F25" s="21">
        <f t="shared" si="2"/>
        <v>12.24</v>
      </c>
    </row>
    <row r="26" spans="1:6" x14ac:dyDescent="0.2">
      <c r="A26" s="19">
        <v>22</v>
      </c>
      <c r="B26" s="177" t="s">
        <v>19</v>
      </c>
      <c r="C26" s="178"/>
      <c r="D26" s="14">
        <f t="shared" si="0"/>
        <v>7152</v>
      </c>
      <c r="E26" s="17">
        <f t="shared" si="1"/>
        <v>96607.074729068001</v>
      </c>
      <c r="F26" s="21">
        <f t="shared" si="2"/>
        <v>13.51</v>
      </c>
    </row>
    <row r="27" spans="1:6" x14ac:dyDescent="0.2">
      <c r="A27" s="19">
        <v>23</v>
      </c>
      <c r="B27" s="177" t="s">
        <v>20</v>
      </c>
      <c r="C27" s="178"/>
      <c r="D27" s="14">
        <f t="shared" si="0"/>
        <v>82784</v>
      </c>
      <c r="E27" s="17">
        <f t="shared" si="1"/>
        <v>1093822.8493248275</v>
      </c>
      <c r="F27" s="21">
        <f t="shared" si="2"/>
        <v>13.21</v>
      </c>
    </row>
    <row r="28" spans="1:6" x14ac:dyDescent="0.2">
      <c r="A28" s="19">
        <v>24</v>
      </c>
      <c r="B28" s="177" t="s">
        <v>21</v>
      </c>
      <c r="C28" s="178"/>
      <c r="D28" s="14">
        <f t="shared" si="0"/>
        <v>134124</v>
      </c>
      <c r="E28" s="17">
        <f t="shared" si="1"/>
        <v>860331.34101810923</v>
      </c>
      <c r="F28" s="21">
        <f t="shared" si="2"/>
        <v>6.41</v>
      </c>
    </row>
    <row r="29" spans="1:6" x14ac:dyDescent="0.2">
      <c r="A29" s="19">
        <v>25</v>
      </c>
      <c r="B29" s="177" t="s">
        <v>22</v>
      </c>
      <c r="C29" s="178"/>
      <c r="D29" s="14">
        <f t="shared" si="0"/>
        <v>512688</v>
      </c>
      <c r="E29" s="17">
        <f t="shared" si="1"/>
        <v>3555302.0347729889</v>
      </c>
      <c r="F29" s="21">
        <f t="shared" si="2"/>
        <v>6.93</v>
      </c>
    </row>
    <row r="30" spans="1:6" x14ac:dyDescent="0.2">
      <c r="A30" s="19">
        <v>26</v>
      </c>
      <c r="B30" s="177" t="s">
        <v>23</v>
      </c>
      <c r="C30" s="178"/>
      <c r="D30" s="14">
        <f t="shared" si="0"/>
        <v>140528</v>
      </c>
      <c r="E30" s="17">
        <f t="shared" si="1"/>
        <v>1238915.1238152222</v>
      </c>
      <c r="F30" s="21">
        <f t="shared" si="2"/>
        <v>8.82</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3041815</v>
      </c>
      <c r="E33" s="31">
        <f>SUM(E5:E32)</f>
        <v>23849944.999999996</v>
      </c>
      <c r="F33" s="32">
        <f t="shared" si="2"/>
        <v>7.84</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IF(F3="1",SUMIF(Data!A:A,'43'!$A$2,Data!CU:CU),0)</f>
        <v>0</v>
      </c>
      <c r="E36" s="15">
        <f>IF(F3="1",SUMIF(Data!$A:$A,$A$2,Data!IO:IO),0)</f>
        <v>0</v>
      </c>
      <c r="F36" s="20" t="str">
        <f t="shared" ref="F36:F64" si="3">IF(OR(D36=0,E36=0),"",ROUND(E36/D36,2))</f>
        <v/>
      </c>
    </row>
    <row r="37" spans="1:6" x14ac:dyDescent="0.2">
      <c r="A37" s="19">
        <v>2</v>
      </c>
      <c r="B37" s="177" t="s">
        <v>1</v>
      </c>
      <c r="C37" s="178"/>
      <c r="D37" s="14">
        <f>IF(F3="1",SUMIF(Data!A:A,'43'!$A$2,Data!CV:CV),0)</f>
        <v>32128</v>
      </c>
      <c r="E37" s="17">
        <f>IF(F3="1",SUMIF(Data!$A:$A,$A$2,Data!IP:IP),0)</f>
        <v>111314</v>
      </c>
      <c r="F37" s="21">
        <f t="shared" si="3"/>
        <v>3.46</v>
      </c>
    </row>
    <row r="38" spans="1:6" ht="14.25" customHeight="1" x14ac:dyDescent="0.2">
      <c r="A38" s="19">
        <v>3</v>
      </c>
      <c r="B38" s="177" t="s">
        <v>2</v>
      </c>
      <c r="C38" s="178"/>
      <c r="D38" s="14">
        <f>IF(F3="1",SUMIF(Data!A:A,'43'!$A$2,Data!CW:CW),0)</f>
        <v>296072</v>
      </c>
      <c r="E38" s="17">
        <f>IF($F$3="1",SUMIF(Data!$A:$A,$A$2,Data!IQ:IQ),0)</f>
        <v>960078</v>
      </c>
      <c r="F38" s="21">
        <f t="shared" si="3"/>
        <v>3.24</v>
      </c>
    </row>
    <row r="39" spans="1:6" ht="14.25" customHeight="1" x14ac:dyDescent="0.2">
      <c r="A39" s="19">
        <v>4</v>
      </c>
      <c r="B39" s="177" t="s">
        <v>3</v>
      </c>
      <c r="C39" s="178"/>
      <c r="D39" s="14">
        <f>IF(F3="1",SUMIF(Data!A:A,'43'!$A$2,Data!CX:CX),0)</f>
        <v>166870</v>
      </c>
      <c r="E39" s="17">
        <f>IF($F$3="1",SUMIF(Data!$A:$A,$A$2,Data!IR:IR),0)</f>
        <v>795283</v>
      </c>
      <c r="F39" s="21">
        <f t="shared" si="3"/>
        <v>4.7699999999999996</v>
      </c>
    </row>
    <row r="40" spans="1:6" x14ac:dyDescent="0.2">
      <c r="A40" s="19">
        <v>5</v>
      </c>
      <c r="B40" s="177" t="s">
        <v>4</v>
      </c>
      <c r="C40" s="178"/>
      <c r="D40" s="14">
        <f>IF(F3="1",SUMIF(Data!A:A,'43'!$A$2,Data!CY:CY),0)</f>
        <v>0</v>
      </c>
      <c r="E40" s="17">
        <f>IF($F$3="1",SUMIF(Data!$A:$A,$A$2,Data!IS:IS),0)</f>
        <v>0</v>
      </c>
      <c r="F40" s="21" t="str">
        <f t="shared" si="3"/>
        <v/>
      </c>
    </row>
    <row r="41" spans="1:6" x14ac:dyDescent="0.2">
      <c r="A41" s="19">
        <v>6</v>
      </c>
      <c r="B41" s="177" t="s">
        <v>5</v>
      </c>
      <c r="C41" s="178"/>
      <c r="D41" s="14">
        <f>IF(F3="1",SUMIF(Data!A:A,'43'!$A$2,Data!CZ:CZ),0)</f>
        <v>1632</v>
      </c>
      <c r="E41" s="17">
        <f>IF($F$3="1",SUMIF(Data!$A:$A,$A$2,Data!IT:IT),0)</f>
        <v>11327</v>
      </c>
      <c r="F41" s="21">
        <f t="shared" si="3"/>
        <v>6.94</v>
      </c>
    </row>
    <row r="42" spans="1:6" x14ac:dyDescent="0.2">
      <c r="A42" s="19">
        <v>7</v>
      </c>
      <c r="B42" s="177" t="s">
        <v>6</v>
      </c>
      <c r="C42" s="178"/>
      <c r="D42" s="14">
        <f>IF(F3="1",SUMIF(Data!A:A,'43'!$A$2,Data!DA:DA),0)</f>
        <v>100003</v>
      </c>
      <c r="E42" s="17">
        <f>IF($F$3="1",SUMIF(Data!$A:$A,$A$2,Data!IU:IU),0)</f>
        <v>285927</v>
      </c>
      <c r="F42" s="21">
        <f t="shared" si="3"/>
        <v>2.86</v>
      </c>
    </row>
    <row r="43" spans="1:6" x14ac:dyDescent="0.2">
      <c r="A43" s="19">
        <v>8</v>
      </c>
      <c r="B43" s="177" t="s">
        <v>7</v>
      </c>
      <c r="C43" s="178"/>
      <c r="D43" s="14">
        <f>IF(F3="1",SUMIF(Data!A:A,'43'!$A$2,Data!DB:DB),0)</f>
        <v>8752</v>
      </c>
      <c r="E43" s="17">
        <f>IF($F$3="1",SUMIF(Data!$A:$A,$A$2,Data!IV:IV),0)</f>
        <v>40208</v>
      </c>
      <c r="F43" s="21">
        <f t="shared" si="3"/>
        <v>4.59</v>
      </c>
    </row>
    <row r="44" spans="1:6" x14ac:dyDescent="0.2">
      <c r="A44" s="19">
        <v>9</v>
      </c>
      <c r="B44" s="177" t="s">
        <v>8</v>
      </c>
      <c r="C44" s="178"/>
      <c r="D44" s="14">
        <f>IF(F3="1",SUMIF(Data!A:A,'43'!$A$2,Data!DC:DC),0)</f>
        <v>54448</v>
      </c>
      <c r="E44" s="17">
        <f>IF($F$3="1",SUMIF(Data!$A:$A,$A$2,Data!IW:IW),0)</f>
        <v>46415</v>
      </c>
      <c r="F44" s="21">
        <f t="shared" si="3"/>
        <v>0.85</v>
      </c>
    </row>
    <row r="45" spans="1:6" x14ac:dyDescent="0.2">
      <c r="A45" s="19">
        <v>10</v>
      </c>
      <c r="B45" s="177" t="s">
        <v>9</v>
      </c>
      <c r="C45" s="178"/>
      <c r="D45" s="14">
        <f>IF(F3="1",SUMIF(Data!A:A,'43'!$A$2,Data!DD:DD),0)</f>
        <v>816</v>
      </c>
      <c r="E45" s="17">
        <f>IF($F$3="1",SUMIF(Data!$A:$A,$A$2,Data!IX:IX),0)</f>
        <v>20373</v>
      </c>
      <c r="F45" s="21">
        <f t="shared" si="3"/>
        <v>24.97</v>
      </c>
    </row>
    <row r="46" spans="1:6" x14ac:dyDescent="0.2">
      <c r="A46" s="19">
        <v>11</v>
      </c>
      <c r="B46" s="177" t="s">
        <v>10</v>
      </c>
      <c r="C46" s="178"/>
      <c r="D46" s="14">
        <f>IF(F3="1",SUMIF(Data!A:A,'43'!$A$2,Data!DE:DE),0)</f>
        <v>39123</v>
      </c>
      <c r="E46" s="17">
        <f>IF($F$3="1",SUMIF(Data!$A:$A,$A$2,Data!IY:IY),0)</f>
        <v>230241</v>
      </c>
      <c r="F46" s="21">
        <f t="shared" si="3"/>
        <v>5.89</v>
      </c>
    </row>
    <row r="47" spans="1:6" ht="14.25" customHeight="1" x14ac:dyDescent="0.2">
      <c r="A47" s="19">
        <v>12</v>
      </c>
      <c r="B47" s="177" t="s">
        <v>11</v>
      </c>
      <c r="C47" s="178"/>
      <c r="D47" s="14">
        <f>IF(F3="1",SUMIF(Data!A:A,'43'!$A$2,Data!DF:DF),0)</f>
        <v>675884</v>
      </c>
      <c r="E47" s="17">
        <f>IF($F$3="1",SUMIF(Data!$A:$A,$A$2,Data!IZ:IZ),0)</f>
        <v>1417795</v>
      </c>
      <c r="F47" s="21">
        <f t="shared" si="3"/>
        <v>2.1</v>
      </c>
    </row>
    <row r="48" spans="1:6" x14ac:dyDescent="0.2">
      <c r="A48" s="19">
        <v>13</v>
      </c>
      <c r="B48" s="177" t="s">
        <v>12</v>
      </c>
      <c r="C48" s="178"/>
      <c r="D48" s="14">
        <f>IF(F3="1",SUMIF(Data!A:A,'43'!$A$2,Data!DG:DG),0)</f>
        <v>133820</v>
      </c>
      <c r="E48" s="17">
        <f>IF($F$3="1",SUMIF(Data!$A:$A,$A$2,Data!JA:JA),0)</f>
        <v>347269</v>
      </c>
      <c r="F48" s="21">
        <f t="shared" si="3"/>
        <v>2.6</v>
      </c>
    </row>
    <row r="49" spans="1:6" ht="14.25" customHeight="1" x14ac:dyDescent="0.2">
      <c r="A49" s="19">
        <v>14</v>
      </c>
      <c r="B49" s="177" t="s">
        <v>464</v>
      </c>
      <c r="C49" s="178"/>
      <c r="D49" s="14">
        <f>IF(F3="1",SUMIF(Data!A:A,'43'!$A$2,Data!DH:DH),0)</f>
        <v>68228</v>
      </c>
      <c r="E49" s="17">
        <f>IF($F$3="1",SUMIF(Data!$A:$A,$A$2,Data!JB:JB),0)</f>
        <v>392073</v>
      </c>
      <c r="F49" s="21">
        <f t="shared" si="3"/>
        <v>5.75</v>
      </c>
    </row>
    <row r="50" spans="1:6" x14ac:dyDescent="0.2">
      <c r="A50" s="19">
        <v>15</v>
      </c>
      <c r="B50" s="177" t="s">
        <v>13</v>
      </c>
      <c r="C50" s="178"/>
      <c r="D50" s="14">
        <f>IF(F3="1",SUMIF(Data!A:A,'43'!$A$2,Data!DI:DI),0)</f>
        <v>0</v>
      </c>
      <c r="E50" s="17">
        <f>IF($F$3="1",SUMIF(Data!$A:$A,$A$2,Data!JC:JC),0)</f>
        <v>0</v>
      </c>
      <c r="F50" s="21" t="str">
        <f t="shared" si="3"/>
        <v/>
      </c>
    </row>
    <row r="51" spans="1:6" x14ac:dyDescent="0.2">
      <c r="A51" s="19">
        <v>16</v>
      </c>
      <c r="B51" s="177" t="s">
        <v>14</v>
      </c>
      <c r="C51" s="178"/>
      <c r="D51" s="14">
        <f>IF(F3="1",SUMIF(Data!A:A,'43'!$A$2,Data!DJ:DJ),0)</f>
        <v>116299</v>
      </c>
      <c r="E51" s="17">
        <f>IF($F$3="1",SUMIF(Data!$A:$A,$A$2,Data!JD:JD),0)</f>
        <v>708221</v>
      </c>
      <c r="F51" s="21">
        <f t="shared" si="3"/>
        <v>6.09</v>
      </c>
    </row>
    <row r="52" spans="1:6" x14ac:dyDescent="0.2">
      <c r="A52" s="19">
        <v>17</v>
      </c>
      <c r="B52" s="177" t="s">
        <v>15</v>
      </c>
      <c r="C52" s="178"/>
      <c r="D52" s="14">
        <f>IF(F3="1",SUMIF(Data!A:A,'43'!$A$2,Data!DK:DK),0)</f>
        <v>24592</v>
      </c>
      <c r="E52" s="17">
        <f>IF($F$3="1",SUMIF(Data!$A:$A,$A$2,Data!JE:JE),0)</f>
        <v>183118</v>
      </c>
      <c r="F52" s="21">
        <f t="shared" si="3"/>
        <v>7.45</v>
      </c>
    </row>
    <row r="53" spans="1:6" x14ac:dyDescent="0.2">
      <c r="A53" s="19">
        <v>18</v>
      </c>
      <c r="B53" s="177" t="s">
        <v>16</v>
      </c>
      <c r="C53" s="178"/>
      <c r="D53" s="14">
        <f>IF(F3="1",SUMIF(Data!A:A,'43'!$A$2,Data!DL:DL),0)</f>
        <v>15024</v>
      </c>
      <c r="E53" s="17">
        <f>IF($F$3="1",SUMIF(Data!$A:$A,$A$2,Data!JF:JF),0)</f>
        <v>14725</v>
      </c>
      <c r="F53" s="21">
        <f t="shared" si="3"/>
        <v>0.98</v>
      </c>
    </row>
    <row r="54" spans="1:6" x14ac:dyDescent="0.2">
      <c r="A54" s="19">
        <v>19</v>
      </c>
      <c r="B54" s="177" t="s">
        <v>17</v>
      </c>
      <c r="C54" s="178"/>
      <c r="D54" s="14">
        <f>IF(F3="1",SUMIF(Data!A:A,'43'!$A$2,Data!DM:DM),0)</f>
        <v>396720</v>
      </c>
      <c r="E54" s="17">
        <f>IF($F$3="1",SUMIF(Data!$A:$A,$A$2,Data!JG:JG),0)</f>
        <v>992345</v>
      </c>
      <c r="F54" s="21">
        <f t="shared" si="3"/>
        <v>2.5</v>
      </c>
    </row>
    <row r="55" spans="1:6" x14ac:dyDescent="0.2">
      <c r="A55" s="19">
        <v>20</v>
      </c>
      <c r="B55" s="177" t="s">
        <v>18</v>
      </c>
      <c r="C55" s="178"/>
      <c r="D55" s="14">
        <f>IF(F3="1",SUMIF(Data!A:A,'43'!$A$2,Data!DN:DN),0)</f>
        <v>23296</v>
      </c>
      <c r="E55" s="17">
        <f>IF($F$3="1",SUMIF(Data!$A:$A,$A$2,Data!JH:JH),0)</f>
        <v>30694</v>
      </c>
      <c r="F55" s="21">
        <f t="shared" si="3"/>
        <v>1.32</v>
      </c>
    </row>
    <row r="56" spans="1:6" ht="14.25" customHeight="1" x14ac:dyDescent="0.2">
      <c r="A56" s="19">
        <v>21</v>
      </c>
      <c r="B56" s="177" t="s">
        <v>461</v>
      </c>
      <c r="C56" s="178"/>
      <c r="D56" s="14">
        <f>IF(F3="1",SUMIF(Data!A:A,'43'!$A$2,Data!DO:DO),0)</f>
        <v>10832</v>
      </c>
      <c r="E56" s="17">
        <f>IF($F$3="1",SUMIF(Data!$A:$A,$A$2,Data!JI:JI),0)</f>
        <v>68132</v>
      </c>
      <c r="F56" s="21">
        <f t="shared" si="3"/>
        <v>6.29</v>
      </c>
    </row>
    <row r="57" spans="1:6" x14ac:dyDescent="0.2">
      <c r="A57" s="19">
        <v>22</v>
      </c>
      <c r="B57" s="177" t="s">
        <v>19</v>
      </c>
      <c r="C57" s="178"/>
      <c r="D57" s="14">
        <f>IF(F3="1",SUMIF(Data!A:A,'43'!$A$2,Data!DP:DP),0)</f>
        <v>7152</v>
      </c>
      <c r="E57" s="17">
        <f>IF($F$3="1",SUMIF(Data!$A:$A,$A$2,Data!JJ:JJ),0)</f>
        <v>56493</v>
      </c>
      <c r="F57" s="21">
        <f t="shared" si="3"/>
        <v>7.9</v>
      </c>
    </row>
    <row r="58" spans="1:6" x14ac:dyDescent="0.2">
      <c r="A58" s="19">
        <v>23</v>
      </c>
      <c r="B58" s="177" t="s">
        <v>20</v>
      </c>
      <c r="C58" s="178"/>
      <c r="D58" s="14">
        <f>IF(F3="1",SUMIF(Data!A:A,'43'!$A$2,Data!DQ:DQ),0)</f>
        <v>82784</v>
      </c>
      <c r="E58" s="17">
        <f>IF($F$3="1",SUMIF(Data!$A:$A,$A$2,Data!JK:JK),0)</f>
        <v>625821</v>
      </c>
      <c r="F58" s="21">
        <f t="shared" si="3"/>
        <v>7.56</v>
      </c>
    </row>
    <row r="59" spans="1:6" x14ac:dyDescent="0.2">
      <c r="A59" s="19">
        <v>24</v>
      </c>
      <c r="B59" s="177" t="s">
        <v>21</v>
      </c>
      <c r="C59" s="178"/>
      <c r="D59" s="14">
        <f>IF(F3="1",SUMIF(Data!A:A,'43'!$A$2,Data!DR:DR),0)</f>
        <v>134124</v>
      </c>
      <c r="E59" s="17">
        <f>IF($F$3="1",SUMIF(Data!$A:$A,$A$2,Data!JL:JL),0)</f>
        <v>232840</v>
      </c>
      <c r="F59" s="21">
        <f t="shared" si="3"/>
        <v>1.74</v>
      </c>
    </row>
    <row r="60" spans="1:6" x14ac:dyDescent="0.2">
      <c r="A60" s="19">
        <v>25</v>
      </c>
      <c r="B60" s="177" t="s">
        <v>22</v>
      </c>
      <c r="C60" s="178"/>
      <c r="D60" s="14">
        <f>IF(F3="1",SUMIF(Data!A:A,'43'!$A$2,Data!DS:DS),0)</f>
        <v>512688</v>
      </c>
      <c r="E60" s="17">
        <f>IF($F$3="1",SUMIF(Data!$A:$A,$A$2,Data!JM:JM),0)</f>
        <v>1186880</v>
      </c>
      <c r="F60" s="21">
        <f t="shared" si="3"/>
        <v>2.3199999999999998</v>
      </c>
    </row>
    <row r="61" spans="1:6" x14ac:dyDescent="0.2">
      <c r="A61" s="19">
        <v>26</v>
      </c>
      <c r="B61" s="177" t="s">
        <v>23</v>
      </c>
      <c r="C61" s="178"/>
      <c r="D61" s="14">
        <f>IF(F3="1",SUMIF(Data!A:A,'43'!$A$2,Data!DT:DT),0)</f>
        <v>140528</v>
      </c>
      <c r="E61" s="17">
        <f>IF($F$3="1",SUMIF(Data!$A:$A,$A$2,Data!JN:JN),0)</f>
        <v>567381</v>
      </c>
      <c r="F61" s="21">
        <f t="shared" si="3"/>
        <v>4.04</v>
      </c>
    </row>
    <row r="62" spans="1:6" x14ac:dyDescent="0.2">
      <c r="A62" s="19">
        <v>28</v>
      </c>
      <c r="B62" s="177" t="s">
        <v>24</v>
      </c>
      <c r="C62" s="178"/>
      <c r="D62" s="14">
        <f>IF(F3="1",SUMIF(Data!A:A,'43'!$A$2,Data!DV:DV),0)</f>
        <v>0</v>
      </c>
      <c r="E62" s="17">
        <f>IF($F$3="1",SUMIF(Data!$A:$A,$A$2,Data!JP:JP),0)</f>
        <v>0</v>
      </c>
      <c r="F62" s="21" t="str">
        <f t="shared" si="3"/>
        <v/>
      </c>
    </row>
    <row r="63" spans="1:6" ht="15.75" customHeight="1" thickBot="1" x14ac:dyDescent="0.25">
      <c r="A63" s="22">
        <v>29</v>
      </c>
      <c r="B63" s="179" t="s">
        <v>25</v>
      </c>
      <c r="C63" s="180"/>
      <c r="D63" s="23">
        <f>IF(F3="1",SUMIF(Data!A:A,'43'!$A$2,Data!DW:DW),0)</f>
        <v>0</v>
      </c>
      <c r="E63" s="24">
        <f>IF($F$3="1",SUMIF(Data!$A:$A,$A$2,Data!JQ:JQ),0)</f>
        <v>0</v>
      </c>
      <c r="F63" s="25" t="str">
        <f t="shared" si="3"/>
        <v/>
      </c>
    </row>
    <row r="64" spans="1:6" x14ac:dyDescent="0.2">
      <c r="B64" s="30" t="s">
        <v>35</v>
      </c>
      <c r="C64" s="30"/>
      <c r="D64" s="59">
        <f>SUM(D36:D63)</f>
        <v>3041815</v>
      </c>
      <c r="E64" s="31">
        <f>SUM(E36:E63)</f>
        <v>9324953</v>
      </c>
      <c r="F64" s="32">
        <f t="shared" si="3"/>
        <v>3.07</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0</v>
      </c>
      <c r="E67" s="15">
        <f>IF(F3="1",SUMIF(Data!A:A,'43'!$A$2,Data!DY:DY),0)</f>
        <v>0</v>
      </c>
      <c r="F67" s="20" t="str">
        <f t="shared" ref="F67:F95" si="4">IF(OR(D67=0,E67=0),"",ROUND(E67/D67,2))</f>
        <v/>
      </c>
    </row>
    <row r="68" spans="1:6" x14ac:dyDescent="0.2">
      <c r="A68" s="19">
        <v>2</v>
      </c>
      <c r="B68" s="177" t="s">
        <v>1</v>
      </c>
      <c r="C68" s="178"/>
      <c r="D68" s="14">
        <f t="shared" ref="D68:D94" si="5">D37</f>
        <v>32128</v>
      </c>
      <c r="E68" s="17">
        <f>IF(F3="1",SUMIF(Data!A:A,'43'!$A$2,Data!DZ:DZ),0)</f>
        <v>3919</v>
      </c>
      <c r="F68" s="21">
        <f t="shared" si="4"/>
        <v>0.12</v>
      </c>
    </row>
    <row r="69" spans="1:6" ht="14.25" customHeight="1" x14ac:dyDescent="0.2">
      <c r="A69" s="19">
        <v>3</v>
      </c>
      <c r="B69" s="177" t="s">
        <v>2</v>
      </c>
      <c r="C69" s="178"/>
      <c r="D69" s="14">
        <f t="shared" si="5"/>
        <v>296072</v>
      </c>
      <c r="E69" s="17">
        <f>IF(F3="1",SUMIF(Data!A:A,'43'!$A$2,Data!EA:EA),0)</f>
        <v>144253</v>
      </c>
      <c r="F69" s="21">
        <f t="shared" si="4"/>
        <v>0.49</v>
      </c>
    </row>
    <row r="70" spans="1:6" ht="14.25" customHeight="1" x14ac:dyDescent="0.2">
      <c r="A70" s="19">
        <v>4</v>
      </c>
      <c r="B70" s="177" t="s">
        <v>3</v>
      </c>
      <c r="C70" s="178"/>
      <c r="D70" s="14">
        <f t="shared" si="5"/>
        <v>166870</v>
      </c>
      <c r="E70" s="17">
        <f>IF(F3="1",SUMIF(Data!A:A,'43'!$A$2,Data!EB:EB),0)</f>
        <v>40863</v>
      </c>
      <c r="F70" s="21">
        <f t="shared" si="4"/>
        <v>0.24</v>
      </c>
    </row>
    <row r="71" spans="1:6" x14ac:dyDescent="0.2">
      <c r="A71" s="19">
        <v>5</v>
      </c>
      <c r="B71" s="177" t="s">
        <v>4</v>
      </c>
      <c r="C71" s="178"/>
      <c r="D71" s="14">
        <f t="shared" si="5"/>
        <v>0</v>
      </c>
      <c r="E71" s="17">
        <f>IF(F3="1",SUMIF(Data!A:A,'43'!$A$2,Data!EC:EC),0)</f>
        <v>0</v>
      </c>
      <c r="F71" s="21" t="str">
        <f t="shared" si="4"/>
        <v/>
      </c>
    </row>
    <row r="72" spans="1:6" x14ac:dyDescent="0.2">
      <c r="A72" s="19">
        <v>6</v>
      </c>
      <c r="B72" s="177" t="s">
        <v>5</v>
      </c>
      <c r="C72" s="178"/>
      <c r="D72" s="14">
        <f t="shared" si="5"/>
        <v>1632</v>
      </c>
      <c r="E72" s="17">
        <f>IF(F3="1",SUMIF(Data!A:A,'43'!$A$2,Data!ED:ED),0)</f>
        <v>482</v>
      </c>
      <c r="F72" s="21">
        <f t="shared" si="4"/>
        <v>0.3</v>
      </c>
    </row>
    <row r="73" spans="1:6" x14ac:dyDescent="0.2">
      <c r="A73" s="19">
        <v>7</v>
      </c>
      <c r="B73" s="177" t="s">
        <v>6</v>
      </c>
      <c r="C73" s="178"/>
      <c r="D73" s="14">
        <f t="shared" si="5"/>
        <v>100003</v>
      </c>
      <c r="E73" s="17">
        <f>IF(F3="1",SUMIF(Data!A:A,'43'!$A$2,Data!EE:EE),0)</f>
        <v>47312</v>
      </c>
      <c r="F73" s="21">
        <f t="shared" si="4"/>
        <v>0.47</v>
      </c>
    </row>
    <row r="74" spans="1:6" x14ac:dyDescent="0.2">
      <c r="A74" s="19">
        <v>8</v>
      </c>
      <c r="B74" s="177" t="s">
        <v>7</v>
      </c>
      <c r="C74" s="178"/>
      <c r="D74" s="14">
        <f t="shared" si="5"/>
        <v>8752</v>
      </c>
      <c r="E74" s="17">
        <f>IF(F3="1",SUMIF(Data!A:A,'43'!$A$2,Data!EF:EF),0)</f>
        <v>2844</v>
      </c>
      <c r="F74" s="21">
        <f t="shared" si="4"/>
        <v>0.32</v>
      </c>
    </row>
    <row r="75" spans="1:6" x14ac:dyDescent="0.2">
      <c r="A75" s="19">
        <v>9</v>
      </c>
      <c r="B75" s="177" t="s">
        <v>8</v>
      </c>
      <c r="C75" s="178"/>
      <c r="D75" s="14">
        <f t="shared" si="5"/>
        <v>54448</v>
      </c>
      <c r="E75" s="17">
        <f>IF(F3="1",SUMIF(Data!A:A,'43'!$A$2,Data!EG:EG),0)</f>
        <v>1360</v>
      </c>
      <c r="F75" s="21">
        <f t="shared" si="4"/>
        <v>0.02</v>
      </c>
    </row>
    <row r="76" spans="1:6" x14ac:dyDescent="0.2">
      <c r="A76" s="19">
        <v>10</v>
      </c>
      <c r="B76" s="177" t="s">
        <v>9</v>
      </c>
      <c r="C76" s="178"/>
      <c r="D76" s="14">
        <f t="shared" si="5"/>
        <v>816</v>
      </c>
      <c r="E76" s="17">
        <f>IF(F3="1",SUMIF(Data!A:A,'43'!$A$2,Data!EH:EH),0)</f>
        <v>135</v>
      </c>
      <c r="F76" s="21">
        <f t="shared" si="4"/>
        <v>0.17</v>
      </c>
    </row>
    <row r="77" spans="1:6" x14ac:dyDescent="0.2">
      <c r="A77" s="19">
        <v>11</v>
      </c>
      <c r="B77" s="177" t="s">
        <v>10</v>
      </c>
      <c r="C77" s="178"/>
      <c r="D77" s="14">
        <f t="shared" si="5"/>
        <v>39123</v>
      </c>
      <c r="E77" s="17">
        <f>IF(F3="1",SUMIF(Data!A:A,'43'!$A$2,Data!EI:EI),0)</f>
        <v>4580</v>
      </c>
      <c r="F77" s="21">
        <f t="shared" si="4"/>
        <v>0.12</v>
      </c>
    </row>
    <row r="78" spans="1:6" ht="14.25" customHeight="1" x14ac:dyDescent="0.2">
      <c r="A78" s="19">
        <v>12</v>
      </c>
      <c r="B78" s="177" t="s">
        <v>11</v>
      </c>
      <c r="C78" s="178"/>
      <c r="D78" s="14">
        <f t="shared" si="5"/>
        <v>675884</v>
      </c>
      <c r="E78" s="17">
        <f>IF(F3="1",SUMIF(Data!A:A,'43'!$A$2,Data!EJ:EJ),0)</f>
        <v>96765</v>
      </c>
      <c r="F78" s="21">
        <f t="shared" si="4"/>
        <v>0.14000000000000001</v>
      </c>
    </row>
    <row r="79" spans="1:6" x14ac:dyDescent="0.2">
      <c r="A79" s="19">
        <v>13</v>
      </c>
      <c r="B79" s="177" t="s">
        <v>12</v>
      </c>
      <c r="C79" s="178"/>
      <c r="D79" s="14">
        <f t="shared" si="5"/>
        <v>133820</v>
      </c>
      <c r="E79" s="17">
        <f>IF(F3="1",SUMIF(Data!A:A,'43'!$A$2,Data!EK:EK),0)</f>
        <v>12296</v>
      </c>
      <c r="F79" s="21">
        <f t="shared" si="4"/>
        <v>0.09</v>
      </c>
    </row>
    <row r="80" spans="1:6" ht="14.25" customHeight="1" x14ac:dyDescent="0.2">
      <c r="A80" s="19">
        <v>14</v>
      </c>
      <c r="B80" s="177" t="s">
        <v>464</v>
      </c>
      <c r="C80" s="178"/>
      <c r="D80" s="14">
        <f t="shared" si="5"/>
        <v>68228</v>
      </c>
      <c r="E80" s="17">
        <f>IF(F3="1",SUMIF(Data!A:A,'43'!$A$2,Data!EL:EL),0)</f>
        <v>18577</v>
      </c>
      <c r="F80" s="21">
        <f t="shared" si="4"/>
        <v>0.27</v>
      </c>
    </row>
    <row r="81" spans="1:6" x14ac:dyDescent="0.2">
      <c r="A81" s="19">
        <v>15</v>
      </c>
      <c r="B81" s="177" t="s">
        <v>13</v>
      </c>
      <c r="C81" s="178"/>
      <c r="D81" s="14">
        <f t="shared" si="5"/>
        <v>0</v>
      </c>
      <c r="E81" s="17">
        <f>IF(F3="1",SUMIF(Data!A:A,'43'!$A$2,Data!EM:EM),0)</f>
        <v>0</v>
      </c>
      <c r="F81" s="21" t="str">
        <f t="shared" si="4"/>
        <v/>
      </c>
    </row>
    <row r="82" spans="1:6" x14ac:dyDescent="0.2">
      <c r="A82" s="19">
        <v>16</v>
      </c>
      <c r="B82" s="177" t="s">
        <v>14</v>
      </c>
      <c r="C82" s="178"/>
      <c r="D82" s="14">
        <f t="shared" si="5"/>
        <v>116299</v>
      </c>
      <c r="E82" s="17">
        <f>IF(F3="1",SUMIF(Data!A:A,'43'!$A$2,Data!EN:EN),0)</f>
        <v>54726</v>
      </c>
      <c r="F82" s="21">
        <f t="shared" si="4"/>
        <v>0.47</v>
      </c>
    </row>
    <row r="83" spans="1:6" x14ac:dyDescent="0.2">
      <c r="A83" s="19">
        <v>17</v>
      </c>
      <c r="B83" s="177" t="s">
        <v>15</v>
      </c>
      <c r="C83" s="178"/>
      <c r="D83" s="14">
        <f t="shared" si="5"/>
        <v>24592</v>
      </c>
      <c r="E83" s="17">
        <f>IF(F3="1",SUMIF(Data!A:A,'43'!$A$2,Data!EO:EO),0)</f>
        <v>19879</v>
      </c>
      <c r="F83" s="21">
        <f t="shared" si="4"/>
        <v>0.81</v>
      </c>
    </row>
    <row r="84" spans="1:6" x14ac:dyDescent="0.2">
      <c r="A84" s="19">
        <v>18</v>
      </c>
      <c r="B84" s="177" t="s">
        <v>16</v>
      </c>
      <c r="C84" s="178"/>
      <c r="D84" s="14">
        <f t="shared" si="5"/>
        <v>15024</v>
      </c>
      <c r="E84" s="17">
        <f>IF(F3="1",SUMIF(Data!A:A,'43'!$A$2,Data!EP:EP),0)</f>
        <v>25</v>
      </c>
      <c r="F84" s="21">
        <f t="shared" si="4"/>
        <v>0</v>
      </c>
    </row>
    <row r="85" spans="1:6" x14ac:dyDescent="0.2">
      <c r="A85" s="19">
        <v>19</v>
      </c>
      <c r="B85" s="177" t="s">
        <v>17</v>
      </c>
      <c r="C85" s="178"/>
      <c r="D85" s="14">
        <f t="shared" si="5"/>
        <v>396720</v>
      </c>
      <c r="E85" s="17">
        <f>IF(F3="1",SUMIF(Data!A:A,'43'!$A$2,Data!EQ:EQ),0)</f>
        <v>58653</v>
      </c>
      <c r="F85" s="21">
        <f t="shared" si="4"/>
        <v>0.15</v>
      </c>
    </row>
    <row r="86" spans="1:6" x14ac:dyDescent="0.2">
      <c r="A86" s="19">
        <v>20</v>
      </c>
      <c r="B86" s="177" t="s">
        <v>18</v>
      </c>
      <c r="C86" s="178"/>
      <c r="D86" s="14">
        <f t="shared" si="5"/>
        <v>23296</v>
      </c>
      <c r="E86" s="17">
        <f>IF(F3="1",SUMIF(Data!A:A,'43'!$A$2,Data!ER:ER),0)</f>
        <v>2337</v>
      </c>
      <c r="F86" s="21">
        <f t="shared" si="4"/>
        <v>0.1</v>
      </c>
    </row>
    <row r="87" spans="1:6" ht="14.25" customHeight="1" x14ac:dyDescent="0.2">
      <c r="A87" s="19">
        <v>21</v>
      </c>
      <c r="B87" s="177" t="s">
        <v>461</v>
      </c>
      <c r="C87" s="178"/>
      <c r="D87" s="14">
        <f t="shared" si="5"/>
        <v>10832</v>
      </c>
      <c r="E87" s="17">
        <f>IF(F3="1",SUMIF(Data!A:A,'43'!$A$2,Data!ES:ES),0)</f>
        <v>15233</v>
      </c>
      <c r="F87" s="21">
        <f t="shared" si="4"/>
        <v>1.41</v>
      </c>
    </row>
    <row r="88" spans="1:6" x14ac:dyDescent="0.2">
      <c r="A88" s="19">
        <v>22</v>
      </c>
      <c r="B88" s="177" t="s">
        <v>19</v>
      </c>
      <c r="C88" s="178"/>
      <c r="D88" s="14">
        <f t="shared" si="5"/>
        <v>7152</v>
      </c>
      <c r="E88" s="17">
        <f>IF(F3="1",SUMIF(Data!A:A,'43'!$A$2,Data!ET:ET),0)</f>
        <v>7650</v>
      </c>
      <c r="F88" s="21">
        <f t="shared" si="4"/>
        <v>1.07</v>
      </c>
    </row>
    <row r="89" spans="1:6" x14ac:dyDescent="0.2">
      <c r="A89" s="19">
        <v>23</v>
      </c>
      <c r="B89" s="177" t="s">
        <v>20</v>
      </c>
      <c r="C89" s="178"/>
      <c r="D89" s="14">
        <f t="shared" si="5"/>
        <v>82784</v>
      </c>
      <c r="E89" s="17">
        <f>IF(F3="1",SUMIF(Data!A:A,'43'!$A$2,Data!EU:EU),0)</f>
        <v>92232</v>
      </c>
      <c r="F89" s="21">
        <f t="shared" si="4"/>
        <v>1.1100000000000001</v>
      </c>
    </row>
    <row r="90" spans="1:6" x14ac:dyDescent="0.2">
      <c r="A90" s="19">
        <v>24</v>
      </c>
      <c r="B90" s="177" t="s">
        <v>21</v>
      </c>
      <c r="C90" s="178"/>
      <c r="D90" s="14">
        <f t="shared" si="5"/>
        <v>134124</v>
      </c>
      <c r="E90" s="17">
        <f>IF(F3="1",SUMIF(Data!A:A,'43'!$A$2,Data!EV:EV),0)</f>
        <v>18681</v>
      </c>
      <c r="F90" s="21">
        <f t="shared" si="4"/>
        <v>0.14000000000000001</v>
      </c>
    </row>
    <row r="91" spans="1:6" x14ac:dyDescent="0.2">
      <c r="A91" s="19">
        <v>25</v>
      </c>
      <c r="B91" s="177" t="s">
        <v>22</v>
      </c>
      <c r="C91" s="178"/>
      <c r="D91" s="14">
        <f t="shared" si="5"/>
        <v>512688</v>
      </c>
      <c r="E91" s="17">
        <f>IF(F3="1",SUMIF(Data!A:A,'43'!$A$2,Data!EW:EW),0)</f>
        <v>41249</v>
      </c>
      <c r="F91" s="21">
        <f t="shared" si="4"/>
        <v>0.08</v>
      </c>
    </row>
    <row r="92" spans="1:6" x14ac:dyDescent="0.2">
      <c r="A92" s="19">
        <v>26</v>
      </c>
      <c r="B92" s="177" t="s">
        <v>23</v>
      </c>
      <c r="C92" s="178"/>
      <c r="D92" s="14">
        <f t="shared" si="5"/>
        <v>140528</v>
      </c>
      <c r="E92" s="17">
        <f>IF(F3="1",SUMIF(Data!A:A,'43'!$A$2,Data!EX:EX),0)</f>
        <v>33655</v>
      </c>
      <c r="F92" s="21">
        <f t="shared" si="4"/>
        <v>0.24</v>
      </c>
    </row>
    <row r="93" spans="1:6" x14ac:dyDescent="0.2">
      <c r="A93" s="19">
        <v>28</v>
      </c>
      <c r="B93" s="177" t="s">
        <v>24</v>
      </c>
      <c r="C93" s="178"/>
      <c r="D93" s="14">
        <f t="shared" si="5"/>
        <v>0</v>
      </c>
      <c r="E93" s="17">
        <f>IF(F3="1",SUMIF(Data!A:A,'43'!$A$2,Data!EZ:EZ),0)</f>
        <v>0</v>
      </c>
      <c r="F93" s="21" t="str">
        <f t="shared" si="4"/>
        <v/>
      </c>
    </row>
    <row r="94" spans="1:6" ht="15.75" customHeight="1" thickBot="1" x14ac:dyDescent="0.25">
      <c r="A94" s="22">
        <v>29</v>
      </c>
      <c r="B94" s="179" t="s">
        <v>25</v>
      </c>
      <c r="C94" s="180"/>
      <c r="D94" s="23">
        <f t="shared" si="5"/>
        <v>0</v>
      </c>
      <c r="E94" s="24">
        <f>IF(F3="1",SUMIF(Data!A:A,'43'!$A$2,Data!FA:FA),0)</f>
        <v>0</v>
      </c>
      <c r="F94" s="25" t="str">
        <f t="shared" si="4"/>
        <v/>
      </c>
    </row>
    <row r="95" spans="1:6" x14ac:dyDescent="0.2">
      <c r="B95" s="30" t="s">
        <v>35</v>
      </c>
      <c r="C95" s="30"/>
      <c r="D95" s="59">
        <f>SUM(D67:D94)</f>
        <v>3041815</v>
      </c>
      <c r="E95" s="31">
        <f>SUM(E67:E94)</f>
        <v>717706</v>
      </c>
      <c r="F95" s="32">
        <f t="shared" si="4"/>
        <v>0.24</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IF(F3="1",SUMIF(Data!A:A,'43'!$A$2,Data!AH:AH),0)</f>
        <v>5821488</v>
      </c>
      <c r="F98" s="20">
        <f>IF(OR(E98=0,E98=0),"",ROUND(E98/$D$105,2))</f>
        <v>1.91</v>
      </c>
    </row>
    <row r="99" spans="2:6" x14ac:dyDescent="0.2">
      <c r="B99" s="183" t="s">
        <v>31</v>
      </c>
      <c r="C99" s="184"/>
      <c r="D99" s="36"/>
      <c r="E99" s="17">
        <f>IF(F3="1",SUMIF(Data!A:A,'43'!$A$2,Data!AI:AI),0)</f>
        <v>2604276</v>
      </c>
      <c r="F99" s="21">
        <f t="shared" ref="F99:F104" si="6">IF(OR(E99=0,E99=0),"",ROUND(E99/$D$105,2))</f>
        <v>0.86</v>
      </c>
    </row>
    <row r="100" spans="2:6" x14ac:dyDescent="0.2">
      <c r="B100" s="183" t="s">
        <v>1078</v>
      </c>
      <c r="C100" s="184"/>
      <c r="D100" s="36"/>
      <c r="E100" s="17">
        <f>IF(F3="1",SUMIF(Data!A:A,'43'!$A$2,Data!AJ:AJ),0)</f>
        <v>1409524</v>
      </c>
      <c r="F100" s="21">
        <f t="shared" si="6"/>
        <v>0.46</v>
      </c>
    </row>
    <row r="101" spans="2:6" x14ac:dyDescent="0.2">
      <c r="B101" s="183" t="s">
        <v>1079</v>
      </c>
      <c r="C101" s="184"/>
      <c r="D101" s="36"/>
      <c r="E101" s="17">
        <f>IF(F3="1",SUMIF(Data!A:A,'43'!$A$2,Data!AK:AK),0)</f>
        <v>954651</v>
      </c>
      <c r="F101" s="21">
        <f t="shared" si="6"/>
        <v>0.31</v>
      </c>
    </row>
    <row r="102" spans="2:6" x14ac:dyDescent="0.2">
      <c r="B102" s="183" t="s">
        <v>1080</v>
      </c>
      <c r="C102" s="184"/>
      <c r="D102" s="36"/>
      <c r="E102" s="17">
        <f>IF(F3="1",SUMIF(Data!A:A,'43'!$A$2,Data!AL:AL),0)</f>
        <v>0</v>
      </c>
      <c r="F102" s="21" t="str">
        <f t="shared" si="6"/>
        <v/>
      </c>
    </row>
    <row r="103" spans="2:6" x14ac:dyDescent="0.2">
      <c r="B103" s="185" t="s">
        <v>34</v>
      </c>
      <c r="C103" s="186"/>
      <c r="D103" s="36"/>
      <c r="E103" s="17">
        <f>IF(F3="1",SUMIF(Data!A:A,'43'!$A$2,Data!AM:AM),0)</f>
        <v>0</v>
      </c>
      <c r="F103" s="21" t="str">
        <f t="shared" si="6"/>
        <v/>
      </c>
    </row>
    <row r="104" spans="2:6" ht="15.75" customHeight="1" thickBot="1" x14ac:dyDescent="0.25">
      <c r="B104" s="175" t="s">
        <v>29</v>
      </c>
      <c r="C104" s="176"/>
      <c r="D104" s="37"/>
      <c r="E104" s="24">
        <f>IF(F3="1",SUMIF(Data!A:A,'43'!$A$2,Data!Q:Q),0)</f>
        <v>3017347</v>
      </c>
      <c r="F104" s="25">
        <f t="shared" si="6"/>
        <v>0.99</v>
      </c>
    </row>
    <row r="105" spans="2:6" x14ac:dyDescent="0.2">
      <c r="B105" s="30" t="s">
        <v>35</v>
      </c>
      <c r="C105" s="30"/>
      <c r="D105" s="34">
        <f>D95</f>
        <v>3041815</v>
      </c>
      <c r="E105" s="31">
        <f>SUM(E98:E104)</f>
        <v>13807286</v>
      </c>
      <c r="F105" s="32">
        <f>IF($D$105=0,"",ROUND(E105/$D$105,2))</f>
        <v>4.54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717706</v>
      </c>
      <c r="D109" s="15">
        <f>IF(F3="1",SUMIF(Data!$A:$A,$A$2,Data!HJ:HJ),0)</f>
        <v>0</v>
      </c>
      <c r="E109" s="15">
        <f>IF(F3="1",SUMIF(Data!$A:$A,$A$2,Data!IN:IN),0)</f>
        <v>0</v>
      </c>
      <c r="F109" s="47">
        <f>SUM(C109:E109)</f>
        <v>717706</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3017347</v>
      </c>
      <c r="E117" s="52"/>
      <c r="F117" s="49">
        <f>SUM(C117:E117)</f>
        <v>3017347</v>
      </c>
    </row>
    <row r="118" spans="1:6" x14ac:dyDescent="0.2">
      <c r="B118" s="13" t="s">
        <v>35</v>
      </c>
      <c r="C118" s="4">
        <f>SUM(C109:C116)</f>
        <v>717706</v>
      </c>
      <c r="D118" s="4">
        <f>SUM(D109:D116)</f>
        <v>0</v>
      </c>
      <c r="E118" s="4">
        <f>SUM(E109:E116)</f>
        <v>0</v>
      </c>
      <c r="F118" s="4">
        <f>SUM(F109:F116)</f>
        <v>717706</v>
      </c>
    </row>
    <row r="119" spans="1:6" ht="15" thickBot="1" x14ac:dyDescent="0.25"/>
    <row r="120" spans="1:6" ht="15" thickBot="1" x14ac:dyDescent="0.25">
      <c r="B120" s="55" t="s">
        <v>934</v>
      </c>
      <c r="C120" s="53"/>
      <c r="D120" s="53"/>
      <c r="E120" s="53">
        <f>IF(F3="1",SUMIF(Data!A:A,'43'!$A$2,Data!AM:AM),0)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370</v>
      </c>
      <c r="B2" s="58" t="str">
        <f>VLOOKUP(A2,Data!A:G,7,0)</f>
        <v>Trinity Valley Community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73868</v>
      </c>
      <c r="E5" s="15">
        <f>E36+E67+IFERROR($E$105/$D$105*D5,0)</f>
        <v>484183.71792422945</v>
      </c>
      <c r="F5" s="20">
        <f>IF(OR(D5=0,E5=0),"",ROUND(E5/D5,2))</f>
        <v>6.55</v>
      </c>
    </row>
    <row r="6" spans="1:6" x14ac:dyDescent="0.2">
      <c r="A6" s="19">
        <v>2</v>
      </c>
      <c r="B6" s="177" t="s">
        <v>1</v>
      </c>
      <c r="C6" s="178"/>
      <c r="D6" s="14">
        <f t="shared" ref="D6:D32" si="0">D37</f>
        <v>185968</v>
      </c>
      <c r="E6" s="17">
        <f t="shared" ref="E6:E32" si="1">E37+E68+IFERROR($E$105/$D$105*D6,0)</f>
        <v>834681.98633959377</v>
      </c>
      <c r="F6" s="21">
        <f t="shared" ref="F6:F33" si="2">IF(OR(D6=0,E6=0),"",ROUND(E6/D6,2))</f>
        <v>4.49</v>
      </c>
    </row>
    <row r="7" spans="1:6" ht="14.25" customHeight="1" x14ac:dyDescent="0.2">
      <c r="A7" s="19">
        <v>3</v>
      </c>
      <c r="B7" s="177" t="s">
        <v>2</v>
      </c>
      <c r="C7" s="178"/>
      <c r="D7" s="14">
        <f t="shared" si="0"/>
        <v>203328</v>
      </c>
      <c r="E7" s="17">
        <f t="shared" si="1"/>
        <v>952423.87304513087</v>
      </c>
      <c r="F7" s="21">
        <f t="shared" si="2"/>
        <v>4.68</v>
      </c>
    </row>
    <row r="8" spans="1:6" ht="14.25" customHeight="1" x14ac:dyDescent="0.2">
      <c r="A8" s="19">
        <v>4</v>
      </c>
      <c r="B8" s="177" t="s">
        <v>3</v>
      </c>
      <c r="C8" s="178"/>
      <c r="D8" s="14">
        <f t="shared" si="0"/>
        <v>125962</v>
      </c>
      <c r="E8" s="17">
        <f t="shared" si="1"/>
        <v>982611.47794947471</v>
      </c>
      <c r="F8" s="21">
        <f t="shared" si="2"/>
        <v>7.8</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14192</v>
      </c>
      <c r="E10" s="17">
        <f t="shared" si="1"/>
        <v>126293.70738047145</v>
      </c>
      <c r="F10" s="21">
        <f t="shared" si="2"/>
        <v>8.9</v>
      </c>
    </row>
    <row r="11" spans="1:6" x14ac:dyDescent="0.2">
      <c r="A11" s="19">
        <v>7</v>
      </c>
      <c r="B11" s="177" t="s">
        <v>6</v>
      </c>
      <c r="C11" s="178"/>
      <c r="D11" s="14">
        <f t="shared" si="0"/>
        <v>320085</v>
      </c>
      <c r="E11" s="17">
        <f t="shared" si="1"/>
        <v>974073.66106808081</v>
      </c>
      <c r="F11" s="21">
        <f t="shared" si="2"/>
        <v>3.04</v>
      </c>
    </row>
    <row r="12" spans="1:6" x14ac:dyDescent="0.2">
      <c r="A12" s="19">
        <v>8</v>
      </c>
      <c r="B12" s="177" t="s">
        <v>7</v>
      </c>
      <c r="C12" s="178"/>
      <c r="D12" s="14">
        <f t="shared" si="0"/>
        <v>17184</v>
      </c>
      <c r="E12" s="17">
        <f t="shared" si="1"/>
        <v>94918.487854144681</v>
      </c>
      <c r="F12" s="21">
        <f t="shared" si="2"/>
        <v>5.52</v>
      </c>
    </row>
    <row r="13" spans="1:6" x14ac:dyDescent="0.2">
      <c r="A13" s="19">
        <v>9</v>
      </c>
      <c r="B13" s="177" t="s">
        <v>8</v>
      </c>
      <c r="C13" s="178"/>
      <c r="D13" s="14">
        <f t="shared" si="0"/>
        <v>160358</v>
      </c>
      <c r="E13" s="17">
        <f t="shared" si="1"/>
        <v>599897.65347503102</v>
      </c>
      <c r="F13" s="21">
        <f t="shared" si="2"/>
        <v>3.74</v>
      </c>
    </row>
    <row r="14" spans="1:6" x14ac:dyDescent="0.2">
      <c r="A14" s="19">
        <v>10</v>
      </c>
      <c r="B14" s="177" t="s">
        <v>9</v>
      </c>
      <c r="C14" s="178"/>
      <c r="D14" s="14">
        <f t="shared" si="0"/>
        <v>0</v>
      </c>
      <c r="E14" s="17">
        <f t="shared" si="1"/>
        <v>0</v>
      </c>
      <c r="F14" s="21" t="str">
        <f t="shared" si="2"/>
        <v/>
      </c>
    </row>
    <row r="15" spans="1:6" x14ac:dyDescent="0.2">
      <c r="A15" s="19">
        <v>11</v>
      </c>
      <c r="B15" s="177" t="s">
        <v>10</v>
      </c>
      <c r="C15" s="178"/>
      <c r="D15" s="14">
        <f t="shared" si="0"/>
        <v>82944</v>
      </c>
      <c r="E15" s="17">
        <f t="shared" si="1"/>
        <v>334821.05869263131</v>
      </c>
      <c r="F15" s="21">
        <f t="shared" si="2"/>
        <v>4.04</v>
      </c>
    </row>
    <row r="16" spans="1:6" ht="14.25" customHeight="1" x14ac:dyDescent="0.2">
      <c r="A16" s="19">
        <v>12</v>
      </c>
      <c r="B16" s="177" t="s">
        <v>11</v>
      </c>
      <c r="C16" s="178"/>
      <c r="D16" s="14">
        <f t="shared" si="0"/>
        <v>263016</v>
      </c>
      <c r="E16" s="17">
        <f t="shared" si="1"/>
        <v>1370877.683510575</v>
      </c>
      <c r="F16" s="21">
        <f t="shared" si="2"/>
        <v>5.21</v>
      </c>
    </row>
    <row r="17" spans="1:6" x14ac:dyDescent="0.2">
      <c r="A17" s="19">
        <v>13</v>
      </c>
      <c r="B17" s="177" t="s">
        <v>12</v>
      </c>
      <c r="C17" s="178"/>
      <c r="D17" s="14">
        <f t="shared" si="0"/>
        <v>22320</v>
      </c>
      <c r="E17" s="17">
        <f t="shared" si="1"/>
        <v>100677.85433569072</v>
      </c>
      <c r="F17" s="21">
        <f t="shared" si="2"/>
        <v>4.51</v>
      </c>
    </row>
    <row r="18" spans="1:6" ht="14.25" customHeight="1" x14ac:dyDescent="0.2">
      <c r="A18" s="19">
        <v>14</v>
      </c>
      <c r="B18" s="177" t="s">
        <v>464</v>
      </c>
      <c r="C18" s="178"/>
      <c r="D18" s="14">
        <f t="shared" si="0"/>
        <v>118854</v>
      </c>
      <c r="E18" s="17">
        <f t="shared" si="1"/>
        <v>771170.324337553</v>
      </c>
      <c r="F18" s="21">
        <f t="shared" si="2"/>
        <v>6.49</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81865</v>
      </c>
      <c r="E20" s="17">
        <f t="shared" si="1"/>
        <v>361926.2157343782</v>
      </c>
      <c r="F20" s="21">
        <f t="shared" si="2"/>
        <v>4.42</v>
      </c>
    </row>
    <row r="21" spans="1:6" x14ac:dyDescent="0.2">
      <c r="A21" s="19">
        <v>17</v>
      </c>
      <c r="B21" s="177" t="s">
        <v>15</v>
      </c>
      <c r="C21" s="178"/>
      <c r="D21" s="14">
        <f t="shared" si="0"/>
        <v>0</v>
      </c>
      <c r="E21" s="17">
        <f t="shared" si="1"/>
        <v>0</v>
      </c>
      <c r="F21" s="21" t="str">
        <f t="shared" si="2"/>
        <v/>
      </c>
    </row>
    <row r="22" spans="1:6" x14ac:dyDescent="0.2">
      <c r="A22" s="19">
        <v>18</v>
      </c>
      <c r="B22" s="177" t="s">
        <v>16</v>
      </c>
      <c r="C22" s="178"/>
      <c r="D22" s="14">
        <f t="shared" si="0"/>
        <v>76060</v>
      </c>
      <c r="E22" s="17">
        <f t="shared" si="1"/>
        <v>356171.50361884572</v>
      </c>
      <c r="F22" s="21">
        <f t="shared" si="2"/>
        <v>4.68</v>
      </c>
    </row>
    <row r="23" spans="1:6" x14ac:dyDescent="0.2">
      <c r="A23" s="19">
        <v>19</v>
      </c>
      <c r="B23" s="177" t="s">
        <v>17</v>
      </c>
      <c r="C23" s="178"/>
      <c r="D23" s="14">
        <f t="shared" si="0"/>
        <v>196472</v>
      </c>
      <c r="E23" s="17">
        <f t="shared" si="1"/>
        <v>1106802.5177886123</v>
      </c>
      <c r="F23" s="21">
        <f t="shared" si="2"/>
        <v>5.63</v>
      </c>
    </row>
    <row r="24" spans="1:6" x14ac:dyDescent="0.2">
      <c r="A24" s="19">
        <v>20</v>
      </c>
      <c r="B24" s="177" t="s">
        <v>18</v>
      </c>
      <c r="C24" s="178"/>
      <c r="D24" s="14">
        <f t="shared" si="0"/>
        <v>52384</v>
      </c>
      <c r="E24" s="17">
        <f t="shared" si="1"/>
        <v>274346.25813265331</v>
      </c>
      <c r="F24" s="21">
        <f t="shared" si="2"/>
        <v>5.24</v>
      </c>
    </row>
    <row r="25" spans="1:6" ht="14.25" customHeight="1" x14ac:dyDescent="0.2">
      <c r="A25" s="19">
        <v>21</v>
      </c>
      <c r="B25" s="177" t="s">
        <v>461</v>
      </c>
      <c r="C25" s="178"/>
      <c r="D25" s="14">
        <f t="shared" si="0"/>
        <v>0</v>
      </c>
      <c r="E25" s="17">
        <f t="shared" si="1"/>
        <v>0</v>
      </c>
      <c r="F25" s="21" t="str">
        <f t="shared" si="2"/>
        <v/>
      </c>
    </row>
    <row r="26" spans="1:6" x14ac:dyDescent="0.2">
      <c r="A26" s="19">
        <v>22</v>
      </c>
      <c r="B26" s="177" t="s">
        <v>19</v>
      </c>
      <c r="C26" s="178"/>
      <c r="D26" s="14">
        <f t="shared" si="0"/>
        <v>0</v>
      </c>
      <c r="E26" s="17">
        <f t="shared" si="1"/>
        <v>0</v>
      </c>
      <c r="F26" s="21" t="str">
        <f t="shared" si="2"/>
        <v/>
      </c>
    </row>
    <row r="27" spans="1:6" x14ac:dyDescent="0.2">
      <c r="A27" s="19">
        <v>23</v>
      </c>
      <c r="B27" s="177" t="s">
        <v>20</v>
      </c>
      <c r="C27" s="178"/>
      <c r="D27" s="14">
        <f t="shared" si="0"/>
        <v>72624</v>
      </c>
      <c r="E27" s="17">
        <f t="shared" si="1"/>
        <v>432764.12604279583</v>
      </c>
      <c r="F27" s="21">
        <f t="shared" si="2"/>
        <v>5.96</v>
      </c>
    </row>
    <row r="28" spans="1:6" x14ac:dyDescent="0.2">
      <c r="A28" s="19">
        <v>24</v>
      </c>
      <c r="B28" s="177" t="s">
        <v>21</v>
      </c>
      <c r="C28" s="178"/>
      <c r="D28" s="14">
        <f t="shared" si="0"/>
        <v>65088</v>
      </c>
      <c r="E28" s="17">
        <f t="shared" si="1"/>
        <v>284502.77522407874</v>
      </c>
      <c r="F28" s="21">
        <f t="shared" si="2"/>
        <v>4.37</v>
      </c>
    </row>
    <row r="29" spans="1:6" x14ac:dyDescent="0.2">
      <c r="A29" s="19">
        <v>25</v>
      </c>
      <c r="B29" s="177" t="s">
        <v>22</v>
      </c>
      <c r="C29" s="178"/>
      <c r="D29" s="14">
        <f t="shared" si="0"/>
        <v>290928</v>
      </c>
      <c r="E29" s="17">
        <f t="shared" si="1"/>
        <v>1387108.3013518741</v>
      </c>
      <c r="F29" s="21">
        <f t="shared" si="2"/>
        <v>4.7699999999999996</v>
      </c>
    </row>
    <row r="30" spans="1:6" x14ac:dyDescent="0.2">
      <c r="A30" s="19">
        <v>26</v>
      </c>
      <c r="B30" s="177" t="s">
        <v>23</v>
      </c>
      <c r="C30" s="178"/>
      <c r="D30" s="14">
        <f t="shared" si="0"/>
        <v>89456</v>
      </c>
      <c r="E30" s="17">
        <f t="shared" si="1"/>
        <v>538803.81619415549</v>
      </c>
      <c r="F30" s="21">
        <f t="shared" si="2"/>
        <v>6.02</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2512956</v>
      </c>
      <c r="E33" s="31">
        <f>SUM(E5:E32)</f>
        <v>12369057.000000002</v>
      </c>
      <c r="F33" s="32">
        <f t="shared" si="2"/>
        <v>4.92</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IF(F3="1",SUMIF(Data!A:A,'44'!$A$2,Data!CU:CU),0)</f>
        <v>73868</v>
      </c>
      <c r="E36" s="15">
        <f>IF(F3="1",SUMIF(Data!$A:$A,$A$2,Data!IO:IO),0)</f>
        <v>57975</v>
      </c>
      <c r="F36" s="20">
        <f t="shared" ref="F36:F64" si="3">IF(OR(D36=0,E36=0),"",ROUND(E36/D36,2))</f>
        <v>0.78</v>
      </c>
    </row>
    <row r="37" spans="1:6" x14ac:dyDescent="0.2">
      <c r="A37" s="19">
        <v>2</v>
      </c>
      <c r="B37" s="177" t="s">
        <v>1</v>
      </c>
      <c r="C37" s="178"/>
      <c r="D37" s="14">
        <f>IF(F3="1",SUMIF(Data!A:A,'44'!$A$2,Data!CV:CV),0)</f>
        <v>185968</v>
      </c>
      <c r="E37" s="17">
        <f>IF(F3="1",SUMIF(Data!$A:$A,$A$2,Data!IP:IP),0)</f>
        <v>96745</v>
      </c>
      <c r="F37" s="21">
        <f t="shared" si="3"/>
        <v>0.52</v>
      </c>
    </row>
    <row r="38" spans="1:6" ht="14.25" customHeight="1" x14ac:dyDescent="0.2">
      <c r="A38" s="19">
        <v>3</v>
      </c>
      <c r="B38" s="177" t="s">
        <v>2</v>
      </c>
      <c r="C38" s="178"/>
      <c r="D38" s="14">
        <f>IF(F3="1",SUMIF(Data!A:A,'44'!$A$2,Data!CW:CW),0)</f>
        <v>203328</v>
      </c>
      <c r="E38" s="17">
        <f>IF($F$3="1",SUMIF(Data!$A:$A,$A$2,Data!IQ:IQ),0)</f>
        <v>82636</v>
      </c>
      <c r="F38" s="21">
        <f t="shared" si="3"/>
        <v>0.41</v>
      </c>
    </row>
    <row r="39" spans="1:6" ht="14.25" customHeight="1" x14ac:dyDescent="0.2">
      <c r="A39" s="19">
        <v>4</v>
      </c>
      <c r="B39" s="177" t="s">
        <v>3</v>
      </c>
      <c r="C39" s="178"/>
      <c r="D39" s="14">
        <f>IF(F3="1",SUMIF(Data!A:A,'44'!$A$2,Data!CX:CX),0)</f>
        <v>125962</v>
      </c>
      <c r="E39" s="17">
        <f>IF($F$3="1",SUMIF(Data!$A:$A,$A$2,Data!IR:IR),0)</f>
        <v>161525</v>
      </c>
      <c r="F39" s="21">
        <f t="shared" si="3"/>
        <v>1.28</v>
      </c>
    </row>
    <row r="40" spans="1:6" x14ac:dyDescent="0.2">
      <c r="A40" s="19">
        <v>5</v>
      </c>
      <c r="B40" s="177" t="s">
        <v>4</v>
      </c>
      <c r="C40" s="178"/>
      <c r="D40" s="14">
        <f>IF(F3="1",SUMIF(Data!A:A,'44'!$A$2,Data!CY:CY),0)</f>
        <v>0</v>
      </c>
      <c r="E40" s="17">
        <f>IF($F$3="1",SUMIF(Data!$A:$A,$A$2,Data!IS:IS),0)</f>
        <v>0</v>
      </c>
      <c r="F40" s="21" t="str">
        <f t="shared" si="3"/>
        <v/>
      </c>
    </row>
    <row r="41" spans="1:6" x14ac:dyDescent="0.2">
      <c r="A41" s="19">
        <v>6</v>
      </c>
      <c r="B41" s="177" t="s">
        <v>5</v>
      </c>
      <c r="C41" s="178"/>
      <c r="D41" s="14">
        <f>IF(F3="1",SUMIF(Data!A:A,'44'!$A$2,Data!CZ:CZ),0)</f>
        <v>14192</v>
      </c>
      <c r="E41" s="17">
        <f>IF($F$3="1",SUMIF(Data!$A:$A,$A$2,Data!IT:IT),0)</f>
        <v>6282</v>
      </c>
      <c r="F41" s="21">
        <f t="shared" si="3"/>
        <v>0.44</v>
      </c>
    </row>
    <row r="42" spans="1:6" x14ac:dyDescent="0.2">
      <c r="A42" s="19">
        <v>7</v>
      </c>
      <c r="B42" s="177" t="s">
        <v>6</v>
      </c>
      <c r="C42" s="178"/>
      <c r="D42" s="14">
        <f>IF(F3="1",SUMIF(Data!A:A,'44'!$A$2,Data!DA:DA),0)</f>
        <v>320085</v>
      </c>
      <c r="E42" s="17">
        <f>IF($F$3="1",SUMIF(Data!$A:$A,$A$2,Data!IU:IU),0)</f>
        <v>53834</v>
      </c>
      <c r="F42" s="21">
        <f t="shared" si="3"/>
        <v>0.17</v>
      </c>
    </row>
    <row r="43" spans="1:6" x14ac:dyDescent="0.2">
      <c r="A43" s="19">
        <v>8</v>
      </c>
      <c r="B43" s="177" t="s">
        <v>7</v>
      </c>
      <c r="C43" s="178"/>
      <c r="D43" s="14">
        <f>IF(F3="1",SUMIF(Data!A:A,'44'!$A$2,Data!DB:DB),0)</f>
        <v>17184</v>
      </c>
      <c r="E43" s="17">
        <f>IF($F$3="1",SUMIF(Data!$A:$A,$A$2,Data!IV:IV),0)</f>
        <v>7229</v>
      </c>
      <c r="F43" s="21">
        <f t="shared" si="3"/>
        <v>0.42</v>
      </c>
    </row>
    <row r="44" spans="1:6" x14ac:dyDescent="0.2">
      <c r="A44" s="19">
        <v>9</v>
      </c>
      <c r="B44" s="177" t="s">
        <v>8</v>
      </c>
      <c r="C44" s="178"/>
      <c r="D44" s="14">
        <f>IF(F3="1",SUMIF(Data!A:A,'44'!$A$2,Data!DC:DC),0)</f>
        <v>160358</v>
      </c>
      <c r="E44" s="17">
        <f>IF($F$3="1",SUMIF(Data!$A:$A,$A$2,Data!IW:IW),0)</f>
        <v>56331</v>
      </c>
      <c r="F44" s="21">
        <f t="shared" si="3"/>
        <v>0.35</v>
      </c>
    </row>
    <row r="45" spans="1:6" x14ac:dyDescent="0.2">
      <c r="A45" s="19">
        <v>10</v>
      </c>
      <c r="B45" s="177" t="s">
        <v>9</v>
      </c>
      <c r="C45" s="178"/>
      <c r="D45" s="14">
        <f>IF(F3="1",SUMIF(Data!A:A,'44'!$A$2,Data!DD:DD),0)</f>
        <v>0</v>
      </c>
      <c r="E45" s="17">
        <f>IF($F$3="1",SUMIF(Data!$A:$A,$A$2,Data!IX:IX),0)</f>
        <v>0</v>
      </c>
      <c r="F45" s="21" t="str">
        <f t="shared" si="3"/>
        <v/>
      </c>
    </row>
    <row r="46" spans="1:6" x14ac:dyDescent="0.2">
      <c r="A46" s="19">
        <v>11</v>
      </c>
      <c r="B46" s="177" t="s">
        <v>10</v>
      </c>
      <c r="C46" s="178"/>
      <c r="D46" s="14">
        <f>IF(F3="1",SUMIF(Data!A:A,'44'!$A$2,Data!DE:DE),0)</f>
        <v>82944</v>
      </c>
      <c r="E46" s="17">
        <f>IF($F$3="1",SUMIF(Data!$A:$A,$A$2,Data!IY:IY),0)</f>
        <v>35929</v>
      </c>
      <c r="F46" s="21">
        <f t="shared" si="3"/>
        <v>0.43</v>
      </c>
    </row>
    <row r="47" spans="1:6" ht="14.25" customHeight="1" x14ac:dyDescent="0.2">
      <c r="A47" s="19">
        <v>12</v>
      </c>
      <c r="B47" s="177" t="s">
        <v>11</v>
      </c>
      <c r="C47" s="178"/>
      <c r="D47" s="14">
        <f>IF(F3="1",SUMIF(Data!A:A,'44'!$A$2,Data!DF:DF),0)</f>
        <v>263016</v>
      </c>
      <c r="E47" s="17">
        <f>IF($F$3="1",SUMIF(Data!$A:$A,$A$2,Data!IZ:IZ),0)</f>
        <v>65162</v>
      </c>
      <c r="F47" s="21">
        <f t="shared" si="3"/>
        <v>0.25</v>
      </c>
    </row>
    <row r="48" spans="1:6" x14ac:dyDescent="0.2">
      <c r="A48" s="19">
        <v>13</v>
      </c>
      <c r="B48" s="177" t="s">
        <v>12</v>
      </c>
      <c r="C48" s="178"/>
      <c r="D48" s="14">
        <f>IF(F3="1",SUMIF(Data!A:A,'44'!$A$2,Data!DG:DG),0)</f>
        <v>22320</v>
      </c>
      <c r="E48" s="17">
        <f>IF($F$3="1",SUMIF(Data!$A:$A,$A$2,Data!JA:JA),0)</f>
        <v>2715</v>
      </c>
      <c r="F48" s="21">
        <f t="shared" si="3"/>
        <v>0.12</v>
      </c>
    </row>
    <row r="49" spans="1:6" ht="14.25" customHeight="1" x14ac:dyDescent="0.2">
      <c r="A49" s="19">
        <v>14</v>
      </c>
      <c r="B49" s="177" t="s">
        <v>464</v>
      </c>
      <c r="C49" s="178"/>
      <c r="D49" s="14">
        <f>IF(F3="1",SUMIF(Data!A:A,'44'!$A$2,Data!DH:DH),0)</f>
        <v>118854</v>
      </c>
      <c r="E49" s="17">
        <f>IF($F$3="1",SUMIF(Data!$A:$A,$A$2,Data!JB:JB),0)</f>
        <v>41325</v>
      </c>
      <c r="F49" s="21">
        <f t="shared" si="3"/>
        <v>0.35</v>
      </c>
    </row>
    <row r="50" spans="1:6" x14ac:dyDescent="0.2">
      <c r="A50" s="19">
        <v>15</v>
      </c>
      <c r="B50" s="177" t="s">
        <v>13</v>
      </c>
      <c r="C50" s="178"/>
      <c r="D50" s="14">
        <f>IF(F3="1",SUMIF(Data!A:A,'44'!$A$2,Data!DI:DI),0)</f>
        <v>0</v>
      </c>
      <c r="E50" s="17">
        <f>IF($F$3="1",SUMIF(Data!$A:$A,$A$2,Data!JC:JC),0)</f>
        <v>0</v>
      </c>
      <c r="F50" s="21" t="str">
        <f t="shared" si="3"/>
        <v/>
      </c>
    </row>
    <row r="51" spans="1:6" x14ac:dyDescent="0.2">
      <c r="A51" s="19">
        <v>16</v>
      </c>
      <c r="B51" s="177" t="s">
        <v>14</v>
      </c>
      <c r="C51" s="178"/>
      <c r="D51" s="14">
        <f>IF(F3="1",SUMIF(Data!A:A,'44'!$A$2,Data!DJ:DJ),0)</f>
        <v>81865</v>
      </c>
      <c r="E51" s="17">
        <f>IF($F$3="1",SUMIF(Data!$A:$A,$A$2,Data!JD:JD),0)</f>
        <v>61235</v>
      </c>
      <c r="F51" s="21">
        <f t="shared" si="3"/>
        <v>0.75</v>
      </c>
    </row>
    <row r="52" spans="1:6" x14ac:dyDescent="0.2">
      <c r="A52" s="19">
        <v>17</v>
      </c>
      <c r="B52" s="177" t="s">
        <v>15</v>
      </c>
      <c r="C52" s="178"/>
      <c r="D52" s="14">
        <f>IF(F3="1",SUMIF(Data!A:A,'44'!$A$2,Data!DK:DK),0)</f>
        <v>0</v>
      </c>
      <c r="E52" s="17">
        <f>IF($F$3="1",SUMIF(Data!$A:$A,$A$2,Data!JE:JE),0)</f>
        <v>0</v>
      </c>
      <c r="F52" s="21" t="str">
        <f t="shared" si="3"/>
        <v/>
      </c>
    </row>
    <row r="53" spans="1:6" x14ac:dyDescent="0.2">
      <c r="A53" s="19">
        <v>18</v>
      </c>
      <c r="B53" s="177" t="s">
        <v>16</v>
      </c>
      <c r="C53" s="178"/>
      <c r="D53" s="14">
        <f>IF(F3="1",SUMIF(Data!A:A,'44'!$A$2,Data!DL:DL),0)</f>
        <v>76060</v>
      </c>
      <c r="E53" s="17">
        <f>IF($F$3="1",SUMIF(Data!$A:$A,$A$2,Data!JF:JF),0)</f>
        <v>9365</v>
      </c>
      <c r="F53" s="21">
        <f t="shared" si="3"/>
        <v>0.12</v>
      </c>
    </row>
    <row r="54" spans="1:6" x14ac:dyDescent="0.2">
      <c r="A54" s="19">
        <v>19</v>
      </c>
      <c r="B54" s="177" t="s">
        <v>17</v>
      </c>
      <c r="C54" s="178"/>
      <c r="D54" s="14">
        <f>IF(F3="1",SUMIF(Data!A:A,'44'!$A$2,Data!DM:DM),0)</f>
        <v>196472</v>
      </c>
      <c r="E54" s="17">
        <f>IF($F$3="1",SUMIF(Data!$A:$A,$A$2,Data!JG:JG),0)</f>
        <v>28185</v>
      </c>
      <c r="F54" s="21">
        <f t="shared" si="3"/>
        <v>0.14000000000000001</v>
      </c>
    </row>
    <row r="55" spans="1:6" x14ac:dyDescent="0.2">
      <c r="A55" s="19">
        <v>20</v>
      </c>
      <c r="B55" s="177" t="s">
        <v>18</v>
      </c>
      <c r="C55" s="178"/>
      <c r="D55" s="14">
        <f>IF(F3="1",SUMIF(Data!A:A,'44'!$A$2,Data!DN:DN),0)</f>
        <v>52384</v>
      </c>
      <c r="E55" s="17">
        <f>IF($F$3="1",SUMIF(Data!$A:$A,$A$2,Data!JH:JH),0)</f>
        <v>15469</v>
      </c>
      <c r="F55" s="21">
        <f t="shared" si="3"/>
        <v>0.3</v>
      </c>
    </row>
    <row r="56" spans="1:6" ht="14.25" customHeight="1" x14ac:dyDescent="0.2">
      <c r="A56" s="19">
        <v>21</v>
      </c>
      <c r="B56" s="177" t="s">
        <v>461</v>
      </c>
      <c r="C56" s="178"/>
      <c r="D56" s="14">
        <f>IF(F3="1",SUMIF(Data!A:A,'44'!$A$2,Data!DO:DO),0)</f>
        <v>0</v>
      </c>
      <c r="E56" s="17">
        <f>IF($F$3="1",SUMIF(Data!$A:$A,$A$2,Data!JI:JI),0)</f>
        <v>0</v>
      </c>
      <c r="F56" s="21" t="str">
        <f t="shared" si="3"/>
        <v/>
      </c>
    </row>
    <row r="57" spans="1:6" x14ac:dyDescent="0.2">
      <c r="A57" s="19">
        <v>22</v>
      </c>
      <c r="B57" s="177" t="s">
        <v>19</v>
      </c>
      <c r="C57" s="178"/>
      <c r="D57" s="14">
        <f>IF(F3="1",SUMIF(Data!A:A,'44'!$A$2,Data!DP:DP),0)</f>
        <v>0</v>
      </c>
      <c r="E57" s="17">
        <f>IF($F$3="1",SUMIF(Data!$A:$A,$A$2,Data!JJ:JJ),0)</f>
        <v>0</v>
      </c>
      <c r="F57" s="21" t="str">
        <f t="shared" si="3"/>
        <v/>
      </c>
    </row>
    <row r="58" spans="1:6" x14ac:dyDescent="0.2">
      <c r="A58" s="19">
        <v>23</v>
      </c>
      <c r="B58" s="177" t="s">
        <v>20</v>
      </c>
      <c r="C58" s="178"/>
      <c r="D58" s="14">
        <f>IF(F3="1",SUMIF(Data!A:A,'44'!$A$2,Data!DQ:DQ),0)</f>
        <v>72624</v>
      </c>
      <c r="E58" s="17">
        <f>IF($F$3="1",SUMIF(Data!$A:$A,$A$2,Data!JK:JK),0)</f>
        <v>21941</v>
      </c>
      <c r="F58" s="21">
        <f t="shared" si="3"/>
        <v>0.3</v>
      </c>
    </row>
    <row r="59" spans="1:6" x14ac:dyDescent="0.2">
      <c r="A59" s="19">
        <v>24</v>
      </c>
      <c r="B59" s="177" t="s">
        <v>21</v>
      </c>
      <c r="C59" s="178"/>
      <c r="D59" s="14">
        <f>IF(F3="1",SUMIF(Data!A:A,'44'!$A$2,Data!DR:DR),0)</f>
        <v>65088</v>
      </c>
      <c r="E59" s="17">
        <f>IF($F$3="1",SUMIF(Data!$A:$A,$A$2,Data!JL:JL),0)</f>
        <v>11166</v>
      </c>
      <c r="F59" s="21">
        <f t="shared" si="3"/>
        <v>0.17</v>
      </c>
    </row>
    <row r="60" spans="1:6" x14ac:dyDescent="0.2">
      <c r="A60" s="19">
        <v>25</v>
      </c>
      <c r="B60" s="177" t="s">
        <v>22</v>
      </c>
      <c r="C60" s="178"/>
      <c r="D60" s="14">
        <f>IF(F3="1",SUMIF(Data!A:A,'44'!$A$2,Data!DS:DS),0)</f>
        <v>290928</v>
      </c>
      <c r="E60" s="17">
        <f>IF($F$3="1",SUMIF(Data!$A:$A,$A$2,Data!JM:JM),0)</f>
        <v>55824</v>
      </c>
      <c r="F60" s="21">
        <f t="shared" si="3"/>
        <v>0.19</v>
      </c>
    </row>
    <row r="61" spans="1:6" x14ac:dyDescent="0.2">
      <c r="A61" s="19">
        <v>26</v>
      </c>
      <c r="B61" s="177" t="s">
        <v>23</v>
      </c>
      <c r="C61" s="178"/>
      <c r="D61" s="14">
        <f>IF(F3="1",SUMIF(Data!A:A,'44'!$A$2,Data!DT:DT),0)</f>
        <v>89456</v>
      </c>
      <c r="E61" s="17">
        <f>IF($F$3="1",SUMIF(Data!$A:$A,$A$2,Data!JN:JN),0)</f>
        <v>47253</v>
      </c>
      <c r="F61" s="21">
        <f t="shared" si="3"/>
        <v>0.53</v>
      </c>
    </row>
    <row r="62" spans="1:6" x14ac:dyDescent="0.2">
      <c r="A62" s="19">
        <v>28</v>
      </c>
      <c r="B62" s="177" t="s">
        <v>24</v>
      </c>
      <c r="C62" s="178"/>
      <c r="D62" s="14">
        <f>IF(F3="1",SUMIF(Data!A:A,'44'!$A$2,Data!DV:DV),0)</f>
        <v>0</v>
      </c>
      <c r="E62" s="17">
        <f>IF($F$3="1",SUMIF(Data!$A:$A,$A$2,Data!JP:JP),0)</f>
        <v>0</v>
      </c>
      <c r="F62" s="21" t="str">
        <f t="shared" si="3"/>
        <v/>
      </c>
    </row>
    <row r="63" spans="1:6" ht="15.75" customHeight="1" thickBot="1" x14ac:dyDescent="0.25">
      <c r="A63" s="22">
        <v>29</v>
      </c>
      <c r="B63" s="179" t="s">
        <v>25</v>
      </c>
      <c r="C63" s="180"/>
      <c r="D63" s="23">
        <f>IF(F3="1",SUMIF(Data!A:A,'44'!$A$2,Data!DW:DW),0)</f>
        <v>0</v>
      </c>
      <c r="E63" s="24">
        <f>IF($F$3="1",SUMIF(Data!$A:$A,$A$2,Data!JQ:JQ),0)</f>
        <v>0</v>
      </c>
      <c r="F63" s="25" t="str">
        <f t="shared" si="3"/>
        <v/>
      </c>
    </row>
    <row r="64" spans="1:6" x14ac:dyDescent="0.2">
      <c r="B64" s="30" t="s">
        <v>35</v>
      </c>
      <c r="C64" s="30"/>
      <c r="D64" s="59">
        <f>SUM(D36:D63)</f>
        <v>2512956</v>
      </c>
      <c r="E64" s="31">
        <f>SUM(E36:E63)</f>
        <v>918126</v>
      </c>
      <c r="F64" s="32">
        <f t="shared" si="3"/>
        <v>0.37</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73868</v>
      </c>
      <c r="E67" s="15">
        <f>IF(F3="1",SUMIF(Data!A:A,'44'!$A$2,Data!DY:DY),0)</f>
        <v>267393</v>
      </c>
      <c r="F67" s="20">
        <f t="shared" ref="F67:F95" si="4">IF(OR(D67=0,E67=0),"",ROUND(E67/D67,2))</f>
        <v>3.62</v>
      </c>
    </row>
    <row r="68" spans="1:6" x14ac:dyDescent="0.2">
      <c r="A68" s="19">
        <v>2</v>
      </c>
      <c r="B68" s="177" t="s">
        <v>1</v>
      </c>
      <c r="C68" s="178"/>
      <c r="D68" s="14">
        <f t="shared" ref="D68:D94" si="5">D37</f>
        <v>185968</v>
      </c>
      <c r="E68" s="17">
        <f>IF(F3="1",SUMIF(Data!A:A,'44'!$A$2,Data!DZ:DZ),0)</f>
        <v>338107</v>
      </c>
      <c r="F68" s="21">
        <f t="shared" si="4"/>
        <v>1.82</v>
      </c>
    </row>
    <row r="69" spans="1:6" ht="14.25" customHeight="1" x14ac:dyDescent="0.2">
      <c r="A69" s="19">
        <v>3</v>
      </c>
      <c r="B69" s="177" t="s">
        <v>2</v>
      </c>
      <c r="C69" s="178"/>
      <c r="D69" s="14">
        <f t="shared" si="5"/>
        <v>203328</v>
      </c>
      <c r="E69" s="17">
        <f>IF(F3="1",SUMIF(Data!A:A,'44'!$A$2,Data!EA:EA),0)</f>
        <v>432634</v>
      </c>
      <c r="F69" s="21">
        <f t="shared" si="4"/>
        <v>2.13</v>
      </c>
    </row>
    <row r="70" spans="1:6" ht="14.25" customHeight="1" x14ac:dyDescent="0.2">
      <c r="A70" s="19">
        <v>4</v>
      </c>
      <c r="B70" s="177" t="s">
        <v>3</v>
      </c>
      <c r="C70" s="178"/>
      <c r="D70" s="14">
        <f t="shared" si="5"/>
        <v>125962</v>
      </c>
      <c r="E70" s="17">
        <f>IF(F3="1",SUMIF(Data!A:A,'44'!$A$2,Data!EB:EB),0)</f>
        <v>550269</v>
      </c>
      <c r="F70" s="21">
        <f t="shared" si="4"/>
        <v>4.37</v>
      </c>
    </row>
    <row r="71" spans="1:6" x14ac:dyDescent="0.2">
      <c r="A71" s="19">
        <v>5</v>
      </c>
      <c r="B71" s="177" t="s">
        <v>4</v>
      </c>
      <c r="C71" s="178"/>
      <c r="D71" s="14">
        <f t="shared" si="5"/>
        <v>0</v>
      </c>
      <c r="E71" s="17">
        <f>IF(F3="1",SUMIF(Data!A:A,'44'!$A$2,Data!EC:EC),0)</f>
        <v>0</v>
      </c>
      <c r="F71" s="21" t="str">
        <f t="shared" si="4"/>
        <v/>
      </c>
    </row>
    <row r="72" spans="1:6" x14ac:dyDescent="0.2">
      <c r="A72" s="19">
        <v>6</v>
      </c>
      <c r="B72" s="177" t="s">
        <v>5</v>
      </c>
      <c r="C72" s="178"/>
      <c r="D72" s="14">
        <f t="shared" si="5"/>
        <v>14192</v>
      </c>
      <c r="E72" s="17">
        <f>IF(F3="1",SUMIF(Data!A:A,'44'!$A$2,Data!ED:ED),0)</f>
        <v>89499</v>
      </c>
      <c r="F72" s="21">
        <f t="shared" si="4"/>
        <v>6.31</v>
      </c>
    </row>
    <row r="73" spans="1:6" x14ac:dyDescent="0.2">
      <c r="A73" s="19">
        <v>7</v>
      </c>
      <c r="B73" s="177" t="s">
        <v>6</v>
      </c>
      <c r="C73" s="178"/>
      <c r="D73" s="14">
        <f t="shared" si="5"/>
        <v>320085</v>
      </c>
      <c r="E73" s="17">
        <f>IF(F3="1",SUMIF(Data!A:A,'44'!$A$2,Data!EE:EE),0)</f>
        <v>232059</v>
      </c>
      <c r="F73" s="21">
        <f t="shared" si="4"/>
        <v>0.72</v>
      </c>
    </row>
    <row r="74" spans="1:6" x14ac:dyDescent="0.2">
      <c r="A74" s="19">
        <v>8</v>
      </c>
      <c r="B74" s="177" t="s">
        <v>7</v>
      </c>
      <c r="C74" s="178"/>
      <c r="D74" s="14">
        <f t="shared" si="5"/>
        <v>17184</v>
      </c>
      <c r="E74" s="17">
        <f>IF(F3="1",SUMIF(Data!A:A,'44'!$A$2,Data!EF:EF),0)</f>
        <v>50744</v>
      </c>
      <c r="F74" s="21">
        <f t="shared" si="4"/>
        <v>2.95</v>
      </c>
    </row>
    <row r="75" spans="1:6" x14ac:dyDescent="0.2">
      <c r="A75" s="19">
        <v>9</v>
      </c>
      <c r="B75" s="177" t="s">
        <v>8</v>
      </c>
      <c r="C75" s="178"/>
      <c r="D75" s="14">
        <f t="shared" si="5"/>
        <v>160358</v>
      </c>
      <c r="E75" s="17">
        <f>IF(F3="1",SUMIF(Data!A:A,'44'!$A$2,Data!EG:EG),0)</f>
        <v>198798</v>
      </c>
      <c r="F75" s="21">
        <f t="shared" si="4"/>
        <v>1.24</v>
      </c>
    </row>
    <row r="76" spans="1:6" x14ac:dyDescent="0.2">
      <c r="A76" s="19">
        <v>10</v>
      </c>
      <c r="B76" s="177" t="s">
        <v>9</v>
      </c>
      <c r="C76" s="178"/>
      <c r="D76" s="14">
        <f t="shared" si="5"/>
        <v>0</v>
      </c>
      <c r="E76" s="17">
        <f>IF(F3="1",SUMIF(Data!A:A,'44'!$A$2,Data!EH:EH),0)</f>
        <v>0</v>
      </c>
      <c r="F76" s="21" t="str">
        <f t="shared" si="4"/>
        <v/>
      </c>
    </row>
    <row r="77" spans="1:6" x14ac:dyDescent="0.2">
      <c r="A77" s="19">
        <v>11</v>
      </c>
      <c r="B77" s="177" t="s">
        <v>10</v>
      </c>
      <c r="C77" s="178"/>
      <c r="D77" s="14">
        <f t="shared" si="5"/>
        <v>82944</v>
      </c>
      <c r="E77" s="17">
        <f>IF(F3="1",SUMIF(Data!A:A,'44'!$A$2,Data!EI:EI),0)</f>
        <v>120563</v>
      </c>
      <c r="F77" s="21">
        <f t="shared" si="4"/>
        <v>1.45</v>
      </c>
    </row>
    <row r="78" spans="1:6" ht="14.25" customHeight="1" x14ac:dyDescent="0.2">
      <c r="A78" s="19">
        <v>12</v>
      </c>
      <c r="B78" s="177" t="s">
        <v>11</v>
      </c>
      <c r="C78" s="178"/>
      <c r="D78" s="14">
        <f t="shared" si="5"/>
        <v>263016</v>
      </c>
      <c r="E78" s="17">
        <f>IF(F3="1",SUMIF(Data!A:A,'44'!$A$2,Data!EJ:EJ),0)</f>
        <v>740233</v>
      </c>
      <c r="F78" s="21">
        <f t="shared" si="4"/>
        <v>2.81</v>
      </c>
    </row>
    <row r="79" spans="1:6" x14ac:dyDescent="0.2">
      <c r="A79" s="19">
        <v>13</v>
      </c>
      <c r="B79" s="177" t="s">
        <v>12</v>
      </c>
      <c r="C79" s="178"/>
      <c r="D79" s="14">
        <f t="shared" si="5"/>
        <v>22320</v>
      </c>
      <c r="E79" s="17">
        <f>IF(F3="1",SUMIF(Data!A:A,'44'!$A$2,Data!EK:EK),0)</f>
        <v>49975</v>
      </c>
      <c r="F79" s="21">
        <f t="shared" si="4"/>
        <v>2.2400000000000002</v>
      </c>
    </row>
    <row r="80" spans="1:6" ht="14.25" customHeight="1" x14ac:dyDescent="0.2">
      <c r="A80" s="19">
        <v>14</v>
      </c>
      <c r="B80" s="177" t="s">
        <v>464</v>
      </c>
      <c r="C80" s="178"/>
      <c r="D80" s="14">
        <f t="shared" si="5"/>
        <v>118854</v>
      </c>
      <c r="E80" s="17">
        <f>IF(F3="1",SUMIF(Data!A:A,'44'!$A$2,Data!EL:EL),0)</f>
        <v>474310</v>
      </c>
      <c r="F80" s="21">
        <f t="shared" si="4"/>
        <v>3.99</v>
      </c>
    </row>
    <row r="81" spans="1:6" x14ac:dyDescent="0.2">
      <c r="A81" s="19">
        <v>15</v>
      </c>
      <c r="B81" s="177" t="s">
        <v>13</v>
      </c>
      <c r="C81" s="178"/>
      <c r="D81" s="14">
        <f t="shared" si="5"/>
        <v>0</v>
      </c>
      <c r="E81" s="17">
        <f>IF(F3="1",SUMIF(Data!A:A,'44'!$A$2,Data!EM:EM),0)</f>
        <v>0</v>
      </c>
      <c r="F81" s="21" t="str">
        <f t="shared" si="4"/>
        <v/>
      </c>
    </row>
    <row r="82" spans="1:6" x14ac:dyDescent="0.2">
      <c r="A82" s="19">
        <v>16</v>
      </c>
      <c r="B82" s="177" t="s">
        <v>14</v>
      </c>
      <c r="C82" s="178"/>
      <c r="D82" s="14">
        <f t="shared" si="5"/>
        <v>81865</v>
      </c>
      <c r="E82" s="17">
        <f>IF(F3="1",SUMIF(Data!A:A,'44'!$A$2,Data!EN:EN),0)</f>
        <v>124682</v>
      </c>
      <c r="F82" s="21">
        <f t="shared" si="4"/>
        <v>1.52</v>
      </c>
    </row>
    <row r="83" spans="1:6" x14ac:dyDescent="0.2">
      <c r="A83" s="19">
        <v>17</v>
      </c>
      <c r="B83" s="177" t="s">
        <v>15</v>
      </c>
      <c r="C83" s="178"/>
      <c r="D83" s="14">
        <f t="shared" si="5"/>
        <v>0</v>
      </c>
      <c r="E83" s="17">
        <f>IF(F3="1",SUMIF(Data!A:A,'44'!$A$2,Data!EO:EO),0)</f>
        <v>0</v>
      </c>
      <c r="F83" s="21" t="str">
        <f t="shared" si="4"/>
        <v/>
      </c>
    </row>
    <row r="84" spans="1:6" x14ac:dyDescent="0.2">
      <c r="A84" s="19">
        <v>18</v>
      </c>
      <c r="B84" s="177" t="s">
        <v>16</v>
      </c>
      <c r="C84" s="178"/>
      <c r="D84" s="14">
        <f t="shared" si="5"/>
        <v>76060</v>
      </c>
      <c r="E84" s="17">
        <f>IF(F3="1",SUMIF(Data!A:A,'44'!$A$2,Data!EP:EP),0)</f>
        <v>183278</v>
      </c>
      <c r="F84" s="21">
        <f t="shared" si="4"/>
        <v>2.41</v>
      </c>
    </row>
    <row r="85" spans="1:6" x14ac:dyDescent="0.2">
      <c r="A85" s="19">
        <v>19</v>
      </c>
      <c r="B85" s="177" t="s">
        <v>17</v>
      </c>
      <c r="C85" s="178"/>
      <c r="D85" s="14">
        <f t="shared" si="5"/>
        <v>196472</v>
      </c>
      <c r="E85" s="17">
        <f>IF(F3="1",SUMIF(Data!A:A,'44'!$A$2,Data!EQ:EQ),0)</f>
        <v>656204</v>
      </c>
      <c r="F85" s="21">
        <f t="shared" si="4"/>
        <v>3.34</v>
      </c>
    </row>
    <row r="86" spans="1:6" x14ac:dyDescent="0.2">
      <c r="A86" s="19">
        <v>20</v>
      </c>
      <c r="B86" s="177" t="s">
        <v>18</v>
      </c>
      <c r="C86" s="178"/>
      <c r="D86" s="14">
        <f t="shared" si="5"/>
        <v>52384</v>
      </c>
      <c r="E86" s="17">
        <f>IF(F3="1",SUMIF(Data!A:A,'44'!$A$2,Data!ER:ER),0)</f>
        <v>146252</v>
      </c>
      <c r="F86" s="21">
        <f t="shared" si="4"/>
        <v>2.79</v>
      </c>
    </row>
    <row r="87" spans="1:6" ht="14.25" customHeight="1" x14ac:dyDescent="0.2">
      <c r="A87" s="19">
        <v>21</v>
      </c>
      <c r="B87" s="177" t="s">
        <v>461</v>
      </c>
      <c r="C87" s="178"/>
      <c r="D87" s="14">
        <f t="shared" si="5"/>
        <v>0</v>
      </c>
      <c r="E87" s="17">
        <f>IF(F3="1",SUMIF(Data!A:A,'44'!$A$2,Data!ES:ES),0)</f>
        <v>0</v>
      </c>
      <c r="F87" s="21" t="str">
        <f t="shared" si="4"/>
        <v/>
      </c>
    </row>
    <row r="88" spans="1:6" x14ac:dyDescent="0.2">
      <c r="A88" s="19">
        <v>22</v>
      </c>
      <c r="B88" s="177" t="s">
        <v>19</v>
      </c>
      <c r="C88" s="178"/>
      <c r="D88" s="14">
        <f t="shared" si="5"/>
        <v>0</v>
      </c>
      <c r="E88" s="17">
        <f>IF(F3="1",SUMIF(Data!A:A,'44'!$A$2,Data!ET:ET),0)</f>
        <v>0</v>
      </c>
      <c r="F88" s="21" t="str">
        <f t="shared" si="4"/>
        <v/>
      </c>
    </row>
    <row r="89" spans="1:6" x14ac:dyDescent="0.2">
      <c r="A89" s="19">
        <v>23</v>
      </c>
      <c r="B89" s="177" t="s">
        <v>20</v>
      </c>
      <c r="C89" s="178"/>
      <c r="D89" s="14">
        <f t="shared" si="5"/>
        <v>72624</v>
      </c>
      <c r="E89" s="17">
        <f>IF(F3="1",SUMIF(Data!A:A,'44'!$A$2,Data!EU:EU),0)</f>
        <v>254682</v>
      </c>
      <c r="F89" s="21">
        <f t="shared" si="4"/>
        <v>3.51</v>
      </c>
    </row>
    <row r="90" spans="1:6" x14ac:dyDescent="0.2">
      <c r="A90" s="19">
        <v>24</v>
      </c>
      <c r="B90" s="177" t="s">
        <v>21</v>
      </c>
      <c r="C90" s="178"/>
      <c r="D90" s="14">
        <f t="shared" si="5"/>
        <v>65088</v>
      </c>
      <c r="E90" s="17">
        <f>IF(F3="1",SUMIF(Data!A:A,'44'!$A$2,Data!EV:EV),0)</f>
        <v>133398</v>
      </c>
      <c r="F90" s="21">
        <f t="shared" si="4"/>
        <v>2.0499999999999998</v>
      </c>
    </row>
    <row r="91" spans="1:6" x14ac:dyDescent="0.2">
      <c r="A91" s="19">
        <v>25</v>
      </c>
      <c r="B91" s="177" t="s">
        <v>22</v>
      </c>
      <c r="C91" s="178"/>
      <c r="D91" s="14">
        <f t="shared" si="5"/>
        <v>290928</v>
      </c>
      <c r="E91" s="17">
        <f>IF(F3="1",SUMIF(Data!A:A,'44'!$A$2,Data!EW:EW),0)</f>
        <v>705791</v>
      </c>
      <c r="F91" s="21">
        <f t="shared" si="4"/>
        <v>2.4300000000000002</v>
      </c>
    </row>
    <row r="92" spans="1:6" x14ac:dyDescent="0.2">
      <c r="A92" s="19">
        <v>26</v>
      </c>
      <c r="B92" s="177" t="s">
        <v>23</v>
      </c>
      <c r="C92" s="178"/>
      <c r="D92" s="14">
        <f t="shared" si="5"/>
        <v>89456</v>
      </c>
      <c r="E92" s="17">
        <f>IF(F3="1",SUMIF(Data!A:A,'44'!$A$2,Data!EX:EX),0)</f>
        <v>299221</v>
      </c>
      <c r="F92" s="21">
        <f t="shared" si="4"/>
        <v>3.34</v>
      </c>
    </row>
    <row r="93" spans="1:6" x14ac:dyDescent="0.2">
      <c r="A93" s="19">
        <v>28</v>
      </c>
      <c r="B93" s="177" t="s">
        <v>24</v>
      </c>
      <c r="C93" s="178"/>
      <c r="D93" s="14">
        <f t="shared" si="5"/>
        <v>0</v>
      </c>
      <c r="E93" s="17">
        <f>IF(F3="1",SUMIF(Data!A:A,'44'!$A$2,Data!EZ:EZ),0)</f>
        <v>0</v>
      </c>
      <c r="F93" s="21" t="str">
        <f t="shared" si="4"/>
        <v/>
      </c>
    </row>
    <row r="94" spans="1:6" ht="15.75" customHeight="1" thickBot="1" x14ac:dyDescent="0.25">
      <c r="A94" s="22">
        <v>29</v>
      </c>
      <c r="B94" s="179" t="s">
        <v>25</v>
      </c>
      <c r="C94" s="180"/>
      <c r="D94" s="23">
        <f t="shared" si="5"/>
        <v>0</v>
      </c>
      <c r="E94" s="24">
        <f>IF(F3="1",SUMIF(Data!A:A,'44'!$A$2,Data!FA:FA),0)</f>
        <v>0</v>
      </c>
      <c r="F94" s="25" t="str">
        <f t="shared" si="4"/>
        <v/>
      </c>
    </row>
    <row r="95" spans="1:6" x14ac:dyDescent="0.2">
      <c r="B95" s="30" t="s">
        <v>35</v>
      </c>
      <c r="C95" s="30"/>
      <c r="D95" s="59">
        <f>SUM(D67:D94)</f>
        <v>2512956</v>
      </c>
      <c r="E95" s="31">
        <f>SUM(E67:E94)</f>
        <v>6048092</v>
      </c>
      <c r="F95" s="32">
        <f t="shared" si="4"/>
        <v>2.41</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IF(F3="1",SUMIF(Data!A:A,'44'!$A$2,Data!AH:AH),0)</f>
        <v>1471088</v>
      </c>
      <c r="F98" s="20">
        <f>IF(OR(E98=0,E98=0),"",ROUND(E98/$D$105,2))</f>
        <v>0.59</v>
      </c>
    </row>
    <row r="99" spans="2:6" x14ac:dyDescent="0.2">
      <c r="B99" s="183" t="s">
        <v>31</v>
      </c>
      <c r="C99" s="184"/>
      <c r="D99" s="36"/>
      <c r="E99" s="17">
        <f>IF(F3="1",SUMIF(Data!A:A,'44'!$A$2,Data!AI:AI),0)</f>
        <v>1183451</v>
      </c>
      <c r="F99" s="21">
        <f t="shared" ref="F99:F104" si="6">IF(OR(E99=0,E99=0),"",ROUND(E99/$D$105,2))</f>
        <v>0.47</v>
      </c>
    </row>
    <row r="100" spans="2:6" x14ac:dyDescent="0.2">
      <c r="B100" s="183" t="s">
        <v>1078</v>
      </c>
      <c r="C100" s="184"/>
      <c r="D100" s="36"/>
      <c r="E100" s="17">
        <f>IF(F3="1",SUMIF(Data!A:A,'44'!$A$2,Data!AJ:AJ),0)</f>
        <v>630422</v>
      </c>
      <c r="F100" s="21">
        <f t="shared" si="6"/>
        <v>0.25</v>
      </c>
    </row>
    <row r="101" spans="2:6" x14ac:dyDescent="0.2">
      <c r="B101" s="183" t="s">
        <v>1079</v>
      </c>
      <c r="C101" s="184"/>
      <c r="D101" s="36"/>
      <c r="E101" s="17">
        <f>IF(F3="1",SUMIF(Data!A:A,'44'!$A$2,Data!AK:AK),0)</f>
        <v>612220</v>
      </c>
      <c r="F101" s="21">
        <f t="shared" si="6"/>
        <v>0.24</v>
      </c>
    </row>
    <row r="102" spans="2:6" x14ac:dyDescent="0.2">
      <c r="B102" s="183" t="s">
        <v>1080</v>
      </c>
      <c r="C102" s="184"/>
      <c r="D102" s="36"/>
      <c r="E102" s="17">
        <f>IF(F3="1",SUMIF(Data!A:A,'44'!$A$2,Data!AL:AL),0)</f>
        <v>283860</v>
      </c>
      <c r="F102" s="21">
        <f t="shared" si="6"/>
        <v>0.11</v>
      </c>
    </row>
    <row r="103" spans="2:6" x14ac:dyDescent="0.2">
      <c r="B103" s="185" t="s">
        <v>34</v>
      </c>
      <c r="C103" s="186"/>
      <c r="D103" s="36"/>
      <c r="E103" s="17">
        <f>IF(F3="1",SUMIF(Data!A:A,'44'!$A$2,Data!AM:AM),0)</f>
        <v>0</v>
      </c>
      <c r="F103" s="21" t="str">
        <f t="shared" si="6"/>
        <v/>
      </c>
    </row>
    <row r="104" spans="2:6" ht="15.75" customHeight="1" thickBot="1" x14ac:dyDescent="0.25">
      <c r="B104" s="175" t="s">
        <v>29</v>
      </c>
      <c r="C104" s="176"/>
      <c r="D104" s="37"/>
      <c r="E104" s="24">
        <f>IF(F3="1",SUMIF(Data!A:A,'44'!$A$2,Data!Q:Q),0)</f>
        <v>1221798</v>
      </c>
      <c r="F104" s="25">
        <f t="shared" si="6"/>
        <v>0.49</v>
      </c>
    </row>
    <row r="105" spans="2:6" x14ac:dyDescent="0.2">
      <c r="B105" s="30" t="s">
        <v>35</v>
      </c>
      <c r="C105" s="30"/>
      <c r="D105" s="34">
        <f>D95</f>
        <v>2512956</v>
      </c>
      <c r="E105" s="31">
        <f>SUM(E98:E104)</f>
        <v>5402839</v>
      </c>
      <c r="F105" s="32">
        <f>IF($D$105=0,"",ROUND(E105/$D$105,2))</f>
        <v>2.15</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6048092</v>
      </c>
      <c r="D109" s="15">
        <f>IF(F3="1",SUMIF(Data!$A:$A,$A$2,Data!HJ:HJ),0)</f>
        <v>0</v>
      </c>
      <c r="E109" s="15">
        <f>IF(F3="1",SUMIF(Data!$A:$A,$A$2,Data!IN:IN),0)</f>
        <v>0</v>
      </c>
      <c r="F109" s="47">
        <f>SUM(C109:E109)</f>
        <v>6048092</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283860</v>
      </c>
      <c r="F116" s="48">
        <f t="shared" si="7"/>
        <v>283860</v>
      </c>
    </row>
    <row r="117" spans="1:6" ht="15" thickBot="1" x14ac:dyDescent="0.25">
      <c r="B117" s="43" t="s">
        <v>933</v>
      </c>
      <c r="C117" s="52"/>
      <c r="D117" s="52">
        <f>IF(F3="1",SUMIF(Data!A:A,$A$2,Data!Q:Q),0)</f>
        <v>1221798</v>
      </c>
      <c r="E117" s="52"/>
      <c r="F117" s="49">
        <f>SUM(C117:E117)</f>
        <v>1221798</v>
      </c>
    </row>
    <row r="118" spans="1:6" x14ac:dyDescent="0.2">
      <c r="B118" s="13" t="s">
        <v>35</v>
      </c>
      <c r="C118" s="4">
        <f>SUM(C109:C116)</f>
        <v>6048092</v>
      </c>
      <c r="D118" s="4">
        <f>SUM(D109:D116)</f>
        <v>0</v>
      </c>
      <c r="E118" s="4">
        <f>SUM(E109:E116)</f>
        <v>283860</v>
      </c>
      <c r="F118" s="4">
        <f>SUM(F109:F116)</f>
        <v>6331952</v>
      </c>
    </row>
    <row r="119" spans="1:6" ht="15" thickBot="1" x14ac:dyDescent="0.25"/>
    <row r="120" spans="1:6" ht="15" thickBot="1" x14ac:dyDescent="0.25">
      <c r="B120" s="55" t="s">
        <v>934</v>
      </c>
      <c r="C120" s="53"/>
      <c r="D120" s="53"/>
      <c r="E120" s="53">
        <f>IF(F3="1",SUMIF(Data!A:A,'44'!$A$2,Data!AM:AM),0)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1406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411</v>
      </c>
      <c r="B2" s="58" t="str">
        <f>VLOOKUP(A2,Data!A:G,7,0)</f>
        <v>Tyler Junior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50928</v>
      </c>
      <c r="E5" s="15">
        <f>E36+E67+IFERROR($E$105/$D$105*D5,0)</f>
        <v>233599.50495972601</v>
      </c>
      <c r="F5" s="20">
        <f>IF(OR(D5=0,E5=0),"",ROUND(E5/D5,2))</f>
        <v>4.59</v>
      </c>
    </row>
    <row r="6" spans="1:6" x14ac:dyDescent="0.2">
      <c r="A6" s="19">
        <v>2</v>
      </c>
      <c r="B6" s="177" t="s">
        <v>1</v>
      </c>
      <c r="C6" s="178"/>
      <c r="D6" s="14">
        <f t="shared" ref="D6:D32" si="0">D37</f>
        <v>76234</v>
      </c>
      <c r="E6" s="17">
        <f t="shared" ref="E6:E32" si="1">E37+E68+IFERROR($E$105/$D$105*D6,0)</f>
        <v>721040.18813029677</v>
      </c>
      <c r="F6" s="21">
        <f t="shared" ref="F6:F33" si="2">IF(OR(D6=0,E6=0),"",ROUND(E6/D6,2))</f>
        <v>9.4600000000000009</v>
      </c>
    </row>
    <row r="7" spans="1:6" ht="14.25" customHeight="1" x14ac:dyDescent="0.2">
      <c r="A7" s="19">
        <v>3</v>
      </c>
      <c r="B7" s="177" t="s">
        <v>2</v>
      </c>
      <c r="C7" s="178"/>
      <c r="D7" s="14">
        <f t="shared" si="0"/>
        <v>470948</v>
      </c>
      <c r="E7" s="17">
        <f t="shared" si="1"/>
        <v>2729005.9308390878</v>
      </c>
      <c r="F7" s="21">
        <f t="shared" si="2"/>
        <v>5.79</v>
      </c>
    </row>
    <row r="8" spans="1:6" ht="14.25" customHeight="1" x14ac:dyDescent="0.2">
      <c r="A8" s="19">
        <v>4</v>
      </c>
      <c r="B8" s="177" t="s">
        <v>3</v>
      </c>
      <c r="C8" s="178"/>
      <c r="D8" s="14">
        <f t="shared" si="0"/>
        <v>204202</v>
      </c>
      <c r="E8" s="17">
        <f t="shared" si="1"/>
        <v>1214776.2854183549</v>
      </c>
      <c r="F8" s="21">
        <f t="shared" si="2"/>
        <v>5.95</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11504</v>
      </c>
      <c r="E10" s="17">
        <f t="shared" si="1"/>
        <v>106732.45148163462</v>
      </c>
      <c r="F10" s="21">
        <f t="shared" si="2"/>
        <v>9.2799999999999994</v>
      </c>
    </row>
    <row r="11" spans="1:6" x14ac:dyDescent="0.2">
      <c r="A11" s="19">
        <v>7</v>
      </c>
      <c r="B11" s="177" t="s">
        <v>6</v>
      </c>
      <c r="C11" s="178"/>
      <c r="D11" s="14">
        <f t="shared" si="0"/>
        <v>364968</v>
      </c>
      <c r="E11" s="17">
        <f t="shared" si="1"/>
        <v>1807701.0612264625</v>
      </c>
      <c r="F11" s="21">
        <f t="shared" si="2"/>
        <v>4.95</v>
      </c>
    </row>
    <row r="12" spans="1:6" x14ac:dyDescent="0.2">
      <c r="A12" s="19">
        <v>8</v>
      </c>
      <c r="B12" s="177" t="s">
        <v>7</v>
      </c>
      <c r="C12" s="178"/>
      <c r="D12" s="14">
        <f t="shared" si="0"/>
        <v>304</v>
      </c>
      <c r="E12" s="17">
        <f t="shared" si="1"/>
        <v>1325.0953799041138</v>
      </c>
      <c r="F12" s="21">
        <f t="shared" si="2"/>
        <v>4.3600000000000003</v>
      </c>
    </row>
    <row r="13" spans="1:6" x14ac:dyDescent="0.2">
      <c r="A13" s="19">
        <v>9</v>
      </c>
      <c r="B13" s="177" t="s">
        <v>8</v>
      </c>
      <c r="C13" s="178"/>
      <c r="D13" s="14">
        <f t="shared" si="0"/>
        <v>39848</v>
      </c>
      <c r="E13" s="17">
        <f t="shared" si="1"/>
        <v>208952.58124479977</v>
      </c>
      <c r="F13" s="21">
        <f t="shared" si="2"/>
        <v>5.24</v>
      </c>
    </row>
    <row r="14" spans="1:6" x14ac:dyDescent="0.2">
      <c r="A14" s="19">
        <v>10</v>
      </c>
      <c r="B14" s="177" t="s">
        <v>9</v>
      </c>
      <c r="C14" s="178"/>
      <c r="D14" s="14">
        <f t="shared" si="0"/>
        <v>1904</v>
      </c>
      <c r="E14" s="17">
        <f t="shared" si="1"/>
        <v>8430.8605372941856</v>
      </c>
      <c r="F14" s="21">
        <f t="shared" si="2"/>
        <v>4.43</v>
      </c>
    </row>
    <row r="15" spans="1:6" x14ac:dyDescent="0.2">
      <c r="A15" s="19">
        <v>11</v>
      </c>
      <c r="B15" s="177" t="s">
        <v>10</v>
      </c>
      <c r="C15" s="178"/>
      <c r="D15" s="14">
        <f t="shared" si="0"/>
        <v>93930</v>
      </c>
      <c r="E15" s="17">
        <f t="shared" si="1"/>
        <v>461648.95077103097</v>
      </c>
      <c r="F15" s="21">
        <f t="shared" si="2"/>
        <v>4.91</v>
      </c>
    </row>
    <row r="16" spans="1:6" ht="14.25" customHeight="1" x14ac:dyDescent="0.2">
      <c r="A16" s="19">
        <v>12</v>
      </c>
      <c r="B16" s="177" t="s">
        <v>11</v>
      </c>
      <c r="C16" s="178"/>
      <c r="D16" s="14">
        <f t="shared" si="0"/>
        <v>553869</v>
      </c>
      <c r="E16" s="17">
        <f t="shared" si="1"/>
        <v>2749937.9637240516</v>
      </c>
      <c r="F16" s="21">
        <f t="shared" si="2"/>
        <v>4.96</v>
      </c>
    </row>
    <row r="17" spans="1:6" x14ac:dyDescent="0.2">
      <c r="A17" s="19">
        <v>13</v>
      </c>
      <c r="B17" s="177" t="s">
        <v>12</v>
      </c>
      <c r="C17" s="178"/>
      <c r="D17" s="14">
        <f t="shared" si="0"/>
        <v>32952</v>
      </c>
      <c r="E17" s="17">
        <f t="shared" si="1"/>
        <v>205652.73341644855</v>
      </c>
      <c r="F17" s="21">
        <f t="shared" si="2"/>
        <v>6.24</v>
      </c>
    </row>
    <row r="18" spans="1:6" ht="14.25" customHeight="1" x14ac:dyDescent="0.2">
      <c r="A18" s="19">
        <v>14</v>
      </c>
      <c r="B18" s="177" t="s">
        <v>464</v>
      </c>
      <c r="C18" s="178"/>
      <c r="D18" s="14">
        <f t="shared" si="0"/>
        <v>106746</v>
      </c>
      <c r="E18" s="17">
        <f t="shared" si="1"/>
        <v>1069892.1296817255</v>
      </c>
      <c r="F18" s="21">
        <f t="shared" si="2"/>
        <v>10.02</v>
      </c>
    </row>
    <row r="19" spans="1:6" x14ac:dyDescent="0.2">
      <c r="A19" s="19">
        <v>15</v>
      </c>
      <c r="B19" s="177" t="s">
        <v>13</v>
      </c>
      <c r="C19" s="178"/>
      <c r="D19" s="14">
        <f t="shared" si="0"/>
        <v>28160</v>
      </c>
      <c r="E19" s="17">
        <f t="shared" si="1"/>
        <v>403429.46677006525</v>
      </c>
      <c r="F19" s="21">
        <f t="shared" si="2"/>
        <v>14.33</v>
      </c>
    </row>
    <row r="20" spans="1:6" x14ac:dyDescent="0.2">
      <c r="A20" s="19">
        <v>16</v>
      </c>
      <c r="B20" s="177" t="s">
        <v>14</v>
      </c>
      <c r="C20" s="178"/>
      <c r="D20" s="14">
        <f t="shared" si="0"/>
        <v>453778</v>
      </c>
      <c r="E20" s="17">
        <f t="shared" si="1"/>
        <v>2302613.5634938451</v>
      </c>
      <c r="F20" s="21">
        <f t="shared" si="2"/>
        <v>5.07</v>
      </c>
    </row>
    <row r="21" spans="1:6" x14ac:dyDescent="0.2">
      <c r="A21" s="19">
        <v>17</v>
      </c>
      <c r="B21" s="177" t="s">
        <v>15</v>
      </c>
      <c r="C21" s="178"/>
      <c r="D21" s="14">
        <f t="shared" si="0"/>
        <v>46368</v>
      </c>
      <c r="E21" s="17">
        <f t="shared" si="1"/>
        <v>389634.07426116429</v>
      </c>
      <c r="F21" s="21">
        <f t="shared" si="2"/>
        <v>8.4</v>
      </c>
    </row>
    <row r="22" spans="1:6" x14ac:dyDescent="0.2">
      <c r="A22" s="19">
        <v>18</v>
      </c>
      <c r="B22" s="177" t="s">
        <v>16</v>
      </c>
      <c r="C22" s="178"/>
      <c r="D22" s="14">
        <f t="shared" si="0"/>
        <v>58306</v>
      </c>
      <c r="E22" s="17">
        <f t="shared" si="1"/>
        <v>720499.58954174095</v>
      </c>
      <c r="F22" s="21">
        <f t="shared" si="2"/>
        <v>12.36</v>
      </c>
    </row>
    <row r="23" spans="1:6" x14ac:dyDescent="0.2">
      <c r="A23" s="19">
        <v>19</v>
      </c>
      <c r="B23" s="177" t="s">
        <v>17</v>
      </c>
      <c r="C23" s="178"/>
      <c r="D23" s="14">
        <f t="shared" si="0"/>
        <v>452141</v>
      </c>
      <c r="E23" s="17">
        <f t="shared" si="1"/>
        <v>2267185.4150171904</v>
      </c>
      <c r="F23" s="21">
        <f t="shared" si="2"/>
        <v>5.01</v>
      </c>
    </row>
    <row r="24" spans="1:6" x14ac:dyDescent="0.2">
      <c r="A24" s="19">
        <v>20</v>
      </c>
      <c r="B24" s="177" t="s">
        <v>18</v>
      </c>
      <c r="C24" s="178"/>
      <c r="D24" s="14">
        <f t="shared" si="0"/>
        <v>13610</v>
      </c>
      <c r="E24" s="17">
        <f t="shared" si="1"/>
        <v>253918.53987004931</v>
      </c>
      <c r="F24" s="21">
        <f t="shared" si="2"/>
        <v>18.66</v>
      </c>
    </row>
    <row r="25" spans="1:6" ht="14.25" customHeight="1" x14ac:dyDescent="0.2">
      <c r="A25" s="19">
        <v>21</v>
      </c>
      <c r="B25" s="177" t="s">
        <v>461</v>
      </c>
      <c r="C25" s="178"/>
      <c r="D25" s="14">
        <f t="shared" si="0"/>
        <v>36200</v>
      </c>
      <c r="E25" s="17">
        <f t="shared" si="1"/>
        <v>763951.43668595038</v>
      </c>
      <c r="F25" s="21">
        <f t="shared" si="2"/>
        <v>21.1</v>
      </c>
    </row>
    <row r="26" spans="1:6" x14ac:dyDescent="0.2">
      <c r="A26" s="19">
        <v>22</v>
      </c>
      <c r="B26" s="177" t="s">
        <v>19</v>
      </c>
      <c r="C26" s="178"/>
      <c r="D26" s="14">
        <f t="shared" si="0"/>
        <v>3180</v>
      </c>
      <c r="E26" s="17">
        <f t="shared" si="1"/>
        <v>9475.4582503127695</v>
      </c>
      <c r="F26" s="21">
        <f t="shared" si="2"/>
        <v>2.98</v>
      </c>
    </row>
    <row r="27" spans="1:6" x14ac:dyDescent="0.2">
      <c r="A27" s="19">
        <v>23</v>
      </c>
      <c r="B27" s="177" t="s">
        <v>20</v>
      </c>
      <c r="C27" s="178"/>
      <c r="D27" s="14">
        <f t="shared" si="0"/>
        <v>140272</v>
      </c>
      <c r="E27" s="17">
        <f t="shared" si="1"/>
        <v>1056919.4313483876</v>
      </c>
      <c r="F27" s="21">
        <f t="shared" si="2"/>
        <v>7.53</v>
      </c>
    </row>
    <row r="28" spans="1:6" x14ac:dyDescent="0.2">
      <c r="A28" s="19">
        <v>24</v>
      </c>
      <c r="B28" s="177" t="s">
        <v>21</v>
      </c>
      <c r="C28" s="178"/>
      <c r="D28" s="14">
        <f t="shared" si="0"/>
        <v>106864</v>
      </c>
      <c r="E28" s="17">
        <f t="shared" si="1"/>
        <v>449042.05486208294</v>
      </c>
      <c r="F28" s="21">
        <f t="shared" si="2"/>
        <v>4.2</v>
      </c>
    </row>
    <row r="29" spans="1:6" x14ac:dyDescent="0.2">
      <c r="A29" s="19">
        <v>25</v>
      </c>
      <c r="B29" s="177" t="s">
        <v>22</v>
      </c>
      <c r="C29" s="178"/>
      <c r="D29" s="14">
        <f t="shared" si="0"/>
        <v>566991</v>
      </c>
      <c r="E29" s="17">
        <f t="shared" si="1"/>
        <v>2868183.745221097</v>
      </c>
      <c r="F29" s="21">
        <f t="shared" si="2"/>
        <v>5.0599999999999996</v>
      </c>
    </row>
    <row r="30" spans="1:6" x14ac:dyDescent="0.2">
      <c r="A30" s="19">
        <v>26</v>
      </c>
      <c r="B30" s="177" t="s">
        <v>23</v>
      </c>
      <c r="C30" s="178"/>
      <c r="D30" s="14">
        <f t="shared" si="0"/>
        <v>223824</v>
      </c>
      <c r="E30" s="17">
        <f t="shared" si="1"/>
        <v>1692977.4878672971</v>
      </c>
      <c r="F30" s="21">
        <f t="shared" si="2"/>
        <v>7.56</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4138031</v>
      </c>
      <c r="E33" s="31">
        <f>SUM(E5:E32)</f>
        <v>24696526</v>
      </c>
      <c r="F33" s="32">
        <f t="shared" si="2"/>
        <v>5.97</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IF(F3="1",SUMIF(Data!A:A,'45'!$A$2,Data!CU:CU),0)</f>
        <v>50928</v>
      </c>
      <c r="E36" s="15">
        <f>IF(F3="1",SUMIF(Data!$A:$A,$A$2,Data!IO:IO),0)</f>
        <v>37493</v>
      </c>
      <c r="F36" s="20">
        <f t="shared" ref="F36:F64" si="3">IF(OR(D36=0,E36=0),"",ROUND(E36/D36,2))</f>
        <v>0.74</v>
      </c>
    </row>
    <row r="37" spans="1:6" x14ac:dyDescent="0.2">
      <c r="A37" s="19">
        <v>2</v>
      </c>
      <c r="B37" s="177" t="s">
        <v>1</v>
      </c>
      <c r="C37" s="178"/>
      <c r="D37" s="14">
        <f>IF(F3="1",SUMIF(Data!A:A,'45'!$A$2,Data!CV:CV),0)</f>
        <v>76234</v>
      </c>
      <c r="E37" s="17">
        <f>IF(F3="1",SUMIF(Data!$A:$A,$A$2,Data!IP:IP),0)</f>
        <v>171792</v>
      </c>
      <c r="F37" s="21">
        <f t="shared" si="3"/>
        <v>2.25</v>
      </c>
    </row>
    <row r="38" spans="1:6" ht="14.25" customHeight="1" x14ac:dyDescent="0.2">
      <c r="A38" s="19">
        <v>3</v>
      </c>
      <c r="B38" s="177" t="s">
        <v>2</v>
      </c>
      <c r="C38" s="178"/>
      <c r="D38" s="14">
        <f>IF(F3="1",SUMIF(Data!A:A,'45'!$A$2,Data!CW:CW),0)</f>
        <v>470948</v>
      </c>
      <c r="E38" s="17">
        <f>IF($F$3="1",SUMIF(Data!$A:$A,$A$2,Data!IQ:IQ),0)</f>
        <v>612140</v>
      </c>
      <c r="F38" s="21">
        <f t="shared" si="3"/>
        <v>1.3</v>
      </c>
    </row>
    <row r="39" spans="1:6" ht="14.25" customHeight="1" x14ac:dyDescent="0.2">
      <c r="A39" s="19">
        <v>4</v>
      </c>
      <c r="B39" s="177" t="s">
        <v>3</v>
      </c>
      <c r="C39" s="178"/>
      <c r="D39" s="14">
        <f>IF(F3="1",SUMIF(Data!A:A,'45'!$A$2,Data!CX:CX),0)</f>
        <v>204202</v>
      </c>
      <c r="E39" s="17">
        <f>IF($F$3="1",SUMIF(Data!$A:$A,$A$2,Data!IR:IR),0)</f>
        <v>150401</v>
      </c>
      <c r="F39" s="21">
        <f t="shared" si="3"/>
        <v>0.74</v>
      </c>
    </row>
    <row r="40" spans="1:6" x14ac:dyDescent="0.2">
      <c r="A40" s="19">
        <v>5</v>
      </c>
      <c r="B40" s="177" t="s">
        <v>4</v>
      </c>
      <c r="C40" s="178"/>
      <c r="D40" s="14">
        <f>IF(F3="1",SUMIF(Data!A:A,'45'!$A$2,Data!CY:CY),0)</f>
        <v>0</v>
      </c>
      <c r="E40" s="17">
        <f>IF($F$3="1",SUMIF(Data!$A:$A,$A$2,Data!IS:IS),0)</f>
        <v>0</v>
      </c>
      <c r="F40" s="21" t="str">
        <f t="shared" si="3"/>
        <v/>
      </c>
    </row>
    <row r="41" spans="1:6" x14ac:dyDescent="0.2">
      <c r="A41" s="19">
        <v>6</v>
      </c>
      <c r="B41" s="177" t="s">
        <v>5</v>
      </c>
      <c r="C41" s="178"/>
      <c r="D41" s="14">
        <f>IF(F3="1",SUMIF(Data!A:A,'45'!$A$2,Data!CZ:CZ),0)</f>
        <v>11504</v>
      </c>
      <c r="E41" s="17">
        <f>IF($F$3="1",SUMIF(Data!$A:$A,$A$2,Data!IT:IT),0)</f>
        <v>24192</v>
      </c>
      <c r="F41" s="21">
        <f t="shared" si="3"/>
        <v>2.1</v>
      </c>
    </row>
    <row r="42" spans="1:6" x14ac:dyDescent="0.2">
      <c r="A42" s="19">
        <v>7</v>
      </c>
      <c r="B42" s="177" t="s">
        <v>6</v>
      </c>
      <c r="C42" s="178"/>
      <c r="D42" s="14">
        <f>IF(F3="1",SUMIF(Data!A:A,'45'!$A$2,Data!DA:DA),0)</f>
        <v>364968</v>
      </c>
      <c r="E42" s="17">
        <f>IF($F$3="1",SUMIF(Data!$A:$A,$A$2,Data!IU:IU),0)</f>
        <v>264865</v>
      </c>
      <c r="F42" s="21">
        <f t="shared" si="3"/>
        <v>0.73</v>
      </c>
    </row>
    <row r="43" spans="1:6" x14ac:dyDescent="0.2">
      <c r="A43" s="19">
        <v>8</v>
      </c>
      <c r="B43" s="177" t="s">
        <v>7</v>
      </c>
      <c r="C43" s="178"/>
      <c r="D43" s="14">
        <f>IF(F3="1",SUMIF(Data!A:A,'45'!$A$2,Data!DB:DB),0)</f>
        <v>304</v>
      </c>
      <c r="E43" s="17">
        <f>IF($F$3="1",SUMIF(Data!$A:$A,$A$2,Data!IV:IV),0)</f>
        <v>305</v>
      </c>
      <c r="F43" s="21">
        <f t="shared" si="3"/>
        <v>1</v>
      </c>
    </row>
    <row r="44" spans="1:6" x14ac:dyDescent="0.2">
      <c r="A44" s="19">
        <v>9</v>
      </c>
      <c r="B44" s="177" t="s">
        <v>8</v>
      </c>
      <c r="C44" s="178"/>
      <c r="D44" s="14">
        <f>IF(F3="1",SUMIF(Data!A:A,'45'!$A$2,Data!DC:DC),0)</f>
        <v>39848</v>
      </c>
      <c r="E44" s="17">
        <f>IF($F$3="1",SUMIF(Data!$A:$A,$A$2,Data!IW:IW),0)</f>
        <v>39154</v>
      </c>
      <c r="F44" s="21">
        <f t="shared" si="3"/>
        <v>0.98</v>
      </c>
    </row>
    <row r="45" spans="1:6" x14ac:dyDescent="0.2">
      <c r="A45" s="19">
        <v>10</v>
      </c>
      <c r="B45" s="177" t="s">
        <v>9</v>
      </c>
      <c r="C45" s="178"/>
      <c r="D45" s="14">
        <f>IF(F3="1",SUMIF(Data!A:A,'45'!$A$2,Data!DD:DD),0)</f>
        <v>1904</v>
      </c>
      <c r="E45" s="17">
        <f>IF($F$3="1",SUMIF(Data!$A:$A,$A$2,Data!IX:IX),0)</f>
        <v>1110</v>
      </c>
      <c r="F45" s="21">
        <f t="shared" si="3"/>
        <v>0.57999999999999996</v>
      </c>
    </row>
    <row r="46" spans="1:6" x14ac:dyDescent="0.2">
      <c r="A46" s="19">
        <v>11</v>
      </c>
      <c r="B46" s="177" t="s">
        <v>10</v>
      </c>
      <c r="C46" s="178"/>
      <c r="D46" s="14">
        <f>IF(F3="1",SUMIF(Data!A:A,'45'!$A$2,Data!DE:DE),0)</f>
        <v>93930</v>
      </c>
      <c r="E46" s="17">
        <f>IF($F$3="1",SUMIF(Data!$A:$A,$A$2,Data!IY:IY),0)</f>
        <v>101513</v>
      </c>
      <c r="F46" s="21">
        <f t="shared" si="3"/>
        <v>1.08</v>
      </c>
    </row>
    <row r="47" spans="1:6" ht="14.25" customHeight="1" x14ac:dyDescent="0.2">
      <c r="A47" s="19">
        <v>12</v>
      </c>
      <c r="B47" s="177" t="s">
        <v>11</v>
      </c>
      <c r="C47" s="178"/>
      <c r="D47" s="14">
        <f>IF(F3="1",SUMIF(Data!A:A,'45'!$A$2,Data!DF:DF),0)</f>
        <v>553869</v>
      </c>
      <c r="E47" s="17">
        <f>IF($F$3="1",SUMIF(Data!$A:$A,$A$2,Data!IZ:IZ),0)</f>
        <v>380596</v>
      </c>
      <c r="F47" s="21">
        <f t="shared" si="3"/>
        <v>0.69</v>
      </c>
    </row>
    <row r="48" spans="1:6" x14ac:dyDescent="0.2">
      <c r="A48" s="19">
        <v>13</v>
      </c>
      <c r="B48" s="177" t="s">
        <v>12</v>
      </c>
      <c r="C48" s="178"/>
      <c r="D48" s="14">
        <f>IF(F3="1",SUMIF(Data!A:A,'45'!$A$2,Data!DG:DG),0)</f>
        <v>32952</v>
      </c>
      <c r="E48" s="17">
        <f>IF($F$3="1",SUMIF(Data!$A:$A,$A$2,Data!JA:JA),0)</f>
        <v>24600</v>
      </c>
      <c r="F48" s="21">
        <f t="shared" si="3"/>
        <v>0.75</v>
      </c>
    </row>
    <row r="49" spans="1:6" ht="14.25" customHeight="1" x14ac:dyDescent="0.2">
      <c r="A49" s="19">
        <v>14</v>
      </c>
      <c r="B49" s="177" t="s">
        <v>464</v>
      </c>
      <c r="C49" s="178"/>
      <c r="D49" s="14">
        <f>IF(F3="1",SUMIF(Data!A:A,'45'!$A$2,Data!DH:DH),0)</f>
        <v>106746</v>
      </c>
      <c r="E49" s="17">
        <f>IF($F$3="1",SUMIF(Data!$A:$A,$A$2,Data!JB:JB),0)</f>
        <v>162633</v>
      </c>
      <c r="F49" s="21">
        <f t="shared" si="3"/>
        <v>1.52</v>
      </c>
    </row>
    <row r="50" spans="1:6" x14ac:dyDescent="0.2">
      <c r="A50" s="19">
        <v>15</v>
      </c>
      <c r="B50" s="177" t="s">
        <v>13</v>
      </c>
      <c r="C50" s="178"/>
      <c r="D50" s="14">
        <f>IF(F3="1",SUMIF(Data!A:A,'45'!$A$2,Data!DI:DI),0)</f>
        <v>28160</v>
      </c>
      <c r="E50" s="17">
        <f>IF($F$3="1",SUMIF(Data!$A:$A,$A$2,Data!JC:JC),0)</f>
        <v>96819</v>
      </c>
      <c r="F50" s="21">
        <f t="shared" si="3"/>
        <v>3.44</v>
      </c>
    </row>
    <row r="51" spans="1:6" x14ac:dyDescent="0.2">
      <c r="A51" s="19">
        <v>16</v>
      </c>
      <c r="B51" s="177" t="s">
        <v>14</v>
      </c>
      <c r="C51" s="178"/>
      <c r="D51" s="14">
        <f>IF(F3="1",SUMIF(Data!A:A,'45'!$A$2,Data!DJ:DJ),0)</f>
        <v>453778</v>
      </c>
      <c r="E51" s="17">
        <f>IF($F$3="1",SUMIF(Data!$A:$A,$A$2,Data!JD:JD),0)</f>
        <v>464073</v>
      </c>
      <c r="F51" s="21">
        <f t="shared" si="3"/>
        <v>1.02</v>
      </c>
    </row>
    <row r="52" spans="1:6" x14ac:dyDescent="0.2">
      <c r="A52" s="19">
        <v>17</v>
      </c>
      <c r="B52" s="177" t="s">
        <v>15</v>
      </c>
      <c r="C52" s="178"/>
      <c r="D52" s="14">
        <f>IF(F3="1",SUMIF(Data!A:A,'45'!$A$2,Data!DK:DK),0)</f>
        <v>46368</v>
      </c>
      <c r="E52" s="17">
        <f>IF($F$3="1",SUMIF(Data!$A:$A,$A$2,Data!JE:JE),0)</f>
        <v>44007</v>
      </c>
      <c r="F52" s="21">
        <f t="shared" si="3"/>
        <v>0.95</v>
      </c>
    </row>
    <row r="53" spans="1:6" x14ac:dyDescent="0.2">
      <c r="A53" s="19">
        <v>18</v>
      </c>
      <c r="B53" s="177" t="s">
        <v>16</v>
      </c>
      <c r="C53" s="178"/>
      <c r="D53" s="14">
        <f>IF(F3="1",SUMIF(Data!A:A,'45'!$A$2,Data!DL:DL),0)</f>
        <v>58306</v>
      </c>
      <c r="E53" s="17">
        <f>IF($F$3="1",SUMIF(Data!$A:$A,$A$2,Data!JF:JF),0)</f>
        <v>77360</v>
      </c>
      <c r="F53" s="21">
        <f t="shared" si="3"/>
        <v>1.33</v>
      </c>
    </row>
    <row r="54" spans="1:6" x14ac:dyDescent="0.2">
      <c r="A54" s="19">
        <v>19</v>
      </c>
      <c r="B54" s="177" t="s">
        <v>17</v>
      </c>
      <c r="C54" s="178"/>
      <c r="D54" s="14">
        <f>IF(F3="1",SUMIF(Data!A:A,'45'!$A$2,Data!DM:DM),0)</f>
        <v>452141</v>
      </c>
      <c r="E54" s="17">
        <f>IF($F$3="1",SUMIF(Data!$A:$A,$A$2,Data!JG:JG),0)</f>
        <v>298056</v>
      </c>
      <c r="F54" s="21">
        <f t="shared" si="3"/>
        <v>0.66</v>
      </c>
    </row>
    <row r="55" spans="1:6" x14ac:dyDescent="0.2">
      <c r="A55" s="19">
        <v>20</v>
      </c>
      <c r="B55" s="177" t="s">
        <v>18</v>
      </c>
      <c r="C55" s="178"/>
      <c r="D55" s="14">
        <f>IF(F3="1",SUMIF(Data!A:A,'45'!$A$2,Data!DN:DN),0)</f>
        <v>13610</v>
      </c>
      <c r="E55" s="17">
        <f>IF($F$3="1",SUMIF(Data!$A:$A,$A$2,Data!JH:JH),0)</f>
        <v>166699</v>
      </c>
      <c r="F55" s="21">
        <f t="shared" si="3"/>
        <v>12.25</v>
      </c>
    </row>
    <row r="56" spans="1:6" ht="14.25" customHeight="1" x14ac:dyDescent="0.2">
      <c r="A56" s="19">
        <v>21</v>
      </c>
      <c r="B56" s="177" t="s">
        <v>461</v>
      </c>
      <c r="C56" s="178"/>
      <c r="D56" s="14">
        <f>IF(F3="1",SUMIF(Data!A:A,'45'!$A$2,Data!DO:DO),0)</f>
        <v>36200</v>
      </c>
      <c r="E56" s="17">
        <f>IF($F$3="1",SUMIF(Data!$A:$A,$A$2,Data!JI:JI),0)</f>
        <v>642532</v>
      </c>
      <c r="F56" s="21">
        <f t="shared" si="3"/>
        <v>17.75</v>
      </c>
    </row>
    <row r="57" spans="1:6" x14ac:dyDescent="0.2">
      <c r="A57" s="19">
        <v>22</v>
      </c>
      <c r="B57" s="177" t="s">
        <v>19</v>
      </c>
      <c r="C57" s="178"/>
      <c r="D57" s="14">
        <f>IF(F3="1",SUMIF(Data!A:A,'45'!$A$2,Data!DP:DP),0)</f>
        <v>3180</v>
      </c>
      <c r="E57" s="17">
        <f>IF($F$3="1",SUMIF(Data!$A:$A,$A$2,Data!JJ:JJ),0)</f>
        <v>1979</v>
      </c>
      <c r="F57" s="21">
        <f t="shared" si="3"/>
        <v>0.62</v>
      </c>
    </row>
    <row r="58" spans="1:6" x14ac:dyDescent="0.2">
      <c r="A58" s="19">
        <v>23</v>
      </c>
      <c r="B58" s="177" t="s">
        <v>20</v>
      </c>
      <c r="C58" s="178"/>
      <c r="D58" s="14">
        <f>IF(F3="1",SUMIF(Data!A:A,'45'!$A$2,Data!DQ:DQ),0)</f>
        <v>140272</v>
      </c>
      <c r="E58" s="17">
        <f>IF($F$3="1",SUMIF(Data!$A:$A,$A$2,Data!JK:JK),0)</f>
        <v>119499</v>
      </c>
      <c r="F58" s="21">
        <f t="shared" si="3"/>
        <v>0.85</v>
      </c>
    </row>
    <row r="59" spans="1:6" x14ac:dyDescent="0.2">
      <c r="A59" s="19">
        <v>24</v>
      </c>
      <c r="B59" s="177" t="s">
        <v>21</v>
      </c>
      <c r="C59" s="178"/>
      <c r="D59" s="14">
        <f>IF(F3="1",SUMIF(Data!A:A,'45'!$A$2,Data!DR:DR),0)</f>
        <v>106864</v>
      </c>
      <c r="E59" s="17">
        <f>IF($F$3="1",SUMIF(Data!$A:$A,$A$2,Data!JL:JL),0)</f>
        <v>79604</v>
      </c>
      <c r="F59" s="21">
        <f t="shared" si="3"/>
        <v>0.74</v>
      </c>
    </row>
    <row r="60" spans="1:6" x14ac:dyDescent="0.2">
      <c r="A60" s="19">
        <v>25</v>
      </c>
      <c r="B60" s="177" t="s">
        <v>22</v>
      </c>
      <c r="C60" s="178"/>
      <c r="D60" s="14">
        <f>IF(F3="1",SUMIF(Data!A:A,'45'!$A$2,Data!DS:DS),0)</f>
        <v>566991</v>
      </c>
      <c r="E60" s="17">
        <f>IF($F$3="1",SUMIF(Data!$A:$A,$A$2,Data!JM:JM),0)</f>
        <v>401135</v>
      </c>
      <c r="F60" s="21">
        <f t="shared" si="3"/>
        <v>0.71</v>
      </c>
    </row>
    <row r="61" spans="1:6" x14ac:dyDescent="0.2">
      <c r="A61" s="19">
        <v>26</v>
      </c>
      <c r="B61" s="177" t="s">
        <v>23</v>
      </c>
      <c r="C61" s="178"/>
      <c r="D61" s="14">
        <f>IF(F3="1",SUMIF(Data!A:A,'45'!$A$2,Data!DT:DT),0)</f>
        <v>223824</v>
      </c>
      <c r="E61" s="17">
        <f>IF($F$3="1",SUMIF(Data!$A:$A,$A$2,Data!JN:JN),0)</f>
        <v>328570</v>
      </c>
      <c r="F61" s="21">
        <f t="shared" si="3"/>
        <v>1.47</v>
      </c>
    </row>
    <row r="62" spans="1:6" x14ac:dyDescent="0.2">
      <c r="A62" s="19">
        <v>28</v>
      </c>
      <c r="B62" s="177" t="s">
        <v>24</v>
      </c>
      <c r="C62" s="178"/>
      <c r="D62" s="14">
        <f>IF(F3="1",SUMIF(Data!A:A,'45'!$A$2,Data!DV:DV),0)</f>
        <v>0</v>
      </c>
      <c r="E62" s="17">
        <f>IF($F$3="1",SUMIF(Data!$A:$A,$A$2,Data!JP:JP),0)</f>
        <v>0</v>
      </c>
      <c r="F62" s="21" t="str">
        <f t="shared" si="3"/>
        <v/>
      </c>
    </row>
    <row r="63" spans="1:6" ht="15.75" customHeight="1" thickBot="1" x14ac:dyDescent="0.25">
      <c r="A63" s="22">
        <v>29</v>
      </c>
      <c r="B63" s="179" t="s">
        <v>25</v>
      </c>
      <c r="C63" s="180"/>
      <c r="D63" s="23">
        <f>IF(F3="1",SUMIF(Data!A:A,'45'!$A$2,Data!DW:DW),0)</f>
        <v>0</v>
      </c>
      <c r="E63" s="24">
        <f>IF($F$3="1",SUMIF(Data!$A:$A,$A$2,Data!JQ:JQ),0)</f>
        <v>0</v>
      </c>
      <c r="F63" s="25" t="str">
        <f t="shared" si="3"/>
        <v/>
      </c>
    </row>
    <row r="64" spans="1:6" x14ac:dyDescent="0.2">
      <c r="B64" s="30" t="s">
        <v>35</v>
      </c>
      <c r="C64" s="30"/>
      <c r="D64" s="59">
        <f>SUM(D36:D63)</f>
        <v>4138031</v>
      </c>
      <c r="E64" s="31">
        <f>SUM(E36:E63)</f>
        <v>4691127</v>
      </c>
      <c r="F64" s="32">
        <f t="shared" si="3"/>
        <v>1.1299999999999999</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50928</v>
      </c>
      <c r="E67" s="15">
        <f>IF(F3="1",SUMIF(Data!A:A,'45'!$A$2,Data!DY:DY),0)</f>
        <v>81335</v>
      </c>
      <c r="F67" s="20">
        <f t="shared" ref="F67:F95" si="4">IF(OR(D67=0,E67=0),"",ROUND(E67/D67,2))</f>
        <v>1.6</v>
      </c>
    </row>
    <row r="68" spans="1:6" x14ac:dyDescent="0.2">
      <c r="A68" s="19">
        <v>2</v>
      </c>
      <c r="B68" s="177" t="s">
        <v>1</v>
      </c>
      <c r="C68" s="178"/>
      <c r="D68" s="14">
        <f t="shared" ref="D68:D94" si="5">D37</f>
        <v>76234</v>
      </c>
      <c r="E68" s="17">
        <f>IF(F3="1",SUMIF(Data!A:A,'45'!$A$2,Data!DZ:DZ),0)</f>
        <v>377447</v>
      </c>
      <c r="F68" s="21">
        <f t="shared" si="4"/>
        <v>4.95</v>
      </c>
    </row>
    <row r="69" spans="1:6" ht="14.25" customHeight="1" x14ac:dyDescent="0.2">
      <c r="A69" s="19">
        <v>3</v>
      </c>
      <c r="B69" s="177" t="s">
        <v>2</v>
      </c>
      <c r="C69" s="178"/>
      <c r="D69" s="14">
        <f t="shared" si="5"/>
        <v>470948</v>
      </c>
      <c r="E69" s="17">
        <f>IF(F3="1",SUMIF(Data!A:A,'45'!$A$2,Data!EA:EA),0)</f>
        <v>1055536</v>
      </c>
      <c r="F69" s="21">
        <f t="shared" si="4"/>
        <v>2.2400000000000002</v>
      </c>
    </row>
    <row r="70" spans="1:6" ht="14.25" customHeight="1" x14ac:dyDescent="0.2">
      <c r="A70" s="19">
        <v>4</v>
      </c>
      <c r="B70" s="177" t="s">
        <v>3</v>
      </c>
      <c r="C70" s="178"/>
      <c r="D70" s="14">
        <f t="shared" si="5"/>
        <v>204202</v>
      </c>
      <c r="E70" s="17">
        <f>IF(F3="1",SUMIF(Data!A:A,'45'!$A$2,Data!EB:EB),0)</f>
        <v>604185</v>
      </c>
      <c r="F70" s="21">
        <f t="shared" si="4"/>
        <v>2.96</v>
      </c>
    </row>
    <row r="71" spans="1:6" x14ac:dyDescent="0.2">
      <c r="A71" s="19">
        <v>5</v>
      </c>
      <c r="B71" s="177" t="s">
        <v>4</v>
      </c>
      <c r="C71" s="178"/>
      <c r="D71" s="14">
        <f t="shared" si="5"/>
        <v>0</v>
      </c>
      <c r="E71" s="17">
        <f>IF(F3="1",SUMIF(Data!A:A,'45'!$A$2,Data!EC:EC),0)</f>
        <v>0</v>
      </c>
      <c r="F71" s="21" t="str">
        <f t="shared" si="4"/>
        <v/>
      </c>
    </row>
    <row r="72" spans="1:6" x14ac:dyDescent="0.2">
      <c r="A72" s="19">
        <v>6</v>
      </c>
      <c r="B72" s="177" t="s">
        <v>5</v>
      </c>
      <c r="C72" s="178"/>
      <c r="D72" s="14">
        <f t="shared" si="5"/>
        <v>11504</v>
      </c>
      <c r="E72" s="17">
        <f>IF(F3="1",SUMIF(Data!A:A,'45'!$A$2,Data!ED:ED),0)</f>
        <v>56615</v>
      </c>
      <c r="F72" s="21">
        <f t="shared" si="4"/>
        <v>4.92</v>
      </c>
    </row>
    <row r="73" spans="1:6" x14ac:dyDescent="0.2">
      <c r="A73" s="19">
        <v>7</v>
      </c>
      <c r="B73" s="177" t="s">
        <v>6</v>
      </c>
      <c r="C73" s="178"/>
      <c r="D73" s="14">
        <f t="shared" si="5"/>
        <v>364968</v>
      </c>
      <c r="E73" s="17">
        <f>IF(F3="1",SUMIF(Data!A:A,'45'!$A$2,Data!EE:EE),0)</f>
        <v>720343</v>
      </c>
      <c r="F73" s="21">
        <f t="shared" si="4"/>
        <v>1.97</v>
      </c>
    </row>
    <row r="74" spans="1:6" x14ac:dyDescent="0.2">
      <c r="A74" s="19">
        <v>8</v>
      </c>
      <c r="B74" s="177" t="s">
        <v>7</v>
      </c>
      <c r="C74" s="178"/>
      <c r="D74" s="14">
        <f t="shared" si="5"/>
        <v>304</v>
      </c>
      <c r="E74" s="17">
        <f>IF(F3="1",SUMIF(Data!A:A,'45'!$A$2,Data!EF:EF),0)</f>
        <v>335</v>
      </c>
      <c r="F74" s="21">
        <f t="shared" si="4"/>
        <v>1.1000000000000001</v>
      </c>
    </row>
    <row r="75" spans="1:6" x14ac:dyDescent="0.2">
      <c r="A75" s="19">
        <v>9</v>
      </c>
      <c r="B75" s="177" t="s">
        <v>8</v>
      </c>
      <c r="C75" s="178"/>
      <c r="D75" s="14">
        <f t="shared" si="5"/>
        <v>39848</v>
      </c>
      <c r="E75" s="17">
        <f>IF(F3="1",SUMIF(Data!A:A,'45'!$A$2,Data!EG:EG),0)</f>
        <v>79997</v>
      </c>
      <c r="F75" s="21">
        <f t="shared" si="4"/>
        <v>2.0099999999999998</v>
      </c>
    </row>
    <row r="76" spans="1:6" x14ac:dyDescent="0.2">
      <c r="A76" s="19">
        <v>10</v>
      </c>
      <c r="B76" s="177" t="s">
        <v>9</v>
      </c>
      <c r="C76" s="178"/>
      <c r="D76" s="14">
        <f t="shared" si="5"/>
        <v>1904</v>
      </c>
      <c r="E76" s="17">
        <f>IF(F3="1",SUMIF(Data!A:A,'45'!$A$2,Data!EH:EH),0)</f>
        <v>3030</v>
      </c>
      <c r="F76" s="21">
        <f t="shared" si="4"/>
        <v>1.59</v>
      </c>
    </row>
    <row r="77" spans="1:6" x14ac:dyDescent="0.2">
      <c r="A77" s="19">
        <v>11</v>
      </c>
      <c r="B77" s="177" t="s">
        <v>10</v>
      </c>
      <c r="C77" s="178"/>
      <c r="D77" s="14">
        <f t="shared" si="5"/>
        <v>93930</v>
      </c>
      <c r="E77" s="17">
        <f>IF(F3="1",SUMIF(Data!A:A,'45'!$A$2,Data!EI:EI),0)</f>
        <v>148455</v>
      </c>
      <c r="F77" s="21">
        <f t="shared" si="4"/>
        <v>1.58</v>
      </c>
    </row>
    <row r="78" spans="1:6" ht="14.25" customHeight="1" x14ac:dyDescent="0.2">
      <c r="A78" s="19">
        <v>12</v>
      </c>
      <c r="B78" s="177" t="s">
        <v>11</v>
      </c>
      <c r="C78" s="178"/>
      <c r="D78" s="14">
        <f t="shared" si="5"/>
        <v>553869</v>
      </c>
      <c r="E78" s="17">
        <f>IF(F3="1",SUMIF(Data!A:A,'45'!$A$2,Data!EJ:EJ),0)</f>
        <v>1121141</v>
      </c>
      <c r="F78" s="21">
        <f t="shared" si="4"/>
        <v>2.02</v>
      </c>
    </row>
    <row r="79" spans="1:6" x14ac:dyDescent="0.2">
      <c r="A79" s="19">
        <v>13</v>
      </c>
      <c r="B79" s="177" t="s">
        <v>12</v>
      </c>
      <c r="C79" s="178"/>
      <c r="D79" s="14">
        <f t="shared" si="5"/>
        <v>32952</v>
      </c>
      <c r="E79" s="17">
        <f>IF(F3="1",SUMIF(Data!A:A,'45'!$A$2,Data!EK:EK),0)</f>
        <v>106792</v>
      </c>
      <c r="F79" s="21">
        <f t="shared" si="4"/>
        <v>3.24</v>
      </c>
    </row>
    <row r="80" spans="1:6" ht="14.25" customHeight="1" x14ac:dyDescent="0.2">
      <c r="A80" s="19">
        <v>14</v>
      </c>
      <c r="B80" s="177" t="s">
        <v>464</v>
      </c>
      <c r="C80" s="178"/>
      <c r="D80" s="14">
        <f t="shared" si="5"/>
        <v>106746</v>
      </c>
      <c r="E80" s="17">
        <f>IF(F3="1",SUMIF(Data!A:A,'45'!$A$2,Data!EL:EL),0)</f>
        <v>666696</v>
      </c>
      <c r="F80" s="21">
        <f t="shared" si="4"/>
        <v>6.25</v>
      </c>
    </row>
    <row r="81" spans="1:6" x14ac:dyDescent="0.2">
      <c r="A81" s="19">
        <v>15</v>
      </c>
      <c r="B81" s="177" t="s">
        <v>13</v>
      </c>
      <c r="C81" s="178"/>
      <c r="D81" s="14">
        <f t="shared" si="5"/>
        <v>28160</v>
      </c>
      <c r="E81" s="17">
        <f>IF(F3="1",SUMIF(Data!A:A,'45'!$A$2,Data!EM:EM),0)</f>
        <v>243149</v>
      </c>
      <c r="F81" s="21">
        <f t="shared" si="4"/>
        <v>8.6300000000000008</v>
      </c>
    </row>
    <row r="82" spans="1:6" x14ac:dyDescent="0.2">
      <c r="A82" s="19">
        <v>16</v>
      </c>
      <c r="B82" s="177" t="s">
        <v>14</v>
      </c>
      <c r="C82" s="178"/>
      <c r="D82" s="14">
        <f t="shared" si="5"/>
        <v>453778</v>
      </c>
      <c r="E82" s="17">
        <f>IF(F3="1",SUMIF(Data!A:A,'45'!$A$2,Data!EN:EN),0)</f>
        <v>815905</v>
      </c>
      <c r="F82" s="21">
        <f t="shared" si="4"/>
        <v>1.8</v>
      </c>
    </row>
    <row r="83" spans="1:6" x14ac:dyDescent="0.2">
      <c r="A83" s="19">
        <v>17</v>
      </c>
      <c r="B83" s="177" t="s">
        <v>15</v>
      </c>
      <c r="C83" s="178"/>
      <c r="D83" s="14">
        <f t="shared" si="5"/>
        <v>46368</v>
      </c>
      <c r="E83" s="17">
        <f>IF(F3="1",SUMIF(Data!A:A,'45'!$A$2,Data!EO:EO),0)</f>
        <v>241132</v>
      </c>
      <c r="F83" s="21">
        <f t="shared" si="4"/>
        <v>5.2</v>
      </c>
    </row>
    <row r="84" spans="1:6" x14ac:dyDescent="0.2">
      <c r="A84" s="19">
        <v>18</v>
      </c>
      <c r="B84" s="177" t="s">
        <v>16</v>
      </c>
      <c r="C84" s="178"/>
      <c r="D84" s="14">
        <f t="shared" si="5"/>
        <v>58306</v>
      </c>
      <c r="E84" s="17">
        <f>IF(F3="1",SUMIF(Data!A:A,'45'!$A$2,Data!EP:EP),0)</f>
        <v>511741</v>
      </c>
      <c r="F84" s="21">
        <f t="shared" si="4"/>
        <v>8.7799999999999994</v>
      </c>
    </row>
    <row r="85" spans="1:6" x14ac:dyDescent="0.2">
      <c r="A85" s="19">
        <v>19</v>
      </c>
      <c r="B85" s="177" t="s">
        <v>17</v>
      </c>
      <c r="C85" s="178"/>
      <c r="D85" s="14">
        <f t="shared" si="5"/>
        <v>452141</v>
      </c>
      <c r="E85" s="17">
        <f>IF(F3="1",SUMIF(Data!A:A,'45'!$A$2,Data!EQ:EQ),0)</f>
        <v>950183</v>
      </c>
      <c r="F85" s="21">
        <f t="shared" si="4"/>
        <v>2.1</v>
      </c>
    </row>
    <row r="86" spans="1:6" x14ac:dyDescent="0.2">
      <c r="A86" s="19">
        <v>20</v>
      </c>
      <c r="B86" s="177" t="s">
        <v>18</v>
      </c>
      <c r="C86" s="178"/>
      <c r="D86" s="14">
        <f t="shared" si="5"/>
        <v>13610</v>
      </c>
      <c r="E86" s="17">
        <f>IF(F3="1",SUMIF(Data!A:A,'45'!$A$2,Data!ER:ER),0)</f>
        <v>56548</v>
      </c>
      <c r="F86" s="21">
        <f t="shared" si="4"/>
        <v>4.1500000000000004</v>
      </c>
    </row>
    <row r="87" spans="1:6" ht="14.25" customHeight="1" x14ac:dyDescent="0.2">
      <c r="A87" s="19">
        <v>21</v>
      </c>
      <c r="B87" s="177" t="s">
        <v>461</v>
      </c>
      <c r="C87" s="178"/>
      <c r="D87" s="14">
        <f t="shared" si="5"/>
        <v>36200</v>
      </c>
      <c r="E87" s="17">
        <f>IF(F3="1",SUMIF(Data!A:A,'45'!$A$2,Data!ES:ES),0)</f>
        <v>39839</v>
      </c>
      <c r="F87" s="21">
        <f t="shared" si="4"/>
        <v>1.1000000000000001</v>
      </c>
    </row>
    <row r="88" spans="1:6" x14ac:dyDescent="0.2">
      <c r="A88" s="19">
        <v>22</v>
      </c>
      <c r="B88" s="177" t="s">
        <v>19</v>
      </c>
      <c r="C88" s="178"/>
      <c r="D88" s="14">
        <f t="shared" si="5"/>
        <v>3180</v>
      </c>
      <c r="E88" s="17">
        <f>IF(F3="1",SUMIF(Data!A:A,'45'!$A$2,Data!ET:ET),0)</f>
        <v>330</v>
      </c>
      <c r="F88" s="21">
        <f t="shared" si="4"/>
        <v>0.1</v>
      </c>
    </row>
    <row r="89" spans="1:6" x14ac:dyDescent="0.2">
      <c r="A89" s="19">
        <v>23</v>
      </c>
      <c r="B89" s="177" t="s">
        <v>20</v>
      </c>
      <c r="C89" s="178"/>
      <c r="D89" s="14">
        <f t="shared" si="5"/>
        <v>140272</v>
      </c>
      <c r="E89" s="17">
        <f>IF(F3="1",SUMIF(Data!A:A,'45'!$A$2,Data!EU:EU),0)</f>
        <v>621303</v>
      </c>
      <c r="F89" s="21">
        <f t="shared" si="4"/>
        <v>4.43</v>
      </c>
    </row>
    <row r="90" spans="1:6" x14ac:dyDescent="0.2">
      <c r="A90" s="19">
        <v>24</v>
      </c>
      <c r="B90" s="177" t="s">
        <v>21</v>
      </c>
      <c r="C90" s="178"/>
      <c r="D90" s="14">
        <f t="shared" si="5"/>
        <v>106864</v>
      </c>
      <c r="E90" s="17">
        <f>IF(F3="1",SUMIF(Data!A:A,'45'!$A$2,Data!EV:EV),0)</f>
        <v>128609</v>
      </c>
      <c r="F90" s="21">
        <f t="shared" si="4"/>
        <v>1.2</v>
      </c>
    </row>
    <row r="91" spans="1:6" x14ac:dyDescent="0.2">
      <c r="A91" s="19">
        <v>25</v>
      </c>
      <c r="B91" s="177" t="s">
        <v>22</v>
      </c>
      <c r="C91" s="178"/>
      <c r="D91" s="14">
        <f t="shared" si="5"/>
        <v>566991</v>
      </c>
      <c r="E91" s="17">
        <f>IF(F3="1",SUMIF(Data!A:A,'45'!$A$2,Data!EW:EW),0)</f>
        <v>1189276</v>
      </c>
      <c r="F91" s="21">
        <f t="shared" si="4"/>
        <v>2.1</v>
      </c>
    </row>
    <row r="92" spans="1:6" x14ac:dyDescent="0.2">
      <c r="A92" s="19">
        <v>26</v>
      </c>
      <c r="B92" s="177" t="s">
        <v>23</v>
      </c>
      <c r="C92" s="178"/>
      <c r="D92" s="14">
        <f t="shared" si="5"/>
        <v>223824</v>
      </c>
      <c r="E92" s="17">
        <f>IF(F3="1",SUMIF(Data!A:A,'45'!$A$2,Data!EX:EX),0)</f>
        <v>859997</v>
      </c>
      <c r="F92" s="21">
        <f t="shared" si="4"/>
        <v>3.84</v>
      </c>
    </row>
    <row r="93" spans="1:6" x14ac:dyDescent="0.2">
      <c r="A93" s="19">
        <v>28</v>
      </c>
      <c r="B93" s="177" t="s">
        <v>24</v>
      </c>
      <c r="C93" s="178"/>
      <c r="D93" s="14">
        <f t="shared" si="5"/>
        <v>0</v>
      </c>
      <c r="E93" s="17">
        <f>IF(F3="1",SUMIF(Data!A:A,'45'!$A$2,Data!EZ:EZ),0)</f>
        <v>0</v>
      </c>
      <c r="F93" s="21" t="str">
        <f t="shared" si="4"/>
        <v/>
      </c>
    </row>
    <row r="94" spans="1:6" ht="15.75" customHeight="1" thickBot="1" x14ac:dyDescent="0.25">
      <c r="A94" s="22">
        <v>29</v>
      </c>
      <c r="B94" s="179" t="s">
        <v>25</v>
      </c>
      <c r="C94" s="180"/>
      <c r="D94" s="23">
        <f t="shared" si="5"/>
        <v>0</v>
      </c>
      <c r="E94" s="24">
        <f>IF(F3="1",SUMIF(Data!A:A,'45'!$A$2,Data!FA:FA),0)</f>
        <v>0</v>
      </c>
      <c r="F94" s="25" t="str">
        <f t="shared" si="4"/>
        <v/>
      </c>
    </row>
    <row r="95" spans="1:6" x14ac:dyDescent="0.2">
      <c r="B95" s="30" t="s">
        <v>35</v>
      </c>
      <c r="C95" s="30"/>
      <c r="D95" s="59">
        <f>SUM(D67:D94)</f>
        <v>4138031</v>
      </c>
      <c r="E95" s="31">
        <f>SUM(E67:E94)</f>
        <v>10679919</v>
      </c>
      <c r="F95" s="32">
        <f t="shared" si="4"/>
        <v>2.58</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IF(F3="1",SUMIF(Data!A:A,'45'!$A$2,Data!AH:AH),0)</f>
        <v>4429839</v>
      </c>
      <c r="F98" s="20">
        <f>IF(OR(E98=0,E98=0),"",ROUND(E98/$D$105,2))</f>
        <v>1.07</v>
      </c>
    </row>
    <row r="99" spans="2:6" x14ac:dyDescent="0.2">
      <c r="B99" s="183" t="s">
        <v>31</v>
      </c>
      <c r="C99" s="184"/>
      <c r="D99" s="36"/>
      <c r="E99" s="17">
        <f>IF(F3="1",SUMIF(Data!A:A,'45'!$A$2,Data!AI:AI),0)</f>
        <v>2891350</v>
      </c>
      <c r="F99" s="21">
        <f t="shared" ref="F99:F104" si="6">IF(OR(E99=0,E99=0),"",ROUND(E99/$D$105,2))</f>
        <v>0.7</v>
      </c>
    </row>
    <row r="100" spans="2:6" x14ac:dyDescent="0.2">
      <c r="B100" s="183" t="s">
        <v>1078</v>
      </c>
      <c r="C100" s="184"/>
      <c r="D100" s="36"/>
      <c r="E100" s="17">
        <f>IF(F3="1",SUMIF(Data!A:A,'45'!$A$2,Data!AJ:AJ),0)</f>
        <v>935700</v>
      </c>
      <c r="F100" s="21">
        <f t="shared" si="6"/>
        <v>0.23</v>
      </c>
    </row>
    <row r="101" spans="2:6" x14ac:dyDescent="0.2">
      <c r="B101" s="183" t="s">
        <v>1079</v>
      </c>
      <c r="C101" s="184"/>
      <c r="D101" s="36"/>
      <c r="E101" s="17">
        <f>IF(F3="1",SUMIF(Data!A:A,'45'!$A$2,Data!AK:AK),0)</f>
        <v>1068591</v>
      </c>
      <c r="F101" s="21">
        <f t="shared" si="6"/>
        <v>0.26</v>
      </c>
    </row>
    <row r="102" spans="2:6" x14ac:dyDescent="0.2">
      <c r="B102" s="183" t="s">
        <v>1080</v>
      </c>
      <c r="C102" s="184"/>
      <c r="D102" s="36"/>
      <c r="E102" s="17">
        <f>IF(F3="1",SUMIF(Data!A:A,'45'!$A$2,Data!AL:AL),0)</f>
        <v>0</v>
      </c>
      <c r="F102" s="21" t="str">
        <f t="shared" si="6"/>
        <v/>
      </c>
    </row>
    <row r="103" spans="2:6" x14ac:dyDescent="0.2">
      <c r="B103" s="185" t="s">
        <v>34</v>
      </c>
      <c r="C103" s="186"/>
      <c r="D103" s="36"/>
      <c r="E103" s="17">
        <f>IF(F3="1",SUMIF(Data!A:A,'45'!$A$2,Data!AM:AM),0)</f>
        <v>0</v>
      </c>
      <c r="F103" s="21" t="str">
        <f t="shared" si="6"/>
        <v/>
      </c>
    </row>
    <row r="104" spans="2:6" ht="15.75" customHeight="1" thickBot="1" x14ac:dyDescent="0.25">
      <c r="B104" s="175" t="s">
        <v>29</v>
      </c>
      <c r="C104" s="176"/>
      <c r="D104" s="37"/>
      <c r="E104" s="24">
        <f>IF(F3="1",SUMIF(Data!A:A,'45'!$A$2,Data!Q:Q),0)</f>
        <v>0</v>
      </c>
      <c r="F104" s="25" t="str">
        <f t="shared" si="6"/>
        <v/>
      </c>
    </row>
    <row r="105" spans="2:6" x14ac:dyDescent="0.2">
      <c r="B105" s="30" t="s">
        <v>35</v>
      </c>
      <c r="C105" s="30"/>
      <c r="D105" s="34">
        <f>D95</f>
        <v>4138031</v>
      </c>
      <c r="E105" s="31">
        <f>SUM(E98:E104)</f>
        <v>9325480</v>
      </c>
      <c r="F105" s="32">
        <f>IF($D$105=0,"",ROUND(E105/$D$105,2))</f>
        <v>2.25</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10679919</v>
      </c>
      <c r="D109" s="15">
        <f>IF(F3="1",SUMIF(Data!$A:$A,$A$2,Data!HJ:HJ),0)</f>
        <v>0</v>
      </c>
      <c r="E109" s="15">
        <f>IF(F3="1",SUMIF(Data!$A:$A,$A$2,Data!IN:IN),0)</f>
        <v>0</v>
      </c>
      <c r="F109" s="47">
        <f>SUM(C109:E109)</f>
        <v>10679919</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0</v>
      </c>
      <c r="E117" s="52"/>
      <c r="F117" s="49">
        <f>SUM(C117:E117)</f>
        <v>0</v>
      </c>
    </row>
    <row r="118" spans="1:6" x14ac:dyDescent="0.2">
      <c r="B118" s="13" t="s">
        <v>35</v>
      </c>
      <c r="C118" s="4">
        <f>SUM(C109:C116)</f>
        <v>10679919</v>
      </c>
      <c r="D118" s="4">
        <f>SUM(D109:D116)</f>
        <v>0</v>
      </c>
      <c r="E118" s="4">
        <f>SUM(E109:E116)</f>
        <v>0</v>
      </c>
      <c r="F118" s="4">
        <f>SUM(F109:F116)</f>
        <v>10679919</v>
      </c>
    </row>
    <row r="119" spans="1:6" ht="15" thickBot="1" x14ac:dyDescent="0.25"/>
    <row r="120" spans="1:6" ht="15" thickBot="1" x14ac:dyDescent="0.25">
      <c r="B120" s="55" t="s">
        <v>934</v>
      </c>
      <c r="C120" s="53"/>
      <c r="D120" s="53"/>
      <c r="E120" s="53">
        <f>IF(F3="1",SUMIF(Data!A:A,'45'!$A$2,Data!AM:AM),0)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140625" style="10" bestFit="1" customWidth="1"/>
    <col min="13" max="13" width="10.5703125" style="10" bestFit="1" customWidth="1"/>
    <col min="14"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437</v>
      </c>
      <c r="B2" s="58" t="str">
        <f>VLOOKUP(A2,Data!A:G,7,0)</f>
        <v>Vernon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13728</v>
      </c>
      <c r="E5" s="15">
        <f>E36+E67+IFERROR($E$105/$D$105*D5,0)</f>
        <v>85187.778329995665</v>
      </c>
      <c r="F5" s="20">
        <f>IF(OR(D5=0,E5=0),"",ROUND(E5/D5,2))</f>
        <v>6.21</v>
      </c>
    </row>
    <row r="6" spans="1:6" x14ac:dyDescent="0.2">
      <c r="A6" s="19">
        <v>2</v>
      </c>
      <c r="B6" s="177" t="s">
        <v>1</v>
      </c>
      <c r="C6" s="178"/>
      <c r="D6" s="14">
        <f t="shared" ref="D6:D32" si="0">D37</f>
        <v>69902</v>
      </c>
      <c r="E6" s="17">
        <f t="shared" ref="E6:E32" si="1">E37+E68+IFERROR($E$105/$D$105*D6,0)</f>
        <v>455979.71232687624</v>
      </c>
      <c r="F6" s="21">
        <f t="shared" ref="F6:F33" si="2">IF(OR(D6=0,E6=0),"",ROUND(E6/D6,2))</f>
        <v>6.52</v>
      </c>
    </row>
    <row r="7" spans="1:6" ht="14.25" customHeight="1" x14ac:dyDescent="0.2">
      <c r="A7" s="19">
        <v>3</v>
      </c>
      <c r="B7" s="177" t="s">
        <v>2</v>
      </c>
      <c r="C7" s="178"/>
      <c r="D7" s="14">
        <f t="shared" si="0"/>
        <v>83312</v>
      </c>
      <c r="E7" s="17">
        <f t="shared" si="1"/>
        <v>360573.71650849353</v>
      </c>
      <c r="F7" s="21">
        <f t="shared" si="2"/>
        <v>4.33</v>
      </c>
    </row>
    <row r="8" spans="1:6" ht="14.25" customHeight="1" x14ac:dyDescent="0.2">
      <c r="A8" s="19">
        <v>4</v>
      </c>
      <c r="B8" s="177" t="s">
        <v>3</v>
      </c>
      <c r="C8" s="178"/>
      <c r="D8" s="14">
        <f t="shared" si="0"/>
        <v>138042</v>
      </c>
      <c r="E8" s="17">
        <f t="shared" si="1"/>
        <v>711973.80814607092</v>
      </c>
      <c r="F8" s="21">
        <f t="shared" si="2"/>
        <v>5.16</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2912</v>
      </c>
      <c r="E10" s="17">
        <f t="shared" si="1"/>
        <v>24715.346918483927</v>
      </c>
      <c r="F10" s="21">
        <f t="shared" si="2"/>
        <v>8.49</v>
      </c>
    </row>
    <row r="11" spans="1:6" x14ac:dyDescent="0.2">
      <c r="A11" s="19">
        <v>7</v>
      </c>
      <c r="B11" s="177" t="s">
        <v>6</v>
      </c>
      <c r="C11" s="178"/>
      <c r="D11" s="14">
        <f t="shared" si="0"/>
        <v>71685</v>
      </c>
      <c r="E11" s="17">
        <f t="shared" si="1"/>
        <v>411537.40825945069</v>
      </c>
      <c r="F11" s="21">
        <f t="shared" si="2"/>
        <v>5.74</v>
      </c>
    </row>
    <row r="12" spans="1:6" x14ac:dyDescent="0.2">
      <c r="A12" s="19">
        <v>8</v>
      </c>
      <c r="B12" s="177" t="s">
        <v>7</v>
      </c>
      <c r="C12" s="178"/>
      <c r="D12" s="14">
        <f t="shared" si="0"/>
        <v>0</v>
      </c>
      <c r="E12" s="17">
        <f t="shared" si="1"/>
        <v>0</v>
      </c>
      <c r="F12" s="21" t="str">
        <f t="shared" si="2"/>
        <v/>
      </c>
    </row>
    <row r="13" spans="1:6" x14ac:dyDescent="0.2">
      <c r="A13" s="19">
        <v>9</v>
      </c>
      <c r="B13" s="177" t="s">
        <v>8</v>
      </c>
      <c r="C13" s="178"/>
      <c r="D13" s="14">
        <f t="shared" si="0"/>
        <v>92770</v>
      </c>
      <c r="E13" s="17">
        <f t="shared" si="1"/>
        <v>449201.67844359687</v>
      </c>
      <c r="F13" s="21">
        <f t="shared" si="2"/>
        <v>4.84</v>
      </c>
    </row>
    <row r="14" spans="1:6" x14ac:dyDescent="0.2">
      <c r="A14" s="19">
        <v>10</v>
      </c>
      <c r="B14" s="177" t="s">
        <v>9</v>
      </c>
      <c r="C14" s="178"/>
      <c r="D14" s="14">
        <f t="shared" si="0"/>
        <v>0</v>
      </c>
      <c r="E14" s="17">
        <f t="shared" si="1"/>
        <v>0</v>
      </c>
      <c r="F14" s="21" t="str">
        <f t="shared" si="2"/>
        <v/>
      </c>
    </row>
    <row r="15" spans="1:6" x14ac:dyDescent="0.2">
      <c r="A15" s="19">
        <v>11</v>
      </c>
      <c r="B15" s="177" t="s">
        <v>10</v>
      </c>
      <c r="C15" s="178"/>
      <c r="D15" s="14">
        <f t="shared" si="0"/>
        <v>34600</v>
      </c>
      <c r="E15" s="17">
        <f t="shared" si="1"/>
        <v>172457.67149022801</v>
      </c>
      <c r="F15" s="21">
        <f t="shared" si="2"/>
        <v>4.9800000000000004</v>
      </c>
    </row>
    <row r="16" spans="1:6" ht="14.25" customHeight="1" x14ac:dyDescent="0.2">
      <c r="A16" s="19">
        <v>12</v>
      </c>
      <c r="B16" s="177" t="s">
        <v>11</v>
      </c>
      <c r="C16" s="178"/>
      <c r="D16" s="14">
        <f t="shared" si="0"/>
        <v>120320</v>
      </c>
      <c r="E16" s="17">
        <f t="shared" si="1"/>
        <v>613993.82871977554</v>
      </c>
      <c r="F16" s="21">
        <f t="shared" si="2"/>
        <v>5.0999999999999996</v>
      </c>
    </row>
    <row r="17" spans="1:6" x14ac:dyDescent="0.2">
      <c r="A17" s="19">
        <v>13</v>
      </c>
      <c r="B17" s="177" t="s">
        <v>12</v>
      </c>
      <c r="C17" s="178"/>
      <c r="D17" s="14">
        <f t="shared" si="0"/>
        <v>21984</v>
      </c>
      <c r="E17" s="17">
        <f t="shared" si="1"/>
        <v>119345.57508789515</v>
      </c>
      <c r="F17" s="21">
        <f t="shared" si="2"/>
        <v>5.43</v>
      </c>
    </row>
    <row r="18" spans="1:6" ht="14.25" customHeight="1" x14ac:dyDescent="0.2">
      <c r="A18" s="19">
        <v>14</v>
      </c>
      <c r="B18" s="177" t="s">
        <v>464</v>
      </c>
      <c r="C18" s="178"/>
      <c r="D18" s="14">
        <f t="shared" si="0"/>
        <v>94567</v>
      </c>
      <c r="E18" s="17">
        <f t="shared" si="1"/>
        <v>501313.76065943332</v>
      </c>
      <c r="F18" s="21">
        <f t="shared" si="2"/>
        <v>5.3</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129288</v>
      </c>
      <c r="E20" s="17">
        <f t="shared" si="1"/>
        <v>465858.2707407109</v>
      </c>
      <c r="F20" s="21">
        <f t="shared" si="2"/>
        <v>3.6</v>
      </c>
    </row>
    <row r="21" spans="1:6" x14ac:dyDescent="0.2">
      <c r="A21" s="19">
        <v>17</v>
      </c>
      <c r="B21" s="177" t="s">
        <v>15</v>
      </c>
      <c r="C21" s="178"/>
      <c r="D21" s="14">
        <f t="shared" si="0"/>
        <v>0</v>
      </c>
      <c r="E21" s="17">
        <f t="shared" si="1"/>
        <v>0</v>
      </c>
      <c r="F21" s="21" t="str">
        <f t="shared" si="2"/>
        <v/>
      </c>
    </row>
    <row r="22" spans="1:6" x14ac:dyDescent="0.2">
      <c r="A22" s="19">
        <v>18</v>
      </c>
      <c r="B22" s="177" t="s">
        <v>16</v>
      </c>
      <c r="C22" s="178"/>
      <c r="D22" s="14">
        <f t="shared" si="0"/>
        <v>130352</v>
      </c>
      <c r="E22" s="17">
        <f t="shared" si="1"/>
        <v>877628.6282686186</v>
      </c>
      <c r="F22" s="21">
        <f t="shared" si="2"/>
        <v>6.73</v>
      </c>
    </row>
    <row r="23" spans="1:6" x14ac:dyDescent="0.2">
      <c r="A23" s="19">
        <v>19</v>
      </c>
      <c r="B23" s="177" t="s">
        <v>17</v>
      </c>
      <c r="C23" s="178"/>
      <c r="D23" s="14">
        <f t="shared" si="0"/>
        <v>72592</v>
      </c>
      <c r="E23" s="17">
        <f t="shared" si="1"/>
        <v>385943.93389649224</v>
      </c>
      <c r="F23" s="21">
        <f t="shared" si="2"/>
        <v>5.32</v>
      </c>
    </row>
    <row r="24" spans="1:6" x14ac:dyDescent="0.2">
      <c r="A24" s="19">
        <v>20</v>
      </c>
      <c r="B24" s="177" t="s">
        <v>18</v>
      </c>
      <c r="C24" s="178"/>
      <c r="D24" s="14">
        <f t="shared" si="0"/>
        <v>8592</v>
      </c>
      <c r="E24" s="17">
        <f t="shared" si="1"/>
        <v>96817.067556186099</v>
      </c>
      <c r="F24" s="21">
        <f t="shared" si="2"/>
        <v>11.27</v>
      </c>
    </row>
    <row r="25" spans="1:6" ht="14.25" customHeight="1" x14ac:dyDescent="0.2">
      <c r="A25" s="19">
        <v>21</v>
      </c>
      <c r="B25" s="177" t="s">
        <v>461</v>
      </c>
      <c r="C25" s="178"/>
      <c r="D25" s="14">
        <f t="shared" si="0"/>
        <v>0</v>
      </c>
      <c r="E25" s="17">
        <f t="shared" si="1"/>
        <v>0</v>
      </c>
      <c r="F25" s="21" t="str">
        <f t="shared" si="2"/>
        <v/>
      </c>
    </row>
    <row r="26" spans="1:6" x14ac:dyDescent="0.2">
      <c r="A26" s="19">
        <v>22</v>
      </c>
      <c r="B26" s="177" t="s">
        <v>19</v>
      </c>
      <c r="C26" s="178"/>
      <c r="D26" s="14">
        <f t="shared" si="0"/>
        <v>9856</v>
      </c>
      <c r="E26" s="17">
        <f t="shared" si="1"/>
        <v>27821.943416407143</v>
      </c>
      <c r="F26" s="21">
        <f t="shared" si="2"/>
        <v>2.82</v>
      </c>
    </row>
    <row r="27" spans="1:6" x14ac:dyDescent="0.2">
      <c r="A27" s="19">
        <v>23</v>
      </c>
      <c r="B27" s="177" t="s">
        <v>20</v>
      </c>
      <c r="C27" s="178"/>
      <c r="D27" s="14">
        <f t="shared" si="0"/>
        <v>18310</v>
      </c>
      <c r="E27" s="17">
        <f t="shared" si="1"/>
        <v>104225.20332329696</v>
      </c>
      <c r="F27" s="21">
        <f t="shared" si="2"/>
        <v>5.69</v>
      </c>
    </row>
    <row r="28" spans="1:6" x14ac:dyDescent="0.2">
      <c r="A28" s="19">
        <v>24</v>
      </c>
      <c r="B28" s="177" t="s">
        <v>21</v>
      </c>
      <c r="C28" s="178"/>
      <c r="D28" s="14">
        <f t="shared" si="0"/>
        <v>106685</v>
      </c>
      <c r="E28" s="17">
        <f t="shared" si="1"/>
        <v>530241.11641430564</v>
      </c>
      <c r="F28" s="21">
        <f t="shared" si="2"/>
        <v>4.97</v>
      </c>
    </row>
    <row r="29" spans="1:6" x14ac:dyDescent="0.2">
      <c r="A29" s="19">
        <v>25</v>
      </c>
      <c r="B29" s="177" t="s">
        <v>22</v>
      </c>
      <c r="C29" s="178"/>
      <c r="D29" s="14">
        <f t="shared" si="0"/>
        <v>113994</v>
      </c>
      <c r="E29" s="17">
        <f t="shared" si="1"/>
        <v>496540.28386870091</v>
      </c>
      <c r="F29" s="21">
        <f t="shared" si="2"/>
        <v>4.3600000000000003</v>
      </c>
    </row>
    <row r="30" spans="1:6" x14ac:dyDescent="0.2">
      <c r="A30" s="19">
        <v>26</v>
      </c>
      <c r="B30" s="177" t="s">
        <v>23</v>
      </c>
      <c r="C30" s="178"/>
      <c r="D30" s="14">
        <f t="shared" si="0"/>
        <v>21248</v>
      </c>
      <c r="E30" s="17">
        <f t="shared" si="1"/>
        <v>137374.26762498164</v>
      </c>
      <c r="F30" s="21">
        <f t="shared" si="2"/>
        <v>6.47</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1354739</v>
      </c>
      <c r="E33" s="31">
        <f>SUM(E5:E32)</f>
        <v>7028731.0000000009</v>
      </c>
      <c r="F33" s="32">
        <f t="shared" si="2"/>
        <v>5.19</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IF(F3="1",SUMIF(Data!A:A,'46'!$A$2,Data!CU:CU),0)</f>
        <v>13728</v>
      </c>
      <c r="E36" s="15">
        <f>IF(F3="1",SUMIF(Data!$A:$A,$A$2,Data!IO:IO),0)</f>
        <v>7976</v>
      </c>
      <c r="F36" s="20">
        <f t="shared" ref="F36:F64" si="3">IF(OR(D36=0,E36=0),"",ROUND(E36/D36,2))</f>
        <v>0.57999999999999996</v>
      </c>
    </row>
    <row r="37" spans="1:6" x14ac:dyDescent="0.2">
      <c r="A37" s="19">
        <v>2</v>
      </c>
      <c r="B37" s="177" t="s">
        <v>1</v>
      </c>
      <c r="C37" s="178"/>
      <c r="D37" s="14">
        <f>IF(F3="1",SUMIF(Data!A:A,'46'!$A$2,Data!CV:CV),0)</f>
        <v>69902</v>
      </c>
      <c r="E37" s="17">
        <f>IF(F3="1",SUMIF(Data!$A:$A,$A$2,Data!IP:IP),0)</f>
        <v>68902</v>
      </c>
      <c r="F37" s="21">
        <f t="shared" si="3"/>
        <v>0.99</v>
      </c>
    </row>
    <row r="38" spans="1:6" ht="14.25" customHeight="1" x14ac:dyDescent="0.2">
      <c r="A38" s="19">
        <v>3</v>
      </c>
      <c r="B38" s="177" t="s">
        <v>2</v>
      </c>
      <c r="C38" s="178"/>
      <c r="D38" s="14">
        <f>IF(F3="1",SUMIF(Data!A:A,'46'!$A$2,Data!CW:CW),0)</f>
        <v>83312</v>
      </c>
      <c r="E38" s="17">
        <f>IF($F$3="1",SUMIF(Data!$A:$A,$A$2,Data!IQ:IQ),0)</f>
        <v>17869</v>
      </c>
      <c r="F38" s="21">
        <f t="shared" si="3"/>
        <v>0.21</v>
      </c>
    </row>
    <row r="39" spans="1:6" ht="14.25" customHeight="1" x14ac:dyDescent="0.2">
      <c r="A39" s="19">
        <v>4</v>
      </c>
      <c r="B39" s="177" t="s">
        <v>3</v>
      </c>
      <c r="C39" s="178"/>
      <c r="D39" s="14">
        <f>IF(F3="1",SUMIF(Data!A:A,'46'!$A$2,Data!CX:CX),0)</f>
        <v>138042</v>
      </c>
      <c r="E39" s="17">
        <f>IF($F$3="1",SUMIF(Data!$A:$A,$A$2,Data!IR:IR),0)</f>
        <v>40922</v>
      </c>
      <c r="F39" s="21">
        <f t="shared" si="3"/>
        <v>0.3</v>
      </c>
    </row>
    <row r="40" spans="1:6" x14ac:dyDescent="0.2">
      <c r="A40" s="19">
        <v>5</v>
      </c>
      <c r="B40" s="177" t="s">
        <v>4</v>
      </c>
      <c r="C40" s="178"/>
      <c r="D40" s="14">
        <f>IF(F3="1",SUMIF(Data!A:A,'46'!$A$2,Data!CY:CY),0)</f>
        <v>0</v>
      </c>
      <c r="E40" s="17">
        <f>IF($F$3="1",SUMIF(Data!$A:$A,$A$2,Data!IS:IS),0)</f>
        <v>0</v>
      </c>
      <c r="F40" s="21" t="str">
        <f t="shared" si="3"/>
        <v/>
      </c>
    </row>
    <row r="41" spans="1:6" x14ac:dyDescent="0.2">
      <c r="A41" s="19">
        <v>6</v>
      </c>
      <c r="B41" s="177" t="s">
        <v>5</v>
      </c>
      <c r="C41" s="178"/>
      <c r="D41" s="14">
        <f>IF(F3="1",SUMIF(Data!A:A,'46'!$A$2,Data!CZ:CZ),0)</f>
        <v>2912</v>
      </c>
      <c r="E41" s="17">
        <f>IF($F$3="1",SUMIF(Data!$A:$A,$A$2,Data!IT:IT),0)</f>
        <v>1823</v>
      </c>
      <c r="F41" s="21">
        <f t="shared" si="3"/>
        <v>0.63</v>
      </c>
    </row>
    <row r="42" spans="1:6" x14ac:dyDescent="0.2">
      <c r="A42" s="19">
        <v>7</v>
      </c>
      <c r="B42" s="177" t="s">
        <v>6</v>
      </c>
      <c r="C42" s="178"/>
      <c r="D42" s="14">
        <f>IF(F3="1",SUMIF(Data!A:A,'46'!$A$2,Data!DA:DA),0)</f>
        <v>71685</v>
      </c>
      <c r="E42" s="17">
        <f>IF($F$3="1",SUMIF(Data!$A:$A,$A$2,Data!IU:IU),0)</f>
        <v>108239</v>
      </c>
      <c r="F42" s="21">
        <f t="shared" si="3"/>
        <v>1.51</v>
      </c>
    </row>
    <row r="43" spans="1:6" x14ac:dyDescent="0.2">
      <c r="A43" s="19">
        <v>8</v>
      </c>
      <c r="B43" s="177" t="s">
        <v>7</v>
      </c>
      <c r="C43" s="178"/>
      <c r="D43" s="14">
        <f>IF(F3="1",SUMIF(Data!A:A,'46'!$A$2,Data!DB:DB),0)</f>
        <v>0</v>
      </c>
      <c r="E43" s="17">
        <f>IF($F$3="1",SUMIF(Data!$A:$A,$A$2,Data!IV:IV),0)</f>
        <v>0</v>
      </c>
      <c r="F43" s="21" t="str">
        <f t="shared" si="3"/>
        <v/>
      </c>
    </row>
    <row r="44" spans="1:6" x14ac:dyDescent="0.2">
      <c r="A44" s="19">
        <v>9</v>
      </c>
      <c r="B44" s="177" t="s">
        <v>8</v>
      </c>
      <c r="C44" s="178"/>
      <c r="D44" s="14">
        <f>IF(F3="1",SUMIF(Data!A:A,'46'!$A$2,Data!DC:DC),0)</f>
        <v>92770</v>
      </c>
      <c r="E44" s="17">
        <f>IF($F$3="1",SUMIF(Data!$A:$A,$A$2,Data!IW:IW),0)</f>
        <v>38531</v>
      </c>
      <c r="F44" s="21">
        <f t="shared" si="3"/>
        <v>0.42</v>
      </c>
    </row>
    <row r="45" spans="1:6" x14ac:dyDescent="0.2">
      <c r="A45" s="19">
        <v>10</v>
      </c>
      <c r="B45" s="177" t="s">
        <v>9</v>
      </c>
      <c r="C45" s="178"/>
      <c r="D45" s="14">
        <f>IF(F3="1",SUMIF(Data!A:A,'46'!$A$2,Data!DD:DD),0)</f>
        <v>0</v>
      </c>
      <c r="E45" s="17">
        <f>IF($F$3="1",SUMIF(Data!$A:$A,$A$2,Data!IX:IX),0)</f>
        <v>0</v>
      </c>
      <c r="F45" s="21" t="str">
        <f t="shared" si="3"/>
        <v/>
      </c>
    </row>
    <row r="46" spans="1:6" x14ac:dyDescent="0.2">
      <c r="A46" s="19">
        <v>11</v>
      </c>
      <c r="B46" s="177" t="s">
        <v>10</v>
      </c>
      <c r="C46" s="178"/>
      <c r="D46" s="14">
        <f>IF(F3="1",SUMIF(Data!A:A,'46'!$A$2,Data!DE:DE),0)</f>
        <v>34600</v>
      </c>
      <c r="E46" s="17">
        <f>IF($F$3="1",SUMIF(Data!$A:$A,$A$2,Data!IY:IY),0)</f>
        <v>13564</v>
      </c>
      <c r="F46" s="21">
        <f t="shared" si="3"/>
        <v>0.39</v>
      </c>
    </row>
    <row r="47" spans="1:6" ht="14.25" customHeight="1" x14ac:dyDescent="0.2">
      <c r="A47" s="19">
        <v>12</v>
      </c>
      <c r="B47" s="177" t="s">
        <v>11</v>
      </c>
      <c r="C47" s="178"/>
      <c r="D47" s="14">
        <f>IF(F3="1",SUMIF(Data!A:A,'46'!$A$2,Data!DF:DF),0)</f>
        <v>120320</v>
      </c>
      <c r="E47" s="17">
        <f>IF($F$3="1",SUMIF(Data!$A:$A,$A$2,Data!IZ:IZ),0)</f>
        <v>9185</v>
      </c>
      <c r="F47" s="21">
        <f t="shared" si="3"/>
        <v>0.08</v>
      </c>
    </row>
    <row r="48" spans="1:6" x14ac:dyDescent="0.2">
      <c r="A48" s="19">
        <v>13</v>
      </c>
      <c r="B48" s="177" t="s">
        <v>12</v>
      </c>
      <c r="C48" s="178"/>
      <c r="D48" s="14">
        <f>IF(F3="1",SUMIF(Data!A:A,'46'!$A$2,Data!DG:DG),0)</f>
        <v>21984</v>
      </c>
      <c r="E48" s="17">
        <f>IF($F$3="1",SUMIF(Data!$A:$A,$A$2,Data!JA:JA),0)</f>
        <v>1785</v>
      </c>
      <c r="F48" s="21">
        <f t="shared" si="3"/>
        <v>0.08</v>
      </c>
    </row>
    <row r="49" spans="1:6" ht="14.25" customHeight="1" x14ac:dyDescent="0.2">
      <c r="A49" s="19">
        <v>14</v>
      </c>
      <c r="B49" s="177" t="s">
        <v>464</v>
      </c>
      <c r="C49" s="178"/>
      <c r="D49" s="14">
        <f>IF(F3="1",SUMIF(Data!A:A,'46'!$A$2,Data!DH:DH),0)</f>
        <v>94567</v>
      </c>
      <c r="E49" s="17">
        <f>IF($F$3="1",SUMIF(Data!$A:$A,$A$2,Data!JB:JB),0)</f>
        <v>17801</v>
      </c>
      <c r="F49" s="21">
        <f t="shared" si="3"/>
        <v>0.19</v>
      </c>
    </row>
    <row r="50" spans="1:6" x14ac:dyDescent="0.2">
      <c r="A50" s="19">
        <v>15</v>
      </c>
      <c r="B50" s="177" t="s">
        <v>13</v>
      </c>
      <c r="C50" s="178"/>
      <c r="D50" s="14">
        <f>IF(F3="1",SUMIF(Data!A:A,'46'!$A$2,Data!DI:DI),0)</f>
        <v>0</v>
      </c>
      <c r="E50" s="17">
        <f>IF($F$3="1",SUMIF(Data!$A:$A,$A$2,Data!JC:JC),0)</f>
        <v>0</v>
      </c>
      <c r="F50" s="21" t="str">
        <f t="shared" si="3"/>
        <v/>
      </c>
    </row>
    <row r="51" spans="1:6" x14ac:dyDescent="0.2">
      <c r="A51" s="19">
        <v>16</v>
      </c>
      <c r="B51" s="177" t="s">
        <v>14</v>
      </c>
      <c r="C51" s="178"/>
      <c r="D51" s="14">
        <f>IF(F3="1",SUMIF(Data!A:A,'46'!$A$2,Data!DJ:DJ),0)</f>
        <v>129288</v>
      </c>
      <c r="E51" s="17">
        <f>IF($F$3="1",SUMIF(Data!$A:$A,$A$2,Data!JD:JD),0)</f>
        <v>24264</v>
      </c>
      <c r="F51" s="21">
        <f t="shared" si="3"/>
        <v>0.19</v>
      </c>
    </row>
    <row r="52" spans="1:6" x14ac:dyDescent="0.2">
      <c r="A52" s="19">
        <v>17</v>
      </c>
      <c r="B52" s="177" t="s">
        <v>15</v>
      </c>
      <c r="C52" s="178"/>
      <c r="D52" s="14">
        <f>IF(F3="1",SUMIF(Data!A:A,'46'!$A$2,Data!DK:DK),0)</f>
        <v>0</v>
      </c>
      <c r="E52" s="17">
        <f>IF($F$3="1",SUMIF(Data!$A:$A,$A$2,Data!JE:JE),0)</f>
        <v>0</v>
      </c>
      <c r="F52" s="21" t="str">
        <f t="shared" si="3"/>
        <v/>
      </c>
    </row>
    <row r="53" spans="1:6" x14ac:dyDescent="0.2">
      <c r="A53" s="19">
        <v>18</v>
      </c>
      <c r="B53" s="177" t="s">
        <v>16</v>
      </c>
      <c r="C53" s="178"/>
      <c r="D53" s="14">
        <f>IF(F3="1",SUMIF(Data!A:A,'46'!$A$2,Data!DL:DL),0)</f>
        <v>130352</v>
      </c>
      <c r="E53" s="17">
        <f>IF($F$3="1",SUMIF(Data!$A:$A,$A$2,Data!JF:JF),0)</f>
        <v>29536</v>
      </c>
      <c r="F53" s="21">
        <f t="shared" si="3"/>
        <v>0.23</v>
      </c>
    </row>
    <row r="54" spans="1:6" x14ac:dyDescent="0.2">
      <c r="A54" s="19">
        <v>19</v>
      </c>
      <c r="B54" s="177" t="s">
        <v>17</v>
      </c>
      <c r="C54" s="178"/>
      <c r="D54" s="14">
        <f>IF(F3="1",SUMIF(Data!A:A,'46'!$A$2,Data!DM:DM),0)</f>
        <v>72592</v>
      </c>
      <c r="E54" s="17">
        <f>IF($F$3="1",SUMIF(Data!$A:$A,$A$2,Data!JG:JG),0)</f>
        <v>6058</v>
      </c>
      <c r="F54" s="21">
        <f t="shared" si="3"/>
        <v>0.08</v>
      </c>
    </row>
    <row r="55" spans="1:6" x14ac:dyDescent="0.2">
      <c r="A55" s="19">
        <v>20</v>
      </c>
      <c r="B55" s="177" t="s">
        <v>18</v>
      </c>
      <c r="C55" s="178"/>
      <c r="D55" s="14">
        <f>IF(F3="1",SUMIF(Data!A:A,'46'!$A$2,Data!DN:DN),0)</f>
        <v>8592</v>
      </c>
      <c r="E55" s="17">
        <f>IF($F$3="1",SUMIF(Data!$A:$A,$A$2,Data!JH:JH),0)</f>
        <v>10284</v>
      </c>
      <c r="F55" s="21">
        <f t="shared" si="3"/>
        <v>1.2</v>
      </c>
    </row>
    <row r="56" spans="1:6" ht="14.25" customHeight="1" x14ac:dyDescent="0.2">
      <c r="A56" s="19">
        <v>21</v>
      </c>
      <c r="B56" s="177" t="s">
        <v>461</v>
      </c>
      <c r="C56" s="178"/>
      <c r="D56" s="14">
        <f>IF(F3="1",SUMIF(Data!A:A,'46'!$A$2,Data!DO:DO),0)</f>
        <v>0</v>
      </c>
      <c r="E56" s="17">
        <f>IF($F$3="1",SUMIF(Data!$A:$A,$A$2,Data!JI:JI),0)</f>
        <v>0</v>
      </c>
      <c r="F56" s="21" t="str">
        <f t="shared" si="3"/>
        <v/>
      </c>
    </row>
    <row r="57" spans="1:6" x14ac:dyDescent="0.2">
      <c r="A57" s="19">
        <v>22</v>
      </c>
      <c r="B57" s="177" t="s">
        <v>19</v>
      </c>
      <c r="C57" s="178"/>
      <c r="D57" s="14">
        <f>IF(F3="1",SUMIF(Data!A:A,'46'!$A$2,Data!DP:DP),0)</f>
        <v>9856</v>
      </c>
      <c r="E57" s="17">
        <f>IF($F$3="1",SUMIF(Data!$A:$A,$A$2,Data!JJ:JJ),0)</f>
        <v>110</v>
      </c>
      <c r="F57" s="21">
        <f t="shared" si="3"/>
        <v>0.01</v>
      </c>
    </row>
    <row r="58" spans="1:6" x14ac:dyDescent="0.2">
      <c r="A58" s="19">
        <v>23</v>
      </c>
      <c r="B58" s="177" t="s">
        <v>20</v>
      </c>
      <c r="C58" s="178"/>
      <c r="D58" s="14">
        <f>IF(F3="1",SUMIF(Data!A:A,'46'!$A$2,Data!DQ:DQ),0)</f>
        <v>18310</v>
      </c>
      <c r="E58" s="17">
        <f>IF($F$3="1",SUMIF(Data!$A:$A,$A$2,Data!JK:JK),0)</f>
        <v>3453</v>
      </c>
      <c r="F58" s="21">
        <f t="shared" si="3"/>
        <v>0.19</v>
      </c>
    </row>
    <row r="59" spans="1:6" x14ac:dyDescent="0.2">
      <c r="A59" s="19">
        <v>24</v>
      </c>
      <c r="B59" s="177" t="s">
        <v>21</v>
      </c>
      <c r="C59" s="178"/>
      <c r="D59" s="14">
        <f>IF(F3="1",SUMIF(Data!A:A,'46'!$A$2,Data!DR:DR),0)</f>
        <v>106685</v>
      </c>
      <c r="E59" s="17">
        <f>IF($F$3="1",SUMIF(Data!$A:$A,$A$2,Data!JL:JL),0)</f>
        <v>41681</v>
      </c>
      <c r="F59" s="21">
        <f t="shared" si="3"/>
        <v>0.39</v>
      </c>
    </row>
    <row r="60" spans="1:6" x14ac:dyDescent="0.2">
      <c r="A60" s="19">
        <v>25</v>
      </c>
      <c r="B60" s="177" t="s">
        <v>22</v>
      </c>
      <c r="C60" s="178"/>
      <c r="D60" s="14">
        <f>IF(F3="1",SUMIF(Data!A:A,'46'!$A$2,Data!DS:DS),0)</f>
        <v>113994</v>
      </c>
      <c r="E60" s="17">
        <f>IF($F$3="1",SUMIF(Data!$A:$A,$A$2,Data!JM:JM),0)</f>
        <v>12062</v>
      </c>
      <c r="F60" s="21">
        <f t="shared" si="3"/>
        <v>0.11</v>
      </c>
    </row>
    <row r="61" spans="1:6" x14ac:dyDescent="0.2">
      <c r="A61" s="19">
        <v>26</v>
      </c>
      <c r="B61" s="177" t="s">
        <v>23</v>
      </c>
      <c r="C61" s="178"/>
      <c r="D61" s="14">
        <f>IF(F3="1",SUMIF(Data!A:A,'46'!$A$2,Data!DT:DT),0)</f>
        <v>21248</v>
      </c>
      <c r="E61" s="17">
        <f>IF($F$3="1",SUMIF(Data!$A:$A,$A$2,Data!JN:JN),0)</f>
        <v>5644</v>
      </c>
      <c r="F61" s="21">
        <f t="shared" si="3"/>
        <v>0.27</v>
      </c>
    </row>
    <row r="62" spans="1:6" x14ac:dyDescent="0.2">
      <c r="A62" s="19">
        <v>28</v>
      </c>
      <c r="B62" s="177" t="s">
        <v>24</v>
      </c>
      <c r="C62" s="178"/>
      <c r="D62" s="14">
        <f>IF(F3="1",SUMIF(Data!A:A,'46'!$A$2,Data!DV:DV),0)</f>
        <v>0</v>
      </c>
      <c r="E62" s="17">
        <f>IF($F$3="1",SUMIF(Data!$A:$A,$A$2,Data!JP:JP),0)</f>
        <v>0</v>
      </c>
      <c r="F62" s="21" t="str">
        <f t="shared" si="3"/>
        <v/>
      </c>
    </row>
    <row r="63" spans="1:6" ht="15.75" customHeight="1" thickBot="1" x14ac:dyDescent="0.25">
      <c r="A63" s="22">
        <v>29</v>
      </c>
      <c r="B63" s="179" t="s">
        <v>25</v>
      </c>
      <c r="C63" s="180"/>
      <c r="D63" s="23">
        <f>IF(F3="1",SUMIF(Data!A:A,'46'!$A$2,Data!DW:DW),0)</f>
        <v>0</v>
      </c>
      <c r="E63" s="24">
        <f>IF($F$3="1",SUMIF(Data!$A:$A,$A$2,Data!JQ:JQ),0)</f>
        <v>0</v>
      </c>
      <c r="F63" s="25" t="str">
        <f t="shared" si="3"/>
        <v/>
      </c>
    </row>
    <row r="64" spans="1:6" x14ac:dyDescent="0.2">
      <c r="B64" s="30" t="s">
        <v>35</v>
      </c>
      <c r="C64" s="30"/>
      <c r="D64" s="59">
        <f>SUM(D36:D63)</f>
        <v>1354739</v>
      </c>
      <c r="E64" s="31">
        <f>SUM(E36:E63)</f>
        <v>459689</v>
      </c>
      <c r="F64" s="32">
        <f t="shared" si="3"/>
        <v>0.34</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13728</v>
      </c>
      <c r="E67" s="15">
        <f>IF(F3="1",SUMIF(Data!A:A,'46'!$A$2,Data!DY:DY),0)</f>
        <v>42513</v>
      </c>
      <c r="F67" s="20">
        <f t="shared" ref="F67:F95" si="4">IF(OR(D67=0,E67=0),"",ROUND(E67/D67,2))</f>
        <v>3.1</v>
      </c>
    </row>
    <row r="68" spans="1:6" x14ac:dyDescent="0.2">
      <c r="A68" s="19">
        <v>2</v>
      </c>
      <c r="B68" s="177" t="s">
        <v>1</v>
      </c>
      <c r="C68" s="178"/>
      <c r="D68" s="14">
        <f t="shared" ref="D68:D94" si="5">D37</f>
        <v>69902</v>
      </c>
      <c r="E68" s="17">
        <f>IF(F3="1",SUMIF(Data!A:A,'46'!$A$2,Data!DZ:DZ),0)</f>
        <v>210394</v>
      </c>
      <c r="F68" s="21">
        <f t="shared" si="4"/>
        <v>3.01</v>
      </c>
    </row>
    <row r="69" spans="1:6" ht="14.25" customHeight="1" x14ac:dyDescent="0.2">
      <c r="A69" s="19">
        <v>3</v>
      </c>
      <c r="B69" s="177" t="s">
        <v>2</v>
      </c>
      <c r="C69" s="178"/>
      <c r="D69" s="14">
        <f t="shared" si="5"/>
        <v>83312</v>
      </c>
      <c r="E69" s="17">
        <f>IF(F3="1",SUMIF(Data!A:A,'46'!$A$2,Data!EA:EA),0)</f>
        <v>132126</v>
      </c>
      <c r="F69" s="21">
        <f t="shared" si="4"/>
        <v>1.59</v>
      </c>
    </row>
    <row r="70" spans="1:6" ht="14.25" customHeight="1" x14ac:dyDescent="0.2">
      <c r="A70" s="19">
        <v>4</v>
      </c>
      <c r="B70" s="177" t="s">
        <v>3</v>
      </c>
      <c r="C70" s="178"/>
      <c r="D70" s="14">
        <f t="shared" si="5"/>
        <v>138042</v>
      </c>
      <c r="E70" s="17">
        <f>IF(F3="1",SUMIF(Data!A:A,'46'!$A$2,Data!EB:EB),0)</f>
        <v>322138</v>
      </c>
      <c r="F70" s="21">
        <f t="shared" si="4"/>
        <v>2.33</v>
      </c>
    </row>
    <row r="71" spans="1:6" x14ac:dyDescent="0.2">
      <c r="A71" s="19">
        <v>5</v>
      </c>
      <c r="B71" s="177" t="s">
        <v>4</v>
      </c>
      <c r="C71" s="178"/>
      <c r="D71" s="14">
        <f t="shared" si="5"/>
        <v>0</v>
      </c>
      <c r="E71" s="17">
        <f>IF(F3="1",SUMIF(Data!A:A,'46'!$A$2,Data!EC:EC),0)</f>
        <v>0</v>
      </c>
      <c r="F71" s="21" t="str">
        <f t="shared" si="4"/>
        <v/>
      </c>
    </row>
    <row r="72" spans="1:6" x14ac:dyDescent="0.2">
      <c r="A72" s="19">
        <v>6</v>
      </c>
      <c r="B72" s="177" t="s">
        <v>5</v>
      </c>
      <c r="C72" s="178"/>
      <c r="D72" s="14">
        <f t="shared" si="5"/>
        <v>2912</v>
      </c>
      <c r="E72" s="17">
        <f>IF(F3="1",SUMIF(Data!A:A,'46'!$A$2,Data!ED:ED),0)</f>
        <v>15532</v>
      </c>
      <c r="F72" s="21">
        <f t="shared" si="4"/>
        <v>5.33</v>
      </c>
    </row>
    <row r="73" spans="1:6" x14ac:dyDescent="0.2">
      <c r="A73" s="19">
        <v>7</v>
      </c>
      <c r="B73" s="177" t="s">
        <v>6</v>
      </c>
      <c r="C73" s="178"/>
      <c r="D73" s="14">
        <f t="shared" si="5"/>
        <v>71685</v>
      </c>
      <c r="E73" s="17">
        <f>IF(F3="1",SUMIF(Data!A:A,'46'!$A$2,Data!EE:EE),0)</f>
        <v>122108</v>
      </c>
      <c r="F73" s="21">
        <f t="shared" si="4"/>
        <v>1.7</v>
      </c>
    </row>
    <row r="74" spans="1:6" x14ac:dyDescent="0.2">
      <c r="A74" s="19">
        <v>8</v>
      </c>
      <c r="B74" s="177" t="s">
        <v>7</v>
      </c>
      <c r="C74" s="178"/>
      <c r="D74" s="14">
        <f t="shared" si="5"/>
        <v>0</v>
      </c>
      <c r="E74" s="17">
        <f>IF(F3="1",SUMIF(Data!A:A,'46'!$A$2,Data!EF:EF),0)</f>
        <v>0</v>
      </c>
      <c r="F74" s="21" t="str">
        <f t="shared" si="4"/>
        <v/>
      </c>
    </row>
    <row r="75" spans="1:6" x14ac:dyDescent="0.2">
      <c r="A75" s="19">
        <v>9</v>
      </c>
      <c r="B75" s="177" t="s">
        <v>8</v>
      </c>
      <c r="C75" s="178"/>
      <c r="D75" s="14">
        <f t="shared" si="5"/>
        <v>92770</v>
      </c>
      <c r="E75" s="17">
        <f>IF(F3="1",SUMIF(Data!A:A,'46'!$A$2,Data!EG:EG),0)</f>
        <v>176186</v>
      </c>
      <c r="F75" s="21">
        <f t="shared" si="4"/>
        <v>1.9</v>
      </c>
    </row>
    <row r="76" spans="1:6" x14ac:dyDescent="0.2">
      <c r="A76" s="19">
        <v>10</v>
      </c>
      <c r="B76" s="177" t="s">
        <v>9</v>
      </c>
      <c r="C76" s="178"/>
      <c r="D76" s="14">
        <f t="shared" si="5"/>
        <v>0</v>
      </c>
      <c r="E76" s="17">
        <f>IF(F3="1",SUMIF(Data!A:A,'46'!$A$2,Data!EH:EH),0)</f>
        <v>0</v>
      </c>
      <c r="F76" s="21" t="str">
        <f t="shared" si="4"/>
        <v/>
      </c>
    </row>
    <row r="77" spans="1:6" x14ac:dyDescent="0.2">
      <c r="A77" s="19">
        <v>11</v>
      </c>
      <c r="B77" s="177" t="s">
        <v>10</v>
      </c>
      <c r="C77" s="178"/>
      <c r="D77" s="14">
        <f t="shared" si="5"/>
        <v>34600</v>
      </c>
      <c r="E77" s="17">
        <f>IF(F3="1",SUMIF(Data!A:A,'46'!$A$2,Data!EI:EI),0)</f>
        <v>71439</v>
      </c>
      <c r="F77" s="21">
        <f t="shared" si="4"/>
        <v>2.06</v>
      </c>
    </row>
    <row r="78" spans="1:6" ht="14.25" customHeight="1" x14ac:dyDescent="0.2">
      <c r="A78" s="19">
        <v>12</v>
      </c>
      <c r="B78" s="177" t="s">
        <v>11</v>
      </c>
      <c r="C78" s="178"/>
      <c r="D78" s="14">
        <f t="shared" si="5"/>
        <v>120320</v>
      </c>
      <c r="E78" s="17">
        <f>IF(F3="1",SUMIF(Data!A:A,'46'!$A$2,Data!EJ:EJ),0)</f>
        <v>300689</v>
      </c>
      <c r="F78" s="21">
        <f t="shared" si="4"/>
        <v>2.5</v>
      </c>
    </row>
    <row r="79" spans="1:6" x14ac:dyDescent="0.2">
      <c r="A79" s="19">
        <v>13</v>
      </c>
      <c r="B79" s="177" t="s">
        <v>12</v>
      </c>
      <c r="C79" s="178"/>
      <c r="D79" s="14">
        <f t="shared" si="5"/>
        <v>21984</v>
      </c>
      <c r="E79" s="17">
        <f>IF(F3="1",SUMIF(Data!A:A,'46'!$A$2,Data!EK:EK),0)</f>
        <v>61994</v>
      </c>
      <c r="F79" s="21">
        <f t="shared" si="4"/>
        <v>2.82</v>
      </c>
    </row>
    <row r="80" spans="1:6" ht="14.25" customHeight="1" x14ac:dyDescent="0.2">
      <c r="A80" s="19">
        <v>14</v>
      </c>
      <c r="B80" s="177" t="s">
        <v>464</v>
      </c>
      <c r="C80" s="178"/>
      <c r="D80" s="14">
        <f t="shared" si="5"/>
        <v>94567</v>
      </c>
      <c r="E80" s="17">
        <f>IF(F3="1",SUMIF(Data!A:A,'46'!$A$2,Data!EL:EL),0)</f>
        <v>244486</v>
      </c>
      <c r="F80" s="21">
        <f t="shared" si="4"/>
        <v>2.59</v>
      </c>
    </row>
    <row r="81" spans="1:6" x14ac:dyDescent="0.2">
      <c r="A81" s="19">
        <v>15</v>
      </c>
      <c r="B81" s="177" t="s">
        <v>13</v>
      </c>
      <c r="C81" s="178"/>
      <c r="D81" s="14">
        <f t="shared" si="5"/>
        <v>0</v>
      </c>
      <c r="E81" s="17">
        <f>IF(F3="1",SUMIF(Data!A:A,'46'!$A$2,Data!EM:EM),0)</f>
        <v>0</v>
      </c>
      <c r="F81" s="21" t="str">
        <f t="shared" si="4"/>
        <v/>
      </c>
    </row>
    <row r="82" spans="1:6" x14ac:dyDescent="0.2">
      <c r="A82" s="19">
        <v>16</v>
      </c>
      <c r="B82" s="177" t="s">
        <v>14</v>
      </c>
      <c r="C82" s="178"/>
      <c r="D82" s="14">
        <f t="shared" si="5"/>
        <v>129288</v>
      </c>
      <c r="E82" s="17">
        <f>IF(F3="1",SUMIF(Data!A:A,'46'!$A$2,Data!EN:EN),0)</f>
        <v>114807</v>
      </c>
      <c r="F82" s="21">
        <f t="shared" si="4"/>
        <v>0.89</v>
      </c>
    </row>
    <row r="83" spans="1:6" x14ac:dyDescent="0.2">
      <c r="A83" s="19">
        <v>17</v>
      </c>
      <c r="B83" s="177" t="s">
        <v>15</v>
      </c>
      <c r="C83" s="178"/>
      <c r="D83" s="14">
        <f t="shared" si="5"/>
        <v>0</v>
      </c>
      <c r="E83" s="17">
        <f>IF(F3="1",SUMIF(Data!A:A,'46'!$A$2,Data!EO:EO),0)</f>
        <v>0</v>
      </c>
      <c r="F83" s="21" t="str">
        <f t="shared" si="4"/>
        <v/>
      </c>
    </row>
    <row r="84" spans="1:6" x14ac:dyDescent="0.2">
      <c r="A84" s="19">
        <v>18</v>
      </c>
      <c r="B84" s="177" t="s">
        <v>16</v>
      </c>
      <c r="C84" s="178"/>
      <c r="D84" s="14">
        <f t="shared" si="5"/>
        <v>130352</v>
      </c>
      <c r="E84" s="17">
        <f>IF(F3="1",SUMIF(Data!A:A,'46'!$A$2,Data!EP:EP),0)</f>
        <v>518616</v>
      </c>
      <c r="F84" s="21">
        <f t="shared" si="4"/>
        <v>3.98</v>
      </c>
    </row>
    <row r="85" spans="1:6" x14ac:dyDescent="0.2">
      <c r="A85" s="19">
        <v>19</v>
      </c>
      <c r="B85" s="177" t="s">
        <v>17</v>
      </c>
      <c r="C85" s="178"/>
      <c r="D85" s="14">
        <f t="shared" si="5"/>
        <v>72592</v>
      </c>
      <c r="E85" s="17">
        <f>IF(F3="1",SUMIF(Data!A:A,'46'!$A$2,Data!EQ:EQ),0)</f>
        <v>196403</v>
      </c>
      <c r="F85" s="21">
        <f t="shared" si="4"/>
        <v>2.71</v>
      </c>
    </row>
    <row r="86" spans="1:6" x14ac:dyDescent="0.2">
      <c r="A86" s="19">
        <v>20</v>
      </c>
      <c r="B86" s="177" t="s">
        <v>18</v>
      </c>
      <c r="C86" s="178"/>
      <c r="D86" s="14">
        <f t="shared" si="5"/>
        <v>8592</v>
      </c>
      <c r="E86" s="17">
        <f>IF(F3="1",SUMIF(Data!A:A,'46'!$A$2,Data!ER:ER),0)</f>
        <v>64816</v>
      </c>
      <c r="F86" s="21">
        <f t="shared" si="4"/>
        <v>7.54</v>
      </c>
    </row>
    <row r="87" spans="1:6" ht="14.25" customHeight="1" x14ac:dyDescent="0.2">
      <c r="A87" s="19">
        <v>21</v>
      </c>
      <c r="B87" s="177" t="s">
        <v>461</v>
      </c>
      <c r="C87" s="178"/>
      <c r="D87" s="14">
        <f t="shared" si="5"/>
        <v>0</v>
      </c>
      <c r="E87" s="17">
        <f>IF(F3="1",SUMIF(Data!A:A,'46'!$A$2,Data!ES:ES),0)</f>
        <v>0</v>
      </c>
      <c r="F87" s="21" t="str">
        <f t="shared" si="4"/>
        <v/>
      </c>
    </row>
    <row r="88" spans="1:6" x14ac:dyDescent="0.2">
      <c r="A88" s="19">
        <v>22</v>
      </c>
      <c r="B88" s="177" t="s">
        <v>19</v>
      </c>
      <c r="C88" s="178"/>
      <c r="D88" s="14">
        <f t="shared" si="5"/>
        <v>9856</v>
      </c>
      <c r="E88" s="17">
        <f>IF(F3="1",SUMIF(Data!A:A,'46'!$A$2,Data!ET:ET),0)</f>
        <v>2800</v>
      </c>
      <c r="F88" s="21">
        <f t="shared" si="4"/>
        <v>0.28000000000000003</v>
      </c>
    </row>
    <row r="89" spans="1:6" x14ac:dyDescent="0.2">
      <c r="A89" s="19">
        <v>23</v>
      </c>
      <c r="B89" s="177" t="s">
        <v>20</v>
      </c>
      <c r="C89" s="178"/>
      <c r="D89" s="14">
        <f t="shared" si="5"/>
        <v>18310</v>
      </c>
      <c r="E89" s="17">
        <f>IF(F3="1",SUMIF(Data!A:A,'46'!$A$2,Data!EU:EU),0)</f>
        <v>54492</v>
      </c>
      <c r="F89" s="21">
        <f t="shared" si="4"/>
        <v>2.98</v>
      </c>
    </row>
    <row r="90" spans="1:6" x14ac:dyDescent="0.2">
      <c r="A90" s="19">
        <v>24</v>
      </c>
      <c r="B90" s="177" t="s">
        <v>21</v>
      </c>
      <c r="C90" s="178"/>
      <c r="D90" s="14">
        <f t="shared" si="5"/>
        <v>106685</v>
      </c>
      <c r="E90" s="17">
        <f>IF(F3="1",SUMIF(Data!A:A,'46'!$A$2,Data!EV:EV),0)</f>
        <v>218904</v>
      </c>
      <c r="F90" s="21">
        <f t="shared" si="4"/>
        <v>2.0499999999999998</v>
      </c>
    </row>
    <row r="91" spans="1:6" x14ac:dyDescent="0.2">
      <c r="A91" s="19">
        <v>25</v>
      </c>
      <c r="B91" s="177" t="s">
        <v>22</v>
      </c>
      <c r="C91" s="178"/>
      <c r="D91" s="14">
        <f t="shared" si="5"/>
        <v>113994</v>
      </c>
      <c r="E91" s="17">
        <f>IF(F3="1",SUMIF(Data!A:A,'46'!$A$2,Data!EW:EW),0)</f>
        <v>196348</v>
      </c>
      <c r="F91" s="21">
        <f t="shared" si="4"/>
        <v>1.72</v>
      </c>
    </row>
    <row r="92" spans="1:6" x14ac:dyDescent="0.2">
      <c r="A92" s="19">
        <v>26</v>
      </c>
      <c r="B92" s="177" t="s">
        <v>23</v>
      </c>
      <c r="C92" s="178"/>
      <c r="D92" s="14">
        <f t="shared" si="5"/>
        <v>21248</v>
      </c>
      <c r="E92" s="17">
        <f>IF(F3="1",SUMIF(Data!A:A,'46'!$A$2,Data!EX:EX),0)</f>
        <v>78024</v>
      </c>
      <c r="F92" s="21">
        <f t="shared" si="4"/>
        <v>3.67</v>
      </c>
    </row>
    <row r="93" spans="1:6" x14ac:dyDescent="0.2">
      <c r="A93" s="19">
        <v>28</v>
      </c>
      <c r="B93" s="177" t="s">
        <v>24</v>
      </c>
      <c r="C93" s="178"/>
      <c r="D93" s="14">
        <f t="shared" si="5"/>
        <v>0</v>
      </c>
      <c r="E93" s="17">
        <f>IF(F3="1",SUMIF(Data!A:A,'46'!$A$2,Data!EZ:EZ),0)</f>
        <v>0</v>
      </c>
      <c r="F93" s="21" t="str">
        <f t="shared" si="4"/>
        <v/>
      </c>
    </row>
    <row r="94" spans="1:6" ht="15.75" customHeight="1" thickBot="1" x14ac:dyDescent="0.25">
      <c r="A94" s="22">
        <v>29</v>
      </c>
      <c r="B94" s="179" t="s">
        <v>25</v>
      </c>
      <c r="C94" s="180"/>
      <c r="D94" s="23">
        <f t="shared" si="5"/>
        <v>0</v>
      </c>
      <c r="E94" s="24">
        <f>IF(F3="1",SUMIF(Data!A:A,'46'!$A$2,Data!FA:FA),0)</f>
        <v>0</v>
      </c>
      <c r="F94" s="25" t="str">
        <f t="shared" si="4"/>
        <v/>
      </c>
    </row>
    <row r="95" spans="1:6" x14ac:dyDescent="0.2">
      <c r="B95" s="30" t="s">
        <v>35</v>
      </c>
      <c r="C95" s="30"/>
      <c r="D95" s="59">
        <f>SUM(D67:D94)</f>
        <v>1354739</v>
      </c>
      <c r="E95" s="31">
        <f>SUM(E67:E94)</f>
        <v>3144815</v>
      </c>
      <c r="F95" s="32">
        <f t="shared" si="4"/>
        <v>2.3199999999999998</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IF(F3="1",SUMIF(Data!A:A,'46'!$A$2,Data!AH:AH),0)</f>
        <v>1255031</v>
      </c>
      <c r="F98" s="20">
        <f>IF(OR(E98=0,E98=0),"",ROUND(E98/$D$105,2))</f>
        <v>0.93</v>
      </c>
    </row>
    <row r="99" spans="2:6" x14ac:dyDescent="0.2">
      <c r="B99" s="183" t="s">
        <v>31</v>
      </c>
      <c r="C99" s="184"/>
      <c r="D99" s="36"/>
      <c r="E99" s="17">
        <f>IF(F3="1",SUMIF(Data!A:A,'46'!$A$2,Data!AI:AI),0)</f>
        <v>677165</v>
      </c>
      <c r="F99" s="21">
        <f t="shared" ref="F99:F104" si="6">IF(OR(E99=0,E99=0),"",ROUND(E99/$D$105,2))</f>
        <v>0.5</v>
      </c>
    </row>
    <row r="100" spans="2:6" x14ac:dyDescent="0.2">
      <c r="B100" s="183" t="s">
        <v>1078</v>
      </c>
      <c r="C100" s="184"/>
      <c r="D100" s="36"/>
      <c r="E100" s="17">
        <f>IF(F3="1",SUMIF(Data!A:A,'46'!$A$2,Data!AJ:AJ),0)</f>
        <v>291829</v>
      </c>
      <c r="F100" s="21">
        <f t="shared" si="6"/>
        <v>0.22</v>
      </c>
    </row>
    <row r="101" spans="2:6" x14ac:dyDescent="0.2">
      <c r="B101" s="183" t="s">
        <v>1079</v>
      </c>
      <c r="C101" s="184"/>
      <c r="D101" s="36"/>
      <c r="E101" s="17">
        <f>IF(F3="1",SUMIF(Data!A:A,'46'!$A$2,Data!AK:AK),0)</f>
        <v>884385</v>
      </c>
      <c r="F101" s="21">
        <f t="shared" si="6"/>
        <v>0.65</v>
      </c>
    </row>
    <row r="102" spans="2:6" x14ac:dyDescent="0.2">
      <c r="B102" s="183" t="s">
        <v>1080</v>
      </c>
      <c r="C102" s="184"/>
      <c r="D102" s="36"/>
      <c r="E102" s="17">
        <f>IF(F3="1",SUMIF(Data!A:A,'46'!$A$2,Data!AL:AL),0)</f>
        <v>25716</v>
      </c>
      <c r="F102" s="21">
        <f t="shared" si="6"/>
        <v>0.02</v>
      </c>
    </row>
    <row r="103" spans="2:6" x14ac:dyDescent="0.2">
      <c r="B103" s="185" t="s">
        <v>34</v>
      </c>
      <c r="C103" s="186"/>
      <c r="D103" s="36"/>
      <c r="E103" s="17">
        <f>IF(F3="1",SUMIF(Data!A:A,'46'!$A$2,Data!AM:AM),0)</f>
        <v>0</v>
      </c>
      <c r="F103" s="21" t="str">
        <f t="shared" si="6"/>
        <v/>
      </c>
    </row>
    <row r="104" spans="2:6" ht="15.75" customHeight="1" thickBot="1" x14ac:dyDescent="0.25">
      <c r="B104" s="175" t="s">
        <v>29</v>
      </c>
      <c r="C104" s="176"/>
      <c r="D104" s="37"/>
      <c r="E104" s="24">
        <f>IF(F3="1",SUMIF(Data!A:A,'46'!$A$2,Data!Q:Q),0)</f>
        <v>290101</v>
      </c>
      <c r="F104" s="25">
        <f t="shared" si="6"/>
        <v>0.21</v>
      </c>
    </row>
    <row r="105" spans="2:6" x14ac:dyDescent="0.2">
      <c r="B105" s="30" t="s">
        <v>35</v>
      </c>
      <c r="C105" s="30"/>
      <c r="D105" s="34">
        <f>D95</f>
        <v>1354739</v>
      </c>
      <c r="E105" s="31">
        <f>SUM(E98:E104)</f>
        <v>3424227</v>
      </c>
      <c r="F105" s="32">
        <f>IF($D$105=0,"",ROUND(E105/$D$105,2))</f>
        <v>2.5299999999999998</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3144815</v>
      </c>
      <c r="D109" s="15">
        <f>IF(F3="1",SUMIF(Data!$A:$A,$A$2,Data!HJ:HJ),0)</f>
        <v>0</v>
      </c>
      <c r="E109" s="15">
        <f>IF(F3="1",SUMIF(Data!$A:$A,$A$2,Data!IN:IN),0)</f>
        <v>0</v>
      </c>
      <c r="F109" s="47">
        <f>SUM(C109:E109)</f>
        <v>3144815</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25716</v>
      </c>
      <c r="F116" s="48">
        <f t="shared" si="7"/>
        <v>25716</v>
      </c>
    </row>
    <row r="117" spans="1:6" ht="15" thickBot="1" x14ac:dyDescent="0.25">
      <c r="B117" s="43" t="s">
        <v>933</v>
      </c>
      <c r="C117" s="52"/>
      <c r="D117" s="52">
        <f>IF(F3="1",SUMIF(Data!A:A,$A$2,Data!Q:Q),0)</f>
        <v>290101</v>
      </c>
      <c r="E117" s="52"/>
      <c r="F117" s="49">
        <f>SUM(C117:E117)</f>
        <v>290101</v>
      </c>
    </row>
    <row r="118" spans="1:6" x14ac:dyDescent="0.2">
      <c r="B118" s="13" t="s">
        <v>35</v>
      </c>
      <c r="C118" s="4">
        <f>SUM(C109:C116)</f>
        <v>3144815</v>
      </c>
      <c r="D118" s="4">
        <f>SUM(D109:D116)</f>
        <v>0</v>
      </c>
      <c r="E118" s="4">
        <f>SUM(E109:E116)</f>
        <v>25716</v>
      </c>
      <c r="F118" s="4">
        <f>SUM(F109:F116)</f>
        <v>3170531</v>
      </c>
    </row>
    <row r="119" spans="1:6" ht="15" thickBot="1" x14ac:dyDescent="0.25"/>
    <row r="120" spans="1:6" ht="15" thickBot="1" x14ac:dyDescent="0.25">
      <c r="B120" s="55" t="s">
        <v>934</v>
      </c>
      <c r="C120" s="53"/>
      <c r="D120" s="53"/>
      <c r="E120" s="53">
        <f>IF(F3="1",SUMIF(Data!A:A,'46'!$A$2,Data!AM:AM),0)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3" width="12.42578125" style="10" bestFit="1" customWidth="1"/>
    <col min="14"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413</v>
      </c>
      <c r="B2" s="58" t="str">
        <f>VLOOKUP(A2,Data!A:G,7,0)</f>
        <v>Victoria College, The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2880</v>
      </c>
      <c r="E5" s="15">
        <f>E36+E67+IFERROR($E$105/$D$105*D5,0)</f>
        <v>18042.230090792291</v>
      </c>
      <c r="F5" s="20">
        <f>IF(OR(D5=0,E5=0),"",ROUND(E5/D5,2))</f>
        <v>6.26</v>
      </c>
    </row>
    <row r="6" spans="1:6" x14ac:dyDescent="0.2">
      <c r="A6" s="19">
        <v>2</v>
      </c>
      <c r="B6" s="177" t="s">
        <v>1</v>
      </c>
      <c r="C6" s="178"/>
      <c r="D6" s="14">
        <f t="shared" ref="D6:D32" si="0">D37</f>
        <v>56171</v>
      </c>
      <c r="E6" s="17">
        <f t="shared" ref="E6:E32" si="1">E37+E68+IFERROR($E$105/$D$105*D6,0)</f>
        <v>355520.52966315753</v>
      </c>
      <c r="F6" s="21">
        <f t="shared" ref="F6:F33" si="2">IF(OR(D6=0,E6=0),"",ROUND(E6/D6,2))</f>
        <v>6.33</v>
      </c>
    </row>
    <row r="7" spans="1:6" ht="14.25" customHeight="1" x14ac:dyDescent="0.2">
      <c r="A7" s="19">
        <v>3</v>
      </c>
      <c r="B7" s="177" t="s">
        <v>2</v>
      </c>
      <c r="C7" s="178"/>
      <c r="D7" s="14">
        <f t="shared" si="0"/>
        <v>208208</v>
      </c>
      <c r="E7" s="17">
        <f t="shared" si="1"/>
        <v>1304378.8731748892</v>
      </c>
      <c r="F7" s="21">
        <f t="shared" si="2"/>
        <v>6.26</v>
      </c>
    </row>
    <row r="8" spans="1:6" ht="14.25" customHeight="1" x14ac:dyDescent="0.2">
      <c r="A8" s="19">
        <v>4</v>
      </c>
      <c r="B8" s="177" t="s">
        <v>3</v>
      </c>
      <c r="C8" s="178"/>
      <c r="D8" s="14">
        <f t="shared" si="0"/>
        <v>143057</v>
      </c>
      <c r="E8" s="17">
        <f t="shared" si="1"/>
        <v>784521.32746474748</v>
      </c>
      <c r="F8" s="21">
        <f t="shared" si="2"/>
        <v>5.48</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0</v>
      </c>
      <c r="E10" s="17">
        <f t="shared" si="1"/>
        <v>0</v>
      </c>
      <c r="F10" s="21" t="str">
        <f t="shared" si="2"/>
        <v/>
      </c>
    </row>
    <row r="11" spans="1:6" x14ac:dyDescent="0.2">
      <c r="A11" s="19">
        <v>7</v>
      </c>
      <c r="B11" s="177" t="s">
        <v>6</v>
      </c>
      <c r="C11" s="178"/>
      <c r="D11" s="14">
        <f t="shared" si="0"/>
        <v>94662</v>
      </c>
      <c r="E11" s="17">
        <f t="shared" si="1"/>
        <v>675462.11904672906</v>
      </c>
      <c r="F11" s="21">
        <f t="shared" si="2"/>
        <v>7.14</v>
      </c>
    </row>
    <row r="12" spans="1:6" x14ac:dyDescent="0.2">
      <c r="A12" s="19">
        <v>8</v>
      </c>
      <c r="B12" s="177" t="s">
        <v>7</v>
      </c>
      <c r="C12" s="178"/>
      <c r="D12" s="14">
        <f t="shared" si="0"/>
        <v>27616</v>
      </c>
      <c r="E12" s="17">
        <f t="shared" si="1"/>
        <v>197714.6840928194</v>
      </c>
      <c r="F12" s="21">
        <f t="shared" si="2"/>
        <v>7.16</v>
      </c>
    </row>
    <row r="13" spans="1:6" x14ac:dyDescent="0.2">
      <c r="A13" s="19">
        <v>9</v>
      </c>
      <c r="B13" s="177" t="s">
        <v>8</v>
      </c>
      <c r="C13" s="178"/>
      <c r="D13" s="14">
        <f t="shared" si="0"/>
        <v>16161</v>
      </c>
      <c r="E13" s="17">
        <f t="shared" si="1"/>
        <v>64463.517186560479</v>
      </c>
      <c r="F13" s="21">
        <f t="shared" si="2"/>
        <v>3.99</v>
      </c>
    </row>
    <row r="14" spans="1:6" x14ac:dyDescent="0.2">
      <c r="A14" s="19">
        <v>10</v>
      </c>
      <c r="B14" s="177" t="s">
        <v>9</v>
      </c>
      <c r="C14" s="178"/>
      <c r="D14" s="14">
        <f t="shared" si="0"/>
        <v>0</v>
      </c>
      <c r="E14" s="17">
        <f t="shared" si="1"/>
        <v>0</v>
      </c>
      <c r="F14" s="21" t="str">
        <f t="shared" si="2"/>
        <v/>
      </c>
    </row>
    <row r="15" spans="1:6" x14ac:dyDescent="0.2">
      <c r="A15" s="19">
        <v>11</v>
      </c>
      <c r="B15" s="177" t="s">
        <v>10</v>
      </c>
      <c r="C15" s="178"/>
      <c r="D15" s="14">
        <f t="shared" si="0"/>
        <v>31088</v>
      </c>
      <c r="E15" s="17">
        <f t="shared" si="1"/>
        <v>154317.22259116342</v>
      </c>
      <c r="F15" s="21">
        <f t="shared" si="2"/>
        <v>4.96</v>
      </c>
    </row>
    <row r="16" spans="1:6" ht="14.25" customHeight="1" x14ac:dyDescent="0.2">
      <c r="A16" s="19">
        <v>12</v>
      </c>
      <c r="B16" s="177" t="s">
        <v>11</v>
      </c>
      <c r="C16" s="178"/>
      <c r="D16" s="14">
        <f t="shared" si="0"/>
        <v>219128</v>
      </c>
      <c r="E16" s="17">
        <f t="shared" si="1"/>
        <v>1315745.4539358099</v>
      </c>
      <c r="F16" s="21">
        <f t="shared" si="2"/>
        <v>6</v>
      </c>
    </row>
    <row r="17" spans="1:6" x14ac:dyDescent="0.2">
      <c r="A17" s="19">
        <v>13</v>
      </c>
      <c r="B17" s="177" t="s">
        <v>12</v>
      </c>
      <c r="C17" s="178"/>
      <c r="D17" s="14">
        <f t="shared" si="0"/>
        <v>12928</v>
      </c>
      <c r="E17" s="17">
        <f t="shared" si="1"/>
        <v>89300.410629778722</v>
      </c>
      <c r="F17" s="21">
        <f t="shared" si="2"/>
        <v>6.91</v>
      </c>
    </row>
    <row r="18" spans="1:6" ht="14.25" customHeight="1" x14ac:dyDescent="0.2">
      <c r="A18" s="19">
        <v>14</v>
      </c>
      <c r="B18" s="177" t="s">
        <v>464</v>
      </c>
      <c r="C18" s="178"/>
      <c r="D18" s="14">
        <f t="shared" si="0"/>
        <v>73050</v>
      </c>
      <c r="E18" s="17">
        <f t="shared" si="1"/>
        <v>954703.84657374187</v>
      </c>
      <c r="F18" s="21">
        <f t="shared" si="2"/>
        <v>13.07</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132587</v>
      </c>
      <c r="E20" s="17">
        <f t="shared" si="1"/>
        <v>648861.50140551291</v>
      </c>
      <c r="F20" s="21">
        <f t="shared" si="2"/>
        <v>4.8899999999999997</v>
      </c>
    </row>
    <row r="21" spans="1:6" x14ac:dyDescent="0.2">
      <c r="A21" s="19">
        <v>17</v>
      </c>
      <c r="B21" s="177" t="s">
        <v>15</v>
      </c>
      <c r="C21" s="178"/>
      <c r="D21" s="14">
        <f t="shared" si="0"/>
        <v>28096</v>
      </c>
      <c r="E21" s="17">
        <f t="shared" si="1"/>
        <v>240142.55577461811</v>
      </c>
      <c r="F21" s="21">
        <f t="shared" si="2"/>
        <v>8.5500000000000007</v>
      </c>
    </row>
    <row r="22" spans="1:6" x14ac:dyDescent="0.2">
      <c r="A22" s="19">
        <v>18</v>
      </c>
      <c r="B22" s="177" t="s">
        <v>16</v>
      </c>
      <c r="C22" s="178"/>
      <c r="D22" s="14">
        <f t="shared" si="0"/>
        <v>227566</v>
      </c>
      <c r="E22" s="17">
        <f t="shared" si="1"/>
        <v>1425874.3565420965</v>
      </c>
      <c r="F22" s="21">
        <f t="shared" si="2"/>
        <v>6.27</v>
      </c>
    </row>
    <row r="23" spans="1:6" x14ac:dyDescent="0.2">
      <c r="A23" s="19">
        <v>19</v>
      </c>
      <c r="B23" s="177" t="s">
        <v>17</v>
      </c>
      <c r="C23" s="178"/>
      <c r="D23" s="14">
        <f t="shared" si="0"/>
        <v>148880</v>
      </c>
      <c r="E23" s="17">
        <f t="shared" si="1"/>
        <v>812317.53330456803</v>
      </c>
      <c r="F23" s="21">
        <f t="shared" si="2"/>
        <v>5.46</v>
      </c>
    </row>
    <row r="24" spans="1:6" x14ac:dyDescent="0.2">
      <c r="A24" s="19">
        <v>20</v>
      </c>
      <c r="B24" s="177" t="s">
        <v>18</v>
      </c>
      <c r="C24" s="178"/>
      <c r="D24" s="14">
        <f t="shared" si="0"/>
        <v>1260</v>
      </c>
      <c r="E24" s="17">
        <f t="shared" si="1"/>
        <v>9020.9131647216273</v>
      </c>
      <c r="F24" s="21">
        <f t="shared" si="2"/>
        <v>7.16</v>
      </c>
    </row>
    <row r="25" spans="1:6" ht="14.25" customHeight="1" x14ac:dyDescent="0.2">
      <c r="A25" s="19">
        <v>21</v>
      </c>
      <c r="B25" s="177" t="s">
        <v>461</v>
      </c>
      <c r="C25" s="178"/>
      <c r="D25" s="14">
        <f t="shared" si="0"/>
        <v>1344</v>
      </c>
      <c r="E25" s="17">
        <f t="shared" si="1"/>
        <v>4369.2407090364013</v>
      </c>
      <c r="F25" s="21">
        <f t="shared" si="2"/>
        <v>3.25</v>
      </c>
    </row>
    <row r="26" spans="1:6" x14ac:dyDescent="0.2">
      <c r="A26" s="19">
        <v>22</v>
      </c>
      <c r="B26" s="177" t="s">
        <v>19</v>
      </c>
      <c r="C26" s="178"/>
      <c r="D26" s="14">
        <f t="shared" si="0"/>
        <v>5472</v>
      </c>
      <c r="E26" s="17">
        <f t="shared" si="1"/>
        <v>33499.337172505351</v>
      </c>
      <c r="F26" s="21">
        <f t="shared" si="2"/>
        <v>6.12</v>
      </c>
    </row>
    <row r="27" spans="1:6" x14ac:dyDescent="0.2">
      <c r="A27" s="19">
        <v>23</v>
      </c>
      <c r="B27" s="177" t="s">
        <v>20</v>
      </c>
      <c r="C27" s="178"/>
      <c r="D27" s="14">
        <f t="shared" si="0"/>
        <v>64752</v>
      </c>
      <c r="E27" s="17">
        <f t="shared" si="1"/>
        <v>435721.48987464665</v>
      </c>
      <c r="F27" s="21">
        <f t="shared" si="2"/>
        <v>6.73</v>
      </c>
    </row>
    <row r="28" spans="1:6" x14ac:dyDescent="0.2">
      <c r="A28" s="19">
        <v>24</v>
      </c>
      <c r="B28" s="177" t="s">
        <v>21</v>
      </c>
      <c r="C28" s="178"/>
      <c r="D28" s="14">
        <f t="shared" si="0"/>
        <v>82216</v>
      </c>
      <c r="E28" s="17">
        <f t="shared" si="1"/>
        <v>465430.58789742319</v>
      </c>
      <c r="F28" s="21">
        <f t="shared" si="2"/>
        <v>5.66</v>
      </c>
    </row>
    <row r="29" spans="1:6" x14ac:dyDescent="0.2">
      <c r="A29" s="19">
        <v>25</v>
      </c>
      <c r="B29" s="177" t="s">
        <v>22</v>
      </c>
      <c r="C29" s="178"/>
      <c r="D29" s="14">
        <f t="shared" si="0"/>
        <v>238224</v>
      </c>
      <c r="E29" s="17">
        <f t="shared" si="1"/>
        <v>1282688.9156767023</v>
      </c>
      <c r="F29" s="21">
        <f t="shared" si="2"/>
        <v>5.38</v>
      </c>
    </row>
    <row r="30" spans="1:6" x14ac:dyDescent="0.2">
      <c r="A30" s="19">
        <v>26</v>
      </c>
      <c r="B30" s="177" t="s">
        <v>23</v>
      </c>
      <c r="C30" s="178"/>
      <c r="D30" s="14">
        <f t="shared" si="0"/>
        <v>57280</v>
      </c>
      <c r="E30" s="17">
        <f t="shared" si="1"/>
        <v>439243.35402798001</v>
      </c>
      <c r="F30" s="21">
        <f t="shared" si="2"/>
        <v>7.67</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1872626</v>
      </c>
      <c r="E33" s="31">
        <f>SUM(E5:E32)</f>
        <v>11711340</v>
      </c>
      <c r="F33" s="32">
        <f t="shared" si="2"/>
        <v>6.25</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IF(F3="1",SUMIF(Data!A:A,'47'!$A$2,Data!CU:CU),0)</f>
        <v>2880</v>
      </c>
      <c r="E36" s="15">
        <f>IF(F3="1",SUMIF(Data!$A:$A,$A$2,Data!IO:IO),0)</f>
        <v>2594</v>
      </c>
      <c r="F36" s="20">
        <f t="shared" ref="F36:F64" si="3">IF(OR(D36=0,E36=0),"",ROUND(E36/D36,2))</f>
        <v>0.9</v>
      </c>
    </row>
    <row r="37" spans="1:6" x14ac:dyDescent="0.2">
      <c r="A37" s="19">
        <v>2</v>
      </c>
      <c r="B37" s="177" t="s">
        <v>1</v>
      </c>
      <c r="C37" s="178"/>
      <c r="D37" s="14">
        <f>IF(F3="1",SUMIF(Data!A:A,'47'!$A$2,Data!CV:CV),0)</f>
        <v>56171</v>
      </c>
      <c r="E37" s="17">
        <f>IF(F3="1",SUMIF(Data!$A:$A,$A$2,Data!IP:IP),0)</f>
        <v>49132</v>
      </c>
      <c r="F37" s="21">
        <f t="shared" si="3"/>
        <v>0.87</v>
      </c>
    </row>
    <row r="38" spans="1:6" ht="14.25" customHeight="1" x14ac:dyDescent="0.2">
      <c r="A38" s="19">
        <v>3</v>
      </c>
      <c r="B38" s="177" t="s">
        <v>2</v>
      </c>
      <c r="C38" s="178"/>
      <c r="D38" s="14">
        <f>IF(F3="1",SUMIF(Data!A:A,'47'!$A$2,Data!CW:CW),0)</f>
        <v>208208</v>
      </c>
      <c r="E38" s="17">
        <f>IF($F$3="1",SUMIF(Data!$A:$A,$A$2,Data!IQ:IQ),0)</f>
        <v>187537</v>
      </c>
      <c r="F38" s="21">
        <f t="shared" si="3"/>
        <v>0.9</v>
      </c>
    </row>
    <row r="39" spans="1:6" ht="14.25" customHeight="1" x14ac:dyDescent="0.2">
      <c r="A39" s="19">
        <v>4</v>
      </c>
      <c r="B39" s="177" t="s">
        <v>3</v>
      </c>
      <c r="C39" s="178"/>
      <c r="D39" s="14">
        <f>IF(F3="1",SUMIF(Data!A:A,'47'!$A$2,Data!CX:CX),0)</f>
        <v>143057</v>
      </c>
      <c r="E39" s="17">
        <f>IF($F$3="1",SUMIF(Data!$A:$A,$A$2,Data!IR:IR),0)</f>
        <v>71687</v>
      </c>
      <c r="F39" s="21">
        <f t="shared" si="3"/>
        <v>0.5</v>
      </c>
    </row>
    <row r="40" spans="1:6" x14ac:dyDescent="0.2">
      <c r="A40" s="19">
        <v>5</v>
      </c>
      <c r="B40" s="177" t="s">
        <v>4</v>
      </c>
      <c r="C40" s="178"/>
      <c r="D40" s="14">
        <f>IF(F3="1",SUMIF(Data!A:A,'47'!$A$2,Data!CY:CY),0)</f>
        <v>0</v>
      </c>
      <c r="E40" s="17">
        <f>IF($F$3="1",SUMIF(Data!$A:$A,$A$2,Data!IS:IS),0)</f>
        <v>0</v>
      </c>
      <c r="F40" s="21" t="str">
        <f t="shared" si="3"/>
        <v/>
      </c>
    </row>
    <row r="41" spans="1:6" x14ac:dyDescent="0.2">
      <c r="A41" s="19">
        <v>6</v>
      </c>
      <c r="B41" s="177" t="s">
        <v>5</v>
      </c>
      <c r="C41" s="178"/>
      <c r="D41" s="14">
        <f>IF(F3="1",SUMIF(Data!A:A,'47'!$A$2,Data!CZ:CZ),0)</f>
        <v>0</v>
      </c>
      <c r="E41" s="17">
        <f>IF($F$3="1",SUMIF(Data!$A:$A,$A$2,Data!IT:IT),0)</f>
        <v>0</v>
      </c>
      <c r="F41" s="21" t="str">
        <f t="shared" si="3"/>
        <v/>
      </c>
    </row>
    <row r="42" spans="1:6" x14ac:dyDescent="0.2">
      <c r="A42" s="19">
        <v>7</v>
      </c>
      <c r="B42" s="177" t="s">
        <v>6</v>
      </c>
      <c r="C42" s="178"/>
      <c r="D42" s="14">
        <f>IF(F3="1",SUMIF(Data!A:A,'47'!$A$2,Data!DA:DA),0)</f>
        <v>94662</v>
      </c>
      <c r="E42" s="17">
        <f>IF($F$3="1",SUMIF(Data!$A:$A,$A$2,Data!IU:IU),0)</f>
        <v>72615</v>
      </c>
      <c r="F42" s="21">
        <f t="shared" si="3"/>
        <v>0.77</v>
      </c>
    </row>
    <row r="43" spans="1:6" x14ac:dyDescent="0.2">
      <c r="A43" s="19">
        <v>8</v>
      </c>
      <c r="B43" s="177" t="s">
        <v>7</v>
      </c>
      <c r="C43" s="178"/>
      <c r="D43" s="14">
        <f>IF(F3="1",SUMIF(Data!A:A,'47'!$A$2,Data!DB:DB),0)</f>
        <v>27616</v>
      </c>
      <c r="E43" s="17">
        <f>IF($F$3="1",SUMIF(Data!$A:$A,$A$2,Data!IV:IV),0)</f>
        <v>2058</v>
      </c>
      <c r="F43" s="21">
        <f t="shared" si="3"/>
        <v>7.0000000000000007E-2</v>
      </c>
    </row>
    <row r="44" spans="1:6" x14ac:dyDescent="0.2">
      <c r="A44" s="19">
        <v>9</v>
      </c>
      <c r="B44" s="177" t="s">
        <v>8</v>
      </c>
      <c r="C44" s="178"/>
      <c r="D44" s="14">
        <f>IF(F3="1",SUMIF(Data!A:A,'47'!$A$2,Data!DC:DC),0)</f>
        <v>16161</v>
      </c>
      <c r="E44" s="17">
        <f>IF($F$3="1",SUMIF(Data!$A:$A,$A$2,Data!IW:IW),0)</f>
        <v>4028</v>
      </c>
      <c r="F44" s="21">
        <f t="shared" si="3"/>
        <v>0.25</v>
      </c>
    </row>
    <row r="45" spans="1:6" x14ac:dyDescent="0.2">
      <c r="A45" s="19">
        <v>10</v>
      </c>
      <c r="B45" s="177" t="s">
        <v>9</v>
      </c>
      <c r="C45" s="178"/>
      <c r="D45" s="14">
        <f>IF(F3="1",SUMIF(Data!A:A,'47'!$A$2,Data!DD:DD),0)</f>
        <v>0</v>
      </c>
      <c r="E45" s="17">
        <f>IF($F$3="1",SUMIF(Data!$A:$A,$A$2,Data!IX:IX),0)</f>
        <v>0</v>
      </c>
      <c r="F45" s="21" t="str">
        <f t="shared" si="3"/>
        <v/>
      </c>
    </row>
    <row r="46" spans="1:6" x14ac:dyDescent="0.2">
      <c r="A46" s="19">
        <v>11</v>
      </c>
      <c r="B46" s="177" t="s">
        <v>10</v>
      </c>
      <c r="C46" s="178"/>
      <c r="D46" s="14">
        <f>IF(F3="1",SUMIF(Data!A:A,'47'!$A$2,Data!DE:DE),0)</f>
        <v>31088</v>
      </c>
      <c r="E46" s="17">
        <f>IF($F$3="1",SUMIF(Data!$A:$A,$A$2,Data!IY:IY),0)</f>
        <v>8153</v>
      </c>
      <c r="F46" s="21">
        <f t="shared" si="3"/>
        <v>0.26</v>
      </c>
    </row>
    <row r="47" spans="1:6" ht="14.25" customHeight="1" x14ac:dyDescent="0.2">
      <c r="A47" s="19">
        <v>12</v>
      </c>
      <c r="B47" s="177" t="s">
        <v>11</v>
      </c>
      <c r="C47" s="178"/>
      <c r="D47" s="14">
        <f>IF(F3="1",SUMIF(Data!A:A,'47'!$A$2,Data!DF:DF),0)</f>
        <v>219128</v>
      </c>
      <c r="E47" s="17">
        <f>IF($F$3="1",SUMIF(Data!$A:$A,$A$2,Data!IZ:IZ),0)</f>
        <v>56934</v>
      </c>
      <c r="F47" s="21">
        <f t="shared" si="3"/>
        <v>0.26</v>
      </c>
    </row>
    <row r="48" spans="1:6" x14ac:dyDescent="0.2">
      <c r="A48" s="19">
        <v>13</v>
      </c>
      <c r="B48" s="177" t="s">
        <v>12</v>
      </c>
      <c r="C48" s="178"/>
      <c r="D48" s="14">
        <f>IF(F3="1",SUMIF(Data!A:A,'47'!$A$2,Data!DG:DG),0)</f>
        <v>12928</v>
      </c>
      <c r="E48" s="17">
        <f>IF($F$3="1",SUMIF(Data!$A:$A,$A$2,Data!JA:JA),0)</f>
        <v>8143</v>
      </c>
      <c r="F48" s="21">
        <f t="shared" si="3"/>
        <v>0.63</v>
      </c>
    </row>
    <row r="49" spans="1:6" ht="14.25" customHeight="1" x14ac:dyDescent="0.2">
      <c r="A49" s="19">
        <v>14</v>
      </c>
      <c r="B49" s="177" t="s">
        <v>464</v>
      </c>
      <c r="C49" s="178"/>
      <c r="D49" s="14">
        <f>IF(F3="1",SUMIF(Data!A:A,'47'!$A$2,Data!DH:DH),0)</f>
        <v>73050</v>
      </c>
      <c r="E49" s="17">
        <f>IF($F$3="1",SUMIF(Data!$A:$A,$A$2,Data!JB:JB),0)</f>
        <v>124434</v>
      </c>
      <c r="F49" s="21">
        <f t="shared" si="3"/>
        <v>1.7</v>
      </c>
    </row>
    <row r="50" spans="1:6" x14ac:dyDescent="0.2">
      <c r="A50" s="19">
        <v>15</v>
      </c>
      <c r="B50" s="177" t="s">
        <v>13</v>
      </c>
      <c r="C50" s="178"/>
      <c r="D50" s="14">
        <f>IF(F3="1",SUMIF(Data!A:A,'47'!$A$2,Data!DI:DI),0)</f>
        <v>0</v>
      </c>
      <c r="E50" s="17">
        <f>IF($F$3="1",SUMIF(Data!$A:$A,$A$2,Data!JC:JC),0)</f>
        <v>0</v>
      </c>
      <c r="F50" s="21" t="str">
        <f t="shared" si="3"/>
        <v/>
      </c>
    </row>
    <row r="51" spans="1:6" x14ac:dyDescent="0.2">
      <c r="A51" s="19">
        <v>16</v>
      </c>
      <c r="B51" s="177" t="s">
        <v>14</v>
      </c>
      <c r="C51" s="178"/>
      <c r="D51" s="14">
        <f>IF(F3="1",SUMIF(Data!A:A,'47'!$A$2,Data!DJ:DJ),0)</f>
        <v>132587</v>
      </c>
      <c r="E51" s="17">
        <f>IF($F$3="1",SUMIF(Data!$A:$A,$A$2,Data!JD:JD),0)</f>
        <v>64705</v>
      </c>
      <c r="F51" s="21">
        <f t="shared" si="3"/>
        <v>0.49</v>
      </c>
    </row>
    <row r="52" spans="1:6" x14ac:dyDescent="0.2">
      <c r="A52" s="19">
        <v>17</v>
      </c>
      <c r="B52" s="177" t="s">
        <v>15</v>
      </c>
      <c r="C52" s="178"/>
      <c r="D52" s="14">
        <f>IF(F3="1",SUMIF(Data!A:A,'47'!$A$2,Data!DK:DK),0)</f>
        <v>28096</v>
      </c>
      <c r="E52" s="17">
        <f>IF($F$3="1",SUMIF(Data!$A:$A,$A$2,Data!JE:JE),0)</f>
        <v>20697</v>
      </c>
      <c r="F52" s="21">
        <f t="shared" si="3"/>
        <v>0.74</v>
      </c>
    </row>
    <row r="53" spans="1:6" x14ac:dyDescent="0.2">
      <c r="A53" s="19">
        <v>18</v>
      </c>
      <c r="B53" s="177" t="s">
        <v>16</v>
      </c>
      <c r="C53" s="178"/>
      <c r="D53" s="14">
        <f>IF(F3="1",SUMIF(Data!A:A,'47'!$A$2,Data!DL:DL),0)</f>
        <v>227566</v>
      </c>
      <c r="E53" s="17">
        <f>IF($F$3="1",SUMIF(Data!$A:$A,$A$2,Data!JF:JF),0)</f>
        <v>166560</v>
      </c>
      <c r="F53" s="21">
        <f t="shared" si="3"/>
        <v>0.73</v>
      </c>
    </row>
    <row r="54" spans="1:6" x14ac:dyDescent="0.2">
      <c r="A54" s="19">
        <v>19</v>
      </c>
      <c r="B54" s="177" t="s">
        <v>17</v>
      </c>
      <c r="C54" s="178"/>
      <c r="D54" s="14">
        <f>IF(F3="1",SUMIF(Data!A:A,'47'!$A$2,Data!DM:DM),0)</f>
        <v>148880</v>
      </c>
      <c r="E54" s="17">
        <f>IF($F$3="1",SUMIF(Data!$A:$A,$A$2,Data!JG:JG),0)</f>
        <v>95327</v>
      </c>
      <c r="F54" s="21">
        <f t="shared" si="3"/>
        <v>0.64</v>
      </c>
    </row>
    <row r="55" spans="1:6" x14ac:dyDescent="0.2">
      <c r="A55" s="19">
        <v>20</v>
      </c>
      <c r="B55" s="177" t="s">
        <v>18</v>
      </c>
      <c r="C55" s="178"/>
      <c r="D55" s="14">
        <f>IF(F3="1",SUMIF(Data!A:A,'47'!$A$2,Data!DN:DN),0)</f>
        <v>1260</v>
      </c>
      <c r="E55" s="17">
        <f>IF($F$3="1",SUMIF(Data!$A:$A,$A$2,Data!JH:JH),0)</f>
        <v>94</v>
      </c>
      <c r="F55" s="21">
        <f t="shared" si="3"/>
        <v>7.0000000000000007E-2</v>
      </c>
    </row>
    <row r="56" spans="1:6" ht="14.25" customHeight="1" x14ac:dyDescent="0.2">
      <c r="A56" s="19">
        <v>21</v>
      </c>
      <c r="B56" s="177" t="s">
        <v>461</v>
      </c>
      <c r="C56" s="178"/>
      <c r="D56" s="14">
        <f>IF(F3="1",SUMIF(Data!A:A,'47'!$A$2,Data!DO:DO),0)</f>
        <v>1344</v>
      </c>
      <c r="E56" s="17">
        <f>IF($F$3="1",SUMIF(Data!$A:$A,$A$2,Data!JI:JI),0)</f>
        <v>1004</v>
      </c>
      <c r="F56" s="21">
        <f t="shared" si="3"/>
        <v>0.75</v>
      </c>
    </row>
    <row r="57" spans="1:6" x14ac:dyDescent="0.2">
      <c r="A57" s="19">
        <v>22</v>
      </c>
      <c r="B57" s="177" t="s">
        <v>19</v>
      </c>
      <c r="C57" s="178"/>
      <c r="D57" s="14">
        <f>IF(F3="1",SUMIF(Data!A:A,'47'!$A$2,Data!DP:DP),0)</f>
        <v>5472</v>
      </c>
      <c r="E57" s="17">
        <f>IF($F$3="1",SUMIF(Data!$A:$A,$A$2,Data!JJ:JJ),0)</f>
        <v>7663</v>
      </c>
      <c r="F57" s="21">
        <f t="shared" si="3"/>
        <v>1.4</v>
      </c>
    </row>
    <row r="58" spans="1:6" x14ac:dyDescent="0.2">
      <c r="A58" s="19">
        <v>23</v>
      </c>
      <c r="B58" s="177" t="s">
        <v>20</v>
      </c>
      <c r="C58" s="178"/>
      <c r="D58" s="14">
        <f>IF(F3="1",SUMIF(Data!A:A,'47'!$A$2,Data!DQ:DQ),0)</f>
        <v>64752</v>
      </c>
      <c r="E58" s="17">
        <f>IF($F$3="1",SUMIF(Data!$A:$A,$A$2,Data!JK:JK),0)</f>
        <v>41044</v>
      </c>
      <c r="F58" s="21">
        <f t="shared" si="3"/>
        <v>0.63</v>
      </c>
    </row>
    <row r="59" spans="1:6" x14ac:dyDescent="0.2">
      <c r="A59" s="19">
        <v>24</v>
      </c>
      <c r="B59" s="177" t="s">
        <v>21</v>
      </c>
      <c r="C59" s="178"/>
      <c r="D59" s="14">
        <f>IF(F3="1",SUMIF(Data!A:A,'47'!$A$2,Data!DR:DR),0)</f>
        <v>82216</v>
      </c>
      <c r="E59" s="17">
        <f>IF($F$3="1",SUMIF(Data!$A:$A,$A$2,Data!JL:JL),0)</f>
        <v>48773</v>
      </c>
      <c r="F59" s="21">
        <f t="shared" si="3"/>
        <v>0.59</v>
      </c>
    </row>
    <row r="60" spans="1:6" x14ac:dyDescent="0.2">
      <c r="A60" s="19">
        <v>25</v>
      </c>
      <c r="B60" s="177" t="s">
        <v>22</v>
      </c>
      <c r="C60" s="178"/>
      <c r="D60" s="14">
        <f>IF(F3="1",SUMIF(Data!A:A,'47'!$A$2,Data!DS:DS),0)</f>
        <v>238224</v>
      </c>
      <c r="E60" s="17">
        <f>IF($F$3="1",SUMIF(Data!$A:$A,$A$2,Data!JM:JM),0)</f>
        <v>80592</v>
      </c>
      <c r="F60" s="21">
        <f t="shared" si="3"/>
        <v>0.34</v>
      </c>
    </row>
    <row r="61" spans="1:6" x14ac:dyDescent="0.2">
      <c r="A61" s="19">
        <v>26</v>
      </c>
      <c r="B61" s="177" t="s">
        <v>23</v>
      </c>
      <c r="C61" s="178"/>
      <c r="D61" s="14">
        <f>IF(F3="1",SUMIF(Data!A:A,'47'!$A$2,Data!DT:DT),0)</f>
        <v>57280</v>
      </c>
      <c r="E61" s="17">
        <f>IF($F$3="1",SUMIF(Data!$A:$A,$A$2,Data!JN:JN),0)</f>
        <v>65619</v>
      </c>
      <c r="F61" s="21">
        <f t="shared" si="3"/>
        <v>1.1499999999999999</v>
      </c>
    </row>
    <row r="62" spans="1:6" x14ac:dyDescent="0.2">
      <c r="A62" s="19">
        <v>28</v>
      </c>
      <c r="B62" s="177" t="s">
        <v>24</v>
      </c>
      <c r="C62" s="178"/>
      <c r="D62" s="14">
        <f>IF(F3="1",SUMIF(Data!A:A,'47'!$A$2,Data!DV:DV),0)</f>
        <v>0</v>
      </c>
      <c r="E62" s="17">
        <f>IF($F$3="1",SUMIF(Data!$A:$A,$A$2,Data!JP:JP),0)</f>
        <v>0</v>
      </c>
      <c r="F62" s="21" t="str">
        <f t="shared" si="3"/>
        <v/>
      </c>
    </row>
    <row r="63" spans="1:6" ht="15.75" customHeight="1" thickBot="1" x14ac:dyDescent="0.25">
      <c r="A63" s="22">
        <v>29</v>
      </c>
      <c r="B63" s="179" t="s">
        <v>25</v>
      </c>
      <c r="C63" s="180"/>
      <c r="D63" s="23">
        <f>IF(F3="1",SUMIF(Data!A:A,'47'!$A$2,Data!DW:DW),0)</f>
        <v>0</v>
      </c>
      <c r="E63" s="24">
        <f>IF($F$3="1",SUMIF(Data!$A:$A,$A$2,Data!JQ:JQ),0)</f>
        <v>0</v>
      </c>
      <c r="F63" s="25" t="str">
        <f t="shared" si="3"/>
        <v/>
      </c>
    </row>
    <row r="64" spans="1:6" x14ac:dyDescent="0.2">
      <c r="B64" s="30" t="s">
        <v>35</v>
      </c>
      <c r="C64" s="30"/>
      <c r="D64" s="59">
        <f>SUM(D36:D63)</f>
        <v>1872626</v>
      </c>
      <c r="E64" s="31">
        <f>SUM(E36:E63)</f>
        <v>1179393</v>
      </c>
      <c r="F64" s="32">
        <f t="shared" si="3"/>
        <v>0.63</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2880</v>
      </c>
      <c r="E67" s="15">
        <f>IF(F3="1",SUMIF(Data!A:A,'47'!$A$2,Data!DY:DY),0)</f>
        <v>8237</v>
      </c>
      <c r="F67" s="20">
        <f t="shared" ref="F67:F95" si="4">IF(OR(D67=0,E67=0),"",ROUND(E67/D67,2))</f>
        <v>2.86</v>
      </c>
    </row>
    <row r="68" spans="1:6" x14ac:dyDescent="0.2">
      <c r="A68" s="19">
        <v>2</v>
      </c>
      <c r="B68" s="177" t="s">
        <v>1</v>
      </c>
      <c r="C68" s="178"/>
      <c r="D68" s="14">
        <f t="shared" ref="D68:D94" si="5">D37</f>
        <v>56171</v>
      </c>
      <c r="E68" s="17">
        <f>IF(F3="1",SUMIF(Data!A:A,'47'!$A$2,Data!DZ:DZ),0)</f>
        <v>165742</v>
      </c>
      <c r="F68" s="21">
        <f t="shared" si="4"/>
        <v>2.95</v>
      </c>
    </row>
    <row r="69" spans="1:6" ht="14.25" customHeight="1" x14ac:dyDescent="0.2">
      <c r="A69" s="19">
        <v>3</v>
      </c>
      <c r="B69" s="177" t="s">
        <v>2</v>
      </c>
      <c r="C69" s="178"/>
      <c r="D69" s="14">
        <f t="shared" si="5"/>
        <v>208208</v>
      </c>
      <c r="E69" s="17">
        <f>IF(F3="1",SUMIF(Data!A:A,'47'!$A$2,Data!EA:EA),0)</f>
        <v>595510</v>
      </c>
      <c r="F69" s="21">
        <f t="shared" si="4"/>
        <v>2.86</v>
      </c>
    </row>
    <row r="70" spans="1:6" ht="14.25" customHeight="1" x14ac:dyDescent="0.2">
      <c r="A70" s="19">
        <v>4</v>
      </c>
      <c r="B70" s="177" t="s">
        <v>3</v>
      </c>
      <c r="C70" s="178"/>
      <c r="D70" s="14">
        <f t="shared" si="5"/>
        <v>143057</v>
      </c>
      <c r="E70" s="17">
        <f>IF(F3="1",SUMIF(Data!A:A,'47'!$A$2,Data!EB:EB),0)</f>
        <v>354634</v>
      </c>
      <c r="F70" s="21">
        <f t="shared" si="4"/>
        <v>2.48</v>
      </c>
    </row>
    <row r="71" spans="1:6" x14ac:dyDescent="0.2">
      <c r="A71" s="19">
        <v>5</v>
      </c>
      <c r="B71" s="177" t="s">
        <v>4</v>
      </c>
      <c r="C71" s="178"/>
      <c r="D71" s="14">
        <f t="shared" si="5"/>
        <v>0</v>
      </c>
      <c r="E71" s="17">
        <f>IF(F3="1",SUMIF(Data!A:A,'47'!$A$2,Data!EC:EC),0)</f>
        <v>0</v>
      </c>
      <c r="F71" s="21" t="str">
        <f t="shared" si="4"/>
        <v/>
      </c>
    </row>
    <row r="72" spans="1:6" x14ac:dyDescent="0.2">
      <c r="A72" s="19">
        <v>6</v>
      </c>
      <c r="B72" s="177" t="s">
        <v>5</v>
      </c>
      <c r="C72" s="178"/>
      <c r="D72" s="14">
        <f t="shared" si="5"/>
        <v>0</v>
      </c>
      <c r="E72" s="17">
        <f>IF(F3="1",SUMIF(Data!A:A,'47'!$A$2,Data!ED:ED),0)</f>
        <v>0</v>
      </c>
      <c r="F72" s="21" t="str">
        <f t="shared" si="4"/>
        <v/>
      </c>
    </row>
    <row r="73" spans="1:6" x14ac:dyDescent="0.2">
      <c r="A73" s="19">
        <v>7</v>
      </c>
      <c r="B73" s="177" t="s">
        <v>6</v>
      </c>
      <c r="C73" s="178"/>
      <c r="D73" s="14">
        <f t="shared" si="5"/>
        <v>94662</v>
      </c>
      <c r="E73" s="17">
        <f>IF(F3="1",SUMIF(Data!A:A,'47'!$A$2,Data!EE:EE),0)</f>
        <v>365823</v>
      </c>
      <c r="F73" s="21">
        <f t="shared" si="4"/>
        <v>3.86</v>
      </c>
    </row>
    <row r="74" spans="1:6" x14ac:dyDescent="0.2">
      <c r="A74" s="19">
        <v>8</v>
      </c>
      <c r="B74" s="177" t="s">
        <v>7</v>
      </c>
      <c r="C74" s="178"/>
      <c r="D74" s="14">
        <f t="shared" si="5"/>
        <v>27616</v>
      </c>
      <c r="E74" s="17">
        <f>IF(F3="1",SUMIF(Data!A:A,'47'!$A$2,Data!EF:EF),0)</f>
        <v>126509</v>
      </c>
      <c r="F74" s="21">
        <f t="shared" si="4"/>
        <v>4.58</v>
      </c>
    </row>
    <row r="75" spans="1:6" x14ac:dyDescent="0.2">
      <c r="A75" s="19">
        <v>9</v>
      </c>
      <c r="B75" s="177" t="s">
        <v>8</v>
      </c>
      <c r="C75" s="178"/>
      <c r="D75" s="14">
        <f t="shared" si="5"/>
        <v>16161</v>
      </c>
      <c r="E75" s="17">
        <f>IF(F3="1",SUMIF(Data!A:A,'47'!$A$2,Data!EG:EG),0)</f>
        <v>19970</v>
      </c>
      <c r="F75" s="21">
        <f t="shared" si="4"/>
        <v>1.24</v>
      </c>
    </row>
    <row r="76" spans="1:6" x14ac:dyDescent="0.2">
      <c r="A76" s="19">
        <v>10</v>
      </c>
      <c r="B76" s="177" t="s">
        <v>9</v>
      </c>
      <c r="C76" s="178"/>
      <c r="D76" s="14">
        <f t="shared" si="5"/>
        <v>0</v>
      </c>
      <c r="E76" s="17">
        <f>IF(F3="1",SUMIF(Data!A:A,'47'!$A$2,Data!EH:EH),0)</f>
        <v>0</v>
      </c>
      <c r="F76" s="21" t="str">
        <f t="shared" si="4"/>
        <v/>
      </c>
    </row>
    <row r="77" spans="1:6" x14ac:dyDescent="0.2">
      <c r="A77" s="19">
        <v>11</v>
      </c>
      <c r="B77" s="177" t="s">
        <v>10</v>
      </c>
      <c r="C77" s="178"/>
      <c r="D77" s="14">
        <f t="shared" si="5"/>
        <v>31088</v>
      </c>
      <c r="E77" s="17">
        <f>IF(F3="1",SUMIF(Data!A:A,'47'!$A$2,Data!EI:EI),0)</f>
        <v>68323</v>
      </c>
      <c r="F77" s="21">
        <f t="shared" si="4"/>
        <v>2.2000000000000002</v>
      </c>
    </row>
    <row r="78" spans="1:6" ht="14.25" customHeight="1" x14ac:dyDescent="0.2">
      <c r="A78" s="19">
        <v>12</v>
      </c>
      <c r="B78" s="177" t="s">
        <v>11</v>
      </c>
      <c r="C78" s="178"/>
      <c r="D78" s="14">
        <f t="shared" si="5"/>
        <v>219128</v>
      </c>
      <c r="E78" s="17">
        <f>IF(F3="1",SUMIF(Data!A:A,'47'!$A$2,Data!EJ:EJ),0)</f>
        <v>710137</v>
      </c>
      <c r="F78" s="21">
        <f t="shared" si="4"/>
        <v>3.24</v>
      </c>
    </row>
    <row r="79" spans="1:6" x14ac:dyDescent="0.2">
      <c r="A79" s="19">
        <v>13</v>
      </c>
      <c r="B79" s="177" t="s">
        <v>12</v>
      </c>
      <c r="C79" s="178"/>
      <c r="D79" s="14">
        <f t="shared" si="5"/>
        <v>12928</v>
      </c>
      <c r="E79" s="17">
        <f>IF(F3="1",SUMIF(Data!A:A,'47'!$A$2,Data!EK:EK),0)</f>
        <v>48787</v>
      </c>
      <c r="F79" s="21">
        <f t="shared" si="4"/>
        <v>3.77</v>
      </c>
    </row>
    <row r="80" spans="1:6" ht="14.25" customHeight="1" x14ac:dyDescent="0.2">
      <c r="A80" s="19">
        <v>14</v>
      </c>
      <c r="B80" s="177" t="s">
        <v>464</v>
      </c>
      <c r="C80" s="178"/>
      <c r="D80" s="14">
        <f t="shared" si="5"/>
        <v>73050</v>
      </c>
      <c r="E80" s="17">
        <f>IF(F3="1",SUMIF(Data!A:A,'47'!$A$2,Data!EL:EL),0)</f>
        <v>647360</v>
      </c>
      <c r="F80" s="21">
        <f t="shared" si="4"/>
        <v>8.86</v>
      </c>
    </row>
    <row r="81" spans="1:6" x14ac:dyDescent="0.2">
      <c r="A81" s="19">
        <v>15</v>
      </c>
      <c r="B81" s="177" t="s">
        <v>13</v>
      </c>
      <c r="C81" s="178"/>
      <c r="D81" s="14">
        <f t="shared" si="5"/>
        <v>0</v>
      </c>
      <c r="E81" s="17">
        <f>IF(F3="1",SUMIF(Data!A:A,'47'!$A$2,Data!EM:EM),0)</f>
        <v>0</v>
      </c>
      <c r="F81" s="21" t="str">
        <f t="shared" si="4"/>
        <v/>
      </c>
    </row>
    <row r="82" spans="1:6" x14ac:dyDescent="0.2">
      <c r="A82" s="19">
        <v>16</v>
      </c>
      <c r="B82" s="177" t="s">
        <v>14</v>
      </c>
      <c r="C82" s="178"/>
      <c r="D82" s="14">
        <f t="shared" si="5"/>
        <v>132587</v>
      </c>
      <c r="E82" s="17">
        <f>IF(F3="1",SUMIF(Data!A:A,'47'!$A$2,Data!EN:EN),0)</f>
        <v>252172</v>
      </c>
      <c r="F82" s="21">
        <f t="shared" si="4"/>
        <v>1.9</v>
      </c>
    </row>
    <row r="83" spans="1:6" x14ac:dyDescent="0.2">
      <c r="A83" s="19">
        <v>17</v>
      </c>
      <c r="B83" s="177" t="s">
        <v>15</v>
      </c>
      <c r="C83" s="178"/>
      <c r="D83" s="14">
        <f t="shared" si="5"/>
        <v>28096</v>
      </c>
      <c r="E83" s="17">
        <f>IF(F3="1",SUMIF(Data!A:A,'47'!$A$2,Data!EO:EO),0)</f>
        <v>149096</v>
      </c>
      <c r="F83" s="21">
        <f t="shared" si="4"/>
        <v>5.31</v>
      </c>
    </row>
    <row r="84" spans="1:6" x14ac:dyDescent="0.2">
      <c r="A84" s="19">
        <v>18</v>
      </c>
      <c r="B84" s="177" t="s">
        <v>16</v>
      </c>
      <c r="C84" s="178"/>
      <c r="D84" s="14">
        <f t="shared" si="5"/>
        <v>227566</v>
      </c>
      <c r="E84" s="17">
        <f>IF(F3="1",SUMIF(Data!A:A,'47'!$A$2,Data!EP:EP),0)</f>
        <v>689512</v>
      </c>
      <c r="F84" s="21">
        <f t="shared" si="4"/>
        <v>3.03</v>
      </c>
    </row>
    <row r="85" spans="1:6" x14ac:dyDescent="0.2">
      <c r="A85" s="19">
        <v>19</v>
      </c>
      <c r="B85" s="177" t="s">
        <v>17</v>
      </c>
      <c r="C85" s="178"/>
      <c r="D85" s="14">
        <f t="shared" si="5"/>
        <v>148880</v>
      </c>
      <c r="E85" s="17">
        <f>IF(F3="1",SUMIF(Data!A:A,'47'!$A$2,Data!EQ:EQ),0)</f>
        <v>344210</v>
      </c>
      <c r="F85" s="21">
        <f t="shared" si="4"/>
        <v>2.31</v>
      </c>
    </row>
    <row r="86" spans="1:6" x14ac:dyDescent="0.2">
      <c r="A86" s="19">
        <v>20</v>
      </c>
      <c r="B86" s="177" t="s">
        <v>18</v>
      </c>
      <c r="C86" s="178"/>
      <c r="D86" s="14">
        <f t="shared" si="5"/>
        <v>1260</v>
      </c>
      <c r="E86" s="17">
        <f>IF(F3="1",SUMIF(Data!A:A,'47'!$A$2,Data!ER:ER),0)</f>
        <v>5772</v>
      </c>
      <c r="F86" s="21">
        <f t="shared" si="4"/>
        <v>4.58</v>
      </c>
    </row>
    <row r="87" spans="1:6" ht="14.25" customHeight="1" x14ac:dyDescent="0.2">
      <c r="A87" s="19">
        <v>21</v>
      </c>
      <c r="B87" s="177" t="s">
        <v>461</v>
      </c>
      <c r="C87" s="178"/>
      <c r="D87" s="14">
        <f t="shared" si="5"/>
        <v>1344</v>
      </c>
      <c r="E87" s="17">
        <f>IF(F3="1",SUMIF(Data!A:A,'47'!$A$2,Data!ES:ES),0)</f>
        <v>0</v>
      </c>
      <c r="F87" s="21" t="str">
        <f t="shared" si="4"/>
        <v/>
      </c>
    </row>
    <row r="88" spans="1:6" x14ac:dyDescent="0.2">
      <c r="A88" s="19">
        <v>22</v>
      </c>
      <c r="B88" s="177" t="s">
        <v>19</v>
      </c>
      <c r="C88" s="178"/>
      <c r="D88" s="14">
        <f t="shared" si="5"/>
        <v>5472</v>
      </c>
      <c r="E88" s="17">
        <f>IF(F3="1",SUMIF(Data!A:A,'47'!$A$2,Data!ET:ET),0)</f>
        <v>12135</v>
      </c>
      <c r="F88" s="21">
        <f t="shared" si="4"/>
        <v>2.2200000000000002</v>
      </c>
    </row>
    <row r="89" spans="1:6" x14ac:dyDescent="0.2">
      <c r="A89" s="19">
        <v>23</v>
      </c>
      <c r="B89" s="177" t="s">
        <v>20</v>
      </c>
      <c r="C89" s="178"/>
      <c r="D89" s="14">
        <f t="shared" si="5"/>
        <v>64752</v>
      </c>
      <c r="E89" s="17">
        <f>IF(F3="1",SUMIF(Data!A:A,'47'!$A$2,Data!EU:EU),0)</f>
        <v>232545</v>
      </c>
      <c r="F89" s="21">
        <f t="shared" si="4"/>
        <v>3.59</v>
      </c>
    </row>
    <row r="90" spans="1:6" x14ac:dyDescent="0.2">
      <c r="A90" s="19">
        <v>24</v>
      </c>
      <c r="B90" s="177" t="s">
        <v>21</v>
      </c>
      <c r="C90" s="178"/>
      <c r="D90" s="14">
        <f t="shared" si="5"/>
        <v>82216</v>
      </c>
      <c r="E90" s="17">
        <f>IF(F3="1",SUMIF(Data!A:A,'47'!$A$2,Data!EV:EV),0)</f>
        <v>210797</v>
      </c>
      <c r="F90" s="21">
        <f t="shared" si="4"/>
        <v>2.56</v>
      </c>
    </row>
    <row r="91" spans="1:6" x14ac:dyDescent="0.2">
      <c r="A91" s="19">
        <v>25</v>
      </c>
      <c r="B91" s="177" t="s">
        <v>22</v>
      </c>
      <c r="C91" s="178"/>
      <c r="D91" s="14">
        <f t="shared" si="5"/>
        <v>238224</v>
      </c>
      <c r="E91" s="17">
        <f>IF(F3="1",SUMIF(Data!A:A,'47'!$A$2,Data!EW:EW),0)</f>
        <v>605608</v>
      </c>
      <c r="F91" s="21">
        <f t="shared" si="4"/>
        <v>2.54</v>
      </c>
    </row>
    <row r="92" spans="1:6" x14ac:dyDescent="0.2">
      <c r="A92" s="19">
        <v>26</v>
      </c>
      <c r="B92" s="177" t="s">
        <v>23</v>
      </c>
      <c r="C92" s="178"/>
      <c r="D92" s="14">
        <f t="shared" si="5"/>
        <v>57280</v>
      </c>
      <c r="E92" s="17">
        <f>IF(F3="1",SUMIF(Data!A:A,'47'!$A$2,Data!EX:EX),0)</f>
        <v>230201</v>
      </c>
      <c r="F92" s="21">
        <f t="shared" si="4"/>
        <v>4.0199999999999996</v>
      </c>
    </row>
    <row r="93" spans="1:6" x14ac:dyDescent="0.2">
      <c r="A93" s="19">
        <v>28</v>
      </c>
      <c r="B93" s="177" t="s">
        <v>24</v>
      </c>
      <c r="C93" s="178"/>
      <c r="D93" s="14">
        <f t="shared" si="5"/>
        <v>0</v>
      </c>
      <c r="E93" s="17">
        <f>IF(F3="1",SUMIF(Data!A:A,'47'!$A$2,Data!EZ:EZ),0)</f>
        <v>0</v>
      </c>
      <c r="F93" s="21" t="str">
        <f t="shared" si="4"/>
        <v/>
      </c>
    </row>
    <row r="94" spans="1:6" ht="15.75" customHeight="1" thickBot="1" x14ac:dyDescent="0.25">
      <c r="A94" s="22">
        <v>29</v>
      </c>
      <c r="B94" s="179" t="s">
        <v>25</v>
      </c>
      <c r="C94" s="180"/>
      <c r="D94" s="23">
        <f t="shared" si="5"/>
        <v>0</v>
      </c>
      <c r="E94" s="24">
        <f>IF(F3="1",SUMIF(Data!A:A,'47'!$A$2,Data!FA:FA),0)</f>
        <v>0</v>
      </c>
      <c r="F94" s="25" t="str">
        <f t="shared" si="4"/>
        <v/>
      </c>
    </row>
    <row r="95" spans="1:6" x14ac:dyDescent="0.2">
      <c r="B95" s="30" t="s">
        <v>35</v>
      </c>
      <c r="C95" s="30"/>
      <c r="D95" s="59">
        <f>SUM(D67:D94)</f>
        <v>1872626</v>
      </c>
      <c r="E95" s="31">
        <f>SUM(E67:E94)</f>
        <v>5843080</v>
      </c>
      <c r="F95" s="32">
        <f t="shared" si="4"/>
        <v>3.12</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IF(F3="1",SUMIF(Data!A:A,'47'!$A$2,Data!AH:AH),0)</f>
        <v>1702338</v>
      </c>
      <c r="F98" s="20">
        <f>IF(OR(E98=0,E98=0),"",ROUND(E98/$D$105,2))</f>
        <v>0.91</v>
      </c>
    </row>
    <row r="99" spans="2:6" x14ac:dyDescent="0.2">
      <c r="B99" s="183" t="s">
        <v>31</v>
      </c>
      <c r="C99" s="184"/>
      <c r="D99" s="36"/>
      <c r="E99" s="17">
        <f>IF(F3="1",SUMIF(Data!A:A,'47'!$A$2,Data!AI:AI),0)</f>
        <v>997786</v>
      </c>
      <c r="F99" s="21">
        <f t="shared" ref="F99:F104" si="6">IF(OR(E99=0,E99=0),"",ROUND(E99/$D$105,2))</f>
        <v>0.53</v>
      </c>
    </row>
    <row r="100" spans="2:6" x14ac:dyDescent="0.2">
      <c r="B100" s="183" t="s">
        <v>1078</v>
      </c>
      <c r="C100" s="184"/>
      <c r="D100" s="36"/>
      <c r="E100" s="17">
        <f>IF(F3="1",SUMIF(Data!A:A,'47'!$A$2,Data!AJ:AJ),0)</f>
        <v>463355</v>
      </c>
      <c r="F100" s="21">
        <f t="shared" si="6"/>
        <v>0.25</v>
      </c>
    </row>
    <row r="101" spans="2:6" x14ac:dyDescent="0.2">
      <c r="B101" s="183" t="s">
        <v>1079</v>
      </c>
      <c r="C101" s="184"/>
      <c r="D101" s="36"/>
      <c r="E101" s="17">
        <f>IF(F3="1",SUMIF(Data!A:A,'47'!$A$2,Data!AK:AK),0)</f>
        <v>557794</v>
      </c>
      <c r="F101" s="21">
        <f t="shared" si="6"/>
        <v>0.3</v>
      </c>
    </row>
    <row r="102" spans="2:6" x14ac:dyDescent="0.2">
      <c r="B102" s="183" t="s">
        <v>1080</v>
      </c>
      <c r="C102" s="184"/>
      <c r="D102" s="36"/>
      <c r="E102" s="17">
        <f>IF(F3="1",SUMIF(Data!A:A,'47'!$A$2,Data!AL:AL),0)</f>
        <v>0</v>
      </c>
      <c r="F102" s="21" t="str">
        <f t="shared" si="6"/>
        <v/>
      </c>
    </row>
    <row r="103" spans="2:6" x14ac:dyDescent="0.2">
      <c r="B103" s="185" t="s">
        <v>34</v>
      </c>
      <c r="C103" s="186"/>
      <c r="D103" s="36"/>
      <c r="E103" s="17">
        <f>IF(F3="1",SUMIF(Data!A:A,'47'!$A$2,Data!AM:AM),0)</f>
        <v>0</v>
      </c>
      <c r="F103" s="21" t="str">
        <f t="shared" si="6"/>
        <v/>
      </c>
    </row>
    <row r="104" spans="2:6" ht="15.75" customHeight="1" thickBot="1" x14ac:dyDescent="0.25">
      <c r="B104" s="175" t="s">
        <v>29</v>
      </c>
      <c r="C104" s="176"/>
      <c r="D104" s="37"/>
      <c r="E104" s="24">
        <f>IF(F3="1",SUMIF(Data!A:A,'47'!$A$2,Data!Q:Q),0)</f>
        <v>967594</v>
      </c>
      <c r="F104" s="25">
        <f t="shared" si="6"/>
        <v>0.52</v>
      </c>
    </row>
    <row r="105" spans="2:6" x14ac:dyDescent="0.2">
      <c r="B105" s="30" t="s">
        <v>35</v>
      </c>
      <c r="C105" s="30"/>
      <c r="D105" s="34">
        <f>D95</f>
        <v>1872626</v>
      </c>
      <c r="E105" s="31">
        <f>SUM(E98:E104)</f>
        <v>4688867</v>
      </c>
      <c r="F105" s="32">
        <f>IF($D$105=0,"",ROUND(E105/$D$105,2))</f>
        <v>2.5</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5843080</v>
      </c>
      <c r="D109" s="15">
        <f>IF(F3="1",SUMIF(Data!$A:$A,$A$2,Data!HJ:HJ),0)</f>
        <v>0</v>
      </c>
      <c r="E109" s="15">
        <f>IF(F3="1",SUMIF(Data!$A:$A,$A$2,Data!IN:IN),0)</f>
        <v>0</v>
      </c>
      <c r="F109" s="47">
        <f>SUM(C109:E109)</f>
        <v>5843080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967594</v>
      </c>
      <c r="E117" s="52"/>
      <c r="F117" s="49">
        <f>SUM(C117:E117)</f>
        <v>967594</v>
      </c>
    </row>
    <row r="118" spans="1:6" x14ac:dyDescent="0.2">
      <c r="B118" s="13" t="s">
        <v>35</v>
      </c>
      <c r="C118" s="4">
        <f>SUM(C109:C116)</f>
        <v>5843080</v>
      </c>
      <c r="D118" s="4">
        <f>SUM(D109:D116)</f>
        <v>0</v>
      </c>
      <c r="E118" s="4">
        <f>SUM(E109:E116)</f>
        <v>0</v>
      </c>
      <c r="F118" s="4">
        <f>SUM(F109:F116)</f>
        <v>5843080</v>
      </c>
    </row>
    <row r="119" spans="1:6" ht="15" thickBot="1" x14ac:dyDescent="0.25"/>
    <row r="120" spans="1:6" ht="15" thickBot="1" x14ac:dyDescent="0.25">
      <c r="B120" s="55" t="s">
        <v>934</v>
      </c>
      <c r="C120" s="53"/>
      <c r="D120" s="53"/>
      <c r="E120" s="53">
        <f>IF(F3="1",SUMIF(Data!A:A,'47'!$A$2,Data!AM:AM),0)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140625" style="10" bestFit="1" customWidth="1"/>
    <col min="13"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415</v>
      </c>
      <c r="B2" s="58" t="str">
        <f>VLOOKUP(A2,Data!A:G,7,0)</f>
        <v>Weatherford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23184</v>
      </c>
      <c r="E5" s="15">
        <f>E36+E67+IFERROR($E$105/$D$105*D5,0)</f>
        <v>243382.38446398996</v>
      </c>
      <c r="F5" s="20">
        <f>IF(OR(D5=0,E5=0),"",ROUND(E5/D5,2))</f>
        <v>10.5</v>
      </c>
    </row>
    <row r="6" spans="1:6" x14ac:dyDescent="0.2">
      <c r="A6" s="19">
        <v>2</v>
      </c>
      <c r="B6" s="177" t="s">
        <v>1</v>
      </c>
      <c r="C6" s="178"/>
      <c r="D6" s="14">
        <f t="shared" ref="D6:D32" si="0">D37</f>
        <v>14720</v>
      </c>
      <c r="E6" s="17">
        <f t="shared" ref="E6:E32" si="1">E37+E68+IFERROR($E$105/$D$105*D6,0)</f>
        <v>180677.60918348568</v>
      </c>
      <c r="F6" s="21">
        <f t="shared" ref="F6:F33" si="2">IF(OR(D6=0,E6=0),"",ROUND(E6/D6,2))</f>
        <v>12.27</v>
      </c>
    </row>
    <row r="7" spans="1:6" ht="14.25" customHeight="1" x14ac:dyDescent="0.2">
      <c r="A7" s="19">
        <v>3</v>
      </c>
      <c r="B7" s="177" t="s">
        <v>2</v>
      </c>
      <c r="C7" s="178"/>
      <c r="D7" s="14">
        <f t="shared" si="0"/>
        <v>123776</v>
      </c>
      <c r="E7" s="17">
        <f t="shared" si="1"/>
        <v>595609.40939504921</v>
      </c>
      <c r="F7" s="21">
        <f t="shared" si="2"/>
        <v>4.8099999999999996</v>
      </c>
    </row>
    <row r="8" spans="1:6" ht="14.25" customHeight="1" x14ac:dyDescent="0.2">
      <c r="A8" s="19">
        <v>4</v>
      </c>
      <c r="B8" s="177" t="s">
        <v>3</v>
      </c>
      <c r="C8" s="178"/>
      <c r="D8" s="14">
        <f t="shared" si="0"/>
        <v>86769</v>
      </c>
      <c r="E8" s="17">
        <f t="shared" si="1"/>
        <v>621283.82943219226</v>
      </c>
      <c r="F8" s="21">
        <f t="shared" si="2"/>
        <v>7.16</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224</v>
      </c>
      <c r="E10" s="17">
        <f t="shared" si="1"/>
        <v>1183.2114440965213</v>
      </c>
      <c r="F10" s="21">
        <f t="shared" si="2"/>
        <v>5.28</v>
      </c>
    </row>
    <row r="11" spans="1:6" x14ac:dyDescent="0.2">
      <c r="A11" s="19">
        <v>7</v>
      </c>
      <c r="B11" s="177" t="s">
        <v>6</v>
      </c>
      <c r="C11" s="178"/>
      <c r="D11" s="14">
        <f t="shared" si="0"/>
        <v>94110</v>
      </c>
      <c r="E11" s="17">
        <f t="shared" si="1"/>
        <v>607231.8437675162</v>
      </c>
      <c r="F11" s="21">
        <f t="shared" si="2"/>
        <v>6.45</v>
      </c>
    </row>
    <row r="12" spans="1:6" x14ac:dyDescent="0.2">
      <c r="A12" s="19">
        <v>8</v>
      </c>
      <c r="B12" s="177" t="s">
        <v>7</v>
      </c>
      <c r="C12" s="178"/>
      <c r="D12" s="14">
        <f t="shared" si="0"/>
        <v>0</v>
      </c>
      <c r="E12" s="17">
        <f t="shared" si="1"/>
        <v>0</v>
      </c>
      <c r="F12" s="21" t="str">
        <f t="shared" si="2"/>
        <v/>
      </c>
    </row>
    <row r="13" spans="1:6" x14ac:dyDescent="0.2">
      <c r="A13" s="19">
        <v>9</v>
      </c>
      <c r="B13" s="177" t="s">
        <v>8</v>
      </c>
      <c r="C13" s="178"/>
      <c r="D13" s="14">
        <f t="shared" si="0"/>
        <v>62372</v>
      </c>
      <c r="E13" s="17">
        <f t="shared" si="1"/>
        <v>343372.57228209032</v>
      </c>
      <c r="F13" s="21">
        <f t="shared" si="2"/>
        <v>5.51</v>
      </c>
    </row>
    <row r="14" spans="1:6" x14ac:dyDescent="0.2">
      <c r="A14" s="19">
        <v>10</v>
      </c>
      <c r="B14" s="177" t="s">
        <v>9</v>
      </c>
      <c r="C14" s="178"/>
      <c r="D14" s="14">
        <f t="shared" si="0"/>
        <v>0</v>
      </c>
      <c r="E14" s="17">
        <f t="shared" si="1"/>
        <v>0</v>
      </c>
      <c r="F14" s="21" t="str">
        <f t="shared" si="2"/>
        <v/>
      </c>
    </row>
    <row r="15" spans="1:6" x14ac:dyDescent="0.2">
      <c r="A15" s="19">
        <v>11</v>
      </c>
      <c r="B15" s="177" t="s">
        <v>10</v>
      </c>
      <c r="C15" s="178"/>
      <c r="D15" s="14">
        <f t="shared" si="0"/>
        <v>18880</v>
      </c>
      <c r="E15" s="17">
        <f t="shared" si="1"/>
        <v>246972.1074309925</v>
      </c>
      <c r="F15" s="21">
        <f t="shared" si="2"/>
        <v>13.08</v>
      </c>
    </row>
    <row r="16" spans="1:6" ht="14.25" customHeight="1" x14ac:dyDescent="0.2">
      <c r="A16" s="19">
        <v>12</v>
      </c>
      <c r="B16" s="177" t="s">
        <v>11</v>
      </c>
      <c r="C16" s="178"/>
      <c r="D16" s="14">
        <f t="shared" si="0"/>
        <v>210336</v>
      </c>
      <c r="E16" s="17">
        <f t="shared" si="1"/>
        <v>1115106.5460066334</v>
      </c>
      <c r="F16" s="21">
        <f t="shared" si="2"/>
        <v>5.3</v>
      </c>
    </row>
    <row r="17" spans="1:6" x14ac:dyDescent="0.2">
      <c r="A17" s="19">
        <v>13</v>
      </c>
      <c r="B17" s="177" t="s">
        <v>12</v>
      </c>
      <c r="C17" s="178"/>
      <c r="D17" s="14">
        <f t="shared" si="0"/>
        <v>11776</v>
      </c>
      <c r="E17" s="17">
        <f t="shared" si="1"/>
        <v>62237.687346788545</v>
      </c>
      <c r="F17" s="21">
        <f t="shared" si="2"/>
        <v>5.29</v>
      </c>
    </row>
    <row r="18" spans="1:6" ht="14.25" customHeight="1" x14ac:dyDescent="0.2">
      <c r="A18" s="19">
        <v>14</v>
      </c>
      <c r="B18" s="177" t="s">
        <v>464</v>
      </c>
      <c r="C18" s="178"/>
      <c r="D18" s="14">
        <f t="shared" si="0"/>
        <v>48</v>
      </c>
      <c r="E18" s="17">
        <f t="shared" si="1"/>
        <v>83482.259595163545</v>
      </c>
      <c r="F18" s="21">
        <f t="shared" si="2"/>
        <v>1739.21</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42732</v>
      </c>
      <c r="E20" s="17">
        <f t="shared" si="1"/>
        <v>438246.85459434171</v>
      </c>
      <c r="F20" s="21">
        <f t="shared" si="2"/>
        <v>10.26</v>
      </c>
    </row>
    <row r="21" spans="1:6" x14ac:dyDescent="0.2">
      <c r="A21" s="19">
        <v>17</v>
      </c>
      <c r="B21" s="177" t="s">
        <v>15</v>
      </c>
      <c r="C21" s="178"/>
      <c r="D21" s="14">
        <f t="shared" si="0"/>
        <v>20720</v>
      </c>
      <c r="E21" s="17">
        <f t="shared" si="1"/>
        <v>223595.05857892823</v>
      </c>
      <c r="F21" s="21">
        <f t="shared" si="2"/>
        <v>10.79</v>
      </c>
    </row>
    <row r="22" spans="1:6" x14ac:dyDescent="0.2">
      <c r="A22" s="19">
        <v>18</v>
      </c>
      <c r="B22" s="177" t="s">
        <v>16</v>
      </c>
      <c r="C22" s="178"/>
      <c r="D22" s="14">
        <f t="shared" si="0"/>
        <v>111872</v>
      </c>
      <c r="E22" s="17">
        <f t="shared" si="1"/>
        <v>683414.02979449125</v>
      </c>
      <c r="F22" s="21">
        <f t="shared" si="2"/>
        <v>6.11</v>
      </c>
    </row>
    <row r="23" spans="1:6" x14ac:dyDescent="0.2">
      <c r="A23" s="19">
        <v>19</v>
      </c>
      <c r="B23" s="177" t="s">
        <v>17</v>
      </c>
      <c r="C23" s="178"/>
      <c r="D23" s="14">
        <f t="shared" si="0"/>
        <v>148558</v>
      </c>
      <c r="E23" s="17">
        <f t="shared" si="1"/>
        <v>813554.31121469196</v>
      </c>
      <c r="F23" s="21">
        <f t="shared" si="2"/>
        <v>5.48</v>
      </c>
    </row>
    <row r="24" spans="1:6" x14ac:dyDescent="0.2">
      <c r="A24" s="19">
        <v>20</v>
      </c>
      <c r="B24" s="177" t="s">
        <v>18</v>
      </c>
      <c r="C24" s="178"/>
      <c r="D24" s="14">
        <f t="shared" si="0"/>
        <v>264</v>
      </c>
      <c r="E24" s="17">
        <f t="shared" si="1"/>
        <v>2851.9277733994713</v>
      </c>
      <c r="F24" s="21">
        <f t="shared" si="2"/>
        <v>10.8</v>
      </c>
    </row>
    <row r="25" spans="1:6" ht="14.25" customHeight="1" x14ac:dyDescent="0.2">
      <c r="A25" s="19">
        <v>21</v>
      </c>
      <c r="B25" s="177" t="s">
        <v>461</v>
      </c>
      <c r="C25" s="178"/>
      <c r="D25" s="14">
        <f t="shared" si="0"/>
        <v>47160</v>
      </c>
      <c r="E25" s="17">
        <f t="shared" si="1"/>
        <v>463617.55224817834</v>
      </c>
      <c r="F25" s="21">
        <f t="shared" si="2"/>
        <v>9.83</v>
      </c>
    </row>
    <row r="26" spans="1:6" x14ac:dyDescent="0.2">
      <c r="A26" s="19">
        <v>22</v>
      </c>
      <c r="B26" s="177" t="s">
        <v>19</v>
      </c>
      <c r="C26" s="178"/>
      <c r="D26" s="14">
        <f t="shared" si="0"/>
        <v>1980</v>
      </c>
      <c r="E26" s="17">
        <f t="shared" si="1"/>
        <v>21392.458300496037</v>
      </c>
      <c r="F26" s="21">
        <f t="shared" si="2"/>
        <v>10.8</v>
      </c>
    </row>
    <row r="27" spans="1:6" x14ac:dyDescent="0.2">
      <c r="A27" s="19">
        <v>23</v>
      </c>
      <c r="B27" s="177" t="s">
        <v>20</v>
      </c>
      <c r="C27" s="178"/>
      <c r="D27" s="14">
        <f t="shared" si="0"/>
        <v>57744</v>
      </c>
      <c r="E27" s="17">
        <f t="shared" si="1"/>
        <v>381644.29298173892</v>
      </c>
      <c r="F27" s="21">
        <f t="shared" si="2"/>
        <v>6.61</v>
      </c>
    </row>
    <row r="28" spans="1:6" x14ac:dyDescent="0.2">
      <c r="A28" s="19">
        <v>24</v>
      </c>
      <c r="B28" s="177" t="s">
        <v>21</v>
      </c>
      <c r="C28" s="178"/>
      <c r="D28" s="14">
        <f t="shared" si="0"/>
        <v>95101</v>
      </c>
      <c r="E28" s="17">
        <f t="shared" si="1"/>
        <v>631763.64082599676</v>
      </c>
      <c r="F28" s="21">
        <f t="shared" si="2"/>
        <v>6.64</v>
      </c>
    </row>
    <row r="29" spans="1:6" x14ac:dyDescent="0.2">
      <c r="A29" s="19">
        <v>25</v>
      </c>
      <c r="B29" s="177" t="s">
        <v>22</v>
      </c>
      <c r="C29" s="178"/>
      <c r="D29" s="14">
        <f t="shared" si="0"/>
        <v>202560</v>
      </c>
      <c r="E29" s="17">
        <f t="shared" si="1"/>
        <v>908854.49159013992</v>
      </c>
      <c r="F29" s="21">
        <f t="shared" si="2"/>
        <v>4.49</v>
      </c>
    </row>
    <row r="30" spans="1:6" x14ac:dyDescent="0.2">
      <c r="A30" s="19">
        <v>26</v>
      </c>
      <c r="B30" s="177" t="s">
        <v>23</v>
      </c>
      <c r="C30" s="178"/>
      <c r="D30" s="14">
        <f t="shared" si="0"/>
        <v>48800</v>
      </c>
      <c r="E30" s="17">
        <f t="shared" si="1"/>
        <v>371962.92174959928</v>
      </c>
      <c r="F30" s="21">
        <f t="shared" si="2"/>
        <v>7.62</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1423686</v>
      </c>
      <c r="E33" s="31">
        <f>SUM(E5:E32)</f>
        <v>9041437</v>
      </c>
      <c r="F33" s="32">
        <f t="shared" si="2"/>
        <v>6.35</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IF(F3="1",SUMIF(Data!A:A,'48'!$A$2,Data!CU:CU),0)</f>
        <v>23184</v>
      </c>
      <c r="E36" s="15">
        <f>IF(F3="1",SUMIF(Data!$A:$A,$A$2,Data!IO:IO),0)</f>
        <v>84190</v>
      </c>
      <c r="F36" s="20">
        <f t="shared" ref="F36:F64" si="3">IF(OR(D36=0,E36=0),"",ROUND(E36/D36,2))</f>
        <v>3.63</v>
      </c>
    </row>
    <row r="37" spans="1:6" x14ac:dyDescent="0.2">
      <c r="A37" s="19">
        <v>2</v>
      </c>
      <c r="B37" s="177" t="s">
        <v>1</v>
      </c>
      <c r="C37" s="178"/>
      <c r="D37" s="14">
        <f>IF(F3="1",SUMIF(Data!A:A,'48'!$A$2,Data!CV:CV),0)</f>
        <v>14720</v>
      </c>
      <c r="E37" s="17">
        <f>IF(F3="1",SUMIF(Data!$A:$A,$A$2,Data!IP:IP),0)</f>
        <v>60626</v>
      </c>
      <c r="F37" s="21">
        <f t="shared" si="3"/>
        <v>4.12</v>
      </c>
    </row>
    <row r="38" spans="1:6" ht="14.25" customHeight="1" x14ac:dyDescent="0.2">
      <c r="A38" s="19">
        <v>3</v>
      </c>
      <c r="B38" s="177" t="s">
        <v>2</v>
      </c>
      <c r="C38" s="178"/>
      <c r="D38" s="14">
        <f>IF(F3="1",SUMIF(Data!A:A,'48'!$A$2,Data!CW:CW),0)</f>
        <v>123776</v>
      </c>
      <c r="E38" s="17">
        <f>IF($F$3="1",SUMIF(Data!$A:$A,$A$2,Data!IQ:IQ),0)</f>
        <v>35179</v>
      </c>
      <c r="F38" s="21">
        <f t="shared" si="3"/>
        <v>0.28000000000000003</v>
      </c>
    </row>
    <row r="39" spans="1:6" ht="14.25" customHeight="1" x14ac:dyDescent="0.2">
      <c r="A39" s="19">
        <v>4</v>
      </c>
      <c r="B39" s="177" t="s">
        <v>3</v>
      </c>
      <c r="C39" s="178"/>
      <c r="D39" s="14">
        <f>IF(F3="1",SUMIF(Data!A:A,'48'!$A$2,Data!CX:CX),0)</f>
        <v>86769</v>
      </c>
      <c r="E39" s="17">
        <f>IF($F$3="1",SUMIF(Data!$A:$A,$A$2,Data!IR:IR),0)</f>
        <v>72574</v>
      </c>
      <c r="F39" s="21">
        <f t="shared" si="3"/>
        <v>0.84</v>
      </c>
    </row>
    <row r="40" spans="1:6" x14ac:dyDescent="0.2">
      <c r="A40" s="19">
        <v>5</v>
      </c>
      <c r="B40" s="177" t="s">
        <v>4</v>
      </c>
      <c r="C40" s="178"/>
      <c r="D40" s="14">
        <f>IF(F3="1",SUMIF(Data!A:A,'48'!$A$2,Data!CY:CY),0)</f>
        <v>0</v>
      </c>
      <c r="E40" s="17">
        <f>IF($F$3="1",SUMIF(Data!$A:$A,$A$2,Data!IS:IS),0)</f>
        <v>0</v>
      </c>
      <c r="F40" s="21" t="str">
        <f t="shared" si="3"/>
        <v/>
      </c>
    </row>
    <row r="41" spans="1:6" x14ac:dyDescent="0.2">
      <c r="A41" s="19">
        <v>6</v>
      </c>
      <c r="B41" s="177" t="s">
        <v>5</v>
      </c>
      <c r="C41" s="178"/>
      <c r="D41" s="14">
        <f>IF(F3="1",SUMIF(Data!A:A,'48'!$A$2,Data!CZ:CZ),0)</f>
        <v>224</v>
      </c>
      <c r="E41" s="17">
        <f>IF($F$3="1",SUMIF(Data!$A:$A,$A$2,Data!IT:IT),0)</f>
        <v>18</v>
      </c>
      <c r="F41" s="21">
        <f t="shared" si="3"/>
        <v>0.08</v>
      </c>
    </row>
    <row r="42" spans="1:6" x14ac:dyDescent="0.2">
      <c r="A42" s="19">
        <v>7</v>
      </c>
      <c r="B42" s="177" t="s">
        <v>6</v>
      </c>
      <c r="C42" s="178"/>
      <c r="D42" s="14">
        <f>IF(F3="1",SUMIF(Data!A:A,'48'!$A$2,Data!DA:DA),0)</f>
        <v>94110</v>
      </c>
      <c r="E42" s="17">
        <f>IF($F$3="1",SUMIF(Data!$A:$A,$A$2,Data!IU:IU),0)</f>
        <v>94345</v>
      </c>
      <c r="F42" s="21">
        <f t="shared" si="3"/>
        <v>1</v>
      </c>
    </row>
    <row r="43" spans="1:6" x14ac:dyDescent="0.2">
      <c r="A43" s="19">
        <v>8</v>
      </c>
      <c r="B43" s="177" t="s">
        <v>7</v>
      </c>
      <c r="C43" s="178"/>
      <c r="D43" s="14">
        <f>IF(F3="1",SUMIF(Data!A:A,'48'!$A$2,Data!DB:DB),0)</f>
        <v>0</v>
      </c>
      <c r="E43" s="17">
        <f>IF($F$3="1",SUMIF(Data!$A:$A,$A$2,Data!IV:IV),0)</f>
        <v>0</v>
      </c>
      <c r="F43" s="21" t="str">
        <f t="shared" si="3"/>
        <v/>
      </c>
    </row>
    <row r="44" spans="1:6" x14ac:dyDescent="0.2">
      <c r="A44" s="19">
        <v>9</v>
      </c>
      <c r="B44" s="177" t="s">
        <v>8</v>
      </c>
      <c r="C44" s="178"/>
      <c r="D44" s="14">
        <f>IF(F3="1",SUMIF(Data!A:A,'48'!$A$2,Data!DC:DC),0)</f>
        <v>62372</v>
      </c>
      <c r="E44" s="17">
        <f>IF($F$3="1",SUMIF(Data!$A:$A,$A$2,Data!IW:IW),0)</f>
        <v>21553</v>
      </c>
      <c r="F44" s="21">
        <f t="shared" si="3"/>
        <v>0.35</v>
      </c>
    </row>
    <row r="45" spans="1:6" x14ac:dyDescent="0.2">
      <c r="A45" s="19">
        <v>10</v>
      </c>
      <c r="B45" s="177" t="s">
        <v>9</v>
      </c>
      <c r="C45" s="178"/>
      <c r="D45" s="14">
        <f>IF(F3="1",SUMIF(Data!A:A,'48'!$A$2,Data!DD:DD),0)</f>
        <v>0</v>
      </c>
      <c r="E45" s="17">
        <f>IF($F$3="1",SUMIF(Data!$A:$A,$A$2,Data!IX:IX),0)</f>
        <v>0</v>
      </c>
      <c r="F45" s="21" t="str">
        <f t="shared" si="3"/>
        <v/>
      </c>
    </row>
    <row r="46" spans="1:6" x14ac:dyDescent="0.2">
      <c r="A46" s="19">
        <v>11</v>
      </c>
      <c r="B46" s="177" t="s">
        <v>10</v>
      </c>
      <c r="C46" s="178"/>
      <c r="D46" s="14">
        <f>IF(F3="1",SUMIF(Data!A:A,'48'!$A$2,Data!DE:DE),0)</f>
        <v>18880</v>
      </c>
      <c r="E46" s="17">
        <f>IF($F$3="1",SUMIF(Data!$A:$A,$A$2,Data!IY:IY),0)</f>
        <v>56330</v>
      </c>
      <c r="F46" s="21">
        <f t="shared" si="3"/>
        <v>2.98</v>
      </c>
    </row>
    <row r="47" spans="1:6" ht="14.25" customHeight="1" x14ac:dyDescent="0.2">
      <c r="A47" s="19">
        <v>12</v>
      </c>
      <c r="B47" s="177" t="s">
        <v>11</v>
      </c>
      <c r="C47" s="178"/>
      <c r="D47" s="14">
        <f>IF(F3="1",SUMIF(Data!A:A,'48'!$A$2,Data!DF:DF),0)</f>
        <v>210336</v>
      </c>
      <c r="E47" s="17">
        <f>IF($F$3="1",SUMIF(Data!$A:$A,$A$2,Data!IZ:IZ),0)</f>
        <v>20747</v>
      </c>
      <c r="F47" s="21">
        <f t="shared" si="3"/>
        <v>0.1</v>
      </c>
    </row>
    <row r="48" spans="1:6" x14ac:dyDescent="0.2">
      <c r="A48" s="19">
        <v>13</v>
      </c>
      <c r="B48" s="177" t="s">
        <v>12</v>
      </c>
      <c r="C48" s="178"/>
      <c r="D48" s="14">
        <f>IF(F3="1",SUMIF(Data!A:A,'48'!$A$2,Data!DG:DG),0)</f>
        <v>11776</v>
      </c>
      <c r="E48" s="17">
        <f>IF($F$3="1",SUMIF(Data!$A:$A,$A$2,Data!JA:JA),0)</f>
        <v>968</v>
      </c>
      <c r="F48" s="21">
        <f t="shared" si="3"/>
        <v>0.08</v>
      </c>
    </row>
    <row r="49" spans="1:6" ht="14.25" customHeight="1" x14ac:dyDescent="0.2">
      <c r="A49" s="19">
        <v>14</v>
      </c>
      <c r="B49" s="177" t="s">
        <v>464</v>
      </c>
      <c r="C49" s="178"/>
      <c r="D49" s="14">
        <f>IF(F3="1",SUMIF(Data!A:A,'48'!$A$2,Data!DH:DH),0)</f>
        <v>48</v>
      </c>
      <c r="E49" s="17">
        <f>IF($F$3="1",SUMIF(Data!$A:$A,$A$2,Data!JB:JB),0)</f>
        <v>22500</v>
      </c>
      <c r="F49" s="21">
        <f t="shared" si="3"/>
        <v>468.75</v>
      </c>
    </row>
    <row r="50" spans="1:6" x14ac:dyDescent="0.2">
      <c r="A50" s="19">
        <v>15</v>
      </c>
      <c r="B50" s="177" t="s">
        <v>13</v>
      </c>
      <c r="C50" s="178"/>
      <c r="D50" s="14">
        <f>IF(F3="1",SUMIF(Data!A:A,'48'!$A$2,Data!DI:DI),0)</f>
        <v>0</v>
      </c>
      <c r="E50" s="17">
        <f>IF($F$3="1",SUMIF(Data!$A:$A,$A$2,Data!JC:JC),0)</f>
        <v>0</v>
      </c>
      <c r="F50" s="21" t="str">
        <f t="shared" si="3"/>
        <v/>
      </c>
    </row>
    <row r="51" spans="1:6" x14ac:dyDescent="0.2">
      <c r="A51" s="19">
        <v>16</v>
      </c>
      <c r="B51" s="177" t="s">
        <v>14</v>
      </c>
      <c r="C51" s="178"/>
      <c r="D51" s="14">
        <f>IF(F3="1",SUMIF(Data!A:A,'48'!$A$2,Data!DJ:DJ),0)</f>
        <v>42732</v>
      </c>
      <c r="E51" s="17">
        <f>IF($F$3="1",SUMIF(Data!$A:$A,$A$2,Data!JD:JD),0)</f>
        <v>127891</v>
      </c>
      <c r="F51" s="21">
        <f t="shared" si="3"/>
        <v>2.99</v>
      </c>
    </row>
    <row r="52" spans="1:6" x14ac:dyDescent="0.2">
      <c r="A52" s="19">
        <v>17</v>
      </c>
      <c r="B52" s="177" t="s">
        <v>15</v>
      </c>
      <c r="C52" s="178"/>
      <c r="D52" s="14">
        <f>IF(F3="1",SUMIF(Data!A:A,'48'!$A$2,Data!DK:DK),0)</f>
        <v>20720</v>
      </c>
      <c r="E52" s="17">
        <f>IF($F$3="1",SUMIF(Data!$A:$A,$A$2,Data!JE:JE),0)</f>
        <v>41441</v>
      </c>
      <c r="F52" s="21">
        <f t="shared" si="3"/>
        <v>2</v>
      </c>
    </row>
    <row r="53" spans="1:6" x14ac:dyDescent="0.2">
      <c r="A53" s="19">
        <v>18</v>
      </c>
      <c r="B53" s="177" t="s">
        <v>16</v>
      </c>
      <c r="C53" s="178"/>
      <c r="D53" s="14">
        <f>IF(F3="1",SUMIF(Data!A:A,'48'!$A$2,Data!DL:DL),0)</f>
        <v>111872</v>
      </c>
      <c r="E53" s="17">
        <f>IF($F$3="1",SUMIF(Data!$A:$A,$A$2,Data!JF:JF),0)</f>
        <v>84989</v>
      </c>
      <c r="F53" s="21">
        <f t="shared" si="3"/>
        <v>0.76</v>
      </c>
    </row>
    <row r="54" spans="1:6" x14ac:dyDescent="0.2">
      <c r="A54" s="19">
        <v>19</v>
      </c>
      <c r="B54" s="177" t="s">
        <v>17</v>
      </c>
      <c r="C54" s="178"/>
      <c r="D54" s="14">
        <f>IF(F3="1",SUMIF(Data!A:A,'48'!$A$2,Data!DM:DM),0)</f>
        <v>148558</v>
      </c>
      <c r="E54" s="17">
        <f>IF($F$3="1",SUMIF(Data!$A:$A,$A$2,Data!JG:JG),0)</f>
        <v>15515</v>
      </c>
      <c r="F54" s="21">
        <f t="shared" si="3"/>
        <v>0.1</v>
      </c>
    </row>
    <row r="55" spans="1:6" x14ac:dyDescent="0.2">
      <c r="A55" s="19">
        <v>20</v>
      </c>
      <c r="B55" s="177" t="s">
        <v>18</v>
      </c>
      <c r="C55" s="178"/>
      <c r="D55" s="14">
        <f>IF(F3="1",SUMIF(Data!A:A,'48'!$A$2,Data!DN:DN),0)</f>
        <v>264</v>
      </c>
      <c r="E55" s="17">
        <f>IF($F$3="1",SUMIF(Data!$A:$A,$A$2,Data!JH:JH),0)</f>
        <v>1633</v>
      </c>
      <c r="F55" s="21">
        <f t="shared" si="3"/>
        <v>6.19</v>
      </c>
    </row>
    <row r="56" spans="1:6" ht="14.25" customHeight="1" x14ac:dyDescent="0.2">
      <c r="A56" s="19">
        <v>21</v>
      </c>
      <c r="B56" s="177" t="s">
        <v>461</v>
      </c>
      <c r="C56" s="178"/>
      <c r="D56" s="14">
        <f>IF(F3="1",SUMIF(Data!A:A,'48'!$A$2,Data!DO:DO),0)</f>
        <v>47160</v>
      </c>
      <c r="E56" s="17">
        <f>IF($F$3="1",SUMIF(Data!$A:$A,$A$2,Data!JI:JI),0)</f>
        <v>81530</v>
      </c>
      <c r="F56" s="21">
        <f t="shared" si="3"/>
        <v>1.73</v>
      </c>
    </row>
    <row r="57" spans="1:6" x14ac:dyDescent="0.2">
      <c r="A57" s="19">
        <v>22</v>
      </c>
      <c r="B57" s="177" t="s">
        <v>19</v>
      </c>
      <c r="C57" s="178"/>
      <c r="D57" s="14">
        <f>IF(F3="1",SUMIF(Data!A:A,'48'!$A$2,Data!DP:DP),0)</f>
        <v>1980</v>
      </c>
      <c r="E57" s="17">
        <f>IF($F$3="1",SUMIF(Data!$A:$A,$A$2,Data!JJ:JJ),0)</f>
        <v>12250</v>
      </c>
      <c r="F57" s="21">
        <f t="shared" si="3"/>
        <v>6.19</v>
      </c>
    </row>
    <row r="58" spans="1:6" x14ac:dyDescent="0.2">
      <c r="A58" s="19">
        <v>23</v>
      </c>
      <c r="B58" s="177" t="s">
        <v>20</v>
      </c>
      <c r="C58" s="178"/>
      <c r="D58" s="14">
        <f>IF(F3="1",SUMIF(Data!A:A,'48'!$A$2,Data!DQ:DQ),0)</f>
        <v>57744</v>
      </c>
      <c r="E58" s="17">
        <f>IF($F$3="1",SUMIF(Data!$A:$A,$A$2,Data!JK:JK),0)</f>
        <v>14467</v>
      </c>
      <c r="F58" s="21">
        <f t="shared" si="3"/>
        <v>0.25</v>
      </c>
    </row>
    <row r="59" spans="1:6" x14ac:dyDescent="0.2">
      <c r="A59" s="19">
        <v>24</v>
      </c>
      <c r="B59" s="177" t="s">
        <v>21</v>
      </c>
      <c r="C59" s="178"/>
      <c r="D59" s="14">
        <f>IF(F3="1",SUMIF(Data!A:A,'48'!$A$2,Data!DR:DR),0)</f>
        <v>95101</v>
      </c>
      <c r="E59" s="17">
        <f>IF($F$3="1",SUMIF(Data!$A:$A,$A$2,Data!JL:JL),0)</f>
        <v>85456</v>
      </c>
      <c r="F59" s="21">
        <f t="shared" si="3"/>
        <v>0.9</v>
      </c>
    </row>
    <row r="60" spans="1:6" x14ac:dyDescent="0.2">
      <c r="A60" s="19">
        <v>25</v>
      </c>
      <c r="B60" s="177" t="s">
        <v>22</v>
      </c>
      <c r="C60" s="178"/>
      <c r="D60" s="14">
        <f>IF(F3="1",SUMIF(Data!A:A,'48'!$A$2,Data!DS:DS),0)</f>
        <v>202560</v>
      </c>
      <c r="E60" s="17">
        <f>IF($F$3="1",SUMIF(Data!$A:$A,$A$2,Data!JM:JM),0)</f>
        <v>9175</v>
      </c>
      <c r="F60" s="21">
        <f t="shared" si="3"/>
        <v>0.05</v>
      </c>
    </row>
    <row r="61" spans="1:6" x14ac:dyDescent="0.2">
      <c r="A61" s="19">
        <v>26</v>
      </c>
      <c r="B61" s="177" t="s">
        <v>23</v>
      </c>
      <c r="C61" s="178"/>
      <c r="D61" s="14">
        <f>IF(F3="1",SUMIF(Data!A:A,'48'!$A$2,Data!DT:DT),0)</f>
        <v>48800</v>
      </c>
      <c r="E61" s="17">
        <f>IF($F$3="1",SUMIF(Data!$A:$A,$A$2,Data!JN:JN),0)</f>
        <v>34252</v>
      </c>
      <c r="F61" s="21">
        <f t="shared" si="3"/>
        <v>0.7</v>
      </c>
    </row>
    <row r="62" spans="1:6" x14ac:dyDescent="0.2">
      <c r="A62" s="19">
        <v>28</v>
      </c>
      <c r="B62" s="177" t="s">
        <v>24</v>
      </c>
      <c r="C62" s="178"/>
      <c r="D62" s="14">
        <f>IF(F3="1",SUMIF(Data!A:A,'48'!$A$2,Data!DV:DV),0)</f>
        <v>0</v>
      </c>
      <c r="E62" s="17">
        <f>IF($F$3="1",SUMIF(Data!$A:$A,$A$2,Data!JP:JP),0)</f>
        <v>0</v>
      </c>
      <c r="F62" s="21" t="str">
        <f t="shared" si="3"/>
        <v/>
      </c>
    </row>
    <row r="63" spans="1:6" ht="15.75" customHeight="1" thickBot="1" x14ac:dyDescent="0.25">
      <c r="A63" s="22">
        <v>29</v>
      </c>
      <c r="B63" s="179" t="s">
        <v>25</v>
      </c>
      <c r="C63" s="180"/>
      <c r="D63" s="23">
        <f>IF(F3="1",SUMIF(Data!A:A,'48'!$A$2,Data!DW:DW),0)</f>
        <v>0</v>
      </c>
      <c r="E63" s="24">
        <f>IF($F$3="1",SUMIF(Data!$A:$A,$A$2,Data!JQ:JQ),0)</f>
        <v>0</v>
      </c>
      <c r="F63" s="25" t="str">
        <f t="shared" si="3"/>
        <v/>
      </c>
    </row>
    <row r="64" spans="1:6" x14ac:dyDescent="0.2">
      <c r="B64" s="30" t="s">
        <v>35</v>
      </c>
      <c r="C64" s="30"/>
      <c r="D64" s="59">
        <f>SUM(D36:D63)</f>
        <v>1423686</v>
      </c>
      <c r="E64" s="31">
        <f>SUM(E36:E63)</f>
        <v>977629</v>
      </c>
      <c r="F64" s="32">
        <f t="shared" si="3"/>
        <v>0.69</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23184</v>
      </c>
      <c r="E67" s="15">
        <f>IF(F3="1",SUMIF(Data!A:A,'48'!$A$2,Data!DY:DY),0)</f>
        <v>99658</v>
      </c>
      <c r="F67" s="20">
        <f t="shared" ref="F67:F95" si="4">IF(OR(D67=0,E67=0),"",ROUND(E67/D67,2))</f>
        <v>4.3</v>
      </c>
    </row>
    <row r="68" spans="1:6" x14ac:dyDescent="0.2">
      <c r="A68" s="19">
        <v>2</v>
      </c>
      <c r="B68" s="177" t="s">
        <v>1</v>
      </c>
      <c r="C68" s="178"/>
      <c r="D68" s="14">
        <f t="shared" ref="D68:D94" si="5">D37</f>
        <v>14720</v>
      </c>
      <c r="E68" s="17">
        <f>IF(F3="1",SUMIF(Data!A:A,'48'!$A$2,Data!DZ:DZ),0)</f>
        <v>82252</v>
      </c>
      <c r="F68" s="21">
        <f t="shared" si="4"/>
        <v>5.59</v>
      </c>
    </row>
    <row r="69" spans="1:6" ht="14.25" customHeight="1" x14ac:dyDescent="0.2">
      <c r="A69" s="19">
        <v>3</v>
      </c>
      <c r="B69" s="177" t="s">
        <v>2</v>
      </c>
      <c r="C69" s="178"/>
      <c r="D69" s="14">
        <f t="shared" si="5"/>
        <v>123776</v>
      </c>
      <c r="E69" s="17">
        <f>IF(F3="1",SUMIF(Data!A:A,'48'!$A$2,Data!EA:EA),0)</f>
        <v>242585</v>
      </c>
      <c r="F69" s="21">
        <f t="shared" si="4"/>
        <v>1.96</v>
      </c>
    </row>
    <row r="70" spans="1:6" ht="14.25" customHeight="1" x14ac:dyDescent="0.2">
      <c r="A70" s="19">
        <v>4</v>
      </c>
      <c r="B70" s="177" t="s">
        <v>3</v>
      </c>
      <c r="C70" s="178"/>
      <c r="D70" s="14">
        <f t="shared" si="5"/>
        <v>86769</v>
      </c>
      <c r="E70" s="17">
        <f>IF(F3="1",SUMIF(Data!A:A,'48'!$A$2,Data!EB:EB),0)</f>
        <v>325895</v>
      </c>
      <c r="F70" s="21">
        <f t="shared" si="4"/>
        <v>3.76</v>
      </c>
    </row>
    <row r="71" spans="1:6" x14ac:dyDescent="0.2">
      <c r="A71" s="19">
        <v>5</v>
      </c>
      <c r="B71" s="177" t="s">
        <v>4</v>
      </c>
      <c r="C71" s="178"/>
      <c r="D71" s="14">
        <f t="shared" si="5"/>
        <v>0</v>
      </c>
      <c r="E71" s="17">
        <f>IF(F3="1",SUMIF(Data!A:A,'48'!$A$2,Data!EC:EC),0)</f>
        <v>0</v>
      </c>
      <c r="F71" s="21" t="str">
        <f t="shared" si="4"/>
        <v/>
      </c>
    </row>
    <row r="72" spans="1:6" x14ac:dyDescent="0.2">
      <c r="A72" s="19">
        <v>6</v>
      </c>
      <c r="B72" s="177" t="s">
        <v>5</v>
      </c>
      <c r="C72" s="178"/>
      <c r="D72" s="14">
        <f t="shared" si="5"/>
        <v>224</v>
      </c>
      <c r="E72" s="17">
        <f>IF(F3="1",SUMIF(Data!A:A,'48'!$A$2,Data!ED:ED),0)</f>
        <v>590</v>
      </c>
      <c r="F72" s="21">
        <f t="shared" si="4"/>
        <v>2.63</v>
      </c>
    </row>
    <row r="73" spans="1:6" x14ac:dyDescent="0.2">
      <c r="A73" s="19">
        <v>7</v>
      </c>
      <c r="B73" s="177" t="s">
        <v>6</v>
      </c>
      <c r="C73" s="178"/>
      <c r="D73" s="14">
        <f t="shared" si="5"/>
        <v>94110</v>
      </c>
      <c r="E73" s="17">
        <f>IF(F3="1",SUMIF(Data!A:A,'48'!$A$2,Data!EE:EE),0)</f>
        <v>271221</v>
      </c>
      <c r="F73" s="21">
        <f t="shared" si="4"/>
        <v>2.88</v>
      </c>
    </row>
    <row r="74" spans="1:6" x14ac:dyDescent="0.2">
      <c r="A74" s="19">
        <v>8</v>
      </c>
      <c r="B74" s="177" t="s">
        <v>7</v>
      </c>
      <c r="C74" s="178"/>
      <c r="D74" s="14">
        <f t="shared" si="5"/>
        <v>0</v>
      </c>
      <c r="E74" s="17">
        <f>IF(F3="1",SUMIF(Data!A:A,'48'!$A$2,Data!EF:EF),0)</f>
        <v>0</v>
      </c>
      <c r="F74" s="21" t="str">
        <f t="shared" si="4"/>
        <v/>
      </c>
    </row>
    <row r="75" spans="1:6" x14ac:dyDescent="0.2">
      <c r="A75" s="19">
        <v>9</v>
      </c>
      <c r="B75" s="177" t="s">
        <v>8</v>
      </c>
      <c r="C75" s="178"/>
      <c r="D75" s="14">
        <f t="shared" si="5"/>
        <v>62372</v>
      </c>
      <c r="E75" s="17">
        <f>IF(F3="1",SUMIF(Data!A:A,'48'!$A$2,Data!EG:EG),0)</f>
        <v>161654</v>
      </c>
      <c r="F75" s="21">
        <f t="shared" si="4"/>
        <v>2.59</v>
      </c>
    </row>
    <row r="76" spans="1:6" x14ac:dyDescent="0.2">
      <c r="A76" s="19">
        <v>10</v>
      </c>
      <c r="B76" s="177" t="s">
        <v>9</v>
      </c>
      <c r="C76" s="178"/>
      <c r="D76" s="14">
        <f t="shared" si="5"/>
        <v>0</v>
      </c>
      <c r="E76" s="17">
        <f>IF(F3="1",SUMIF(Data!A:A,'48'!$A$2,Data!EH:EH),0)</f>
        <v>0</v>
      </c>
      <c r="F76" s="21" t="str">
        <f t="shared" si="4"/>
        <v/>
      </c>
    </row>
    <row r="77" spans="1:6" x14ac:dyDescent="0.2">
      <c r="A77" s="19">
        <v>11</v>
      </c>
      <c r="B77" s="177" t="s">
        <v>10</v>
      </c>
      <c r="C77" s="178"/>
      <c r="D77" s="14">
        <f t="shared" si="5"/>
        <v>18880</v>
      </c>
      <c r="E77" s="17">
        <f>IF(F3="1",SUMIF(Data!A:A,'48'!$A$2,Data!EI:EI),0)</f>
        <v>142160</v>
      </c>
      <c r="F77" s="21">
        <f t="shared" si="4"/>
        <v>7.53</v>
      </c>
    </row>
    <row r="78" spans="1:6" ht="14.25" customHeight="1" x14ac:dyDescent="0.2">
      <c r="A78" s="19">
        <v>12</v>
      </c>
      <c r="B78" s="177" t="s">
        <v>11</v>
      </c>
      <c r="C78" s="178"/>
      <c r="D78" s="14">
        <f t="shared" si="5"/>
        <v>210336</v>
      </c>
      <c r="E78" s="17">
        <f>IF(F3="1",SUMIF(Data!A:A,'48'!$A$2,Data!EJ:EJ),0)</f>
        <v>554236</v>
      </c>
      <c r="F78" s="21">
        <f t="shared" si="4"/>
        <v>2.64</v>
      </c>
    </row>
    <row r="79" spans="1:6" x14ac:dyDescent="0.2">
      <c r="A79" s="19">
        <v>13</v>
      </c>
      <c r="B79" s="177" t="s">
        <v>12</v>
      </c>
      <c r="C79" s="178"/>
      <c r="D79" s="14">
        <f t="shared" si="5"/>
        <v>11776</v>
      </c>
      <c r="E79" s="17">
        <f>IF(F3="1",SUMIF(Data!A:A,'48'!$A$2,Data!EK:EK),0)</f>
        <v>31030</v>
      </c>
      <c r="F79" s="21">
        <f t="shared" si="4"/>
        <v>2.64</v>
      </c>
    </row>
    <row r="80" spans="1:6" ht="14.25" customHeight="1" x14ac:dyDescent="0.2">
      <c r="A80" s="19">
        <v>14</v>
      </c>
      <c r="B80" s="177" t="s">
        <v>464</v>
      </c>
      <c r="C80" s="178"/>
      <c r="D80" s="14">
        <f t="shared" si="5"/>
        <v>48</v>
      </c>
      <c r="E80" s="17">
        <f>IF(F3="1",SUMIF(Data!A:A,'48'!$A$2,Data!EL:EL),0)</f>
        <v>60859</v>
      </c>
      <c r="F80" s="21">
        <f t="shared" si="4"/>
        <v>1267.9000000000001</v>
      </c>
    </row>
    <row r="81" spans="1:6" x14ac:dyDescent="0.2">
      <c r="A81" s="19">
        <v>15</v>
      </c>
      <c r="B81" s="177" t="s">
        <v>13</v>
      </c>
      <c r="C81" s="178"/>
      <c r="D81" s="14">
        <f t="shared" si="5"/>
        <v>0</v>
      </c>
      <c r="E81" s="17">
        <f>IF(F3="1",SUMIF(Data!A:A,'48'!$A$2,Data!EM:EM),0)</f>
        <v>0</v>
      </c>
      <c r="F81" s="21" t="str">
        <f t="shared" si="4"/>
        <v/>
      </c>
    </row>
    <row r="82" spans="1:6" x14ac:dyDescent="0.2">
      <c r="A82" s="19">
        <v>16</v>
      </c>
      <c r="B82" s="177" t="s">
        <v>14</v>
      </c>
      <c r="C82" s="178"/>
      <c r="D82" s="14">
        <f t="shared" si="5"/>
        <v>42732</v>
      </c>
      <c r="E82" s="17">
        <f>IF(F3="1",SUMIF(Data!A:A,'48'!$A$2,Data!EN:EN),0)</f>
        <v>200624</v>
      </c>
      <c r="F82" s="21">
        <f t="shared" si="4"/>
        <v>4.6900000000000004</v>
      </c>
    </row>
    <row r="83" spans="1:6" x14ac:dyDescent="0.2">
      <c r="A83" s="19">
        <v>17</v>
      </c>
      <c r="B83" s="177" t="s">
        <v>15</v>
      </c>
      <c r="C83" s="178"/>
      <c r="D83" s="14">
        <f t="shared" si="5"/>
        <v>20720</v>
      </c>
      <c r="E83" s="17">
        <f>IF(F3="1",SUMIF(Data!A:A,'48'!$A$2,Data!EO:EO),0)</f>
        <v>128947</v>
      </c>
      <c r="F83" s="21">
        <f t="shared" si="4"/>
        <v>6.22</v>
      </c>
    </row>
    <row r="84" spans="1:6" x14ac:dyDescent="0.2">
      <c r="A84" s="19">
        <v>18</v>
      </c>
      <c r="B84" s="177" t="s">
        <v>16</v>
      </c>
      <c r="C84" s="178"/>
      <c r="D84" s="14">
        <f t="shared" si="5"/>
        <v>111872</v>
      </c>
      <c r="E84" s="17">
        <f>IF(F3="1",SUMIF(Data!A:A,'48'!$A$2,Data!EP:EP),0)</f>
        <v>311148</v>
      </c>
      <c r="F84" s="21">
        <f t="shared" si="4"/>
        <v>2.78</v>
      </c>
    </row>
    <row r="85" spans="1:6" x14ac:dyDescent="0.2">
      <c r="A85" s="19">
        <v>19</v>
      </c>
      <c r="B85" s="177" t="s">
        <v>17</v>
      </c>
      <c r="C85" s="178"/>
      <c r="D85" s="14">
        <f t="shared" si="5"/>
        <v>148558</v>
      </c>
      <c r="E85" s="17">
        <f>IF(F3="1",SUMIF(Data!A:A,'48'!$A$2,Data!EQ:EQ),0)</f>
        <v>416556</v>
      </c>
      <c r="F85" s="21">
        <f t="shared" si="4"/>
        <v>2.8</v>
      </c>
    </row>
    <row r="86" spans="1:6" x14ac:dyDescent="0.2">
      <c r="A86" s="19">
        <v>20</v>
      </c>
      <c r="B86" s="177" t="s">
        <v>18</v>
      </c>
      <c r="C86" s="178"/>
      <c r="D86" s="14">
        <f t="shared" si="5"/>
        <v>264</v>
      </c>
      <c r="E86" s="17">
        <f>IF(F3="1",SUMIF(Data!A:A,'48'!$A$2,Data!ER:ER),0)</f>
        <v>541</v>
      </c>
      <c r="F86" s="21">
        <f t="shared" si="4"/>
        <v>2.0499999999999998</v>
      </c>
    </row>
    <row r="87" spans="1:6" ht="14.25" customHeight="1" x14ac:dyDescent="0.2">
      <c r="A87" s="19">
        <v>21</v>
      </c>
      <c r="B87" s="177" t="s">
        <v>461</v>
      </c>
      <c r="C87" s="178"/>
      <c r="D87" s="14">
        <f t="shared" si="5"/>
        <v>47160</v>
      </c>
      <c r="E87" s="17">
        <f>IF(F3="1",SUMIF(Data!A:A,'48'!$A$2,Data!ES:ES),0)</f>
        <v>260985</v>
      </c>
      <c r="F87" s="21">
        <f t="shared" si="4"/>
        <v>5.53</v>
      </c>
    </row>
    <row r="88" spans="1:6" x14ac:dyDescent="0.2">
      <c r="A88" s="19">
        <v>22</v>
      </c>
      <c r="B88" s="177" t="s">
        <v>19</v>
      </c>
      <c r="C88" s="178"/>
      <c r="D88" s="14">
        <f t="shared" si="5"/>
        <v>1980</v>
      </c>
      <c r="E88" s="17">
        <f>IF(F3="1",SUMIF(Data!A:A,'48'!$A$2,Data!ET:ET),0)</f>
        <v>4058</v>
      </c>
      <c r="F88" s="21">
        <f t="shared" si="4"/>
        <v>2.0499999999999998</v>
      </c>
    </row>
    <row r="89" spans="1:6" x14ac:dyDescent="0.2">
      <c r="A89" s="19">
        <v>23</v>
      </c>
      <c r="B89" s="177" t="s">
        <v>20</v>
      </c>
      <c r="C89" s="178"/>
      <c r="D89" s="14">
        <f t="shared" si="5"/>
        <v>57744</v>
      </c>
      <c r="E89" s="17">
        <f>IF(F3="1",SUMIF(Data!A:A,'48'!$A$2,Data!EU:EU),0)</f>
        <v>218896</v>
      </c>
      <c r="F89" s="21">
        <f t="shared" si="4"/>
        <v>3.79</v>
      </c>
    </row>
    <row r="90" spans="1:6" x14ac:dyDescent="0.2">
      <c r="A90" s="19">
        <v>24</v>
      </c>
      <c r="B90" s="177" t="s">
        <v>21</v>
      </c>
      <c r="C90" s="178"/>
      <c r="D90" s="14">
        <f t="shared" si="5"/>
        <v>95101</v>
      </c>
      <c r="E90" s="17">
        <f>IF(F3="1",SUMIF(Data!A:A,'48'!$A$2,Data!EV:EV),0)</f>
        <v>302097</v>
      </c>
      <c r="F90" s="21">
        <f t="shared" si="4"/>
        <v>3.18</v>
      </c>
    </row>
    <row r="91" spans="1:6" x14ac:dyDescent="0.2">
      <c r="A91" s="19">
        <v>25</v>
      </c>
      <c r="B91" s="177" t="s">
        <v>22</v>
      </c>
      <c r="C91" s="178"/>
      <c r="D91" s="14">
        <f t="shared" si="5"/>
        <v>202560</v>
      </c>
      <c r="E91" s="17">
        <f>IF(F3="1",SUMIF(Data!A:A,'48'!$A$2,Data!EW:EW),0)</f>
        <v>379524</v>
      </c>
      <c r="F91" s="21">
        <f t="shared" si="4"/>
        <v>1.87</v>
      </c>
    </row>
    <row r="92" spans="1:6" x14ac:dyDescent="0.2">
      <c r="A92" s="19">
        <v>26</v>
      </c>
      <c r="B92" s="177" t="s">
        <v>23</v>
      </c>
      <c r="C92" s="178"/>
      <c r="D92" s="14">
        <f t="shared" si="5"/>
        <v>48800</v>
      </c>
      <c r="E92" s="17">
        <f>IF(F3="1",SUMIF(Data!A:A,'48'!$A$2,Data!EX:EX),0)</f>
        <v>212397</v>
      </c>
      <c r="F92" s="21">
        <f t="shared" si="4"/>
        <v>4.3499999999999996</v>
      </c>
    </row>
    <row r="93" spans="1:6" x14ac:dyDescent="0.2">
      <c r="A93" s="19">
        <v>28</v>
      </c>
      <c r="B93" s="177" t="s">
        <v>24</v>
      </c>
      <c r="C93" s="178"/>
      <c r="D93" s="14">
        <f t="shared" si="5"/>
        <v>0</v>
      </c>
      <c r="E93" s="17">
        <f>IF(F3="1",SUMIF(Data!A:A,'48'!$A$2,Data!EZ:EZ),0)</f>
        <v>0</v>
      </c>
      <c r="F93" s="21" t="str">
        <f t="shared" si="4"/>
        <v/>
      </c>
    </row>
    <row r="94" spans="1:6" ht="15.75" customHeight="1" thickBot="1" x14ac:dyDescent="0.25">
      <c r="A94" s="22">
        <v>29</v>
      </c>
      <c r="B94" s="179" t="s">
        <v>25</v>
      </c>
      <c r="C94" s="180"/>
      <c r="D94" s="23">
        <f t="shared" si="5"/>
        <v>0</v>
      </c>
      <c r="E94" s="24">
        <f>IF(F3="1",SUMIF(Data!A:A,'48'!$A$2,Data!FA:FA),0)</f>
        <v>0</v>
      </c>
      <c r="F94" s="25" t="str">
        <f t="shared" si="4"/>
        <v/>
      </c>
    </row>
    <row r="95" spans="1:6" x14ac:dyDescent="0.2">
      <c r="B95" s="30" t="s">
        <v>35</v>
      </c>
      <c r="C95" s="30"/>
      <c r="D95" s="59">
        <f>SUM(D67:D94)</f>
        <v>1423686</v>
      </c>
      <c r="E95" s="31">
        <f>SUM(E67:E94)</f>
        <v>4407913</v>
      </c>
      <c r="F95" s="32">
        <f t="shared" si="4"/>
        <v>3.1</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IF(F3="1",SUMIF(Data!A:A,'48'!$A$2,Data!AH:AH),0)</f>
        <v>1953391</v>
      </c>
      <c r="F98" s="20">
        <f>IF(OR(E98=0,E98=0),"",ROUND(E98/$D$105,2))</f>
        <v>1.37</v>
      </c>
    </row>
    <row r="99" spans="2:6" x14ac:dyDescent="0.2">
      <c r="B99" s="183" t="s">
        <v>31</v>
      </c>
      <c r="C99" s="184"/>
      <c r="D99" s="36"/>
      <c r="E99" s="17">
        <f>IF(F3="1",SUMIF(Data!A:A,'48'!$A$2,Data!AI:AI),0)</f>
        <v>953627</v>
      </c>
      <c r="F99" s="21">
        <f t="shared" ref="F99:F104" si="6">IF(OR(E99=0,E99=0),"",ROUND(E99/$D$105,2))</f>
        <v>0.67</v>
      </c>
    </row>
    <row r="100" spans="2:6" x14ac:dyDescent="0.2">
      <c r="B100" s="183" t="s">
        <v>1078</v>
      </c>
      <c r="C100" s="184"/>
      <c r="D100" s="36"/>
      <c r="E100" s="17">
        <f>IF(F3="1",SUMIF(Data!A:A,'48'!$A$2,Data!AJ:AJ),0)</f>
        <v>371142</v>
      </c>
      <c r="F100" s="21">
        <f t="shared" si="6"/>
        <v>0.26</v>
      </c>
    </row>
    <row r="101" spans="2:6" x14ac:dyDescent="0.2">
      <c r="B101" s="183" t="s">
        <v>1079</v>
      </c>
      <c r="C101" s="184"/>
      <c r="D101" s="36"/>
      <c r="E101" s="17">
        <f>IF(F3="1",SUMIF(Data!A:A,'48'!$A$2,Data!AK:AK),0)</f>
        <v>288802</v>
      </c>
      <c r="F101" s="21">
        <f t="shared" si="6"/>
        <v>0.2</v>
      </c>
    </row>
    <row r="102" spans="2:6" x14ac:dyDescent="0.2">
      <c r="B102" s="183" t="s">
        <v>1080</v>
      </c>
      <c r="C102" s="184"/>
      <c r="D102" s="36"/>
      <c r="E102" s="17">
        <f>IF(F3="1",SUMIF(Data!A:A,'48'!$A$2,Data!AL:AL),0)</f>
        <v>0</v>
      </c>
      <c r="F102" s="21" t="str">
        <f t="shared" si="6"/>
        <v/>
      </c>
    </row>
    <row r="103" spans="2:6" x14ac:dyDescent="0.2">
      <c r="B103" s="185" t="s">
        <v>34</v>
      </c>
      <c r="C103" s="186"/>
      <c r="D103" s="36"/>
      <c r="E103" s="17">
        <f>IF(F3="1",SUMIF(Data!A:A,'48'!$A$2,Data!AM:AM),0)</f>
        <v>0</v>
      </c>
      <c r="F103" s="21" t="str">
        <f t="shared" si="6"/>
        <v/>
      </c>
    </row>
    <row r="104" spans="2:6" ht="15.75" customHeight="1" thickBot="1" x14ac:dyDescent="0.25">
      <c r="B104" s="175" t="s">
        <v>29</v>
      </c>
      <c r="C104" s="176"/>
      <c r="D104" s="37"/>
      <c r="E104" s="24">
        <f>IF(F3="1",SUMIF(Data!A:A,'48'!$A$2,Data!Q:Q),0)</f>
        <v>88933</v>
      </c>
      <c r="F104" s="25">
        <f t="shared" si="6"/>
        <v>0.06</v>
      </c>
    </row>
    <row r="105" spans="2:6" x14ac:dyDescent="0.2">
      <c r="B105" s="30" t="s">
        <v>35</v>
      </c>
      <c r="C105" s="30"/>
      <c r="D105" s="34">
        <f>D95</f>
        <v>1423686</v>
      </c>
      <c r="E105" s="31">
        <f>SUM(E98:E104)</f>
        <v>3655895</v>
      </c>
      <c r="F105" s="32">
        <f>IF($D$105=0,"",ROUND(E105/$D$105,2))</f>
        <v>2.57</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4407913</v>
      </c>
      <c r="D109" s="15">
        <f>IF(F3="1",SUMIF(Data!$A:$A,$A$2,Data!HJ:HJ),0)</f>
        <v>0</v>
      </c>
      <c r="E109" s="15">
        <f>IF(F3="1",SUMIF(Data!$A:$A,$A$2,Data!IN:IN),0)</f>
        <v>0</v>
      </c>
      <c r="F109" s="47">
        <f>SUM(C109:E109)</f>
        <v>4407913</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88933</v>
      </c>
      <c r="E117" s="52"/>
      <c r="F117" s="49">
        <f>SUM(C117:E117)</f>
        <v>88933</v>
      </c>
    </row>
    <row r="118" spans="1:6" x14ac:dyDescent="0.2">
      <c r="B118" s="13" t="s">
        <v>35</v>
      </c>
      <c r="C118" s="4">
        <f>SUM(C109:C116)</f>
        <v>4407913</v>
      </c>
      <c r="D118" s="4">
        <f>SUM(D109:D116)</f>
        <v>0</v>
      </c>
      <c r="E118" s="4">
        <f>SUM(E109:E116)</f>
        <v>0</v>
      </c>
      <c r="F118" s="4">
        <f>SUM(F109:F116)</f>
        <v>4407913</v>
      </c>
    </row>
    <row r="119" spans="1:6" ht="15" thickBot="1" x14ac:dyDescent="0.25"/>
    <row r="120" spans="1:6" ht="15" thickBot="1" x14ac:dyDescent="0.25">
      <c r="B120" s="55" t="s">
        <v>934</v>
      </c>
      <c r="C120" s="53"/>
      <c r="D120" s="53"/>
      <c r="E120" s="53">
        <f>IF(F3="1",SUMIF(Data!A:A,'48'!$A$2,Data!AM:AM),0)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2" width="12.140625" style="10" bestFit="1" customWidth="1"/>
    <col min="13" max="13" width="10.5703125" style="10" bestFit="1" customWidth="1"/>
    <col min="14"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431</v>
      </c>
      <c r="B2" s="58" t="str">
        <f>VLOOKUP(A2,Data!A:G,7,0)</f>
        <v>Western Texas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82448</v>
      </c>
      <c r="E5" s="15">
        <f>E36+E67+IFERROR($E$105/$D$105*D5,0)</f>
        <v>593958.01348813588</v>
      </c>
      <c r="F5" s="20">
        <f>IF(OR(D5=0,E5=0),"",ROUND(E5/D5,2))</f>
        <v>7.2</v>
      </c>
    </row>
    <row r="6" spans="1:6" x14ac:dyDescent="0.2">
      <c r="A6" s="19">
        <v>2</v>
      </c>
      <c r="B6" s="177" t="s">
        <v>1</v>
      </c>
      <c r="C6" s="178"/>
      <c r="D6" s="14">
        <f t="shared" ref="D6:D32" si="0">D37</f>
        <v>10880</v>
      </c>
      <c r="E6" s="17">
        <f t="shared" ref="E6:E32" si="1">E37+E68+IFERROR($E$105/$D$105*D6,0)</f>
        <v>94260.394366763518</v>
      </c>
      <c r="F6" s="21">
        <f t="shared" ref="F6:F33" si="2">IF(OR(D6=0,E6=0),"",ROUND(E6/D6,2))</f>
        <v>8.66</v>
      </c>
    </row>
    <row r="7" spans="1:6" ht="14.25" customHeight="1" x14ac:dyDescent="0.2">
      <c r="A7" s="19">
        <v>3</v>
      </c>
      <c r="B7" s="177" t="s">
        <v>2</v>
      </c>
      <c r="C7" s="178"/>
      <c r="D7" s="14">
        <f t="shared" si="0"/>
        <v>41088</v>
      </c>
      <c r="E7" s="17">
        <f t="shared" si="1"/>
        <v>263945.88931448339</v>
      </c>
      <c r="F7" s="21">
        <f t="shared" si="2"/>
        <v>6.42</v>
      </c>
    </row>
    <row r="8" spans="1:6" ht="14.25" customHeight="1" x14ac:dyDescent="0.2">
      <c r="A8" s="19">
        <v>4</v>
      </c>
      <c r="B8" s="177" t="s">
        <v>3</v>
      </c>
      <c r="C8" s="178"/>
      <c r="D8" s="14">
        <f t="shared" si="0"/>
        <v>33843</v>
      </c>
      <c r="E8" s="17">
        <f t="shared" si="1"/>
        <v>240000.6813928656</v>
      </c>
      <c r="F8" s="21">
        <f t="shared" si="2"/>
        <v>7.09</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8176</v>
      </c>
      <c r="E10" s="17">
        <f t="shared" si="1"/>
        <v>89079.471355023765</v>
      </c>
      <c r="F10" s="21">
        <f t="shared" si="2"/>
        <v>10.9</v>
      </c>
    </row>
    <row r="11" spans="1:6" x14ac:dyDescent="0.2">
      <c r="A11" s="19">
        <v>7</v>
      </c>
      <c r="B11" s="177" t="s">
        <v>6</v>
      </c>
      <c r="C11" s="178"/>
      <c r="D11" s="14">
        <f t="shared" si="0"/>
        <v>22738</v>
      </c>
      <c r="E11" s="17">
        <f t="shared" si="1"/>
        <v>146108.80230803942</v>
      </c>
      <c r="F11" s="21">
        <f t="shared" si="2"/>
        <v>6.43</v>
      </c>
    </row>
    <row r="12" spans="1:6" x14ac:dyDescent="0.2">
      <c r="A12" s="19">
        <v>8</v>
      </c>
      <c r="B12" s="177" t="s">
        <v>7</v>
      </c>
      <c r="C12" s="178"/>
      <c r="D12" s="14">
        <f t="shared" si="0"/>
        <v>0</v>
      </c>
      <c r="E12" s="17">
        <f t="shared" si="1"/>
        <v>0</v>
      </c>
      <c r="F12" s="21" t="str">
        <f t="shared" si="2"/>
        <v/>
      </c>
    </row>
    <row r="13" spans="1:6" x14ac:dyDescent="0.2">
      <c r="A13" s="19">
        <v>9</v>
      </c>
      <c r="B13" s="177" t="s">
        <v>8</v>
      </c>
      <c r="C13" s="178"/>
      <c r="D13" s="14">
        <f t="shared" si="0"/>
        <v>15248</v>
      </c>
      <c r="E13" s="17">
        <f t="shared" si="1"/>
        <v>97432.577693420055</v>
      </c>
      <c r="F13" s="21">
        <f t="shared" si="2"/>
        <v>6.39</v>
      </c>
    </row>
    <row r="14" spans="1:6" x14ac:dyDescent="0.2">
      <c r="A14" s="19">
        <v>10</v>
      </c>
      <c r="B14" s="177" t="s">
        <v>9</v>
      </c>
      <c r="C14" s="178"/>
      <c r="D14" s="14">
        <f t="shared" si="0"/>
        <v>0</v>
      </c>
      <c r="E14" s="17">
        <f t="shared" si="1"/>
        <v>0</v>
      </c>
      <c r="F14" s="21" t="str">
        <f t="shared" si="2"/>
        <v/>
      </c>
    </row>
    <row r="15" spans="1:6" x14ac:dyDescent="0.2">
      <c r="A15" s="19">
        <v>11</v>
      </c>
      <c r="B15" s="177" t="s">
        <v>10</v>
      </c>
      <c r="C15" s="178"/>
      <c r="D15" s="14">
        <f t="shared" si="0"/>
        <v>18958</v>
      </c>
      <c r="E15" s="17">
        <f t="shared" si="1"/>
        <v>119570.25904458665</v>
      </c>
      <c r="F15" s="21">
        <f t="shared" si="2"/>
        <v>6.31</v>
      </c>
    </row>
    <row r="16" spans="1:6" ht="14.25" customHeight="1" x14ac:dyDescent="0.2">
      <c r="A16" s="19">
        <v>12</v>
      </c>
      <c r="B16" s="177" t="s">
        <v>11</v>
      </c>
      <c r="C16" s="178"/>
      <c r="D16" s="14">
        <f t="shared" si="0"/>
        <v>94016</v>
      </c>
      <c r="E16" s="17">
        <f t="shared" si="1"/>
        <v>651748.70779279771</v>
      </c>
      <c r="F16" s="21">
        <f t="shared" si="2"/>
        <v>6.93</v>
      </c>
    </row>
    <row r="17" spans="1:6" x14ac:dyDescent="0.2">
      <c r="A17" s="19">
        <v>13</v>
      </c>
      <c r="B17" s="177" t="s">
        <v>12</v>
      </c>
      <c r="C17" s="178"/>
      <c r="D17" s="14">
        <f t="shared" si="0"/>
        <v>3000</v>
      </c>
      <c r="E17" s="17">
        <f t="shared" si="1"/>
        <v>23706.796240835531</v>
      </c>
      <c r="F17" s="21">
        <f t="shared" si="2"/>
        <v>7.9</v>
      </c>
    </row>
    <row r="18" spans="1:6" ht="14.25" customHeight="1" x14ac:dyDescent="0.2">
      <c r="A18" s="19">
        <v>14</v>
      </c>
      <c r="B18" s="177" t="s">
        <v>464</v>
      </c>
      <c r="C18" s="178"/>
      <c r="D18" s="14">
        <f t="shared" si="0"/>
        <v>0</v>
      </c>
      <c r="E18" s="17">
        <f t="shared" si="1"/>
        <v>0</v>
      </c>
      <c r="F18" s="21" t="str">
        <f t="shared" si="2"/>
        <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12006</v>
      </c>
      <c r="E20" s="17">
        <f t="shared" si="1"/>
        <v>94637.344555823787</v>
      </c>
      <c r="F20" s="21">
        <f t="shared" si="2"/>
        <v>7.88</v>
      </c>
    </row>
    <row r="21" spans="1:6" x14ac:dyDescent="0.2">
      <c r="A21" s="19">
        <v>17</v>
      </c>
      <c r="B21" s="177" t="s">
        <v>15</v>
      </c>
      <c r="C21" s="178"/>
      <c r="D21" s="14">
        <f t="shared" si="0"/>
        <v>0</v>
      </c>
      <c r="E21" s="17">
        <f t="shared" si="1"/>
        <v>0</v>
      </c>
      <c r="F21" s="21" t="str">
        <f t="shared" si="2"/>
        <v/>
      </c>
    </row>
    <row r="22" spans="1:6" x14ac:dyDescent="0.2">
      <c r="A22" s="19">
        <v>18</v>
      </c>
      <c r="B22" s="177" t="s">
        <v>16</v>
      </c>
      <c r="C22" s="178"/>
      <c r="D22" s="14">
        <f t="shared" si="0"/>
        <v>27872</v>
      </c>
      <c r="E22" s="17">
        <f t="shared" si="1"/>
        <v>184908.36027485595</v>
      </c>
      <c r="F22" s="21">
        <f t="shared" si="2"/>
        <v>6.63</v>
      </c>
    </row>
    <row r="23" spans="1:6" x14ac:dyDescent="0.2">
      <c r="A23" s="19">
        <v>19</v>
      </c>
      <c r="B23" s="177" t="s">
        <v>17</v>
      </c>
      <c r="C23" s="178"/>
      <c r="D23" s="14">
        <f t="shared" si="0"/>
        <v>72784</v>
      </c>
      <c r="E23" s="17">
        <f t="shared" si="1"/>
        <v>431618.96319765772</v>
      </c>
      <c r="F23" s="21">
        <f t="shared" si="2"/>
        <v>5.93</v>
      </c>
    </row>
    <row r="24" spans="1:6" x14ac:dyDescent="0.2">
      <c r="A24" s="19">
        <v>20</v>
      </c>
      <c r="B24" s="177" t="s">
        <v>18</v>
      </c>
      <c r="C24" s="178"/>
      <c r="D24" s="14">
        <f t="shared" si="0"/>
        <v>17120</v>
      </c>
      <c r="E24" s="17">
        <f t="shared" si="1"/>
        <v>113237.37054770142</v>
      </c>
      <c r="F24" s="21">
        <f t="shared" si="2"/>
        <v>6.61</v>
      </c>
    </row>
    <row r="25" spans="1:6" ht="14.25" customHeight="1" x14ac:dyDescent="0.2">
      <c r="A25" s="19">
        <v>21</v>
      </c>
      <c r="B25" s="177" t="s">
        <v>461</v>
      </c>
      <c r="C25" s="178"/>
      <c r="D25" s="14">
        <f t="shared" si="0"/>
        <v>0</v>
      </c>
      <c r="E25" s="17">
        <f t="shared" si="1"/>
        <v>0</v>
      </c>
      <c r="F25" s="21" t="str">
        <f t="shared" si="2"/>
        <v/>
      </c>
    </row>
    <row r="26" spans="1:6" x14ac:dyDescent="0.2">
      <c r="A26" s="19">
        <v>22</v>
      </c>
      <c r="B26" s="177" t="s">
        <v>19</v>
      </c>
      <c r="C26" s="178"/>
      <c r="D26" s="14">
        <f t="shared" si="0"/>
        <v>0</v>
      </c>
      <c r="E26" s="17">
        <f t="shared" si="1"/>
        <v>0</v>
      </c>
      <c r="F26" s="21" t="str">
        <f t="shared" si="2"/>
        <v/>
      </c>
    </row>
    <row r="27" spans="1:6" x14ac:dyDescent="0.2">
      <c r="A27" s="19">
        <v>23</v>
      </c>
      <c r="B27" s="177" t="s">
        <v>20</v>
      </c>
      <c r="C27" s="178"/>
      <c r="D27" s="14">
        <f t="shared" si="0"/>
        <v>23614</v>
      </c>
      <c r="E27" s="17">
        <f t="shared" si="1"/>
        <v>247096.1028103634</v>
      </c>
      <c r="F27" s="21">
        <f t="shared" si="2"/>
        <v>10.46</v>
      </c>
    </row>
    <row r="28" spans="1:6" x14ac:dyDescent="0.2">
      <c r="A28" s="19">
        <v>24</v>
      </c>
      <c r="B28" s="177" t="s">
        <v>21</v>
      </c>
      <c r="C28" s="178"/>
      <c r="D28" s="14">
        <f t="shared" si="0"/>
        <v>66440</v>
      </c>
      <c r="E28" s="17">
        <f t="shared" si="1"/>
        <v>445680.2207470375</v>
      </c>
      <c r="F28" s="21">
        <f t="shared" si="2"/>
        <v>6.71</v>
      </c>
    </row>
    <row r="29" spans="1:6" x14ac:dyDescent="0.2">
      <c r="A29" s="19">
        <v>25</v>
      </c>
      <c r="B29" s="177" t="s">
        <v>22</v>
      </c>
      <c r="C29" s="178"/>
      <c r="D29" s="14">
        <f t="shared" si="0"/>
        <v>94368</v>
      </c>
      <c r="E29" s="17">
        <f t="shared" si="1"/>
        <v>595181.07055172231</v>
      </c>
      <c r="F29" s="21">
        <f t="shared" si="2"/>
        <v>6.31</v>
      </c>
    </row>
    <row r="30" spans="1:6" x14ac:dyDescent="0.2">
      <c r="A30" s="19">
        <v>26</v>
      </c>
      <c r="B30" s="177" t="s">
        <v>23</v>
      </c>
      <c r="C30" s="178"/>
      <c r="D30" s="14">
        <f t="shared" si="0"/>
        <v>26880</v>
      </c>
      <c r="E30" s="17">
        <f t="shared" si="1"/>
        <v>213790.97431788634</v>
      </c>
      <c r="F30" s="21">
        <f t="shared" si="2"/>
        <v>7.95</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671479</v>
      </c>
      <c r="E33" s="31">
        <f>SUM(E5:E32)</f>
        <v>4645962</v>
      </c>
      <c r="F33" s="32">
        <f t="shared" si="2"/>
        <v>6.92</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IF(F3="1",SUMIF(Data!A:A,'49'!$A$2,Data!CU:CU),0)</f>
        <v>82448</v>
      </c>
      <c r="E36" s="15">
        <f>IF(F3="1",SUMIF(Data!$A:$A,$A$2,Data!IO:IO),0)</f>
        <v>96058</v>
      </c>
      <c r="F36" s="20">
        <f t="shared" ref="F36:F64" si="3">IF(OR(D36=0,E36=0),"",ROUND(E36/D36,2))</f>
        <v>1.17</v>
      </c>
    </row>
    <row r="37" spans="1:6" x14ac:dyDescent="0.2">
      <c r="A37" s="19">
        <v>2</v>
      </c>
      <c r="B37" s="177" t="s">
        <v>1</v>
      </c>
      <c r="C37" s="178"/>
      <c r="D37" s="14">
        <f>IF(F3="1",SUMIF(Data!A:A,'49'!$A$2,Data!CV:CV),0)</f>
        <v>10880</v>
      </c>
      <c r="E37" s="17">
        <f>IF(F3="1",SUMIF(Data!$A:$A,$A$2,Data!IP:IP),0)</f>
        <v>18248</v>
      </c>
      <c r="F37" s="21">
        <f t="shared" si="3"/>
        <v>1.68</v>
      </c>
    </row>
    <row r="38" spans="1:6" ht="14.25" customHeight="1" x14ac:dyDescent="0.2">
      <c r="A38" s="19">
        <v>3</v>
      </c>
      <c r="B38" s="177" t="s">
        <v>2</v>
      </c>
      <c r="C38" s="178"/>
      <c r="D38" s="14">
        <f>IF(F3="1",SUMIF(Data!A:A,'49'!$A$2,Data!CW:CW),0)</f>
        <v>41088</v>
      </c>
      <c r="E38" s="17">
        <f>IF($F$3="1",SUMIF(Data!$A:$A,$A$2,Data!IQ:IQ),0)</f>
        <v>19753</v>
      </c>
      <c r="F38" s="21">
        <f t="shared" si="3"/>
        <v>0.48</v>
      </c>
    </row>
    <row r="39" spans="1:6" ht="14.25" customHeight="1" x14ac:dyDescent="0.2">
      <c r="A39" s="19">
        <v>4</v>
      </c>
      <c r="B39" s="177" t="s">
        <v>3</v>
      </c>
      <c r="C39" s="178"/>
      <c r="D39" s="14">
        <f>IF(F3="1",SUMIF(Data!A:A,'49'!$A$2,Data!CX:CX),0)</f>
        <v>33843</v>
      </c>
      <c r="E39" s="17">
        <f>IF($F$3="1",SUMIF(Data!$A:$A,$A$2,Data!IR:IR),0)</f>
        <v>25506</v>
      </c>
      <c r="F39" s="21">
        <f t="shared" si="3"/>
        <v>0.75</v>
      </c>
    </row>
    <row r="40" spans="1:6" x14ac:dyDescent="0.2">
      <c r="A40" s="19">
        <v>5</v>
      </c>
      <c r="B40" s="177" t="s">
        <v>4</v>
      </c>
      <c r="C40" s="178"/>
      <c r="D40" s="14">
        <f>IF(F3="1",SUMIF(Data!A:A,'49'!$A$2,Data!CY:CY),0)</f>
        <v>0</v>
      </c>
      <c r="E40" s="17">
        <f>IF($F$3="1",SUMIF(Data!$A:$A,$A$2,Data!IS:IS),0)</f>
        <v>0</v>
      </c>
      <c r="F40" s="21" t="str">
        <f t="shared" si="3"/>
        <v/>
      </c>
    </row>
    <row r="41" spans="1:6" x14ac:dyDescent="0.2">
      <c r="A41" s="19">
        <v>6</v>
      </c>
      <c r="B41" s="177" t="s">
        <v>5</v>
      </c>
      <c r="C41" s="178"/>
      <c r="D41" s="14">
        <f>IF(F3="1",SUMIF(Data!A:A,'49'!$A$2,Data!CZ:CZ),0)</f>
        <v>8176</v>
      </c>
      <c r="E41" s="17">
        <f>IF($F$3="1",SUMIF(Data!$A:$A,$A$2,Data!IT:IT),0)</f>
        <v>17116</v>
      </c>
      <c r="F41" s="21">
        <f t="shared" si="3"/>
        <v>2.09</v>
      </c>
    </row>
    <row r="42" spans="1:6" x14ac:dyDescent="0.2">
      <c r="A42" s="19">
        <v>7</v>
      </c>
      <c r="B42" s="177" t="s">
        <v>6</v>
      </c>
      <c r="C42" s="178"/>
      <c r="D42" s="14">
        <f>IF(F3="1",SUMIF(Data!A:A,'49'!$A$2,Data!DA:DA),0)</f>
        <v>22738</v>
      </c>
      <c r="E42" s="17">
        <f>IF($F$3="1",SUMIF(Data!$A:$A,$A$2,Data!IU:IU),0)</f>
        <v>25406</v>
      </c>
      <c r="F42" s="21">
        <f t="shared" si="3"/>
        <v>1.1200000000000001</v>
      </c>
    </row>
    <row r="43" spans="1:6" x14ac:dyDescent="0.2">
      <c r="A43" s="19">
        <v>8</v>
      </c>
      <c r="B43" s="177" t="s">
        <v>7</v>
      </c>
      <c r="C43" s="178"/>
      <c r="D43" s="14">
        <f>IF(F3="1",SUMIF(Data!A:A,'49'!$A$2,Data!DB:DB),0)</f>
        <v>0</v>
      </c>
      <c r="E43" s="17">
        <f>IF($F$3="1",SUMIF(Data!$A:$A,$A$2,Data!IV:IV),0)</f>
        <v>0</v>
      </c>
      <c r="F43" s="21" t="str">
        <f t="shared" si="3"/>
        <v/>
      </c>
    </row>
    <row r="44" spans="1:6" x14ac:dyDescent="0.2">
      <c r="A44" s="19">
        <v>9</v>
      </c>
      <c r="B44" s="177" t="s">
        <v>8</v>
      </c>
      <c r="C44" s="178"/>
      <c r="D44" s="14">
        <f>IF(F3="1",SUMIF(Data!A:A,'49'!$A$2,Data!DC:DC),0)</f>
        <v>15248</v>
      </c>
      <c r="E44" s="17">
        <f>IF($F$3="1",SUMIF(Data!$A:$A,$A$2,Data!IW:IW),0)</f>
        <v>5000</v>
      </c>
      <c r="F44" s="21">
        <f t="shared" si="3"/>
        <v>0.33</v>
      </c>
    </row>
    <row r="45" spans="1:6" x14ac:dyDescent="0.2">
      <c r="A45" s="19">
        <v>10</v>
      </c>
      <c r="B45" s="177" t="s">
        <v>9</v>
      </c>
      <c r="C45" s="178"/>
      <c r="D45" s="14">
        <f>IF(F3="1",SUMIF(Data!A:A,'49'!$A$2,Data!DD:DD),0)</f>
        <v>0</v>
      </c>
      <c r="E45" s="17">
        <f>IF($F$3="1",SUMIF(Data!$A:$A,$A$2,Data!IX:IX),0)</f>
        <v>0</v>
      </c>
      <c r="F45" s="21" t="str">
        <f t="shared" si="3"/>
        <v/>
      </c>
    </row>
    <row r="46" spans="1:6" x14ac:dyDescent="0.2">
      <c r="A46" s="19">
        <v>11</v>
      </c>
      <c r="B46" s="177" t="s">
        <v>10</v>
      </c>
      <c r="C46" s="178"/>
      <c r="D46" s="14">
        <f>IF(F3="1",SUMIF(Data!A:A,'49'!$A$2,Data!DE:DE),0)</f>
        <v>18958</v>
      </c>
      <c r="E46" s="17">
        <f>IF($F$3="1",SUMIF(Data!$A:$A,$A$2,Data!IY:IY),0)</f>
        <v>15883</v>
      </c>
      <c r="F46" s="21">
        <f t="shared" si="3"/>
        <v>0.84</v>
      </c>
    </row>
    <row r="47" spans="1:6" ht="14.25" customHeight="1" x14ac:dyDescent="0.2">
      <c r="A47" s="19">
        <v>12</v>
      </c>
      <c r="B47" s="177" t="s">
        <v>11</v>
      </c>
      <c r="C47" s="178"/>
      <c r="D47" s="14">
        <f>IF(F3="1",SUMIF(Data!A:A,'49'!$A$2,Data!DF:DF),0)</f>
        <v>94016</v>
      </c>
      <c r="E47" s="17">
        <f>IF($F$3="1",SUMIF(Data!$A:$A,$A$2,Data!IZ:IZ),0)</f>
        <v>48553</v>
      </c>
      <c r="F47" s="21">
        <f t="shared" si="3"/>
        <v>0.52</v>
      </c>
    </row>
    <row r="48" spans="1:6" x14ac:dyDescent="0.2">
      <c r="A48" s="19">
        <v>13</v>
      </c>
      <c r="B48" s="177" t="s">
        <v>12</v>
      </c>
      <c r="C48" s="178"/>
      <c r="D48" s="14">
        <f>IF(F3="1",SUMIF(Data!A:A,'49'!$A$2,Data!DG:DG),0)</f>
        <v>3000</v>
      </c>
      <c r="E48" s="17">
        <f>IF($F$3="1",SUMIF(Data!$A:$A,$A$2,Data!JA:JA),0)</f>
        <v>1163</v>
      </c>
      <c r="F48" s="21">
        <f t="shared" si="3"/>
        <v>0.39</v>
      </c>
    </row>
    <row r="49" spans="1:6" ht="14.25" customHeight="1" x14ac:dyDescent="0.2">
      <c r="A49" s="19">
        <v>14</v>
      </c>
      <c r="B49" s="177" t="s">
        <v>464</v>
      </c>
      <c r="C49" s="178"/>
      <c r="D49" s="14">
        <f>IF(F3="1",SUMIF(Data!A:A,'49'!$A$2,Data!DH:DH),0)</f>
        <v>0</v>
      </c>
      <c r="E49" s="17">
        <f>IF($F$3="1",SUMIF(Data!$A:$A,$A$2,Data!JB:JB),0)</f>
        <v>0</v>
      </c>
      <c r="F49" s="21" t="str">
        <f t="shared" si="3"/>
        <v/>
      </c>
    </row>
    <row r="50" spans="1:6" x14ac:dyDescent="0.2">
      <c r="A50" s="19">
        <v>15</v>
      </c>
      <c r="B50" s="177" t="s">
        <v>13</v>
      </c>
      <c r="C50" s="178"/>
      <c r="D50" s="14">
        <f>IF(F3="1",SUMIF(Data!A:A,'49'!$A$2,Data!DI:DI),0)</f>
        <v>0</v>
      </c>
      <c r="E50" s="17">
        <f>IF($F$3="1",SUMIF(Data!$A:$A,$A$2,Data!JC:JC),0)</f>
        <v>0</v>
      </c>
      <c r="F50" s="21" t="str">
        <f t="shared" si="3"/>
        <v/>
      </c>
    </row>
    <row r="51" spans="1:6" x14ac:dyDescent="0.2">
      <c r="A51" s="19">
        <v>16</v>
      </c>
      <c r="B51" s="177" t="s">
        <v>14</v>
      </c>
      <c r="C51" s="178"/>
      <c r="D51" s="14">
        <f>IF(F3="1",SUMIF(Data!A:A,'49'!$A$2,Data!DJ:DJ),0)</f>
        <v>12006</v>
      </c>
      <c r="E51" s="17">
        <f>IF($F$3="1",SUMIF(Data!$A:$A,$A$2,Data!JD:JD),0)</f>
        <v>40672</v>
      </c>
      <c r="F51" s="21">
        <f t="shared" si="3"/>
        <v>3.39</v>
      </c>
    </row>
    <row r="52" spans="1:6" x14ac:dyDescent="0.2">
      <c r="A52" s="19">
        <v>17</v>
      </c>
      <c r="B52" s="177" t="s">
        <v>15</v>
      </c>
      <c r="C52" s="178"/>
      <c r="D52" s="14">
        <f>IF(F3="1",SUMIF(Data!A:A,'49'!$A$2,Data!DK:DK),0)</f>
        <v>0</v>
      </c>
      <c r="E52" s="17">
        <f>IF($F$3="1",SUMIF(Data!$A:$A,$A$2,Data!JE:JE),0)</f>
        <v>0</v>
      </c>
      <c r="F52" s="21" t="str">
        <f t="shared" si="3"/>
        <v/>
      </c>
    </row>
    <row r="53" spans="1:6" x14ac:dyDescent="0.2">
      <c r="A53" s="19">
        <v>18</v>
      </c>
      <c r="B53" s="177" t="s">
        <v>16</v>
      </c>
      <c r="C53" s="178"/>
      <c r="D53" s="14">
        <f>IF(F3="1",SUMIF(Data!A:A,'49'!$A$2,Data!DL:DL),0)</f>
        <v>27872</v>
      </c>
      <c r="E53" s="17">
        <f>IF($F$3="1",SUMIF(Data!$A:$A,$A$2,Data!JF:JF),0)</f>
        <v>13395</v>
      </c>
      <c r="F53" s="21">
        <f t="shared" si="3"/>
        <v>0.48</v>
      </c>
    </row>
    <row r="54" spans="1:6" x14ac:dyDescent="0.2">
      <c r="A54" s="19">
        <v>19</v>
      </c>
      <c r="B54" s="177" t="s">
        <v>17</v>
      </c>
      <c r="C54" s="178"/>
      <c r="D54" s="14">
        <f>IF(F3="1",SUMIF(Data!A:A,'49'!$A$2,Data!DM:DM),0)</f>
        <v>72784</v>
      </c>
      <c r="E54" s="17">
        <f>IF($F$3="1",SUMIF(Data!$A:$A,$A$2,Data!JG:JG),0)</f>
        <v>12976</v>
      </c>
      <c r="F54" s="21">
        <f t="shared" si="3"/>
        <v>0.18</v>
      </c>
    </row>
    <row r="55" spans="1:6" x14ac:dyDescent="0.2">
      <c r="A55" s="19">
        <v>20</v>
      </c>
      <c r="B55" s="177" t="s">
        <v>18</v>
      </c>
      <c r="C55" s="178"/>
      <c r="D55" s="14">
        <f>IF(F3="1",SUMIF(Data!A:A,'49'!$A$2,Data!DN:DN),0)</f>
        <v>17120</v>
      </c>
      <c r="E55" s="17">
        <f>IF($F$3="1",SUMIF(Data!$A:$A,$A$2,Data!JH:JH),0)</f>
        <v>18438</v>
      </c>
      <c r="F55" s="21">
        <f t="shared" si="3"/>
        <v>1.08</v>
      </c>
    </row>
    <row r="56" spans="1:6" ht="14.25" customHeight="1" x14ac:dyDescent="0.2">
      <c r="A56" s="19">
        <v>21</v>
      </c>
      <c r="B56" s="177" t="s">
        <v>461</v>
      </c>
      <c r="C56" s="178"/>
      <c r="D56" s="14">
        <f>IF(F3="1",SUMIF(Data!A:A,'49'!$A$2,Data!DO:DO),0)</f>
        <v>0</v>
      </c>
      <c r="E56" s="17">
        <f>IF($F$3="1",SUMIF(Data!$A:$A,$A$2,Data!JI:JI),0)</f>
        <v>0</v>
      </c>
      <c r="F56" s="21" t="str">
        <f t="shared" si="3"/>
        <v/>
      </c>
    </row>
    <row r="57" spans="1:6" x14ac:dyDescent="0.2">
      <c r="A57" s="19">
        <v>22</v>
      </c>
      <c r="B57" s="177" t="s">
        <v>19</v>
      </c>
      <c r="C57" s="178"/>
      <c r="D57" s="14">
        <f>IF(F3="1",SUMIF(Data!A:A,'49'!$A$2,Data!DP:DP),0)</f>
        <v>0</v>
      </c>
      <c r="E57" s="17">
        <f>IF($F$3="1",SUMIF(Data!$A:$A,$A$2,Data!JJ:JJ),0)</f>
        <v>0</v>
      </c>
      <c r="F57" s="21" t="str">
        <f t="shared" si="3"/>
        <v/>
      </c>
    </row>
    <row r="58" spans="1:6" x14ac:dyDescent="0.2">
      <c r="A58" s="19">
        <v>23</v>
      </c>
      <c r="B58" s="177" t="s">
        <v>20</v>
      </c>
      <c r="C58" s="178"/>
      <c r="D58" s="14">
        <f>IF(F3="1",SUMIF(Data!A:A,'49'!$A$2,Data!DQ:DQ),0)</f>
        <v>23614</v>
      </c>
      <c r="E58" s="17">
        <f>IF($F$3="1",SUMIF(Data!$A:$A,$A$2,Data!JK:JK),0)</f>
        <v>80206</v>
      </c>
      <c r="F58" s="21">
        <f t="shared" si="3"/>
        <v>3.4</v>
      </c>
    </row>
    <row r="59" spans="1:6" x14ac:dyDescent="0.2">
      <c r="A59" s="19">
        <v>24</v>
      </c>
      <c r="B59" s="177" t="s">
        <v>21</v>
      </c>
      <c r="C59" s="178"/>
      <c r="D59" s="14">
        <f>IF(F3="1",SUMIF(Data!A:A,'49'!$A$2,Data!DR:DR),0)</f>
        <v>66440</v>
      </c>
      <c r="E59" s="17">
        <f>IF($F$3="1",SUMIF(Data!$A:$A,$A$2,Data!JL:JL),0)</f>
        <v>80891</v>
      </c>
      <c r="F59" s="21">
        <f t="shared" si="3"/>
        <v>1.22</v>
      </c>
    </row>
    <row r="60" spans="1:6" x14ac:dyDescent="0.2">
      <c r="A60" s="19">
        <v>25</v>
      </c>
      <c r="B60" s="177" t="s">
        <v>22</v>
      </c>
      <c r="C60" s="178"/>
      <c r="D60" s="14">
        <f>IF(F3="1",SUMIF(Data!A:A,'49'!$A$2,Data!DS:DS),0)</f>
        <v>94368</v>
      </c>
      <c r="E60" s="17">
        <f>IF($F$3="1",SUMIF(Data!$A:$A,$A$2,Data!JM:JM),0)</f>
        <v>25072</v>
      </c>
      <c r="F60" s="21">
        <f t="shared" si="3"/>
        <v>0.27</v>
      </c>
    </row>
    <row r="61" spans="1:6" x14ac:dyDescent="0.2">
      <c r="A61" s="19">
        <v>26</v>
      </c>
      <c r="B61" s="177" t="s">
        <v>23</v>
      </c>
      <c r="C61" s="178"/>
      <c r="D61" s="14">
        <f>IF(F3="1",SUMIF(Data!A:A,'49'!$A$2,Data!DT:DT),0)</f>
        <v>26880</v>
      </c>
      <c r="E61" s="17">
        <f>IF($F$3="1",SUMIF(Data!$A:$A,$A$2,Data!JN:JN),0)</f>
        <v>34581</v>
      </c>
      <c r="F61" s="21">
        <f t="shared" si="3"/>
        <v>1.29</v>
      </c>
    </row>
    <row r="62" spans="1:6" x14ac:dyDescent="0.2">
      <c r="A62" s="19">
        <v>28</v>
      </c>
      <c r="B62" s="177" t="s">
        <v>24</v>
      </c>
      <c r="C62" s="178"/>
      <c r="D62" s="14">
        <f>IF(F3="1",SUMIF(Data!A:A,'49'!$A$2,Data!DV:DV),0)</f>
        <v>0</v>
      </c>
      <c r="E62" s="17">
        <f>IF($F$3="1",SUMIF(Data!$A:$A,$A$2,Data!JP:JP),0)</f>
        <v>0</v>
      </c>
      <c r="F62" s="21" t="str">
        <f t="shared" si="3"/>
        <v/>
      </c>
    </row>
    <row r="63" spans="1:6" ht="15.75" customHeight="1" thickBot="1" x14ac:dyDescent="0.25">
      <c r="A63" s="22">
        <v>29</v>
      </c>
      <c r="B63" s="179" t="s">
        <v>25</v>
      </c>
      <c r="C63" s="180"/>
      <c r="D63" s="23">
        <f>IF(F3="1",SUMIF(Data!A:A,'49'!$A$2,Data!DW:DW),0)</f>
        <v>0</v>
      </c>
      <c r="E63" s="24">
        <f>IF($F$3="1",SUMIF(Data!$A:$A,$A$2,Data!JQ:JQ),0)</f>
        <v>0</v>
      </c>
      <c r="F63" s="25" t="str">
        <f t="shared" si="3"/>
        <v/>
      </c>
    </row>
    <row r="64" spans="1:6" x14ac:dyDescent="0.2">
      <c r="B64" s="30" t="s">
        <v>35</v>
      </c>
      <c r="C64" s="30"/>
      <c r="D64" s="59">
        <f>SUM(D36:D63)</f>
        <v>671479</v>
      </c>
      <c r="E64" s="31">
        <f>SUM(E36:E63)</f>
        <v>578917</v>
      </c>
      <c r="F64" s="32">
        <f t="shared" si="3"/>
        <v>0.86</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82448</v>
      </c>
      <c r="E67" s="15">
        <f>IF(F3="1",SUMIF(Data!A:A,'49'!$A$2,Data!DY:DY),0)</f>
        <v>207139</v>
      </c>
      <c r="F67" s="20">
        <f t="shared" ref="F67:F95" si="4">IF(OR(D67=0,E67=0),"",ROUND(E67/D67,2))</f>
        <v>2.5099999999999998</v>
      </c>
    </row>
    <row r="68" spans="1:6" x14ac:dyDescent="0.2">
      <c r="A68" s="19">
        <v>2</v>
      </c>
      <c r="B68" s="177" t="s">
        <v>1</v>
      </c>
      <c r="C68" s="178"/>
      <c r="D68" s="14">
        <f t="shared" ref="D68:D94" si="5">D37</f>
        <v>10880</v>
      </c>
      <c r="E68" s="17">
        <f>IF(F3="1",SUMIF(Data!A:A,'49'!$A$2,Data!DZ:DZ),0)</f>
        <v>37643</v>
      </c>
      <c r="F68" s="21">
        <f t="shared" si="4"/>
        <v>3.46</v>
      </c>
    </row>
    <row r="69" spans="1:6" ht="14.25" customHeight="1" x14ac:dyDescent="0.2">
      <c r="A69" s="19">
        <v>3</v>
      </c>
      <c r="B69" s="177" t="s">
        <v>2</v>
      </c>
      <c r="C69" s="178"/>
      <c r="D69" s="14">
        <f t="shared" si="5"/>
        <v>41088</v>
      </c>
      <c r="E69" s="17">
        <f>IF(F3="1",SUMIF(Data!A:A,'49'!$A$2,Data!EA:EA),0)</f>
        <v>99292</v>
      </c>
      <c r="F69" s="21">
        <f t="shared" si="4"/>
        <v>2.42</v>
      </c>
    </row>
    <row r="70" spans="1:6" ht="14.25" customHeight="1" x14ac:dyDescent="0.2">
      <c r="A70" s="19">
        <v>4</v>
      </c>
      <c r="B70" s="177" t="s">
        <v>3</v>
      </c>
      <c r="C70" s="178"/>
      <c r="D70" s="14">
        <f t="shared" si="5"/>
        <v>33843</v>
      </c>
      <c r="E70" s="17">
        <f>IF(F3="1",SUMIF(Data!A:A,'49'!$A$2,Data!EB:EB),0)</f>
        <v>95144</v>
      </c>
      <c r="F70" s="21">
        <f t="shared" si="4"/>
        <v>2.81</v>
      </c>
    </row>
    <row r="71" spans="1:6" x14ac:dyDescent="0.2">
      <c r="A71" s="19">
        <v>5</v>
      </c>
      <c r="B71" s="177" t="s">
        <v>4</v>
      </c>
      <c r="C71" s="178"/>
      <c r="D71" s="14">
        <f t="shared" si="5"/>
        <v>0</v>
      </c>
      <c r="E71" s="17">
        <f>IF(F3="1",SUMIF(Data!A:A,'49'!$A$2,Data!EC:EC),0)</f>
        <v>0</v>
      </c>
      <c r="F71" s="21" t="str">
        <f t="shared" si="4"/>
        <v/>
      </c>
    </row>
    <row r="72" spans="1:6" x14ac:dyDescent="0.2">
      <c r="A72" s="19">
        <v>6</v>
      </c>
      <c r="B72" s="177" t="s">
        <v>5</v>
      </c>
      <c r="C72" s="178"/>
      <c r="D72" s="14">
        <f t="shared" si="5"/>
        <v>8176</v>
      </c>
      <c r="E72" s="17">
        <f>IF(F3="1",SUMIF(Data!A:A,'49'!$A$2,Data!ED:ED),0)</f>
        <v>43130</v>
      </c>
      <c r="F72" s="21">
        <f t="shared" si="4"/>
        <v>5.28</v>
      </c>
    </row>
    <row r="73" spans="1:6" x14ac:dyDescent="0.2">
      <c r="A73" s="19">
        <v>7</v>
      </c>
      <c r="B73" s="177" t="s">
        <v>6</v>
      </c>
      <c r="C73" s="178"/>
      <c r="D73" s="14">
        <f t="shared" si="5"/>
        <v>22738</v>
      </c>
      <c r="E73" s="17">
        <f>IF(F3="1",SUMIF(Data!A:A,'49'!$A$2,Data!EE:EE),0)</f>
        <v>40515</v>
      </c>
      <c r="F73" s="21">
        <f t="shared" si="4"/>
        <v>1.78</v>
      </c>
    </row>
    <row r="74" spans="1:6" x14ac:dyDescent="0.2">
      <c r="A74" s="19">
        <v>8</v>
      </c>
      <c r="B74" s="177" t="s">
        <v>7</v>
      </c>
      <c r="C74" s="178"/>
      <c r="D74" s="14">
        <f t="shared" si="5"/>
        <v>0</v>
      </c>
      <c r="E74" s="17">
        <f>IF(F3="1",SUMIF(Data!A:A,'49'!$A$2,Data!EF:EF),0)</f>
        <v>0</v>
      </c>
      <c r="F74" s="21" t="str">
        <f t="shared" si="4"/>
        <v/>
      </c>
    </row>
    <row r="75" spans="1:6" x14ac:dyDescent="0.2">
      <c r="A75" s="19">
        <v>9</v>
      </c>
      <c r="B75" s="177" t="s">
        <v>8</v>
      </c>
      <c r="C75" s="178"/>
      <c r="D75" s="14">
        <f t="shared" si="5"/>
        <v>15248</v>
      </c>
      <c r="E75" s="17">
        <f>IF(F3="1",SUMIF(Data!A:A,'49'!$A$2,Data!EG:EG),0)</f>
        <v>38659</v>
      </c>
      <c r="F75" s="21">
        <f t="shared" si="4"/>
        <v>2.54</v>
      </c>
    </row>
    <row r="76" spans="1:6" x14ac:dyDescent="0.2">
      <c r="A76" s="19">
        <v>10</v>
      </c>
      <c r="B76" s="177" t="s">
        <v>9</v>
      </c>
      <c r="C76" s="178"/>
      <c r="D76" s="14">
        <f t="shared" si="5"/>
        <v>0</v>
      </c>
      <c r="E76" s="17">
        <f>IF(F3="1",SUMIF(Data!A:A,'49'!$A$2,Data!EH:EH),0)</f>
        <v>0</v>
      </c>
      <c r="F76" s="21" t="str">
        <f t="shared" si="4"/>
        <v/>
      </c>
    </row>
    <row r="77" spans="1:6" x14ac:dyDescent="0.2">
      <c r="A77" s="19">
        <v>11</v>
      </c>
      <c r="B77" s="177" t="s">
        <v>10</v>
      </c>
      <c r="C77" s="178"/>
      <c r="D77" s="14">
        <f t="shared" si="5"/>
        <v>18958</v>
      </c>
      <c r="E77" s="17">
        <f>IF(F3="1",SUMIF(Data!A:A,'49'!$A$2,Data!EI:EI),0)</f>
        <v>36830</v>
      </c>
      <c r="F77" s="21">
        <f t="shared" si="4"/>
        <v>1.94</v>
      </c>
    </row>
    <row r="78" spans="1:6" ht="14.25" customHeight="1" x14ac:dyDescent="0.2">
      <c r="A78" s="19">
        <v>12</v>
      </c>
      <c r="B78" s="177" t="s">
        <v>11</v>
      </c>
      <c r="C78" s="178"/>
      <c r="D78" s="14">
        <f t="shared" si="5"/>
        <v>94016</v>
      </c>
      <c r="E78" s="17">
        <f>IF(F3="1",SUMIF(Data!A:A,'49'!$A$2,Data!EJ:EJ),0)</f>
        <v>271639</v>
      </c>
      <c r="F78" s="21">
        <f t="shared" si="4"/>
        <v>2.89</v>
      </c>
    </row>
    <row r="79" spans="1:6" x14ac:dyDescent="0.2">
      <c r="A79" s="19">
        <v>13</v>
      </c>
      <c r="B79" s="177" t="s">
        <v>12</v>
      </c>
      <c r="C79" s="178"/>
      <c r="D79" s="14">
        <f t="shared" si="5"/>
        <v>3000</v>
      </c>
      <c r="E79" s="17">
        <f>IF(F3="1",SUMIF(Data!A:A,'49'!$A$2,Data!EK:EK),0)</f>
        <v>11964</v>
      </c>
      <c r="F79" s="21">
        <f t="shared" si="4"/>
        <v>3.99</v>
      </c>
    </row>
    <row r="80" spans="1:6" ht="14.25" customHeight="1" x14ac:dyDescent="0.2">
      <c r="A80" s="19">
        <v>14</v>
      </c>
      <c r="B80" s="177" t="s">
        <v>464</v>
      </c>
      <c r="C80" s="178"/>
      <c r="D80" s="14">
        <f t="shared" si="5"/>
        <v>0</v>
      </c>
      <c r="E80" s="17">
        <f>IF(F3="1",SUMIF(Data!A:A,'49'!$A$2,Data!EL:EL),0)</f>
        <v>0</v>
      </c>
      <c r="F80" s="21" t="str">
        <f t="shared" si="4"/>
        <v/>
      </c>
    </row>
    <row r="81" spans="1:6" x14ac:dyDescent="0.2">
      <c r="A81" s="19">
        <v>15</v>
      </c>
      <c r="B81" s="177" t="s">
        <v>13</v>
      </c>
      <c r="C81" s="178"/>
      <c r="D81" s="14">
        <f t="shared" si="5"/>
        <v>0</v>
      </c>
      <c r="E81" s="17">
        <f>IF(F3="1",SUMIF(Data!A:A,'49'!$A$2,Data!EM:EM),0)</f>
        <v>0</v>
      </c>
      <c r="F81" s="21" t="str">
        <f t="shared" si="4"/>
        <v/>
      </c>
    </row>
    <row r="82" spans="1:6" x14ac:dyDescent="0.2">
      <c r="A82" s="19">
        <v>16</v>
      </c>
      <c r="B82" s="177" t="s">
        <v>14</v>
      </c>
      <c r="C82" s="178"/>
      <c r="D82" s="14">
        <f t="shared" si="5"/>
        <v>12006</v>
      </c>
      <c r="E82" s="17">
        <f>IF(F3="1",SUMIF(Data!A:A,'49'!$A$2,Data!EN:EN),0)</f>
        <v>11625</v>
      </c>
      <c r="F82" s="21">
        <f t="shared" si="4"/>
        <v>0.97</v>
      </c>
    </row>
    <row r="83" spans="1:6" x14ac:dyDescent="0.2">
      <c r="A83" s="19">
        <v>17</v>
      </c>
      <c r="B83" s="177" t="s">
        <v>15</v>
      </c>
      <c r="C83" s="178"/>
      <c r="D83" s="14">
        <f t="shared" si="5"/>
        <v>0</v>
      </c>
      <c r="E83" s="17">
        <f>IF(F3="1",SUMIF(Data!A:A,'49'!$A$2,Data!EO:EO),0)</f>
        <v>0</v>
      </c>
      <c r="F83" s="21" t="str">
        <f t="shared" si="4"/>
        <v/>
      </c>
    </row>
    <row r="84" spans="1:6" x14ac:dyDescent="0.2">
      <c r="A84" s="19">
        <v>18</v>
      </c>
      <c r="B84" s="177" t="s">
        <v>16</v>
      </c>
      <c r="C84" s="178"/>
      <c r="D84" s="14">
        <f t="shared" si="5"/>
        <v>27872</v>
      </c>
      <c r="E84" s="17">
        <f>IF(F3="1",SUMIF(Data!A:A,'49'!$A$2,Data!EP:EP),0)</f>
        <v>73220</v>
      </c>
      <c r="F84" s="21">
        <f t="shared" si="4"/>
        <v>2.63</v>
      </c>
    </row>
    <row r="85" spans="1:6" x14ac:dyDescent="0.2">
      <c r="A85" s="19">
        <v>19</v>
      </c>
      <c r="B85" s="177" t="s">
        <v>17</v>
      </c>
      <c r="C85" s="178"/>
      <c r="D85" s="14">
        <f t="shared" si="5"/>
        <v>72784</v>
      </c>
      <c r="E85" s="17">
        <f>IF(F3="1",SUMIF(Data!A:A,'49'!$A$2,Data!EQ:EQ),0)</f>
        <v>161963</v>
      </c>
      <c r="F85" s="21">
        <f t="shared" si="4"/>
        <v>2.23</v>
      </c>
    </row>
    <row r="86" spans="1:6" x14ac:dyDescent="0.2">
      <c r="A86" s="19">
        <v>20</v>
      </c>
      <c r="B86" s="177" t="s">
        <v>18</v>
      </c>
      <c r="C86" s="178"/>
      <c r="D86" s="14">
        <f t="shared" si="5"/>
        <v>17120</v>
      </c>
      <c r="E86" s="17">
        <f>IF(F3="1",SUMIF(Data!A:A,'49'!$A$2,Data!ER:ER),0)</f>
        <v>34424</v>
      </c>
      <c r="F86" s="21">
        <f t="shared" si="4"/>
        <v>2.0099999999999998</v>
      </c>
    </row>
    <row r="87" spans="1:6" ht="14.25" customHeight="1" x14ac:dyDescent="0.2">
      <c r="A87" s="19">
        <v>21</v>
      </c>
      <c r="B87" s="177" t="s">
        <v>461</v>
      </c>
      <c r="C87" s="178"/>
      <c r="D87" s="14">
        <f t="shared" si="5"/>
        <v>0</v>
      </c>
      <c r="E87" s="17">
        <f>IF(F3="1",SUMIF(Data!A:A,'49'!$A$2,Data!ES:ES),0)</f>
        <v>0</v>
      </c>
      <c r="F87" s="21" t="str">
        <f t="shared" si="4"/>
        <v/>
      </c>
    </row>
    <row r="88" spans="1:6" x14ac:dyDescent="0.2">
      <c r="A88" s="19">
        <v>22</v>
      </c>
      <c r="B88" s="177" t="s">
        <v>19</v>
      </c>
      <c r="C88" s="178"/>
      <c r="D88" s="14">
        <f t="shared" si="5"/>
        <v>0</v>
      </c>
      <c r="E88" s="17">
        <f>IF(F3="1",SUMIF(Data!A:A,'49'!$A$2,Data!ET:ET),0)</f>
        <v>0</v>
      </c>
      <c r="F88" s="21" t="str">
        <f t="shared" si="4"/>
        <v/>
      </c>
    </row>
    <row r="89" spans="1:6" x14ac:dyDescent="0.2">
      <c r="A89" s="19">
        <v>23</v>
      </c>
      <c r="B89" s="177" t="s">
        <v>20</v>
      </c>
      <c r="C89" s="178"/>
      <c r="D89" s="14">
        <f t="shared" si="5"/>
        <v>23614</v>
      </c>
      <c r="E89" s="17">
        <f>IF(F3="1",SUMIF(Data!A:A,'49'!$A$2,Data!EU:EU),0)</f>
        <v>83613</v>
      </c>
      <c r="F89" s="21">
        <f t="shared" si="4"/>
        <v>3.54</v>
      </c>
    </row>
    <row r="90" spans="1:6" x14ac:dyDescent="0.2">
      <c r="A90" s="19">
        <v>24</v>
      </c>
      <c r="B90" s="177" t="s">
        <v>21</v>
      </c>
      <c r="C90" s="178"/>
      <c r="D90" s="14">
        <f t="shared" si="5"/>
        <v>66440</v>
      </c>
      <c r="E90" s="17">
        <f>IF(F3="1",SUMIF(Data!A:A,'49'!$A$2,Data!EV:EV),0)</f>
        <v>130482</v>
      </c>
      <c r="F90" s="21">
        <f t="shared" si="4"/>
        <v>1.96</v>
      </c>
    </row>
    <row r="91" spans="1:6" x14ac:dyDescent="0.2">
      <c r="A91" s="19">
        <v>25</v>
      </c>
      <c r="B91" s="177" t="s">
        <v>22</v>
      </c>
      <c r="C91" s="178"/>
      <c r="D91" s="14">
        <f t="shared" si="5"/>
        <v>94368</v>
      </c>
      <c r="E91" s="17">
        <f>IF(F3="1",SUMIF(Data!A:A,'49'!$A$2,Data!EW:EW),0)</f>
        <v>237311</v>
      </c>
      <c r="F91" s="21">
        <f t="shared" si="4"/>
        <v>2.5099999999999998</v>
      </c>
    </row>
    <row r="92" spans="1:6" x14ac:dyDescent="0.2">
      <c r="A92" s="19">
        <v>26</v>
      </c>
      <c r="B92" s="177" t="s">
        <v>23</v>
      </c>
      <c r="C92" s="178"/>
      <c r="D92" s="14">
        <f t="shared" si="5"/>
        <v>26880</v>
      </c>
      <c r="E92" s="17">
        <f>IF(F3="1",SUMIF(Data!A:A,'49'!$A$2,Data!EX:EX),0)</f>
        <v>84415</v>
      </c>
      <c r="F92" s="21">
        <f t="shared" si="4"/>
        <v>3.14</v>
      </c>
    </row>
    <row r="93" spans="1:6" x14ac:dyDescent="0.2">
      <c r="A93" s="19">
        <v>28</v>
      </c>
      <c r="B93" s="177" t="s">
        <v>24</v>
      </c>
      <c r="C93" s="178"/>
      <c r="D93" s="14">
        <f t="shared" si="5"/>
        <v>0</v>
      </c>
      <c r="E93" s="17">
        <f>IF(F3="1",SUMIF(Data!A:A,'49'!$A$2,Data!EZ:EZ),0)</f>
        <v>0</v>
      </c>
      <c r="F93" s="21" t="str">
        <f t="shared" si="4"/>
        <v/>
      </c>
    </row>
    <row r="94" spans="1:6" ht="15.75" customHeight="1" thickBot="1" x14ac:dyDescent="0.25">
      <c r="A94" s="22">
        <v>29</v>
      </c>
      <c r="B94" s="179" t="s">
        <v>25</v>
      </c>
      <c r="C94" s="180"/>
      <c r="D94" s="23">
        <f t="shared" si="5"/>
        <v>0</v>
      </c>
      <c r="E94" s="24">
        <f>IF(F3="1",SUMIF(Data!A:A,'49'!$A$2,Data!FA:FA),0)</f>
        <v>0</v>
      </c>
      <c r="F94" s="25" t="str">
        <f t="shared" si="4"/>
        <v/>
      </c>
    </row>
    <row r="95" spans="1:6" x14ac:dyDescent="0.2">
      <c r="B95" s="30" t="s">
        <v>35</v>
      </c>
      <c r="C95" s="30"/>
      <c r="D95" s="59">
        <f>SUM(D67:D94)</f>
        <v>671479</v>
      </c>
      <c r="E95" s="31">
        <f>SUM(E67:E94)</f>
        <v>1699008</v>
      </c>
      <c r="F95" s="32">
        <f t="shared" si="4"/>
        <v>2.5299999999999998</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IF(F3="1",SUMIF(Data!A:A,'49'!$A$2,Data!AH:AH),0)</f>
        <v>1102458</v>
      </c>
      <c r="F98" s="20">
        <f>IF(OR(E98=0,E98=0),"",ROUND(E98/$D$105,2))</f>
        <v>1.64</v>
      </c>
    </row>
    <row r="99" spans="2:6" x14ac:dyDescent="0.2">
      <c r="B99" s="183" t="s">
        <v>31</v>
      </c>
      <c r="C99" s="184"/>
      <c r="D99" s="36"/>
      <c r="E99" s="17">
        <f>IF(F3="1",SUMIF(Data!A:A,'49'!$A$2,Data!AI:AI),0)</f>
        <v>371953</v>
      </c>
      <c r="F99" s="21">
        <f t="shared" ref="F99:F104" si="6">IF(OR(E99=0,E99=0),"",ROUND(E99/$D$105,2))</f>
        <v>0.55000000000000004</v>
      </c>
    </row>
    <row r="100" spans="2:6" x14ac:dyDescent="0.2">
      <c r="B100" s="183" t="s">
        <v>1078</v>
      </c>
      <c r="C100" s="184"/>
      <c r="D100" s="36"/>
      <c r="E100" s="17">
        <f>IF(F3="1",SUMIF(Data!A:A,'49'!$A$2,Data!AJ:AJ),0)</f>
        <v>153464</v>
      </c>
      <c r="F100" s="21">
        <f t="shared" si="6"/>
        <v>0.23</v>
      </c>
    </row>
    <row r="101" spans="2:6" x14ac:dyDescent="0.2">
      <c r="B101" s="183" t="s">
        <v>1079</v>
      </c>
      <c r="C101" s="184"/>
      <c r="D101" s="36"/>
      <c r="E101" s="17">
        <f>IF(F3="1",SUMIF(Data!A:A,'49'!$A$2,Data!AK:AK),0)</f>
        <v>645983</v>
      </c>
      <c r="F101" s="21">
        <f t="shared" si="6"/>
        <v>0.96</v>
      </c>
    </row>
    <row r="102" spans="2:6" x14ac:dyDescent="0.2">
      <c r="B102" s="183" t="s">
        <v>1080</v>
      </c>
      <c r="C102" s="184"/>
      <c r="D102" s="36"/>
      <c r="E102" s="17">
        <f>IF(F3="1",SUMIF(Data!A:A,'49'!$A$2,Data!AL:AL),0)</f>
        <v>39951</v>
      </c>
      <c r="F102" s="21">
        <f t="shared" si="6"/>
        <v>0.06</v>
      </c>
    </row>
    <row r="103" spans="2:6" x14ac:dyDescent="0.2">
      <c r="B103" s="185" t="s">
        <v>34</v>
      </c>
      <c r="C103" s="186"/>
      <c r="D103" s="36"/>
      <c r="E103" s="17">
        <f>IF(F3="1",SUMIF(Data!A:A,'49'!$A$2,Data!AM:AM),0)</f>
        <v>0</v>
      </c>
      <c r="F103" s="21" t="str">
        <f t="shared" si="6"/>
        <v/>
      </c>
    </row>
    <row r="104" spans="2:6" ht="15.75" customHeight="1" thickBot="1" x14ac:dyDescent="0.25">
      <c r="B104" s="175" t="s">
        <v>29</v>
      </c>
      <c r="C104" s="176"/>
      <c r="D104" s="37"/>
      <c r="E104" s="24">
        <f>IF(F3="1",SUMIF(Data!A:A,'49'!$A$2,Data!Q:Q),0)</f>
        <v>54228</v>
      </c>
      <c r="F104" s="25">
        <f t="shared" si="6"/>
        <v>0.08</v>
      </c>
    </row>
    <row r="105" spans="2:6" x14ac:dyDescent="0.2">
      <c r="B105" s="30" t="s">
        <v>35</v>
      </c>
      <c r="C105" s="30"/>
      <c r="D105" s="34">
        <f>D95</f>
        <v>671479</v>
      </c>
      <c r="E105" s="31">
        <f>SUM(E98:E104)</f>
        <v>2368037</v>
      </c>
      <c r="F105" s="32">
        <f>IF($D$105=0,"",ROUND(E105/$D$105,2))</f>
        <v>3.53</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1699008</v>
      </c>
      <c r="D109" s="15">
        <f>IF(F3="1",SUMIF(Data!$A:$A,$A$2,Data!HJ:HJ),0)</f>
        <v>0</v>
      </c>
      <c r="E109" s="15">
        <f>IF(F3="1",SUMIF(Data!$A:$A,$A$2,Data!IN:IN),0)</f>
        <v>0</v>
      </c>
      <c r="F109" s="47">
        <f>SUM(C109:E109)</f>
        <v>1699008</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39951</v>
      </c>
      <c r="F116" s="48">
        <f t="shared" si="7"/>
        <v>39951</v>
      </c>
    </row>
    <row r="117" spans="1:6" ht="15" thickBot="1" x14ac:dyDescent="0.25">
      <c r="B117" s="43" t="s">
        <v>933</v>
      </c>
      <c r="C117" s="52"/>
      <c r="D117" s="52">
        <f>IF(F3="1",SUMIF(Data!A:A,$A$2,Data!Q:Q),0)</f>
        <v>54228</v>
      </c>
      <c r="E117" s="52"/>
      <c r="F117" s="49">
        <f>SUM(C117:E117)</f>
        <v>54228</v>
      </c>
    </row>
    <row r="118" spans="1:6" x14ac:dyDescent="0.2">
      <c r="B118" s="13" t="s">
        <v>35</v>
      </c>
      <c r="C118" s="4">
        <f>SUM(C109:C116)</f>
        <v>1699008</v>
      </c>
      <c r="D118" s="4">
        <f>SUM(D109:D116)</f>
        <v>0</v>
      </c>
      <c r="E118" s="4">
        <f>SUM(E109:E116)</f>
        <v>39951</v>
      </c>
      <c r="F118" s="4">
        <f>SUM(F109:F116)</f>
        <v>1738959</v>
      </c>
    </row>
    <row r="119" spans="1:6" ht="15" thickBot="1" x14ac:dyDescent="0.25"/>
    <row r="120" spans="1:6" ht="15" thickBot="1" x14ac:dyDescent="0.25">
      <c r="B120" s="55" t="s">
        <v>934</v>
      </c>
      <c r="C120" s="53"/>
      <c r="D120" s="53"/>
      <c r="E120" s="53">
        <f>IF(F3="1",SUMIF(Data!A:A,'49'!$A$2,Data!AM:AM),0)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2" width="13.42578125" style="10" bestFit="1" customWidth="1"/>
    <col min="13" max="13" width="12.1406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417</v>
      </c>
      <c r="B2" s="58" t="str">
        <f>VLOOKUP(A2,Data!A:G,7,0)</f>
        <v>Wharton County Junior College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28672</v>
      </c>
      <c r="E5" s="15">
        <f>E36+E67+IFERROR($E$105/$D$105*D5,0)</f>
        <v>192189.43253056513</v>
      </c>
      <c r="F5" s="20">
        <f>IF(OR(D5=0,E5=0),"",ROUND(E5/D5,2))</f>
        <v>6.7</v>
      </c>
    </row>
    <row r="6" spans="1:6" x14ac:dyDescent="0.2">
      <c r="A6" s="19">
        <v>2</v>
      </c>
      <c r="B6" s="177" t="s">
        <v>1</v>
      </c>
      <c r="C6" s="178"/>
      <c r="D6" s="14">
        <f t="shared" ref="D6:D32" si="0">D37</f>
        <v>32574</v>
      </c>
      <c r="E6" s="17">
        <f t="shared" ref="E6:E32" si="1">E37+E68+IFERROR($E$105/$D$105*D6,0)</f>
        <v>261139.76001850684</v>
      </c>
      <c r="F6" s="21">
        <f t="shared" ref="F6:F33" si="2">IF(OR(D6=0,E6=0),"",ROUND(E6/D6,2))</f>
        <v>8.02</v>
      </c>
    </row>
    <row r="7" spans="1:6" ht="14.25" customHeight="1" x14ac:dyDescent="0.2">
      <c r="A7" s="19">
        <v>3</v>
      </c>
      <c r="B7" s="177" t="s">
        <v>2</v>
      </c>
      <c r="C7" s="178"/>
      <c r="D7" s="14">
        <f t="shared" si="0"/>
        <v>235056</v>
      </c>
      <c r="E7" s="17">
        <f t="shared" si="1"/>
        <v>65211719.991800517</v>
      </c>
      <c r="F7" s="21">
        <f t="shared" si="2"/>
        <v>277.43</v>
      </c>
    </row>
    <row r="8" spans="1:6" ht="14.25" customHeight="1" x14ac:dyDescent="0.2">
      <c r="A8" s="19">
        <v>4</v>
      </c>
      <c r="B8" s="177" t="s">
        <v>3</v>
      </c>
      <c r="C8" s="178"/>
      <c r="D8" s="14">
        <f t="shared" si="0"/>
        <v>91898</v>
      </c>
      <c r="E8" s="17">
        <f t="shared" si="1"/>
        <v>59338264.926572748</v>
      </c>
      <c r="F8" s="21">
        <f t="shared" si="2"/>
        <v>645.70000000000005</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0</v>
      </c>
      <c r="E10" s="17">
        <f t="shared" si="1"/>
        <v>0</v>
      </c>
      <c r="F10" s="21" t="str">
        <f t="shared" si="2"/>
        <v/>
      </c>
    </row>
    <row r="11" spans="1:6" x14ac:dyDescent="0.2">
      <c r="A11" s="19">
        <v>7</v>
      </c>
      <c r="B11" s="177" t="s">
        <v>6</v>
      </c>
      <c r="C11" s="178"/>
      <c r="D11" s="14">
        <f t="shared" si="0"/>
        <v>101148</v>
      </c>
      <c r="E11" s="17">
        <f t="shared" si="1"/>
        <v>59510871.001729965</v>
      </c>
      <c r="F11" s="21">
        <f t="shared" si="2"/>
        <v>588.35</v>
      </c>
    </row>
    <row r="12" spans="1:6" x14ac:dyDescent="0.2">
      <c r="A12" s="19">
        <v>8</v>
      </c>
      <c r="B12" s="177" t="s">
        <v>7</v>
      </c>
      <c r="C12" s="178"/>
      <c r="D12" s="14">
        <f t="shared" si="0"/>
        <v>0</v>
      </c>
      <c r="E12" s="17">
        <f t="shared" si="1"/>
        <v>0</v>
      </c>
      <c r="F12" s="21" t="str">
        <f t="shared" si="2"/>
        <v/>
      </c>
    </row>
    <row r="13" spans="1:6" x14ac:dyDescent="0.2">
      <c r="A13" s="19">
        <v>9</v>
      </c>
      <c r="B13" s="177" t="s">
        <v>8</v>
      </c>
      <c r="C13" s="178"/>
      <c r="D13" s="14">
        <f t="shared" si="0"/>
        <v>59955</v>
      </c>
      <c r="E13" s="17">
        <f t="shared" si="1"/>
        <v>399593.62930280523</v>
      </c>
      <c r="F13" s="21">
        <f t="shared" si="2"/>
        <v>6.66</v>
      </c>
    </row>
    <row r="14" spans="1:6" x14ac:dyDescent="0.2">
      <c r="A14" s="19">
        <v>10</v>
      </c>
      <c r="B14" s="177" t="s">
        <v>9</v>
      </c>
      <c r="C14" s="178"/>
      <c r="D14" s="14">
        <f t="shared" si="0"/>
        <v>0</v>
      </c>
      <c r="E14" s="17">
        <f t="shared" si="1"/>
        <v>0</v>
      </c>
      <c r="F14" s="21" t="str">
        <f t="shared" si="2"/>
        <v/>
      </c>
    </row>
    <row r="15" spans="1:6" x14ac:dyDescent="0.2">
      <c r="A15" s="19">
        <v>11</v>
      </c>
      <c r="B15" s="177" t="s">
        <v>10</v>
      </c>
      <c r="C15" s="178"/>
      <c r="D15" s="14">
        <f t="shared" si="0"/>
        <v>43358</v>
      </c>
      <c r="E15" s="17">
        <f t="shared" si="1"/>
        <v>302561.53542341804</v>
      </c>
      <c r="F15" s="21">
        <f t="shared" si="2"/>
        <v>6.98</v>
      </c>
    </row>
    <row r="16" spans="1:6" ht="14.25" customHeight="1" x14ac:dyDescent="0.2">
      <c r="A16" s="19">
        <v>12</v>
      </c>
      <c r="B16" s="177" t="s">
        <v>11</v>
      </c>
      <c r="C16" s="178"/>
      <c r="D16" s="14">
        <f t="shared" si="0"/>
        <v>327513</v>
      </c>
      <c r="E16" s="17">
        <f t="shared" si="1"/>
        <v>110291138.97015844</v>
      </c>
      <c r="F16" s="21">
        <f t="shared" si="2"/>
        <v>336.75</v>
      </c>
    </row>
    <row r="17" spans="1:6" x14ac:dyDescent="0.2">
      <c r="A17" s="19">
        <v>13</v>
      </c>
      <c r="B17" s="177" t="s">
        <v>12</v>
      </c>
      <c r="C17" s="178"/>
      <c r="D17" s="14">
        <f t="shared" si="0"/>
        <v>20888</v>
      </c>
      <c r="E17" s="17">
        <f t="shared" si="1"/>
        <v>127978.11393339997</v>
      </c>
      <c r="F17" s="21">
        <f t="shared" si="2"/>
        <v>6.13</v>
      </c>
    </row>
    <row r="18" spans="1:6" ht="14.25" customHeight="1" x14ac:dyDescent="0.2">
      <c r="A18" s="19">
        <v>14</v>
      </c>
      <c r="B18" s="177" t="s">
        <v>464</v>
      </c>
      <c r="C18" s="178"/>
      <c r="D18" s="14">
        <f t="shared" si="0"/>
        <v>27328</v>
      </c>
      <c r="E18" s="17">
        <f t="shared" si="1"/>
        <v>410847.42788069486</v>
      </c>
      <c r="F18" s="21">
        <f t="shared" si="2"/>
        <v>15.03</v>
      </c>
    </row>
    <row r="19" spans="1:6" x14ac:dyDescent="0.2">
      <c r="A19" s="19">
        <v>15</v>
      </c>
      <c r="B19" s="177" t="s">
        <v>13</v>
      </c>
      <c r="C19" s="178"/>
      <c r="D19" s="14">
        <f t="shared" si="0"/>
        <v>25792</v>
      </c>
      <c r="E19" s="17">
        <f t="shared" si="1"/>
        <v>355824.9939951289</v>
      </c>
      <c r="F19" s="21">
        <f t="shared" si="2"/>
        <v>13.8</v>
      </c>
    </row>
    <row r="20" spans="1:6" x14ac:dyDescent="0.2">
      <c r="A20" s="19">
        <v>16</v>
      </c>
      <c r="B20" s="177" t="s">
        <v>14</v>
      </c>
      <c r="C20" s="178"/>
      <c r="D20" s="14">
        <f t="shared" si="0"/>
        <v>161123</v>
      </c>
      <c r="E20" s="17">
        <f t="shared" si="1"/>
        <v>1067159.9674114902</v>
      </c>
      <c r="F20" s="21">
        <f t="shared" si="2"/>
        <v>6.62</v>
      </c>
    </row>
    <row r="21" spans="1:6" x14ac:dyDescent="0.2">
      <c r="A21" s="19">
        <v>17</v>
      </c>
      <c r="B21" s="177" t="s">
        <v>15</v>
      </c>
      <c r="C21" s="178"/>
      <c r="D21" s="14">
        <f t="shared" si="0"/>
        <v>0</v>
      </c>
      <c r="E21" s="17">
        <f t="shared" si="1"/>
        <v>0</v>
      </c>
      <c r="F21" s="21" t="str">
        <f t="shared" si="2"/>
        <v/>
      </c>
    </row>
    <row r="22" spans="1:6" x14ac:dyDescent="0.2">
      <c r="A22" s="19">
        <v>18</v>
      </c>
      <c r="B22" s="177" t="s">
        <v>16</v>
      </c>
      <c r="C22" s="178"/>
      <c r="D22" s="14">
        <f t="shared" si="0"/>
        <v>58144</v>
      </c>
      <c r="E22" s="17">
        <f t="shared" si="1"/>
        <v>572101.32020986255</v>
      </c>
      <c r="F22" s="21">
        <f t="shared" si="2"/>
        <v>9.84</v>
      </c>
    </row>
    <row r="23" spans="1:6" x14ac:dyDescent="0.2">
      <c r="A23" s="19">
        <v>19</v>
      </c>
      <c r="B23" s="177" t="s">
        <v>17</v>
      </c>
      <c r="C23" s="178"/>
      <c r="D23" s="14">
        <f t="shared" si="0"/>
        <v>203600</v>
      </c>
      <c r="E23" s="17">
        <f t="shared" si="1"/>
        <v>65479759.335352369</v>
      </c>
      <c r="F23" s="21">
        <f t="shared" si="2"/>
        <v>321.61</v>
      </c>
    </row>
    <row r="24" spans="1:6" x14ac:dyDescent="0.2">
      <c r="A24" s="19">
        <v>20</v>
      </c>
      <c r="B24" s="177" t="s">
        <v>18</v>
      </c>
      <c r="C24" s="178"/>
      <c r="D24" s="14">
        <f t="shared" si="0"/>
        <v>15854</v>
      </c>
      <c r="E24" s="17">
        <f t="shared" si="1"/>
        <v>147633.54741000207</v>
      </c>
      <c r="F24" s="21">
        <f t="shared" si="2"/>
        <v>9.31</v>
      </c>
    </row>
    <row r="25" spans="1:6" ht="14.25" customHeight="1" x14ac:dyDescent="0.2">
      <c r="A25" s="19">
        <v>21</v>
      </c>
      <c r="B25" s="177" t="s">
        <v>461</v>
      </c>
      <c r="C25" s="178"/>
      <c r="D25" s="14">
        <f t="shared" si="0"/>
        <v>0</v>
      </c>
      <c r="E25" s="17">
        <f t="shared" si="1"/>
        <v>0</v>
      </c>
      <c r="F25" s="21" t="str">
        <f t="shared" si="2"/>
        <v/>
      </c>
    </row>
    <row r="26" spans="1:6" x14ac:dyDescent="0.2">
      <c r="A26" s="19">
        <v>22</v>
      </c>
      <c r="B26" s="177" t="s">
        <v>19</v>
      </c>
      <c r="C26" s="178"/>
      <c r="D26" s="14">
        <f t="shared" si="0"/>
        <v>432</v>
      </c>
      <c r="E26" s="17">
        <f t="shared" si="1"/>
        <v>2366.4657803154341</v>
      </c>
      <c r="F26" s="21">
        <f t="shared" si="2"/>
        <v>5.48</v>
      </c>
    </row>
    <row r="27" spans="1:6" x14ac:dyDescent="0.2">
      <c r="A27" s="19">
        <v>23</v>
      </c>
      <c r="B27" s="177" t="s">
        <v>20</v>
      </c>
      <c r="C27" s="178"/>
      <c r="D27" s="14">
        <f t="shared" si="0"/>
        <v>43920</v>
      </c>
      <c r="E27" s="17">
        <f t="shared" si="1"/>
        <v>248930.68766540248</v>
      </c>
      <c r="F27" s="21">
        <f t="shared" si="2"/>
        <v>5.67</v>
      </c>
    </row>
    <row r="28" spans="1:6" x14ac:dyDescent="0.2">
      <c r="A28" s="19">
        <v>24</v>
      </c>
      <c r="B28" s="177" t="s">
        <v>21</v>
      </c>
      <c r="C28" s="178"/>
      <c r="D28" s="14">
        <f t="shared" si="0"/>
        <v>65928</v>
      </c>
      <c r="E28" s="17">
        <f t="shared" si="1"/>
        <v>505029.63880702766</v>
      </c>
      <c r="F28" s="21">
        <f t="shared" si="2"/>
        <v>7.66</v>
      </c>
    </row>
    <row r="29" spans="1:6" x14ac:dyDescent="0.2">
      <c r="A29" s="19">
        <v>25</v>
      </c>
      <c r="B29" s="177" t="s">
        <v>22</v>
      </c>
      <c r="C29" s="178"/>
      <c r="D29" s="14">
        <f t="shared" si="0"/>
        <v>418656</v>
      </c>
      <c r="E29" s="17">
        <f t="shared" si="1"/>
        <v>79504834.948434576</v>
      </c>
      <c r="F29" s="21">
        <f t="shared" si="2"/>
        <v>189.9</v>
      </c>
    </row>
    <row r="30" spans="1:6" x14ac:dyDescent="0.2">
      <c r="A30" s="19">
        <v>26</v>
      </c>
      <c r="B30" s="177" t="s">
        <v>23</v>
      </c>
      <c r="C30" s="178"/>
      <c r="D30" s="14">
        <f t="shared" si="0"/>
        <v>67680</v>
      </c>
      <c r="E30" s="17">
        <f t="shared" si="1"/>
        <v>642107.3055827514</v>
      </c>
      <c r="F30" s="21">
        <f t="shared" si="2"/>
        <v>9.49</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2029519</v>
      </c>
      <c r="E33" s="31">
        <f>SUM(E5:E32)</f>
        <v>444572053</v>
      </c>
      <c r="F33" s="32">
        <f t="shared" si="2"/>
        <v>219.05</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IF(F3="1",SUMIF(Data!A:A,'50'!$A$2,Data!CU:CU),0)</f>
        <v>28672</v>
      </c>
      <c r="E36" s="15">
        <f>IF(F3="1",SUMIF(Data!$A:$A,$A$2,Data!IO:IO),0)</f>
        <v>17232</v>
      </c>
      <c r="F36" s="20">
        <f t="shared" ref="F36:F64" si="3">IF(OR(D36=0,E36=0),"",ROUND(E36/D36,2))</f>
        <v>0.6</v>
      </c>
    </row>
    <row r="37" spans="1:6" x14ac:dyDescent="0.2">
      <c r="A37" s="19">
        <v>2</v>
      </c>
      <c r="B37" s="177" t="s">
        <v>1</v>
      </c>
      <c r="C37" s="178"/>
      <c r="D37" s="14">
        <f>IF(F3="1",SUMIF(Data!A:A,'50'!$A$2,Data!CV:CV),0)</f>
        <v>32574</v>
      </c>
      <c r="E37" s="17">
        <f>IF(F3="1",SUMIF(Data!$A:$A,$A$2,Data!IP:IP),0)</f>
        <v>12301</v>
      </c>
      <c r="F37" s="21">
        <f t="shared" si="3"/>
        <v>0.38</v>
      </c>
    </row>
    <row r="38" spans="1:6" ht="14.25" customHeight="1" x14ac:dyDescent="0.2">
      <c r="A38" s="19">
        <v>3</v>
      </c>
      <c r="B38" s="177" t="s">
        <v>2</v>
      </c>
      <c r="C38" s="178"/>
      <c r="D38" s="14">
        <f>IF(F3="1",SUMIF(Data!A:A,'50'!$A$2,Data!CW:CW),0)</f>
        <v>235056</v>
      </c>
      <c r="E38" s="17">
        <f>IF($F$3="1",SUMIF(Data!$A:$A,$A$2,Data!IQ:IQ),0)</f>
        <v>16822222</v>
      </c>
      <c r="F38" s="21">
        <f t="shared" si="3"/>
        <v>71.569999999999993</v>
      </c>
    </row>
    <row r="39" spans="1:6" ht="14.25" customHeight="1" x14ac:dyDescent="0.2">
      <c r="A39" s="19">
        <v>4</v>
      </c>
      <c r="B39" s="177" t="s">
        <v>3</v>
      </c>
      <c r="C39" s="178"/>
      <c r="D39" s="14">
        <f>IF(F3="1",SUMIF(Data!A:A,'50'!$A$2,Data!CX:CX),0)</f>
        <v>91898</v>
      </c>
      <c r="E39" s="17">
        <f>IF($F$3="1",SUMIF(Data!$A:$A,$A$2,Data!IR:IR),0)</f>
        <v>14034448</v>
      </c>
      <c r="F39" s="21">
        <f t="shared" si="3"/>
        <v>152.72</v>
      </c>
    </row>
    <row r="40" spans="1:6" x14ac:dyDescent="0.2">
      <c r="A40" s="19">
        <v>5</v>
      </c>
      <c r="B40" s="177" t="s">
        <v>4</v>
      </c>
      <c r="C40" s="178"/>
      <c r="D40" s="14">
        <f>IF(F3="1",SUMIF(Data!A:A,'50'!$A$2,Data!CY:CY),0)</f>
        <v>0</v>
      </c>
      <c r="E40" s="17">
        <f>IF($F$3="1",SUMIF(Data!$A:$A,$A$2,Data!IS:IS),0)</f>
        <v>0</v>
      </c>
      <c r="F40" s="21" t="str">
        <f t="shared" si="3"/>
        <v/>
      </c>
    </row>
    <row r="41" spans="1:6" x14ac:dyDescent="0.2">
      <c r="A41" s="19">
        <v>6</v>
      </c>
      <c r="B41" s="177" t="s">
        <v>5</v>
      </c>
      <c r="C41" s="178"/>
      <c r="D41" s="14">
        <f>IF(F3="1",SUMIF(Data!A:A,'50'!$A$2,Data!CZ:CZ),0)</f>
        <v>0</v>
      </c>
      <c r="E41" s="17">
        <f>IF($F$3="1",SUMIF(Data!$A:$A,$A$2,Data!IT:IT),0)</f>
        <v>0</v>
      </c>
      <c r="F41" s="21" t="str">
        <f t="shared" si="3"/>
        <v/>
      </c>
    </row>
    <row r="42" spans="1:6" x14ac:dyDescent="0.2">
      <c r="A42" s="19">
        <v>7</v>
      </c>
      <c r="B42" s="177" t="s">
        <v>6</v>
      </c>
      <c r="C42" s="178"/>
      <c r="D42" s="14">
        <f>IF(F3="1",SUMIF(Data!A:A,'50'!$A$2,Data!DA:DA),0)</f>
        <v>101148</v>
      </c>
      <c r="E42" s="17">
        <f>IF($F$3="1",SUMIF(Data!$A:$A,$A$2,Data!IU:IU),0)</f>
        <v>21336333</v>
      </c>
      <c r="F42" s="21">
        <f t="shared" si="3"/>
        <v>210.94</v>
      </c>
    </row>
    <row r="43" spans="1:6" x14ac:dyDescent="0.2">
      <c r="A43" s="19">
        <v>8</v>
      </c>
      <c r="B43" s="177" t="s">
        <v>7</v>
      </c>
      <c r="C43" s="178"/>
      <c r="D43" s="14">
        <f>IF(F3="1",SUMIF(Data!A:A,'50'!$A$2,Data!DB:DB),0)</f>
        <v>0</v>
      </c>
      <c r="E43" s="17">
        <f>IF($F$3="1",SUMIF(Data!$A:$A,$A$2,Data!IV:IV),0)</f>
        <v>0</v>
      </c>
      <c r="F43" s="21" t="str">
        <f t="shared" si="3"/>
        <v/>
      </c>
    </row>
    <row r="44" spans="1:6" x14ac:dyDescent="0.2">
      <c r="A44" s="19">
        <v>9</v>
      </c>
      <c r="B44" s="177" t="s">
        <v>8</v>
      </c>
      <c r="C44" s="178"/>
      <c r="D44" s="14">
        <f>IF(F3="1",SUMIF(Data!A:A,'50'!$A$2,Data!DC:DC),0)</f>
        <v>59955</v>
      </c>
      <c r="E44" s="17">
        <f>IF($F$3="1",SUMIF(Data!$A:$A,$A$2,Data!IW:IW),0)</f>
        <v>24224</v>
      </c>
      <c r="F44" s="21">
        <f t="shared" si="3"/>
        <v>0.4</v>
      </c>
    </row>
    <row r="45" spans="1:6" x14ac:dyDescent="0.2">
      <c r="A45" s="19">
        <v>10</v>
      </c>
      <c r="B45" s="177" t="s">
        <v>9</v>
      </c>
      <c r="C45" s="178"/>
      <c r="D45" s="14">
        <f>IF(F3="1",SUMIF(Data!A:A,'50'!$A$2,Data!DD:DD),0)</f>
        <v>0</v>
      </c>
      <c r="E45" s="17">
        <f>IF($F$3="1",SUMIF(Data!$A:$A,$A$2,Data!IX:IX),0)</f>
        <v>0</v>
      </c>
      <c r="F45" s="21" t="str">
        <f t="shared" si="3"/>
        <v/>
      </c>
    </row>
    <row r="46" spans="1:6" x14ac:dyDescent="0.2">
      <c r="A46" s="19">
        <v>11</v>
      </c>
      <c r="B46" s="177" t="s">
        <v>10</v>
      </c>
      <c r="C46" s="178"/>
      <c r="D46" s="14">
        <f>IF(F3="1",SUMIF(Data!A:A,'50'!$A$2,Data!DE:DE),0)</f>
        <v>43358</v>
      </c>
      <c r="E46" s="17">
        <f>IF($F$3="1",SUMIF(Data!$A:$A,$A$2,Data!IY:IY),0)</f>
        <v>24431</v>
      </c>
      <c r="F46" s="21">
        <f t="shared" si="3"/>
        <v>0.56000000000000005</v>
      </c>
    </row>
    <row r="47" spans="1:6" ht="14.25" customHeight="1" x14ac:dyDescent="0.2">
      <c r="A47" s="19">
        <v>12</v>
      </c>
      <c r="B47" s="177" t="s">
        <v>11</v>
      </c>
      <c r="C47" s="178"/>
      <c r="D47" s="14">
        <f>IF(F3="1",SUMIF(Data!A:A,'50'!$A$2,Data!DF:DF),0)</f>
        <v>327513</v>
      </c>
      <c r="E47" s="17">
        <f>IF($F$3="1",SUMIF(Data!$A:$A,$A$2,Data!IZ:IZ),0)</f>
        <v>18519240</v>
      </c>
      <c r="F47" s="21">
        <f t="shared" si="3"/>
        <v>56.55</v>
      </c>
    </row>
    <row r="48" spans="1:6" x14ac:dyDescent="0.2">
      <c r="A48" s="19">
        <v>13</v>
      </c>
      <c r="B48" s="177" t="s">
        <v>12</v>
      </c>
      <c r="C48" s="178"/>
      <c r="D48" s="14">
        <f>IF(F3="1",SUMIF(Data!A:A,'50'!$A$2,Data!DG:DG),0)</f>
        <v>20888</v>
      </c>
      <c r="E48" s="17">
        <f>IF($F$3="1",SUMIF(Data!$A:$A,$A$2,Data!JA:JA),0)</f>
        <v>3206</v>
      </c>
      <c r="F48" s="21">
        <f t="shared" si="3"/>
        <v>0.15</v>
      </c>
    </row>
    <row r="49" spans="1:6" ht="14.25" customHeight="1" x14ac:dyDescent="0.2">
      <c r="A49" s="19">
        <v>14</v>
      </c>
      <c r="B49" s="177" t="s">
        <v>464</v>
      </c>
      <c r="C49" s="178"/>
      <c r="D49" s="14">
        <f>IF(F3="1",SUMIF(Data!A:A,'50'!$A$2,Data!DH:DH),0)</f>
        <v>27328</v>
      </c>
      <c r="E49" s="17">
        <f>IF($F$3="1",SUMIF(Data!$A:$A,$A$2,Data!JB:JB),0)</f>
        <v>43298</v>
      </c>
      <c r="F49" s="21">
        <f t="shared" si="3"/>
        <v>1.58</v>
      </c>
    </row>
    <row r="50" spans="1:6" x14ac:dyDescent="0.2">
      <c r="A50" s="19">
        <v>15</v>
      </c>
      <c r="B50" s="177" t="s">
        <v>13</v>
      </c>
      <c r="C50" s="178"/>
      <c r="D50" s="14">
        <f>IF(F3="1",SUMIF(Data!A:A,'50'!$A$2,Data!DI:DI),0)</f>
        <v>25792</v>
      </c>
      <c r="E50" s="17">
        <f>IF($F$3="1",SUMIF(Data!$A:$A,$A$2,Data!JC:JC),0)</f>
        <v>47924</v>
      </c>
      <c r="F50" s="21">
        <f t="shared" si="3"/>
        <v>1.86</v>
      </c>
    </row>
    <row r="51" spans="1:6" x14ac:dyDescent="0.2">
      <c r="A51" s="19">
        <v>16</v>
      </c>
      <c r="B51" s="177" t="s">
        <v>14</v>
      </c>
      <c r="C51" s="178"/>
      <c r="D51" s="14">
        <f>IF(F3="1",SUMIF(Data!A:A,'50'!$A$2,Data!DJ:DJ),0)</f>
        <v>161123</v>
      </c>
      <c r="E51" s="17">
        <f>IF($F$3="1",SUMIF(Data!$A:$A,$A$2,Data!JD:JD),0)</f>
        <v>209516</v>
      </c>
      <c r="F51" s="21">
        <f t="shared" si="3"/>
        <v>1.3</v>
      </c>
    </row>
    <row r="52" spans="1:6" x14ac:dyDescent="0.2">
      <c r="A52" s="19">
        <v>17</v>
      </c>
      <c r="B52" s="177" t="s">
        <v>15</v>
      </c>
      <c r="C52" s="178"/>
      <c r="D52" s="14">
        <f>IF(F3="1",SUMIF(Data!A:A,'50'!$A$2,Data!DK:DK),0)</f>
        <v>0</v>
      </c>
      <c r="E52" s="17">
        <f>IF($F$3="1",SUMIF(Data!$A:$A,$A$2,Data!JE:JE),0)</f>
        <v>0</v>
      </c>
      <c r="F52" s="21" t="str">
        <f t="shared" si="3"/>
        <v/>
      </c>
    </row>
    <row r="53" spans="1:6" x14ac:dyDescent="0.2">
      <c r="A53" s="19">
        <v>18</v>
      </c>
      <c r="B53" s="177" t="s">
        <v>16</v>
      </c>
      <c r="C53" s="178"/>
      <c r="D53" s="14">
        <f>IF(F3="1",SUMIF(Data!A:A,'50'!$A$2,Data!DL:DL),0)</f>
        <v>58144</v>
      </c>
      <c r="E53" s="17">
        <f>IF($F$3="1",SUMIF(Data!$A:$A,$A$2,Data!JF:JF),0)</f>
        <v>77937</v>
      </c>
      <c r="F53" s="21">
        <f t="shared" si="3"/>
        <v>1.34</v>
      </c>
    </row>
    <row r="54" spans="1:6" x14ac:dyDescent="0.2">
      <c r="A54" s="19">
        <v>19</v>
      </c>
      <c r="B54" s="177" t="s">
        <v>17</v>
      </c>
      <c r="C54" s="178"/>
      <c r="D54" s="14">
        <f>IF(F3="1",SUMIF(Data!A:A,'50'!$A$2,Data!DM:DM),0)</f>
        <v>203600</v>
      </c>
      <c r="E54" s="17">
        <f>IF($F$3="1",SUMIF(Data!$A:$A,$A$2,Data!JG:JG),0)</f>
        <v>10719623</v>
      </c>
      <c r="F54" s="21">
        <f t="shared" si="3"/>
        <v>52.65</v>
      </c>
    </row>
    <row r="55" spans="1:6" x14ac:dyDescent="0.2">
      <c r="A55" s="19">
        <v>20</v>
      </c>
      <c r="B55" s="177" t="s">
        <v>18</v>
      </c>
      <c r="C55" s="178"/>
      <c r="D55" s="14">
        <f>IF(F3="1",SUMIF(Data!A:A,'50'!$A$2,Data!DN:DN),0)</f>
        <v>15854</v>
      </c>
      <c r="E55" s="17">
        <f>IF($F$3="1",SUMIF(Data!$A:$A,$A$2,Data!JH:JH),0)</f>
        <v>10512</v>
      </c>
      <c r="F55" s="21">
        <f t="shared" si="3"/>
        <v>0.66</v>
      </c>
    </row>
    <row r="56" spans="1:6" ht="14.25" customHeight="1" x14ac:dyDescent="0.2">
      <c r="A56" s="19">
        <v>21</v>
      </c>
      <c r="B56" s="177" t="s">
        <v>461</v>
      </c>
      <c r="C56" s="178"/>
      <c r="D56" s="14">
        <f>IF(F3="1",SUMIF(Data!A:A,'50'!$A$2,Data!DO:DO),0)</f>
        <v>0</v>
      </c>
      <c r="E56" s="17">
        <f>IF($F$3="1",SUMIF(Data!$A:$A,$A$2,Data!JI:JI),0)</f>
        <v>0</v>
      </c>
      <c r="F56" s="21" t="str">
        <f t="shared" si="3"/>
        <v/>
      </c>
    </row>
    <row r="57" spans="1:6" x14ac:dyDescent="0.2">
      <c r="A57" s="19">
        <v>22</v>
      </c>
      <c r="B57" s="177" t="s">
        <v>19</v>
      </c>
      <c r="C57" s="178"/>
      <c r="D57" s="14">
        <f>IF(F3="1",SUMIF(Data!A:A,'50'!$A$2,Data!DP:DP),0)</f>
        <v>432</v>
      </c>
      <c r="E57" s="17">
        <f>IF($F$3="1",SUMIF(Data!$A:$A,$A$2,Data!JJ:JJ),0)</f>
        <v>141</v>
      </c>
      <c r="F57" s="21">
        <f t="shared" si="3"/>
        <v>0.33</v>
      </c>
    </row>
    <row r="58" spans="1:6" x14ac:dyDescent="0.2">
      <c r="A58" s="19">
        <v>23</v>
      </c>
      <c r="B58" s="177" t="s">
        <v>20</v>
      </c>
      <c r="C58" s="178"/>
      <c r="D58" s="14">
        <f>IF(F3="1",SUMIF(Data!A:A,'50'!$A$2,Data!DQ:DQ),0)</f>
        <v>43920</v>
      </c>
      <c r="E58" s="17">
        <f>IF($F$3="1",SUMIF(Data!$A:$A,$A$2,Data!JK:JK),0)</f>
        <v>10526</v>
      </c>
      <c r="F58" s="21">
        <f t="shared" si="3"/>
        <v>0.24</v>
      </c>
    </row>
    <row r="59" spans="1:6" x14ac:dyDescent="0.2">
      <c r="A59" s="19">
        <v>24</v>
      </c>
      <c r="B59" s="177" t="s">
        <v>21</v>
      </c>
      <c r="C59" s="178"/>
      <c r="D59" s="14">
        <f>IF(F3="1",SUMIF(Data!A:A,'50'!$A$2,Data!DR:DR),0)</f>
        <v>65928</v>
      </c>
      <c r="E59" s="17">
        <f>IF($F$3="1",SUMIF(Data!$A:$A,$A$2,Data!JL:JL),0)</f>
        <v>134033</v>
      </c>
      <c r="F59" s="21">
        <f t="shared" si="3"/>
        <v>2.0299999999999998</v>
      </c>
    </row>
    <row r="60" spans="1:6" x14ac:dyDescent="0.2">
      <c r="A60" s="19">
        <v>25</v>
      </c>
      <c r="B60" s="177" t="s">
        <v>22</v>
      </c>
      <c r="C60" s="178"/>
      <c r="D60" s="14">
        <f>IF(F3="1",SUMIF(Data!A:A,'50'!$A$2,Data!DS:DS),0)</f>
        <v>418656</v>
      </c>
      <c r="E60" s="17">
        <f>IF($F$3="1",SUMIF(Data!$A:$A,$A$2,Data!JM:JM),0)</f>
        <v>10778656</v>
      </c>
      <c r="F60" s="21">
        <f t="shared" si="3"/>
        <v>25.75</v>
      </c>
    </row>
    <row r="61" spans="1:6" x14ac:dyDescent="0.2">
      <c r="A61" s="19">
        <v>26</v>
      </c>
      <c r="B61" s="177" t="s">
        <v>23</v>
      </c>
      <c r="C61" s="178"/>
      <c r="D61" s="14">
        <f>IF(F3="1",SUMIF(Data!A:A,'50'!$A$2,Data!DT:DT),0)</f>
        <v>67680</v>
      </c>
      <c r="E61" s="17">
        <f>IF($F$3="1",SUMIF(Data!$A:$A,$A$2,Data!JN:JN),0)</f>
        <v>55422</v>
      </c>
      <c r="F61" s="21">
        <f t="shared" si="3"/>
        <v>0.82</v>
      </c>
    </row>
    <row r="62" spans="1:6" x14ac:dyDescent="0.2">
      <c r="A62" s="19">
        <v>28</v>
      </c>
      <c r="B62" s="177" t="s">
        <v>24</v>
      </c>
      <c r="C62" s="178"/>
      <c r="D62" s="14">
        <f>IF(F3="1",SUMIF(Data!A:A,'50'!$A$2,Data!DV:DV),0)</f>
        <v>0</v>
      </c>
      <c r="E62" s="17">
        <f>IF($F$3="1",SUMIF(Data!$A:$A,$A$2,Data!JP:JP),0)</f>
        <v>0</v>
      </c>
      <c r="F62" s="21" t="str">
        <f t="shared" si="3"/>
        <v/>
      </c>
    </row>
    <row r="63" spans="1:6" ht="15.75" customHeight="1" thickBot="1" x14ac:dyDescent="0.25">
      <c r="A63" s="22">
        <v>29</v>
      </c>
      <c r="B63" s="179" t="s">
        <v>25</v>
      </c>
      <c r="C63" s="180"/>
      <c r="D63" s="23">
        <f>IF(F3="1",SUMIF(Data!A:A,'50'!$A$2,Data!DW:DW),0)</f>
        <v>0</v>
      </c>
      <c r="E63" s="24">
        <f>IF($F$3="1",SUMIF(Data!$A:$A,$A$2,Data!JQ:JQ),0)</f>
        <v>0</v>
      </c>
      <c r="F63" s="25" t="str">
        <f t="shared" si="3"/>
        <v/>
      </c>
    </row>
    <row r="64" spans="1:6" x14ac:dyDescent="0.2">
      <c r="B64" s="30" t="s">
        <v>35</v>
      </c>
      <c r="C64" s="30"/>
      <c r="D64" s="59">
        <f>SUM(D36:D63)</f>
        <v>2029519</v>
      </c>
      <c r="E64" s="31">
        <f>SUM(E36:E63)</f>
        <v>92881225</v>
      </c>
      <c r="F64" s="32">
        <f t="shared" si="3"/>
        <v>45.77</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28672</v>
      </c>
      <c r="E67" s="15">
        <f>IF(F3="1",SUMIF(Data!A:A,'50'!$A$2,Data!DY:DY),0)</f>
        <v>78424</v>
      </c>
      <c r="F67" s="20">
        <f t="shared" ref="F67:F95" si="4">IF(OR(D67=0,E67=0),"",ROUND(E67/D67,2))</f>
        <v>2.74</v>
      </c>
    </row>
    <row r="68" spans="1:6" x14ac:dyDescent="0.2">
      <c r="A68" s="19">
        <v>2</v>
      </c>
      <c r="B68" s="177" t="s">
        <v>1</v>
      </c>
      <c r="C68" s="178"/>
      <c r="D68" s="14">
        <f t="shared" ref="D68:D94" si="5">D37</f>
        <v>32574</v>
      </c>
      <c r="E68" s="17">
        <f>IF(F3="1",SUMIF(Data!A:A,'50'!$A$2,Data!DZ:DZ),0)</f>
        <v>139168</v>
      </c>
      <c r="F68" s="21">
        <f t="shared" si="4"/>
        <v>4.2699999999999996</v>
      </c>
    </row>
    <row r="69" spans="1:6" ht="14.25" customHeight="1" x14ac:dyDescent="0.2">
      <c r="A69" s="19">
        <v>3</v>
      </c>
      <c r="B69" s="177" t="s">
        <v>2</v>
      </c>
      <c r="C69" s="178"/>
      <c r="D69" s="14">
        <f t="shared" si="5"/>
        <v>235056</v>
      </c>
      <c r="E69" s="17">
        <f>IF(F3="1",SUMIF(Data!A:A,'50'!$A$2,Data!EA:EA),0)</f>
        <v>47598107</v>
      </c>
      <c r="F69" s="21">
        <f t="shared" si="4"/>
        <v>202.5</v>
      </c>
    </row>
    <row r="70" spans="1:6" ht="14.25" customHeight="1" x14ac:dyDescent="0.2">
      <c r="A70" s="19">
        <v>4</v>
      </c>
      <c r="B70" s="177" t="s">
        <v>3</v>
      </c>
      <c r="C70" s="178"/>
      <c r="D70" s="14">
        <f t="shared" si="5"/>
        <v>91898</v>
      </c>
      <c r="E70" s="17">
        <f>IF(F3="1",SUMIF(Data!A:A,'50'!$A$2,Data!EB:EB),0)</f>
        <v>44994413</v>
      </c>
      <c r="F70" s="21">
        <f t="shared" si="4"/>
        <v>489.61</v>
      </c>
    </row>
    <row r="71" spans="1:6" x14ac:dyDescent="0.2">
      <c r="A71" s="19">
        <v>5</v>
      </c>
      <c r="B71" s="177" t="s">
        <v>4</v>
      </c>
      <c r="C71" s="178"/>
      <c r="D71" s="14">
        <f t="shared" si="5"/>
        <v>0</v>
      </c>
      <c r="E71" s="17">
        <f>IF(F3="1",SUMIF(Data!A:A,'50'!$A$2,Data!EC:EC),0)</f>
        <v>0</v>
      </c>
      <c r="F71" s="21" t="str">
        <f t="shared" si="4"/>
        <v/>
      </c>
    </row>
    <row r="72" spans="1:6" x14ac:dyDescent="0.2">
      <c r="A72" s="19">
        <v>6</v>
      </c>
      <c r="B72" s="177" t="s">
        <v>5</v>
      </c>
      <c r="C72" s="178"/>
      <c r="D72" s="14">
        <f t="shared" si="5"/>
        <v>0</v>
      </c>
      <c r="E72" s="17">
        <f>IF(F3="1",SUMIF(Data!A:A,'50'!$A$2,Data!ED:ED),0)</f>
        <v>0</v>
      </c>
      <c r="F72" s="21" t="str">
        <f t="shared" si="4"/>
        <v/>
      </c>
    </row>
    <row r="73" spans="1:6" x14ac:dyDescent="0.2">
      <c r="A73" s="19">
        <v>7</v>
      </c>
      <c r="B73" s="177" t="s">
        <v>6</v>
      </c>
      <c r="C73" s="178"/>
      <c r="D73" s="14">
        <f t="shared" si="5"/>
        <v>101148</v>
      </c>
      <c r="E73" s="17">
        <f>IF(F3="1",SUMIF(Data!A:A,'50'!$A$2,Data!EE:EE),0)</f>
        <v>37833991</v>
      </c>
      <c r="F73" s="21">
        <f t="shared" si="4"/>
        <v>374.05</v>
      </c>
    </row>
    <row r="74" spans="1:6" x14ac:dyDescent="0.2">
      <c r="A74" s="19">
        <v>8</v>
      </c>
      <c r="B74" s="177" t="s">
        <v>7</v>
      </c>
      <c r="C74" s="178"/>
      <c r="D74" s="14">
        <f t="shared" si="5"/>
        <v>0</v>
      </c>
      <c r="E74" s="17">
        <f>IF(F3="1",SUMIF(Data!A:A,'50'!$A$2,Data!EF:EF),0)</f>
        <v>0</v>
      </c>
      <c r="F74" s="21" t="str">
        <f t="shared" si="4"/>
        <v/>
      </c>
    </row>
    <row r="75" spans="1:6" x14ac:dyDescent="0.2">
      <c r="A75" s="19">
        <v>9</v>
      </c>
      <c r="B75" s="177" t="s">
        <v>8</v>
      </c>
      <c r="C75" s="178"/>
      <c r="D75" s="14">
        <f t="shared" si="5"/>
        <v>59955</v>
      </c>
      <c r="E75" s="17">
        <f>IF(F3="1",SUMIF(Data!A:A,'50'!$A$2,Data!EG:EG),0)</f>
        <v>173512</v>
      </c>
      <c r="F75" s="21">
        <f t="shared" si="4"/>
        <v>2.89</v>
      </c>
    </row>
    <row r="76" spans="1:6" x14ac:dyDescent="0.2">
      <c r="A76" s="19">
        <v>10</v>
      </c>
      <c r="B76" s="177" t="s">
        <v>9</v>
      </c>
      <c r="C76" s="178"/>
      <c r="D76" s="14">
        <f t="shared" si="5"/>
        <v>0</v>
      </c>
      <c r="E76" s="17">
        <f>IF(F3="1",SUMIF(Data!A:A,'50'!$A$2,Data!EH:EH),0)</f>
        <v>0</v>
      </c>
      <c r="F76" s="21" t="str">
        <f t="shared" si="4"/>
        <v/>
      </c>
    </row>
    <row r="77" spans="1:6" x14ac:dyDescent="0.2">
      <c r="A77" s="19">
        <v>11</v>
      </c>
      <c r="B77" s="177" t="s">
        <v>10</v>
      </c>
      <c r="C77" s="178"/>
      <c r="D77" s="14">
        <f t="shared" si="5"/>
        <v>43358</v>
      </c>
      <c r="E77" s="17">
        <f>IF(F3="1",SUMIF(Data!A:A,'50'!$A$2,Data!EI:EI),0)</f>
        <v>132152</v>
      </c>
      <c r="F77" s="21">
        <f t="shared" si="4"/>
        <v>3.05</v>
      </c>
    </row>
    <row r="78" spans="1:6" ht="14.25" customHeight="1" x14ac:dyDescent="0.2">
      <c r="A78" s="19">
        <v>12</v>
      </c>
      <c r="B78" s="177" t="s">
        <v>11</v>
      </c>
      <c r="C78" s="178"/>
      <c r="D78" s="14">
        <f t="shared" si="5"/>
        <v>327513</v>
      </c>
      <c r="E78" s="17">
        <f>IF(F3="1",SUMIF(Data!A:A,'50'!$A$2,Data!EJ:EJ),0)</f>
        <v>90669222</v>
      </c>
      <c r="F78" s="21">
        <f t="shared" si="4"/>
        <v>276.83999999999997</v>
      </c>
    </row>
    <row r="79" spans="1:6" x14ac:dyDescent="0.2">
      <c r="A79" s="19">
        <v>13</v>
      </c>
      <c r="B79" s="177" t="s">
        <v>12</v>
      </c>
      <c r="C79" s="178"/>
      <c r="D79" s="14">
        <f t="shared" si="5"/>
        <v>20888</v>
      </c>
      <c r="E79" s="17">
        <f>IF(F3="1",SUMIF(Data!A:A,'50'!$A$2,Data!EK:EK),0)</f>
        <v>54446</v>
      </c>
      <c r="F79" s="21">
        <f t="shared" si="4"/>
        <v>2.61</v>
      </c>
    </row>
    <row r="80" spans="1:6" ht="14.25" customHeight="1" x14ac:dyDescent="0.2">
      <c r="A80" s="19">
        <v>14</v>
      </c>
      <c r="B80" s="177" t="s">
        <v>464</v>
      </c>
      <c r="C80" s="178"/>
      <c r="D80" s="14">
        <f t="shared" si="5"/>
        <v>27328</v>
      </c>
      <c r="E80" s="17">
        <f>IF(F3="1",SUMIF(Data!A:A,'50'!$A$2,Data!EL:EL),0)</f>
        <v>275541</v>
      </c>
      <c r="F80" s="21">
        <f t="shared" si="4"/>
        <v>10.08</v>
      </c>
    </row>
    <row r="81" spans="1:6" x14ac:dyDescent="0.2">
      <c r="A81" s="19">
        <v>15</v>
      </c>
      <c r="B81" s="177" t="s">
        <v>13</v>
      </c>
      <c r="C81" s="178"/>
      <c r="D81" s="14">
        <f t="shared" si="5"/>
        <v>25792</v>
      </c>
      <c r="E81" s="17">
        <f>IF(F3="1",SUMIF(Data!A:A,'50'!$A$2,Data!EM:EM),0)</f>
        <v>221064</v>
      </c>
      <c r="F81" s="21">
        <f t="shared" si="4"/>
        <v>8.57</v>
      </c>
    </row>
    <row r="82" spans="1:6" x14ac:dyDescent="0.2">
      <c r="A82" s="19">
        <v>16</v>
      </c>
      <c r="B82" s="177" t="s">
        <v>14</v>
      </c>
      <c r="C82" s="178"/>
      <c r="D82" s="14">
        <f t="shared" si="5"/>
        <v>161123</v>
      </c>
      <c r="E82" s="17">
        <f>IF(F3="1",SUMIF(Data!A:A,'50'!$A$2,Data!EN:EN),0)</f>
        <v>315172</v>
      </c>
      <c r="F82" s="21">
        <f t="shared" si="4"/>
        <v>1.96</v>
      </c>
    </row>
    <row r="83" spans="1:6" x14ac:dyDescent="0.2">
      <c r="A83" s="19">
        <v>17</v>
      </c>
      <c r="B83" s="177" t="s">
        <v>15</v>
      </c>
      <c r="C83" s="178"/>
      <c r="D83" s="14">
        <f t="shared" si="5"/>
        <v>0</v>
      </c>
      <c r="E83" s="17">
        <f>IF(F3="1",SUMIF(Data!A:A,'50'!$A$2,Data!EO:EO),0)</f>
        <v>0</v>
      </c>
      <c r="F83" s="21" t="str">
        <f t="shared" si="4"/>
        <v/>
      </c>
    </row>
    <row r="84" spans="1:6" x14ac:dyDescent="0.2">
      <c r="A84" s="19">
        <v>18</v>
      </c>
      <c r="B84" s="177" t="s">
        <v>16</v>
      </c>
      <c r="C84" s="178"/>
      <c r="D84" s="14">
        <f t="shared" si="5"/>
        <v>58144</v>
      </c>
      <c r="E84" s="17">
        <f>IF(F3="1",SUMIF(Data!A:A,'50'!$A$2,Data!EP:EP),0)</f>
        <v>298404</v>
      </c>
      <c r="F84" s="21">
        <f t="shared" si="4"/>
        <v>5.13</v>
      </c>
    </row>
    <row r="85" spans="1:6" x14ac:dyDescent="0.2">
      <c r="A85" s="19">
        <v>19</v>
      </c>
      <c r="B85" s="177" t="s">
        <v>17</v>
      </c>
      <c r="C85" s="178"/>
      <c r="D85" s="14">
        <f t="shared" si="5"/>
        <v>203600</v>
      </c>
      <c r="E85" s="17">
        <f>IF(F3="1",SUMIF(Data!A:A,'50'!$A$2,Data!EQ:EQ),0)</f>
        <v>54074652</v>
      </c>
      <c r="F85" s="21">
        <f t="shared" si="4"/>
        <v>265.58999999999997</v>
      </c>
    </row>
    <row r="86" spans="1:6" x14ac:dyDescent="0.2">
      <c r="A86" s="19">
        <v>20</v>
      </c>
      <c r="B86" s="177" t="s">
        <v>18</v>
      </c>
      <c r="C86" s="178"/>
      <c r="D86" s="14">
        <f t="shared" si="5"/>
        <v>15854</v>
      </c>
      <c r="E86" s="17">
        <f>IF(F3="1",SUMIF(Data!A:A,'50'!$A$2,Data!ER:ER),0)</f>
        <v>83744</v>
      </c>
      <c r="F86" s="21">
        <f t="shared" si="4"/>
        <v>5.28</v>
      </c>
    </row>
    <row r="87" spans="1:6" ht="14.25" customHeight="1" x14ac:dyDescent="0.2">
      <c r="A87" s="19">
        <v>21</v>
      </c>
      <c r="B87" s="177" t="s">
        <v>461</v>
      </c>
      <c r="C87" s="178"/>
      <c r="D87" s="14">
        <f t="shared" si="5"/>
        <v>0</v>
      </c>
      <c r="E87" s="17">
        <f>IF(F3="1",SUMIF(Data!A:A,'50'!$A$2,Data!ES:ES),0)</f>
        <v>0</v>
      </c>
      <c r="F87" s="21" t="str">
        <f t="shared" si="4"/>
        <v/>
      </c>
    </row>
    <row r="88" spans="1:6" x14ac:dyDescent="0.2">
      <c r="A88" s="19">
        <v>22</v>
      </c>
      <c r="B88" s="177" t="s">
        <v>19</v>
      </c>
      <c r="C88" s="178"/>
      <c r="D88" s="14">
        <f t="shared" si="5"/>
        <v>432</v>
      </c>
      <c r="E88" s="17">
        <f>IF(F3="1",SUMIF(Data!A:A,'50'!$A$2,Data!ET:ET),0)</f>
        <v>771</v>
      </c>
      <c r="F88" s="21">
        <f t="shared" si="4"/>
        <v>1.78</v>
      </c>
    </row>
    <row r="89" spans="1:6" x14ac:dyDescent="0.2">
      <c r="A89" s="19">
        <v>23</v>
      </c>
      <c r="B89" s="177" t="s">
        <v>20</v>
      </c>
      <c r="C89" s="178"/>
      <c r="D89" s="14">
        <f t="shared" si="5"/>
        <v>43920</v>
      </c>
      <c r="E89" s="17">
        <f>IF(F3="1",SUMIF(Data!A:A,'50'!$A$2,Data!EU:EU),0)</f>
        <v>90534</v>
      </c>
      <c r="F89" s="21">
        <f t="shared" si="4"/>
        <v>2.06</v>
      </c>
    </row>
    <row r="90" spans="1:6" x14ac:dyDescent="0.2">
      <c r="A90" s="19">
        <v>24</v>
      </c>
      <c r="B90" s="177" t="s">
        <v>21</v>
      </c>
      <c r="C90" s="178"/>
      <c r="D90" s="14">
        <f t="shared" si="5"/>
        <v>65928</v>
      </c>
      <c r="E90" s="17">
        <f>IF(F3="1",SUMIF(Data!A:A,'50'!$A$2,Data!EV:EV),0)</f>
        <v>149029</v>
      </c>
      <c r="F90" s="21">
        <f t="shared" si="4"/>
        <v>2.2599999999999998</v>
      </c>
    </row>
    <row r="91" spans="1:6" x14ac:dyDescent="0.2">
      <c r="A91" s="19">
        <v>25</v>
      </c>
      <c r="B91" s="177" t="s">
        <v>22</v>
      </c>
      <c r="C91" s="178"/>
      <c r="D91" s="14">
        <f t="shared" si="5"/>
        <v>418656</v>
      </c>
      <c r="E91" s="17">
        <f>IF(F3="1",SUMIF(Data!A:A,'50'!$A$2,Data!EW:EW),0)</f>
        <v>67316640</v>
      </c>
      <c r="F91" s="21">
        <f t="shared" si="4"/>
        <v>160.79</v>
      </c>
    </row>
    <row r="92" spans="1:6" x14ac:dyDescent="0.2">
      <c r="A92" s="19">
        <v>26</v>
      </c>
      <c r="B92" s="177" t="s">
        <v>23</v>
      </c>
      <c r="C92" s="178"/>
      <c r="D92" s="14">
        <f t="shared" si="5"/>
        <v>67680</v>
      </c>
      <c r="E92" s="17">
        <f>IF(F3="1",SUMIF(Data!A:A,'50'!$A$2,Data!EX:EX),0)</f>
        <v>358819</v>
      </c>
      <c r="F92" s="21">
        <f t="shared" si="4"/>
        <v>5.3</v>
      </c>
    </row>
    <row r="93" spans="1:6" x14ac:dyDescent="0.2">
      <c r="A93" s="19">
        <v>28</v>
      </c>
      <c r="B93" s="177" t="s">
        <v>24</v>
      </c>
      <c r="C93" s="178"/>
      <c r="D93" s="14">
        <f t="shared" si="5"/>
        <v>0</v>
      </c>
      <c r="E93" s="17">
        <f>IF(F3="1",SUMIF(Data!A:A,'50'!$A$2,Data!EZ:EZ),0)</f>
        <v>0</v>
      </c>
      <c r="F93" s="21" t="str">
        <f t="shared" si="4"/>
        <v/>
      </c>
    </row>
    <row r="94" spans="1:6" ht="15.75" customHeight="1" thickBot="1" x14ac:dyDescent="0.25">
      <c r="A94" s="22">
        <v>29</v>
      </c>
      <c r="B94" s="179" t="s">
        <v>25</v>
      </c>
      <c r="C94" s="180"/>
      <c r="D94" s="23">
        <f t="shared" si="5"/>
        <v>0</v>
      </c>
      <c r="E94" s="24">
        <f>IF(F3="1",SUMIF(Data!A:A,'50'!$A$2,Data!FA:FA),0)</f>
        <v>0</v>
      </c>
      <c r="F94" s="25" t="str">
        <f t="shared" si="4"/>
        <v/>
      </c>
    </row>
    <row r="95" spans="1:6" x14ac:dyDescent="0.2">
      <c r="B95" s="30" t="s">
        <v>35</v>
      </c>
      <c r="C95" s="30"/>
      <c r="D95" s="59">
        <f>SUM(D67:D94)</f>
        <v>2029519</v>
      </c>
      <c r="E95" s="31">
        <f>SUM(E67:E94)</f>
        <v>344857805</v>
      </c>
      <c r="F95" s="32">
        <f t="shared" si="4"/>
        <v>169.92</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IF(F3="1",SUMIF(Data!A:A,'50'!$A$2,Data!AH:AH),0)</f>
        <v>3320670</v>
      </c>
      <c r="F98" s="20">
        <f>IF(OR(E98=0,E98=0),"",ROUND(E98/$D$105,2))</f>
        <v>1.64</v>
      </c>
    </row>
    <row r="99" spans="2:6" x14ac:dyDescent="0.2">
      <c r="B99" s="183" t="s">
        <v>31</v>
      </c>
      <c r="C99" s="184"/>
      <c r="D99" s="36"/>
      <c r="E99" s="17">
        <f>IF(F3="1",SUMIF(Data!A:A,'50'!$A$2,Data!AI:AI),0)</f>
        <v>1020060</v>
      </c>
      <c r="F99" s="21">
        <f t="shared" ref="F99:F104" si="6">IF(OR(E99=0,E99=0),"",ROUND(E99/$D$105,2))</f>
        <v>0.5</v>
      </c>
    </row>
    <row r="100" spans="2:6" x14ac:dyDescent="0.2">
      <c r="B100" s="183" t="s">
        <v>1078</v>
      </c>
      <c r="C100" s="184"/>
      <c r="D100" s="36"/>
      <c r="E100" s="17">
        <f>IF(F3="1",SUMIF(Data!A:A,'50'!$A$2,Data!AJ:AJ),0)</f>
        <v>463271</v>
      </c>
      <c r="F100" s="21">
        <f t="shared" si="6"/>
        <v>0.23</v>
      </c>
    </row>
    <row r="101" spans="2:6" x14ac:dyDescent="0.2">
      <c r="B101" s="183" t="s">
        <v>1079</v>
      </c>
      <c r="C101" s="184"/>
      <c r="D101" s="36"/>
      <c r="E101" s="17">
        <f>IF(F3="1",SUMIF(Data!A:A,'50'!$A$2,Data!AK:AK),0)</f>
        <v>955730</v>
      </c>
      <c r="F101" s="21">
        <f t="shared" si="6"/>
        <v>0.47</v>
      </c>
    </row>
    <row r="102" spans="2:6" x14ac:dyDescent="0.2">
      <c r="B102" s="183" t="s">
        <v>1080</v>
      </c>
      <c r="C102" s="184"/>
      <c r="D102" s="36"/>
      <c r="E102" s="17">
        <f>IF(F3="1",SUMIF(Data!A:A,'50'!$A$2,Data!AL:AL),0)</f>
        <v>0</v>
      </c>
      <c r="F102" s="21" t="str">
        <f t="shared" si="6"/>
        <v/>
      </c>
    </row>
    <row r="103" spans="2:6" x14ac:dyDescent="0.2">
      <c r="B103" s="185" t="s">
        <v>34</v>
      </c>
      <c r="C103" s="186"/>
      <c r="D103" s="36"/>
      <c r="E103" s="17">
        <f>IF(F3="1",SUMIF(Data!A:A,'50'!$A$2,Data!AM:AM),0)</f>
        <v>0</v>
      </c>
      <c r="F103" s="21" t="str">
        <f t="shared" si="6"/>
        <v/>
      </c>
    </row>
    <row r="104" spans="2:6" ht="15.75" customHeight="1" thickBot="1" x14ac:dyDescent="0.25">
      <c r="B104" s="175" t="s">
        <v>29</v>
      </c>
      <c r="C104" s="176"/>
      <c r="D104" s="37"/>
      <c r="E104" s="24">
        <f>IF(F3="1",SUMIF(Data!A:A,'50'!$A$2,Data!Q:Q),0)</f>
        <v>1073292</v>
      </c>
      <c r="F104" s="25">
        <f t="shared" si="6"/>
        <v>0.53</v>
      </c>
    </row>
    <row r="105" spans="2:6" x14ac:dyDescent="0.2">
      <c r="B105" s="30" t="s">
        <v>35</v>
      </c>
      <c r="C105" s="30"/>
      <c r="D105" s="34">
        <f>D95</f>
        <v>2029519</v>
      </c>
      <c r="E105" s="31">
        <f>SUM(E98:E104)</f>
        <v>6833023</v>
      </c>
      <c r="F105" s="32">
        <f>IF($D$105=0,"",ROUND(E105/$D$105,2))</f>
        <v>3.37</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344857805</v>
      </c>
      <c r="D109" s="15">
        <f>IF(F3="1",SUMIF(Data!$A:$A,$A$2,Data!HJ:HJ),0)</f>
        <v>0</v>
      </c>
      <c r="E109" s="15">
        <f>IF(F3="1",SUMIF(Data!$A:$A,$A$2,Data!IN:IN),0)</f>
        <v>0</v>
      </c>
      <c r="F109" s="47">
        <f>SUM(C109:E109)</f>
        <v>344857805</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1073292</v>
      </c>
      <c r="E117" s="52"/>
      <c r="F117" s="49">
        <f>SUM(C117:E117)</f>
        <v>1073292</v>
      </c>
    </row>
    <row r="118" spans="1:6" x14ac:dyDescent="0.2">
      <c r="B118" s="13" t="s">
        <v>35</v>
      </c>
      <c r="C118" s="4">
        <f>SUM(C109:C116)</f>
        <v>344857805</v>
      </c>
      <c r="D118" s="4">
        <f>SUM(D109:D116)</f>
        <v>0</v>
      </c>
      <c r="E118" s="4">
        <f>SUM(E109:E116)</f>
        <v>0</v>
      </c>
      <c r="F118" s="4">
        <f>SUM(F109:F116)</f>
        <v>344857805</v>
      </c>
    </row>
    <row r="119" spans="1:6" ht="15" thickBot="1" x14ac:dyDescent="0.25"/>
    <row r="120" spans="1:6" ht="15" thickBot="1" x14ac:dyDescent="0.25">
      <c r="B120" s="55" t="s">
        <v>934</v>
      </c>
      <c r="C120" s="53"/>
      <c r="D120" s="53"/>
      <c r="E120" s="53">
        <f>IF(F3="1",SUMIF(Data!A:A,'50'!$A$2,Data!AM:AM),0)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3.42578125" style="10" bestFit="1" customWidth="1"/>
    <col min="13" max="13" width="12.140625" style="10" bestFit="1" customWidth="1"/>
    <col min="14"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429</v>
      </c>
      <c r="B2" s="58" t="str">
        <f>VLOOKUP(A2,Data!A:G,7,0)</f>
        <v>Texas State Technical College-Harlingen</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25920</v>
      </c>
      <c r="E5" s="15">
        <f>E36+E67+IFERROR($E$105/$D$105*D5,0)</f>
        <v>180159.30193496856</v>
      </c>
      <c r="F5" s="20">
        <f>IF(OR(D5=0,E5=0),"",ROUND(E5/D5,2))</f>
        <v>6.95</v>
      </c>
    </row>
    <row r="6" spans="1:6" x14ac:dyDescent="0.2">
      <c r="A6" s="19">
        <v>2</v>
      </c>
      <c r="B6" s="177" t="s">
        <v>1</v>
      </c>
      <c r="C6" s="178"/>
      <c r="D6" s="14">
        <f t="shared" ref="D6:D32" si="0">D37</f>
        <v>216378</v>
      </c>
      <c r="E6" s="17">
        <f t="shared" ref="E6:E32" si="1">E37+E68+IFERROR($E$105/$D$105*D6,0)</f>
        <v>1631927.6038612898</v>
      </c>
      <c r="F6" s="21">
        <f t="shared" ref="F6:F33" si="2">IF(OR(D6=0,E6=0),"",ROUND(E6/D6,2))</f>
        <v>7.54</v>
      </c>
    </row>
    <row r="7" spans="1:6" ht="14.25" customHeight="1" x14ac:dyDescent="0.2">
      <c r="A7" s="19">
        <v>3</v>
      </c>
      <c r="B7" s="177" t="s">
        <v>2</v>
      </c>
      <c r="C7" s="178"/>
      <c r="D7" s="14">
        <f t="shared" si="0"/>
        <v>233112</v>
      </c>
      <c r="E7" s="17">
        <f t="shared" si="1"/>
        <v>1255923.7524947682</v>
      </c>
      <c r="F7" s="21">
        <f t="shared" si="2"/>
        <v>5.39</v>
      </c>
    </row>
    <row r="8" spans="1:6" ht="14.25" customHeight="1" x14ac:dyDescent="0.2">
      <c r="A8" s="19">
        <v>4</v>
      </c>
      <c r="B8" s="177" t="s">
        <v>3</v>
      </c>
      <c r="C8" s="178"/>
      <c r="D8" s="14">
        <f t="shared" si="0"/>
        <v>402773</v>
      </c>
      <c r="E8" s="17">
        <f t="shared" si="1"/>
        <v>2458440.9803724186</v>
      </c>
      <c r="F8" s="21">
        <f t="shared" si="2"/>
        <v>6.1</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12312</v>
      </c>
      <c r="E10" s="17">
        <f t="shared" si="1"/>
        <v>101102.14341911007</v>
      </c>
      <c r="F10" s="21">
        <f t="shared" si="2"/>
        <v>8.2100000000000009</v>
      </c>
    </row>
    <row r="11" spans="1:6" x14ac:dyDescent="0.2">
      <c r="A11" s="19">
        <v>7</v>
      </c>
      <c r="B11" s="177" t="s">
        <v>6</v>
      </c>
      <c r="C11" s="178"/>
      <c r="D11" s="14">
        <f t="shared" si="0"/>
        <v>100502</v>
      </c>
      <c r="E11" s="17">
        <f t="shared" si="1"/>
        <v>952706.70467084157</v>
      </c>
      <c r="F11" s="21">
        <f t="shared" si="2"/>
        <v>9.48</v>
      </c>
    </row>
    <row r="12" spans="1:6" x14ac:dyDescent="0.2">
      <c r="A12" s="19">
        <v>8</v>
      </c>
      <c r="B12" s="177" t="s">
        <v>7</v>
      </c>
      <c r="C12" s="178"/>
      <c r="D12" s="14">
        <f t="shared" si="0"/>
        <v>11937</v>
      </c>
      <c r="E12" s="17">
        <f t="shared" si="1"/>
        <v>95842.828865652773</v>
      </c>
      <c r="F12" s="21">
        <f t="shared" si="2"/>
        <v>8.0299999999999994</v>
      </c>
    </row>
    <row r="13" spans="1:6" x14ac:dyDescent="0.2">
      <c r="A13" s="19">
        <v>9</v>
      </c>
      <c r="B13" s="177" t="s">
        <v>8</v>
      </c>
      <c r="C13" s="178"/>
      <c r="D13" s="14">
        <f t="shared" si="0"/>
        <v>33642</v>
      </c>
      <c r="E13" s="17">
        <f t="shared" si="1"/>
        <v>259410.47521976131</v>
      </c>
      <c r="F13" s="21">
        <f t="shared" si="2"/>
        <v>7.71</v>
      </c>
    </row>
    <row r="14" spans="1:6" x14ac:dyDescent="0.2">
      <c r="A14" s="19">
        <v>10</v>
      </c>
      <c r="B14" s="177" t="s">
        <v>9</v>
      </c>
      <c r="C14" s="178"/>
      <c r="D14" s="14">
        <f t="shared" si="0"/>
        <v>0</v>
      </c>
      <c r="E14" s="17">
        <f t="shared" si="1"/>
        <v>0</v>
      </c>
      <c r="F14" s="21" t="str">
        <f t="shared" si="2"/>
        <v/>
      </c>
    </row>
    <row r="15" spans="1:6" x14ac:dyDescent="0.2">
      <c r="A15" s="19">
        <v>11</v>
      </c>
      <c r="B15" s="177" t="s">
        <v>10</v>
      </c>
      <c r="C15" s="178"/>
      <c r="D15" s="14">
        <f t="shared" si="0"/>
        <v>246894</v>
      </c>
      <c r="E15" s="17">
        <f t="shared" si="1"/>
        <v>1659429.0889634311</v>
      </c>
      <c r="F15" s="21">
        <f t="shared" si="2"/>
        <v>6.72</v>
      </c>
    </row>
    <row r="16" spans="1:6" ht="14.25" customHeight="1" x14ac:dyDescent="0.2">
      <c r="A16" s="19">
        <v>12</v>
      </c>
      <c r="B16" s="177" t="s">
        <v>11</v>
      </c>
      <c r="C16" s="178"/>
      <c r="D16" s="14">
        <f t="shared" si="0"/>
        <v>279512</v>
      </c>
      <c r="E16" s="17">
        <f t="shared" si="1"/>
        <v>1487891.5399092182</v>
      </c>
      <c r="F16" s="21">
        <f t="shared" si="2"/>
        <v>5.32</v>
      </c>
    </row>
    <row r="17" spans="1:6" x14ac:dyDescent="0.2">
      <c r="A17" s="19">
        <v>13</v>
      </c>
      <c r="B17" s="177" t="s">
        <v>12</v>
      </c>
      <c r="C17" s="178"/>
      <c r="D17" s="14">
        <f t="shared" si="0"/>
        <v>36654</v>
      </c>
      <c r="E17" s="17">
        <f t="shared" si="1"/>
        <v>200479.41771313033</v>
      </c>
      <c r="F17" s="21">
        <f t="shared" si="2"/>
        <v>5.47</v>
      </c>
    </row>
    <row r="18" spans="1:6" ht="14.25" customHeight="1" x14ac:dyDescent="0.2">
      <c r="A18" s="19">
        <v>14</v>
      </c>
      <c r="B18" s="177" t="s">
        <v>464</v>
      </c>
      <c r="C18" s="178"/>
      <c r="D18" s="14">
        <f t="shared" si="0"/>
        <v>21012</v>
      </c>
      <c r="E18" s="17">
        <f t="shared" si="1"/>
        <v>199630.04105931942</v>
      </c>
      <c r="F18" s="21">
        <f t="shared" si="2"/>
        <v>9.5</v>
      </c>
    </row>
    <row r="19" spans="1:6" x14ac:dyDescent="0.2">
      <c r="A19" s="19">
        <v>15</v>
      </c>
      <c r="B19" s="177" t="s">
        <v>13</v>
      </c>
      <c r="C19" s="178"/>
      <c r="D19" s="14">
        <f t="shared" si="0"/>
        <v>14088</v>
      </c>
      <c r="E19" s="17">
        <f t="shared" si="1"/>
        <v>165086.20114428384</v>
      </c>
      <c r="F19" s="21">
        <f t="shared" si="2"/>
        <v>11.72</v>
      </c>
    </row>
    <row r="20" spans="1:6" x14ac:dyDescent="0.2">
      <c r="A20" s="19">
        <v>16</v>
      </c>
      <c r="B20" s="177" t="s">
        <v>14</v>
      </c>
      <c r="C20" s="178"/>
      <c r="D20" s="14">
        <f t="shared" si="0"/>
        <v>190535</v>
      </c>
      <c r="E20" s="17">
        <f t="shared" si="1"/>
        <v>1510472.3691812977</v>
      </c>
      <c r="F20" s="21">
        <f t="shared" si="2"/>
        <v>7.93</v>
      </c>
    </row>
    <row r="21" spans="1:6" x14ac:dyDescent="0.2">
      <c r="A21" s="19">
        <v>17</v>
      </c>
      <c r="B21" s="177" t="s">
        <v>15</v>
      </c>
      <c r="C21" s="178"/>
      <c r="D21" s="14">
        <f t="shared" si="0"/>
        <v>0</v>
      </c>
      <c r="E21" s="17">
        <f t="shared" si="1"/>
        <v>0</v>
      </c>
      <c r="F21" s="21" t="str">
        <f t="shared" si="2"/>
        <v/>
      </c>
    </row>
    <row r="22" spans="1:6" x14ac:dyDescent="0.2">
      <c r="A22" s="19">
        <v>18</v>
      </c>
      <c r="B22" s="177" t="s">
        <v>16</v>
      </c>
      <c r="C22" s="178"/>
      <c r="D22" s="14">
        <f t="shared" si="0"/>
        <v>0</v>
      </c>
      <c r="E22" s="17">
        <f t="shared" si="1"/>
        <v>0</v>
      </c>
      <c r="F22" s="21" t="str">
        <f t="shared" si="2"/>
        <v/>
      </c>
    </row>
    <row r="23" spans="1:6" x14ac:dyDescent="0.2">
      <c r="A23" s="19">
        <v>19</v>
      </c>
      <c r="B23" s="177" t="s">
        <v>17</v>
      </c>
      <c r="C23" s="178"/>
      <c r="D23" s="14">
        <f t="shared" si="0"/>
        <v>237960</v>
      </c>
      <c r="E23" s="17">
        <f t="shared" si="1"/>
        <v>1040011.8830418643</v>
      </c>
      <c r="F23" s="21">
        <f t="shared" si="2"/>
        <v>4.37</v>
      </c>
    </row>
    <row r="24" spans="1:6" x14ac:dyDescent="0.2">
      <c r="A24" s="19">
        <v>20</v>
      </c>
      <c r="B24" s="177" t="s">
        <v>18</v>
      </c>
      <c r="C24" s="178"/>
      <c r="D24" s="14">
        <f t="shared" si="0"/>
        <v>71121</v>
      </c>
      <c r="E24" s="17">
        <f t="shared" si="1"/>
        <v>655496.1849504977</v>
      </c>
      <c r="F24" s="21">
        <f t="shared" si="2"/>
        <v>9.2200000000000006</v>
      </c>
    </row>
    <row r="25" spans="1:6" ht="14.25" customHeight="1" x14ac:dyDescent="0.2">
      <c r="A25" s="19">
        <v>21</v>
      </c>
      <c r="B25" s="177" t="s">
        <v>461</v>
      </c>
      <c r="C25" s="178"/>
      <c r="D25" s="14">
        <f t="shared" si="0"/>
        <v>31488</v>
      </c>
      <c r="E25" s="17">
        <f t="shared" si="1"/>
        <v>288139.99642470258</v>
      </c>
      <c r="F25" s="21">
        <f t="shared" si="2"/>
        <v>9.15</v>
      </c>
    </row>
    <row r="26" spans="1:6" x14ac:dyDescent="0.2">
      <c r="A26" s="19">
        <v>22</v>
      </c>
      <c r="B26" s="177" t="s">
        <v>19</v>
      </c>
      <c r="C26" s="178"/>
      <c r="D26" s="14">
        <f t="shared" si="0"/>
        <v>44532</v>
      </c>
      <c r="E26" s="17">
        <f t="shared" si="1"/>
        <v>330581.12985216128</v>
      </c>
      <c r="F26" s="21">
        <f t="shared" si="2"/>
        <v>7.42</v>
      </c>
    </row>
    <row r="27" spans="1:6" x14ac:dyDescent="0.2">
      <c r="A27" s="19">
        <v>23</v>
      </c>
      <c r="B27" s="177" t="s">
        <v>20</v>
      </c>
      <c r="C27" s="178"/>
      <c r="D27" s="14">
        <f t="shared" si="0"/>
        <v>0</v>
      </c>
      <c r="E27" s="17">
        <f t="shared" si="1"/>
        <v>0</v>
      </c>
      <c r="F27" s="21" t="str">
        <f t="shared" si="2"/>
        <v/>
      </c>
    </row>
    <row r="28" spans="1:6" x14ac:dyDescent="0.2">
      <c r="A28" s="19">
        <v>24</v>
      </c>
      <c r="B28" s="177" t="s">
        <v>21</v>
      </c>
      <c r="C28" s="178"/>
      <c r="D28" s="14">
        <f t="shared" si="0"/>
        <v>32744</v>
      </c>
      <c r="E28" s="17">
        <f t="shared" si="1"/>
        <v>160273.92463574887</v>
      </c>
      <c r="F28" s="21">
        <f t="shared" si="2"/>
        <v>4.8899999999999997</v>
      </c>
    </row>
    <row r="29" spans="1:6" x14ac:dyDescent="0.2">
      <c r="A29" s="19">
        <v>25</v>
      </c>
      <c r="B29" s="177" t="s">
        <v>22</v>
      </c>
      <c r="C29" s="178"/>
      <c r="D29" s="14">
        <f t="shared" si="0"/>
        <v>192504</v>
      </c>
      <c r="E29" s="17">
        <f t="shared" si="1"/>
        <v>833863.94612998422</v>
      </c>
      <c r="F29" s="21">
        <f t="shared" si="2"/>
        <v>4.33</v>
      </c>
    </row>
    <row r="30" spans="1:6" x14ac:dyDescent="0.2">
      <c r="A30" s="19">
        <v>26</v>
      </c>
      <c r="B30" s="177" t="s">
        <v>23</v>
      </c>
      <c r="C30" s="178"/>
      <c r="D30" s="14">
        <f t="shared" si="0"/>
        <v>108504</v>
      </c>
      <c r="E30" s="17">
        <f t="shared" si="1"/>
        <v>659159.48615554906</v>
      </c>
      <c r="F30" s="21">
        <f t="shared" si="2"/>
        <v>6.07</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2544124</v>
      </c>
      <c r="E33" s="31">
        <f>SUM(E5:E32)</f>
        <v>16126028.999999998</v>
      </c>
      <c r="F33" s="32">
        <f t="shared" si="2"/>
        <v>6.34</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IF(F3="1",SUMIF(Data!A:A,'51'!$A$2,Data!CU:CU),0)</f>
        <v>25920</v>
      </c>
      <c r="E36" s="15">
        <f>IF(F3="1",SUMIF(Data!$A:$A,$A$2,Data!IO:IO),0)</f>
        <v>86988</v>
      </c>
      <c r="F36" s="20">
        <f t="shared" ref="F36:F64" si="3">IF(OR(D36=0,E36=0),"",ROUND(E36/D36,2))</f>
        <v>3.36</v>
      </c>
    </row>
    <row r="37" spans="1:6" x14ac:dyDescent="0.2">
      <c r="A37" s="19">
        <v>2</v>
      </c>
      <c r="B37" s="177" t="s">
        <v>1</v>
      </c>
      <c r="C37" s="178"/>
      <c r="D37" s="14">
        <f>IF(F3="1",SUMIF(Data!A:A,'51'!$A$2,Data!CV:CV),0)</f>
        <v>216378</v>
      </c>
      <c r="E37" s="17">
        <f>IF(F3="1",SUMIF(Data!$A:$A,$A$2,Data!IP:IP),0)</f>
        <v>569905</v>
      </c>
      <c r="F37" s="21">
        <f t="shared" si="3"/>
        <v>2.63</v>
      </c>
    </row>
    <row r="38" spans="1:6" ht="14.25" customHeight="1" x14ac:dyDescent="0.2">
      <c r="A38" s="19">
        <v>3</v>
      </c>
      <c r="B38" s="177" t="s">
        <v>2</v>
      </c>
      <c r="C38" s="178"/>
      <c r="D38" s="14">
        <f>IF(F3="1",SUMIF(Data!A:A,'51'!$A$2,Data!CW:CW),0)</f>
        <v>233112</v>
      </c>
      <c r="E38" s="17">
        <f>IF($F$3="1",SUMIF(Data!$A:$A,$A$2,Data!IQ:IQ),0)</f>
        <v>375191</v>
      </c>
      <c r="F38" s="21">
        <f t="shared" si="3"/>
        <v>1.61</v>
      </c>
    </row>
    <row r="39" spans="1:6" ht="14.25" customHeight="1" x14ac:dyDescent="0.2">
      <c r="A39" s="19">
        <v>4</v>
      </c>
      <c r="B39" s="177" t="s">
        <v>3</v>
      </c>
      <c r="C39" s="178"/>
      <c r="D39" s="14">
        <f>IF(F3="1",SUMIF(Data!A:A,'51'!$A$2,Data!CX:CX),0)</f>
        <v>402773</v>
      </c>
      <c r="E39" s="17">
        <f>IF($F$3="1",SUMIF(Data!$A:$A,$A$2,Data!IR:IR),0)</f>
        <v>719686</v>
      </c>
      <c r="F39" s="21">
        <f t="shared" si="3"/>
        <v>1.79</v>
      </c>
    </row>
    <row r="40" spans="1:6" x14ac:dyDescent="0.2">
      <c r="A40" s="19">
        <v>5</v>
      </c>
      <c r="B40" s="177" t="s">
        <v>4</v>
      </c>
      <c r="C40" s="178"/>
      <c r="D40" s="14">
        <f>IF(F3="1",SUMIF(Data!A:A,'51'!$A$2,Data!CY:CY),0)</f>
        <v>0</v>
      </c>
      <c r="E40" s="17">
        <f>IF($F$3="1",SUMIF(Data!$A:$A,$A$2,Data!IS:IS),0)</f>
        <v>0</v>
      </c>
      <c r="F40" s="21" t="str">
        <f t="shared" si="3"/>
        <v/>
      </c>
    </row>
    <row r="41" spans="1:6" x14ac:dyDescent="0.2">
      <c r="A41" s="19">
        <v>6</v>
      </c>
      <c r="B41" s="177" t="s">
        <v>5</v>
      </c>
      <c r="C41" s="178"/>
      <c r="D41" s="14">
        <f>IF(F3="1",SUMIF(Data!A:A,'51'!$A$2,Data!CZ:CZ),0)</f>
        <v>12312</v>
      </c>
      <c r="E41" s="17">
        <f>IF($F$3="1",SUMIF(Data!$A:$A,$A$2,Data!IT:IT),0)</f>
        <v>30683</v>
      </c>
      <c r="F41" s="21">
        <f t="shared" si="3"/>
        <v>2.4900000000000002</v>
      </c>
    </row>
    <row r="42" spans="1:6" x14ac:dyDescent="0.2">
      <c r="A42" s="19">
        <v>7</v>
      </c>
      <c r="B42" s="177" t="s">
        <v>6</v>
      </c>
      <c r="C42" s="178"/>
      <c r="D42" s="14">
        <f>IF(F3="1",SUMIF(Data!A:A,'51'!$A$2,Data!DA:DA),0)</f>
        <v>100502</v>
      </c>
      <c r="E42" s="17">
        <f>IF($F$3="1",SUMIF(Data!$A:$A,$A$2,Data!IU:IU),0)</f>
        <v>311511</v>
      </c>
      <c r="F42" s="21">
        <f t="shared" si="3"/>
        <v>3.1</v>
      </c>
    </row>
    <row r="43" spans="1:6" x14ac:dyDescent="0.2">
      <c r="A43" s="19">
        <v>8</v>
      </c>
      <c r="B43" s="177" t="s">
        <v>7</v>
      </c>
      <c r="C43" s="178"/>
      <c r="D43" s="14">
        <f>IF(F3="1",SUMIF(Data!A:A,'51'!$A$2,Data!DB:DB),0)</f>
        <v>11937</v>
      </c>
      <c r="E43" s="17">
        <f>IF($F$3="1",SUMIF(Data!$A:$A,$A$2,Data!IV:IV),0)</f>
        <v>42493</v>
      </c>
      <c r="F43" s="21">
        <f t="shared" si="3"/>
        <v>3.56</v>
      </c>
    </row>
    <row r="44" spans="1:6" x14ac:dyDescent="0.2">
      <c r="A44" s="19">
        <v>9</v>
      </c>
      <c r="B44" s="177" t="s">
        <v>8</v>
      </c>
      <c r="C44" s="178"/>
      <c r="D44" s="14">
        <f>IF(F3="1",SUMIF(Data!A:A,'51'!$A$2,Data!DC:DC),0)</f>
        <v>33642</v>
      </c>
      <c r="E44" s="17">
        <f>IF($F$3="1",SUMIF(Data!$A:$A,$A$2,Data!IW:IW),0)</f>
        <v>123547</v>
      </c>
      <c r="F44" s="21">
        <f t="shared" si="3"/>
        <v>3.67</v>
      </c>
    </row>
    <row r="45" spans="1:6" x14ac:dyDescent="0.2">
      <c r="A45" s="19">
        <v>10</v>
      </c>
      <c r="B45" s="177" t="s">
        <v>9</v>
      </c>
      <c r="C45" s="178"/>
      <c r="D45" s="14">
        <f>IF(F3="1",SUMIF(Data!A:A,'51'!$A$2,Data!DD:DD),0)</f>
        <v>0</v>
      </c>
      <c r="E45" s="17">
        <f>IF($F$3="1",SUMIF(Data!$A:$A,$A$2,Data!IX:IX),0)</f>
        <v>0</v>
      </c>
      <c r="F45" s="21" t="str">
        <f t="shared" si="3"/>
        <v/>
      </c>
    </row>
    <row r="46" spans="1:6" x14ac:dyDescent="0.2">
      <c r="A46" s="19">
        <v>11</v>
      </c>
      <c r="B46" s="177" t="s">
        <v>10</v>
      </c>
      <c r="C46" s="178"/>
      <c r="D46" s="14">
        <f>IF(F3="1",SUMIF(Data!A:A,'51'!$A$2,Data!DE:DE),0)</f>
        <v>246894</v>
      </c>
      <c r="E46" s="17">
        <f>IF($F$3="1",SUMIF(Data!$A:$A,$A$2,Data!IY:IY),0)</f>
        <v>501263</v>
      </c>
      <c r="F46" s="21">
        <f t="shared" si="3"/>
        <v>2.0299999999999998</v>
      </c>
    </row>
    <row r="47" spans="1:6" ht="14.25" customHeight="1" x14ac:dyDescent="0.2">
      <c r="A47" s="19">
        <v>12</v>
      </c>
      <c r="B47" s="177" t="s">
        <v>11</v>
      </c>
      <c r="C47" s="178"/>
      <c r="D47" s="14">
        <f>IF(F3="1",SUMIF(Data!A:A,'51'!$A$2,Data!DF:DF),0)</f>
        <v>279512</v>
      </c>
      <c r="E47" s="17">
        <f>IF($F$3="1",SUMIF(Data!$A:$A,$A$2,Data!IZ:IZ),0)</f>
        <v>230134</v>
      </c>
      <c r="F47" s="21">
        <f t="shared" si="3"/>
        <v>0.82</v>
      </c>
    </row>
    <row r="48" spans="1:6" x14ac:dyDescent="0.2">
      <c r="A48" s="19">
        <v>13</v>
      </c>
      <c r="B48" s="177" t="s">
        <v>12</v>
      </c>
      <c r="C48" s="178"/>
      <c r="D48" s="14">
        <f>IF(F3="1",SUMIF(Data!A:A,'51'!$A$2,Data!DG:DG),0)</f>
        <v>36654</v>
      </c>
      <c r="E48" s="17">
        <f>IF($F$3="1",SUMIF(Data!$A:$A,$A$2,Data!JA:JA),0)</f>
        <v>41713</v>
      </c>
      <c r="F48" s="21">
        <f t="shared" si="3"/>
        <v>1.1399999999999999</v>
      </c>
    </row>
    <row r="49" spans="1:6" ht="14.25" customHeight="1" x14ac:dyDescent="0.2">
      <c r="A49" s="19">
        <v>14</v>
      </c>
      <c r="B49" s="177" t="s">
        <v>464</v>
      </c>
      <c r="C49" s="178"/>
      <c r="D49" s="14">
        <f>IF(F3="1",SUMIF(Data!A:A,'51'!$A$2,Data!DH:DH),0)</f>
        <v>21012</v>
      </c>
      <c r="E49" s="17">
        <f>IF($F$3="1",SUMIF(Data!$A:$A,$A$2,Data!JB:JB),0)</f>
        <v>56098</v>
      </c>
      <c r="F49" s="21">
        <f t="shared" si="3"/>
        <v>2.67</v>
      </c>
    </row>
    <row r="50" spans="1:6" x14ac:dyDescent="0.2">
      <c r="A50" s="19">
        <v>15</v>
      </c>
      <c r="B50" s="177" t="s">
        <v>13</v>
      </c>
      <c r="C50" s="178"/>
      <c r="D50" s="14">
        <f>IF(F3="1",SUMIF(Data!A:A,'51'!$A$2,Data!DI:DI),0)</f>
        <v>14088</v>
      </c>
      <c r="E50" s="17">
        <f>IF($F$3="1",SUMIF(Data!$A:$A,$A$2,Data!JC:JC),0)</f>
        <v>65224</v>
      </c>
      <c r="F50" s="21">
        <f t="shared" si="3"/>
        <v>4.63</v>
      </c>
    </row>
    <row r="51" spans="1:6" x14ac:dyDescent="0.2">
      <c r="A51" s="19">
        <v>16</v>
      </c>
      <c r="B51" s="177" t="s">
        <v>14</v>
      </c>
      <c r="C51" s="178"/>
      <c r="D51" s="14">
        <f>IF(F3="1",SUMIF(Data!A:A,'51'!$A$2,Data!DJ:DJ),0)</f>
        <v>190535</v>
      </c>
      <c r="E51" s="17">
        <f>IF($F$3="1",SUMIF(Data!$A:$A,$A$2,Data!JD:JD),0)</f>
        <v>438328</v>
      </c>
      <c r="F51" s="21">
        <f t="shared" si="3"/>
        <v>2.2999999999999998</v>
      </c>
    </row>
    <row r="52" spans="1:6" x14ac:dyDescent="0.2">
      <c r="A52" s="19">
        <v>17</v>
      </c>
      <c r="B52" s="177" t="s">
        <v>15</v>
      </c>
      <c r="C52" s="178"/>
      <c r="D52" s="14">
        <f>IF(F3="1",SUMIF(Data!A:A,'51'!$A$2,Data!DK:DK),0)</f>
        <v>0</v>
      </c>
      <c r="E52" s="17">
        <f>IF($F$3="1",SUMIF(Data!$A:$A,$A$2,Data!JE:JE),0)</f>
        <v>0</v>
      </c>
      <c r="F52" s="21" t="str">
        <f t="shared" si="3"/>
        <v/>
      </c>
    </row>
    <row r="53" spans="1:6" x14ac:dyDescent="0.2">
      <c r="A53" s="19">
        <v>18</v>
      </c>
      <c r="B53" s="177" t="s">
        <v>16</v>
      </c>
      <c r="C53" s="178"/>
      <c r="D53" s="14">
        <f>IF(F3="1",SUMIF(Data!A:A,'51'!$A$2,Data!DL:DL),0)</f>
        <v>0</v>
      </c>
      <c r="E53" s="17">
        <f>IF($F$3="1",SUMIF(Data!$A:$A,$A$2,Data!JF:JF),0)</f>
        <v>0</v>
      </c>
      <c r="F53" s="21" t="str">
        <f t="shared" si="3"/>
        <v/>
      </c>
    </row>
    <row r="54" spans="1:6" x14ac:dyDescent="0.2">
      <c r="A54" s="19">
        <v>19</v>
      </c>
      <c r="B54" s="177" t="s">
        <v>17</v>
      </c>
      <c r="C54" s="178"/>
      <c r="D54" s="14">
        <f>IF(F3="1",SUMIF(Data!A:A,'51'!$A$2,Data!DM:DM),0)</f>
        <v>237960</v>
      </c>
      <c r="E54" s="17">
        <f>IF($F$3="1",SUMIF(Data!$A:$A,$A$2,Data!JG:JG),0)</f>
        <v>236751</v>
      </c>
      <c r="F54" s="21">
        <f t="shared" si="3"/>
        <v>0.99</v>
      </c>
    </row>
    <row r="55" spans="1:6" x14ac:dyDescent="0.2">
      <c r="A55" s="19">
        <v>20</v>
      </c>
      <c r="B55" s="177" t="s">
        <v>18</v>
      </c>
      <c r="C55" s="178"/>
      <c r="D55" s="14">
        <f>IF(F3="1",SUMIF(Data!A:A,'51'!$A$2,Data!DN:DN),0)</f>
        <v>71121</v>
      </c>
      <c r="E55" s="17">
        <f>IF($F$3="1",SUMIF(Data!$A:$A,$A$2,Data!JH:JH),0)</f>
        <v>244560</v>
      </c>
      <c r="F55" s="21">
        <f t="shared" si="3"/>
        <v>3.44</v>
      </c>
    </row>
    <row r="56" spans="1:6" ht="14.25" customHeight="1" x14ac:dyDescent="0.2">
      <c r="A56" s="19">
        <v>21</v>
      </c>
      <c r="B56" s="177" t="s">
        <v>461</v>
      </c>
      <c r="C56" s="178"/>
      <c r="D56" s="14">
        <f>IF(F3="1",SUMIF(Data!A:A,'51'!$A$2,Data!DO:DO),0)</f>
        <v>31488</v>
      </c>
      <c r="E56" s="17">
        <f>IF($F$3="1",SUMIF(Data!$A:$A,$A$2,Data!JI:JI),0)</f>
        <v>122947</v>
      </c>
      <c r="F56" s="21">
        <f t="shared" si="3"/>
        <v>3.9</v>
      </c>
    </row>
    <row r="57" spans="1:6" x14ac:dyDescent="0.2">
      <c r="A57" s="19">
        <v>22</v>
      </c>
      <c r="B57" s="177" t="s">
        <v>19</v>
      </c>
      <c r="C57" s="178"/>
      <c r="D57" s="14">
        <f>IF(F3="1",SUMIF(Data!A:A,'51'!$A$2,Data!DP:DP),0)</f>
        <v>44532</v>
      </c>
      <c r="E57" s="17">
        <f>IF($F$3="1",SUMIF(Data!$A:$A,$A$2,Data!JJ:JJ),0)</f>
        <v>133109</v>
      </c>
      <c r="F57" s="21">
        <f t="shared" si="3"/>
        <v>2.99</v>
      </c>
    </row>
    <row r="58" spans="1:6" x14ac:dyDescent="0.2">
      <c r="A58" s="19">
        <v>23</v>
      </c>
      <c r="B58" s="177" t="s">
        <v>20</v>
      </c>
      <c r="C58" s="178"/>
      <c r="D58" s="14">
        <f>IF(F3="1",SUMIF(Data!A:A,'51'!$A$2,Data!DQ:DQ),0)</f>
        <v>0</v>
      </c>
      <c r="E58" s="17">
        <f>IF($F$3="1",SUMIF(Data!$A:$A,$A$2,Data!JK:JK),0)</f>
        <v>0</v>
      </c>
      <c r="F58" s="21" t="str">
        <f t="shared" si="3"/>
        <v/>
      </c>
    </row>
    <row r="59" spans="1:6" x14ac:dyDescent="0.2">
      <c r="A59" s="19">
        <v>24</v>
      </c>
      <c r="B59" s="177" t="s">
        <v>21</v>
      </c>
      <c r="C59" s="178"/>
      <c r="D59" s="14">
        <f>IF(F3="1",SUMIF(Data!A:A,'51'!$A$2,Data!DR:DR),0)</f>
        <v>32744</v>
      </c>
      <c r="E59" s="17">
        <f>IF($F$3="1",SUMIF(Data!$A:$A,$A$2,Data!JL:JL),0)</f>
        <v>67147</v>
      </c>
      <c r="F59" s="21">
        <f t="shared" si="3"/>
        <v>2.0499999999999998</v>
      </c>
    </row>
    <row r="60" spans="1:6" x14ac:dyDescent="0.2">
      <c r="A60" s="19">
        <v>25</v>
      </c>
      <c r="B60" s="177" t="s">
        <v>22</v>
      </c>
      <c r="C60" s="178"/>
      <c r="D60" s="14">
        <f>IF(F3="1",SUMIF(Data!A:A,'51'!$A$2,Data!DS:DS),0)</f>
        <v>192504</v>
      </c>
      <c r="E60" s="17">
        <f>IF($F$3="1",SUMIF(Data!$A:$A,$A$2,Data!JM:JM),0)</f>
        <v>242971</v>
      </c>
      <c r="F60" s="21">
        <f t="shared" si="3"/>
        <v>1.26</v>
      </c>
    </row>
    <row r="61" spans="1:6" x14ac:dyDescent="0.2">
      <c r="A61" s="19">
        <v>26</v>
      </c>
      <c r="B61" s="177" t="s">
        <v>23</v>
      </c>
      <c r="C61" s="178"/>
      <c r="D61" s="14">
        <f>IF(F3="1",SUMIF(Data!A:A,'51'!$A$2,Data!DT:DT),0)</f>
        <v>108504</v>
      </c>
      <c r="E61" s="17">
        <f>IF($F$3="1",SUMIF(Data!$A:$A,$A$2,Data!JN:JN),0)</f>
        <v>243284</v>
      </c>
      <c r="F61" s="21">
        <f t="shared" si="3"/>
        <v>2.2400000000000002</v>
      </c>
    </row>
    <row r="62" spans="1:6" x14ac:dyDescent="0.2">
      <c r="A62" s="19">
        <v>28</v>
      </c>
      <c r="B62" s="177" t="s">
        <v>24</v>
      </c>
      <c r="C62" s="178"/>
      <c r="D62" s="14">
        <f>IF(F3="1",SUMIF(Data!A:A,'51'!$A$2,Data!DV:DV),0)</f>
        <v>0</v>
      </c>
      <c r="E62" s="17">
        <f>IF($F$3="1",SUMIF(Data!$A:$A,$A$2,Data!JP:JP),0)</f>
        <v>0</v>
      </c>
      <c r="F62" s="21" t="str">
        <f t="shared" si="3"/>
        <v/>
      </c>
    </row>
    <row r="63" spans="1:6" ht="15.75" customHeight="1" thickBot="1" x14ac:dyDescent="0.25">
      <c r="A63" s="22">
        <v>29</v>
      </c>
      <c r="B63" s="179" t="s">
        <v>25</v>
      </c>
      <c r="C63" s="180"/>
      <c r="D63" s="23">
        <f>IF(F3="1",SUMIF(Data!A:A,'51'!$A$2,Data!DW:DW),0)</f>
        <v>0</v>
      </c>
      <c r="E63" s="24">
        <f>IF($F$3="1",SUMIF(Data!$A:$A,$A$2,Data!JQ:JQ),0)</f>
        <v>0</v>
      </c>
      <c r="F63" s="25" t="str">
        <f t="shared" si="3"/>
        <v/>
      </c>
    </row>
    <row r="64" spans="1:6" x14ac:dyDescent="0.2">
      <c r="B64" s="30" t="s">
        <v>35</v>
      </c>
      <c r="C64" s="30"/>
      <c r="D64" s="59">
        <f>SUM(D36:D63)</f>
        <v>2544124</v>
      </c>
      <c r="E64" s="31">
        <f>SUM(E36:E63)</f>
        <v>4883533</v>
      </c>
      <c r="F64" s="32">
        <f t="shared" si="3"/>
        <v>1.92</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25920</v>
      </c>
      <c r="E67" s="15">
        <f>IF(F3="1",SUMIF(Data!A:A,'51'!$A$2,Data!DY:DY),0)</f>
        <v>49051</v>
      </c>
      <c r="F67" s="20">
        <f t="shared" ref="F67:F95" si="4">IF(OR(D67=0,E67=0),"",ROUND(E67/D67,2))</f>
        <v>1.89</v>
      </c>
    </row>
    <row r="68" spans="1:6" x14ac:dyDescent="0.2">
      <c r="A68" s="19">
        <v>2</v>
      </c>
      <c r="B68" s="177" t="s">
        <v>1</v>
      </c>
      <c r="C68" s="178"/>
      <c r="D68" s="14">
        <f t="shared" ref="D68:D94" si="5">D37</f>
        <v>216378</v>
      </c>
      <c r="E68" s="17">
        <f>IF(F3="1",SUMIF(Data!A:A,'51'!$A$2,Data!DZ:DZ),0)</f>
        <v>693710</v>
      </c>
      <c r="F68" s="21">
        <f t="shared" si="4"/>
        <v>3.21</v>
      </c>
    </row>
    <row r="69" spans="1:6" ht="14.25" customHeight="1" x14ac:dyDescent="0.2">
      <c r="A69" s="19">
        <v>3</v>
      </c>
      <c r="B69" s="177" t="s">
        <v>2</v>
      </c>
      <c r="C69" s="178"/>
      <c r="D69" s="14">
        <f t="shared" si="5"/>
        <v>233112</v>
      </c>
      <c r="E69" s="17">
        <f>IF(F3="1",SUMIF(Data!A:A,'51'!$A$2,Data!EA:EA),0)</f>
        <v>483936</v>
      </c>
      <c r="F69" s="21">
        <f t="shared" si="4"/>
        <v>2.08</v>
      </c>
    </row>
    <row r="70" spans="1:6" ht="14.25" customHeight="1" x14ac:dyDescent="0.2">
      <c r="A70" s="19">
        <v>4</v>
      </c>
      <c r="B70" s="177" t="s">
        <v>3</v>
      </c>
      <c r="C70" s="178"/>
      <c r="D70" s="14">
        <f t="shared" si="5"/>
        <v>402773</v>
      </c>
      <c r="E70" s="17">
        <f>IF(F3="1",SUMIF(Data!A:A,'51'!$A$2,Data!EB:EB),0)</f>
        <v>1053166</v>
      </c>
      <c r="F70" s="21">
        <f t="shared" si="4"/>
        <v>2.61</v>
      </c>
    </row>
    <row r="71" spans="1:6" x14ac:dyDescent="0.2">
      <c r="A71" s="19">
        <v>5</v>
      </c>
      <c r="B71" s="177" t="s">
        <v>4</v>
      </c>
      <c r="C71" s="178"/>
      <c r="D71" s="14">
        <f t="shared" si="5"/>
        <v>0</v>
      </c>
      <c r="E71" s="17">
        <f>IF(F3="1",SUMIF(Data!A:A,'51'!$A$2,Data!EC:EC),0)</f>
        <v>0</v>
      </c>
      <c r="F71" s="21" t="str">
        <f t="shared" si="4"/>
        <v/>
      </c>
    </row>
    <row r="72" spans="1:6" x14ac:dyDescent="0.2">
      <c r="A72" s="19">
        <v>6</v>
      </c>
      <c r="B72" s="177" t="s">
        <v>5</v>
      </c>
      <c r="C72" s="178"/>
      <c r="D72" s="14">
        <f t="shared" si="5"/>
        <v>12312</v>
      </c>
      <c r="E72" s="17">
        <f>IF(F3="1",SUMIF(Data!A:A,'51'!$A$2,Data!ED:ED),0)</f>
        <v>49462</v>
      </c>
      <c r="F72" s="21">
        <f t="shared" si="4"/>
        <v>4.0199999999999996</v>
      </c>
    </row>
    <row r="73" spans="1:6" x14ac:dyDescent="0.2">
      <c r="A73" s="19">
        <v>7</v>
      </c>
      <c r="B73" s="177" t="s">
        <v>6</v>
      </c>
      <c r="C73" s="178"/>
      <c r="D73" s="14">
        <f t="shared" si="5"/>
        <v>100502</v>
      </c>
      <c r="E73" s="17">
        <f>IF(F3="1",SUMIF(Data!A:A,'51'!$A$2,Data!EE:EE),0)</f>
        <v>470124</v>
      </c>
      <c r="F73" s="21">
        <f t="shared" si="4"/>
        <v>4.68</v>
      </c>
    </row>
    <row r="74" spans="1:6" x14ac:dyDescent="0.2">
      <c r="A74" s="19">
        <v>8</v>
      </c>
      <c r="B74" s="177" t="s">
        <v>7</v>
      </c>
      <c r="C74" s="178"/>
      <c r="D74" s="14">
        <f t="shared" si="5"/>
        <v>11937</v>
      </c>
      <c r="E74" s="17">
        <f>IF(F3="1",SUMIF(Data!A:A,'51'!$A$2,Data!EF:EF),0)</f>
        <v>33031</v>
      </c>
      <c r="F74" s="21">
        <f t="shared" si="4"/>
        <v>2.77</v>
      </c>
    </row>
    <row r="75" spans="1:6" x14ac:dyDescent="0.2">
      <c r="A75" s="19">
        <v>9</v>
      </c>
      <c r="B75" s="177" t="s">
        <v>8</v>
      </c>
      <c r="C75" s="178"/>
      <c r="D75" s="14">
        <f t="shared" si="5"/>
        <v>33642</v>
      </c>
      <c r="E75" s="17">
        <f>IF(F3="1",SUMIF(Data!A:A,'51'!$A$2,Data!EG:EG),0)</f>
        <v>78599</v>
      </c>
      <c r="F75" s="21">
        <f t="shared" si="4"/>
        <v>2.34</v>
      </c>
    </row>
    <row r="76" spans="1:6" x14ac:dyDescent="0.2">
      <c r="A76" s="19">
        <v>10</v>
      </c>
      <c r="B76" s="177" t="s">
        <v>9</v>
      </c>
      <c r="C76" s="178"/>
      <c r="D76" s="14">
        <f t="shared" si="5"/>
        <v>0</v>
      </c>
      <c r="E76" s="17">
        <f>IF(F3="1",SUMIF(Data!A:A,'51'!$A$2,Data!EH:EH),0)</f>
        <v>0</v>
      </c>
      <c r="F76" s="21" t="str">
        <f t="shared" si="4"/>
        <v/>
      </c>
    </row>
    <row r="77" spans="1:6" x14ac:dyDescent="0.2">
      <c r="A77" s="19">
        <v>11</v>
      </c>
      <c r="B77" s="177" t="s">
        <v>10</v>
      </c>
      <c r="C77" s="178"/>
      <c r="D77" s="14">
        <f t="shared" si="5"/>
        <v>246894</v>
      </c>
      <c r="E77" s="17">
        <f>IF(F3="1",SUMIF(Data!A:A,'51'!$A$2,Data!EI:EI),0)</f>
        <v>737910</v>
      </c>
      <c r="F77" s="21">
        <f t="shared" si="4"/>
        <v>2.99</v>
      </c>
    </row>
    <row r="78" spans="1:6" ht="14.25" customHeight="1" x14ac:dyDescent="0.2">
      <c r="A78" s="19">
        <v>12</v>
      </c>
      <c r="B78" s="177" t="s">
        <v>11</v>
      </c>
      <c r="C78" s="178"/>
      <c r="D78" s="14">
        <f t="shared" si="5"/>
        <v>279512</v>
      </c>
      <c r="E78" s="17">
        <f>IF(F3="1",SUMIF(Data!A:A,'51'!$A$2,Data!EJ:EJ),0)</f>
        <v>781980</v>
      </c>
      <c r="F78" s="21">
        <f t="shared" si="4"/>
        <v>2.8</v>
      </c>
    </row>
    <row r="79" spans="1:6" x14ac:dyDescent="0.2">
      <c r="A79" s="19">
        <v>13</v>
      </c>
      <c r="B79" s="177" t="s">
        <v>12</v>
      </c>
      <c r="C79" s="178"/>
      <c r="D79" s="14">
        <f t="shared" si="5"/>
        <v>36654</v>
      </c>
      <c r="E79" s="17">
        <f>IF(F3="1",SUMIF(Data!A:A,'51'!$A$2,Data!EK:EK),0)</f>
        <v>96375</v>
      </c>
      <c r="F79" s="21">
        <f t="shared" si="4"/>
        <v>2.63</v>
      </c>
    </row>
    <row r="80" spans="1:6" ht="14.25" customHeight="1" x14ac:dyDescent="0.2">
      <c r="A80" s="19">
        <v>14</v>
      </c>
      <c r="B80" s="177" t="s">
        <v>464</v>
      </c>
      <c r="C80" s="178"/>
      <c r="D80" s="14">
        <f t="shared" si="5"/>
        <v>21012</v>
      </c>
      <c r="E80" s="17">
        <f>IF(F3="1",SUMIF(Data!A:A,'51'!$A$2,Data!EL:EL),0)</f>
        <v>107766</v>
      </c>
      <c r="F80" s="21">
        <f t="shared" si="4"/>
        <v>5.13</v>
      </c>
    </row>
    <row r="81" spans="1:6" x14ac:dyDescent="0.2">
      <c r="A81" s="19">
        <v>15</v>
      </c>
      <c r="B81" s="177" t="s">
        <v>13</v>
      </c>
      <c r="C81" s="178"/>
      <c r="D81" s="14">
        <f t="shared" si="5"/>
        <v>14088</v>
      </c>
      <c r="E81" s="17">
        <f>IF(F3="1",SUMIF(Data!A:A,'51'!$A$2,Data!EM:EM),0)</f>
        <v>75882</v>
      </c>
      <c r="F81" s="21">
        <f t="shared" si="4"/>
        <v>5.39</v>
      </c>
    </row>
    <row r="82" spans="1:6" x14ac:dyDescent="0.2">
      <c r="A82" s="19">
        <v>16</v>
      </c>
      <c r="B82" s="177" t="s">
        <v>14</v>
      </c>
      <c r="C82" s="178"/>
      <c r="D82" s="14">
        <f t="shared" si="5"/>
        <v>190535</v>
      </c>
      <c r="E82" s="17">
        <f>IF(F3="1",SUMIF(Data!A:A,'51'!$A$2,Data!EN:EN),0)</f>
        <v>747821</v>
      </c>
      <c r="F82" s="21">
        <f t="shared" si="4"/>
        <v>3.92</v>
      </c>
    </row>
    <row r="83" spans="1:6" x14ac:dyDescent="0.2">
      <c r="A83" s="19">
        <v>17</v>
      </c>
      <c r="B83" s="177" t="s">
        <v>15</v>
      </c>
      <c r="C83" s="178"/>
      <c r="D83" s="14">
        <f t="shared" si="5"/>
        <v>0</v>
      </c>
      <c r="E83" s="17">
        <f>IF(F3="1",SUMIF(Data!A:A,'51'!$A$2,Data!EO:EO),0)</f>
        <v>0</v>
      </c>
      <c r="F83" s="21" t="str">
        <f t="shared" si="4"/>
        <v/>
      </c>
    </row>
    <row r="84" spans="1:6" x14ac:dyDescent="0.2">
      <c r="A84" s="19">
        <v>18</v>
      </c>
      <c r="B84" s="177" t="s">
        <v>16</v>
      </c>
      <c r="C84" s="178"/>
      <c r="D84" s="14">
        <f t="shared" si="5"/>
        <v>0</v>
      </c>
      <c r="E84" s="17">
        <f>IF(F3="1",SUMIF(Data!A:A,'51'!$A$2,Data!EP:EP),0)</f>
        <v>0</v>
      </c>
      <c r="F84" s="21" t="str">
        <f t="shared" si="4"/>
        <v/>
      </c>
    </row>
    <row r="85" spans="1:6" x14ac:dyDescent="0.2">
      <c r="A85" s="19">
        <v>19</v>
      </c>
      <c r="B85" s="177" t="s">
        <v>17</v>
      </c>
      <c r="C85" s="178"/>
      <c r="D85" s="14">
        <f t="shared" si="5"/>
        <v>237960</v>
      </c>
      <c r="E85" s="17">
        <f>IF(F3="1",SUMIF(Data!A:A,'51'!$A$2,Data!EQ:EQ),0)</f>
        <v>398212</v>
      </c>
      <c r="F85" s="21">
        <f t="shared" si="4"/>
        <v>1.67</v>
      </c>
    </row>
    <row r="86" spans="1:6" x14ac:dyDescent="0.2">
      <c r="A86" s="19">
        <v>20</v>
      </c>
      <c r="B86" s="177" t="s">
        <v>18</v>
      </c>
      <c r="C86" s="178"/>
      <c r="D86" s="14">
        <f t="shared" si="5"/>
        <v>71121</v>
      </c>
      <c r="E86" s="17">
        <f>IF(F3="1",SUMIF(Data!A:A,'51'!$A$2,Data!ER:ER),0)</f>
        <v>289876</v>
      </c>
      <c r="F86" s="21">
        <f t="shared" si="4"/>
        <v>4.08</v>
      </c>
    </row>
    <row r="87" spans="1:6" ht="14.25" customHeight="1" x14ac:dyDescent="0.2">
      <c r="A87" s="19">
        <v>21</v>
      </c>
      <c r="B87" s="177" t="s">
        <v>461</v>
      </c>
      <c r="C87" s="178"/>
      <c r="D87" s="14">
        <f t="shared" si="5"/>
        <v>31488</v>
      </c>
      <c r="E87" s="17">
        <f>IF(F3="1",SUMIF(Data!A:A,'51'!$A$2,Data!ES:ES),0)</f>
        <v>111595</v>
      </c>
      <c r="F87" s="21">
        <f t="shared" si="4"/>
        <v>3.54</v>
      </c>
    </row>
    <row r="88" spans="1:6" x14ac:dyDescent="0.2">
      <c r="A88" s="19">
        <v>22</v>
      </c>
      <c r="B88" s="177" t="s">
        <v>19</v>
      </c>
      <c r="C88" s="178"/>
      <c r="D88" s="14">
        <f t="shared" si="5"/>
        <v>44532</v>
      </c>
      <c r="E88" s="17">
        <f>IF(F3="1",SUMIF(Data!A:A,'51'!$A$2,Data!ET:ET),0)</f>
        <v>121671</v>
      </c>
      <c r="F88" s="21">
        <f t="shared" si="4"/>
        <v>2.73</v>
      </c>
    </row>
    <row r="89" spans="1:6" x14ac:dyDescent="0.2">
      <c r="A89" s="19">
        <v>23</v>
      </c>
      <c r="B89" s="177" t="s">
        <v>20</v>
      </c>
      <c r="C89" s="178"/>
      <c r="D89" s="14">
        <f t="shared" si="5"/>
        <v>0</v>
      </c>
      <c r="E89" s="17">
        <f>IF(F3="1",SUMIF(Data!A:A,'51'!$A$2,Data!EU:EU),0)</f>
        <v>0</v>
      </c>
      <c r="F89" s="21" t="str">
        <f t="shared" si="4"/>
        <v/>
      </c>
    </row>
    <row r="90" spans="1:6" x14ac:dyDescent="0.2">
      <c r="A90" s="19">
        <v>24</v>
      </c>
      <c r="B90" s="177" t="s">
        <v>21</v>
      </c>
      <c r="C90" s="178"/>
      <c r="D90" s="14">
        <f t="shared" si="5"/>
        <v>32744</v>
      </c>
      <c r="E90" s="17">
        <f>IF(F3="1",SUMIF(Data!A:A,'51'!$A$2,Data!EV:EV),0)</f>
        <v>37391</v>
      </c>
      <c r="F90" s="21">
        <f t="shared" si="4"/>
        <v>1.1399999999999999</v>
      </c>
    </row>
    <row r="91" spans="1:6" x14ac:dyDescent="0.2">
      <c r="A91" s="19">
        <v>25</v>
      </c>
      <c r="B91" s="177" t="s">
        <v>22</v>
      </c>
      <c r="C91" s="178"/>
      <c r="D91" s="14">
        <f t="shared" si="5"/>
        <v>192504</v>
      </c>
      <c r="E91" s="17">
        <f>IF(F3="1",SUMIF(Data!A:A,'51'!$A$2,Data!EW:EW),0)</f>
        <v>263218</v>
      </c>
      <c r="F91" s="21">
        <f t="shared" si="4"/>
        <v>1.37</v>
      </c>
    </row>
    <row r="92" spans="1:6" x14ac:dyDescent="0.2">
      <c r="A92" s="19">
        <v>26</v>
      </c>
      <c r="B92" s="177" t="s">
        <v>23</v>
      </c>
      <c r="C92" s="178"/>
      <c r="D92" s="14">
        <f t="shared" si="5"/>
        <v>108504</v>
      </c>
      <c r="E92" s="17">
        <f>IF(F3="1",SUMIF(Data!A:A,'51'!$A$2,Data!EX:EX),0)</f>
        <v>231183</v>
      </c>
      <c r="F92" s="21">
        <f t="shared" si="4"/>
        <v>2.13</v>
      </c>
    </row>
    <row r="93" spans="1:6" x14ac:dyDescent="0.2">
      <c r="A93" s="19">
        <v>28</v>
      </c>
      <c r="B93" s="177" t="s">
        <v>24</v>
      </c>
      <c r="C93" s="178"/>
      <c r="D93" s="14">
        <f t="shared" si="5"/>
        <v>0</v>
      </c>
      <c r="E93" s="17">
        <f>IF(F3="1",SUMIF(Data!A:A,'51'!$A$2,Data!EZ:EZ),0)</f>
        <v>0</v>
      </c>
      <c r="F93" s="21" t="str">
        <f t="shared" si="4"/>
        <v/>
      </c>
    </row>
    <row r="94" spans="1:6" ht="15.75" customHeight="1" thickBot="1" x14ac:dyDescent="0.25">
      <c r="A94" s="22">
        <v>29</v>
      </c>
      <c r="B94" s="179" t="s">
        <v>25</v>
      </c>
      <c r="C94" s="180"/>
      <c r="D94" s="23">
        <f t="shared" si="5"/>
        <v>0</v>
      </c>
      <c r="E94" s="24">
        <f>IF(F3="1",SUMIF(Data!A:A,'51'!$A$2,Data!FA:FA),0)</f>
        <v>0</v>
      </c>
      <c r="F94" s="25" t="str">
        <f t="shared" si="4"/>
        <v/>
      </c>
    </row>
    <row r="95" spans="1:6" x14ac:dyDescent="0.2">
      <c r="B95" s="30" t="s">
        <v>35</v>
      </c>
      <c r="C95" s="30"/>
      <c r="D95" s="59">
        <f>SUM(D67:D94)</f>
        <v>2544124</v>
      </c>
      <c r="E95" s="31">
        <f>SUM(E67:E94)</f>
        <v>6911959</v>
      </c>
      <c r="F95" s="32">
        <f t="shared" si="4"/>
        <v>2.72</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IF(F3="1",SUMIF(Data!A:A,'51'!$A$2,Data!AH:AH),0)</f>
        <v>2490934</v>
      </c>
      <c r="F98" s="20">
        <f>IF(OR(E98=0,E98=0),"",ROUND(E98/$D$105,2))</f>
        <v>0.98</v>
      </c>
    </row>
    <row r="99" spans="2:6" x14ac:dyDescent="0.2">
      <c r="B99" s="183" t="s">
        <v>31</v>
      </c>
      <c r="C99" s="184"/>
      <c r="D99" s="36"/>
      <c r="E99" s="17">
        <f>IF(F3="1",SUMIF(Data!A:A,'51'!$A$2,Data!AI:AI),0)</f>
        <v>865807</v>
      </c>
      <c r="F99" s="21">
        <f t="shared" ref="F99:F104" si="6">IF(OR(E99=0,E99=0),"",ROUND(E99/$D$105,2))</f>
        <v>0.34</v>
      </c>
    </row>
    <row r="100" spans="2:6" x14ac:dyDescent="0.2">
      <c r="B100" s="183" t="s">
        <v>1078</v>
      </c>
      <c r="C100" s="184"/>
      <c r="D100" s="36"/>
      <c r="E100" s="17">
        <f>IF(F3="1",SUMIF(Data!A:A,'51'!$A$2,Data!AJ:AJ),0)</f>
        <v>510607</v>
      </c>
      <c r="F100" s="21">
        <f t="shared" si="6"/>
        <v>0.2</v>
      </c>
    </row>
    <row r="101" spans="2:6" x14ac:dyDescent="0.2">
      <c r="B101" s="183" t="s">
        <v>1079</v>
      </c>
      <c r="C101" s="184"/>
      <c r="D101" s="36"/>
      <c r="E101" s="17">
        <f>IF(F3="1",SUMIF(Data!A:A,'51'!$A$2,Data!AK:AK),0)</f>
        <v>461527</v>
      </c>
      <c r="F101" s="21">
        <f t="shared" si="6"/>
        <v>0.18</v>
      </c>
    </row>
    <row r="102" spans="2:6" x14ac:dyDescent="0.2">
      <c r="B102" s="183" t="s">
        <v>1080</v>
      </c>
      <c r="C102" s="184"/>
      <c r="D102" s="36"/>
      <c r="E102" s="17">
        <f>IF(F3="1",SUMIF(Data!A:A,'51'!$A$2,Data!AL:AL),0)</f>
        <v>0</v>
      </c>
      <c r="F102" s="21" t="str">
        <f t="shared" si="6"/>
        <v/>
      </c>
    </row>
    <row r="103" spans="2:6" x14ac:dyDescent="0.2">
      <c r="B103" s="185" t="s">
        <v>34</v>
      </c>
      <c r="C103" s="186"/>
      <c r="D103" s="36"/>
      <c r="E103" s="17">
        <f>IF(F3="1",SUMIF(Data!A:A,'51'!$A$2,Data!AM:AM),0)</f>
        <v>0</v>
      </c>
      <c r="F103" s="21" t="str">
        <f t="shared" si="6"/>
        <v/>
      </c>
    </row>
    <row r="104" spans="2:6" ht="15.75" customHeight="1" thickBot="1" x14ac:dyDescent="0.25">
      <c r="B104" s="175" t="s">
        <v>29</v>
      </c>
      <c r="C104" s="176"/>
      <c r="D104" s="37"/>
      <c r="E104" s="24">
        <f>IF(F3="1",SUMIF(Data!A:A,'51'!$A$2,Data!Q:Q),0)</f>
        <v>1662</v>
      </c>
      <c r="F104" s="25">
        <f t="shared" si="6"/>
        <v>0</v>
      </c>
    </row>
    <row r="105" spans="2:6" x14ac:dyDescent="0.2">
      <c r="B105" s="30" t="s">
        <v>35</v>
      </c>
      <c r="C105" s="30"/>
      <c r="D105" s="34">
        <f>D95</f>
        <v>2544124</v>
      </c>
      <c r="E105" s="31">
        <f>SUM(E98:E104)</f>
        <v>4330537</v>
      </c>
      <c r="F105" s="32">
        <f>IF($D$105=0,"",ROUND(E105/$D$105,2))</f>
        <v>1.7</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6911959</v>
      </c>
      <c r="D109" s="15">
        <f>IF(F3="1",SUMIF(Data!$A:$A,$A$2,Data!HJ:HJ),0)</f>
        <v>0</v>
      </c>
      <c r="E109" s="15">
        <f>IF(F3="1",SUMIF(Data!$A:$A,$A$2,Data!IN:IN),0)</f>
        <v>0</v>
      </c>
      <c r="F109" s="47">
        <f>SUM(C109:E109)</f>
        <v>6911959</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1662</v>
      </c>
      <c r="E117" s="52"/>
      <c r="F117" s="49">
        <f>SUM(C117:E117)</f>
        <v>1662</v>
      </c>
    </row>
    <row r="118" spans="1:6" x14ac:dyDescent="0.2">
      <c r="B118" s="13" t="s">
        <v>35</v>
      </c>
      <c r="C118" s="4">
        <f>SUM(C109:C116)</f>
        <v>6911959</v>
      </c>
      <c r="D118" s="4">
        <f>SUM(D109:D116)</f>
        <v>0</v>
      </c>
      <c r="E118" s="4">
        <f>SUM(E109:E116)</f>
        <v>0</v>
      </c>
      <c r="F118" s="4">
        <f>SUM(F109:F116)</f>
        <v>6911959</v>
      </c>
    </row>
    <row r="119" spans="1:6" ht="15" thickBot="1" x14ac:dyDescent="0.25"/>
    <row r="120" spans="1:6" ht="15" thickBot="1" x14ac:dyDescent="0.25">
      <c r="B120" s="55" t="s">
        <v>934</v>
      </c>
      <c r="C120" s="53"/>
      <c r="D120" s="53"/>
      <c r="E120" s="53">
        <f>IF(F3="1",SUMIF(Data!A:A,'51'!$A$2,Data!AM:AM),0)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9.28515625" style="10" bestFit="1" customWidth="1"/>
    <col min="12"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435</v>
      </c>
      <c r="B2" s="58" t="str">
        <f>VLOOKUP(A2,Data!A:G,7,0)</f>
        <v>Texas State Technical College-West Texas</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1584</v>
      </c>
      <c r="E5" s="15">
        <f>E36+E67+IFERROR($E$105/$D$105*D5,0)</f>
        <v>10981.820770999821</v>
      </c>
      <c r="F5" s="20">
        <f>IF(OR(D5=0,E5=0),"",ROUND(E5/D5,2))</f>
        <v>6.93</v>
      </c>
    </row>
    <row r="6" spans="1:6" x14ac:dyDescent="0.2">
      <c r="A6" s="19">
        <v>2</v>
      </c>
      <c r="B6" s="177" t="s">
        <v>1</v>
      </c>
      <c r="C6" s="178"/>
      <c r="D6" s="14">
        <f t="shared" ref="D6:D32" si="0">D37</f>
        <v>16680</v>
      </c>
      <c r="E6" s="17">
        <f t="shared" ref="E6:E32" si="1">E37+E68+IFERROR($E$105/$D$105*D6,0)</f>
        <v>156529.52175522537</v>
      </c>
      <c r="F6" s="21">
        <f t="shared" ref="F6:F33" si="2">IF(OR(D6=0,E6=0),"",ROUND(E6/D6,2))</f>
        <v>9.3800000000000008</v>
      </c>
    </row>
    <row r="7" spans="1:6" ht="14.25" customHeight="1" x14ac:dyDescent="0.2">
      <c r="A7" s="19">
        <v>3</v>
      </c>
      <c r="B7" s="177" t="s">
        <v>2</v>
      </c>
      <c r="C7" s="178"/>
      <c r="D7" s="14">
        <f t="shared" si="0"/>
        <v>33360</v>
      </c>
      <c r="E7" s="17">
        <f t="shared" si="1"/>
        <v>345719.04351045075</v>
      </c>
      <c r="F7" s="21">
        <f t="shared" si="2"/>
        <v>10.36</v>
      </c>
    </row>
    <row r="8" spans="1:6" ht="14.25" customHeight="1" x14ac:dyDescent="0.2">
      <c r="A8" s="19">
        <v>4</v>
      </c>
      <c r="B8" s="177" t="s">
        <v>3</v>
      </c>
      <c r="C8" s="178"/>
      <c r="D8" s="14">
        <f t="shared" si="0"/>
        <v>42504</v>
      </c>
      <c r="E8" s="17">
        <f t="shared" si="1"/>
        <v>283228.69068849517</v>
      </c>
      <c r="F8" s="21">
        <f t="shared" si="2"/>
        <v>6.66</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0</v>
      </c>
      <c r="E10" s="17">
        <f t="shared" si="1"/>
        <v>0</v>
      </c>
      <c r="F10" s="21" t="str">
        <f t="shared" si="2"/>
        <v/>
      </c>
    </row>
    <row r="11" spans="1:6" x14ac:dyDescent="0.2">
      <c r="A11" s="19">
        <v>7</v>
      </c>
      <c r="B11" s="177" t="s">
        <v>6</v>
      </c>
      <c r="C11" s="178"/>
      <c r="D11" s="14">
        <f t="shared" si="0"/>
        <v>17942</v>
      </c>
      <c r="E11" s="17">
        <f t="shared" si="1"/>
        <v>119245.48880888811</v>
      </c>
      <c r="F11" s="21">
        <f t="shared" si="2"/>
        <v>6.65</v>
      </c>
    </row>
    <row r="12" spans="1:6" x14ac:dyDescent="0.2">
      <c r="A12" s="19">
        <v>8</v>
      </c>
      <c r="B12" s="177" t="s">
        <v>7</v>
      </c>
      <c r="C12" s="178"/>
      <c r="D12" s="14">
        <f t="shared" si="0"/>
        <v>15060</v>
      </c>
      <c r="E12" s="17">
        <f t="shared" si="1"/>
        <v>105407.7732394301</v>
      </c>
      <c r="F12" s="21">
        <f t="shared" si="2"/>
        <v>7</v>
      </c>
    </row>
    <row r="13" spans="1:6" x14ac:dyDescent="0.2">
      <c r="A13" s="19">
        <v>9</v>
      </c>
      <c r="B13" s="177" t="s">
        <v>8</v>
      </c>
      <c r="C13" s="178"/>
      <c r="D13" s="14">
        <f t="shared" si="0"/>
        <v>0</v>
      </c>
      <c r="E13" s="17">
        <f t="shared" si="1"/>
        <v>0</v>
      </c>
      <c r="F13" s="21" t="str">
        <f t="shared" si="2"/>
        <v/>
      </c>
    </row>
    <row r="14" spans="1:6" x14ac:dyDescent="0.2">
      <c r="A14" s="19">
        <v>10</v>
      </c>
      <c r="B14" s="177" t="s">
        <v>9</v>
      </c>
      <c r="C14" s="178"/>
      <c r="D14" s="14">
        <f t="shared" si="0"/>
        <v>0</v>
      </c>
      <c r="E14" s="17">
        <f t="shared" si="1"/>
        <v>20895</v>
      </c>
      <c r="F14" s="21" t="str">
        <f t="shared" si="2"/>
        <v/>
      </c>
    </row>
    <row r="15" spans="1:6" x14ac:dyDescent="0.2">
      <c r="A15" s="19">
        <v>11</v>
      </c>
      <c r="B15" s="177" t="s">
        <v>10</v>
      </c>
      <c r="C15" s="178"/>
      <c r="D15" s="14">
        <f t="shared" si="0"/>
        <v>154056</v>
      </c>
      <c r="E15" s="17">
        <f t="shared" si="1"/>
        <v>1298133.7958946642</v>
      </c>
      <c r="F15" s="21">
        <f t="shared" si="2"/>
        <v>8.43</v>
      </c>
    </row>
    <row r="16" spans="1:6" ht="14.25" customHeight="1" x14ac:dyDescent="0.2">
      <c r="A16" s="19">
        <v>12</v>
      </c>
      <c r="B16" s="177" t="s">
        <v>11</v>
      </c>
      <c r="C16" s="178"/>
      <c r="D16" s="14">
        <f t="shared" si="0"/>
        <v>52464</v>
      </c>
      <c r="E16" s="17">
        <f t="shared" si="1"/>
        <v>348847.70008190314</v>
      </c>
      <c r="F16" s="21">
        <f t="shared" si="2"/>
        <v>6.65</v>
      </c>
    </row>
    <row r="17" spans="1:6" x14ac:dyDescent="0.2">
      <c r="A17" s="19">
        <v>13</v>
      </c>
      <c r="B17" s="177" t="s">
        <v>12</v>
      </c>
      <c r="C17" s="178"/>
      <c r="D17" s="14">
        <f t="shared" si="0"/>
        <v>0</v>
      </c>
      <c r="E17" s="17">
        <f t="shared" si="1"/>
        <v>0</v>
      </c>
      <c r="F17" s="21" t="str">
        <f t="shared" si="2"/>
        <v/>
      </c>
    </row>
    <row r="18" spans="1:6" ht="14.25" customHeight="1" x14ac:dyDescent="0.2">
      <c r="A18" s="19">
        <v>14</v>
      </c>
      <c r="B18" s="177" t="s">
        <v>464</v>
      </c>
      <c r="C18" s="178"/>
      <c r="D18" s="14">
        <f t="shared" si="0"/>
        <v>0</v>
      </c>
      <c r="E18" s="17">
        <f t="shared" si="1"/>
        <v>0</v>
      </c>
      <c r="F18" s="21" t="str">
        <f t="shared" si="2"/>
        <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14388</v>
      </c>
      <c r="E20" s="17">
        <f t="shared" si="1"/>
        <v>155366.12200324837</v>
      </c>
      <c r="F20" s="21">
        <f t="shared" si="2"/>
        <v>10.8</v>
      </c>
    </row>
    <row r="21" spans="1:6" x14ac:dyDescent="0.2">
      <c r="A21" s="19">
        <v>17</v>
      </c>
      <c r="B21" s="177" t="s">
        <v>15</v>
      </c>
      <c r="C21" s="178"/>
      <c r="D21" s="14">
        <f t="shared" si="0"/>
        <v>0</v>
      </c>
      <c r="E21" s="17">
        <f t="shared" si="1"/>
        <v>0</v>
      </c>
      <c r="F21" s="21" t="str">
        <f t="shared" si="2"/>
        <v/>
      </c>
    </row>
    <row r="22" spans="1:6" x14ac:dyDescent="0.2">
      <c r="A22" s="19">
        <v>18</v>
      </c>
      <c r="B22" s="177" t="s">
        <v>16</v>
      </c>
      <c r="C22" s="178"/>
      <c r="D22" s="14">
        <f t="shared" si="0"/>
        <v>0</v>
      </c>
      <c r="E22" s="17">
        <f t="shared" si="1"/>
        <v>0</v>
      </c>
      <c r="F22" s="21" t="str">
        <f t="shared" si="2"/>
        <v/>
      </c>
    </row>
    <row r="23" spans="1:6" x14ac:dyDescent="0.2">
      <c r="A23" s="19">
        <v>19</v>
      </c>
      <c r="B23" s="177" t="s">
        <v>17</v>
      </c>
      <c r="C23" s="178"/>
      <c r="D23" s="14">
        <f t="shared" si="0"/>
        <v>44820</v>
      </c>
      <c r="E23" s="17">
        <f t="shared" si="1"/>
        <v>284318.04227033583</v>
      </c>
      <c r="F23" s="21">
        <f t="shared" si="2"/>
        <v>6.34</v>
      </c>
    </row>
    <row r="24" spans="1:6" x14ac:dyDescent="0.2">
      <c r="A24" s="19">
        <v>20</v>
      </c>
      <c r="B24" s="177" t="s">
        <v>18</v>
      </c>
      <c r="C24" s="178"/>
      <c r="D24" s="14">
        <f t="shared" si="0"/>
        <v>13824</v>
      </c>
      <c r="E24" s="17">
        <f t="shared" si="1"/>
        <v>108484.25400145297</v>
      </c>
      <c r="F24" s="21">
        <f t="shared" si="2"/>
        <v>7.85</v>
      </c>
    </row>
    <row r="25" spans="1:6" ht="14.25" customHeight="1" x14ac:dyDescent="0.2">
      <c r="A25" s="19">
        <v>21</v>
      </c>
      <c r="B25" s="177" t="s">
        <v>461</v>
      </c>
      <c r="C25" s="178"/>
      <c r="D25" s="14">
        <f t="shared" si="0"/>
        <v>13608</v>
      </c>
      <c r="E25" s="17">
        <f t="shared" si="1"/>
        <v>143337.68753268028</v>
      </c>
      <c r="F25" s="21">
        <f t="shared" si="2"/>
        <v>10.53</v>
      </c>
    </row>
    <row r="26" spans="1:6" x14ac:dyDescent="0.2">
      <c r="A26" s="19">
        <v>22</v>
      </c>
      <c r="B26" s="177" t="s">
        <v>19</v>
      </c>
      <c r="C26" s="178"/>
      <c r="D26" s="14">
        <f t="shared" si="0"/>
        <v>852</v>
      </c>
      <c r="E26" s="17">
        <f t="shared" si="1"/>
        <v>7131.2899601589943</v>
      </c>
      <c r="F26" s="21">
        <f t="shared" si="2"/>
        <v>8.3699999999999992</v>
      </c>
    </row>
    <row r="27" spans="1:6" x14ac:dyDescent="0.2">
      <c r="A27" s="19">
        <v>23</v>
      </c>
      <c r="B27" s="177" t="s">
        <v>20</v>
      </c>
      <c r="C27" s="178"/>
      <c r="D27" s="14">
        <f t="shared" si="0"/>
        <v>0</v>
      </c>
      <c r="E27" s="17">
        <f t="shared" si="1"/>
        <v>0</v>
      </c>
      <c r="F27" s="21" t="str">
        <f t="shared" si="2"/>
        <v/>
      </c>
    </row>
    <row r="28" spans="1:6" x14ac:dyDescent="0.2">
      <c r="A28" s="19">
        <v>24</v>
      </c>
      <c r="B28" s="177" t="s">
        <v>21</v>
      </c>
      <c r="C28" s="178"/>
      <c r="D28" s="14">
        <f t="shared" si="0"/>
        <v>1284</v>
      </c>
      <c r="E28" s="17">
        <f t="shared" si="1"/>
        <v>11699.4228977044</v>
      </c>
      <c r="F28" s="21">
        <f t="shared" si="2"/>
        <v>9.11</v>
      </c>
    </row>
    <row r="29" spans="1:6" x14ac:dyDescent="0.2">
      <c r="A29" s="19">
        <v>25</v>
      </c>
      <c r="B29" s="177" t="s">
        <v>22</v>
      </c>
      <c r="C29" s="178"/>
      <c r="D29" s="14">
        <f t="shared" si="0"/>
        <v>9792</v>
      </c>
      <c r="E29" s="17">
        <f t="shared" si="1"/>
        <v>77508.346584362531</v>
      </c>
      <c r="F29" s="21">
        <f t="shared" si="2"/>
        <v>7.92</v>
      </c>
    </row>
    <row r="30" spans="1:6" x14ac:dyDescent="0.2">
      <c r="A30" s="19">
        <v>26</v>
      </c>
      <c r="B30" s="177" t="s">
        <v>23</v>
      </c>
      <c r="C30" s="178"/>
      <c r="D30" s="14">
        <f t="shared" si="0"/>
        <v>0</v>
      </c>
      <c r="E30" s="17">
        <f t="shared" si="1"/>
        <v>0</v>
      </c>
      <c r="F30" s="21" t="str">
        <f t="shared" si="2"/>
        <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432218</v>
      </c>
      <c r="E33" s="31">
        <f>SUM(E5:E32)</f>
        <v>3476834</v>
      </c>
      <c r="F33" s="32">
        <f t="shared" si="2"/>
        <v>8.0399999999999991</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IF(F3="1",SUMIF(Data!A:A,'52'!$A$2,Data!CU:CU),0)</f>
        <v>1584</v>
      </c>
      <c r="E36" s="15">
        <f>IF(F3="1",SUMIF(Data!$A:$A,$A$2,Data!IO:IO),0)</f>
        <v>2331</v>
      </c>
      <c r="F36" s="20">
        <f t="shared" ref="F36:F64" si="3">IF(OR(D36=0,E36=0),"",ROUND(E36/D36,2))</f>
        <v>1.47</v>
      </c>
    </row>
    <row r="37" spans="1:6" x14ac:dyDescent="0.2">
      <c r="A37" s="19">
        <v>2</v>
      </c>
      <c r="B37" s="177" t="s">
        <v>1</v>
      </c>
      <c r="C37" s="178"/>
      <c r="D37" s="14">
        <f>IF(F3="1",SUMIF(Data!A:A,'52'!$A$2,Data!CV:CV),0)</f>
        <v>16680</v>
      </c>
      <c r="E37" s="17">
        <f>IF(F3="1",SUMIF(Data!$A:$A,$A$2,Data!IP:IP),0)</f>
        <v>34719</v>
      </c>
      <c r="F37" s="21">
        <f t="shared" si="3"/>
        <v>2.08</v>
      </c>
    </row>
    <row r="38" spans="1:6" ht="14.25" customHeight="1" x14ac:dyDescent="0.2">
      <c r="A38" s="19">
        <v>3</v>
      </c>
      <c r="B38" s="177" t="s">
        <v>2</v>
      </c>
      <c r="C38" s="178"/>
      <c r="D38" s="14">
        <f>IF(F3="1",SUMIF(Data!A:A,'52'!$A$2,Data!CW:CW),0)</f>
        <v>33360</v>
      </c>
      <c r="E38" s="17">
        <f>IF($F$3="1",SUMIF(Data!$A:$A,$A$2,Data!IQ:IQ),0)</f>
        <v>79611</v>
      </c>
      <c r="F38" s="21">
        <f t="shared" si="3"/>
        <v>2.39</v>
      </c>
    </row>
    <row r="39" spans="1:6" ht="14.25" customHeight="1" x14ac:dyDescent="0.2">
      <c r="A39" s="19">
        <v>4</v>
      </c>
      <c r="B39" s="177" t="s">
        <v>3</v>
      </c>
      <c r="C39" s="178"/>
      <c r="D39" s="14">
        <f>IF(F3="1",SUMIF(Data!A:A,'52'!$A$2,Data!CX:CX),0)</f>
        <v>42504</v>
      </c>
      <c r="E39" s="17">
        <f>IF($F$3="1",SUMIF(Data!$A:$A,$A$2,Data!IR:IR),0)</f>
        <v>77770</v>
      </c>
      <c r="F39" s="21">
        <f t="shared" si="3"/>
        <v>1.83</v>
      </c>
    </row>
    <row r="40" spans="1:6" x14ac:dyDescent="0.2">
      <c r="A40" s="19">
        <v>5</v>
      </c>
      <c r="B40" s="177" t="s">
        <v>4</v>
      </c>
      <c r="C40" s="178"/>
      <c r="D40" s="14">
        <f>IF(F3="1",SUMIF(Data!A:A,'52'!$A$2,Data!CY:CY),0)</f>
        <v>0</v>
      </c>
      <c r="E40" s="17">
        <f>IF($F$3="1",SUMIF(Data!$A:$A,$A$2,Data!IS:IS),0)</f>
        <v>0</v>
      </c>
      <c r="F40" s="21" t="str">
        <f t="shared" si="3"/>
        <v/>
      </c>
    </row>
    <row r="41" spans="1:6" x14ac:dyDescent="0.2">
      <c r="A41" s="19">
        <v>6</v>
      </c>
      <c r="B41" s="177" t="s">
        <v>5</v>
      </c>
      <c r="C41" s="178"/>
      <c r="D41" s="14">
        <f>IF(F3="1",SUMIF(Data!A:A,'52'!$A$2,Data!CZ:CZ),0)</f>
        <v>0</v>
      </c>
      <c r="E41" s="17">
        <f>IF($F$3="1",SUMIF(Data!$A:$A,$A$2,Data!IT:IT),0)</f>
        <v>0</v>
      </c>
      <c r="F41" s="21" t="str">
        <f t="shared" si="3"/>
        <v/>
      </c>
    </row>
    <row r="42" spans="1:6" x14ac:dyDescent="0.2">
      <c r="A42" s="19">
        <v>7</v>
      </c>
      <c r="B42" s="177" t="s">
        <v>6</v>
      </c>
      <c r="C42" s="178"/>
      <c r="D42" s="14">
        <f>IF(F3="1",SUMIF(Data!A:A,'52'!$A$2,Data!DA:DA),0)</f>
        <v>17942</v>
      </c>
      <c r="E42" s="17">
        <f>IF($F$3="1",SUMIF(Data!$A:$A,$A$2,Data!IU:IU),0)</f>
        <v>32804</v>
      </c>
      <c r="F42" s="21">
        <f t="shared" si="3"/>
        <v>1.83</v>
      </c>
    </row>
    <row r="43" spans="1:6" x14ac:dyDescent="0.2">
      <c r="A43" s="19">
        <v>8</v>
      </c>
      <c r="B43" s="177" t="s">
        <v>7</v>
      </c>
      <c r="C43" s="178"/>
      <c r="D43" s="14">
        <f>IF(F3="1",SUMIF(Data!A:A,'52'!$A$2,Data!DB:DB),0)</f>
        <v>15060</v>
      </c>
      <c r="E43" s="17">
        <f>IF($F$3="1",SUMIF(Data!$A:$A,$A$2,Data!IV:IV),0)</f>
        <v>22309</v>
      </c>
      <c r="F43" s="21">
        <f t="shared" si="3"/>
        <v>1.48</v>
      </c>
    </row>
    <row r="44" spans="1:6" x14ac:dyDescent="0.2">
      <c r="A44" s="19">
        <v>9</v>
      </c>
      <c r="B44" s="177" t="s">
        <v>8</v>
      </c>
      <c r="C44" s="178"/>
      <c r="D44" s="14">
        <f>IF(F3="1",SUMIF(Data!A:A,'52'!$A$2,Data!DC:DC),0)</f>
        <v>0</v>
      </c>
      <c r="E44" s="17">
        <f>IF($F$3="1",SUMIF(Data!$A:$A,$A$2,Data!IW:IW),0)</f>
        <v>0</v>
      </c>
      <c r="F44" s="21" t="str">
        <f t="shared" si="3"/>
        <v/>
      </c>
    </row>
    <row r="45" spans="1:6" x14ac:dyDescent="0.2">
      <c r="A45" s="19">
        <v>10</v>
      </c>
      <c r="B45" s="177" t="s">
        <v>9</v>
      </c>
      <c r="C45" s="178"/>
      <c r="D45" s="14">
        <f>IF(F3="1",SUMIF(Data!A:A,'52'!$A$2,Data!DD:DD),0)</f>
        <v>0</v>
      </c>
      <c r="E45" s="17">
        <f>IF($F$3="1",SUMIF(Data!$A:$A,$A$2,Data!IX:IX),0)</f>
        <v>11505</v>
      </c>
      <c r="F45" s="21" t="str">
        <f t="shared" si="3"/>
        <v/>
      </c>
    </row>
    <row r="46" spans="1:6" x14ac:dyDescent="0.2">
      <c r="A46" s="19">
        <v>11</v>
      </c>
      <c r="B46" s="177" t="s">
        <v>10</v>
      </c>
      <c r="C46" s="178"/>
      <c r="D46" s="14">
        <f>IF(F3="1",SUMIF(Data!A:A,'52'!$A$2,Data!DE:DE),0)</f>
        <v>154056</v>
      </c>
      <c r="E46" s="17">
        <f>IF($F$3="1",SUMIF(Data!$A:$A,$A$2,Data!IY:IY),0)</f>
        <v>338155</v>
      </c>
      <c r="F46" s="21">
        <f t="shared" si="3"/>
        <v>2.2000000000000002</v>
      </c>
    </row>
    <row r="47" spans="1:6" ht="14.25" customHeight="1" x14ac:dyDescent="0.2">
      <c r="A47" s="19">
        <v>12</v>
      </c>
      <c r="B47" s="177" t="s">
        <v>11</v>
      </c>
      <c r="C47" s="178"/>
      <c r="D47" s="14">
        <f>IF(F3="1",SUMIF(Data!A:A,'52'!$A$2,Data!DF:DF),0)</f>
        <v>52464</v>
      </c>
      <c r="E47" s="17">
        <f>IF($F$3="1",SUMIF(Data!$A:$A,$A$2,Data!IZ:IZ),0)</f>
        <v>101890</v>
      </c>
      <c r="F47" s="21">
        <f t="shared" si="3"/>
        <v>1.94</v>
      </c>
    </row>
    <row r="48" spans="1:6" x14ac:dyDescent="0.2">
      <c r="A48" s="19">
        <v>13</v>
      </c>
      <c r="B48" s="177" t="s">
        <v>12</v>
      </c>
      <c r="C48" s="178"/>
      <c r="D48" s="14">
        <f>IF(F3="1",SUMIF(Data!A:A,'52'!$A$2,Data!DG:DG),0)</f>
        <v>0</v>
      </c>
      <c r="E48" s="17">
        <f>IF($F$3="1",SUMIF(Data!$A:$A,$A$2,Data!JA:JA),0)</f>
        <v>0</v>
      </c>
      <c r="F48" s="21" t="str">
        <f t="shared" si="3"/>
        <v/>
      </c>
    </row>
    <row r="49" spans="1:6" ht="14.25" customHeight="1" x14ac:dyDescent="0.2">
      <c r="A49" s="19">
        <v>14</v>
      </c>
      <c r="B49" s="177" t="s">
        <v>464</v>
      </c>
      <c r="C49" s="178"/>
      <c r="D49" s="14">
        <f>IF(F3="1",SUMIF(Data!A:A,'52'!$A$2,Data!DH:DH),0)</f>
        <v>0</v>
      </c>
      <c r="E49" s="17">
        <f>IF($F$3="1",SUMIF(Data!$A:$A,$A$2,Data!JB:JB),0)</f>
        <v>0</v>
      </c>
      <c r="F49" s="21" t="str">
        <f t="shared" si="3"/>
        <v/>
      </c>
    </row>
    <row r="50" spans="1:6" x14ac:dyDescent="0.2">
      <c r="A50" s="19">
        <v>15</v>
      </c>
      <c r="B50" s="177" t="s">
        <v>13</v>
      </c>
      <c r="C50" s="178"/>
      <c r="D50" s="14">
        <f>IF(F3="1",SUMIF(Data!A:A,'52'!$A$2,Data!DI:DI),0)</f>
        <v>0</v>
      </c>
      <c r="E50" s="17">
        <f>IF($F$3="1",SUMIF(Data!$A:$A,$A$2,Data!JC:JC),0)</f>
        <v>0</v>
      </c>
      <c r="F50" s="21" t="str">
        <f t="shared" si="3"/>
        <v/>
      </c>
    </row>
    <row r="51" spans="1:6" x14ac:dyDescent="0.2">
      <c r="A51" s="19">
        <v>16</v>
      </c>
      <c r="B51" s="177" t="s">
        <v>14</v>
      </c>
      <c r="C51" s="178"/>
      <c r="D51" s="14">
        <f>IF(F3="1",SUMIF(Data!A:A,'52'!$A$2,Data!DJ:DJ),0)</f>
        <v>14388</v>
      </c>
      <c r="E51" s="17">
        <f>IF($F$3="1",SUMIF(Data!$A:$A,$A$2,Data!JD:JD),0)</f>
        <v>42268</v>
      </c>
      <c r="F51" s="21">
        <f t="shared" si="3"/>
        <v>2.94</v>
      </c>
    </row>
    <row r="52" spans="1:6" x14ac:dyDescent="0.2">
      <c r="A52" s="19">
        <v>17</v>
      </c>
      <c r="B52" s="177" t="s">
        <v>15</v>
      </c>
      <c r="C52" s="178"/>
      <c r="D52" s="14">
        <f>IF(F3="1",SUMIF(Data!A:A,'52'!$A$2,Data!DK:DK),0)</f>
        <v>0</v>
      </c>
      <c r="E52" s="17">
        <f>IF($F$3="1",SUMIF(Data!$A:$A,$A$2,Data!JE:JE),0)</f>
        <v>0</v>
      </c>
      <c r="F52" s="21" t="str">
        <f t="shared" si="3"/>
        <v/>
      </c>
    </row>
    <row r="53" spans="1:6" x14ac:dyDescent="0.2">
      <c r="A53" s="19">
        <v>18</v>
      </c>
      <c r="B53" s="177" t="s">
        <v>16</v>
      </c>
      <c r="C53" s="178"/>
      <c r="D53" s="14">
        <f>IF(F3="1",SUMIF(Data!A:A,'52'!$A$2,Data!DL:DL),0)</f>
        <v>0</v>
      </c>
      <c r="E53" s="17">
        <f>IF($F$3="1",SUMIF(Data!$A:$A,$A$2,Data!JF:JF),0)</f>
        <v>0</v>
      </c>
      <c r="F53" s="21" t="str">
        <f t="shared" si="3"/>
        <v/>
      </c>
    </row>
    <row r="54" spans="1:6" x14ac:dyDescent="0.2">
      <c r="A54" s="19">
        <v>19</v>
      </c>
      <c r="B54" s="177" t="s">
        <v>17</v>
      </c>
      <c r="C54" s="178"/>
      <c r="D54" s="14">
        <f>IF(F3="1",SUMIF(Data!A:A,'52'!$A$2,Data!DM:DM),0)</f>
        <v>44820</v>
      </c>
      <c r="E54" s="17">
        <f>IF($F$3="1",SUMIF(Data!$A:$A,$A$2,Data!JG:JG),0)</f>
        <v>61167</v>
      </c>
      <c r="F54" s="21">
        <f t="shared" si="3"/>
        <v>1.36</v>
      </c>
    </row>
    <row r="55" spans="1:6" x14ac:dyDescent="0.2">
      <c r="A55" s="19">
        <v>20</v>
      </c>
      <c r="B55" s="177" t="s">
        <v>18</v>
      </c>
      <c r="C55" s="178"/>
      <c r="D55" s="14">
        <f>IF(F3="1",SUMIF(Data!A:A,'52'!$A$2,Data!DN:DN),0)</f>
        <v>13824</v>
      </c>
      <c r="E55" s="17">
        <f>IF($F$3="1",SUMIF(Data!$A:$A,$A$2,Data!JH:JH),0)</f>
        <v>29992</v>
      </c>
      <c r="F55" s="21">
        <f t="shared" si="3"/>
        <v>2.17</v>
      </c>
    </row>
    <row r="56" spans="1:6" ht="14.25" customHeight="1" x14ac:dyDescent="0.2">
      <c r="A56" s="19">
        <v>21</v>
      </c>
      <c r="B56" s="177" t="s">
        <v>461</v>
      </c>
      <c r="C56" s="178"/>
      <c r="D56" s="14">
        <f>IF(F3="1",SUMIF(Data!A:A,'52'!$A$2,Data!DO:DO),0)</f>
        <v>13608</v>
      </c>
      <c r="E56" s="17">
        <f>IF($F$3="1",SUMIF(Data!$A:$A,$A$2,Data!JI:JI),0)</f>
        <v>57160</v>
      </c>
      <c r="F56" s="21">
        <f t="shared" si="3"/>
        <v>4.2</v>
      </c>
    </row>
    <row r="57" spans="1:6" x14ac:dyDescent="0.2">
      <c r="A57" s="19">
        <v>22</v>
      </c>
      <c r="B57" s="177" t="s">
        <v>19</v>
      </c>
      <c r="C57" s="178"/>
      <c r="D57" s="14">
        <f>IF(F3="1",SUMIF(Data!A:A,'52'!$A$2,Data!DP:DP),0)</f>
        <v>852</v>
      </c>
      <c r="E57" s="17">
        <f>IF($F$3="1",SUMIF(Data!$A:$A,$A$2,Data!JJ:JJ),0)</f>
        <v>2768</v>
      </c>
      <c r="F57" s="21">
        <f t="shared" si="3"/>
        <v>3.25</v>
      </c>
    </row>
    <row r="58" spans="1:6" x14ac:dyDescent="0.2">
      <c r="A58" s="19">
        <v>23</v>
      </c>
      <c r="B58" s="177" t="s">
        <v>20</v>
      </c>
      <c r="C58" s="178"/>
      <c r="D58" s="14">
        <f>IF(F3="1",SUMIF(Data!A:A,'52'!$A$2,Data!DQ:DQ),0)</f>
        <v>0</v>
      </c>
      <c r="E58" s="17">
        <f>IF($F$3="1",SUMIF(Data!$A:$A,$A$2,Data!JK:JK),0)</f>
        <v>0</v>
      </c>
      <c r="F58" s="21" t="str">
        <f t="shared" si="3"/>
        <v/>
      </c>
    </row>
    <row r="59" spans="1:6" x14ac:dyDescent="0.2">
      <c r="A59" s="19">
        <v>24</v>
      </c>
      <c r="B59" s="177" t="s">
        <v>21</v>
      </c>
      <c r="C59" s="178"/>
      <c r="D59" s="14">
        <f>IF(F3="1",SUMIF(Data!A:A,'52'!$A$2,Data!DR:DR),0)</f>
        <v>1284</v>
      </c>
      <c r="E59" s="17">
        <f>IF($F$3="1",SUMIF(Data!$A:$A,$A$2,Data!JL:JL),0)</f>
        <v>2041</v>
      </c>
      <c r="F59" s="21">
        <f t="shared" si="3"/>
        <v>1.59</v>
      </c>
    </row>
    <row r="60" spans="1:6" x14ac:dyDescent="0.2">
      <c r="A60" s="19">
        <v>25</v>
      </c>
      <c r="B60" s="177" t="s">
        <v>22</v>
      </c>
      <c r="C60" s="178"/>
      <c r="D60" s="14">
        <f>IF(F3="1",SUMIF(Data!A:A,'52'!$A$2,Data!DS:DS),0)</f>
        <v>9792</v>
      </c>
      <c r="E60" s="17">
        <f>IF($F$3="1",SUMIF(Data!$A:$A,$A$2,Data!JM:JM),0)</f>
        <v>34242</v>
      </c>
      <c r="F60" s="21">
        <f t="shared" si="3"/>
        <v>3.5</v>
      </c>
    </row>
    <row r="61" spans="1:6" x14ac:dyDescent="0.2">
      <c r="A61" s="19">
        <v>26</v>
      </c>
      <c r="B61" s="177" t="s">
        <v>23</v>
      </c>
      <c r="C61" s="178"/>
      <c r="D61" s="14">
        <f>IF(F3="1",SUMIF(Data!A:A,'52'!$A$2,Data!DT:DT),0)</f>
        <v>0</v>
      </c>
      <c r="E61" s="17">
        <f>IF($F$3="1",SUMIF(Data!$A:$A,$A$2,Data!JN:JN),0)</f>
        <v>0</v>
      </c>
      <c r="F61" s="21" t="str">
        <f t="shared" si="3"/>
        <v/>
      </c>
    </row>
    <row r="62" spans="1:6" x14ac:dyDescent="0.2">
      <c r="A62" s="19">
        <v>28</v>
      </c>
      <c r="B62" s="177" t="s">
        <v>24</v>
      </c>
      <c r="C62" s="178"/>
      <c r="D62" s="14">
        <f>IF(F3="1",SUMIF(Data!A:A,'52'!$A$2,Data!DV:DV),0)</f>
        <v>0</v>
      </c>
      <c r="E62" s="17">
        <f>IF($F$3="1",SUMIF(Data!$A:$A,$A$2,Data!JP:JP),0)</f>
        <v>0</v>
      </c>
      <c r="F62" s="21" t="str">
        <f t="shared" si="3"/>
        <v/>
      </c>
    </row>
    <row r="63" spans="1:6" ht="15.75" customHeight="1" thickBot="1" x14ac:dyDescent="0.25">
      <c r="A63" s="22">
        <v>29</v>
      </c>
      <c r="B63" s="179" t="s">
        <v>25</v>
      </c>
      <c r="C63" s="180"/>
      <c r="D63" s="23">
        <f>IF(F3="1",SUMIF(Data!A:A,'52'!$A$2,Data!DW:DW),0)</f>
        <v>0</v>
      </c>
      <c r="E63" s="24">
        <f>IF($F$3="1",SUMIF(Data!$A:$A,$A$2,Data!JQ:JQ),0)</f>
        <v>0</v>
      </c>
      <c r="F63" s="25" t="str">
        <f t="shared" si="3"/>
        <v/>
      </c>
    </row>
    <row r="64" spans="1:6" x14ac:dyDescent="0.2">
      <c r="B64" s="30" t="s">
        <v>35</v>
      </c>
      <c r="C64" s="30"/>
      <c r="D64" s="59">
        <f>SUM(D36:D63)</f>
        <v>432218</v>
      </c>
      <c r="E64" s="31">
        <f>SUM(E36:E63)</f>
        <v>930732</v>
      </c>
      <c r="F64" s="32">
        <f t="shared" si="3"/>
        <v>2.15</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1584</v>
      </c>
      <c r="E67" s="15">
        <f>IF(F3="1",SUMIF(Data!A:A,'52'!$A$2,Data!DY:DY),0)</f>
        <v>4298</v>
      </c>
      <c r="F67" s="20">
        <f t="shared" ref="F67:F95" si="4">IF(OR(D67=0,E67=0),"",ROUND(E67/D67,2))</f>
        <v>2.71</v>
      </c>
    </row>
    <row r="68" spans="1:6" x14ac:dyDescent="0.2">
      <c r="A68" s="19">
        <v>2</v>
      </c>
      <c r="B68" s="177" t="s">
        <v>1</v>
      </c>
      <c r="C68" s="178"/>
      <c r="D68" s="14">
        <f t="shared" ref="D68:D94" si="5">D37</f>
        <v>16680</v>
      </c>
      <c r="E68" s="17">
        <f>IF(F3="1",SUMIF(Data!A:A,'52'!$A$2,Data!DZ:DZ),0)</f>
        <v>75974</v>
      </c>
      <c r="F68" s="21">
        <f t="shared" si="4"/>
        <v>4.55</v>
      </c>
    </row>
    <row r="69" spans="1:6" ht="14.25" customHeight="1" x14ac:dyDescent="0.2">
      <c r="A69" s="19">
        <v>3</v>
      </c>
      <c r="B69" s="177" t="s">
        <v>2</v>
      </c>
      <c r="C69" s="178"/>
      <c r="D69" s="14">
        <f t="shared" si="5"/>
        <v>33360</v>
      </c>
      <c r="E69" s="17">
        <f>IF(F3="1",SUMIF(Data!A:A,'52'!$A$2,Data!EA:EA),0)</f>
        <v>174435</v>
      </c>
      <c r="F69" s="21">
        <f t="shared" si="4"/>
        <v>5.23</v>
      </c>
    </row>
    <row r="70" spans="1:6" ht="14.25" customHeight="1" x14ac:dyDescent="0.2">
      <c r="A70" s="19">
        <v>4</v>
      </c>
      <c r="B70" s="177" t="s">
        <v>3</v>
      </c>
      <c r="C70" s="178"/>
      <c r="D70" s="14">
        <f t="shared" si="5"/>
        <v>42504</v>
      </c>
      <c r="E70" s="17">
        <f>IF(F3="1",SUMIF(Data!A:A,'52'!$A$2,Data!EB:EB),0)</f>
        <v>88658</v>
      </c>
      <c r="F70" s="21">
        <f t="shared" si="4"/>
        <v>2.09</v>
      </c>
    </row>
    <row r="71" spans="1:6" x14ac:dyDescent="0.2">
      <c r="A71" s="19">
        <v>5</v>
      </c>
      <c r="B71" s="177" t="s">
        <v>4</v>
      </c>
      <c r="C71" s="178"/>
      <c r="D71" s="14">
        <f t="shared" si="5"/>
        <v>0</v>
      </c>
      <c r="E71" s="17">
        <f>IF(F3="1",SUMIF(Data!A:A,'52'!$A$2,Data!EC:EC),0)</f>
        <v>0</v>
      </c>
      <c r="F71" s="21" t="str">
        <f t="shared" si="4"/>
        <v/>
      </c>
    </row>
    <row r="72" spans="1:6" x14ac:dyDescent="0.2">
      <c r="A72" s="19">
        <v>6</v>
      </c>
      <c r="B72" s="177" t="s">
        <v>5</v>
      </c>
      <c r="C72" s="178"/>
      <c r="D72" s="14">
        <f t="shared" si="5"/>
        <v>0</v>
      </c>
      <c r="E72" s="17">
        <f>IF(F3="1",SUMIF(Data!A:A,'52'!$A$2,Data!ED:ED),0)</f>
        <v>0</v>
      </c>
      <c r="F72" s="21" t="str">
        <f t="shared" si="4"/>
        <v/>
      </c>
    </row>
    <row r="73" spans="1:6" x14ac:dyDescent="0.2">
      <c r="A73" s="19">
        <v>7</v>
      </c>
      <c r="B73" s="177" t="s">
        <v>6</v>
      </c>
      <c r="C73" s="178"/>
      <c r="D73" s="14">
        <f t="shared" si="5"/>
        <v>17942</v>
      </c>
      <c r="E73" s="17">
        <f>IF(F3="1",SUMIF(Data!A:A,'52'!$A$2,Data!EE:EE),0)</f>
        <v>37137</v>
      </c>
      <c r="F73" s="21">
        <f t="shared" si="4"/>
        <v>2.0699999999999998</v>
      </c>
    </row>
    <row r="74" spans="1:6" x14ac:dyDescent="0.2">
      <c r="A74" s="19">
        <v>8</v>
      </c>
      <c r="B74" s="177" t="s">
        <v>7</v>
      </c>
      <c r="C74" s="178"/>
      <c r="D74" s="14">
        <f t="shared" si="5"/>
        <v>15060</v>
      </c>
      <c r="E74" s="17">
        <f>IF(F3="1",SUMIF(Data!A:A,'52'!$A$2,Data!EF:EF),0)</f>
        <v>41714</v>
      </c>
      <c r="F74" s="21">
        <f t="shared" si="4"/>
        <v>2.77</v>
      </c>
    </row>
    <row r="75" spans="1:6" x14ac:dyDescent="0.2">
      <c r="A75" s="19">
        <v>9</v>
      </c>
      <c r="B75" s="177" t="s">
        <v>8</v>
      </c>
      <c r="C75" s="178"/>
      <c r="D75" s="14">
        <f t="shared" si="5"/>
        <v>0</v>
      </c>
      <c r="E75" s="17">
        <f>IF(F3="1",SUMIF(Data!A:A,'52'!$A$2,Data!EG:EG),0)</f>
        <v>0</v>
      </c>
      <c r="F75" s="21" t="str">
        <f t="shared" si="4"/>
        <v/>
      </c>
    </row>
    <row r="76" spans="1:6" x14ac:dyDescent="0.2">
      <c r="A76" s="19">
        <v>10</v>
      </c>
      <c r="B76" s="177" t="s">
        <v>9</v>
      </c>
      <c r="C76" s="178"/>
      <c r="D76" s="14">
        <f t="shared" si="5"/>
        <v>0</v>
      </c>
      <c r="E76" s="17">
        <f>IF(F3="1",SUMIF(Data!A:A,'52'!$A$2,Data!EH:EH),0)</f>
        <v>9390</v>
      </c>
      <c r="F76" s="21" t="str">
        <f t="shared" si="4"/>
        <v/>
      </c>
    </row>
    <row r="77" spans="1:6" x14ac:dyDescent="0.2">
      <c r="A77" s="19">
        <v>11</v>
      </c>
      <c r="B77" s="177" t="s">
        <v>10</v>
      </c>
      <c r="C77" s="178"/>
      <c r="D77" s="14">
        <f t="shared" si="5"/>
        <v>154056</v>
      </c>
      <c r="E77" s="17">
        <f>IF(F3="1",SUMIF(Data!A:A,'52'!$A$2,Data!EI:EI),0)</f>
        <v>536634</v>
      </c>
      <c r="F77" s="21">
        <f t="shared" si="4"/>
        <v>3.48</v>
      </c>
    </row>
    <row r="78" spans="1:6" ht="14.25" customHeight="1" x14ac:dyDescent="0.2">
      <c r="A78" s="19">
        <v>12</v>
      </c>
      <c r="B78" s="177" t="s">
        <v>11</v>
      </c>
      <c r="C78" s="178"/>
      <c r="D78" s="14">
        <f t="shared" si="5"/>
        <v>52464</v>
      </c>
      <c r="E78" s="17">
        <f>IF(F3="1",SUMIF(Data!A:A,'52'!$A$2,Data!EJ:EJ),0)</f>
        <v>102787</v>
      </c>
      <c r="F78" s="21">
        <f t="shared" si="4"/>
        <v>1.96</v>
      </c>
    </row>
    <row r="79" spans="1:6" x14ac:dyDescent="0.2">
      <c r="A79" s="19">
        <v>13</v>
      </c>
      <c r="B79" s="177" t="s">
        <v>12</v>
      </c>
      <c r="C79" s="178"/>
      <c r="D79" s="14">
        <f t="shared" si="5"/>
        <v>0</v>
      </c>
      <c r="E79" s="17">
        <f>IF(F3="1",SUMIF(Data!A:A,'52'!$A$2,Data!EK:EK),0)</f>
        <v>0</v>
      </c>
      <c r="F79" s="21" t="str">
        <f t="shared" si="4"/>
        <v/>
      </c>
    </row>
    <row r="80" spans="1:6" ht="14.25" customHeight="1" x14ac:dyDescent="0.2">
      <c r="A80" s="19">
        <v>14</v>
      </c>
      <c r="B80" s="177" t="s">
        <v>464</v>
      </c>
      <c r="C80" s="178"/>
      <c r="D80" s="14">
        <f t="shared" si="5"/>
        <v>0</v>
      </c>
      <c r="E80" s="17">
        <f>IF(F3="1",SUMIF(Data!A:A,'52'!$A$2,Data!EL:EL),0)</f>
        <v>0</v>
      </c>
      <c r="F80" s="21" t="str">
        <f t="shared" si="4"/>
        <v/>
      </c>
    </row>
    <row r="81" spans="1:6" x14ac:dyDescent="0.2">
      <c r="A81" s="19">
        <v>15</v>
      </c>
      <c r="B81" s="177" t="s">
        <v>13</v>
      </c>
      <c r="C81" s="178"/>
      <c r="D81" s="14">
        <f t="shared" si="5"/>
        <v>0</v>
      </c>
      <c r="E81" s="17">
        <f>IF(F3="1",SUMIF(Data!A:A,'52'!$A$2,Data!EM:EM),0)</f>
        <v>0</v>
      </c>
      <c r="F81" s="21" t="str">
        <f t="shared" si="4"/>
        <v/>
      </c>
    </row>
    <row r="82" spans="1:6" x14ac:dyDescent="0.2">
      <c r="A82" s="19">
        <v>16</v>
      </c>
      <c r="B82" s="177" t="s">
        <v>14</v>
      </c>
      <c r="C82" s="178"/>
      <c r="D82" s="14">
        <f t="shared" si="5"/>
        <v>14388</v>
      </c>
      <c r="E82" s="17">
        <f>IF(F3="1",SUMIF(Data!A:A,'52'!$A$2,Data!EN:EN),0)</f>
        <v>73560</v>
      </c>
      <c r="F82" s="21">
        <f t="shared" si="4"/>
        <v>5.1100000000000003</v>
      </c>
    </row>
    <row r="83" spans="1:6" x14ac:dyDescent="0.2">
      <c r="A83" s="19">
        <v>17</v>
      </c>
      <c r="B83" s="177" t="s">
        <v>15</v>
      </c>
      <c r="C83" s="178"/>
      <c r="D83" s="14">
        <f t="shared" si="5"/>
        <v>0</v>
      </c>
      <c r="E83" s="17">
        <f>IF(F3="1",SUMIF(Data!A:A,'52'!$A$2,Data!EO:EO),0)</f>
        <v>0</v>
      </c>
      <c r="F83" s="21" t="str">
        <f t="shared" si="4"/>
        <v/>
      </c>
    </row>
    <row r="84" spans="1:6" x14ac:dyDescent="0.2">
      <c r="A84" s="19">
        <v>18</v>
      </c>
      <c r="B84" s="177" t="s">
        <v>16</v>
      </c>
      <c r="C84" s="178"/>
      <c r="D84" s="14">
        <f t="shared" si="5"/>
        <v>0</v>
      </c>
      <c r="E84" s="17">
        <f>IF(F3="1",SUMIF(Data!A:A,'52'!$A$2,Data!EP:EP),0)</f>
        <v>0</v>
      </c>
      <c r="F84" s="21" t="str">
        <f t="shared" si="4"/>
        <v/>
      </c>
    </row>
    <row r="85" spans="1:6" x14ac:dyDescent="0.2">
      <c r="A85" s="19">
        <v>19</v>
      </c>
      <c r="B85" s="177" t="s">
        <v>17</v>
      </c>
      <c r="C85" s="178"/>
      <c r="D85" s="14">
        <f t="shared" si="5"/>
        <v>44820</v>
      </c>
      <c r="E85" s="17">
        <f>IF(F3="1",SUMIF(Data!A:A,'52'!$A$2,Data!EQ:EQ),0)</f>
        <v>99986</v>
      </c>
      <c r="F85" s="21">
        <f t="shared" si="4"/>
        <v>2.23</v>
      </c>
    </row>
    <row r="86" spans="1:6" x14ac:dyDescent="0.2">
      <c r="A86" s="19">
        <v>20</v>
      </c>
      <c r="B86" s="177" t="s">
        <v>18</v>
      </c>
      <c r="C86" s="178"/>
      <c r="D86" s="14">
        <f t="shared" si="5"/>
        <v>13824</v>
      </c>
      <c r="E86" s="17">
        <f>IF(F3="1",SUMIF(Data!A:A,'52'!$A$2,Data!ER:ER),0)</f>
        <v>40504</v>
      </c>
      <c r="F86" s="21">
        <f t="shared" si="4"/>
        <v>2.93</v>
      </c>
    </row>
    <row r="87" spans="1:6" ht="14.25" customHeight="1" x14ac:dyDescent="0.2">
      <c r="A87" s="19">
        <v>21</v>
      </c>
      <c r="B87" s="177" t="s">
        <v>461</v>
      </c>
      <c r="C87" s="178"/>
      <c r="D87" s="14">
        <f t="shared" si="5"/>
        <v>13608</v>
      </c>
      <c r="E87" s="17">
        <f>IF(F3="1",SUMIF(Data!A:A,'52'!$A$2,Data!ES:ES),0)</f>
        <v>48783</v>
      </c>
      <c r="F87" s="21">
        <f t="shared" si="4"/>
        <v>3.58</v>
      </c>
    </row>
    <row r="88" spans="1:6" x14ac:dyDescent="0.2">
      <c r="A88" s="19">
        <v>22</v>
      </c>
      <c r="B88" s="177" t="s">
        <v>19</v>
      </c>
      <c r="C88" s="178"/>
      <c r="D88" s="14">
        <f t="shared" si="5"/>
        <v>852</v>
      </c>
      <c r="E88" s="17">
        <f>IF(F3="1",SUMIF(Data!A:A,'52'!$A$2,Data!ET:ET),0)</f>
        <v>2022</v>
      </c>
      <c r="F88" s="21">
        <f t="shared" si="4"/>
        <v>2.37</v>
      </c>
    </row>
    <row r="89" spans="1:6" x14ac:dyDescent="0.2">
      <c r="A89" s="19">
        <v>23</v>
      </c>
      <c r="B89" s="177" t="s">
        <v>20</v>
      </c>
      <c r="C89" s="178"/>
      <c r="D89" s="14">
        <f t="shared" si="5"/>
        <v>0</v>
      </c>
      <c r="E89" s="17">
        <f>IF(F3="1",SUMIF(Data!A:A,'52'!$A$2,Data!EU:EU),0)</f>
        <v>0</v>
      </c>
      <c r="F89" s="21" t="str">
        <f t="shared" si="4"/>
        <v/>
      </c>
    </row>
    <row r="90" spans="1:6" x14ac:dyDescent="0.2">
      <c r="A90" s="19">
        <v>24</v>
      </c>
      <c r="B90" s="177" t="s">
        <v>21</v>
      </c>
      <c r="C90" s="178"/>
      <c r="D90" s="14">
        <f t="shared" si="5"/>
        <v>1284</v>
      </c>
      <c r="E90" s="17">
        <f>IF(F3="1",SUMIF(Data!A:A,'52'!$A$2,Data!EV:EV),0)</f>
        <v>6130</v>
      </c>
      <c r="F90" s="21">
        <f t="shared" si="4"/>
        <v>4.7699999999999996</v>
      </c>
    </row>
    <row r="91" spans="1:6" x14ac:dyDescent="0.2">
      <c r="A91" s="19">
        <v>25</v>
      </c>
      <c r="B91" s="177" t="s">
        <v>22</v>
      </c>
      <c r="C91" s="178"/>
      <c r="D91" s="14">
        <f t="shared" si="5"/>
        <v>9792</v>
      </c>
      <c r="E91" s="17">
        <f>IF(F3="1",SUMIF(Data!A:A,'52'!$A$2,Data!EW:EW),0)</f>
        <v>16358</v>
      </c>
      <c r="F91" s="21">
        <f t="shared" si="4"/>
        <v>1.67</v>
      </c>
    </row>
    <row r="92" spans="1:6" x14ac:dyDescent="0.2">
      <c r="A92" s="19">
        <v>26</v>
      </c>
      <c r="B92" s="177" t="s">
        <v>23</v>
      </c>
      <c r="C92" s="178"/>
      <c r="D92" s="14">
        <f t="shared" si="5"/>
        <v>0</v>
      </c>
      <c r="E92" s="17">
        <f>IF(F3="1",SUMIF(Data!A:A,'52'!$A$2,Data!EX:EX),0)</f>
        <v>0</v>
      </c>
      <c r="F92" s="21" t="str">
        <f t="shared" si="4"/>
        <v/>
      </c>
    </row>
    <row r="93" spans="1:6" x14ac:dyDescent="0.2">
      <c r="A93" s="19">
        <v>28</v>
      </c>
      <c r="B93" s="177" t="s">
        <v>24</v>
      </c>
      <c r="C93" s="178"/>
      <c r="D93" s="14">
        <f t="shared" si="5"/>
        <v>0</v>
      </c>
      <c r="E93" s="17">
        <f>IF(F3="1",SUMIF(Data!A:A,'52'!$A$2,Data!EZ:EZ),0)</f>
        <v>0</v>
      </c>
      <c r="F93" s="21" t="str">
        <f t="shared" si="4"/>
        <v/>
      </c>
    </row>
    <row r="94" spans="1:6" ht="15.75" customHeight="1" thickBot="1" x14ac:dyDescent="0.25">
      <c r="A94" s="22">
        <v>29</v>
      </c>
      <c r="B94" s="179" t="s">
        <v>25</v>
      </c>
      <c r="C94" s="180"/>
      <c r="D94" s="23">
        <f t="shared" si="5"/>
        <v>0</v>
      </c>
      <c r="E94" s="24">
        <f>IF(F3="1",SUMIF(Data!A:A,'52'!$A$2,Data!FA:FA),0)</f>
        <v>0</v>
      </c>
      <c r="F94" s="25" t="str">
        <f t="shared" si="4"/>
        <v/>
      </c>
    </row>
    <row r="95" spans="1:6" x14ac:dyDescent="0.2">
      <c r="B95" s="30" t="s">
        <v>35</v>
      </c>
      <c r="C95" s="30"/>
      <c r="D95" s="59">
        <f>SUM(D67:D94)</f>
        <v>432218</v>
      </c>
      <c r="E95" s="31">
        <f>SUM(E67:E94)</f>
        <v>1358370</v>
      </c>
      <c r="F95" s="32">
        <f t="shared" si="4"/>
        <v>3.14</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IF(F3="1",SUMIF(Data!A:A,'52'!$A$2,Data!AH:AH),0)</f>
        <v>710161</v>
      </c>
      <c r="F98" s="20">
        <f>IF(OR(E98=0,E98=0),"",ROUND(E98/$D$105,2))</f>
        <v>1.64</v>
      </c>
    </row>
    <row r="99" spans="2:6" x14ac:dyDescent="0.2">
      <c r="B99" s="183" t="s">
        <v>31</v>
      </c>
      <c r="C99" s="184"/>
      <c r="D99" s="36"/>
      <c r="E99" s="17">
        <f>IF(F3="1",SUMIF(Data!A:A,'52'!$A$2,Data!AI:AI),0)</f>
        <v>292245</v>
      </c>
      <c r="F99" s="21">
        <f t="shared" ref="F99:F104" si="6">IF(OR(E99=0,E99=0),"",ROUND(E99/$D$105,2))</f>
        <v>0.68</v>
      </c>
    </row>
    <row r="100" spans="2:6" x14ac:dyDescent="0.2">
      <c r="B100" s="183" t="s">
        <v>1078</v>
      </c>
      <c r="C100" s="184"/>
      <c r="D100" s="36"/>
      <c r="E100" s="17">
        <f>IF(F3="1",SUMIF(Data!A:A,'52'!$A$2,Data!AJ:AJ),0)</f>
        <v>0</v>
      </c>
      <c r="F100" s="21" t="str">
        <f t="shared" si="6"/>
        <v/>
      </c>
    </row>
    <row r="101" spans="2:6" x14ac:dyDescent="0.2">
      <c r="B101" s="183" t="s">
        <v>1079</v>
      </c>
      <c r="C101" s="184"/>
      <c r="D101" s="36"/>
      <c r="E101" s="17">
        <f>IF(F3="1",SUMIF(Data!A:A,'52'!$A$2,Data!AK:AK),0)</f>
        <v>185326</v>
      </c>
      <c r="F101" s="21">
        <f t="shared" si="6"/>
        <v>0.43</v>
      </c>
    </row>
    <row r="102" spans="2:6" x14ac:dyDescent="0.2">
      <c r="B102" s="183" t="s">
        <v>1080</v>
      </c>
      <c r="C102" s="184"/>
      <c r="D102" s="36"/>
      <c r="E102" s="17">
        <f>IF(F3="1",SUMIF(Data!A:A,'52'!$A$2,Data!AL:AL),0)</f>
        <v>0</v>
      </c>
      <c r="F102" s="21" t="str">
        <f t="shared" si="6"/>
        <v/>
      </c>
    </row>
    <row r="103" spans="2:6" x14ac:dyDescent="0.2">
      <c r="B103" s="185" t="s">
        <v>34</v>
      </c>
      <c r="C103" s="186"/>
      <c r="D103" s="36"/>
      <c r="E103" s="17">
        <f>IF(F3="1",SUMIF(Data!A:A,'52'!$A$2,Data!AM:AM),0)</f>
        <v>0</v>
      </c>
      <c r="F103" s="21" t="str">
        <f t="shared" si="6"/>
        <v/>
      </c>
    </row>
    <row r="104" spans="2:6" ht="15.75" customHeight="1" thickBot="1" x14ac:dyDescent="0.25">
      <c r="B104" s="175" t="s">
        <v>29</v>
      </c>
      <c r="C104" s="176"/>
      <c r="D104" s="37"/>
      <c r="E104" s="24">
        <f>IF(F3="1",SUMIF(Data!A:A,'52'!$A$2,Data!Q:Q),0)</f>
        <v>0</v>
      </c>
      <c r="F104" s="25" t="str">
        <f t="shared" si="6"/>
        <v/>
      </c>
    </row>
    <row r="105" spans="2:6" x14ac:dyDescent="0.2">
      <c r="B105" s="30" t="s">
        <v>35</v>
      </c>
      <c r="C105" s="30"/>
      <c r="D105" s="34">
        <f>D95</f>
        <v>432218</v>
      </c>
      <c r="E105" s="31">
        <f>SUM(E98:E104)</f>
        <v>1187732</v>
      </c>
      <c r="F105" s="32">
        <f>IF($D$105=0,"",ROUND(E105/$D$105,2))</f>
        <v>2.75</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1358370</v>
      </c>
      <c r="D109" s="15">
        <f>IF(F3="1",SUMIF(Data!$A:$A,$A$2,Data!HJ:HJ),0)</f>
        <v>0</v>
      </c>
      <c r="E109" s="15">
        <f>IF(F3="1",SUMIF(Data!$A:$A,$A$2,Data!IN:IN),0)</f>
        <v>0</v>
      </c>
      <c r="F109" s="47">
        <f>SUM(C109:E109)</f>
        <v>1358370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0</v>
      </c>
      <c r="E117" s="52"/>
      <c r="F117" s="49">
        <f>SUM(C117:E117)</f>
        <v>0</v>
      </c>
    </row>
    <row r="118" spans="1:6" x14ac:dyDescent="0.2">
      <c r="B118" s="13" t="s">
        <v>35</v>
      </c>
      <c r="C118" s="4">
        <f>SUM(C109:C116)</f>
        <v>1358370</v>
      </c>
      <c r="D118" s="4">
        <f>SUM(D109:D116)</f>
        <v>0</v>
      </c>
      <c r="E118" s="4">
        <f>SUM(E109:E116)</f>
        <v>0</v>
      </c>
      <c r="F118" s="4">
        <f>SUM(F109:F116)</f>
        <v>1358370</v>
      </c>
    </row>
    <row r="119" spans="1:6" ht="15" thickBot="1" x14ac:dyDescent="0.25"/>
    <row r="120" spans="1:6" ht="15" thickBot="1" x14ac:dyDescent="0.25">
      <c r="B120" s="55" t="s">
        <v>934</v>
      </c>
      <c r="C120" s="53"/>
      <c r="D120" s="53"/>
      <c r="E120" s="53">
        <f>IF(F3="1",SUMIF(Data!A:A,'52'!$A$2,Data!AM:AM),0)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9.28515625" style="10" bestFit="1" customWidth="1"/>
    <col min="12" max="12" width="12.42578125" style="10" bestFit="1" customWidth="1"/>
    <col min="13" max="13" width="10.5703125" style="10" bestFit="1" customWidth="1"/>
    <col min="14"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1071</v>
      </c>
      <c r="B2" s="58" t="str">
        <f>VLOOKUP(A2,Data!A:G,7,0)</f>
        <v>Texas State Technical Collage-Marshall</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19572</v>
      </c>
      <c r="E5" s="15">
        <f>E36+E67+IFERROR($E$105/$D$105*D5,0)</f>
        <v>150533.31460332673</v>
      </c>
      <c r="F5" s="20">
        <f>IF(OR(D5=0,E5=0),"",ROUND(E5/D5,2))</f>
        <v>7.69</v>
      </c>
    </row>
    <row r="6" spans="1:6" x14ac:dyDescent="0.2">
      <c r="A6" s="19">
        <v>2</v>
      </c>
      <c r="B6" s="177" t="s">
        <v>1</v>
      </c>
      <c r="C6" s="178"/>
      <c r="D6" s="14">
        <f t="shared" ref="D6:D32" si="0">D37</f>
        <v>69548</v>
      </c>
      <c r="E6" s="17">
        <f t="shared" ref="E6:E32" si="1">E37+E68+IFERROR($E$105/$D$105*D6,0)</f>
        <v>612749.10300593544</v>
      </c>
      <c r="F6" s="21">
        <f t="shared" ref="F6:F33" si="2">IF(OR(D6=0,E6=0),"",ROUND(E6/D6,2))</f>
        <v>8.81</v>
      </c>
    </row>
    <row r="7" spans="1:6" ht="14.25" customHeight="1" x14ac:dyDescent="0.2">
      <c r="A7" s="19">
        <v>3</v>
      </c>
      <c r="B7" s="177" t="s">
        <v>2</v>
      </c>
      <c r="C7" s="178"/>
      <c r="D7" s="14">
        <f t="shared" si="0"/>
        <v>41376</v>
      </c>
      <c r="E7" s="17">
        <f t="shared" si="1"/>
        <v>265198.47072487464</v>
      </c>
      <c r="F7" s="21">
        <f t="shared" si="2"/>
        <v>6.41</v>
      </c>
    </row>
    <row r="8" spans="1:6" ht="14.25" customHeight="1" x14ac:dyDescent="0.2">
      <c r="A8" s="19">
        <v>4</v>
      </c>
      <c r="B8" s="177" t="s">
        <v>3</v>
      </c>
      <c r="C8" s="178"/>
      <c r="D8" s="14">
        <f t="shared" si="0"/>
        <v>220574</v>
      </c>
      <c r="E8" s="17">
        <f t="shared" si="1"/>
        <v>1482190.6241219186</v>
      </c>
      <c r="F8" s="21">
        <f t="shared" si="2"/>
        <v>6.72</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924</v>
      </c>
      <c r="E10" s="17">
        <f t="shared" si="1"/>
        <v>7641.9290156077004</v>
      </c>
      <c r="F10" s="21">
        <f t="shared" si="2"/>
        <v>8.27</v>
      </c>
    </row>
    <row r="11" spans="1:6" x14ac:dyDescent="0.2">
      <c r="A11" s="19">
        <v>7</v>
      </c>
      <c r="B11" s="177" t="s">
        <v>6</v>
      </c>
      <c r="C11" s="178"/>
      <c r="D11" s="14">
        <f t="shared" si="0"/>
        <v>227371</v>
      </c>
      <c r="E11" s="17">
        <f t="shared" si="1"/>
        <v>1311459.2458958207</v>
      </c>
      <c r="F11" s="21">
        <f t="shared" si="2"/>
        <v>5.77</v>
      </c>
    </row>
    <row r="12" spans="1:6" x14ac:dyDescent="0.2">
      <c r="A12" s="19">
        <v>8</v>
      </c>
      <c r="B12" s="177" t="s">
        <v>7</v>
      </c>
      <c r="C12" s="178"/>
      <c r="D12" s="14">
        <f t="shared" si="0"/>
        <v>8412</v>
      </c>
      <c r="E12" s="17">
        <f t="shared" si="1"/>
        <v>63262.107012220746</v>
      </c>
      <c r="F12" s="21">
        <f t="shared" si="2"/>
        <v>7.52</v>
      </c>
    </row>
    <row r="13" spans="1:6" x14ac:dyDescent="0.2">
      <c r="A13" s="19">
        <v>9</v>
      </c>
      <c r="B13" s="177" t="s">
        <v>8</v>
      </c>
      <c r="C13" s="178"/>
      <c r="D13" s="14">
        <f t="shared" si="0"/>
        <v>0</v>
      </c>
      <c r="E13" s="17">
        <f t="shared" si="1"/>
        <v>0</v>
      </c>
      <c r="F13" s="21" t="str">
        <f t="shared" si="2"/>
        <v/>
      </c>
    </row>
    <row r="14" spans="1:6" x14ac:dyDescent="0.2">
      <c r="A14" s="19">
        <v>10</v>
      </c>
      <c r="B14" s="177" t="s">
        <v>9</v>
      </c>
      <c r="C14" s="178"/>
      <c r="D14" s="14">
        <f t="shared" si="0"/>
        <v>0</v>
      </c>
      <c r="E14" s="17">
        <f t="shared" si="1"/>
        <v>0</v>
      </c>
      <c r="F14" s="21" t="str">
        <f t="shared" si="2"/>
        <v/>
      </c>
    </row>
    <row r="15" spans="1:6" x14ac:dyDescent="0.2">
      <c r="A15" s="19">
        <v>11</v>
      </c>
      <c r="B15" s="177" t="s">
        <v>10</v>
      </c>
      <c r="C15" s="178"/>
      <c r="D15" s="14">
        <f t="shared" si="0"/>
        <v>165112</v>
      </c>
      <c r="E15" s="17">
        <f t="shared" si="1"/>
        <v>1563432.3372565135</v>
      </c>
      <c r="F15" s="21">
        <f t="shared" si="2"/>
        <v>9.4700000000000006</v>
      </c>
    </row>
    <row r="16" spans="1:6" ht="14.25" customHeight="1" x14ac:dyDescent="0.2">
      <c r="A16" s="19">
        <v>12</v>
      </c>
      <c r="B16" s="177" t="s">
        <v>11</v>
      </c>
      <c r="C16" s="178"/>
      <c r="D16" s="14">
        <f t="shared" si="0"/>
        <v>68229</v>
      </c>
      <c r="E16" s="17">
        <f t="shared" si="1"/>
        <v>454537.41753885039</v>
      </c>
      <c r="F16" s="21">
        <f t="shared" si="2"/>
        <v>6.66</v>
      </c>
    </row>
    <row r="17" spans="1:6" x14ac:dyDescent="0.2">
      <c r="A17" s="19">
        <v>13</v>
      </c>
      <c r="B17" s="177" t="s">
        <v>12</v>
      </c>
      <c r="C17" s="178"/>
      <c r="D17" s="14">
        <f t="shared" si="0"/>
        <v>660</v>
      </c>
      <c r="E17" s="17">
        <f t="shared" si="1"/>
        <v>3761.3778682912143</v>
      </c>
      <c r="F17" s="21">
        <f t="shared" si="2"/>
        <v>5.7</v>
      </c>
    </row>
    <row r="18" spans="1:6" ht="14.25" customHeight="1" x14ac:dyDescent="0.2">
      <c r="A18" s="19">
        <v>14</v>
      </c>
      <c r="B18" s="177" t="s">
        <v>464</v>
      </c>
      <c r="C18" s="178"/>
      <c r="D18" s="14">
        <f t="shared" si="0"/>
        <v>72960</v>
      </c>
      <c r="E18" s="17">
        <f t="shared" si="1"/>
        <v>540365.86253110156</v>
      </c>
      <c r="F18" s="21">
        <f t="shared" si="2"/>
        <v>7.41</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167324</v>
      </c>
      <c r="E20" s="17">
        <f t="shared" si="1"/>
        <v>950463.77338478656</v>
      </c>
      <c r="F20" s="21">
        <f t="shared" si="2"/>
        <v>5.68</v>
      </c>
    </row>
    <row r="21" spans="1:6" x14ac:dyDescent="0.2">
      <c r="A21" s="19">
        <v>17</v>
      </c>
      <c r="B21" s="177" t="s">
        <v>15</v>
      </c>
      <c r="C21" s="178"/>
      <c r="D21" s="14">
        <f t="shared" si="0"/>
        <v>0</v>
      </c>
      <c r="E21" s="17">
        <f t="shared" si="1"/>
        <v>0</v>
      </c>
      <c r="F21" s="21" t="str">
        <f t="shared" si="2"/>
        <v/>
      </c>
    </row>
    <row r="22" spans="1:6" x14ac:dyDescent="0.2">
      <c r="A22" s="19">
        <v>18</v>
      </c>
      <c r="B22" s="177" t="s">
        <v>16</v>
      </c>
      <c r="C22" s="178"/>
      <c r="D22" s="14">
        <f t="shared" si="0"/>
        <v>19728</v>
      </c>
      <c r="E22" s="17">
        <f t="shared" si="1"/>
        <v>136612.27664492285</v>
      </c>
      <c r="F22" s="21">
        <f t="shared" si="2"/>
        <v>6.92</v>
      </c>
    </row>
    <row r="23" spans="1:6" x14ac:dyDescent="0.2">
      <c r="A23" s="19">
        <v>19</v>
      </c>
      <c r="B23" s="177" t="s">
        <v>17</v>
      </c>
      <c r="C23" s="178"/>
      <c r="D23" s="14">
        <f t="shared" si="0"/>
        <v>91302</v>
      </c>
      <c r="E23" s="17">
        <f t="shared" si="1"/>
        <v>501323.74565261276</v>
      </c>
      <c r="F23" s="21">
        <f t="shared" si="2"/>
        <v>5.49</v>
      </c>
    </row>
    <row r="24" spans="1:6" x14ac:dyDescent="0.2">
      <c r="A24" s="19">
        <v>20</v>
      </c>
      <c r="B24" s="177" t="s">
        <v>18</v>
      </c>
      <c r="C24" s="178"/>
      <c r="D24" s="14">
        <f t="shared" si="0"/>
        <v>61548</v>
      </c>
      <c r="E24" s="17">
        <f t="shared" si="1"/>
        <v>391565.94702664798</v>
      </c>
      <c r="F24" s="21">
        <f t="shared" si="2"/>
        <v>6.36</v>
      </c>
    </row>
    <row r="25" spans="1:6" ht="14.25" customHeight="1" x14ac:dyDescent="0.2">
      <c r="A25" s="19">
        <v>21</v>
      </c>
      <c r="B25" s="177" t="s">
        <v>461</v>
      </c>
      <c r="C25" s="178"/>
      <c r="D25" s="14">
        <f t="shared" si="0"/>
        <v>100200</v>
      </c>
      <c r="E25" s="17">
        <f t="shared" si="1"/>
        <v>648224.00364057533</v>
      </c>
      <c r="F25" s="21">
        <f t="shared" si="2"/>
        <v>6.47</v>
      </c>
    </row>
    <row r="26" spans="1:6" x14ac:dyDescent="0.2">
      <c r="A26" s="19">
        <v>22</v>
      </c>
      <c r="B26" s="177" t="s">
        <v>19</v>
      </c>
      <c r="C26" s="178"/>
      <c r="D26" s="14">
        <f t="shared" si="0"/>
        <v>74</v>
      </c>
      <c r="E26" s="17">
        <f t="shared" si="1"/>
        <v>603.19994280840888</v>
      </c>
      <c r="F26" s="21">
        <f t="shared" si="2"/>
        <v>8.15</v>
      </c>
    </row>
    <row r="27" spans="1:6" x14ac:dyDescent="0.2">
      <c r="A27" s="19">
        <v>23</v>
      </c>
      <c r="B27" s="177" t="s">
        <v>20</v>
      </c>
      <c r="C27" s="178"/>
      <c r="D27" s="14">
        <f t="shared" si="0"/>
        <v>0</v>
      </c>
      <c r="E27" s="17">
        <f t="shared" si="1"/>
        <v>0</v>
      </c>
      <c r="F27" s="21" t="str">
        <f t="shared" si="2"/>
        <v/>
      </c>
    </row>
    <row r="28" spans="1:6" x14ac:dyDescent="0.2">
      <c r="A28" s="19">
        <v>24</v>
      </c>
      <c r="B28" s="177" t="s">
        <v>21</v>
      </c>
      <c r="C28" s="178"/>
      <c r="D28" s="14">
        <f t="shared" si="0"/>
        <v>34735</v>
      </c>
      <c r="E28" s="17">
        <f t="shared" si="1"/>
        <v>173583.81099256867</v>
      </c>
      <c r="F28" s="21">
        <f t="shared" si="2"/>
        <v>5</v>
      </c>
    </row>
    <row r="29" spans="1:6" x14ac:dyDescent="0.2">
      <c r="A29" s="19">
        <v>25</v>
      </c>
      <c r="B29" s="177" t="s">
        <v>22</v>
      </c>
      <c r="C29" s="178"/>
      <c r="D29" s="14">
        <f t="shared" si="0"/>
        <v>22164</v>
      </c>
      <c r="E29" s="17">
        <f t="shared" si="1"/>
        <v>146190.45314061586</v>
      </c>
      <c r="F29" s="21">
        <f t="shared" si="2"/>
        <v>6.6</v>
      </c>
    </row>
    <row r="30" spans="1:6" x14ac:dyDescent="0.2">
      <c r="A30" s="19">
        <v>26</v>
      </c>
      <c r="B30" s="177" t="s">
        <v>23</v>
      </c>
      <c r="C30" s="178"/>
      <c r="D30" s="14">
        <f t="shared" si="0"/>
        <v>0</v>
      </c>
      <c r="E30" s="17">
        <f t="shared" si="1"/>
        <v>0</v>
      </c>
      <c r="F30" s="21" t="str">
        <f t="shared" si="2"/>
        <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1391813</v>
      </c>
      <c r="E33" s="31">
        <f>SUM(E5:E32)</f>
        <v>9403698.9999999981</v>
      </c>
      <c r="F33" s="32">
        <f t="shared" si="2"/>
        <v>6.76</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IF(F3="1",SUMIF(Data!A:A,'53'!$A$2,Data!CU:CU),0)</f>
        <v>19572</v>
      </c>
      <c r="E36" s="15">
        <f>IF(F3="1",SUMIF(Data!$A:$A,$A$2,Data!IO:IO),0)</f>
        <v>41614</v>
      </c>
      <c r="F36" s="20">
        <f t="shared" ref="F36:F64" si="3">IF(OR(D36=0,E36=0),"",ROUND(E36/D36,2))</f>
        <v>2.13</v>
      </c>
    </row>
    <row r="37" spans="1:6" x14ac:dyDescent="0.2">
      <c r="A37" s="19">
        <v>2</v>
      </c>
      <c r="B37" s="177" t="s">
        <v>1</v>
      </c>
      <c r="C37" s="178"/>
      <c r="D37" s="14">
        <f>IF(F3="1",SUMIF(Data!A:A,'53'!$A$2,Data!CV:CV),0)</f>
        <v>69548</v>
      </c>
      <c r="E37" s="17">
        <f>IF(F3="1",SUMIF(Data!$A:$A,$A$2,Data!IP:IP),0)</f>
        <v>194166</v>
      </c>
      <c r="F37" s="21">
        <f t="shared" si="3"/>
        <v>2.79</v>
      </c>
    </row>
    <row r="38" spans="1:6" ht="14.25" customHeight="1" x14ac:dyDescent="0.2">
      <c r="A38" s="19">
        <v>3</v>
      </c>
      <c r="B38" s="177" t="s">
        <v>2</v>
      </c>
      <c r="C38" s="178"/>
      <c r="D38" s="14">
        <f>IF(F3="1",SUMIF(Data!A:A,'53'!$A$2,Data!CW:CW),0)</f>
        <v>41376</v>
      </c>
      <c r="E38" s="17">
        <f>IF($F$3="1",SUMIF(Data!$A:$A,$A$2,Data!IQ:IQ),0)</f>
        <v>32362</v>
      </c>
      <c r="F38" s="21">
        <f t="shared" si="3"/>
        <v>0.78</v>
      </c>
    </row>
    <row r="39" spans="1:6" ht="14.25" customHeight="1" x14ac:dyDescent="0.2">
      <c r="A39" s="19">
        <v>4</v>
      </c>
      <c r="B39" s="177" t="s">
        <v>3</v>
      </c>
      <c r="C39" s="178"/>
      <c r="D39" s="14">
        <f>IF(F3="1",SUMIF(Data!A:A,'53'!$A$2,Data!CX:CX),0)</f>
        <v>220574</v>
      </c>
      <c r="E39" s="17">
        <f>IF($F$3="1",SUMIF(Data!$A:$A,$A$2,Data!IR:IR),0)</f>
        <v>512237</v>
      </c>
      <c r="F39" s="21">
        <f t="shared" si="3"/>
        <v>2.3199999999999998</v>
      </c>
    </row>
    <row r="40" spans="1:6" x14ac:dyDescent="0.2">
      <c r="A40" s="19">
        <v>5</v>
      </c>
      <c r="B40" s="177" t="s">
        <v>4</v>
      </c>
      <c r="C40" s="178"/>
      <c r="D40" s="14">
        <f>IF(F3="1",SUMIF(Data!A:A,'53'!$A$2,Data!CY:CY),0)</f>
        <v>0</v>
      </c>
      <c r="E40" s="17">
        <f>IF($F$3="1",SUMIF(Data!$A:$A,$A$2,Data!IS:IS),0)</f>
        <v>0</v>
      </c>
      <c r="F40" s="21" t="str">
        <f t="shared" si="3"/>
        <v/>
      </c>
    </row>
    <row r="41" spans="1:6" x14ac:dyDescent="0.2">
      <c r="A41" s="19">
        <v>6</v>
      </c>
      <c r="B41" s="177" t="s">
        <v>5</v>
      </c>
      <c r="C41" s="178"/>
      <c r="D41" s="14">
        <f>IF(F3="1",SUMIF(Data!A:A,'53'!$A$2,Data!CZ:CZ),0)</f>
        <v>924</v>
      </c>
      <c r="E41" s="17">
        <f>IF($F$3="1",SUMIF(Data!$A:$A,$A$2,Data!IT:IT),0)</f>
        <v>2629</v>
      </c>
      <c r="F41" s="21">
        <f t="shared" si="3"/>
        <v>2.85</v>
      </c>
    </row>
    <row r="42" spans="1:6" x14ac:dyDescent="0.2">
      <c r="A42" s="19">
        <v>7</v>
      </c>
      <c r="B42" s="177" t="s">
        <v>6</v>
      </c>
      <c r="C42" s="178"/>
      <c r="D42" s="14">
        <f>IF(F3="1",SUMIF(Data!A:A,'53'!$A$2,Data!DA:DA),0)</f>
        <v>227371</v>
      </c>
      <c r="E42" s="17">
        <f>IF($F$3="1",SUMIF(Data!$A:$A,$A$2,Data!IU:IU),0)</f>
        <v>287846</v>
      </c>
      <c r="F42" s="21">
        <f t="shared" si="3"/>
        <v>1.27</v>
      </c>
    </row>
    <row r="43" spans="1:6" x14ac:dyDescent="0.2">
      <c r="A43" s="19">
        <v>8</v>
      </c>
      <c r="B43" s="177" t="s">
        <v>7</v>
      </c>
      <c r="C43" s="178"/>
      <c r="D43" s="14">
        <f>IF(F3="1",SUMIF(Data!A:A,'53'!$A$2,Data!DB:DB),0)</f>
        <v>8412</v>
      </c>
      <c r="E43" s="17">
        <f>IF($F$3="1",SUMIF(Data!$A:$A,$A$2,Data!IV:IV),0)</f>
        <v>22525</v>
      </c>
      <c r="F43" s="21">
        <f t="shared" si="3"/>
        <v>2.68</v>
      </c>
    </row>
    <row r="44" spans="1:6" x14ac:dyDescent="0.2">
      <c r="A44" s="19">
        <v>9</v>
      </c>
      <c r="B44" s="177" t="s">
        <v>8</v>
      </c>
      <c r="C44" s="178"/>
      <c r="D44" s="14">
        <f>IF(F3="1",SUMIF(Data!A:A,'53'!$A$2,Data!DC:DC),0)</f>
        <v>0</v>
      </c>
      <c r="E44" s="17">
        <f>IF($F$3="1",SUMIF(Data!$A:$A,$A$2,Data!IW:IW),0)</f>
        <v>0</v>
      </c>
      <c r="F44" s="21" t="str">
        <f t="shared" si="3"/>
        <v/>
      </c>
    </row>
    <row r="45" spans="1:6" x14ac:dyDescent="0.2">
      <c r="A45" s="19">
        <v>10</v>
      </c>
      <c r="B45" s="177" t="s">
        <v>9</v>
      </c>
      <c r="C45" s="178"/>
      <c r="D45" s="14">
        <f>IF(F3="1",SUMIF(Data!A:A,'53'!$A$2,Data!DD:DD),0)</f>
        <v>0</v>
      </c>
      <c r="E45" s="17">
        <f>IF($F$3="1",SUMIF(Data!$A:$A,$A$2,Data!IX:IX),0)</f>
        <v>0</v>
      </c>
      <c r="F45" s="21" t="str">
        <f t="shared" si="3"/>
        <v/>
      </c>
    </row>
    <row r="46" spans="1:6" x14ac:dyDescent="0.2">
      <c r="A46" s="19">
        <v>11</v>
      </c>
      <c r="B46" s="177" t="s">
        <v>10</v>
      </c>
      <c r="C46" s="178"/>
      <c r="D46" s="14">
        <f>IF(F3="1",SUMIF(Data!A:A,'53'!$A$2,Data!DE:DE),0)</f>
        <v>165112</v>
      </c>
      <c r="E46" s="17">
        <f>IF($F$3="1",SUMIF(Data!$A:$A,$A$2,Data!IY:IY),0)</f>
        <v>503525</v>
      </c>
      <c r="F46" s="21">
        <f t="shared" si="3"/>
        <v>3.05</v>
      </c>
    </row>
    <row r="47" spans="1:6" ht="14.25" customHeight="1" x14ac:dyDescent="0.2">
      <c r="A47" s="19">
        <v>12</v>
      </c>
      <c r="B47" s="177" t="s">
        <v>11</v>
      </c>
      <c r="C47" s="178"/>
      <c r="D47" s="14">
        <f>IF(F3="1",SUMIF(Data!A:A,'53'!$A$2,Data!DF:DF),0)</f>
        <v>68229</v>
      </c>
      <c r="E47" s="17">
        <f>IF($F$3="1",SUMIF(Data!$A:$A,$A$2,Data!IZ:IZ),0)</f>
        <v>63338</v>
      </c>
      <c r="F47" s="21">
        <f t="shared" si="3"/>
        <v>0.93</v>
      </c>
    </row>
    <row r="48" spans="1:6" x14ac:dyDescent="0.2">
      <c r="A48" s="19">
        <v>13</v>
      </c>
      <c r="B48" s="177" t="s">
        <v>12</v>
      </c>
      <c r="C48" s="178"/>
      <c r="D48" s="14">
        <f>IF(F3="1",SUMIF(Data!A:A,'53'!$A$2,Data!DG:DG),0)</f>
        <v>660</v>
      </c>
      <c r="E48" s="17">
        <f>IF($F$3="1",SUMIF(Data!$A:$A,$A$2,Data!JA:JA),0)</f>
        <v>703</v>
      </c>
      <c r="F48" s="21">
        <f t="shared" si="3"/>
        <v>1.07</v>
      </c>
    </row>
    <row r="49" spans="1:6" ht="14.25" customHeight="1" x14ac:dyDescent="0.2">
      <c r="A49" s="19">
        <v>14</v>
      </c>
      <c r="B49" s="177" t="s">
        <v>464</v>
      </c>
      <c r="C49" s="178"/>
      <c r="D49" s="14">
        <f>IF(F3="1",SUMIF(Data!A:A,'53'!$A$2,Data!DH:DH),0)</f>
        <v>72960</v>
      </c>
      <c r="E49" s="17">
        <f>IF($F$3="1",SUMIF(Data!$A:$A,$A$2,Data!JB:JB),0)</f>
        <v>82183</v>
      </c>
      <c r="F49" s="21">
        <f t="shared" si="3"/>
        <v>1.1299999999999999</v>
      </c>
    </row>
    <row r="50" spans="1:6" x14ac:dyDescent="0.2">
      <c r="A50" s="19">
        <v>15</v>
      </c>
      <c r="B50" s="177" t="s">
        <v>13</v>
      </c>
      <c r="C50" s="178"/>
      <c r="D50" s="14">
        <f>IF(F3="1",SUMIF(Data!A:A,'53'!$A$2,Data!DI:DI),0)</f>
        <v>0</v>
      </c>
      <c r="E50" s="17">
        <f>IF($F$3="1",SUMIF(Data!$A:$A,$A$2,Data!JC:JC),0)</f>
        <v>0</v>
      </c>
      <c r="F50" s="21" t="str">
        <f t="shared" si="3"/>
        <v/>
      </c>
    </row>
    <row r="51" spans="1:6" x14ac:dyDescent="0.2">
      <c r="A51" s="19">
        <v>16</v>
      </c>
      <c r="B51" s="177" t="s">
        <v>14</v>
      </c>
      <c r="C51" s="178"/>
      <c r="D51" s="14">
        <f>IF(F3="1",SUMIF(Data!A:A,'53'!$A$2,Data!DJ:DJ),0)</f>
        <v>167324</v>
      </c>
      <c r="E51" s="17">
        <f>IF($F$3="1",SUMIF(Data!$A:$A,$A$2,Data!JD:JD),0)</f>
        <v>240140</v>
      </c>
      <c r="F51" s="21">
        <f t="shared" si="3"/>
        <v>1.44</v>
      </c>
    </row>
    <row r="52" spans="1:6" x14ac:dyDescent="0.2">
      <c r="A52" s="19">
        <v>17</v>
      </c>
      <c r="B52" s="177" t="s">
        <v>15</v>
      </c>
      <c r="C52" s="178"/>
      <c r="D52" s="14">
        <f>IF(F3="1",SUMIF(Data!A:A,'53'!$A$2,Data!DK:DK),0)</f>
        <v>0</v>
      </c>
      <c r="E52" s="17">
        <f>IF($F$3="1",SUMIF(Data!$A:$A,$A$2,Data!JE:JE),0)</f>
        <v>0</v>
      </c>
      <c r="F52" s="21" t="str">
        <f t="shared" si="3"/>
        <v/>
      </c>
    </row>
    <row r="53" spans="1:6" x14ac:dyDescent="0.2">
      <c r="A53" s="19">
        <v>18</v>
      </c>
      <c r="B53" s="177" t="s">
        <v>16</v>
      </c>
      <c r="C53" s="178"/>
      <c r="D53" s="14">
        <f>IF(F3="1",SUMIF(Data!A:A,'53'!$A$2,Data!DL:DL),0)</f>
        <v>19728</v>
      </c>
      <c r="E53" s="17">
        <f>IF($F$3="1",SUMIF(Data!$A:$A,$A$2,Data!JF:JF),0)</f>
        <v>18986</v>
      </c>
      <c r="F53" s="21">
        <f t="shared" si="3"/>
        <v>0.96</v>
      </c>
    </row>
    <row r="54" spans="1:6" x14ac:dyDescent="0.2">
      <c r="A54" s="19">
        <v>19</v>
      </c>
      <c r="B54" s="177" t="s">
        <v>17</v>
      </c>
      <c r="C54" s="178"/>
      <c r="D54" s="14">
        <f>IF(F3="1",SUMIF(Data!A:A,'53'!$A$2,Data!DM:DM),0)</f>
        <v>91302</v>
      </c>
      <c r="E54" s="17">
        <f>IF($F$3="1",SUMIF(Data!$A:$A,$A$2,Data!JG:JG),0)</f>
        <v>77163</v>
      </c>
      <c r="F54" s="21">
        <f t="shared" si="3"/>
        <v>0.85</v>
      </c>
    </row>
    <row r="55" spans="1:6" x14ac:dyDescent="0.2">
      <c r="A55" s="19">
        <v>20</v>
      </c>
      <c r="B55" s="177" t="s">
        <v>18</v>
      </c>
      <c r="C55" s="178"/>
      <c r="D55" s="14">
        <f>IF(F3="1",SUMIF(Data!A:A,'53'!$A$2,Data!DN:DN),0)</f>
        <v>61548</v>
      </c>
      <c r="E55" s="17">
        <f>IF($F$3="1",SUMIF(Data!$A:$A,$A$2,Data!JH:JH),0)</f>
        <v>90894</v>
      </c>
      <c r="F55" s="21">
        <f t="shared" si="3"/>
        <v>1.48</v>
      </c>
    </row>
    <row r="56" spans="1:6" ht="14.25" customHeight="1" x14ac:dyDescent="0.2">
      <c r="A56" s="19">
        <v>21</v>
      </c>
      <c r="B56" s="177" t="s">
        <v>461</v>
      </c>
      <c r="C56" s="178"/>
      <c r="D56" s="14">
        <f>IF(F3="1",SUMIF(Data!A:A,'53'!$A$2,Data!DO:DO),0)</f>
        <v>100200</v>
      </c>
      <c r="E56" s="17">
        <f>IF($F$3="1",SUMIF(Data!$A:$A,$A$2,Data!JI:JI),0)</f>
        <v>167875</v>
      </c>
      <c r="F56" s="21">
        <f t="shared" si="3"/>
        <v>1.68</v>
      </c>
    </row>
    <row r="57" spans="1:6" x14ac:dyDescent="0.2">
      <c r="A57" s="19">
        <v>22</v>
      </c>
      <c r="B57" s="177" t="s">
        <v>19</v>
      </c>
      <c r="C57" s="178"/>
      <c r="D57" s="14">
        <f>IF(F3="1",SUMIF(Data!A:A,'53'!$A$2,Data!DP:DP),0)</f>
        <v>74</v>
      </c>
      <c r="E57" s="17">
        <f>IF($F$3="1",SUMIF(Data!$A:$A,$A$2,Data!JJ:JJ),0)</f>
        <v>150</v>
      </c>
      <c r="F57" s="21">
        <f t="shared" si="3"/>
        <v>2.0299999999999998</v>
      </c>
    </row>
    <row r="58" spans="1:6" x14ac:dyDescent="0.2">
      <c r="A58" s="19">
        <v>23</v>
      </c>
      <c r="B58" s="177" t="s">
        <v>20</v>
      </c>
      <c r="C58" s="178"/>
      <c r="D58" s="14">
        <f>IF(F3="1",SUMIF(Data!A:A,'53'!$A$2,Data!DQ:DQ),0)</f>
        <v>0</v>
      </c>
      <c r="E58" s="17">
        <f>IF($F$3="1",SUMIF(Data!$A:$A,$A$2,Data!JK:JK),0)</f>
        <v>0</v>
      </c>
      <c r="F58" s="21" t="str">
        <f t="shared" si="3"/>
        <v/>
      </c>
    </row>
    <row r="59" spans="1:6" x14ac:dyDescent="0.2">
      <c r="A59" s="19">
        <v>24</v>
      </c>
      <c r="B59" s="177" t="s">
        <v>21</v>
      </c>
      <c r="C59" s="178"/>
      <c r="D59" s="14">
        <f>IF(F3="1",SUMIF(Data!A:A,'53'!$A$2,Data!DR:DR),0)</f>
        <v>34735</v>
      </c>
      <c r="E59" s="17">
        <f>IF($F$3="1",SUMIF(Data!$A:$A,$A$2,Data!JL:JL),0)</f>
        <v>41673</v>
      </c>
      <c r="F59" s="21">
        <f t="shared" si="3"/>
        <v>1.2</v>
      </c>
    </row>
    <row r="60" spans="1:6" x14ac:dyDescent="0.2">
      <c r="A60" s="19">
        <v>25</v>
      </c>
      <c r="B60" s="177" t="s">
        <v>22</v>
      </c>
      <c r="C60" s="178"/>
      <c r="D60" s="14">
        <f>IF(F3="1",SUMIF(Data!A:A,'53'!$A$2,Data!DS:DS),0)</f>
        <v>22164</v>
      </c>
      <c r="E60" s="17">
        <f>IF($F$3="1",SUMIF(Data!$A:$A,$A$2,Data!JM:JM),0)</f>
        <v>24155</v>
      </c>
      <c r="F60" s="21">
        <f t="shared" si="3"/>
        <v>1.0900000000000001</v>
      </c>
    </row>
    <row r="61" spans="1:6" x14ac:dyDescent="0.2">
      <c r="A61" s="19">
        <v>26</v>
      </c>
      <c r="B61" s="177" t="s">
        <v>23</v>
      </c>
      <c r="C61" s="178"/>
      <c r="D61" s="14">
        <f>IF(F3="1",SUMIF(Data!A:A,'53'!$A$2,Data!DT:DT),0)</f>
        <v>0</v>
      </c>
      <c r="E61" s="17">
        <f>IF($F$3="1",SUMIF(Data!$A:$A,$A$2,Data!JN:JN),0)</f>
        <v>0</v>
      </c>
      <c r="F61" s="21" t="str">
        <f t="shared" si="3"/>
        <v/>
      </c>
    </row>
    <row r="62" spans="1:6" x14ac:dyDescent="0.2">
      <c r="A62" s="19">
        <v>28</v>
      </c>
      <c r="B62" s="177" t="s">
        <v>24</v>
      </c>
      <c r="C62" s="178"/>
      <c r="D62" s="14">
        <f>IF(F3="1",SUMIF(Data!A:A,'53'!$A$2,Data!DV:DV),0)</f>
        <v>0</v>
      </c>
      <c r="E62" s="17">
        <f>IF($F$3="1",SUMIF(Data!$A:$A,$A$2,Data!JP:JP),0)</f>
        <v>0</v>
      </c>
      <c r="F62" s="21" t="str">
        <f t="shared" si="3"/>
        <v/>
      </c>
    </row>
    <row r="63" spans="1:6" ht="15.75" customHeight="1" thickBot="1" x14ac:dyDescent="0.25">
      <c r="A63" s="22">
        <v>29</v>
      </c>
      <c r="B63" s="179" t="s">
        <v>25</v>
      </c>
      <c r="C63" s="180"/>
      <c r="D63" s="23">
        <f>IF(F3="1",SUMIF(Data!A:A,'53'!$A$2,Data!DW:DW),0)</f>
        <v>0</v>
      </c>
      <c r="E63" s="24">
        <f>IF($F$3="1",SUMIF(Data!$A:$A,$A$2,Data!JQ:JQ),0)</f>
        <v>0</v>
      </c>
      <c r="F63" s="25" t="str">
        <f t="shared" si="3"/>
        <v/>
      </c>
    </row>
    <row r="64" spans="1:6" x14ac:dyDescent="0.2">
      <c r="B64" s="30" t="s">
        <v>35</v>
      </c>
      <c r="C64" s="30"/>
      <c r="D64" s="59">
        <f>SUM(D36:D63)</f>
        <v>1391813</v>
      </c>
      <c r="E64" s="31">
        <f>SUM(E36:E63)</f>
        <v>2404164</v>
      </c>
      <c r="F64" s="32">
        <f t="shared" si="3"/>
        <v>1.73</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19572</v>
      </c>
      <c r="E67" s="15">
        <f>IF(F3="1",SUMIF(Data!A:A,'53'!$A$2,Data!DY:DY),0)</f>
        <v>68400</v>
      </c>
      <c r="F67" s="20">
        <f t="shared" ref="F67:F95" si="4">IF(OR(D67=0,E67=0),"",ROUND(E67/D67,2))</f>
        <v>3.49</v>
      </c>
    </row>
    <row r="68" spans="1:6" x14ac:dyDescent="0.2">
      <c r="A68" s="19">
        <v>2</v>
      </c>
      <c r="B68" s="177" t="s">
        <v>1</v>
      </c>
      <c r="C68" s="178"/>
      <c r="D68" s="14">
        <f t="shared" ref="D68:D94" si="5">D37</f>
        <v>69548</v>
      </c>
      <c r="E68" s="17">
        <f>IF(F3="1",SUMIF(Data!A:A,'53'!$A$2,Data!DZ:DZ),0)</f>
        <v>274600</v>
      </c>
      <c r="F68" s="21">
        <f t="shared" si="4"/>
        <v>3.95</v>
      </c>
    </row>
    <row r="69" spans="1:6" ht="14.25" customHeight="1" x14ac:dyDescent="0.2">
      <c r="A69" s="19">
        <v>3</v>
      </c>
      <c r="B69" s="177" t="s">
        <v>2</v>
      </c>
      <c r="C69" s="178"/>
      <c r="D69" s="14">
        <f t="shared" si="5"/>
        <v>41376</v>
      </c>
      <c r="E69" s="17">
        <f>IF(F3="1",SUMIF(Data!A:A,'53'!$A$2,Data!EA:EA),0)</f>
        <v>147177</v>
      </c>
      <c r="F69" s="21">
        <f t="shared" si="4"/>
        <v>3.56</v>
      </c>
    </row>
    <row r="70" spans="1:6" ht="14.25" customHeight="1" x14ac:dyDescent="0.2">
      <c r="A70" s="19">
        <v>4</v>
      </c>
      <c r="B70" s="177" t="s">
        <v>3</v>
      </c>
      <c r="C70" s="178"/>
      <c r="D70" s="14">
        <f t="shared" si="5"/>
        <v>220574</v>
      </c>
      <c r="E70" s="17">
        <f>IF(F3="1",SUMIF(Data!A:A,'53'!$A$2,Data!EB:EB),0)</f>
        <v>513306</v>
      </c>
      <c r="F70" s="21">
        <f t="shared" si="4"/>
        <v>2.33</v>
      </c>
    </row>
    <row r="71" spans="1:6" x14ac:dyDescent="0.2">
      <c r="A71" s="19">
        <v>5</v>
      </c>
      <c r="B71" s="177" t="s">
        <v>4</v>
      </c>
      <c r="C71" s="178"/>
      <c r="D71" s="14">
        <f t="shared" si="5"/>
        <v>0</v>
      </c>
      <c r="E71" s="17">
        <f>IF(F3="1",SUMIF(Data!A:A,'53'!$A$2,Data!EC:EC),0)</f>
        <v>0</v>
      </c>
      <c r="F71" s="21" t="str">
        <f t="shared" si="4"/>
        <v/>
      </c>
    </row>
    <row r="72" spans="1:6" x14ac:dyDescent="0.2">
      <c r="A72" s="19">
        <v>6</v>
      </c>
      <c r="B72" s="177" t="s">
        <v>5</v>
      </c>
      <c r="C72" s="178"/>
      <c r="D72" s="14">
        <f t="shared" si="5"/>
        <v>924</v>
      </c>
      <c r="E72" s="17">
        <f>IF(F3="1",SUMIF(Data!A:A,'53'!$A$2,Data!ED:ED),0)</f>
        <v>3100</v>
      </c>
      <c r="F72" s="21">
        <f t="shared" si="4"/>
        <v>3.35</v>
      </c>
    </row>
    <row r="73" spans="1:6" x14ac:dyDescent="0.2">
      <c r="A73" s="19">
        <v>7</v>
      </c>
      <c r="B73" s="177" t="s">
        <v>6</v>
      </c>
      <c r="C73" s="178"/>
      <c r="D73" s="14">
        <f t="shared" si="5"/>
        <v>227371</v>
      </c>
      <c r="E73" s="17">
        <f>IF(F3="1",SUMIF(Data!A:A,'53'!$A$2,Data!EE:EE),0)</f>
        <v>552894</v>
      </c>
      <c r="F73" s="21">
        <f t="shared" si="4"/>
        <v>2.4300000000000002</v>
      </c>
    </row>
    <row r="74" spans="1:6" x14ac:dyDescent="0.2">
      <c r="A74" s="19">
        <v>8</v>
      </c>
      <c r="B74" s="177" t="s">
        <v>7</v>
      </c>
      <c r="C74" s="178"/>
      <c r="D74" s="14">
        <f t="shared" si="5"/>
        <v>8412</v>
      </c>
      <c r="E74" s="17">
        <f>IF(F3="1",SUMIF(Data!A:A,'53'!$A$2,Data!EF:EF),0)</f>
        <v>23322</v>
      </c>
      <c r="F74" s="21">
        <f t="shared" si="4"/>
        <v>2.77</v>
      </c>
    </row>
    <row r="75" spans="1:6" x14ac:dyDescent="0.2">
      <c r="A75" s="19">
        <v>9</v>
      </c>
      <c r="B75" s="177" t="s">
        <v>8</v>
      </c>
      <c r="C75" s="178"/>
      <c r="D75" s="14">
        <f t="shared" si="5"/>
        <v>0</v>
      </c>
      <c r="E75" s="17">
        <f>IF(F3="1",SUMIF(Data!A:A,'53'!$A$2,Data!EG:EG),0)</f>
        <v>0</v>
      </c>
      <c r="F75" s="21" t="str">
        <f t="shared" si="4"/>
        <v/>
      </c>
    </row>
    <row r="76" spans="1:6" x14ac:dyDescent="0.2">
      <c r="A76" s="19">
        <v>10</v>
      </c>
      <c r="B76" s="177" t="s">
        <v>9</v>
      </c>
      <c r="C76" s="178"/>
      <c r="D76" s="14">
        <f t="shared" si="5"/>
        <v>0</v>
      </c>
      <c r="E76" s="17">
        <f>IF(F3="1",SUMIF(Data!A:A,'53'!$A$2,Data!EH:EH),0)</f>
        <v>0</v>
      </c>
      <c r="F76" s="21" t="str">
        <f t="shared" si="4"/>
        <v/>
      </c>
    </row>
    <row r="77" spans="1:6" x14ac:dyDescent="0.2">
      <c r="A77" s="19">
        <v>11</v>
      </c>
      <c r="B77" s="177" t="s">
        <v>10</v>
      </c>
      <c r="C77" s="178"/>
      <c r="D77" s="14">
        <f t="shared" si="5"/>
        <v>165112</v>
      </c>
      <c r="E77" s="17">
        <f>IF(F3="1",SUMIF(Data!A:A,'53'!$A$2,Data!EI:EI),0)</f>
        <v>718081</v>
      </c>
      <c r="F77" s="21">
        <f t="shared" si="4"/>
        <v>4.3499999999999996</v>
      </c>
    </row>
    <row r="78" spans="1:6" ht="14.25" customHeight="1" x14ac:dyDescent="0.2">
      <c r="A78" s="19">
        <v>12</v>
      </c>
      <c r="B78" s="177" t="s">
        <v>11</v>
      </c>
      <c r="C78" s="178"/>
      <c r="D78" s="14">
        <f t="shared" si="5"/>
        <v>68229</v>
      </c>
      <c r="E78" s="17">
        <f>IF(F3="1",SUMIF(Data!A:A,'53'!$A$2,Data!EJ:EJ),0)</f>
        <v>249947</v>
      </c>
      <c r="F78" s="21">
        <f t="shared" si="4"/>
        <v>3.66</v>
      </c>
    </row>
    <row r="79" spans="1:6" x14ac:dyDescent="0.2">
      <c r="A79" s="19">
        <v>13</v>
      </c>
      <c r="B79" s="177" t="s">
        <v>12</v>
      </c>
      <c r="C79" s="178"/>
      <c r="D79" s="14">
        <f t="shared" si="5"/>
        <v>660</v>
      </c>
      <c r="E79" s="17">
        <f>IF(F3="1",SUMIF(Data!A:A,'53'!$A$2,Data!EK:EK),0)</f>
        <v>1692</v>
      </c>
      <c r="F79" s="21">
        <f t="shared" si="4"/>
        <v>2.56</v>
      </c>
    </row>
    <row r="80" spans="1:6" ht="14.25" customHeight="1" x14ac:dyDescent="0.2">
      <c r="A80" s="19">
        <v>14</v>
      </c>
      <c r="B80" s="177" t="s">
        <v>464</v>
      </c>
      <c r="C80" s="178"/>
      <c r="D80" s="14">
        <f t="shared" si="5"/>
        <v>72960</v>
      </c>
      <c r="E80" s="17">
        <f>IF(F3="1",SUMIF(Data!A:A,'53'!$A$2,Data!EL:EL),0)</f>
        <v>307136</v>
      </c>
      <c r="F80" s="21">
        <f t="shared" si="4"/>
        <v>4.21</v>
      </c>
    </row>
    <row r="81" spans="1:6" x14ac:dyDescent="0.2">
      <c r="A81" s="19">
        <v>15</v>
      </c>
      <c r="B81" s="177" t="s">
        <v>13</v>
      </c>
      <c r="C81" s="178"/>
      <c r="D81" s="14">
        <f t="shared" si="5"/>
        <v>0</v>
      </c>
      <c r="E81" s="17">
        <f>IF(F3="1",SUMIF(Data!A:A,'53'!$A$2,Data!EM:EM),0)</f>
        <v>0</v>
      </c>
      <c r="F81" s="21" t="str">
        <f t="shared" si="4"/>
        <v/>
      </c>
    </row>
    <row r="82" spans="1:6" x14ac:dyDescent="0.2">
      <c r="A82" s="19">
        <v>16</v>
      </c>
      <c r="B82" s="177" t="s">
        <v>14</v>
      </c>
      <c r="C82" s="178"/>
      <c r="D82" s="14">
        <f t="shared" si="5"/>
        <v>167324</v>
      </c>
      <c r="E82" s="17">
        <f>IF(F3="1",SUMIF(Data!A:A,'53'!$A$2,Data!EN:EN),0)</f>
        <v>363918</v>
      </c>
      <c r="F82" s="21">
        <f t="shared" si="4"/>
        <v>2.17</v>
      </c>
    </row>
    <row r="83" spans="1:6" x14ac:dyDescent="0.2">
      <c r="A83" s="19">
        <v>17</v>
      </c>
      <c r="B83" s="177" t="s">
        <v>15</v>
      </c>
      <c r="C83" s="178"/>
      <c r="D83" s="14">
        <f t="shared" si="5"/>
        <v>0</v>
      </c>
      <c r="E83" s="17">
        <f>IF(F3="1",SUMIF(Data!A:A,'53'!$A$2,Data!EO:EO),0)</f>
        <v>0</v>
      </c>
      <c r="F83" s="21" t="str">
        <f t="shared" si="4"/>
        <v/>
      </c>
    </row>
    <row r="84" spans="1:6" x14ac:dyDescent="0.2">
      <c r="A84" s="19">
        <v>18</v>
      </c>
      <c r="B84" s="177" t="s">
        <v>16</v>
      </c>
      <c r="C84" s="178"/>
      <c r="D84" s="14">
        <f t="shared" si="5"/>
        <v>19728</v>
      </c>
      <c r="E84" s="17">
        <f>IF(F3="1",SUMIF(Data!A:A,'53'!$A$2,Data!EP:EP),0)</f>
        <v>76784</v>
      </c>
      <c r="F84" s="21">
        <f t="shared" si="4"/>
        <v>3.89</v>
      </c>
    </row>
    <row r="85" spans="1:6" x14ac:dyDescent="0.2">
      <c r="A85" s="19">
        <v>19</v>
      </c>
      <c r="B85" s="177" t="s">
        <v>17</v>
      </c>
      <c r="C85" s="178"/>
      <c r="D85" s="14">
        <f t="shared" si="5"/>
        <v>91302</v>
      </c>
      <c r="E85" s="17">
        <f>IF(F3="1",SUMIF(Data!A:A,'53'!$A$2,Data!EQ:EQ),0)</f>
        <v>235141</v>
      </c>
      <c r="F85" s="21">
        <f t="shared" si="4"/>
        <v>2.58</v>
      </c>
    </row>
    <row r="86" spans="1:6" x14ac:dyDescent="0.2">
      <c r="A86" s="19">
        <v>20</v>
      </c>
      <c r="B86" s="177" t="s">
        <v>18</v>
      </c>
      <c r="C86" s="178"/>
      <c r="D86" s="14">
        <f t="shared" si="5"/>
        <v>61548</v>
      </c>
      <c r="E86" s="17">
        <f>IF(F3="1",SUMIF(Data!A:A,'53'!$A$2,Data!ER:ER),0)</f>
        <v>173251</v>
      </c>
      <c r="F86" s="21">
        <f t="shared" si="4"/>
        <v>2.81</v>
      </c>
    </row>
    <row r="87" spans="1:6" ht="14.25" customHeight="1" x14ac:dyDescent="0.2">
      <c r="A87" s="19">
        <v>21</v>
      </c>
      <c r="B87" s="177" t="s">
        <v>461</v>
      </c>
      <c r="C87" s="178"/>
      <c r="D87" s="14">
        <f t="shared" si="5"/>
        <v>100200</v>
      </c>
      <c r="E87" s="17">
        <f>IF(F3="1",SUMIF(Data!A:A,'53'!$A$2,Data!ES:ES),0)</f>
        <v>272908</v>
      </c>
      <c r="F87" s="21">
        <f t="shared" si="4"/>
        <v>2.72</v>
      </c>
    </row>
    <row r="88" spans="1:6" x14ac:dyDescent="0.2">
      <c r="A88" s="19">
        <v>22</v>
      </c>
      <c r="B88" s="177" t="s">
        <v>19</v>
      </c>
      <c r="C88" s="178"/>
      <c r="D88" s="14">
        <f t="shared" si="5"/>
        <v>74</v>
      </c>
      <c r="E88" s="17">
        <f>IF(F3="1",SUMIF(Data!A:A,'53'!$A$2,Data!ET:ET),0)</f>
        <v>300</v>
      </c>
      <c r="F88" s="21">
        <f t="shared" si="4"/>
        <v>4.05</v>
      </c>
    </row>
    <row r="89" spans="1:6" x14ac:dyDescent="0.2">
      <c r="A89" s="19">
        <v>23</v>
      </c>
      <c r="B89" s="177" t="s">
        <v>20</v>
      </c>
      <c r="C89" s="178"/>
      <c r="D89" s="14">
        <f t="shared" si="5"/>
        <v>0</v>
      </c>
      <c r="E89" s="17">
        <f>IF(F3="1",SUMIF(Data!A:A,'53'!$A$2,Data!EU:EU),0)</f>
        <v>0</v>
      </c>
      <c r="F89" s="21" t="str">
        <f t="shared" si="4"/>
        <v/>
      </c>
    </row>
    <row r="90" spans="1:6" x14ac:dyDescent="0.2">
      <c r="A90" s="19">
        <v>24</v>
      </c>
      <c r="B90" s="177" t="s">
        <v>21</v>
      </c>
      <c r="C90" s="178"/>
      <c r="D90" s="14">
        <f t="shared" si="5"/>
        <v>34735</v>
      </c>
      <c r="E90" s="17">
        <f>IF(F3="1",SUMIF(Data!A:A,'53'!$A$2,Data!EV:EV),0)</f>
        <v>60000</v>
      </c>
      <c r="F90" s="21">
        <f t="shared" si="4"/>
        <v>1.73</v>
      </c>
    </row>
    <row r="91" spans="1:6" x14ac:dyDescent="0.2">
      <c r="A91" s="19">
        <v>25</v>
      </c>
      <c r="B91" s="177" t="s">
        <v>22</v>
      </c>
      <c r="C91" s="178"/>
      <c r="D91" s="14">
        <f t="shared" si="5"/>
        <v>22164</v>
      </c>
      <c r="E91" s="17">
        <f>IF(F3="1",SUMIF(Data!A:A,'53'!$A$2,Data!EW:EW),0)</f>
        <v>76150</v>
      </c>
      <c r="F91" s="21">
        <f t="shared" si="4"/>
        <v>3.44</v>
      </c>
    </row>
    <row r="92" spans="1:6" x14ac:dyDescent="0.2">
      <c r="A92" s="19">
        <v>26</v>
      </c>
      <c r="B92" s="177" t="s">
        <v>23</v>
      </c>
      <c r="C92" s="178"/>
      <c r="D92" s="14">
        <f t="shared" si="5"/>
        <v>0</v>
      </c>
      <c r="E92" s="17">
        <f>IF(F3="1",SUMIF(Data!A:A,'53'!$A$2,Data!EX:EX),0)</f>
        <v>0</v>
      </c>
      <c r="F92" s="21" t="str">
        <f t="shared" si="4"/>
        <v/>
      </c>
    </row>
    <row r="93" spans="1:6" x14ac:dyDescent="0.2">
      <c r="A93" s="19">
        <v>28</v>
      </c>
      <c r="B93" s="177" t="s">
        <v>24</v>
      </c>
      <c r="C93" s="178"/>
      <c r="D93" s="14">
        <f t="shared" si="5"/>
        <v>0</v>
      </c>
      <c r="E93" s="17">
        <f>IF(F3="1",SUMIF(Data!A:A,'53'!$A$2,Data!EZ:EZ),0)</f>
        <v>0</v>
      </c>
      <c r="F93" s="21" t="str">
        <f t="shared" si="4"/>
        <v/>
      </c>
    </row>
    <row r="94" spans="1:6" ht="15.75" customHeight="1" thickBot="1" x14ac:dyDescent="0.25">
      <c r="A94" s="22">
        <v>29</v>
      </c>
      <c r="B94" s="179" t="s">
        <v>25</v>
      </c>
      <c r="C94" s="180"/>
      <c r="D94" s="23">
        <f t="shared" si="5"/>
        <v>0</v>
      </c>
      <c r="E94" s="24">
        <f>IF(F3="1",SUMIF(Data!A:A,'53'!$A$2,Data!FA:FA),0)</f>
        <v>0</v>
      </c>
      <c r="F94" s="25" t="str">
        <f t="shared" si="4"/>
        <v/>
      </c>
    </row>
    <row r="95" spans="1:6" x14ac:dyDescent="0.2">
      <c r="B95" s="30" t="s">
        <v>35</v>
      </c>
      <c r="C95" s="30"/>
      <c r="D95" s="59">
        <f>SUM(D67:D94)</f>
        <v>1391813</v>
      </c>
      <c r="E95" s="31">
        <f>SUM(E67:E94)</f>
        <v>4118107</v>
      </c>
      <c r="F95" s="32">
        <f t="shared" si="4"/>
        <v>2.96</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IF(F3="1",SUMIF(Data!A:A,'53'!$A$2,Data!AH:AH),0)</f>
        <v>1870518</v>
      </c>
      <c r="F98" s="20">
        <f>IF(OR(E98=0,E98=0),"",ROUND(E98/$D$105,2))</f>
        <v>1.34</v>
      </c>
    </row>
    <row r="99" spans="2:6" x14ac:dyDescent="0.2">
      <c r="B99" s="183" t="s">
        <v>31</v>
      </c>
      <c r="C99" s="184"/>
      <c r="D99" s="36"/>
      <c r="E99" s="17">
        <f>IF(F3="1",SUMIF(Data!A:A,'53'!$A$2,Data!AI:AI),0)</f>
        <v>708640</v>
      </c>
      <c r="F99" s="21">
        <f t="shared" ref="F99:F104" si="6">IF(OR(E99=0,E99=0),"",ROUND(E99/$D$105,2))</f>
        <v>0.51</v>
      </c>
    </row>
    <row r="100" spans="2:6" x14ac:dyDescent="0.2">
      <c r="B100" s="183" t="s">
        <v>1078</v>
      </c>
      <c r="C100" s="184"/>
      <c r="D100" s="36"/>
      <c r="E100" s="17">
        <f>IF(F3="1",SUMIF(Data!A:A,'53'!$A$2,Data!AJ:AJ),0)</f>
        <v>192074</v>
      </c>
      <c r="F100" s="21">
        <f t="shared" si="6"/>
        <v>0.14000000000000001</v>
      </c>
    </row>
    <row r="101" spans="2:6" x14ac:dyDescent="0.2">
      <c r="B101" s="183" t="s">
        <v>1079</v>
      </c>
      <c r="C101" s="184"/>
      <c r="D101" s="36"/>
      <c r="E101" s="17">
        <f>IF(F3="1",SUMIF(Data!A:A,'53'!$A$2,Data!AK:AK),0)</f>
        <v>106411</v>
      </c>
      <c r="F101" s="21">
        <f t="shared" si="6"/>
        <v>0.08</v>
      </c>
    </row>
    <row r="102" spans="2:6" x14ac:dyDescent="0.2">
      <c r="B102" s="183" t="s">
        <v>1080</v>
      </c>
      <c r="C102" s="184"/>
      <c r="D102" s="36"/>
      <c r="E102" s="17">
        <f>IF(F3="1",SUMIF(Data!A:A,'53'!$A$2,Data!AL:AL),0)</f>
        <v>0</v>
      </c>
      <c r="F102" s="21" t="str">
        <f t="shared" si="6"/>
        <v/>
      </c>
    </row>
    <row r="103" spans="2:6" x14ac:dyDescent="0.2">
      <c r="B103" s="185" t="s">
        <v>34</v>
      </c>
      <c r="C103" s="186"/>
      <c r="D103" s="36"/>
      <c r="E103" s="17">
        <f>IF(F3="1",SUMIF(Data!A:A,'53'!$A$2,Data!AM:AM),0)</f>
        <v>0</v>
      </c>
      <c r="F103" s="21" t="str">
        <f t="shared" si="6"/>
        <v/>
      </c>
    </row>
    <row r="104" spans="2:6" ht="15.75" customHeight="1" thickBot="1" x14ac:dyDescent="0.25">
      <c r="B104" s="175" t="s">
        <v>29</v>
      </c>
      <c r="C104" s="176"/>
      <c r="D104" s="37"/>
      <c r="E104" s="24">
        <f>IF(F3="1",SUMIF(Data!A:A,'53'!$A$2,Data!Q:Q),0)</f>
        <v>3785</v>
      </c>
      <c r="F104" s="25">
        <f t="shared" si="6"/>
        <v>0</v>
      </c>
    </row>
    <row r="105" spans="2:6" x14ac:dyDescent="0.2">
      <c r="B105" s="30" t="s">
        <v>35</v>
      </c>
      <c r="C105" s="30"/>
      <c r="D105" s="34">
        <f>D95</f>
        <v>1391813</v>
      </c>
      <c r="E105" s="31">
        <f>SUM(E98:E104)</f>
        <v>2881428</v>
      </c>
      <c r="F105" s="32">
        <f>IF($D$105=0,"",ROUND(E105/$D$105,2))</f>
        <v>2.0699999999999998</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4118107</v>
      </c>
      <c r="D109" s="15">
        <f>IF(F3="1",SUMIF(Data!$A:$A,$A$2,Data!HJ:HJ),0)</f>
        <v>0</v>
      </c>
      <c r="E109" s="15">
        <f>IF(F3="1",SUMIF(Data!$A:$A,$A$2,Data!IN:IN),0)</f>
        <v>0</v>
      </c>
      <c r="F109" s="47">
        <f>SUM(C109:E109)</f>
        <v>4118107</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3785</v>
      </c>
      <c r="E117" s="52"/>
      <c r="F117" s="49">
        <f>SUM(C117:E117)</f>
        <v>3785</v>
      </c>
    </row>
    <row r="118" spans="1:6" x14ac:dyDescent="0.2">
      <c r="B118" s="13" t="s">
        <v>35</v>
      </c>
      <c r="C118" s="4">
        <f>SUM(C109:C116)</f>
        <v>4118107</v>
      </c>
      <c r="D118" s="4">
        <f>SUM(D109:D116)</f>
        <v>0</v>
      </c>
      <c r="E118" s="4">
        <f>SUM(E109:E116)</f>
        <v>0</v>
      </c>
      <c r="F118" s="4">
        <f>SUM(F109:F116)</f>
        <v>4118107</v>
      </c>
    </row>
    <row r="119" spans="1:6" ht="15" thickBot="1" x14ac:dyDescent="0.25"/>
    <row r="120" spans="1:6" ht="15" thickBot="1" x14ac:dyDescent="0.25">
      <c r="B120" s="55" t="s">
        <v>934</v>
      </c>
      <c r="C120" s="53"/>
      <c r="D120" s="53"/>
      <c r="E120" s="53">
        <f>IF(F3="1",SUMIF(Data!A:A,'53'!$A$2,Data!AM:AM),0)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407</v>
      </c>
      <c r="B2" s="58" t="str">
        <f>VLOOKUP(A2,Data!A:G,7,0)</f>
        <v>Texas State Technical College-Waco</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66264</v>
      </c>
      <c r="E5" s="15">
        <f>E36+E67+IFERROR($E$105/$D$105*D5,0)</f>
        <v>419210.20490871917</v>
      </c>
      <c r="F5" s="20">
        <f>IF(OR(D5=0,E5=0),"",ROUND(E5/D5,2))</f>
        <v>6.33</v>
      </c>
    </row>
    <row r="6" spans="1:6" x14ac:dyDescent="0.2">
      <c r="A6" s="19">
        <v>2</v>
      </c>
      <c r="B6" s="177" t="s">
        <v>1</v>
      </c>
      <c r="C6" s="178"/>
      <c r="D6" s="14">
        <f t="shared" ref="D6:D32" si="0">D37</f>
        <v>317208</v>
      </c>
      <c r="E6" s="17">
        <f t="shared" ref="E6:E32" si="1">E37+E68+IFERROR($E$105/$D$105*D6,0)</f>
        <v>1638087.5958995081</v>
      </c>
      <c r="F6" s="21">
        <f t="shared" ref="F6:F33" si="2">IF(OR(D6=0,E6=0),"",ROUND(E6/D6,2))</f>
        <v>5.16</v>
      </c>
    </row>
    <row r="7" spans="1:6" ht="14.25" customHeight="1" x14ac:dyDescent="0.2">
      <c r="A7" s="19">
        <v>3</v>
      </c>
      <c r="B7" s="177" t="s">
        <v>2</v>
      </c>
      <c r="C7" s="178"/>
      <c r="D7" s="14">
        <f t="shared" si="0"/>
        <v>82552</v>
      </c>
      <c r="E7" s="17">
        <f t="shared" si="1"/>
        <v>574454.61347978679</v>
      </c>
      <c r="F7" s="21">
        <f t="shared" si="2"/>
        <v>6.96</v>
      </c>
    </row>
    <row r="8" spans="1:6" ht="14.25" customHeight="1" x14ac:dyDescent="0.2">
      <c r="A8" s="19">
        <v>4</v>
      </c>
      <c r="B8" s="177" t="s">
        <v>3</v>
      </c>
      <c r="C8" s="178"/>
      <c r="D8" s="14">
        <f t="shared" si="0"/>
        <v>224088</v>
      </c>
      <c r="E8" s="17">
        <f t="shared" si="1"/>
        <v>1031068.6313772949</v>
      </c>
      <c r="F8" s="21">
        <f t="shared" si="2"/>
        <v>4.5999999999999996</v>
      </c>
    </row>
    <row r="9" spans="1:6" x14ac:dyDescent="0.2">
      <c r="A9" s="19">
        <v>5</v>
      </c>
      <c r="B9" s="177" t="s">
        <v>4</v>
      </c>
      <c r="C9" s="178"/>
      <c r="D9" s="14">
        <f t="shared" si="0"/>
        <v>73428</v>
      </c>
      <c r="E9" s="17">
        <f t="shared" si="1"/>
        <v>1048742.5322050801</v>
      </c>
      <c r="F9" s="21">
        <f t="shared" si="2"/>
        <v>14.28</v>
      </c>
    </row>
    <row r="10" spans="1:6" x14ac:dyDescent="0.2">
      <c r="A10" s="19">
        <v>6</v>
      </c>
      <c r="B10" s="177" t="s">
        <v>5</v>
      </c>
      <c r="C10" s="178"/>
      <c r="D10" s="14">
        <f t="shared" si="0"/>
        <v>58224</v>
      </c>
      <c r="E10" s="17">
        <f t="shared" si="1"/>
        <v>628600.68348734255</v>
      </c>
      <c r="F10" s="21">
        <f t="shared" si="2"/>
        <v>10.8</v>
      </c>
    </row>
    <row r="11" spans="1:6" x14ac:dyDescent="0.2">
      <c r="A11" s="19">
        <v>7</v>
      </c>
      <c r="B11" s="177" t="s">
        <v>6</v>
      </c>
      <c r="C11" s="178"/>
      <c r="D11" s="14">
        <f t="shared" si="0"/>
        <v>604952</v>
      </c>
      <c r="E11" s="17">
        <f t="shared" si="1"/>
        <v>3343420.0003612745</v>
      </c>
      <c r="F11" s="21">
        <f t="shared" si="2"/>
        <v>5.53</v>
      </c>
    </row>
    <row r="12" spans="1:6" x14ac:dyDescent="0.2">
      <c r="A12" s="19">
        <v>8</v>
      </c>
      <c r="B12" s="177" t="s">
        <v>7</v>
      </c>
      <c r="C12" s="178"/>
      <c r="D12" s="14">
        <f t="shared" si="0"/>
        <v>65844</v>
      </c>
      <c r="E12" s="17">
        <f t="shared" si="1"/>
        <v>408970.04334193084</v>
      </c>
      <c r="F12" s="21">
        <f t="shared" si="2"/>
        <v>6.21</v>
      </c>
    </row>
    <row r="13" spans="1:6" x14ac:dyDescent="0.2">
      <c r="A13" s="19">
        <v>9</v>
      </c>
      <c r="B13" s="177" t="s">
        <v>8</v>
      </c>
      <c r="C13" s="178"/>
      <c r="D13" s="14">
        <f t="shared" si="0"/>
        <v>90354</v>
      </c>
      <c r="E13" s="17">
        <f t="shared" si="1"/>
        <v>657869.04334664997</v>
      </c>
      <c r="F13" s="21">
        <f t="shared" si="2"/>
        <v>7.28</v>
      </c>
    </row>
    <row r="14" spans="1:6" x14ac:dyDescent="0.2">
      <c r="A14" s="19">
        <v>10</v>
      </c>
      <c r="B14" s="177" t="s">
        <v>9</v>
      </c>
      <c r="C14" s="178"/>
      <c r="D14" s="14">
        <f t="shared" si="0"/>
        <v>24264</v>
      </c>
      <c r="E14" s="17">
        <f t="shared" si="1"/>
        <v>313714.04822988593</v>
      </c>
      <c r="F14" s="21">
        <f t="shared" si="2"/>
        <v>12.93</v>
      </c>
    </row>
    <row r="15" spans="1:6" x14ac:dyDescent="0.2">
      <c r="A15" s="19">
        <v>11</v>
      </c>
      <c r="B15" s="177" t="s">
        <v>10</v>
      </c>
      <c r="C15" s="178"/>
      <c r="D15" s="14">
        <f t="shared" si="0"/>
        <v>634896</v>
      </c>
      <c r="E15" s="17">
        <f t="shared" si="1"/>
        <v>4806866.8050182024</v>
      </c>
      <c r="F15" s="21">
        <f t="shared" si="2"/>
        <v>7.57</v>
      </c>
    </row>
    <row r="16" spans="1:6" ht="14.25" customHeight="1" x14ac:dyDescent="0.2">
      <c r="A16" s="19">
        <v>12</v>
      </c>
      <c r="B16" s="177" t="s">
        <v>11</v>
      </c>
      <c r="C16" s="178"/>
      <c r="D16" s="14">
        <f t="shared" si="0"/>
        <v>334728</v>
      </c>
      <c r="E16" s="17">
        <f t="shared" si="1"/>
        <v>1750802.4783998213</v>
      </c>
      <c r="F16" s="21">
        <f t="shared" si="2"/>
        <v>5.23</v>
      </c>
    </row>
    <row r="17" spans="1:6" x14ac:dyDescent="0.2">
      <c r="A17" s="19">
        <v>13</v>
      </c>
      <c r="B17" s="177" t="s">
        <v>12</v>
      </c>
      <c r="C17" s="178"/>
      <c r="D17" s="14">
        <f t="shared" si="0"/>
        <v>0</v>
      </c>
      <c r="E17" s="17">
        <f t="shared" si="1"/>
        <v>0</v>
      </c>
      <c r="F17" s="21" t="str">
        <f t="shared" si="2"/>
        <v/>
      </c>
    </row>
    <row r="18" spans="1:6" ht="14.25" customHeight="1" x14ac:dyDescent="0.2">
      <c r="A18" s="19">
        <v>14</v>
      </c>
      <c r="B18" s="177" t="s">
        <v>464</v>
      </c>
      <c r="C18" s="178"/>
      <c r="D18" s="14">
        <f t="shared" si="0"/>
        <v>87576</v>
      </c>
      <c r="E18" s="17">
        <f t="shared" si="1"/>
        <v>463038.83184060716</v>
      </c>
      <c r="F18" s="21">
        <f t="shared" si="2"/>
        <v>5.29</v>
      </c>
    </row>
    <row r="19" spans="1:6" x14ac:dyDescent="0.2">
      <c r="A19" s="19">
        <v>15</v>
      </c>
      <c r="B19" s="177" t="s">
        <v>13</v>
      </c>
      <c r="C19" s="178"/>
      <c r="D19" s="14">
        <f t="shared" si="0"/>
        <v>7800</v>
      </c>
      <c r="E19" s="17">
        <f t="shared" si="1"/>
        <v>47134.714811783313</v>
      </c>
      <c r="F19" s="21">
        <f t="shared" si="2"/>
        <v>6.04</v>
      </c>
    </row>
    <row r="20" spans="1:6" x14ac:dyDescent="0.2">
      <c r="A20" s="19">
        <v>16</v>
      </c>
      <c r="B20" s="177" t="s">
        <v>14</v>
      </c>
      <c r="C20" s="178"/>
      <c r="D20" s="14">
        <f t="shared" si="0"/>
        <v>165808</v>
      </c>
      <c r="E20" s="17">
        <f t="shared" si="1"/>
        <v>738416.92634771392</v>
      </c>
      <c r="F20" s="21">
        <f t="shared" si="2"/>
        <v>4.45</v>
      </c>
    </row>
    <row r="21" spans="1:6" x14ac:dyDescent="0.2">
      <c r="A21" s="19">
        <v>17</v>
      </c>
      <c r="B21" s="177" t="s">
        <v>15</v>
      </c>
      <c r="C21" s="178"/>
      <c r="D21" s="14">
        <f t="shared" si="0"/>
        <v>0</v>
      </c>
      <c r="E21" s="17">
        <f t="shared" si="1"/>
        <v>0</v>
      </c>
      <c r="F21" s="21" t="str">
        <f t="shared" si="2"/>
        <v/>
      </c>
    </row>
    <row r="22" spans="1:6" x14ac:dyDescent="0.2">
      <c r="A22" s="19">
        <v>18</v>
      </c>
      <c r="B22" s="177" t="s">
        <v>16</v>
      </c>
      <c r="C22" s="178"/>
      <c r="D22" s="14">
        <f t="shared" si="0"/>
        <v>0</v>
      </c>
      <c r="E22" s="17">
        <f t="shared" si="1"/>
        <v>0</v>
      </c>
      <c r="F22" s="21" t="str">
        <f t="shared" si="2"/>
        <v/>
      </c>
    </row>
    <row r="23" spans="1:6" x14ac:dyDescent="0.2">
      <c r="A23" s="19">
        <v>19</v>
      </c>
      <c r="B23" s="177" t="s">
        <v>17</v>
      </c>
      <c r="C23" s="178"/>
      <c r="D23" s="14">
        <f t="shared" si="0"/>
        <v>274512</v>
      </c>
      <c r="E23" s="17">
        <f t="shared" si="1"/>
        <v>1405188.600052854</v>
      </c>
      <c r="F23" s="21">
        <f t="shared" si="2"/>
        <v>5.12</v>
      </c>
    </row>
    <row r="24" spans="1:6" x14ac:dyDescent="0.2">
      <c r="A24" s="19">
        <v>20</v>
      </c>
      <c r="B24" s="177" t="s">
        <v>18</v>
      </c>
      <c r="C24" s="178"/>
      <c r="D24" s="14">
        <f t="shared" si="0"/>
        <v>283652</v>
      </c>
      <c r="E24" s="17">
        <f t="shared" si="1"/>
        <v>1604606.4017682001</v>
      </c>
      <c r="F24" s="21">
        <f t="shared" si="2"/>
        <v>5.66</v>
      </c>
    </row>
    <row r="25" spans="1:6" ht="14.25" customHeight="1" x14ac:dyDescent="0.2">
      <c r="A25" s="19">
        <v>21</v>
      </c>
      <c r="B25" s="177" t="s">
        <v>461</v>
      </c>
      <c r="C25" s="178"/>
      <c r="D25" s="14">
        <f t="shared" si="0"/>
        <v>214272</v>
      </c>
      <c r="E25" s="17">
        <f t="shared" si="1"/>
        <v>1546206.1410449275</v>
      </c>
      <c r="F25" s="21">
        <f t="shared" si="2"/>
        <v>7.22</v>
      </c>
    </row>
    <row r="26" spans="1:6" x14ac:dyDescent="0.2">
      <c r="A26" s="19">
        <v>22</v>
      </c>
      <c r="B26" s="177" t="s">
        <v>19</v>
      </c>
      <c r="C26" s="178"/>
      <c r="D26" s="14">
        <f t="shared" si="0"/>
        <v>24852</v>
      </c>
      <c r="E26" s="17">
        <f t="shared" si="1"/>
        <v>141067.27442338961</v>
      </c>
      <c r="F26" s="21">
        <f t="shared" si="2"/>
        <v>5.68</v>
      </c>
    </row>
    <row r="27" spans="1:6" x14ac:dyDescent="0.2">
      <c r="A27" s="19">
        <v>23</v>
      </c>
      <c r="B27" s="177" t="s">
        <v>20</v>
      </c>
      <c r="C27" s="178"/>
      <c r="D27" s="14">
        <f t="shared" si="0"/>
        <v>0</v>
      </c>
      <c r="E27" s="17">
        <f t="shared" si="1"/>
        <v>0</v>
      </c>
      <c r="F27" s="21" t="str">
        <f t="shared" si="2"/>
        <v/>
      </c>
    </row>
    <row r="28" spans="1:6" x14ac:dyDescent="0.2">
      <c r="A28" s="19">
        <v>24</v>
      </c>
      <c r="B28" s="177" t="s">
        <v>21</v>
      </c>
      <c r="C28" s="178"/>
      <c r="D28" s="14">
        <f t="shared" si="0"/>
        <v>22052</v>
      </c>
      <c r="E28" s="17">
        <f t="shared" si="1"/>
        <v>90415.197311467404</v>
      </c>
      <c r="F28" s="21">
        <f t="shared" si="2"/>
        <v>4.0999999999999996</v>
      </c>
    </row>
    <row r="29" spans="1:6" x14ac:dyDescent="0.2">
      <c r="A29" s="19">
        <v>25</v>
      </c>
      <c r="B29" s="177" t="s">
        <v>22</v>
      </c>
      <c r="C29" s="178"/>
      <c r="D29" s="14">
        <f t="shared" si="0"/>
        <v>69888</v>
      </c>
      <c r="E29" s="17">
        <f t="shared" si="1"/>
        <v>422571.8847135785</v>
      </c>
      <c r="F29" s="21">
        <f t="shared" si="2"/>
        <v>6.05</v>
      </c>
    </row>
    <row r="30" spans="1:6" x14ac:dyDescent="0.2">
      <c r="A30" s="19">
        <v>26</v>
      </c>
      <c r="B30" s="177" t="s">
        <v>23</v>
      </c>
      <c r="C30" s="178"/>
      <c r="D30" s="14">
        <f t="shared" si="0"/>
        <v>87060</v>
      </c>
      <c r="E30" s="17">
        <f t="shared" si="1"/>
        <v>504468.34762998146</v>
      </c>
      <c r="F30" s="21">
        <f t="shared" si="2"/>
        <v>5.79</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3814274</v>
      </c>
      <c r="E33" s="31">
        <f>SUM(E5:E32)</f>
        <v>23584921.000000004</v>
      </c>
      <c r="F33" s="32">
        <f t="shared" si="2"/>
        <v>6.18</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IF(F3="1",SUMIF(Data!A:A,'54'!$A$2,Data!CU:CU),0)</f>
        <v>66264</v>
      </c>
      <c r="E36" s="15">
        <f>IF(F3="1",SUMIF(Data!$A:$A,$A$2,Data!IO:IO),0)</f>
        <v>140988</v>
      </c>
      <c r="F36" s="20">
        <f t="shared" ref="F36:F64" si="3">IF(OR(D36=0,E36=0),"",ROUND(E36/D36,2))</f>
        <v>2.13</v>
      </c>
    </row>
    <row r="37" spans="1:6" x14ac:dyDescent="0.2">
      <c r="A37" s="19">
        <v>2</v>
      </c>
      <c r="B37" s="177" t="s">
        <v>1</v>
      </c>
      <c r="C37" s="178"/>
      <c r="D37" s="14">
        <f>IF(F3="1",SUMIF(Data!A:A,'54'!$A$2,Data!CV:CV),0)</f>
        <v>317208</v>
      </c>
      <c r="E37" s="17">
        <f>IF(F3="1",SUMIF(Data!$A:$A,$A$2,Data!IP:IP),0)</f>
        <v>504292</v>
      </c>
      <c r="F37" s="21">
        <f t="shared" si="3"/>
        <v>1.59</v>
      </c>
    </row>
    <row r="38" spans="1:6" ht="14.25" customHeight="1" x14ac:dyDescent="0.2">
      <c r="A38" s="19">
        <v>3</v>
      </c>
      <c r="B38" s="177" t="s">
        <v>2</v>
      </c>
      <c r="C38" s="178"/>
      <c r="D38" s="14">
        <f>IF(F3="1",SUMIF(Data!A:A,'54'!$A$2,Data!CW:CW),0)</f>
        <v>82552</v>
      </c>
      <c r="E38" s="17">
        <f>IF($F$3="1",SUMIF(Data!$A:$A,$A$2,Data!IQ:IQ),0)</f>
        <v>162898</v>
      </c>
      <c r="F38" s="21">
        <f t="shared" si="3"/>
        <v>1.97</v>
      </c>
    </row>
    <row r="39" spans="1:6" ht="14.25" customHeight="1" x14ac:dyDescent="0.2">
      <c r="A39" s="19">
        <v>4</v>
      </c>
      <c r="B39" s="177" t="s">
        <v>3</v>
      </c>
      <c r="C39" s="178"/>
      <c r="D39" s="14">
        <f>IF(F3="1",SUMIF(Data!A:A,'54'!$A$2,Data!CX:CX),0)</f>
        <v>224088</v>
      </c>
      <c r="E39" s="17">
        <f>IF($F$3="1",SUMIF(Data!$A:$A,$A$2,Data!IR:IR),0)</f>
        <v>283700</v>
      </c>
      <c r="F39" s="21">
        <f t="shared" si="3"/>
        <v>1.27</v>
      </c>
    </row>
    <row r="40" spans="1:6" x14ac:dyDescent="0.2">
      <c r="A40" s="19">
        <v>5</v>
      </c>
      <c r="B40" s="177" t="s">
        <v>4</v>
      </c>
      <c r="C40" s="178"/>
      <c r="D40" s="14">
        <f>IF(F3="1",SUMIF(Data!A:A,'54'!$A$2,Data!CY:CY),0)</f>
        <v>73428</v>
      </c>
      <c r="E40" s="17">
        <f>IF($F$3="1",SUMIF(Data!$A:$A,$A$2,Data!IS:IS),0)</f>
        <v>556347</v>
      </c>
      <c r="F40" s="21">
        <f t="shared" si="3"/>
        <v>7.58</v>
      </c>
    </row>
    <row r="41" spans="1:6" x14ac:dyDescent="0.2">
      <c r="A41" s="19">
        <v>6</v>
      </c>
      <c r="B41" s="177" t="s">
        <v>5</v>
      </c>
      <c r="C41" s="178"/>
      <c r="D41" s="14">
        <f>IF(F3="1",SUMIF(Data!A:A,'54'!$A$2,Data!CZ:CZ),0)</f>
        <v>58224</v>
      </c>
      <c r="E41" s="17">
        <f>IF($F$3="1",SUMIF(Data!$A:$A,$A$2,Data!IT:IT),0)</f>
        <v>163948</v>
      </c>
      <c r="F41" s="21">
        <f t="shared" si="3"/>
        <v>2.82</v>
      </c>
    </row>
    <row r="42" spans="1:6" x14ac:dyDescent="0.2">
      <c r="A42" s="19">
        <v>7</v>
      </c>
      <c r="B42" s="177" t="s">
        <v>6</v>
      </c>
      <c r="C42" s="178"/>
      <c r="D42" s="14">
        <f>IF(F3="1",SUMIF(Data!A:A,'54'!$A$2,Data!DA:DA),0)</f>
        <v>604952</v>
      </c>
      <c r="E42" s="17">
        <f>IF($F$3="1",SUMIF(Data!$A:$A,$A$2,Data!IU:IU),0)</f>
        <v>982787</v>
      </c>
      <c r="F42" s="21">
        <f t="shared" si="3"/>
        <v>1.62</v>
      </c>
    </row>
    <row r="43" spans="1:6" x14ac:dyDescent="0.2">
      <c r="A43" s="19">
        <v>8</v>
      </c>
      <c r="B43" s="177" t="s">
        <v>7</v>
      </c>
      <c r="C43" s="178"/>
      <c r="D43" s="14">
        <f>IF(F3="1",SUMIF(Data!A:A,'54'!$A$2,Data!DB:DB),0)</f>
        <v>65844</v>
      </c>
      <c r="E43" s="17">
        <f>IF($F$3="1",SUMIF(Data!$A:$A,$A$2,Data!IV:IV),0)</f>
        <v>122182</v>
      </c>
      <c r="F43" s="21">
        <f t="shared" si="3"/>
        <v>1.86</v>
      </c>
    </row>
    <row r="44" spans="1:6" x14ac:dyDescent="0.2">
      <c r="A44" s="19">
        <v>9</v>
      </c>
      <c r="B44" s="177" t="s">
        <v>8</v>
      </c>
      <c r="C44" s="178"/>
      <c r="D44" s="14">
        <f>IF(F3="1",SUMIF(Data!A:A,'54'!$A$2,Data!DC:DC),0)</f>
        <v>90354</v>
      </c>
      <c r="E44" s="17">
        <f>IF($F$3="1",SUMIF(Data!$A:$A,$A$2,Data!IW:IW),0)</f>
        <v>208336</v>
      </c>
      <c r="F44" s="21">
        <f t="shared" si="3"/>
        <v>2.31</v>
      </c>
    </row>
    <row r="45" spans="1:6" x14ac:dyDescent="0.2">
      <c r="A45" s="19">
        <v>10</v>
      </c>
      <c r="B45" s="177" t="s">
        <v>9</v>
      </c>
      <c r="C45" s="178"/>
      <c r="D45" s="14">
        <f>IF(F3="1",SUMIF(Data!A:A,'54'!$A$2,Data!DD:DD),0)</f>
        <v>24264</v>
      </c>
      <c r="E45" s="17">
        <f>IF($F$3="1",SUMIF(Data!$A:$A,$A$2,Data!IX:IX),0)</f>
        <v>113324</v>
      </c>
      <c r="F45" s="21">
        <f t="shared" si="3"/>
        <v>4.67</v>
      </c>
    </row>
    <row r="46" spans="1:6" x14ac:dyDescent="0.2">
      <c r="A46" s="19">
        <v>11</v>
      </c>
      <c r="B46" s="177" t="s">
        <v>10</v>
      </c>
      <c r="C46" s="178"/>
      <c r="D46" s="14">
        <f>IF(F3="1",SUMIF(Data!A:A,'54'!$A$2,Data!DE:DE),0)</f>
        <v>634896</v>
      </c>
      <c r="E46" s="17">
        <f>IF($F$3="1",SUMIF(Data!$A:$A,$A$2,Data!IY:IY),0)</f>
        <v>1309303</v>
      </c>
      <c r="F46" s="21">
        <f t="shared" si="3"/>
        <v>2.06</v>
      </c>
    </row>
    <row r="47" spans="1:6" ht="14.25" customHeight="1" x14ac:dyDescent="0.2">
      <c r="A47" s="19">
        <v>12</v>
      </c>
      <c r="B47" s="177" t="s">
        <v>11</v>
      </c>
      <c r="C47" s="178"/>
      <c r="D47" s="14">
        <f>IF(F3="1",SUMIF(Data!A:A,'54'!$A$2,Data!DF:DF),0)</f>
        <v>334728</v>
      </c>
      <c r="E47" s="17">
        <f>IF($F$3="1",SUMIF(Data!$A:$A,$A$2,Data!IZ:IZ),0)</f>
        <v>496427</v>
      </c>
      <c r="F47" s="21">
        <f t="shared" si="3"/>
        <v>1.48</v>
      </c>
    </row>
    <row r="48" spans="1:6" x14ac:dyDescent="0.2">
      <c r="A48" s="19">
        <v>13</v>
      </c>
      <c r="B48" s="177" t="s">
        <v>12</v>
      </c>
      <c r="C48" s="178"/>
      <c r="D48" s="14">
        <f>IF(F3="1",SUMIF(Data!A:A,'54'!$A$2,Data!DG:DG),0)</f>
        <v>0</v>
      </c>
      <c r="E48" s="17">
        <f>IF($F$3="1",SUMIF(Data!$A:$A,$A$2,Data!JA:JA),0)</f>
        <v>0</v>
      </c>
      <c r="F48" s="21" t="str">
        <f t="shared" si="3"/>
        <v/>
      </c>
    </row>
    <row r="49" spans="1:6" ht="14.25" customHeight="1" x14ac:dyDescent="0.2">
      <c r="A49" s="19">
        <v>14</v>
      </c>
      <c r="B49" s="177" t="s">
        <v>464</v>
      </c>
      <c r="C49" s="178"/>
      <c r="D49" s="14">
        <f>IF(F3="1",SUMIF(Data!A:A,'54'!$A$2,Data!DH:DH),0)</f>
        <v>87576</v>
      </c>
      <c r="E49" s="17">
        <f>IF($F$3="1",SUMIF(Data!$A:$A,$A$2,Data!JB:JB),0)</f>
        <v>146906</v>
      </c>
      <c r="F49" s="21">
        <f t="shared" si="3"/>
        <v>1.68</v>
      </c>
    </row>
    <row r="50" spans="1:6" x14ac:dyDescent="0.2">
      <c r="A50" s="19">
        <v>15</v>
      </c>
      <c r="B50" s="177" t="s">
        <v>13</v>
      </c>
      <c r="C50" s="178"/>
      <c r="D50" s="14">
        <f>IF(F3="1",SUMIF(Data!A:A,'54'!$A$2,Data!DI:DI),0)</f>
        <v>7800</v>
      </c>
      <c r="E50" s="17">
        <f>IF($F$3="1",SUMIF(Data!$A:$A,$A$2,Data!JC:JC),0)</f>
        <v>14640</v>
      </c>
      <c r="F50" s="21">
        <f t="shared" si="3"/>
        <v>1.88</v>
      </c>
    </row>
    <row r="51" spans="1:6" x14ac:dyDescent="0.2">
      <c r="A51" s="19">
        <v>16</v>
      </c>
      <c r="B51" s="177" t="s">
        <v>14</v>
      </c>
      <c r="C51" s="178"/>
      <c r="D51" s="14">
        <f>IF(F3="1",SUMIF(Data!A:A,'54'!$A$2,Data!DJ:DJ),0)</f>
        <v>165808</v>
      </c>
      <c r="E51" s="17">
        <f>IF($F$3="1",SUMIF(Data!$A:$A,$A$2,Data!JD:JD),0)</f>
        <v>176461</v>
      </c>
      <c r="F51" s="21">
        <f t="shared" si="3"/>
        <v>1.06</v>
      </c>
    </row>
    <row r="52" spans="1:6" x14ac:dyDescent="0.2">
      <c r="A52" s="19">
        <v>17</v>
      </c>
      <c r="B52" s="177" t="s">
        <v>15</v>
      </c>
      <c r="C52" s="178"/>
      <c r="D52" s="14">
        <f>IF(F3="1",SUMIF(Data!A:A,'54'!$A$2,Data!DK:DK),0)</f>
        <v>0</v>
      </c>
      <c r="E52" s="17">
        <f>IF($F$3="1",SUMIF(Data!$A:$A,$A$2,Data!JE:JE),0)</f>
        <v>0</v>
      </c>
      <c r="F52" s="21" t="str">
        <f t="shared" si="3"/>
        <v/>
      </c>
    </row>
    <row r="53" spans="1:6" x14ac:dyDescent="0.2">
      <c r="A53" s="19">
        <v>18</v>
      </c>
      <c r="B53" s="177" t="s">
        <v>16</v>
      </c>
      <c r="C53" s="178"/>
      <c r="D53" s="14">
        <f>IF(F3="1",SUMIF(Data!A:A,'54'!$A$2,Data!DL:DL),0)</f>
        <v>0</v>
      </c>
      <c r="E53" s="17">
        <f>IF($F$3="1",SUMIF(Data!$A:$A,$A$2,Data!JF:JF),0)</f>
        <v>0</v>
      </c>
      <c r="F53" s="21" t="str">
        <f t="shared" si="3"/>
        <v/>
      </c>
    </row>
    <row r="54" spans="1:6" x14ac:dyDescent="0.2">
      <c r="A54" s="19">
        <v>19</v>
      </c>
      <c r="B54" s="177" t="s">
        <v>17</v>
      </c>
      <c r="C54" s="178"/>
      <c r="D54" s="14">
        <f>IF(F3="1",SUMIF(Data!A:A,'54'!$A$2,Data!DM:DM),0)</f>
        <v>274512</v>
      </c>
      <c r="E54" s="17">
        <f>IF($F$3="1",SUMIF(Data!$A:$A,$A$2,Data!JG:JG),0)</f>
        <v>364345</v>
      </c>
      <c r="F54" s="21">
        <f t="shared" si="3"/>
        <v>1.33</v>
      </c>
    </row>
    <row r="55" spans="1:6" x14ac:dyDescent="0.2">
      <c r="A55" s="19">
        <v>20</v>
      </c>
      <c r="B55" s="177" t="s">
        <v>18</v>
      </c>
      <c r="C55" s="178"/>
      <c r="D55" s="14">
        <f>IF(F3="1",SUMIF(Data!A:A,'54'!$A$2,Data!DN:DN),0)</f>
        <v>283652</v>
      </c>
      <c r="E55" s="17">
        <f>IF($F$3="1",SUMIF(Data!$A:$A,$A$2,Data!JH:JH),0)</f>
        <v>488564</v>
      </c>
      <c r="F55" s="21">
        <f t="shared" si="3"/>
        <v>1.72</v>
      </c>
    </row>
    <row r="56" spans="1:6" ht="14.25" customHeight="1" x14ac:dyDescent="0.2">
      <c r="A56" s="19">
        <v>21</v>
      </c>
      <c r="B56" s="177" t="s">
        <v>461</v>
      </c>
      <c r="C56" s="178"/>
      <c r="D56" s="14">
        <f>IF(F3="1",SUMIF(Data!A:A,'54'!$A$2,Data!DO:DO),0)</f>
        <v>214272</v>
      </c>
      <c r="E56" s="17">
        <f>IF($F$3="1",SUMIF(Data!$A:$A,$A$2,Data!JI:JI),0)</f>
        <v>598611</v>
      </c>
      <c r="F56" s="21">
        <f t="shared" si="3"/>
        <v>2.79</v>
      </c>
    </row>
    <row r="57" spans="1:6" x14ac:dyDescent="0.2">
      <c r="A57" s="19">
        <v>22</v>
      </c>
      <c r="B57" s="177" t="s">
        <v>19</v>
      </c>
      <c r="C57" s="178"/>
      <c r="D57" s="14">
        <f>IF(F3="1",SUMIF(Data!A:A,'54'!$A$2,Data!DP:DP),0)</f>
        <v>24852</v>
      </c>
      <c r="E57" s="17">
        <f>IF($F$3="1",SUMIF(Data!$A:$A,$A$2,Data!JJ:JJ),0)</f>
        <v>42257</v>
      </c>
      <c r="F57" s="21">
        <f t="shared" si="3"/>
        <v>1.7</v>
      </c>
    </row>
    <row r="58" spans="1:6" x14ac:dyDescent="0.2">
      <c r="A58" s="19">
        <v>23</v>
      </c>
      <c r="B58" s="177" t="s">
        <v>20</v>
      </c>
      <c r="C58" s="178"/>
      <c r="D58" s="14">
        <f>IF(F3="1",SUMIF(Data!A:A,'54'!$A$2,Data!DQ:DQ),0)</f>
        <v>0</v>
      </c>
      <c r="E58" s="17">
        <f>IF($F$3="1",SUMIF(Data!$A:$A,$A$2,Data!JK:JK),0)</f>
        <v>0</v>
      </c>
      <c r="F58" s="21" t="str">
        <f t="shared" si="3"/>
        <v/>
      </c>
    </row>
    <row r="59" spans="1:6" x14ac:dyDescent="0.2">
      <c r="A59" s="19">
        <v>24</v>
      </c>
      <c r="B59" s="177" t="s">
        <v>21</v>
      </c>
      <c r="C59" s="178"/>
      <c r="D59" s="14">
        <f>IF(F3="1",SUMIF(Data!A:A,'54'!$A$2,Data!DR:DR),0)</f>
        <v>22052</v>
      </c>
      <c r="E59" s="17">
        <f>IF($F$3="1",SUMIF(Data!$A:$A,$A$2,Data!JL:JL),0)</f>
        <v>43843</v>
      </c>
      <c r="F59" s="21">
        <f t="shared" si="3"/>
        <v>1.99</v>
      </c>
    </row>
    <row r="60" spans="1:6" x14ac:dyDescent="0.2">
      <c r="A60" s="19">
        <v>25</v>
      </c>
      <c r="B60" s="177" t="s">
        <v>22</v>
      </c>
      <c r="C60" s="178"/>
      <c r="D60" s="14">
        <f>IF(F3="1",SUMIF(Data!A:A,'54'!$A$2,Data!DS:DS),0)</f>
        <v>69888</v>
      </c>
      <c r="E60" s="17">
        <f>IF($F$3="1",SUMIF(Data!$A:$A,$A$2,Data!JM:JM),0)</f>
        <v>115498</v>
      </c>
      <c r="F60" s="21">
        <f t="shared" si="3"/>
        <v>1.65</v>
      </c>
    </row>
    <row r="61" spans="1:6" x14ac:dyDescent="0.2">
      <c r="A61" s="19">
        <v>26</v>
      </c>
      <c r="B61" s="177" t="s">
        <v>23</v>
      </c>
      <c r="C61" s="178"/>
      <c r="D61" s="14">
        <f>IF(F3="1",SUMIF(Data!A:A,'54'!$A$2,Data!DT:DT),0)</f>
        <v>87060</v>
      </c>
      <c r="E61" s="17">
        <f>IF($F$3="1",SUMIF(Data!$A:$A,$A$2,Data!JN:JN),0)</f>
        <v>133311</v>
      </c>
      <c r="F61" s="21">
        <f t="shared" si="3"/>
        <v>1.53</v>
      </c>
    </row>
    <row r="62" spans="1:6" x14ac:dyDescent="0.2">
      <c r="A62" s="19">
        <v>28</v>
      </c>
      <c r="B62" s="177" t="s">
        <v>24</v>
      </c>
      <c r="C62" s="178"/>
      <c r="D62" s="14">
        <f>IF(F3="1",SUMIF(Data!A:A,'54'!$A$2,Data!DV:DV),0)</f>
        <v>0</v>
      </c>
      <c r="E62" s="17">
        <f>IF($F$3="1",SUMIF(Data!$A:$A,$A$2,Data!JP:JP),0)</f>
        <v>0</v>
      </c>
      <c r="F62" s="21" t="str">
        <f t="shared" si="3"/>
        <v/>
      </c>
    </row>
    <row r="63" spans="1:6" ht="15.75" customHeight="1" thickBot="1" x14ac:dyDescent="0.25">
      <c r="A63" s="22">
        <v>29</v>
      </c>
      <c r="B63" s="179" t="s">
        <v>25</v>
      </c>
      <c r="C63" s="180"/>
      <c r="D63" s="23">
        <f>IF(F3="1",SUMIF(Data!A:A,'54'!$A$2,Data!DW:DW),0)</f>
        <v>0</v>
      </c>
      <c r="E63" s="24">
        <f>IF($F$3="1",SUMIF(Data!$A:$A,$A$2,Data!JQ:JQ),0)</f>
        <v>0</v>
      </c>
      <c r="F63" s="25" t="str">
        <f t="shared" si="3"/>
        <v/>
      </c>
    </row>
    <row r="64" spans="1:6" x14ac:dyDescent="0.2">
      <c r="B64" s="30" t="s">
        <v>35</v>
      </c>
      <c r="C64" s="30"/>
      <c r="D64" s="59">
        <f>SUM(D36:D63)</f>
        <v>3814274</v>
      </c>
      <c r="E64" s="31">
        <f>SUM(E36:E63)</f>
        <v>7168968</v>
      </c>
      <c r="F64" s="32">
        <f t="shared" si="3"/>
        <v>1.88</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66264</v>
      </c>
      <c r="E67" s="15">
        <f>IF(F3="1",SUMIF(Data!A:A,'54'!$A$2,Data!DY:DY),0)</f>
        <v>188267</v>
      </c>
      <c r="F67" s="20">
        <f t="shared" ref="F67:F95" si="4">IF(OR(D67=0,E67=0),"",ROUND(E67/D67,2))</f>
        <v>2.84</v>
      </c>
    </row>
    <row r="68" spans="1:6" x14ac:dyDescent="0.2">
      <c r="A68" s="19">
        <v>2</v>
      </c>
      <c r="B68" s="177" t="s">
        <v>1</v>
      </c>
      <c r="C68" s="178"/>
      <c r="D68" s="14">
        <f t="shared" ref="D68:D94" si="5">D37</f>
        <v>317208</v>
      </c>
      <c r="E68" s="17">
        <f>IF(F3="1",SUMIF(Data!A:A,'54'!$A$2,Data!DZ:DZ),0)</f>
        <v>703177</v>
      </c>
      <c r="F68" s="21">
        <f t="shared" si="4"/>
        <v>2.2200000000000002</v>
      </c>
    </row>
    <row r="69" spans="1:6" ht="14.25" customHeight="1" x14ac:dyDescent="0.2">
      <c r="A69" s="19">
        <v>3</v>
      </c>
      <c r="B69" s="177" t="s">
        <v>2</v>
      </c>
      <c r="C69" s="178"/>
      <c r="D69" s="14">
        <f t="shared" si="5"/>
        <v>82552</v>
      </c>
      <c r="E69" s="17">
        <f>IF(F3="1",SUMIF(Data!A:A,'54'!$A$2,Data!EA:EA),0)</f>
        <v>299490</v>
      </c>
      <c r="F69" s="21">
        <f t="shared" si="4"/>
        <v>3.63</v>
      </c>
    </row>
    <row r="70" spans="1:6" ht="14.25" customHeight="1" x14ac:dyDescent="0.2">
      <c r="A70" s="19">
        <v>4</v>
      </c>
      <c r="B70" s="177" t="s">
        <v>3</v>
      </c>
      <c r="C70" s="178"/>
      <c r="D70" s="14">
        <f t="shared" si="5"/>
        <v>224088</v>
      </c>
      <c r="E70" s="17">
        <f>IF(F3="1",SUMIF(Data!A:A,'54'!$A$2,Data!EB:EB),0)</f>
        <v>443163</v>
      </c>
      <c r="F70" s="21">
        <f t="shared" si="4"/>
        <v>1.98</v>
      </c>
    </row>
    <row r="71" spans="1:6" x14ac:dyDescent="0.2">
      <c r="A71" s="19">
        <v>5</v>
      </c>
      <c r="B71" s="177" t="s">
        <v>4</v>
      </c>
      <c r="C71" s="178"/>
      <c r="D71" s="14">
        <f t="shared" si="5"/>
        <v>73428</v>
      </c>
      <c r="E71" s="17">
        <f>IF(F3="1",SUMIF(Data!A:A,'54'!$A$2,Data!EC:EC),0)</f>
        <v>392715</v>
      </c>
      <c r="F71" s="21">
        <f t="shared" si="4"/>
        <v>5.35</v>
      </c>
    </row>
    <row r="72" spans="1:6" x14ac:dyDescent="0.2">
      <c r="A72" s="19">
        <v>6</v>
      </c>
      <c r="B72" s="177" t="s">
        <v>5</v>
      </c>
      <c r="C72" s="178"/>
      <c r="D72" s="14">
        <f t="shared" si="5"/>
        <v>58224</v>
      </c>
      <c r="E72" s="17">
        <f>IF(F3="1",SUMIF(Data!A:A,'54'!$A$2,Data!ED:ED),0)</f>
        <v>385612</v>
      </c>
      <c r="F72" s="21">
        <f t="shared" si="4"/>
        <v>6.62</v>
      </c>
    </row>
    <row r="73" spans="1:6" x14ac:dyDescent="0.2">
      <c r="A73" s="19">
        <v>7</v>
      </c>
      <c r="B73" s="177" t="s">
        <v>6</v>
      </c>
      <c r="C73" s="178"/>
      <c r="D73" s="14">
        <f t="shared" si="5"/>
        <v>604952</v>
      </c>
      <c r="E73" s="17">
        <f>IF(F3="1",SUMIF(Data!A:A,'54'!$A$2,Data!EE:EE),0)</f>
        <v>1539394</v>
      </c>
      <c r="F73" s="21">
        <f t="shared" si="4"/>
        <v>2.54</v>
      </c>
    </row>
    <row r="74" spans="1:6" x14ac:dyDescent="0.2">
      <c r="A74" s="19">
        <v>8</v>
      </c>
      <c r="B74" s="177" t="s">
        <v>7</v>
      </c>
      <c r="C74" s="178"/>
      <c r="D74" s="14">
        <f t="shared" si="5"/>
        <v>65844</v>
      </c>
      <c r="E74" s="17">
        <f>IF(F3="1",SUMIF(Data!A:A,'54'!$A$2,Data!EF:EF),0)</f>
        <v>197403</v>
      </c>
      <c r="F74" s="21">
        <f t="shared" si="4"/>
        <v>3</v>
      </c>
    </row>
    <row r="75" spans="1:6" x14ac:dyDescent="0.2">
      <c r="A75" s="19">
        <v>9</v>
      </c>
      <c r="B75" s="177" t="s">
        <v>8</v>
      </c>
      <c r="C75" s="178"/>
      <c r="D75" s="14">
        <f t="shared" si="5"/>
        <v>90354</v>
      </c>
      <c r="E75" s="17">
        <f>IF(F3="1",SUMIF(Data!A:A,'54'!$A$2,Data!EG:EG),0)</f>
        <v>326875</v>
      </c>
      <c r="F75" s="21">
        <f t="shared" si="4"/>
        <v>3.62</v>
      </c>
    </row>
    <row r="76" spans="1:6" x14ac:dyDescent="0.2">
      <c r="A76" s="19">
        <v>10</v>
      </c>
      <c r="B76" s="177" t="s">
        <v>9</v>
      </c>
      <c r="C76" s="178"/>
      <c r="D76" s="14">
        <f t="shared" si="5"/>
        <v>24264</v>
      </c>
      <c r="E76" s="17">
        <f>IF(F3="1",SUMIF(Data!A:A,'54'!$A$2,Data!EH:EH),0)</f>
        <v>167451</v>
      </c>
      <c r="F76" s="21">
        <f t="shared" si="4"/>
        <v>6.9</v>
      </c>
    </row>
    <row r="77" spans="1:6" x14ac:dyDescent="0.2">
      <c r="A77" s="19">
        <v>11</v>
      </c>
      <c r="B77" s="177" t="s">
        <v>10</v>
      </c>
      <c r="C77" s="178"/>
      <c r="D77" s="14">
        <f t="shared" si="5"/>
        <v>634896</v>
      </c>
      <c r="E77" s="17">
        <f>IF(F3="1",SUMIF(Data!A:A,'54'!$A$2,Data!EI:EI),0)</f>
        <v>2635675</v>
      </c>
      <c r="F77" s="21">
        <f t="shared" si="4"/>
        <v>4.1500000000000004</v>
      </c>
    </row>
    <row r="78" spans="1:6" ht="14.25" customHeight="1" x14ac:dyDescent="0.2">
      <c r="A78" s="19">
        <v>12</v>
      </c>
      <c r="B78" s="177" t="s">
        <v>11</v>
      </c>
      <c r="C78" s="178"/>
      <c r="D78" s="14">
        <f t="shared" si="5"/>
        <v>334728</v>
      </c>
      <c r="E78" s="17">
        <f>IF(F3="1",SUMIF(Data!A:A,'54'!$A$2,Data!EJ:EJ),0)</f>
        <v>799973</v>
      </c>
      <c r="F78" s="21">
        <f t="shared" si="4"/>
        <v>2.39</v>
      </c>
    </row>
    <row r="79" spans="1:6" x14ac:dyDescent="0.2">
      <c r="A79" s="19">
        <v>13</v>
      </c>
      <c r="B79" s="177" t="s">
        <v>12</v>
      </c>
      <c r="C79" s="178"/>
      <c r="D79" s="14">
        <f t="shared" si="5"/>
        <v>0</v>
      </c>
      <c r="E79" s="17">
        <f>IF(F3="1",SUMIF(Data!A:A,'54'!$A$2,Data!EK:EK),0)</f>
        <v>0</v>
      </c>
      <c r="F79" s="21" t="str">
        <f t="shared" si="4"/>
        <v/>
      </c>
    </row>
    <row r="80" spans="1:6" ht="14.25" customHeight="1" x14ac:dyDescent="0.2">
      <c r="A80" s="19">
        <v>14</v>
      </c>
      <c r="B80" s="177" t="s">
        <v>464</v>
      </c>
      <c r="C80" s="178"/>
      <c r="D80" s="14">
        <f t="shared" si="5"/>
        <v>87576</v>
      </c>
      <c r="E80" s="17">
        <f>IF(F3="1",SUMIF(Data!A:A,'54'!$A$2,Data!EL:EL),0)</f>
        <v>197246</v>
      </c>
      <c r="F80" s="21">
        <f t="shared" si="4"/>
        <v>2.25</v>
      </c>
    </row>
    <row r="81" spans="1:6" x14ac:dyDescent="0.2">
      <c r="A81" s="19">
        <v>15</v>
      </c>
      <c r="B81" s="177" t="s">
        <v>13</v>
      </c>
      <c r="C81" s="178"/>
      <c r="D81" s="14">
        <f t="shared" si="5"/>
        <v>7800</v>
      </c>
      <c r="E81" s="17">
        <f>IF(F3="1",SUMIF(Data!A:A,'54'!$A$2,Data!EM:EM),0)</f>
        <v>21906</v>
      </c>
      <c r="F81" s="21">
        <f t="shared" si="4"/>
        <v>2.81</v>
      </c>
    </row>
    <row r="82" spans="1:6" x14ac:dyDescent="0.2">
      <c r="A82" s="19">
        <v>16</v>
      </c>
      <c r="B82" s="177" t="s">
        <v>14</v>
      </c>
      <c r="C82" s="178"/>
      <c r="D82" s="14">
        <f t="shared" si="5"/>
        <v>165808</v>
      </c>
      <c r="E82" s="17">
        <f>IF(F3="1",SUMIF(Data!A:A,'54'!$A$2,Data!EN:EN),0)</f>
        <v>336867</v>
      </c>
      <c r="F82" s="21">
        <f t="shared" si="4"/>
        <v>2.0299999999999998</v>
      </c>
    </row>
    <row r="83" spans="1:6" x14ac:dyDescent="0.2">
      <c r="A83" s="19">
        <v>17</v>
      </c>
      <c r="B83" s="177" t="s">
        <v>15</v>
      </c>
      <c r="C83" s="178"/>
      <c r="D83" s="14">
        <f t="shared" si="5"/>
        <v>0</v>
      </c>
      <c r="E83" s="17">
        <f>IF(F3="1",SUMIF(Data!A:A,'54'!$A$2,Data!EO:EO),0)</f>
        <v>0</v>
      </c>
      <c r="F83" s="21" t="str">
        <f t="shared" si="4"/>
        <v/>
      </c>
    </row>
    <row r="84" spans="1:6" x14ac:dyDescent="0.2">
      <c r="A84" s="19">
        <v>18</v>
      </c>
      <c r="B84" s="177" t="s">
        <v>16</v>
      </c>
      <c r="C84" s="178"/>
      <c r="D84" s="14">
        <f t="shared" si="5"/>
        <v>0</v>
      </c>
      <c r="E84" s="17">
        <f>IF(F3="1",SUMIF(Data!A:A,'54'!$A$2,Data!EP:EP),0)</f>
        <v>0</v>
      </c>
      <c r="F84" s="21" t="str">
        <f t="shared" si="4"/>
        <v/>
      </c>
    </row>
    <row r="85" spans="1:6" x14ac:dyDescent="0.2">
      <c r="A85" s="19">
        <v>19</v>
      </c>
      <c r="B85" s="177" t="s">
        <v>17</v>
      </c>
      <c r="C85" s="178"/>
      <c r="D85" s="14">
        <f t="shared" si="5"/>
        <v>274512</v>
      </c>
      <c r="E85" s="17">
        <f>IF(F3="1",SUMIF(Data!A:A,'54'!$A$2,Data!EQ:EQ),0)</f>
        <v>668186</v>
      </c>
      <c r="F85" s="21">
        <f t="shared" si="4"/>
        <v>2.4300000000000002</v>
      </c>
    </row>
    <row r="86" spans="1:6" x14ac:dyDescent="0.2">
      <c r="A86" s="19">
        <v>20</v>
      </c>
      <c r="B86" s="177" t="s">
        <v>18</v>
      </c>
      <c r="C86" s="178"/>
      <c r="D86" s="14">
        <f t="shared" si="5"/>
        <v>283652</v>
      </c>
      <c r="E86" s="17">
        <f>IF(F3="1",SUMIF(Data!A:A,'54'!$A$2,Data!ER:ER),0)</f>
        <v>730977</v>
      </c>
      <c r="F86" s="21">
        <f t="shared" si="4"/>
        <v>2.58</v>
      </c>
    </row>
    <row r="87" spans="1:6" ht="14.25" customHeight="1" x14ac:dyDescent="0.2">
      <c r="A87" s="19">
        <v>21</v>
      </c>
      <c r="B87" s="177" t="s">
        <v>461</v>
      </c>
      <c r="C87" s="178"/>
      <c r="D87" s="14">
        <f t="shared" si="5"/>
        <v>214272</v>
      </c>
      <c r="E87" s="17">
        <f>IF(F3="1",SUMIF(Data!A:A,'54'!$A$2,Data!ES:ES),0)</f>
        <v>656715</v>
      </c>
      <c r="F87" s="21">
        <f t="shared" si="4"/>
        <v>3.06</v>
      </c>
    </row>
    <row r="88" spans="1:6" x14ac:dyDescent="0.2">
      <c r="A88" s="19">
        <v>22</v>
      </c>
      <c r="B88" s="177" t="s">
        <v>19</v>
      </c>
      <c r="C88" s="178"/>
      <c r="D88" s="14">
        <f t="shared" si="5"/>
        <v>24852</v>
      </c>
      <c r="E88" s="17">
        <f>IF(F3="1",SUMIF(Data!A:A,'54'!$A$2,Data!ET:ET),0)</f>
        <v>65073</v>
      </c>
      <c r="F88" s="21">
        <f t="shared" si="4"/>
        <v>2.62</v>
      </c>
    </row>
    <row r="89" spans="1:6" x14ac:dyDescent="0.2">
      <c r="A89" s="19">
        <v>23</v>
      </c>
      <c r="B89" s="177" t="s">
        <v>20</v>
      </c>
      <c r="C89" s="178"/>
      <c r="D89" s="14">
        <f t="shared" si="5"/>
        <v>0</v>
      </c>
      <c r="E89" s="17">
        <f>IF(F3="1",SUMIF(Data!A:A,'54'!$A$2,Data!EU:EU),0)</f>
        <v>0</v>
      </c>
      <c r="F89" s="21" t="str">
        <f t="shared" si="4"/>
        <v/>
      </c>
    </row>
    <row r="90" spans="1:6" x14ac:dyDescent="0.2">
      <c r="A90" s="19">
        <v>24</v>
      </c>
      <c r="B90" s="177" t="s">
        <v>21</v>
      </c>
      <c r="C90" s="178"/>
      <c r="D90" s="14">
        <f t="shared" si="5"/>
        <v>22052</v>
      </c>
      <c r="E90" s="17">
        <f>IF(F3="1",SUMIF(Data!A:A,'54'!$A$2,Data!EV:EV),0)</f>
        <v>16636</v>
      </c>
      <c r="F90" s="21">
        <f t="shared" si="4"/>
        <v>0.75</v>
      </c>
    </row>
    <row r="91" spans="1:6" x14ac:dyDescent="0.2">
      <c r="A91" s="19">
        <v>25</v>
      </c>
      <c r="B91" s="177" t="s">
        <v>22</v>
      </c>
      <c r="C91" s="178"/>
      <c r="D91" s="14">
        <f t="shared" si="5"/>
        <v>69888</v>
      </c>
      <c r="E91" s="17">
        <f>IF(F3="1",SUMIF(Data!A:A,'54'!$A$2,Data!EW:EW),0)</f>
        <v>212199</v>
      </c>
      <c r="F91" s="21">
        <f t="shared" si="4"/>
        <v>3.04</v>
      </c>
    </row>
    <row r="92" spans="1:6" x14ac:dyDescent="0.2">
      <c r="A92" s="19">
        <v>26</v>
      </c>
      <c r="B92" s="177" t="s">
        <v>23</v>
      </c>
      <c r="C92" s="178"/>
      <c r="D92" s="14">
        <f t="shared" si="5"/>
        <v>87060</v>
      </c>
      <c r="E92" s="17">
        <f>IF(F3="1",SUMIF(Data!A:A,'54'!$A$2,Data!EX:EX),0)</f>
        <v>252971</v>
      </c>
      <c r="F92" s="21">
        <f t="shared" si="4"/>
        <v>2.91</v>
      </c>
    </row>
    <row r="93" spans="1:6" x14ac:dyDescent="0.2">
      <c r="A93" s="19">
        <v>28</v>
      </c>
      <c r="B93" s="177" t="s">
        <v>24</v>
      </c>
      <c r="C93" s="178"/>
      <c r="D93" s="14">
        <f t="shared" si="5"/>
        <v>0</v>
      </c>
      <c r="E93" s="17">
        <f>IF(F3="1",SUMIF(Data!A:A,'54'!$A$2,Data!EZ:EZ),0)</f>
        <v>0</v>
      </c>
      <c r="F93" s="21" t="str">
        <f t="shared" si="4"/>
        <v/>
      </c>
    </row>
    <row r="94" spans="1:6" ht="15.75" customHeight="1" thickBot="1" x14ac:dyDescent="0.25">
      <c r="A94" s="22">
        <v>29</v>
      </c>
      <c r="B94" s="179" t="s">
        <v>25</v>
      </c>
      <c r="C94" s="180"/>
      <c r="D94" s="23">
        <f t="shared" si="5"/>
        <v>0</v>
      </c>
      <c r="E94" s="24">
        <f>IF(F3="1",SUMIF(Data!A:A,'54'!$A$2,Data!FA:FA),0)</f>
        <v>0</v>
      </c>
      <c r="F94" s="25" t="str">
        <f t="shared" si="4"/>
        <v/>
      </c>
    </row>
    <row r="95" spans="1:6" x14ac:dyDescent="0.2">
      <c r="B95" s="30" t="s">
        <v>35</v>
      </c>
      <c r="C95" s="30"/>
      <c r="D95" s="59">
        <f>SUM(D67:D94)</f>
        <v>3814274</v>
      </c>
      <c r="E95" s="31">
        <f>SUM(E67:E94)</f>
        <v>11237971</v>
      </c>
      <c r="F95" s="32">
        <f t="shared" si="4"/>
        <v>2.95</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IF(F3="1",SUMIF(Data!A:A,'54'!$A$2,Data!AH:AH),0)</f>
        <v>3114641</v>
      </c>
      <c r="F98" s="20">
        <f>IF(OR(E98=0,E98=0),"",ROUND(E98/$D$105,2))</f>
        <v>0.82</v>
      </c>
    </row>
    <row r="99" spans="2:6" x14ac:dyDescent="0.2">
      <c r="B99" s="183" t="s">
        <v>31</v>
      </c>
      <c r="C99" s="184"/>
      <c r="D99" s="36"/>
      <c r="E99" s="17">
        <f>IF(F3="1",SUMIF(Data!A:A,'54'!$A$2,Data!AI:AI),0)</f>
        <v>1052657</v>
      </c>
      <c r="F99" s="21">
        <f t="shared" ref="F99:F104" si="6">IF(OR(E99=0,E99=0),"",ROUND(E99/$D$105,2))</f>
        <v>0.28000000000000003</v>
      </c>
    </row>
    <row r="100" spans="2:6" x14ac:dyDescent="0.2">
      <c r="B100" s="183" t="s">
        <v>1078</v>
      </c>
      <c r="C100" s="184"/>
      <c r="D100" s="36"/>
      <c r="E100" s="17">
        <f>IF(F3="1",SUMIF(Data!A:A,'54'!$A$2,Data!AJ:AJ),0)</f>
        <v>481598</v>
      </c>
      <c r="F100" s="21">
        <f t="shared" si="6"/>
        <v>0.13</v>
      </c>
    </row>
    <row r="101" spans="2:6" x14ac:dyDescent="0.2">
      <c r="B101" s="183" t="s">
        <v>1079</v>
      </c>
      <c r="C101" s="184"/>
      <c r="D101" s="36"/>
      <c r="E101" s="17">
        <f>IF(F3="1",SUMIF(Data!A:A,'54'!$A$2,Data!AK:AK),0)</f>
        <v>529086</v>
      </c>
      <c r="F101" s="21">
        <f t="shared" si="6"/>
        <v>0.14000000000000001</v>
      </c>
    </row>
    <row r="102" spans="2:6" x14ac:dyDescent="0.2">
      <c r="B102" s="183" t="s">
        <v>1080</v>
      </c>
      <c r="C102" s="184"/>
      <c r="D102" s="36"/>
      <c r="E102" s="17">
        <f>IF(F3="1",SUMIF(Data!A:A,'54'!$A$2,Data!AL:AL),0)</f>
        <v>0</v>
      </c>
      <c r="F102" s="21" t="str">
        <f t="shared" si="6"/>
        <v/>
      </c>
    </row>
    <row r="103" spans="2:6" x14ac:dyDescent="0.2">
      <c r="B103" s="185" t="s">
        <v>34</v>
      </c>
      <c r="C103" s="186"/>
      <c r="D103" s="36"/>
      <c r="E103" s="17">
        <f>IF(F3="1",SUMIF(Data!A:A,'54'!$A$2,Data!AM:AM),0)</f>
        <v>0</v>
      </c>
      <c r="F103" s="21" t="str">
        <f t="shared" si="6"/>
        <v/>
      </c>
    </row>
    <row r="104" spans="2:6" ht="15.75" customHeight="1" thickBot="1" x14ac:dyDescent="0.25">
      <c r="B104" s="175" t="s">
        <v>29</v>
      </c>
      <c r="C104" s="176"/>
      <c r="D104" s="37"/>
      <c r="E104" s="24">
        <f>IF(F3="1",SUMIF(Data!A:A,'54'!$A$2,Data!Q:Q),0)</f>
        <v>0</v>
      </c>
      <c r="F104" s="25" t="str">
        <f t="shared" si="6"/>
        <v/>
      </c>
    </row>
    <row r="105" spans="2:6" x14ac:dyDescent="0.2">
      <c r="B105" s="30" t="s">
        <v>35</v>
      </c>
      <c r="C105" s="30"/>
      <c r="D105" s="34">
        <f>D95</f>
        <v>3814274</v>
      </c>
      <c r="E105" s="31">
        <f>SUM(E98:E104)</f>
        <v>5177982</v>
      </c>
      <c r="F105" s="32">
        <f>IF($D$105=0,"",ROUND(E105/$D$105,2))</f>
        <v>1.36</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11237971</v>
      </c>
      <c r="D109" s="15">
        <f>IF(F3="1",SUMIF(Data!$A:$A,$A$2,Data!HJ:HJ),0)</f>
        <v>0</v>
      </c>
      <c r="E109" s="15">
        <f>IF(F3="1",SUMIF(Data!$A:$A,$A$2,Data!IN:IN),0)</f>
        <v>0</v>
      </c>
      <c r="F109" s="47">
        <f>SUM(C109:E109)</f>
        <v>11237971</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0</v>
      </c>
      <c r="E117" s="52"/>
      <c r="F117" s="49">
        <f>SUM(C117:E117)</f>
        <v>0</v>
      </c>
    </row>
    <row r="118" spans="1:6" x14ac:dyDescent="0.2">
      <c r="B118" s="13" t="s">
        <v>35</v>
      </c>
      <c r="C118" s="4">
        <f>SUM(C109:C116)</f>
        <v>11237971</v>
      </c>
      <c r="D118" s="4">
        <f>SUM(D109:D116)</f>
        <v>0</v>
      </c>
      <c r="E118" s="4">
        <f>SUM(E109:E116)</f>
        <v>0</v>
      </c>
      <c r="F118" s="4">
        <f>SUM(F109:F116)</f>
        <v>11237971</v>
      </c>
    </row>
    <row r="119" spans="1:6" ht="15" thickBot="1" x14ac:dyDescent="0.25"/>
    <row r="120" spans="1:6" ht="15" thickBot="1" x14ac:dyDescent="0.25">
      <c r="B120" s="55" t="s">
        <v>934</v>
      </c>
      <c r="C120" s="53"/>
      <c r="D120" s="53"/>
      <c r="E120" s="53">
        <f>IF(F3="1",SUMIF(Data!A:A,'54'!$A$2,Data!AM:AM),0)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2" width="13.42578125" style="10" bestFit="1" customWidth="1"/>
    <col min="13"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1073</v>
      </c>
      <c r="B2" s="58" t="str">
        <f>VLOOKUP(A2,Data!A:G,7,0)</f>
        <v>Lamar Institute of Technology</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0</v>
      </c>
      <c r="E5" s="15">
        <f>E36+E67+IFERROR($E$105/$D$105*D5,0)</f>
        <v>0</v>
      </c>
      <c r="F5" s="20" t="str">
        <f>IF(OR(D5=0,E5=0),"",ROUND(E5/D5,2))</f>
        <v/>
      </c>
    </row>
    <row r="6" spans="1:6" x14ac:dyDescent="0.2">
      <c r="A6" s="19">
        <v>2</v>
      </c>
      <c r="B6" s="177" t="s">
        <v>1</v>
      </c>
      <c r="C6" s="178"/>
      <c r="D6" s="14">
        <f t="shared" ref="D6:D32" si="0">D37</f>
        <v>151840</v>
      </c>
      <c r="E6" s="17">
        <f t="shared" ref="E6:E32" si="1">E37+E68+IFERROR($E$105/$D$105*D6,0)</f>
        <v>1181719.205774677</v>
      </c>
      <c r="F6" s="21">
        <f t="shared" ref="F6:F33" si="2">IF(OR(D6=0,E6=0),"",ROUND(E6/D6,2))</f>
        <v>7.78</v>
      </c>
    </row>
    <row r="7" spans="1:6" ht="14.25" customHeight="1" x14ac:dyDescent="0.2">
      <c r="A7" s="19">
        <v>3</v>
      </c>
      <c r="B7" s="177" t="s">
        <v>2</v>
      </c>
      <c r="C7" s="178"/>
      <c r="D7" s="14">
        <f t="shared" si="0"/>
        <v>197696</v>
      </c>
      <c r="E7" s="17">
        <f t="shared" si="1"/>
        <v>1538600.8122815499</v>
      </c>
      <c r="F7" s="21">
        <f t="shared" si="2"/>
        <v>7.78</v>
      </c>
    </row>
    <row r="8" spans="1:6" ht="14.25" customHeight="1" x14ac:dyDescent="0.2">
      <c r="A8" s="19">
        <v>4</v>
      </c>
      <c r="B8" s="177" t="s">
        <v>3</v>
      </c>
      <c r="C8" s="178"/>
      <c r="D8" s="14">
        <f t="shared" si="0"/>
        <v>109952</v>
      </c>
      <c r="E8" s="17">
        <f t="shared" si="1"/>
        <v>855718.89948193682</v>
      </c>
      <c r="F8" s="21">
        <f t="shared" si="2"/>
        <v>7.78</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0</v>
      </c>
      <c r="E10" s="17">
        <f t="shared" si="1"/>
        <v>0</v>
      </c>
      <c r="F10" s="21" t="str">
        <f t="shared" si="2"/>
        <v/>
      </c>
    </row>
    <row r="11" spans="1:6" x14ac:dyDescent="0.2">
      <c r="A11" s="19">
        <v>7</v>
      </c>
      <c r="B11" s="177" t="s">
        <v>6</v>
      </c>
      <c r="C11" s="178"/>
      <c r="D11" s="14">
        <f t="shared" si="0"/>
        <v>45200</v>
      </c>
      <c r="E11" s="17">
        <f t="shared" si="1"/>
        <v>351775.76251985907</v>
      </c>
      <c r="F11" s="21">
        <f t="shared" si="2"/>
        <v>7.78</v>
      </c>
    </row>
    <row r="12" spans="1:6" x14ac:dyDescent="0.2">
      <c r="A12" s="19">
        <v>8</v>
      </c>
      <c r="B12" s="177" t="s">
        <v>7</v>
      </c>
      <c r="C12" s="178"/>
      <c r="D12" s="14">
        <f t="shared" si="0"/>
        <v>0</v>
      </c>
      <c r="E12" s="17">
        <f t="shared" si="1"/>
        <v>0</v>
      </c>
      <c r="F12" s="21" t="str">
        <f t="shared" si="2"/>
        <v/>
      </c>
    </row>
    <row r="13" spans="1:6" x14ac:dyDescent="0.2">
      <c r="A13" s="19">
        <v>9</v>
      </c>
      <c r="B13" s="177" t="s">
        <v>8</v>
      </c>
      <c r="C13" s="178"/>
      <c r="D13" s="14">
        <f t="shared" si="0"/>
        <v>23120</v>
      </c>
      <c r="E13" s="17">
        <f t="shared" si="1"/>
        <v>179935.72100573324</v>
      </c>
      <c r="F13" s="21">
        <f t="shared" si="2"/>
        <v>7.78</v>
      </c>
    </row>
    <row r="14" spans="1:6" x14ac:dyDescent="0.2">
      <c r="A14" s="19">
        <v>10</v>
      </c>
      <c r="B14" s="177" t="s">
        <v>9</v>
      </c>
      <c r="C14" s="178"/>
      <c r="D14" s="14">
        <f t="shared" si="0"/>
        <v>0</v>
      </c>
      <c r="E14" s="17">
        <f t="shared" si="1"/>
        <v>0</v>
      </c>
      <c r="F14" s="21" t="str">
        <f t="shared" si="2"/>
        <v/>
      </c>
    </row>
    <row r="15" spans="1:6" x14ac:dyDescent="0.2">
      <c r="A15" s="19">
        <v>11</v>
      </c>
      <c r="B15" s="177" t="s">
        <v>10</v>
      </c>
      <c r="C15" s="178"/>
      <c r="D15" s="14">
        <f t="shared" si="0"/>
        <v>190784</v>
      </c>
      <c r="E15" s="17">
        <f t="shared" si="1"/>
        <v>1484808.7731988672</v>
      </c>
      <c r="F15" s="21">
        <f t="shared" si="2"/>
        <v>7.78</v>
      </c>
    </row>
    <row r="16" spans="1:6" ht="14.25" customHeight="1" x14ac:dyDescent="0.2">
      <c r="A16" s="19">
        <v>12</v>
      </c>
      <c r="B16" s="177" t="s">
        <v>11</v>
      </c>
      <c r="C16" s="178"/>
      <c r="D16" s="14">
        <f t="shared" si="0"/>
        <v>41616</v>
      </c>
      <c r="E16" s="17">
        <f t="shared" si="1"/>
        <v>323884.29781031981</v>
      </c>
      <c r="F16" s="21">
        <f t="shared" si="2"/>
        <v>7.78</v>
      </c>
    </row>
    <row r="17" spans="1:6" x14ac:dyDescent="0.2">
      <c r="A17" s="19">
        <v>13</v>
      </c>
      <c r="B17" s="177" t="s">
        <v>12</v>
      </c>
      <c r="C17" s="178"/>
      <c r="D17" s="14">
        <f t="shared" si="0"/>
        <v>0</v>
      </c>
      <c r="E17" s="17">
        <f t="shared" si="1"/>
        <v>0</v>
      </c>
      <c r="F17" s="21" t="str">
        <f t="shared" si="2"/>
        <v/>
      </c>
    </row>
    <row r="18" spans="1:6" ht="14.25" customHeight="1" x14ac:dyDescent="0.2">
      <c r="A18" s="19">
        <v>14</v>
      </c>
      <c r="B18" s="177" t="s">
        <v>464</v>
      </c>
      <c r="C18" s="178"/>
      <c r="D18" s="14">
        <f t="shared" si="0"/>
        <v>1760</v>
      </c>
      <c r="E18" s="17">
        <f t="shared" si="1"/>
        <v>13696.996062720176</v>
      </c>
      <c r="F18" s="21">
        <f t="shared" si="2"/>
        <v>7.78</v>
      </c>
    </row>
    <row r="19" spans="1:6" x14ac:dyDescent="0.2">
      <c r="A19" s="19">
        <v>15</v>
      </c>
      <c r="B19" s="177" t="s">
        <v>13</v>
      </c>
      <c r="C19" s="178"/>
      <c r="D19" s="14">
        <f t="shared" si="0"/>
        <v>23600</v>
      </c>
      <c r="E19" s="17">
        <f t="shared" si="1"/>
        <v>183670.2653864751</v>
      </c>
      <c r="F19" s="21">
        <f t="shared" si="2"/>
        <v>7.78</v>
      </c>
    </row>
    <row r="20" spans="1:6" x14ac:dyDescent="0.2">
      <c r="A20" s="19">
        <v>16</v>
      </c>
      <c r="B20" s="177" t="s">
        <v>14</v>
      </c>
      <c r="C20" s="178"/>
      <c r="D20" s="14">
        <f t="shared" si="0"/>
        <v>82928</v>
      </c>
      <c r="E20" s="17">
        <f t="shared" si="1"/>
        <v>645401.35084616975</v>
      </c>
      <c r="F20" s="21">
        <f t="shared" si="2"/>
        <v>7.78</v>
      </c>
    </row>
    <row r="21" spans="1:6" x14ac:dyDescent="0.2">
      <c r="A21" s="19">
        <v>17</v>
      </c>
      <c r="B21" s="177" t="s">
        <v>15</v>
      </c>
      <c r="C21" s="178"/>
      <c r="D21" s="14">
        <f t="shared" si="0"/>
        <v>47424</v>
      </c>
      <c r="E21" s="17">
        <f t="shared" si="1"/>
        <v>369085.18481729639</v>
      </c>
      <c r="F21" s="21">
        <f t="shared" si="2"/>
        <v>7.78</v>
      </c>
    </row>
    <row r="22" spans="1:6" x14ac:dyDescent="0.2">
      <c r="A22" s="19">
        <v>18</v>
      </c>
      <c r="B22" s="177" t="s">
        <v>16</v>
      </c>
      <c r="C22" s="178"/>
      <c r="D22" s="14">
        <f t="shared" si="0"/>
        <v>0</v>
      </c>
      <c r="E22" s="17">
        <f t="shared" si="1"/>
        <v>0</v>
      </c>
      <c r="F22" s="21" t="str">
        <f t="shared" si="2"/>
        <v/>
      </c>
    </row>
    <row r="23" spans="1:6" x14ac:dyDescent="0.2">
      <c r="A23" s="19">
        <v>19</v>
      </c>
      <c r="B23" s="177" t="s">
        <v>17</v>
      </c>
      <c r="C23" s="178"/>
      <c r="D23" s="14">
        <f t="shared" si="0"/>
        <v>68976</v>
      </c>
      <c r="E23" s="17">
        <f t="shared" si="1"/>
        <v>536816.32751260616</v>
      </c>
      <c r="F23" s="21">
        <f t="shared" si="2"/>
        <v>7.78</v>
      </c>
    </row>
    <row r="24" spans="1:6" x14ac:dyDescent="0.2">
      <c r="A24" s="19">
        <v>20</v>
      </c>
      <c r="B24" s="177" t="s">
        <v>18</v>
      </c>
      <c r="C24" s="178"/>
      <c r="D24" s="14">
        <f t="shared" si="0"/>
        <v>6864</v>
      </c>
      <c r="E24" s="17">
        <f t="shared" si="1"/>
        <v>53419.684644608686</v>
      </c>
      <c r="F24" s="21">
        <f t="shared" si="2"/>
        <v>7.78</v>
      </c>
    </row>
    <row r="25" spans="1:6" ht="14.25" customHeight="1" x14ac:dyDescent="0.2">
      <c r="A25" s="19">
        <v>21</v>
      </c>
      <c r="B25" s="177" t="s">
        <v>461</v>
      </c>
      <c r="C25" s="178"/>
      <c r="D25" s="14">
        <f t="shared" si="0"/>
        <v>21424</v>
      </c>
      <c r="E25" s="17">
        <f t="shared" si="1"/>
        <v>166735.19752711197</v>
      </c>
      <c r="F25" s="21">
        <f t="shared" si="2"/>
        <v>7.78</v>
      </c>
    </row>
    <row r="26" spans="1:6" x14ac:dyDescent="0.2">
      <c r="A26" s="19">
        <v>22</v>
      </c>
      <c r="B26" s="177" t="s">
        <v>19</v>
      </c>
      <c r="C26" s="178"/>
      <c r="D26" s="14">
        <f t="shared" si="0"/>
        <v>1360</v>
      </c>
      <c r="E26" s="17">
        <f t="shared" si="1"/>
        <v>10584.042412101955</v>
      </c>
      <c r="F26" s="21">
        <f t="shared" si="2"/>
        <v>7.78</v>
      </c>
    </row>
    <row r="27" spans="1:6" x14ac:dyDescent="0.2">
      <c r="A27" s="19">
        <v>23</v>
      </c>
      <c r="B27" s="177" t="s">
        <v>20</v>
      </c>
      <c r="C27" s="178"/>
      <c r="D27" s="14">
        <f t="shared" si="0"/>
        <v>0</v>
      </c>
      <c r="E27" s="17">
        <f t="shared" si="1"/>
        <v>0</v>
      </c>
      <c r="F27" s="21" t="str">
        <f t="shared" si="2"/>
        <v/>
      </c>
    </row>
    <row r="28" spans="1:6" x14ac:dyDescent="0.2">
      <c r="A28" s="19">
        <v>24</v>
      </c>
      <c r="B28" s="177" t="s">
        <v>21</v>
      </c>
      <c r="C28" s="178"/>
      <c r="D28" s="14">
        <f t="shared" si="0"/>
        <v>74400</v>
      </c>
      <c r="E28" s="17">
        <f t="shared" si="1"/>
        <v>579030.37901498936</v>
      </c>
      <c r="F28" s="21">
        <f t="shared" si="2"/>
        <v>7.78</v>
      </c>
    </row>
    <row r="29" spans="1:6" x14ac:dyDescent="0.2">
      <c r="A29" s="19">
        <v>25</v>
      </c>
      <c r="B29" s="177" t="s">
        <v>22</v>
      </c>
      <c r="C29" s="178"/>
      <c r="D29" s="14">
        <f t="shared" si="0"/>
        <v>30000</v>
      </c>
      <c r="E29" s="17">
        <f t="shared" si="1"/>
        <v>233479.52379636664</v>
      </c>
      <c r="F29" s="21">
        <f t="shared" si="2"/>
        <v>7.78</v>
      </c>
    </row>
    <row r="30" spans="1:6" x14ac:dyDescent="0.2">
      <c r="A30" s="19">
        <v>26</v>
      </c>
      <c r="B30" s="177" t="s">
        <v>23</v>
      </c>
      <c r="C30" s="178"/>
      <c r="D30" s="14">
        <f t="shared" si="0"/>
        <v>39216</v>
      </c>
      <c r="E30" s="17">
        <f t="shared" si="1"/>
        <v>305204.57590661047</v>
      </c>
      <c r="F30" s="21">
        <f t="shared" si="2"/>
        <v>7.78</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1158160</v>
      </c>
      <c r="E33" s="31">
        <f>SUM(E5:E32)</f>
        <v>9013567</v>
      </c>
      <c r="F33" s="32">
        <f t="shared" si="2"/>
        <v>7.78</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IF(F3="1",SUMIF(Data!A:A,'55'!$A$2,Data!CU:CU),0)</f>
        <v>0</v>
      </c>
      <c r="E36" s="15">
        <f>IF(F3="1",SUMIF(Data!$A:$A,$A$2,Data!IO:IO),0)</f>
        <v>0</v>
      </c>
      <c r="F36" s="20" t="str">
        <f t="shared" ref="F36:F64" si="3">IF(OR(D36=0,E36=0),"",ROUND(E36/D36,2))</f>
        <v/>
      </c>
    </row>
    <row r="37" spans="1:6" x14ac:dyDescent="0.2">
      <c r="A37" s="19">
        <v>2</v>
      </c>
      <c r="B37" s="177" t="s">
        <v>1</v>
      </c>
      <c r="C37" s="178"/>
      <c r="D37" s="14">
        <f>IF(F3="1",SUMIF(Data!A:A,'55'!$A$2,Data!CV:CV),0)</f>
        <v>151840</v>
      </c>
      <c r="E37" s="17">
        <f>IF(F3="1",SUMIF(Data!$A:$A,$A$2,Data!IP:IP),0)</f>
        <v>325897</v>
      </c>
      <c r="F37" s="21">
        <f t="shared" si="3"/>
        <v>2.15</v>
      </c>
    </row>
    <row r="38" spans="1:6" ht="14.25" customHeight="1" x14ac:dyDescent="0.2">
      <c r="A38" s="19">
        <v>3</v>
      </c>
      <c r="B38" s="177" t="s">
        <v>2</v>
      </c>
      <c r="C38" s="178"/>
      <c r="D38" s="14">
        <f>IF(F3="1",SUMIF(Data!A:A,'55'!$A$2,Data!CW:CW),0)</f>
        <v>197696</v>
      </c>
      <c r="E38" s="17">
        <f>IF($F$3="1",SUMIF(Data!$A:$A,$A$2,Data!IQ:IQ),0)</f>
        <v>424318</v>
      </c>
      <c r="F38" s="21">
        <f t="shared" si="3"/>
        <v>2.15</v>
      </c>
    </row>
    <row r="39" spans="1:6" ht="14.25" customHeight="1" x14ac:dyDescent="0.2">
      <c r="A39" s="19">
        <v>4</v>
      </c>
      <c r="B39" s="177" t="s">
        <v>3</v>
      </c>
      <c r="C39" s="178"/>
      <c r="D39" s="14">
        <f>IF(F3="1",SUMIF(Data!A:A,'55'!$A$2,Data!CX:CX),0)</f>
        <v>109952</v>
      </c>
      <c r="E39" s="17">
        <f>IF($F$3="1",SUMIF(Data!$A:$A,$A$2,Data!IR:IR),0)</f>
        <v>235992</v>
      </c>
      <c r="F39" s="21">
        <f t="shared" si="3"/>
        <v>2.15</v>
      </c>
    </row>
    <row r="40" spans="1:6" x14ac:dyDescent="0.2">
      <c r="A40" s="19">
        <v>5</v>
      </c>
      <c r="B40" s="177" t="s">
        <v>4</v>
      </c>
      <c r="C40" s="178"/>
      <c r="D40" s="14">
        <f>IF(F3="1",SUMIF(Data!A:A,'55'!$A$2,Data!CY:CY),0)</f>
        <v>0</v>
      </c>
      <c r="E40" s="17">
        <f>IF($F$3="1",SUMIF(Data!$A:$A,$A$2,Data!IS:IS),0)</f>
        <v>0</v>
      </c>
      <c r="F40" s="21" t="str">
        <f t="shared" si="3"/>
        <v/>
      </c>
    </row>
    <row r="41" spans="1:6" x14ac:dyDescent="0.2">
      <c r="A41" s="19">
        <v>6</v>
      </c>
      <c r="B41" s="177" t="s">
        <v>5</v>
      </c>
      <c r="C41" s="178"/>
      <c r="D41" s="14">
        <f>IF(F3="1",SUMIF(Data!A:A,'55'!$A$2,Data!CZ:CZ),0)</f>
        <v>0</v>
      </c>
      <c r="E41" s="17">
        <f>IF($F$3="1",SUMIF(Data!$A:$A,$A$2,Data!IT:IT),0)</f>
        <v>0</v>
      </c>
      <c r="F41" s="21" t="str">
        <f t="shared" si="3"/>
        <v/>
      </c>
    </row>
    <row r="42" spans="1:6" x14ac:dyDescent="0.2">
      <c r="A42" s="19">
        <v>7</v>
      </c>
      <c r="B42" s="177" t="s">
        <v>6</v>
      </c>
      <c r="C42" s="178"/>
      <c r="D42" s="14">
        <f>IF(F3="1",SUMIF(Data!A:A,'55'!$A$2,Data!DA:DA),0)</f>
        <v>45200</v>
      </c>
      <c r="E42" s="17">
        <f>IF($F$3="1",SUMIF(Data!$A:$A,$A$2,Data!IU:IU),0)</f>
        <v>97013</v>
      </c>
      <c r="F42" s="21">
        <f t="shared" si="3"/>
        <v>2.15</v>
      </c>
    </row>
    <row r="43" spans="1:6" x14ac:dyDescent="0.2">
      <c r="A43" s="19">
        <v>8</v>
      </c>
      <c r="B43" s="177" t="s">
        <v>7</v>
      </c>
      <c r="C43" s="178"/>
      <c r="D43" s="14">
        <f>IF(F3="1",SUMIF(Data!A:A,'55'!$A$2,Data!DB:DB),0)</f>
        <v>0</v>
      </c>
      <c r="E43" s="17">
        <f>IF($F$3="1",SUMIF(Data!$A:$A,$A$2,Data!IV:IV),0)</f>
        <v>0</v>
      </c>
      <c r="F43" s="21" t="str">
        <f t="shared" si="3"/>
        <v/>
      </c>
    </row>
    <row r="44" spans="1:6" x14ac:dyDescent="0.2">
      <c r="A44" s="19">
        <v>9</v>
      </c>
      <c r="B44" s="177" t="s">
        <v>8</v>
      </c>
      <c r="C44" s="178"/>
      <c r="D44" s="14">
        <f>IF(F3="1",SUMIF(Data!A:A,'55'!$A$2,Data!DC:DC),0)</f>
        <v>23120</v>
      </c>
      <c r="E44" s="17">
        <f>IF($F$3="1",SUMIF(Data!$A:$A,$A$2,Data!IW:IW),0)</f>
        <v>49623</v>
      </c>
      <c r="F44" s="21">
        <f t="shared" si="3"/>
        <v>2.15</v>
      </c>
    </row>
    <row r="45" spans="1:6" x14ac:dyDescent="0.2">
      <c r="A45" s="19">
        <v>10</v>
      </c>
      <c r="B45" s="177" t="s">
        <v>9</v>
      </c>
      <c r="C45" s="178"/>
      <c r="D45" s="14">
        <f>IF(F3="1",SUMIF(Data!A:A,'55'!$A$2,Data!DD:DD),0)</f>
        <v>0</v>
      </c>
      <c r="E45" s="17">
        <f>IF($F$3="1",SUMIF(Data!$A:$A,$A$2,Data!IX:IX),0)</f>
        <v>0</v>
      </c>
      <c r="F45" s="21" t="str">
        <f t="shared" si="3"/>
        <v/>
      </c>
    </row>
    <row r="46" spans="1:6" x14ac:dyDescent="0.2">
      <c r="A46" s="19">
        <v>11</v>
      </c>
      <c r="B46" s="177" t="s">
        <v>10</v>
      </c>
      <c r="C46" s="178"/>
      <c r="D46" s="14">
        <f>IF(F3="1",SUMIF(Data!A:A,'55'!$A$2,Data!DE:DE),0)</f>
        <v>190784</v>
      </c>
      <c r="E46" s="17">
        <f>IF($F$3="1",SUMIF(Data!$A:$A,$A$2,Data!IY:IY),0)</f>
        <v>409484</v>
      </c>
      <c r="F46" s="21">
        <f t="shared" si="3"/>
        <v>2.15</v>
      </c>
    </row>
    <row r="47" spans="1:6" ht="14.25" customHeight="1" x14ac:dyDescent="0.2">
      <c r="A47" s="19">
        <v>12</v>
      </c>
      <c r="B47" s="177" t="s">
        <v>11</v>
      </c>
      <c r="C47" s="178"/>
      <c r="D47" s="14">
        <f>IF(F3="1",SUMIF(Data!A:A,'55'!$A$2,Data!DF:DF),0)</f>
        <v>41616</v>
      </c>
      <c r="E47" s="17">
        <f>IF($F$3="1",SUMIF(Data!$A:$A,$A$2,Data!IZ:IZ),0)</f>
        <v>89322</v>
      </c>
      <c r="F47" s="21">
        <f t="shared" si="3"/>
        <v>2.15</v>
      </c>
    </row>
    <row r="48" spans="1:6" x14ac:dyDescent="0.2">
      <c r="A48" s="19">
        <v>13</v>
      </c>
      <c r="B48" s="177" t="s">
        <v>12</v>
      </c>
      <c r="C48" s="178"/>
      <c r="D48" s="14">
        <f>IF(F3="1",SUMIF(Data!A:A,'55'!$A$2,Data!DG:DG),0)</f>
        <v>0</v>
      </c>
      <c r="E48" s="17">
        <f>IF($F$3="1",SUMIF(Data!$A:$A,$A$2,Data!JA:JA),0)</f>
        <v>0</v>
      </c>
      <c r="F48" s="21" t="str">
        <f t="shared" si="3"/>
        <v/>
      </c>
    </row>
    <row r="49" spans="1:6" ht="14.25" customHeight="1" x14ac:dyDescent="0.2">
      <c r="A49" s="19">
        <v>14</v>
      </c>
      <c r="B49" s="177" t="s">
        <v>464</v>
      </c>
      <c r="C49" s="178"/>
      <c r="D49" s="14">
        <f>IF(F3="1",SUMIF(Data!A:A,'55'!$A$2,Data!DH:DH),0)</f>
        <v>1760</v>
      </c>
      <c r="E49" s="17">
        <f>IF($F$3="1",SUMIF(Data!$A:$A,$A$2,Data!JB:JB),0)</f>
        <v>3777</v>
      </c>
      <c r="F49" s="21">
        <f t="shared" si="3"/>
        <v>2.15</v>
      </c>
    </row>
    <row r="50" spans="1:6" x14ac:dyDescent="0.2">
      <c r="A50" s="19">
        <v>15</v>
      </c>
      <c r="B50" s="177" t="s">
        <v>13</v>
      </c>
      <c r="C50" s="178"/>
      <c r="D50" s="14">
        <f>IF(F3="1",SUMIF(Data!A:A,'55'!$A$2,Data!DI:DI),0)</f>
        <v>23600</v>
      </c>
      <c r="E50" s="17">
        <f>IF($F$3="1",SUMIF(Data!$A:$A,$A$2,Data!JC:JC),0)</f>
        <v>50653</v>
      </c>
      <c r="F50" s="21">
        <f t="shared" si="3"/>
        <v>2.15</v>
      </c>
    </row>
    <row r="51" spans="1:6" x14ac:dyDescent="0.2">
      <c r="A51" s="19">
        <v>16</v>
      </c>
      <c r="B51" s="177" t="s">
        <v>14</v>
      </c>
      <c r="C51" s="178"/>
      <c r="D51" s="14">
        <f>IF(F3="1",SUMIF(Data!A:A,'55'!$A$2,Data!DJ:DJ),0)</f>
        <v>82928</v>
      </c>
      <c r="E51" s="17">
        <f>IF($F$3="1",SUMIF(Data!$A:$A,$A$2,Data!JD:JD),0)</f>
        <v>177991</v>
      </c>
      <c r="F51" s="21">
        <f t="shared" si="3"/>
        <v>2.15</v>
      </c>
    </row>
    <row r="52" spans="1:6" x14ac:dyDescent="0.2">
      <c r="A52" s="19">
        <v>17</v>
      </c>
      <c r="B52" s="177" t="s">
        <v>15</v>
      </c>
      <c r="C52" s="178"/>
      <c r="D52" s="14">
        <f>IF(F3="1",SUMIF(Data!A:A,'55'!$A$2,Data!DK:DK),0)</f>
        <v>47424</v>
      </c>
      <c r="E52" s="17">
        <f>IF($F$3="1",SUMIF(Data!$A:$A,$A$2,Data!JE:JE),0)</f>
        <v>101787</v>
      </c>
      <c r="F52" s="21">
        <f t="shared" si="3"/>
        <v>2.15</v>
      </c>
    </row>
    <row r="53" spans="1:6" x14ac:dyDescent="0.2">
      <c r="A53" s="19">
        <v>18</v>
      </c>
      <c r="B53" s="177" t="s">
        <v>16</v>
      </c>
      <c r="C53" s="178"/>
      <c r="D53" s="14">
        <f>IF(F3="1",SUMIF(Data!A:A,'55'!$A$2,Data!DL:DL),0)</f>
        <v>0</v>
      </c>
      <c r="E53" s="17">
        <f>IF($F$3="1",SUMIF(Data!$A:$A,$A$2,Data!JF:JF),0)</f>
        <v>0</v>
      </c>
      <c r="F53" s="21" t="str">
        <f t="shared" si="3"/>
        <v/>
      </c>
    </row>
    <row r="54" spans="1:6" x14ac:dyDescent="0.2">
      <c r="A54" s="19">
        <v>19</v>
      </c>
      <c r="B54" s="177" t="s">
        <v>17</v>
      </c>
      <c r="C54" s="178"/>
      <c r="D54" s="14">
        <f>IF(F3="1",SUMIF(Data!A:A,'55'!$A$2,Data!DM:DM),0)</f>
        <v>68976</v>
      </c>
      <c r="E54" s="17">
        <f>IF($F$3="1",SUMIF(Data!$A:$A,$A$2,Data!JG:JG),0)</f>
        <v>148044</v>
      </c>
      <c r="F54" s="21">
        <f t="shared" si="3"/>
        <v>2.15</v>
      </c>
    </row>
    <row r="55" spans="1:6" x14ac:dyDescent="0.2">
      <c r="A55" s="19">
        <v>20</v>
      </c>
      <c r="B55" s="177" t="s">
        <v>18</v>
      </c>
      <c r="C55" s="178"/>
      <c r="D55" s="14">
        <f>IF(F3="1",SUMIF(Data!A:A,'55'!$A$2,Data!DN:DN),0)</f>
        <v>6864</v>
      </c>
      <c r="E55" s="17">
        <f>IF($F$3="1",SUMIF(Data!$A:$A,$A$2,Data!JH:JH),0)</f>
        <v>14732</v>
      </c>
      <c r="F55" s="21">
        <f t="shared" si="3"/>
        <v>2.15</v>
      </c>
    </row>
    <row r="56" spans="1:6" ht="14.25" customHeight="1" x14ac:dyDescent="0.2">
      <c r="A56" s="19">
        <v>21</v>
      </c>
      <c r="B56" s="177" t="s">
        <v>461</v>
      </c>
      <c r="C56" s="178"/>
      <c r="D56" s="14">
        <f>IF(F3="1",SUMIF(Data!A:A,'55'!$A$2,Data!DO:DO),0)</f>
        <v>21424</v>
      </c>
      <c r="E56" s="17">
        <f>IF($F$3="1",SUMIF(Data!$A:$A,$A$2,Data!JI:JI),0)</f>
        <v>45982</v>
      </c>
      <c r="F56" s="21">
        <f t="shared" si="3"/>
        <v>2.15</v>
      </c>
    </row>
    <row r="57" spans="1:6" x14ac:dyDescent="0.2">
      <c r="A57" s="19">
        <v>22</v>
      </c>
      <c r="B57" s="177" t="s">
        <v>19</v>
      </c>
      <c r="C57" s="178"/>
      <c r="D57" s="14">
        <f>IF(F3="1",SUMIF(Data!A:A,'55'!$A$2,Data!DP:DP),0)</f>
        <v>1360</v>
      </c>
      <c r="E57" s="17">
        <f>IF($F$3="1",SUMIF(Data!$A:$A,$A$2,Data!JJ:JJ),0)</f>
        <v>2919</v>
      </c>
      <c r="F57" s="21">
        <f t="shared" si="3"/>
        <v>2.15</v>
      </c>
    </row>
    <row r="58" spans="1:6" x14ac:dyDescent="0.2">
      <c r="A58" s="19">
        <v>23</v>
      </c>
      <c r="B58" s="177" t="s">
        <v>20</v>
      </c>
      <c r="C58" s="178"/>
      <c r="D58" s="14">
        <f>IF(F3="1",SUMIF(Data!A:A,'55'!$A$2,Data!DQ:DQ),0)</f>
        <v>0</v>
      </c>
      <c r="E58" s="17">
        <f>IF($F$3="1",SUMIF(Data!$A:$A,$A$2,Data!JK:JK),0)</f>
        <v>0</v>
      </c>
      <c r="F58" s="21" t="str">
        <f t="shared" si="3"/>
        <v/>
      </c>
    </row>
    <row r="59" spans="1:6" x14ac:dyDescent="0.2">
      <c r="A59" s="19">
        <v>24</v>
      </c>
      <c r="B59" s="177" t="s">
        <v>21</v>
      </c>
      <c r="C59" s="178"/>
      <c r="D59" s="14">
        <f>IF(F3="1",SUMIF(Data!A:A,'55'!$A$2,Data!DR:DR),0)</f>
        <v>74400</v>
      </c>
      <c r="E59" s="17">
        <f>IF($F$3="1",SUMIF(Data!$A:$A,$A$2,Data!JL:JL),0)</f>
        <v>159686</v>
      </c>
      <c r="F59" s="21">
        <f t="shared" si="3"/>
        <v>2.15</v>
      </c>
    </row>
    <row r="60" spans="1:6" x14ac:dyDescent="0.2">
      <c r="A60" s="19">
        <v>25</v>
      </c>
      <c r="B60" s="177" t="s">
        <v>22</v>
      </c>
      <c r="C60" s="178"/>
      <c r="D60" s="14">
        <f>IF(F3="1",SUMIF(Data!A:A,'55'!$A$2,Data!DS:DS),0)</f>
        <v>30000</v>
      </c>
      <c r="E60" s="17">
        <f>IF($F$3="1",SUMIF(Data!$A:$A,$A$2,Data!JM:JM),0)</f>
        <v>64389</v>
      </c>
      <c r="F60" s="21">
        <f t="shared" si="3"/>
        <v>2.15</v>
      </c>
    </row>
    <row r="61" spans="1:6" x14ac:dyDescent="0.2">
      <c r="A61" s="19">
        <v>26</v>
      </c>
      <c r="B61" s="177" t="s">
        <v>23</v>
      </c>
      <c r="C61" s="178"/>
      <c r="D61" s="14">
        <f>IF(F3="1",SUMIF(Data!A:A,'55'!$A$2,Data!DT:DT),0)</f>
        <v>39216</v>
      </c>
      <c r="E61" s="17">
        <f>IF($F$3="1",SUMIF(Data!$A:$A,$A$2,Data!JN:JN),0)</f>
        <v>84169</v>
      </c>
      <c r="F61" s="21">
        <f t="shared" si="3"/>
        <v>2.15</v>
      </c>
    </row>
    <row r="62" spans="1:6" x14ac:dyDescent="0.2">
      <c r="A62" s="19">
        <v>28</v>
      </c>
      <c r="B62" s="177" t="s">
        <v>24</v>
      </c>
      <c r="C62" s="178"/>
      <c r="D62" s="14">
        <f>IF(F3="1",SUMIF(Data!A:A,'55'!$A$2,Data!DV:DV),0)</f>
        <v>0</v>
      </c>
      <c r="E62" s="17">
        <f>IF($F$3="1",SUMIF(Data!$A:$A,$A$2,Data!JP:JP),0)</f>
        <v>0</v>
      </c>
      <c r="F62" s="21" t="str">
        <f t="shared" si="3"/>
        <v/>
      </c>
    </row>
    <row r="63" spans="1:6" ht="15.75" customHeight="1" thickBot="1" x14ac:dyDescent="0.25">
      <c r="A63" s="22">
        <v>29</v>
      </c>
      <c r="B63" s="179" t="s">
        <v>25</v>
      </c>
      <c r="C63" s="180"/>
      <c r="D63" s="23">
        <f>IF(F3="1",SUMIF(Data!A:A,'55'!$A$2,Data!DW:DW),0)</f>
        <v>0</v>
      </c>
      <c r="E63" s="24">
        <f>IF($F$3="1",SUMIF(Data!$A:$A,$A$2,Data!JQ:JQ),0)</f>
        <v>0</v>
      </c>
      <c r="F63" s="25" t="str">
        <f t="shared" si="3"/>
        <v/>
      </c>
    </row>
    <row r="64" spans="1:6" x14ac:dyDescent="0.2">
      <c r="B64" s="30" t="s">
        <v>35</v>
      </c>
      <c r="C64" s="30"/>
      <c r="D64" s="59">
        <f>SUM(D36:D63)</f>
        <v>1158160</v>
      </c>
      <c r="E64" s="31">
        <f>SUM(E36:E63)</f>
        <v>2485778</v>
      </c>
      <c r="F64" s="32">
        <f t="shared" si="3"/>
        <v>2.15</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0</v>
      </c>
      <c r="E67" s="15">
        <f>IF(F3="1",SUMIF(Data!A:A,'55'!$A$2,Data!DY:DY),0)</f>
        <v>0</v>
      </c>
      <c r="F67" s="20" t="str">
        <f t="shared" ref="F67:F95" si="4">IF(OR(D67=0,E67=0),"",ROUND(E67/D67,2))</f>
        <v/>
      </c>
    </row>
    <row r="68" spans="1:6" x14ac:dyDescent="0.2">
      <c r="A68" s="19">
        <v>2</v>
      </c>
      <c r="B68" s="177" t="s">
        <v>1</v>
      </c>
      <c r="C68" s="178"/>
      <c r="D68" s="14">
        <f t="shared" ref="D68:D94" si="5">D37</f>
        <v>151840</v>
      </c>
      <c r="E68" s="17">
        <f>IF(F3="1",SUMIF(Data!A:A,'55'!$A$2,Data!DZ:DZ),0)</f>
        <v>427651</v>
      </c>
      <c r="F68" s="21">
        <f t="shared" si="4"/>
        <v>2.82</v>
      </c>
    </row>
    <row r="69" spans="1:6" ht="14.25" customHeight="1" x14ac:dyDescent="0.2">
      <c r="A69" s="19">
        <v>3</v>
      </c>
      <c r="B69" s="177" t="s">
        <v>2</v>
      </c>
      <c r="C69" s="178"/>
      <c r="D69" s="14">
        <f t="shared" si="5"/>
        <v>197696</v>
      </c>
      <c r="E69" s="17">
        <f>IF(F3="1",SUMIF(Data!A:A,'55'!$A$2,Data!EA:EA),0)</f>
        <v>556803</v>
      </c>
      <c r="F69" s="21">
        <f t="shared" si="4"/>
        <v>2.82</v>
      </c>
    </row>
    <row r="70" spans="1:6" ht="14.25" customHeight="1" x14ac:dyDescent="0.2">
      <c r="A70" s="19">
        <v>4</v>
      </c>
      <c r="B70" s="177" t="s">
        <v>3</v>
      </c>
      <c r="C70" s="178"/>
      <c r="D70" s="14">
        <f t="shared" si="5"/>
        <v>109952</v>
      </c>
      <c r="E70" s="17">
        <f>IF(F3="1",SUMIF(Data!A:A,'55'!$A$2,Data!EB:EB),0)</f>
        <v>309675</v>
      </c>
      <c r="F70" s="21">
        <f t="shared" si="4"/>
        <v>2.82</v>
      </c>
    </row>
    <row r="71" spans="1:6" x14ac:dyDescent="0.2">
      <c r="A71" s="19">
        <v>5</v>
      </c>
      <c r="B71" s="177" t="s">
        <v>4</v>
      </c>
      <c r="C71" s="178"/>
      <c r="D71" s="14">
        <f t="shared" si="5"/>
        <v>0</v>
      </c>
      <c r="E71" s="17">
        <f>IF(F3="1",SUMIF(Data!A:A,'55'!$A$2,Data!EC:EC),0)</f>
        <v>0</v>
      </c>
      <c r="F71" s="21" t="str">
        <f t="shared" si="4"/>
        <v/>
      </c>
    </row>
    <row r="72" spans="1:6" x14ac:dyDescent="0.2">
      <c r="A72" s="19">
        <v>6</v>
      </c>
      <c r="B72" s="177" t="s">
        <v>5</v>
      </c>
      <c r="C72" s="178"/>
      <c r="D72" s="14">
        <f t="shared" si="5"/>
        <v>0</v>
      </c>
      <c r="E72" s="17">
        <f>IF(F3="1",SUMIF(Data!A:A,'55'!$A$2,Data!ED:ED),0)</f>
        <v>0</v>
      </c>
      <c r="F72" s="21" t="str">
        <f t="shared" si="4"/>
        <v/>
      </c>
    </row>
    <row r="73" spans="1:6" x14ac:dyDescent="0.2">
      <c r="A73" s="19">
        <v>7</v>
      </c>
      <c r="B73" s="177" t="s">
        <v>6</v>
      </c>
      <c r="C73" s="178"/>
      <c r="D73" s="14">
        <f t="shared" si="5"/>
        <v>45200</v>
      </c>
      <c r="E73" s="17">
        <f>IF(F3="1",SUMIF(Data!A:A,'55'!$A$2,Data!EE:EE),0)</f>
        <v>127304</v>
      </c>
      <c r="F73" s="21">
        <f t="shared" si="4"/>
        <v>2.82</v>
      </c>
    </row>
    <row r="74" spans="1:6" x14ac:dyDescent="0.2">
      <c r="A74" s="19">
        <v>8</v>
      </c>
      <c r="B74" s="177" t="s">
        <v>7</v>
      </c>
      <c r="C74" s="178"/>
      <c r="D74" s="14">
        <f t="shared" si="5"/>
        <v>0</v>
      </c>
      <c r="E74" s="17">
        <f>IF(F3="1",SUMIF(Data!A:A,'55'!$A$2,Data!EF:EF),0)</f>
        <v>0</v>
      </c>
      <c r="F74" s="21" t="str">
        <f t="shared" si="4"/>
        <v/>
      </c>
    </row>
    <row r="75" spans="1:6" x14ac:dyDescent="0.2">
      <c r="A75" s="19">
        <v>9</v>
      </c>
      <c r="B75" s="177" t="s">
        <v>8</v>
      </c>
      <c r="C75" s="178"/>
      <c r="D75" s="14">
        <f t="shared" si="5"/>
        <v>23120</v>
      </c>
      <c r="E75" s="17">
        <f>IF(F3="1",SUMIF(Data!A:A,'55'!$A$2,Data!EG:EG),0)</f>
        <v>65117</v>
      </c>
      <c r="F75" s="21">
        <f t="shared" si="4"/>
        <v>2.82</v>
      </c>
    </row>
    <row r="76" spans="1:6" x14ac:dyDescent="0.2">
      <c r="A76" s="19">
        <v>10</v>
      </c>
      <c r="B76" s="177" t="s">
        <v>9</v>
      </c>
      <c r="C76" s="178"/>
      <c r="D76" s="14">
        <f t="shared" si="5"/>
        <v>0</v>
      </c>
      <c r="E76" s="17">
        <f>IF(F3="1",SUMIF(Data!A:A,'55'!$A$2,Data!EH:EH),0)</f>
        <v>0</v>
      </c>
      <c r="F76" s="21" t="str">
        <f t="shared" si="4"/>
        <v/>
      </c>
    </row>
    <row r="77" spans="1:6" x14ac:dyDescent="0.2">
      <c r="A77" s="19">
        <v>11</v>
      </c>
      <c r="B77" s="177" t="s">
        <v>10</v>
      </c>
      <c r="C77" s="178"/>
      <c r="D77" s="14">
        <f t="shared" si="5"/>
        <v>190784</v>
      </c>
      <c r="E77" s="17">
        <f>IF(F3="1",SUMIF(Data!A:A,'55'!$A$2,Data!EI:EI),0)</f>
        <v>537336</v>
      </c>
      <c r="F77" s="21">
        <f t="shared" si="4"/>
        <v>2.82</v>
      </c>
    </row>
    <row r="78" spans="1:6" ht="14.25" customHeight="1" x14ac:dyDescent="0.2">
      <c r="A78" s="19">
        <v>12</v>
      </c>
      <c r="B78" s="177" t="s">
        <v>11</v>
      </c>
      <c r="C78" s="178"/>
      <c r="D78" s="14">
        <f t="shared" si="5"/>
        <v>41616</v>
      </c>
      <c r="E78" s="17">
        <f>IF(F3="1",SUMIF(Data!A:A,'55'!$A$2,Data!EJ:EJ),0)</f>
        <v>117210</v>
      </c>
      <c r="F78" s="21">
        <f t="shared" si="4"/>
        <v>2.82</v>
      </c>
    </row>
    <row r="79" spans="1:6" x14ac:dyDescent="0.2">
      <c r="A79" s="19">
        <v>13</v>
      </c>
      <c r="B79" s="177" t="s">
        <v>12</v>
      </c>
      <c r="C79" s="178"/>
      <c r="D79" s="14">
        <f t="shared" si="5"/>
        <v>0</v>
      </c>
      <c r="E79" s="17">
        <f>IF(F3="1",SUMIF(Data!A:A,'55'!$A$2,Data!EK:EK),0)</f>
        <v>0</v>
      </c>
      <c r="F79" s="21" t="str">
        <f t="shared" si="4"/>
        <v/>
      </c>
    </row>
    <row r="80" spans="1:6" ht="14.25" customHeight="1" x14ac:dyDescent="0.2">
      <c r="A80" s="19">
        <v>14</v>
      </c>
      <c r="B80" s="177" t="s">
        <v>464</v>
      </c>
      <c r="C80" s="178"/>
      <c r="D80" s="14">
        <f t="shared" si="5"/>
        <v>1760</v>
      </c>
      <c r="E80" s="17">
        <f>IF(F3="1",SUMIF(Data!A:A,'55'!$A$2,Data!EL:EL),0)</f>
        <v>4957</v>
      </c>
      <c r="F80" s="21">
        <f t="shared" si="4"/>
        <v>2.82</v>
      </c>
    </row>
    <row r="81" spans="1:6" x14ac:dyDescent="0.2">
      <c r="A81" s="19">
        <v>15</v>
      </c>
      <c r="B81" s="177" t="s">
        <v>13</v>
      </c>
      <c r="C81" s="178"/>
      <c r="D81" s="14">
        <f t="shared" si="5"/>
        <v>23600</v>
      </c>
      <c r="E81" s="17">
        <f>IF(F3="1",SUMIF(Data!A:A,'55'!$A$2,Data!EM:EM),0)</f>
        <v>66468</v>
      </c>
      <c r="F81" s="21">
        <f t="shared" si="4"/>
        <v>2.82</v>
      </c>
    </row>
    <row r="82" spans="1:6" x14ac:dyDescent="0.2">
      <c r="A82" s="19">
        <v>16</v>
      </c>
      <c r="B82" s="177" t="s">
        <v>14</v>
      </c>
      <c r="C82" s="178"/>
      <c r="D82" s="14">
        <f t="shared" si="5"/>
        <v>82928</v>
      </c>
      <c r="E82" s="17">
        <f>IF(F3="1",SUMIF(Data!A:A,'55'!$A$2,Data!EN:EN),0)</f>
        <v>233563</v>
      </c>
      <c r="F82" s="21">
        <f t="shared" si="4"/>
        <v>2.82</v>
      </c>
    </row>
    <row r="83" spans="1:6" x14ac:dyDescent="0.2">
      <c r="A83" s="19">
        <v>17</v>
      </c>
      <c r="B83" s="177" t="s">
        <v>15</v>
      </c>
      <c r="C83" s="178"/>
      <c r="D83" s="14">
        <f t="shared" si="5"/>
        <v>47424</v>
      </c>
      <c r="E83" s="17">
        <f>IF(F3="1",SUMIF(Data!A:A,'55'!$A$2,Data!EO:EO),0)</f>
        <v>133568</v>
      </c>
      <c r="F83" s="21">
        <f t="shared" si="4"/>
        <v>2.82</v>
      </c>
    </row>
    <row r="84" spans="1:6" x14ac:dyDescent="0.2">
      <c r="A84" s="19">
        <v>18</v>
      </c>
      <c r="B84" s="177" t="s">
        <v>16</v>
      </c>
      <c r="C84" s="178"/>
      <c r="D84" s="14">
        <f t="shared" si="5"/>
        <v>0</v>
      </c>
      <c r="E84" s="17">
        <f>IF(F3="1",SUMIF(Data!A:A,'55'!$A$2,Data!EP:EP),0)</f>
        <v>0</v>
      </c>
      <c r="F84" s="21" t="str">
        <f t="shared" si="4"/>
        <v/>
      </c>
    </row>
    <row r="85" spans="1:6" x14ac:dyDescent="0.2">
      <c r="A85" s="19">
        <v>19</v>
      </c>
      <c r="B85" s="177" t="s">
        <v>17</v>
      </c>
      <c r="C85" s="178"/>
      <c r="D85" s="14">
        <f t="shared" si="5"/>
        <v>68976</v>
      </c>
      <c r="E85" s="17">
        <f>IF(F3="1",SUMIF(Data!A:A,'55'!$A$2,Data!EQ:EQ),0)</f>
        <v>194268</v>
      </c>
      <c r="F85" s="21">
        <f t="shared" si="4"/>
        <v>2.82</v>
      </c>
    </row>
    <row r="86" spans="1:6" x14ac:dyDescent="0.2">
      <c r="A86" s="19">
        <v>20</v>
      </c>
      <c r="B86" s="177" t="s">
        <v>18</v>
      </c>
      <c r="C86" s="178"/>
      <c r="D86" s="14">
        <f t="shared" si="5"/>
        <v>6864</v>
      </c>
      <c r="E86" s="17">
        <f>IF(F3="1",SUMIF(Data!A:A,'55'!$A$2,Data!ER:ER),0)</f>
        <v>19332</v>
      </c>
      <c r="F86" s="21">
        <f t="shared" si="4"/>
        <v>2.82</v>
      </c>
    </row>
    <row r="87" spans="1:6" ht="14.25" customHeight="1" x14ac:dyDescent="0.2">
      <c r="A87" s="19">
        <v>21</v>
      </c>
      <c r="B87" s="177" t="s">
        <v>461</v>
      </c>
      <c r="C87" s="178"/>
      <c r="D87" s="14">
        <f t="shared" si="5"/>
        <v>21424</v>
      </c>
      <c r="E87" s="17">
        <f>IF(F3="1",SUMIF(Data!A:A,'55'!$A$2,Data!ES:ES),0)</f>
        <v>60340</v>
      </c>
      <c r="F87" s="21">
        <f t="shared" si="4"/>
        <v>2.82</v>
      </c>
    </row>
    <row r="88" spans="1:6" x14ac:dyDescent="0.2">
      <c r="A88" s="19">
        <v>22</v>
      </c>
      <c r="B88" s="177" t="s">
        <v>19</v>
      </c>
      <c r="C88" s="178"/>
      <c r="D88" s="14">
        <f t="shared" si="5"/>
        <v>1360</v>
      </c>
      <c r="E88" s="17">
        <f>IF(F3="1",SUMIF(Data!A:A,'55'!$A$2,Data!ET:ET),0)</f>
        <v>3830</v>
      </c>
      <c r="F88" s="21">
        <f t="shared" si="4"/>
        <v>2.82</v>
      </c>
    </row>
    <row r="89" spans="1:6" x14ac:dyDescent="0.2">
      <c r="A89" s="19">
        <v>23</v>
      </c>
      <c r="B89" s="177" t="s">
        <v>20</v>
      </c>
      <c r="C89" s="178"/>
      <c r="D89" s="14">
        <f t="shared" si="5"/>
        <v>0</v>
      </c>
      <c r="E89" s="17">
        <f>IF(F3="1",SUMIF(Data!A:A,'55'!$A$2,Data!EU:EU),0)</f>
        <v>0</v>
      </c>
      <c r="F89" s="21" t="str">
        <f t="shared" si="4"/>
        <v/>
      </c>
    </row>
    <row r="90" spans="1:6" x14ac:dyDescent="0.2">
      <c r="A90" s="19">
        <v>24</v>
      </c>
      <c r="B90" s="177" t="s">
        <v>21</v>
      </c>
      <c r="C90" s="178"/>
      <c r="D90" s="14">
        <f t="shared" si="5"/>
        <v>74400</v>
      </c>
      <c r="E90" s="17">
        <f>IF(F3="1",SUMIF(Data!A:A,'55'!$A$2,Data!EV:EV),0)</f>
        <v>209545</v>
      </c>
      <c r="F90" s="21">
        <f t="shared" si="4"/>
        <v>2.82</v>
      </c>
    </row>
    <row r="91" spans="1:6" x14ac:dyDescent="0.2">
      <c r="A91" s="19">
        <v>25</v>
      </c>
      <c r="B91" s="177" t="s">
        <v>22</v>
      </c>
      <c r="C91" s="178"/>
      <c r="D91" s="14">
        <f t="shared" si="5"/>
        <v>30000</v>
      </c>
      <c r="E91" s="17">
        <f>IF(F3="1",SUMIF(Data!A:A,'55'!$A$2,Data!EW:EW),0)</f>
        <v>84494</v>
      </c>
      <c r="F91" s="21">
        <f t="shared" si="4"/>
        <v>2.82</v>
      </c>
    </row>
    <row r="92" spans="1:6" x14ac:dyDescent="0.2">
      <c r="A92" s="19">
        <v>26</v>
      </c>
      <c r="B92" s="177" t="s">
        <v>23</v>
      </c>
      <c r="C92" s="178"/>
      <c r="D92" s="14">
        <f t="shared" si="5"/>
        <v>39216</v>
      </c>
      <c r="E92" s="17">
        <f>IF(F3="1",SUMIF(Data!A:A,'55'!$A$2,Data!EX:EX),0)</f>
        <v>110451</v>
      </c>
      <c r="F92" s="21">
        <f t="shared" si="4"/>
        <v>2.82</v>
      </c>
    </row>
    <row r="93" spans="1:6" x14ac:dyDescent="0.2">
      <c r="A93" s="19">
        <v>28</v>
      </c>
      <c r="B93" s="177" t="s">
        <v>24</v>
      </c>
      <c r="C93" s="178"/>
      <c r="D93" s="14">
        <f t="shared" si="5"/>
        <v>0</v>
      </c>
      <c r="E93" s="17">
        <f>IF(F3="1",SUMIF(Data!A:A,'55'!$A$2,Data!EZ:EZ),0)</f>
        <v>0</v>
      </c>
      <c r="F93" s="21" t="str">
        <f t="shared" si="4"/>
        <v/>
      </c>
    </row>
    <row r="94" spans="1:6" ht="15.75" customHeight="1" thickBot="1" x14ac:dyDescent="0.25">
      <c r="A94" s="22">
        <v>29</v>
      </c>
      <c r="B94" s="179" t="s">
        <v>25</v>
      </c>
      <c r="C94" s="180"/>
      <c r="D94" s="23">
        <f t="shared" si="5"/>
        <v>0</v>
      </c>
      <c r="E94" s="24">
        <f>IF(F3="1",SUMIF(Data!A:A,'55'!$A$2,Data!FA:FA),0)</f>
        <v>0</v>
      </c>
      <c r="F94" s="25" t="str">
        <f t="shared" si="4"/>
        <v/>
      </c>
    </row>
    <row r="95" spans="1:6" x14ac:dyDescent="0.2">
      <c r="B95" s="30" t="s">
        <v>35</v>
      </c>
      <c r="C95" s="30"/>
      <c r="D95" s="59">
        <f>SUM(D67:D94)</f>
        <v>1158160</v>
      </c>
      <c r="E95" s="31">
        <f>SUM(E67:E94)</f>
        <v>3261912</v>
      </c>
      <c r="F95" s="32">
        <f t="shared" si="4"/>
        <v>2.82</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IF(F3="1",SUMIF(Data!A:A,'55'!$A$2,Data!AH:AH),0)</f>
        <v>1238427</v>
      </c>
      <c r="F98" s="20">
        <f>IF(OR(E98=0,E98=0),"",ROUND(E98/$D$105,2))</f>
        <v>1.07</v>
      </c>
    </row>
    <row r="99" spans="2:6" x14ac:dyDescent="0.2">
      <c r="B99" s="183" t="s">
        <v>31</v>
      </c>
      <c r="C99" s="184"/>
      <c r="D99" s="36"/>
      <c r="E99" s="17">
        <f>IF(F3="1",SUMIF(Data!A:A,'55'!$A$2,Data!AI:AI),0)</f>
        <v>515676</v>
      </c>
      <c r="F99" s="21">
        <f t="shared" ref="F99:F104" si="6">IF(OR(E99=0,E99=0),"",ROUND(E99/$D$105,2))</f>
        <v>0.45</v>
      </c>
    </row>
    <row r="100" spans="2:6" x14ac:dyDescent="0.2">
      <c r="B100" s="183" t="s">
        <v>1078</v>
      </c>
      <c r="C100" s="184"/>
      <c r="D100" s="36"/>
      <c r="E100" s="17">
        <f>IF(F3="1",SUMIF(Data!A:A,'55'!$A$2,Data!AJ:AJ),0)</f>
        <v>240000</v>
      </c>
      <c r="F100" s="21">
        <f t="shared" si="6"/>
        <v>0.21</v>
      </c>
    </row>
    <row r="101" spans="2:6" x14ac:dyDescent="0.2">
      <c r="B101" s="183" t="s">
        <v>1079</v>
      </c>
      <c r="C101" s="184"/>
      <c r="D101" s="36"/>
      <c r="E101" s="17">
        <f>IF(F3="1",SUMIF(Data!A:A,'55'!$A$2,Data!AK:AK),0)</f>
        <v>217114</v>
      </c>
      <c r="F101" s="21">
        <f t="shared" si="6"/>
        <v>0.19</v>
      </c>
    </row>
    <row r="102" spans="2:6" x14ac:dyDescent="0.2">
      <c r="B102" s="183" t="s">
        <v>1080</v>
      </c>
      <c r="C102" s="184"/>
      <c r="D102" s="36"/>
      <c r="E102" s="17">
        <f>IF(F3="1",SUMIF(Data!A:A,'55'!$A$2,Data!AL:AL),0)</f>
        <v>0</v>
      </c>
      <c r="F102" s="21" t="str">
        <f t="shared" si="6"/>
        <v/>
      </c>
    </row>
    <row r="103" spans="2:6" x14ac:dyDescent="0.2">
      <c r="B103" s="185" t="s">
        <v>34</v>
      </c>
      <c r="C103" s="186"/>
      <c r="D103" s="36"/>
      <c r="E103" s="17">
        <f>IF(F3="1",SUMIF(Data!A:A,'55'!$A$2,Data!AM:AM),0)</f>
        <v>0</v>
      </c>
      <c r="F103" s="21" t="str">
        <f t="shared" si="6"/>
        <v/>
      </c>
    </row>
    <row r="104" spans="2:6" ht="15.75" customHeight="1" thickBot="1" x14ac:dyDescent="0.25">
      <c r="B104" s="175" t="s">
        <v>29</v>
      </c>
      <c r="C104" s="176"/>
      <c r="D104" s="37"/>
      <c r="E104" s="24">
        <f>IF(F3="1",SUMIF(Data!A:A,'55'!$A$2,Data!Q:Q),0)</f>
        <v>1054660</v>
      </c>
      <c r="F104" s="25">
        <f t="shared" si="6"/>
        <v>0.91</v>
      </c>
    </row>
    <row r="105" spans="2:6" x14ac:dyDescent="0.2">
      <c r="B105" s="30" t="s">
        <v>35</v>
      </c>
      <c r="C105" s="30"/>
      <c r="D105" s="34">
        <f>D95</f>
        <v>1158160</v>
      </c>
      <c r="E105" s="31">
        <f>SUM(E98:E104)</f>
        <v>3265877</v>
      </c>
      <c r="F105" s="32">
        <f>IF($D$105=0,"",ROUND(E105/$D$105,2))</f>
        <v>2.82</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3261912</v>
      </c>
      <c r="D109" s="15">
        <f>IF(F3="1",SUMIF(Data!$A:$A,$A$2,Data!HJ:HJ),0)</f>
        <v>0</v>
      </c>
      <c r="E109" s="15">
        <f>IF(F3="1",SUMIF(Data!$A:$A,$A$2,Data!IN:IN),0)</f>
        <v>0</v>
      </c>
      <c r="F109" s="47">
        <f>SUM(C109:E109)</f>
        <v>3261912</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1054660</v>
      </c>
      <c r="E117" s="52"/>
      <c r="F117" s="49">
        <f>SUM(C117:E117)</f>
        <v>1054660</v>
      </c>
    </row>
    <row r="118" spans="1:6" x14ac:dyDescent="0.2">
      <c r="B118" s="13" t="s">
        <v>35</v>
      </c>
      <c r="C118" s="4">
        <f>SUM(C109:C116)</f>
        <v>3261912</v>
      </c>
      <c r="D118" s="4">
        <f>SUM(D109:D116)</f>
        <v>0</v>
      </c>
      <c r="E118" s="4">
        <f>SUM(E109:E116)</f>
        <v>0</v>
      </c>
      <c r="F118" s="4">
        <f>SUM(F109:F116)</f>
        <v>3261912</v>
      </c>
    </row>
    <row r="119" spans="1:6" ht="15" thickBot="1" x14ac:dyDescent="0.25"/>
    <row r="120" spans="1:6" ht="15" thickBot="1" x14ac:dyDescent="0.25">
      <c r="B120" s="55" t="s">
        <v>934</v>
      </c>
      <c r="C120" s="53"/>
      <c r="D120" s="53"/>
      <c r="E120" s="53">
        <f>IF(F3="1",SUMIF(Data!A:A,'55'!$A$2,Data!AM:AM),0)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42578125" style="10" bestFit="1" customWidth="1"/>
    <col min="13"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2000</v>
      </c>
      <c r="B1" s="38"/>
      <c r="C1" s="38"/>
      <c r="D1" s="38"/>
      <c r="E1" s="38"/>
      <c r="F1" s="38"/>
    </row>
    <row r="2" spans="1:6" x14ac:dyDescent="0.2">
      <c r="A2" s="5" t="s">
        <v>450</v>
      </c>
      <c r="B2" s="58" t="str">
        <f>VLOOKUP(A2,Data!A:G,7,0)</f>
        <v>Lamar State College-Orange</v>
      </c>
      <c r="C2" s="58"/>
    </row>
    <row r="3" spans="1:6" ht="15" thickBot="1" x14ac:dyDescent="0.25">
      <c r="A3" s="3"/>
      <c r="F3" s="56" t="str">
        <f>IFERROR(VLOOKUP(A2,Data!A:C,3,0),"0")</f>
        <v>1</v>
      </c>
    </row>
    <row r="4" spans="1:6" ht="29.25" customHeight="1" x14ac:dyDescent="0.2">
      <c r="A4" s="26" t="s">
        <v>26</v>
      </c>
      <c r="B4" s="187" t="s">
        <v>465</v>
      </c>
      <c r="C4" s="188"/>
      <c r="D4" s="28" t="s">
        <v>27</v>
      </c>
      <c r="E4" s="28" t="s">
        <v>462</v>
      </c>
      <c r="F4" s="29" t="s">
        <v>463</v>
      </c>
    </row>
    <row r="5" spans="1:6" x14ac:dyDescent="0.2">
      <c r="A5" s="19">
        <v>1</v>
      </c>
      <c r="B5" s="177" t="s">
        <v>0</v>
      </c>
      <c r="C5" s="178"/>
      <c r="D5" s="14">
        <f>D36</f>
        <v>0</v>
      </c>
      <c r="E5" s="15">
        <f>E36+E67+IFERROR($E$105/$D$105*D5,0)</f>
        <v>0</v>
      </c>
      <c r="F5" s="20" t="str">
        <f>IF(OR(D5=0,E5=0),"",ROUND(E5/D5,2))</f>
        <v/>
      </c>
    </row>
    <row r="6" spans="1:6" x14ac:dyDescent="0.2">
      <c r="A6" s="19">
        <v>2</v>
      </c>
      <c r="B6" s="177" t="s">
        <v>1</v>
      </c>
      <c r="C6" s="178"/>
      <c r="D6" s="14">
        <f t="shared" ref="D6:D32" si="0">D37</f>
        <v>0</v>
      </c>
      <c r="E6" s="17">
        <f t="shared" ref="E6:E32" si="1">E37+E68+IFERROR($E$105/$D$105*D6,0)</f>
        <v>0</v>
      </c>
      <c r="F6" s="21" t="str">
        <f t="shared" ref="F6:F33" si="2">IF(OR(D6=0,E6=0),"",ROUND(E6/D6,2))</f>
        <v/>
      </c>
    </row>
    <row r="7" spans="1:6" ht="14.25" customHeight="1" x14ac:dyDescent="0.2">
      <c r="A7" s="19">
        <v>3</v>
      </c>
      <c r="B7" s="177" t="s">
        <v>2</v>
      </c>
      <c r="C7" s="178"/>
      <c r="D7" s="14">
        <f t="shared" si="0"/>
        <v>92544</v>
      </c>
      <c r="E7" s="17">
        <f t="shared" si="1"/>
        <v>759661.46196049755</v>
      </c>
      <c r="F7" s="21">
        <f t="shared" si="2"/>
        <v>8.2100000000000009</v>
      </c>
    </row>
    <row r="8" spans="1:6" ht="14.25" customHeight="1" x14ac:dyDescent="0.2">
      <c r="A8" s="19">
        <v>4</v>
      </c>
      <c r="B8" s="177" t="s">
        <v>3</v>
      </c>
      <c r="C8" s="178"/>
      <c r="D8" s="14">
        <f t="shared" si="0"/>
        <v>76592</v>
      </c>
      <c r="E8" s="17">
        <f t="shared" si="1"/>
        <v>628717.80850707146</v>
      </c>
      <c r="F8" s="21">
        <f t="shared" si="2"/>
        <v>8.2100000000000009</v>
      </c>
    </row>
    <row r="9" spans="1:6" x14ac:dyDescent="0.2">
      <c r="A9" s="19">
        <v>5</v>
      </c>
      <c r="B9" s="177" t="s">
        <v>4</v>
      </c>
      <c r="C9" s="178"/>
      <c r="D9" s="14">
        <f t="shared" si="0"/>
        <v>0</v>
      </c>
      <c r="E9" s="17">
        <f t="shared" si="1"/>
        <v>0</v>
      </c>
      <c r="F9" s="21" t="str">
        <f t="shared" si="2"/>
        <v/>
      </c>
    </row>
    <row r="10" spans="1:6" x14ac:dyDescent="0.2">
      <c r="A10" s="19">
        <v>6</v>
      </c>
      <c r="B10" s="177" t="s">
        <v>5</v>
      </c>
      <c r="C10" s="178"/>
      <c r="D10" s="14">
        <f t="shared" si="0"/>
        <v>0</v>
      </c>
      <c r="E10" s="17">
        <f t="shared" si="1"/>
        <v>0</v>
      </c>
      <c r="F10" s="21" t="str">
        <f t="shared" si="2"/>
        <v/>
      </c>
    </row>
    <row r="11" spans="1:6" x14ac:dyDescent="0.2">
      <c r="A11" s="19">
        <v>7</v>
      </c>
      <c r="B11" s="177" t="s">
        <v>6</v>
      </c>
      <c r="C11" s="178"/>
      <c r="D11" s="14">
        <f t="shared" si="0"/>
        <v>130560</v>
      </c>
      <c r="E11" s="17">
        <f t="shared" si="1"/>
        <v>1071723.9670811999</v>
      </c>
      <c r="F11" s="21">
        <f t="shared" si="2"/>
        <v>8.2100000000000009</v>
      </c>
    </row>
    <row r="12" spans="1:6" x14ac:dyDescent="0.2">
      <c r="A12" s="19">
        <v>8</v>
      </c>
      <c r="B12" s="177" t="s">
        <v>7</v>
      </c>
      <c r="C12" s="178"/>
      <c r="D12" s="14">
        <f t="shared" si="0"/>
        <v>10544</v>
      </c>
      <c r="E12" s="17">
        <f t="shared" si="1"/>
        <v>86553.00163069983</v>
      </c>
      <c r="F12" s="21">
        <f t="shared" si="2"/>
        <v>8.2100000000000009</v>
      </c>
    </row>
    <row r="13" spans="1:6" x14ac:dyDescent="0.2">
      <c r="A13" s="19">
        <v>9</v>
      </c>
      <c r="B13" s="177" t="s">
        <v>8</v>
      </c>
      <c r="C13" s="178"/>
      <c r="D13" s="14">
        <f t="shared" si="0"/>
        <v>80080</v>
      </c>
      <c r="E13" s="17">
        <f t="shared" si="1"/>
        <v>657350.15199036826</v>
      </c>
      <c r="F13" s="21">
        <f t="shared" si="2"/>
        <v>8.2100000000000009</v>
      </c>
    </row>
    <row r="14" spans="1:6" x14ac:dyDescent="0.2">
      <c r="A14" s="19">
        <v>10</v>
      </c>
      <c r="B14" s="177" t="s">
        <v>9</v>
      </c>
      <c r="C14" s="178"/>
      <c r="D14" s="14">
        <f t="shared" si="0"/>
        <v>0</v>
      </c>
      <c r="E14" s="17">
        <f t="shared" si="1"/>
        <v>0</v>
      </c>
      <c r="F14" s="21" t="str">
        <f t="shared" si="2"/>
        <v/>
      </c>
    </row>
    <row r="15" spans="1:6" x14ac:dyDescent="0.2">
      <c r="A15" s="19">
        <v>11</v>
      </c>
      <c r="B15" s="177" t="s">
        <v>10</v>
      </c>
      <c r="C15" s="178"/>
      <c r="D15" s="14">
        <f t="shared" si="0"/>
        <v>27424</v>
      </c>
      <c r="E15" s="17">
        <f t="shared" si="1"/>
        <v>225113.9207815167</v>
      </c>
      <c r="F15" s="21">
        <f t="shared" si="2"/>
        <v>8.2100000000000009</v>
      </c>
    </row>
    <row r="16" spans="1:6" ht="14.25" customHeight="1" x14ac:dyDescent="0.2">
      <c r="A16" s="19">
        <v>12</v>
      </c>
      <c r="B16" s="177" t="s">
        <v>11</v>
      </c>
      <c r="C16" s="178"/>
      <c r="D16" s="14">
        <f t="shared" si="0"/>
        <v>132912</v>
      </c>
      <c r="E16" s="17">
        <f t="shared" si="1"/>
        <v>1091030.5197970008</v>
      </c>
      <c r="F16" s="21">
        <f t="shared" si="2"/>
        <v>8.2100000000000009</v>
      </c>
    </row>
    <row r="17" spans="1:6" x14ac:dyDescent="0.2">
      <c r="A17" s="19">
        <v>13</v>
      </c>
      <c r="B17" s="177" t="s">
        <v>12</v>
      </c>
      <c r="C17" s="178"/>
      <c r="D17" s="14">
        <f t="shared" si="0"/>
        <v>2064</v>
      </c>
      <c r="E17" s="17">
        <f t="shared" si="1"/>
        <v>16943.056464886613</v>
      </c>
      <c r="F17" s="21">
        <f t="shared" si="2"/>
        <v>8.2100000000000009</v>
      </c>
    </row>
    <row r="18" spans="1:6" ht="14.25" customHeight="1" x14ac:dyDescent="0.2">
      <c r="A18" s="19">
        <v>14</v>
      </c>
      <c r="B18" s="177" t="s">
        <v>464</v>
      </c>
      <c r="C18" s="178"/>
      <c r="D18" s="14">
        <f t="shared" si="0"/>
        <v>31232</v>
      </c>
      <c r="E18" s="17">
        <f t="shared" si="1"/>
        <v>256373.14898805169</v>
      </c>
      <c r="F18" s="21">
        <f t="shared" si="2"/>
        <v>8.2100000000000009</v>
      </c>
    </row>
    <row r="19" spans="1:6" x14ac:dyDescent="0.2">
      <c r="A19" s="19">
        <v>15</v>
      </c>
      <c r="B19" s="177" t="s">
        <v>13</v>
      </c>
      <c r="C19" s="178"/>
      <c r="D19" s="14">
        <f t="shared" si="0"/>
        <v>0</v>
      </c>
      <c r="E19" s="17">
        <f t="shared" si="1"/>
        <v>0</v>
      </c>
      <c r="F19" s="21" t="str">
        <f t="shared" si="2"/>
        <v/>
      </c>
    </row>
    <row r="20" spans="1:6" x14ac:dyDescent="0.2">
      <c r="A20" s="19">
        <v>16</v>
      </c>
      <c r="B20" s="177" t="s">
        <v>14</v>
      </c>
      <c r="C20" s="178"/>
      <c r="D20" s="14">
        <f t="shared" si="0"/>
        <v>97344</v>
      </c>
      <c r="E20" s="17">
        <f t="shared" si="1"/>
        <v>799063.73280907096</v>
      </c>
      <c r="F20" s="21">
        <f t="shared" si="2"/>
        <v>8.2100000000000009</v>
      </c>
    </row>
    <row r="21" spans="1:6" x14ac:dyDescent="0.2">
      <c r="A21" s="19">
        <v>17</v>
      </c>
      <c r="B21" s="177" t="s">
        <v>15</v>
      </c>
      <c r="C21" s="178"/>
      <c r="D21" s="14">
        <f t="shared" si="0"/>
        <v>0</v>
      </c>
      <c r="E21" s="17">
        <f t="shared" si="1"/>
        <v>0</v>
      </c>
      <c r="F21" s="21" t="str">
        <f t="shared" si="2"/>
        <v/>
      </c>
    </row>
    <row r="22" spans="1:6" x14ac:dyDescent="0.2">
      <c r="A22" s="19">
        <v>18</v>
      </c>
      <c r="B22" s="177" t="s">
        <v>16</v>
      </c>
      <c r="C22" s="178"/>
      <c r="D22" s="14">
        <f t="shared" si="0"/>
        <v>48512</v>
      </c>
      <c r="E22" s="17">
        <f t="shared" si="1"/>
        <v>398218.92404291639</v>
      </c>
      <c r="F22" s="21">
        <f t="shared" si="2"/>
        <v>8.2100000000000009</v>
      </c>
    </row>
    <row r="23" spans="1:6" x14ac:dyDescent="0.2">
      <c r="A23" s="19">
        <v>19</v>
      </c>
      <c r="B23" s="177" t="s">
        <v>17</v>
      </c>
      <c r="C23" s="178"/>
      <c r="D23" s="14">
        <f t="shared" si="0"/>
        <v>107824</v>
      </c>
      <c r="E23" s="17">
        <f t="shared" si="1"/>
        <v>885090.95749512315</v>
      </c>
      <c r="F23" s="21">
        <f t="shared" si="2"/>
        <v>8.2100000000000009</v>
      </c>
    </row>
    <row r="24" spans="1:6" x14ac:dyDescent="0.2">
      <c r="A24" s="19">
        <v>20</v>
      </c>
      <c r="B24" s="177" t="s">
        <v>18</v>
      </c>
      <c r="C24" s="178"/>
      <c r="D24" s="14">
        <f t="shared" si="0"/>
        <v>34896</v>
      </c>
      <c r="E24" s="17">
        <f t="shared" si="1"/>
        <v>286448.62906912947</v>
      </c>
      <c r="F24" s="21">
        <f t="shared" si="2"/>
        <v>8.2100000000000009</v>
      </c>
    </row>
    <row r="25" spans="1:6" ht="14.25" customHeight="1" x14ac:dyDescent="0.2">
      <c r="A25" s="19">
        <v>21</v>
      </c>
      <c r="B25" s="177" t="s">
        <v>461</v>
      </c>
      <c r="C25" s="178"/>
      <c r="D25" s="14">
        <f t="shared" si="0"/>
        <v>0</v>
      </c>
      <c r="E25" s="17">
        <f t="shared" si="1"/>
        <v>0</v>
      </c>
      <c r="F25" s="21" t="str">
        <f t="shared" si="2"/>
        <v/>
      </c>
    </row>
    <row r="26" spans="1:6" x14ac:dyDescent="0.2">
      <c r="A26" s="19">
        <v>22</v>
      </c>
      <c r="B26" s="177" t="s">
        <v>19</v>
      </c>
      <c r="C26" s="178"/>
      <c r="D26" s="14">
        <f t="shared" si="0"/>
        <v>0</v>
      </c>
      <c r="E26" s="17">
        <f t="shared" si="1"/>
        <v>0</v>
      </c>
      <c r="F26" s="21" t="str">
        <f t="shared" si="2"/>
        <v/>
      </c>
    </row>
    <row r="27" spans="1:6" x14ac:dyDescent="0.2">
      <c r="A27" s="19">
        <v>23</v>
      </c>
      <c r="B27" s="177" t="s">
        <v>20</v>
      </c>
      <c r="C27" s="178"/>
      <c r="D27" s="14">
        <f t="shared" si="0"/>
        <v>9840</v>
      </c>
      <c r="E27" s="17">
        <f t="shared" si="1"/>
        <v>80773.455239575705</v>
      </c>
      <c r="F27" s="21">
        <f t="shared" si="2"/>
        <v>8.2100000000000009</v>
      </c>
    </row>
    <row r="28" spans="1:6" x14ac:dyDescent="0.2">
      <c r="A28" s="19">
        <v>24</v>
      </c>
      <c r="B28" s="177" t="s">
        <v>21</v>
      </c>
      <c r="C28" s="178"/>
      <c r="D28" s="14">
        <f t="shared" si="0"/>
        <v>23840</v>
      </c>
      <c r="E28" s="17">
        <f t="shared" si="1"/>
        <v>195694.41188124847</v>
      </c>
      <c r="F28" s="21">
        <f t="shared" si="2"/>
        <v>8.2100000000000009</v>
      </c>
    </row>
    <row r="29" spans="1:6" x14ac:dyDescent="0.2">
      <c r="A29" s="19">
        <v>25</v>
      </c>
      <c r="B29" s="177" t="s">
        <v>22</v>
      </c>
      <c r="C29" s="178"/>
      <c r="D29" s="14">
        <f t="shared" si="0"/>
        <v>121520</v>
      </c>
      <c r="E29" s="17">
        <f t="shared" si="1"/>
        <v>997516.22364971961</v>
      </c>
      <c r="F29" s="21">
        <f t="shared" si="2"/>
        <v>8.2100000000000009</v>
      </c>
    </row>
    <row r="30" spans="1:6" x14ac:dyDescent="0.2">
      <c r="A30" s="19">
        <v>26</v>
      </c>
      <c r="B30" s="177" t="s">
        <v>23</v>
      </c>
      <c r="C30" s="178"/>
      <c r="D30" s="14">
        <f t="shared" si="0"/>
        <v>22128</v>
      </c>
      <c r="E30" s="17">
        <f t="shared" si="1"/>
        <v>181640.62861192392</v>
      </c>
      <c r="F30" s="21">
        <f t="shared" si="2"/>
        <v>8.2100000000000009</v>
      </c>
    </row>
    <row r="31" spans="1:6" x14ac:dyDescent="0.2">
      <c r="A31" s="19">
        <v>28</v>
      </c>
      <c r="B31" s="177" t="s">
        <v>24</v>
      </c>
      <c r="C31" s="178"/>
      <c r="D31" s="14">
        <f t="shared" si="0"/>
        <v>0</v>
      </c>
      <c r="E31" s="17">
        <f t="shared" si="1"/>
        <v>0</v>
      </c>
      <c r="F31" s="21" t="str">
        <f t="shared" si="2"/>
        <v/>
      </c>
    </row>
    <row r="32" spans="1:6" ht="15.75" customHeight="1" thickBot="1" x14ac:dyDescent="0.25">
      <c r="A32" s="22">
        <v>29</v>
      </c>
      <c r="B32" s="179" t="s">
        <v>25</v>
      </c>
      <c r="C32" s="180"/>
      <c r="D32" s="23">
        <f t="shared" si="0"/>
        <v>0</v>
      </c>
      <c r="E32" s="24">
        <f t="shared" si="1"/>
        <v>0</v>
      </c>
      <c r="F32" s="25" t="str">
        <f t="shared" si="2"/>
        <v/>
      </c>
    </row>
    <row r="33" spans="1:6" x14ac:dyDescent="0.2">
      <c r="B33" s="30" t="s">
        <v>35</v>
      </c>
      <c r="C33" s="30"/>
      <c r="D33" s="59">
        <f>SUM(D5:D32)</f>
        <v>1049856</v>
      </c>
      <c r="E33" s="31">
        <f>SUM(E5:E32)</f>
        <v>8617913.9999999981</v>
      </c>
      <c r="F33" s="32">
        <f t="shared" si="2"/>
        <v>8.2100000000000009</v>
      </c>
    </row>
    <row r="34" spans="1:6" ht="15" thickBot="1" x14ac:dyDescent="0.25">
      <c r="F34" s="66"/>
    </row>
    <row r="35" spans="1:6" ht="29.25" customHeight="1" x14ac:dyDescent="0.2">
      <c r="A35" s="26" t="s">
        <v>26</v>
      </c>
      <c r="B35" s="187" t="s">
        <v>466</v>
      </c>
      <c r="C35" s="188"/>
      <c r="D35" s="28" t="s">
        <v>27</v>
      </c>
      <c r="E35" s="28" t="s">
        <v>462</v>
      </c>
      <c r="F35" s="29" t="s">
        <v>463</v>
      </c>
    </row>
    <row r="36" spans="1:6" x14ac:dyDescent="0.2">
      <c r="A36" s="19">
        <v>1</v>
      </c>
      <c r="B36" s="177" t="s">
        <v>0</v>
      </c>
      <c r="C36" s="178"/>
      <c r="D36" s="14">
        <f>IF(F3="1",SUMIF(Data!A:A,'56'!$A$2,Data!CU:CU),0)</f>
        <v>0</v>
      </c>
      <c r="E36" s="15">
        <f>IF(F3="1",SUMIF(Data!$A:$A,$A$2,Data!IO:IO),0)</f>
        <v>0</v>
      </c>
      <c r="F36" s="20" t="str">
        <f t="shared" ref="F36:F64" si="3">IF(OR(D36=0,E36=0),"",ROUND(E36/D36,2))</f>
        <v/>
      </c>
    </row>
    <row r="37" spans="1:6" x14ac:dyDescent="0.2">
      <c r="A37" s="19">
        <v>2</v>
      </c>
      <c r="B37" s="177" t="s">
        <v>1</v>
      </c>
      <c r="C37" s="178"/>
      <c r="D37" s="14">
        <f>IF(F3="1",SUMIF(Data!A:A,'56'!$A$2,Data!CV:CV),0)</f>
        <v>0</v>
      </c>
      <c r="E37" s="17">
        <f>IF(F3="1",SUMIF(Data!$A:$A,$A$2,Data!IP:IP),0)</f>
        <v>0</v>
      </c>
      <c r="F37" s="21" t="str">
        <f t="shared" si="3"/>
        <v/>
      </c>
    </row>
    <row r="38" spans="1:6" ht="14.25" customHeight="1" x14ac:dyDescent="0.2">
      <c r="A38" s="19">
        <v>3</v>
      </c>
      <c r="B38" s="177" t="s">
        <v>2</v>
      </c>
      <c r="C38" s="178"/>
      <c r="D38" s="14">
        <f>IF(F3="1",SUMIF(Data!A:A,'56'!$A$2,Data!CW:CW),0)</f>
        <v>92544</v>
      </c>
      <c r="E38" s="17">
        <f>IF($F$3="1",SUMIF(Data!$A:$A,$A$2,Data!IQ:IQ),0)</f>
        <v>221541</v>
      </c>
      <c r="F38" s="21">
        <f t="shared" si="3"/>
        <v>2.39</v>
      </c>
    </row>
    <row r="39" spans="1:6" ht="14.25" customHeight="1" x14ac:dyDescent="0.2">
      <c r="A39" s="19">
        <v>4</v>
      </c>
      <c r="B39" s="177" t="s">
        <v>3</v>
      </c>
      <c r="C39" s="178"/>
      <c r="D39" s="14">
        <f>IF(F3="1",SUMIF(Data!A:A,'56'!$A$2,Data!CX:CX),0)</f>
        <v>76592</v>
      </c>
      <c r="E39" s="17">
        <f>IF($F$3="1",SUMIF(Data!$A:$A,$A$2,Data!IR:IR),0)</f>
        <v>183354</v>
      </c>
      <c r="F39" s="21">
        <f t="shared" si="3"/>
        <v>2.39</v>
      </c>
    </row>
    <row r="40" spans="1:6" x14ac:dyDescent="0.2">
      <c r="A40" s="19">
        <v>5</v>
      </c>
      <c r="B40" s="177" t="s">
        <v>4</v>
      </c>
      <c r="C40" s="178"/>
      <c r="D40" s="14">
        <f>IF(F3="1",SUMIF(Data!A:A,'56'!$A$2,Data!CY:CY),0)</f>
        <v>0</v>
      </c>
      <c r="E40" s="17">
        <f>IF($F$3="1",SUMIF(Data!$A:$A,$A$2,Data!IS:IS),0)</f>
        <v>0</v>
      </c>
      <c r="F40" s="21" t="str">
        <f t="shared" si="3"/>
        <v/>
      </c>
    </row>
    <row r="41" spans="1:6" x14ac:dyDescent="0.2">
      <c r="A41" s="19">
        <v>6</v>
      </c>
      <c r="B41" s="177" t="s">
        <v>5</v>
      </c>
      <c r="C41" s="178"/>
      <c r="D41" s="14">
        <f>IF(F3="1",SUMIF(Data!A:A,'56'!$A$2,Data!CZ:CZ),0)</f>
        <v>0</v>
      </c>
      <c r="E41" s="17">
        <f>IF($F$3="1",SUMIF(Data!$A:$A,$A$2,Data!IT:IT),0)</f>
        <v>0</v>
      </c>
      <c r="F41" s="21" t="str">
        <f t="shared" si="3"/>
        <v/>
      </c>
    </row>
    <row r="42" spans="1:6" x14ac:dyDescent="0.2">
      <c r="A42" s="19">
        <v>7</v>
      </c>
      <c r="B42" s="177" t="s">
        <v>6</v>
      </c>
      <c r="C42" s="178"/>
      <c r="D42" s="14">
        <f>IF(F3="1",SUMIF(Data!A:A,'56'!$A$2,Data!DA:DA),0)</f>
        <v>130560</v>
      </c>
      <c r="E42" s="17">
        <f>IF($F$3="1",SUMIF(Data!$A:$A,$A$2,Data!IU:IU),0)</f>
        <v>312549</v>
      </c>
      <c r="F42" s="21">
        <f t="shared" si="3"/>
        <v>2.39</v>
      </c>
    </row>
    <row r="43" spans="1:6" x14ac:dyDescent="0.2">
      <c r="A43" s="19">
        <v>8</v>
      </c>
      <c r="B43" s="177" t="s">
        <v>7</v>
      </c>
      <c r="C43" s="178"/>
      <c r="D43" s="14">
        <f>IF(F3="1",SUMIF(Data!A:A,'56'!$A$2,Data!DB:DB),0)</f>
        <v>10544</v>
      </c>
      <c r="E43" s="17">
        <f>IF($F$3="1",SUMIF(Data!$A:$A,$A$2,Data!IV:IV),0)</f>
        <v>25242</v>
      </c>
      <c r="F43" s="21">
        <f t="shared" si="3"/>
        <v>2.39</v>
      </c>
    </row>
    <row r="44" spans="1:6" x14ac:dyDescent="0.2">
      <c r="A44" s="19">
        <v>9</v>
      </c>
      <c r="B44" s="177" t="s">
        <v>8</v>
      </c>
      <c r="C44" s="178"/>
      <c r="D44" s="14">
        <f>IF(F3="1",SUMIF(Data!A:A,'56'!$A$2,Data!DC:DC),0)</f>
        <v>80080</v>
      </c>
      <c r="E44" s="17">
        <f>IF($F$3="1",SUMIF(Data!$A:$A,$A$2,Data!IW:IW),0)</f>
        <v>191704</v>
      </c>
      <c r="F44" s="21">
        <f t="shared" si="3"/>
        <v>2.39</v>
      </c>
    </row>
    <row r="45" spans="1:6" x14ac:dyDescent="0.2">
      <c r="A45" s="19">
        <v>10</v>
      </c>
      <c r="B45" s="177" t="s">
        <v>9</v>
      </c>
      <c r="C45" s="178"/>
      <c r="D45" s="14">
        <f>IF(F3="1",SUMIF(Data!A:A,'56'!$A$2,Data!DD:DD),0)</f>
        <v>0</v>
      </c>
      <c r="E45" s="17">
        <f>IF($F$3="1",SUMIF(Data!$A:$A,$A$2,Data!IX:IX),0)</f>
        <v>0</v>
      </c>
      <c r="F45" s="21" t="str">
        <f t="shared" si="3"/>
        <v/>
      </c>
    </row>
    <row r="46" spans="1:6" x14ac:dyDescent="0.2">
      <c r="A46" s="19">
        <v>11</v>
      </c>
      <c r="B46" s="177" t="s">
        <v>10</v>
      </c>
      <c r="C46" s="178"/>
      <c r="D46" s="14">
        <f>IF(F3="1",SUMIF(Data!A:A,'56'!$A$2,Data!DE:DE),0)</f>
        <v>27424</v>
      </c>
      <c r="E46" s="17">
        <f>IF($F$3="1",SUMIF(Data!$A:$A,$A$2,Data!IY:IY),0)</f>
        <v>65650</v>
      </c>
      <c r="F46" s="21">
        <f t="shared" si="3"/>
        <v>2.39</v>
      </c>
    </row>
    <row r="47" spans="1:6" ht="14.25" customHeight="1" x14ac:dyDescent="0.2">
      <c r="A47" s="19">
        <v>12</v>
      </c>
      <c r="B47" s="177" t="s">
        <v>11</v>
      </c>
      <c r="C47" s="178"/>
      <c r="D47" s="14">
        <f>IF(F3="1",SUMIF(Data!A:A,'56'!$A$2,Data!DF:DF),0)</f>
        <v>132912</v>
      </c>
      <c r="E47" s="17">
        <f>IF($F$3="1",SUMIF(Data!$A:$A,$A$2,Data!IZ:IZ),0)</f>
        <v>318179</v>
      </c>
      <c r="F47" s="21">
        <f t="shared" si="3"/>
        <v>2.39</v>
      </c>
    </row>
    <row r="48" spans="1:6" x14ac:dyDescent="0.2">
      <c r="A48" s="19">
        <v>13</v>
      </c>
      <c r="B48" s="177" t="s">
        <v>12</v>
      </c>
      <c r="C48" s="178"/>
      <c r="D48" s="14">
        <f>IF(F3="1",SUMIF(Data!A:A,'56'!$A$2,Data!DG:DG),0)</f>
        <v>2064</v>
      </c>
      <c r="E48" s="17">
        <f>IF($F$3="1",SUMIF(Data!$A:$A,$A$2,Data!JA:JA),0)</f>
        <v>4941</v>
      </c>
      <c r="F48" s="21">
        <f t="shared" si="3"/>
        <v>2.39</v>
      </c>
    </row>
    <row r="49" spans="1:6" ht="14.25" customHeight="1" x14ac:dyDescent="0.2">
      <c r="A49" s="19">
        <v>14</v>
      </c>
      <c r="B49" s="177" t="s">
        <v>464</v>
      </c>
      <c r="C49" s="178"/>
      <c r="D49" s="14">
        <f>IF(F3="1",SUMIF(Data!A:A,'56'!$A$2,Data!DH:DH),0)</f>
        <v>31232</v>
      </c>
      <c r="E49" s="17">
        <f>IF($F$3="1",SUMIF(Data!$A:$A,$A$2,Data!JB:JB),0)</f>
        <v>74767</v>
      </c>
      <c r="F49" s="21">
        <f t="shared" si="3"/>
        <v>2.39</v>
      </c>
    </row>
    <row r="50" spans="1:6" x14ac:dyDescent="0.2">
      <c r="A50" s="19">
        <v>15</v>
      </c>
      <c r="B50" s="177" t="s">
        <v>13</v>
      </c>
      <c r="C50" s="178"/>
      <c r="D50" s="14">
        <f>IF(F3="1",SUMIF(Data!A:A,'56'!$A$2,Data!DI:DI),0)</f>
        <v>0</v>
      </c>
      <c r="E50" s="17">
        <f>IF($F$3="1",SUMIF(Data!$A:$A,$A$2,Data!JC:JC),0)</f>
        <v>0</v>
      </c>
      <c r="F50" s="21" t="str">
        <f t="shared" si="3"/>
        <v/>
      </c>
    </row>
    <row r="51" spans="1:6" x14ac:dyDescent="0.2">
      <c r="A51" s="19">
        <v>16</v>
      </c>
      <c r="B51" s="177" t="s">
        <v>14</v>
      </c>
      <c r="C51" s="178"/>
      <c r="D51" s="14">
        <f>IF(F3="1",SUMIF(Data!A:A,'56'!$A$2,Data!DJ:DJ),0)</f>
        <v>97344</v>
      </c>
      <c r="E51" s="17">
        <f>IF($F$3="1",SUMIF(Data!$A:$A,$A$2,Data!JD:JD),0)</f>
        <v>233032</v>
      </c>
      <c r="F51" s="21">
        <f t="shared" si="3"/>
        <v>2.39</v>
      </c>
    </row>
    <row r="52" spans="1:6" x14ac:dyDescent="0.2">
      <c r="A52" s="19">
        <v>17</v>
      </c>
      <c r="B52" s="177" t="s">
        <v>15</v>
      </c>
      <c r="C52" s="178"/>
      <c r="D52" s="14">
        <f>IF(F3="1",SUMIF(Data!A:A,'56'!$A$2,Data!DK:DK),0)</f>
        <v>0</v>
      </c>
      <c r="E52" s="17">
        <f>IF($F$3="1",SUMIF(Data!$A:$A,$A$2,Data!JE:JE),0)</f>
        <v>0</v>
      </c>
      <c r="F52" s="21" t="str">
        <f t="shared" si="3"/>
        <v/>
      </c>
    </row>
    <row r="53" spans="1:6" x14ac:dyDescent="0.2">
      <c r="A53" s="19">
        <v>18</v>
      </c>
      <c r="B53" s="177" t="s">
        <v>16</v>
      </c>
      <c r="C53" s="178"/>
      <c r="D53" s="14">
        <f>IF(F3="1",SUMIF(Data!A:A,'56'!$A$2,Data!DL:DL),0)</f>
        <v>48512</v>
      </c>
      <c r="E53" s="17">
        <f>IF($F$3="1",SUMIF(Data!$A:$A,$A$2,Data!JF:JF),0)</f>
        <v>116133</v>
      </c>
      <c r="F53" s="21">
        <f t="shared" si="3"/>
        <v>2.39</v>
      </c>
    </row>
    <row r="54" spans="1:6" x14ac:dyDescent="0.2">
      <c r="A54" s="19">
        <v>19</v>
      </c>
      <c r="B54" s="177" t="s">
        <v>17</v>
      </c>
      <c r="C54" s="178"/>
      <c r="D54" s="14">
        <f>IF(F3="1",SUMIF(Data!A:A,'56'!$A$2,Data!DM:DM),0)</f>
        <v>107824</v>
      </c>
      <c r="E54" s="17">
        <f>IF($F$3="1",SUMIF(Data!$A:$A,$A$2,Data!JG:JG),0)</f>
        <v>258121</v>
      </c>
      <c r="F54" s="21">
        <f t="shared" si="3"/>
        <v>2.39</v>
      </c>
    </row>
    <row r="55" spans="1:6" x14ac:dyDescent="0.2">
      <c r="A55" s="19">
        <v>20</v>
      </c>
      <c r="B55" s="177" t="s">
        <v>18</v>
      </c>
      <c r="C55" s="178"/>
      <c r="D55" s="14">
        <f>IF(F3="1",SUMIF(Data!A:A,'56'!$A$2,Data!DN:DN),0)</f>
        <v>34896</v>
      </c>
      <c r="E55" s="17">
        <f>IF($F$3="1",SUMIF(Data!$A:$A,$A$2,Data!JH:JH),0)</f>
        <v>83537</v>
      </c>
      <c r="F55" s="21">
        <f t="shared" si="3"/>
        <v>2.39</v>
      </c>
    </row>
    <row r="56" spans="1:6" ht="14.25" customHeight="1" x14ac:dyDescent="0.2">
      <c r="A56" s="19">
        <v>21</v>
      </c>
      <c r="B56" s="177" t="s">
        <v>461</v>
      </c>
      <c r="C56" s="178"/>
      <c r="D56" s="14">
        <f>IF(F3="1",SUMIF(Data!A:A,'56'!$A$2,Data!DO:DO),0)</f>
        <v>0</v>
      </c>
      <c r="E56" s="17">
        <f>IF($F$3="1",SUMIF(Data!$A:$A,$A$2,Data!JI:JI),0)</f>
        <v>0</v>
      </c>
      <c r="F56" s="21" t="str">
        <f t="shared" si="3"/>
        <v/>
      </c>
    </row>
    <row r="57" spans="1:6" x14ac:dyDescent="0.2">
      <c r="A57" s="19">
        <v>22</v>
      </c>
      <c r="B57" s="177" t="s">
        <v>19</v>
      </c>
      <c r="C57" s="178"/>
      <c r="D57" s="14">
        <f>IF(F3="1",SUMIF(Data!A:A,'56'!$A$2,Data!DP:DP),0)</f>
        <v>0</v>
      </c>
      <c r="E57" s="17">
        <f>IF($F$3="1",SUMIF(Data!$A:$A,$A$2,Data!JJ:JJ),0)</f>
        <v>0</v>
      </c>
      <c r="F57" s="21" t="str">
        <f t="shared" si="3"/>
        <v/>
      </c>
    </row>
    <row r="58" spans="1:6" x14ac:dyDescent="0.2">
      <c r="A58" s="19">
        <v>23</v>
      </c>
      <c r="B58" s="177" t="s">
        <v>20</v>
      </c>
      <c r="C58" s="178"/>
      <c r="D58" s="14">
        <f>IF(F3="1",SUMIF(Data!A:A,'56'!$A$2,Data!DQ:DQ),0)</f>
        <v>9840</v>
      </c>
      <c r="E58" s="17">
        <f>IF($F$3="1",SUMIF(Data!$A:$A,$A$2,Data!JK:JK),0)</f>
        <v>23556</v>
      </c>
      <c r="F58" s="21">
        <f t="shared" si="3"/>
        <v>2.39</v>
      </c>
    </row>
    <row r="59" spans="1:6" x14ac:dyDescent="0.2">
      <c r="A59" s="19">
        <v>24</v>
      </c>
      <c r="B59" s="177" t="s">
        <v>21</v>
      </c>
      <c r="C59" s="178"/>
      <c r="D59" s="14">
        <f>IF(F3="1",SUMIF(Data!A:A,'56'!$A$2,Data!DR:DR),0)</f>
        <v>23840</v>
      </c>
      <c r="E59" s="17">
        <f>IF($F$3="1",SUMIF(Data!$A:$A,$A$2,Data!JL:JL),0)</f>
        <v>57071</v>
      </c>
      <c r="F59" s="21">
        <f t="shared" si="3"/>
        <v>2.39</v>
      </c>
    </row>
    <row r="60" spans="1:6" x14ac:dyDescent="0.2">
      <c r="A60" s="19">
        <v>25</v>
      </c>
      <c r="B60" s="177" t="s">
        <v>22</v>
      </c>
      <c r="C60" s="178"/>
      <c r="D60" s="14">
        <f>IF(F3="1",SUMIF(Data!A:A,'56'!$A$2,Data!DS:DS),0)</f>
        <v>121520</v>
      </c>
      <c r="E60" s="17">
        <f>IF($F$3="1",SUMIF(Data!$A:$A,$A$2,Data!JM:JM),0)</f>
        <v>290907</v>
      </c>
      <c r="F60" s="21">
        <f t="shared" si="3"/>
        <v>2.39</v>
      </c>
    </row>
    <row r="61" spans="1:6" x14ac:dyDescent="0.2">
      <c r="A61" s="19">
        <v>26</v>
      </c>
      <c r="B61" s="177" t="s">
        <v>23</v>
      </c>
      <c r="C61" s="178"/>
      <c r="D61" s="14">
        <f>IF(F3="1",SUMIF(Data!A:A,'56'!$A$2,Data!DT:DT),0)</f>
        <v>22128</v>
      </c>
      <c r="E61" s="17">
        <f>IF($F$3="1",SUMIF(Data!$A:$A,$A$2,Data!JN:JN),0)</f>
        <v>52972</v>
      </c>
      <c r="F61" s="21">
        <f t="shared" si="3"/>
        <v>2.39</v>
      </c>
    </row>
    <row r="62" spans="1:6" x14ac:dyDescent="0.2">
      <c r="A62" s="19">
        <v>28</v>
      </c>
      <c r="B62" s="177" t="s">
        <v>24</v>
      </c>
      <c r="C62" s="178"/>
      <c r="D62" s="14">
        <f>IF(F3="1",SUMIF(Data!A:A,'56'!$A$2,Data!DV:DV),0)</f>
        <v>0</v>
      </c>
      <c r="E62" s="17">
        <f>IF($F$3="1",SUMIF(Data!$A:$A,$A$2,Data!JP:JP),0)</f>
        <v>0</v>
      </c>
      <c r="F62" s="21" t="str">
        <f t="shared" si="3"/>
        <v/>
      </c>
    </row>
    <row r="63" spans="1:6" ht="15.75" customHeight="1" thickBot="1" x14ac:dyDescent="0.25">
      <c r="A63" s="22">
        <v>29</v>
      </c>
      <c r="B63" s="179" t="s">
        <v>25</v>
      </c>
      <c r="C63" s="180"/>
      <c r="D63" s="23">
        <f>IF(F3="1",SUMIF(Data!A:A,'56'!$A$2,Data!DW:DW),0)</f>
        <v>0</v>
      </c>
      <c r="E63" s="24">
        <f>IF($F$3="1",SUMIF(Data!$A:$A,$A$2,Data!JQ:JQ),0)</f>
        <v>0</v>
      </c>
      <c r="F63" s="25" t="str">
        <f t="shared" si="3"/>
        <v/>
      </c>
    </row>
    <row r="64" spans="1:6" x14ac:dyDescent="0.2">
      <c r="B64" s="30" t="s">
        <v>35</v>
      </c>
      <c r="C64" s="30"/>
      <c r="D64" s="59">
        <f>SUM(D36:D63)</f>
        <v>1049856</v>
      </c>
      <c r="E64" s="31">
        <f>SUM(E36:E63)</f>
        <v>2513256</v>
      </c>
      <c r="F64" s="32">
        <f t="shared" si="3"/>
        <v>2.39</v>
      </c>
    </row>
    <row r="65" spans="1:6" ht="15" thickBot="1" x14ac:dyDescent="0.25">
      <c r="F65" s="66"/>
    </row>
    <row r="66" spans="1:6" ht="29.25" customHeight="1" x14ac:dyDescent="0.2">
      <c r="A66" s="26" t="s">
        <v>26</v>
      </c>
      <c r="B66" s="187" t="s">
        <v>467</v>
      </c>
      <c r="C66" s="188"/>
      <c r="D66" s="28" t="s">
        <v>27</v>
      </c>
      <c r="E66" s="28" t="s">
        <v>462</v>
      </c>
      <c r="F66" s="29" t="s">
        <v>463</v>
      </c>
    </row>
    <row r="67" spans="1:6" x14ac:dyDescent="0.2">
      <c r="A67" s="19">
        <v>1</v>
      </c>
      <c r="B67" s="177" t="s">
        <v>0</v>
      </c>
      <c r="C67" s="178"/>
      <c r="D67" s="14">
        <f>D36</f>
        <v>0</v>
      </c>
      <c r="E67" s="15">
        <f>IF(F3="1",SUMIF(Data!A:A,'56'!$A$2,Data!DY:DY),0)</f>
        <v>0</v>
      </c>
      <c r="F67" s="20" t="str">
        <f t="shared" ref="F67:F95" si="4">IF(OR(D67=0,E67=0),"",ROUND(E67/D67,2))</f>
        <v/>
      </c>
    </row>
    <row r="68" spans="1:6" x14ac:dyDescent="0.2">
      <c r="A68" s="19">
        <v>2</v>
      </c>
      <c r="B68" s="177" t="s">
        <v>1</v>
      </c>
      <c r="C68" s="178"/>
      <c r="D68" s="14">
        <f t="shared" ref="D68:D94" si="5">D37</f>
        <v>0</v>
      </c>
      <c r="E68" s="17">
        <f>IF(F3="1",SUMIF(Data!A:A,'56'!$A$2,Data!DZ:DZ),0)</f>
        <v>0</v>
      </c>
      <c r="F68" s="21" t="str">
        <f t="shared" si="4"/>
        <v/>
      </c>
    </row>
    <row r="69" spans="1:6" ht="14.25" customHeight="1" x14ac:dyDescent="0.2">
      <c r="A69" s="19">
        <v>3</v>
      </c>
      <c r="B69" s="177" t="s">
        <v>2</v>
      </c>
      <c r="C69" s="178"/>
      <c r="D69" s="14">
        <f t="shared" si="5"/>
        <v>92544</v>
      </c>
      <c r="E69" s="17">
        <f>IF(F3="1",SUMIF(Data!A:A,'56'!$A$2,Data!EA:EA),0)</f>
        <v>218877</v>
      </c>
      <c r="F69" s="21">
        <f t="shared" si="4"/>
        <v>2.37</v>
      </c>
    </row>
    <row r="70" spans="1:6" ht="14.25" customHeight="1" x14ac:dyDescent="0.2">
      <c r="A70" s="19">
        <v>4</v>
      </c>
      <c r="B70" s="177" t="s">
        <v>3</v>
      </c>
      <c r="C70" s="178"/>
      <c r="D70" s="14">
        <f t="shared" si="5"/>
        <v>76592</v>
      </c>
      <c r="E70" s="17">
        <f>IF(F3="1",SUMIF(Data!A:A,'56'!$A$2,Data!EB:EB),0)</f>
        <v>181149</v>
      </c>
      <c r="F70" s="21">
        <f t="shared" si="4"/>
        <v>2.37</v>
      </c>
    </row>
    <row r="71" spans="1:6" x14ac:dyDescent="0.2">
      <c r="A71" s="19">
        <v>5</v>
      </c>
      <c r="B71" s="177" t="s">
        <v>4</v>
      </c>
      <c r="C71" s="178"/>
      <c r="D71" s="14">
        <f t="shared" si="5"/>
        <v>0</v>
      </c>
      <c r="E71" s="17">
        <f>IF(F3="1",SUMIF(Data!A:A,'56'!$A$2,Data!EC:EC),0)</f>
        <v>0</v>
      </c>
      <c r="F71" s="21" t="str">
        <f t="shared" si="4"/>
        <v/>
      </c>
    </row>
    <row r="72" spans="1:6" x14ac:dyDescent="0.2">
      <c r="A72" s="19">
        <v>6</v>
      </c>
      <c r="B72" s="177" t="s">
        <v>5</v>
      </c>
      <c r="C72" s="178"/>
      <c r="D72" s="14">
        <f t="shared" si="5"/>
        <v>0</v>
      </c>
      <c r="E72" s="17">
        <f>IF(F3="1",SUMIF(Data!A:A,'56'!$A$2,Data!ED:ED),0)</f>
        <v>0</v>
      </c>
      <c r="F72" s="21" t="str">
        <f t="shared" si="4"/>
        <v/>
      </c>
    </row>
    <row r="73" spans="1:6" x14ac:dyDescent="0.2">
      <c r="A73" s="19">
        <v>7</v>
      </c>
      <c r="B73" s="177" t="s">
        <v>6</v>
      </c>
      <c r="C73" s="178"/>
      <c r="D73" s="14">
        <f t="shared" si="5"/>
        <v>130560</v>
      </c>
      <c r="E73" s="17">
        <f>IF(F3="1",SUMIF(Data!A:A,'56'!$A$2,Data!EE:EE),0)</f>
        <v>308790</v>
      </c>
      <c r="F73" s="21">
        <f t="shared" si="4"/>
        <v>2.37</v>
      </c>
    </row>
    <row r="74" spans="1:6" x14ac:dyDescent="0.2">
      <c r="A74" s="19">
        <v>8</v>
      </c>
      <c r="B74" s="177" t="s">
        <v>7</v>
      </c>
      <c r="C74" s="178"/>
      <c r="D74" s="14">
        <f t="shared" si="5"/>
        <v>10544</v>
      </c>
      <c r="E74" s="17">
        <f>IF(F3="1",SUMIF(Data!A:A,'56'!$A$2,Data!EF:EF),0)</f>
        <v>24938</v>
      </c>
      <c r="F74" s="21">
        <f t="shared" si="4"/>
        <v>2.37</v>
      </c>
    </row>
    <row r="75" spans="1:6" x14ac:dyDescent="0.2">
      <c r="A75" s="19">
        <v>9</v>
      </c>
      <c r="B75" s="177" t="s">
        <v>8</v>
      </c>
      <c r="C75" s="178"/>
      <c r="D75" s="14">
        <f t="shared" si="5"/>
        <v>80080</v>
      </c>
      <c r="E75" s="17">
        <f>IF(F3="1",SUMIF(Data!A:A,'56'!$A$2,Data!EG:EG),0)</f>
        <v>189399</v>
      </c>
      <c r="F75" s="21">
        <f t="shared" si="4"/>
        <v>2.37</v>
      </c>
    </row>
    <row r="76" spans="1:6" x14ac:dyDescent="0.2">
      <c r="A76" s="19">
        <v>10</v>
      </c>
      <c r="B76" s="177" t="s">
        <v>9</v>
      </c>
      <c r="C76" s="178"/>
      <c r="D76" s="14">
        <f t="shared" si="5"/>
        <v>0</v>
      </c>
      <c r="E76" s="17">
        <f>IF(F3="1",SUMIF(Data!A:A,'56'!$A$2,Data!EH:EH),0)</f>
        <v>0</v>
      </c>
      <c r="F76" s="21" t="str">
        <f t="shared" si="4"/>
        <v/>
      </c>
    </row>
    <row r="77" spans="1:6" x14ac:dyDescent="0.2">
      <c r="A77" s="19">
        <v>11</v>
      </c>
      <c r="B77" s="177" t="s">
        <v>10</v>
      </c>
      <c r="C77" s="178"/>
      <c r="D77" s="14">
        <f t="shared" si="5"/>
        <v>27424</v>
      </c>
      <c r="E77" s="17">
        <f>IF(F3="1",SUMIF(Data!A:A,'56'!$A$2,Data!EI:EI),0)</f>
        <v>64861</v>
      </c>
      <c r="F77" s="21">
        <f t="shared" si="4"/>
        <v>2.37</v>
      </c>
    </row>
    <row r="78" spans="1:6" ht="14.25" customHeight="1" x14ac:dyDescent="0.2">
      <c r="A78" s="19">
        <v>12</v>
      </c>
      <c r="B78" s="177" t="s">
        <v>11</v>
      </c>
      <c r="C78" s="178"/>
      <c r="D78" s="14">
        <f t="shared" si="5"/>
        <v>132912</v>
      </c>
      <c r="E78" s="17">
        <f>IF(F3="1",SUMIF(Data!A:A,'56'!$A$2,Data!EJ:EJ),0)</f>
        <v>314353</v>
      </c>
      <c r="F78" s="21">
        <f t="shared" si="4"/>
        <v>2.37</v>
      </c>
    </row>
    <row r="79" spans="1:6" x14ac:dyDescent="0.2">
      <c r="A79" s="19">
        <v>13</v>
      </c>
      <c r="B79" s="177" t="s">
        <v>12</v>
      </c>
      <c r="C79" s="178"/>
      <c r="D79" s="14">
        <f t="shared" si="5"/>
        <v>2064</v>
      </c>
      <c r="E79" s="17">
        <f>IF(F3="1",SUMIF(Data!A:A,'56'!$A$2,Data!EK:EK),0)</f>
        <v>4882</v>
      </c>
      <c r="F79" s="21">
        <f t="shared" si="4"/>
        <v>2.37</v>
      </c>
    </row>
    <row r="80" spans="1:6" ht="14.25" customHeight="1" x14ac:dyDescent="0.2">
      <c r="A80" s="19">
        <v>14</v>
      </c>
      <c r="B80" s="177" t="s">
        <v>464</v>
      </c>
      <c r="C80" s="178"/>
      <c r="D80" s="14">
        <f t="shared" si="5"/>
        <v>31232</v>
      </c>
      <c r="E80" s="17">
        <f>IF(F3="1",SUMIF(Data!A:A,'56'!$A$2,Data!EL:EL),0)</f>
        <v>73867</v>
      </c>
      <c r="F80" s="21">
        <f t="shared" si="4"/>
        <v>2.37</v>
      </c>
    </row>
    <row r="81" spans="1:6" x14ac:dyDescent="0.2">
      <c r="A81" s="19">
        <v>15</v>
      </c>
      <c r="B81" s="177" t="s">
        <v>13</v>
      </c>
      <c r="C81" s="178"/>
      <c r="D81" s="14">
        <f t="shared" si="5"/>
        <v>0</v>
      </c>
      <c r="E81" s="17">
        <f>IF(F3="1",SUMIF(Data!A:A,'56'!$A$2,Data!EM:EM),0)</f>
        <v>0</v>
      </c>
      <c r="F81" s="21" t="str">
        <f t="shared" si="4"/>
        <v/>
      </c>
    </row>
    <row r="82" spans="1:6" x14ac:dyDescent="0.2">
      <c r="A82" s="19">
        <v>16</v>
      </c>
      <c r="B82" s="177" t="s">
        <v>14</v>
      </c>
      <c r="C82" s="178"/>
      <c r="D82" s="14">
        <f t="shared" si="5"/>
        <v>97344</v>
      </c>
      <c r="E82" s="17">
        <f>IF(F3="1",SUMIF(Data!A:A,'56'!$A$2,Data!EN:EN),0)</f>
        <v>230230</v>
      </c>
      <c r="F82" s="21">
        <f t="shared" si="4"/>
        <v>2.37</v>
      </c>
    </row>
    <row r="83" spans="1:6" x14ac:dyDescent="0.2">
      <c r="A83" s="19">
        <v>17</v>
      </c>
      <c r="B83" s="177" t="s">
        <v>15</v>
      </c>
      <c r="C83" s="178"/>
      <c r="D83" s="14">
        <f t="shared" si="5"/>
        <v>0</v>
      </c>
      <c r="E83" s="17">
        <f>IF(F3="1",SUMIF(Data!A:A,'56'!$A$2,Data!EO:EO),0)</f>
        <v>0</v>
      </c>
      <c r="F83" s="21" t="str">
        <f t="shared" si="4"/>
        <v/>
      </c>
    </row>
    <row r="84" spans="1:6" x14ac:dyDescent="0.2">
      <c r="A84" s="19">
        <v>18</v>
      </c>
      <c r="B84" s="177" t="s">
        <v>16</v>
      </c>
      <c r="C84" s="178"/>
      <c r="D84" s="14">
        <f t="shared" si="5"/>
        <v>48512</v>
      </c>
      <c r="E84" s="17">
        <f>IF(F3="1",SUMIF(Data!A:A,'56'!$A$2,Data!EP:EP),0)</f>
        <v>114737</v>
      </c>
      <c r="F84" s="21">
        <f t="shared" si="4"/>
        <v>2.37</v>
      </c>
    </row>
    <row r="85" spans="1:6" x14ac:dyDescent="0.2">
      <c r="A85" s="19">
        <v>19</v>
      </c>
      <c r="B85" s="177" t="s">
        <v>17</v>
      </c>
      <c r="C85" s="178"/>
      <c r="D85" s="14">
        <f t="shared" si="5"/>
        <v>107824</v>
      </c>
      <c r="E85" s="17">
        <f>IF(F3="1",SUMIF(Data!A:A,'56'!$A$2,Data!EQ:EQ),0)</f>
        <v>255016</v>
      </c>
      <c r="F85" s="21">
        <f t="shared" si="4"/>
        <v>2.37</v>
      </c>
    </row>
    <row r="86" spans="1:6" x14ac:dyDescent="0.2">
      <c r="A86" s="19">
        <v>20</v>
      </c>
      <c r="B86" s="177" t="s">
        <v>18</v>
      </c>
      <c r="C86" s="178"/>
      <c r="D86" s="14">
        <f t="shared" si="5"/>
        <v>34896</v>
      </c>
      <c r="E86" s="17">
        <f>IF(F3="1",SUMIF(Data!A:A,'56'!$A$2,Data!ER:ER),0)</f>
        <v>82533</v>
      </c>
      <c r="F86" s="21">
        <f t="shared" si="4"/>
        <v>2.37</v>
      </c>
    </row>
    <row r="87" spans="1:6" ht="14.25" customHeight="1" x14ac:dyDescent="0.2">
      <c r="A87" s="19">
        <v>21</v>
      </c>
      <c r="B87" s="177" t="s">
        <v>461</v>
      </c>
      <c r="C87" s="178"/>
      <c r="D87" s="14">
        <f t="shared" si="5"/>
        <v>0</v>
      </c>
      <c r="E87" s="17">
        <f>IF(F3="1",SUMIF(Data!A:A,'56'!$A$2,Data!ES:ES),0)</f>
        <v>0</v>
      </c>
      <c r="F87" s="21" t="str">
        <f t="shared" si="4"/>
        <v/>
      </c>
    </row>
    <row r="88" spans="1:6" x14ac:dyDescent="0.2">
      <c r="A88" s="19">
        <v>22</v>
      </c>
      <c r="B88" s="177" t="s">
        <v>19</v>
      </c>
      <c r="C88" s="178"/>
      <c r="D88" s="14">
        <f t="shared" si="5"/>
        <v>0</v>
      </c>
      <c r="E88" s="17">
        <f>IF(F3="1",SUMIF(Data!A:A,'56'!$A$2,Data!ET:ET),0)</f>
        <v>0</v>
      </c>
      <c r="F88" s="21" t="str">
        <f t="shared" si="4"/>
        <v/>
      </c>
    </row>
    <row r="89" spans="1:6" x14ac:dyDescent="0.2">
      <c r="A89" s="19">
        <v>23</v>
      </c>
      <c r="B89" s="177" t="s">
        <v>20</v>
      </c>
      <c r="C89" s="178"/>
      <c r="D89" s="14">
        <f t="shared" si="5"/>
        <v>9840</v>
      </c>
      <c r="E89" s="17">
        <f>IF(F3="1",SUMIF(Data!A:A,'56'!$A$2,Data!EU:EU),0)</f>
        <v>23273</v>
      </c>
      <c r="F89" s="21">
        <f t="shared" si="4"/>
        <v>2.37</v>
      </c>
    </row>
    <row r="90" spans="1:6" x14ac:dyDescent="0.2">
      <c r="A90" s="19">
        <v>24</v>
      </c>
      <c r="B90" s="177" t="s">
        <v>21</v>
      </c>
      <c r="C90" s="178"/>
      <c r="D90" s="14">
        <f t="shared" si="5"/>
        <v>23840</v>
      </c>
      <c r="E90" s="17">
        <f>IF(F3="1",SUMIF(Data!A:A,'56'!$A$2,Data!EV:EV),0)</f>
        <v>56384</v>
      </c>
      <c r="F90" s="21">
        <f t="shared" si="4"/>
        <v>2.37</v>
      </c>
    </row>
    <row r="91" spans="1:6" x14ac:dyDescent="0.2">
      <c r="A91" s="19">
        <v>25</v>
      </c>
      <c r="B91" s="177" t="s">
        <v>22</v>
      </c>
      <c r="C91" s="178"/>
      <c r="D91" s="14">
        <f t="shared" si="5"/>
        <v>121520</v>
      </c>
      <c r="E91" s="17">
        <f>IF(F3="1",SUMIF(Data!A:A,'56'!$A$2,Data!EW:EW),0)</f>
        <v>287409</v>
      </c>
      <c r="F91" s="21">
        <f t="shared" si="4"/>
        <v>2.37</v>
      </c>
    </row>
    <row r="92" spans="1:6" x14ac:dyDescent="0.2">
      <c r="A92" s="19">
        <v>26</v>
      </c>
      <c r="B92" s="177" t="s">
        <v>23</v>
      </c>
      <c r="C92" s="178"/>
      <c r="D92" s="14">
        <f t="shared" si="5"/>
        <v>22128</v>
      </c>
      <c r="E92" s="17">
        <f>IF(F3="1",SUMIF(Data!A:A,'56'!$A$2,Data!EX:EX),0)</f>
        <v>52335</v>
      </c>
      <c r="F92" s="21">
        <f t="shared" si="4"/>
        <v>2.37</v>
      </c>
    </row>
    <row r="93" spans="1:6" x14ac:dyDescent="0.2">
      <c r="A93" s="19">
        <v>28</v>
      </c>
      <c r="B93" s="177" t="s">
        <v>24</v>
      </c>
      <c r="C93" s="178"/>
      <c r="D93" s="14">
        <f t="shared" si="5"/>
        <v>0</v>
      </c>
      <c r="E93" s="17">
        <f>IF(F3="1",SUMIF(Data!A:A,'56'!$A$2,Data!EZ:EZ),0)</f>
        <v>0</v>
      </c>
      <c r="F93" s="21" t="str">
        <f t="shared" si="4"/>
        <v/>
      </c>
    </row>
    <row r="94" spans="1:6" ht="15.75" customHeight="1" thickBot="1" x14ac:dyDescent="0.25">
      <c r="A94" s="22">
        <v>29</v>
      </c>
      <c r="B94" s="179" t="s">
        <v>25</v>
      </c>
      <c r="C94" s="180"/>
      <c r="D94" s="23">
        <f t="shared" si="5"/>
        <v>0</v>
      </c>
      <c r="E94" s="24">
        <f>IF(F3="1",SUMIF(Data!A:A,'56'!$A$2,Data!FA:FA),0)</f>
        <v>0</v>
      </c>
      <c r="F94" s="25" t="str">
        <f t="shared" si="4"/>
        <v/>
      </c>
    </row>
    <row r="95" spans="1:6" x14ac:dyDescent="0.2">
      <c r="B95" s="30" t="s">
        <v>35</v>
      </c>
      <c r="C95" s="30"/>
      <c r="D95" s="59">
        <f>SUM(D67:D94)</f>
        <v>1049856</v>
      </c>
      <c r="E95" s="31">
        <f>SUM(E67:E94)</f>
        <v>2483033</v>
      </c>
      <c r="F95" s="32">
        <f t="shared" si="4"/>
        <v>2.37</v>
      </c>
    </row>
    <row r="96" spans="1:6" ht="15" thickBot="1" x14ac:dyDescent="0.25">
      <c r="F96" s="66"/>
    </row>
    <row r="97" spans="2:6" ht="29.25" customHeight="1" x14ac:dyDescent="0.2">
      <c r="B97" s="181" t="s">
        <v>468</v>
      </c>
      <c r="C97" s="182"/>
      <c r="D97" s="28" t="s">
        <v>27</v>
      </c>
      <c r="E97" s="33" t="s">
        <v>462</v>
      </c>
      <c r="F97" s="29" t="s">
        <v>463</v>
      </c>
    </row>
    <row r="98" spans="2:6" x14ac:dyDescent="0.2">
      <c r="B98" s="183" t="s">
        <v>30</v>
      </c>
      <c r="C98" s="184"/>
      <c r="D98" s="35"/>
      <c r="E98" s="15">
        <f>IF(F3="1",SUMIF(Data!A:A,'56'!$A$2,Data!AH:AH),0)</f>
        <v>1824120</v>
      </c>
      <c r="F98" s="20">
        <f>IF(OR(E98=0,E98=0),"",ROUND(E98/$D$105,2))</f>
        <v>1.74</v>
      </c>
    </row>
    <row r="99" spans="2:6" x14ac:dyDescent="0.2">
      <c r="B99" s="183" t="s">
        <v>31</v>
      </c>
      <c r="C99" s="184"/>
      <c r="D99" s="36"/>
      <c r="E99" s="17">
        <f>IF(F3="1",SUMIF(Data!A:A,'56'!$A$2,Data!AI:AI),0)</f>
        <v>828748</v>
      </c>
      <c r="F99" s="21">
        <f t="shared" ref="F99:F104" si="6">IF(OR(E99=0,E99=0),"",ROUND(E99/$D$105,2))</f>
        <v>0.79</v>
      </c>
    </row>
    <row r="100" spans="2:6" x14ac:dyDescent="0.2">
      <c r="B100" s="183" t="s">
        <v>1078</v>
      </c>
      <c r="C100" s="184"/>
      <c r="D100" s="36"/>
      <c r="E100" s="17">
        <f>IF(F3="1",SUMIF(Data!A:A,'56'!$A$2,Data!AJ:AJ),0)</f>
        <v>428268</v>
      </c>
      <c r="F100" s="21">
        <f t="shared" si="6"/>
        <v>0.41</v>
      </c>
    </row>
    <row r="101" spans="2:6" x14ac:dyDescent="0.2">
      <c r="B101" s="183" t="s">
        <v>1079</v>
      </c>
      <c r="C101" s="184"/>
      <c r="D101" s="36"/>
      <c r="E101" s="17">
        <f>IF(F3="1",SUMIF(Data!A:A,'56'!$A$2,Data!AK:AK),0)</f>
        <v>161049</v>
      </c>
      <c r="F101" s="21">
        <f t="shared" si="6"/>
        <v>0.15</v>
      </c>
    </row>
    <row r="102" spans="2:6" x14ac:dyDescent="0.2">
      <c r="B102" s="183" t="s">
        <v>1080</v>
      </c>
      <c r="C102" s="184"/>
      <c r="D102" s="36"/>
      <c r="E102" s="17">
        <f>IF(F3="1",SUMIF(Data!A:A,'56'!$A$2,Data!AL:AL),0)</f>
        <v>0</v>
      </c>
      <c r="F102" s="21" t="str">
        <f t="shared" si="6"/>
        <v/>
      </c>
    </row>
    <row r="103" spans="2:6" x14ac:dyDescent="0.2">
      <c r="B103" s="185" t="s">
        <v>34</v>
      </c>
      <c r="C103" s="186"/>
      <c r="D103" s="36"/>
      <c r="E103" s="17">
        <f>IF(F3="1",SUMIF(Data!A:A,'56'!$A$2,Data!AM:AM),0)</f>
        <v>0</v>
      </c>
      <c r="F103" s="21" t="str">
        <f t="shared" si="6"/>
        <v/>
      </c>
    </row>
    <row r="104" spans="2:6" ht="15.75" customHeight="1" thickBot="1" x14ac:dyDescent="0.25">
      <c r="B104" s="175" t="s">
        <v>29</v>
      </c>
      <c r="C104" s="176"/>
      <c r="D104" s="37"/>
      <c r="E104" s="24">
        <f>IF(F3="1",SUMIF(Data!A:A,'56'!$A$2,Data!Q:Q),0)</f>
        <v>379440</v>
      </c>
      <c r="F104" s="25">
        <f t="shared" si="6"/>
        <v>0.36</v>
      </c>
    </row>
    <row r="105" spans="2:6" x14ac:dyDescent="0.2">
      <c r="B105" s="30" t="s">
        <v>35</v>
      </c>
      <c r="C105" s="30"/>
      <c r="D105" s="34">
        <f>D95</f>
        <v>1049856</v>
      </c>
      <c r="E105" s="31">
        <f>SUM(E98:E104)</f>
        <v>3621625</v>
      </c>
      <c r="F105" s="32">
        <f>IF($D$105=0,"",ROUND(E105/$D$105,2))</f>
        <v>3.45</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2483033</v>
      </c>
      <c r="D109" s="15">
        <f>IF(F3="1",SUMIF(Data!$A:$A,$A$2,Data!HJ:HJ),0)</f>
        <v>0</v>
      </c>
      <c r="E109" s="15">
        <f>IF(F3="1",SUMIF(Data!$A:$A,$A$2,Data!IN:IN),0)</f>
        <v>0</v>
      </c>
      <c r="F109" s="47">
        <f>SUM(C109:E109)</f>
        <v>2483033</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1009</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379440</v>
      </c>
      <c r="E117" s="52"/>
      <c r="F117" s="49">
        <f>SUM(C117:E117)</f>
        <v>379440</v>
      </c>
    </row>
    <row r="118" spans="1:6" x14ac:dyDescent="0.2">
      <c r="B118" s="13" t="s">
        <v>35</v>
      </c>
      <c r="C118" s="4">
        <f>SUM(C109:C116)</f>
        <v>2483033</v>
      </c>
      <c r="D118" s="4">
        <f>SUM(D109:D116)</f>
        <v>0</v>
      </c>
      <c r="E118" s="4">
        <f>SUM(E109:E116)</f>
        <v>0</v>
      </c>
      <c r="F118" s="4">
        <f>SUM(F109:F116)</f>
        <v>2483033</v>
      </c>
    </row>
    <row r="119" spans="1:6" ht="15" thickBot="1" x14ac:dyDescent="0.25"/>
    <row r="120" spans="1:6" ht="15" thickBot="1" x14ac:dyDescent="0.25">
      <c r="B120" s="55" t="s">
        <v>934</v>
      </c>
      <c r="C120" s="53"/>
      <c r="D120" s="53"/>
      <c r="E120" s="53">
        <f>IF(F3="1",SUMIF(Data!A:A,'56'!$A$2,Data!AM:AM),0)</f>
        <v>0</v>
      </c>
      <c r="F120" s="54">
        <f>SUM(C120:E120)</f>
        <v>0</v>
      </c>
    </row>
    <row r="122" spans="1:6" s="60" customFormat="1" ht="101.25" customHeight="1" x14ac:dyDescent="0.2">
      <c r="A122" s="189" t="s">
        <v>935</v>
      </c>
      <c r="B122" s="189"/>
      <c r="C122" s="189"/>
      <c r="D122" s="189"/>
      <c r="E122" s="189"/>
      <c r="F122" s="189"/>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 bestFit="1" customWidth="1"/>
    <col min="9" max="9" width="16.42578125" style="1" bestFit="1" customWidth="1"/>
    <col min="10" max="10" width="13.42578125" style="1" bestFit="1" customWidth="1"/>
    <col min="11" max="12" width="12.140625" style="1" bestFit="1" customWidth="1"/>
    <col min="13" max="13" width="12.42578125" style="1" bestFit="1" customWidth="1"/>
    <col min="14" max="14" width="12.140625" style="1" bestFit="1" customWidth="1"/>
    <col min="15" max="31" width="9.140625" style="1"/>
    <col min="32" max="32" width="17.85546875" style="1" bestFit="1" customWidth="1"/>
    <col min="33" max="35" width="9.140625" style="1"/>
    <col min="36" max="36" width="17.85546875" style="1" bestFit="1" customWidth="1"/>
    <col min="37" max="16384" width="9.140625" style="1"/>
  </cols>
  <sheetData>
    <row r="1" spans="1:7" s="6" customFormat="1" x14ac:dyDescent="0.2">
      <c r="A1" s="38" t="str">
        <f>Summary!A1</f>
        <v>Community and Technical Colleges, Report of Fundable Operating Expenses, Fiscal Year (FY) 2000</v>
      </c>
      <c r="B1" s="38"/>
      <c r="C1" s="38"/>
      <c r="D1" s="38"/>
      <c r="E1" s="38"/>
      <c r="F1" s="38"/>
      <c r="G1" s="57"/>
    </row>
    <row r="2" spans="1:7" s="6" customFormat="1" x14ac:dyDescent="0.2">
      <c r="A2" s="5" t="s">
        <v>448</v>
      </c>
      <c r="B2" s="58" t="str">
        <f>VLOOKUP(A2,Data!A:G,7,0)</f>
        <v>Lamar State College-Port Arthur</v>
      </c>
      <c r="C2" s="58"/>
      <c r="D2" s="57"/>
      <c r="E2" s="57"/>
      <c r="F2" s="57"/>
      <c r="G2" s="57"/>
    </row>
    <row r="3" spans="1:7" s="6" customFormat="1" ht="15" thickBot="1" x14ac:dyDescent="0.25">
      <c r="A3" s="3"/>
      <c r="B3" s="57"/>
      <c r="C3" s="57"/>
      <c r="D3" s="57"/>
      <c r="E3" s="57"/>
      <c r="F3" s="56" t="str">
        <f>IFERROR(VLOOKUP(A2,Data!A:C,3,0),"0")</f>
        <v>1</v>
      </c>
      <c r="G3" s="57"/>
    </row>
    <row r="4" spans="1:7" s="6" customFormat="1" ht="29.25" customHeight="1" x14ac:dyDescent="0.2">
      <c r="A4" s="26" t="s">
        <v>26</v>
      </c>
      <c r="B4" s="187" t="s">
        <v>465</v>
      </c>
      <c r="C4" s="188"/>
      <c r="D4" s="28" t="s">
        <v>27</v>
      </c>
      <c r="E4" s="28" t="s">
        <v>462</v>
      </c>
      <c r="F4" s="29" t="s">
        <v>463</v>
      </c>
      <c r="G4" s="57"/>
    </row>
    <row r="5" spans="1:7" s="6" customFormat="1" x14ac:dyDescent="0.2">
      <c r="A5" s="19">
        <v>1</v>
      </c>
      <c r="B5" s="177" t="s">
        <v>0</v>
      </c>
      <c r="C5" s="178"/>
      <c r="D5" s="14">
        <f>D36</f>
        <v>2032</v>
      </c>
      <c r="E5" s="15">
        <f>E36+E67+IFERROR($E$105/$D$105*D5,0)</f>
        <v>12657.526652452027</v>
      </c>
      <c r="F5" s="20">
        <f>IF(OR(D5=0,E5=0),"",ROUND(E5/D5,2))</f>
        <v>6.23</v>
      </c>
      <c r="G5" s="57"/>
    </row>
    <row r="6" spans="1:7" s="6" customFormat="1" x14ac:dyDescent="0.2">
      <c r="A6" s="19">
        <v>2</v>
      </c>
      <c r="B6" s="177" t="s">
        <v>1</v>
      </c>
      <c r="C6" s="178"/>
      <c r="D6" s="14">
        <f t="shared" ref="D6:D32" si="0">D37</f>
        <v>1280</v>
      </c>
      <c r="E6" s="17">
        <f t="shared" ref="E6:E32" si="1">E37+E68+IFERROR($E$105/$D$105*D6,0)</f>
        <v>7973.6545842217483</v>
      </c>
      <c r="F6" s="21">
        <f t="shared" ref="F6:F33" si="2">IF(OR(D6=0,E6=0),"",ROUND(E6/D6,2))</f>
        <v>6.23</v>
      </c>
      <c r="G6" s="57"/>
    </row>
    <row r="7" spans="1:7" s="7" customFormat="1" ht="14.25" customHeight="1" x14ac:dyDescent="0.2">
      <c r="A7" s="19">
        <v>3</v>
      </c>
      <c r="B7" s="177" t="s">
        <v>2</v>
      </c>
      <c r="C7" s="178"/>
      <c r="D7" s="14">
        <f t="shared" si="0"/>
        <v>91408</v>
      </c>
      <c r="E7" s="17">
        <f t="shared" si="1"/>
        <v>569417.25799573562</v>
      </c>
      <c r="F7" s="21">
        <f t="shared" si="2"/>
        <v>6.23</v>
      </c>
      <c r="G7" s="57"/>
    </row>
    <row r="8" spans="1:7" s="10" customFormat="1" ht="14.25" customHeight="1" x14ac:dyDescent="0.2">
      <c r="A8" s="19">
        <v>4</v>
      </c>
      <c r="B8" s="177" t="s">
        <v>3</v>
      </c>
      <c r="C8" s="178"/>
      <c r="D8" s="14">
        <f t="shared" si="0"/>
        <v>54112</v>
      </c>
      <c r="E8" s="17">
        <f t="shared" si="1"/>
        <v>337086.34754797444</v>
      </c>
      <c r="F8" s="21">
        <f t="shared" si="2"/>
        <v>6.23</v>
      </c>
      <c r="G8" s="57"/>
    </row>
    <row r="9" spans="1:7" s="10" customFormat="1" x14ac:dyDescent="0.2">
      <c r="A9" s="19">
        <v>5</v>
      </c>
      <c r="B9" s="177" t="s">
        <v>4</v>
      </c>
      <c r="C9" s="178"/>
      <c r="D9" s="14">
        <f t="shared" si="0"/>
        <v>0</v>
      </c>
      <c r="E9" s="17">
        <f t="shared" si="1"/>
        <v>0</v>
      </c>
      <c r="F9" s="21" t="str">
        <f t="shared" si="2"/>
        <v/>
      </c>
      <c r="G9" s="57"/>
    </row>
    <row r="10" spans="1:7" s="10" customFormat="1" x14ac:dyDescent="0.2">
      <c r="A10" s="19">
        <v>6</v>
      </c>
      <c r="B10" s="177" t="s">
        <v>5</v>
      </c>
      <c r="C10" s="178"/>
      <c r="D10" s="14">
        <f t="shared" si="0"/>
        <v>992</v>
      </c>
      <c r="E10" s="17">
        <f t="shared" si="1"/>
        <v>6179.6823027718547</v>
      </c>
      <c r="F10" s="21">
        <f t="shared" si="2"/>
        <v>6.23</v>
      </c>
      <c r="G10" s="57"/>
    </row>
    <row r="11" spans="1:7" s="10" customFormat="1" x14ac:dyDescent="0.2">
      <c r="A11" s="19">
        <v>7</v>
      </c>
      <c r="B11" s="177" t="s">
        <v>6</v>
      </c>
      <c r="C11" s="178"/>
      <c r="D11" s="14">
        <f t="shared" si="0"/>
        <v>48544</v>
      </c>
      <c r="E11" s="17">
        <f t="shared" si="1"/>
        <v>302400.55010660982</v>
      </c>
      <c r="F11" s="21">
        <f t="shared" si="2"/>
        <v>6.23</v>
      </c>
      <c r="G11" s="57"/>
    </row>
    <row r="12" spans="1:7" s="10" customFormat="1" x14ac:dyDescent="0.2">
      <c r="A12" s="19">
        <v>8</v>
      </c>
      <c r="B12" s="177" t="s">
        <v>7</v>
      </c>
      <c r="C12" s="178"/>
      <c r="D12" s="14">
        <f t="shared" si="0"/>
        <v>0</v>
      </c>
      <c r="E12" s="17">
        <f t="shared" si="1"/>
        <v>0</v>
      </c>
      <c r="F12" s="21" t="str">
        <f t="shared" si="2"/>
        <v/>
      </c>
      <c r="G12" s="57"/>
    </row>
    <row r="13" spans="1:7" s="10" customFormat="1" x14ac:dyDescent="0.2">
      <c r="A13" s="19">
        <v>9</v>
      </c>
      <c r="B13" s="177" t="s">
        <v>8</v>
      </c>
      <c r="C13" s="178"/>
      <c r="D13" s="14">
        <f t="shared" si="0"/>
        <v>6576</v>
      </c>
      <c r="E13" s="17">
        <f t="shared" si="1"/>
        <v>40964.200426439231</v>
      </c>
      <c r="F13" s="21">
        <f t="shared" si="2"/>
        <v>6.23</v>
      </c>
      <c r="G13" s="57"/>
    </row>
    <row r="14" spans="1:7" s="10" customFormat="1" x14ac:dyDescent="0.2">
      <c r="A14" s="19">
        <v>10</v>
      </c>
      <c r="B14" s="177" t="s">
        <v>9</v>
      </c>
      <c r="C14" s="178"/>
      <c r="D14" s="14">
        <f t="shared" si="0"/>
        <v>0</v>
      </c>
      <c r="E14" s="17">
        <f t="shared" si="1"/>
        <v>0</v>
      </c>
      <c r="F14" s="21" t="str">
        <f t="shared" si="2"/>
        <v/>
      </c>
      <c r="G14" s="57"/>
    </row>
    <row r="15" spans="1:7" s="10" customFormat="1" x14ac:dyDescent="0.2">
      <c r="A15" s="19">
        <v>11</v>
      </c>
      <c r="B15" s="177" t="s">
        <v>10</v>
      </c>
      <c r="C15" s="178"/>
      <c r="D15" s="14">
        <f t="shared" si="0"/>
        <v>7072</v>
      </c>
      <c r="E15" s="17">
        <f t="shared" si="1"/>
        <v>44054.541577825163</v>
      </c>
      <c r="F15" s="21">
        <f t="shared" si="2"/>
        <v>6.23</v>
      </c>
      <c r="G15" s="57"/>
    </row>
    <row r="16" spans="1:7" s="10" customFormat="1" ht="14.25" customHeight="1" x14ac:dyDescent="0.2">
      <c r="A16" s="19">
        <v>12</v>
      </c>
      <c r="B16" s="177" t="s">
        <v>11</v>
      </c>
      <c r="C16" s="178"/>
      <c r="D16" s="14">
        <f t="shared" si="0"/>
        <v>110496</v>
      </c>
      <c r="E16" s="17">
        <f t="shared" si="1"/>
        <v>688325.03198294248</v>
      </c>
      <c r="F16" s="21">
        <f t="shared" si="2"/>
        <v>6.23</v>
      </c>
      <c r="G16" s="57"/>
    </row>
    <row r="17" spans="1:7" s="10" customFormat="1" x14ac:dyDescent="0.2">
      <c r="A17" s="19">
        <v>13</v>
      </c>
      <c r="B17" s="177" t="s">
        <v>12</v>
      </c>
      <c r="C17" s="178"/>
      <c r="D17" s="14">
        <f t="shared" si="0"/>
        <v>1872</v>
      </c>
      <c r="E17" s="17">
        <f t="shared" si="1"/>
        <v>11661.319829424308</v>
      </c>
      <c r="F17" s="21">
        <f t="shared" si="2"/>
        <v>6.23</v>
      </c>
      <c r="G17" s="57"/>
    </row>
    <row r="18" spans="1:7" s="10" customFormat="1" ht="14.25" customHeight="1" x14ac:dyDescent="0.2">
      <c r="A18" s="19">
        <v>14</v>
      </c>
      <c r="B18" s="177" t="s">
        <v>464</v>
      </c>
      <c r="C18" s="178"/>
      <c r="D18" s="14">
        <f t="shared" si="0"/>
        <v>60304</v>
      </c>
      <c r="E18" s="17">
        <f t="shared" si="1"/>
        <v>375657.2515991471</v>
      </c>
      <c r="F18" s="21">
        <f t="shared" si="2"/>
        <v>6.23</v>
      </c>
      <c r="G18" s="57"/>
    </row>
    <row r="19" spans="1:7" s="10" customFormat="1" x14ac:dyDescent="0.2">
      <c r="A19" s="19">
        <v>15</v>
      </c>
      <c r="B19" s="177" t="s">
        <v>13</v>
      </c>
      <c r="C19" s="178"/>
      <c r="D19" s="14">
        <f t="shared" si="0"/>
        <v>0</v>
      </c>
      <c r="E19" s="17">
        <f t="shared" si="1"/>
        <v>0</v>
      </c>
      <c r="F19" s="21" t="str">
        <f t="shared" si="2"/>
        <v/>
      </c>
      <c r="G19" s="57"/>
    </row>
    <row r="20" spans="1:7" s="10" customFormat="1" x14ac:dyDescent="0.2">
      <c r="A20" s="19">
        <v>16</v>
      </c>
      <c r="B20" s="177" t="s">
        <v>14</v>
      </c>
      <c r="C20" s="178"/>
      <c r="D20" s="14">
        <f t="shared" si="0"/>
        <v>60640</v>
      </c>
      <c r="E20" s="17">
        <f t="shared" si="1"/>
        <v>377752.38592750533</v>
      </c>
      <c r="F20" s="21">
        <f t="shared" si="2"/>
        <v>6.23</v>
      </c>
      <c r="G20" s="57"/>
    </row>
    <row r="21" spans="1:7" s="10" customFormat="1" x14ac:dyDescent="0.2">
      <c r="A21" s="19">
        <v>17</v>
      </c>
      <c r="B21" s="177" t="s">
        <v>15</v>
      </c>
      <c r="C21" s="178"/>
      <c r="D21" s="14">
        <f t="shared" si="0"/>
        <v>0</v>
      </c>
      <c r="E21" s="17">
        <f t="shared" si="1"/>
        <v>0</v>
      </c>
      <c r="F21" s="21" t="str">
        <f t="shared" si="2"/>
        <v/>
      </c>
      <c r="G21" s="57"/>
    </row>
    <row r="22" spans="1:7" s="10" customFormat="1" x14ac:dyDescent="0.2">
      <c r="A22" s="19">
        <v>18</v>
      </c>
      <c r="B22" s="177" t="s">
        <v>16</v>
      </c>
      <c r="C22" s="178"/>
      <c r="D22" s="14">
        <f t="shared" si="0"/>
        <v>74416</v>
      </c>
      <c r="E22" s="17">
        <f t="shared" si="1"/>
        <v>463567.89339019189</v>
      </c>
      <c r="F22" s="21">
        <f t="shared" si="2"/>
        <v>6.23</v>
      </c>
      <c r="G22" s="57"/>
    </row>
    <row r="23" spans="1:7" s="10" customFormat="1" x14ac:dyDescent="0.2">
      <c r="A23" s="19">
        <v>19</v>
      </c>
      <c r="B23" s="177" t="s">
        <v>17</v>
      </c>
      <c r="C23" s="178"/>
      <c r="D23" s="14">
        <f t="shared" si="0"/>
        <v>76352</v>
      </c>
      <c r="E23" s="17">
        <f t="shared" si="1"/>
        <v>475628.09594882734</v>
      </c>
      <c r="F23" s="21">
        <f t="shared" si="2"/>
        <v>6.23</v>
      </c>
      <c r="G23" s="57"/>
    </row>
    <row r="24" spans="1:7" s="10" customFormat="1" x14ac:dyDescent="0.2">
      <c r="A24" s="19">
        <v>20</v>
      </c>
      <c r="B24" s="177" t="s">
        <v>18</v>
      </c>
      <c r="C24" s="178"/>
      <c r="D24" s="14">
        <f t="shared" si="0"/>
        <v>0</v>
      </c>
      <c r="E24" s="17">
        <f t="shared" si="1"/>
        <v>0</v>
      </c>
      <c r="F24" s="21" t="str">
        <f t="shared" si="2"/>
        <v/>
      </c>
      <c r="G24" s="57"/>
    </row>
    <row r="25" spans="1:7" s="10" customFormat="1" ht="14.25" customHeight="1" x14ac:dyDescent="0.2">
      <c r="A25" s="19">
        <v>21</v>
      </c>
      <c r="B25" s="177" t="s">
        <v>461</v>
      </c>
      <c r="C25" s="178"/>
      <c r="D25" s="14">
        <f t="shared" si="0"/>
        <v>0</v>
      </c>
      <c r="E25" s="17">
        <f t="shared" si="1"/>
        <v>0</v>
      </c>
      <c r="F25" s="21" t="str">
        <f t="shared" si="2"/>
        <v/>
      </c>
      <c r="G25" s="57"/>
    </row>
    <row r="26" spans="1:7" s="10" customFormat="1" x14ac:dyDescent="0.2">
      <c r="A26" s="19">
        <v>22</v>
      </c>
      <c r="B26" s="177" t="s">
        <v>19</v>
      </c>
      <c r="C26" s="178"/>
      <c r="D26" s="14">
        <f t="shared" si="0"/>
        <v>0</v>
      </c>
      <c r="E26" s="17">
        <f t="shared" si="1"/>
        <v>0</v>
      </c>
      <c r="F26" s="21" t="str">
        <f t="shared" si="2"/>
        <v/>
      </c>
      <c r="G26" s="57"/>
    </row>
    <row r="27" spans="1:7" s="10" customFormat="1" x14ac:dyDescent="0.2">
      <c r="A27" s="19">
        <v>23</v>
      </c>
      <c r="B27" s="177" t="s">
        <v>20</v>
      </c>
      <c r="C27" s="178"/>
      <c r="D27" s="14">
        <f t="shared" si="0"/>
        <v>30608</v>
      </c>
      <c r="E27" s="17">
        <f t="shared" si="1"/>
        <v>190669.66524520254</v>
      </c>
      <c r="F27" s="21">
        <f t="shared" si="2"/>
        <v>6.23</v>
      </c>
      <c r="G27" s="57"/>
    </row>
    <row r="28" spans="1:7" s="10" customFormat="1" x14ac:dyDescent="0.2">
      <c r="A28" s="19">
        <v>24</v>
      </c>
      <c r="B28" s="177" t="s">
        <v>21</v>
      </c>
      <c r="C28" s="178"/>
      <c r="D28" s="14">
        <f t="shared" si="0"/>
        <v>10224</v>
      </c>
      <c r="E28" s="17">
        <f t="shared" si="1"/>
        <v>63688.515991471213</v>
      </c>
      <c r="F28" s="21">
        <f t="shared" si="2"/>
        <v>6.23</v>
      </c>
      <c r="G28" s="57"/>
    </row>
    <row r="29" spans="1:7" s="10" customFormat="1" x14ac:dyDescent="0.2">
      <c r="A29" s="19">
        <v>25</v>
      </c>
      <c r="B29" s="177" t="s">
        <v>22</v>
      </c>
      <c r="C29" s="178"/>
      <c r="D29" s="14">
        <f t="shared" si="0"/>
        <v>80064</v>
      </c>
      <c r="E29" s="17">
        <f t="shared" si="1"/>
        <v>498751.29424307036</v>
      </c>
      <c r="F29" s="21">
        <f t="shared" si="2"/>
        <v>6.23</v>
      </c>
      <c r="G29" s="57"/>
    </row>
    <row r="30" spans="1:7" s="10" customFormat="1" x14ac:dyDescent="0.2">
      <c r="A30" s="19">
        <v>26</v>
      </c>
      <c r="B30" s="177" t="s">
        <v>23</v>
      </c>
      <c r="C30" s="178"/>
      <c r="D30" s="14">
        <f t="shared" si="0"/>
        <v>18400</v>
      </c>
      <c r="E30" s="17">
        <f t="shared" si="1"/>
        <v>114619.78464818763</v>
      </c>
      <c r="F30" s="21">
        <f t="shared" si="2"/>
        <v>6.23</v>
      </c>
      <c r="G30" s="57"/>
    </row>
    <row r="31" spans="1:7" s="10" customFormat="1" x14ac:dyDescent="0.2">
      <c r="A31" s="19">
        <v>28</v>
      </c>
      <c r="B31" s="177" t="s">
        <v>24</v>
      </c>
      <c r="C31" s="178"/>
      <c r="D31" s="14">
        <f t="shared" si="0"/>
        <v>0</v>
      </c>
      <c r="E31" s="17">
        <f t="shared" si="1"/>
        <v>0</v>
      </c>
      <c r="F31" s="21" t="str">
        <f t="shared" si="2"/>
        <v/>
      </c>
      <c r="G31" s="57"/>
    </row>
    <row r="32" spans="1:7" s="10" customFormat="1" ht="15.75" customHeight="1" thickBot="1" x14ac:dyDescent="0.25">
      <c r="A32" s="22">
        <v>29</v>
      </c>
      <c r="B32" s="179" t="s">
        <v>25</v>
      </c>
      <c r="C32" s="180"/>
      <c r="D32" s="23">
        <f t="shared" si="0"/>
        <v>0</v>
      </c>
      <c r="E32" s="24">
        <f t="shared" si="1"/>
        <v>0</v>
      </c>
      <c r="F32" s="25" t="str">
        <f t="shared" si="2"/>
        <v/>
      </c>
      <c r="G32" s="57"/>
    </row>
    <row r="33" spans="1:7" s="10" customFormat="1" x14ac:dyDescent="0.2">
      <c r="B33" s="30" t="s">
        <v>35</v>
      </c>
      <c r="C33" s="30"/>
      <c r="D33" s="59">
        <f>SUM(D5:D32)</f>
        <v>735392</v>
      </c>
      <c r="E33" s="31">
        <f>SUM(E5:E32)</f>
        <v>4581055</v>
      </c>
      <c r="F33" s="32">
        <f t="shared" si="2"/>
        <v>6.23</v>
      </c>
      <c r="G33" s="57"/>
    </row>
    <row r="34" spans="1:7" s="10" customFormat="1" ht="15" thickBot="1" x14ac:dyDescent="0.25">
      <c r="A34" s="1"/>
      <c r="B34" s="57"/>
      <c r="C34" s="57"/>
      <c r="D34" s="57"/>
      <c r="E34" s="57"/>
      <c r="F34" s="66"/>
      <c r="G34" s="57"/>
    </row>
    <row r="35" spans="1:7" s="10" customFormat="1" ht="29.25" customHeight="1" x14ac:dyDescent="0.2">
      <c r="A35" s="26" t="s">
        <v>26</v>
      </c>
      <c r="B35" s="187" t="s">
        <v>466</v>
      </c>
      <c r="C35" s="188"/>
      <c r="D35" s="28" t="s">
        <v>27</v>
      </c>
      <c r="E35" s="28" t="s">
        <v>462</v>
      </c>
      <c r="F35" s="29" t="s">
        <v>463</v>
      </c>
      <c r="G35" s="57"/>
    </row>
    <row r="36" spans="1:7" s="10" customFormat="1" x14ac:dyDescent="0.2">
      <c r="A36" s="19">
        <v>1</v>
      </c>
      <c r="B36" s="177" t="s">
        <v>0</v>
      </c>
      <c r="C36" s="178"/>
      <c r="D36" s="14">
        <f>IF(F3="1",SUMIF(Data!A:A,'57'!$A$2,Data!CU:CU),0)</f>
        <v>2032</v>
      </c>
      <c r="E36" s="15">
        <f>IF(F3="1",SUMIF(Data!$A:$A,$A$2,Data!IO:IO),0)</f>
        <v>867</v>
      </c>
      <c r="F36" s="20">
        <f t="shared" ref="F36:F64" si="3">IF(OR(D36=0,E36=0),"",ROUND(E36/D36,2))</f>
        <v>0.43</v>
      </c>
      <c r="G36" s="57"/>
    </row>
    <row r="37" spans="1:7" s="10" customFormat="1" x14ac:dyDescent="0.2">
      <c r="A37" s="19">
        <v>2</v>
      </c>
      <c r="B37" s="177" t="s">
        <v>1</v>
      </c>
      <c r="C37" s="178"/>
      <c r="D37" s="14">
        <f>IF(F3="1",SUMIF(Data!A:A,'57'!$A$2,Data!CV:CV),0)</f>
        <v>1280</v>
      </c>
      <c r="E37" s="17">
        <f>IF(F3="1",SUMIF(Data!$A:$A,$A$2,Data!IP:IP),0)</f>
        <v>547</v>
      </c>
      <c r="F37" s="21">
        <f t="shared" si="3"/>
        <v>0.43</v>
      </c>
      <c r="G37" s="57"/>
    </row>
    <row r="38" spans="1:7" ht="14.25" customHeight="1" x14ac:dyDescent="0.2">
      <c r="A38" s="19">
        <v>3</v>
      </c>
      <c r="B38" s="177" t="s">
        <v>2</v>
      </c>
      <c r="C38" s="178"/>
      <c r="D38" s="14">
        <f>IF(F3="1",SUMIF(Data!A:A,'57'!$A$2,Data!CW:CW),0)</f>
        <v>91408</v>
      </c>
      <c r="E38" s="17">
        <f>IF($F$3="1",SUMIF(Data!$A:$A,$A$2,Data!IQ:IQ),0)</f>
        <v>39035</v>
      </c>
      <c r="F38" s="21">
        <f t="shared" si="3"/>
        <v>0.43</v>
      </c>
    </row>
    <row r="39" spans="1:7" s="10" customFormat="1" ht="14.25" customHeight="1" x14ac:dyDescent="0.2">
      <c r="A39" s="19">
        <v>4</v>
      </c>
      <c r="B39" s="177" t="s">
        <v>3</v>
      </c>
      <c r="C39" s="178"/>
      <c r="D39" s="14">
        <f>IF(F3="1",SUMIF(Data!A:A,'57'!$A$2,Data!CX:CX),0)</f>
        <v>54112</v>
      </c>
      <c r="E39" s="17">
        <f>IF($F$3="1",SUMIF(Data!$A:$A,$A$2,Data!IR:IR),0)</f>
        <v>23109</v>
      </c>
      <c r="F39" s="21">
        <f t="shared" si="3"/>
        <v>0.43</v>
      </c>
      <c r="G39" s="57"/>
    </row>
    <row r="40" spans="1:7" s="10" customFormat="1" x14ac:dyDescent="0.2">
      <c r="A40" s="19">
        <v>5</v>
      </c>
      <c r="B40" s="177" t="s">
        <v>4</v>
      </c>
      <c r="C40" s="178"/>
      <c r="D40" s="14">
        <f>IF(F3="1",SUMIF(Data!A:A,'57'!$A$2,Data!CY:CY),0)</f>
        <v>0</v>
      </c>
      <c r="E40" s="17">
        <f>IF($F$3="1",SUMIF(Data!$A:$A,$A$2,Data!IS:IS),0)</f>
        <v>0</v>
      </c>
      <c r="F40" s="21" t="str">
        <f t="shared" si="3"/>
        <v/>
      </c>
      <c r="G40" s="57"/>
    </row>
    <row r="41" spans="1:7" s="10" customFormat="1" x14ac:dyDescent="0.2">
      <c r="A41" s="19">
        <v>6</v>
      </c>
      <c r="B41" s="177" t="s">
        <v>5</v>
      </c>
      <c r="C41" s="178"/>
      <c r="D41" s="14">
        <f>IF(F3="1",SUMIF(Data!A:A,'57'!$A$2,Data!CZ:CZ),0)</f>
        <v>992</v>
      </c>
      <c r="E41" s="17">
        <f>IF($F$3="1",SUMIF(Data!$A:$A,$A$2,Data!IT:IT),0)</f>
        <v>424</v>
      </c>
      <c r="F41" s="21">
        <f t="shared" si="3"/>
        <v>0.43</v>
      </c>
      <c r="G41" s="57"/>
    </row>
    <row r="42" spans="1:7" s="10" customFormat="1" x14ac:dyDescent="0.2">
      <c r="A42" s="19">
        <v>7</v>
      </c>
      <c r="B42" s="177" t="s">
        <v>6</v>
      </c>
      <c r="C42" s="178"/>
      <c r="D42" s="14">
        <f>IF(F3="1",SUMIF(Data!A:A,'57'!$A$2,Data!DA:DA),0)</f>
        <v>48544</v>
      </c>
      <c r="E42" s="17">
        <f>IF($F$3="1",SUMIF(Data!$A:$A,$A$2,Data!IU:IU),0)</f>
        <v>20731</v>
      </c>
      <c r="F42" s="21">
        <f t="shared" si="3"/>
        <v>0.43</v>
      </c>
      <c r="G42" s="57"/>
    </row>
    <row r="43" spans="1:7" s="10" customFormat="1" x14ac:dyDescent="0.2">
      <c r="A43" s="19">
        <v>8</v>
      </c>
      <c r="B43" s="177" t="s">
        <v>7</v>
      </c>
      <c r="C43" s="178"/>
      <c r="D43" s="14">
        <f>IF(F3="1",SUMIF(Data!A:A,'57'!$A$2,Data!DB:DB),0)</f>
        <v>0</v>
      </c>
      <c r="E43" s="17">
        <f>IF($F$3="1",SUMIF(Data!$A:$A,$A$2,Data!IV:IV),0)</f>
        <v>0</v>
      </c>
      <c r="F43" s="21" t="str">
        <f t="shared" si="3"/>
        <v/>
      </c>
      <c r="G43" s="57"/>
    </row>
    <row r="44" spans="1:7" s="10" customFormat="1" x14ac:dyDescent="0.2">
      <c r="A44" s="19">
        <v>9</v>
      </c>
      <c r="B44" s="177" t="s">
        <v>8</v>
      </c>
      <c r="C44" s="178"/>
      <c r="D44" s="14">
        <f>IF(F3="1",SUMIF(Data!A:A,'57'!$A$2,Data!DC:DC),0)</f>
        <v>6576</v>
      </c>
      <c r="E44" s="17">
        <f>IF($F$3="1",SUMIF(Data!$A:$A,$A$2,Data!IW:IW),0)</f>
        <v>2808</v>
      </c>
      <c r="F44" s="21">
        <f t="shared" si="3"/>
        <v>0.43</v>
      </c>
      <c r="G44" s="57"/>
    </row>
    <row r="45" spans="1:7" s="10" customFormat="1" x14ac:dyDescent="0.2">
      <c r="A45" s="19">
        <v>10</v>
      </c>
      <c r="B45" s="177" t="s">
        <v>9</v>
      </c>
      <c r="C45" s="178"/>
      <c r="D45" s="14">
        <f>IF(F3="1",SUMIF(Data!A:A,'57'!$A$2,Data!DD:DD),0)</f>
        <v>0</v>
      </c>
      <c r="E45" s="17">
        <f>IF($F$3="1",SUMIF(Data!$A:$A,$A$2,Data!IX:IX),0)</f>
        <v>0</v>
      </c>
      <c r="F45" s="21" t="str">
        <f t="shared" si="3"/>
        <v/>
      </c>
      <c r="G45" s="57"/>
    </row>
    <row r="46" spans="1:7" s="10" customFormat="1" x14ac:dyDescent="0.2">
      <c r="A46" s="19">
        <v>11</v>
      </c>
      <c r="B46" s="177" t="s">
        <v>10</v>
      </c>
      <c r="C46" s="178"/>
      <c r="D46" s="14">
        <f>IF(F3="1",SUMIF(Data!A:A,'57'!$A$2,Data!DE:DE),0)</f>
        <v>7072</v>
      </c>
      <c r="E46" s="17">
        <f>IF($F$3="1",SUMIF(Data!$A:$A,$A$2,Data!IY:IY),0)</f>
        <v>3020</v>
      </c>
      <c r="F46" s="21">
        <f t="shared" si="3"/>
        <v>0.43</v>
      </c>
      <c r="G46" s="57"/>
    </row>
    <row r="47" spans="1:7" s="10" customFormat="1" ht="14.25" customHeight="1" x14ac:dyDescent="0.2">
      <c r="A47" s="19">
        <v>12</v>
      </c>
      <c r="B47" s="177" t="s">
        <v>11</v>
      </c>
      <c r="C47" s="178"/>
      <c r="D47" s="14">
        <f>IF(F3="1",SUMIF(Data!A:A,'57'!$A$2,Data!DF:DF),0)</f>
        <v>110496</v>
      </c>
      <c r="E47" s="17">
        <f>IF($F$3="1",SUMIF(Data!$A:$A,$A$2,Data!IZ:IZ),0)</f>
        <v>47187</v>
      </c>
      <c r="F47" s="21">
        <f t="shared" si="3"/>
        <v>0.43</v>
      </c>
      <c r="G47" s="57"/>
    </row>
    <row r="48" spans="1:7" s="10" customFormat="1" x14ac:dyDescent="0.2">
      <c r="A48" s="19">
        <v>13</v>
      </c>
      <c r="B48" s="177" t="s">
        <v>12</v>
      </c>
      <c r="C48" s="178"/>
      <c r="D48" s="14">
        <f>IF(F3="1",SUMIF(Data!A:A,'57'!$A$2,Data!DG:DG),0)</f>
        <v>1872</v>
      </c>
      <c r="E48" s="17">
        <f>IF($F$3="1",SUMIF(Data!$A:$A,$A$2,Data!JA:JA),0)</f>
        <v>799</v>
      </c>
      <c r="F48" s="21">
        <f t="shared" si="3"/>
        <v>0.43</v>
      </c>
      <c r="G48" s="57"/>
    </row>
    <row r="49" spans="1:7" s="10" customFormat="1" ht="14.25" customHeight="1" x14ac:dyDescent="0.2">
      <c r="A49" s="19">
        <v>14</v>
      </c>
      <c r="B49" s="177" t="s">
        <v>464</v>
      </c>
      <c r="C49" s="178"/>
      <c r="D49" s="14">
        <f>IF(F3="1",SUMIF(Data!A:A,'57'!$A$2,Data!DH:DH),0)</f>
        <v>60304</v>
      </c>
      <c r="E49" s="17">
        <f>IF($F$3="1",SUMIF(Data!$A:$A,$A$2,Data!JB:JB),0)</f>
        <v>25752</v>
      </c>
      <c r="F49" s="21">
        <f t="shared" si="3"/>
        <v>0.43</v>
      </c>
      <c r="G49" s="57"/>
    </row>
    <row r="50" spans="1:7" s="10" customFormat="1" x14ac:dyDescent="0.2">
      <c r="A50" s="19">
        <v>15</v>
      </c>
      <c r="B50" s="177" t="s">
        <v>13</v>
      </c>
      <c r="C50" s="178"/>
      <c r="D50" s="14">
        <f>IF(F3="1",SUMIF(Data!A:A,'57'!$A$2,Data!DI:DI),0)</f>
        <v>0</v>
      </c>
      <c r="E50" s="17">
        <f>IF($F$3="1",SUMIF(Data!$A:$A,$A$2,Data!JC:JC),0)</f>
        <v>0</v>
      </c>
      <c r="F50" s="21" t="str">
        <f t="shared" si="3"/>
        <v/>
      </c>
      <c r="G50" s="57"/>
    </row>
    <row r="51" spans="1:7" s="10" customFormat="1" x14ac:dyDescent="0.2">
      <c r="A51" s="19">
        <v>16</v>
      </c>
      <c r="B51" s="177" t="s">
        <v>14</v>
      </c>
      <c r="C51" s="178"/>
      <c r="D51" s="14">
        <f>IF(F3="1",SUMIF(Data!A:A,'57'!$A$2,Data!DJ:DJ),0)</f>
        <v>60640</v>
      </c>
      <c r="E51" s="17">
        <f>IF($F$3="1",SUMIF(Data!$A:$A,$A$2,Data!JD:JD),0)</f>
        <v>25897</v>
      </c>
      <c r="F51" s="21">
        <f t="shared" si="3"/>
        <v>0.43</v>
      </c>
      <c r="G51" s="57"/>
    </row>
    <row r="52" spans="1:7" s="10" customFormat="1" x14ac:dyDescent="0.2">
      <c r="A52" s="19">
        <v>17</v>
      </c>
      <c r="B52" s="177" t="s">
        <v>15</v>
      </c>
      <c r="C52" s="178"/>
      <c r="D52" s="14">
        <f>IF(F3="1",SUMIF(Data!A:A,'57'!$A$2,Data!DK:DK),0)</f>
        <v>0</v>
      </c>
      <c r="E52" s="17">
        <f>IF($F$3="1",SUMIF(Data!$A:$A,$A$2,Data!JE:JE),0)</f>
        <v>0</v>
      </c>
      <c r="F52" s="21" t="str">
        <f t="shared" si="3"/>
        <v/>
      </c>
      <c r="G52" s="57"/>
    </row>
    <row r="53" spans="1:7" s="10" customFormat="1" x14ac:dyDescent="0.2">
      <c r="A53" s="19">
        <v>18</v>
      </c>
      <c r="B53" s="177" t="s">
        <v>16</v>
      </c>
      <c r="C53" s="178"/>
      <c r="D53" s="14">
        <f>IF(F3="1",SUMIF(Data!A:A,'57'!$A$2,Data!DL:DL),0)</f>
        <v>74416</v>
      </c>
      <c r="E53" s="17">
        <f>IF($F$3="1",SUMIF(Data!$A:$A,$A$2,Data!JF:JF),0)</f>
        <v>31779</v>
      </c>
      <c r="F53" s="21">
        <f t="shared" si="3"/>
        <v>0.43</v>
      </c>
      <c r="G53" s="57"/>
    </row>
    <row r="54" spans="1:7" s="10" customFormat="1" x14ac:dyDescent="0.2">
      <c r="A54" s="19">
        <v>19</v>
      </c>
      <c r="B54" s="177" t="s">
        <v>17</v>
      </c>
      <c r="C54" s="178"/>
      <c r="D54" s="14">
        <f>IF(F3="1",SUMIF(Data!A:A,'57'!$A$2,Data!DM:DM),0)</f>
        <v>76352</v>
      </c>
      <c r="E54" s="17">
        <f>IF($F$3="1",SUMIF(Data!$A:$A,$A$2,Data!JG:JG),0)</f>
        <v>32606</v>
      </c>
      <c r="F54" s="21">
        <f t="shared" si="3"/>
        <v>0.43</v>
      </c>
      <c r="G54" s="57"/>
    </row>
    <row r="55" spans="1:7" s="10" customFormat="1" x14ac:dyDescent="0.2">
      <c r="A55" s="19">
        <v>20</v>
      </c>
      <c r="B55" s="177" t="s">
        <v>18</v>
      </c>
      <c r="C55" s="178"/>
      <c r="D55" s="14">
        <f>IF(F3="1",SUMIF(Data!A:A,'57'!$A$2,Data!DN:DN),0)</f>
        <v>0</v>
      </c>
      <c r="E55" s="17">
        <f>IF($F$3="1",SUMIF(Data!$A:$A,$A$2,Data!JH:JH),0)</f>
        <v>0</v>
      </c>
      <c r="F55" s="21" t="str">
        <f t="shared" si="3"/>
        <v/>
      </c>
      <c r="G55" s="57"/>
    </row>
    <row r="56" spans="1:7" s="10" customFormat="1" ht="14.25" customHeight="1" x14ac:dyDescent="0.2">
      <c r="A56" s="19">
        <v>21</v>
      </c>
      <c r="B56" s="177" t="s">
        <v>461</v>
      </c>
      <c r="C56" s="178"/>
      <c r="D56" s="14">
        <f>IF(F3="1",SUMIF(Data!A:A,'57'!$A$2,Data!DO:DO),0)</f>
        <v>0</v>
      </c>
      <c r="E56" s="17">
        <f>IF($F$3="1",SUMIF(Data!$A:$A,$A$2,Data!JI:JI),0)</f>
        <v>0</v>
      </c>
      <c r="F56" s="21" t="str">
        <f t="shared" si="3"/>
        <v/>
      </c>
      <c r="G56" s="57"/>
    </row>
    <row r="57" spans="1:7" s="10" customFormat="1" x14ac:dyDescent="0.2">
      <c r="A57" s="19">
        <v>22</v>
      </c>
      <c r="B57" s="177" t="s">
        <v>19</v>
      </c>
      <c r="C57" s="178"/>
      <c r="D57" s="14">
        <f>IF(F3="1",SUMIF(Data!A:A,'57'!$A$2,Data!DP:DP),0)</f>
        <v>0</v>
      </c>
      <c r="E57" s="17">
        <f>IF($F$3="1",SUMIF(Data!$A:$A,$A$2,Data!JJ:JJ),0)</f>
        <v>0</v>
      </c>
      <c r="F57" s="21" t="str">
        <f t="shared" si="3"/>
        <v/>
      </c>
      <c r="G57" s="57"/>
    </row>
    <row r="58" spans="1:7" s="10" customFormat="1" x14ac:dyDescent="0.2">
      <c r="A58" s="19">
        <v>23</v>
      </c>
      <c r="B58" s="177" t="s">
        <v>20</v>
      </c>
      <c r="C58" s="178"/>
      <c r="D58" s="14">
        <f>IF(F3="1",SUMIF(Data!A:A,'57'!$A$2,Data!DQ:DQ),0)</f>
        <v>30608</v>
      </c>
      <c r="E58" s="17">
        <f>IF($F$3="1",SUMIF(Data!$A:$A,$A$2,Data!JK:JK),0)</f>
        <v>13071</v>
      </c>
      <c r="F58" s="21">
        <f t="shared" si="3"/>
        <v>0.43</v>
      </c>
      <c r="G58" s="57"/>
    </row>
    <row r="59" spans="1:7" s="10" customFormat="1" x14ac:dyDescent="0.2">
      <c r="A59" s="19">
        <v>24</v>
      </c>
      <c r="B59" s="177" t="s">
        <v>21</v>
      </c>
      <c r="C59" s="178"/>
      <c r="D59" s="14">
        <f>IF(F3="1",SUMIF(Data!A:A,'57'!$A$2,Data!DR:DR),0)</f>
        <v>10224</v>
      </c>
      <c r="E59" s="17">
        <f>IF($F$3="1",SUMIF(Data!$A:$A,$A$2,Data!JL:JL),0)</f>
        <v>4365</v>
      </c>
      <c r="F59" s="21">
        <f t="shared" si="3"/>
        <v>0.43</v>
      </c>
      <c r="G59" s="57"/>
    </row>
    <row r="60" spans="1:7" s="10" customFormat="1" x14ac:dyDescent="0.2">
      <c r="A60" s="19">
        <v>25</v>
      </c>
      <c r="B60" s="177" t="s">
        <v>22</v>
      </c>
      <c r="C60" s="178"/>
      <c r="D60" s="14">
        <f>IF(F3="1",SUMIF(Data!A:A,'57'!$A$2,Data!DS:DS),0)</f>
        <v>80064</v>
      </c>
      <c r="E60" s="17">
        <f>IF($F$3="1",SUMIF(Data!$A:$A,$A$2,Data!JM:JM),0)</f>
        <v>34191</v>
      </c>
      <c r="F60" s="21">
        <f t="shared" si="3"/>
        <v>0.43</v>
      </c>
      <c r="G60" s="57"/>
    </row>
    <row r="61" spans="1:7" s="10" customFormat="1" x14ac:dyDescent="0.2">
      <c r="A61" s="19">
        <v>26</v>
      </c>
      <c r="B61" s="177" t="s">
        <v>23</v>
      </c>
      <c r="C61" s="178"/>
      <c r="D61" s="14">
        <f>IF(F3="1",SUMIF(Data!A:A,'57'!$A$2,Data!DT:DT),0)</f>
        <v>18400</v>
      </c>
      <c r="E61" s="17">
        <f>IF($F$3="1",SUMIF(Data!$A:$A,$A$2,Data!JN:JN),0)</f>
        <v>7857</v>
      </c>
      <c r="F61" s="21">
        <f t="shared" si="3"/>
        <v>0.43</v>
      </c>
      <c r="G61" s="57"/>
    </row>
    <row r="62" spans="1:7" s="10" customFormat="1" x14ac:dyDescent="0.2">
      <c r="A62" s="19">
        <v>28</v>
      </c>
      <c r="B62" s="177" t="s">
        <v>24</v>
      </c>
      <c r="C62" s="178"/>
      <c r="D62" s="14">
        <f>IF(F3="1",SUMIF(Data!A:A,'57'!$A$2,Data!DV:DV),0)</f>
        <v>0</v>
      </c>
      <c r="E62" s="17">
        <f>IF($F$3="1",SUMIF(Data!$A:$A,$A$2,Data!JP:JP),0)</f>
        <v>0</v>
      </c>
      <c r="F62" s="21" t="str">
        <f t="shared" si="3"/>
        <v/>
      </c>
      <c r="G62" s="57"/>
    </row>
    <row r="63" spans="1:7" s="10" customFormat="1" ht="15.75" customHeight="1" thickBot="1" x14ac:dyDescent="0.25">
      <c r="A63" s="22">
        <v>29</v>
      </c>
      <c r="B63" s="179" t="s">
        <v>25</v>
      </c>
      <c r="C63" s="180"/>
      <c r="D63" s="23">
        <f>IF(F3="1",SUMIF(Data!A:A,'57'!$A$2,Data!DW:DW),0)</f>
        <v>0</v>
      </c>
      <c r="E63" s="24">
        <f>IF($F$3="1",SUMIF(Data!$A:$A,$A$2,Data!JQ:JQ),0)</f>
        <v>0</v>
      </c>
      <c r="F63" s="25" t="str">
        <f t="shared" si="3"/>
        <v/>
      </c>
      <c r="G63" s="57"/>
    </row>
    <row r="64" spans="1:7" s="10" customFormat="1" x14ac:dyDescent="0.2">
      <c r="B64" s="30" t="s">
        <v>35</v>
      </c>
      <c r="C64" s="30"/>
      <c r="D64" s="59">
        <f>SUM(D36:D63)</f>
        <v>735392</v>
      </c>
      <c r="E64" s="31">
        <f>SUM(E36:E63)</f>
        <v>314045</v>
      </c>
      <c r="F64" s="32">
        <f t="shared" si="3"/>
        <v>0.43</v>
      </c>
      <c r="G64" s="57"/>
    </row>
    <row r="65" spans="1:7" s="10" customFormat="1" ht="15" thickBot="1" x14ac:dyDescent="0.25">
      <c r="B65" s="57"/>
      <c r="C65" s="57"/>
      <c r="D65" s="57"/>
      <c r="E65" s="57"/>
      <c r="F65" s="66"/>
      <c r="G65" s="57"/>
    </row>
    <row r="66" spans="1:7" s="10" customFormat="1" ht="29.25" customHeight="1" x14ac:dyDescent="0.2">
      <c r="A66" s="26" t="s">
        <v>26</v>
      </c>
      <c r="B66" s="187" t="s">
        <v>467</v>
      </c>
      <c r="C66" s="188"/>
      <c r="D66" s="28" t="s">
        <v>27</v>
      </c>
      <c r="E66" s="28" t="s">
        <v>462</v>
      </c>
      <c r="F66" s="29" t="s">
        <v>463</v>
      </c>
      <c r="G66" s="57"/>
    </row>
    <row r="67" spans="1:7" s="10" customFormat="1" x14ac:dyDescent="0.2">
      <c r="A67" s="19">
        <v>1</v>
      </c>
      <c r="B67" s="177" t="s">
        <v>0</v>
      </c>
      <c r="C67" s="178"/>
      <c r="D67" s="14">
        <f>D36</f>
        <v>2032</v>
      </c>
      <c r="E67" s="15">
        <f>IF(F3="1",SUMIF(Data!A:A,'57'!$A$2,Data!DY:DY),0)</f>
        <v>5984</v>
      </c>
      <c r="F67" s="20">
        <f t="shared" ref="F67:F95" si="4">IF(OR(D67=0,E67=0),"",ROUND(E67/D67,2))</f>
        <v>2.94</v>
      </c>
      <c r="G67" s="57"/>
    </row>
    <row r="68" spans="1:7" s="10" customFormat="1" x14ac:dyDescent="0.2">
      <c r="A68" s="19">
        <v>2</v>
      </c>
      <c r="B68" s="177" t="s">
        <v>1</v>
      </c>
      <c r="C68" s="178"/>
      <c r="D68" s="14">
        <f t="shared" ref="D68:D94" si="5">D37</f>
        <v>1280</v>
      </c>
      <c r="E68" s="17">
        <f>IF(F3="1",SUMIF(Data!A:A,'57'!$A$2,Data!DZ:DZ),0)</f>
        <v>3769</v>
      </c>
      <c r="F68" s="21">
        <f t="shared" si="4"/>
        <v>2.94</v>
      </c>
      <c r="G68" s="57"/>
    </row>
    <row r="69" spans="1:7" s="10" customFormat="1" ht="14.25" customHeight="1" x14ac:dyDescent="0.2">
      <c r="A69" s="19">
        <v>3</v>
      </c>
      <c r="B69" s="177" t="s">
        <v>2</v>
      </c>
      <c r="C69" s="178"/>
      <c r="D69" s="14">
        <f t="shared" si="5"/>
        <v>91408</v>
      </c>
      <c r="E69" s="17">
        <f>IF(F3="1",SUMIF(Data!A:A,'57'!$A$2,Data!EA:EA),0)</f>
        <v>269180</v>
      </c>
      <c r="F69" s="21">
        <f t="shared" si="4"/>
        <v>2.94</v>
      </c>
      <c r="G69" s="57"/>
    </row>
    <row r="70" spans="1:7" ht="14.25" customHeight="1" x14ac:dyDescent="0.2">
      <c r="A70" s="19">
        <v>4</v>
      </c>
      <c r="B70" s="177" t="s">
        <v>3</v>
      </c>
      <c r="C70" s="178"/>
      <c r="D70" s="14">
        <f t="shared" si="5"/>
        <v>54112</v>
      </c>
      <c r="E70" s="17">
        <f>IF(F3="1",SUMIF(Data!A:A,'57'!$A$2,Data!EB:EB),0)</f>
        <v>159350</v>
      </c>
      <c r="F70" s="21">
        <f t="shared" si="4"/>
        <v>2.94</v>
      </c>
    </row>
    <row r="71" spans="1:7" x14ac:dyDescent="0.2">
      <c r="A71" s="19">
        <v>5</v>
      </c>
      <c r="B71" s="177" t="s">
        <v>4</v>
      </c>
      <c r="C71" s="178"/>
      <c r="D71" s="14">
        <f t="shared" si="5"/>
        <v>0</v>
      </c>
      <c r="E71" s="17">
        <f>IF(F3="1",SUMIF(Data!A:A,'57'!$A$2,Data!EC:EC),0)</f>
        <v>0</v>
      </c>
      <c r="F71" s="21" t="str">
        <f t="shared" si="4"/>
        <v/>
      </c>
    </row>
    <row r="72" spans="1:7" x14ac:dyDescent="0.2">
      <c r="A72" s="19">
        <v>6</v>
      </c>
      <c r="B72" s="177" t="s">
        <v>5</v>
      </c>
      <c r="C72" s="178"/>
      <c r="D72" s="14">
        <f t="shared" si="5"/>
        <v>992</v>
      </c>
      <c r="E72" s="17">
        <f>IF(F3="1",SUMIF(Data!A:A,'57'!$A$2,Data!ED:ED),0)</f>
        <v>2921</v>
      </c>
      <c r="F72" s="21">
        <f t="shared" si="4"/>
        <v>2.94</v>
      </c>
    </row>
    <row r="73" spans="1:7" x14ac:dyDescent="0.2">
      <c r="A73" s="19">
        <v>7</v>
      </c>
      <c r="B73" s="177" t="s">
        <v>6</v>
      </c>
      <c r="C73" s="178"/>
      <c r="D73" s="14">
        <f t="shared" si="5"/>
        <v>48544</v>
      </c>
      <c r="E73" s="17">
        <f>IF(F3="1",SUMIF(Data!A:A,'57'!$A$2,Data!EE:EE),0)</f>
        <v>142953</v>
      </c>
      <c r="F73" s="21">
        <f t="shared" si="4"/>
        <v>2.94</v>
      </c>
    </row>
    <row r="74" spans="1:7" x14ac:dyDescent="0.2">
      <c r="A74" s="19">
        <v>8</v>
      </c>
      <c r="B74" s="177" t="s">
        <v>7</v>
      </c>
      <c r="C74" s="178"/>
      <c r="D74" s="14">
        <f t="shared" si="5"/>
        <v>0</v>
      </c>
      <c r="E74" s="17">
        <f>IF(F3="1",SUMIF(Data!A:A,'57'!$A$2,Data!EF:EF),0)</f>
        <v>0</v>
      </c>
      <c r="F74" s="21" t="str">
        <f t="shared" si="4"/>
        <v/>
      </c>
    </row>
    <row r="75" spans="1:7" x14ac:dyDescent="0.2">
      <c r="A75" s="19">
        <v>9</v>
      </c>
      <c r="B75" s="177" t="s">
        <v>8</v>
      </c>
      <c r="C75" s="178"/>
      <c r="D75" s="14">
        <f t="shared" si="5"/>
        <v>6576</v>
      </c>
      <c r="E75" s="17">
        <f>IF(F3="1",SUMIF(Data!A:A,'57'!$A$2,Data!EG:EG),0)</f>
        <v>19365</v>
      </c>
      <c r="F75" s="21">
        <f t="shared" si="4"/>
        <v>2.94</v>
      </c>
    </row>
    <row r="76" spans="1:7" x14ac:dyDescent="0.2">
      <c r="A76" s="19">
        <v>10</v>
      </c>
      <c r="B76" s="177" t="s">
        <v>9</v>
      </c>
      <c r="C76" s="178"/>
      <c r="D76" s="14">
        <f t="shared" si="5"/>
        <v>0</v>
      </c>
      <c r="E76" s="17">
        <f>IF(F3="1",SUMIF(Data!A:A,'57'!$A$2,Data!EH:EH),0)</f>
        <v>0</v>
      </c>
      <c r="F76" s="21" t="str">
        <f t="shared" si="4"/>
        <v/>
      </c>
    </row>
    <row r="77" spans="1:7" x14ac:dyDescent="0.2">
      <c r="A77" s="19">
        <v>11</v>
      </c>
      <c r="B77" s="177" t="s">
        <v>10</v>
      </c>
      <c r="C77" s="178"/>
      <c r="D77" s="14">
        <f t="shared" si="5"/>
        <v>7072</v>
      </c>
      <c r="E77" s="17">
        <f>IF(F3="1",SUMIF(Data!A:A,'57'!$A$2,Data!EI:EI),0)</f>
        <v>20826</v>
      </c>
      <c r="F77" s="21">
        <f t="shared" si="4"/>
        <v>2.94</v>
      </c>
    </row>
    <row r="78" spans="1:7" ht="14.25" customHeight="1" x14ac:dyDescent="0.2">
      <c r="A78" s="19">
        <v>12</v>
      </c>
      <c r="B78" s="177" t="s">
        <v>11</v>
      </c>
      <c r="C78" s="178"/>
      <c r="D78" s="14">
        <f t="shared" si="5"/>
        <v>110496</v>
      </c>
      <c r="E78" s="17">
        <f>IF(F3="1",SUMIF(Data!A:A,'57'!$A$2,Data!EJ:EJ),0)</f>
        <v>325391</v>
      </c>
      <c r="F78" s="21">
        <f t="shared" si="4"/>
        <v>2.94</v>
      </c>
    </row>
    <row r="79" spans="1:7" x14ac:dyDescent="0.2">
      <c r="A79" s="19">
        <v>13</v>
      </c>
      <c r="B79" s="177" t="s">
        <v>12</v>
      </c>
      <c r="C79" s="178"/>
      <c r="D79" s="14">
        <f t="shared" si="5"/>
        <v>1872</v>
      </c>
      <c r="E79" s="17">
        <f>IF(F3="1",SUMIF(Data!A:A,'57'!$A$2,Data!EK:EK),0)</f>
        <v>5513</v>
      </c>
      <c r="F79" s="21">
        <f t="shared" si="4"/>
        <v>2.94</v>
      </c>
    </row>
    <row r="80" spans="1:7" ht="14.25" customHeight="1" x14ac:dyDescent="0.2">
      <c r="A80" s="19">
        <v>14</v>
      </c>
      <c r="B80" s="177" t="s">
        <v>464</v>
      </c>
      <c r="C80" s="178"/>
      <c r="D80" s="14">
        <f t="shared" si="5"/>
        <v>60304</v>
      </c>
      <c r="E80" s="17">
        <f>IF(F3="1",SUMIF(Data!A:A,'57'!$A$2,Data!EL:EL),0)</f>
        <v>177584</v>
      </c>
      <c r="F80" s="21">
        <f t="shared" si="4"/>
        <v>2.94</v>
      </c>
    </row>
    <row r="81" spans="1:6" x14ac:dyDescent="0.2">
      <c r="A81" s="19">
        <v>15</v>
      </c>
      <c r="B81" s="177" t="s">
        <v>13</v>
      </c>
      <c r="C81" s="178"/>
      <c r="D81" s="14">
        <f t="shared" si="5"/>
        <v>0</v>
      </c>
      <c r="E81" s="17">
        <f>IF(F3="1",SUMIF(Data!A:A,'57'!$A$2,Data!EM:EM),0)</f>
        <v>0</v>
      </c>
      <c r="F81" s="21" t="str">
        <f t="shared" si="4"/>
        <v/>
      </c>
    </row>
    <row r="82" spans="1:6" x14ac:dyDescent="0.2">
      <c r="A82" s="19">
        <v>16</v>
      </c>
      <c r="B82" s="177" t="s">
        <v>14</v>
      </c>
      <c r="C82" s="178"/>
      <c r="D82" s="14">
        <f t="shared" si="5"/>
        <v>60640</v>
      </c>
      <c r="E82" s="17">
        <f>IF(F3="1",SUMIF(Data!A:A,'57'!$A$2,Data!EN:EN),0)</f>
        <v>178574</v>
      </c>
      <c r="F82" s="21">
        <f t="shared" si="4"/>
        <v>2.94</v>
      </c>
    </row>
    <row r="83" spans="1:6" x14ac:dyDescent="0.2">
      <c r="A83" s="19">
        <v>17</v>
      </c>
      <c r="B83" s="177" t="s">
        <v>15</v>
      </c>
      <c r="C83" s="178"/>
      <c r="D83" s="14">
        <f t="shared" si="5"/>
        <v>0</v>
      </c>
      <c r="E83" s="17">
        <f>IF(F3="1",SUMIF(Data!A:A,'57'!$A$2,Data!EO:EO),0)</f>
        <v>0</v>
      </c>
      <c r="F83" s="21" t="str">
        <f t="shared" si="4"/>
        <v/>
      </c>
    </row>
    <row r="84" spans="1:6" x14ac:dyDescent="0.2">
      <c r="A84" s="19">
        <v>18</v>
      </c>
      <c r="B84" s="177" t="s">
        <v>16</v>
      </c>
      <c r="C84" s="178"/>
      <c r="D84" s="14">
        <f t="shared" si="5"/>
        <v>74416</v>
      </c>
      <c r="E84" s="17">
        <f>IF(F3="1",SUMIF(Data!A:A,'57'!$A$2,Data!EP:EP),0)</f>
        <v>219142</v>
      </c>
      <c r="F84" s="21">
        <f t="shared" si="4"/>
        <v>2.94</v>
      </c>
    </row>
    <row r="85" spans="1:6" x14ac:dyDescent="0.2">
      <c r="A85" s="19">
        <v>19</v>
      </c>
      <c r="B85" s="177" t="s">
        <v>17</v>
      </c>
      <c r="C85" s="178"/>
      <c r="D85" s="14">
        <f t="shared" si="5"/>
        <v>76352</v>
      </c>
      <c r="E85" s="17">
        <f>IF(F3="1",SUMIF(Data!A:A,'57'!$A$2,Data!EQ:EQ),0)</f>
        <v>224843</v>
      </c>
      <c r="F85" s="21">
        <f t="shared" si="4"/>
        <v>2.94</v>
      </c>
    </row>
    <row r="86" spans="1:6" x14ac:dyDescent="0.2">
      <c r="A86" s="19">
        <v>20</v>
      </c>
      <c r="B86" s="177" t="s">
        <v>18</v>
      </c>
      <c r="C86" s="178"/>
      <c r="D86" s="14">
        <f t="shared" si="5"/>
        <v>0</v>
      </c>
      <c r="E86" s="17">
        <f>IF(F3="1",SUMIF(Data!A:A,'57'!$A$2,Data!ER:ER),0)</f>
        <v>0</v>
      </c>
      <c r="F86" s="21" t="str">
        <f t="shared" si="4"/>
        <v/>
      </c>
    </row>
    <row r="87" spans="1:6" ht="14.25" customHeight="1" x14ac:dyDescent="0.2">
      <c r="A87" s="19">
        <v>21</v>
      </c>
      <c r="B87" s="177" t="s">
        <v>461</v>
      </c>
      <c r="C87" s="178"/>
      <c r="D87" s="14">
        <f t="shared" si="5"/>
        <v>0</v>
      </c>
      <c r="E87" s="17">
        <f>IF(F3="1",SUMIF(Data!A:A,'57'!$A$2,Data!ES:ES),0)</f>
        <v>0</v>
      </c>
      <c r="F87" s="21" t="str">
        <f t="shared" si="4"/>
        <v/>
      </c>
    </row>
    <row r="88" spans="1:6" x14ac:dyDescent="0.2">
      <c r="A88" s="19">
        <v>22</v>
      </c>
      <c r="B88" s="177" t="s">
        <v>19</v>
      </c>
      <c r="C88" s="178"/>
      <c r="D88" s="14">
        <f t="shared" si="5"/>
        <v>0</v>
      </c>
      <c r="E88" s="17">
        <f>IF(F3="1",SUMIF(Data!A:A,'57'!$A$2,Data!ET:ET),0)</f>
        <v>0</v>
      </c>
      <c r="F88" s="21" t="str">
        <f t="shared" si="4"/>
        <v/>
      </c>
    </row>
    <row r="89" spans="1:6" x14ac:dyDescent="0.2">
      <c r="A89" s="19">
        <v>23</v>
      </c>
      <c r="B89" s="177" t="s">
        <v>20</v>
      </c>
      <c r="C89" s="178"/>
      <c r="D89" s="14">
        <f t="shared" si="5"/>
        <v>30608</v>
      </c>
      <c r="E89" s="17">
        <f>IF(F3="1",SUMIF(Data!A:A,'57'!$A$2,Data!EU:EU),0)</f>
        <v>90135</v>
      </c>
      <c r="F89" s="21">
        <f t="shared" si="4"/>
        <v>2.94</v>
      </c>
    </row>
    <row r="90" spans="1:6" x14ac:dyDescent="0.2">
      <c r="A90" s="19">
        <v>24</v>
      </c>
      <c r="B90" s="177" t="s">
        <v>21</v>
      </c>
      <c r="C90" s="178"/>
      <c r="D90" s="14">
        <f t="shared" si="5"/>
        <v>10224</v>
      </c>
      <c r="E90" s="17">
        <f>IF(F3="1",SUMIF(Data!A:A,'57'!$A$2,Data!EV:EV),0)</f>
        <v>30108</v>
      </c>
      <c r="F90" s="21">
        <f t="shared" si="4"/>
        <v>2.94</v>
      </c>
    </row>
    <row r="91" spans="1:6" x14ac:dyDescent="0.2">
      <c r="A91" s="19">
        <v>25</v>
      </c>
      <c r="B91" s="177" t="s">
        <v>22</v>
      </c>
      <c r="C91" s="178"/>
      <c r="D91" s="14">
        <f t="shared" si="5"/>
        <v>80064</v>
      </c>
      <c r="E91" s="17">
        <f>IF(F3="1",SUMIF(Data!A:A,'57'!$A$2,Data!EW:EW),0)</f>
        <v>235774</v>
      </c>
      <c r="F91" s="21">
        <f t="shared" si="4"/>
        <v>2.94</v>
      </c>
    </row>
    <row r="92" spans="1:6" x14ac:dyDescent="0.2">
      <c r="A92" s="19">
        <v>26</v>
      </c>
      <c r="B92" s="177" t="s">
        <v>23</v>
      </c>
      <c r="C92" s="178"/>
      <c r="D92" s="14">
        <f t="shared" si="5"/>
        <v>18400</v>
      </c>
      <c r="E92" s="17">
        <f>IF(F3="1",SUMIF(Data!A:A,'57'!$A$2,Data!EX:EX),0)</f>
        <v>54184</v>
      </c>
      <c r="F92" s="21">
        <f t="shared" si="4"/>
        <v>2.94</v>
      </c>
    </row>
    <row r="93" spans="1:6" x14ac:dyDescent="0.2">
      <c r="A93" s="19">
        <v>28</v>
      </c>
      <c r="B93" s="177" t="s">
        <v>24</v>
      </c>
      <c r="C93" s="178"/>
      <c r="D93" s="14">
        <f t="shared" si="5"/>
        <v>0</v>
      </c>
      <c r="E93" s="17">
        <f>IF(F3="1",SUMIF(Data!A:A,'57'!$A$2,Data!EZ:EZ),0)</f>
        <v>0</v>
      </c>
      <c r="F93" s="21" t="str">
        <f t="shared" si="4"/>
        <v/>
      </c>
    </row>
    <row r="94" spans="1:6" ht="15.75" customHeight="1" thickBot="1" x14ac:dyDescent="0.25">
      <c r="A94" s="22">
        <v>29</v>
      </c>
      <c r="B94" s="179" t="s">
        <v>25</v>
      </c>
      <c r="C94" s="180"/>
      <c r="D94" s="23">
        <f t="shared" si="5"/>
        <v>0</v>
      </c>
      <c r="E94" s="24">
        <f>IF(F3="1",SUMIF(Data!A:A,'57'!$A$2,Data!FA:FA),0)</f>
        <v>0</v>
      </c>
      <c r="F94" s="25" t="str">
        <f t="shared" si="4"/>
        <v/>
      </c>
    </row>
    <row r="95" spans="1:6" x14ac:dyDescent="0.2">
      <c r="B95" s="30" t="s">
        <v>35</v>
      </c>
      <c r="C95" s="30"/>
      <c r="D95" s="59">
        <f>SUM(D67:D94)</f>
        <v>735392</v>
      </c>
      <c r="E95" s="31">
        <f>SUM(E67:E94)</f>
        <v>2165596</v>
      </c>
      <c r="F95" s="32">
        <f t="shared" si="4"/>
        <v>2.94</v>
      </c>
    </row>
    <row r="96" spans="1:6" ht="15" thickBot="1" x14ac:dyDescent="0.25">
      <c r="F96" s="66"/>
    </row>
    <row r="97" spans="2:7" ht="29.25" customHeight="1" x14ac:dyDescent="0.2">
      <c r="B97" s="181" t="s">
        <v>468</v>
      </c>
      <c r="C97" s="182"/>
      <c r="D97" s="28" t="s">
        <v>27</v>
      </c>
      <c r="E97" s="33" t="s">
        <v>462</v>
      </c>
      <c r="F97" s="29" t="s">
        <v>463</v>
      </c>
    </row>
    <row r="98" spans="2:7" x14ac:dyDescent="0.2">
      <c r="B98" s="183" t="s">
        <v>30</v>
      </c>
      <c r="C98" s="184"/>
      <c r="D98" s="35"/>
      <c r="E98" s="15">
        <f>IF(F3="1",SUMIF(Data!A:A,'57'!$A$2,Data!AH:AH),0)</f>
        <v>1082904</v>
      </c>
      <c r="F98" s="20">
        <f>IF(OR(E98=0,E98=0),"",ROUND(E98/$D$105,2))</f>
        <v>1.47</v>
      </c>
    </row>
    <row r="99" spans="2:7" x14ac:dyDescent="0.2">
      <c r="B99" s="183" t="s">
        <v>31</v>
      </c>
      <c r="C99" s="184"/>
      <c r="D99" s="36"/>
      <c r="E99" s="17">
        <f>IF(F3="1",SUMIF(Data!A:A,'57'!$A$2,Data!AI:AI),0)</f>
        <v>317834</v>
      </c>
      <c r="F99" s="21">
        <f t="shared" ref="F99:F104" si="6">IF(OR(E99=0,E99=0),"",ROUND(E99/$D$105,2))</f>
        <v>0.43</v>
      </c>
    </row>
    <row r="100" spans="2:7" x14ac:dyDescent="0.2">
      <c r="B100" s="183" t="s">
        <v>1078</v>
      </c>
      <c r="C100" s="184"/>
      <c r="D100" s="36"/>
      <c r="E100" s="17">
        <f>IF(F3="1",SUMIF(Data!A:A,'57'!$A$2,Data!AJ:AJ),0)</f>
        <v>339420</v>
      </c>
      <c r="F100" s="21">
        <f t="shared" si="6"/>
        <v>0.46</v>
      </c>
    </row>
    <row r="101" spans="2:7" x14ac:dyDescent="0.2">
      <c r="B101" s="183" t="s">
        <v>1079</v>
      </c>
      <c r="C101" s="184"/>
      <c r="D101" s="36"/>
      <c r="E101" s="17">
        <f>IF(F3="1",SUMIF(Data!A:A,'57'!$A$2,Data!AK:AK),0)</f>
        <v>227452</v>
      </c>
      <c r="F101" s="21">
        <f t="shared" si="6"/>
        <v>0.31</v>
      </c>
    </row>
    <row r="102" spans="2:7" x14ac:dyDescent="0.2">
      <c r="B102" s="183" t="s">
        <v>1080</v>
      </c>
      <c r="C102" s="184"/>
      <c r="D102" s="36"/>
      <c r="E102" s="17">
        <f>IF(F3="1",SUMIF(Data!A:A,'57'!$A$2,Data!AL:AL),0)</f>
        <v>0</v>
      </c>
      <c r="F102" s="21" t="str">
        <f t="shared" si="6"/>
        <v/>
      </c>
    </row>
    <row r="103" spans="2:7" x14ac:dyDescent="0.2">
      <c r="B103" s="185" t="s">
        <v>34</v>
      </c>
      <c r="C103" s="186"/>
      <c r="D103" s="36"/>
      <c r="E103" s="17">
        <f>IF(F3="1",SUMIF(Data!A:A,'57'!$A$2,Data!AM:AM),0)</f>
        <v>0</v>
      </c>
      <c r="F103" s="21" t="str">
        <f t="shared" si="6"/>
        <v/>
      </c>
    </row>
    <row r="104" spans="2:7" ht="15.75" customHeight="1" thickBot="1" x14ac:dyDescent="0.25">
      <c r="B104" s="175" t="s">
        <v>29</v>
      </c>
      <c r="C104" s="176"/>
      <c r="D104" s="37"/>
      <c r="E104" s="24">
        <f>IF(F3="1",SUMIF(Data!A:A,'57'!$A$2,Data!Q:Q),0)</f>
        <v>133804</v>
      </c>
      <c r="F104" s="25">
        <f t="shared" si="6"/>
        <v>0.18</v>
      </c>
    </row>
    <row r="105" spans="2:7" x14ac:dyDescent="0.2">
      <c r="B105" s="30" t="s">
        <v>35</v>
      </c>
      <c r="C105" s="30"/>
      <c r="D105" s="34">
        <f>D95</f>
        <v>735392</v>
      </c>
      <c r="E105" s="31">
        <f>SUM(E98:E104)</f>
        <v>2101414</v>
      </c>
      <c r="F105" s="32">
        <f>IF($D$105=0,"",ROUND(E105/$D$105,2))</f>
        <v>2.86</v>
      </c>
    </row>
    <row r="107" spans="2:7" ht="15" thickBot="1" x14ac:dyDescent="0.25">
      <c r="B107" s="58" t="s">
        <v>932</v>
      </c>
    </row>
    <row r="108" spans="2:7" ht="28.5" x14ac:dyDescent="0.2">
      <c r="B108" s="45" t="s">
        <v>926</v>
      </c>
      <c r="C108" s="27" t="s">
        <v>930</v>
      </c>
      <c r="D108" s="27" t="s">
        <v>29</v>
      </c>
      <c r="E108" s="27" t="s">
        <v>931</v>
      </c>
      <c r="F108" s="46" t="s">
        <v>35</v>
      </c>
    </row>
    <row r="109" spans="2:7" x14ac:dyDescent="0.2">
      <c r="B109" s="42" t="s">
        <v>927</v>
      </c>
      <c r="C109" s="15">
        <f>E95+IF(F3="1",SUMIF(Data!$A:$A,$A$2,Data!GF:GF),0)</f>
        <v>2165596</v>
      </c>
      <c r="D109" s="15">
        <f>IF(F3="1",SUMIF(Data!$A:$A,$A$2,Data!HJ:HJ),0)</f>
        <v>0</v>
      </c>
      <c r="E109" s="15">
        <f>IF(F3="1",SUMIF(Data!$A:$A,$A$2,Data!IN:IN),0)</f>
        <v>0</v>
      </c>
      <c r="F109" s="47">
        <f>SUM(C109:E109)</f>
        <v>2165596</v>
      </c>
    </row>
    <row r="110" spans="2:7" s="10" customFormat="1" x14ac:dyDescent="0.2">
      <c r="B110" s="42" t="s">
        <v>28</v>
      </c>
      <c r="C110" s="50">
        <f>IF(F3="1",SUMIF(Data!A:A,$A$2,Data!W:W),0)</f>
        <v>0</v>
      </c>
      <c r="D110" s="51"/>
      <c r="E110" s="50">
        <f>IF(F3="1",SUMIF(Data!A:A,$A$2,Data!W:W),0)</f>
        <v>0</v>
      </c>
      <c r="F110" s="48">
        <f t="shared" ref="F110:F116" si="7">SUM(C110:E110)</f>
        <v>0</v>
      </c>
      <c r="G110" s="57"/>
    </row>
    <row r="111" spans="2:7" x14ac:dyDescent="0.2">
      <c r="B111" s="42" t="s">
        <v>928</v>
      </c>
      <c r="C111" s="50">
        <f>IF(F3="1",SUMIF(Data!A:A,$A$2,Data!AS:AS),0)</f>
        <v>0</v>
      </c>
      <c r="D111" s="51"/>
      <c r="E111" s="50">
        <f>IF(F3="1",SUMIF(Data!A:A,$A$2,Data!AX:AX),0)</f>
        <v>0</v>
      </c>
      <c r="F111" s="48">
        <f t="shared" si="7"/>
        <v>0</v>
      </c>
    </row>
    <row r="112" spans="2:7" x14ac:dyDescent="0.2">
      <c r="B112" s="42" t="s">
        <v>32</v>
      </c>
      <c r="C112" s="50">
        <f>IF(F3="1",SUMIF(Data!A:A,$A$2,Data!V:V),0)</f>
        <v>0</v>
      </c>
      <c r="D112" s="51"/>
      <c r="E112" s="50">
        <f>IF(F3="1",SUMIF(Data!A:A,$A$2,Data!AC:AC),0)</f>
        <v>0</v>
      </c>
      <c r="F112" s="48">
        <f t="shared" si="7"/>
        <v>0</v>
      </c>
    </row>
    <row r="113" spans="1:7" x14ac:dyDescent="0.2">
      <c r="B113" s="42" t="s">
        <v>31</v>
      </c>
      <c r="C113" s="50">
        <f>IF(F3="1",SUMIF(Data!A:A,$A$2,Data!U:U),0)</f>
        <v>0</v>
      </c>
      <c r="D113" s="51"/>
      <c r="E113" s="50">
        <f>IF(F3="1",SUMIF(Data!A:A,$A$2,Data!AB:AB),0)</f>
        <v>0</v>
      </c>
      <c r="F113" s="48">
        <f t="shared" si="7"/>
        <v>0</v>
      </c>
    </row>
    <row r="114" spans="1:7" x14ac:dyDescent="0.2">
      <c r="B114" s="42" t="s">
        <v>1009</v>
      </c>
      <c r="C114" s="50">
        <f>IF(F3="1",SUMIF(Data!A:A,$A$2,Data!T:T),0)</f>
        <v>0</v>
      </c>
      <c r="D114" s="51"/>
      <c r="E114" s="50">
        <f>IF(F3="1",SUMIF(Data!A:A,$A$2,Data!AA:AA),0)</f>
        <v>0</v>
      </c>
      <c r="F114" s="48">
        <f t="shared" si="7"/>
        <v>0</v>
      </c>
    </row>
    <row r="115" spans="1:7" x14ac:dyDescent="0.2">
      <c r="B115" s="42" t="s">
        <v>929</v>
      </c>
      <c r="C115" s="50">
        <f>IF(F3="1",SUMIF(Data!A:A,$A$2,Data!BI:BI),0)</f>
        <v>0</v>
      </c>
      <c r="D115" s="50">
        <f>IF(F3="1",SUMIF(Data!A:A,$A$2,Data!BL:BL),0)</f>
        <v>0</v>
      </c>
      <c r="E115" s="50">
        <f>IF(F3="1",SUMIF(Data!A:A,$A$2,Data!BU:BU),0)</f>
        <v>0</v>
      </c>
      <c r="F115" s="48">
        <f t="shared" si="7"/>
        <v>0</v>
      </c>
    </row>
    <row r="116" spans="1:7" s="10" customFormat="1" x14ac:dyDescent="0.2">
      <c r="B116" s="42" t="s">
        <v>33</v>
      </c>
      <c r="C116" s="50">
        <f>IF(F3="1",SUMIF(Data!A:A,$A$2,Data!X:X),0)</f>
        <v>0</v>
      </c>
      <c r="D116" s="50"/>
      <c r="E116" s="50">
        <f>E102</f>
        <v>0</v>
      </c>
      <c r="F116" s="48">
        <f t="shared" si="7"/>
        <v>0</v>
      </c>
      <c r="G116" s="57"/>
    </row>
    <row r="117" spans="1:7" s="10" customFormat="1" ht="15" thickBot="1" x14ac:dyDescent="0.25">
      <c r="B117" s="43" t="s">
        <v>933</v>
      </c>
      <c r="C117" s="52"/>
      <c r="D117" s="52">
        <f>IF(F3="1",SUMIF(Data!A:A,$A$2,Data!Q:Q),0)</f>
        <v>133804</v>
      </c>
      <c r="E117" s="52"/>
      <c r="F117" s="49">
        <f>SUM(C117:E117)</f>
        <v>133804</v>
      </c>
      <c r="G117" s="57"/>
    </row>
    <row r="118" spans="1:7" x14ac:dyDescent="0.2">
      <c r="B118" s="13" t="s">
        <v>35</v>
      </c>
      <c r="C118" s="4">
        <f>SUM(C109:C116)</f>
        <v>2165596</v>
      </c>
      <c r="D118" s="4">
        <f>SUM(D109:D116)</f>
        <v>0</v>
      </c>
      <c r="E118" s="4">
        <f>SUM(E109:E116)</f>
        <v>0</v>
      </c>
      <c r="F118" s="4">
        <f>SUM(F109:F116)</f>
        <v>2165596</v>
      </c>
    </row>
    <row r="119" spans="1:7" ht="15" thickBot="1" x14ac:dyDescent="0.25"/>
    <row r="120" spans="1:7" s="10" customFormat="1" ht="15" thickBot="1" x14ac:dyDescent="0.25">
      <c r="B120" s="55" t="s">
        <v>934</v>
      </c>
      <c r="C120" s="53"/>
      <c r="D120" s="53"/>
      <c r="E120" s="53">
        <f>IF(F3="1",SUMIF(Data!A:A,'57'!$A$2,Data!AM:AM),0)</f>
        <v>0</v>
      </c>
      <c r="F120" s="54">
        <f>SUM(C120:E120)</f>
        <v>0</v>
      </c>
      <c r="G120" s="57"/>
    </row>
    <row r="122" spans="1:7" s="60" customFormat="1" ht="101.25" customHeight="1" x14ac:dyDescent="0.2">
      <c r="A122" s="189" t="s">
        <v>935</v>
      </c>
      <c r="B122" s="189"/>
      <c r="C122" s="189"/>
      <c r="D122" s="189"/>
      <c r="E122" s="189"/>
      <c r="F122" s="189"/>
    </row>
  </sheetData>
  <mergeCells count="96">
    <mergeCell ref="B10:C10"/>
    <mergeCell ref="B4:C4"/>
    <mergeCell ref="B5:C5"/>
    <mergeCell ref="B6:C6"/>
    <mergeCell ref="B7:C7"/>
    <mergeCell ref="B8:C8"/>
    <mergeCell ref="B9:C9"/>
    <mergeCell ref="B22:C22"/>
    <mergeCell ref="B11:C11"/>
    <mergeCell ref="B12:C12"/>
    <mergeCell ref="B13:C13"/>
    <mergeCell ref="B14:C14"/>
    <mergeCell ref="B15:C15"/>
    <mergeCell ref="B16:C16"/>
    <mergeCell ref="B17:C17"/>
    <mergeCell ref="B18:C18"/>
    <mergeCell ref="B19:C19"/>
    <mergeCell ref="B20:C20"/>
    <mergeCell ref="B21:C21"/>
    <mergeCell ref="B36:C36"/>
    <mergeCell ref="B23:C23"/>
    <mergeCell ref="B24:C24"/>
    <mergeCell ref="B25:C25"/>
    <mergeCell ref="B26:C26"/>
    <mergeCell ref="B27:C27"/>
    <mergeCell ref="B28:C28"/>
    <mergeCell ref="B29:C29"/>
    <mergeCell ref="B30:C30"/>
    <mergeCell ref="B31:C31"/>
    <mergeCell ref="B32:C32"/>
    <mergeCell ref="B35:C35"/>
    <mergeCell ref="B48:C48"/>
    <mergeCell ref="B37:C37"/>
    <mergeCell ref="B38:C38"/>
    <mergeCell ref="B39:C39"/>
    <mergeCell ref="B40:C40"/>
    <mergeCell ref="B41:C41"/>
    <mergeCell ref="B42:C42"/>
    <mergeCell ref="B43:C43"/>
    <mergeCell ref="B44:C44"/>
    <mergeCell ref="B45:C45"/>
    <mergeCell ref="B46:C46"/>
    <mergeCell ref="B47:C47"/>
    <mergeCell ref="B60:C60"/>
    <mergeCell ref="B61:C61"/>
    <mergeCell ref="B62:C62"/>
    <mergeCell ref="B66:C66"/>
    <mergeCell ref="B73:C73"/>
    <mergeCell ref="B86:C86"/>
    <mergeCell ref="B85:C85"/>
    <mergeCell ref="B84:C84"/>
    <mergeCell ref="B49:C49"/>
    <mergeCell ref="B50:C50"/>
    <mergeCell ref="B51:C51"/>
    <mergeCell ref="B52:C52"/>
    <mergeCell ref="B53:C53"/>
    <mergeCell ref="B54:C54"/>
    <mergeCell ref="B82:C82"/>
    <mergeCell ref="B55:C55"/>
    <mergeCell ref="B56:C56"/>
    <mergeCell ref="B57:C57"/>
    <mergeCell ref="B58:C58"/>
    <mergeCell ref="B67:C67"/>
    <mergeCell ref="B59:C59"/>
    <mergeCell ref="B102:C102"/>
    <mergeCell ref="B103:C103"/>
    <mergeCell ref="B69:C69"/>
    <mergeCell ref="B68:C68"/>
    <mergeCell ref="B99:C99"/>
    <mergeCell ref="B83:C83"/>
    <mergeCell ref="B94:C94"/>
    <mergeCell ref="B97:C97"/>
    <mergeCell ref="B98:C98"/>
    <mergeCell ref="B93:C93"/>
    <mergeCell ref="B92:C92"/>
    <mergeCell ref="B91:C91"/>
    <mergeCell ref="B90:C90"/>
    <mergeCell ref="B89:C89"/>
    <mergeCell ref="B88:C88"/>
    <mergeCell ref="B87:C87"/>
    <mergeCell ref="B104:C104"/>
    <mergeCell ref="B63:C63"/>
    <mergeCell ref="A122:F122"/>
    <mergeCell ref="B100:C100"/>
    <mergeCell ref="B101:C101"/>
    <mergeCell ref="B72:C72"/>
    <mergeCell ref="B71:C71"/>
    <mergeCell ref="B70:C70"/>
    <mergeCell ref="B81:C81"/>
    <mergeCell ref="B80:C80"/>
    <mergeCell ref="B79:C79"/>
    <mergeCell ref="B78:C78"/>
    <mergeCell ref="B77:C77"/>
    <mergeCell ref="B76:C76"/>
    <mergeCell ref="B75:C75"/>
    <mergeCell ref="B74:C74"/>
  </mergeCells>
  <pageMargins left="0.25" right="0.25" top="0.75" bottom="0.75" header="0.3" footer="0.3"/>
  <pageSetup orientation="landscape" r:id="rId1"/>
  <rowBreaks count="2" manualBreakCount="2">
    <brk id="64" max="16383" man="1"/>
    <brk id="95" max="16383" man="1"/>
  </rowBreak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B125"/>
  <sheetViews>
    <sheetView showGridLines="0" zoomScale="70" zoomScaleNormal="70" workbookViewId="0">
      <pane xSplit="1" ySplit="4" topLeftCell="C5" activePane="bottomRight" state="frozen"/>
      <selection pane="topRight" activeCell="B1" sqref="B1"/>
      <selection pane="bottomLeft" activeCell="A2" sqref="A2"/>
      <selection pane="bottomRight" activeCell="C5" sqref="C5"/>
    </sheetView>
  </sheetViews>
  <sheetFormatPr defaultColWidth="27.7109375" defaultRowHeight="15" outlineLevelCol="1" x14ac:dyDescent="0.25"/>
  <cols>
    <col min="1" max="1" width="17.28515625" bestFit="1" customWidth="1"/>
    <col min="2" max="2" width="27.7109375" hidden="1" customWidth="1" outlineLevel="1"/>
    <col min="3" max="3" width="13" customWidth="1" outlineLevel="1"/>
    <col min="4" max="4" width="27.7109375" hidden="1" customWidth="1" outlineLevel="1"/>
    <col min="5" max="5" width="18.140625" hidden="1" customWidth="1" outlineLevel="1"/>
    <col min="6" max="6" width="27.7109375" hidden="1" customWidth="1" outlineLevel="1"/>
    <col min="7" max="7" width="27.7109375" customWidth="1" outlineLevel="1"/>
    <col min="8" max="11" width="27.7109375" hidden="1" customWidth="1" outlineLevel="1"/>
    <col min="12" max="12" width="17.7109375" hidden="1" customWidth="1" outlineLevel="1" collapsed="1"/>
    <col min="13" max="13" width="16.85546875" hidden="1" customWidth="1" outlineLevel="1"/>
    <col min="14" max="14" width="16.85546875" hidden="1" customWidth="1" outlineLevel="1" collapsed="1"/>
    <col min="15" max="15" width="18.42578125" hidden="1" customWidth="1"/>
    <col min="16" max="16" width="15" hidden="1" customWidth="1"/>
    <col min="17" max="17" width="27.7109375" customWidth="1" outlineLevel="1"/>
    <col min="18" max="18" width="17.140625" hidden="1" customWidth="1" outlineLevel="1"/>
    <col min="19" max="19" width="18.28515625" hidden="1" customWidth="1"/>
    <col min="20" max="25" width="27.7109375" hidden="1" customWidth="1" outlineLevel="1"/>
    <col min="26" max="26" width="27.7109375" hidden="1" customWidth="1" collapsed="1"/>
    <col min="27" max="32" width="27.7109375" hidden="1" customWidth="1" outlineLevel="1"/>
    <col min="33" max="33" width="27.7109375" hidden="1" customWidth="1" collapsed="1"/>
    <col min="34" max="39" width="27.7109375" customWidth="1" outlineLevel="1"/>
    <col min="40" max="40" width="27.7109375" hidden="1" customWidth="1"/>
    <col min="41" max="44" width="27.7109375" hidden="1" customWidth="1" outlineLevel="1"/>
    <col min="45" max="45" width="27.7109375" hidden="1" customWidth="1"/>
    <col min="46" max="49" width="27.7109375" hidden="1" customWidth="1" outlineLevel="1"/>
    <col min="50" max="50" width="27.7109375" hidden="1" customWidth="1"/>
    <col min="51" max="54" width="27.7109375" hidden="1" customWidth="1" outlineLevel="1"/>
    <col min="55" max="55" width="27.7109375" hidden="1" customWidth="1"/>
    <col min="56" max="56" width="27.7109375" hidden="1" customWidth="1" outlineLevel="1"/>
    <col min="57" max="57" width="28.7109375" hidden="1" customWidth="1" outlineLevel="1"/>
    <col min="58" max="60" width="27.7109375" hidden="1" customWidth="1" outlineLevel="1"/>
    <col min="61" max="61" width="27.7109375" hidden="1" customWidth="1"/>
    <col min="62" max="66" width="27.7109375" hidden="1" customWidth="1" outlineLevel="1"/>
    <col min="67" max="67" width="27.7109375" hidden="1" customWidth="1"/>
    <col min="68" max="72" width="27.7109375" hidden="1" customWidth="1" outlineLevel="1"/>
    <col min="73" max="73" width="27.7109375" hidden="1" customWidth="1"/>
    <col min="74" max="78" width="27.7109375" hidden="1" customWidth="1" outlineLevel="1"/>
    <col min="79" max="79" width="27.7109375" hidden="1" customWidth="1"/>
    <col min="80" max="94" width="27.7109375" hidden="1" customWidth="1" outlineLevel="1"/>
    <col min="95" max="95" width="27.7109375" hidden="1" customWidth="1"/>
    <col min="96" max="96" width="27.7109375" hidden="1" customWidth="1" outlineLevel="1"/>
    <col min="97" max="97" width="27.7109375" hidden="1" customWidth="1"/>
    <col min="98" max="98" width="20.7109375" hidden="1" customWidth="1"/>
    <col min="99" max="127" width="27.7109375" customWidth="1" outlineLevel="1"/>
    <col min="128" max="128" width="35.42578125" bestFit="1" customWidth="1"/>
    <col min="129" max="129" width="35.42578125" bestFit="1" customWidth="1" outlineLevel="1"/>
    <col min="130" max="130" width="38.140625" bestFit="1" customWidth="1" outlineLevel="1"/>
    <col min="131" max="132" width="38.7109375" bestFit="1" customWidth="1" outlineLevel="1"/>
    <col min="133" max="134" width="35.42578125" bestFit="1" customWidth="1" outlineLevel="1"/>
    <col min="135" max="135" width="37.28515625" bestFit="1" customWidth="1" outlineLevel="1"/>
    <col min="136" max="136" width="38.140625" bestFit="1" customWidth="1" outlineLevel="1"/>
    <col min="137" max="137" width="39.140625" bestFit="1" customWidth="1" outlineLevel="1"/>
    <col min="138" max="138" width="35.42578125" bestFit="1" customWidth="1" outlineLevel="1"/>
    <col min="139" max="139" width="38.140625" bestFit="1" customWidth="1" outlineLevel="1"/>
    <col min="140" max="140" width="38.85546875" bestFit="1" customWidth="1" outlineLevel="1"/>
    <col min="141" max="141" width="37.42578125" bestFit="1" customWidth="1" outlineLevel="1"/>
    <col min="142" max="142" width="35.85546875" bestFit="1" customWidth="1" outlineLevel="1"/>
    <col min="143" max="143" width="38.7109375" bestFit="1" customWidth="1" outlineLevel="1"/>
    <col min="144" max="144" width="37.140625" bestFit="1" customWidth="1" outlineLevel="1"/>
    <col min="145" max="147" width="35.42578125" bestFit="1" customWidth="1" outlineLevel="1"/>
    <col min="148" max="148" width="39.140625" bestFit="1" customWidth="1" outlineLevel="1"/>
    <col min="149" max="149" width="39.5703125" bestFit="1" customWidth="1" outlineLevel="1"/>
    <col min="150" max="150" width="38.85546875" bestFit="1" customWidth="1" outlineLevel="1"/>
    <col min="151" max="154" width="35.42578125" bestFit="1" customWidth="1" outlineLevel="1"/>
    <col min="155" max="155" width="16.28515625" bestFit="1" customWidth="1" outlineLevel="1"/>
    <col min="156" max="157" width="35.42578125" bestFit="1" customWidth="1" outlineLevel="1"/>
    <col min="158" max="158" width="35.42578125" bestFit="1" customWidth="1"/>
    <col min="159" max="159" width="38.7109375" hidden="1" customWidth="1" outlineLevel="1"/>
    <col min="160" max="160" width="38.140625" hidden="1" customWidth="1" outlineLevel="1"/>
    <col min="161" max="161" width="37.140625" hidden="1" customWidth="1" outlineLevel="1"/>
    <col min="162" max="162" width="39.140625" hidden="1" customWidth="1" outlineLevel="1"/>
    <col min="163" max="163" width="39.28515625" hidden="1" customWidth="1" outlineLevel="1"/>
    <col min="164" max="165" width="37.28515625" hidden="1" customWidth="1" outlineLevel="1"/>
    <col min="166" max="166" width="36.28515625" hidden="1" customWidth="1" outlineLevel="1"/>
    <col min="167" max="167" width="39.140625" hidden="1" customWidth="1" outlineLevel="1"/>
    <col min="168" max="168" width="35.42578125" hidden="1" customWidth="1" outlineLevel="1"/>
    <col min="169" max="169" width="36.28515625" hidden="1" customWidth="1" outlineLevel="1"/>
    <col min="170" max="170" width="37.28515625" hidden="1" customWidth="1" outlineLevel="1"/>
    <col min="171" max="171" width="35.7109375" hidden="1" customWidth="1" outlineLevel="1"/>
    <col min="172" max="172" width="35.85546875" hidden="1" customWidth="1" outlineLevel="1"/>
    <col min="173" max="173" width="38.7109375" hidden="1" customWidth="1" outlineLevel="1"/>
    <col min="174" max="174" width="35.42578125" hidden="1" customWidth="1" outlineLevel="1"/>
    <col min="175" max="175" width="36" hidden="1" customWidth="1" outlineLevel="1"/>
    <col min="176" max="177" width="35.42578125" hidden="1" customWidth="1" outlineLevel="1"/>
    <col min="178" max="178" width="39.140625" hidden="1" customWidth="1" outlineLevel="1"/>
    <col min="179" max="179" width="39.5703125" hidden="1" customWidth="1" outlineLevel="1"/>
    <col min="180" max="180" width="38.85546875" hidden="1" customWidth="1" outlineLevel="1"/>
    <col min="181" max="181" width="38.7109375" hidden="1" customWidth="1" outlineLevel="1"/>
    <col min="182" max="184" width="35.42578125" hidden="1" customWidth="1" outlineLevel="1"/>
    <col min="185" max="185" width="16.28515625" hidden="1" customWidth="1" outlineLevel="1"/>
    <col min="186" max="186" width="35.42578125" hidden="1" customWidth="1" outlineLevel="1"/>
    <col min="187" max="187" width="36.28515625" hidden="1" customWidth="1" outlineLevel="1"/>
    <col min="188" max="188" width="35.42578125" hidden="1" customWidth="1"/>
    <col min="189" max="189" width="35.42578125" hidden="1" customWidth="1" outlineLevel="1"/>
    <col min="190" max="190" width="38.140625" hidden="1" customWidth="1" outlineLevel="1"/>
    <col min="191" max="191" width="36.28515625" hidden="1" customWidth="1" outlineLevel="1"/>
    <col min="192" max="192" width="38.7109375" hidden="1" customWidth="1" outlineLevel="1"/>
    <col min="193" max="194" width="35.42578125" hidden="1" customWidth="1" outlineLevel="1"/>
    <col min="195" max="195" width="37.28515625" hidden="1" customWidth="1" outlineLevel="1"/>
    <col min="196" max="196" width="35.7109375" hidden="1" customWidth="1" outlineLevel="1"/>
    <col min="197" max="197" width="39.140625" hidden="1" customWidth="1" outlineLevel="1"/>
    <col min="198" max="198" width="35.42578125" hidden="1" customWidth="1" outlineLevel="1"/>
    <col min="199" max="199" width="35.7109375" hidden="1" customWidth="1" outlineLevel="1"/>
    <col min="200" max="200" width="36.28515625" hidden="1" customWidth="1" outlineLevel="1"/>
    <col min="201" max="201" width="35.42578125" hidden="1" customWidth="1" outlineLevel="1"/>
    <col min="202" max="202" width="35.85546875" hidden="1" customWidth="1" outlineLevel="1"/>
    <col min="203" max="203" width="38.7109375" hidden="1" customWidth="1" outlineLevel="1"/>
    <col min="204" max="207" width="35.42578125" hidden="1" customWidth="1" outlineLevel="1"/>
    <col min="208" max="208" width="39.140625" hidden="1" customWidth="1" outlineLevel="1"/>
    <col min="209" max="209" width="39.5703125" hidden="1" customWidth="1" outlineLevel="1"/>
    <col min="210" max="210" width="38.85546875" hidden="1" customWidth="1" outlineLevel="1"/>
    <col min="211" max="211" width="37.85546875" hidden="1" customWidth="1" outlineLevel="1"/>
    <col min="212" max="214" width="35.42578125" hidden="1" customWidth="1" outlineLevel="1"/>
    <col min="215" max="215" width="17.28515625" hidden="1" customWidth="1" outlineLevel="1"/>
    <col min="216" max="216" width="39.28515625" hidden="1" customWidth="1" outlineLevel="1"/>
    <col min="217" max="217" width="35.42578125" hidden="1" customWidth="1" outlineLevel="1"/>
    <col min="218" max="218" width="35.42578125" hidden="1" customWidth="1"/>
    <col min="219" max="220" width="38.140625" hidden="1" customWidth="1" outlineLevel="1"/>
    <col min="221" max="221" width="38.85546875" hidden="1" customWidth="1" outlineLevel="1"/>
    <col min="222" max="223" width="38.7109375" hidden="1" customWidth="1" outlineLevel="1"/>
    <col min="224" max="224" width="35.42578125" hidden="1" customWidth="1" outlineLevel="1"/>
    <col min="225" max="225" width="37.28515625" hidden="1" customWidth="1" outlineLevel="1"/>
    <col min="226" max="226" width="38.28515625" hidden="1" customWidth="1" outlineLevel="1"/>
    <col min="227" max="228" width="39.140625" hidden="1" customWidth="1" outlineLevel="1"/>
    <col min="229" max="229" width="38.28515625" hidden="1" customWidth="1" outlineLevel="1"/>
    <col min="230" max="230" width="37.28515625" hidden="1" customWidth="1" outlineLevel="1"/>
    <col min="231" max="231" width="37.7109375" hidden="1" customWidth="1" outlineLevel="1"/>
    <col min="232" max="232" width="35.85546875" hidden="1" customWidth="1" outlineLevel="1"/>
    <col min="233" max="233" width="38.7109375" hidden="1" customWidth="1" outlineLevel="1"/>
    <col min="234" max="237" width="35.42578125" hidden="1" customWidth="1" outlineLevel="1"/>
    <col min="238" max="238" width="39.140625" hidden="1" customWidth="1" outlineLevel="1"/>
    <col min="239" max="239" width="39.5703125" hidden="1" customWidth="1" outlineLevel="1"/>
    <col min="240" max="240" width="38.85546875" hidden="1" customWidth="1" outlineLevel="1"/>
    <col min="241" max="241" width="38.7109375" hidden="1" customWidth="1" outlineLevel="1"/>
    <col min="242" max="244" width="35.42578125" hidden="1" customWidth="1" outlineLevel="1"/>
    <col min="245" max="245" width="18.7109375" hidden="1" customWidth="1" outlineLevel="1"/>
    <col min="246" max="247" width="35.42578125" hidden="1" customWidth="1" outlineLevel="1"/>
    <col min="248" max="248" width="35.42578125" hidden="1" customWidth="1"/>
    <col min="249" max="249" width="36.85546875" bestFit="1" customWidth="1" outlineLevel="1"/>
    <col min="250" max="277" width="27.7109375" customWidth="1" outlineLevel="1"/>
    <col min="279" max="307" width="27.7109375" hidden="1" customWidth="1" outlineLevel="1"/>
    <col min="308" max="308" width="0" hidden="1" customWidth="1" collapsed="1"/>
    <col min="309" max="314" width="0" hidden="1" customWidth="1"/>
  </cols>
  <sheetData>
    <row r="1" spans="1:314" s="40" customFormat="1" ht="120" x14ac:dyDescent="0.25">
      <c r="A1" s="40" t="s">
        <v>716</v>
      </c>
      <c r="B1" s="40" t="s">
        <v>903</v>
      </c>
      <c r="C1" s="40" t="s">
        <v>904</v>
      </c>
      <c r="D1" s="40" t="s">
        <v>905</v>
      </c>
      <c r="E1" s="40" t="s">
        <v>906</v>
      </c>
      <c r="F1" s="40" t="s">
        <v>907</v>
      </c>
      <c r="G1" s="40" t="s">
        <v>908</v>
      </c>
      <c r="H1" s="40" t="s">
        <v>909</v>
      </c>
      <c r="I1" s="40" t="s">
        <v>910</v>
      </c>
      <c r="J1" s="40" t="s">
        <v>911</v>
      </c>
      <c r="K1" s="40" t="s">
        <v>912</v>
      </c>
      <c r="L1" s="40" t="s">
        <v>469</v>
      </c>
      <c r="M1" s="40" t="s">
        <v>469</v>
      </c>
      <c r="N1" s="40" t="s">
        <v>469</v>
      </c>
      <c r="O1" s="40" t="s">
        <v>715</v>
      </c>
      <c r="P1" s="40" t="s">
        <v>469</v>
      </c>
      <c r="Q1" s="40" t="s">
        <v>901</v>
      </c>
      <c r="R1" s="40" t="s">
        <v>469</v>
      </c>
      <c r="S1" s="40" t="s">
        <v>469</v>
      </c>
      <c r="T1" s="40" t="s">
        <v>470</v>
      </c>
      <c r="U1" s="40" t="s">
        <v>471</v>
      </c>
      <c r="V1" s="40" t="s">
        <v>472</v>
      </c>
      <c r="W1" s="40" t="s">
        <v>478</v>
      </c>
      <c r="X1" s="40" t="s">
        <v>473</v>
      </c>
      <c r="Y1" s="40" t="s">
        <v>469</v>
      </c>
      <c r="Z1" s="40" t="s">
        <v>474</v>
      </c>
      <c r="AA1" s="40" t="s">
        <v>475</v>
      </c>
      <c r="AB1" s="40" t="s">
        <v>476</v>
      </c>
      <c r="AC1" s="40" t="s">
        <v>477</v>
      </c>
      <c r="AD1" s="40" t="s">
        <v>478</v>
      </c>
      <c r="AE1" s="40" t="s">
        <v>479</v>
      </c>
      <c r="AF1" s="40" t="s">
        <v>480</v>
      </c>
      <c r="AG1" s="40" t="s">
        <v>481</v>
      </c>
      <c r="AH1" s="40" t="s">
        <v>898</v>
      </c>
      <c r="AI1" s="40" t="s">
        <v>899</v>
      </c>
      <c r="AJ1" s="40" t="s">
        <v>1075</v>
      </c>
      <c r="AK1" s="40" t="s">
        <v>1076</v>
      </c>
      <c r="AL1" s="40" t="s">
        <v>1077</v>
      </c>
      <c r="AM1" s="40" t="s">
        <v>900</v>
      </c>
      <c r="AN1" s="40" t="s">
        <v>902</v>
      </c>
      <c r="AO1" s="40" t="s">
        <v>483</v>
      </c>
      <c r="AP1" s="40" t="s">
        <v>482</v>
      </c>
      <c r="AQ1" s="40" t="s">
        <v>484</v>
      </c>
      <c r="AR1" s="40" t="s">
        <v>469</v>
      </c>
      <c r="AS1" s="40" t="s">
        <v>485</v>
      </c>
      <c r="AT1" s="40" t="s">
        <v>486</v>
      </c>
      <c r="AU1" s="40" t="s">
        <v>487</v>
      </c>
      <c r="AV1" s="40" t="s">
        <v>488</v>
      </c>
      <c r="AW1" s="40" t="s">
        <v>489</v>
      </c>
      <c r="AX1" s="40" t="s">
        <v>490</v>
      </c>
      <c r="AY1" s="40" t="s">
        <v>491</v>
      </c>
      <c r="AZ1" s="40" t="s">
        <v>492</v>
      </c>
      <c r="BA1" s="40" t="s">
        <v>493</v>
      </c>
      <c r="BB1" s="40" t="s">
        <v>494</v>
      </c>
      <c r="BC1" s="40" t="s">
        <v>495</v>
      </c>
      <c r="BD1" s="40" t="s">
        <v>496</v>
      </c>
      <c r="BE1" s="40" t="s">
        <v>497</v>
      </c>
      <c r="BF1" s="40" t="s">
        <v>469</v>
      </c>
      <c r="BG1" s="40" t="s">
        <v>469</v>
      </c>
      <c r="BH1" s="40" t="s">
        <v>469</v>
      </c>
      <c r="BI1" s="40" t="s">
        <v>498</v>
      </c>
      <c r="BJ1" s="40" t="s">
        <v>469</v>
      </c>
      <c r="BK1" s="40" t="s">
        <v>469</v>
      </c>
      <c r="BL1" s="40" t="s">
        <v>499</v>
      </c>
      <c r="BM1" s="40" t="s">
        <v>469</v>
      </c>
      <c r="BN1" s="40" t="s">
        <v>469</v>
      </c>
      <c r="BO1" s="40" t="s">
        <v>499</v>
      </c>
      <c r="BP1" s="40" t="s">
        <v>500</v>
      </c>
      <c r="BQ1" s="40" t="s">
        <v>501</v>
      </c>
      <c r="BR1" s="40" t="s">
        <v>469</v>
      </c>
      <c r="BS1" s="40" t="s">
        <v>469</v>
      </c>
      <c r="BT1" s="40" t="s">
        <v>502</v>
      </c>
      <c r="BU1" s="40" t="s">
        <v>503</v>
      </c>
      <c r="BV1" s="40" t="s">
        <v>504</v>
      </c>
      <c r="BW1" s="40" t="s">
        <v>505</v>
      </c>
      <c r="BX1" s="40" t="s">
        <v>506</v>
      </c>
      <c r="BY1" s="40" t="s">
        <v>469</v>
      </c>
      <c r="BZ1" s="40" t="s">
        <v>507</v>
      </c>
      <c r="CA1" s="40" t="s">
        <v>508</v>
      </c>
      <c r="CB1" s="40" t="s">
        <v>469</v>
      </c>
      <c r="CC1" s="40" t="s">
        <v>469</v>
      </c>
      <c r="CD1" s="40" t="s">
        <v>469</v>
      </c>
      <c r="CE1" s="40" t="s">
        <v>469</v>
      </c>
      <c r="CF1" s="40" t="s">
        <v>469</v>
      </c>
      <c r="CG1" s="40" t="s">
        <v>469</v>
      </c>
      <c r="CH1" s="40" t="s">
        <v>469</v>
      </c>
      <c r="CI1" s="40" t="s">
        <v>469</v>
      </c>
      <c r="CJ1" s="40" t="s">
        <v>469</v>
      </c>
      <c r="CK1" s="40" t="s">
        <v>469</v>
      </c>
      <c r="CL1" s="40" t="s">
        <v>469</v>
      </c>
      <c r="CM1" s="40" t="s">
        <v>469</v>
      </c>
      <c r="CN1" s="40" t="s">
        <v>469</v>
      </c>
      <c r="CO1" s="40" t="s">
        <v>469</v>
      </c>
      <c r="CP1" s="40" t="s">
        <v>469</v>
      </c>
      <c r="CQ1" s="40" t="s">
        <v>469</v>
      </c>
      <c r="CR1" s="40" t="s">
        <v>913</v>
      </c>
      <c r="CS1" s="40" t="s">
        <v>509</v>
      </c>
      <c r="CT1" s="40" t="s">
        <v>469</v>
      </c>
      <c r="CU1" s="40" t="s">
        <v>510</v>
      </c>
      <c r="CV1" s="40" t="s">
        <v>511</v>
      </c>
      <c r="CW1" s="40" t="s">
        <v>512</v>
      </c>
      <c r="CX1" s="40" t="s">
        <v>513</v>
      </c>
      <c r="CY1" s="40" t="s">
        <v>514</v>
      </c>
      <c r="CZ1" s="40" t="s">
        <v>515</v>
      </c>
      <c r="DA1" s="40" t="s">
        <v>516</v>
      </c>
      <c r="DB1" s="40" t="s">
        <v>517</v>
      </c>
      <c r="DC1" s="40" t="s">
        <v>518</v>
      </c>
      <c r="DD1" s="40" t="s">
        <v>519</v>
      </c>
      <c r="DE1" s="40" t="s">
        <v>520</v>
      </c>
      <c r="DF1" s="40" t="s">
        <v>521</v>
      </c>
      <c r="DG1" s="40" t="s">
        <v>522</v>
      </c>
      <c r="DH1" s="40" t="s">
        <v>523</v>
      </c>
      <c r="DI1" s="40" t="s">
        <v>524</v>
      </c>
      <c r="DJ1" s="40" t="s">
        <v>525</v>
      </c>
      <c r="DK1" s="40" t="s">
        <v>526</v>
      </c>
      <c r="DL1" s="40" t="s">
        <v>527</v>
      </c>
      <c r="DM1" s="40" t="s">
        <v>528</v>
      </c>
      <c r="DN1" s="40" t="s">
        <v>529</v>
      </c>
      <c r="DO1" s="40" t="s">
        <v>530</v>
      </c>
      <c r="DP1" s="40" t="s">
        <v>531</v>
      </c>
      <c r="DQ1" s="40" t="s">
        <v>532</v>
      </c>
      <c r="DR1" s="40" t="s">
        <v>533</v>
      </c>
      <c r="DS1" s="40" t="s">
        <v>534</v>
      </c>
      <c r="DT1" s="40" t="s">
        <v>535</v>
      </c>
      <c r="DU1" s="40" t="s">
        <v>469</v>
      </c>
      <c r="DV1" s="40" t="s">
        <v>536</v>
      </c>
      <c r="DW1" s="40" t="s">
        <v>537</v>
      </c>
      <c r="DX1" s="40" t="s">
        <v>538</v>
      </c>
      <c r="DY1" s="40" t="s">
        <v>539</v>
      </c>
      <c r="DZ1" s="40" t="s">
        <v>540</v>
      </c>
      <c r="EA1" s="40" t="s">
        <v>541</v>
      </c>
      <c r="EB1" s="40" t="s">
        <v>542</v>
      </c>
      <c r="EC1" s="40" t="s">
        <v>543</v>
      </c>
      <c r="ED1" s="40" t="s">
        <v>544</v>
      </c>
      <c r="EE1" s="40" t="s">
        <v>545</v>
      </c>
      <c r="EF1" s="40" t="s">
        <v>546</v>
      </c>
      <c r="EG1" s="40" t="s">
        <v>547</v>
      </c>
      <c r="EH1" s="40" t="s">
        <v>548</v>
      </c>
      <c r="EI1" s="40" t="s">
        <v>549</v>
      </c>
      <c r="EJ1" s="40" t="s">
        <v>550</v>
      </c>
      <c r="EK1" s="40" t="s">
        <v>551</v>
      </c>
      <c r="EL1" s="40" t="s">
        <v>552</v>
      </c>
      <c r="EM1" s="40" t="s">
        <v>553</v>
      </c>
      <c r="EN1" s="40" t="s">
        <v>554</v>
      </c>
      <c r="EO1" s="40" t="s">
        <v>555</v>
      </c>
      <c r="EP1" s="40" t="s">
        <v>556</v>
      </c>
      <c r="EQ1" s="40" t="s">
        <v>557</v>
      </c>
      <c r="ER1" s="40" t="s">
        <v>558</v>
      </c>
      <c r="ES1" s="40" t="s">
        <v>559</v>
      </c>
      <c r="ET1" s="40" t="s">
        <v>560</v>
      </c>
      <c r="EU1" s="40" t="s">
        <v>561</v>
      </c>
      <c r="EV1" s="40" t="s">
        <v>562</v>
      </c>
      <c r="EW1" s="40" t="s">
        <v>563</v>
      </c>
      <c r="EX1" s="40" t="s">
        <v>564</v>
      </c>
      <c r="EY1" s="40" t="s">
        <v>469</v>
      </c>
      <c r="EZ1" s="40" t="s">
        <v>565</v>
      </c>
      <c r="FA1" s="40" t="s">
        <v>566</v>
      </c>
      <c r="FB1" s="40" t="s">
        <v>567</v>
      </c>
      <c r="FC1" s="40" t="s">
        <v>568</v>
      </c>
      <c r="FD1" s="40" t="s">
        <v>569</v>
      </c>
      <c r="FE1" s="40" t="s">
        <v>570</v>
      </c>
      <c r="FF1" s="40" t="s">
        <v>571</v>
      </c>
      <c r="FG1" s="40" t="s">
        <v>572</v>
      </c>
      <c r="FH1" s="40" t="s">
        <v>573</v>
      </c>
      <c r="FI1" s="40" t="s">
        <v>574</v>
      </c>
      <c r="FJ1" s="40" t="s">
        <v>575</v>
      </c>
      <c r="FK1" s="40" t="s">
        <v>576</v>
      </c>
      <c r="FL1" s="40" t="s">
        <v>577</v>
      </c>
      <c r="FM1" s="40" t="s">
        <v>578</v>
      </c>
      <c r="FN1" s="40" t="s">
        <v>579</v>
      </c>
      <c r="FO1" s="40" t="s">
        <v>580</v>
      </c>
      <c r="FP1" s="40" t="s">
        <v>581</v>
      </c>
      <c r="FQ1" s="40" t="s">
        <v>582</v>
      </c>
      <c r="FR1" s="40" t="s">
        <v>583</v>
      </c>
      <c r="FS1" s="40" t="s">
        <v>584</v>
      </c>
      <c r="FT1" s="40" t="s">
        <v>585</v>
      </c>
      <c r="FU1" s="40" t="s">
        <v>586</v>
      </c>
      <c r="FV1" s="40" t="s">
        <v>587</v>
      </c>
      <c r="FW1" s="40" t="s">
        <v>588</v>
      </c>
      <c r="FX1" s="40" t="s">
        <v>589</v>
      </c>
      <c r="FY1" s="40" t="s">
        <v>590</v>
      </c>
      <c r="FZ1" s="40" t="s">
        <v>591</v>
      </c>
      <c r="GA1" s="40" t="s">
        <v>592</v>
      </c>
      <c r="GB1" s="40" t="s">
        <v>593</v>
      </c>
      <c r="GC1" s="40" t="s">
        <v>469</v>
      </c>
      <c r="GD1" s="40" t="s">
        <v>594</v>
      </c>
      <c r="GE1" s="40" t="s">
        <v>595</v>
      </c>
      <c r="GF1" s="40" t="s">
        <v>596</v>
      </c>
      <c r="GG1" s="40" t="s">
        <v>597</v>
      </c>
      <c r="GH1" s="40" t="s">
        <v>598</v>
      </c>
      <c r="GI1" s="40" t="s">
        <v>599</v>
      </c>
      <c r="GJ1" s="40" t="s">
        <v>600</v>
      </c>
      <c r="GK1" s="40" t="s">
        <v>601</v>
      </c>
      <c r="GL1" s="40" t="s">
        <v>602</v>
      </c>
      <c r="GM1" s="40" t="s">
        <v>603</v>
      </c>
      <c r="GN1" s="40" t="s">
        <v>604</v>
      </c>
      <c r="GO1" s="40" t="s">
        <v>605</v>
      </c>
      <c r="GP1" s="40" t="s">
        <v>606</v>
      </c>
      <c r="GQ1" s="40" t="s">
        <v>607</v>
      </c>
      <c r="GR1" s="40" t="s">
        <v>608</v>
      </c>
      <c r="GS1" s="40" t="s">
        <v>609</v>
      </c>
      <c r="GT1" s="40" t="s">
        <v>610</v>
      </c>
      <c r="GU1" s="40" t="s">
        <v>611</v>
      </c>
      <c r="GV1" s="40" t="s">
        <v>612</v>
      </c>
      <c r="GW1" s="40" t="s">
        <v>613</v>
      </c>
      <c r="GX1" s="40" t="s">
        <v>614</v>
      </c>
      <c r="GY1" s="40" t="s">
        <v>615</v>
      </c>
      <c r="GZ1" s="40" t="s">
        <v>616</v>
      </c>
      <c r="HA1" s="40" t="s">
        <v>617</v>
      </c>
      <c r="HB1" s="40" t="s">
        <v>618</v>
      </c>
      <c r="HC1" s="40" t="s">
        <v>619</v>
      </c>
      <c r="HD1" s="40" t="s">
        <v>620</v>
      </c>
      <c r="HE1" s="40" t="s">
        <v>621</v>
      </c>
      <c r="HF1" s="40" t="s">
        <v>622</v>
      </c>
      <c r="HG1" s="40" t="s">
        <v>469</v>
      </c>
      <c r="HH1" s="40" t="s">
        <v>623</v>
      </c>
      <c r="HI1" s="40" t="s">
        <v>624</v>
      </c>
      <c r="HJ1" s="40" t="s">
        <v>625</v>
      </c>
      <c r="HK1" s="40" t="s">
        <v>626</v>
      </c>
      <c r="HL1" s="40" t="s">
        <v>627</v>
      </c>
      <c r="HM1" s="40" t="s">
        <v>628</v>
      </c>
      <c r="HN1" s="40" t="s">
        <v>629</v>
      </c>
      <c r="HO1" s="40" t="s">
        <v>630</v>
      </c>
      <c r="HP1" s="40" t="s">
        <v>631</v>
      </c>
      <c r="HQ1" s="40" t="s">
        <v>632</v>
      </c>
      <c r="HR1" s="40" t="s">
        <v>633</v>
      </c>
      <c r="HS1" s="40" t="s">
        <v>634</v>
      </c>
      <c r="HT1" s="40" t="s">
        <v>635</v>
      </c>
      <c r="HU1" s="40" t="s">
        <v>636</v>
      </c>
      <c r="HV1" s="40" t="s">
        <v>637</v>
      </c>
      <c r="HW1" s="40" t="s">
        <v>638</v>
      </c>
      <c r="HX1" s="40" t="s">
        <v>639</v>
      </c>
      <c r="HY1" s="40" t="s">
        <v>640</v>
      </c>
      <c r="HZ1" s="40" t="s">
        <v>641</v>
      </c>
      <c r="IA1" s="40" t="s">
        <v>642</v>
      </c>
      <c r="IB1" s="40" t="s">
        <v>643</v>
      </c>
      <c r="IC1" s="40" t="s">
        <v>644</v>
      </c>
      <c r="ID1" s="40" t="s">
        <v>645</v>
      </c>
      <c r="IE1" s="40" t="s">
        <v>646</v>
      </c>
      <c r="IF1" s="40" t="s">
        <v>647</v>
      </c>
      <c r="IG1" s="40" t="s">
        <v>648</v>
      </c>
      <c r="IH1" s="40" t="s">
        <v>649</v>
      </c>
      <c r="II1" s="40" t="s">
        <v>650</v>
      </c>
      <c r="IJ1" s="40" t="s">
        <v>651</v>
      </c>
      <c r="IK1" s="40" t="s">
        <v>469</v>
      </c>
      <c r="IL1" s="40" t="s">
        <v>652</v>
      </c>
      <c r="IM1" s="40" t="s">
        <v>653</v>
      </c>
      <c r="IN1" s="40" t="s">
        <v>654</v>
      </c>
      <c r="IO1" s="40" t="s">
        <v>655</v>
      </c>
      <c r="IP1" s="40" t="s">
        <v>656</v>
      </c>
      <c r="IQ1" s="40" t="s">
        <v>657</v>
      </c>
      <c r="IR1" s="40" t="s">
        <v>658</v>
      </c>
      <c r="IS1" s="40" t="s">
        <v>659</v>
      </c>
      <c r="IT1" s="40" t="s">
        <v>660</v>
      </c>
      <c r="IU1" s="40" t="s">
        <v>661</v>
      </c>
      <c r="IV1" s="40" t="s">
        <v>662</v>
      </c>
      <c r="IW1" s="40" t="s">
        <v>663</v>
      </c>
      <c r="IX1" s="40" t="s">
        <v>664</v>
      </c>
      <c r="IY1" s="40" t="s">
        <v>665</v>
      </c>
      <c r="IZ1" s="40" t="s">
        <v>666</v>
      </c>
      <c r="JA1" s="40" t="s">
        <v>667</v>
      </c>
      <c r="JB1" s="40" t="s">
        <v>668</v>
      </c>
      <c r="JC1" s="40" t="s">
        <v>669</v>
      </c>
      <c r="JD1" s="40" t="s">
        <v>670</v>
      </c>
      <c r="JE1" s="40" t="s">
        <v>671</v>
      </c>
      <c r="JF1" s="40" t="s">
        <v>672</v>
      </c>
      <c r="JG1" s="40" t="s">
        <v>673</v>
      </c>
      <c r="JH1" s="40" t="s">
        <v>674</v>
      </c>
      <c r="JI1" s="40" t="s">
        <v>675</v>
      </c>
      <c r="JJ1" s="40" t="s">
        <v>676</v>
      </c>
      <c r="JK1" s="40" t="s">
        <v>677</v>
      </c>
      <c r="JL1" s="40" t="s">
        <v>678</v>
      </c>
      <c r="JM1" s="40" t="s">
        <v>679</v>
      </c>
      <c r="JN1" s="40" t="s">
        <v>680</v>
      </c>
      <c r="JO1" s="40" t="s">
        <v>469</v>
      </c>
      <c r="JP1" s="40" t="s">
        <v>681</v>
      </c>
      <c r="JQ1" s="40" t="s">
        <v>682</v>
      </c>
      <c r="JR1" s="40" t="s">
        <v>683</v>
      </c>
      <c r="JS1" s="40" t="s">
        <v>684</v>
      </c>
      <c r="JT1" s="40" t="s">
        <v>685</v>
      </c>
      <c r="JU1" s="40" t="s">
        <v>686</v>
      </c>
      <c r="JV1" s="40" t="s">
        <v>687</v>
      </c>
      <c r="JW1" s="40" t="s">
        <v>688</v>
      </c>
      <c r="JX1" s="40" t="s">
        <v>689</v>
      </c>
      <c r="JY1" s="40" t="s">
        <v>690</v>
      </c>
      <c r="JZ1" s="40" t="s">
        <v>691</v>
      </c>
      <c r="KA1" s="40" t="s">
        <v>692</v>
      </c>
      <c r="KB1" s="40" t="s">
        <v>693</v>
      </c>
      <c r="KC1" s="40" t="s">
        <v>694</v>
      </c>
      <c r="KD1" s="40" t="s">
        <v>695</v>
      </c>
      <c r="KE1" s="40" t="s">
        <v>696</v>
      </c>
      <c r="KF1" s="40" t="s">
        <v>697</v>
      </c>
      <c r="KG1" s="40" t="s">
        <v>698</v>
      </c>
      <c r="KH1" s="40" t="s">
        <v>699</v>
      </c>
      <c r="KI1" s="40" t="s">
        <v>700</v>
      </c>
      <c r="KJ1" s="40" t="s">
        <v>701</v>
      </c>
      <c r="KK1" s="40" t="s">
        <v>702</v>
      </c>
      <c r="KL1" s="40" t="s">
        <v>703</v>
      </c>
      <c r="KM1" s="40" t="s">
        <v>704</v>
      </c>
      <c r="KN1" s="40" t="s">
        <v>705</v>
      </c>
      <c r="KO1" s="40" t="s">
        <v>706</v>
      </c>
      <c r="KP1" s="40" t="s">
        <v>707</v>
      </c>
      <c r="KQ1" s="40" t="s">
        <v>708</v>
      </c>
      <c r="KR1" s="40" t="s">
        <v>709</v>
      </c>
      <c r="KS1" s="40" t="s">
        <v>469</v>
      </c>
      <c r="KT1" s="40" t="s">
        <v>710</v>
      </c>
      <c r="KU1" s="40" t="s">
        <v>711</v>
      </c>
      <c r="KV1" s="40" t="s">
        <v>712</v>
      </c>
      <c r="KW1" s="40" t="s">
        <v>897</v>
      </c>
      <c r="KX1" s="40" t="s">
        <v>896</v>
      </c>
      <c r="KY1" s="40" t="s">
        <v>1010</v>
      </c>
      <c r="KZ1" s="40" t="s">
        <v>895</v>
      </c>
      <c r="LA1" s="40" t="s">
        <v>714</v>
      </c>
      <c r="LB1" s="40" t="s">
        <v>713</v>
      </c>
    </row>
    <row r="2" spans="1:314" s="40" customFormat="1" x14ac:dyDescent="0.25">
      <c r="A2" s="40" t="s">
        <v>717</v>
      </c>
      <c r="B2" s="40" t="s">
        <v>914</v>
      </c>
      <c r="C2" s="40" t="s">
        <v>915</v>
      </c>
      <c r="D2" s="40" t="s">
        <v>915</v>
      </c>
      <c r="E2" s="40" t="s">
        <v>915</v>
      </c>
      <c r="F2" s="40" t="s">
        <v>916</v>
      </c>
      <c r="G2" s="40" t="s">
        <v>915</v>
      </c>
      <c r="H2" s="40" t="s">
        <v>917</v>
      </c>
      <c r="I2" s="40" t="s">
        <v>917</v>
      </c>
      <c r="J2" s="40" t="s">
        <v>917</v>
      </c>
      <c r="K2" s="40" t="s">
        <v>917</v>
      </c>
      <c r="L2" s="40" t="s">
        <v>469</v>
      </c>
      <c r="M2" s="40" t="s">
        <v>469</v>
      </c>
      <c r="N2" s="40" t="s">
        <v>469</v>
      </c>
      <c r="O2" s="40" t="s">
        <v>918</v>
      </c>
      <c r="P2" s="40" t="s">
        <v>469</v>
      </c>
      <c r="Q2" s="40" t="s">
        <v>919</v>
      </c>
      <c r="R2" s="40" t="s">
        <v>469</v>
      </c>
      <c r="S2" s="40" t="s">
        <v>919</v>
      </c>
      <c r="T2" s="40" t="s">
        <v>920</v>
      </c>
      <c r="U2" s="40" t="s">
        <v>920</v>
      </c>
      <c r="V2" s="40" t="s">
        <v>920</v>
      </c>
      <c r="W2" s="40" t="s">
        <v>920</v>
      </c>
      <c r="X2" s="40" t="s">
        <v>920</v>
      </c>
      <c r="Y2" s="40" t="s">
        <v>920</v>
      </c>
      <c r="Z2" s="40" t="s">
        <v>920</v>
      </c>
      <c r="AA2" s="40" t="s">
        <v>920</v>
      </c>
      <c r="AB2" s="40" t="s">
        <v>920</v>
      </c>
      <c r="AC2" s="40" t="s">
        <v>920</v>
      </c>
      <c r="AD2" s="40" t="s">
        <v>920</v>
      </c>
      <c r="AE2" s="40" t="s">
        <v>920</v>
      </c>
      <c r="AF2" s="40" t="s">
        <v>920</v>
      </c>
      <c r="AG2" s="40" t="s">
        <v>920</v>
      </c>
      <c r="AH2" s="40" t="s">
        <v>920</v>
      </c>
      <c r="AI2" s="40" t="s">
        <v>920</v>
      </c>
      <c r="AJ2" s="40" t="s">
        <v>920</v>
      </c>
      <c r="AK2" s="40" t="s">
        <v>920</v>
      </c>
      <c r="AL2" s="40" t="s">
        <v>920</v>
      </c>
      <c r="AM2" s="40" t="s">
        <v>920</v>
      </c>
      <c r="AN2" s="40" t="s">
        <v>920</v>
      </c>
      <c r="AO2" s="40" t="s">
        <v>921</v>
      </c>
      <c r="AP2" s="40" t="s">
        <v>921</v>
      </c>
      <c r="AQ2" s="40" t="s">
        <v>921</v>
      </c>
      <c r="AR2" s="40" t="s">
        <v>921</v>
      </c>
      <c r="AS2" s="40" t="s">
        <v>921</v>
      </c>
      <c r="AT2" s="40" t="s">
        <v>921</v>
      </c>
      <c r="AU2" s="40" t="s">
        <v>921</v>
      </c>
      <c r="AV2" s="40" t="s">
        <v>921</v>
      </c>
      <c r="AW2" s="40" t="s">
        <v>921</v>
      </c>
      <c r="AX2" s="40" t="s">
        <v>921</v>
      </c>
      <c r="AY2" s="40" t="s">
        <v>921</v>
      </c>
      <c r="AZ2" s="40" t="s">
        <v>921</v>
      </c>
      <c r="BA2" s="40" t="s">
        <v>921</v>
      </c>
      <c r="BB2" s="40" t="s">
        <v>921</v>
      </c>
      <c r="BC2" s="40" t="s">
        <v>921</v>
      </c>
      <c r="BD2" s="40" t="s">
        <v>922</v>
      </c>
      <c r="BE2" s="40" t="s">
        <v>922</v>
      </c>
      <c r="BF2" s="40" t="s">
        <v>922</v>
      </c>
      <c r="BG2" s="40" t="s">
        <v>922</v>
      </c>
      <c r="BH2" s="40" t="s">
        <v>922</v>
      </c>
      <c r="BI2" s="40" t="s">
        <v>922</v>
      </c>
      <c r="BJ2" s="40" t="s">
        <v>922</v>
      </c>
      <c r="BK2" s="40" t="s">
        <v>922</v>
      </c>
      <c r="BL2" s="40" t="s">
        <v>922</v>
      </c>
      <c r="BM2" s="40" t="s">
        <v>922</v>
      </c>
      <c r="BN2" s="40" t="s">
        <v>922</v>
      </c>
      <c r="BO2" s="40" t="s">
        <v>922</v>
      </c>
      <c r="BP2" s="40" t="s">
        <v>922</v>
      </c>
      <c r="BQ2" s="40" t="s">
        <v>922</v>
      </c>
      <c r="BR2" s="40" t="s">
        <v>922</v>
      </c>
      <c r="BS2" s="40" t="s">
        <v>922</v>
      </c>
      <c r="BT2" s="40" t="s">
        <v>922</v>
      </c>
      <c r="BU2" s="40" t="s">
        <v>922</v>
      </c>
      <c r="BV2" s="40" t="s">
        <v>922</v>
      </c>
      <c r="BW2" s="40" t="s">
        <v>922</v>
      </c>
      <c r="BX2" s="40" t="s">
        <v>922</v>
      </c>
      <c r="BY2" s="40" t="s">
        <v>922</v>
      </c>
      <c r="BZ2" s="40" t="s">
        <v>922</v>
      </c>
      <c r="CA2" s="40" t="s">
        <v>922</v>
      </c>
      <c r="CB2" s="40" t="s">
        <v>469</v>
      </c>
      <c r="CC2" s="40" t="s">
        <v>469</v>
      </c>
      <c r="CD2" s="40" t="s">
        <v>469</v>
      </c>
      <c r="CE2" s="40" t="s">
        <v>469</v>
      </c>
      <c r="CF2" s="40" t="s">
        <v>469</v>
      </c>
      <c r="CG2" s="40" t="s">
        <v>469</v>
      </c>
      <c r="CH2" s="40" t="s">
        <v>469</v>
      </c>
      <c r="CI2" s="40" t="s">
        <v>469</v>
      </c>
      <c r="CJ2" s="40" t="s">
        <v>469</v>
      </c>
      <c r="CK2" s="40" t="s">
        <v>469</v>
      </c>
      <c r="CL2" s="40" t="s">
        <v>469</v>
      </c>
      <c r="CM2" s="40" t="s">
        <v>469</v>
      </c>
      <c r="CN2" s="40" t="s">
        <v>469</v>
      </c>
      <c r="CO2" s="40" t="s">
        <v>469</v>
      </c>
      <c r="CP2" s="40" t="s">
        <v>469</v>
      </c>
      <c r="CQ2" s="40" t="s">
        <v>469</v>
      </c>
      <c r="CR2" s="40" t="s">
        <v>915</v>
      </c>
      <c r="CS2" s="40" t="s">
        <v>918</v>
      </c>
      <c r="CT2" s="40" t="s">
        <v>469</v>
      </c>
      <c r="CU2" s="40" t="s">
        <v>918</v>
      </c>
      <c r="CV2" s="40" t="s">
        <v>918</v>
      </c>
      <c r="CW2" s="40" t="s">
        <v>918</v>
      </c>
      <c r="CX2" s="40" t="s">
        <v>918</v>
      </c>
      <c r="CY2" s="40" t="s">
        <v>918</v>
      </c>
      <c r="CZ2" s="40" t="s">
        <v>918</v>
      </c>
      <c r="DA2" s="40" t="s">
        <v>918</v>
      </c>
      <c r="DB2" s="40" t="s">
        <v>918</v>
      </c>
      <c r="DC2" s="40" t="s">
        <v>918</v>
      </c>
      <c r="DD2" s="40" t="s">
        <v>918</v>
      </c>
      <c r="DE2" s="40" t="s">
        <v>918</v>
      </c>
      <c r="DF2" s="40" t="s">
        <v>918</v>
      </c>
      <c r="DG2" s="40" t="s">
        <v>918</v>
      </c>
      <c r="DH2" s="40" t="s">
        <v>918</v>
      </c>
      <c r="DI2" s="40" t="s">
        <v>918</v>
      </c>
      <c r="DJ2" s="40" t="s">
        <v>918</v>
      </c>
      <c r="DK2" s="40" t="s">
        <v>918</v>
      </c>
      <c r="DL2" s="40" t="s">
        <v>918</v>
      </c>
      <c r="DM2" s="40" t="s">
        <v>918</v>
      </c>
      <c r="DN2" s="40" t="s">
        <v>918</v>
      </c>
      <c r="DO2" s="40" t="s">
        <v>918</v>
      </c>
      <c r="DP2" s="40" t="s">
        <v>918</v>
      </c>
      <c r="DQ2" s="40" t="s">
        <v>918</v>
      </c>
      <c r="DR2" s="40" t="s">
        <v>918</v>
      </c>
      <c r="DS2" s="40" t="s">
        <v>918</v>
      </c>
      <c r="DT2" s="40" t="s">
        <v>918</v>
      </c>
      <c r="DU2" s="40" t="s">
        <v>918</v>
      </c>
      <c r="DV2" s="40" t="s">
        <v>918</v>
      </c>
      <c r="DW2" s="40" t="s">
        <v>918</v>
      </c>
      <c r="DX2" s="40" t="s">
        <v>918</v>
      </c>
      <c r="DY2" s="40" t="s">
        <v>918</v>
      </c>
      <c r="DZ2" s="40" t="s">
        <v>918</v>
      </c>
      <c r="EA2" s="40" t="s">
        <v>918</v>
      </c>
      <c r="EB2" s="40" t="s">
        <v>918</v>
      </c>
      <c r="EC2" s="40" t="s">
        <v>918</v>
      </c>
      <c r="ED2" s="40" t="s">
        <v>918</v>
      </c>
      <c r="EE2" s="40" t="s">
        <v>918</v>
      </c>
      <c r="EF2" s="40" t="s">
        <v>918</v>
      </c>
      <c r="EG2" s="40" t="s">
        <v>918</v>
      </c>
      <c r="EH2" s="40" t="s">
        <v>918</v>
      </c>
      <c r="EI2" s="40" t="s">
        <v>918</v>
      </c>
      <c r="EJ2" s="40" t="s">
        <v>918</v>
      </c>
      <c r="EK2" s="40" t="s">
        <v>918</v>
      </c>
      <c r="EL2" s="40" t="s">
        <v>918</v>
      </c>
      <c r="EM2" s="40" t="s">
        <v>918</v>
      </c>
      <c r="EN2" s="40" t="s">
        <v>918</v>
      </c>
      <c r="EO2" s="40" t="s">
        <v>918</v>
      </c>
      <c r="EP2" s="40" t="s">
        <v>918</v>
      </c>
      <c r="EQ2" s="40" t="s">
        <v>918</v>
      </c>
      <c r="ER2" s="40" t="s">
        <v>918</v>
      </c>
      <c r="ES2" s="40" t="s">
        <v>918</v>
      </c>
      <c r="ET2" s="40" t="s">
        <v>918</v>
      </c>
      <c r="EU2" s="40" t="s">
        <v>918</v>
      </c>
      <c r="EV2" s="40" t="s">
        <v>918</v>
      </c>
      <c r="EW2" s="40" t="s">
        <v>918</v>
      </c>
      <c r="EX2" s="40" t="s">
        <v>918</v>
      </c>
      <c r="EY2" s="40" t="s">
        <v>918</v>
      </c>
      <c r="EZ2" s="40" t="s">
        <v>918</v>
      </c>
      <c r="FA2" s="40" t="s">
        <v>918</v>
      </c>
      <c r="FB2" s="40" t="s">
        <v>918</v>
      </c>
      <c r="FC2" s="40" t="s">
        <v>918</v>
      </c>
      <c r="FD2" s="40" t="s">
        <v>918</v>
      </c>
      <c r="FE2" s="40" t="s">
        <v>918</v>
      </c>
      <c r="FF2" s="40" t="s">
        <v>918</v>
      </c>
      <c r="FG2" s="40" t="s">
        <v>918</v>
      </c>
      <c r="FH2" s="40" t="s">
        <v>918</v>
      </c>
      <c r="FI2" s="40" t="s">
        <v>918</v>
      </c>
      <c r="FJ2" s="40" t="s">
        <v>918</v>
      </c>
      <c r="FK2" s="40" t="s">
        <v>918</v>
      </c>
      <c r="FL2" s="40" t="s">
        <v>918</v>
      </c>
      <c r="FM2" s="40" t="s">
        <v>918</v>
      </c>
      <c r="FN2" s="40" t="s">
        <v>918</v>
      </c>
      <c r="FO2" s="40" t="s">
        <v>918</v>
      </c>
      <c r="FP2" s="40" t="s">
        <v>918</v>
      </c>
      <c r="FQ2" s="40" t="s">
        <v>918</v>
      </c>
      <c r="FR2" s="40" t="s">
        <v>918</v>
      </c>
      <c r="FS2" s="40" t="s">
        <v>918</v>
      </c>
      <c r="FT2" s="40" t="s">
        <v>918</v>
      </c>
      <c r="FU2" s="40" t="s">
        <v>918</v>
      </c>
      <c r="FV2" s="40" t="s">
        <v>918</v>
      </c>
      <c r="FW2" s="40" t="s">
        <v>918</v>
      </c>
      <c r="FX2" s="40" t="s">
        <v>918</v>
      </c>
      <c r="FY2" s="40" t="s">
        <v>918</v>
      </c>
      <c r="FZ2" s="40" t="s">
        <v>918</v>
      </c>
      <c r="GA2" s="40" t="s">
        <v>918</v>
      </c>
      <c r="GB2" s="40" t="s">
        <v>918</v>
      </c>
      <c r="GC2" s="40" t="s">
        <v>918</v>
      </c>
      <c r="GD2" s="40" t="s">
        <v>918</v>
      </c>
      <c r="GE2" s="40" t="s">
        <v>918</v>
      </c>
      <c r="GF2" s="40" t="s">
        <v>918</v>
      </c>
      <c r="GG2" s="40" t="s">
        <v>918</v>
      </c>
      <c r="GH2" s="40" t="s">
        <v>918</v>
      </c>
      <c r="GI2" s="40" t="s">
        <v>918</v>
      </c>
      <c r="GJ2" s="40" t="s">
        <v>918</v>
      </c>
      <c r="GK2" s="40" t="s">
        <v>918</v>
      </c>
      <c r="GL2" s="40" t="s">
        <v>918</v>
      </c>
      <c r="GM2" s="40" t="s">
        <v>918</v>
      </c>
      <c r="GN2" s="40" t="s">
        <v>918</v>
      </c>
      <c r="GO2" s="40" t="s">
        <v>918</v>
      </c>
      <c r="GP2" s="40" t="s">
        <v>918</v>
      </c>
      <c r="GQ2" s="40" t="s">
        <v>918</v>
      </c>
      <c r="GR2" s="40" t="s">
        <v>918</v>
      </c>
      <c r="GS2" s="40" t="s">
        <v>918</v>
      </c>
      <c r="GT2" s="40" t="s">
        <v>918</v>
      </c>
      <c r="GU2" s="40" t="s">
        <v>918</v>
      </c>
      <c r="GV2" s="40" t="s">
        <v>918</v>
      </c>
      <c r="GW2" s="40" t="s">
        <v>918</v>
      </c>
      <c r="GX2" s="40" t="s">
        <v>918</v>
      </c>
      <c r="GY2" s="40" t="s">
        <v>918</v>
      </c>
      <c r="GZ2" s="40" t="s">
        <v>918</v>
      </c>
      <c r="HA2" s="40" t="s">
        <v>918</v>
      </c>
      <c r="HB2" s="40" t="s">
        <v>918</v>
      </c>
      <c r="HC2" s="40" t="s">
        <v>918</v>
      </c>
      <c r="HD2" s="40" t="s">
        <v>918</v>
      </c>
      <c r="HE2" s="40" t="s">
        <v>918</v>
      </c>
      <c r="HF2" s="40" t="s">
        <v>918</v>
      </c>
      <c r="HG2" s="40" t="s">
        <v>918</v>
      </c>
      <c r="HH2" s="40" t="s">
        <v>918</v>
      </c>
      <c r="HI2" s="40" t="s">
        <v>918</v>
      </c>
      <c r="HJ2" s="40" t="s">
        <v>918</v>
      </c>
      <c r="HK2" s="40" t="s">
        <v>918</v>
      </c>
      <c r="HL2" s="40" t="s">
        <v>918</v>
      </c>
      <c r="HM2" s="40" t="s">
        <v>918</v>
      </c>
      <c r="HN2" s="40" t="s">
        <v>918</v>
      </c>
      <c r="HO2" s="40" t="s">
        <v>918</v>
      </c>
      <c r="HP2" s="40" t="s">
        <v>918</v>
      </c>
      <c r="HQ2" s="40" t="s">
        <v>918</v>
      </c>
      <c r="HR2" s="40" t="s">
        <v>918</v>
      </c>
      <c r="HS2" s="40" t="s">
        <v>918</v>
      </c>
      <c r="HT2" s="40" t="s">
        <v>918</v>
      </c>
      <c r="HU2" s="40" t="s">
        <v>918</v>
      </c>
      <c r="HV2" s="40" t="s">
        <v>918</v>
      </c>
      <c r="HW2" s="40" t="s">
        <v>918</v>
      </c>
      <c r="HX2" s="40" t="s">
        <v>918</v>
      </c>
      <c r="HY2" s="40" t="s">
        <v>918</v>
      </c>
      <c r="HZ2" s="40" t="s">
        <v>918</v>
      </c>
      <c r="IA2" s="40" t="s">
        <v>918</v>
      </c>
      <c r="IB2" s="40" t="s">
        <v>918</v>
      </c>
      <c r="IC2" s="40" t="s">
        <v>918</v>
      </c>
      <c r="ID2" s="40" t="s">
        <v>918</v>
      </c>
      <c r="IE2" s="40" t="s">
        <v>918</v>
      </c>
      <c r="IF2" s="40" t="s">
        <v>918</v>
      </c>
      <c r="IG2" s="40" t="s">
        <v>918</v>
      </c>
      <c r="IH2" s="40" t="s">
        <v>918</v>
      </c>
      <c r="II2" s="40" t="s">
        <v>918</v>
      </c>
      <c r="IJ2" s="40" t="s">
        <v>918</v>
      </c>
      <c r="IK2" s="40" t="s">
        <v>918</v>
      </c>
      <c r="IL2" s="40" t="s">
        <v>918</v>
      </c>
      <c r="IM2" s="40" t="s">
        <v>918</v>
      </c>
      <c r="IN2" s="40" t="s">
        <v>918</v>
      </c>
      <c r="IO2" s="40" t="s">
        <v>918</v>
      </c>
      <c r="IP2" s="40" t="s">
        <v>918</v>
      </c>
      <c r="IQ2" s="40" t="s">
        <v>918</v>
      </c>
      <c r="IR2" s="40" t="s">
        <v>918</v>
      </c>
      <c r="IS2" s="40" t="s">
        <v>918</v>
      </c>
      <c r="IT2" s="40" t="s">
        <v>918</v>
      </c>
      <c r="IU2" s="40" t="s">
        <v>918</v>
      </c>
      <c r="IV2" s="40" t="s">
        <v>918</v>
      </c>
      <c r="IW2" s="40" t="s">
        <v>918</v>
      </c>
      <c r="IX2" s="40" t="s">
        <v>918</v>
      </c>
      <c r="IY2" s="40" t="s">
        <v>918</v>
      </c>
      <c r="IZ2" s="40" t="s">
        <v>918</v>
      </c>
      <c r="JA2" s="40" t="s">
        <v>918</v>
      </c>
      <c r="JB2" s="40" t="s">
        <v>918</v>
      </c>
      <c r="JC2" s="40" t="s">
        <v>918</v>
      </c>
      <c r="JD2" s="40" t="s">
        <v>918</v>
      </c>
      <c r="JE2" s="40" t="s">
        <v>918</v>
      </c>
      <c r="JF2" s="40" t="s">
        <v>918</v>
      </c>
      <c r="JG2" s="40" t="s">
        <v>918</v>
      </c>
      <c r="JH2" s="40" t="s">
        <v>918</v>
      </c>
      <c r="JI2" s="40" t="s">
        <v>918</v>
      </c>
      <c r="JJ2" s="40" t="s">
        <v>918</v>
      </c>
      <c r="JK2" s="40" t="s">
        <v>918</v>
      </c>
      <c r="JL2" s="40" t="s">
        <v>918</v>
      </c>
      <c r="JM2" s="40" t="s">
        <v>918</v>
      </c>
      <c r="JN2" s="40" t="s">
        <v>918</v>
      </c>
      <c r="JO2" s="40" t="s">
        <v>918</v>
      </c>
      <c r="JP2" s="40" t="s">
        <v>918</v>
      </c>
      <c r="JQ2" s="40" t="s">
        <v>918</v>
      </c>
      <c r="JR2" s="40" t="s">
        <v>918</v>
      </c>
      <c r="JS2" s="40" t="s">
        <v>918</v>
      </c>
      <c r="JT2" s="40" t="s">
        <v>918</v>
      </c>
      <c r="JU2" s="40" t="s">
        <v>918</v>
      </c>
      <c r="JV2" s="40" t="s">
        <v>918</v>
      </c>
      <c r="JW2" s="40" t="s">
        <v>918</v>
      </c>
      <c r="JX2" s="40" t="s">
        <v>918</v>
      </c>
      <c r="JY2" s="40" t="s">
        <v>918</v>
      </c>
      <c r="JZ2" s="40" t="s">
        <v>918</v>
      </c>
      <c r="KA2" s="40" t="s">
        <v>918</v>
      </c>
      <c r="KB2" s="40" t="s">
        <v>918</v>
      </c>
      <c r="KC2" s="40" t="s">
        <v>918</v>
      </c>
      <c r="KD2" s="40" t="s">
        <v>918</v>
      </c>
      <c r="KE2" s="40" t="s">
        <v>918</v>
      </c>
      <c r="KF2" s="40" t="s">
        <v>918</v>
      </c>
      <c r="KG2" s="40" t="s">
        <v>918</v>
      </c>
      <c r="KH2" s="40" t="s">
        <v>918</v>
      </c>
      <c r="KI2" s="40" t="s">
        <v>918</v>
      </c>
      <c r="KJ2" s="40" t="s">
        <v>918</v>
      </c>
      <c r="KK2" s="40" t="s">
        <v>918</v>
      </c>
      <c r="KL2" s="40" t="s">
        <v>918</v>
      </c>
      <c r="KM2" s="40" t="s">
        <v>918</v>
      </c>
      <c r="KN2" s="40" t="s">
        <v>918</v>
      </c>
      <c r="KO2" s="40" t="s">
        <v>918</v>
      </c>
      <c r="KP2" s="40" t="s">
        <v>918</v>
      </c>
      <c r="KQ2" s="40" t="s">
        <v>918</v>
      </c>
      <c r="KR2" s="40" t="s">
        <v>918</v>
      </c>
      <c r="KS2" s="40" t="s">
        <v>918</v>
      </c>
      <c r="KT2" s="40" t="s">
        <v>918</v>
      </c>
      <c r="KU2" s="40" t="s">
        <v>918</v>
      </c>
      <c r="KV2" s="40" t="s">
        <v>918</v>
      </c>
      <c r="KW2" s="40" t="s">
        <v>918</v>
      </c>
      <c r="KX2" s="40" t="s">
        <v>923</v>
      </c>
      <c r="KY2" s="40" t="s">
        <v>924</v>
      </c>
      <c r="KZ2" s="40" t="s">
        <v>925</v>
      </c>
      <c r="LA2" s="40" t="s">
        <v>925</v>
      </c>
      <c r="LB2" s="40" t="s">
        <v>925</v>
      </c>
    </row>
    <row r="3" spans="1:314" s="40" customFormat="1" x14ac:dyDescent="0.25">
      <c r="A3" s="40" t="s">
        <v>718</v>
      </c>
      <c r="B3" s="40" t="s">
        <v>469</v>
      </c>
      <c r="C3" s="40" t="s">
        <v>469</v>
      </c>
      <c r="D3" s="40" t="s">
        <v>469</v>
      </c>
      <c r="E3" s="40" t="s">
        <v>469</v>
      </c>
      <c r="F3" s="40" t="s">
        <v>469</v>
      </c>
      <c r="G3" s="40" t="s">
        <v>469</v>
      </c>
      <c r="H3" s="40" t="s">
        <v>469</v>
      </c>
      <c r="I3" s="40" t="s">
        <v>469</v>
      </c>
      <c r="J3" s="40" t="s">
        <v>469</v>
      </c>
      <c r="K3" s="40" t="s">
        <v>469</v>
      </c>
      <c r="L3" s="40" t="s">
        <v>469</v>
      </c>
      <c r="M3" s="40" t="s">
        <v>469</v>
      </c>
      <c r="N3" s="40" t="s">
        <v>469</v>
      </c>
      <c r="O3" s="40" t="s">
        <v>469</v>
      </c>
      <c r="P3" s="40" t="s">
        <v>469</v>
      </c>
      <c r="Q3" s="40" t="s">
        <v>719</v>
      </c>
      <c r="R3" s="40" t="s">
        <v>469</v>
      </c>
      <c r="S3" s="40" t="s">
        <v>469</v>
      </c>
      <c r="T3" s="40" t="s">
        <v>469</v>
      </c>
      <c r="U3" s="40" t="s">
        <v>469</v>
      </c>
      <c r="V3" s="40" t="s">
        <v>469</v>
      </c>
      <c r="W3" s="40" t="s">
        <v>469</v>
      </c>
      <c r="X3" s="40" t="s">
        <v>469</v>
      </c>
      <c r="Y3" s="40" t="s">
        <v>469</v>
      </c>
      <c r="Z3" s="40" t="s">
        <v>469</v>
      </c>
      <c r="AA3" s="40" t="s">
        <v>469</v>
      </c>
      <c r="AB3" s="40" t="s">
        <v>469</v>
      </c>
      <c r="AC3" s="40" t="s">
        <v>469</v>
      </c>
      <c r="AD3" s="40" t="s">
        <v>469</v>
      </c>
      <c r="AE3" s="40" t="s">
        <v>469</v>
      </c>
      <c r="AF3" s="40" t="s">
        <v>469</v>
      </c>
      <c r="AG3" s="40" t="s">
        <v>469</v>
      </c>
      <c r="AH3" s="40" t="s">
        <v>720</v>
      </c>
      <c r="AI3" s="40" t="s">
        <v>721</v>
      </c>
      <c r="AJ3" s="40" t="s">
        <v>722</v>
      </c>
      <c r="AK3" s="40" t="s">
        <v>723</v>
      </c>
      <c r="AL3" s="40" t="s">
        <v>724</v>
      </c>
      <c r="AM3" s="40" t="s">
        <v>725</v>
      </c>
      <c r="AN3" s="40" t="s">
        <v>469</v>
      </c>
      <c r="AO3" s="40" t="s">
        <v>469</v>
      </c>
      <c r="AP3" s="40" t="s">
        <v>469</v>
      </c>
      <c r="AQ3" s="40" t="s">
        <v>469</v>
      </c>
      <c r="AR3" s="40" t="s">
        <v>469</v>
      </c>
      <c r="AS3" s="40" t="s">
        <v>469</v>
      </c>
      <c r="AT3" s="40" t="s">
        <v>469</v>
      </c>
      <c r="AU3" s="40" t="s">
        <v>469</v>
      </c>
      <c r="AV3" s="40" t="s">
        <v>469</v>
      </c>
      <c r="AW3" s="40" t="s">
        <v>469</v>
      </c>
      <c r="AX3" s="40" t="s">
        <v>469</v>
      </c>
      <c r="AY3" s="40" t="s">
        <v>469</v>
      </c>
      <c r="AZ3" s="40" t="s">
        <v>469</v>
      </c>
      <c r="BA3" s="40" t="s">
        <v>469</v>
      </c>
      <c r="BB3" s="40" t="s">
        <v>469</v>
      </c>
      <c r="BC3" s="40" t="s">
        <v>469</v>
      </c>
      <c r="BD3" s="40" t="s">
        <v>469</v>
      </c>
      <c r="BE3" s="40" t="s">
        <v>469</v>
      </c>
      <c r="BF3" s="40" t="s">
        <v>469</v>
      </c>
      <c r="BG3" s="40" t="s">
        <v>469</v>
      </c>
      <c r="BH3" s="40" t="s">
        <v>469</v>
      </c>
      <c r="BI3" s="40" t="s">
        <v>469</v>
      </c>
      <c r="BJ3" s="40" t="s">
        <v>469</v>
      </c>
      <c r="BK3" s="40" t="s">
        <v>469</v>
      </c>
      <c r="BL3" s="40" t="s">
        <v>469</v>
      </c>
      <c r="BM3" s="40" t="s">
        <v>469</v>
      </c>
      <c r="BN3" s="40" t="s">
        <v>469</v>
      </c>
      <c r="BO3" s="40" t="s">
        <v>469</v>
      </c>
      <c r="BP3" s="40" t="s">
        <v>469</v>
      </c>
      <c r="BQ3" s="40" t="s">
        <v>469</v>
      </c>
      <c r="BR3" s="40" t="s">
        <v>469</v>
      </c>
      <c r="BS3" s="40" t="s">
        <v>469</v>
      </c>
      <c r="BT3" s="40" t="s">
        <v>469</v>
      </c>
      <c r="BU3" s="40" t="s">
        <v>469</v>
      </c>
      <c r="BV3" s="40" t="s">
        <v>469</v>
      </c>
      <c r="BW3" s="40" t="s">
        <v>469</v>
      </c>
      <c r="BX3" s="40" t="s">
        <v>469</v>
      </c>
      <c r="BY3" s="40" t="s">
        <v>469</v>
      </c>
      <c r="BZ3" s="40" t="s">
        <v>469</v>
      </c>
      <c r="CA3" s="40" t="s">
        <v>469</v>
      </c>
      <c r="CB3" s="40" t="s">
        <v>469</v>
      </c>
      <c r="CC3" s="40" t="s">
        <v>469</v>
      </c>
      <c r="CD3" s="40" t="s">
        <v>469</v>
      </c>
      <c r="CE3" s="40" t="s">
        <v>469</v>
      </c>
      <c r="CF3" s="40" t="s">
        <v>469</v>
      </c>
      <c r="CG3" s="40" t="s">
        <v>469</v>
      </c>
      <c r="CH3" s="40" t="s">
        <v>469</v>
      </c>
      <c r="CI3" s="40" t="s">
        <v>469</v>
      </c>
      <c r="CJ3" s="40" t="s">
        <v>469</v>
      </c>
      <c r="CK3" s="40" t="s">
        <v>469</v>
      </c>
      <c r="CL3" s="40" t="s">
        <v>469</v>
      </c>
      <c r="CM3" s="40" t="s">
        <v>469</v>
      </c>
      <c r="CN3" s="40" t="s">
        <v>469</v>
      </c>
      <c r="CO3" s="40" t="s">
        <v>469</v>
      </c>
      <c r="CP3" s="40" t="s">
        <v>469</v>
      </c>
      <c r="CQ3" s="40" t="s">
        <v>469</v>
      </c>
      <c r="CR3" s="40" t="s">
        <v>469</v>
      </c>
      <c r="CS3" s="40" t="s">
        <v>469</v>
      </c>
      <c r="CT3" s="40" t="s">
        <v>469</v>
      </c>
      <c r="CU3" s="40" t="s">
        <v>726</v>
      </c>
      <c r="CV3" s="40" t="s">
        <v>727</v>
      </c>
      <c r="CW3" s="40" t="s">
        <v>728</v>
      </c>
      <c r="CX3" s="40" t="s">
        <v>729</v>
      </c>
      <c r="CY3" s="40" t="s">
        <v>730</v>
      </c>
      <c r="CZ3" s="40" t="s">
        <v>731</v>
      </c>
      <c r="DA3" s="40" t="s">
        <v>732</v>
      </c>
      <c r="DB3" s="40" t="s">
        <v>733</v>
      </c>
      <c r="DC3" s="40" t="s">
        <v>734</v>
      </c>
      <c r="DD3" s="40" t="s">
        <v>735</v>
      </c>
      <c r="DE3" s="40" t="s">
        <v>736</v>
      </c>
      <c r="DF3" s="40" t="s">
        <v>737</v>
      </c>
      <c r="DG3" s="40" t="s">
        <v>738</v>
      </c>
      <c r="DH3" s="40" t="s">
        <v>739</v>
      </c>
      <c r="DI3" s="40" t="s">
        <v>740</v>
      </c>
      <c r="DJ3" s="40" t="s">
        <v>741</v>
      </c>
      <c r="DK3" s="40" t="s">
        <v>742</v>
      </c>
      <c r="DL3" s="40" t="s">
        <v>743</v>
      </c>
      <c r="DM3" s="40" t="s">
        <v>744</v>
      </c>
      <c r="DN3" s="40" t="s">
        <v>745</v>
      </c>
      <c r="DO3" s="40" t="s">
        <v>746</v>
      </c>
      <c r="DP3" s="40" t="s">
        <v>747</v>
      </c>
      <c r="DQ3" s="40" t="s">
        <v>748</v>
      </c>
      <c r="DR3" s="40" t="s">
        <v>749</v>
      </c>
      <c r="DS3" s="40" t="s">
        <v>750</v>
      </c>
      <c r="DT3" s="40" t="s">
        <v>751</v>
      </c>
      <c r="DU3" s="40" t="s">
        <v>469</v>
      </c>
      <c r="DV3" s="40" t="s">
        <v>752</v>
      </c>
      <c r="DW3" s="40" t="s">
        <v>753</v>
      </c>
      <c r="DX3" s="40" t="s">
        <v>469</v>
      </c>
      <c r="DY3" s="40" t="s">
        <v>754</v>
      </c>
      <c r="DZ3" s="40" t="s">
        <v>755</v>
      </c>
      <c r="EA3" s="40" t="s">
        <v>756</v>
      </c>
      <c r="EB3" s="40" t="s">
        <v>757</v>
      </c>
      <c r="EC3" s="40" t="s">
        <v>758</v>
      </c>
      <c r="ED3" s="40" t="s">
        <v>759</v>
      </c>
      <c r="EE3" s="40" t="s">
        <v>760</v>
      </c>
      <c r="EF3" s="40" t="s">
        <v>761</v>
      </c>
      <c r="EG3" s="40" t="s">
        <v>762</v>
      </c>
      <c r="EH3" s="40" t="s">
        <v>763</v>
      </c>
      <c r="EI3" s="40" t="s">
        <v>764</v>
      </c>
      <c r="EJ3" s="40" t="s">
        <v>765</v>
      </c>
      <c r="EK3" s="40" t="s">
        <v>766</v>
      </c>
      <c r="EL3" s="40" t="s">
        <v>767</v>
      </c>
      <c r="EM3" s="40" t="s">
        <v>768</v>
      </c>
      <c r="EN3" s="40" t="s">
        <v>769</v>
      </c>
      <c r="EO3" s="40" t="s">
        <v>770</v>
      </c>
      <c r="EP3" s="40" t="s">
        <v>771</v>
      </c>
      <c r="EQ3" s="40" t="s">
        <v>772</v>
      </c>
      <c r="ER3" s="40" t="s">
        <v>773</v>
      </c>
      <c r="ES3" s="40" t="s">
        <v>774</v>
      </c>
      <c r="ET3" s="40" t="s">
        <v>775</v>
      </c>
      <c r="EU3" s="40" t="s">
        <v>776</v>
      </c>
      <c r="EV3" s="40" t="s">
        <v>777</v>
      </c>
      <c r="EW3" s="40" t="s">
        <v>778</v>
      </c>
      <c r="EX3" s="40" t="s">
        <v>779</v>
      </c>
      <c r="EY3" s="40" t="s">
        <v>469</v>
      </c>
      <c r="EZ3" s="40" t="s">
        <v>780</v>
      </c>
      <c r="FA3" s="40" t="s">
        <v>781</v>
      </c>
      <c r="FB3" s="40" t="s">
        <v>469</v>
      </c>
      <c r="FC3" s="40" t="s">
        <v>782</v>
      </c>
      <c r="FD3" s="40" t="s">
        <v>783</v>
      </c>
      <c r="FE3" s="40" t="s">
        <v>784</v>
      </c>
      <c r="FF3" s="40" t="s">
        <v>785</v>
      </c>
      <c r="FG3" s="40" t="s">
        <v>786</v>
      </c>
      <c r="FH3" s="40" t="s">
        <v>787</v>
      </c>
      <c r="FI3" s="40" t="s">
        <v>788</v>
      </c>
      <c r="FJ3" s="40" t="s">
        <v>789</v>
      </c>
      <c r="FK3" s="40" t="s">
        <v>790</v>
      </c>
      <c r="FL3" s="40" t="s">
        <v>791</v>
      </c>
      <c r="FM3" s="40" t="s">
        <v>792</v>
      </c>
      <c r="FN3" s="40" t="s">
        <v>793</v>
      </c>
      <c r="FO3" s="40" t="s">
        <v>794</v>
      </c>
      <c r="FP3" s="40" t="s">
        <v>795</v>
      </c>
      <c r="FQ3" s="40" t="s">
        <v>796</v>
      </c>
      <c r="FR3" s="40" t="s">
        <v>797</v>
      </c>
      <c r="FS3" s="40" t="s">
        <v>798</v>
      </c>
      <c r="FT3" s="40" t="s">
        <v>799</v>
      </c>
      <c r="FU3" s="40" t="s">
        <v>800</v>
      </c>
      <c r="FV3" s="40" t="s">
        <v>801</v>
      </c>
      <c r="FW3" s="40" t="s">
        <v>802</v>
      </c>
      <c r="FX3" s="40" t="s">
        <v>803</v>
      </c>
      <c r="FY3" s="40" t="s">
        <v>804</v>
      </c>
      <c r="FZ3" s="40" t="s">
        <v>805</v>
      </c>
      <c r="GA3" s="40" t="s">
        <v>806</v>
      </c>
      <c r="GB3" s="40" t="s">
        <v>807</v>
      </c>
      <c r="GC3" s="40" t="s">
        <v>469</v>
      </c>
      <c r="GD3" s="40" t="s">
        <v>808</v>
      </c>
      <c r="GE3" s="40" t="s">
        <v>809</v>
      </c>
      <c r="GF3" s="40" t="s">
        <v>469</v>
      </c>
      <c r="GG3" s="40" t="s">
        <v>810</v>
      </c>
      <c r="GH3" s="40" t="s">
        <v>811</v>
      </c>
      <c r="GI3" s="40" t="s">
        <v>812</v>
      </c>
      <c r="GJ3" s="40" t="s">
        <v>813</v>
      </c>
      <c r="GK3" s="40" t="s">
        <v>814</v>
      </c>
      <c r="GL3" s="40" t="s">
        <v>815</v>
      </c>
      <c r="GM3" s="40" t="s">
        <v>816</v>
      </c>
      <c r="GN3" s="40" t="s">
        <v>817</v>
      </c>
      <c r="GO3" s="40" t="s">
        <v>818</v>
      </c>
      <c r="GP3" s="40" t="s">
        <v>819</v>
      </c>
      <c r="GQ3" s="40" t="s">
        <v>820</v>
      </c>
      <c r="GR3" s="40" t="s">
        <v>821</v>
      </c>
      <c r="GS3" s="40" t="s">
        <v>822</v>
      </c>
      <c r="GT3" s="40" t="s">
        <v>823</v>
      </c>
      <c r="GU3" s="40" t="s">
        <v>824</v>
      </c>
      <c r="GV3" s="40" t="s">
        <v>825</v>
      </c>
      <c r="GW3" s="40" t="s">
        <v>826</v>
      </c>
      <c r="GX3" s="40" t="s">
        <v>827</v>
      </c>
      <c r="GY3" s="40" t="s">
        <v>828</v>
      </c>
      <c r="GZ3" s="40" t="s">
        <v>829</v>
      </c>
      <c r="HA3" s="40" t="s">
        <v>830</v>
      </c>
      <c r="HB3" s="40" t="s">
        <v>831</v>
      </c>
      <c r="HC3" s="40" t="s">
        <v>832</v>
      </c>
      <c r="HD3" s="40" t="s">
        <v>833</v>
      </c>
      <c r="HE3" s="40" t="s">
        <v>834</v>
      </c>
      <c r="HF3" s="40" t="s">
        <v>835</v>
      </c>
      <c r="HG3" s="40" t="s">
        <v>836</v>
      </c>
      <c r="HH3" s="40" t="s">
        <v>837</v>
      </c>
      <c r="HI3" s="40" t="s">
        <v>838</v>
      </c>
      <c r="HJ3" s="40" t="s">
        <v>469</v>
      </c>
      <c r="HK3" s="40" t="s">
        <v>839</v>
      </c>
      <c r="HL3" s="40" t="s">
        <v>840</v>
      </c>
      <c r="HM3" s="40" t="s">
        <v>841</v>
      </c>
      <c r="HN3" s="40" t="s">
        <v>842</v>
      </c>
      <c r="HO3" s="40" t="s">
        <v>843</v>
      </c>
      <c r="HP3" s="40" t="s">
        <v>844</v>
      </c>
      <c r="HQ3" s="40" t="s">
        <v>845</v>
      </c>
      <c r="HR3" s="40" t="s">
        <v>846</v>
      </c>
      <c r="HS3" s="40" t="s">
        <v>847</v>
      </c>
      <c r="HT3" s="40" t="s">
        <v>848</v>
      </c>
      <c r="HU3" s="40" t="s">
        <v>849</v>
      </c>
      <c r="HV3" s="40" t="s">
        <v>850</v>
      </c>
      <c r="HW3" s="40" t="s">
        <v>851</v>
      </c>
      <c r="HX3" s="40" t="s">
        <v>852</v>
      </c>
      <c r="HY3" s="40" t="s">
        <v>853</v>
      </c>
      <c r="HZ3" s="40" t="s">
        <v>854</v>
      </c>
      <c r="IA3" s="40" t="s">
        <v>855</v>
      </c>
      <c r="IB3" s="40" t="s">
        <v>856</v>
      </c>
      <c r="IC3" s="40" t="s">
        <v>857</v>
      </c>
      <c r="ID3" s="40" t="s">
        <v>858</v>
      </c>
      <c r="IE3" s="40" t="s">
        <v>859</v>
      </c>
      <c r="IF3" s="40" t="s">
        <v>860</v>
      </c>
      <c r="IG3" s="40" t="s">
        <v>861</v>
      </c>
      <c r="IH3" s="40" t="s">
        <v>862</v>
      </c>
      <c r="II3" s="40" t="s">
        <v>863</v>
      </c>
      <c r="IJ3" s="40" t="s">
        <v>864</v>
      </c>
      <c r="IK3" s="40" t="s">
        <v>469</v>
      </c>
      <c r="IL3" s="40" t="s">
        <v>865</v>
      </c>
      <c r="IM3" s="40" t="s">
        <v>866</v>
      </c>
      <c r="IN3" s="40" t="s">
        <v>469</v>
      </c>
      <c r="IO3" s="40" t="s">
        <v>867</v>
      </c>
      <c r="IP3" s="40" t="s">
        <v>868</v>
      </c>
      <c r="IQ3" s="40" t="s">
        <v>869</v>
      </c>
      <c r="IR3" s="40" t="s">
        <v>870</v>
      </c>
      <c r="IS3" s="40" t="s">
        <v>871</v>
      </c>
      <c r="IT3" s="40" t="s">
        <v>872</v>
      </c>
      <c r="IU3" s="40" t="s">
        <v>873</v>
      </c>
      <c r="IV3" s="40" t="s">
        <v>874</v>
      </c>
      <c r="IW3" s="40" t="s">
        <v>875</v>
      </c>
      <c r="IX3" s="40" t="s">
        <v>876</v>
      </c>
      <c r="IY3" s="40" t="s">
        <v>877</v>
      </c>
      <c r="IZ3" s="40" t="s">
        <v>878</v>
      </c>
      <c r="JA3" s="40" t="s">
        <v>879</v>
      </c>
      <c r="JB3" s="40" t="s">
        <v>880</v>
      </c>
      <c r="JC3" s="40" t="s">
        <v>881</v>
      </c>
      <c r="JD3" s="40" t="s">
        <v>882</v>
      </c>
      <c r="JE3" s="40" t="s">
        <v>883</v>
      </c>
      <c r="JF3" s="40" t="s">
        <v>884</v>
      </c>
      <c r="JG3" s="40" t="s">
        <v>885</v>
      </c>
      <c r="JH3" s="40" t="s">
        <v>886</v>
      </c>
      <c r="JI3" s="40" t="s">
        <v>887</v>
      </c>
      <c r="JJ3" s="40" t="s">
        <v>888</v>
      </c>
      <c r="JK3" s="40" t="s">
        <v>889</v>
      </c>
      <c r="JL3" s="40" t="s">
        <v>890</v>
      </c>
      <c r="JM3" s="40" t="s">
        <v>891</v>
      </c>
      <c r="JN3" s="40" t="s">
        <v>892</v>
      </c>
      <c r="JO3" s="40" t="s">
        <v>469</v>
      </c>
      <c r="JP3" s="40" t="s">
        <v>893</v>
      </c>
      <c r="JQ3" s="40" t="s">
        <v>894</v>
      </c>
      <c r="JR3" s="40" t="s">
        <v>469</v>
      </c>
      <c r="JS3" s="40" t="s">
        <v>469</v>
      </c>
      <c r="JT3" s="40" t="s">
        <v>469</v>
      </c>
      <c r="JU3" s="40" t="s">
        <v>469</v>
      </c>
      <c r="JV3" s="40" t="s">
        <v>469</v>
      </c>
      <c r="JW3" s="40" t="s">
        <v>469</v>
      </c>
      <c r="JX3" s="40" t="s">
        <v>469</v>
      </c>
      <c r="JY3" s="40" t="s">
        <v>469</v>
      </c>
      <c r="JZ3" s="40" t="s">
        <v>469</v>
      </c>
      <c r="KA3" s="40" t="s">
        <v>469</v>
      </c>
      <c r="KB3" s="40" t="s">
        <v>469</v>
      </c>
      <c r="KC3" s="40" t="s">
        <v>469</v>
      </c>
      <c r="KD3" s="40" t="s">
        <v>469</v>
      </c>
      <c r="KE3" s="40" t="s">
        <v>469</v>
      </c>
      <c r="KF3" s="40" t="s">
        <v>469</v>
      </c>
      <c r="KG3" s="40" t="s">
        <v>469</v>
      </c>
      <c r="KH3" s="40" t="s">
        <v>469</v>
      </c>
      <c r="KI3" s="40" t="s">
        <v>469</v>
      </c>
      <c r="KJ3" s="40" t="s">
        <v>469</v>
      </c>
      <c r="KK3" s="40" t="s">
        <v>469</v>
      </c>
      <c r="KL3" s="40" t="s">
        <v>469</v>
      </c>
      <c r="KM3" s="40" t="s">
        <v>469</v>
      </c>
      <c r="KN3" s="40" t="s">
        <v>469</v>
      </c>
      <c r="KO3" s="40" t="s">
        <v>469</v>
      </c>
      <c r="KP3" s="40" t="s">
        <v>469</v>
      </c>
      <c r="KQ3" s="40" t="s">
        <v>469</v>
      </c>
      <c r="KR3" s="40" t="s">
        <v>469</v>
      </c>
      <c r="KS3" s="40" t="s">
        <v>469</v>
      </c>
      <c r="KT3" s="40" t="s">
        <v>469</v>
      </c>
      <c r="KU3" s="40" t="s">
        <v>469</v>
      </c>
      <c r="KV3" s="40" t="s">
        <v>469</v>
      </c>
      <c r="KW3" s="40" t="s">
        <v>469</v>
      </c>
      <c r="KX3" s="40" t="s">
        <v>469</v>
      </c>
      <c r="KY3" s="40" t="s">
        <v>469</v>
      </c>
      <c r="KZ3" s="40" t="s">
        <v>469</v>
      </c>
      <c r="LA3" s="40" t="s">
        <v>469</v>
      </c>
      <c r="LB3" s="40" t="s">
        <v>469</v>
      </c>
    </row>
    <row r="4" spans="1:314" x14ac:dyDescent="0.25">
      <c r="A4" t="s">
        <v>36</v>
      </c>
      <c r="B4" t="s">
        <v>37</v>
      </c>
      <c r="C4" t="s">
        <v>38</v>
      </c>
      <c r="D4" t="s">
        <v>39</v>
      </c>
      <c r="E4" t="s">
        <v>40</v>
      </c>
      <c r="F4" t="s">
        <v>41</v>
      </c>
      <c r="G4" t="s">
        <v>42</v>
      </c>
      <c r="H4" t="s">
        <v>43</v>
      </c>
      <c r="I4" t="s">
        <v>44</v>
      </c>
      <c r="J4" t="s">
        <v>45</v>
      </c>
      <c r="K4" t="s">
        <v>46</v>
      </c>
      <c r="L4" t="s">
        <v>47</v>
      </c>
      <c r="M4" t="s">
        <v>48</v>
      </c>
      <c r="N4" t="s">
        <v>49</v>
      </c>
      <c r="O4" t="s">
        <v>50</v>
      </c>
      <c r="P4" t="s">
        <v>51</v>
      </c>
      <c r="Q4" t="s">
        <v>52</v>
      </c>
      <c r="R4" t="s">
        <v>53</v>
      </c>
      <c r="S4" t="s">
        <v>54</v>
      </c>
      <c r="T4" t="s">
        <v>55</v>
      </c>
      <c r="U4" t="s">
        <v>56</v>
      </c>
      <c r="V4" t="s">
        <v>57</v>
      </c>
      <c r="W4" t="s">
        <v>58</v>
      </c>
      <c r="X4" t="s">
        <v>59</v>
      </c>
      <c r="Y4" t="s">
        <v>60</v>
      </c>
      <c r="Z4" t="s">
        <v>61</v>
      </c>
      <c r="AA4" t="s">
        <v>62</v>
      </c>
      <c r="AB4" t="s">
        <v>63</v>
      </c>
      <c r="AC4" t="s">
        <v>64</v>
      </c>
      <c r="AD4" t="s">
        <v>65</v>
      </c>
      <c r="AE4" t="s">
        <v>66</v>
      </c>
      <c r="AF4" t="s">
        <v>67</v>
      </c>
      <c r="AG4" t="s">
        <v>68</v>
      </c>
      <c r="AH4" t="s">
        <v>69</v>
      </c>
      <c r="AI4" t="s">
        <v>70</v>
      </c>
      <c r="AJ4" t="s">
        <v>71</v>
      </c>
      <c r="AK4" t="s">
        <v>72</v>
      </c>
      <c r="AL4" t="s">
        <v>73</v>
      </c>
      <c r="AM4" t="s">
        <v>74</v>
      </c>
      <c r="AN4" t="s">
        <v>75</v>
      </c>
      <c r="AO4" t="s">
        <v>76</v>
      </c>
      <c r="AP4" t="s">
        <v>77</v>
      </c>
      <c r="AQ4" t="s">
        <v>78</v>
      </c>
      <c r="AR4" t="s">
        <v>79</v>
      </c>
      <c r="AS4" t="s">
        <v>80</v>
      </c>
      <c r="AT4" t="s">
        <v>81</v>
      </c>
      <c r="AU4" t="s">
        <v>82</v>
      </c>
      <c r="AV4" t="s">
        <v>83</v>
      </c>
      <c r="AW4" t="s">
        <v>84</v>
      </c>
      <c r="AX4" t="s">
        <v>85</v>
      </c>
      <c r="AY4" t="s">
        <v>86</v>
      </c>
      <c r="AZ4" t="s">
        <v>87</v>
      </c>
      <c r="BA4" t="s">
        <v>88</v>
      </c>
      <c r="BB4" t="s">
        <v>89</v>
      </c>
      <c r="BC4" t="s">
        <v>90</v>
      </c>
      <c r="BD4" t="s">
        <v>91</v>
      </c>
      <c r="BE4" t="s">
        <v>92</v>
      </c>
      <c r="BF4" t="s">
        <v>93</v>
      </c>
      <c r="BG4" t="s">
        <v>94</v>
      </c>
      <c r="BH4" t="s">
        <v>95</v>
      </c>
      <c r="BI4" t="s">
        <v>96</v>
      </c>
      <c r="BJ4" t="s">
        <v>97</v>
      </c>
      <c r="BK4" t="s">
        <v>98</v>
      </c>
      <c r="BL4" t="s">
        <v>99</v>
      </c>
      <c r="BM4" t="s">
        <v>100</v>
      </c>
      <c r="BN4" t="s">
        <v>101</v>
      </c>
      <c r="BO4" t="s">
        <v>102</v>
      </c>
      <c r="BP4" t="s">
        <v>103</v>
      </c>
      <c r="BQ4" t="s">
        <v>104</v>
      </c>
      <c r="BR4" t="s">
        <v>105</v>
      </c>
      <c r="BS4" t="s">
        <v>106</v>
      </c>
      <c r="BT4" t="s">
        <v>107</v>
      </c>
      <c r="BU4" t="s">
        <v>108</v>
      </c>
      <c r="BV4" t="s">
        <v>109</v>
      </c>
      <c r="BW4" t="s">
        <v>110</v>
      </c>
      <c r="BX4" t="s">
        <v>111</v>
      </c>
      <c r="BY4" t="s">
        <v>112</v>
      </c>
      <c r="BZ4" t="s">
        <v>113</v>
      </c>
      <c r="CA4" t="s">
        <v>114</v>
      </c>
      <c r="CB4" t="s">
        <v>115</v>
      </c>
      <c r="CC4" t="s">
        <v>116</v>
      </c>
      <c r="CD4" t="s">
        <v>117</v>
      </c>
      <c r="CE4" t="s">
        <v>118</v>
      </c>
      <c r="CF4" t="s">
        <v>119</v>
      </c>
      <c r="CG4" t="s">
        <v>120</v>
      </c>
      <c r="CH4" t="s">
        <v>121</v>
      </c>
      <c r="CI4" t="s">
        <v>122</v>
      </c>
      <c r="CJ4" t="s">
        <v>123</v>
      </c>
      <c r="CK4" t="s">
        <v>124</v>
      </c>
      <c r="CL4" t="s">
        <v>125</v>
      </c>
      <c r="CM4" t="s">
        <v>126</v>
      </c>
      <c r="CN4" t="s">
        <v>127</v>
      </c>
      <c r="CO4" t="s">
        <v>128</v>
      </c>
      <c r="CP4" t="s">
        <v>129</v>
      </c>
      <c r="CQ4" t="s">
        <v>130</v>
      </c>
      <c r="CR4" t="s">
        <v>131</v>
      </c>
      <c r="CS4" t="s">
        <v>132</v>
      </c>
      <c r="CT4" t="s">
        <v>133</v>
      </c>
      <c r="CU4" t="s">
        <v>134</v>
      </c>
      <c r="CV4" t="s">
        <v>135</v>
      </c>
      <c r="CW4" t="s">
        <v>136</v>
      </c>
      <c r="CX4" t="s">
        <v>137</v>
      </c>
      <c r="CY4" t="s">
        <v>138</v>
      </c>
      <c r="CZ4" t="s">
        <v>139</v>
      </c>
      <c r="DA4" t="s">
        <v>140</v>
      </c>
      <c r="DB4" t="s">
        <v>141</v>
      </c>
      <c r="DC4" t="s">
        <v>142</v>
      </c>
      <c r="DD4" t="s">
        <v>143</v>
      </c>
      <c r="DE4" t="s">
        <v>144</v>
      </c>
      <c r="DF4" t="s">
        <v>145</v>
      </c>
      <c r="DG4" t="s">
        <v>146</v>
      </c>
      <c r="DH4" t="s">
        <v>147</v>
      </c>
      <c r="DI4" t="s">
        <v>148</v>
      </c>
      <c r="DJ4" t="s">
        <v>149</v>
      </c>
      <c r="DK4" t="s">
        <v>150</v>
      </c>
      <c r="DL4" t="s">
        <v>151</v>
      </c>
      <c r="DM4" t="s">
        <v>152</v>
      </c>
      <c r="DN4" t="s">
        <v>153</v>
      </c>
      <c r="DO4" t="s">
        <v>154</v>
      </c>
      <c r="DP4" t="s">
        <v>155</v>
      </c>
      <c r="DQ4" t="s">
        <v>156</v>
      </c>
      <c r="DR4" t="s">
        <v>157</v>
      </c>
      <c r="DS4" t="s">
        <v>158</v>
      </c>
      <c r="DT4" t="s">
        <v>159</v>
      </c>
      <c r="DU4" t="s">
        <v>160</v>
      </c>
      <c r="DV4" t="s">
        <v>161</v>
      </c>
      <c r="DW4" t="s">
        <v>162</v>
      </c>
      <c r="DX4" t="s">
        <v>163</v>
      </c>
      <c r="DY4" t="s">
        <v>164</v>
      </c>
      <c r="DZ4" t="s">
        <v>165</v>
      </c>
      <c r="EA4" t="s">
        <v>166</v>
      </c>
      <c r="EB4" t="s">
        <v>167</v>
      </c>
      <c r="EC4" t="s">
        <v>168</v>
      </c>
      <c r="ED4" t="s">
        <v>169</v>
      </c>
      <c r="EE4" t="s">
        <v>170</v>
      </c>
      <c r="EF4" t="s">
        <v>171</v>
      </c>
      <c r="EG4" t="s">
        <v>172</v>
      </c>
      <c r="EH4" t="s">
        <v>173</v>
      </c>
      <c r="EI4" t="s">
        <v>174</v>
      </c>
      <c r="EJ4" t="s">
        <v>175</v>
      </c>
      <c r="EK4" t="s">
        <v>176</v>
      </c>
      <c r="EL4" t="s">
        <v>177</v>
      </c>
      <c r="EM4" t="s">
        <v>178</v>
      </c>
      <c r="EN4" t="s">
        <v>179</v>
      </c>
      <c r="EO4" t="s">
        <v>180</v>
      </c>
      <c r="EP4" t="s">
        <v>181</v>
      </c>
      <c r="EQ4" t="s">
        <v>182</v>
      </c>
      <c r="ER4" t="s">
        <v>183</v>
      </c>
      <c r="ES4" t="s">
        <v>184</v>
      </c>
      <c r="ET4" t="s">
        <v>185</v>
      </c>
      <c r="EU4" t="s">
        <v>186</v>
      </c>
      <c r="EV4" t="s">
        <v>187</v>
      </c>
      <c r="EW4" t="s">
        <v>188</v>
      </c>
      <c r="EX4" t="s">
        <v>189</v>
      </c>
      <c r="EY4" t="s">
        <v>190</v>
      </c>
      <c r="EZ4" t="s">
        <v>191</v>
      </c>
      <c r="FA4" t="s">
        <v>192</v>
      </c>
      <c r="FB4" t="s">
        <v>193</v>
      </c>
      <c r="FC4" t="s">
        <v>194</v>
      </c>
      <c r="FD4" t="s">
        <v>195</v>
      </c>
      <c r="FE4" t="s">
        <v>196</v>
      </c>
      <c r="FF4" t="s">
        <v>197</v>
      </c>
      <c r="FG4" t="s">
        <v>198</v>
      </c>
      <c r="FH4" t="s">
        <v>199</v>
      </c>
      <c r="FI4" t="s">
        <v>200</v>
      </c>
      <c r="FJ4" t="s">
        <v>201</v>
      </c>
      <c r="FK4" t="s">
        <v>202</v>
      </c>
      <c r="FL4" t="s">
        <v>203</v>
      </c>
      <c r="FM4" t="s">
        <v>204</v>
      </c>
      <c r="FN4" t="s">
        <v>205</v>
      </c>
      <c r="FO4" t="s">
        <v>206</v>
      </c>
      <c r="FP4" t="s">
        <v>207</v>
      </c>
      <c r="FQ4" t="s">
        <v>208</v>
      </c>
      <c r="FR4" t="s">
        <v>209</v>
      </c>
      <c r="FS4" t="s">
        <v>210</v>
      </c>
      <c r="FT4" t="s">
        <v>211</v>
      </c>
      <c r="FU4" t="s">
        <v>212</v>
      </c>
      <c r="FV4" t="s">
        <v>213</v>
      </c>
      <c r="FW4" t="s">
        <v>214</v>
      </c>
      <c r="FX4" t="s">
        <v>215</v>
      </c>
      <c r="FY4" t="s">
        <v>216</v>
      </c>
      <c r="FZ4" t="s">
        <v>217</v>
      </c>
      <c r="GA4" t="s">
        <v>218</v>
      </c>
      <c r="GB4" t="s">
        <v>219</v>
      </c>
      <c r="GC4" t="s">
        <v>220</v>
      </c>
      <c r="GD4" t="s">
        <v>221</v>
      </c>
      <c r="GE4" t="s">
        <v>222</v>
      </c>
      <c r="GF4" t="s">
        <v>223</v>
      </c>
      <c r="GG4" t="s">
        <v>224</v>
      </c>
      <c r="GH4" t="s">
        <v>225</v>
      </c>
      <c r="GI4" t="s">
        <v>226</v>
      </c>
      <c r="GJ4" t="s">
        <v>227</v>
      </c>
      <c r="GK4" t="s">
        <v>228</v>
      </c>
      <c r="GL4" t="s">
        <v>229</v>
      </c>
      <c r="GM4" t="s">
        <v>230</v>
      </c>
      <c r="GN4" t="s">
        <v>231</v>
      </c>
      <c r="GO4" t="s">
        <v>232</v>
      </c>
      <c r="GP4" t="s">
        <v>233</v>
      </c>
      <c r="GQ4" t="s">
        <v>234</v>
      </c>
      <c r="GR4" t="s">
        <v>235</v>
      </c>
      <c r="GS4" t="s">
        <v>236</v>
      </c>
      <c r="GT4" t="s">
        <v>237</v>
      </c>
      <c r="GU4" t="s">
        <v>238</v>
      </c>
      <c r="GV4" t="s">
        <v>239</v>
      </c>
      <c r="GW4" t="s">
        <v>240</v>
      </c>
      <c r="GX4" t="s">
        <v>241</v>
      </c>
      <c r="GY4" t="s">
        <v>242</v>
      </c>
      <c r="GZ4" t="s">
        <v>243</v>
      </c>
      <c r="HA4" t="s">
        <v>244</v>
      </c>
      <c r="HB4" t="s">
        <v>245</v>
      </c>
      <c r="HC4" t="s">
        <v>246</v>
      </c>
      <c r="HD4" t="s">
        <v>247</v>
      </c>
      <c r="HE4" t="s">
        <v>248</v>
      </c>
      <c r="HF4" t="s">
        <v>249</v>
      </c>
      <c r="HG4" t="s">
        <v>250</v>
      </c>
      <c r="HH4" t="s">
        <v>251</v>
      </c>
      <c r="HI4" t="s">
        <v>252</v>
      </c>
      <c r="HJ4" t="s">
        <v>253</v>
      </c>
      <c r="HK4" t="s">
        <v>254</v>
      </c>
      <c r="HL4" t="s">
        <v>255</v>
      </c>
      <c r="HM4" t="s">
        <v>256</v>
      </c>
      <c r="HN4" t="s">
        <v>257</v>
      </c>
      <c r="HO4" t="s">
        <v>258</v>
      </c>
      <c r="HP4" t="s">
        <v>259</v>
      </c>
      <c r="HQ4" t="s">
        <v>260</v>
      </c>
      <c r="HR4" t="s">
        <v>261</v>
      </c>
      <c r="HS4" t="s">
        <v>262</v>
      </c>
      <c r="HT4" t="s">
        <v>263</v>
      </c>
      <c r="HU4" t="s">
        <v>264</v>
      </c>
      <c r="HV4" t="s">
        <v>265</v>
      </c>
      <c r="HW4" t="s">
        <v>266</v>
      </c>
      <c r="HX4" t="s">
        <v>267</v>
      </c>
      <c r="HY4" t="s">
        <v>268</v>
      </c>
      <c r="HZ4" t="s">
        <v>269</v>
      </c>
      <c r="IA4" t="s">
        <v>270</v>
      </c>
      <c r="IB4" t="s">
        <v>271</v>
      </c>
      <c r="IC4" t="s">
        <v>272</v>
      </c>
      <c r="ID4" t="s">
        <v>273</v>
      </c>
      <c r="IE4" t="s">
        <v>274</v>
      </c>
      <c r="IF4" t="s">
        <v>275</v>
      </c>
      <c r="IG4" t="s">
        <v>276</v>
      </c>
      <c r="IH4" t="s">
        <v>277</v>
      </c>
      <c r="II4" t="s">
        <v>278</v>
      </c>
      <c r="IJ4" t="s">
        <v>279</v>
      </c>
      <c r="IK4" t="s">
        <v>280</v>
      </c>
      <c r="IL4" t="s">
        <v>281</v>
      </c>
      <c r="IM4" t="s">
        <v>282</v>
      </c>
      <c r="IN4" t="s">
        <v>283</v>
      </c>
      <c r="IO4" t="s">
        <v>284</v>
      </c>
      <c r="IP4" t="s">
        <v>285</v>
      </c>
      <c r="IQ4" t="s">
        <v>286</v>
      </c>
      <c r="IR4" t="s">
        <v>287</v>
      </c>
      <c r="IS4" t="s">
        <v>288</v>
      </c>
      <c r="IT4" t="s">
        <v>289</v>
      </c>
      <c r="IU4" t="s">
        <v>290</v>
      </c>
      <c r="IV4" t="s">
        <v>291</v>
      </c>
      <c r="IW4" t="s">
        <v>292</v>
      </c>
      <c r="IX4" t="s">
        <v>293</v>
      </c>
      <c r="IY4" t="s">
        <v>294</v>
      </c>
      <c r="IZ4" t="s">
        <v>295</v>
      </c>
      <c r="JA4" t="s">
        <v>296</v>
      </c>
      <c r="JB4" t="s">
        <v>297</v>
      </c>
      <c r="JC4" t="s">
        <v>298</v>
      </c>
      <c r="JD4" t="s">
        <v>299</v>
      </c>
      <c r="JE4" t="s">
        <v>300</v>
      </c>
      <c r="JF4" t="s">
        <v>301</v>
      </c>
      <c r="JG4" t="s">
        <v>302</v>
      </c>
      <c r="JH4" t="s">
        <v>303</v>
      </c>
      <c r="JI4" t="s">
        <v>304</v>
      </c>
      <c r="JJ4" t="s">
        <v>305</v>
      </c>
      <c r="JK4" t="s">
        <v>306</v>
      </c>
      <c r="JL4" t="s">
        <v>307</v>
      </c>
      <c r="JM4" t="s">
        <v>308</v>
      </c>
      <c r="JN4" t="s">
        <v>309</v>
      </c>
      <c r="JO4" t="s">
        <v>310</v>
      </c>
      <c r="JP4" t="s">
        <v>311</v>
      </c>
      <c r="JQ4" t="s">
        <v>312</v>
      </c>
      <c r="JR4" t="s">
        <v>313</v>
      </c>
      <c r="JS4" t="s">
        <v>314</v>
      </c>
      <c r="JT4" t="s">
        <v>315</v>
      </c>
      <c r="JU4" t="s">
        <v>316</v>
      </c>
      <c r="JV4" t="s">
        <v>317</v>
      </c>
      <c r="JW4" t="s">
        <v>318</v>
      </c>
      <c r="JX4" t="s">
        <v>319</v>
      </c>
      <c r="JY4" t="s">
        <v>320</v>
      </c>
      <c r="JZ4" t="s">
        <v>321</v>
      </c>
      <c r="KA4" t="s">
        <v>322</v>
      </c>
      <c r="KB4" t="s">
        <v>323</v>
      </c>
      <c r="KC4" t="s">
        <v>324</v>
      </c>
      <c r="KD4" t="s">
        <v>325</v>
      </c>
      <c r="KE4" t="s">
        <v>326</v>
      </c>
      <c r="KF4" t="s">
        <v>327</v>
      </c>
      <c r="KG4" t="s">
        <v>328</v>
      </c>
      <c r="KH4" t="s">
        <v>329</v>
      </c>
      <c r="KI4" t="s">
        <v>330</v>
      </c>
      <c r="KJ4" t="s">
        <v>331</v>
      </c>
      <c r="KK4" t="s">
        <v>332</v>
      </c>
      <c r="KL4" t="s">
        <v>333</v>
      </c>
      <c r="KM4" t="s">
        <v>334</v>
      </c>
      <c r="KN4" t="s">
        <v>335</v>
      </c>
      <c r="KO4" t="s">
        <v>336</v>
      </c>
      <c r="KP4" t="s">
        <v>337</v>
      </c>
      <c r="KQ4" t="s">
        <v>338</v>
      </c>
      <c r="KR4" t="s">
        <v>339</v>
      </c>
      <c r="KS4" t="s">
        <v>340</v>
      </c>
      <c r="KT4" t="s">
        <v>341</v>
      </c>
      <c r="KU4" t="s">
        <v>342</v>
      </c>
      <c r="KV4" t="s">
        <v>343</v>
      </c>
      <c r="KW4" t="s">
        <v>344</v>
      </c>
      <c r="KX4" t="s">
        <v>345</v>
      </c>
      <c r="KY4" t="s">
        <v>346</v>
      </c>
      <c r="KZ4" t="s">
        <v>347</v>
      </c>
      <c r="LA4" t="s">
        <v>348</v>
      </c>
      <c r="LB4" t="s">
        <v>349</v>
      </c>
    </row>
    <row r="5" spans="1:314" s="132" customFormat="1" x14ac:dyDescent="0.25">
      <c r="A5" s="134" t="s">
        <v>394</v>
      </c>
      <c r="B5" s="134"/>
      <c r="C5" s="134" t="s">
        <v>1069</v>
      </c>
      <c r="D5" s="134"/>
      <c r="E5" s="135"/>
      <c r="F5" s="134"/>
      <c r="G5" s="134" t="s">
        <v>395</v>
      </c>
      <c r="Q5" s="132">
        <v>10053141</v>
      </c>
      <c r="AH5" s="132">
        <v>16399013</v>
      </c>
      <c r="AI5" s="132">
        <v>11502375</v>
      </c>
      <c r="AJ5" s="132">
        <v>4741852</v>
      </c>
      <c r="AK5" s="132">
        <v>6938266</v>
      </c>
      <c r="AL5" s="132">
        <v>118427</v>
      </c>
      <c r="AM5" s="132">
        <v>1.0000000000000001E-5</v>
      </c>
      <c r="CU5" s="132">
        <v>47536</v>
      </c>
      <c r="CV5" s="132">
        <v>197214</v>
      </c>
      <c r="CW5" s="132">
        <v>1419408</v>
      </c>
      <c r="CX5" s="132">
        <v>817024</v>
      </c>
      <c r="CY5" s="132">
        <v>5232</v>
      </c>
      <c r="CZ5" s="132">
        <v>115792</v>
      </c>
      <c r="DA5" s="132">
        <v>869926</v>
      </c>
      <c r="DB5" s="132">
        <v>82042</v>
      </c>
      <c r="DC5" s="132">
        <v>446062</v>
      </c>
      <c r="DD5" s="132">
        <v>5280</v>
      </c>
      <c r="DE5" s="132">
        <v>260508</v>
      </c>
      <c r="DF5" s="132">
        <v>2854861</v>
      </c>
      <c r="DG5" s="132">
        <v>436778</v>
      </c>
      <c r="DH5" s="132">
        <v>483166</v>
      </c>
      <c r="DJ5" s="132">
        <v>708111</v>
      </c>
      <c r="DK5" s="132">
        <v>42496</v>
      </c>
      <c r="DL5" s="132">
        <v>10858</v>
      </c>
      <c r="DM5" s="132">
        <v>2307709</v>
      </c>
      <c r="DN5" s="132">
        <v>168884</v>
      </c>
      <c r="DO5" s="132">
        <v>92789</v>
      </c>
      <c r="DP5" s="132">
        <v>2112</v>
      </c>
      <c r="DQ5" s="132">
        <v>331968</v>
      </c>
      <c r="DR5" s="132">
        <v>406930</v>
      </c>
      <c r="DS5" s="132">
        <v>2366640</v>
      </c>
      <c r="DT5" s="132">
        <v>757728</v>
      </c>
      <c r="DY5" s="132">
        <v>150051</v>
      </c>
      <c r="DZ5" s="132">
        <v>805470</v>
      </c>
      <c r="EA5" s="132">
        <v>4558213</v>
      </c>
      <c r="EB5" s="132">
        <v>3286915</v>
      </c>
      <c r="EC5" s="132">
        <v>41717</v>
      </c>
      <c r="ED5" s="132">
        <v>638219</v>
      </c>
      <c r="EE5" s="132">
        <v>2810596</v>
      </c>
      <c r="EF5" s="132">
        <v>268860</v>
      </c>
      <c r="EG5" s="132">
        <v>910729</v>
      </c>
      <c r="EH5" s="132">
        <v>44792</v>
      </c>
      <c r="EI5" s="132">
        <v>900128</v>
      </c>
      <c r="EJ5" s="132">
        <v>7961138</v>
      </c>
      <c r="EK5" s="132">
        <v>1355016</v>
      </c>
      <c r="EL5" s="132">
        <v>2684193</v>
      </c>
      <c r="EN5" s="132">
        <v>1643521</v>
      </c>
      <c r="EO5" s="132">
        <v>300099</v>
      </c>
      <c r="EP5" s="132">
        <v>56304</v>
      </c>
      <c r="EQ5" s="132">
        <v>6935196</v>
      </c>
      <c r="ER5" s="132">
        <v>656211</v>
      </c>
      <c r="ES5" s="132">
        <v>332371</v>
      </c>
      <c r="ET5" s="132">
        <v>6965</v>
      </c>
      <c r="EU5" s="132">
        <v>1319265</v>
      </c>
      <c r="EV5" s="132">
        <v>877573</v>
      </c>
      <c r="EW5" s="132">
        <v>7204183</v>
      </c>
      <c r="EX5" s="132">
        <v>3069628</v>
      </c>
      <c r="IO5" s="132">
        <v>19002</v>
      </c>
      <c r="IP5" s="132">
        <v>175508</v>
      </c>
      <c r="IQ5" s="132">
        <v>937311</v>
      </c>
      <c r="IR5" s="132">
        <v>510805</v>
      </c>
      <c r="IS5" s="132">
        <v>164972</v>
      </c>
      <c r="IT5" s="132">
        <v>248685</v>
      </c>
      <c r="IU5" s="132">
        <v>770198</v>
      </c>
      <c r="IV5" s="132">
        <v>62216</v>
      </c>
      <c r="IW5" s="132">
        <v>161591</v>
      </c>
      <c r="IX5" s="132">
        <v>35025</v>
      </c>
      <c r="IY5" s="132">
        <v>309859</v>
      </c>
      <c r="IZ5" s="132">
        <v>1161286</v>
      </c>
      <c r="JA5" s="132">
        <v>187466</v>
      </c>
      <c r="JB5" s="132">
        <v>301573</v>
      </c>
      <c r="JD5" s="132">
        <v>502808</v>
      </c>
      <c r="JE5" s="132">
        <v>21873</v>
      </c>
      <c r="JF5" s="132">
        <v>5479</v>
      </c>
      <c r="JG5" s="132">
        <v>878957</v>
      </c>
      <c r="JH5" s="132">
        <v>150250</v>
      </c>
      <c r="JI5" s="132">
        <v>130441</v>
      </c>
      <c r="JJ5" s="132">
        <v>1617</v>
      </c>
      <c r="JK5" s="132">
        <v>263358</v>
      </c>
      <c r="JL5" s="132">
        <v>80717</v>
      </c>
      <c r="JM5" s="132">
        <v>831524</v>
      </c>
      <c r="JN5" s="132">
        <v>609113</v>
      </c>
    </row>
    <row r="6" spans="1:314" s="132" customFormat="1" x14ac:dyDescent="0.25">
      <c r="A6" s="134" t="s">
        <v>350</v>
      </c>
      <c r="B6" s="134"/>
      <c r="C6" s="134" t="s">
        <v>1069</v>
      </c>
      <c r="D6" s="134"/>
      <c r="E6" s="135"/>
      <c r="F6" s="134"/>
      <c r="G6" s="134" t="s">
        <v>351</v>
      </c>
      <c r="Q6" s="132">
        <v>576259</v>
      </c>
      <c r="AH6" s="132">
        <v>2113569</v>
      </c>
      <c r="AI6" s="132">
        <v>1332449</v>
      </c>
      <c r="AJ6" s="132">
        <v>591098</v>
      </c>
      <c r="AK6" s="132">
        <v>757414</v>
      </c>
      <c r="AL6" s="132">
        <v>0</v>
      </c>
      <c r="CU6" s="132">
        <v>28944</v>
      </c>
      <c r="CV6" s="132">
        <v>63370</v>
      </c>
      <c r="CW6" s="132">
        <v>170080</v>
      </c>
      <c r="CX6" s="132">
        <v>219897</v>
      </c>
      <c r="CZ6" s="132">
        <v>63856</v>
      </c>
      <c r="DA6" s="132">
        <v>218042</v>
      </c>
      <c r="DC6" s="132">
        <v>38044</v>
      </c>
      <c r="DE6" s="132">
        <v>50392</v>
      </c>
      <c r="DF6" s="132">
        <v>246664</v>
      </c>
      <c r="DG6" s="132">
        <v>18112</v>
      </c>
      <c r="DH6" s="132">
        <v>25746</v>
      </c>
      <c r="DJ6" s="132">
        <v>140794</v>
      </c>
      <c r="DK6" s="132">
        <v>16144</v>
      </c>
      <c r="DL6" s="132">
        <v>4784</v>
      </c>
      <c r="DM6" s="132">
        <v>201872</v>
      </c>
      <c r="DN6" s="132">
        <v>33680</v>
      </c>
      <c r="DQ6" s="132">
        <v>68784</v>
      </c>
      <c r="DR6" s="132">
        <v>119089</v>
      </c>
      <c r="DS6" s="132">
        <v>287136</v>
      </c>
      <c r="DT6" s="132">
        <v>81408</v>
      </c>
      <c r="DY6" s="132">
        <v>59356</v>
      </c>
      <c r="DZ6" s="132">
        <v>281740</v>
      </c>
      <c r="EA6" s="132">
        <v>521995</v>
      </c>
      <c r="EB6" s="132">
        <v>751382</v>
      </c>
      <c r="ED6" s="132">
        <v>144550</v>
      </c>
      <c r="EE6" s="132">
        <v>498459</v>
      </c>
      <c r="EG6" s="132">
        <v>107236</v>
      </c>
      <c r="EI6" s="132">
        <v>45006</v>
      </c>
      <c r="EJ6" s="132">
        <v>780339</v>
      </c>
      <c r="EK6" s="132">
        <v>68266</v>
      </c>
      <c r="EL6" s="132">
        <v>111932</v>
      </c>
      <c r="EN6" s="132">
        <v>748716</v>
      </c>
      <c r="EO6" s="132">
        <v>160080</v>
      </c>
      <c r="EP6" s="132">
        <v>45098</v>
      </c>
      <c r="EQ6" s="132">
        <v>471218</v>
      </c>
      <c r="ER6" s="132">
        <v>100819</v>
      </c>
      <c r="EU6" s="132">
        <v>280483</v>
      </c>
      <c r="EV6" s="132">
        <v>310330</v>
      </c>
      <c r="EW6" s="132">
        <v>673140</v>
      </c>
      <c r="EX6" s="132">
        <v>312798</v>
      </c>
      <c r="IO6" s="132">
        <v>13275</v>
      </c>
      <c r="IP6" s="132">
        <v>58029</v>
      </c>
      <c r="IQ6" s="132">
        <v>83759</v>
      </c>
      <c r="IR6" s="132">
        <v>106270</v>
      </c>
      <c r="IT6" s="132">
        <v>57131</v>
      </c>
      <c r="IU6" s="132">
        <v>94010</v>
      </c>
      <c r="IW6" s="132">
        <v>35971</v>
      </c>
      <c r="IY6" s="132">
        <v>34546</v>
      </c>
      <c r="IZ6" s="132">
        <v>101728</v>
      </c>
      <c r="JA6" s="132">
        <v>8353</v>
      </c>
      <c r="JB6" s="132">
        <v>40793</v>
      </c>
      <c r="JD6" s="132">
        <v>151681</v>
      </c>
      <c r="JE6" s="132">
        <v>19309</v>
      </c>
      <c r="JF6" s="132">
        <v>4152</v>
      </c>
      <c r="JG6" s="132">
        <v>61487</v>
      </c>
      <c r="JH6" s="132">
        <v>9696</v>
      </c>
      <c r="JK6" s="132">
        <v>43971</v>
      </c>
      <c r="JL6" s="132">
        <v>60861</v>
      </c>
      <c r="JM6" s="132">
        <v>98418</v>
      </c>
      <c r="JN6" s="132">
        <v>111881</v>
      </c>
    </row>
    <row r="7" spans="1:314" s="132" customFormat="1" x14ac:dyDescent="0.25">
      <c r="A7" s="134" t="s">
        <v>352</v>
      </c>
      <c r="B7" s="134"/>
      <c r="C7" s="134" t="s">
        <v>1069</v>
      </c>
      <c r="D7" s="134"/>
      <c r="E7" s="135"/>
      <c r="F7" s="134"/>
      <c r="G7" s="134" t="s">
        <v>353</v>
      </c>
      <c r="Q7" s="132">
        <v>2181244</v>
      </c>
      <c r="AH7" s="132">
        <v>5952847</v>
      </c>
      <c r="AI7" s="132">
        <v>2618198</v>
      </c>
      <c r="AJ7" s="132">
        <v>900055</v>
      </c>
      <c r="AK7" s="132">
        <v>1223645</v>
      </c>
      <c r="AL7" s="132">
        <v>291184</v>
      </c>
      <c r="CU7" s="132">
        <v>4770</v>
      </c>
      <c r="CV7" s="132">
        <v>103879</v>
      </c>
      <c r="CW7" s="132">
        <v>333728</v>
      </c>
      <c r="CX7" s="132">
        <v>285721</v>
      </c>
      <c r="CZ7" s="132">
        <v>35325</v>
      </c>
      <c r="DA7" s="132">
        <v>263352</v>
      </c>
      <c r="DB7" s="132">
        <v>11568</v>
      </c>
      <c r="DC7" s="132">
        <v>126902</v>
      </c>
      <c r="DD7" s="132">
        <v>448</v>
      </c>
      <c r="DE7" s="132">
        <v>144958</v>
      </c>
      <c r="DF7" s="132">
        <v>739852</v>
      </c>
      <c r="DG7" s="132">
        <v>29640</v>
      </c>
      <c r="DH7" s="132">
        <v>206868</v>
      </c>
      <c r="DI7" s="132">
        <v>51968</v>
      </c>
      <c r="DJ7" s="132">
        <v>372379</v>
      </c>
      <c r="DK7" s="132">
        <v>32864</v>
      </c>
      <c r="DL7" s="132">
        <v>102520</v>
      </c>
      <c r="DM7" s="132">
        <v>360224</v>
      </c>
      <c r="DN7" s="132">
        <v>89320</v>
      </c>
      <c r="DO7" s="132">
        <v>126660</v>
      </c>
      <c r="DP7" s="132">
        <v>5376</v>
      </c>
      <c r="DQ7" s="132">
        <v>102892</v>
      </c>
      <c r="DR7" s="132">
        <v>337015</v>
      </c>
      <c r="DS7" s="132">
        <v>345204</v>
      </c>
      <c r="DT7" s="132">
        <v>182839</v>
      </c>
      <c r="DY7" s="132">
        <v>9450</v>
      </c>
      <c r="DZ7" s="132">
        <v>255216</v>
      </c>
      <c r="EA7" s="132">
        <v>728732</v>
      </c>
      <c r="EB7" s="132">
        <v>643940</v>
      </c>
      <c r="ED7" s="132">
        <v>219639</v>
      </c>
      <c r="EE7" s="132">
        <v>673589</v>
      </c>
      <c r="EF7" s="132">
        <v>18505</v>
      </c>
      <c r="EG7" s="132">
        <v>199231</v>
      </c>
      <c r="EH7" s="132">
        <v>2379</v>
      </c>
      <c r="EI7" s="132">
        <v>542300</v>
      </c>
      <c r="EJ7" s="132">
        <v>1475472</v>
      </c>
      <c r="EK7" s="132">
        <v>117601</v>
      </c>
      <c r="EL7" s="132">
        <v>1002212</v>
      </c>
      <c r="EM7" s="132">
        <v>150935</v>
      </c>
      <c r="EN7" s="132">
        <v>839076</v>
      </c>
      <c r="EO7" s="132">
        <v>145462</v>
      </c>
      <c r="EP7" s="132">
        <v>258063</v>
      </c>
      <c r="EQ7" s="132">
        <v>694256</v>
      </c>
      <c r="ER7" s="132">
        <v>366688</v>
      </c>
      <c r="ES7" s="132">
        <v>330708</v>
      </c>
      <c r="ET7" s="132">
        <v>97954</v>
      </c>
      <c r="EU7" s="132">
        <v>189217</v>
      </c>
      <c r="EV7" s="132">
        <v>210905</v>
      </c>
      <c r="EW7" s="132">
        <v>715405</v>
      </c>
      <c r="EX7" s="132">
        <v>775041</v>
      </c>
      <c r="IO7" s="132">
        <v>2296</v>
      </c>
      <c r="IP7" s="132">
        <v>50353</v>
      </c>
      <c r="IQ7" s="132">
        <v>188217</v>
      </c>
      <c r="IR7" s="132">
        <v>330985</v>
      </c>
      <c r="IT7" s="132">
        <v>104085</v>
      </c>
      <c r="IU7" s="132">
        <v>174988</v>
      </c>
      <c r="IV7" s="132">
        <v>12726</v>
      </c>
      <c r="IW7" s="132">
        <v>103915</v>
      </c>
      <c r="IX7" s="132">
        <v>366</v>
      </c>
      <c r="IY7" s="132">
        <v>187517</v>
      </c>
      <c r="IZ7" s="132">
        <v>146180</v>
      </c>
      <c r="JA7" s="132">
        <v>36549</v>
      </c>
      <c r="JB7" s="132">
        <v>222778</v>
      </c>
      <c r="JC7" s="132">
        <v>12713</v>
      </c>
      <c r="JD7" s="132">
        <v>312582</v>
      </c>
      <c r="JE7" s="132">
        <v>11326</v>
      </c>
      <c r="JF7" s="132">
        <v>33296</v>
      </c>
      <c r="JG7" s="132">
        <v>162956</v>
      </c>
      <c r="JH7" s="132">
        <v>92854</v>
      </c>
      <c r="JI7" s="132">
        <v>116609</v>
      </c>
      <c r="JJ7" s="132">
        <v>25086</v>
      </c>
      <c r="JK7" s="132">
        <v>65400</v>
      </c>
      <c r="JL7" s="132">
        <v>578719</v>
      </c>
      <c r="JM7" s="132">
        <v>63506</v>
      </c>
      <c r="JN7" s="132">
        <v>392836</v>
      </c>
    </row>
    <row r="8" spans="1:314" s="132" customFormat="1" x14ac:dyDescent="0.25">
      <c r="A8" s="134" t="s">
        <v>421</v>
      </c>
      <c r="B8" s="134"/>
      <c r="C8" s="134" t="s">
        <v>1069</v>
      </c>
      <c r="D8" s="134"/>
      <c r="E8" s="135"/>
      <c r="F8" s="134"/>
      <c r="G8" s="134" t="s">
        <v>422</v>
      </c>
      <c r="Q8" s="132">
        <v>474139</v>
      </c>
      <c r="AH8" s="132">
        <v>1214156</v>
      </c>
      <c r="AI8" s="132">
        <v>736031</v>
      </c>
      <c r="AJ8" s="132">
        <v>320041</v>
      </c>
      <c r="AK8" s="132">
        <v>880958</v>
      </c>
      <c r="AL8" s="132">
        <v>0</v>
      </c>
      <c r="CU8" s="132">
        <v>4800</v>
      </c>
      <c r="CV8" s="132">
        <v>56948</v>
      </c>
      <c r="CW8" s="132">
        <v>166704</v>
      </c>
      <c r="CX8" s="132">
        <v>150135</v>
      </c>
      <c r="CZ8" s="132">
        <v>5656</v>
      </c>
      <c r="DA8" s="132">
        <v>55191</v>
      </c>
      <c r="DB8" s="132">
        <v>16224</v>
      </c>
      <c r="DC8" s="132">
        <v>46516</v>
      </c>
      <c r="DD8" s="132">
        <v>4824</v>
      </c>
      <c r="DE8" s="132">
        <v>33264</v>
      </c>
      <c r="DF8" s="132">
        <v>296014</v>
      </c>
      <c r="DG8" s="132">
        <v>15296</v>
      </c>
      <c r="DH8" s="132">
        <v>96956</v>
      </c>
      <c r="DJ8" s="132">
        <v>184665</v>
      </c>
      <c r="DK8" s="132">
        <v>32928</v>
      </c>
      <c r="DL8" s="132">
        <v>20624</v>
      </c>
      <c r="DM8" s="132">
        <v>222496</v>
      </c>
      <c r="DN8" s="132">
        <v>15984</v>
      </c>
      <c r="DO8" s="132">
        <v>7872</v>
      </c>
      <c r="DP8" s="132">
        <v>240</v>
      </c>
      <c r="DQ8" s="132">
        <v>49936</v>
      </c>
      <c r="DR8" s="132">
        <v>164071</v>
      </c>
      <c r="DS8" s="132">
        <v>267216</v>
      </c>
      <c r="DT8" s="132">
        <v>72560</v>
      </c>
      <c r="DY8" s="132">
        <v>10983</v>
      </c>
      <c r="DZ8" s="132">
        <v>285011</v>
      </c>
      <c r="EA8" s="132">
        <v>379152</v>
      </c>
      <c r="EB8" s="132">
        <v>453502</v>
      </c>
      <c r="ED8" s="132">
        <v>29683</v>
      </c>
      <c r="EE8" s="132">
        <v>205929</v>
      </c>
      <c r="EF8" s="132">
        <v>66647</v>
      </c>
      <c r="EG8" s="132">
        <v>96228</v>
      </c>
      <c r="EH8" s="132">
        <v>10647</v>
      </c>
      <c r="EI8" s="132">
        <v>137288</v>
      </c>
      <c r="EJ8" s="132">
        <v>628967</v>
      </c>
      <c r="EK8" s="132">
        <v>58264</v>
      </c>
      <c r="EL8" s="132">
        <v>486335</v>
      </c>
      <c r="EN8" s="132">
        <v>471236</v>
      </c>
      <c r="EO8" s="132">
        <v>144432</v>
      </c>
      <c r="EP8" s="132">
        <v>112149</v>
      </c>
      <c r="EQ8" s="132">
        <v>523288</v>
      </c>
      <c r="ER8" s="132">
        <v>55798</v>
      </c>
      <c r="ES8" s="132">
        <v>32744</v>
      </c>
      <c r="ET8" s="132">
        <v>207</v>
      </c>
      <c r="EU8" s="132">
        <v>151095</v>
      </c>
      <c r="EV8" s="132">
        <v>195507</v>
      </c>
      <c r="EW8" s="132">
        <v>534075</v>
      </c>
      <c r="EX8" s="132">
        <v>242438</v>
      </c>
      <c r="IO8" s="132">
        <v>1523</v>
      </c>
      <c r="IP8" s="132">
        <v>52825</v>
      </c>
      <c r="IQ8" s="132">
        <v>61797</v>
      </c>
      <c r="IR8" s="132">
        <v>34618</v>
      </c>
      <c r="IT8" s="132">
        <v>3050</v>
      </c>
      <c r="IU8" s="132">
        <v>69159</v>
      </c>
      <c r="IV8" s="132">
        <v>6322</v>
      </c>
      <c r="IW8" s="132">
        <v>58616</v>
      </c>
      <c r="IX8" s="132">
        <v>13559</v>
      </c>
      <c r="IY8" s="132">
        <v>12354</v>
      </c>
      <c r="IZ8" s="132">
        <v>44732</v>
      </c>
      <c r="JA8" s="132">
        <v>1563</v>
      </c>
      <c r="JB8" s="132">
        <v>72340</v>
      </c>
      <c r="JD8" s="132">
        <v>268654</v>
      </c>
      <c r="JE8" s="132">
        <v>16579</v>
      </c>
      <c r="JF8" s="132">
        <v>9701</v>
      </c>
      <c r="JG8" s="132">
        <v>25553</v>
      </c>
      <c r="JH8" s="132">
        <v>14001</v>
      </c>
      <c r="JI8" s="132">
        <v>22560</v>
      </c>
      <c r="JJ8" s="132">
        <v>831</v>
      </c>
      <c r="JK8" s="132">
        <v>19567</v>
      </c>
      <c r="JL8" s="132">
        <v>174038</v>
      </c>
      <c r="JM8" s="132">
        <v>50236</v>
      </c>
      <c r="JN8" s="132">
        <v>71023</v>
      </c>
    </row>
    <row r="9" spans="1:314" s="132" customFormat="1" x14ac:dyDescent="0.25">
      <c r="A9" s="134" t="s">
        <v>444</v>
      </c>
      <c r="B9" s="134"/>
      <c r="C9" s="134" t="s">
        <v>1069</v>
      </c>
      <c r="D9" s="134"/>
      <c r="E9" s="135"/>
      <c r="F9" s="134"/>
      <c r="G9" s="134" t="s">
        <v>445</v>
      </c>
      <c r="Q9" s="132">
        <v>3140458</v>
      </c>
      <c r="AH9" s="132">
        <v>14744937</v>
      </c>
      <c r="AI9" s="132">
        <v>6613531</v>
      </c>
      <c r="AJ9" s="132">
        <v>3584247</v>
      </c>
      <c r="AK9" s="132">
        <v>7407742</v>
      </c>
      <c r="AL9" s="132">
        <v>0</v>
      </c>
      <c r="CV9" s="132">
        <v>222928</v>
      </c>
      <c r="CW9" s="132">
        <v>1063939</v>
      </c>
      <c r="CX9" s="132">
        <v>437504</v>
      </c>
      <c r="CZ9" s="132">
        <v>100016</v>
      </c>
      <c r="DA9" s="132">
        <v>681232</v>
      </c>
      <c r="DB9" s="132">
        <v>6368</v>
      </c>
      <c r="DC9" s="132">
        <v>145728</v>
      </c>
      <c r="DD9" s="132">
        <v>11248</v>
      </c>
      <c r="DE9" s="132">
        <v>212256</v>
      </c>
      <c r="DF9" s="132">
        <v>1397536</v>
      </c>
      <c r="DG9" s="132">
        <v>466100</v>
      </c>
      <c r="DH9" s="132">
        <v>166080</v>
      </c>
      <c r="DJ9" s="132">
        <v>285024</v>
      </c>
      <c r="DL9" s="132">
        <v>21648</v>
      </c>
      <c r="DM9" s="132">
        <v>1291840</v>
      </c>
      <c r="DN9" s="132">
        <v>40864</v>
      </c>
      <c r="DP9" s="132">
        <v>1216</v>
      </c>
      <c r="DQ9" s="132">
        <v>198448</v>
      </c>
      <c r="DR9" s="132">
        <v>138544</v>
      </c>
      <c r="DS9" s="132">
        <v>2106240</v>
      </c>
      <c r="DT9" s="132">
        <v>630784</v>
      </c>
      <c r="DZ9" s="132">
        <v>1194111</v>
      </c>
      <c r="EA9" s="132">
        <v>3193582</v>
      </c>
      <c r="EB9" s="132">
        <v>2199423</v>
      </c>
      <c r="ED9" s="132">
        <v>184117</v>
      </c>
      <c r="EE9" s="132">
        <v>2175560</v>
      </c>
      <c r="EF9" s="132">
        <v>303303</v>
      </c>
      <c r="EG9" s="132">
        <v>380127</v>
      </c>
      <c r="EH9" s="132">
        <v>67978</v>
      </c>
      <c r="EI9" s="132">
        <v>456642</v>
      </c>
      <c r="EJ9" s="132">
        <v>4145786</v>
      </c>
      <c r="EK9" s="132">
        <v>1262241</v>
      </c>
      <c r="EL9" s="132">
        <v>1312718</v>
      </c>
      <c r="EN9" s="132">
        <v>1949241</v>
      </c>
      <c r="EP9" s="132">
        <v>563762</v>
      </c>
      <c r="EQ9" s="132">
        <v>3640390</v>
      </c>
      <c r="ER9" s="132">
        <v>320853</v>
      </c>
      <c r="ET9" s="132">
        <v>891467</v>
      </c>
      <c r="EU9" s="132">
        <v>963460</v>
      </c>
      <c r="EV9" s="132">
        <v>337462</v>
      </c>
      <c r="EW9" s="132">
        <v>4601266</v>
      </c>
      <c r="EX9" s="132">
        <v>2370634</v>
      </c>
      <c r="IP9" s="132">
        <v>412407</v>
      </c>
      <c r="IQ9" s="132">
        <v>1218017</v>
      </c>
      <c r="IR9" s="132">
        <v>286795</v>
      </c>
      <c r="IT9" s="132">
        <v>115536</v>
      </c>
      <c r="IU9" s="132">
        <v>844397</v>
      </c>
      <c r="IV9" s="132">
        <v>129659</v>
      </c>
      <c r="IW9" s="132">
        <v>24529</v>
      </c>
      <c r="IX9" s="132">
        <v>205</v>
      </c>
      <c r="IY9" s="132">
        <v>112499</v>
      </c>
      <c r="IZ9" s="132">
        <v>197292</v>
      </c>
      <c r="JA9" s="132">
        <v>47307</v>
      </c>
      <c r="JB9" s="132">
        <v>56904</v>
      </c>
      <c r="JD9" s="132">
        <v>149451</v>
      </c>
      <c r="JF9" s="132">
        <v>43886</v>
      </c>
      <c r="JG9" s="132">
        <v>157650</v>
      </c>
      <c r="JH9" s="132">
        <v>133313</v>
      </c>
      <c r="JJ9" s="132">
        <v>224819</v>
      </c>
      <c r="JK9" s="132">
        <v>173569</v>
      </c>
      <c r="JL9" s="132">
        <v>137337</v>
      </c>
      <c r="JM9" s="132">
        <v>134288</v>
      </c>
      <c r="JN9" s="132">
        <v>534358</v>
      </c>
    </row>
    <row r="10" spans="1:314" s="132" customFormat="1" x14ac:dyDescent="0.25">
      <c r="A10" s="134" t="s">
        <v>356</v>
      </c>
      <c r="B10" s="134"/>
      <c r="C10" s="134" t="s">
        <v>1069</v>
      </c>
      <c r="D10" s="134"/>
      <c r="E10" s="135"/>
      <c r="F10" s="134"/>
      <c r="G10" s="134" t="s">
        <v>357</v>
      </c>
      <c r="Q10" s="132">
        <v>1835904</v>
      </c>
      <c r="AH10" s="132">
        <v>2923610</v>
      </c>
      <c r="AI10" s="132">
        <v>2231693</v>
      </c>
      <c r="AJ10" s="132">
        <v>939491</v>
      </c>
      <c r="AK10" s="132">
        <v>1516947</v>
      </c>
      <c r="AL10" s="132">
        <v>0</v>
      </c>
      <c r="CU10" s="132">
        <v>16624</v>
      </c>
      <c r="CV10" s="132">
        <v>4465</v>
      </c>
      <c r="CW10" s="132">
        <v>923808</v>
      </c>
      <c r="CX10" s="132">
        <v>295984</v>
      </c>
      <c r="CZ10" s="132">
        <v>21104</v>
      </c>
      <c r="DA10" s="132">
        <v>174912</v>
      </c>
      <c r="DC10" s="132">
        <v>69136</v>
      </c>
      <c r="DF10" s="132">
        <v>922912</v>
      </c>
      <c r="DG10" s="132">
        <v>123552</v>
      </c>
      <c r="DH10" s="132">
        <v>89920</v>
      </c>
      <c r="DI10" s="132">
        <v>16128</v>
      </c>
      <c r="DJ10" s="132">
        <v>197296</v>
      </c>
      <c r="DL10" s="132">
        <v>4704</v>
      </c>
      <c r="DM10" s="132">
        <v>637488</v>
      </c>
      <c r="DQ10" s="132">
        <v>288720</v>
      </c>
      <c r="DR10" s="132">
        <v>122032</v>
      </c>
      <c r="DS10" s="132">
        <v>1341552</v>
      </c>
      <c r="DT10" s="132">
        <v>70392</v>
      </c>
      <c r="DY10" s="132">
        <v>96637</v>
      </c>
      <c r="DZ10" s="132">
        <v>1512</v>
      </c>
      <c r="EA10" s="132">
        <v>1521027</v>
      </c>
      <c r="EB10" s="132">
        <v>1063541</v>
      </c>
      <c r="ED10" s="132">
        <v>53416</v>
      </c>
      <c r="EE10" s="132">
        <v>325156</v>
      </c>
      <c r="EG10" s="132">
        <v>104010</v>
      </c>
      <c r="EJ10" s="132">
        <v>2533949</v>
      </c>
      <c r="EK10" s="132">
        <v>289676</v>
      </c>
      <c r="EL10" s="132">
        <v>404967</v>
      </c>
      <c r="EM10" s="132">
        <v>166141</v>
      </c>
      <c r="EN10" s="132">
        <v>393583</v>
      </c>
      <c r="EP10" s="132">
        <v>195718</v>
      </c>
      <c r="EQ10" s="132">
        <v>1587070</v>
      </c>
      <c r="EU10" s="132">
        <v>621690</v>
      </c>
      <c r="EV10" s="132">
        <v>157804</v>
      </c>
      <c r="EW10" s="132">
        <v>2500300</v>
      </c>
      <c r="EX10" s="132">
        <v>242857</v>
      </c>
      <c r="IO10" s="132">
        <v>11995</v>
      </c>
      <c r="IP10" s="132">
        <v>5174</v>
      </c>
      <c r="IQ10" s="132">
        <v>247223</v>
      </c>
      <c r="IR10" s="132">
        <v>113514</v>
      </c>
      <c r="IT10" s="132">
        <v>11002</v>
      </c>
      <c r="IU10" s="132">
        <v>529694</v>
      </c>
      <c r="IW10" s="132">
        <v>9565</v>
      </c>
      <c r="IZ10" s="132">
        <v>276175</v>
      </c>
      <c r="JA10" s="132">
        <v>22509</v>
      </c>
      <c r="JB10" s="132">
        <v>76213</v>
      </c>
      <c r="JC10" s="132">
        <v>56586</v>
      </c>
      <c r="JD10" s="132">
        <v>142919</v>
      </c>
      <c r="JF10" s="132">
        <v>66434</v>
      </c>
      <c r="JG10" s="132">
        <v>66631</v>
      </c>
      <c r="JK10" s="132">
        <v>107851</v>
      </c>
      <c r="JL10" s="132">
        <v>8464</v>
      </c>
      <c r="JM10" s="132">
        <v>125466</v>
      </c>
      <c r="JN10" s="132">
        <v>86756</v>
      </c>
    </row>
    <row r="11" spans="1:314" s="132" customFormat="1" x14ac:dyDescent="0.25">
      <c r="A11" s="134" t="s">
        <v>427</v>
      </c>
      <c r="B11" s="134"/>
      <c r="C11" s="134" t="s">
        <v>1069</v>
      </c>
      <c r="D11" s="134"/>
      <c r="E11" s="135"/>
      <c r="F11" s="134"/>
      <c r="G11" s="134" t="s">
        <v>428</v>
      </c>
      <c r="Q11" s="132">
        <v>237122</v>
      </c>
      <c r="AH11" s="132">
        <v>2128998</v>
      </c>
      <c r="AI11" s="132">
        <v>922102</v>
      </c>
      <c r="AJ11" s="132">
        <v>500312</v>
      </c>
      <c r="AK11" s="132">
        <v>570488</v>
      </c>
      <c r="AL11" s="132">
        <v>0</v>
      </c>
      <c r="CU11" s="132">
        <v>240</v>
      </c>
      <c r="CV11" s="132">
        <v>114988</v>
      </c>
      <c r="CW11" s="132">
        <v>154720</v>
      </c>
      <c r="CX11" s="132">
        <v>198057</v>
      </c>
      <c r="CZ11" s="132">
        <v>624</v>
      </c>
      <c r="DA11" s="132">
        <v>84355</v>
      </c>
      <c r="DB11" s="132">
        <v>127056</v>
      </c>
      <c r="DC11" s="132">
        <v>15087</v>
      </c>
      <c r="DE11" s="132">
        <v>106704</v>
      </c>
      <c r="DF11" s="132">
        <v>160896</v>
      </c>
      <c r="DG11" s="132">
        <v>13792</v>
      </c>
      <c r="DJ11" s="132">
        <v>23312</v>
      </c>
      <c r="DL11" s="132">
        <v>20784</v>
      </c>
      <c r="DM11" s="132">
        <v>179056</v>
      </c>
      <c r="DN11" s="132">
        <v>10496</v>
      </c>
      <c r="DO11" s="132">
        <v>32720</v>
      </c>
      <c r="DQ11" s="132">
        <v>29904</v>
      </c>
      <c r="DR11" s="132">
        <v>32068</v>
      </c>
      <c r="DS11" s="132">
        <v>208896</v>
      </c>
      <c r="DT11" s="132">
        <v>43040</v>
      </c>
      <c r="DY11" s="132">
        <v>699</v>
      </c>
      <c r="DZ11" s="132">
        <v>206962</v>
      </c>
      <c r="EA11" s="132">
        <v>416509</v>
      </c>
      <c r="EB11" s="132">
        <v>467751</v>
      </c>
      <c r="ED11" s="132">
        <v>1448</v>
      </c>
      <c r="EE11" s="132">
        <v>227602</v>
      </c>
      <c r="EF11" s="132">
        <v>178063</v>
      </c>
      <c r="EG11" s="132">
        <v>19427</v>
      </c>
      <c r="EI11" s="132">
        <v>202409</v>
      </c>
      <c r="EJ11" s="132">
        <v>532971</v>
      </c>
      <c r="EK11" s="132">
        <v>51766</v>
      </c>
      <c r="EN11" s="132">
        <v>73136</v>
      </c>
      <c r="EP11" s="132">
        <v>93332</v>
      </c>
      <c r="EQ11" s="132">
        <v>397992</v>
      </c>
      <c r="ER11" s="132">
        <v>54023</v>
      </c>
      <c r="ES11" s="132">
        <v>87303</v>
      </c>
      <c r="EU11" s="132">
        <v>116075</v>
      </c>
      <c r="EV11" s="132">
        <v>100512</v>
      </c>
      <c r="EW11" s="132">
        <v>552973</v>
      </c>
      <c r="EX11" s="132">
        <v>213666</v>
      </c>
      <c r="IO11" s="132">
        <v>68</v>
      </c>
      <c r="IP11" s="132">
        <v>101489</v>
      </c>
      <c r="IQ11" s="132">
        <v>101675</v>
      </c>
      <c r="IR11" s="132">
        <v>72316</v>
      </c>
      <c r="IT11" s="132">
        <v>259</v>
      </c>
      <c r="IU11" s="132">
        <v>33593</v>
      </c>
      <c r="IV11" s="132">
        <v>29458</v>
      </c>
      <c r="IW11" s="132">
        <v>1728</v>
      </c>
      <c r="IY11" s="132">
        <v>55484</v>
      </c>
      <c r="IZ11" s="132">
        <v>22404</v>
      </c>
      <c r="JA11" s="132">
        <v>839</v>
      </c>
      <c r="JD11" s="132">
        <v>23233</v>
      </c>
      <c r="JF11" s="132">
        <v>3365</v>
      </c>
      <c r="JG11" s="132">
        <v>34094</v>
      </c>
      <c r="JH11" s="132">
        <v>10420</v>
      </c>
      <c r="JI11" s="132">
        <v>36637</v>
      </c>
      <c r="JK11" s="132">
        <v>6322</v>
      </c>
      <c r="JL11" s="132">
        <v>15580</v>
      </c>
      <c r="JM11" s="132">
        <v>11007</v>
      </c>
      <c r="JN11" s="132">
        <v>47571</v>
      </c>
    </row>
    <row r="12" spans="1:314" s="132" customFormat="1" x14ac:dyDescent="0.25">
      <c r="A12" s="134" t="s">
        <v>419</v>
      </c>
      <c r="B12" s="134"/>
      <c r="C12" s="134" t="s">
        <v>1069</v>
      </c>
      <c r="D12" s="134"/>
      <c r="E12" s="135"/>
      <c r="F12" s="134"/>
      <c r="G12" s="134" t="s">
        <v>420</v>
      </c>
      <c r="Q12" s="132">
        <v>0</v>
      </c>
      <c r="AH12" s="132">
        <v>4718418</v>
      </c>
      <c r="AI12" s="132">
        <v>2433055</v>
      </c>
      <c r="AJ12" s="132">
        <v>676329</v>
      </c>
      <c r="AK12" s="132">
        <v>843319</v>
      </c>
      <c r="AL12" s="132">
        <v>193704</v>
      </c>
      <c r="CU12" s="132">
        <v>16960</v>
      </c>
      <c r="CV12" s="132">
        <v>127638</v>
      </c>
      <c r="CW12" s="132">
        <v>207328</v>
      </c>
      <c r="CX12" s="132">
        <v>830334</v>
      </c>
      <c r="CY12" s="132">
        <v>28736</v>
      </c>
      <c r="CZ12" s="132">
        <v>16928</v>
      </c>
      <c r="DA12" s="132">
        <v>228379</v>
      </c>
      <c r="DB12" s="132">
        <v>31648</v>
      </c>
      <c r="DC12" s="132">
        <v>313834</v>
      </c>
      <c r="DE12" s="132">
        <v>127085</v>
      </c>
      <c r="DF12" s="132">
        <v>524976</v>
      </c>
      <c r="DG12" s="132">
        <v>57072</v>
      </c>
      <c r="DH12" s="132">
        <v>113996</v>
      </c>
      <c r="DJ12" s="132">
        <v>150406</v>
      </c>
      <c r="DL12" s="132">
        <v>136832</v>
      </c>
      <c r="DM12" s="132">
        <v>515262</v>
      </c>
      <c r="DN12" s="132">
        <v>61144</v>
      </c>
      <c r="DO12" s="132">
        <v>28742</v>
      </c>
      <c r="DP12" s="132">
        <v>1152</v>
      </c>
      <c r="DQ12" s="132">
        <v>75360</v>
      </c>
      <c r="DR12" s="132">
        <v>162704</v>
      </c>
      <c r="DS12" s="132">
        <v>663312</v>
      </c>
      <c r="DT12" s="132">
        <v>75232</v>
      </c>
      <c r="DY12" s="132">
        <v>55084</v>
      </c>
      <c r="DZ12" s="132">
        <v>278960</v>
      </c>
      <c r="EA12" s="132">
        <v>511595</v>
      </c>
      <c r="EB12" s="132">
        <v>998802</v>
      </c>
      <c r="EC12" s="132">
        <v>179490</v>
      </c>
      <c r="ED12" s="132">
        <v>5312</v>
      </c>
      <c r="EE12" s="132">
        <v>535378</v>
      </c>
      <c r="EF12" s="132">
        <v>47525</v>
      </c>
      <c r="EG12" s="132">
        <v>334844</v>
      </c>
      <c r="EI12" s="132">
        <v>228457</v>
      </c>
      <c r="EJ12" s="132">
        <v>1008386</v>
      </c>
      <c r="EK12" s="132">
        <v>144026</v>
      </c>
      <c r="EL12" s="132">
        <v>1034025</v>
      </c>
      <c r="EN12" s="132">
        <v>298987</v>
      </c>
      <c r="EP12" s="132">
        <v>361691</v>
      </c>
      <c r="EQ12" s="132">
        <v>601571</v>
      </c>
      <c r="ER12" s="132">
        <v>108109</v>
      </c>
      <c r="ES12" s="132">
        <v>14354</v>
      </c>
      <c r="ET12" s="132">
        <v>21656</v>
      </c>
      <c r="EU12" s="132">
        <v>213092</v>
      </c>
      <c r="EV12" s="132">
        <v>187612</v>
      </c>
      <c r="EW12" s="132">
        <v>1102696</v>
      </c>
      <c r="EX12" s="132">
        <v>221469</v>
      </c>
      <c r="IO12" s="132">
        <v>29710</v>
      </c>
      <c r="IP12" s="132">
        <v>312096</v>
      </c>
      <c r="IQ12" s="132">
        <v>205641</v>
      </c>
      <c r="IR12" s="132">
        <v>562997</v>
      </c>
      <c r="IS12" s="132">
        <v>477269</v>
      </c>
      <c r="IT12" s="132">
        <v>9305</v>
      </c>
      <c r="IU12" s="132">
        <v>426576</v>
      </c>
      <c r="IV12" s="132">
        <v>39501</v>
      </c>
      <c r="IW12" s="132">
        <v>141055</v>
      </c>
      <c r="IY12" s="132">
        <v>124567</v>
      </c>
      <c r="IZ12" s="132">
        <v>268567</v>
      </c>
      <c r="JA12" s="132">
        <v>28617</v>
      </c>
      <c r="JB12" s="132">
        <v>218807</v>
      </c>
      <c r="JD12" s="132">
        <v>107443</v>
      </c>
      <c r="JF12" s="132">
        <v>85125</v>
      </c>
      <c r="JG12" s="132">
        <v>194986</v>
      </c>
      <c r="JH12" s="132">
        <v>131334</v>
      </c>
      <c r="JI12" s="132">
        <v>90837</v>
      </c>
      <c r="JJ12" s="132">
        <v>22599</v>
      </c>
      <c r="JK12" s="132">
        <v>92682</v>
      </c>
      <c r="JL12" s="132">
        <v>132461</v>
      </c>
      <c r="JM12" s="132">
        <v>175790</v>
      </c>
      <c r="JN12" s="132">
        <v>78569</v>
      </c>
    </row>
    <row r="13" spans="1:314" s="132" customFormat="1" x14ac:dyDescent="0.25">
      <c r="A13" s="134" t="s">
        <v>358</v>
      </c>
      <c r="B13" s="134"/>
      <c r="C13" s="134" t="s">
        <v>1069</v>
      </c>
      <c r="D13" s="134"/>
      <c r="E13" s="135"/>
      <c r="F13" s="134"/>
      <c r="G13" s="134" t="s">
        <v>359</v>
      </c>
      <c r="Q13" s="132">
        <v>139194</v>
      </c>
      <c r="AH13" s="132">
        <v>783657</v>
      </c>
      <c r="AI13" s="132">
        <v>881379</v>
      </c>
      <c r="AJ13" s="132">
        <v>205516</v>
      </c>
      <c r="AK13" s="132">
        <v>172079</v>
      </c>
      <c r="AL13" s="132">
        <v>0</v>
      </c>
      <c r="CU13" s="132">
        <v>7136</v>
      </c>
      <c r="CV13" s="132">
        <v>5477</v>
      </c>
      <c r="CW13" s="132">
        <v>128864</v>
      </c>
      <c r="CX13" s="132">
        <v>76611</v>
      </c>
      <c r="DA13" s="132">
        <v>45744</v>
      </c>
      <c r="DC13" s="132">
        <v>38930</v>
      </c>
      <c r="DE13" s="132">
        <v>31512</v>
      </c>
      <c r="DF13" s="132">
        <v>208192</v>
      </c>
      <c r="DG13" s="132">
        <v>9216</v>
      </c>
      <c r="DH13" s="132">
        <v>46512</v>
      </c>
      <c r="DJ13" s="132">
        <v>49408</v>
      </c>
      <c r="DL13" s="132">
        <v>53424</v>
      </c>
      <c r="DM13" s="132">
        <v>124128</v>
      </c>
      <c r="DN13" s="132">
        <v>21120</v>
      </c>
      <c r="DP13" s="132">
        <v>1520</v>
      </c>
      <c r="DQ13" s="132">
        <v>47040</v>
      </c>
      <c r="DR13" s="132">
        <v>26496</v>
      </c>
      <c r="DS13" s="132">
        <v>237072</v>
      </c>
      <c r="DT13" s="132">
        <v>45248</v>
      </c>
      <c r="DY13" s="132">
        <v>48971</v>
      </c>
      <c r="DZ13" s="132">
        <v>23616</v>
      </c>
      <c r="EA13" s="132">
        <v>193219</v>
      </c>
      <c r="EB13" s="132">
        <v>148282</v>
      </c>
      <c r="EE13" s="132">
        <v>134264</v>
      </c>
      <c r="EG13" s="132">
        <v>37632</v>
      </c>
      <c r="EI13" s="132">
        <v>136042</v>
      </c>
      <c r="EJ13" s="132">
        <v>383289</v>
      </c>
      <c r="EK13" s="132">
        <v>35618</v>
      </c>
      <c r="EL13" s="132">
        <v>80482</v>
      </c>
      <c r="EN13" s="132">
        <v>107634</v>
      </c>
      <c r="EP13" s="132">
        <v>229556</v>
      </c>
      <c r="EQ13" s="132">
        <v>259555</v>
      </c>
      <c r="ER13" s="132">
        <v>73192</v>
      </c>
      <c r="ET13" s="132">
        <v>6653</v>
      </c>
      <c r="EU13" s="132">
        <v>324336</v>
      </c>
      <c r="EV13" s="132">
        <v>70304</v>
      </c>
      <c r="EW13" s="132">
        <v>361880</v>
      </c>
      <c r="EX13" s="132">
        <v>167135</v>
      </c>
      <c r="IO13" s="132">
        <v>6832</v>
      </c>
      <c r="IP13" s="132">
        <v>2053</v>
      </c>
      <c r="IQ13" s="132">
        <v>19715</v>
      </c>
      <c r="IR13" s="132">
        <v>22972</v>
      </c>
      <c r="IU13" s="132">
        <v>8243</v>
      </c>
      <c r="IW13" s="132">
        <v>18558</v>
      </c>
      <c r="IY13" s="132">
        <v>11824</v>
      </c>
      <c r="IZ13" s="132">
        <v>22492</v>
      </c>
      <c r="JA13" s="132">
        <v>143</v>
      </c>
      <c r="JB13" s="132">
        <v>25250</v>
      </c>
      <c r="JD13" s="132">
        <v>3837</v>
      </c>
      <c r="JF13" s="132">
        <v>7879</v>
      </c>
      <c r="JG13" s="132">
        <v>4915</v>
      </c>
      <c r="JH13" s="132">
        <v>10520</v>
      </c>
      <c r="JJ13" s="132">
        <v>578</v>
      </c>
      <c r="JK13" s="132">
        <v>32795</v>
      </c>
      <c r="JL13" s="132">
        <v>1858</v>
      </c>
      <c r="JM13" s="132">
        <v>16835</v>
      </c>
      <c r="JN13" s="132">
        <v>28429</v>
      </c>
    </row>
    <row r="14" spans="1:314" s="132" customFormat="1" x14ac:dyDescent="0.25">
      <c r="A14" s="134" t="s">
        <v>360</v>
      </c>
      <c r="B14" s="134"/>
      <c r="C14" s="134" t="s">
        <v>1069</v>
      </c>
      <c r="D14" s="134"/>
      <c r="E14" s="135"/>
      <c r="F14" s="134"/>
      <c r="G14" s="134" t="s">
        <v>361</v>
      </c>
      <c r="Q14" s="132">
        <v>117916</v>
      </c>
      <c r="AH14" s="132">
        <v>529779</v>
      </c>
      <c r="AI14" s="132">
        <v>258298</v>
      </c>
      <c r="AJ14" s="132">
        <v>67009</v>
      </c>
      <c r="AK14" s="132">
        <v>157114</v>
      </c>
      <c r="AL14" s="132">
        <v>0</v>
      </c>
      <c r="CU14" s="132">
        <v>31488</v>
      </c>
      <c r="CV14" s="132">
        <v>5200</v>
      </c>
      <c r="CW14" s="132">
        <v>55424</v>
      </c>
      <c r="CX14" s="132">
        <v>13527</v>
      </c>
      <c r="DA14" s="132">
        <v>30684</v>
      </c>
      <c r="DC14" s="132">
        <v>5952</v>
      </c>
      <c r="DE14" s="132">
        <v>2232</v>
      </c>
      <c r="DF14" s="132">
        <v>66704</v>
      </c>
      <c r="DG14" s="132">
        <v>3760</v>
      </c>
      <c r="DJ14" s="132">
        <v>13469</v>
      </c>
      <c r="DL14" s="132">
        <v>25232</v>
      </c>
      <c r="DM14" s="132">
        <v>26256</v>
      </c>
      <c r="DQ14" s="132">
        <v>12144</v>
      </c>
      <c r="DR14" s="132">
        <v>1296</v>
      </c>
      <c r="DS14" s="132">
        <v>76080</v>
      </c>
      <c r="DT14" s="132">
        <v>26400</v>
      </c>
      <c r="DY14" s="132">
        <v>149099</v>
      </c>
      <c r="DZ14" s="132">
        <v>55750</v>
      </c>
      <c r="EA14" s="132">
        <v>116625</v>
      </c>
      <c r="EB14" s="132">
        <v>77718</v>
      </c>
      <c r="EE14" s="132">
        <v>104650</v>
      </c>
      <c r="EG14" s="132">
        <v>4800</v>
      </c>
      <c r="EI14" s="132">
        <v>1800</v>
      </c>
      <c r="EJ14" s="132">
        <v>274714</v>
      </c>
      <c r="EK14" s="132">
        <v>4800</v>
      </c>
      <c r="EN14" s="132">
        <v>7200</v>
      </c>
      <c r="EP14" s="132">
        <v>106312</v>
      </c>
      <c r="EQ14" s="132">
        <v>72389</v>
      </c>
      <c r="EU14" s="132">
        <v>93988</v>
      </c>
      <c r="EV14" s="132">
        <v>2400</v>
      </c>
      <c r="EW14" s="132">
        <v>182177</v>
      </c>
      <c r="EX14" s="132">
        <v>69262</v>
      </c>
      <c r="IO14" s="132">
        <v>76301</v>
      </c>
      <c r="IP14" s="132">
        <v>238</v>
      </c>
      <c r="IQ14" s="132">
        <v>14014</v>
      </c>
      <c r="IR14" s="132">
        <v>444</v>
      </c>
      <c r="IU14" s="132">
        <v>21608</v>
      </c>
      <c r="IW14" s="132">
        <v>100</v>
      </c>
      <c r="IY14" s="132">
        <v>75</v>
      </c>
      <c r="IZ14" s="132">
        <v>5247</v>
      </c>
      <c r="JA14" s="132">
        <v>50</v>
      </c>
      <c r="JD14" s="132">
        <v>86</v>
      </c>
      <c r="JF14" s="132">
        <v>5035</v>
      </c>
      <c r="JG14" s="132">
        <v>505</v>
      </c>
      <c r="JK14" s="132">
        <v>15509</v>
      </c>
      <c r="JL14" s="132">
        <v>50</v>
      </c>
      <c r="JM14" s="132">
        <v>2069</v>
      </c>
      <c r="JN14" s="132">
        <v>5415</v>
      </c>
    </row>
    <row r="15" spans="1:314" s="132" customFormat="1" x14ac:dyDescent="0.25">
      <c r="A15" s="134" t="s">
        <v>354</v>
      </c>
      <c r="B15" s="134"/>
      <c r="C15" s="134" t="s">
        <v>1069</v>
      </c>
      <c r="D15" s="134"/>
      <c r="E15" s="135"/>
      <c r="F15" s="134"/>
      <c r="G15" s="134" t="s">
        <v>355</v>
      </c>
      <c r="Q15" s="132">
        <v>341663</v>
      </c>
      <c r="AH15" s="132">
        <v>1526160</v>
      </c>
      <c r="AI15" s="132">
        <v>634561</v>
      </c>
      <c r="AJ15" s="132">
        <v>541128</v>
      </c>
      <c r="AK15" s="132">
        <v>730015</v>
      </c>
      <c r="AL15" s="132">
        <v>0</v>
      </c>
      <c r="CU15" s="132">
        <v>18472</v>
      </c>
      <c r="CW15" s="132">
        <v>162444</v>
      </c>
      <c r="CX15" s="132">
        <v>128592</v>
      </c>
      <c r="DA15" s="132">
        <v>135076</v>
      </c>
      <c r="DB15" s="132">
        <v>101480</v>
      </c>
      <c r="DC15" s="132">
        <v>127135</v>
      </c>
      <c r="DD15" s="132">
        <v>1440</v>
      </c>
      <c r="DE15" s="132">
        <v>15040</v>
      </c>
      <c r="DF15" s="132">
        <v>244208</v>
      </c>
      <c r="DG15" s="132">
        <v>13904</v>
      </c>
      <c r="DI15" s="132">
        <v>47744</v>
      </c>
      <c r="DJ15" s="132">
        <v>41157</v>
      </c>
      <c r="DL15" s="132">
        <v>133040</v>
      </c>
      <c r="DM15" s="132">
        <v>156160</v>
      </c>
      <c r="DN15" s="132">
        <v>48704</v>
      </c>
      <c r="DP15" s="132">
        <v>32792</v>
      </c>
      <c r="DQ15" s="132">
        <v>37728</v>
      </c>
      <c r="DR15" s="132">
        <v>59224</v>
      </c>
      <c r="DS15" s="132">
        <v>184606</v>
      </c>
      <c r="DT15" s="132">
        <v>49696</v>
      </c>
      <c r="DY15" s="132">
        <v>45117</v>
      </c>
      <c r="EA15" s="132">
        <v>361567</v>
      </c>
      <c r="EB15" s="132">
        <v>441642</v>
      </c>
      <c r="EE15" s="132">
        <v>19889</v>
      </c>
      <c r="EF15" s="132">
        <v>281448</v>
      </c>
      <c r="EG15" s="132">
        <v>384027</v>
      </c>
      <c r="EH15" s="132">
        <v>3610</v>
      </c>
      <c r="EI15" s="132">
        <v>108942</v>
      </c>
      <c r="EJ15" s="132">
        <v>613272</v>
      </c>
      <c r="EK15" s="132">
        <v>55170</v>
      </c>
      <c r="EM15" s="132">
        <v>249843</v>
      </c>
      <c r="EN15" s="132">
        <v>108949</v>
      </c>
      <c r="EP15" s="132">
        <v>256507</v>
      </c>
      <c r="EQ15" s="132">
        <v>379020</v>
      </c>
      <c r="ER15" s="132">
        <v>1143720</v>
      </c>
      <c r="ET15" s="132">
        <v>87630</v>
      </c>
      <c r="EU15" s="132">
        <v>119401</v>
      </c>
      <c r="EV15" s="132">
        <v>195191</v>
      </c>
      <c r="EW15" s="132">
        <v>431234</v>
      </c>
      <c r="EX15" s="132">
        <v>243795</v>
      </c>
      <c r="IO15" s="132">
        <v>1561</v>
      </c>
      <c r="IQ15" s="132">
        <v>49089</v>
      </c>
      <c r="IR15" s="132">
        <v>34923</v>
      </c>
      <c r="IU15" s="132">
        <v>40347</v>
      </c>
      <c r="IV15" s="132">
        <v>74320</v>
      </c>
      <c r="IW15" s="132">
        <v>56263</v>
      </c>
      <c r="IX15" s="132">
        <v>3804</v>
      </c>
      <c r="IY15" s="132">
        <v>19804</v>
      </c>
      <c r="IZ15" s="132">
        <v>33140</v>
      </c>
      <c r="JA15" s="132">
        <v>15812</v>
      </c>
      <c r="JC15" s="132">
        <v>66610</v>
      </c>
      <c r="JD15" s="132">
        <v>21515</v>
      </c>
      <c r="JF15" s="132">
        <v>76433</v>
      </c>
      <c r="JG15" s="132">
        <v>29938</v>
      </c>
      <c r="JH15" s="132">
        <v>40809</v>
      </c>
      <c r="JJ15" s="132">
        <v>28734</v>
      </c>
      <c r="JK15" s="132">
        <v>25623</v>
      </c>
      <c r="JL15" s="132">
        <v>57297</v>
      </c>
      <c r="JM15" s="132">
        <v>19032</v>
      </c>
      <c r="JN15" s="132">
        <v>64101</v>
      </c>
    </row>
    <row r="16" spans="1:314" s="132" customFormat="1" x14ac:dyDescent="0.25">
      <c r="A16" s="134" t="s">
        <v>425</v>
      </c>
      <c r="B16" s="134"/>
      <c r="C16" s="134" t="s">
        <v>1069</v>
      </c>
      <c r="D16" s="134"/>
      <c r="E16" s="135"/>
      <c r="F16" s="134"/>
      <c r="G16" s="134" t="s">
        <v>426</v>
      </c>
      <c r="Q16" s="132">
        <v>1227389</v>
      </c>
      <c r="AH16" s="132">
        <v>3209145</v>
      </c>
      <c r="AI16" s="132">
        <v>1156394</v>
      </c>
      <c r="AJ16" s="132">
        <v>610914</v>
      </c>
      <c r="AK16" s="132">
        <v>475239</v>
      </c>
      <c r="AL16" s="132">
        <v>0</v>
      </c>
      <c r="CU16" s="132">
        <v>9984</v>
      </c>
      <c r="CV16" s="132">
        <v>61040</v>
      </c>
      <c r="CW16" s="132">
        <v>217728</v>
      </c>
      <c r="CX16" s="132">
        <v>104576</v>
      </c>
      <c r="CZ16" s="132">
        <v>6192</v>
      </c>
      <c r="DA16" s="132">
        <v>51696</v>
      </c>
      <c r="DC16" s="132">
        <v>89952</v>
      </c>
      <c r="DE16" s="132">
        <v>29248</v>
      </c>
      <c r="DF16" s="132">
        <v>193320</v>
      </c>
      <c r="DG16" s="132">
        <v>15776</v>
      </c>
      <c r="DH16" s="132">
        <v>38736</v>
      </c>
      <c r="DJ16" s="132">
        <v>39456</v>
      </c>
      <c r="DM16" s="132">
        <v>239296</v>
      </c>
      <c r="DO16" s="132">
        <v>5232</v>
      </c>
      <c r="DP16" s="132">
        <v>352</v>
      </c>
      <c r="DQ16" s="132">
        <v>47136</v>
      </c>
      <c r="DR16" s="132">
        <v>39536</v>
      </c>
      <c r="DS16" s="132">
        <v>231312</v>
      </c>
      <c r="DT16" s="132">
        <v>53256</v>
      </c>
      <c r="DY16" s="132">
        <v>50608</v>
      </c>
      <c r="DZ16" s="132">
        <v>382999</v>
      </c>
      <c r="EA16" s="132">
        <v>404438</v>
      </c>
      <c r="EB16" s="132">
        <v>362903</v>
      </c>
      <c r="ED16" s="132">
        <v>304080</v>
      </c>
      <c r="EE16" s="132">
        <v>282128</v>
      </c>
      <c r="EG16" s="132">
        <v>279498</v>
      </c>
      <c r="EI16" s="132">
        <v>136135</v>
      </c>
      <c r="EJ16" s="132">
        <v>581778</v>
      </c>
      <c r="EK16" s="132">
        <v>46078</v>
      </c>
      <c r="EL16" s="132">
        <v>456806</v>
      </c>
      <c r="EN16" s="132">
        <v>99831</v>
      </c>
      <c r="EQ16" s="132">
        <v>534831</v>
      </c>
      <c r="ES16" s="132">
        <v>49838</v>
      </c>
      <c r="ET16" s="132">
        <v>71128</v>
      </c>
      <c r="EU16" s="132">
        <v>157477</v>
      </c>
      <c r="EV16" s="132">
        <v>87405</v>
      </c>
      <c r="EW16" s="132">
        <v>551046</v>
      </c>
      <c r="EX16" s="132">
        <v>345819</v>
      </c>
      <c r="IO16" s="132">
        <v>17667</v>
      </c>
      <c r="IP16" s="132">
        <v>444129</v>
      </c>
      <c r="IQ16" s="132">
        <v>163166</v>
      </c>
      <c r="IR16" s="132">
        <v>121682</v>
      </c>
      <c r="IT16" s="132">
        <v>123897</v>
      </c>
      <c r="IU16" s="132">
        <v>237410</v>
      </c>
      <c r="IW16" s="132">
        <v>320296</v>
      </c>
      <c r="IY16" s="132">
        <v>48036</v>
      </c>
      <c r="IZ16" s="132">
        <v>155601</v>
      </c>
      <c r="JA16" s="132">
        <v>3729</v>
      </c>
      <c r="JB16" s="132">
        <v>142033</v>
      </c>
      <c r="JD16" s="132">
        <v>42577</v>
      </c>
      <c r="JG16" s="132">
        <v>155312</v>
      </c>
      <c r="JI16" s="132">
        <v>13963</v>
      </c>
      <c r="JJ16" s="132">
        <v>45496</v>
      </c>
      <c r="JK16" s="132">
        <v>80993</v>
      </c>
      <c r="JL16" s="132">
        <v>14632</v>
      </c>
      <c r="JM16" s="132">
        <v>81882</v>
      </c>
      <c r="JN16" s="132">
        <v>123369</v>
      </c>
    </row>
    <row r="17" spans="1:274" s="132" customFormat="1" x14ac:dyDescent="0.25">
      <c r="A17" s="134" t="s">
        <v>452</v>
      </c>
      <c r="B17" s="134"/>
      <c r="C17" s="134" t="s">
        <v>1069</v>
      </c>
      <c r="D17" s="134"/>
      <c r="E17" s="135"/>
      <c r="F17" s="134"/>
      <c r="G17" s="134" t="s">
        <v>453</v>
      </c>
      <c r="Q17" s="132">
        <v>1253528</v>
      </c>
      <c r="AH17" s="132">
        <v>7326993</v>
      </c>
      <c r="AI17" s="132">
        <v>3906587</v>
      </c>
      <c r="AJ17" s="132">
        <v>2417335</v>
      </c>
      <c r="AK17" s="132">
        <v>2342869</v>
      </c>
      <c r="AL17" s="132">
        <v>0</v>
      </c>
      <c r="CU17" s="132">
        <v>21695</v>
      </c>
      <c r="CV17" s="132">
        <v>35650</v>
      </c>
      <c r="CW17" s="132">
        <v>454016</v>
      </c>
      <c r="CX17" s="132">
        <v>377176</v>
      </c>
      <c r="CY17" s="132">
        <v>714</v>
      </c>
      <c r="CZ17" s="132">
        <v>27387</v>
      </c>
      <c r="DA17" s="132">
        <v>493693</v>
      </c>
      <c r="DB17" s="132">
        <v>1941</v>
      </c>
      <c r="DC17" s="132">
        <v>52638</v>
      </c>
      <c r="DE17" s="132">
        <v>91459</v>
      </c>
      <c r="DF17" s="132">
        <v>897467</v>
      </c>
      <c r="DG17" s="132">
        <v>161031</v>
      </c>
      <c r="DH17" s="132">
        <v>40932</v>
      </c>
      <c r="DI17" s="132">
        <v>22976</v>
      </c>
      <c r="DJ17" s="132">
        <v>115712</v>
      </c>
      <c r="DK17" s="132">
        <v>29101</v>
      </c>
      <c r="DM17" s="132">
        <v>740168</v>
      </c>
      <c r="DN17" s="132">
        <v>896</v>
      </c>
      <c r="DO17" s="132">
        <v>1728</v>
      </c>
      <c r="DP17" s="132">
        <v>504</v>
      </c>
      <c r="DQ17" s="132">
        <v>130624</v>
      </c>
      <c r="DR17" s="132">
        <v>223226</v>
      </c>
      <c r="DS17" s="132">
        <v>950126</v>
      </c>
      <c r="DT17" s="132">
        <v>454289</v>
      </c>
      <c r="DY17" s="132">
        <v>53954</v>
      </c>
      <c r="DZ17" s="132">
        <v>364758</v>
      </c>
      <c r="EA17" s="132">
        <v>974142</v>
      </c>
      <c r="EB17" s="132">
        <v>958274</v>
      </c>
      <c r="EC17" s="132">
        <v>1147</v>
      </c>
      <c r="ED17" s="132">
        <v>27222</v>
      </c>
      <c r="EE17" s="132">
        <v>1323182</v>
      </c>
      <c r="EF17" s="132">
        <v>3195</v>
      </c>
      <c r="EG17" s="132">
        <v>128581</v>
      </c>
      <c r="EI17" s="132">
        <v>289255</v>
      </c>
      <c r="EJ17" s="132">
        <v>1960666</v>
      </c>
      <c r="EK17" s="132">
        <v>445827</v>
      </c>
      <c r="EL17" s="132">
        <v>312860</v>
      </c>
      <c r="EM17" s="132">
        <v>232584</v>
      </c>
      <c r="EN17" s="132">
        <v>236358</v>
      </c>
      <c r="EO17" s="132">
        <v>160928</v>
      </c>
      <c r="EQ17" s="132">
        <v>1038347</v>
      </c>
      <c r="ER17" s="132">
        <v>2916</v>
      </c>
      <c r="ES17" s="132">
        <v>2868</v>
      </c>
      <c r="ET17" s="132">
        <v>819</v>
      </c>
      <c r="EU17" s="132">
        <v>545484</v>
      </c>
      <c r="EV17" s="132">
        <v>344474</v>
      </c>
      <c r="EW17" s="132">
        <v>2347279</v>
      </c>
      <c r="EX17" s="132">
        <v>1098653</v>
      </c>
      <c r="IO17" s="132">
        <v>16537</v>
      </c>
      <c r="IP17" s="132">
        <v>242015</v>
      </c>
      <c r="IQ17" s="132">
        <v>598807</v>
      </c>
      <c r="IR17" s="132">
        <v>352648</v>
      </c>
      <c r="IS17" s="132">
        <v>1656</v>
      </c>
      <c r="IT17" s="132">
        <v>72080</v>
      </c>
      <c r="IU17" s="132">
        <v>711266</v>
      </c>
      <c r="IV17" s="132">
        <v>4614</v>
      </c>
      <c r="IW17" s="132">
        <v>37502</v>
      </c>
      <c r="IY17" s="132">
        <v>251600</v>
      </c>
      <c r="IZ17" s="132">
        <v>797451</v>
      </c>
      <c r="JA17" s="132">
        <v>343595</v>
      </c>
      <c r="JB17" s="132">
        <v>79004</v>
      </c>
      <c r="JC17" s="132">
        <v>181396</v>
      </c>
      <c r="JD17" s="132">
        <v>181047</v>
      </c>
      <c r="JE17" s="132">
        <v>57100</v>
      </c>
      <c r="JG17" s="132">
        <v>599099</v>
      </c>
      <c r="JH17" s="132">
        <v>457</v>
      </c>
      <c r="JI17" s="132">
        <v>4140</v>
      </c>
      <c r="JJ17" s="132">
        <v>1183</v>
      </c>
      <c r="JK17" s="132">
        <v>431100</v>
      </c>
      <c r="JL17" s="132">
        <v>595425</v>
      </c>
      <c r="JM17" s="132">
        <v>494631</v>
      </c>
      <c r="JN17" s="132">
        <v>779527</v>
      </c>
    </row>
    <row r="18" spans="1:274" s="132" customFormat="1" x14ac:dyDescent="0.25">
      <c r="A18" s="134" t="s">
        <v>454</v>
      </c>
      <c r="B18" s="134"/>
      <c r="C18" s="134" t="s">
        <v>1069</v>
      </c>
      <c r="D18" s="134"/>
      <c r="E18" s="135"/>
      <c r="F18" s="134"/>
      <c r="G18" s="134" t="s">
        <v>455</v>
      </c>
      <c r="Q18" s="132">
        <v>4087750</v>
      </c>
      <c r="AH18" s="132">
        <v>29406297</v>
      </c>
      <c r="AI18" s="132">
        <v>14289768</v>
      </c>
      <c r="AJ18" s="132">
        <v>6702248</v>
      </c>
      <c r="AK18" s="132">
        <v>5433651</v>
      </c>
      <c r="AL18" s="132">
        <v>577790</v>
      </c>
      <c r="CU18" s="132">
        <v>167717</v>
      </c>
      <c r="CV18" s="132">
        <v>206450</v>
      </c>
      <c r="CW18" s="132">
        <v>1869202</v>
      </c>
      <c r="CX18" s="132">
        <v>1927323</v>
      </c>
      <c r="CY18" s="132">
        <v>6096</v>
      </c>
      <c r="CZ18" s="132">
        <v>252776</v>
      </c>
      <c r="DA18" s="132">
        <v>2496401</v>
      </c>
      <c r="DB18" s="132">
        <v>205303</v>
      </c>
      <c r="DC18" s="132">
        <v>460909</v>
      </c>
      <c r="DD18" s="132">
        <v>2800</v>
      </c>
      <c r="DE18" s="132">
        <v>431027</v>
      </c>
      <c r="DF18" s="132">
        <v>4354724</v>
      </c>
      <c r="DG18" s="132">
        <v>459399</v>
      </c>
      <c r="DH18" s="132">
        <v>277404</v>
      </c>
      <c r="DJ18" s="132">
        <v>433343</v>
      </c>
      <c r="DK18" s="132">
        <v>5368</v>
      </c>
      <c r="DL18" s="132">
        <v>25280</v>
      </c>
      <c r="DM18" s="132">
        <v>2292364</v>
      </c>
      <c r="DN18" s="132">
        <v>331956</v>
      </c>
      <c r="DO18" s="132">
        <v>152356</v>
      </c>
      <c r="DP18" s="132">
        <v>30575</v>
      </c>
      <c r="DQ18" s="132">
        <v>523792</v>
      </c>
      <c r="DR18" s="132">
        <v>627868</v>
      </c>
      <c r="DS18" s="132">
        <v>2885181</v>
      </c>
      <c r="DT18" s="132">
        <v>944972</v>
      </c>
      <c r="DY18" s="132">
        <v>471841</v>
      </c>
      <c r="DZ18" s="132">
        <v>350324</v>
      </c>
      <c r="EA18" s="132">
        <v>4361153</v>
      </c>
      <c r="EB18" s="132">
        <v>5580410</v>
      </c>
      <c r="EC18" s="132">
        <v>107718</v>
      </c>
      <c r="ED18" s="132">
        <v>513452</v>
      </c>
      <c r="EE18" s="132">
        <v>5477974</v>
      </c>
      <c r="EF18" s="132">
        <v>691139</v>
      </c>
      <c r="EG18" s="132">
        <v>798678</v>
      </c>
      <c r="EH18" s="132">
        <v>9034</v>
      </c>
      <c r="EI18" s="132">
        <v>1125162</v>
      </c>
      <c r="EJ18" s="132">
        <v>11972087</v>
      </c>
      <c r="EK18" s="132">
        <v>1277083</v>
      </c>
      <c r="EL18" s="132">
        <v>1669556</v>
      </c>
      <c r="EN18" s="132">
        <v>912374</v>
      </c>
      <c r="EO18" s="132">
        <v>125138</v>
      </c>
      <c r="EP18" s="132">
        <v>114072</v>
      </c>
      <c r="EQ18" s="132">
        <v>5268052</v>
      </c>
      <c r="ER18" s="132">
        <v>1251541</v>
      </c>
      <c r="ES18" s="132">
        <v>204020</v>
      </c>
      <c r="ET18" s="132">
        <v>35884</v>
      </c>
      <c r="EU18" s="132">
        <v>1933763</v>
      </c>
      <c r="EV18" s="132">
        <v>849260</v>
      </c>
      <c r="EW18" s="132">
        <v>6859121</v>
      </c>
      <c r="EX18" s="132">
        <v>3931043</v>
      </c>
      <c r="IO18" s="132">
        <v>609201</v>
      </c>
      <c r="IP18" s="132">
        <v>278235</v>
      </c>
      <c r="IQ18" s="132">
        <v>2843414</v>
      </c>
      <c r="IR18" s="132">
        <v>3214351</v>
      </c>
      <c r="IS18" s="132">
        <v>26886</v>
      </c>
      <c r="IT18" s="132">
        <v>1765929</v>
      </c>
      <c r="IU18" s="132">
        <v>5067365</v>
      </c>
      <c r="IV18" s="132">
        <v>886271</v>
      </c>
      <c r="IW18" s="132">
        <v>282713</v>
      </c>
      <c r="IX18" s="132">
        <v>1010</v>
      </c>
      <c r="IY18" s="132">
        <v>561001</v>
      </c>
      <c r="IZ18" s="132">
        <v>4028300</v>
      </c>
      <c r="JA18" s="132">
        <v>355573</v>
      </c>
      <c r="JB18" s="132">
        <v>636661</v>
      </c>
      <c r="JD18" s="132">
        <v>1341896</v>
      </c>
      <c r="JE18" s="132">
        <v>25156</v>
      </c>
      <c r="JF18" s="132">
        <v>32504</v>
      </c>
      <c r="JG18" s="132">
        <v>1560462</v>
      </c>
      <c r="JH18" s="132">
        <v>612614</v>
      </c>
      <c r="JI18" s="132">
        <v>197419</v>
      </c>
      <c r="JJ18" s="132">
        <v>41507</v>
      </c>
      <c r="JK18" s="132">
        <v>806521</v>
      </c>
      <c r="JL18" s="132">
        <v>889794</v>
      </c>
      <c r="JM18" s="132">
        <v>1557106</v>
      </c>
      <c r="JN18" s="132">
        <v>1906473</v>
      </c>
    </row>
    <row r="19" spans="1:274" s="132" customFormat="1" x14ac:dyDescent="0.25">
      <c r="A19" s="134" t="s">
        <v>364</v>
      </c>
      <c r="B19" s="134"/>
      <c r="C19" s="134" t="s">
        <v>1069</v>
      </c>
      <c r="D19" s="134"/>
      <c r="E19" s="135"/>
      <c r="F19" s="134"/>
      <c r="G19" s="134" t="s">
        <v>365</v>
      </c>
      <c r="Q19" s="132">
        <v>3906243</v>
      </c>
      <c r="AH19" s="132">
        <v>7132765</v>
      </c>
      <c r="AI19" s="132">
        <v>3212423</v>
      </c>
      <c r="AJ19" s="132">
        <v>2337764</v>
      </c>
      <c r="AK19" s="132">
        <v>1903087</v>
      </c>
      <c r="AL19" s="132">
        <v>0</v>
      </c>
      <c r="CV19" s="132">
        <v>119003</v>
      </c>
      <c r="CW19" s="132">
        <v>437056</v>
      </c>
      <c r="CX19" s="132">
        <v>373264</v>
      </c>
      <c r="CZ19" s="132">
        <v>23352</v>
      </c>
      <c r="DA19" s="132">
        <v>311088</v>
      </c>
      <c r="DB19" s="132">
        <v>25746</v>
      </c>
      <c r="DC19" s="132">
        <v>222301</v>
      </c>
      <c r="DD19" s="132">
        <v>224</v>
      </c>
      <c r="DE19" s="132">
        <v>150288</v>
      </c>
      <c r="DF19" s="132">
        <v>698766</v>
      </c>
      <c r="DG19" s="132">
        <v>59916</v>
      </c>
      <c r="DH19" s="132">
        <v>237492</v>
      </c>
      <c r="DI19" s="132">
        <v>20128</v>
      </c>
      <c r="DJ19" s="132">
        <v>428820</v>
      </c>
      <c r="DK19" s="132">
        <v>16080</v>
      </c>
      <c r="DL19" s="132">
        <v>220</v>
      </c>
      <c r="DM19" s="132">
        <v>479140</v>
      </c>
      <c r="DN19" s="132">
        <v>81428</v>
      </c>
      <c r="DO19" s="132">
        <v>76510</v>
      </c>
      <c r="DP19" s="132">
        <v>16096</v>
      </c>
      <c r="DQ19" s="132">
        <v>127008</v>
      </c>
      <c r="DR19" s="132">
        <v>152912</v>
      </c>
      <c r="DS19" s="132">
        <v>511076</v>
      </c>
      <c r="DT19" s="132">
        <v>208282</v>
      </c>
      <c r="DZ19" s="132">
        <v>380293</v>
      </c>
      <c r="EA19" s="132">
        <v>1426798</v>
      </c>
      <c r="EB19" s="132">
        <v>1398830</v>
      </c>
      <c r="EE19" s="132">
        <v>755485</v>
      </c>
      <c r="EF19" s="132">
        <v>0</v>
      </c>
      <c r="EG19" s="132">
        <v>674646</v>
      </c>
      <c r="EH19" s="132">
        <v>0</v>
      </c>
      <c r="EI19" s="132">
        <v>450923</v>
      </c>
      <c r="EJ19" s="132">
        <v>6558510</v>
      </c>
      <c r="EK19" s="132">
        <v>166931</v>
      </c>
      <c r="EL19" s="132">
        <v>1418888</v>
      </c>
      <c r="EM19" s="132">
        <v>174848</v>
      </c>
      <c r="EN19" s="132">
        <v>1662057</v>
      </c>
      <c r="EO19" s="132">
        <v>154918</v>
      </c>
      <c r="EP19" s="132">
        <v>0</v>
      </c>
      <c r="EQ19" s="132">
        <v>1383968</v>
      </c>
      <c r="ER19" s="132">
        <v>331409</v>
      </c>
      <c r="ES19" s="132">
        <v>71075</v>
      </c>
      <c r="ET19" s="132">
        <v>37366</v>
      </c>
      <c r="EU19" s="132">
        <v>406553</v>
      </c>
      <c r="EV19" s="132">
        <v>438295</v>
      </c>
      <c r="EW19" s="132">
        <v>1456991</v>
      </c>
      <c r="EX19" s="132">
        <v>1399624</v>
      </c>
      <c r="IP19" s="132">
        <v>89648</v>
      </c>
      <c r="IQ19" s="132">
        <v>217389</v>
      </c>
      <c r="IR19" s="132">
        <v>169526</v>
      </c>
      <c r="IT19" s="132">
        <v>32254</v>
      </c>
      <c r="IU19" s="132">
        <v>46334</v>
      </c>
      <c r="IV19" s="132">
        <v>0</v>
      </c>
      <c r="IW19" s="132">
        <v>129598</v>
      </c>
      <c r="IX19" s="132">
        <v>0</v>
      </c>
      <c r="IY19" s="132">
        <v>52007</v>
      </c>
      <c r="IZ19" s="132">
        <v>255274</v>
      </c>
      <c r="JA19" s="132">
        <v>22910</v>
      </c>
      <c r="JB19" s="132">
        <v>78049</v>
      </c>
      <c r="JC19" s="132">
        <v>22903</v>
      </c>
      <c r="JD19" s="132">
        <v>147544</v>
      </c>
      <c r="JE19" s="132">
        <v>6113</v>
      </c>
      <c r="JF19" s="132">
        <v>0</v>
      </c>
      <c r="JG19" s="132">
        <v>107137</v>
      </c>
      <c r="JH19" s="132">
        <v>40282</v>
      </c>
      <c r="JI19" s="132">
        <v>12624</v>
      </c>
      <c r="JJ19" s="132">
        <v>20702</v>
      </c>
      <c r="JK19" s="132">
        <v>73149</v>
      </c>
      <c r="JL19" s="132">
        <v>117978</v>
      </c>
      <c r="JM19" s="132">
        <v>25323</v>
      </c>
      <c r="JN19" s="132">
        <v>196278</v>
      </c>
    </row>
    <row r="20" spans="1:274" s="132" customFormat="1" x14ac:dyDescent="0.25">
      <c r="A20" s="134" t="s">
        <v>439</v>
      </c>
      <c r="B20" s="134"/>
      <c r="C20" s="134" t="s">
        <v>1069</v>
      </c>
      <c r="D20" s="134"/>
      <c r="E20" s="135"/>
      <c r="F20" s="134"/>
      <c r="G20" s="134" t="s">
        <v>440</v>
      </c>
      <c r="Q20" s="132">
        <v>3359089</v>
      </c>
      <c r="AH20" s="132">
        <v>12045783</v>
      </c>
      <c r="AI20" s="132">
        <v>7374771</v>
      </c>
      <c r="AJ20" s="132">
        <v>2789370</v>
      </c>
      <c r="AK20" s="132">
        <v>3938493</v>
      </c>
      <c r="AL20" s="132">
        <v>13780</v>
      </c>
      <c r="CU20" s="132">
        <v>1248</v>
      </c>
      <c r="CV20" s="132">
        <v>68000</v>
      </c>
      <c r="CW20" s="132">
        <v>781952</v>
      </c>
      <c r="CX20" s="132">
        <v>727936</v>
      </c>
      <c r="CZ20" s="132">
        <v>8768</v>
      </c>
      <c r="DA20" s="132">
        <v>148336</v>
      </c>
      <c r="DC20" s="132">
        <v>186816</v>
      </c>
      <c r="DD20" s="132">
        <v>4800</v>
      </c>
      <c r="DE20" s="132">
        <v>51216</v>
      </c>
      <c r="DF20" s="132">
        <v>2117104</v>
      </c>
      <c r="DG20" s="132">
        <v>76080</v>
      </c>
      <c r="DH20" s="132">
        <v>125632</v>
      </c>
      <c r="DI20" s="132">
        <v>20160</v>
      </c>
      <c r="DJ20" s="132">
        <v>357136</v>
      </c>
      <c r="DK20" s="132">
        <v>31392</v>
      </c>
      <c r="DL20" s="132">
        <v>4080</v>
      </c>
      <c r="DM20" s="132">
        <v>1057584</v>
      </c>
      <c r="DN20" s="132">
        <v>49168</v>
      </c>
      <c r="DP20" s="132">
        <v>576</v>
      </c>
      <c r="DQ20" s="132">
        <v>96288</v>
      </c>
      <c r="DR20" s="132">
        <v>143632</v>
      </c>
      <c r="DS20" s="132">
        <v>1079376</v>
      </c>
      <c r="DT20" s="132">
        <v>239440</v>
      </c>
      <c r="DY20" s="132">
        <v>41289</v>
      </c>
      <c r="DZ20" s="132">
        <v>447654</v>
      </c>
      <c r="EA20" s="132">
        <v>1475210</v>
      </c>
      <c r="EB20" s="132">
        <v>1107420</v>
      </c>
      <c r="ED20" s="132">
        <v>120393</v>
      </c>
      <c r="EE20" s="132">
        <v>1462531</v>
      </c>
      <c r="EG20" s="132">
        <v>61686</v>
      </c>
      <c r="EH20" s="132">
        <v>26099</v>
      </c>
      <c r="EI20" s="132">
        <v>58295</v>
      </c>
      <c r="EJ20" s="132">
        <v>5269394</v>
      </c>
      <c r="EK20" s="132">
        <v>267478</v>
      </c>
      <c r="EL20" s="132">
        <v>301129</v>
      </c>
      <c r="EM20" s="132">
        <v>266219</v>
      </c>
      <c r="EN20" s="132">
        <v>1452447</v>
      </c>
      <c r="EO20" s="132">
        <v>290507</v>
      </c>
      <c r="EP20" s="132">
        <v>1080254</v>
      </c>
      <c r="EQ20" s="132">
        <v>1931256</v>
      </c>
      <c r="ER20" s="132">
        <v>251191</v>
      </c>
      <c r="ET20" s="132">
        <v>152135</v>
      </c>
      <c r="EU20" s="132">
        <v>450407</v>
      </c>
      <c r="EV20" s="132">
        <v>784851</v>
      </c>
      <c r="EW20" s="132">
        <v>2285802</v>
      </c>
      <c r="EX20" s="132">
        <v>633298</v>
      </c>
      <c r="IO20" s="132">
        <v>2501</v>
      </c>
      <c r="IP20" s="132">
        <v>104228</v>
      </c>
      <c r="IQ20" s="132">
        <v>255804</v>
      </c>
      <c r="IR20" s="132">
        <v>284226</v>
      </c>
      <c r="IT20" s="132">
        <v>54010</v>
      </c>
      <c r="IU20" s="132">
        <v>347847</v>
      </c>
      <c r="IW20" s="132">
        <v>18421</v>
      </c>
      <c r="IX20" s="132">
        <v>3542</v>
      </c>
      <c r="IY20" s="132">
        <v>28328</v>
      </c>
      <c r="IZ20" s="132">
        <v>864461</v>
      </c>
      <c r="JA20" s="132">
        <v>22868</v>
      </c>
      <c r="JB20" s="132">
        <v>60936</v>
      </c>
      <c r="JC20" s="132">
        <v>22191</v>
      </c>
      <c r="JD20" s="132">
        <v>165272</v>
      </c>
      <c r="JE20" s="132">
        <v>5397</v>
      </c>
      <c r="JF20" s="132">
        <v>121266</v>
      </c>
      <c r="JG20" s="132">
        <v>303641</v>
      </c>
      <c r="JH20" s="132">
        <v>69096</v>
      </c>
      <c r="JJ20" s="132">
        <v>33503</v>
      </c>
      <c r="JK20" s="132">
        <v>166274</v>
      </c>
      <c r="JL20" s="132">
        <v>50044</v>
      </c>
      <c r="JM20" s="132">
        <v>122578</v>
      </c>
      <c r="JN20" s="132">
        <v>72832</v>
      </c>
    </row>
    <row r="21" spans="1:274" s="132" customFormat="1" x14ac:dyDescent="0.25">
      <c r="A21" s="134" t="s">
        <v>366</v>
      </c>
      <c r="B21" s="134"/>
      <c r="C21" s="134" t="s">
        <v>1069</v>
      </c>
      <c r="D21" s="134"/>
      <c r="E21" s="135"/>
      <c r="F21" s="134"/>
      <c r="G21" s="134" t="s">
        <v>367</v>
      </c>
      <c r="Q21" s="132">
        <v>200990</v>
      </c>
      <c r="AH21" s="132">
        <v>733958</v>
      </c>
      <c r="AI21" s="132">
        <v>325687</v>
      </c>
      <c r="AJ21" s="132">
        <v>123851</v>
      </c>
      <c r="AK21" s="132">
        <v>508912</v>
      </c>
      <c r="AL21" s="132">
        <v>41002</v>
      </c>
      <c r="CU21" s="132">
        <v>24112</v>
      </c>
      <c r="CV21" s="132">
        <v>7559</v>
      </c>
      <c r="CW21" s="132">
        <v>63680</v>
      </c>
      <c r="CX21" s="132">
        <v>36998</v>
      </c>
      <c r="CZ21" s="132">
        <v>48</v>
      </c>
      <c r="DA21" s="132">
        <v>51905</v>
      </c>
      <c r="DB21" s="132">
        <v>768</v>
      </c>
      <c r="DC21" s="132">
        <v>49756</v>
      </c>
      <c r="DE21" s="132">
        <v>45977</v>
      </c>
      <c r="DF21" s="132">
        <v>74342</v>
      </c>
      <c r="DG21" s="132">
        <v>4110</v>
      </c>
      <c r="DH21" s="132">
        <v>18384</v>
      </c>
      <c r="DJ21" s="132">
        <v>40757</v>
      </c>
      <c r="DL21" s="132">
        <v>7448</v>
      </c>
      <c r="DM21" s="132">
        <v>51984</v>
      </c>
      <c r="DP21" s="132">
        <v>9600</v>
      </c>
      <c r="DQ21" s="132">
        <v>29923</v>
      </c>
      <c r="DR21" s="132">
        <v>4672</v>
      </c>
      <c r="DS21" s="132">
        <v>80832</v>
      </c>
      <c r="DT21" s="132">
        <v>18240</v>
      </c>
      <c r="DY21" s="132">
        <v>110192</v>
      </c>
      <c r="DZ21" s="132">
        <v>3107</v>
      </c>
      <c r="EA21" s="132">
        <v>170798</v>
      </c>
      <c r="EB21" s="132">
        <v>98787</v>
      </c>
      <c r="ED21" s="132">
        <v>0</v>
      </c>
      <c r="EE21" s="132">
        <v>22832</v>
      </c>
      <c r="EF21" s="132">
        <v>0</v>
      </c>
      <c r="EG21" s="132">
        <v>39787</v>
      </c>
      <c r="EI21" s="132">
        <v>32760</v>
      </c>
      <c r="EJ21" s="132">
        <v>132126</v>
      </c>
      <c r="EK21" s="132">
        <v>0</v>
      </c>
      <c r="EL21" s="132">
        <v>97849</v>
      </c>
      <c r="EN21" s="132">
        <v>27748</v>
      </c>
      <c r="EP21" s="132">
        <v>20446</v>
      </c>
      <c r="EQ21" s="132">
        <v>60975</v>
      </c>
      <c r="ET21" s="132">
        <v>0</v>
      </c>
      <c r="EU21" s="132">
        <v>125380</v>
      </c>
      <c r="EV21" s="132">
        <v>0</v>
      </c>
      <c r="EW21" s="132">
        <v>146403</v>
      </c>
      <c r="EX21" s="132">
        <v>45472</v>
      </c>
      <c r="IO21" s="132">
        <v>17811</v>
      </c>
      <c r="IP21" s="132">
        <v>19911</v>
      </c>
      <c r="IQ21" s="132">
        <v>51776</v>
      </c>
      <c r="IR21" s="132">
        <v>34302</v>
      </c>
      <c r="IT21" s="132">
        <v>337</v>
      </c>
      <c r="IU21" s="132">
        <v>71949</v>
      </c>
      <c r="IV21" s="132">
        <v>3256</v>
      </c>
      <c r="IW21" s="132">
        <v>26043</v>
      </c>
      <c r="IY21" s="132">
        <v>60006</v>
      </c>
      <c r="IZ21" s="132">
        <v>50058</v>
      </c>
      <c r="JA21" s="132">
        <v>5959</v>
      </c>
      <c r="JB21" s="132">
        <v>49537</v>
      </c>
      <c r="JD21" s="132">
        <v>64516</v>
      </c>
      <c r="JF21" s="132">
        <v>189</v>
      </c>
      <c r="JG21" s="132">
        <v>43840</v>
      </c>
      <c r="JJ21" s="132">
        <v>3256</v>
      </c>
      <c r="JK21" s="132">
        <v>19877</v>
      </c>
      <c r="JL21" s="132">
        <v>11835</v>
      </c>
      <c r="JM21" s="132">
        <v>53572</v>
      </c>
      <c r="JN21" s="132">
        <v>35084</v>
      </c>
    </row>
    <row r="22" spans="1:274" s="132" customFormat="1" x14ac:dyDescent="0.25">
      <c r="A22" s="134" t="s">
        <v>423</v>
      </c>
      <c r="B22" s="134"/>
      <c r="C22" s="134" t="s">
        <v>1069</v>
      </c>
      <c r="D22" s="134"/>
      <c r="E22" s="135"/>
      <c r="F22" s="134"/>
      <c r="G22" s="134" t="s">
        <v>424</v>
      </c>
      <c r="Q22" s="132">
        <v>817181</v>
      </c>
      <c r="AH22" s="132">
        <v>1928325</v>
      </c>
      <c r="AI22" s="132">
        <v>454568</v>
      </c>
      <c r="AJ22" s="132">
        <v>293020</v>
      </c>
      <c r="AK22" s="132">
        <v>2005004</v>
      </c>
      <c r="AL22" s="132">
        <v>0</v>
      </c>
      <c r="CV22" s="132">
        <v>16836</v>
      </c>
      <c r="CW22" s="132">
        <v>95712</v>
      </c>
      <c r="CX22" s="132">
        <v>87574</v>
      </c>
      <c r="DA22" s="132">
        <v>64749</v>
      </c>
      <c r="DB22" s="132">
        <v>10368</v>
      </c>
      <c r="DC22" s="132">
        <v>74118</v>
      </c>
      <c r="DE22" s="132">
        <v>11675</v>
      </c>
      <c r="DF22" s="132">
        <v>179130</v>
      </c>
      <c r="DG22" s="132">
        <v>11968</v>
      </c>
      <c r="DH22" s="132">
        <v>83192</v>
      </c>
      <c r="DJ22" s="132">
        <v>129519</v>
      </c>
      <c r="DL22" s="132">
        <v>23760</v>
      </c>
      <c r="DM22" s="132">
        <v>134064</v>
      </c>
      <c r="DO22" s="132">
        <v>6480</v>
      </c>
      <c r="DQ22" s="132">
        <v>48912</v>
      </c>
      <c r="DR22" s="132">
        <v>35912</v>
      </c>
      <c r="DS22" s="132">
        <v>148884</v>
      </c>
      <c r="DT22" s="132">
        <v>56974</v>
      </c>
      <c r="DZ22" s="132">
        <v>17014</v>
      </c>
      <c r="EA22" s="132">
        <v>285926</v>
      </c>
      <c r="EB22" s="132">
        <v>246693</v>
      </c>
      <c r="EE22" s="132">
        <v>183076</v>
      </c>
      <c r="EF22" s="132">
        <v>30273</v>
      </c>
      <c r="EG22" s="132">
        <v>113878</v>
      </c>
      <c r="EI22" s="132">
        <v>8473</v>
      </c>
      <c r="EJ22" s="132">
        <v>471270</v>
      </c>
      <c r="EK22" s="132">
        <v>16990</v>
      </c>
      <c r="EL22" s="132">
        <v>431909</v>
      </c>
      <c r="EN22" s="132">
        <v>203165</v>
      </c>
      <c r="EP22" s="132">
        <v>89740</v>
      </c>
      <c r="EQ22" s="132">
        <v>227472</v>
      </c>
      <c r="ES22" s="132">
        <v>0</v>
      </c>
      <c r="EU22" s="132">
        <v>209454</v>
      </c>
      <c r="EV22" s="132">
        <v>83614</v>
      </c>
      <c r="EW22" s="132">
        <v>459535</v>
      </c>
      <c r="EX22" s="132">
        <v>108450</v>
      </c>
      <c r="IP22" s="132">
        <v>7971</v>
      </c>
      <c r="IQ22" s="132">
        <v>34572</v>
      </c>
      <c r="IR22" s="132">
        <v>196123</v>
      </c>
      <c r="IU22" s="132">
        <v>199433</v>
      </c>
      <c r="IV22" s="132">
        <v>56687</v>
      </c>
      <c r="IW22" s="132">
        <v>214077</v>
      </c>
      <c r="IY22" s="132">
        <v>453</v>
      </c>
      <c r="IZ22" s="132">
        <v>32898</v>
      </c>
      <c r="JA22" s="132">
        <v>481</v>
      </c>
      <c r="JB22" s="132">
        <v>24985</v>
      </c>
      <c r="JD22" s="132">
        <v>326087</v>
      </c>
      <c r="JF22" s="132">
        <v>10643</v>
      </c>
      <c r="JG22" s="132">
        <v>20449</v>
      </c>
      <c r="JI22" s="132">
        <v>65695</v>
      </c>
      <c r="JK22" s="132">
        <v>329817</v>
      </c>
      <c r="JL22" s="132">
        <v>14699</v>
      </c>
      <c r="JM22" s="132">
        <v>30713</v>
      </c>
      <c r="JN22" s="132">
        <v>7965</v>
      </c>
    </row>
    <row r="23" spans="1:274" s="132" customFormat="1" x14ac:dyDescent="0.25">
      <c r="A23" s="134" t="s">
        <v>368</v>
      </c>
      <c r="B23" s="134"/>
      <c r="C23" s="134" t="s">
        <v>1069</v>
      </c>
      <c r="D23" s="134"/>
      <c r="E23" s="135"/>
      <c r="F23" s="134"/>
      <c r="G23" s="134" t="s">
        <v>369</v>
      </c>
      <c r="Q23" s="132">
        <v>784133</v>
      </c>
      <c r="AH23" s="132">
        <v>1607120</v>
      </c>
      <c r="AI23" s="132">
        <v>859556</v>
      </c>
      <c r="AJ23" s="132">
        <v>280328</v>
      </c>
      <c r="AK23" s="132">
        <v>357174</v>
      </c>
      <c r="AL23" s="132">
        <v>42319</v>
      </c>
      <c r="CU23" s="132">
        <v>13416</v>
      </c>
      <c r="CV23" s="132">
        <v>47351</v>
      </c>
      <c r="CW23" s="132">
        <v>173088</v>
      </c>
      <c r="CX23" s="132">
        <v>86420</v>
      </c>
      <c r="CZ23" s="132">
        <v>1536</v>
      </c>
      <c r="DA23" s="132">
        <v>82849</v>
      </c>
      <c r="DB23" s="132">
        <v>2244</v>
      </c>
      <c r="DC23" s="132">
        <v>53683</v>
      </c>
      <c r="DE23" s="132">
        <v>61508</v>
      </c>
      <c r="DF23" s="132">
        <v>229051</v>
      </c>
      <c r="DG23" s="132">
        <v>13760</v>
      </c>
      <c r="DH23" s="132">
        <v>134148</v>
      </c>
      <c r="DJ23" s="132">
        <v>69497</v>
      </c>
      <c r="DL23" s="132">
        <v>56848</v>
      </c>
      <c r="DM23" s="132">
        <v>151264</v>
      </c>
      <c r="DN23" s="132">
        <v>21432</v>
      </c>
      <c r="DO23" s="132">
        <v>11648</v>
      </c>
      <c r="DP23" s="132">
        <v>2368</v>
      </c>
      <c r="DQ23" s="132">
        <v>36528</v>
      </c>
      <c r="DR23" s="132">
        <v>60607</v>
      </c>
      <c r="DS23" s="132">
        <v>233248</v>
      </c>
      <c r="DT23" s="132">
        <v>65584</v>
      </c>
      <c r="DY23" s="132">
        <v>53477</v>
      </c>
      <c r="DZ23" s="132">
        <v>145651</v>
      </c>
      <c r="EA23" s="132">
        <v>402957</v>
      </c>
      <c r="EB23" s="132">
        <v>261735</v>
      </c>
      <c r="ED23" s="132">
        <v>2520</v>
      </c>
      <c r="EE23" s="132">
        <v>303343</v>
      </c>
      <c r="EF23" s="132">
        <v>0</v>
      </c>
      <c r="EG23" s="132">
        <v>126424</v>
      </c>
      <c r="EI23" s="132">
        <v>239907</v>
      </c>
      <c r="EJ23" s="132">
        <v>513563</v>
      </c>
      <c r="EK23" s="132">
        <v>40801</v>
      </c>
      <c r="EL23" s="132">
        <v>788074</v>
      </c>
      <c r="EN23" s="132">
        <v>240122</v>
      </c>
      <c r="EP23" s="132">
        <v>139679</v>
      </c>
      <c r="EQ23" s="132">
        <v>299948</v>
      </c>
      <c r="ER23" s="132">
        <v>60778</v>
      </c>
      <c r="ES23" s="132">
        <v>0</v>
      </c>
      <c r="ET23" s="132">
        <v>1600</v>
      </c>
      <c r="EU23" s="132">
        <v>164477</v>
      </c>
      <c r="EV23" s="132">
        <v>190259</v>
      </c>
      <c r="EW23" s="132">
        <v>545156</v>
      </c>
      <c r="EX23" s="132">
        <v>216260</v>
      </c>
      <c r="IO23" s="132">
        <v>18748</v>
      </c>
      <c r="IP23" s="132">
        <v>42726</v>
      </c>
      <c r="IQ23" s="132">
        <v>81997</v>
      </c>
      <c r="IR23" s="132">
        <v>11820</v>
      </c>
      <c r="IT23" s="132">
        <v>0</v>
      </c>
      <c r="IU23" s="132">
        <v>47501</v>
      </c>
      <c r="IV23" s="132">
        <v>1210</v>
      </c>
      <c r="IW23" s="132">
        <v>30093</v>
      </c>
      <c r="IY23" s="132">
        <v>54877</v>
      </c>
      <c r="IZ23" s="132">
        <v>53964</v>
      </c>
      <c r="JA23" s="132">
        <v>2893</v>
      </c>
      <c r="JB23" s="132">
        <v>50616</v>
      </c>
      <c r="JD23" s="132">
        <v>28705</v>
      </c>
      <c r="JF23" s="132">
        <v>11268</v>
      </c>
      <c r="JG23" s="132">
        <v>3118</v>
      </c>
      <c r="JH23" s="132">
        <v>21563</v>
      </c>
      <c r="JI23" s="132">
        <v>4053</v>
      </c>
      <c r="JJ23" s="132">
        <v>563</v>
      </c>
      <c r="JK23" s="132">
        <v>3186</v>
      </c>
      <c r="JL23" s="132">
        <v>22020</v>
      </c>
      <c r="JM23" s="132">
        <v>15097</v>
      </c>
      <c r="JN23" s="132">
        <v>21441</v>
      </c>
    </row>
    <row r="24" spans="1:274" s="132" customFormat="1" x14ac:dyDescent="0.25">
      <c r="A24" s="134" t="s">
        <v>372</v>
      </c>
      <c r="B24" s="134"/>
      <c r="C24" s="134" t="s">
        <v>1069</v>
      </c>
      <c r="D24" s="134"/>
      <c r="E24" s="135"/>
      <c r="F24" s="134"/>
      <c r="G24" s="134" t="s">
        <v>373</v>
      </c>
      <c r="Q24" s="132">
        <v>128876</v>
      </c>
      <c r="AH24" s="132">
        <v>1269296</v>
      </c>
      <c r="AI24" s="132">
        <v>672392</v>
      </c>
      <c r="AJ24" s="132">
        <v>661387</v>
      </c>
      <c r="AK24" s="132">
        <v>376329</v>
      </c>
      <c r="AL24" s="132">
        <v>0</v>
      </c>
      <c r="CU24" s="132">
        <v>9551</v>
      </c>
      <c r="CV24" s="132">
        <v>41612</v>
      </c>
      <c r="CW24" s="132">
        <v>78864</v>
      </c>
      <c r="CX24" s="132">
        <v>107458</v>
      </c>
      <c r="DA24" s="132">
        <v>102472</v>
      </c>
      <c r="DB24" s="132">
        <v>192</v>
      </c>
      <c r="DC24" s="132">
        <v>102008</v>
      </c>
      <c r="DD24" s="132">
        <v>192</v>
      </c>
      <c r="DE24" s="132">
        <v>28746</v>
      </c>
      <c r="DF24" s="132">
        <v>172032</v>
      </c>
      <c r="DG24" s="132">
        <v>24528</v>
      </c>
      <c r="DJ24" s="132">
        <v>33080</v>
      </c>
      <c r="DL24" s="132">
        <v>81592</v>
      </c>
      <c r="DM24" s="132">
        <v>119024</v>
      </c>
      <c r="DN24" s="132">
        <v>53844</v>
      </c>
      <c r="DP24" s="132">
        <v>656</v>
      </c>
      <c r="DQ24" s="132">
        <v>43296</v>
      </c>
      <c r="DR24" s="132">
        <v>53568</v>
      </c>
      <c r="DS24" s="132">
        <v>120336</v>
      </c>
      <c r="DT24" s="132">
        <v>71216</v>
      </c>
      <c r="DY24" s="132">
        <v>34712</v>
      </c>
      <c r="DZ24" s="132">
        <v>153527</v>
      </c>
      <c r="EA24" s="132">
        <v>175477</v>
      </c>
      <c r="EB24" s="132">
        <v>48475</v>
      </c>
      <c r="EE24" s="132">
        <v>310674</v>
      </c>
      <c r="EF24" s="132">
        <v>600</v>
      </c>
      <c r="EG24" s="132">
        <v>172153</v>
      </c>
      <c r="EH24" s="132">
        <v>600</v>
      </c>
      <c r="EI24" s="132">
        <v>77870</v>
      </c>
      <c r="EJ24" s="132">
        <v>338617</v>
      </c>
      <c r="EK24" s="132">
        <v>48899</v>
      </c>
      <c r="EN24" s="132">
        <v>29306</v>
      </c>
      <c r="EP24" s="132">
        <v>359231</v>
      </c>
      <c r="EQ24" s="132">
        <v>211525</v>
      </c>
      <c r="ER24" s="132">
        <v>183651</v>
      </c>
      <c r="ET24" s="132">
        <v>28054</v>
      </c>
      <c r="EU24" s="132">
        <v>219414</v>
      </c>
      <c r="EV24" s="132">
        <v>108372</v>
      </c>
      <c r="EW24" s="132">
        <v>313844</v>
      </c>
      <c r="EX24" s="132">
        <v>179229</v>
      </c>
      <c r="IO24" s="132">
        <v>8288</v>
      </c>
      <c r="IP24" s="132">
        <v>38045</v>
      </c>
      <c r="IQ24" s="132">
        <v>20981</v>
      </c>
      <c r="IR24" s="132">
        <v>5399</v>
      </c>
      <c r="IU24" s="132">
        <v>53029</v>
      </c>
      <c r="IV24" s="132">
        <v>39</v>
      </c>
      <c r="IW24" s="132">
        <v>15934</v>
      </c>
      <c r="IX24" s="132">
        <v>21</v>
      </c>
      <c r="IY24" s="132">
        <v>5922</v>
      </c>
      <c r="IZ24" s="132">
        <v>26409</v>
      </c>
      <c r="JA24" s="132">
        <v>2033</v>
      </c>
      <c r="JD24" s="132">
        <v>9830</v>
      </c>
      <c r="JF24" s="132">
        <v>34009</v>
      </c>
      <c r="JG24" s="132">
        <v>9161</v>
      </c>
      <c r="JH24" s="132">
        <v>34071</v>
      </c>
      <c r="JJ24" s="132">
        <v>2554</v>
      </c>
      <c r="JK24" s="132">
        <v>6807</v>
      </c>
      <c r="JL24" s="132">
        <v>39384</v>
      </c>
      <c r="JM24" s="132">
        <v>25133</v>
      </c>
      <c r="JN24" s="132">
        <v>41828</v>
      </c>
    </row>
    <row r="25" spans="1:274" s="132" customFormat="1" x14ac:dyDescent="0.25">
      <c r="A25" s="134" t="s">
        <v>441</v>
      </c>
      <c r="B25" s="134"/>
      <c r="C25" s="134" t="s">
        <v>1069</v>
      </c>
      <c r="D25" s="134"/>
      <c r="E25" s="135"/>
      <c r="F25" s="134"/>
      <c r="G25" s="134" t="s">
        <v>442</v>
      </c>
      <c r="Q25" s="132">
        <v>1614250</v>
      </c>
      <c r="AH25" s="132">
        <v>30210364</v>
      </c>
      <c r="AI25" s="132">
        <v>17116180</v>
      </c>
      <c r="AJ25" s="132">
        <v>3458865</v>
      </c>
      <c r="AK25" s="132">
        <v>1686574</v>
      </c>
      <c r="AL25" s="132">
        <v>0</v>
      </c>
      <c r="CU25" s="132">
        <v>93478</v>
      </c>
      <c r="CV25" s="132">
        <v>628156</v>
      </c>
      <c r="CW25" s="132">
        <v>1477760</v>
      </c>
      <c r="CX25" s="132">
        <v>1637439</v>
      </c>
      <c r="CZ25" s="132">
        <v>96923</v>
      </c>
      <c r="DA25" s="132">
        <v>556072</v>
      </c>
      <c r="DB25" s="132">
        <v>472967</v>
      </c>
      <c r="DC25" s="132">
        <v>428669</v>
      </c>
      <c r="DE25" s="132">
        <v>336924</v>
      </c>
      <c r="DF25" s="132">
        <v>2938584</v>
      </c>
      <c r="DG25" s="132">
        <v>235047</v>
      </c>
      <c r="DH25" s="132">
        <v>199376</v>
      </c>
      <c r="DI25" s="132">
        <v>352</v>
      </c>
      <c r="DJ25" s="132">
        <v>543681</v>
      </c>
      <c r="DK25" s="132">
        <v>77408</v>
      </c>
      <c r="DL25" s="132">
        <v>98896</v>
      </c>
      <c r="DM25" s="132">
        <v>1757256</v>
      </c>
      <c r="DN25" s="132">
        <v>224967</v>
      </c>
      <c r="DO25" s="132">
        <v>748496</v>
      </c>
      <c r="DP25" s="132">
        <v>65396</v>
      </c>
      <c r="DQ25" s="132">
        <v>57072</v>
      </c>
      <c r="DR25" s="132">
        <v>279084</v>
      </c>
      <c r="DS25" s="132">
        <v>2469558</v>
      </c>
      <c r="DT25" s="132">
        <v>624272</v>
      </c>
      <c r="DY25" s="132">
        <v>287799</v>
      </c>
      <c r="DZ25" s="132">
        <v>1367618</v>
      </c>
      <c r="EA25" s="132">
        <v>3802267</v>
      </c>
      <c r="EB25" s="132">
        <v>4446658</v>
      </c>
      <c r="ED25" s="132">
        <v>442661</v>
      </c>
      <c r="EE25" s="132">
        <v>2267504</v>
      </c>
      <c r="EF25" s="132">
        <v>883360</v>
      </c>
      <c r="EG25" s="132">
        <v>1285926</v>
      </c>
      <c r="EI25" s="132">
        <v>1289181</v>
      </c>
      <c r="EJ25" s="132">
        <v>8230702</v>
      </c>
      <c r="EK25" s="132">
        <v>836541</v>
      </c>
      <c r="EL25" s="132">
        <v>1797541</v>
      </c>
      <c r="EM25" s="132">
        <v>1636</v>
      </c>
      <c r="EN25" s="132">
        <v>2527527</v>
      </c>
      <c r="EO25" s="132">
        <v>525547</v>
      </c>
      <c r="EP25" s="132">
        <v>518074</v>
      </c>
      <c r="EQ25" s="132">
        <v>4344728</v>
      </c>
      <c r="ER25" s="132">
        <v>1223360</v>
      </c>
      <c r="ES25" s="132">
        <v>64489</v>
      </c>
      <c r="ET25" s="132">
        <v>902344</v>
      </c>
      <c r="EU25" s="132">
        <v>194952</v>
      </c>
      <c r="EV25" s="132">
        <v>1107036</v>
      </c>
      <c r="EW25" s="132">
        <v>6304734</v>
      </c>
      <c r="EX25" s="132">
        <v>2837026</v>
      </c>
      <c r="IO25" s="132">
        <v>206191</v>
      </c>
      <c r="IP25" s="132">
        <v>711627</v>
      </c>
      <c r="IQ25" s="132">
        <v>1069027</v>
      </c>
      <c r="IR25" s="132">
        <v>802661</v>
      </c>
      <c r="IT25" s="132">
        <v>1053383</v>
      </c>
      <c r="IU25" s="132">
        <v>3263164</v>
      </c>
      <c r="IV25" s="132">
        <v>390656</v>
      </c>
      <c r="IW25" s="132">
        <v>432416</v>
      </c>
      <c r="IY25" s="132">
        <v>376115</v>
      </c>
      <c r="IZ25" s="132">
        <v>1443916</v>
      </c>
      <c r="JA25" s="132">
        <v>183244</v>
      </c>
      <c r="JB25" s="132">
        <v>534266</v>
      </c>
      <c r="JC25" s="132">
        <v>309</v>
      </c>
      <c r="JD25" s="132">
        <v>475840</v>
      </c>
      <c r="JE25" s="132">
        <v>62783</v>
      </c>
      <c r="JF25" s="132">
        <v>77402</v>
      </c>
      <c r="JG25" s="132">
        <v>718064</v>
      </c>
      <c r="JH25" s="132">
        <v>552390</v>
      </c>
      <c r="JI25" s="132">
        <v>5289338</v>
      </c>
      <c r="JJ25" s="132">
        <v>122613</v>
      </c>
      <c r="JK25" s="132">
        <v>49997</v>
      </c>
      <c r="JL25" s="132">
        <v>415111</v>
      </c>
      <c r="JM25" s="132">
        <v>854119</v>
      </c>
      <c r="JN25" s="132">
        <v>957981</v>
      </c>
    </row>
    <row r="26" spans="1:274" s="132" customFormat="1" ht="15" customHeight="1" x14ac:dyDescent="0.25">
      <c r="A26" s="134" t="s">
        <v>374</v>
      </c>
      <c r="B26" s="134"/>
      <c r="C26" s="134" t="s">
        <v>1069</v>
      </c>
      <c r="D26" s="134"/>
      <c r="E26" s="135"/>
      <c r="F26" s="134"/>
      <c r="G26" s="134" t="s">
        <v>375</v>
      </c>
      <c r="Q26" s="132">
        <v>688391</v>
      </c>
      <c r="AH26" s="132">
        <v>1599307</v>
      </c>
      <c r="AI26" s="132">
        <v>728424</v>
      </c>
      <c r="AJ26" s="132">
        <v>175127</v>
      </c>
      <c r="AK26" s="132">
        <v>343048</v>
      </c>
      <c r="AL26" s="132">
        <v>0</v>
      </c>
      <c r="CU26" s="132">
        <v>64773</v>
      </c>
      <c r="CV26" s="132">
        <v>66601</v>
      </c>
      <c r="CW26" s="132">
        <v>94880</v>
      </c>
      <c r="CX26" s="132">
        <v>267356</v>
      </c>
      <c r="CZ26" s="132">
        <v>576</v>
      </c>
      <c r="DA26" s="132">
        <v>175965</v>
      </c>
      <c r="DB26" s="132">
        <v>121554</v>
      </c>
      <c r="DC26" s="132">
        <v>166975</v>
      </c>
      <c r="DE26" s="132">
        <v>105397</v>
      </c>
      <c r="DF26" s="132">
        <v>251797</v>
      </c>
      <c r="DG26" s="132">
        <v>15648</v>
      </c>
      <c r="DH26" s="132">
        <v>14970</v>
      </c>
      <c r="DI26" s="132">
        <v>17680</v>
      </c>
      <c r="DJ26" s="132">
        <v>117587</v>
      </c>
      <c r="DK26" s="132">
        <v>19200</v>
      </c>
      <c r="DL26" s="132">
        <v>7176</v>
      </c>
      <c r="DM26" s="132">
        <v>98636</v>
      </c>
      <c r="DO26" s="132">
        <v>7499</v>
      </c>
      <c r="DP26" s="132">
        <v>8978</v>
      </c>
      <c r="DQ26" s="132">
        <v>40240</v>
      </c>
      <c r="DR26" s="132">
        <v>70231</v>
      </c>
      <c r="DS26" s="132">
        <v>135744</v>
      </c>
      <c r="DT26" s="132">
        <v>22816</v>
      </c>
      <c r="DY26" s="132">
        <v>192037</v>
      </c>
      <c r="DZ26" s="132">
        <v>95230</v>
      </c>
      <c r="EA26" s="132">
        <v>290604</v>
      </c>
      <c r="EB26" s="132">
        <v>369544</v>
      </c>
      <c r="ED26" s="132">
        <v>1086</v>
      </c>
      <c r="EE26" s="132">
        <v>327930</v>
      </c>
      <c r="EF26" s="132">
        <v>255806</v>
      </c>
      <c r="EG26" s="132">
        <v>150761</v>
      </c>
      <c r="EI26" s="132">
        <v>225933</v>
      </c>
      <c r="EJ26" s="132">
        <v>592957</v>
      </c>
      <c r="EK26" s="132">
        <v>12103</v>
      </c>
      <c r="EL26" s="132">
        <v>43944</v>
      </c>
      <c r="EM26" s="132">
        <v>127886</v>
      </c>
      <c r="EN26" s="132">
        <v>526447</v>
      </c>
      <c r="EO26" s="132">
        <v>92367</v>
      </c>
      <c r="EP26" s="132">
        <v>40855</v>
      </c>
      <c r="EQ26" s="132">
        <v>228843</v>
      </c>
      <c r="ES26" s="132">
        <v>2579</v>
      </c>
      <c r="ET26" s="132">
        <v>2588</v>
      </c>
      <c r="EU26" s="132">
        <v>328921</v>
      </c>
      <c r="EV26" s="132">
        <v>93438</v>
      </c>
      <c r="EW26" s="132">
        <v>315780</v>
      </c>
      <c r="EX26" s="132">
        <v>112183</v>
      </c>
      <c r="IO26" s="132">
        <v>66696</v>
      </c>
      <c r="IP26" s="132">
        <v>27806</v>
      </c>
      <c r="IQ26" s="132">
        <v>42447</v>
      </c>
      <c r="IR26" s="132">
        <v>118079</v>
      </c>
      <c r="IT26" s="132">
        <v>0</v>
      </c>
      <c r="IU26" s="132">
        <v>129109</v>
      </c>
      <c r="IV26" s="132">
        <v>73523</v>
      </c>
      <c r="IW26" s="132">
        <v>62436</v>
      </c>
      <c r="IY26" s="132">
        <v>51240</v>
      </c>
      <c r="IZ26" s="132">
        <v>98574</v>
      </c>
      <c r="JA26" s="132">
        <v>1641</v>
      </c>
      <c r="JB26" s="132">
        <v>21753</v>
      </c>
      <c r="JC26" s="132">
        <v>44365</v>
      </c>
      <c r="JD26" s="132">
        <v>105151</v>
      </c>
      <c r="JE26" s="132">
        <v>828</v>
      </c>
      <c r="JF26" s="132">
        <v>24883</v>
      </c>
      <c r="JG26" s="132">
        <v>20535</v>
      </c>
      <c r="JI26" s="132">
        <v>1985</v>
      </c>
      <c r="JJ26" s="132">
        <v>1728</v>
      </c>
      <c r="JK26" s="132">
        <v>61851</v>
      </c>
      <c r="JL26" s="132">
        <v>25951</v>
      </c>
      <c r="JM26" s="132">
        <v>5900</v>
      </c>
      <c r="JN26" s="132">
        <v>38052</v>
      </c>
    </row>
    <row r="27" spans="1:274" s="132" customFormat="1" x14ac:dyDescent="0.25">
      <c r="A27" s="134" t="s">
        <v>376</v>
      </c>
      <c r="B27" s="134"/>
      <c r="C27" s="134" t="s">
        <v>1069</v>
      </c>
      <c r="D27" s="134"/>
      <c r="E27" s="135"/>
      <c r="F27" s="134"/>
      <c r="G27" s="134" t="s">
        <v>377</v>
      </c>
      <c r="Q27" s="132">
        <v>1101183</v>
      </c>
      <c r="AH27" s="132">
        <v>2508086</v>
      </c>
      <c r="AI27" s="132">
        <v>874010</v>
      </c>
      <c r="AJ27" s="132">
        <v>373968</v>
      </c>
      <c r="AK27" s="132">
        <v>1308991</v>
      </c>
      <c r="AL27" s="132">
        <v>0</v>
      </c>
      <c r="CU27" s="132">
        <v>25129</v>
      </c>
      <c r="CV27" s="132">
        <v>53297</v>
      </c>
      <c r="CW27" s="132">
        <v>181136</v>
      </c>
      <c r="CX27" s="132">
        <v>183583</v>
      </c>
      <c r="CZ27" s="132">
        <v>9360</v>
      </c>
      <c r="DA27" s="132">
        <v>138324</v>
      </c>
      <c r="DB27" s="132">
        <v>83199</v>
      </c>
      <c r="DC27" s="132">
        <v>250589</v>
      </c>
      <c r="DD27" s="132">
        <v>1200</v>
      </c>
      <c r="DE27" s="132">
        <v>112546</v>
      </c>
      <c r="DF27" s="132">
        <v>260764</v>
      </c>
      <c r="DG27" s="132">
        <v>13914</v>
      </c>
      <c r="DH27" s="132">
        <v>89776</v>
      </c>
      <c r="DJ27" s="132">
        <v>175049</v>
      </c>
      <c r="DL27" s="132">
        <v>74272</v>
      </c>
      <c r="DM27" s="132">
        <v>229766</v>
      </c>
      <c r="DN27" s="132">
        <v>9920</v>
      </c>
      <c r="DO27" s="132">
        <v>12964</v>
      </c>
      <c r="DP27" s="132">
        <v>6128</v>
      </c>
      <c r="DQ27" s="132">
        <v>101456</v>
      </c>
      <c r="DR27" s="132">
        <v>294863</v>
      </c>
      <c r="DS27" s="132">
        <v>294471</v>
      </c>
      <c r="DT27" s="132">
        <v>158614</v>
      </c>
      <c r="DY27" s="132">
        <v>42000</v>
      </c>
      <c r="DZ27" s="132">
        <v>89510</v>
      </c>
      <c r="EA27" s="132">
        <v>513501</v>
      </c>
      <c r="EB27" s="132">
        <v>520064</v>
      </c>
      <c r="ED27" s="132">
        <v>122101</v>
      </c>
      <c r="EE27" s="132">
        <v>269857</v>
      </c>
      <c r="EF27" s="132">
        <v>60892</v>
      </c>
      <c r="EG27" s="132">
        <v>304607</v>
      </c>
      <c r="EH27" s="132">
        <v>36766</v>
      </c>
      <c r="EI27" s="132">
        <v>249849</v>
      </c>
      <c r="EJ27" s="132">
        <v>667938</v>
      </c>
      <c r="EK27" s="132">
        <v>108914</v>
      </c>
      <c r="EL27" s="132">
        <v>404929</v>
      </c>
      <c r="EN27" s="132">
        <v>391715</v>
      </c>
      <c r="EP27" s="132">
        <v>183257</v>
      </c>
      <c r="EQ27" s="132">
        <v>449815</v>
      </c>
      <c r="ER27" s="132">
        <v>42308</v>
      </c>
      <c r="ES27" s="132">
        <v>120400</v>
      </c>
      <c r="ET27" s="132">
        <v>50662</v>
      </c>
      <c r="EU27" s="132">
        <v>381272</v>
      </c>
      <c r="EV27" s="132">
        <v>749146</v>
      </c>
      <c r="EW27" s="132">
        <v>539384</v>
      </c>
      <c r="EX27" s="132">
        <v>588166</v>
      </c>
      <c r="IO27" s="132">
        <v>1122</v>
      </c>
      <c r="IP27" s="132">
        <v>24907</v>
      </c>
      <c r="IQ27" s="132">
        <v>56897</v>
      </c>
      <c r="IR27" s="132">
        <v>53050</v>
      </c>
      <c r="IT27" s="132">
        <v>5024</v>
      </c>
      <c r="IU27" s="132">
        <v>44642</v>
      </c>
      <c r="IV27" s="132">
        <v>29439</v>
      </c>
      <c r="IW27" s="132">
        <v>43312</v>
      </c>
      <c r="IX27" s="132">
        <v>3288</v>
      </c>
      <c r="IY27" s="132">
        <v>56528</v>
      </c>
      <c r="IZ27" s="132">
        <v>93717</v>
      </c>
      <c r="JA27" s="132">
        <v>6606</v>
      </c>
      <c r="JB27" s="132">
        <v>60300</v>
      </c>
      <c r="JD27" s="132">
        <v>45115</v>
      </c>
      <c r="JF27" s="132">
        <v>8095</v>
      </c>
      <c r="JG27" s="132">
        <v>33045</v>
      </c>
      <c r="JH27" s="132">
        <v>14457</v>
      </c>
      <c r="JI27" s="132">
        <v>33411</v>
      </c>
      <c r="JJ27" s="132">
        <v>5122</v>
      </c>
      <c r="JK27" s="132">
        <v>13178</v>
      </c>
      <c r="JL27" s="132">
        <v>278905</v>
      </c>
      <c r="JM27" s="132">
        <v>23517</v>
      </c>
      <c r="JN27" s="132">
        <v>144249</v>
      </c>
    </row>
    <row r="28" spans="1:274" s="132" customFormat="1" x14ac:dyDescent="0.25">
      <c r="A28" s="134" t="s">
        <v>1073</v>
      </c>
      <c r="B28" s="134"/>
      <c r="C28" s="134" t="s">
        <v>1069</v>
      </c>
      <c r="D28" s="134"/>
      <c r="E28" s="135"/>
      <c r="F28" s="134"/>
      <c r="G28" s="134" t="s">
        <v>458</v>
      </c>
      <c r="Q28" s="132">
        <v>1054660</v>
      </c>
      <c r="AH28" s="132">
        <v>1238427</v>
      </c>
      <c r="AI28" s="132">
        <v>515676</v>
      </c>
      <c r="AJ28" s="132">
        <v>240000</v>
      </c>
      <c r="AK28" s="132">
        <v>217114</v>
      </c>
      <c r="AL28" s="132">
        <v>0</v>
      </c>
      <c r="CV28" s="132">
        <v>151840</v>
      </c>
      <c r="CW28" s="132">
        <v>197696</v>
      </c>
      <c r="CX28" s="132">
        <v>109952</v>
      </c>
      <c r="DA28" s="132">
        <v>45200</v>
      </c>
      <c r="DC28" s="132">
        <v>23120</v>
      </c>
      <c r="DE28" s="132">
        <v>190784</v>
      </c>
      <c r="DF28" s="132">
        <v>41616</v>
      </c>
      <c r="DH28" s="132">
        <v>1760</v>
      </c>
      <c r="DI28" s="132">
        <v>23600</v>
      </c>
      <c r="DJ28" s="132">
        <v>82928</v>
      </c>
      <c r="DK28" s="132">
        <v>47424</v>
      </c>
      <c r="DM28" s="132">
        <v>68976</v>
      </c>
      <c r="DN28" s="132">
        <v>6864</v>
      </c>
      <c r="DO28" s="132">
        <v>21424</v>
      </c>
      <c r="DP28" s="132">
        <v>1360</v>
      </c>
      <c r="DR28" s="132">
        <v>74400</v>
      </c>
      <c r="DS28" s="132">
        <v>30000</v>
      </c>
      <c r="DT28" s="132">
        <v>39216</v>
      </c>
      <c r="DZ28" s="132">
        <v>427651</v>
      </c>
      <c r="EA28" s="132">
        <v>556803</v>
      </c>
      <c r="EB28" s="132">
        <v>309675</v>
      </c>
      <c r="EE28" s="132">
        <v>127304</v>
      </c>
      <c r="EG28" s="132">
        <v>65117</v>
      </c>
      <c r="EI28" s="132">
        <v>537336</v>
      </c>
      <c r="EJ28" s="132">
        <v>117210</v>
      </c>
      <c r="EL28" s="132">
        <v>4957</v>
      </c>
      <c r="EM28" s="132">
        <v>66468</v>
      </c>
      <c r="EN28" s="132">
        <v>233563</v>
      </c>
      <c r="EO28" s="132">
        <v>133568</v>
      </c>
      <c r="EQ28" s="132">
        <v>194268</v>
      </c>
      <c r="ER28" s="132">
        <v>19332</v>
      </c>
      <c r="ES28" s="132">
        <v>60340</v>
      </c>
      <c r="ET28" s="132">
        <v>3830</v>
      </c>
      <c r="EV28" s="132">
        <v>209545</v>
      </c>
      <c r="EW28" s="132">
        <v>84494</v>
      </c>
      <c r="EX28" s="132">
        <v>110451</v>
      </c>
      <c r="IP28" s="132">
        <v>325897</v>
      </c>
      <c r="IQ28" s="132">
        <v>424318</v>
      </c>
      <c r="IR28" s="132">
        <v>235992</v>
      </c>
      <c r="IU28" s="132">
        <v>97013</v>
      </c>
      <c r="IW28" s="132">
        <v>49623</v>
      </c>
      <c r="IY28" s="132">
        <v>409484</v>
      </c>
      <c r="IZ28" s="132">
        <v>89322</v>
      </c>
      <c r="JB28" s="132">
        <v>3777</v>
      </c>
      <c r="JC28" s="132">
        <v>50653</v>
      </c>
      <c r="JD28" s="132">
        <v>177991</v>
      </c>
      <c r="JE28" s="132">
        <v>101787</v>
      </c>
      <c r="JG28" s="132">
        <v>148044</v>
      </c>
      <c r="JH28" s="132">
        <v>14732</v>
      </c>
      <c r="JI28" s="132">
        <v>45982</v>
      </c>
      <c r="JJ28" s="132">
        <v>2919</v>
      </c>
      <c r="JL28" s="132">
        <v>159686</v>
      </c>
      <c r="JM28" s="132">
        <v>64389</v>
      </c>
      <c r="JN28" s="132">
        <v>84169</v>
      </c>
    </row>
    <row r="29" spans="1:274" s="132" customFormat="1" x14ac:dyDescent="0.25">
      <c r="A29" s="134" t="s">
        <v>450</v>
      </c>
      <c r="B29" s="134"/>
      <c r="C29" s="134" t="s">
        <v>1069</v>
      </c>
      <c r="D29" s="134"/>
      <c r="E29" s="135"/>
      <c r="F29" s="134"/>
      <c r="G29" s="134" t="s">
        <v>451</v>
      </c>
      <c r="Q29" s="132">
        <v>379440</v>
      </c>
      <c r="AH29" s="132">
        <v>1824120</v>
      </c>
      <c r="AI29" s="132">
        <v>828748</v>
      </c>
      <c r="AJ29" s="132">
        <v>428268</v>
      </c>
      <c r="AK29" s="132">
        <v>161049</v>
      </c>
      <c r="AL29" s="132">
        <v>0</v>
      </c>
      <c r="CW29" s="132">
        <v>92544</v>
      </c>
      <c r="CX29" s="132">
        <v>76592</v>
      </c>
      <c r="DA29" s="132">
        <v>130560</v>
      </c>
      <c r="DB29" s="132">
        <v>10544</v>
      </c>
      <c r="DC29" s="132">
        <v>80080</v>
      </c>
      <c r="DE29" s="132">
        <v>27424</v>
      </c>
      <c r="DF29" s="132">
        <v>132912</v>
      </c>
      <c r="DG29" s="132">
        <v>2064</v>
      </c>
      <c r="DH29" s="132">
        <v>31232</v>
      </c>
      <c r="DJ29" s="132">
        <v>97344</v>
      </c>
      <c r="DL29" s="132">
        <v>48512</v>
      </c>
      <c r="DM29" s="132">
        <v>107824</v>
      </c>
      <c r="DN29" s="132">
        <v>34896</v>
      </c>
      <c r="DQ29" s="132">
        <v>9840</v>
      </c>
      <c r="DR29" s="132">
        <v>23840</v>
      </c>
      <c r="DS29" s="132">
        <v>121520</v>
      </c>
      <c r="DT29" s="132">
        <v>22128</v>
      </c>
      <c r="EA29" s="132">
        <v>218877</v>
      </c>
      <c r="EB29" s="132">
        <v>181149</v>
      </c>
      <c r="EE29" s="132">
        <v>308790</v>
      </c>
      <c r="EF29" s="132">
        <v>24938</v>
      </c>
      <c r="EG29" s="132">
        <v>189399</v>
      </c>
      <c r="EI29" s="132">
        <v>64861</v>
      </c>
      <c r="EJ29" s="132">
        <v>314353</v>
      </c>
      <c r="EK29" s="132">
        <v>4882</v>
      </c>
      <c r="EL29" s="132">
        <v>73867</v>
      </c>
      <c r="EN29" s="132">
        <v>230230</v>
      </c>
      <c r="EP29" s="132">
        <v>114737</v>
      </c>
      <c r="EQ29" s="132">
        <v>255016</v>
      </c>
      <c r="ER29" s="132">
        <v>82533</v>
      </c>
      <c r="EU29" s="132">
        <v>23273</v>
      </c>
      <c r="EV29" s="132">
        <v>56384</v>
      </c>
      <c r="EW29" s="132">
        <v>287409</v>
      </c>
      <c r="EX29" s="132">
        <v>52335</v>
      </c>
      <c r="IQ29" s="132">
        <v>221541</v>
      </c>
      <c r="IR29" s="132">
        <v>183354</v>
      </c>
      <c r="IU29" s="132">
        <v>312549</v>
      </c>
      <c r="IV29" s="132">
        <v>25242</v>
      </c>
      <c r="IW29" s="132">
        <v>191704</v>
      </c>
      <c r="IY29" s="132">
        <v>65650</v>
      </c>
      <c r="IZ29" s="132">
        <v>318179</v>
      </c>
      <c r="JA29" s="132">
        <v>4941</v>
      </c>
      <c r="JB29" s="132">
        <v>74767</v>
      </c>
      <c r="JD29" s="132">
        <v>233032</v>
      </c>
      <c r="JF29" s="132">
        <v>116133</v>
      </c>
      <c r="JG29" s="132">
        <v>258121</v>
      </c>
      <c r="JH29" s="132">
        <v>83537</v>
      </c>
      <c r="JK29" s="132">
        <v>23556</v>
      </c>
      <c r="JL29" s="132">
        <v>57071</v>
      </c>
      <c r="JM29" s="132">
        <v>290907</v>
      </c>
      <c r="JN29" s="132">
        <v>52972</v>
      </c>
    </row>
    <row r="30" spans="1:274" s="132" customFormat="1" x14ac:dyDescent="0.25">
      <c r="A30" s="134" t="s">
        <v>448</v>
      </c>
      <c r="B30" s="134"/>
      <c r="C30" s="134" t="s">
        <v>1069</v>
      </c>
      <c r="D30" s="134"/>
      <c r="E30" s="135"/>
      <c r="F30" s="134"/>
      <c r="G30" s="134" t="s">
        <v>449</v>
      </c>
      <c r="Q30" s="132">
        <v>133804</v>
      </c>
      <c r="AH30" s="132">
        <v>1082904</v>
      </c>
      <c r="AI30" s="132">
        <v>317834</v>
      </c>
      <c r="AJ30" s="132">
        <v>339420</v>
      </c>
      <c r="AK30" s="132">
        <v>227452</v>
      </c>
      <c r="AL30" s="132">
        <v>0</v>
      </c>
      <c r="CU30" s="132">
        <v>2032</v>
      </c>
      <c r="CV30" s="132">
        <v>1280</v>
      </c>
      <c r="CW30" s="132">
        <v>91408</v>
      </c>
      <c r="CX30" s="132">
        <v>54112</v>
      </c>
      <c r="CZ30" s="132">
        <v>992</v>
      </c>
      <c r="DA30" s="132">
        <v>48544</v>
      </c>
      <c r="DC30" s="132">
        <v>6576</v>
      </c>
      <c r="DE30" s="132">
        <v>7072</v>
      </c>
      <c r="DF30" s="132">
        <v>110496</v>
      </c>
      <c r="DG30" s="132">
        <v>1872</v>
      </c>
      <c r="DH30" s="132">
        <v>60304</v>
      </c>
      <c r="DJ30" s="132">
        <v>60640</v>
      </c>
      <c r="DL30" s="132">
        <v>74416</v>
      </c>
      <c r="DM30" s="132">
        <v>76352</v>
      </c>
      <c r="DQ30" s="132">
        <v>30608</v>
      </c>
      <c r="DR30" s="132">
        <v>10224</v>
      </c>
      <c r="DS30" s="132">
        <v>80064</v>
      </c>
      <c r="DT30" s="132">
        <v>18400</v>
      </c>
      <c r="DY30" s="132">
        <v>5984</v>
      </c>
      <c r="DZ30" s="132">
        <v>3769</v>
      </c>
      <c r="EA30" s="132">
        <v>269180</v>
      </c>
      <c r="EB30" s="132">
        <v>159350</v>
      </c>
      <c r="ED30" s="132">
        <v>2921</v>
      </c>
      <c r="EE30" s="132">
        <v>142953</v>
      </c>
      <c r="EG30" s="132">
        <v>19365</v>
      </c>
      <c r="EI30" s="132">
        <v>20826</v>
      </c>
      <c r="EJ30" s="132">
        <v>325391</v>
      </c>
      <c r="EK30" s="132">
        <v>5513</v>
      </c>
      <c r="EL30" s="132">
        <v>177584</v>
      </c>
      <c r="EN30" s="132">
        <v>178574</v>
      </c>
      <c r="EP30" s="132">
        <v>219142</v>
      </c>
      <c r="EQ30" s="132">
        <v>224843</v>
      </c>
      <c r="EU30" s="132">
        <v>90135</v>
      </c>
      <c r="EV30" s="132">
        <v>30108</v>
      </c>
      <c r="EW30" s="132">
        <v>235774</v>
      </c>
      <c r="EX30" s="132">
        <v>54184</v>
      </c>
      <c r="IO30" s="132">
        <v>867</v>
      </c>
      <c r="IP30" s="132">
        <v>547</v>
      </c>
      <c r="IQ30" s="132">
        <v>39035</v>
      </c>
      <c r="IR30" s="132">
        <v>23109</v>
      </c>
      <c r="IT30" s="132">
        <v>424</v>
      </c>
      <c r="IU30" s="132">
        <v>20731</v>
      </c>
      <c r="IW30" s="132">
        <v>2808</v>
      </c>
      <c r="IY30" s="132">
        <v>3020</v>
      </c>
      <c r="IZ30" s="132">
        <v>47187</v>
      </c>
      <c r="JA30" s="132">
        <v>799</v>
      </c>
      <c r="JB30" s="132">
        <v>25752</v>
      </c>
      <c r="JD30" s="132">
        <v>25897</v>
      </c>
      <c r="JF30" s="132">
        <v>31779</v>
      </c>
      <c r="JG30" s="132">
        <v>32606</v>
      </c>
      <c r="JK30" s="132">
        <v>13071</v>
      </c>
      <c r="JL30" s="132">
        <v>4365</v>
      </c>
      <c r="JM30" s="132">
        <v>34191</v>
      </c>
      <c r="JN30" s="132">
        <v>7857</v>
      </c>
    </row>
    <row r="31" spans="1:274" s="132" customFormat="1" x14ac:dyDescent="0.25">
      <c r="A31" s="134" t="s">
        <v>378</v>
      </c>
      <c r="B31" s="134"/>
      <c r="C31" s="134" t="s">
        <v>1069</v>
      </c>
      <c r="D31" s="134"/>
      <c r="E31" s="135"/>
      <c r="F31" s="134"/>
      <c r="G31" s="134" t="s">
        <v>379</v>
      </c>
      <c r="Q31" s="132">
        <v>2324485</v>
      </c>
      <c r="AH31" s="132">
        <v>4222420</v>
      </c>
      <c r="AI31" s="132">
        <v>2353130</v>
      </c>
      <c r="AJ31" s="132">
        <v>1093344</v>
      </c>
      <c r="AK31" s="132">
        <v>681136</v>
      </c>
      <c r="AL31" s="132">
        <v>0</v>
      </c>
      <c r="CV31" s="132">
        <v>33322</v>
      </c>
      <c r="CW31" s="132">
        <v>224608</v>
      </c>
      <c r="CX31" s="132">
        <v>389191</v>
      </c>
      <c r="DA31" s="132">
        <v>272787</v>
      </c>
      <c r="DB31" s="132">
        <v>5919</v>
      </c>
      <c r="DC31" s="132">
        <v>84729</v>
      </c>
      <c r="DE31" s="132">
        <v>40864</v>
      </c>
      <c r="DF31" s="132">
        <v>574340</v>
      </c>
      <c r="DG31" s="132">
        <v>17716</v>
      </c>
      <c r="DH31" s="132">
        <v>64466</v>
      </c>
      <c r="DJ31" s="132">
        <v>181824</v>
      </c>
      <c r="DK31" s="132">
        <v>3824</v>
      </c>
      <c r="DL31" s="132">
        <v>24944</v>
      </c>
      <c r="DM31" s="132">
        <v>356400</v>
      </c>
      <c r="DN31" s="132">
        <v>44560</v>
      </c>
      <c r="DO31" s="132">
        <v>7408</v>
      </c>
      <c r="DP31" s="132">
        <v>54660</v>
      </c>
      <c r="DQ31" s="132">
        <v>107248</v>
      </c>
      <c r="DR31" s="132">
        <v>149412</v>
      </c>
      <c r="DS31" s="132">
        <v>495408</v>
      </c>
      <c r="DT31" s="132">
        <v>194416</v>
      </c>
      <c r="DZ31" s="132">
        <v>95058</v>
      </c>
      <c r="EA31" s="132">
        <v>733381</v>
      </c>
      <c r="EB31" s="132">
        <v>1184140</v>
      </c>
      <c r="EE31" s="132">
        <v>727585</v>
      </c>
      <c r="EF31" s="132">
        <v>106182</v>
      </c>
      <c r="EG31" s="132">
        <v>236305</v>
      </c>
      <c r="EI31" s="132">
        <v>170811</v>
      </c>
      <c r="EJ31" s="132">
        <v>1871239</v>
      </c>
      <c r="EK31" s="132">
        <v>446403</v>
      </c>
      <c r="EL31" s="132">
        <v>652615</v>
      </c>
      <c r="EN31" s="132">
        <v>551259</v>
      </c>
      <c r="EO31" s="132">
        <v>11250</v>
      </c>
      <c r="EP31" s="132">
        <v>271317</v>
      </c>
      <c r="EQ31" s="132">
        <v>957604</v>
      </c>
      <c r="ER31" s="132">
        <v>102043</v>
      </c>
      <c r="ES31" s="132">
        <v>16600</v>
      </c>
      <c r="ET31" s="132">
        <v>274682</v>
      </c>
      <c r="EU31" s="132">
        <v>308543</v>
      </c>
      <c r="EV31" s="132">
        <v>414958</v>
      </c>
      <c r="EW31" s="132">
        <v>972149</v>
      </c>
      <c r="EX31" s="132">
        <v>723514</v>
      </c>
      <c r="IP31" s="132">
        <v>54693</v>
      </c>
      <c r="IQ31" s="132">
        <v>221765</v>
      </c>
      <c r="IR31" s="132">
        <v>84905</v>
      </c>
      <c r="IU31" s="132">
        <v>133408</v>
      </c>
      <c r="IV31" s="132">
        <v>17818</v>
      </c>
      <c r="IW31" s="132">
        <v>83124</v>
      </c>
      <c r="IY31" s="132">
        <v>114383</v>
      </c>
      <c r="IZ31" s="132">
        <v>126774</v>
      </c>
      <c r="JA31" s="132">
        <v>24168</v>
      </c>
      <c r="JB31" s="132">
        <v>48226</v>
      </c>
      <c r="JD31" s="132">
        <v>40254</v>
      </c>
      <c r="JE31" s="132">
        <v>0</v>
      </c>
      <c r="JF31" s="132">
        <v>36289</v>
      </c>
      <c r="JG31" s="132">
        <v>85039</v>
      </c>
      <c r="JH31" s="132">
        <v>16530</v>
      </c>
      <c r="JI31" s="132">
        <v>0</v>
      </c>
      <c r="JJ31" s="132">
        <v>63564</v>
      </c>
      <c r="JK31" s="132">
        <v>43456</v>
      </c>
      <c r="JL31" s="132">
        <v>57440</v>
      </c>
      <c r="JM31" s="132">
        <v>54106</v>
      </c>
      <c r="JN31" s="132">
        <v>192054</v>
      </c>
    </row>
    <row r="32" spans="1:274" s="132" customFormat="1" x14ac:dyDescent="0.25">
      <c r="A32" s="134" t="s">
        <v>380</v>
      </c>
      <c r="B32" s="134"/>
      <c r="C32" s="134" t="s">
        <v>1069</v>
      </c>
      <c r="D32" s="134"/>
      <c r="E32" s="135"/>
      <c r="F32" s="134"/>
      <c r="G32" s="134" t="s">
        <v>381</v>
      </c>
      <c r="Q32" s="132">
        <v>1658668</v>
      </c>
      <c r="AH32" s="132">
        <v>6499107</v>
      </c>
      <c r="AI32" s="132">
        <v>1305196</v>
      </c>
      <c r="AJ32" s="132">
        <v>688381</v>
      </c>
      <c r="AK32" s="132">
        <v>1932892</v>
      </c>
      <c r="AL32" s="132">
        <v>0</v>
      </c>
      <c r="CU32" s="132">
        <v>70496</v>
      </c>
      <c r="CV32" s="132">
        <v>201632</v>
      </c>
      <c r="CW32" s="132">
        <v>276048</v>
      </c>
      <c r="CX32" s="132">
        <v>216752</v>
      </c>
      <c r="CY32" s="132">
        <v>6192</v>
      </c>
      <c r="CZ32" s="132">
        <v>7248</v>
      </c>
      <c r="DA32" s="132">
        <v>170144</v>
      </c>
      <c r="DB32" s="132">
        <v>45280</v>
      </c>
      <c r="DC32" s="132">
        <v>72880</v>
      </c>
      <c r="DE32" s="132">
        <v>188800</v>
      </c>
      <c r="DF32" s="132">
        <v>293072</v>
      </c>
      <c r="DG32" s="132">
        <v>44944</v>
      </c>
      <c r="DH32" s="132">
        <v>56144</v>
      </c>
      <c r="DJ32" s="132">
        <v>117904</v>
      </c>
      <c r="DM32" s="132">
        <v>282288</v>
      </c>
      <c r="DN32" s="132">
        <v>74928</v>
      </c>
      <c r="DO32" s="132">
        <v>63536</v>
      </c>
      <c r="DQ32" s="132">
        <v>98496</v>
      </c>
      <c r="DR32" s="132">
        <v>28480</v>
      </c>
      <c r="DS32" s="132">
        <v>283776</v>
      </c>
      <c r="DT32" s="132">
        <v>76368</v>
      </c>
      <c r="DY32" s="132">
        <v>115838</v>
      </c>
      <c r="DZ32" s="132">
        <v>674383</v>
      </c>
      <c r="EA32" s="132">
        <v>846778</v>
      </c>
      <c r="EB32" s="132">
        <v>926012</v>
      </c>
      <c r="EC32" s="132">
        <v>65329</v>
      </c>
      <c r="ED32" s="132">
        <v>83875</v>
      </c>
      <c r="EE32" s="132">
        <v>571154</v>
      </c>
      <c r="EF32" s="132">
        <v>546589</v>
      </c>
      <c r="EG32" s="132">
        <v>169219</v>
      </c>
      <c r="EI32" s="132">
        <v>323036</v>
      </c>
      <c r="EJ32" s="132">
        <v>1241576</v>
      </c>
      <c r="EK32" s="132">
        <v>179253</v>
      </c>
      <c r="EL32" s="132">
        <v>451716</v>
      </c>
      <c r="EN32" s="132">
        <v>357028</v>
      </c>
      <c r="EQ32" s="132">
        <v>874304</v>
      </c>
      <c r="ER32" s="132">
        <v>160722</v>
      </c>
      <c r="ES32" s="132">
        <v>165199</v>
      </c>
      <c r="EU32" s="132">
        <v>342412</v>
      </c>
      <c r="EV32" s="132">
        <v>82142</v>
      </c>
      <c r="EW32" s="132">
        <v>1146754</v>
      </c>
      <c r="EX32" s="132">
        <v>438990</v>
      </c>
      <c r="IO32" s="132">
        <v>34672</v>
      </c>
      <c r="IP32" s="132">
        <v>178559</v>
      </c>
      <c r="IQ32" s="132">
        <v>379856</v>
      </c>
      <c r="IR32" s="132">
        <v>254536</v>
      </c>
      <c r="IS32" s="132">
        <v>0</v>
      </c>
      <c r="IT32" s="132">
        <v>29320</v>
      </c>
      <c r="IU32" s="132">
        <v>322581</v>
      </c>
      <c r="IV32" s="132">
        <v>161414</v>
      </c>
      <c r="IW32" s="132">
        <v>98971</v>
      </c>
      <c r="IY32" s="132">
        <v>107013</v>
      </c>
      <c r="IZ32" s="132">
        <v>200919</v>
      </c>
      <c r="JA32" s="132">
        <v>24536</v>
      </c>
      <c r="JB32" s="132">
        <v>109154</v>
      </c>
      <c r="JD32" s="132">
        <v>80114</v>
      </c>
      <c r="JG32" s="132">
        <v>273719</v>
      </c>
      <c r="JH32" s="132">
        <v>32673</v>
      </c>
      <c r="JI32" s="132">
        <v>26748</v>
      </c>
      <c r="JK32" s="132">
        <v>191587</v>
      </c>
      <c r="JL32" s="132">
        <v>8412</v>
      </c>
      <c r="JM32" s="132">
        <v>166110</v>
      </c>
      <c r="JN32" s="132">
        <v>160109</v>
      </c>
    </row>
    <row r="33" spans="1:274" s="132" customFormat="1" ht="15" customHeight="1" x14ac:dyDescent="0.25">
      <c r="A33" s="134" t="s">
        <v>382</v>
      </c>
      <c r="B33" s="134"/>
      <c r="C33" s="134" t="s">
        <v>1069</v>
      </c>
      <c r="D33" s="134"/>
      <c r="E33" s="135"/>
      <c r="F33" s="134"/>
      <c r="G33" s="134" t="s">
        <v>383</v>
      </c>
      <c r="Q33" s="132">
        <v>0</v>
      </c>
      <c r="AH33" s="132">
        <v>3598006</v>
      </c>
      <c r="AI33" s="132">
        <v>1528287</v>
      </c>
      <c r="AJ33" s="132">
        <v>872932</v>
      </c>
      <c r="AK33" s="132">
        <v>87553</v>
      </c>
      <c r="AL33" s="132">
        <v>0</v>
      </c>
      <c r="CU33" s="132">
        <v>8304</v>
      </c>
      <c r="CV33" s="132">
        <v>4336</v>
      </c>
      <c r="CW33" s="132">
        <v>205600</v>
      </c>
      <c r="CX33" s="132">
        <v>329245</v>
      </c>
      <c r="CZ33" s="132">
        <v>15312</v>
      </c>
      <c r="DA33" s="132">
        <v>88883</v>
      </c>
      <c r="DB33" s="132">
        <v>8257</v>
      </c>
      <c r="DC33" s="132">
        <v>154117</v>
      </c>
      <c r="DD33" s="132">
        <v>224</v>
      </c>
      <c r="DE33" s="132">
        <v>4728</v>
      </c>
      <c r="DF33" s="132">
        <v>429309</v>
      </c>
      <c r="DG33" s="132">
        <v>54704</v>
      </c>
      <c r="DH33" s="132">
        <v>152256</v>
      </c>
      <c r="DJ33" s="132">
        <v>250219</v>
      </c>
      <c r="DK33" s="132">
        <v>22128</v>
      </c>
      <c r="DL33" s="132">
        <v>79216</v>
      </c>
      <c r="DM33" s="132">
        <v>240784</v>
      </c>
      <c r="DQ33" s="132">
        <v>96720</v>
      </c>
      <c r="DR33" s="132">
        <v>97944</v>
      </c>
      <c r="DS33" s="132">
        <v>401808</v>
      </c>
      <c r="DT33" s="132">
        <v>209330</v>
      </c>
      <c r="DY33" s="132">
        <v>7500</v>
      </c>
      <c r="DZ33" s="132">
        <v>360905</v>
      </c>
      <c r="EA33" s="132">
        <v>545343</v>
      </c>
      <c r="EB33" s="132">
        <v>715663</v>
      </c>
      <c r="ED33" s="132">
        <v>39531</v>
      </c>
      <c r="EE33" s="132">
        <v>728418</v>
      </c>
      <c r="EF33" s="132">
        <v>1964</v>
      </c>
      <c r="EG33" s="132">
        <v>310475</v>
      </c>
      <c r="EH33" s="132">
        <v>342</v>
      </c>
      <c r="EI33" s="132">
        <v>6505</v>
      </c>
      <c r="EJ33" s="132">
        <v>1286452</v>
      </c>
      <c r="EK33" s="132">
        <v>118846</v>
      </c>
      <c r="EL33" s="132">
        <v>1003914</v>
      </c>
      <c r="EN33" s="132">
        <v>909273</v>
      </c>
      <c r="EO33" s="132">
        <v>114337</v>
      </c>
      <c r="EP33" s="132">
        <v>241657</v>
      </c>
      <c r="EQ33" s="132">
        <v>585649</v>
      </c>
      <c r="EU33" s="132">
        <v>540255</v>
      </c>
      <c r="EV33" s="132">
        <v>119362</v>
      </c>
      <c r="EW33" s="132">
        <v>643584</v>
      </c>
      <c r="EX33" s="132">
        <v>754920</v>
      </c>
      <c r="IO33" s="132">
        <v>0</v>
      </c>
      <c r="IP33" s="132">
        <v>80711</v>
      </c>
      <c r="IQ33" s="132">
        <v>50853</v>
      </c>
      <c r="IR33" s="132">
        <v>340408</v>
      </c>
      <c r="IT33" s="132">
        <v>29681</v>
      </c>
      <c r="IU33" s="132">
        <v>192370</v>
      </c>
      <c r="IV33" s="132">
        <v>37547</v>
      </c>
      <c r="IW33" s="132">
        <v>682656</v>
      </c>
      <c r="IX33" s="132">
        <v>0</v>
      </c>
      <c r="IY33" s="132">
        <v>28</v>
      </c>
      <c r="IZ33" s="132">
        <v>98541</v>
      </c>
      <c r="JA33" s="132">
        <v>28993</v>
      </c>
      <c r="JB33" s="132">
        <v>142667</v>
      </c>
      <c r="JD33" s="132">
        <v>183547</v>
      </c>
      <c r="JE33" s="132">
        <v>21352</v>
      </c>
      <c r="JF33" s="132">
        <v>25203</v>
      </c>
      <c r="JG33" s="132">
        <v>98961</v>
      </c>
      <c r="JK33" s="132">
        <v>65726</v>
      </c>
      <c r="JL33" s="132">
        <v>116008</v>
      </c>
      <c r="JM33" s="132">
        <v>47022</v>
      </c>
      <c r="JN33" s="132">
        <v>190172</v>
      </c>
    </row>
    <row r="34" spans="1:274" s="132" customFormat="1" x14ac:dyDescent="0.25">
      <c r="A34" s="134" t="s">
        <v>433</v>
      </c>
      <c r="B34" s="134"/>
      <c r="C34" s="134" t="s">
        <v>1069</v>
      </c>
      <c r="D34" s="134"/>
      <c r="E34" s="135"/>
      <c r="F34" s="134"/>
      <c r="G34" s="134" t="s">
        <v>434</v>
      </c>
      <c r="Q34" s="132">
        <v>1462474</v>
      </c>
      <c r="AH34" s="132">
        <v>2259552</v>
      </c>
      <c r="AI34" s="132">
        <v>1385599</v>
      </c>
      <c r="AJ34" s="132">
        <v>522009</v>
      </c>
      <c r="AK34" s="132">
        <v>1795751</v>
      </c>
      <c r="AL34" s="132">
        <v>191695</v>
      </c>
      <c r="CU34" s="132">
        <v>13248</v>
      </c>
      <c r="CV34" s="132">
        <v>84066</v>
      </c>
      <c r="CW34" s="132">
        <v>260512</v>
      </c>
      <c r="CX34" s="132">
        <v>155456</v>
      </c>
      <c r="CZ34" s="132">
        <v>18480</v>
      </c>
      <c r="DA34" s="132">
        <v>132335</v>
      </c>
      <c r="DC34" s="132">
        <v>33764</v>
      </c>
      <c r="DD34" s="132">
        <v>2030</v>
      </c>
      <c r="DE34" s="132">
        <v>54868</v>
      </c>
      <c r="DF34" s="132">
        <v>269056</v>
      </c>
      <c r="DG34" s="132">
        <v>55792</v>
      </c>
      <c r="DH34" s="132">
        <v>21268</v>
      </c>
      <c r="DJ34" s="132">
        <v>181653</v>
      </c>
      <c r="DK34" s="132">
        <v>20696</v>
      </c>
      <c r="DL34" s="132">
        <v>50936</v>
      </c>
      <c r="DM34" s="132">
        <v>204496</v>
      </c>
      <c r="DO34" s="132">
        <v>45688</v>
      </c>
      <c r="DP34" s="132">
        <v>20112</v>
      </c>
      <c r="DQ34" s="132">
        <v>54864</v>
      </c>
      <c r="DR34" s="132">
        <v>105240</v>
      </c>
      <c r="DS34" s="132">
        <v>283522</v>
      </c>
      <c r="DT34" s="132">
        <v>96352</v>
      </c>
      <c r="DY34" s="132">
        <v>50237</v>
      </c>
      <c r="DZ34" s="132">
        <v>223180</v>
      </c>
      <c r="EA34" s="132">
        <v>377095</v>
      </c>
      <c r="EB34" s="132">
        <v>340572</v>
      </c>
      <c r="ED34" s="132">
        <v>90926</v>
      </c>
      <c r="EE34" s="132">
        <v>247611</v>
      </c>
      <c r="EG34" s="132">
        <v>38325</v>
      </c>
      <c r="EH34" s="132">
        <v>7958</v>
      </c>
      <c r="EI34" s="132">
        <v>204223</v>
      </c>
      <c r="EJ34" s="132">
        <v>568163</v>
      </c>
      <c r="EK34" s="132">
        <v>97054</v>
      </c>
      <c r="EL34" s="132">
        <v>86554</v>
      </c>
      <c r="EN34" s="132">
        <v>737771</v>
      </c>
      <c r="EO34" s="132">
        <v>108541</v>
      </c>
      <c r="EP34" s="132">
        <v>224789</v>
      </c>
      <c r="EQ34" s="132">
        <v>434419</v>
      </c>
      <c r="ES34" s="132">
        <v>465741</v>
      </c>
      <c r="ET34" s="132">
        <v>89634</v>
      </c>
      <c r="EU34" s="132">
        <v>326068</v>
      </c>
      <c r="EV34" s="132">
        <v>147012</v>
      </c>
      <c r="EW34" s="132">
        <v>705759</v>
      </c>
      <c r="EX34" s="132">
        <v>377057</v>
      </c>
      <c r="IO34" s="132">
        <v>25579</v>
      </c>
      <c r="IP34" s="132">
        <v>70641</v>
      </c>
      <c r="IQ34" s="132">
        <v>305153</v>
      </c>
      <c r="IR34" s="132">
        <v>154350</v>
      </c>
      <c r="IT34" s="132">
        <v>36757</v>
      </c>
      <c r="IU34" s="132">
        <v>97819</v>
      </c>
      <c r="IW34" s="132">
        <v>6215</v>
      </c>
      <c r="IX34" s="132">
        <v>0</v>
      </c>
      <c r="IY34" s="132">
        <v>107035</v>
      </c>
      <c r="IZ34" s="132">
        <v>219426</v>
      </c>
      <c r="JA34" s="132">
        <v>41085</v>
      </c>
      <c r="JB34" s="132">
        <v>29394</v>
      </c>
      <c r="JD34" s="132">
        <v>250549</v>
      </c>
      <c r="JE34" s="132">
        <v>11832</v>
      </c>
      <c r="JF34" s="132">
        <v>48355</v>
      </c>
      <c r="JG34" s="132">
        <v>101103</v>
      </c>
      <c r="JI34" s="132">
        <v>43435</v>
      </c>
      <c r="JJ34" s="132">
        <v>44807</v>
      </c>
      <c r="JK34" s="132">
        <v>19998</v>
      </c>
      <c r="JL34" s="132">
        <v>35594</v>
      </c>
      <c r="JM34" s="132">
        <v>32652</v>
      </c>
      <c r="JN34" s="132">
        <v>140152</v>
      </c>
    </row>
    <row r="35" spans="1:274" s="132" customFormat="1" ht="15" customHeight="1" x14ac:dyDescent="0.25">
      <c r="A35" s="134" t="s">
        <v>384</v>
      </c>
      <c r="B35" s="134"/>
      <c r="C35" s="134" t="s">
        <v>1069</v>
      </c>
      <c r="D35" s="134"/>
      <c r="E35" s="135"/>
      <c r="F35" s="134"/>
      <c r="G35" s="134" t="s">
        <v>385</v>
      </c>
      <c r="Q35" s="132">
        <v>905898</v>
      </c>
      <c r="AH35" s="132">
        <v>1808227</v>
      </c>
      <c r="AI35" s="132">
        <v>792035</v>
      </c>
      <c r="AJ35" s="132">
        <v>544828</v>
      </c>
      <c r="AK35" s="132">
        <v>993568</v>
      </c>
      <c r="AL35" s="132">
        <v>0</v>
      </c>
      <c r="CU35" s="132">
        <v>5808</v>
      </c>
      <c r="CV35" s="132">
        <v>16352</v>
      </c>
      <c r="CW35" s="132">
        <v>197088</v>
      </c>
      <c r="CX35" s="132">
        <v>174108</v>
      </c>
      <c r="CY35" s="132">
        <v>1024</v>
      </c>
      <c r="CZ35" s="132">
        <v>8752</v>
      </c>
      <c r="DA35" s="132">
        <v>209320</v>
      </c>
      <c r="DC35" s="132">
        <v>29040</v>
      </c>
      <c r="DD35" s="132">
        <v>896</v>
      </c>
      <c r="DF35" s="132">
        <v>331824</v>
      </c>
      <c r="DG35" s="132">
        <v>15728</v>
      </c>
      <c r="DH35" s="132">
        <v>182912</v>
      </c>
      <c r="DJ35" s="132">
        <v>31872</v>
      </c>
      <c r="DM35" s="132">
        <v>204128</v>
      </c>
      <c r="DO35" s="132">
        <v>27004</v>
      </c>
      <c r="DQ35" s="132">
        <v>107520</v>
      </c>
      <c r="DR35" s="132">
        <v>27600</v>
      </c>
      <c r="DS35" s="132">
        <v>283504</v>
      </c>
      <c r="DT35" s="132">
        <v>124248</v>
      </c>
      <c r="DY35" s="132">
        <v>1600</v>
      </c>
      <c r="DZ35" s="132">
        <v>51644</v>
      </c>
      <c r="EA35" s="132">
        <v>377830</v>
      </c>
      <c r="EB35" s="132">
        <v>433270</v>
      </c>
      <c r="EC35" s="132">
        <v>15368</v>
      </c>
      <c r="ED35" s="132">
        <v>154147</v>
      </c>
      <c r="EE35" s="132">
        <v>375953</v>
      </c>
      <c r="EG35" s="132">
        <v>26119</v>
      </c>
      <c r="EH35" s="132">
        <v>53445</v>
      </c>
      <c r="EJ35" s="132">
        <v>680764</v>
      </c>
      <c r="EK35" s="132">
        <v>42677</v>
      </c>
      <c r="EL35" s="132">
        <v>651793</v>
      </c>
      <c r="EN35" s="132">
        <v>198493</v>
      </c>
      <c r="EQ35" s="132">
        <v>410041</v>
      </c>
      <c r="ES35" s="132">
        <v>156310</v>
      </c>
      <c r="EU35" s="132">
        <v>230252</v>
      </c>
      <c r="EV35" s="132">
        <v>121606</v>
      </c>
      <c r="EW35" s="132">
        <v>419573</v>
      </c>
      <c r="EX35" s="132">
        <v>261708</v>
      </c>
      <c r="IO35" s="132">
        <v>675</v>
      </c>
      <c r="IP35" s="132">
        <v>772</v>
      </c>
      <c r="IQ35" s="132">
        <v>40625</v>
      </c>
      <c r="IR35" s="132">
        <v>19865</v>
      </c>
      <c r="IS35" s="132">
        <v>33638</v>
      </c>
      <c r="IT35" s="132">
        <v>41491</v>
      </c>
      <c r="IU35" s="132">
        <v>66786</v>
      </c>
      <c r="IW35" s="132">
        <v>3655</v>
      </c>
      <c r="IX35" s="132">
        <v>27286</v>
      </c>
      <c r="IZ35" s="132">
        <v>38267</v>
      </c>
      <c r="JA35" s="132">
        <v>791</v>
      </c>
      <c r="JB35" s="132">
        <v>71345</v>
      </c>
      <c r="JD35" s="132">
        <v>30898</v>
      </c>
      <c r="JG35" s="132">
        <v>48162</v>
      </c>
      <c r="JI35" s="132">
        <v>64879</v>
      </c>
      <c r="JK35" s="132">
        <v>25761</v>
      </c>
      <c r="JL35" s="132">
        <v>19117</v>
      </c>
      <c r="JM35" s="132">
        <v>38049</v>
      </c>
      <c r="JN35" s="132">
        <v>77104</v>
      </c>
    </row>
    <row r="36" spans="1:274" s="132" customFormat="1" x14ac:dyDescent="0.25">
      <c r="A36" s="134" t="s">
        <v>362</v>
      </c>
      <c r="B36" s="134"/>
      <c r="C36" s="134" t="s">
        <v>1069</v>
      </c>
      <c r="D36" s="134"/>
      <c r="E36" s="135"/>
      <c r="F36" s="134"/>
      <c r="G36" s="134" t="s">
        <v>363</v>
      </c>
      <c r="Q36" s="132">
        <v>318486</v>
      </c>
      <c r="AH36" s="132">
        <v>1469130</v>
      </c>
      <c r="AI36" s="132">
        <v>660238</v>
      </c>
      <c r="AJ36" s="132">
        <v>336046</v>
      </c>
      <c r="AK36" s="132">
        <v>703556</v>
      </c>
      <c r="AL36" s="132">
        <v>0</v>
      </c>
      <c r="CU36" s="132">
        <v>30944</v>
      </c>
      <c r="CV36" s="132">
        <v>32576</v>
      </c>
      <c r="CW36" s="132">
        <v>138800</v>
      </c>
      <c r="CX36" s="132">
        <v>60666</v>
      </c>
      <c r="DA36" s="132">
        <v>126419</v>
      </c>
      <c r="DC36" s="132">
        <v>57856</v>
      </c>
      <c r="DE36" s="132">
        <v>24256</v>
      </c>
      <c r="DF36" s="132">
        <v>259590</v>
      </c>
      <c r="DG36" s="132">
        <v>37190</v>
      </c>
      <c r="DH36" s="132">
        <v>76992</v>
      </c>
      <c r="DJ36" s="132">
        <v>106119</v>
      </c>
      <c r="DL36" s="132">
        <v>110096</v>
      </c>
      <c r="DM36" s="132">
        <v>177024</v>
      </c>
      <c r="DP36" s="132">
        <v>6984</v>
      </c>
      <c r="DQ36" s="132">
        <v>49776</v>
      </c>
      <c r="DR36" s="132">
        <v>44080</v>
      </c>
      <c r="DS36" s="132">
        <v>369216</v>
      </c>
      <c r="DT36" s="132">
        <v>62792</v>
      </c>
      <c r="DY36" s="132">
        <v>159947</v>
      </c>
      <c r="DZ36" s="132">
        <v>152212</v>
      </c>
      <c r="EA36" s="132">
        <v>296357</v>
      </c>
      <c r="EB36" s="132">
        <v>131785</v>
      </c>
      <c r="EE36" s="132">
        <v>309226</v>
      </c>
      <c r="EG36" s="132">
        <v>79886</v>
      </c>
      <c r="EI36" s="132">
        <v>99773</v>
      </c>
      <c r="EJ36" s="132">
        <v>587944</v>
      </c>
      <c r="EK36" s="132">
        <v>75637</v>
      </c>
      <c r="EL36" s="132">
        <v>345914</v>
      </c>
      <c r="EN36" s="132">
        <v>321885</v>
      </c>
      <c r="EP36" s="132">
        <v>364501</v>
      </c>
      <c r="EQ36" s="132">
        <v>317024</v>
      </c>
      <c r="ET36" s="132">
        <v>41365</v>
      </c>
      <c r="EU36" s="132">
        <v>169299</v>
      </c>
      <c r="EV36" s="132">
        <v>74760</v>
      </c>
      <c r="EW36" s="132">
        <v>596283</v>
      </c>
      <c r="EX36" s="132">
        <v>175284</v>
      </c>
      <c r="IO36" s="132">
        <v>116273</v>
      </c>
      <c r="IP36" s="132">
        <v>30196</v>
      </c>
      <c r="IQ36" s="132">
        <v>79702</v>
      </c>
      <c r="IR36" s="132">
        <v>15569</v>
      </c>
      <c r="IU36" s="132">
        <v>312319</v>
      </c>
      <c r="IW36" s="132">
        <v>18824</v>
      </c>
      <c r="IY36" s="132">
        <v>92091</v>
      </c>
      <c r="IZ36" s="132">
        <v>25155</v>
      </c>
      <c r="JA36" s="132">
        <v>3211</v>
      </c>
      <c r="JB36" s="132">
        <v>30611</v>
      </c>
      <c r="JD36" s="132">
        <v>107532</v>
      </c>
      <c r="JF36" s="132">
        <v>63293</v>
      </c>
      <c r="JG36" s="132">
        <v>28369</v>
      </c>
      <c r="JJ36" s="132">
        <v>4847</v>
      </c>
      <c r="JK36" s="132">
        <v>11676</v>
      </c>
      <c r="JL36" s="132">
        <v>4146</v>
      </c>
      <c r="JM36" s="132">
        <v>31249</v>
      </c>
      <c r="JN36" s="132">
        <v>34814</v>
      </c>
    </row>
    <row r="37" spans="1:274" s="132" customFormat="1" x14ac:dyDescent="0.25">
      <c r="A37" s="134" t="s">
        <v>443</v>
      </c>
      <c r="B37" s="134"/>
      <c r="C37" s="134" t="s">
        <v>1069</v>
      </c>
      <c r="D37" s="134"/>
      <c r="E37" s="135"/>
      <c r="F37" s="134"/>
      <c r="G37" s="134" t="s">
        <v>1074</v>
      </c>
      <c r="Q37" s="132">
        <v>3044020</v>
      </c>
      <c r="AH37" s="132">
        <v>10967831</v>
      </c>
      <c r="AI37" s="132">
        <v>6898764</v>
      </c>
      <c r="AJ37" s="132">
        <v>3519688</v>
      </c>
      <c r="AK37" s="132">
        <v>9093447</v>
      </c>
      <c r="AL37" s="132">
        <v>21604</v>
      </c>
      <c r="CU37" s="132">
        <v>8230</v>
      </c>
      <c r="CV37" s="132">
        <v>194550</v>
      </c>
      <c r="CW37" s="132">
        <v>1015328</v>
      </c>
      <c r="CX37" s="132">
        <v>808607</v>
      </c>
      <c r="CY37" s="132">
        <v>912</v>
      </c>
      <c r="CZ37" s="132">
        <v>65018</v>
      </c>
      <c r="DA37" s="132">
        <v>797184</v>
      </c>
      <c r="DB37" s="132">
        <v>3656</v>
      </c>
      <c r="DC37" s="132">
        <v>166358</v>
      </c>
      <c r="DD37" s="132">
        <v>624</v>
      </c>
      <c r="DE37" s="132">
        <v>134390</v>
      </c>
      <c r="DF37" s="132">
        <v>1696124</v>
      </c>
      <c r="DG37" s="132">
        <v>171328</v>
      </c>
      <c r="DH37" s="132">
        <v>142294</v>
      </c>
      <c r="DJ37" s="132">
        <v>346423</v>
      </c>
      <c r="DK37" s="132">
        <v>24176</v>
      </c>
      <c r="DL37" s="132">
        <v>109372</v>
      </c>
      <c r="DM37" s="132">
        <v>1366282</v>
      </c>
      <c r="DN37" s="132">
        <v>41116</v>
      </c>
      <c r="DO37" s="132">
        <v>32688</v>
      </c>
      <c r="DP37" s="132">
        <v>2828</v>
      </c>
      <c r="DQ37" s="132">
        <v>280320</v>
      </c>
      <c r="DR37" s="132">
        <v>175734</v>
      </c>
      <c r="DS37" s="132">
        <v>1668704</v>
      </c>
      <c r="DT37" s="132">
        <v>382568</v>
      </c>
      <c r="DY37" s="132">
        <v>31776</v>
      </c>
      <c r="DZ37" s="132">
        <v>565933</v>
      </c>
      <c r="EA37" s="132">
        <v>2633120</v>
      </c>
      <c r="EB37" s="132">
        <v>2146297</v>
      </c>
      <c r="EC37" s="132">
        <v>1449</v>
      </c>
      <c r="ED37" s="132">
        <v>37659</v>
      </c>
      <c r="EE37" s="132">
        <v>2369996</v>
      </c>
      <c r="EF37" s="132">
        <v>14330</v>
      </c>
      <c r="EG37" s="132">
        <v>551754</v>
      </c>
      <c r="EH37" s="132">
        <v>4751</v>
      </c>
      <c r="EI37" s="132">
        <v>655487</v>
      </c>
      <c r="EJ37" s="132">
        <v>4515933</v>
      </c>
      <c r="EK37" s="132">
        <v>444692</v>
      </c>
      <c r="EL37" s="132">
        <v>894369</v>
      </c>
      <c r="EN37" s="132">
        <v>972638</v>
      </c>
      <c r="EO37" s="132">
        <v>166086</v>
      </c>
      <c r="EP37" s="132">
        <v>473354</v>
      </c>
      <c r="EQ37" s="132">
        <v>2900778</v>
      </c>
      <c r="ER37" s="132">
        <v>169127</v>
      </c>
      <c r="ES37" s="132">
        <v>210785</v>
      </c>
      <c r="ET37" s="132">
        <v>20256</v>
      </c>
      <c r="EU37" s="132">
        <v>940776</v>
      </c>
      <c r="EV37" s="132">
        <v>213559</v>
      </c>
      <c r="EW37" s="132">
        <v>4026738</v>
      </c>
      <c r="EX37" s="132">
        <v>1482015</v>
      </c>
      <c r="IO37" s="132">
        <v>23991</v>
      </c>
      <c r="IP37" s="132">
        <v>283483</v>
      </c>
      <c r="IQ37" s="132">
        <v>1157015</v>
      </c>
      <c r="IR37" s="132">
        <v>928712</v>
      </c>
      <c r="IS37" s="132">
        <v>11551</v>
      </c>
      <c r="IT37" s="132">
        <v>169730</v>
      </c>
      <c r="IU37" s="132">
        <v>1386393</v>
      </c>
      <c r="IV37" s="132">
        <v>2635</v>
      </c>
      <c r="IW37" s="132">
        <v>218584</v>
      </c>
      <c r="IX37" s="132">
        <v>0</v>
      </c>
      <c r="IY37" s="132">
        <v>350022</v>
      </c>
      <c r="IZ37" s="132">
        <v>1518488</v>
      </c>
      <c r="JA37" s="132">
        <v>127224</v>
      </c>
      <c r="JB37" s="132">
        <v>178958</v>
      </c>
      <c r="JD37" s="132">
        <v>506275</v>
      </c>
      <c r="JE37" s="132">
        <v>21708</v>
      </c>
      <c r="JF37" s="132">
        <v>123959</v>
      </c>
      <c r="JG37" s="132">
        <v>1058396</v>
      </c>
      <c r="JH37" s="132">
        <v>55932</v>
      </c>
      <c r="JI37" s="132">
        <v>47130</v>
      </c>
      <c r="JJ37" s="132">
        <v>2038</v>
      </c>
      <c r="JK37" s="132">
        <v>343833</v>
      </c>
      <c r="JL37" s="132">
        <v>335585</v>
      </c>
      <c r="JM37" s="132">
        <v>1252742</v>
      </c>
      <c r="JN37" s="132">
        <v>514763</v>
      </c>
    </row>
    <row r="38" spans="1:274" s="132" customFormat="1" x14ac:dyDescent="0.25">
      <c r="A38" s="134" t="s">
        <v>446</v>
      </c>
      <c r="B38" s="134"/>
      <c r="C38" s="134" t="s">
        <v>1069</v>
      </c>
      <c r="D38" s="134"/>
      <c r="E38" s="135"/>
      <c r="F38" s="134"/>
      <c r="G38" s="134" t="s">
        <v>447</v>
      </c>
      <c r="Q38" s="132">
        <v>256155</v>
      </c>
      <c r="AH38" s="132">
        <v>1171001</v>
      </c>
      <c r="AI38" s="132">
        <v>488556</v>
      </c>
      <c r="AJ38" s="132">
        <v>224275</v>
      </c>
      <c r="AK38" s="132">
        <v>455283</v>
      </c>
      <c r="AL38" s="132">
        <v>157855</v>
      </c>
      <c r="CU38" s="132">
        <v>13392</v>
      </c>
      <c r="CV38" s="132">
        <v>12796</v>
      </c>
      <c r="CW38" s="132">
        <v>108592</v>
      </c>
      <c r="CX38" s="132">
        <v>55300</v>
      </c>
      <c r="CZ38" s="132">
        <v>4608</v>
      </c>
      <c r="DA38" s="132">
        <v>60436</v>
      </c>
      <c r="DC38" s="132">
        <v>28282</v>
      </c>
      <c r="DD38" s="132">
        <v>480</v>
      </c>
      <c r="DE38" s="132">
        <v>1584</v>
      </c>
      <c r="DF38" s="132">
        <v>125312</v>
      </c>
      <c r="DG38" s="132">
        <v>10992</v>
      </c>
      <c r="DH38" s="132">
        <v>26948</v>
      </c>
      <c r="DJ38" s="132">
        <v>36414</v>
      </c>
      <c r="DK38" s="132">
        <v>2608</v>
      </c>
      <c r="DL38" s="132">
        <v>34144</v>
      </c>
      <c r="DM38" s="132">
        <v>87584</v>
      </c>
      <c r="DN38" s="132">
        <v>14144</v>
      </c>
      <c r="DO38" s="132">
        <v>26392</v>
      </c>
      <c r="DP38" s="132">
        <v>160</v>
      </c>
      <c r="DQ38" s="132">
        <v>36304</v>
      </c>
      <c r="DR38" s="132">
        <v>60426</v>
      </c>
      <c r="DS38" s="132">
        <v>156528</v>
      </c>
      <c r="DT38" s="132">
        <v>39680</v>
      </c>
      <c r="DY38" s="132">
        <v>41744</v>
      </c>
      <c r="DZ38" s="132">
        <v>46597</v>
      </c>
      <c r="EA38" s="132">
        <v>319037</v>
      </c>
      <c r="EB38" s="132">
        <v>173730</v>
      </c>
      <c r="ED38" s="132">
        <v>32504</v>
      </c>
      <c r="EE38" s="132">
        <v>144252</v>
      </c>
      <c r="EG38" s="132">
        <v>39949</v>
      </c>
      <c r="EH38" s="132">
        <v>4091</v>
      </c>
      <c r="EI38" s="132">
        <v>13499</v>
      </c>
      <c r="EJ38" s="132">
        <v>260331</v>
      </c>
      <c r="EK38" s="132">
        <v>41314</v>
      </c>
      <c r="EL38" s="132">
        <v>174261</v>
      </c>
      <c r="EN38" s="132">
        <v>55144</v>
      </c>
      <c r="EO38" s="132">
        <v>22226</v>
      </c>
      <c r="EP38" s="132">
        <v>119339</v>
      </c>
      <c r="EQ38" s="132">
        <v>209401</v>
      </c>
      <c r="ER38" s="132">
        <v>53046</v>
      </c>
      <c r="ES38" s="132">
        <v>105028</v>
      </c>
      <c r="ET38" s="132">
        <v>1364</v>
      </c>
      <c r="EU38" s="132">
        <v>105722</v>
      </c>
      <c r="EV38" s="132">
        <v>202455</v>
      </c>
      <c r="EW38" s="132">
        <v>333052</v>
      </c>
      <c r="EX38" s="132">
        <v>208838</v>
      </c>
      <c r="IO38" s="132">
        <v>4274</v>
      </c>
      <c r="IP38" s="132">
        <v>10655</v>
      </c>
      <c r="IQ38" s="132">
        <v>72817</v>
      </c>
      <c r="IR38" s="132">
        <v>38477</v>
      </c>
      <c r="IT38" s="132">
        <v>5529</v>
      </c>
      <c r="IU38" s="132">
        <v>21694</v>
      </c>
      <c r="IW38" s="132">
        <v>8479</v>
      </c>
      <c r="IX38" s="132">
        <v>2171</v>
      </c>
      <c r="IY38" s="132">
        <v>7165</v>
      </c>
      <c r="IZ38" s="132">
        <v>8343</v>
      </c>
      <c r="JA38" s="132">
        <v>2658</v>
      </c>
      <c r="JB38" s="132">
        <v>20953</v>
      </c>
      <c r="JD38" s="132">
        <v>13592</v>
      </c>
      <c r="JE38" s="132">
        <v>11796</v>
      </c>
      <c r="JF38" s="132">
        <v>11731</v>
      </c>
      <c r="JG38" s="132">
        <v>12438</v>
      </c>
      <c r="JH38" s="132">
        <v>39798</v>
      </c>
      <c r="JI38" s="132">
        <v>51038</v>
      </c>
      <c r="JJ38" s="132">
        <v>724</v>
      </c>
      <c r="JK38" s="132">
        <v>2284</v>
      </c>
      <c r="JL38" s="132">
        <v>12797</v>
      </c>
      <c r="JM38" s="132">
        <v>17070</v>
      </c>
      <c r="JN38" s="132">
        <v>31625</v>
      </c>
    </row>
    <row r="39" spans="1:274" s="132" customFormat="1" x14ac:dyDescent="0.25">
      <c r="A39" s="134" t="s">
        <v>386</v>
      </c>
      <c r="B39" s="134"/>
      <c r="C39" s="134" t="s">
        <v>1069</v>
      </c>
      <c r="D39" s="134"/>
      <c r="E39" s="135"/>
      <c r="F39" s="134"/>
      <c r="G39" s="134" t="s">
        <v>387</v>
      </c>
      <c r="Q39" s="132">
        <v>1162456</v>
      </c>
      <c r="AH39" s="132">
        <v>2448747</v>
      </c>
      <c r="AI39" s="132">
        <v>1554606</v>
      </c>
      <c r="AJ39" s="132">
        <v>507371</v>
      </c>
      <c r="AK39" s="132">
        <v>1238141</v>
      </c>
      <c r="AL39" s="132">
        <v>377552</v>
      </c>
      <c r="CU39" s="132">
        <v>5936</v>
      </c>
      <c r="CV39" s="132">
        <v>48498</v>
      </c>
      <c r="CW39" s="132">
        <v>175344</v>
      </c>
      <c r="CX39" s="132">
        <v>113278</v>
      </c>
      <c r="CZ39" s="132">
        <v>2952</v>
      </c>
      <c r="DA39" s="132">
        <v>93639</v>
      </c>
      <c r="DB39" s="132">
        <v>8496</v>
      </c>
      <c r="DC39" s="132">
        <v>187410</v>
      </c>
      <c r="DE39" s="132">
        <v>73893</v>
      </c>
      <c r="DF39" s="132">
        <v>357623</v>
      </c>
      <c r="DG39" s="132">
        <v>15572</v>
      </c>
      <c r="DH39" s="132">
        <v>82474</v>
      </c>
      <c r="DJ39" s="132">
        <v>153440</v>
      </c>
      <c r="DK39" s="132">
        <v>29728</v>
      </c>
      <c r="DL39" s="132">
        <v>77339</v>
      </c>
      <c r="DM39" s="132">
        <v>201120</v>
      </c>
      <c r="DN39" s="132">
        <v>34368</v>
      </c>
      <c r="DO39" s="132">
        <v>42814</v>
      </c>
      <c r="DP39" s="132">
        <v>11278</v>
      </c>
      <c r="DQ39" s="132">
        <v>113056</v>
      </c>
      <c r="DR39" s="132">
        <v>98773</v>
      </c>
      <c r="DS39" s="132">
        <v>267038</v>
      </c>
      <c r="DT39" s="132">
        <v>74297</v>
      </c>
      <c r="DY39" s="132">
        <v>13970</v>
      </c>
      <c r="DZ39" s="132">
        <v>128786</v>
      </c>
      <c r="EA39" s="132">
        <v>414403</v>
      </c>
      <c r="EB39" s="132">
        <v>369409</v>
      </c>
      <c r="ED39" s="132">
        <v>6698</v>
      </c>
      <c r="EE39" s="132">
        <v>224427</v>
      </c>
      <c r="EF39" s="132">
        <v>11329</v>
      </c>
      <c r="EG39" s="132">
        <v>435757</v>
      </c>
      <c r="EI39" s="132">
        <v>256035</v>
      </c>
      <c r="EJ39" s="132">
        <v>931264</v>
      </c>
      <c r="EK39" s="132">
        <v>56125</v>
      </c>
      <c r="EL39" s="132">
        <v>521289</v>
      </c>
      <c r="EN39" s="132">
        <v>575113</v>
      </c>
      <c r="EO39" s="132">
        <v>134345</v>
      </c>
      <c r="EP39" s="132">
        <v>201860</v>
      </c>
      <c r="EQ39" s="132">
        <v>481496</v>
      </c>
      <c r="ER39" s="132">
        <v>67313</v>
      </c>
      <c r="ES39" s="132">
        <v>67272</v>
      </c>
      <c r="ET39" s="132">
        <v>22701</v>
      </c>
      <c r="EU39" s="132">
        <v>285008</v>
      </c>
      <c r="EV39" s="132">
        <v>331960</v>
      </c>
      <c r="EW39" s="132">
        <v>694308</v>
      </c>
      <c r="EX39" s="132">
        <v>385871</v>
      </c>
      <c r="IO39" s="132">
        <v>6407</v>
      </c>
      <c r="IP39" s="132">
        <v>30306</v>
      </c>
      <c r="IQ39" s="132">
        <v>100430</v>
      </c>
      <c r="IR39" s="132">
        <v>85209</v>
      </c>
      <c r="IT39" s="132">
        <v>13797</v>
      </c>
      <c r="IU39" s="132">
        <v>54744</v>
      </c>
      <c r="IV39" s="132">
        <v>2615</v>
      </c>
      <c r="IW39" s="132">
        <v>86011</v>
      </c>
      <c r="IY39" s="132">
        <v>79071</v>
      </c>
      <c r="IZ39" s="132">
        <v>171246</v>
      </c>
      <c r="JA39" s="132">
        <v>6434</v>
      </c>
      <c r="JB39" s="132">
        <v>134625</v>
      </c>
      <c r="JD39" s="132">
        <v>72156</v>
      </c>
      <c r="JE39" s="132">
        <v>11438</v>
      </c>
      <c r="JF39" s="132">
        <v>56358</v>
      </c>
      <c r="JG39" s="132">
        <v>41013</v>
      </c>
      <c r="JH39" s="132">
        <v>19276</v>
      </c>
      <c r="JI39" s="132">
        <v>327807</v>
      </c>
      <c r="JJ39" s="132">
        <v>5585</v>
      </c>
      <c r="JK39" s="132">
        <v>54061</v>
      </c>
      <c r="JL39" s="132">
        <v>102658</v>
      </c>
      <c r="JM39" s="132">
        <v>34300</v>
      </c>
      <c r="JN39" s="132">
        <v>91122</v>
      </c>
    </row>
    <row r="40" spans="1:274" s="132" customFormat="1" x14ac:dyDescent="0.25">
      <c r="A40" s="134" t="s">
        <v>388</v>
      </c>
      <c r="B40" s="134"/>
      <c r="C40" s="134" t="s">
        <v>1069</v>
      </c>
      <c r="D40" s="134"/>
      <c r="E40" s="135"/>
      <c r="F40" s="134"/>
      <c r="G40" s="134" t="s">
        <v>389</v>
      </c>
      <c r="Q40" s="132">
        <v>503178</v>
      </c>
      <c r="AH40" s="132">
        <v>987740</v>
      </c>
      <c r="AI40" s="132">
        <v>513320</v>
      </c>
      <c r="AJ40" s="132">
        <v>464325</v>
      </c>
      <c r="AK40" s="132">
        <v>737106</v>
      </c>
      <c r="AL40" s="132">
        <v>0</v>
      </c>
      <c r="CU40" s="132">
        <v>35528</v>
      </c>
      <c r="CV40" s="132">
        <v>17836</v>
      </c>
      <c r="CW40" s="132">
        <v>80576</v>
      </c>
      <c r="CX40" s="132">
        <v>37859</v>
      </c>
      <c r="CZ40" s="132">
        <v>4596</v>
      </c>
      <c r="DA40" s="132">
        <v>61365</v>
      </c>
      <c r="DC40" s="132">
        <v>110842</v>
      </c>
      <c r="DD40" s="132">
        <v>64</v>
      </c>
      <c r="DE40" s="132">
        <v>608</v>
      </c>
      <c r="DF40" s="132">
        <v>128394</v>
      </c>
      <c r="DG40" s="132">
        <v>5298</v>
      </c>
      <c r="DH40" s="132">
        <v>41904</v>
      </c>
      <c r="DJ40" s="132">
        <v>48468</v>
      </c>
      <c r="DL40" s="132">
        <v>142944</v>
      </c>
      <c r="DM40" s="132">
        <v>68832</v>
      </c>
      <c r="DS40" s="132">
        <v>125760</v>
      </c>
      <c r="DT40" s="132">
        <v>56352</v>
      </c>
      <c r="DY40" s="132">
        <v>150065</v>
      </c>
      <c r="DZ40" s="132">
        <v>53402</v>
      </c>
      <c r="EA40" s="132">
        <v>227678</v>
      </c>
      <c r="EB40" s="132">
        <v>168380</v>
      </c>
      <c r="ED40" s="132">
        <v>48874</v>
      </c>
      <c r="EE40" s="132">
        <v>195532</v>
      </c>
      <c r="EG40" s="132">
        <v>272601</v>
      </c>
      <c r="EH40" s="132">
        <v>500</v>
      </c>
      <c r="EI40" s="132">
        <v>203</v>
      </c>
      <c r="EJ40" s="132">
        <v>258559</v>
      </c>
      <c r="EK40" s="132">
        <v>35598</v>
      </c>
      <c r="EL40" s="132">
        <v>374441</v>
      </c>
      <c r="EN40" s="132">
        <v>312769</v>
      </c>
      <c r="EP40" s="132">
        <v>376842</v>
      </c>
      <c r="EQ40" s="132">
        <v>213360</v>
      </c>
      <c r="EW40" s="132">
        <v>252650</v>
      </c>
      <c r="EX40" s="132">
        <v>240392</v>
      </c>
      <c r="IO40" s="132">
        <v>12191</v>
      </c>
      <c r="IP40" s="132">
        <v>14812</v>
      </c>
      <c r="IQ40" s="132">
        <v>38444</v>
      </c>
      <c r="IR40" s="132">
        <v>40185</v>
      </c>
      <c r="IT40" s="132">
        <v>7798</v>
      </c>
      <c r="IU40" s="132">
        <v>44016</v>
      </c>
      <c r="IW40" s="132">
        <v>48930</v>
      </c>
      <c r="IX40" s="132">
        <v>0</v>
      </c>
      <c r="IY40" s="132">
        <v>740</v>
      </c>
      <c r="IZ40" s="132">
        <v>47916</v>
      </c>
      <c r="JA40" s="132">
        <v>3744</v>
      </c>
      <c r="JB40" s="132">
        <v>53084</v>
      </c>
      <c r="JD40" s="132">
        <v>48826</v>
      </c>
      <c r="JF40" s="132">
        <v>38833</v>
      </c>
      <c r="JG40" s="132">
        <v>18489</v>
      </c>
      <c r="JM40" s="132">
        <v>11961</v>
      </c>
      <c r="JN40" s="132">
        <v>52514</v>
      </c>
    </row>
    <row r="41" spans="1:274" s="132" customFormat="1" x14ac:dyDescent="0.25">
      <c r="A41" s="134" t="s">
        <v>390</v>
      </c>
      <c r="B41" s="134"/>
      <c r="C41" s="134" t="s">
        <v>1069</v>
      </c>
      <c r="D41" s="134"/>
      <c r="E41" s="135"/>
      <c r="F41" s="134"/>
      <c r="G41" s="134" t="s">
        <v>391</v>
      </c>
      <c r="Q41" s="132">
        <v>771161</v>
      </c>
      <c r="AH41" s="132">
        <v>1809094</v>
      </c>
      <c r="AI41" s="132">
        <v>616866</v>
      </c>
      <c r="AJ41" s="132">
        <v>330695</v>
      </c>
      <c r="AK41" s="132">
        <v>490223</v>
      </c>
      <c r="AL41" s="132">
        <v>22268</v>
      </c>
      <c r="CU41" s="132">
        <v>7744</v>
      </c>
      <c r="CV41" s="132">
        <v>127968</v>
      </c>
      <c r="CW41" s="132">
        <v>169808</v>
      </c>
      <c r="CX41" s="132">
        <v>84480</v>
      </c>
      <c r="CZ41" s="132">
        <v>5280</v>
      </c>
      <c r="DA41" s="132">
        <v>71472</v>
      </c>
      <c r="DC41" s="132">
        <v>39456</v>
      </c>
      <c r="DD41" s="132">
        <v>0</v>
      </c>
      <c r="DE41" s="132">
        <v>51744</v>
      </c>
      <c r="DF41" s="132">
        <v>172240</v>
      </c>
      <c r="DG41" s="132">
        <v>17664</v>
      </c>
      <c r="DH41" s="132">
        <v>30768</v>
      </c>
      <c r="DJ41" s="132">
        <v>47040</v>
      </c>
      <c r="DL41" s="132">
        <v>78612</v>
      </c>
      <c r="DM41" s="132">
        <v>355056</v>
      </c>
      <c r="DQ41" s="132">
        <v>65808</v>
      </c>
      <c r="DS41" s="132">
        <v>183184</v>
      </c>
      <c r="DT41" s="132">
        <v>69472</v>
      </c>
      <c r="DY41" s="132">
        <v>35675</v>
      </c>
      <c r="DZ41" s="132">
        <v>614451</v>
      </c>
      <c r="EA41" s="132">
        <v>305441</v>
      </c>
      <c r="EB41" s="132">
        <v>315877</v>
      </c>
      <c r="ED41" s="132">
        <v>33645</v>
      </c>
      <c r="EE41" s="132">
        <v>195918</v>
      </c>
      <c r="EG41" s="132">
        <v>66109</v>
      </c>
      <c r="EH41" s="132">
        <v>0</v>
      </c>
      <c r="EI41" s="132">
        <v>169636</v>
      </c>
      <c r="EJ41" s="132">
        <v>458254</v>
      </c>
      <c r="EK41" s="132">
        <v>42201</v>
      </c>
      <c r="EL41" s="132">
        <v>317439</v>
      </c>
      <c r="EN41" s="132">
        <v>0</v>
      </c>
      <c r="EP41" s="132">
        <v>346613</v>
      </c>
      <c r="EQ41" s="132">
        <v>433105</v>
      </c>
      <c r="EU41" s="132">
        <v>163824</v>
      </c>
      <c r="EW41" s="132">
        <v>323142</v>
      </c>
      <c r="EX41" s="132">
        <v>363012</v>
      </c>
      <c r="IO41" s="132">
        <v>12319</v>
      </c>
      <c r="IP41" s="132">
        <v>305377</v>
      </c>
      <c r="IQ41" s="132">
        <v>53327</v>
      </c>
      <c r="IR41" s="132">
        <v>23387</v>
      </c>
      <c r="IT41" s="132">
        <v>8844</v>
      </c>
      <c r="IU41" s="132">
        <v>18343</v>
      </c>
      <c r="IW41" s="132">
        <v>10806</v>
      </c>
      <c r="IX41" s="132">
        <v>490</v>
      </c>
      <c r="IY41" s="132">
        <v>96854</v>
      </c>
      <c r="IZ41" s="132">
        <v>30016</v>
      </c>
      <c r="JA41" s="132">
        <v>508</v>
      </c>
      <c r="JB41" s="132">
        <v>43026</v>
      </c>
      <c r="JD41" s="132">
        <v>0</v>
      </c>
      <c r="JF41" s="132">
        <v>11283</v>
      </c>
      <c r="JG41" s="132">
        <v>37793</v>
      </c>
      <c r="JK41" s="132">
        <v>20045</v>
      </c>
      <c r="JM41" s="132">
        <v>14963</v>
      </c>
      <c r="JN41" s="132">
        <v>157917</v>
      </c>
    </row>
    <row r="42" spans="1:274" s="132" customFormat="1" x14ac:dyDescent="0.25">
      <c r="A42" s="134" t="s">
        <v>392</v>
      </c>
      <c r="B42" s="134"/>
      <c r="C42" s="134" t="s">
        <v>1069</v>
      </c>
      <c r="D42" s="134"/>
      <c r="E42" s="135"/>
      <c r="F42" s="134"/>
      <c r="G42" s="134" t="s">
        <v>393</v>
      </c>
      <c r="Q42" s="132">
        <v>76258</v>
      </c>
      <c r="AH42" s="132">
        <v>614379</v>
      </c>
      <c r="AI42" s="132">
        <v>246894</v>
      </c>
      <c r="AJ42" s="132">
        <v>69452</v>
      </c>
      <c r="AK42" s="132">
        <v>138909</v>
      </c>
      <c r="AL42" s="132">
        <v>0</v>
      </c>
      <c r="CU42" s="132">
        <v>1728</v>
      </c>
      <c r="CV42" s="132">
        <v>12000</v>
      </c>
      <c r="CW42" s="132">
        <v>35024</v>
      </c>
      <c r="CX42" s="132">
        <v>20693</v>
      </c>
      <c r="CZ42" s="132">
        <v>2080</v>
      </c>
      <c r="DA42" s="132">
        <v>18464</v>
      </c>
      <c r="DC42" s="132">
        <v>33952</v>
      </c>
      <c r="DF42" s="132">
        <v>94272</v>
      </c>
      <c r="DG42" s="132">
        <v>4224</v>
      </c>
      <c r="DH42" s="132">
        <v>18208</v>
      </c>
      <c r="DJ42" s="132">
        <v>11788</v>
      </c>
      <c r="DL42" s="132">
        <v>50736</v>
      </c>
      <c r="DM42" s="132">
        <v>28688</v>
      </c>
      <c r="DN42" s="132">
        <v>4992</v>
      </c>
      <c r="DQ42" s="132">
        <v>38432</v>
      </c>
      <c r="DR42" s="132">
        <v>1152</v>
      </c>
      <c r="DS42" s="132">
        <v>50112</v>
      </c>
      <c r="DT42" s="132">
        <v>22768</v>
      </c>
      <c r="DY42" s="132">
        <v>2010</v>
      </c>
      <c r="DZ42" s="132">
        <v>33740</v>
      </c>
      <c r="EA42" s="132">
        <v>56940</v>
      </c>
      <c r="EB42" s="132">
        <v>45026</v>
      </c>
      <c r="ED42" s="132">
        <v>1800</v>
      </c>
      <c r="EE42" s="132">
        <v>35650</v>
      </c>
      <c r="EG42" s="132">
        <v>58003</v>
      </c>
      <c r="EJ42" s="132">
        <v>180496</v>
      </c>
      <c r="EK42" s="132">
        <v>3015</v>
      </c>
      <c r="EL42" s="132">
        <v>33636</v>
      </c>
      <c r="EN42" s="132">
        <v>31306</v>
      </c>
      <c r="EP42" s="132">
        <v>95733</v>
      </c>
      <c r="EQ42" s="132">
        <v>67645</v>
      </c>
      <c r="ER42" s="132">
        <v>26202</v>
      </c>
      <c r="EU42" s="132">
        <v>325271</v>
      </c>
      <c r="EV42" s="132">
        <v>2060</v>
      </c>
      <c r="EW42" s="132">
        <v>69121</v>
      </c>
      <c r="EX42" s="132">
        <v>62624</v>
      </c>
      <c r="IO42" s="132">
        <v>22</v>
      </c>
      <c r="IP42" s="132">
        <v>6048</v>
      </c>
      <c r="IQ42" s="132">
        <v>2262</v>
      </c>
      <c r="IR42" s="132">
        <v>3381</v>
      </c>
      <c r="IT42" s="132">
        <v>126</v>
      </c>
      <c r="IU42" s="132">
        <v>5311</v>
      </c>
      <c r="IW42" s="132">
        <v>32792</v>
      </c>
      <c r="IZ42" s="132">
        <v>4266</v>
      </c>
      <c r="JA42" s="132">
        <v>120</v>
      </c>
      <c r="JB42" s="132">
        <v>2934</v>
      </c>
      <c r="JD42" s="132">
        <v>7661</v>
      </c>
      <c r="JF42" s="132">
        <v>16792</v>
      </c>
      <c r="JG42" s="132">
        <v>2434</v>
      </c>
      <c r="JH42" s="132">
        <v>2779</v>
      </c>
      <c r="JK42" s="132">
        <v>4782</v>
      </c>
      <c r="JL42" s="132">
        <v>38</v>
      </c>
      <c r="JM42" s="132">
        <v>2278</v>
      </c>
      <c r="JN42" s="132">
        <v>10329</v>
      </c>
    </row>
    <row r="43" spans="1:274" s="132" customFormat="1" ht="15" customHeight="1" x14ac:dyDescent="0.25">
      <c r="A43" s="134" t="s">
        <v>396</v>
      </c>
      <c r="B43" s="134"/>
      <c r="C43" s="134" t="s">
        <v>1069</v>
      </c>
      <c r="D43" s="134"/>
      <c r="E43" s="135"/>
      <c r="F43" s="134"/>
      <c r="G43" s="134" t="s">
        <v>397</v>
      </c>
      <c r="Q43" s="132">
        <v>3177268</v>
      </c>
      <c r="AH43" s="132">
        <v>9264510</v>
      </c>
      <c r="AI43" s="132">
        <v>5859122</v>
      </c>
      <c r="AJ43" s="132">
        <v>1823647</v>
      </c>
      <c r="AK43" s="132">
        <v>3501854</v>
      </c>
      <c r="AL43" s="132">
        <v>0</v>
      </c>
      <c r="CU43" s="132">
        <v>4320</v>
      </c>
      <c r="CV43" s="132">
        <v>248060</v>
      </c>
      <c r="CW43" s="132">
        <v>889480</v>
      </c>
      <c r="CX43" s="132">
        <v>525553</v>
      </c>
      <c r="CY43" s="132">
        <v>73024</v>
      </c>
      <c r="CZ43" s="132">
        <v>30172</v>
      </c>
      <c r="DA43" s="132">
        <v>631191</v>
      </c>
      <c r="DB43" s="132">
        <v>110576</v>
      </c>
      <c r="DC43" s="132">
        <v>454696</v>
      </c>
      <c r="DD43" s="132">
        <v>2112</v>
      </c>
      <c r="DE43" s="132">
        <v>227486</v>
      </c>
      <c r="DF43" s="132">
        <v>1120826</v>
      </c>
      <c r="DG43" s="132">
        <v>91546</v>
      </c>
      <c r="DH43" s="132">
        <v>313382</v>
      </c>
      <c r="DJ43" s="132">
        <v>544712</v>
      </c>
      <c r="DK43" s="132">
        <v>24976</v>
      </c>
      <c r="DL43" s="132">
        <v>156544</v>
      </c>
      <c r="DM43" s="132">
        <v>954954</v>
      </c>
      <c r="DN43" s="132">
        <v>155616</v>
      </c>
      <c r="DO43" s="132">
        <v>71979</v>
      </c>
      <c r="DP43" s="132">
        <v>9782</v>
      </c>
      <c r="DQ43" s="132">
        <v>333856</v>
      </c>
      <c r="DR43" s="132">
        <v>160776</v>
      </c>
      <c r="DS43" s="132">
        <v>1187616</v>
      </c>
      <c r="DT43" s="132">
        <v>393464</v>
      </c>
      <c r="DY43" s="132">
        <v>10355</v>
      </c>
      <c r="DZ43" s="132">
        <v>394971</v>
      </c>
      <c r="EA43" s="132">
        <v>2132156</v>
      </c>
      <c r="EB43" s="132">
        <v>1516537</v>
      </c>
      <c r="EC43" s="132">
        <v>262829</v>
      </c>
      <c r="ED43" s="132">
        <v>97801</v>
      </c>
      <c r="EE43" s="132">
        <v>1431219</v>
      </c>
      <c r="EF43" s="132">
        <v>114872</v>
      </c>
      <c r="EG43" s="132">
        <v>1428655</v>
      </c>
      <c r="EH43" s="132">
        <v>472408</v>
      </c>
      <c r="EI43" s="132">
        <v>757699</v>
      </c>
      <c r="EJ43" s="132">
        <v>2669146</v>
      </c>
      <c r="EK43" s="132">
        <v>251535</v>
      </c>
      <c r="EL43" s="132">
        <v>1163989</v>
      </c>
      <c r="EN43" s="132">
        <v>2120695</v>
      </c>
      <c r="EO43" s="132">
        <v>160127</v>
      </c>
      <c r="EP43" s="132">
        <v>916272</v>
      </c>
      <c r="EQ43" s="132">
        <v>3289614</v>
      </c>
      <c r="ER43" s="132">
        <v>777275</v>
      </c>
      <c r="ES43" s="132">
        <v>411749</v>
      </c>
      <c r="ET43" s="132">
        <v>18823</v>
      </c>
      <c r="EU43" s="132">
        <v>1348822</v>
      </c>
      <c r="EV43" s="132">
        <v>457548</v>
      </c>
      <c r="EW43" s="132">
        <v>2901037</v>
      </c>
      <c r="EX43" s="132">
        <v>1675336</v>
      </c>
      <c r="IO43" s="132">
        <v>0</v>
      </c>
      <c r="IP43" s="132">
        <v>439846</v>
      </c>
      <c r="IQ43" s="132">
        <v>493302</v>
      </c>
      <c r="IR43" s="132">
        <v>422290</v>
      </c>
      <c r="IS43" s="132">
        <v>387047</v>
      </c>
      <c r="IT43" s="132">
        <v>77500</v>
      </c>
      <c r="IU43" s="132">
        <v>747456</v>
      </c>
      <c r="IV43" s="132">
        <v>115536</v>
      </c>
      <c r="IW43" s="132">
        <v>370673</v>
      </c>
      <c r="IX43" s="132">
        <v>149940</v>
      </c>
      <c r="IY43" s="132">
        <v>228251</v>
      </c>
      <c r="IZ43" s="132">
        <v>519119</v>
      </c>
      <c r="JA43" s="132">
        <v>24404</v>
      </c>
      <c r="JB43" s="132">
        <v>153900</v>
      </c>
      <c r="JD43" s="132">
        <v>380197</v>
      </c>
      <c r="JE43" s="132">
        <v>18055</v>
      </c>
      <c r="JF43" s="132">
        <v>93526</v>
      </c>
      <c r="JG43" s="132">
        <v>330286</v>
      </c>
      <c r="JH43" s="132">
        <v>359795</v>
      </c>
      <c r="JI43" s="132">
        <v>323650</v>
      </c>
      <c r="JJ43" s="132">
        <v>26226</v>
      </c>
      <c r="JK43" s="132">
        <v>182507</v>
      </c>
      <c r="JL43" s="132">
        <v>107368</v>
      </c>
      <c r="JM43" s="132">
        <v>215288</v>
      </c>
      <c r="JN43" s="132">
        <v>454830</v>
      </c>
    </row>
    <row r="44" spans="1:274" s="132" customFormat="1" x14ac:dyDescent="0.25">
      <c r="A44" s="134" t="s">
        <v>398</v>
      </c>
      <c r="B44" s="134"/>
      <c r="C44" s="134" t="s">
        <v>1069</v>
      </c>
      <c r="D44" s="134"/>
      <c r="E44" s="135"/>
      <c r="F44" s="134"/>
      <c r="G44" s="134" t="s">
        <v>399</v>
      </c>
      <c r="Q44" s="132">
        <v>2187382</v>
      </c>
      <c r="AH44" s="132">
        <v>2945948</v>
      </c>
      <c r="AI44" s="132">
        <v>1567541</v>
      </c>
      <c r="AJ44" s="132">
        <v>573520</v>
      </c>
      <c r="AK44" s="132">
        <v>320237</v>
      </c>
      <c r="AL44" s="132">
        <v>283613</v>
      </c>
      <c r="CU44" s="132">
        <v>26480</v>
      </c>
      <c r="CV44" s="132">
        <v>35200</v>
      </c>
      <c r="CW44" s="132">
        <v>299584</v>
      </c>
      <c r="CX44" s="132">
        <v>163504</v>
      </c>
      <c r="CZ44" s="132">
        <v>62240</v>
      </c>
      <c r="DA44" s="132">
        <v>205448</v>
      </c>
      <c r="DB44" s="132">
        <v>5088</v>
      </c>
      <c r="DC44" s="132">
        <v>87536</v>
      </c>
      <c r="DD44" s="132">
        <v>1120</v>
      </c>
      <c r="DE44" s="132">
        <v>49760</v>
      </c>
      <c r="DF44" s="132">
        <v>629097</v>
      </c>
      <c r="DG44" s="132">
        <v>77888</v>
      </c>
      <c r="DH44" s="132">
        <v>71552</v>
      </c>
      <c r="DJ44" s="132">
        <v>175296</v>
      </c>
      <c r="DK44" s="132">
        <v>40352</v>
      </c>
      <c r="DL44" s="132">
        <v>191504</v>
      </c>
      <c r="DM44" s="132">
        <v>474537</v>
      </c>
      <c r="DN44" s="132">
        <v>44848</v>
      </c>
      <c r="DO44" s="132">
        <v>17808</v>
      </c>
      <c r="DP44" s="132">
        <v>17088</v>
      </c>
      <c r="DQ44" s="132">
        <v>76912</v>
      </c>
      <c r="DR44" s="132">
        <v>64272</v>
      </c>
      <c r="DS44" s="132">
        <v>477264</v>
      </c>
      <c r="DT44" s="132">
        <v>159632</v>
      </c>
      <c r="DY44" s="132">
        <v>110943</v>
      </c>
      <c r="DZ44" s="132">
        <v>154410</v>
      </c>
      <c r="EA44" s="132">
        <v>761458</v>
      </c>
      <c r="EB44" s="132">
        <v>590427</v>
      </c>
      <c r="ED44" s="132">
        <v>326050</v>
      </c>
      <c r="EE44" s="132">
        <v>601863</v>
      </c>
      <c r="EF44" s="132">
        <v>40770</v>
      </c>
      <c r="EG44" s="132">
        <v>216751</v>
      </c>
      <c r="EH44" s="132">
        <v>4508</v>
      </c>
      <c r="EI44" s="132">
        <v>177308</v>
      </c>
      <c r="EJ44" s="132">
        <v>1915777</v>
      </c>
      <c r="EK44" s="132">
        <v>185504</v>
      </c>
      <c r="EL44" s="132">
        <v>196693</v>
      </c>
      <c r="EN44" s="132">
        <v>433114</v>
      </c>
      <c r="EO44" s="132">
        <v>78161</v>
      </c>
      <c r="EP44" s="132">
        <v>264490</v>
      </c>
      <c r="EQ44" s="132">
        <v>909081</v>
      </c>
      <c r="ER44" s="132">
        <v>158644</v>
      </c>
      <c r="ES44" s="132">
        <v>64429</v>
      </c>
      <c r="ET44" s="132">
        <v>67285</v>
      </c>
      <c r="EU44" s="132">
        <v>476844</v>
      </c>
      <c r="EV44" s="132">
        <v>271237</v>
      </c>
      <c r="EW44" s="132">
        <v>1150322</v>
      </c>
      <c r="EX44" s="132">
        <v>1003087</v>
      </c>
      <c r="IO44" s="132">
        <v>73980</v>
      </c>
      <c r="IP44" s="132">
        <v>112914</v>
      </c>
      <c r="IQ44" s="132">
        <v>281450</v>
      </c>
      <c r="IR44" s="132">
        <v>93498</v>
      </c>
      <c r="IT44" s="132">
        <v>286378</v>
      </c>
      <c r="IU44" s="132">
        <v>126647</v>
      </c>
      <c r="IV44" s="132">
        <v>3056</v>
      </c>
      <c r="IW44" s="132">
        <v>47242</v>
      </c>
      <c r="IX44" s="132">
        <v>33619</v>
      </c>
      <c r="IY44" s="132">
        <v>53471</v>
      </c>
      <c r="IZ44" s="132">
        <v>77119</v>
      </c>
      <c r="JA44" s="132">
        <v>7671</v>
      </c>
      <c r="JB44" s="132">
        <v>39253</v>
      </c>
      <c r="JD44" s="132">
        <v>316652</v>
      </c>
      <c r="JE44" s="132">
        <v>16122</v>
      </c>
      <c r="JF44" s="132">
        <v>56090</v>
      </c>
      <c r="JG44" s="132">
        <v>94905</v>
      </c>
      <c r="JH44" s="132">
        <v>41841</v>
      </c>
      <c r="JI44" s="132">
        <v>37981</v>
      </c>
      <c r="JJ44" s="132">
        <v>30609</v>
      </c>
      <c r="JK44" s="132">
        <v>51937</v>
      </c>
      <c r="JL44" s="132">
        <v>41595</v>
      </c>
      <c r="JM44" s="132">
        <v>64764</v>
      </c>
      <c r="JN44" s="132">
        <v>95251</v>
      </c>
    </row>
    <row r="45" spans="1:274" s="132" customFormat="1" x14ac:dyDescent="0.25">
      <c r="A45" s="134" t="s">
        <v>1072</v>
      </c>
      <c r="B45" s="134"/>
      <c r="C45" s="134" t="s">
        <v>1069</v>
      </c>
      <c r="D45" s="134"/>
      <c r="E45" s="135"/>
      <c r="F45" s="134"/>
      <c r="G45" s="134" t="s">
        <v>456</v>
      </c>
      <c r="Q45" s="132">
        <v>2193877</v>
      </c>
      <c r="AH45" s="132">
        <v>7735385</v>
      </c>
      <c r="AI45" s="132">
        <v>3005880</v>
      </c>
      <c r="AJ45" s="132">
        <v>1043840</v>
      </c>
      <c r="AK45" s="132">
        <v>1890043</v>
      </c>
      <c r="AL45" s="132">
        <v>0</v>
      </c>
      <c r="CU45" s="132">
        <v>1632</v>
      </c>
      <c r="CV45" s="132">
        <v>114832</v>
      </c>
      <c r="CW45" s="132">
        <v>532688</v>
      </c>
      <c r="CX45" s="132">
        <v>280128</v>
      </c>
      <c r="DA45" s="132">
        <v>435280</v>
      </c>
      <c r="DC45" s="132">
        <v>133552</v>
      </c>
      <c r="DE45" s="132">
        <v>175152</v>
      </c>
      <c r="DF45" s="132">
        <v>908960</v>
      </c>
      <c r="DG45" s="132">
        <v>135760</v>
      </c>
      <c r="DH45" s="132">
        <v>74640</v>
      </c>
      <c r="DJ45" s="132">
        <v>286352</v>
      </c>
      <c r="DL45" s="132">
        <v>134656</v>
      </c>
      <c r="DM45" s="132">
        <v>706400</v>
      </c>
      <c r="DN45" s="132">
        <v>58304</v>
      </c>
      <c r="DO45" s="132">
        <v>11216</v>
      </c>
      <c r="DP45" s="132">
        <v>20688</v>
      </c>
      <c r="DQ45" s="132">
        <v>54064</v>
      </c>
      <c r="DR45" s="132">
        <v>98784</v>
      </c>
      <c r="DS45" s="132">
        <v>600336</v>
      </c>
      <c r="DT45" s="132">
        <v>124272</v>
      </c>
      <c r="DY45" s="132">
        <v>4103</v>
      </c>
      <c r="DZ45" s="132">
        <v>306180</v>
      </c>
      <c r="EA45" s="132">
        <v>1339380</v>
      </c>
      <c r="EB45" s="132">
        <v>578739</v>
      </c>
      <c r="EE45" s="132">
        <v>1201530</v>
      </c>
      <c r="EG45" s="132">
        <v>178670</v>
      </c>
      <c r="EI45" s="132">
        <v>322457</v>
      </c>
      <c r="EJ45" s="132">
        <v>2489224</v>
      </c>
      <c r="EK45" s="132">
        <v>322688</v>
      </c>
      <c r="EL45" s="132">
        <v>326237</v>
      </c>
      <c r="EN45" s="132">
        <v>1327518</v>
      </c>
      <c r="EP45" s="132">
        <v>489075</v>
      </c>
      <c r="EQ45" s="132">
        <v>1589403</v>
      </c>
      <c r="ER45" s="132">
        <v>245966</v>
      </c>
      <c r="ES45" s="132">
        <v>78754</v>
      </c>
      <c r="ET45" s="132">
        <v>315469</v>
      </c>
      <c r="EU45" s="132">
        <v>310733</v>
      </c>
      <c r="EV45" s="132">
        <v>48362</v>
      </c>
      <c r="EW45" s="132">
        <v>1563493</v>
      </c>
      <c r="EX45" s="132">
        <v>414177</v>
      </c>
      <c r="IO45" s="132">
        <v>1384</v>
      </c>
      <c r="IP45" s="132">
        <v>300895</v>
      </c>
      <c r="IQ45" s="132">
        <v>451862</v>
      </c>
      <c r="IR45" s="132">
        <v>141021</v>
      </c>
      <c r="IU45" s="132">
        <v>964745</v>
      </c>
      <c r="IW45" s="132">
        <v>12558</v>
      </c>
      <c r="IY45" s="132">
        <v>169535</v>
      </c>
      <c r="IZ45" s="132">
        <v>424472</v>
      </c>
      <c r="JA45" s="132">
        <v>9530</v>
      </c>
      <c r="JB45" s="132">
        <v>99850</v>
      </c>
      <c r="JD45" s="132">
        <v>409415</v>
      </c>
      <c r="JF45" s="132">
        <v>89595</v>
      </c>
      <c r="JG45" s="132">
        <v>105861</v>
      </c>
      <c r="JH45" s="132">
        <v>184077</v>
      </c>
      <c r="JI45" s="132">
        <v>27115</v>
      </c>
      <c r="JJ45" s="132">
        <v>103113</v>
      </c>
      <c r="JK45" s="132">
        <v>49888</v>
      </c>
      <c r="JL45" s="132">
        <v>14964</v>
      </c>
      <c r="JM45" s="132">
        <v>73707</v>
      </c>
      <c r="JN45" s="132">
        <v>42452</v>
      </c>
    </row>
    <row r="46" spans="1:274" s="132" customFormat="1" x14ac:dyDescent="0.25">
      <c r="A46" s="134" t="s">
        <v>400</v>
      </c>
      <c r="B46" s="134"/>
      <c r="C46" s="134" t="s">
        <v>1069</v>
      </c>
      <c r="D46" s="134"/>
      <c r="E46" s="135"/>
      <c r="F46" s="134"/>
      <c r="G46" s="134" t="s">
        <v>401</v>
      </c>
      <c r="Q46" s="132">
        <v>249280</v>
      </c>
      <c r="AH46" s="132">
        <v>2235442</v>
      </c>
      <c r="AI46" s="132">
        <v>771348</v>
      </c>
      <c r="AJ46" s="132">
        <v>512675</v>
      </c>
      <c r="AK46" s="132">
        <v>864059</v>
      </c>
      <c r="AL46" s="132">
        <v>0</v>
      </c>
      <c r="CU46" s="132">
        <v>24672</v>
      </c>
      <c r="CW46" s="132">
        <v>139680</v>
      </c>
      <c r="CX46" s="132">
        <v>144160</v>
      </c>
      <c r="CY46" s="132">
        <v>8544</v>
      </c>
      <c r="CZ46" s="132">
        <v>4464</v>
      </c>
      <c r="DA46" s="132">
        <v>107936</v>
      </c>
      <c r="DB46" s="132">
        <v>20224</v>
      </c>
      <c r="DC46" s="132">
        <v>101072</v>
      </c>
      <c r="DF46" s="132">
        <v>292464</v>
      </c>
      <c r="DG46" s="132">
        <v>28096</v>
      </c>
      <c r="DL46" s="132">
        <v>59305</v>
      </c>
      <c r="DM46" s="132">
        <v>149632</v>
      </c>
      <c r="DN46" s="132">
        <v>20992</v>
      </c>
      <c r="DO46" s="132">
        <v>46284</v>
      </c>
      <c r="DQ46" s="132">
        <v>67824</v>
      </c>
      <c r="DR46" s="132">
        <v>81692</v>
      </c>
      <c r="DS46" s="132">
        <v>293712</v>
      </c>
      <c r="DT46" s="132">
        <v>54720</v>
      </c>
      <c r="DY46" s="132">
        <v>151870</v>
      </c>
      <c r="EA46" s="132">
        <v>336819</v>
      </c>
      <c r="EB46" s="132">
        <v>509886</v>
      </c>
      <c r="EC46" s="132">
        <v>79390</v>
      </c>
      <c r="ED46" s="132">
        <v>26021</v>
      </c>
      <c r="EE46" s="132">
        <v>54100</v>
      </c>
      <c r="EF46" s="132">
        <v>80261</v>
      </c>
      <c r="EG46" s="132">
        <v>145003</v>
      </c>
      <c r="EJ46" s="132">
        <v>860811</v>
      </c>
      <c r="EK46" s="132">
        <v>71262</v>
      </c>
      <c r="EP46" s="132">
        <v>148170</v>
      </c>
      <c r="EQ46" s="132">
        <v>297424</v>
      </c>
      <c r="ER46" s="132">
        <v>125737</v>
      </c>
      <c r="ES46" s="132">
        <v>0</v>
      </c>
      <c r="EU46" s="132">
        <v>159445</v>
      </c>
      <c r="EV46" s="132">
        <v>76798</v>
      </c>
      <c r="EW46" s="132">
        <v>672730</v>
      </c>
      <c r="EX46" s="132">
        <v>131463</v>
      </c>
      <c r="IO46" s="132">
        <v>29344</v>
      </c>
      <c r="IQ46" s="132">
        <v>35889</v>
      </c>
      <c r="IR46" s="132">
        <v>118220</v>
      </c>
      <c r="IS46" s="132">
        <v>82517</v>
      </c>
      <c r="IT46" s="132">
        <v>5943</v>
      </c>
      <c r="IU46" s="132">
        <v>3727</v>
      </c>
      <c r="IV46" s="132">
        <v>14966</v>
      </c>
      <c r="IW46" s="132">
        <v>26703</v>
      </c>
      <c r="IZ46" s="132">
        <v>110549</v>
      </c>
      <c r="JA46" s="132">
        <v>1785</v>
      </c>
      <c r="JF46" s="132">
        <v>54054</v>
      </c>
      <c r="JG46" s="132">
        <v>68800</v>
      </c>
      <c r="JH46" s="132">
        <v>38299</v>
      </c>
      <c r="JI46" s="132">
        <v>470155</v>
      </c>
      <c r="JK46" s="132">
        <v>57823</v>
      </c>
      <c r="JL46" s="132">
        <v>79394</v>
      </c>
      <c r="JM46" s="132">
        <v>33665</v>
      </c>
      <c r="JN46" s="132">
        <v>22713</v>
      </c>
    </row>
    <row r="47" spans="1:274" s="132" customFormat="1" x14ac:dyDescent="0.25">
      <c r="A47" s="134" t="s">
        <v>1070</v>
      </c>
      <c r="B47" s="134"/>
      <c r="C47" s="134" t="s">
        <v>1069</v>
      </c>
      <c r="D47" s="134"/>
      <c r="E47" s="135"/>
      <c r="F47" s="134"/>
      <c r="G47" s="134" t="s">
        <v>402</v>
      </c>
      <c r="Q47" s="132">
        <v>6565466</v>
      </c>
      <c r="AH47" s="132">
        <v>10912386</v>
      </c>
      <c r="AI47" s="132">
        <v>7264961</v>
      </c>
      <c r="AJ47" s="132">
        <v>4506159</v>
      </c>
      <c r="AK47" s="132">
        <v>1756711</v>
      </c>
      <c r="AL47" s="132">
        <v>0</v>
      </c>
      <c r="CU47" s="132">
        <v>15234</v>
      </c>
      <c r="CV47" s="132">
        <v>137312</v>
      </c>
      <c r="CW47" s="132">
        <v>1156288</v>
      </c>
      <c r="CX47" s="132">
        <v>602077</v>
      </c>
      <c r="CZ47" s="132">
        <v>41392</v>
      </c>
      <c r="DA47" s="132">
        <v>987801</v>
      </c>
      <c r="DB47" s="132">
        <v>6576</v>
      </c>
      <c r="DC47" s="132">
        <v>103272</v>
      </c>
      <c r="DD47" s="132">
        <v>2016</v>
      </c>
      <c r="DE47" s="132">
        <v>187147</v>
      </c>
      <c r="DF47" s="132">
        <v>1742578</v>
      </c>
      <c r="DG47" s="132">
        <v>330840</v>
      </c>
      <c r="DH47" s="132">
        <v>167978</v>
      </c>
      <c r="DI47" s="132">
        <v>24480</v>
      </c>
      <c r="DJ47" s="132">
        <v>349317</v>
      </c>
      <c r="DK47" s="132">
        <v>40864</v>
      </c>
      <c r="DM47" s="132">
        <v>1131132</v>
      </c>
      <c r="DN47" s="132">
        <v>102014</v>
      </c>
      <c r="DO47" s="132">
        <v>138288</v>
      </c>
      <c r="DP47" s="132">
        <v>9260</v>
      </c>
      <c r="DQ47" s="132">
        <v>312144</v>
      </c>
      <c r="DR47" s="132">
        <v>277610</v>
      </c>
      <c r="DS47" s="132">
        <v>1987100</v>
      </c>
      <c r="DT47" s="132">
        <v>492480</v>
      </c>
      <c r="DY47" s="132">
        <v>75471</v>
      </c>
      <c r="DZ47" s="132">
        <v>645209</v>
      </c>
      <c r="EA47" s="132">
        <v>3242873</v>
      </c>
      <c r="EB47" s="132">
        <v>3098327</v>
      </c>
      <c r="ED47" s="132">
        <v>323690</v>
      </c>
      <c r="EE47" s="132">
        <v>1789139</v>
      </c>
      <c r="EF47" s="132">
        <v>50100</v>
      </c>
      <c r="EG47" s="132">
        <v>643745</v>
      </c>
      <c r="EH47" s="132">
        <v>4937</v>
      </c>
      <c r="EI47" s="132">
        <v>1117236</v>
      </c>
      <c r="EJ47" s="132">
        <v>4662642</v>
      </c>
      <c r="EK47" s="132">
        <v>800097</v>
      </c>
      <c r="EL47" s="132">
        <v>1354244</v>
      </c>
      <c r="EM47" s="132">
        <v>198500</v>
      </c>
      <c r="EN47" s="132">
        <v>1303530</v>
      </c>
      <c r="EO47" s="132">
        <v>306880</v>
      </c>
      <c r="EQ47" s="132">
        <v>2871642</v>
      </c>
      <c r="ER47" s="132">
        <v>494866</v>
      </c>
      <c r="ES47" s="132">
        <v>189357</v>
      </c>
      <c r="ET47" s="132">
        <v>4155</v>
      </c>
      <c r="EU47" s="132">
        <v>1154902</v>
      </c>
      <c r="EV47" s="132">
        <v>442850</v>
      </c>
      <c r="EW47" s="132">
        <v>4294536</v>
      </c>
      <c r="EX47" s="132">
        <v>1869068</v>
      </c>
      <c r="IO47" s="132">
        <v>40874</v>
      </c>
      <c r="IP47" s="132">
        <v>353602</v>
      </c>
      <c r="IQ47" s="132">
        <v>1085958</v>
      </c>
      <c r="IR47" s="132">
        <v>383469</v>
      </c>
      <c r="IT47" s="132">
        <v>33036</v>
      </c>
      <c r="IU47" s="132">
        <v>452566</v>
      </c>
      <c r="IV47" s="132">
        <v>2175</v>
      </c>
      <c r="IW47" s="132">
        <v>81809</v>
      </c>
      <c r="IX47" s="132">
        <v>9560</v>
      </c>
      <c r="IY47" s="132">
        <v>359126</v>
      </c>
      <c r="IZ47" s="132">
        <v>1243089</v>
      </c>
      <c r="JA47" s="132">
        <v>139599</v>
      </c>
      <c r="JB47" s="132">
        <v>133114</v>
      </c>
      <c r="JC47" s="132">
        <v>10021</v>
      </c>
      <c r="JD47" s="132">
        <v>299807</v>
      </c>
      <c r="JE47" s="132">
        <v>23610</v>
      </c>
      <c r="JG47" s="132">
        <v>410700</v>
      </c>
      <c r="JH47" s="132">
        <v>213459</v>
      </c>
      <c r="JI47" s="132">
        <v>731852</v>
      </c>
      <c r="JJ47" s="132">
        <v>33508</v>
      </c>
      <c r="JK47" s="132">
        <v>384857</v>
      </c>
      <c r="JL47" s="132">
        <v>605394</v>
      </c>
      <c r="JM47" s="132">
        <v>1198692</v>
      </c>
      <c r="JN47" s="132">
        <v>469399</v>
      </c>
    </row>
    <row r="48" spans="1:274" s="132" customFormat="1" x14ac:dyDescent="0.25">
      <c r="A48" s="134" t="s">
        <v>403</v>
      </c>
      <c r="B48" s="134"/>
      <c r="C48" s="134" t="s">
        <v>1069</v>
      </c>
      <c r="D48" s="134"/>
      <c r="E48" s="135"/>
      <c r="F48" s="134"/>
      <c r="G48" s="134" t="s">
        <v>404</v>
      </c>
      <c r="Q48" s="132">
        <v>0</v>
      </c>
      <c r="AH48" s="132">
        <v>1647702</v>
      </c>
      <c r="AI48" s="132">
        <v>936446</v>
      </c>
      <c r="AJ48" s="132">
        <v>592279</v>
      </c>
      <c r="AK48" s="132">
        <v>199109</v>
      </c>
      <c r="AL48" s="132">
        <v>0</v>
      </c>
      <c r="CU48" s="132">
        <v>9680</v>
      </c>
      <c r="CV48" s="132">
        <v>44598</v>
      </c>
      <c r="CW48" s="132">
        <v>128016</v>
      </c>
      <c r="CX48" s="132">
        <v>123517</v>
      </c>
      <c r="DA48" s="132">
        <v>118304</v>
      </c>
      <c r="DB48" s="132">
        <v>2205</v>
      </c>
      <c r="DC48" s="132">
        <v>5222</v>
      </c>
      <c r="DD48" s="132">
        <v>288</v>
      </c>
      <c r="DE48" s="132">
        <v>4480</v>
      </c>
      <c r="DF48" s="132">
        <v>203952</v>
      </c>
      <c r="DG48" s="132">
        <v>14016</v>
      </c>
      <c r="DH48" s="132">
        <v>121112</v>
      </c>
      <c r="DI48" s="132">
        <v>10814</v>
      </c>
      <c r="DJ48" s="132">
        <v>121252</v>
      </c>
      <c r="DK48" s="132">
        <v>32976</v>
      </c>
      <c r="DL48" s="132">
        <v>20443</v>
      </c>
      <c r="DM48" s="132">
        <v>121051</v>
      </c>
      <c r="DN48" s="132">
        <v>11696</v>
      </c>
      <c r="DQ48" s="132">
        <v>72528</v>
      </c>
      <c r="DR48" s="132">
        <v>52502</v>
      </c>
      <c r="DS48" s="132">
        <v>189264</v>
      </c>
      <c r="DT48" s="132">
        <v>85208</v>
      </c>
      <c r="DY48" s="132">
        <v>62000</v>
      </c>
      <c r="DZ48" s="132">
        <v>178264</v>
      </c>
      <c r="EA48" s="132">
        <v>458441</v>
      </c>
      <c r="EB48" s="132">
        <v>269286</v>
      </c>
      <c r="EE48" s="132">
        <v>696226</v>
      </c>
      <c r="EF48" s="132">
        <v>5878</v>
      </c>
      <c r="EG48" s="132">
        <v>86939</v>
      </c>
      <c r="EH48" s="132">
        <v>840</v>
      </c>
      <c r="EI48" s="132">
        <v>60184</v>
      </c>
      <c r="EJ48" s="132">
        <v>673126</v>
      </c>
      <c r="EK48" s="132">
        <v>83254</v>
      </c>
      <c r="EL48" s="132">
        <v>564024</v>
      </c>
      <c r="EM48" s="132">
        <v>249479</v>
      </c>
      <c r="EN48" s="132">
        <v>477250</v>
      </c>
      <c r="EO48" s="132">
        <v>172349</v>
      </c>
      <c r="EP48" s="132">
        <v>332275</v>
      </c>
      <c r="EQ48" s="132">
        <v>494951</v>
      </c>
      <c r="ER48" s="132">
        <v>86704</v>
      </c>
      <c r="EU48" s="132">
        <v>267256</v>
      </c>
      <c r="EV48" s="132">
        <v>118989</v>
      </c>
      <c r="EW48" s="132">
        <v>467053</v>
      </c>
      <c r="EX48" s="132">
        <v>482592</v>
      </c>
      <c r="IO48" s="132">
        <v>7543</v>
      </c>
      <c r="IP48" s="132">
        <v>204203</v>
      </c>
      <c r="IQ48" s="132">
        <v>78201</v>
      </c>
      <c r="IR48" s="132">
        <v>24050</v>
      </c>
      <c r="IU48" s="132">
        <v>185368</v>
      </c>
      <c r="IV48" s="132">
        <v>0</v>
      </c>
      <c r="IW48" s="132">
        <v>10991</v>
      </c>
      <c r="IX48" s="132">
        <v>1005</v>
      </c>
      <c r="IY48" s="132">
        <v>5176</v>
      </c>
      <c r="IZ48" s="132">
        <v>90771</v>
      </c>
      <c r="JA48" s="132">
        <v>11509</v>
      </c>
      <c r="JB48" s="132">
        <v>105804</v>
      </c>
      <c r="JC48" s="132">
        <v>84320</v>
      </c>
      <c r="JD48" s="132">
        <v>116962</v>
      </c>
      <c r="JE48" s="132">
        <v>34545</v>
      </c>
      <c r="JF48" s="132">
        <v>63021</v>
      </c>
      <c r="JG48" s="132">
        <v>67092</v>
      </c>
      <c r="JH48" s="132">
        <v>23198</v>
      </c>
      <c r="JK48" s="132">
        <v>26235</v>
      </c>
      <c r="JL48" s="132">
        <v>26283</v>
      </c>
      <c r="JM48" s="132">
        <v>67586</v>
      </c>
      <c r="JN48" s="132">
        <v>123793</v>
      </c>
    </row>
    <row r="49" spans="1:309" s="132" customFormat="1" ht="15" customHeight="1" x14ac:dyDescent="0.25">
      <c r="A49" s="134" t="s">
        <v>405</v>
      </c>
      <c r="B49" s="134"/>
      <c r="C49" s="134" t="s">
        <v>1069</v>
      </c>
      <c r="D49" s="134"/>
      <c r="E49" s="135"/>
      <c r="F49" s="134"/>
      <c r="G49" s="134" t="s">
        <v>406</v>
      </c>
      <c r="Q49" s="132">
        <v>962947</v>
      </c>
      <c r="AH49" s="132">
        <v>1365458</v>
      </c>
      <c r="AI49" s="132">
        <v>523758</v>
      </c>
      <c r="AJ49" s="132">
        <v>455238</v>
      </c>
      <c r="AK49" s="132">
        <v>170839</v>
      </c>
      <c r="AL49" s="132">
        <v>0</v>
      </c>
      <c r="CU49" s="132">
        <v>36574</v>
      </c>
      <c r="CV49" s="132">
        <v>158110</v>
      </c>
      <c r="CW49" s="132">
        <v>190632</v>
      </c>
      <c r="CX49" s="132">
        <v>195298</v>
      </c>
      <c r="CZ49" s="132">
        <v>6368</v>
      </c>
      <c r="DA49" s="132">
        <v>43831</v>
      </c>
      <c r="DB49" s="132">
        <v>120851</v>
      </c>
      <c r="DC49" s="132">
        <v>85936</v>
      </c>
      <c r="DD49" s="132">
        <v>1056</v>
      </c>
      <c r="DE49" s="132">
        <v>144243</v>
      </c>
      <c r="DF49" s="132">
        <v>205664</v>
      </c>
      <c r="DG49" s="132">
        <v>16800</v>
      </c>
      <c r="DH49" s="132">
        <v>114432</v>
      </c>
      <c r="DJ49" s="132">
        <v>70756</v>
      </c>
      <c r="DL49" s="132">
        <v>136235</v>
      </c>
      <c r="DM49" s="132">
        <v>149344</v>
      </c>
      <c r="DN49" s="132">
        <v>99771</v>
      </c>
      <c r="DO49" s="132">
        <v>21188</v>
      </c>
      <c r="DP49" s="132">
        <v>12176</v>
      </c>
      <c r="DQ49" s="132">
        <v>22880</v>
      </c>
      <c r="DR49" s="132">
        <v>61618</v>
      </c>
      <c r="DS49" s="132">
        <v>246545</v>
      </c>
      <c r="DT49" s="132">
        <v>54064</v>
      </c>
      <c r="DY49" s="132">
        <v>132030</v>
      </c>
      <c r="DZ49" s="132">
        <v>276587</v>
      </c>
      <c r="EA49" s="132">
        <v>556256</v>
      </c>
      <c r="EB49" s="132">
        <v>506764</v>
      </c>
      <c r="ED49" s="132">
        <v>16622</v>
      </c>
      <c r="EE49" s="132">
        <v>258627</v>
      </c>
      <c r="EF49" s="132">
        <v>292878</v>
      </c>
      <c r="EG49" s="132">
        <v>119544</v>
      </c>
      <c r="EH49" s="132">
        <v>1200</v>
      </c>
      <c r="EI49" s="132">
        <v>170608</v>
      </c>
      <c r="EJ49" s="132">
        <v>443149</v>
      </c>
      <c r="EK49" s="132">
        <v>61810</v>
      </c>
      <c r="EL49" s="132">
        <v>718102</v>
      </c>
      <c r="EN49" s="132">
        <v>166165</v>
      </c>
      <c r="EP49" s="132">
        <v>302225</v>
      </c>
      <c r="EQ49" s="132">
        <v>336182</v>
      </c>
      <c r="ER49" s="132">
        <v>235114</v>
      </c>
      <c r="ES49" s="132">
        <v>49147</v>
      </c>
      <c r="ET49" s="132">
        <v>13841</v>
      </c>
      <c r="EU49" s="132">
        <v>65287</v>
      </c>
      <c r="EV49" s="132">
        <v>70928</v>
      </c>
      <c r="EW49" s="132">
        <v>569243</v>
      </c>
      <c r="EX49" s="132">
        <v>157355</v>
      </c>
      <c r="IO49" s="132">
        <v>51016</v>
      </c>
      <c r="IP49" s="132">
        <v>77322</v>
      </c>
      <c r="IQ49" s="132">
        <v>80428</v>
      </c>
      <c r="IR49" s="132">
        <v>68664</v>
      </c>
      <c r="IT49" s="132">
        <v>8359</v>
      </c>
      <c r="IU49" s="132">
        <v>17706</v>
      </c>
      <c r="IV49" s="132">
        <v>12148</v>
      </c>
      <c r="IW49" s="132">
        <v>106349</v>
      </c>
      <c r="IX49" s="132">
        <v>0</v>
      </c>
      <c r="IY49" s="132">
        <v>40550</v>
      </c>
      <c r="IZ49" s="132">
        <v>39449</v>
      </c>
      <c r="JA49" s="132">
        <v>761</v>
      </c>
      <c r="JB49" s="132">
        <v>27587</v>
      </c>
      <c r="JD49" s="132">
        <v>77691</v>
      </c>
      <c r="JF49" s="132">
        <v>34335</v>
      </c>
      <c r="JG49" s="132">
        <v>17869</v>
      </c>
      <c r="JH49" s="132">
        <v>59624</v>
      </c>
      <c r="JI49" s="132">
        <v>40091</v>
      </c>
      <c r="JJ49" s="132">
        <v>29236</v>
      </c>
      <c r="JK49" s="132">
        <v>9214</v>
      </c>
      <c r="JL49" s="132">
        <v>47548</v>
      </c>
      <c r="JM49" s="132">
        <v>27617</v>
      </c>
      <c r="JN49" s="132">
        <v>30450</v>
      </c>
    </row>
    <row r="50" spans="1:309" s="132" customFormat="1" x14ac:dyDescent="0.25">
      <c r="A50" s="134" t="s">
        <v>409</v>
      </c>
      <c r="B50" s="134"/>
      <c r="C50" s="134" t="s">
        <v>1069</v>
      </c>
      <c r="D50" s="134"/>
      <c r="E50" s="135"/>
      <c r="F50" s="134"/>
      <c r="G50" s="134" t="s">
        <v>410</v>
      </c>
      <c r="Q50" s="132">
        <v>3017347</v>
      </c>
      <c r="AH50" s="132">
        <v>5821488</v>
      </c>
      <c r="AI50" s="132">
        <v>2604276</v>
      </c>
      <c r="AJ50" s="132">
        <v>1409524</v>
      </c>
      <c r="AK50" s="132">
        <v>954651</v>
      </c>
      <c r="AL50" s="132">
        <v>0</v>
      </c>
      <c r="CV50" s="132">
        <v>32128</v>
      </c>
      <c r="CW50" s="132">
        <v>296072</v>
      </c>
      <c r="CX50" s="132">
        <v>166870</v>
      </c>
      <c r="CZ50" s="132">
        <v>1632</v>
      </c>
      <c r="DA50" s="132">
        <v>100003</v>
      </c>
      <c r="DB50" s="132">
        <v>8752</v>
      </c>
      <c r="DC50" s="132">
        <v>54448</v>
      </c>
      <c r="DD50" s="132">
        <v>816</v>
      </c>
      <c r="DE50" s="132">
        <v>39123</v>
      </c>
      <c r="DF50" s="132">
        <v>675884</v>
      </c>
      <c r="DG50" s="132">
        <v>133820</v>
      </c>
      <c r="DH50" s="132">
        <v>68228</v>
      </c>
      <c r="DJ50" s="132">
        <v>116299</v>
      </c>
      <c r="DK50" s="132">
        <v>24592</v>
      </c>
      <c r="DL50" s="132">
        <v>15024</v>
      </c>
      <c r="DM50" s="132">
        <v>396720</v>
      </c>
      <c r="DN50" s="132">
        <v>23296</v>
      </c>
      <c r="DO50" s="132">
        <v>10832</v>
      </c>
      <c r="DP50" s="132">
        <v>7152</v>
      </c>
      <c r="DQ50" s="132">
        <v>82784</v>
      </c>
      <c r="DR50" s="132">
        <v>134124</v>
      </c>
      <c r="DS50" s="132">
        <v>512688</v>
      </c>
      <c r="DT50" s="132">
        <v>140528</v>
      </c>
      <c r="DZ50" s="132">
        <v>3919</v>
      </c>
      <c r="EA50" s="132">
        <v>144253</v>
      </c>
      <c r="EB50" s="132">
        <v>40863</v>
      </c>
      <c r="ED50" s="132">
        <v>482</v>
      </c>
      <c r="EE50" s="132">
        <v>47312</v>
      </c>
      <c r="EF50" s="132">
        <v>2844</v>
      </c>
      <c r="EG50" s="132">
        <v>1360</v>
      </c>
      <c r="EH50" s="132">
        <v>135</v>
      </c>
      <c r="EI50" s="132">
        <v>4580</v>
      </c>
      <c r="EJ50" s="132">
        <v>96765</v>
      </c>
      <c r="EK50" s="132">
        <v>12296</v>
      </c>
      <c r="EL50" s="132">
        <v>18577</v>
      </c>
      <c r="EN50" s="132">
        <v>54726</v>
      </c>
      <c r="EO50" s="132">
        <v>19879</v>
      </c>
      <c r="EP50" s="132">
        <v>25</v>
      </c>
      <c r="EQ50" s="132">
        <v>58653</v>
      </c>
      <c r="ER50" s="132">
        <v>2337</v>
      </c>
      <c r="ES50" s="132">
        <v>15233</v>
      </c>
      <c r="ET50" s="132">
        <v>7650</v>
      </c>
      <c r="EU50" s="132">
        <v>92232</v>
      </c>
      <c r="EV50" s="132">
        <v>18681</v>
      </c>
      <c r="EW50" s="132">
        <v>41249</v>
      </c>
      <c r="EX50" s="132">
        <v>33655</v>
      </c>
      <c r="IP50" s="132">
        <v>111314</v>
      </c>
      <c r="IQ50" s="132">
        <v>960078</v>
      </c>
      <c r="IR50" s="132">
        <v>795283</v>
      </c>
      <c r="IT50" s="132">
        <v>11327</v>
      </c>
      <c r="IU50" s="132">
        <v>285927</v>
      </c>
      <c r="IV50" s="132">
        <v>40208</v>
      </c>
      <c r="IW50" s="132">
        <v>46415</v>
      </c>
      <c r="IX50" s="132">
        <v>20373</v>
      </c>
      <c r="IY50" s="132">
        <v>230241</v>
      </c>
      <c r="IZ50" s="132">
        <v>1417795</v>
      </c>
      <c r="JA50" s="132">
        <v>347269</v>
      </c>
      <c r="JB50" s="132">
        <v>392073</v>
      </c>
      <c r="JD50" s="132">
        <v>708221</v>
      </c>
      <c r="JE50" s="132">
        <v>183118</v>
      </c>
      <c r="JF50" s="132">
        <v>14725</v>
      </c>
      <c r="JG50" s="132">
        <v>992345</v>
      </c>
      <c r="JH50" s="132">
        <v>30694</v>
      </c>
      <c r="JI50" s="132">
        <v>68132</v>
      </c>
      <c r="JJ50" s="132">
        <v>56493</v>
      </c>
      <c r="JK50" s="132">
        <v>625821</v>
      </c>
      <c r="JL50" s="132">
        <v>232840</v>
      </c>
      <c r="JM50" s="132">
        <v>1186880</v>
      </c>
      <c r="JN50" s="132">
        <v>567381</v>
      </c>
    </row>
    <row r="51" spans="1:309" s="132" customFormat="1" x14ac:dyDescent="0.25">
      <c r="A51" s="134" t="s">
        <v>429</v>
      </c>
      <c r="B51" s="134"/>
      <c r="C51" s="134" t="s">
        <v>1069</v>
      </c>
      <c r="D51" s="134"/>
      <c r="E51" s="135"/>
      <c r="F51" s="134"/>
      <c r="G51" s="134" t="s">
        <v>430</v>
      </c>
      <c r="Q51" s="132">
        <v>1662</v>
      </c>
      <c r="AH51" s="132">
        <v>2490934</v>
      </c>
      <c r="AI51" s="132">
        <v>865807</v>
      </c>
      <c r="AJ51" s="132">
        <v>510607</v>
      </c>
      <c r="AK51" s="132">
        <v>461527</v>
      </c>
      <c r="AL51" s="132">
        <v>0</v>
      </c>
      <c r="CU51" s="132">
        <v>25920</v>
      </c>
      <c r="CV51" s="132">
        <v>216378</v>
      </c>
      <c r="CW51" s="132">
        <v>233112</v>
      </c>
      <c r="CX51" s="132">
        <v>402773</v>
      </c>
      <c r="CZ51" s="132">
        <v>12312</v>
      </c>
      <c r="DA51" s="132">
        <v>100502</v>
      </c>
      <c r="DB51" s="132">
        <v>11937</v>
      </c>
      <c r="DC51" s="132">
        <v>33642</v>
      </c>
      <c r="DE51" s="132">
        <v>246894</v>
      </c>
      <c r="DF51" s="132">
        <v>279512</v>
      </c>
      <c r="DG51" s="132">
        <v>36654</v>
      </c>
      <c r="DH51" s="132">
        <v>21012</v>
      </c>
      <c r="DI51" s="132">
        <v>14088</v>
      </c>
      <c r="DJ51" s="132">
        <v>190535</v>
      </c>
      <c r="DM51" s="132">
        <v>237960</v>
      </c>
      <c r="DN51" s="132">
        <v>71121</v>
      </c>
      <c r="DO51" s="132">
        <v>31488</v>
      </c>
      <c r="DP51" s="132">
        <v>44532</v>
      </c>
      <c r="DR51" s="132">
        <v>32744</v>
      </c>
      <c r="DS51" s="132">
        <v>192504</v>
      </c>
      <c r="DT51" s="132">
        <v>108504</v>
      </c>
      <c r="DY51" s="132">
        <v>49051</v>
      </c>
      <c r="DZ51" s="132">
        <v>693710</v>
      </c>
      <c r="EA51" s="132">
        <v>483936</v>
      </c>
      <c r="EB51" s="132">
        <v>1053166</v>
      </c>
      <c r="ED51" s="132">
        <v>49462</v>
      </c>
      <c r="EE51" s="132">
        <v>470124</v>
      </c>
      <c r="EF51" s="132">
        <v>33031</v>
      </c>
      <c r="EG51" s="132">
        <v>78599</v>
      </c>
      <c r="EI51" s="132">
        <v>737910</v>
      </c>
      <c r="EJ51" s="132">
        <v>781980</v>
      </c>
      <c r="EK51" s="132">
        <v>96375</v>
      </c>
      <c r="EL51" s="132">
        <v>107766</v>
      </c>
      <c r="EM51" s="132">
        <v>75882</v>
      </c>
      <c r="EN51" s="132">
        <v>747821</v>
      </c>
      <c r="EQ51" s="132">
        <v>398212</v>
      </c>
      <c r="ER51" s="132">
        <v>289876</v>
      </c>
      <c r="ES51" s="132">
        <v>111595</v>
      </c>
      <c r="ET51" s="132">
        <v>121671</v>
      </c>
      <c r="EV51" s="132">
        <v>37391</v>
      </c>
      <c r="EW51" s="132">
        <v>263218</v>
      </c>
      <c r="EX51" s="132">
        <v>231183</v>
      </c>
      <c r="IO51" s="132">
        <v>86988</v>
      </c>
      <c r="IP51" s="132">
        <v>569905</v>
      </c>
      <c r="IQ51" s="132">
        <v>375191</v>
      </c>
      <c r="IR51" s="132">
        <v>719686</v>
      </c>
      <c r="IT51" s="132">
        <v>30683</v>
      </c>
      <c r="IU51" s="132">
        <v>311511</v>
      </c>
      <c r="IV51" s="132">
        <v>42493</v>
      </c>
      <c r="IW51" s="132">
        <v>123547</v>
      </c>
      <c r="IY51" s="132">
        <v>501263</v>
      </c>
      <c r="IZ51" s="132">
        <v>230134</v>
      </c>
      <c r="JA51" s="132">
        <v>41713</v>
      </c>
      <c r="JB51" s="132">
        <v>56098</v>
      </c>
      <c r="JC51" s="132">
        <v>65224</v>
      </c>
      <c r="JD51" s="132">
        <v>438328</v>
      </c>
      <c r="JG51" s="132">
        <v>236751</v>
      </c>
      <c r="JH51" s="132">
        <v>244560</v>
      </c>
      <c r="JI51" s="132">
        <v>122947</v>
      </c>
      <c r="JJ51" s="132">
        <v>133109</v>
      </c>
      <c r="JL51" s="132">
        <v>67147</v>
      </c>
      <c r="JM51" s="132">
        <v>242971</v>
      </c>
      <c r="JN51" s="132">
        <v>243284</v>
      </c>
    </row>
    <row r="52" spans="1:309" s="132" customFormat="1" x14ac:dyDescent="0.25">
      <c r="A52" s="134" t="s">
        <v>1071</v>
      </c>
      <c r="B52" s="134"/>
      <c r="C52" s="134" t="s">
        <v>1069</v>
      </c>
      <c r="D52" s="134"/>
      <c r="E52" s="135"/>
      <c r="F52" s="134"/>
      <c r="G52" s="134" t="s">
        <v>457</v>
      </c>
      <c r="Q52" s="132">
        <v>3785</v>
      </c>
      <c r="AH52" s="132">
        <v>1870518</v>
      </c>
      <c r="AI52" s="132">
        <v>708640</v>
      </c>
      <c r="AJ52" s="132">
        <v>192074</v>
      </c>
      <c r="AK52" s="132">
        <v>106411</v>
      </c>
      <c r="AL52" s="132">
        <v>0</v>
      </c>
      <c r="CU52" s="132">
        <v>19572</v>
      </c>
      <c r="CV52" s="132">
        <v>69548</v>
      </c>
      <c r="CW52" s="132">
        <v>41376</v>
      </c>
      <c r="CX52" s="132">
        <v>220574</v>
      </c>
      <c r="CZ52" s="132">
        <v>924</v>
      </c>
      <c r="DA52" s="132">
        <v>227371</v>
      </c>
      <c r="DB52" s="132">
        <v>8412</v>
      </c>
      <c r="DE52" s="132">
        <v>165112</v>
      </c>
      <c r="DF52" s="132">
        <v>68229</v>
      </c>
      <c r="DG52" s="132">
        <v>660</v>
      </c>
      <c r="DH52" s="132">
        <v>72960</v>
      </c>
      <c r="DJ52" s="132">
        <v>167324</v>
      </c>
      <c r="DL52" s="132">
        <v>19728</v>
      </c>
      <c r="DM52" s="132">
        <v>91302</v>
      </c>
      <c r="DN52" s="132">
        <v>61548</v>
      </c>
      <c r="DO52" s="132">
        <v>100200</v>
      </c>
      <c r="DP52" s="132">
        <v>74</v>
      </c>
      <c r="DR52" s="132">
        <v>34735</v>
      </c>
      <c r="DS52" s="132">
        <v>22164</v>
      </c>
      <c r="DY52" s="132">
        <v>68400</v>
      </c>
      <c r="DZ52" s="132">
        <v>274600</v>
      </c>
      <c r="EA52" s="132">
        <v>147177</v>
      </c>
      <c r="EB52" s="132">
        <v>513306</v>
      </c>
      <c r="ED52" s="132">
        <v>3100</v>
      </c>
      <c r="EE52" s="132">
        <v>552894</v>
      </c>
      <c r="EF52" s="132">
        <v>23322</v>
      </c>
      <c r="EI52" s="132">
        <v>718081</v>
      </c>
      <c r="EJ52" s="132">
        <v>249947</v>
      </c>
      <c r="EK52" s="132">
        <v>1692</v>
      </c>
      <c r="EL52" s="132">
        <v>307136</v>
      </c>
      <c r="EN52" s="132">
        <v>363918</v>
      </c>
      <c r="EP52" s="132">
        <v>76784</v>
      </c>
      <c r="EQ52" s="132">
        <v>235141</v>
      </c>
      <c r="ER52" s="132">
        <v>173251</v>
      </c>
      <c r="ES52" s="132">
        <v>272908</v>
      </c>
      <c r="ET52" s="132">
        <v>300</v>
      </c>
      <c r="EV52" s="132">
        <v>60000</v>
      </c>
      <c r="EW52" s="132">
        <v>76150</v>
      </c>
      <c r="IO52" s="132">
        <v>41614</v>
      </c>
      <c r="IP52" s="132">
        <v>194166</v>
      </c>
      <c r="IQ52" s="132">
        <v>32362</v>
      </c>
      <c r="IR52" s="132">
        <v>512237</v>
      </c>
      <c r="IT52" s="132">
        <v>2629</v>
      </c>
      <c r="IU52" s="132">
        <v>287846</v>
      </c>
      <c r="IV52" s="132">
        <v>22525</v>
      </c>
      <c r="IY52" s="132">
        <v>503525</v>
      </c>
      <c r="IZ52" s="132">
        <v>63338</v>
      </c>
      <c r="JA52" s="132">
        <v>703</v>
      </c>
      <c r="JB52" s="132">
        <v>82183</v>
      </c>
      <c r="JD52" s="132">
        <v>240140</v>
      </c>
      <c r="JF52" s="132">
        <v>18986</v>
      </c>
      <c r="JG52" s="132">
        <v>77163</v>
      </c>
      <c r="JH52" s="132">
        <v>90894</v>
      </c>
      <c r="JI52" s="132">
        <v>167875</v>
      </c>
      <c r="JJ52" s="132">
        <v>150</v>
      </c>
      <c r="JL52" s="132">
        <v>41673</v>
      </c>
      <c r="JM52" s="132">
        <v>24155</v>
      </c>
    </row>
    <row r="53" spans="1:309" s="132" customFormat="1" x14ac:dyDescent="0.25">
      <c r="A53" s="134" t="s">
        <v>407</v>
      </c>
      <c r="B53" s="134"/>
      <c r="C53" s="134" t="s">
        <v>1069</v>
      </c>
      <c r="D53" s="134"/>
      <c r="E53" s="135"/>
      <c r="F53" s="134"/>
      <c r="G53" s="134" t="s">
        <v>408</v>
      </c>
      <c r="Q53" s="132">
        <v>0</v>
      </c>
      <c r="AH53" s="132">
        <v>3114641</v>
      </c>
      <c r="AI53" s="132">
        <v>1052657</v>
      </c>
      <c r="AJ53" s="132">
        <v>481598</v>
      </c>
      <c r="AK53" s="132">
        <v>529086</v>
      </c>
      <c r="AL53" s="132">
        <v>0</v>
      </c>
      <c r="CU53" s="132">
        <v>66264</v>
      </c>
      <c r="CV53" s="132">
        <v>317208</v>
      </c>
      <c r="CW53" s="132">
        <v>82552</v>
      </c>
      <c r="CX53" s="132">
        <v>224088</v>
      </c>
      <c r="CY53" s="132">
        <v>73428</v>
      </c>
      <c r="CZ53" s="132">
        <v>58224</v>
      </c>
      <c r="DA53" s="132">
        <v>604952</v>
      </c>
      <c r="DB53" s="132">
        <v>65844</v>
      </c>
      <c r="DC53" s="132">
        <v>90354</v>
      </c>
      <c r="DD53" s="132">
        <v>24264</v>
      </c>
      <c r="DE53" s="132">
        <v>634896</v>
      </c>
      <c r="DF53" s="132">
        <v>334728</v>
      </c>
      <c r="DH53" s="132">
        <v>87576</v>
      </c>
      <c r="DI53" s="132">
        <v>7800</v>
      </c>
      <c r="DJ53" s="132">
        <v>165808</v>
      </c>
      <c r="DM53" s="132">
        <v>274512</v>
      </c>
      <c r="DN53" s="132">
        <v>283652</v>
      </c>
      <c r="DO53" s="132">
        <v>214272</v>
      </c>
      <c r="DP53" s="132">
        <v>24852</v>
      </c>
      <c r="DR53" s="132">
        <v>22052</v>
      </c>
      <c r="DS53" s="132">
        <v>69888</v>
      </c>
      <c r="DT53" s="132">
        <v>87060</v>
      </c>
      <c r="DY53" s="132">
        <v>188267</v>
      </c>
      <c r="DZ53" s="132">
        <v>703177</v>
      </c>
      <c r="EA53" s="132">
        <v>299490</v>
      </c>
      <c r="EB53" s="132">
        <v>443163</v>
      </c>
      <c r="EC53" s="132">
        <v>392715</v>
      </c>
      <c r="ED53" s="132">
        <v>385612</v>
      </c>
      <c r="EE53" s="132">
        <v>1539394</v>
      </c>
      <c r="EF53" s="132">
        <v>197403</v>
      </c>
      <c r="EG53" s="132">
        <v>326875</v>
      </c>
      <c r="EH53" s="132">
        <v>167451</v>
      </c>
      <c r="EI53" s="132">
        <v>2635675</v>
      </c>
      <c r="EJ53" s="132">
        <v>799973</v>
      </c>
      <c r="EL53" s="132">
        <v>197246</v>
      </c>
      <c r="EM53" s="132">
        <v>21906</v>
      </c>
      <c r="EN53" s="132">
        <v>336867</v>
      </c>
      <c r="EQ53" s="132">
        <v>668186</v>
      </c>
      <c r="ER53" s="132">
        <v>730977</v>
      </c>
      <c r="ES53" s="132">
        <v>656715</v>
      </c>
      <c r="ET53" s="132">
        <v>65073</v>
      </c>
      <c r="EV53" s="132">
        <v>16636</v>
      </c>
      <c r="EW53" s="132">
        <v>212199</v>
      </c>
      <c r="EX53" s="132">
        <v>252971</v>
      </c>
      <c r="IO53" s="132">
        <v>140988</v>
      </c>
      <c r="IP53" s="132">
        <v>504292</v>
      </c>
      <c r="IQ53" s="132">
        <v>162898</v>
      </c>
      <c r="IR53" s="132">
        <v>283700</v>
      </c>
      <c r="IS53" s="132">
        <v>556347</v>
      </c>
      <c r="IT53" s="132">
        <v>163948</v>
      </c>
      <c r="IU53" s="132">
        <v>982787</v>
      </c>
      <c r="IV53" s="132">
        <v>122182</v>
      </c>
      <c r="IW53" s="132">
        <v>208336</v>
      </c>
      <c r="IX53" s="132">
        <v>113324</v>
      </c>
      <c r="IY53" s="132">
        <v>1309303</v>
      </c>
      <c r="IZ53" s="132">
        <v>496427</v>
      </c>
      <c r="JB53" s="132">
        <v>146906</v>
      </c>
      <c r="JC53" s="132">
        <v>14640</v>
      </c>
      <c r="JD53" s="132">
        <v>176461</v>
      </c>
      <c r="JG53" s="132">
        <v>364345</v>
      </c>
      <c r="JH53" s="132">
        <v>488564</v>
      </c>
      <c r="JI53" s="132">
        <v>598611</v>
      </c>
      <c r="JJ53" s="132">
        <v>42257</v>
      </c>
      <c r="JL53" s="132">
        <v>43843</v>
      </c>
      <c r="JM53" s="132">
        <v>115498</v>
      </c>
      <c r="JN53" s="132">
        <v>133311</v>
      </c>
    </row>
    <row r="54" spans="1:309" s="132" customFormat="1" x14ac:dyDescent="0.25">
      <c r="A54" s="134" t="s">
        <v>435</v>
      </c>
      <c r="B54" s="134"/>
      <c r="C54" s="134" t="s">
        <v>1069</v>
      </c>
      <c r="D54" s="134"/>
      <c r="E54" s="135"/>
      <c r="F54" s="134"/>
      <c r="G54" s="134" t="s">
        <v>436</v>
      </c>
      <c r="Q54" s="132">
        <v>0</v>
      </c>
      <c r="AH54" s="132">
        <v>710161</v>
      </c>
      <c r="AI54" s="132">
        <v>292245</v>
      </c>
      <c r="AJ54" s="132">
        <v>0</v>
      </c>
      <c r="AK54" s="132">
        <v>185326</v>
      </c>
      <c r="AL54" s="132">
        <v>0</v>
      </c>
      <c r="CU54" s="132">
        <v>1584</v>
      </c>
      <c r="CV54" s="132">
        <v>16680</v>
      </c>
      <c r="CW54" s="132">
        <v>33360</v>
      </c>
      <c r="CX54" s="132">
        <v>42504</v>
      </c>
      <c r="DA54" s="132">
        <v>17942</v>
      </c>
      <c r="DB54" s="132">
        <v>15060</v>
      </c>
      <c r="DD54" s="132">
        <v>0</v>
      </c>
      <c r="DE54" s="132">
        <v>154056</v>
      </c>
      <c r="DF54" s="132">
        <v>52464</v>
      </c>
      <c r="DJ54" s="132">
        <v>14388</v>
      </c>
      <c r="DM54" s="132">
        <v>44820</v>
      </c>
      <c r="DN54" s="132">
        <v>13824</v>
      </c>
      <c r="DO54" s="132">
        <v>13608</v>
      </c>
      <c r="DP54" s="132">
        <v>852</v>
      </c>
      <c r="DR54" s="132">
        <v>1284</v>
      </c>
      <c r="DS54" s="132">
        <v>9792</v>
      </c>
      <c r="DY54" s="132">
        <v>4298</v>
      </c>
      <c r="DZ54" s="132">
        <v>75974</v>
      </c>
      <c r="EA54" s="132">
        <v>174435</v>
      </c>
      <c r="EB54" s="132">
        <v>88658</v>
      </c>
      <c r="EE54" s="132">
        <v>37137</v>
      </c>
      <c r="EF54" s="132">
        <v>41714</v>
      </c>
      <c r="EH54" s="132">
        <v>9390</v>
      </c>
      <c r="EI54" s="132">
        <v>536634</v>
      </c>
      <c r="EJ54" s="132">
        <v>102787</v>
      </c>
      <c r="EN54" s="132">
        <v>73560</v>
      </c>
      <c r="EQ54" s="132">
        <v>99986</v>
      </c>
      <c r="ER54" s="132">
        <v>40504</v>
      </c>
      <c r="ES54" s="132">
        <v>48783</v>
      </c>
      <c r="ET54" s="132">
        <v>2022</v>
      </c>
      <c r="EV54" s="132">
        <v>6130</v>
      </c>
      <c r="EW54" s="132">
        <v>16358</v>
      </c>
      <c r="IO54" s="132">
        <v>2331</v>
      </c>
      <c r="IP54" s="132">
        <v>34719</v>
      </c>
      <c r="IQ54" s="132">
        <v>79611</v>
      </c>
      <c r="IR54" s="132">
        <v>77770</v>
      </c>
      <c r="IU54" s="132">
        <v>32804</v>
      </c>
      <c r="IV54" s="132">
        <v>22309</v>
      </c>
      <c r="IX54" s="132">
        <v>11505</v>
      </c>
      <c r="IY54" s="132">
        <v>338155</v>
      </c>
      <c r="IZ54" s="132">
        <v>101890</v>
      </c>
      <c r="JD54" s="132">
        <v>42268</v>
      </c>
      <c r="JG54" s="132">
        <v>61167</v>
      </c>
      <c r="JH54" s="132">
        <v>29992</v>
      </c>
      <c r="JI54" s="132">
        <v>57160</v>
      </c>
      <c r="JJ54" s="132">
        <v>2768</v>
      </c>
      <c r="JL54" s="132">
        <v>2041</v>
      </c>
      <c r="JM54" s="132">
        <v>34242</v>
      </c>
    </row>
    <row r="55" spans="1:309" s="132" customFormat="1" x14ac:dyDescent="0.25">
      <c r="A55" s="134" t="s">
        <v>370</v>
      </c>
      <c r="B55" s="134"/>
      <c r="C55" s="134" t="s">
        <v>1069</v>
      </c>
      <c r="D55" s="134"/>
      <c r="E55" s="135"/>
      <c r="F55" s="134"/>
      <c r="G55" s="134" t="s">
        <v>371</v>
      </c>
      <c r="Q55" s="132">
        <v>1221798</v>
      </c>
      <c r="AH55" s="132">
        <v>1471088</v>
      </c>
      <c r="AI55" s="132">
        <v>1183451</v>
      </c>
      <c r="AJ55" s="132">
        <v>630422</v>
      </c>
      <c r="AK55" s="132">
        <v>612220</v>
      </c>
      <c r="AL55" s="132">
        <v>283860</v>
      </c>
      <c r="CU55" s="132">
        <v>73868</v>
      </c>
      <c r="CV55" s="132">
        <v>185968</v>
      </c>
      <c r="CW55" s="132">
        <v>203328</v>
      </c>
      <c r="CX55" s="132">
        <v>125962</v>
      </c>
      <c r="CZ55" s="132">
        <v>14192</v>
      </c>
      <c r="DA55" s="132">
        <v>320085</v>
      </c>
      <c r="DB55" s="132">
        <v>17184</v>
      </c>
      <c r="DC55" s="132">
        <v>160358</v>
      </c>
      <c r="DE55" s="132">
        <v>82944</v>
      </c>
      <c r="DF55" s="132">
        <v>263016</v>
      </c>
      <c r="DG55" s="132">
        <v>22320</v>
      </c>
      <c r="DH55" s="132">
        <v>118854</v>
      </c>
      <c r="DJ55" s="132">
        <v>81865</v>
      </c>
      <c r="DL55" s="132">
        <v>76060</v>
      </c>
      <c r="DM55" s="132">
        <v>196472</v>
      </c>
      <c r="DN55" s="132">
        <v>52384</v>
      </c>
      <c r="DQ55" s="132">
        <v>72624</v>
      </c>
      <c r="DR55" s="132">
        <v>65088</v>
      </c>
      <c r="DS55" s="132">
        <v>290928</v>
      </c>
      <c r="DT55" s="132">
        <v>89456</v>
      </c>
      <c r="DY55" s="132">
        <v>267393</v>
      </c>
      <c r="DZ55" s="132">
        <v>338107</v>
      </c>
      <c r="EA55" s="132">
        <v>432634</v>
      </c>
      <c r="EB55" s="132">
        <v>550269</v>
      </c>
      <c r="ED55" s="132">
        <v>89499</v>
      </c>
      <c r="EE55" s="132">
        <v>232059</v>
      </c>
      <c r="EF55" s="132">
        <v>50744</v>
      </c>
      <c r="EG55" s="132">
        <v>198798</v>
      </c>
      <c r="EI55" s="132">
        <v>120563</v>
      </c>
      <c r="EJ55" s="132">
        <v>740233</v>
      </c>
      <c r="EK55" s="132">
        <v>49975</v>
      </c>
      <c r="EL55" s="132">
        <v>474310</v>
      </c>
      <c r="EN55" s="132">
        <v>124682</v>
      </c>
      <c r="EP55" s="132">
        <v>183278</v>
      </c>
      <c r="EQ55" s="132">
        <v>656204</v>
      </c>
      <c r="ER55" s="132">
        <v>146252</v>
      </c>
      <c r="EU55" s="132">
        <v>254682</v>
      </c>
      <c r="EV55" s="132">
        <v>133398</v>
      </c>
      <c r="EW55" s="132">
        <v>705791</v>
      </c>
      <c r="EX55" s="132">
        <v>299221</v>
      </c>
      <c r="IO55" s="132">
        <v>57975</v>
      </c>
      <c r="IP55" s="132">
        <v>96745</v>
      </c>
      <c r="IQ55" s="132">
        <v>82636</v>
      </c>
      <c r="IR55" s="132">
        <v>161525</v>
      </c>
      <c r="IT55" s="132">
        <v>6282</v>
      </c>
      <c r="IU55" s="132">
        <v>53834</v>
      </c>
      <c r="IV55" s="132">
        <v>7229</v>
      </c>
      <c r="IW55" s="132">
        <v>56331</v>
      </c>
      <c r="IY55" s="132">
        <v>35929</v>
      </c>
      <c r="IZ55" s="132">
        <v>65162</v>
      </c>
      <c r="JA55" s="132">
        <v>2715</v>
      </c>
      <c r="JB55" s="132">
        <v>41325</v>
      </c>
      <c r="JD55" s="132">
        <v>61235</v>
      </c>
      <c r="JF55" s="132">
        <v>9365</v>
      </c>
      <c r="JG55" s="132">
        <v>28185</v>
      </c>
      <c r="JH55" s="132">
        <v>15469</v>
      </c>
      <c r="JK55" s="132">
        <v>21941</v>
      </c>
      <c r="JL55" s="132">
        <v>11166</v>
      </c>
      <c r="JM55" s="132">
        <v>55824</v>
      </c>
      <c r="JN55" s="132">
        <v>47253</v>
      </c>
    </row>
    <row r="56" spans="1:309" s="132" customFormat="1" x14ac:dyDescent="0.25">
      <c r="A56" s="134" t="s">
        <v>411</v>
      </c>
      <c r="B56" s="134"/>
      <c r="C56" s="134" t="s">
        <v>1069</v>
      </c>
      <c r="D56" s="134"/>
      <c r="E56" s="135"/>
      <c r="F56" s="134"/>
      <c r="G56" s="134" t="s">
        <v>412</v>
      </c>
      <c r="Q56" s="132">
        <v>0</v>
      </c>
      <c r="AH56" s="132">
        <v>4429839</v>
      </c>
      <c r="AI56" s="132">
        <v>2891350</v>
      </c>
      <c r="AJ56" s="132">
        <v>935700</v>
      </c>
      <c r="AK56" s="132">
        <v>1068591</v>
      </c>
      <c r="AL56" s="132">
        <v>0</v>
      </c>
      <c r="CU56" s="132">
        <v>50928</v>
      </c>
      <c r="CV56" s="132">
        <v>76234</v>
      </c>
      <c r="CW56" s="132">
        <v>470948</v>
      </c>
      <c r="CX56" s="132">
        <v>204202</v>
      </c>
      <c r="CZ56" s="132">
        <v>11504</v>
      </c>
      <c r="DA56" s="132">
        <v>364968</v>
      </c>
      <c r="DB56" s="132">
        <v>304</v>
      </c>
      <c r="DC56" s="132">
        <v>39848</v>
      </c>
      <c r="DD56" s="132">
        <v>1904</v>
      </c>
      <c r="DE56" s="132">
        <v>93930</v>
      </c>
      <c r="DF56" s="132">
        <v>553869</v>
      </c>
      <c r="DG56" s="132">
        <v>32952</v>
      </c>
      <c r="DH56" s="132">
        <v>106746</v>
      </c>
      <c r="DI56" s="132">
        <v>28160</v>
      </c>
      <c r="DJ56" s="132">
        <v>453778</v>
      </c>
      <c r="DK56" s="132">
        <v>46368</v>
      </c>
      <c r="DL56" s="132">
        <v>58306</v>
      </c>
      <c r="DM56" s="132">
        <v>452141</v>
      </c>
      <c r="DN56" s="132">
        <v>13610</v>
      </c>
      <c r="DO56" s="132">
        <v>36200</v>
      </c>
      <c r="DP56" s="132">
        <v>3180</v>
      </c>
      <c r="DQ56" s="132">
        <v>140272</v>
      </c>
      <c r="DR56" s="132">
        <v>106864</v>
      </c>
      <c r="DS56" s="132">
        <v>566991</v>
      </c>
      <c r="DT56" s="132">
        <v>223824</v>
      </c>
      <c r="DY56" s="132">
        <v>81335</v>
      </c>
      <c r="DZ56" s="132">
        <v>377447</v>
      </c>
      <c r="EA56" s="132">
        <v>1055536</v>
      </c>
      <c r="EB56" s="132">
        <v>604185</v>
      </c>
      <c r="ED56" s="132">
        <v>56615</v>
      </c>
      <c r="EE56" s="132">
        <v>720343</v>
      </c>
      <c r="EF56" s="132">
        <v>335</v>
      </c>
      <c r="EG56" s="132">
        <v>79997</v>
      </c>
      <c r="EH56" s="132">
        <v>3030</v>
      </c>
      <c r="EI56" s="132">
        <v>148455</v>
      </c>
      <c r="EJ56" s="132">
        <v>1121141</v>
      </c>
      <c r="EK56" s="132">
        <v>106792</v>
      </c>
      <c r="EL56" s="132">
        <v>666696</v>
      </c>
      <c r="EM56" s="132">
        <v>243149</v>
      </c>
      <c r="EN56" s="132">
        <v>815905</v>
      </c>
      <c r="EO56" s="132">
        <v>241132</v>
      </c>
      <c r="EP56" s="132">
        <v>511741</v>
      </c>
      <c r="EQ56" s="132">
        <v>950183</v>
      </c>
      <c r="ER56" s="132">
        <v>56548</v>
      </c>
      <c r="ES56" s="132">
        <v>39839</v>
      </c>
      <c r="ET56" s="132">
        <v>330</v>
      </c>
      <c r="EU56" s="132">
        <v>621303</v>
      </c>
      <c r="EV56" s="132">
        <v>128609</v>
      </c>
      <c r="EW56" s="132">
        <v>1189276</v>
      </c>
      <c r="EX56" s="132">
        <v>859997</v>
      </c>
      <c r="IO56" s="132">
        <v>37493</v>
      </c>
      <c r="IP56" s="132">
        <v>171792</v>
      </c>
      <c r="IQ56" s="132">
        <v>612140</v>
      </c>
      <c r="IR56" s="132">
        <v>150401</v>
      </c>
      <c r="IT56" s="132">
        <v>24192</v>
      </c>
      <c r="IU56" s="132">
        <v>264865</v>
      </c>
      <c r="IV56" s="132">
        <v>305</v>
      </c>
      <c r="IW56" s="132">
        <v>39154</v>
      </c>
      <c r="IX56" s="132">
        <v>1110</v>
      </c>
      <c r="IY56" s="132">
        <v>101513</v>
      </c>
      <c r="IZ56" s="132">
        <v>380596</v>
      </c>
      <c r="JA56" s="132">
        <v>24600</v>
      </c>
      <c r="JB56" s="132">
        <v>162633</v>
      </c>
      <c r="JC56" s="132">
        <v>96819</v>
      </c>
      <c r="JD56" s="132">
        <v>464073</v>
      </c>
      <c r="JE56" s="132">
        <v>44007</v>
      </c>
      <c r="JF56" s="132">
        <v>77360</v>
      </c>
      <c r="JG56" s="132">
        <v>298056</v>
      </c>
      <c r="JH56" s="132">
        <v>166699</v>
      </c>
      <c r="JI56" s="132">
        <v>642532</v>
      </c>
      <c r="JJ56" s="132">
        <v>1979</v>
      </c>
      <c r="JK56" s="132">
        <v>119499</v>
      </c>
      <c r="JL56" s="132">
        <v>79604</v>
      </c>
      <c r="JM56" s="132">
        <v>401135</v>
      </c>
      <c r="JN56" s="132">
        <v>328570</v>
      </c>
    </row>
    <row r="57" spans="1:309" s="132" customFormat="1" x14ac:dyDescent="0.25">
      <c r="A57" s="134" t="s">
        <v>437</v>
      </c>
      <c r="B57" s="134"/>
      <c r="C57" s="134" t="s">
        <v>1069</v>
      </c>
      <c r="D57" s="134"/>
      <c r="E57" s="135"/>
      <c r="F57" s="134"/>
      <c r="G57" s="134" t="s">
        <v>438</v>
      </c>
      <c r="Q57" s="132">
        <v>290101</v>
      </c>
      <c r="AH57" s="132">
        <v>1255031</v>
      </c>
      <c r="AI57" s="132">
        <v>677165</v>
      </c>
      <c r="AJ57" s="132">
        <v>291829</v>
      </c>
      <c r="AK57" s="132">
        <v>884385</v>
      </c>
      <c r="AL57" s="132">
        <v>25716</v>
      </c>
      <c r="CU57" s="132">
        <v>13728</v>
      </c>
      <c r="CV57" s="132">
        <v>69902</v>
      </c>
      <c r="CW57" s="132">
        <v>83312</v>
      </c>
      <c r="CX57" s="132">
        <v>138042</v>
      </c>
      <c r="CZ57" s="132">
        <v>2912</v>
      </c>
      <c r="DA57" s="132">
        <v>71685</v>
      </c>
      <c r="DC57" s="132">
        <v>92770</v>
      </c>
      <c r="DE57" s="132">
        <v>34600</v>
      </c>
      <c r="DF57" s="132">
        <v>120320</v>
      </c>
      <c r="DG57" s="132">
        <v>21984</v>
      </c>
      <c r="DH57" s="132">
        <v>94567</v>
      </c>
      <c r="DJ57" s="132">
        <v>129288</v>
      </c>
      <c r="DL57" s="132">
        <v>130352</v>
      </c>
      <c r="DM57" s="132">
        <v>72592</v>
      </c>
      <c r="DN57" s="132">
        <v>8592</v>
      </c>
      <c r="DP57" s="132">
        <v>9856</v>
      </c>
      <c r="DQ57" s="132">
        <v>18310</v>
      </c>
      <c r="DR57" s="132">
        <v>106685</v>
      </c>
      <c r="DS57" s="132">
        <v>113994</v>
      </c>
      <c r="DT57" s="132">
        <v>21248</v>
      </c>
      <c r="DY57" s="132">
        <v>42513</v>
      </c>
      <c r="DZ57" s="132">
        <v>210394</v>
      </c>
      <c r="EA57" s="132">
        <v>132126</v>
      </c>
      <c r="EB57" s="132">
        <v>322138</v>
      </c>
      <c r="ED57" s="132">
        <v>15532</v>
      </c>
      <c r="EE57" s="132">
        <v>122108</v>
      </c>
      <c r="EG57" s="132">
        <v>176186</v>
      </c>
      <c r="EI57" s="132">
        <v>71439</v>
      </c>
      <c r="EJ57" s="132">
        <v>300689</v>
      </c>
      <c r="EK57" s="132">
        <v>61994</v>
      </c>
      <c r="EL57" s="132">
        <v>244486</v>
      </c>
      <c r="EN57" s="132">
        <v>114807</v>
      </c>
      <c r="EP57" s="132">
        <v>518616</v>
      </c>
      <c r="EQ57" s="132">
        <v>196403</v>
      </c>
      <c r="ER57" s="132">
        <v>64816</v>
      </c>
      <c r="ET57" s="132">
        <v>2800</v>
      </c>
      <c r="EU57" s="132">
        <v>54492</v>
      </c>
      <c r="EV57" s="132">
        <v>218904</v>
      </c>
      <c r="EW57" s="132">
        <v>196348</v>
      </c>
      <c r="EX57" s="132">
        <v>78024</v>
      </c>
      <c r="IO57" s="132">
        <v>7976</v>
      </c>
      <c r="IP57" s="132">
        <v>68902</v>
      </c>
      <c r="IQ57" s="132">
        <v>17869</v>
      </c>
      <c r="IR57" s="132">
        <v>40922</v>
      </c>
      <c r="IT57" s="132">
        <v>1823</v>
      </c>
      <c r="IU57" s="132">
        <v>108239</v>
      </c>
      <c r="IW57" s="132">
        <v>38531</v>
      </c>
      <c r="IY57" s="132">
        <v>13564</v>
      </c>
      <c r="IZ57" s="132">
        <v>9185</v>
      </c>
      <c r="JA57" s="132">
        <v>1785</v>
      </c>
      <c r="JB57" s="132">
        <v>17801</v>
      </c>
      <c r="JD57" s="132">
        <v>24264</v>
      </c>
      <c r="JF57" s="132">
        <v>29536</v>
      </c>
      <c r="JG57" s="132">
        <v>6058</v>
      </c>
      <c r="JH57" s="132">
        <v>10284</v>
      </c>
      <c r="JJ57" s="132">
        <v>110</v>
      </c>
      <c r="JK57" s="132">
        <v>3453</v>
      </c>
      <c r="JL57" s="132">
        <v>41681</v>
      </c>
      <c r="JM57" s="132">
        <v>12062</v>
      </c>
      <c r="JN57" s="132">
        <v>5644</v>
      </c>
    </row>
    <row r="58" spans="1:309" s="132" customFormat="1" x14ac:dyDescent="0.25">
      <c r="A58" s="134" t="s">
        <v>413</v>
      </c>
      <c r="B58" s="134"/>
      <c r="C58" s="134" t="s">
        <v>1069</v>
      </c>
      <c r="D58" s="134"/>
      <c r="E58" s="135"/>
      <c r="F58" s="134"/>
      <c r="G58" s="134" t="s">
        <v>414</v>
      </c>
      <c r="Q58" s="132">
        <v>967594</v>
      </c>
      <c r="AH58" s="132">
        <v>1702338</v>
      </c>
      <c r="AI58" s="132">
        <v>997786</v>
      </c>
      <c r="AJ58" s="132">
        <v>463355</v>
      </c>
      <c r="AK58" s="132">
        <v>557794</v>
      </c>
      <c r="AL58" s="132">
        <v>0</v>
      </c>
      <c r="CU58" s="132">
        <v>2880</v>
      </c>
      <c r="CV58" s="132">
        <v>56171</v>
      </c>
      <c r="CW58" s="132">
        <v>208208</v>
      </c>
      <c r="CX58" s="132">
        <v>143057</v>
      </c>
      <c r="DA58" s="132">
        <v>94662</v>
      </c>
      <c r="DB58" s="132">
        <v>27616</v>
      </c>
      <c r="DC58" s="132">
        <v>16161</v>
      </c>
      <c r="DE58" s="132">
        <v>31088</v>
      </c>
      <c r="DF58" s="132">
        <v>219128</v>
      </c>
      <c r="DG58" s="132">
        <v>12928</v>
      </c>
      <c r="DH58" s="132">
        <v>73050</v>
      </c>
      <c r="DJ58" s="132">
        <v>132587</v>
      </c>
      <c r="DK58" s="132">
        <v>28096</v>
      </c>
      <c r="DL58" s="132">
        <v>227566</v>
      </c>
      <c r="DM58" s="132">
        <v>148880</v>
      </c>
      <c r="DN58" s="132">
        <v>1260</v>
      </c>
      <c r="DO58" s="132">
        <v>1344</v>
      </c>
      <c r="DP58" s="132">
        <v>5472</v>
      </c>
      <c r="DQ58" s="132">
        <v>64752</v>
      </c>
      <c r="DR58" s="132">
        <v>82216</v>
      </c>
      <c r="DS58" s="132">
        <v>238224</v>
      </c>
      <c r="DT58" s="132">
        <v>57280</v>
      </c>
      <c r="DY58" s="132">
        <v>8237</v>
      </c>
      <c r="DZ58" s="132">
        <v>165742</v>
      </c>
      <c r="EA58" s="132">
        <v>595510</v>
      </c>
      <c r="EB58" s="132">
        <v>354634</v>
      </c>
      <c r="EE58" s="132">
        <v>365823</v>
      </c>
      <c r="EF58" s="132">
        <v>126509</v>
      </c>
      <c r="EG58" s="132">
        <v>19970</v>
      </c>
      <c r="EI58" s="132">
        <v>68323</v>
      </c>
      <c r="EJ58" s="132">
        <v>710137</v>
      </c>
      <c r="EK58" s="132">
        <v>48787</v>
      </c>
      <c r="EL58" s="132">
        <v>647360</v>
      </c>
      <c r="EN58" s="132">
        <v>252172</v>
      </c>
      <c r="EO58" s="132">
        <v>149096</v>
      </c>
      <c r="EP58" s="132">
        <v>689512</v>
      </c>
      <c r="EQ58" s="132">
        <v>344210</v>
      </c>
      <c r="ER58" s="132">
        <v>5772</v>
      </c>
      <c r="ES58" s="132">
        <v>0</v>
      </c>
      <c r="ET58" s="132">
        <v>12135</v>
      </c>
      <c r="EU58" s="132">
        <v>232545</v>
      </c>
      <c r="EV58" s="132">
        <v>210797</v>
      </c>
      <c r="EW58" s="132">
        <v>605608</v>
      </c>
      <c r="EX58" s="132">
        <v>230201</v>
      </c>
      <c r="IO58" s="132">
        <v>2594</v>
      </c>
      <c r="IP58" s="132">
        <v>49132</v>
      </c>
      <c r="IQ58" s="132">
        <v>187537</v>
      </c>
      <c r="IR58" s="132">
        <v>71687</v>
      </c>
      <c r="IU58" s="132">
        <v>72615</v>
      </c>
      <c r="IV58" s="132">
        <v>2058</v>
      </c>
      <c r="IW58" s="132">
        <v>4028</v>
      </c>
      <c r="IY58" s="132">
        <v>8153</v>
      </c>
      <c r="IZ58" s="132">
        <v>56934</v>
      </c>
      <c r="JA58" s="132">
        <v>8143</v>
      </c>
      <c r="JB58" s="132">
        <v>124434</v>
      </c>
      <c r="JD58" s="132">
        <v>64705</v>
      </c>
      <c r="JE58" s="132">
        <v>20697</v>
      </c>
      <c r="JF58" s="132">
        <v>166560</v>
      </c>
      <c r="JG58" s="132">
        <v>95327</v>
      </c>
      <c r="JH58" s="132">
        <v>94</v>
      </c>
      <c r="JI58" s="132">
        <v>1004</v>
      </c>
      <c r="JJ58" s="132">
        <v>7663</v>
      </c>
      <c r="JK58" s="132">
        <v>41044</v>
      </c>
      <c r="JL58" s="132">
        <v>48773</v>
      </c>
      <c r="JM58" s="132">
        <v>80592</v>
      </c>
      <c r="JN58" s="132">
        <v>65619</v>
      </c>
    </row>
    <row r="59" spans="1:309" s="132" customFormat="1" x14ac:dyDescent="0.25">
      <c r="A59" s="134" t="s">
        <v>415</v>
      </c>
      <c r="B59" s="134"/>
      <c r="C59" s="134" t="s">
        <v>1069</v>
      </c>
      <c r="D59" s="134"/>
      <c r="E59" s="135"/>
      <c r="F59" s="134"/>
      <c r="G59" s="134" t="s">
        <v>416</v>
      </c>
      <c r="Q59" s="132">
        <v>88933</v>
      </c>
      <c r="AH59" s="132">
        <v>1953391</v>
      </c>
      <c r="AI59" s="132">
        <v>953627</v>
      </c>
      <c r="AJ59" s="132">
        <v>371142</v>
      </c>
      <c r="AK59" s="132">
        <v>288802</v>
      </c>
      <c r="AL59" s="132">
        <v>0</v>
      </c>
      <c r="CU59" s="132">
        <v>23184</v>
      </c>
      <c r="CV59" s="132">
        <v>14720</v>
      </c>
      <c r="CW59" s="132">
        <v>123776</v>
      </c>
      <c r="CX59" s="132">
        <v>86769</v>
      </c>
      <c r="CZ59" s="132">
        <v>224</v>
      </c>
      <c r="DA59" s="132">
        <v>94110</v>
      </c>
      <c r="DC59" s="132">
        <v>62372</v>
      </c>
      <c r="DE59" s="132">
        <v>18880</v>
      </c>
      <c r="DF59" s="132">
        <v>210336</v>
      </c>
      <c r="DG59" s="132">
        <v>11776</v>
      </c>
      <c r="DH59" s="132">
        <v>48</v>
      </c>
      <c r="DJ59" s="132">
        <v>42732</v>
      </c>
      <c r="DK59" s="132">
        <v>20720</v>
      </c>
      <c r="DL59" s="132">
        <v>111872</v>
      </c>
      <c r="DM59" s="132">
        <v>148558</v>
      </c>
      <c r="DN59" s="132">
        <v>264</v>
      </c>
      <c r="DO59" s="132">
        <v>47160</v>
      </c>
      <c r="DP59" s="132">
        <v>1980</v>
      </c>
      <c r="DQ59" s="132">
        <v>57744</v>
      </c>
      <c r="DR59" s="132">
        <v>95101</v>
      </c>
      <c r="DS59" s="132">
        <v>202560</v>
      </c>
      <c r="DT59" s="132">
        <v>48800</v>
      </c>
      <c r="DY59" s="132">
        <v>99658</v>
      </c>
      <c r="DZ59" s="132">
        <v>82252</v>
      </c>
      <c r="EA59" s="132">
        <v>242585</v>
      </c>
      <c r="EB59" s="132">
        <v>325895</v>
      </c>
      <c r="ED59" s="132">
        <v>590</v>
      </c>
      <c r="EE59" s="132">
        <v>271221</v>
      </c>
      <c r="EG59" s="132">
        <v>161654</v>
      </c>
      <c r="EI59" s="132">
        <v>142160</v>
      </c>
      <c r="EJ59" s="132">
        <v>554236</v>
      </c>
      <c r="EK59" s="132">
        <v>31030</v>
      </c>
      <c r="EL59" s="132">
        <v>60859</v>
      </c>
      <c r="EN59" s="132">
        <v>200624</v>
      </c>
      <c r="EO59" s="132">
        <v>128947</v>
      </c>
      <c r="EP59" s="132">
        <v>311148</v>
      </c>
      <c r="EQ59" s="132">
        <v>416556</v>
      </c>
      <c r="ER59" s="132">
        <v>541</v>
      </c>
      <c r="ES59" s="132">
        <v>260985</v>
      </c>
      <c r="ET59" s="132">
        <v>4058</v>
      </c>
      <c r="EU59" s="132">
        <v>218896</v>
      </c>
      <c r="EV59" s="132">
        <v>302097</v>
      </c>
      <c r="EW59" s="132">
        <v>379524</v>
      </c>
      <c r="EX59" s="132">
        <v>212397</v>
      </c>
      <c r="IO59" s="132">
        <v>84190</v>
      </c>
      <c r="IP59" s="132">
        <v>60626</v>
      </c>
      <c r="IQ59" s="132">
        <v>35179</v>
      </c>
      <c r="IR59" s="132">
        <v>72574</v>
      </c>
      <c r="IT59" s="132">
        <v>18</v>
      </c>
      <c r="IU59" s="132">
        <v>94345</v>
      </c>
      <c r="IW59" s="132">
        <v>21553</v>
      </c>
      <c r="IY59" s="132">
        <v>56330</v>
      </c>
      <c r="IZ59" s="132">
        <v>20747</v>
      </c>
      <c r="JA59" s="132">
        <v>968</v>
      </c>
      <c r="JB59" s="132">
        <v>22500</v>
      </c>
      <c r="JD59" s="132">
        <v>127891</v>
      </c>
      <c r="JE59" s="132">
        <v>41441</v>
      </c>
      <c r="JF59" s="132">
        <v>84989</v>
      </c>
      <c r="JG59" s="132">
        <v>15515</v>
      </c>
      <c r="JH59" s="132">
        <v>1633</v>
      </c>
      <c r="JI59" s="132">
        <v>81530</v>
      </c>
      <c r="JJ59" s="132">
        <v>12250</v>
      </c>
      <c r="JK59" s="132">
        <v>14467</v>
      </c>
      <c r="JL59" s="132">
        <v>85456</v>
      </c>
      <c r="JM59" s="132">
        <v>9175</v>
      </c>
      <c r="JN59" s="132">
        <v>34252</v>
      </c>
    </row>
    <row r="60" spans="1:309" s="132" customFormat="1" x14ac:dyDescent="0.25">
      <c r="A60" s="134" t="s">
        <v>431</v>
      </c>
      <c r="B60" s="134"/>
      <c r="C60" s="134" t="s">
        <v>1069</v>
      </c>
      <c r="D60" s="134"/>
      <c r="E60" s="135"/>
      <c r="F60" s="134"/>
      <c r="G60" s="134" t="s">
        <v>432</v>
      </c>
      <c r="Q60" s="132">
        <v>54228</v>
      </c>
      <c r="AH60" s="132">
        <v>1102458</v>
      </c>
      <c r="AI60" s="132">
        <v>371953</v>
      </c>
      <c r="AJ60" s="132">
        <v>153464</v>
      </c>
      <c r="AK60" s="132">
        <v>645983</v>
      </c>
      <c r="AL60" s="132">
        <v>39951</v>
      </c>
      <c r="CU60" s="132">
        <v>82448</v>
      </c>
      <c r="CV60" s="132">
        <v>10880</v>
      </c>
      <c r="CW60" s="132">
        <v>41088</v>
      </c>
      <c r="CX60" s="132">
        <v>33843</v>
      </c>
      <c r="CZ60" s="132">
        <v>8176</v>
      </c>
      <c r="DA60" s="132">
        <v>22738</v>
      </c>
      <c r="DC60" s="132">
        <v>15248</v>
      </c>
      <c r="DE60" s="132">
        <v>18958</v>
      </c>
      <c r="DF60" s="132">
        <v>94016</v>
      </c>
      <c r="DG60" s="132">
        <v>3000</v>
      </c>
      <c r="DJ60" s="132">
        <v>12006</v>
      </c>
      <c r="DL60" s="132">
        <v>27872</v>
      </c>
      <c r="DM60" s="132">
        <v>72784</v>
      </c>
      <c r="DN60" s="132">
        <v>17120</v>
      </c>
      <c r="DQ60" s="132">
        <v>23614</v>
      </c>
      <c r="DR60" s="132">
        <v>66440</v>
      </c>
      <c r="DS60" s="132">
        <v>94368</v>
      </c>
      <c r="DT60" s="132">
        <v>26880</v>
      </c>
      <c r="DY60" s="132">
        <v>207139</v>
      </c>
      <c r="DZ60" s="132">
        <v>37643</v>
      </c>
      <c r="EA60" s="132">
        <v>99292</v>
      </c>
      <c r="EB60" s="132">
        <v>95144</v>
      </c>
      <c r="ED60" s="132">
        <v>43130</v>
      </c>
      <c r="EE60" s="132">
        <v>40515</v>
      </c>
      <c r="EG60" s="132">
        <v>38659</v>
      </c>
      <c r="EI60" s="132">
        <v>36830</v>
      </c>
      <c r="EJ60" s="132">
        <v>271639</v>
      </c>
      <c r="EK60" s="132">
        <v>11964</v>
      </c>
      <c r="EN60" s="132">
        <v>11625</v>
      </c>
      <c r="EP60" s="132">
        <v>73220</v>
      </c>
      <c r="EQ60" s="132">
        <v>161963</v>
      </c>
      <c r="ER60" s="132">
        <v>34424</v>
      </c>
      <c r="EU60" s="132">
        <v>83613</v>
      </c>
      <c r="EV60" s="132">
        <v>130482</v>
      </c>
      <c r="EW60" s="132">
        <v>237311</v>
      </c>
      <c r="EX60" s="132">
        <v>84415</v>
      </c>
      <c r="IO60" s="132">
        <v>96058</v>
      </c>
      <c r="IP60" s="132">
        <v>18248</v>
      </c>
      <c r="IQ60" s="132">
        <v>19753</v>
      </c>
      <c r="IR60" s="132">
        <v>25506</v>
      </c>
      <c r="IT60" s="132">
        <v>17116</v>
      </c>
      <c r="IU60" s="132">
        <v>25406</v>
      </c>
      <c r="IW60" s="132">
        <v>5000</v>
      </c>
      <c r="IY60" s="132">
        <v>15883</v>
      </c>
      <c r="IZ60" s="132">
        <v>48553</v>
      </c>
      <c r="JA60" s="132">
        <v>1163</v>
      </c>
      <c r="JD60" s="132">
        <v>40672</v>
      </c>
      <c r="JF60" s="132">
        <v>13395</v>
      </c>
      <c r="JG60" s="132">
        <v>12976</v>
      </c>
      <c r="JH60" s="132">
        <v>18438</v>
      </c>
      <c r="JK60" s="132">
        <v>80206</v>
      </c>
      <c r="JL60" s="132">
        <v>80891</v>
      </c>
      <c r="JM60" s="132">
        <v>25072</v>
      </c>
      <c r="JN60" s="132">
        <v>34581</v>
      </c>
    </row>
    <row r="61" spans="1:309" s="132" customFormat="1" x14ac:dyDescent="0.25">
      <c r="A61" s="134" t="s">
        <v>417</v>
      </c>
      <c r="B61" s="134"/>
      <c r="C61" s="134" t="s">
        <v>1069</v>
      </c>
      <c r="D61" s="134"/>
      <c r="E61" s="135"/>
      <c r="F61" s="134"/>
      <c r="G61" s="134" t="s">
        <v>418</v>
      </c>
      <c r="Q61" s="132">
        <v>1073292</v>
      </c>
      <c r="AH61" s="132">
        <v>3320670</v>
      </c>
      <c r="AI61" s="132">
        <v>1020060</v>
      </c>
      <c r="AJ61" s="132">
        <v>463271</v>
      </c>
      <c r="AK61" s="132">
        <v>955730</v>
      </c>
      <c r="AL61" s="132">
        <v>0</v>
      </c>
      <c r="CU61" s="132">
        <v>28672</v>
      </c>
      <c r="CV61" s="132">
        <v>32574</v>
      </c>
      <c r="CW61" s="132">
        <v>235056</v>
      </c>
      <c r="CX61" s="132">
        <v>91898</v>
      </c>
      <c r="DA61" s="132">
        <v>101148</v>
      </c>
      <c r="DC61" s="132">
        <v>59955</v>
      </c>
      <c r="DE61" s="132">
        <v>43358</v>
      </c>
      <c r="DF61" s="132">
        <v>327513</v>
      </c>
      <c r="DG61" s="132">
        <v>20888</v>
      </c>
      <c r="DH61" s="132">
        <v>27328</v>
      </c>
      <c r="DI61" s="132">
        <v>25792</v>
      </c>
      <c r="DJ61" s="132">
        <v>161123</v>
      </c>
      <c r="DL61" s="132">
        <v>58144</v>
      </c>
      <c r="DM61" s="132">
        <v>203600</v>
      </c>
      <c r="DN61" s="132">
        <v>15854</v>
      </c>
      <c r="DP61" s="132">
        <v>432</v>
      </c>
      <c r="DQ61" s="132">
        <v>43920</v>
      </c>
      <c r="DR61" s="132">
        <v>65928</v>
      </c>
      <c r="DS61" s="132">
        <v>418656</v>
      </c>
      <c r="DT61" s="132">
        <v>67680</v>
      </c>
      <c r="DU61" s="132">
        <v>0</v>
      </c>
      <c r="DV61" s="132">
        <v>0</v>
      </c>
      <c r="DW61" s="132">
        <v>0</v>
      </c>
      <c r="DX61" s="132">
        <v>0</v>
      </c>
      <c r="DY61" s="132">
        <v>78424</v>
      </c>
      <c r="DZ61" s="132">
        <v>139168</v>
      </c>
      <c r="EA61" s="132">
        <v>47598107</v>
      </c>
      <c r="EB61" s="132">
        <v>44994413</v>
      </c>
      <c r="EE61" s="132">
        <v>37833991</v>
      </c>
      <c r="EG61" s="132">
        <v>173512</v>
      </c>
      <c r="EI61" s="132">
        <v>132152</v>
      </c>
      <c r="EJ61" s="132">
        <v>90669222</v>
      </c>
      <c r="EK61" s="132">
        <v>54446</v>
      </c>
      <c r="EL61" s="132">
        <v>275541</v>
      </c>
      <c r="EM61" s="132">
        <v>221064</v>
      </c>
      <c r="EN61" s="132">
        <v>315172</v>
      </c>
      <c r="EP61" s="132">
        <v>298404</v>
      </c>
      <c r="EQ61" s="132">
        <v>54074652</v>
      </c>
      <c r="ER61" s="132">
        <v>83744</v>
      </c>
      <c r="ET61" s="132">
        <v>771</v>
      </c>
      <c r="EU61" s="132">
        <v>90534</v>
      </c>
      <c r="EV61" s="132">
        <v>149029</v>
      </c>
      <c r="EW61" s="132">
        <v>67316640</v>
      </c>
      <c r="EX61" s="132">
        <v>358819</v>
      </c>
      <c r="IO61" s="132">
        <v>17232</v>
      </c>
      <c r="IP61" s="132">
        <v>12301</v>
      </c>
      <c r="IQ61" s="132">
        <v>16822222</v>
      </c>
      <c r="IR61" s="132">
        <v>14034448</v>
      </c>
      <c r="IU61" s="132">
        <v>21336333</v>
      </c>
      <c r="IW61" s="132">
        <v>24224</v>
      </c>
      <c r="IY61" s="132">
        <v>24431</v>
      </c>
      <c r="IZ61" s="132">
        <v>18519240</v>
      </c>
      <c r="JA61" s="132">
        <v>3206</v>
      </c>
      <c r="JB61" s="132">
        <v>43298</v>
      </c>
      <c r="JC61" s="132">
        <v>47924</v>
      </c>
      <c r="JD61" s="132">
        <v>209516</v>
      </c>
      <c r="JF61" s="132">
        <v>77937</v>
      </c>
      <c r="JG61" s="132">
        <v>10719623</v>
      </c>
      <c r="JH61" s="132">
        <v>10512</v>
      </c>
      <c r="JJ61" s="132">
        <v>141</v>
      </c>
      <c r="JK61" s="132">
        <v>10526</v>
      </c>
      <c r="JL61" s="132">
        <v>134033</v>
      </c>
      <c r="JM61" s="132">
        <v>10778656</v>
      </c>
      <c r="JN61" s="132">
        <v>55422</v>
      </c>
    </row>
    <row r="62" spans="1:309" x14ac:dyDescent="0.25">
      <c r="CU62" s="65"/>
      <c r="CV62" s="65"/>
      <c r="CW62" s="65"/>
      <c r="CX62" s="65"/>
      <c r="CY62" s="65"/>
      <c r="CZ62" s="65"/>
      <c r="DA62" s="65"/>
      <c r="DB62" s="65"/>
      <c r="DC62" s="65"/>
      <c r="DD62" s="65"/>
      <c r="DE62" s="65"/>
      <c r="DF62" s="65"/>
      <c r="DG62" s="65"/>
      <c r="DH62" s="65"/>
      <c r="DI62" s="65"/>
      <c r="DJ62" s="65"/>
      <c r="DK62" s="65"/>
      <c r="DL62" s="65"/>
      <c r="DM62" s="65"/>
      <c r="DN62" s="65"/>
      <c r="DO62" s="65"/>
      <c r="DP62" s="65"/>
      <c r="DQ62" s="65"/>
      <c r="DR62" s="65"/>
      <c r="DS62" s="65"/>
      <c r="DT62" s="65"/>
      <c r="DU62" s="65"/>
      <c r="DV62" s="65"/>
      <c r="JS62" s="9"/>
      <c r="JT62" s="9"/>
      <c r="JU62" s="9"/>
      <c r="JV62" s="9"/>
      <c r="JW62" s="9"/>
      <c r="JX62" s="9"/>
      <c r="JY62" s="9"/>
      <c r="JZ62" s="9"/>
      <c r="KA62" s="9"/>
      <c r="KB62" s="9"/>
      <c r="KC62" s="9"/>
      <c r="KD62" s="9"/>
      <c r="KE62" s="9"/>
      <c r="KF62" s="9"/>
      <c r="KG62" s="9"/>
      <c r="KH62" s="9"/>
      <c r="KI62" s="9"/>
      <c r="KJ62" s="9"/>
      <c r="KK62" s="9"/>
      <c r="KL62" s="9"/>
      <c r="KM62" s="9"/>
      <c r="KN62" s="9"/>
      <c r="KO62" s="9"/>
      <c r="KP62" s="9"/>
      <c r="KQ62" s="9"/>
      <c r="KR62" s="9"/>
      <c r="KS62" s="9"/>
      <c r="KT62" s="9"/>
      <c r="KU62" s="9"/>
      <c r="KV62" s="41"/>
    </row>
    <row r="63" spans="1:309" x14ac:dyDescent="0.25">
      <c r="B63" s="65"/>
      <c r="C63" s="65"/>
      <c r="D63" s="65"/>
      <c r="E63" s="65"/>
      <c r="F63" s="65"/>
      <c r="G63" s="65"/>
      <c r="H63" s="65"/>
      <c r="I63" s="65"/>
      <c r="J63" s="65"/>
      <c r="K63" s="65"/>
      <c r="L63" s="65"/>
      <c r="M63" s="65"/>
      <c r="N63" s="65"/>
      <c r="O63" s="65"/>
      <c r="P63" s="65"/>
      <c r="Q63" s="65"/>
      <c r="R63" s="65"/>
      <c r="S63" s="65"/>
      <c r="T63" s="65"/>
      <c r="U63" s="65"/>
      <c r="V63" s="65"/>
      <c r="W63" s="65"/>
      <c r="X63" s="65"/>
      <c r="Y63" s="65"/>
      <c r="Z63" s="65"/>
      <c r="AA63" s="65"/>
      <c r="AB63" s="65"/>
      <c r="AC63" s="65"/>
      <c r="AD63" s="65"/>
      <c r="AE63" s="65"/>
      <c r="AF63" s="65"/>
      <c r="AG63" s="65"/>
      <c r="AH63" s="65"/>
      <c r="AI63" s="65"/>
      <c r="AJ63" s="65"/>
      <c r="AK63" s="65"/>
      <c r="AL63" s="65"/>
      <c r="AM63" s="65"/>
      <c r="AN63" s="65"/>
      <c r="AO63" s="65"/>
      <c r="AP63" s="65"/>
      <c r="AQ63" s="65"/>
      <c r="AR63" s="65"/>
      <c r="AS63" s="65"/>
      <c r="AT63" s="65"/>
      <c r="AU63" s="65"/>
      <c r="AV63" s="65"/>
      <c r="AW63" s="65"/>
      <c r="AX63" s="65"/>
      <c r="AY63" s="65"/>
      <c r="AZ63" s="65"/>
      <c r="BA63" s="65"/>
      <c r="BB63" s="65"/>
      <c r="BC63" s="65"/>
      <c r="BD63" s="65"/>
      <c r="BE63" s="65"/>
      <c r="BF63" s="65"/>
      <c r="BG63" s="65"/>
      <c r="BH63" s="65"/>
      <c r="BI63" s="65"/>
      <c r="BJ63" s="65"/>
      <c r="BK63" s="65"/>
      <c r="BL63" s="65"/>
      <c r="BM63" s="65"/>
      <c r="BN63" s="65"/>
      <c r="BO63" s="65"/>
      <c r="BP63" s="65"/>
      <c r="BQ63" s="65"/>
      <c r="BR63" s="65"/>
      <c r="BS63" s="65"/>
      <c r="BT63" s="65"/>
      <c r="BU63" s="65"/>
      <c r="BV63" s="65"/>
      <c r="BW63" s="65"/>
      <c r="BX63" s="65"/>
      <c r="BY63" s="65"/>
      <c r="BZ63" s="65"/>
      <c r="CA63" s="65"/>
      <c r="CB63" s="65"/>
      <c r="CC63" s="65"/>
      <c r="CD63" s="65"/>
      <c r="CE63" s="65"/>
      <c r="CF63" s="65"/>
      <c r="CG63" s="65"/>
      <c r="CH63" s="65"/>
      <c r="CI63" s="65"/>
      <c r="CJ63" s="65"/>
      <c r="CK63" s="65"/>
      <c r="CL63" s="65"/>
      <c r="CM63" s="65"/>
      <c r="CN63" s="65"/>
      <c r="CO63" s="65"/>
      <c r="CP63" s="65"/>
      <c r="CQ63" s="65"/>
      <c r="CR63" s="65"/>
      <c r="CS63" s="65"/>
      <c r="CT63" s="65"/>
      <c r="CU63" s="65"/>
      <c r="CV63" s="65"/>
      <c r="CW63" s="65"/>
      <c r="CX63" s="65"/>
      <c r="CY63" s="65"/>
      <c r="CZ63" s="65"/>
      <c r="DA63" s="65"/>
      <c r="DB63" s="65"/>
      <c r="DC63" s="65"/>
      <c r="DD63" s="65"/>
      <c r="DE63" s="65"/>
      <c r="DF63" s="65"/>
      <c r="DG63" s="65"/>
      <c r="DH63" s="65"/>
      <c r="DI63" s="65"/>
      <c r="DJ63" s="65"/>
      <c r="DK63" s="65"/>
      <c r="DL63" s="65"/>
      <c r="DM63" s="65"/>
      <c r="DN63" s="65"/>
      <c r="DO63" s="65"/>
      <c r="DP63" s="65"/>
      <c r="DQ63" s="65"/>
      <c r="DR63" s="65"/>
      <c r="DS63" s="65"/>
      <c r="DT63" s="65"/>
      <c r="DU63" s="65"/>
      <c r="DV63" s="65"/>
      <c r="DW63" s="65"/>
      <c r="DX63" s="65"/>
      <c r="DY63" s="65"/>
      <c r="DZ63" s="65"/>
      <c r="EA63" s="65"/>
      <c r="EB63" s="65"/>
      <c r="EC63" s="65"/>
      <c r="ED63" s="65"/>
      <c r="EE63" s="65"/>
      <c r="EF63" s="65"/>
      <c r="EG63" s="65"/>
      <c r="EH63" s="65"/>
      <c r="EI63" s="65"/>
      <c r="EJ63" s="65"/>
      <c r="EK63" s="65"/>
      <c r="EL63" s="65"/>
      <c r="EM63" s="65"/>
      <c r="EN63" s="65"/>
      <c r="EO63" s="65"/>
      <c r="EP63" s="65"/>
      <c r="EQ63" s="65"/>
      <c r="ER63" s="65"/>
      <c r="ES63" s="65"/>
      <c r="ET63" s="65"/>
      <c r="EU63" s="65"/>
      <c r="EV63" s="65"/>
      <c r="EW63" s="65"/>
      <c r="EX63" s="65"/>
      <c r="EY63" s="65"/>
      <c r="EZ63" s="65"/>
      <c r="FA63" s="65"/>
      <c r="FB63" s="65"/>
      <c r="FC63" s="65"/>
      <c r="FD63" s="65"/>
      <c r="FE63" s="65"/>
      <c r="FF63" s="65"/>
      <c r="FG63" s="65"/>
      <c r="FH63" s="65"/>
      <c r="FI63" s="65"/>
      <c r="FJ63" s="65"/>
      <c r="FK63" s="65"/>
      <c r="FL63" s="65"/>
      <c r="FM63" s="65"/>
      <c r="FN63" s="65"/>
      <c r="FO63" s="65"/>
      <c r="FP63" s="65"/>
      <c r="FQ63" s="65"/>
      <c r="FR63" s="65"/>
      <c r="FS63" s="65"/>
      <c r="FT63" s="65"/>
      <c r="FU63" s="65"/>
      <c r="FV63" s="65"/>
      <c r="FW63" s="65"/>
      <c r="FX63" s="65"/>
      <c r="FY63" s="65"/>
      <c r="FZ63" s="65"/>
      <c r="GA63" s="65"/>
      <c r="GB63" s="65"/>
      <c r="GC63" s="65"/>
      <c r="GD63" s="65"/>
      <c r="GE63" s="65"/>
      <c r="GF63" s="65"/>
      <c r="GG63" s="65"/>
      <c r="GH63" s="65"/>
      <c r="GI63" s="65"/>
      <c r="GJ63" s="65"/>
      <c r="GK63" s="65"/>
      <c r="GL63" s="65"/>
      <c r="GM63" s="65"/>
      <c r="GN63" s="65"/>
      <c r="GO63" s="65"/>
      <c r="GP63" s="65"/>
      <c r="GQ63" s="65"/>
      <c r="GR63" s="65"/>
      <c r="GS63" s="65"/>
      <c r="GT63" s="65"/>
      <c r="GU63" s="65"/>
      <c r="GV63" s="65"/>
      <c r="GW63" s="65"/>
      <c r="GX63" s="65"/>
      <c r="GY63" s="65"/>
      <c r="GZ63" s="65"/>
      <c r="HA63" s="65"/>
      <c r="HB63" s="65"/>
      <c r="HC63" s="65"/>
      <c r="HD63" s="65"/>
      <c r="HE63" s="65"/>
      <c r="HF63" s="65"/>
      <c r="HG63" s="65"/>
      <c r="HH63" s="65"/>
      <c r="HI63" s="65"/>
      <c r="HJ63" s="65"/>
      <c r="HK63" s="65"/>
      <c r="HL63" s="65"/>
      <c r="HM63" s="65"/>
      <c r="HN63" s="65"/>
      <c r="HO63" s="65"/>
      <c r="HP63" s="65"/>
      <c r="HQ63" s="65"/>
      <c r="HR63" s="65"/>
      <c r="HS63" s="65"/>
      <c r="HT63" s="65"/>
      <c r="HU63" s="65"/>
      <c r="HV63" s="65"/>
      <c r="HW63" s="65"/>
      <c r="HX63" s="65"/>
      <c r="HY63" s="65"/>
      <c r="HZ63" s="65"/>
      <c r="IA63" s="65"/>
      <c r="IB63" s="65"/>
      <c r="IC63" s="65"/>
      <c r="ID63" s="65"/>
      <c r="IE63" s="65"/>
      <c r="IF63" s="65"/>
      <c r="IG63" s="65"/>
      <c r="IH63" s="65"/>
      <c r="II63" s="65"/>
      <c r="IJ63" s="65"/>
      <c r="IK63" s="65"/>
      <c r="IL63" s="65"/>
      <c r="IM63" s="65"/>
      <c r="IN63" s="65"/>
      <c r="IO63" s="65"/>
      <c r="IP63" s="65"/>
      <c r="IQ63" s="65"/>
      <c r="IR63" s="65"/>
      <c r="IS63" s="65"/>
      <c r="IT63" s="65"/>
      <c r="IU63" s="65"/>
      <c r="IV63" s="65"/>
      <c r="IW63" s="65"/>
      <c r="IX63" s="65"/>
      <c r="IY63" s="65"/>
      <c r="IZ63" s="65"/>
      <c r="JA63" s="65"/>
      <c r="JB63" s="65"/>
      <c r="JC63" s="65"/>
      <c r="JD63" s="65"/>
      <c r="JE63" s="65"/>
      <c r="JF63" s="65"/>
      <c r="JG63" s="65"/>
      <c r="JH63" s="65"/>
      <c r="JI63" s="65"/>
      <c r="JJ63" s="65"/>
      <c r="JK63" s="65"/>
      <c r="JL63" s="65"/>
      <c r="JM63" s="65"/>
      <c r="JN63" s="65"/>
      <c r="JO63" s="65"/>
      <c r="JP63" s="65"/>
      <c r="JQ63" s="65"/>
      <c r="JR63" s="65"/>
      <c r="JS63" s="65"/>
      <c r="JT63" s="65"/>
      <c r="JU63" s="65"/>
      <c r="JV63" s="65"/>
      <c r="JW63" s="65"/>
      <c r="JX63" s="65"/>
      <c r="JY63" s="65"/>
      <c r="JZ63" s="65"/>
      <c r="KA63" s="65"/>
      <c r="KB63" s="65"/>
      <c r="KC63" s="65"/>
      <c r="KD63" s="65"/>
      <c r="KE63" s="65"/>
      <c r="KF63" s="65"/>
      <c r="KG63" s="65"/>
      <c r="KH63" s="65"/>
      <c r="KI63" s="65"/>
      <c r="KJ63" s="65"/>
      <c r="KK63" s="65"/>
      <c r="KL63" s="65"/>
      <c r="KM63" s="65"/>
      <c r="KN63" s="65"/>
      <c r="KO63" s="65"/>
      <c r="KP63" s="65"/>
      <c r="KQ63" s="65"/>
      <c r="KR63" s="65"/>
      <c r="KS63" s="65"/>
      <c r="KT63" s="65"/>
      <c r="KU63" s="65"/>
      <c r="KV63" s="65"/>
      <c r="KW63" s="65"/>
    </row>
    <row r="64" spans="1:309" x14ac:dyDescent="0.25">
      <c r="C64" s="131"/>
      <c r="D64" s="131"/>
      <c r="E64" s="131"/>
      <c r="F64" s="131"/>
      <c r="G64" s="131"/>
      <c r="H64" s="131"/>
      <c r="I64" s="131"/>
      <c r="J64" s="131"/>
      <c r="CT64" s="132"/>
      <c r="CU64" s="132"/>
      <c r="CV64" s="132"/>
      <c r="CW64" s="132"/>
      <c r="CX64" s="132"/>
      <c r="CY64" s="132"/>
      <c r="CZ64" s="132"/>
      <c r="DA64" s="132"/>
      <c r="DB64" s="132"/>
      <c r="DC64" s="132"/>
      <c r="DD64" s="132"/>
      <c r="DE64" s="132"/>
      <c r="DF64" s="132"/>
      <c r="DG64" s="132"/>
      <c r="DH64" s="132"/>
      <c r="DI64" s="132"/>
      <c r="DJ64" s="132"/>
      <c r="DK64" s="132"/>
      <c r="DL64" s="132"/>
      <c r="DM64" s="132"/>
      <c r="DN64" s="132"/>
      <c r="DO64" s="132"/>
      <c r="DP64" s="132"/>
      <c r="DQ64" s="132"/>
      <c r="DR64" s="132"/>
      <c r="DS64" s="132"/>
      <c r="DT64" s="132"/>
      <c r="DU64" s="132"/>
      <c r="DV64" s="132"/>
      <c r="DW64" s="132"/>
      <c r="DX64" s="132"/>
      <c r="DY64" s="132"/>
      <c r="DZ64" s="132"/>
      <c r="EA64" s="132"/>
      <c r="EB64" s="132"/>
      <c r="EC64" s="132"/>
      <c r="ED64" s="132"/>
      <c r="EE64" s="132"/>
      <c r="EF64" s="132"/>
      <c r="EG64" s="132"/>
      <c r="EH64" s="132"/>
      <c r="EI64" s="132"/>
      <c r="EJ64" s="132"/>
      <c r="EK64" s="132"/>
      <c r="EL64" s="132"/>
      <c r="EM64" s="132"/>
      <c r="EN64" s="132"/>
      <c r="EO64" s="132"/>
      <c r="EP64" s="132"/>
      <c r="EQ64" s="132"/>
      <c r="ER64" s="132"/>
      <c r="ES64" s="132"/>
      <c r="ET64" s="132"/>
      <c r="EU64" s="132"/>
      <c r="EV64" s="132"/>
      <c r="EW64" s="132"/>
      <c r="EX64" s="132"/>
      <c r="EY64" s="132"/>
      <c r="EZ64" s="132"/>
      <c r="FA64" s="132"/>
      <c r="FB64" s="132"/>
      <c r="FC64" s="132"/>
      <c r="FD64" s="132"/>
      <c r="FE64" s="132"/>
      <c r="FF64" s="132"/>
      <c r="FG64" s="132"/>
      <c r="FH64" s="132"/>
      <c r="FI64" s="132"/>
      <c r="FJ64" s="132"/>
      <c r="FK64" s="132"/>
      <c r="FL64" s="132"/>
      <c r="FM64" s="132"/>
      <c r="FN64" s="132"/>
      <c r="FO64" s="132"/>
      <c r="FP64" s="132"/>
      <c r="FQ64" s="132"/>
      <c r="FR64" s="132"/>
      <c r="FS64" s="132"/>
      <c r="FT64" s="132"/>
      <c r="FU64" s="132"/>
      <c r="FV64" s="132"/>
      <c r="FW64" s="132"/>
      <c r="FX64" s="132"/>
      <c r="FY64" s="132"/>
      <c r="FZ64" s="132"/>
      <c r="GA64" s="132"/>
      <c r="GB64" s="132"/>
      <c r="GC64" s="132"/>
      <c r="GD64" s="132"/>
      <c r="GE64" s="132"/>
      <c r="GF64" s="132"/>
      <c r="IH64" s="65"/>
      <c r="II64" s="65"/>
      <c r="IJ64" s="65"/>
      <c r="IK64" s="65"/>
      <c r="IL64" s="65"/>
      <c r="IM64" s="65"/>
      <c r="IN64" s="65"/>
      <c r="IO64" s="65"/>
      <c r="IP64" s="65"/>
      <c r="IQ64" s="65"/>
      <c r="IR64" s="65"/>
      <c r="IS64" s="65"/>
      <c r="IT64" s="65"/>
      <c r="IU64" s="65"/>
      <c r="IV64" s="65"/>
      <c r="IW64" s="65"/>
      <c r="IX64" s="65"/>
      <c r="IY64" s="65"/>
      <c r="IZ64" s="65"/>
      <c r="JA64" s="65"/>
      <c r="JB64" s="65"/>
      <c r="JC64" s="65"/>
      <c r="JD64" s="65"/>
      <c r="JE64" s="65"/>
      <c r="JF64" s="65"/>
      <c r="JG64" s="65"/>
      <c r="JH64" s="65"/>
    </row>
    <row r="65" spans="2:268" x14ac:dyDescent="0.25">
      <c r="C65" s="131"/>
      <c r="D65" s="131"/>
      <c r="E65" s="131"/>
      <c r="F65" s="131"/>
      <c r="G65" s="131"/>
      <c r="H65" s="131"/>
      <c r="I65" s="131"/>
      <c r="J65" s="131"/>
      <c r="CT65" s="132"/>
      <c r="CU65" s="132"/>
      <c r="CV65" s="132"/>
      <c r="CW65" s="132"/>
      <c r="CX65" s="132"/>
      <c r="CY65" s="132"/>
      <c r="CZ65" s="132"/>
      <c r="DA65" s="132"/>
      <c r="DB65" s="132"/>
      <c r="DC65" s="132"/>
      <c r="DD65" s="132"/>
      <c r="DE65" s="132"/>
      <c r="DF65" s="132"/>
      <c r="DG65" s="132"/>
      <c r="DH65" s="132"/>
      <c r="DI65" s="132"/>
      <c r="DJ65" s="132"/>
      <c r="DK65" s="132"/>
      <c r="DL65" s="132"/>
      <c r="DM65" s="132"/>
      <c r="DN65" s="132"/>
      <c r="DO65" s="132"/>
      <c r="DP65" s="132"/>
      <c r="DQ65" s="132"/>
      <c r="DR65" s="132"/>
      <c r="DS65" s="132"/>
      <c r="DT65" s="132"/>
      <c r="DU65" s="132"/>
      <c r="DV65" s="132"/>
      <c r="DW65" s="132"/>
      <c r="DX65" s="133"/>
      <c r="DY65" s="132"/>
      <c r="DZ65" s="132"/>
      <c r="EA65" s="132"/>
      <c r="EB65" s="132"/>
      <c r="EC65" s="132"/>
      <c r="ED65" s="132"/>
      <c r="EE65" s="132"/>
      <c r="EF65" s="132"/>
      <c r="EG65" s="132"/>
      <c r="EH65" s="132"/>
      <c r="EI65" s="132"/>
      <c r="EJ65" s="132"/>
      <c r="EK65" s="132"/>
      <c r="EL65" s="132"/>
      <c r="EM65" s="132"/>
      <c r="EN65" s="132"/>
      <c r="EO65" s="132"/>
      <c r="EP65" s="132"/>
      <c r="EQ65" s="132"/>
      <c r="ER65" s="132"/>
      <c r="ES65" s="132"/>
      <c r="ET65" s="132"/>
      <c r="EU65" s="132"/>
      <c r="EV65" s="132"/>
      <c r="EW65" s="132"/>
      <c r="EX65" s="132"/>
      <c r="EY65" s="132"/>
      <c r="EZ65" s="132"/>
      <c r="FA65" s="132"/>
      <c r="FB65" s="132"/>
      <c r="FC65" s="132"/>
      <c r="FD65" s="132"/>
      <c r="FE65" s="132"/>
      <c r="FF65" s="132"/>
      <c r="FG65" s="132"/>
      <c r="FH65" s="132"/>
      <c r="FI65" s="132"/>
      <c r="FJ65" s="132"/>
      <c r="FK65" s="132"/>
      <c r="FL65" s="132"/>
      <c r="FM65" s="132"/>
      <c r="FN65" s="132"/>
      <c r="FO65" s="132"/>
      <c r="FP65" s="132"/>
      <c r="FQ65" s="132"/>
      <c r="FR65" s="132"/>
      <c r="FS65" s="132"/>
      <c r="FT65" s="132"/>
      <c r="FU65" s="132"/>
      <c r="FV65" s="132"/>
      <c r="FW65" s="132"/>
      <c r="FX65" s="132"/>
      <c r="FY65" s="132"/>
      <c r="FZ65" s="132"/>
      <c r="GA65" s="132"/>
      <c r="GB65" s="132"/>
      <c r="GC65" s="132"/>
      <c r="GD65" s="132"/>
      <c r="GE65" s="132"/>
      <c r="GF65" s="132"/>
      <c r="IH65" s="65"/>
      <c r="II65" s="65"/>
      <c r="IJ65" s="65"/>
      <c r="IK65" s="65"/>
      <c r="IL65" s="65"/>
      <c r="IM65" s="65"/>
      <c r="IN65" s="65"/>
      <c r="IO65" s="65"/>
      <c r="IP65" s="65"/>
      <c r="IQ65" s="65"/>
      <c r="IR65" s="65"/>
      <c r="IS65" s="65"/>
      <c r="IT65" s="65"/>
      <c r="IU65" s="65"/>
      <c r="IV65" s="65"/>
      <c r="IW65" s="65"/>
      <c r="IX65" s="65"/>
      <c r="IY65" s="65"/>
      <c r="IZ65" s="65"/>
      <c r="JA65" s="65"/>
      <c r="JB65" s="65"/>
      <c r="JC65" s="65"/>
      <c r="JD65" s="65"/>
      <c r="JE65" s="65"/>
      <c r="JF65" s="65"/>
      <c r="JG65" s="65"/>
      <c r="JH65" s="65"/>
    </row>
    <row r="66" spans="2:268" x14ac:dyDescent="0.25">
      <c r="G66" s="129"/>
      <c r="H66" s="129"/>
      <c r="CT66" s="132"/>
      <c r="CU66" s="132"/>
      <c r="CV66" s="132"/>
      <c r="CW66" s="132"/>
      <c r="CX66" s="132"/>
      <c r="CY66" s="132"/>
      <c r="CZ66" s="132"/>
      <c r="DA66" s="132"/>
      <c r="DB66" s="132"/>
      <c r="DC66" s="132"/>
      <c r="DD66" s="132"/>
      <c r="DE66" s="132"/>
      <c r="DF66" s="132"/>
      <c r="DG66" s="132"/>
      <c r="DH66" s="132"/>
      <c r="DI66" s="132"/>
      <c r="DJ66" s="132"/>
      <c r="DK66" s="132"/>
      <c r="DL66" s="132"/>
      <c r="DM66" s="132"/>
      <c r="DN66" s="132"/>
      <c r="DO66" s="132"/>
      <c r="DP66" s="132"/>
      <c r="DQ66" s="132"/>
      <c r="DR66" s="132"/>
      <c r="DS66" s="132"/>
      <c r="DT66" s="132"/>
      <c r="DU66" s="132"/>
      <c r="DV66" s="132"/>
      <c r="DW66" s="132"/>
      <c r="DX66" s="133"/>
      <c r="DY66" s="132"/>
      <c r="DZ66" s="132"/>
      <c r="EA66" s="132"/>
      <c r="EB66" s="132"/>
      <c r="EC66" s="132"/>
      <c r="ED66" s="132"/>
      <c r="EE66" s="132"/>
      <c r="EF66" s="132"/>
      <c r="EG66" s="132"/>
      <c r="EH66" s="132"/>
      <c r="EI66" s="132"/>
      <c r="EJ66" s="132"/>
      <c r="EK66" s="132"/>
      <c r="EL66" s="132"/>
      <c r="EM66" s="132"/>
      <c r="EN66" s="132"/>
      <c r="EO66" s="132"/>
      <c r="EP66" s="132"/>
      <c r="EQ66" s="132"/>
      <c r="ER66" s="132"/>
      <c r="ES66" s="132"/>
      <c r="ET66" s="132"/>
      <c r="EU66" s="132"/>
      <c r="EV66" s="132"/>
      <c r="EW66" s="132"/>
      <c r="EX66" s="132"/>
      <c r="EY66" s="132"/>
      <c r="EZ66" s="132"/>
      <c r="FA66" s="132"/>
      <c r="FB66" s="132"/>
      <c r="FC66" s="132"/>
      <c r="FD66" s="132"/>
      <c r="FE66" s="132"/>
      <c r="FF66" s="132"/>
      <c r="FG66" s="132"/>
      <c r="FH66" s="132"/>
      <c r="FI66" s="132"/>
      <c r="FJ66" s="132"/>
      <c r="FK66" s="132"/>
      <c r="FL66" s="132"/>
      <c r="FM66" s="132"/>
      <c r="FN66" s="132"/>
      <c r="FO66" s="132"/>
      <c r="FP66" s="132"/>
      <c r="FQ66" s="132"/>
      <c r="FR66" s="132"/>
      <c r="FS66" s="132"/>
      <c r="FT66" s="132"/>
      <c r="FU66" s="132"/>
      <c r="FV66" s="132"/>
      <c r="FW66" s="132"/>
      <c r="FX66" s="132"/>
      <c r="FY66" s="132"/>
      <c r="FZ66" s="132"/>
      <c r="GA66" s="132"/>
      <c r="GB66" s="132"/>
      <c r="GC66" s="132"/>
      <c r="GD66" s="132"/>
      <c r="GE66" s="132"/>
      <c r="GF66" s="132"/>
      <c r="IH66" s="65"/>
      <c r="II66" s="65"/>
      <c r="IJ66" s="65"/>
      <c r="IK66" s="65"/>
      <c r="IL66" s="65"/>
      <c r="IM66" s="65"/>
      <c r="IN66" s="65"/>
      <c r="IO66" s="65"/>
      <c r="IP66" s="65"/>
      <c r="IQ66" s="65"/>
      <c r="IR66" s="65"/>
      <c r="IS66" s="65"/>
      <c r="IT66" s="65"/>
      <c r="IU66" s="65"/>
      <c r="IV66" s="65"/>
      <c r="IW66" s="65"/>
      <c r="IX66" s="65"/>
      <c r="IY66" s="65"/>
      <c r="IZ66" s="65"/>
      <c r="JA66" s="65"/>
      <c r="JB66" s="65"/>
      <c r="JC66" s="65"/>
      <c r="JD66" s="65"/>
      <c r="JE66" s="65"/>
      <c r="JF66" s="65"/>
      <c r="JG66" s="65"/>
      <c r="JH66" s="65"/>
    </row>
    <row r="67" spans="2:268" x14ac:dyDescent="0.25">
      <c r="G67" s="129"/>
      <c r="H67" s="129"/>
      <c r="CT67" s="132"/>
      <c r="CU67" s="132"/>
      <c r="CV67" s="132"/>
      <c r="CW67" s="132"/>
      <c r="CX67" s="132"/>
      <c r="CY67" s="132"/>
      <c r="CZ67" s="132"/>
      <c r="DA67" s="132"/>
      <c r="DB67" s="132"/>
      <c r="DC67" s="132"/>
      <c r="DD67" s="132"/>
      <c r="DE67" s="132"/>
      <c r="DF67" s="132"/>
      <c r="DG67" s="132"/>
      <c r="DH67" s="132"/>
      <c r="DI67" s="132"/>
      <c r="DJ67" s="132"/>
      <c r="DK67" s="132"/>
      <c r="DL67" s="132"/>
      <c r="DM67" s="132"/>
      <c r="DN67" s="132"/>
      <c r="DO67" s="132"/>
      <c r="DP67" s="132"/>
      <c r="DQ67" s="132"/>
      <c r="DR67" s="132"/>
      <c r="DS67" s="132"/>
      <c r="DT67" s="132"/>
      <c r="DU67" s="132"/>
      <c r="DV67" s="132"/>
      <c r="DW67" s="132"/>
      <c r="DX67" s="133"/>
      <c r="DY67" s="132"/>
      <c r="DZ67" s="132"/>
      <c r="EA67" s="132"/>
      <c r="EB67" s="132"/>
      <c r="EC67" s="132"/>
      <c r="ED67" s="132"/>
      <c r="EE67" s="132"/>
      <c r="EF67" s="132"/>
      <c r="EG67" s="132"/>
      <c r="EH67" s="132"/>
      <c r="EI67" s="132"/>
      <c r="EJ67" s="132"/>
      <c r="EK67" s="132"/>
      <c r="EL67" s="132"/>
      <c r="EM67" s="132"/>
      <c r="EN67" s="132"/>
      <c r="EO67" s="132"/>
      <c r="EP67" s="132"/>
      <c r="EQ67" s="132"/>
      <c r="ER67" s="132"/>
      <c r="ES67" s="132"/>
      <c r="ET67" s="132"/>
      <c r="EU67" s="132"/>
      <c r="EV67" s="132"/>
      <c r="EW67" s="132"/>
      <c r="EX67" s="132"/>
      <c r="EY67" s="132"/>
      <c r="EZ67" s="132"/>
      <c r="FA67" s="132"/>
      <c r="FB67" s="132"/>
      <c r="FC67" s="132"/>
      <c r="FD67" s="132"/>
      <c r="FE67" s="132"/>
      <c r="FF67" s="132"/>
      <c r="FG67" s="132"/>
      <c r="FH67" s="132"/>
      <c r="FI67" s="132"/>
      <c r="FJ67" s="132"/>
      <c r="FK67" s="132"/>
      <c r="FL67" s="132"/>
      <c r="FM67" s="132"/>
      <c r="FN67" s="132"/>
      <c r="FO67" s="132"/>
      <c r="FP67" s="132"/>
      <c r="FQ67" s="132"/>
      <c r="FR67" s="132"/>
      <c r="FS67" s="132"/>
      <c r="FT67" s="132"/>
      <c r="FU67" s="132"/>
      <c r="FV67" s="132"/>
      <c r="FW67" s="132"/>
      <c r="FX67" s="132"/>
      <c r="FY67" s="132"/>
      <c r="FZ67" s="132"/>
      <c r="GA67" s="132"/>
      <c r="GB67" s="132"/>
      <c r="GC67" s="132"/>
      <c r="GD67" s="132"/>
      <c r="GE67" s="132"/>
      <c r="GF67" s="132"/>
      <c r="IH67" s="65"/>
      <c r="II67" s="65"/>
      <c r="IJ67" s="65"/>
      <c r="IK67" s="65"/>
      <c r="IL67" s="65"/>
      <c r="IM67" s="65"/>
      <c r="IN67" s="65"/>
      <c r="IO67" s="65"/>
      <c r="IP67" s="65"/>
      <c r="IQ67" s="65"/>
      <c r="IR67" s="65"/>
      <c r="IS67" s="65"/>
      <c r="IT67" s="65"/>
      <c r="IU67" s="65"/>
      <c r="IV67" s="65"/>
      <c r="IW67" s="65"/>
      <c r="IX67" s="65"/>
      <c r="IY67" s="65"/>
      <c r="IZ67" s="65"/>
      <c r="JA67" s="65"/>
      <c r="JB67" s="65"/>
      <c r="JC67" s="65"/>
      <c r="JD67" s="65"/>
      <c r="JE67" s="65"/>
      <c r="JF67" s="65"/>
      <c r="JG67" s="65"/>
      <c r="JH67" s="65"/>
    </row>
    <row r="68" spans="2:268" x14ac:dyDescent="0.25">
      <c r="B68" s="65"/>
      <c r="C68" s="65"/>
      <c r="D68" s="65"/>
      <c r="E68" s="65"/>
      <c r="F68" s="65"/>
      <c r="G68" s="129"/>
      <c r="H68" s="129"/>
      <c r="I68" s="65"/>
      <c r="J68" s="65"/>
      <c r="CT68" s="132"/>
      <c r="CU68" s="132"/>
      <c r="CV68" s="132"/>
      <c r="CW68" s="132"/>
      <c r="CX68" s="132"/>
      <c r="CY68" s="132"/>
      <c r="CZ68" s="132"/>
      <c r="DA68" s="132"/>
      <c r="DB68" s="132"/>
      <c r="DC68" s="132"/>
      <c r="DD68" s="132"/>
      <c r="DE68" s="132"/>
      <c r="DF68" s="132"/>
      <c r="DG68" s="132"/>
      <c r="DH68" s="132"/>
      <c r="DI68" s="132"/>
      <c r="DJ68" s="132"/>
      <c r="DK68" s="132"/>
      <c r="DL68" s="132"/>
      <c r="DM68" s="132"/>
      <c r="DN68" s="132"/>
      <c r="DO68" s="132"/>
      <c r="DP68" s="132"/>
      <c r="DQ68" s="132"/>
      <c r="DR68" s="132"/>
      <c r="DS68" s="132"/>
      <c r="DT68" s="132"/>
      <c r="DU68" s="132"/>
      <c r="DV68" s="132"/>
      <c r="DW68" s="132"/>
      <c r="DX68" s="133"/>
      <c r="DY68" s="132"/>
      <c r="DZ68" s="132"/>
      <c r="EA68" s="132"/>
      <c r="EB68" s="132"/>
      <c r="EC68" s="132"/>
      <c r="ED68" s="132"/>
      <c r="EE68" s="132"/>
      <c r="EF68" s="132"/>
      <c r="EG68" s="132"/>
      <c r="EH68" s="132"/>
      <c r="EI68" s="132"/>
      <c r="EJ68" s="132"/>
      <c r="EK68" s="132"/>
      <c r="EL68" s="132"/>
      <c r="EM68" s="132"/>
      <c r="EN68" s="132"/>
      <c r="EO68" s="132"/>
      <c r="EP68" s="132"/>
      <c r="EQ68" s="132"/>
      <c r="ER68" s="132"/>
      <c r="ES68" s="132"/>
      <c r="ET68" s="132"/>
      <c r="EU68" s="132"/>
      <c r="EV68" s="132"/>
      <c r="EW68" s="132"/>
      <c r="EX68" s="132"/>
      <c r="EY68" s="132"/>
      <c r="EZ68" s="132"/>
      <c r="FA68" s="132"/>
      <c r="FB68" s="132"/>
      <c r="FC68" s="132"/>
      <c r="FD68" s="132"/>
      <c r="FE68" s="132"/>
      <c r="FF68" s="132"/>
      <c r="FG68" s="132"/>
      <c r="FH68" s="132"/>
      <c r="FI68" s="132"/>
      <c r="FJ68" s="132"/>
      <c r="FK68" s="132"/>
      <c r="FL68" s="132"/>
      <c r="FM68" s="132"/>
      <c r="FN68" s="132"/>
      <c r="FO68" s="132"/>
      <c r="FP68" s="132"/>
      <c r="FQ68" s="132"/>
      <c r="FR68" s="132"/>
      <c r="FS68" s="132"/>
      <c r="FT68" s="132"/>
      <c r="FU68" s="132"/>
      <c r="FV68" s="132"/>
      <c r="FW68" s="132"/>
      <c r="FX68" s="132"/>
      <c r="FY68" s="132"/>
      <c r="FZ68" s="132"/>
      <c r="GA68" s="132"/>
      <c r="GB68" s="132"/>
      <c r="GC68" s="132"/>
      <c r="GD68" s="132"/>
      <c r="GE68" s="132"/>
      <c r="GF68" s="132"/>
      <c r="IH68" s="65"/>
      <c r="II68" s="65"/>
      <c r="IJ68" s="65"/>
      <c r="IK68" s="65"/>
      <c r="IL68" s="65"/>
      <c r="IM68" s="65"/>
      <c r="IN68" s="65"/>
      <c r="IO68" s="65"/>
      <c r="IP68" s="65"/>
      <c r="IQ68" s="65"/>
      <c r="IR68" s="65"/>
      <c r="IS68" s="65"/>
      <c r="IT68" s="65"/>
      <c r="IU68" s="65"/>
      <c r="IV68" s="65"/>
      <c r="IW68" s="65"/>
      <c r="IX68" s="65"/>
      <c r="IY68" s="65"/>
      <c r="IZ68" s="65"/>
      <c r="JA68" s="65"/>
      <c r="JB68" s="65"/>
      <c r="JC68" s="65"/>
      <c r="JD68" s="65"/>
      <c r="JE68" s="65"/>
      <c r="JF68" s="65"/>
      <c r="JG68" s="65"/>
      <c r="JH68" s="65"/>
    </row>
    <row r="69" spans="2:268" x14ac:dyDescent="0.25">
      <c r="B69" s="65"/>
      <c r="C69" s="65"/>
      <c r="D69" s="65"/>
      <c r="E69" s="65"/>
      <c r="F69" s="65"/>
      <c r="G69" s="129"/>
      <c r="H69" s="129"/>
      <c r="I69" s="65"/>
      <c r="J69" s="65"/>
      <c r="CT69" s="132"/>
      <c r="CU69" s="132"/>
      <c r="CV69" s="132"/>
      <c r="CW69" s="132"/>
      <c r="CX69" s="132"/>
      <c r="CY69" s="132"/>
      <c r="CZ69" s="132"/>
      <c r="DA69" s="132"/>
      <c r="DB69" s="132"/>
      <c r="DC69" s="132"/>
      <c r="DD69" s="132"/>
      <c r="DE69" s="132"/>
      <c r="DF69" s="132"/>
      <c r="DG69" s="132"/>
      <c r="DH69" s="132"/>
      <c r="DI69" s="132"/>
      <c r="DJ69" s="132"/>
      <c r="DK69" s="132"/>
      <c r="DL69" s="132"/>
      <c r="DM69" s="132"/>
      <c r="DN69" s="132"/>
      <c r="DO69" s="132"/>
      <c r="DP69" s="132"/>
      <c r="DQ69" s="132"/>
      <c r="DR69" s="132"/>
      <c r="DS69" s="132"/>
      <c r="DT69" s="132"/>
      <c r="DU69" s="132"/>
      <c r="DV69" s="132"/>
      <c r="DW69" s="132"/>
      <c r="DX69" s="133"/>
      <c r="DY69" s="132"/>
      <c r="DZ69" s="132"/>
      <c r="EA69" s="132"/>
      <c r="EB69" s="132"/>
      <c r="EC69" s="132"/>
      <c r="ED69" s="132"/>
      <c r="EE69" s="132"/>
      <c r="EF69" s="132"/>
      <c r="EG69" s="132"/>
      <c r="EH69" s="132"/>
      <c r="EI69" s="132"/>
      <c r="EJ69" s="132"/>
      <c r="EK69" s="132"/>
      <c r="EL69" s="132"/>
      <c r="EM69" s="132"/>
      <c r="EN69" s="132"/>
      <c r="EO69" s="132"/>
      <c r="EP69" s="132"/>
      <c r="EQ69" s="132"/>
      <c r="ER69" s="132"/>
      <c r="ES69" s="132"/>
      <c r="ET69" s="132"/>
      <c r="EU69" s="132"/>
      <c r="EV69" s="132"/>
      <c r="EW69" s="132"/>
      <c r="EX69" s="132"/>
      <c r="EY69" s="132"/>
      <c r="EZ69" s="132"/>
      <c r="FA69" s="132"/>
      <c r="FB69" s="132"/>
      <c r="FC69" s="132"/>
      <c r="FD69" s="132"/>
      <c r="FE69" s="132"/>
      <c r="FF69" s="132"/>
      <c r="FG69" s="132"/>
      <c r="FH69" s="132"/>
      <c r="FI69" s="132"/>
      <c r="FJ69" s="132"/>
      <c r="FK69" s="132"/>
      <c r="FL69" s="132"/>
      <c r="FM69" s="132"/>
      <c r="FN69" s="132"/>
      <c r="FO69" s="132"/>
      <c r="FP69" s="132"/>
      <c r="FQ69" s="132"/>
      <c r="FR69" s="132"/>
      <c r="FS69" s="132"/>
      <c r="FT69" s="132"/>
      <c r="FU69" s="132"/>
      <c r="FV69" s="132"/>
      <c r="FW69" s="132"/>
      <c r="FX69" s="132"/>
      <c r="FY69" s="132"/>
      <c r="FZ69" s="132"/>
      <c r="GA69" s="132"/>
      <c r="GB69" s="132"/>
      <c r="GC69" s="132"/>
      <c r="GD69" s="132"/>
      <c r="GE69" s="132"/>
      <c r="GF69" s="132"/>
      <c r="IH69" s="65"/>
      <c r="II69" s="65"/>
      <c r="IJ69" s="65"/>
      <c r="IK69" s="65"/>
      <c r="IL69" s="65"/>
      <c r="IM69" s="65"/>
      <c r="IN69" s="65"/>
      <c r="IO69" s="65"/>
      <c r="IP69" s="65"/>
      <c r="IQ69" s="65"/>
      <c r="IR69" s="65"/>
      <c r="IS69" s="65"/>
      <c r="IT69" s="65"/>
      <c r="IU69" s="65"/>
      <c r="IV69" s="65"/>
      <c r="IW69" s="65"/>
      <c r="IX69" s="65"/>
      <c r="IY69" s="65"/>
      <c r="IZ69" s="65"/>
      <c r="JA69" s="65"/>
      <c r="JB69" s="65"/>
      <c r="JC69" s="65"/>
      <c r="JD69" s="65"/>
      <c r="JE69" s="65"/>
      <c r="JF69" s="65"/>
      <c r="JG69" s="65"/>
      <c r="JH69" s="65"/>
    </row>
    <row r="70" spans="2:268" x14ac:dyDescent="0.25">
      <c r="G70" s="129"/>
      <c r="H70" s="129"/>
      <c r="CT70" s="132"/>
      <c r="CU70" s="132"/>
      <c r="CV70" s="132"/>
      <c r="CW70" s="132"/>
      <c r="CX70" s="132"/>
      <c r="CY70" s="132"/>
      <c r="CZ70" s="132"/>
      <c r="DA70" s="132"/>
      <c r="DB70" s="132"/>
      <c r="DC70" s="132"/>
      <c r="DD70" s="132"/>
      <c r="DE70" s="132"/>
      <c r="DF70" s="132"/>
      <c r="DG70" s="132"/>
      <c r="DH70" s="132"/>
      <c r="DI70" s="132"/>
      <c r="DJ70" s="132"/>
      <c r="DK70" s="132"/>
      <c r="DL70" s="132"/>
      <c r="DM70" s="132"/>
      <c r="DN70" s="132"/>
      <c r="DO70" s="132"/>
      <c r="DP70" s="132"/>
      <c r="DQ70" s="132"/>
      <c r="DR70" s="132"/>
      <c r="DS70" s="132"/>
      <c r="DT70" s="132"/>
      <c r="DU70" s="132"/>
      <c r="DV70" s="132"/>
      <c r="DW70" s="132"/>
      <c r="DX70" s="133"/>
      <c r="DY70" s="132"/>
      <c r="DZ70" s="132"/>
      <c r="EA70" s="132"/>
      <c r="EB70" s="132"/>
      <c r="EC70" s="132"/>
      <c r="ED70" s="132"/>
      <c r="EE70" s="132"/>
      <c r="EF70" s="132"/>
      <c r="EG70" s="132"/>
      <c r="EH70" s="132"/>
      <c r="EI70" s="132"/>
      <c r="EJ70" s="132"/>
      <c r="EK70" s="132"/>
      <c r="EL70" s="132"/>
      <c r="EM70" s="132"/>
      <c r="EN70" s="132"/>
      <c r="EO70" s="132"/>
      <c r="EP70" s="132"/>
      <c r="EQ70" s="132"/>
      <c r="ER70" s="132"/>
      <c r="ES70" s="132"/>
      <c r="ET70" s="132"/>
      <c r="EU70" s="132"/>
      <c r="EV70" s="132"/>
      <c r="EW70" s="132"/>
      <c r="EX70" s="132"/>
      <c r="EY70" s="132"/>
      <c r="EZ70" s="132"/>
      <c r="FA70" s="132"/>
      <c r="FB70" s="132"/>
      <c r="FC70" s="132"/>
      <c r="FD70" s="132"/>
      <c r="FE70" s="132"/>
      <c r="FF70" s="132"/>
      <c r="FG70" s="132"/>
      <c r="FH70" s="132"/>
      <c r="FI70" s="132"/>
      <c r="FJ70" s="132"/>
      <c r="FK70" s="132"/>
      <c r="FL70" s="132"/>
      <c r="FM70" s="132"/>
      <c r="FN70" s="132"/>
      <c r="FO70" s="132"/>
      <c r="FP70" s="132"/>
      <c r="FQ70" s="132"/>
      <c r="FR70" s="132"/>
      <c r="FS70" s="132"/>
      <c r="FT70" s="132"/>
      <c r="FU70" s="132"/>
      <c r="FV70" s="132"/>
      <c r="FW70" s="132"/>
      <c r="FX70" s="132"/>
      <c r="FY70" s="132"/>
      <c r="FZ70" s="132"/>
      <c r="GA70" s="132"/>
      <c r="GB70" s="132"/>
      <c r="GC70" s="132"/>
      <c r="GD70" s="132"/>
      <c r="GE70" s="132"/>
      <c r="GF70" s="132"/>
      <c r="IH70" s="65"/>
      <c r="II70" s="65"/>
      <c r="IJ70" s="65"/>
      <c r="IK70" s="65"/>
      <c r="IL70" s="65"/>
      <c r="IM70" s="65"/>
      <c r="IN70" s="65"/>
      <c r="IO70" s="65"/>
      <c r="IP70" s="65"/>
      <c r="IQ70" s="65"/>
      <c r="IR70" s="65"/>
      <c r="IS70" s="65"/>
      <c r="IT70" s="65"/>
      <c r="IU70" s="65"/>
      <c r="IV70" s="65"/>
      <c r="IW70" s="65"/>
      <c r="IX70" s="65"/>
      <c r="IY70" s="65"/>
      <c r="IZ70" s="65"/>
      <c r="JA70" s="65"/>
      <c r="JB70" s="65"/>
      <c r="JC70" s="65"/>
      <c r="JD70" s="65"/>
      <c r="JE70" s="65"/>
      <c r="JF70" s="65"/>
      <c r="JG70" s="65"/>
      <c r="JH70" s="65"/>
    </row>
    <row r="71" spans="2:268" x14ac:dyDescent="0.25">
      <c r="G71" s="129"/>
      <c r="H71" s="129"/>
      <c r="CT71" s="132"/>
      <c r="CU71" s="132"/>
      <c r="CV71" s="132"/>
      <c r="CW71" s="132"/>
      <c r="CX71" s="132"/>
      <c r="CY71" s="132"/>
      <c r="CZ71" s="132"/>
      <c r="DA71" s="132"/>
      <c r="DB71" s="132"/>
      <c r="DC71" s="132"/>
      <c r="DD71" s="132"/>
      <c r="DE71" s="132"/>
      <c r="DF71" s="132"/>
      <c r="DG71" s="132"/>
      <c r="DH71" s="132"/>
      <c r="DI71" s="132"/>
      <c r="DJ71" s="132"/>
      <c r="DK71" s="132"/>
      <c r="DL71" s="132"/>
      <c r="DM71" s="132"/>
      <c r="DN71" s="132"/>
      <c r="DO71" s="132"/>
      <c r="DP71" s="132"/>
      <c r="DQ71" s="132"/>
      <c r="DR71" s="132"/>
      <c r="DS71" s="132"/>
      <c r="DT71" s="132"/>
      <c r="DU71" s="132"/>
      <c r="DV71" s="132"/>
      <c r="DW71" s="132"/>
      <c r="DX71" s="133"/>
      <c r="DY71" s="132"/>
      <c r="DZ71" s="132"/>
      <c r="EA71" s="132"/>
      <c r="EB71" s="132"/>
      <c r="EC71" s="132"/>
      <c r="ED71" s="132"/>
      <c r="EE71" s="132"/>
      <c r="EF71" s="132"/>
      <c r="EG71" s="132"/>
      <c r="EH71" s="132"/>
      <c r="EI71" s="132"/>
      <c r="EJ71" s="132"/>
      <c r="EK71" s="132"/>
      <c r="EL71" s="132"/>
      <c r="EM71" s="132"/>
      <c r="EN71" s="132"/>
      <c r="EO71" s="132"/>
      <c r="EP71" s="132"/>
      <c r="EQ71" s="132"/>
      <c r="ER71" s="132"/>
      <c r="ES71" s="132"/>
      <c r="ET71" s="132"/>
      <c r="EU71" s="132"/>
      <c r="EV71" s="132"/>
      <c r="EW71" s="132"/>
      <c r="EX71" s="132"/>
      <c r="EY71" s="132"/>
      <c r="EZ71" s="132"/>
      <c r="FA71" s="132"/>
      <c r="FB71" s="132"/>
      <c r="FC71" s="132"/>
      <c r="FD71" s="132"/>
      <c r="FE71" s="132"/>
      <c r="FF71" s="132"/>
      <c r="FG71" s="132"/>
      <c r="FH71" s="132"/>
      <c r="FI71" s="132"/>
      <c r="FJ71" s="132"/>
      <c r="FK71" s="132"/>
      <c r="FL71" s="132"/>
      <c r="FM71" s="132"/>
      <c r="FN71" s="132"/>
      <c r="FO71" s="132"/>
      <c r="FP71" s="132"/>
      <c r="FQ71" s="132"/>
      <c r="FR71" s="132"/>
      <c r="FS71" s="132"/>
      <c r="FT71" s="132"/>
      <c r="FU71" s="132"/>
      <c r="FV71" s="132"/>
      <c r="FW71" s="132"/>
      <c r="FX71" s="132"/>
      <c r="FY71" s="132"/>
      <c r="FZ71" s="132"/>
      <c r="GA71" s="132"/>
      <c r="GB71" s="132"/>
      <c r="GC71" s="132"/>
      <c r="GD71" s="132"/>
      <c r="GE71" s="132"/>
      <c r="GF71" s="132"/>
      <c r="IH71" s="65"/>
      <c r="II71" s="65"/>
      <c r="IJ71" s="65"/>
      <c r="IK71" s="65"/>
      <c r="IL71" s="65"/>
      <c r="IM71" s="65"/>
      <c r="IN71" s="65"/>
      <c r="IO71" s="65"/>
      <c r="IP71" s="65"/>
      <c r="IQ71" s="65"/>
      <c r="IR71" s="65"/>
      <c r="IS71" s="65"/>
      <c r="IT71" s="65"/>
      <c r="IU71" s="65"/>
      <c r="IV71" s="65"/>
      <c r="IW71" s="65"/>
      <c r="IX71" s="65"/>
      <c r="IY71" s="65"/>
      <c r="IZ71" s="65"/>
      <c r="JA71" s="65"/>
      <c r="JB71" s="65"/>
      <c r="JC71" s="65"/>
      <c r="JD71" s="65"/>
      <c r="JE71" s="65"/>
      <c r="JF71" s="65"/>
      <c r="JG71" s="65"/>
      <c r="JH71" s="65"/>
    </row>
    <row r="72" spans="2:268" x14ac:dyDescent="0.25">
      <c r="H72" s="129"/>
      <c r="CT72" s="132"/>
      <c r="CU72" s="132"/>
      <c r="CV72" s="132"/>
      <c r="CW72" s="132"/>
      <c r="CX72" s="132"/>
      <c r="CY72" s="132"/>
      <c r="CZ72" s="132"/>
      <c r="DA72" s="132"/>
      <c r="DB72" s="132"/>
      <c r="DC72" s="132"/>
      <c r="DD72" s="132"/>
      <c r="DE72" s="132"/>
      <c r="DF72" s="132"/>
      <c r="DG72" s="132"/>
      <c r="DH72" s="132"/>
      <c r="DI72" s="132"/>
      <c r="DJ72" s="132"/>
      <c r="DK72" s="132"/>
      <c r="DL72" s="132"/>
      <c r="DM72" s="132"/>
      <c r="DN72" s="132"/>
      <c r="DO72" s="132"/>
      <c r="DP72" s="132"/>
      <c r="DQ72" s="132"/>
      <c r="DR72" s="132"/>
      <c r="DS72" s="132"/>
      <c r="DT72" s="132"/>
      <c r="DU72" s="132"/>
      <c r="DV72" s="132"/>
      <c r="DW72" s="132"/>
      <c r="DX72" s="133"/>
      <c r="DY72" s="132"/>
      <c r="DZ72" s="132"/>
      <c r="EA72" s="132"/>
      <c r="EB72" s="132"/>
      <c r="EC72" s="132"/>
      <c r="ED72" s="132"/>
      <c r="EE72" s="132"/>
      <c r="EF72" s="132"/>
      <c r="EG72" s="132"/>
      <c r="EH72" s="132"/>
      <c r="EI72" s="132"/>
      <c r="EJ72" s="132"/>
      <c r="EK72" s="132"/>
      <c r="EL72" s="132"/>
      <c r="EM72" s="132"/>
      <c r="EN72" s="132"/>
      <c r="EO72" s="132"/>
      <c r="EP72" s="132"/>
      <c r="EQ72" s="132"/>
      <c r="ER72" s="132"/>
      <c r="ES72" s="132"/>
      <c r="ET72" s="132"/>
      <c r="EU72" s="132"/>
      <c r="EV72" s="132"/>
      <c r="EW72" s="132"/>
      <c r="EX72" s="132"/>
      <c r="EY72" s="132"/>
      <c r="EZ72" s="132"/>
      <c r="FA72" s="132"/>
      <c r="FB72" s="132"/>
      <c r="FC72" s="132"/>
      <c r="FD72" s="132"/>
      <c r="FE72" s="132"/>
      <c r="FF72" s="132"/>
      <c r="FG72" s="132"/>
      <c r="FH72" s="132"/>
      <c r="FI72" s="132"/>
      <c r="FJ72" s="132"/>
      <c r="FK72" s="132"/>
      <c r="FL72" s="132"/>
      <c r="FM72" s="132"/>
      <c r="FN72" s="132"/>
      <c r="FO72" s="132"/>
      <c r="FP72" s="132"/>
      <c r="FQ72" s="132"/>
      <c r="FR72" s="132"/>
      <c r="FS72" s="132"/>
      <c r="FT72" s="132"/>
      <c r="FU72" s="132"/>
      <c r="FV72" s="132"/>
      <c r="FW72" s="132"/>
      <c r="FX72" s="132"/>
      <c r="FY72" s="132"/>
      <c r="FZ72" s="132"/>
      <c r="GA72" s="132"/>
      <c r="GB72" s="132"/>
      <c r="GC72" s="132"/>
      <c r="GD72" s="132"/>
      <c r="GE72" s="132"/>
      <c r="GF72" s="132"/>
      <c r="IH72" s="65"/>
      <c r="II72" s="65"/>
      <c r="IJ72" s="65"/>
      <c r="IK72" s="65"/>
      <c r="IL72" s="65"/>
      <c r="IM72" s="65"/>
      <c r="IN72" s="65"/>
      <c r="IO72" s="65"/>
      <c r="IP72" s="65"/>
      <c r="IQ72" s="65"/>
      <c r="IR72" s="65"/>
      <c r="IS72" s="65"/>
      <c r="IT72" s="65"/>
      <c r="IU72" s="65"/>
      <c r="IV72" s="65"/>
      <c r="IW72" s="65"/>
      <c r="IX72" s="65"/>
      <c r="IY72" s="65"/>
      <c r="IZ72" s="65"/>
      <c r="JA72" s="65"/>
      <c r="JB72" s="65"/>
      <c r="JC72" s="65"/>
      <c r="JD72" s="65"/>
      <c r="JE72" s="65"/>
      <c r="JF72" s="65"/>
      <c r="JG72" s="65"/>
      <c r="JH72" s="65"/>
    </row>
    <row r="73" spans="2:268" x14ac:dyDescent="0.25">
      <c r="G73" s="129"/>
      <c r="H73" s="129"/>
      <c r="CT73" s="132"/>
      <c r="CU73" s="132"/>
      <c r="CV73" s="132"/>
      <c r="CW73" s="132"/>
      <c r="CX73" s="132"/>
      <c r="CY73" s="132"/>
      <c r="CZ73" s="132"/>
      <c r="DA73" s="132"/>
      <c r="DB73" s="132"/>
      <c r="DC73" s="132"/>
      <c r="DD73" s="132"/>
      <c r="DE73" s="132"/>
      <c r="DF73" s="132"/>
      <c r="DG73" s="132"/>
      <c r="DH73" s="132"/>
      <c r="DI73" s="132"/>
      <c r="DJ73" s="132"/>
      <c r="DK73" s="132"/>
      <c r="DL73" s="132"/>
      <c r="DM73" s="132"/>
      <c r="DN73" s="132"/>
      <c r="DO73" s="132"/>
      <c r="DP73" s="132"/>
      <c r="DQ73" s="132"/>
      <c r="DR73" s="132"/>
      <c r="DS73" s="132"/>
      <c r="DT73" s="132"/>
      <c r="DU73" s="132"/>
      <c r="DV73" s="132"/>
      <c r="DW73" s="132"/>
      <c r="DX73" s="133"/>
      <c r="DY73" s="132"/>
      <c r="DZ73" s="132"/>
      <c r="EA73" s="132"/>
      <c r="EB73" s="132"/>
      <c r="EC73" s="132"/>
      <c r="ED73" s="132"/>
      <c r="EE73" s="132"/>
      <c r="EF73" s="132"/>
      <c r="EG73" s="132"/>
      <c r="EH73" s="132"/>
      <c r="EI73" s="132"/>
      <c r="EJ73" s="132"/>
      <c r="EK73" s="132"/>
      <c r="EL73" s="132"/>
      <c r="EM73" s="132"/>
      <c r="EN73" s="132"/>
      <c r="EO73" s="132"/>
      <c r="EP73" s="132"/>
      <c r="EQ73" s="132"/>
      <c r="ER73" s="132"/>
      <c r="ES73" s="132"/>
      <c r="ET73" s="132"/>
      <c r="EU73" s="132"/>
      <c r="EV73" s="132"/>
      <c r="EW73" s="132"/>
      <c r="EX73" s="132"/>
      <c r="EY73" s="132"/>
      <c r="EZ73" s="132"/>
      <c r="FA73" s="132"/>
      <c r="FB73" s="132"/>
      <c r="FC73" s="132"/>
      <c r="FD73" s="132"/>
      <c r="FE73" s="132"/>
      <c r="FF73" s="132"/>
      <c r="FG73" s="132"/>
      <c r="FH73" s="132"/>
      <c r="FI73" s="132"/>
      <c r="FJ73" s="132"/>
      <c r="FK73" s="132"/>
      <c r="FL73" s="132"/>
      <c r="FM73" s="132"/>
      <c r="FN73" s="132"/>
      <c r="FO73" s="132"/>
      <c r="FP73" s="132"/>
      <c r="FQ73" s="132"/>
      <c r="FR73" s="132"/>
      <c r="FS73" s="132"/>
      <c r="FT73" s="132"/>
      <c r="FU73" s="132"/>
      <c r="FV73" s="132"/>
      <c r="FW73" s="132"/>
      <c r="FX73" s="132"/>
      <c r="FY73" s="132"/>
      <c r="FZ73" s="132"/>
      <c r="GA73" s="132"/>
      <c r="GB73" s="132"/>
      <c r="GC73" s="132"/>
      <c r="GD73" s="132"/>
      <c r="GE73" s="132"/>
      <c r="GF73" s="132"/>
      <c r="IH73" s="65"/>
      <c r="II73" s="65"/>
      <c r="IJ73" s="65"/>
      <c r="IK73" s="65"/>
      <c r="IL73" s="65"/>
      <c r="IM73" s="65"/>
      <c r="IN73" s="65"/>
      <c r="IO73" s="65"/>
      <c r="IP73" s="65"/>
      <c r="IQ73" s="65"/>
      <c r="IR73" s="65"/>
      <c r="IS73" s="65"/>
      <c r="IT73" s="65"/>
      <c r="IU73" s="65"/>
      <c r="IV73" s="65"/>
      <c r="IW73" s="65"/>
      <c r="IX73" s="65"/>
      <c r="IY73" s="65"/>
      <c r="IZ73" s="65"/>
      <c r="JA73" s="65"/>
      <c r="JB73" s="65"/>
      <c r="JC73" s="65"/>
      <c r="JD73" s="65"/>
      <c r="JE73" s="65"/>
      <c r="JF73" s="65"/>
      <c r="JG73" s="65"/>
      <c r="JH73" s="65"/>
    </row>
    <row r="74" spans="2:268" x14ac:dyDescent="0.25">
      <c r="G74" s="129"/>
      <c r="CT74" s="132"/>
      <c r="CU74" s="132"/>
      <c r="CV74" s="132"/>
      <c r="CW74" s="132"/>
      <c r="CX74" s="132"/>
      <c r="CY74" s="132"/>
      <c r="CZ74" s="132"/>
      <c r="DA74" s="132"/>
      <c r="DB74" s="132"/>
      <c r="DC74" s="132"/>
      <c r="DD74" s="132"/>
      <c r="DE74" s="132"/>
      <c r="DF74" s="132"/>
      <c r="DG74" s="132"/>
      <c r="DH74" s="132"/>
      <c r="DI74" s="132"/>
      <c r="DJ74" s="132"/>
      <c r="DK74" s="132"/>
      <c r="DL74" s="132"/>
      <c r="DM74" s="132"/>
      <c r="DN74" s="132"/>
      <c r="DO74" s="132"/>
      <c r="DP74" s="132"/>
      <c r="DQ74" s="132"/>
      <c r="DR74" s="132"/>
      <c r="DS74" s="132"/>
      <c r="DT74" s="132"/>
      <c r="DU74" s="132"/>
      <c r="DV74" s="132"/>
      <c r="DW74" s="132"/>
      <c r="DX74" s="133"/>
      <c r="DY74" s="132"/>
      <c r="DZ74" s="132"/>
      <c r="EA74" s="132"/>
      <c r="EB74" s="132"/>
      <c r="EC74" s="132"/>
      <c r="ED74" s="132"/>
      <c r="EE74" s="132"/>
      <c r="EF74" s="132"/>
      <c r="EG74" s="132"/>
      <c r="EH74" s="132"/>
      <c r="EI74" s="132"/>
      <c r="EJ74" s="132"/>
      <c r="EK74" s="132"/>
      <c r="EL74" s="132"/>
      <c r="EM74" s="132"/>
      <c r="EN74" s="132"/>
      <c r="EO74" s="132"/>
      <c r="EP74" s="132"/>
      <c r="EQ74" s="132"/>
      <c r="ER74" s="132"/>
      <c r="ES74" s="132"/>
      <c r="ET74" s="132"/>
      <c r="EU74" s="132"/>
      <c r="EV74" s="132"/>
      <c r="EW74" s="132"/>
      <c r="EX74" s="132"/>
      <c r="EY74" s="132"/>
      <c r="EZ74" s="132"/>
      <c r="FA74" s="132"/>
      <c r="FB74" s="132"/>
      <c r="FC74" s="132"/>
      <c r="FD74" s="132"/>
      <c r="FE74" s="132"/>
      <c r="FF74" s="132"/>
      <c r="FG74" s="132"/>
      <c r="FH74" s="132"/>
      <c r="FI74" s="132"/>
      <c r="FJ74" s="132"/>
      <c r="FK74" s="132"/>
      <c r="FL74" s="132"/>
      <c r="FM74" s="132"/>
      <c r="FN74" s="132"/>
      <c r="FO74" s="132"/>
      <c r="FP74" s="132"/>
      <c r="FQ74" s="132"/>
      <c r="FR74" s="132"/>
      <c r="FS74" s="132"/>
      <c r="FT74" s="132"/>
      <c r="FU74" s="132"/>
      <c r="FV74" s="132"/>
      <c r="FW74" s="132"/>
      <c r="FX74" s="132"/>
      <c r="FY74" s="132"/>
      <c r="FZ74" s="132"/>
      <c r="GA74" s="132"/>
      <c r="GB74" s="132"/>
      <c r="GC74" s="132"/>
      <c r="GD74" s="132"/>
      <c r="GE74" s="132"/>
      <c r="GF74" s="132"/>
      <c r="IH74" s="65"/>
      <c r="II74" s="65"/>
      <c r="IJ74" s="65"/>
      <c r="IK74" s="65"/>
      <c r="IL74" s="65"/>
      <c r="IM74" s="65"/>
      <c r="IN74" s="65"/>
      <c r="IO74" s="65"/>
      <c r="IP74" s="65"/>
      <c r="IQ74" s="65"/>
      <c r="IR74" s="65"/>
      <c r="IS74" s="65"/>
      <c r="IT74" s="65"/>
      <c r="IU74" s="65"/>
      <c r="IV74" s="65"/>
      <c r="IW74" s="65"/>
      <c r="IX74" s="65"/>
      <c r="IY74" s="65"/>
      <c r="IZ74" s="65"/>
      <c r="JA74" s="65"/>
      <c r="JB74" s="65"/>
      <c r="JC74" s="65"/>
      <c r="JD74" s="65"/>
      <c r="JE74" s="65"/>
      <c r="JF74" s="65"/>
      <c r="JG74" s="65"/>
      <c r="JH74" s="65"/>
    </row>
    <row r="75" spans="2:268" x14ac:dyDescent="0.25">
      <c r="G75" s="129"/>
      <c r="H75" s="129"/>
      <c r="CT75" s="132"/>
      <c r="CU75" s="132"/>
      <c r="CV75" s="132"/>
      <c r="CW75" s="132"/>
      <c r="CX75" s="132"/>
      <c r="CY75" s="132"/>
      <c r="CZ75" s="132"/>
      <c r="DA75" s="132"/>
      <c r="DB75" s="132"/>
      <c r="DC75" s="132"/>
      <c r="DD75" s="132"/>
      <c r="DE75" s="132"/>
      <c r="DF75" s="132"/>
      <c r="DG75" s="132"/>
      <c r="DH75" s="132"/>
      <c r="DI75" s="132"/>
      <c r="DJ75" s="132"/>
      <c r="DK75" s="132"/>
      <c r="DL75" s="132"/>
      <c r="DM75" s="132"/>
      <c r="DN75" s="132"/>
      <c r="DO75" s="132"/>
      <c r="DP75" s="132"/>
      <c r="DQ75" s="132"/>
      <c r="DR75" s="132"/>
      <c r="DS75" s="132"/>
      <c r="DT75" s="132"/>
      <c r="DU75" s="132"/>
      <c r="DV75" s="132"/>
      <c r="DW75" s="132"/>
      <c r="DX75" s="133"/>
      <c r="DY75" s="132"/>
      <c r="DZ75" s="132"/>
      <c r="EA75" s="132"/>
      <c r="EB75" s="132"/>
      <c r="EC75" s="132"/>
      <c r="ED75" s="132"/>
      <c r="EE75" s="132"/>
      <c r="EF75" s="132"/>
      <c r="EG75" s="132"/>
      <c r="EH75" s="132"/>
      <c r="EI75" s="132"/>
      <c r="EJ75" s="132"/>
      <c r="EK75" s="132"/>
      <c r="EL75" s="132"/>
      <c r="EM75" s="132"/>
      <c r="EN75" s="132"/>
      <c r="EO75" s="132"/>
      <c r="EP75" s="132"/>
      <c r="EQ75" s="132"/>
      <c r="ER75" s="132"/>
      <c r="ES75" s="132"/>
      <c r="ET75" s="132"/>
      <c r="EU75" s="132"/>
      <c r="EV75" s="132"/>
      <c r="EW75" s="132"/>
      <c r="EX75" s="132"/>
      <c r="EY75" s="132"/>
      <c r="EZ75" s="132"/>
      <c r="FA75" s="132"/>
      <c r="FB75" s="132"/>
      <c r="FC75" s="132"/>
      <c r="FD75" s="132"/>
      <c r="FE75" s="132"/>
      <c r="FF75" s="132"/>
      <c r="FG75" s="132"/>
      <c r="FH75" s="132"/>
      <c r="FI75" s="132"/>
      <c r="FJ75" s="132"/>
      <c r="FK75" s="132"/>
      <c r="FL75" s="132"/>
      <c r="FM75" s="132"/>
      <c r="FN75" s="132"/>
      <c r="FO75" s="132"/>
      <c r="FP75" s="132"/>
      <c r="FQ75" s="132"/>
      <c r="FR75" s="132"/>
      <c r="FS75" s="132"/>
      <c r="FT75" s="132"/>
      <c r="FU75" s="132"/>
      <c r="FV75" s="132"/>
      <c r="FW75" s="132"/>
      <c r="FX75" s="132"/>
      <c r="FY75" s="132"/>
      <c r="FZ75" s="132"/>
      <c r="GA75" s="132"/>
      <c r="GB75" s="132"/>
      <c r="GC75" s="132"/>
      <c r="GD75" s="132"/>
      <c r="GE75" s="132"/>
      <c r="GF75" s="132"/>
      <c r="IH75" s="65"/>
      <c r="II75" s="65"/>
      <c r="IJ75" s="65"/>
      <c r="IK75" s="65"/>
      <c r="IL75" s="65"/>
      <c r="IM75" s="65"/>
      <c r="IN75" s="65"/>
      <c r="IO75" s="65"/>
      <c r="IP75" s="65"/>
      <c r="IQ75" s="65"/>
      <c r="IR75" s="65"/>
      <c r="IS75" s="65"/>
      <c r="IT75" s="65"/>
      <c r="IU75" s="65"/>
      <c r="IV75" s="65"/>
      <c r="IW75" s="65"/>
      <c r="IX75" s="65"/>
      <c r="IY75" s="65"/>
      <c r="IZ75" s="65"/>
      <c r="JA75" s="65"/>
      <c r="JB75" s="65"/>
      <c r="JC75" s="65"/>
      <c r="JD75" s="65"/>
      <c r="JE75" s="65"/>
      <c r="JF75" s="65"/>
      <c r="JG75" s="65"/>
      <c r="JH75" s="65"/>
    </row>
    <row r="76" spans="2:268" x14ac:dyDescent="0.25">
      <c r="G76" s="129"/>
      <c r="CT76" s="132"/>
      <c r="CU76" s="132"/>
      <c r="CV76" s="132"/>
      <c r="CW76" s="132"/>
      <c r="CX76" s="132"/>
      <c r="CY76" s="132"/>
      <c r="CZ76" s="132"/>
      <c r="DA76" s="132"/>
      <c r="DB76" s="132"/>
      <c r="DC76" s="132"/>
      <c r="DD76" s="132"/>
      <c r="DE76" s="132"/>
      <c r="DF76" s="132"/>
      <c r="DG76" s="132"/>
      <c r="DH76" s="132"/>
      <c r="DI76" s="132"/>
      <c r="DJ76" s="132"/>
      <c r="DK76" s="132"/>
      <c r="DL76" s="132"/>
      <c r="DM76" s="132"/>
      <c r="DN76" s="132"/>
      <c r="DO76" s="132"/>
      <c r="DP76" s="132"/>
      <c r="DQ76" s="132"/>
      <c r="DR76" s="132"/>
      <c r="DS76" s="132"/>
      <c r="DT76" s="132"/>
      <c r="DU76" s="132"/>
      <c r="DV76" s="132"/>
      <c r="DW76" s="132"/>
      <c r="DX76" s="133"/>
      <c r="DY76" s="132"/>
      <c r="DZ76" s="132"/>
      <c r="EA76" s="132"/>
      <c r="EB76" s="132"/>
      <c r="EC76" s="132"/>
      <c r="ED76" s="132"/>
      <c r="EE76" s="132"/>
      <c r="EF76" s="132"/>
      <c r="EG76" s="132"/>
      <c r="EH76" s="132"/>
      <c r="EI76" s="132"/>
      <c r="EJ76" s="132"/>
      <c r="EK76" s="132"/>
      <c r="EL76" s="132"/>
      <c r="EM76" s="132"/>
      <c r="EN76" s="132"/>
      <c r="EO76" s="132"/>
      <c r="EP76" s="132"/>
      <c r="EQ76" s="132"/>
      <c r="ER76" s="132"/>
      <c r="ES76" s="132"/>
      <c r="ET76" s="132"/>
      <c r="EU76" s="132"/>
      <c r="EV76" s="132"/>
      <c r="EW76" s="132"/>
      <c r="EX76" s="132"/>
      <c r="EY76" s="132"/>
      <c r="EZ76" s="132"/>
      <c r="FA76" s="132"/>
      <c r="FB76" s="132"/>
      <c r="FC76" s="132"/>
      <c r="FD76" s="132"/>
      <c r="FE76" s="132"/>
      <c r="FF76" s="132"/>
      <c r="FG76" s="132"/>
      <c r="FH76" s="132"/>
      <c r="FI76" s="132"/>
      <c r="FJ76" s="132"/>
      <c r="FK76" s="132"/>
      <c r="FL76" s="132"/>
      <c r="FM76" s="132"/>
      <c r="FN76" s="132"/>
      <c r="FO76" s="132"/>
      <c r="FP76" s="132"/>
      <c r="FQ76" s="132"/>
      <c r="FR76" s="132"/>
      <c r="FS76" s="132"/>
      <c r="FT76" s="132"/>
      <c r="FU76" s="132"/>
      <c r="FV76" s="132"/>
      <c r="FW76" s="132"/>
      <c r="FX76" s="132"/>
      <c r="FY76" s="132"/>
      <c r="FZ76" s="132"/>
      <c r="GA76" s="132"/>
      <c r="GB76" s="132"/>
      <c r="GC76" s="132"/>
      <c r="GD76" s="132"/>
      <c r="GE76" s="132"/>
      <c r="GF76" s="132"/>
      <c r="IH76" s="65"/>
      <c r="II76" s="65"/>
      <c r="IJ76" s="65"/>
      <c r="IK76" s="65"/>
      <c r="IL76" s="65"/>
      <c r="IM76" s="65"/>
      <c r="IN76" s="65"/>
      <c r="IO76" s="65"/>
      <c r="IP76" s="65"/>
      <c r="IQ76" s="65"/>
      <c r="IR76" s="65"/>
      <c r="IS76" s="65"/>
      <c r="IT76" s="65"/>
      <c r="IU76" s="65"/>
      <c r="IV76" s="65"/>
      <c r="IW76" s="65"/>
      <c r="IX76" s="65"/>
      <c r="IY76" s="65"/>
      <c r="IZ76" s="65"/>
      <c r="JA76" s="65"/>
      <c r="JB76" s="65"/>
      <c r="JC76" s="65"/>
      <c r="JD76" s="65"/>
      <c r="JE76" s="65"/>
      <c r="JF76" s="65"/>
      <c r="JG76" s="65"/>
      <c r="JH76" s="65"/>
    </row>
    <row r="77" spans="2:268" x14ac:dyDescent="0.25">
      <c r="G77" s="129"/>
      <c r="H77" s="129"/>
      <c r="CT77" s="132"/>
      <c r="CU77" s="132"/>
      <c r="CV77" s="132"/>
      <c r="CW77" s="132"/>
      <c r="CX77" s="132"/>
      <c r="CY77" s="132"/>
      <c r="CZ77" s="132"/>
      <c r="DA77" s="132"/>
      <c r="DB77" s="132"/>
      <c r="DC77" s="132"/>
      <c r="DD77" s="132"/>
      <c r="DE77" s="132"/>
      <c r="DF77" s="132"/>
      <c r="DG77" s="132"/>
      <c r="DH77" s="132"/>
      <c r="DI77" s="132"/>
      <c r="DJ77" s="132"/>
      <c r="DK77" s="132"/>
      <c r="DL77" s="132"/>
      <c r="DM77" s="132"/>
      <c r="DN77" s="132"/>
      <c r="DO77" s="132"/>
      <c r="DP77" s="132"/>
      <c r="DQ77" s="132"/>
      <c r="DR77" s="132"/>
      <c r="DS77" s="132"/>
      <c r="DT77" s="132"/>
      <c r="DU77" s="132"/>
      <c r="DV77" s="132"/>
      <c r="DW77" s="132"/>
      <c r="DX77" s="133"/>
      <c r="DY77" s="132"/>
      <c r="DZ77" s="132"/>
      <c r="EA77" s="132"/>
      <c r="EB77" s="132"/>
      <c r="EC77" s="132"/>
      <c r="ED77" s="132"/>
      <c r="EE77" s="132"/>
      <c r="EF77" s="132"/>
      <c r="EG77" s="132"/>
      <c r="EH77" s="132"/>
      <c r="EI77" s="132"/>
      <c r="EJ77" s="132"/>
      <c r="EK77" s="132"/>
      <c r="EL77" s="132"/>
      <c r="EM77" s="132"/>
      <c r="EN77" s="132"/>
      <c r="EO77" s="132"/>
      <c r="EP77" s="132"/>
      <c r="EQ77" s="132"/>
      <c r="ER77" s="132"/>
      <c r="ES77" s="132"/>
      <c r="ET77" s="132"/>
      <c r="EU77" s="132"/>
      <c r="EV77" s="132"/>
      <c r="EW77" s="132"/>
      <c r="EX77" s="132"/>
      <c r="EY77" s="132"/>
      <c r="EZ77" s="132"/>
      <c r="FA77" s="132"/>
      <c r="FB77" s="132"/>
      <c r="FC77" s="132"/>
      <c r="FD77" s="132"/>
      <c r="FE77" s="132"/>
      <c r="FF77" s="132"/>
      <c r="FG77" s="132"/>
      <c r="FH77" s="132"/>
      <c r="FI77" s="132"/>
      <c r="FJ77" s="132"/>
      <c r="FK77" s="132"/>
      <c r="FL77" s="132"/>
      <c r="FM77" s="132"/>
      <c r="FN77" s="132"/>
      <c r="FO77" s="132"/>
      <c r="FP77" s="132"/>
      <c r="FQ77" s="132"/>
      <c r="FR77" s="132"/>
      <c r="FS77" s="132"/>
      <c r="FT77" s="132"/>
      <c r="FU77" s="132"/>
      <c r="FV77" s="132"/>
      <c r="FW77" s="132"/>
      <c r="FX77" s="132"/>
      <c r="FY77" s="132"/>
      <c r="FZ77" s="132"/>
      <c r="GA77" s="132"/>
      <c r="GB77" s="132"/>
      <c r="GC77" s="132"/>
      <c r="GD77" s="132"/>
      <c r="GE77" s="132"/>
      <c r="GF77" s="132"/>
      <c r="IH77" s="65"/>
      <c r="II77" s="65"/>
      <c r="IJ77" s="65"/>
      <c r="IK77" s="65"/>
      <c r="IL77" s="65"/>
      <c r="IM77" s="65"/>
      <c r="IN77" s="65"/>
      <c r="IO77" s="65"/>
      <c r="IP77" s="65"/>
      <c r="IQ77" s="65"/>
      <c r="IR77" s="65"/>
      <c r="IS77" s="65"/>
      <c r="IT77" s="65"/>
      <c r="IU77" s="65"/>
      <c r="IV77" s="65"/>
      <c r="IW77" s="65"/>
      <c r="IX77" s="65"/>
      <c r="IY77" s="65"/>
      <c r="IZ77" s="65"/>
      <c r="JA77" s="65"/>
      <c r="JB77" s="65"/>
      <c r="JC77" s="65"/>
      <c r="JD77" s="65"/>
      <c r="JE77" s="65"/>
      <c r="JF77" s="65"/>
      <c r="JG77" s="65"/>
      <c r="JH77" s="65"/>
    </row>
    <row r="78" spans="2:268" x14ac:dyDescent="0.25">
      <c r="G78" s="129"/>
      <c r="H78" s="129"/>
      <c r="CT78" s="132"/>
      <c r="CU78" s="132"/>
      <c r="CV78" s="132"/>
      <c r="CW78" s="132"/>
      <c r="CX78" s="132"/>
      <c r="CY78" s="132"/>
      <c r="CZ78" s="132"/>
      <c r="DA78" s="132"/>
      <c r="DB78" s="132"/>
      <c r="DC78" s="132"/>
      <c r="DD78" s="132"/>
      <c r="DE78" s="132"/>
      <c r="DF78" s="132"/>
      <c r="DG78" s="132"/>
      <c r="DH78" s="132"/>
      <c r="DI78" s="132"/>
      <c r="DJ78" s="132"/>
      <c r="DK78" s="132"/>
      <c r="DL78" s="132"/>
      <c r="DM78" s="132"/>
      <c r="DN78" s="132"/>
      <c r="DO78" s="132"/>
      <c r="DP78" s="132"/>
      <c r="DQ78" s="132"/>
      <c r="DR78" s="132"/>
      <c r="DS78" s="132"/>
      <c r="DT78" s="132"/>
      <c r="DU78" s="132"/>
      <c r="DV78" s="132"/>
      <c r="DW78" s="132"/>
      <c r="DX78" s="133"/>
      <c r="DY78" s="132"/>
      <c r="DZ78" s="132"/>
      <c r="EA78" s="132"/>
      <c r="EB78" s="132"/>
      <c r="EC78" s="132"/>
      <c r="ED78" s="132"/>
      <c r="EE78" s="132"/>
      <c r="EF78" s="132"/>
      <c r="EG78" s="132"/>
      <c r="EH78" s="132"/>
      <c r="EI78" s="132"/>
      <c r="EJ78" s="132"/>
      <c r="EK78" s="132"/>
      <c r="EL78" s="132"/>
      <c r="EM78" s="132"/>
      <c r="EN78" s="132"/>
      <c r="EO78" s="132"/>
      <c r="EP78" s="132"/>
      <c r="EQ78" s="132"/>
      <c r="ER78" s="132"/>
      <c r="ES78" s="132"/>
      <c r="ET78" s="132"/>
      <c r="EU78" s="132"/>
      <c r="EV78" s="132"/>
      <c r="EW78" s="132"/>
      <c r="EX78" s="132"/>
      <c r="EY78" s="132"/>
      <c r="EZ78" s="132"/>
      <c r="FA78" s="132"/>
      <c r="FB78" s="132"/>
      <c r="FC78" s="132"/>
      <c r="FD78" s="132"/>
      <c r="FE78" s="132"/>
      <c r="FF78" s="132"/>
      <c r="FG78" s="132"/>
      <c r="FH78" s="132"/>
      <c r="FI78" s="132"/>
      <c r="FJ78" s="132"/>
      <c r="FK78" s="132"/>
      <c r="FL78" s="132"/>
      <c r="FM78" s="132"/>
      <c r="FN78" s="132"/>
      <c r="FO78" s="132"/>
      <c r="FP78" s="132"/>
      <c r="FQ78" s="132"/>
      <c r="FR78" s="132"/>
      <c r="FS78" s="132"/>
      <c r="FT78" s="132"/>
      <c r="FU78" s="132"/>
      <c r="FV78" s="132"/>
      <c r="FW78" s="132"/>
      <c r="FX78" s="132"/>
      <c r="FY78" s="132"/>
      <c r="FZ78" s="132"/>
      <c r="GA78" s="132"/>
      <c r="GB78" s="132"/>
      <c r="GC78" s="132"/>
      <c r="GD78" s="132"/>
      <c r="GE78" s="132"/>
      <c r="GF78" s="132"/>
      <c r="IH78" s="65"/>
      <c r="II78" s="65"/>
      <c r="IJ78" s="65"/>
      <c r="IK78" s="65"/>
      <c r="IL78" s="65"/>
      <c r="IM78" s="65"/>
      <c r="IN78" s="65"/>
      <c r="IO78" s="65"/>
      <c r="IP78" s="65"/>
      <c r="IQ78" s="65"/>
      <c r="IR78" s="65"/>
      <c r="IS78" s="65"/>
      <c r="IT78" s="65"/>
      <c r="IU78" s="65"/>
      <c r="IV78" s="65"/>
      <c r="IW78" s="65"/>
      <c r="IX78" s="65"/>
      <c r="IY78" s="65"/>
      <c r="IZ78" s="65"/>
      <c r="JA78" s="65"/>
      <c r="JB78" s="65"/>
      <c r="JC78" s="65"/>
      <c r="JD78" s="65"/>
      <c r="JE78" s="65"/>
      <c r="JF78" s="65"/>
      <c r="JG78" s="65"/>
      <c r="JH78" s="65"/>
    </row>
    <row r="79" spans="2:268" x14ac:dyDescent="0.25">
      <c r="G79" s="129"/>
      <c r="CT79" s="132"/>
      <c r="CU79" s="132"/>
      <c r="CV79" s="132"/>
      <c r="CW79" s="132"/>
      <c r="CX79" s="132"/>
      <c r="CY79" s="132"/>
      <c r="CZ79" s="132"/>
      <c r="DA79" s="132"/>
      <c r="DB79" s="132"/>
      <c r="DC79" s="132"/>
      <c r="DD79" s="132"/>
      <c r="DE79" s="132"/>
      <c r="DF79" s="132"/>
      <c r="DG79" s="132"/>
      <c r="DH79" s="132"/>
      <c r="DI79" s="132"/>
      <c r="DJ79" s="132"/>
      <c r="DK79" s="132"/>
      <c r="DL79" s="132"/>
      <c r="DM79" s="132"/>
      <c r="DN79" s="132"/>
      <c r="DO79" s="132"/>
      <c r="DP79" s="132"/>
      <c r="DQ79" s="132"/>
      <c r="DR79" s="132"/>
      <c r="DS79" s="132"/>
      <c r="DT79" s="132"/>
      <c r="DU79" s="132"/>
      <c r="DV79" s="132"/>
      <c r="DW79" s="132"/>
      <c r="DX79" s="133"/>
      <c r="DY79" s="132"/>
      <c r="DZ79" s="132"/>
      <c r="EA79" s="132"/>
      <c r="EB79" s="132"/>
      <c r="EC79" s="132"/>
      <c r="ED79" s="132"/>
      <c r="EE79" s="132"/>
      <c r="EF79" s="132"/>
      <c r="EG79" s="132"/>
      <c r="EH79" s="132"/>
      <c r="EI79" s="132"/>
      <c r="EJ79" s="132"/>
      <c r="EK79" s="132"/>
      <c r="EL79" s="132"/>
      <c r="EM79" s="132"/>
      <c r="EN79" s="132"/>
      <c r="EO79" s="132"/>
      <c r="EP79" s="132"/>
      <c r="EQ79" s="132"/>
      <c r="ER79" s="132"/>
      <c r="ES79" s="132"/>
      <c r="ET79" s="132"/>
      <c r="EU79" s="132"/>
      <c r="EV79" s="132"/>
      <c r="EW79" s="132"/>
      <c r="EX79" s="132"/>
      <c r="EY79" s="132"/>
      <c r="EZ79" s="132"/>
      <c r="FA79" s="132"/>
      <c r="FB79" s="132"/>
      <c r="FC79" s="132"/>
      <c r="FD79" s="132"/>
      <c r="FE79" s="132"/>
      <c r="FF79" s="132"/>
      <c r="FG79" s="132"/>
      <c r="FH79" s="132"/>
      <c r="FI79" s="132"/>
      <c r="FJ79" s="132"/>
      <c r="FK79" s="132"/>
      <c r="FL79" s="132"/>
      <c r="FM79" s="132"/>
      <c r="FN79" s="132"/>
      <c r="FO79" s="132"/>
      <c r="FP79" s="132"/>
      <c r="FQ79" s="132"/>
      <c r="FR79" s="132"/>
      <c r="FS79" s="132"/>
      <c r="FT79" s="132"/>
      <c r="FU79" s="132"/>
      <c r="FV79" s="132"/>
      <c r="FW79" s="132"/>
      <c r="FX79" s="132"/>
      <c r="FY79" s="132"/>
      <c r="FZ79" s="132"/>
      <c r="GA79" s="132"/>
      <c r="GB79" s="132"/>
      <c r="GC79" s="132"/>
      <c r="GD79" s="132"/>
      <c r="GE79" s="132"/>
      <c r="GF79" s="132"/>
      <c r="IH79" s="65"/>
      <c r="II79" s="65"/>
      <c r="IJ79" s="65"/>
      <c r="IK79" s="65"/>
      <c r="IL79" s="65"/>
      <c r="IM79" s="65"/>
      <c r="IN79" s="65"/>
      <c r="IO79" s="65"/>
      <c r="IP79" s="65"/>
      <c r="IQ79" s="65"/>
      <c r="IR79" s="65"/>
      <c r="IS79" s="65"/>
      <c r="IT79" s="65"/>
      <c r="IU79" s="65"/>
      <c r="IV79" s="65"/>
      <c r="IW79" s="65"/>
      <c r="IX79" s="65"/>
      <c r="IY79" s="65"/>
      <c r="IZ79" s="65"/>
      <c r="JA79" s="65"/>
      <c r="JB79" s="65"/>
      <c r="JC79" s="65"/>
      <c r="JD79" s="65"/>
      <c r="JE79" s="65"/>
      <c r="JF79" s="65"/>
      <c r="JG79" s="65"/>
      <c r="JH79" s="65"/>
    </row>
    <row r="80" spans="2:268" x14ac:dyDescent="0.25">
      <c r="G80" s="129"/>
      <c r="CT80" s="132"/>
      <c r="CU80" s="132"/>
      <c r="CV80" s="132"/>
      <c r="CW80" s="132"/>
      <c r="CX80" s="132"/>
      <c r="CY80" s="132"/>
      <c r="CZ80" s="132"/>
      <c r="DA80" s="132"/>
      <c r="DB80" s="132"/>
      <c r="DC80" s="132"/>
      <c r="DD80" s="132"/>
      <c r="DE80" s="132"/>
      <c r="DF80" s="132"/>
      <c r="DG80" s="132"/>
      <c r="DH80" s="132"/>
      <c r="DI80" s="132"/>
      <c r="DJ80" s="132"/>
      <c r="DK80" s="132"/>
      <c r="DL80" s="132"/>
      <c r="DM80" s="132"/>
      <c r="DN80" s="132"/>
      <c r="DO80" s="132"/>
      <c r="DP80" s="132"/>
      <c r="DQ80" s="132"/>
      <c r="DR80" s="132"/>
      <c r="DS80" s="132"/>
      <c r="DT80" s="132"/>
      <c r="DU80" s="132"/>
      <c r="DV80" s="132"/>
      <c r="DW80" s="132"/>
      <c r="DX80" s="133"/>
      <c r="DY80" s="132"/>
      <c r="DZ80" s="132"/>
      <c r="EA80" s="132"/>
      <c r="EB80" s="132"/>
      <c r="EC80" s="132"/>
      <c r="ED80" s="132"/>
      <c r="EE80" s="132"/>
      <c r="EF80" s="132"/>
      <c r="EG80" s="132"/>
      <c r="EH80" s="132"/>
      <c r="EI80" s="132"/>
      <c r="EJ80" s="132"/>
      <c r="EK80" s="132"/>
      <c r="EL80" s="132"/>
      <c r="EM80" s="132"/>
      <c r="EN80" s="132"/>
      <c r="EO80" s="132"/>
      <c r="EP80" s="132"/>
      <c r="EQ80" s="132"/>
      <c r="ER80" s="132"/>
      <c r="ES80" s="132"/>
      <c r="ET80" s="132"/>
      <c r="EU80" s="132"/>
      <c r="EV80" s="132"/>
      <c r="EW80" s="132"/>
      <c r="EX80" s="132"/>
      <c r="EY80" s="132"/>
      <c r="EZ80" s="132"/>
      <c r="FA80" s="132"/>
      <c r="FB80" s="132"/>
      <c r="FC80" s="132"/>
      <c r="FD80" s="132"/>
      <c r="FE80" s="132"/>
      <c r="FF80" s="132"/>
      <c r="FG80" s="132"/>
      <c r="FH80" s="132"/>
      <c r="FI80" s="132"/>
      <c r="FJ80" s="132"/>
      <c r="FK80" s="132"/>
      <c r="FL80" s="132"/>
      <c r="FM80" s="132"/>
      <c r="FN80" s="132"/>
      <c r="FO80" s="132"/>
      <c r="FP80" s="132"/>
      <c r="FQ80" s="132"/>
      <c r="FR80" s="132"/>
      <c r="FS80" s="132"/>
      <c r="FT80" s="132"/>
      <c r="FU80" s="132"/>
      <c r="FV80" s="132"/>
      <c r="FW80" s="132"/>
      <c r="FX80" s="132"/>
      <c r="FY80" s="132"/>
      <c r="FZ80" s="132"/>
      <c r="GA80" s="132"/>
      <c r="GB80" s="132"/>
      <c r="GC80" s="132"/>
      <c r="GD80" s="132"/>
      <c r="GE80" s="132"/>
      <c r="GF80" s="132"/>
      <c r="IH80" s="65"/>
      <c r="II80" s="65"/>
      <c r="IJ80" s="65"/>
      <c r="IK80" s="65"/>
      <c r="IL80" s="65"/>
      <c r="IM80" s="65"/>
      <c r="IN80" s="65"/>
      <c r="IO80" s="65"/>
      <c r="IP80" s="65"/>
      <c r="IQ80" s="65"/>
      <c r="IR80" s="65"/>
      <c r="IS80" s="65"/>
      <c r="IT80" s="65"/>
      <c r="IU80" s="65"/>
      <c r="IV80" s="65"/>
      <c r="IW80" s="65"/>
      <c r="IX80" s="65"/>
      <c r="IY80" s="65"/>
      <c r="IZ80" s="65"/>
      <c r="JA80" s="65"/>
      <c r="JB80" s="65"/>
      <c r="JC80" s="65"/>
      <c r="JD80" s="65"/>
      <c r="JE80" s="65"/>
      <c r="JF80" s="65"/>
      <c r="JG80" s="65"/>
      <c r="JH80" s="65"/>
    </row>
    <row r="81" spans="7:268" x14ac:dyDescent="0.25">
      <c r="G81" s="129"/>
      <c r="H81" s="129"/>
      <c r="CT81" s="132"/>
      <c r="CU81" s="132"/>
      <c r="CV81" s="132"/>
      <c r="CW81" s="132"/>
      <c r="CX81" s="132"/>
      <c r="CY81" s="132"/>
      <c r="CZ81" s="132"/>
      <c r="DA81" s="132"/>
      <c r="DB81" s="132"/>
      <c r="DC81" s="132"/>
      <c r="DD81" s="132"/>
      <c r="DE81" s="132"/>
      <c r="DF81" s="132"/>
      <c r="DG81" s="132"/>
      <c r="DH81" s="132"/>
      <c r="DI81" s="132"/>
      <c r="DJ81" s="132"/>
      <c r="DK81" s="132"/>
      <c r="DL81" s="132"/>
      <c r="DM81" s="132"/>
      <c r="DN81" s="132"/>
      <c r="DO81" s="132"/>
      <c r="DP81" s="132"/>
      <c r="DQ81" s="132"/>
      <c r="DR81" s="132"/>
      <c r="DS81" s="132"/>
      <c r="DT81" s="132"/>
      <c r="DU81" s="132"/>
      <c r="DV81" s="132"/>
      <c r="DW81" s="132"/>
      <c r="DX81" s="133"/>
      <c r="DY81" s="132"/>
      <c r="DZ81" s="132"/>
      <c r="EA81" s="132"/>
      <c r="EB81" s="132"/>
      <c r="EC81" s="132"/>
      <c r="ED81" s="132"/>
      <c r="EE81" s="132"/>
      <c r="EF81" s="132"/>
      <c r="EG81" s="132"/>
      <c r="EH81" s="132"/>
      <c r="EI81" s="132"/>
      <c r="EJ81" s="132"/>
      <c r="EK81" s="132"/>
      <c r="EL81" s="132"/>
      <c r="EM81" s="132"/>
      <c r="EN81" s="132"/>
      <c r="EO81" s="132"/>
      <c r="EP81" s="132"/>
      <c r="EQ81" s="132"/>
      <c r="ER81" s="132"/>
      <c r="ES81" s="132"/>
      <c r="ET81" s="132"/>
      <c r="EU81" s="132"/>
      <c r="EV81" s="132"/>
      <c r="EW81" s="132"/>
      <c r="EX81" s="132"/>
      <c r="EY81" s="132"/>
      <c r="EZ81" s="132"/>
      <c r="FA81" s="132"/>
      <c r="FB81" s="132"/>
      <c r="FC81" s="132"/>
      <c r="FD81" s="132"/>
      <c r="FE81" s="132"/>
      <c r="FF81" s="132"/>
      <c r="FG81" s="132"/>
      <c r="FH81" s="132"/>
      <c r="FI81" s="132"/>
      <c r="FJ81" s="132"/>
      <c r="FK81" s="132"/>
      <c r="FL81" s="132"/>
      <c r="FM81" s="132"/>
      <c r="FN81" s="132"/>
      <c r="FO81" s="132"/>
      <c r="FP81" s="132"/>
      <c r="FQ81" s="132"/>
      <c r="FR81" s="132"/>
      <c r="FS81" s="132"/>
      <c r="FT81" s="132"/>
      <c r="FU81" s="132"/>
      <c r="FV81" s="132"/>
      <c r="FW81" s="132"/>
      <c r="FX81" s="132"/>
      <c r="FY81" s="132"/>
      <c r="FZ81" s="132"/>
      <c r="GA81" s="132"/>
      <c r="GB81" s="132"/>
      <c r="GC81" s="132"/>
      <c r="GD81" s="132"/>
      <c r="GE81" s="132"/>
      <c r="GF81" s="132"/>
      <c r="IH81" s="65"/>
      <c r="II81" s="65"/>
      <c r="IJ81" s="65"/>
      <c r="IK81" s="65"/>
      <c r="IL81" s="65"/>
      <c r="IM81" s="65"/>
      <c r="IN81" s="65"/>
      <c r="IO81" s="65"/>
      <c r="IP81" s="65"/>
      <c r="IQ81" s="65"/>
      <c r="IR81" s="65"/>
      <c r="IS81" s="65"/>
      <c r="IT81" s="65"/>
      <c r="IU81" s="65"/>
      <c r="IV81" s="65"/>
      <c r="IW81" s="65"/>
      <c r="IX81" s="65"/>
      <c r="IY81" s="65"/>
      <c r="IZ81" s="65"/>
      <c r="JA81" s="65"/>
      <c r="JB81" s="65"/>
      <c r="JC81" s="65"/>
      <c r="JD81" s="65"/>
      <c r="JE81" s="65"/>
      <c r="JF81" s="65"/>
      <c r="JG81" s="65"/>
      <c r="JH81" s="65"/>
    </row>
    <row r="82" spans="7:268" x14ac:dyDescent="0.25">
      <c r="G82" s="129"/>
      <c r="CT82" s="132"/>
      <c r="CU82" s="132"/>
      <c r="CV82" s="132"/>
      <c r="CW82" s="132"/>
      <c r="CX82" s="132"/>
      <c r="CY82" s="132"/>
      <c r="CZ82" s="132"/>
      <c r="DA82" s="132"/>
      <c r="DB82" s="132"/>
      <c r="DC82" s="132"/>
      <c r="DD82" s="132"/>
      <c r="DE82" s="132"/>
      <c r="DF82" s="132"/>
      <c r="DG82" s="132"/>
      <c r="DH82" s="132"/>
      <c r="DI82" s="132"/>
      <c r="DJ82" s="132"/>
      <c r="DK82" s="132"/>
      <c r="DL82" s="132"/>
      <c r="DM82" s="132"/>
      <c r="DN82" s="132"/>
      <c r="DO82" s="132"/>
      <c r="DP82" s="132"/>
      <c r="DQ82" s="132"/>
      <c r="DR82" s="132"/>
      <c r="DS82" s="132"/>
      <c r="DT82" s="132"/>
      <c r="DU82" s="132"/>
      <c r="DV82" s="132"/>
      <c r="DW82" s="132"/>
      <c r="DX82" s="133"/>
      <c r="DY82" s="132"/>
      <c r="DZ82" s="132"/>
      <c r="EA82" s="132"/>
      <c r="EB82" s="132"/>
      <c r="EC82" s="132"/>
      <c r="ED82" s="132"/>
      <c r="EE82" s="132"/>
      <c r="EF82" s="132"/>
      <c r="EG82" s="132"/>
      <c r="EH82" s="132"/>
      <c r="EI82" s="132"/>
      <c r="EJ82" s="132"/>
      <c r="EK82" s="132"/>
      <c r="EL82" s="132"/>
      <c r="EM82" s="132"/>
      <c r="EN82" s="132"/>
      <c r="EO82" s="132"/>
      <c r="EP82" s="132"/>
      <c r="EQ82" s="132"/>
      <c r="ER82" s="132"/>
      <c r="ES82" s="132"/>
      <c r="ET82" s="132"/>
      <c r="EU82" s="132"/>
      <c r="EV82" s="132"/>
      <c r="EW82" s="132"/>
      <c r="EX82" s="132"/>
      <c r="EY82" s="132"/>
      <c r="EZ82" s="132"/>
      <c r="FA82" s="132"/>
      <c r="FB82" s="132"/>
      <c r="FC82" s="132"/>
      <c r="FD82" s="132"/>
      <c r="FE82" s="132"/>
      <c r="FF82" s="132"/>
      <c r="FG82" s="132"/>
      <c r="FH82" s="132"/>
      <c r="FI82" s="132"/>
      <c r="FJ82" s="132"/>
      <c r="FK82" s="132"/>
      <c r="FL82" s="132"/>
      <c r="FM82" s="132"/>
      <c r="FN82" s="132"/>
      <c r="FO82" s="132"/>
      <c r="FP82" s="132"/>
      <c r="FQ82" s="132"/>
      <c r="FR82" s="132"/>
      <c r="FS82" s="132"/>
      <c r="FT82" s="132"/>
      <c r="FU82" s="132"/>
      <c r="FV82" s="132"/>
      <c r="FW82" s="132"/>
      <c r="FX82" s="132"/>
      <c r="FY82" s="132"/>
      <c r="FZ82" s="132"/>
      <c r="GA82" s="132"/>
      <c r="GB82" s="132"/>
      <c r="GC82" s="132"/>
      <c r="GD82" s="132"/>
      <c r="GE82" s="132"/>
      <c r="GF82" s="132"/>
      <c r="IH82" s="65"/>
      <c r="II82" s="65"/>
      <c r="IJ82" s="65"/>
      <c r="IK82" s="65"/>
      <c r="IL82" s="65"/>
      <c r="IM82" s="65"/>
      <c r="IN82" s="65"/>
      <c r="IO82" s="65"/>
      <c r="IP82" s="65"/>
      <c r="IQ82" s="65"/>
      <c r="IR82" s="65"/>
      <c r="IS82" s="65"/>
      <c r="IT82" s="65"/>
      <c r="IU82" s="65"/>
      <c r="IV82" s="65"/>
      <c r="IW82" s="65"/>
      <c r="IX82" s="65"/>
      <c r="IY82" s="65"/>
      <c r="IZ82" s="65"/>
      <c r="JA82" s="65"/>
      <c r="JB82" s="65"/>
      <c r="JC82" s="65"/>
      <c r="JD82" s="65"/>
      <c r="JE82" s="65"/>
      <c r="JF82" s="65"/>
      <c r="JG82" s="65"/>
      <c r="JH82" s="65"/>
    </row>
    <row r="83" spans="7:268" x14ac:dyDescent="0.25">
      <c r="G83" s="129"/>
      <c r="H83" s="129"/>
      <c r="CT83" s="132"/>
      <c r="CU83" s="132"/>
      <c r="CV83" s="132"/>
      <c r="CW83" s="132"/>
      <c r="CX83" s="132"/>
      <c r="CY83" s="132"/>
      <c r="CZ83" s="132"/>
      <c r="DA83" s="132"/>
      <c r="DB83" s="132"/>
      <c r="DC83" s="132"/>
      <c r="DD83" s="132"/>
      <c r="DE83" s="132"/>
      <c r="DF83" s="132"/>
      <c r="DG83" s="132"/>
      <c r="DH83" s="132"/>
      <c r="DI83" s="132"/>
      <c r="DJ83" s="132"/>
      <c r="DK83" s="132"/>
      <c r="DL83" s="132"/>
      <c r="DM83" s="132"/>
      <c r="DN83" s="132"/>
      <c r="DO83" s="132"/>
      <c r="DP83" s="132"/>
      <c r="DQ83" s="132"/>
      <c r="DR83" s="132"/>
      <c r="DS83" s="132"/>
      <c r="DT83" s="132"/>
      <c r="DU83" s="132"/>
      <c r="DV83" s="132"/>
      <c r="DW83" s="132"/>
      <c r="DX83" s="133"/>
      <c r="DY83" s="132"/>
      <c r="DZ83" s="132"/>
      <c r="EA83" s="132"/>
      <c r="EB83" s="132"/>
      <c r="EC83" s="132"/>
      <c r="ED83" s="132"/>
      <c r="EE83" s="132"/>
      <c r="EF83" s="132"/>
      <c r="EG83" s="132"/>
      <c r="EH83" s="132"/>
      <c r="EI83" s="132"/>
      <c r="EJ83" s="132"/>
      <c r="EK83" s="132"/>
      <c r="EL83" s="132"/>
      <c r="EM83" s="132"/>
      <c r="EN83" s="132"/>
      <c r="EO83" s="132"/>
      <c r="EP83" s="132"/>
      <c r="EQ83" s="132"/>
      <c r="ER83" s="132"/>
      <c r="ES83" s="132"/>
      <c r="ET83" s="132"/>
      <c r="EU83" s="132"/>
      <c r="EV83" s="132"/>
      <c r="EW83" s="132"/>
      <c r="EX83" s="132"/>
      <c r="EY83" s="132"/>
      <c r="EZ83" s="132"/>
      <c r="FA83" s="132"/>
      <c r="FB83" s="132"/>
      <c r="FC83" s="132"/>
      <c r="FD83" s="132"/>
      <c r="FE83" s="132"/>
      <c r="FF83" s="132"/>
      <c r="FG83" s="132"/>
      <c r="FH83" s="132"/>
      <c r="FI83" s="132"/>
      <c r="FJ83" s="132"/>
      <c r="FK83" s="132"/>
      <c r="FL83" s="132"/>
      <c r="FM83" s="132"/>
      <c r="FN83" s="132"/>
      <c r="FO83" s="132"/>
      <c r="FP83" s="132"/>
      <c r="FQ83" s="132"/>
      <c r="FR83" s="132"/>
      <c r="FS83" s="132"/>
      <c r="FT83" s="132"/>
      <c r="FU83" s="132"/>
      <c r="FV83" s="132"/>
      <c r="FW83" s="132"/>
      <c r="FX83" s="132"/>
      <c r="FY83" s="132"/>
      <c r="FZ83" s="132"/>
      <c r="GA83" s="132"/>
      <c r="GB83" s="132"/>
      <c r="GC83" s="132"/>
      <c r="GD83" s="132"/>
      <c r="GE83" s="132"/>
      <c r="GF83" s="132"/>
      <c r="IH83" s="65"/>
      <c r="II83" s="65"/>
      <c r="IJ83" s="65"/>
      <c r="IK83" s="65"/>
      <c r="IL83" s="65"/>
      <c r="IM83" s="65"/>
      <c r="IN83" s="65"/>
      <c r="IO83" s="65"/>
      <c r="IP83" s="65"/>
      <c r="IQ83" s="65"/>
      <c r="IR83" s="65"/>
      <c r="IS83" s="65"/>
      <c r="IT83" s="65"/>
      <c r="IU83" s="65"/>
      <c r="IV83" s="65"/>
      <c r="IW83" s="65"/>
      <c r="IX83" s="65"/>
      <c r="IY83" s="65"/>
      <c r="IZ83" s="65"/>
      <c r="JA83" s="65"/>
      <c r="JB83" s="65"/>
      <c r="JC83" s="65"/>
      <c r="JD83" s="65"/>
      <c r="JE83" s="65"/>
      <c r="JF83" s="65"/>
      <c r="JG83" s="65"/>
      <c r="JH83" s="65"/>
    </row>
    <row r="84" spans="7:268" x14ac:dyDescent="0.25">
      <c r="G84" s="129"/>
      <c r="H84" s="129"/>
      <c r="CT84" s="132"/>
      <c r="CU84" s="132"/>
      <c r="CV84" s="132"/>
      <c r="CW84" s="132"/>
      <c r="CX84" s="132"/>
      <c r="CY84" s="132"/>
      <c r="CZ84" s="132"/>
      <c r="DA84" s="132"/>
      <c r="DB84" s="132"/>
      <c r="DC84" s="132"/>
      <c r="DD84" s="132"/>
      <c r="DE84" s="132"/>
      <c r="DF84" s="132"/>
      <c r="DG84" s="132"/>
      <c r="DH84" s="132"/>
      <c r="DI84" s="132"/>
      <c r="DJ84" s="132"/>
      <c r="DK84" s="132"/>
      <c r="DL84" s="132"/>
      <c r="DM84" s="132"/>
      <c r="DN84" s="132"/>
      <c r="DO84" s="132"/>
      <c r="DP84" s="132"/>
      <c r="DQ84" s="132"/>
      <c r="DR84" s="132"/>
      <c r="DS84" s="132"/>
      <c r="DT84" s="132"/>
      <c r="DU84" s="132"/>
      <c r="DV84" s="132"/>
      <c r="DW84" s="132"/>
      <c r="DX84" s="133"/>
      <c r="DY84" s="132"/>
      <c r="DZ84" s="132"/>
      <c r="EA84" s="132"/>
      <c r="EB84" s="132"/>
      <c r="EC84" s="132"/>
      <c r="ED84" s="132"/>
      <c r="EE84" s="132"/>
      <c r="EF84" s="132"/>
      <c r="EG84" s="132"/>
      <c r="EH84" s="132"/>
      <c r="EI84" s="132"/>
      <c r="EJ84" s="132"/>
      <c r="EK84" s="132"/>
      <c r="EL84" s="132"/>
      <c r="EM84" s="132"/>
      <c r="EN84" s="132"/>
      <c r="EO84" s="132"/>
      <c r="EP84" s="132"/>
      <c r="EQ84" s="132"/>
      <c r="ER84" s="132"/>
      <c r="ES84" s="132"/>
      <c r="ET84" s="132"/>
      <c r="EU84" s="132"/>
      <c r="EV84" s="132"/>
      <c r="EW84" s="132"/>
      <c r="EX84" s="132"/>
      <c r="EY84" s="132"/>
      <c r="EZ84" s="132"/>
      <c r="FA84" s="132"/>
      <c r="FB84" s="132"/>
      <c r="FC84" s="132"/>
      <c r="FD84" s="132"/>
      <c r="FE84" s="132"/>
      <c r="FF84" s="132"/>
      <c r="FG84" s="132"/>
      <c r="FH84" s="132"/>
      <c r="FI84" s="132"/>
      <c r="FJ84" s="132"/>
      <c r="FK84" s="132"/>
      <c r="FL84" s="132"/>
      <c r="FM84" s="132"/>
      <c r="FN84" s="132"/>
      <c r="FO84" s="132"/>
      <c r="FP84" s="132"/>
      <c r="FQ84" s="132"/>
      <c r="FR84" s="132"/>
      <c r="FS84" s="132"/>
      <c r="FT84" s="132"/>
      <c r="FU84" s="132"/>
      <c r="FV84" s="132"/>
      <c r="FW84" s="132"/>
      <c r="FX84" s="132"/>
      <c r="FY84" s="132"/>
      <c r="FZ84" s="132"/>
      <c r="GA84" s="132"/>
      <c r="GB84" s="132"/>
      <c r="GC84" s="132"/>
      <c r="GD84" s="132"/>
      <c r="GE84" s="132"/>
      <c r="GF84" s="132"/>
      <c r="IH84" s="65"/>
      <c r="II84" s="65"/>
      <c r="IJ84" s="65"/>
      <c r="IK84" s="65"/>
      <c r="IL84" s="65"/>
      <c r="IM84" s="65"/>
      <c r="IN84" s="65"/>
      <c r="IO84" s="65"/>
      <c r="IP84" s="65"/>
      <c r="IQ84" s="65"/>
      <c r="IR84" s="65"/>
      <c r="IS84" s="65"/>
      <c r="IT84" s="65"/>
      <c r="IU84" s="65"/>
      <c r="IV84" s="65"/>
      <c r="IW84" s="65"/>
      <c r="IX84" s="65"/>
      <c r="IY84" s="65"/>
      <c r="IZ84" s="65"/>
      <c r="JA84" s="65"/>
      <c r="JB84" s="65"/>
      <c r="JC84" s="65"/>
      <c r="JD84" s="65"/>
      <c r="JE84" s="65"/>
      <c r="JF84" s="65"/>
      <c r="JG84" s="65"/>
      <c r="JH84" s="65"/>
    </row>
    <row r="85" spans="7:268" x14ac:dyDescent="0.25">
      <c r="G85" s="129"/>
      <c r="CT85" s="132"/>
      <c r="CU85" s="132"/>
      <c r="CV85" s="132"/>
      <c r="CW85" s="132"/>
      <c r="CX85" s="132"/>
      <c r="CY85" s="132"/>
      <c r="CZ85" s="132"/>
      <c r="DA85" s="132"/>
      <c r="DB85" s="132"/>
      <c r="DC85" s="132"/>
      <c r="DD85" s="132"/>
      <c r="DE85" s="132"/>
      <c r="DF85" s="132"/>
      <c r="DG85" s="132"/>
      <c r="DH85" s="132"/>
      <c r="DI85" s="132"/>
      <c r="DJ85" s="132"/>
      <c r="DK85" s="132"/>
      <c r="DL85" s="132"/>
      <c r="DM85" s="132"/>
      <c r="DN85" s="132"/>
      <c r="DO85" s="132"/>
      <c r="DP85" s="132"/>
      <c r="DQ85" s="132"/>
      <c r="DR85" s="132"/>
      <c r="DS85" s="132"/>
      <c r="DT85" s="132"/>
      <c r="DU85" s="132"/>
      <c r="DV85" s="132"/>
      <c r="DW85" s="132"/>
      <c r="DX85" s="133"/>
      <c r="DY85" s="132"/>
      <c r="DZ85" s="132"/>
      <c r="EA85" s="132"/>
      <c r="EB85" s="132"/>
      <c r="EC85" s="132"/>
      <c r="ED85" s="132"/>
      <c r="EE85" s="132"/>
      <c r="EF85" s="132"/>
      <c r="EG85" s="132"/>
      <c r="EH85" s="132"/>
      <c r="EI85" s="132"/>
      <c r="EJ85" s="132"/>
      <c r="EK85" s="132"/>
      <c r="EL85" s="132"/>
      <c r="EM85" s="132"/>
      <c r="EN85" s="132"/>
      <c r="EO85" s="132"/>
      <c r="EP85" s="132"/>
      <c r="EQ85" s="132"/>
      <c r="ER85" s="132"/>
      <c r="ES85" s="132"/>
      <c r="ET85" s="132"/>
      <c r="EU85" s="132"/>
      <c r="EV85" s="132"/>
      <c r="EW85" s="132"/>
      <c r="EX85" s="132"/>
      <c r="EY85" s="132"/>
      <c r="EZ85" s="132"/>
      <c r="FA85" s="132"/>
      <c r="FB85" s="132"/>
      <c r="FC85" s="132"/>
      <c r="FD85" s="132"/>
      <c r="FE85" s="132"/>
      <c r="FF85" s="132"/>
      <c r="FG85" s="132"/>
      <c r="FH85" s="132"/>
      <c r="FI85" s="132"/>
      <c r="FJ85" s="132"/>
      <c r="FK85" s="132"/>
      <c r="FL85" s="132"/>
      <c r="FM85" s="132"/>
      <c r="FN85" s="132"/>
      <c r="FO85" s="132"/>
      <c r="FP85" s="132"/>
      <c r="FQ85" s="132"/>
      <c r="FR85" s="132"/>
      <c r="FS85" s="132"/>
      <c r="FT85" s="132"/>
      <c r="FU85" s="132"/>
      <c r="FV85" s="132"/>
      <c r="FW85" s="132"/>
      <c r="FX85" s="132"/>
      <c r="FY85" s="132"/>
      <c r="FZ85" s="132"/>
      <c r="GA85" s="132"/>
      <c r="GB85" s="132"/>
      <c r="GC85" s="132"/>
      <c r="GD85" s="132"/>
      <c r="GE85" s="132"/>
      <c r="GF85" s="132"/>
    </row>
    <row r="86" spans="7:268" x14ac:dyDescent="0.25">
      <c r="G86" s="129"/>
      <c r="H86" s="129"/>
      <c r="CT86" s="132"/>
      <c r="CU86" s="132"/>
      <c r="CV86" s="132"/>
      <c r="CW86" s="132"/>
      <c r="CX86" s="132"/>
      <c r="CY86" s="132"/>
      <c r="CZ86" s="132"/>
      <c r="DA86" s="132"/>
      <c r="DB86" s="132"/>
      <c r="DC86" s="132"/>
      <c r="DD86" s="132"/>
      <c r="DE86" s="132"/>
      <c r="DF86" s="132"/>
      <c r="DG86" s="132"/>
      <c r="DH86" s="132"/>
      <c r="DI86" s="132"/>
      <c r="DJ86" s="132"/>
      <c r="DK86" s="132"/>
      <c r="DL86" s="132"/>
      <c r="DM86" s="132"/>
      <c r="DN86" s="132"/>
      <c r="DO86" s="132"/>
      <c r="DP86" s="132"/>
      <c r="DQ86" s="132"/>
      <c r="DR86" s="132"/>
      <c r="DS86" s="132"/>
      <c r="DT86" s="132"/>
      <c r="DU86" s="132"/>
      <c r="DV86" s="132"/>
      <c r="DW86" s="132"/>
      <c r="DX86" s="133"/>
      <c r="DY86" s="132"/>
      <c r="DZ86" s="132"/>
      <c r="EA86" s="132"/>
      <c r="EB86" s="132"/>
      <c r="EC86" s="132"/>
      <c r="ED86" s="132"/>
      <c r="EE86" s="132"/>
      <c r="EF86" s="132"/>
      <c r="EG86" s="132"/>
      <c r="EH86" s="132"/>
      <c r="EI86" s="132"/>
      <c r="EJ86" s="132"/>
      <c r="EK86" s="132"/>
      <c r="EL86" s="132"/>
      <c r="EM86" s="132"/>
      <c r="EN86" s="132"/>
      <c r="EO86" s="132"/>
      <c r="EP86" s="132"/>
      <c r="EQ86" s="132"/>
      <c r="ER86" s="132"/>
      <c r="ES86" s="132"/>
      <c r="ET86" s="132"/>
      <c r="EU86" s="132"/>
      <c r="EV86" s="132"/>
      <c r="EW86" s="132"/>
      <c r="EX86" s="132"/>
      <c r="EY86" s="132"/>
      <c r="EZ86" s="132"/>
      <c r="FA86" s="132"/>
      <c r="FB86" s="132"/>
      <c r="FC86" s="132"/>
      <c r="FD86" s="132"/>
      <c r="FE86" s="132"/>
      <c r="FF86" s="132"/>
      <c r="FG86" s="132"/>
      <c r="FH86" s="132"/>
      <c r="FI86" s="132"/>
      <c r="FJ86" s="132"/>
      <c r="FK86" s="132"/>
      <c r="FL86" s="132"/>
      <c r="FM86" s="132"/>
      <c r="FN86" s="132"/>
      <c r="FO86" s="132"/>
      <c r="FP86" s="132"/>
      <c r="FQ86" s="132"/>
      <c r="FR86" s="132"/>
      <c r="FS86" s="132"/>
      <c r="FT86" s="132"/>
      <c r="FU86" s="132"/>
      <c r="FV86" s="132"/>
      <c r="FW86" s="132"/>
      <c r="FX86" s="132"/>
      <c r="FY86" s="132"/>
      <c r="FZ86" s="132"/>
      <c r="GA86" s="132"/>
      <c r="GB86" s="132"/>
      <c r="GC86" s="132"/>
      <c r="GD86" s="132"/>
      <c r="GE86" s="132"/>
      <c r="GF86" s="132"/>
    </row>
    <row r="87" spans="7:268" x14ac:dyDescent="0.25">
      <c r="G87" s="129"/>
      <c r="H87" s="129"/>
      <c r="CT87" s="132"/>
      <c r="CU87" s="132"/>
      <c r="CV87" s="132"/>
      <c r="CW87" s="132"/>
      <c r="CX87" s="132"/>
      <c r="CY87" s="132"/>
      <c r="CZ87" s="132"/>
      <c r="DA87" s="132"/>
      <c r="DB87" s="132"/>
      <c r="DC87" s="132"/>
      <c r="DD87" s="132"/>
      <c r="DE87" s="132"/>
      <c r="DF87" s="132"/>
      <c r="DG87" s="132"/>
      <c r="DH87" s="132"/>
      <c r="DI87" s="132"/>
      <c r="DJ87" s="132"/>
      <c r="DK87" s="132"/>
      <c r="DL87" s="132"/>
      <c r="DM87" s="132"/>
      <c r="DN87" s="132"/>
      <c r="DO87" s="132"/>
      <c r="DP87" s="132"/>
      <c r="DQ87" s="132"/>
      <c r="DR87" s="132"/>
      <c r="DS87" s="132"/>
      <c r="DT87" s="132"/>
      <c r="DU87" s="132"/>
      <c r="DV87" s="132"/>
      <c r="DW87" s="132"/>
      <c r="DX87" s="133"/>
      <c r="DY87" s="132"/>
      <c r="DZ87" s="132"/>
      <c r="EA87" s="132"/>
      <c r="EB87" s="132"/>
      <c r="EC87" s="132"/>
      <c r="ED87" s="132"/>
      <c r="EE87" s="132"/>
      <c r="EF87" s="132"/>
      <c r="EG87" s="132"/>
      <c r="EH87" s="132"/>
      <c r="EI87" s="132"/>
      <c r="EJ87" s="132"/>
      <c r="EK87" s="132"/>
      <c r="EL87" s="132"/>
      <c r="EM87" s="132"/>
      <c r="EN87" s="132"/>
      <c r="EO87" s="132"/>
      <c r="EP87" s="132"/>
      <c r="EQ87" s="132"/>
      <c r="ER87" s="132"/>
      <c r="ES87" s="132"/>
      <c r="ET87" s="132"/>
      <c r="EU87" s="132"/>
      <c r="EV87" s="132"/>
      <c r="EW87" s="132"/>
      <c r="EX87" s="132"/>
      <c r="EY87" s="132"/>
      <c r="EZ87" s="132"/>
      <c r="FA87" s="132"/>
      <c r="FB87" s="132"/>
      <c r="FC87" s="132"/>
      <c r="FD87" s="132"/>
      <c r="FE87" s="132"/>
      <c r="FF87" s="132"/>
      <c r="FG87" s="132"/>
      <c r="FH87" s="132"/>
      <c r="FI87" s="132"/>
      <c r="FJ87" s="132"/>
      <c r="FK87" s="132"/>
      <c r="FL87" s="132"/>
      <c r="FM87" s="132"/>
      <c r="FN87" s="132"/>
      <c r="FO87" s="132"/>
      <c r="FP87" s="132"/>
      <c r="FQ87" s="132"/>
      <c r="FR87" s="132"/>
      <c r="FS87" s="132"/>
      <c r="FT87" s="132"/>
      <c r="FU87" s="132"/>
      <c r="FV87" s="132"/>
      <c r="FW87" s="132"/>
      <c r="FX87" s="132"/>
      <c r="FY87" s="132"/>
      <c r="FZ87" s="132"/>
      <c r="GA87" s="132"/>
      <c r="GB87" s="132"/>
      <c r="GC87" s="132"/>
      <c r="GD87" s="132"/>
      <c r="GE87" s="132"/>
      <c r="GF87" s="132"/>
    </row>
    <row r="88" spans="7:268" x14ac:dyDescent="0.25">
      <c r="G88" s="129"/>
      <c r="CT88" s="132"/>
      <c r="CU88" s="132"/>
      <c r="CV88" s="132"/>
      <c r="CW88" s="132"/>
      <c r="CX88" s="132"/>
      <c r="CY88" s="132"/>
      <c r="CZ88" s="132"/>
      <c r="DA88" s="132"/>
      <c r="DB88" s="132"/>
      <c r="DC88" s="132"/>
      <c r="DD88" s="132"/>
      <c r="DE88" s="132"/>
      <c r="DF88" s="132"/>
      <c r="DG88" s="132"/>
      <c r="DH88" s="132"/>
      <c r="DI88" s="132"/>
      <c r="DJ88" s="132"/>
      <c r="DK88" s="132"/>
      <c r="DL88" s="132"/>
      <c r="DM88" s="132"/>
      <c r="DN88" s="132"/>
      <c r="DO88" s="132"/>
      <c r="DP88" s="132"/>
      <c r="DQ88" s="132"/>
      <c r="DR88" s="132"/>
      <c r="DS88" s="132"/>
      <c r="DT88" s="132"/>
      <c r="DU88" s="132"/>
      <c r="DV88" s="132"/>
      <c r="DW88" s="132"/>
      <c r="DX88" s="133"/>
      <c r="DY88" s="132"/>
      <c r="DZ88" s="132"/>
      <c r="EA88" s="132"/>
      <c r="EB88" s="132"/>
      <c r="EC88" s="132"/>
      <c r="ED88" s="132"/>
      <c r="EE88" s="132"/>
      <c r="EF88" s="132"/>
      <c r="EG88" s="132"/>
      <c r="EH88" s="132"/>
      <c r="EI88" s="132"/>
      <c r="EJ88" s="132"/>
      <c r="EK88" s="132"/>
      <c r="EL88" s="132"/>
      <c r="EM88" s="132"/>
      <c r="EN88" s="132"/>
      <c r="EO88" s="132"/>
      <c r="EP88" s="132"/>
      <c r="EQ88" s="132"/>
      <c r="ER88" s="132"/>
      <c r="ES88" s="132"/>
      <c r="ET88" s="132"/>
      <c r="EU88" s="132"/>
      <c r="EV88" s="132"/>
      <c r="EW88" s="132"/>
      <c r="EX88" s="132"/>
      <c r="EY88" s="132"/>
      <c r="EZ88" s="132"/>
      <c r="FA88" s="132"/>
      <c r="FB88" s="132"/>
      <c r="FC88" s="132"/>
      <c r="FD88" s="132"/>
      <c r="FE88" s="132"/>
      <c r="FF88" s="132"/>
      <c r="FG88" s="132"/>
      <c r="FH88" s="132"/>
      <c r="FI88" s="132"/>
      <c r="FJ88" s="132"/>
      <c r="FK88" s="132"/>
      <c r="FL88" s="132"/>
      <c r="FM88" s="132"/>
      <c r="FN88" s="132"/>
      <c r="FO88" s="132"/>
      <c r="FP88" s="132"/>
      <c r="FQ88" s="132"/>
      <c r="FR88" s="132"/>
      <c r="FS88" s="132"/>
      <c r="FT88" s="132"/>
      <c r="FU88" s="132"/>
      <c r="FV88" s="132"/>
      <c r="FW88" s="132"/>
      <c r="FX88" s="132"/>
      <c r="FY88" s="132"/>
      <c r="FZ88" s="132"/>
      <c r="GA88" s="132"/>
      <c r="GB88" s="132"/>
      <c r="GC88" s="132"/>
      <c r="GD88" s="132"/>
      <c r="GE88" s="132"/>
      <c r="GF88" s="132"/>
    </row>
    <row r="89" spans="7:268" x14ac:dyDescent="0.25">
      <c r="G89" s="129"/>
      <c r="H89" s="129"/>
      <c r="CT89" s="132"/>
      <c r="CU89" s="132"/>
      <c r="CV89" s="132"/>
      <c r="CW89" s="132"/>
      <c r="CX89" s="132"/>
      <c r="CY89" s="132"/>
      <c r="CZ89" s="132"/>
      <c r="DA89" s="132"/>
      <c r="DB89" s="132"/>
      <c r="DC89" s="132"/>
      <c r="DD89" s="132"/>
      <c r="DE89" s="132"/>
      <c r="DF89" s="132"/>
      <c r="DG89" s="132"/>
      <c r="DH89" s="132"/>
      <c r="DI89" s="132"/>
      <c r="DJ89" s="132"/>
      <c r="DK89" s="132"/>
      <c r="DL89" s="132"/>
      <c r="DM89" s="132"/>
      <c r="DN89" s="132"/>
      <c r="DO89" s="132"/>
      <c r="DP89" s="132"/>
      <c r="DQ89" s="132"/>
      <c r="DR89" s="132"/>
      <c r="DS89" s="132"/>
      <c r="DT89" s="132"/>
      <c r="DU89" s="132"/>
      <c r="DV89" s="132"/>
      <c r="DW89" s="132"/>
      <c r="DX89" s="133"/>
      <c r="DY89" s="132"/>
      <c r="DZ89" s="132"/>
      <c r="EA89" s="132"/>
      <c r="EB89" s="132"/>
      <c r="EC89" s="132"/>
      <c r="ED89" s="132"/>
      <c r="EE89" s="132"/>
      <c r="EF89" s="132"/>
      <c r="EG89" s="132"/>
      <c r="EH89" s="132"/>
      <c r="EI89" s="132"/>
      <c r="EJ89" s="132"/>
      <c r="EK89" s="132"/>
      <c r="EL89" s="132"/>
      <c r="EM89" s="132"/>
      <c r="EN89" s="132"/>
      <c r="EO89" s="132"/>
      <c r="EP89" s="132"/>
      <c r="EQ89" s="132"/>
      <c r="ER89" s="132"/>
      <c r="ES89" s="132"/>
      <c r="ET89" s="132"/>
      <c r="EU89" s="132"/>
      <c r="EV89" s="132"/>
      <c r="EW89" s="132"/>
      <c r="EX89" s="132"/>
      <c r="EY89" s="132"/>
      <c r="EZ89" s="132"/>
      <c r="FA89" s="132"/>
      <c r="FB89" s="132"/>
      <c r="FC89" s="132"/>
      <c r="FD89" s="132"/>
      <c r="FE89" s="132"/>
      <c r="FF89" s="132"/>
      <c r="FG89" s="132"/>
      <c r="FH89" s="132"/>
      <c r="FI89" s="132"/>
      <c r="FJ89" s="132"/>
      <c r="FK89" s="132"/>
      <c r="FL89" s="132"/>
      <c r="FM89" s="132"/>
      <c r="FN89" s="132"/>
      <c r="FO89" s="132"/>
      <c r="FP89" s="132"/>
      <c r="FQ89" s="132"/>
      <c r="FR89" s="132"/>
      <c r="FS89" s="132"/>
      <c r="FT89" s="132"/>
      <c r="FU89" s="132"/>
      <c r="FV89" s="132"/>
      <c r="FW89" s="132"/>
      <c r="FX89" s="132"/>
      <c r="FY89" s="132"/>
      <c r="FZ89" s="132"/>
      <c r="GA89" s="132"/>
      <c r="GB89" s="132"/>
      <c r="GC89" s="132"/>
      <c r="GD89" s="132"/>
      <c r="GE89" s="132"/>
      <c r="GF89" s="132"/>
    </row>
    <row r="90" spans="7:268" x14ac:dyDescent="0.25">
      <c r="G90" s="129"/>
      <c r="CT90" s="132"/>
      <c r="CU90" s="132"/>
      <c r="CV90" s="132"/>
      <c r="CW90" s="132"/>
      <c r="CX90" s="132"/>
      <c r="CY90" s="132"/>
      <c r="CZ90" s="132"/>
      <c r="DA90" s="132"/>
      <c r="DB90" s="132"/>
      <c r="DC90" s="132"/>
      <c r="DD90" s="132"/>
      <c r="DE90" s="132"/>
      <c r="DF90" s="132"/>
      <c r="DG90" s="132"/>
      <c r="DH90" s="132"/>
      <c r="DI90" s="132"/>
      <c r="DJ90" s="132"/>
      <c r="DK90" s="132"/>
      <c r="DL90" s="132"/>
      <c r="DM90" s="132"/>
      <c r="DN90" s="132"/>
      <c r="DO90" s="132"/>
      <c r="DP90" s="132"/>
      <c r="DQ90" s="132"/>
      <c r="DR90" s="132"/>
      <c r="DS90" s="132"/>
      <c r="DT90" s="132"/>
      <c r="DU90" s="132"/>
      <c r="DV90" s="132"/>
      <c r="DW90" s="132"/>
      <c r="DX90" s="133"/>
      <c r="DY90" s="132"/>
      <c r="DZ90" s="132"/>
      <c r="EA90" s="132"/>
      <c r="EB90" s="132"/>
      <c r="EC90" s="132"/>
      <c r="ED90" s="132"/>
      <c r="EE90" s="132"/>
      <c r="EF90" s="132"/>
      <c r="EG90" s="132"/>
      <c r="EH90" s="132"/>
      <c r="EI90" s="132"/>
      <c r="EJ90" s="132"/>
      <c r="EK90" s="132"/>
      <c r="EL90" s="132"/>
      <c r="EM90" s="132"/>
      <c r="EN90" s="132"/>
      <c r="EO90" s="132"/>
      <c r="EP90" s="132"/>
      <c r="EQ90" s="132"/>
      <c r="ER90" s="132"/>
      <c r="ES90" s="132"/>
      <c r="ET90" s="132"/>
      <c r="EU90" s="132"/>
      <c r="EV90" s="132"/>
      <c r="EW90" s="132"/>
      <c r="EX90" s="132"/>
      <c r="EY90" s="132"/>
      <c r="EZ90" s="132"/>
      <c r="FA90" s="132"/>
      <c r="FB90" s="132"/>
      <c r="FC90" s="132"/>
      <c r="FD90" s="132"/>
      <c r="FE90" s="132"/>
      <c r="FF90" s="132"/>
      <c r="FG90" s="132"/>
      <c r="FH90" s="132"/>
      <c r="FI90" s="132"/>
      <c r="FJ90" s="132"/>
      <c r="FK90" s="132"/>
      <c r="FL90" s="132"/>
      <c r="FM90" s="132"/>
      <c r="FN90" s="132"/>
      <c r="FO90" s="132"/>
      <c r="FP90" s="132"/>
      <c r="FQ90" s="132"/>
      <c r="FR90" s="132"/>
      <c r="FS90" s="132"/>
      <c r="FT90" s="132"/>
      <c r="FU90" s="132"/>
      <c r="FV90" s="132"/>
      <c r="FW90" s="132"/>
      <c r="FX90" s="132"/>
      <c r="FY90" s="132"/>
      <c r="FZ90" s="132"/>
      <c r="GA90" s="132"/>
      <c r="GB90" s="132"/>
      <c r="GC90" s="132"/>
      <c r="GD90" s="132"/>
      <c r="GE90" s="132"/>
      <c r="GF90" s="132"/>
    </row>
    <row r="91" spans="7:268" x14ac:dyDescent="0.25">
      <c r="G91" s="129"/>
      <c r="H91" s="129"/>
      <c r="CT91" s="132"/>
      <c r="CU91" s="132"/>
      <c r="CV91" s="132"/>
      <c r="CW91" s="132"/>
      <c r="CX91" s="132"/>
      <c r="CY91" s="132"/>
      <c r="CZ91" s="132"/>
      <c r="DA91" s="132"/>
      <c r="DB91" s="132"/>
      <c r="DC91" s="132"/>
      <c r="DD91" s="132"/>
      <c r="DE91" s="132"/>
      <c r="DF91" s="132"/>
      <c r="DG91" s="132"/>
      <c r="DH91" s="132"/>
      <c r="DI91" s="132"/>
      <c r="DJ91" s="132"/>
      <c r="DK91" s="132"/>
      <c r="DL91" s="132"/>
      <c r="DM91" s="132"/>
      <c r="DN91" s="132"/>
      <c r="DO91" s="132"/>
      <c r="DP91" s="132"/>
      <c r="DQ91" s="132"/>
      <c r="DR91" s="132"/>
      <c r="DS91" s="132"/>
      <c r="DT91" s="132"/>
      <c r="DU91" s="132"/>
      <c r="DV91" s="132"/>
      <c r="DW91" s="132"/>
      <c r="DX91" s="133"/>
      <c r="DY91" s="132"/>
      <c r="DZ91" s="132"/>
      <c r="EA91" s="132"/>
      <c r="EB91" s="132"/>
      <c r="EC91" s="132"/>
      <c r="ED91" s="132"/>
      <c r="EE91" s="132"/>
      <c r="EF91" s="132"/>
      <c r="EG91" s="132"/>
      <c r="EH91" s="132"/>
      <c r="EI91" s="132"/>
      <c r="EJ91" s="132"/>
      <c r="EK91" s="132"/>
      <c r="EL91" s="132"/>
      <c r="EM91" s="132"/>
      <c r="EN91" s="132"/>
      <c r="EO91" s="132"/>
      <c r="EP91" s="132"/>
      <c r="EQ91" s="132"/>
      <c r="ER91" s="132"/>
      <c r="ES91" s="132"/>
      <c r="ET91" s="132"/>
      <c r="EU91" s="132"/>
      <c r="EV91" s="132"/>
      <c r="EW91" s="132"/>
      <c r="EX91" s="132"/>
      <c r="EY91" s="132"/>
      <c r="EZ91" s="132"/>
      <c r="FA91" s="132"/>
      <c r="FB91" s="132"/>
      <c r="FC91" s="132"/>
      <c r="FD91" s="132"/>
      <c r="FE91" s="132"/>
      <c r="FF91" s="132"/>
      <c r="FG91" s="132"/>
      <c r="FH91" s="132"/>
      <c r="FI91" s="132"/>
      <c r="FJ91" s="132"/>
      <c r="FK91" s="132"/>
      <c r="FL91" s="132"/>
      <c r="FM91" s="132"/>
      <c r="FN91" s="132"/>
      <c r="FO91" s="132"/>
      <c r="FP91" s="132"/>
      <c r="FQ91" s="132"/>
      <c r="FR91" s="132"/>
      <c r="FS91" s="132"/>
      <c r="FT91" s="132"/>
      <c r="FU91" s="132"/>
      <c r="FV91" s="132"/>
      <c r="FW91" s="132"/>
      <c r="FX91" s="132"/>
      <c r="FY91" s="132"/>
      <c r="FZ91" s="132"/>
      <c r="GA91" s="132"/>
      <c r="GB91" s="132"/>
      <c r="GC91" s="132"/>
      <c r="GD91" s="132"/>
      <c r="GE91" s="132"/>
      <c r="GF91" s="132"/>
    </row>
    <row r="92" spans="7:268" x14ac:dyDescent="0.25">
      <c r="G92" s="129"/>
      <c r="H92" s="129"/>
      <c r="CT92" s="132"/>
      <c r="CU92" s="132"/>
      <c r="CV92" s="132"/>
      <c r="CW92" s="132"/>
      <c r="CX92" s="132"/>
      <c r="CY92" s="132"/>
      <c r="CZ92" s="132"/>
      <c r="DA92" s="132"/>
      <c r="DB92" s="132"/>
      <c r="DC92" s="132"/>
      <c r="DD92" s="132"/>
      <c r="DE92" s="132"/>
      <c r="DF92" s="132"/>
      <c r="DG92" s="132"/>
      <c r="DH92" s="132"/>
      <c r="DI92" s="132"/>
      <c r="DJ92" s="132"/>
      <c r="DK92" s="132"/>
      <c r="DL92" s="132"/>
      <c r="DM92" s="132"/>
      <c r="DN92" s="132"/>
      <c r="DO92" s="132"/>
      <c r="DP92" s="132"/>
      <c r="DQ92" s="132"/>
      <c r="DR92" s="132"/>
      <c r="DS92" s="132"/>
      <c r="DT92" s="132"/>
      <c r="DU92" s="132"/>
      <c r="DV92" s="132"/>
      <c r="DW92" s="132"/>
      <c r="DX92" s="133"/>
      <c r="DY92" s="132"/>
      <c r="DZ92" s="132"/>
      <c r="EA92" s="132"/>
      <c r="EB92" s="132"/>
      <c r="EC92" s="132"/>
      <c r="ED92" s="132"/>
      <c r="EE92" s="132"/>
      <c r="EF92" s="132"/>
      <c r="EG92" s="132"/>
      <c r="EH92" s="132"/>
      <c r="EI92" s="132"/>
      <c r="EJ92" s="132"/>
      <c r="EK92" s="132"/>
      <c r="EL92" s="132"/>
      <c r="EM92" s="132"/>
      <c r="EN92" s="132"/>
      <c r="EO92" s="132"/>
      <c r="EP92" s="132"/>
      <c r="EQ92" s="132"/>
      <c r="ER92" s="132"/>
      <c r="ES92" s="132"/>
      <c r="ET92" s="132"/>
      <c r="EU92" s="132"/>
      <c r="EV92" s="132"/>
      <c r="EW92" s="132"/>
      <c r="EX92" s="132"/>
      <c r="EY92" s="132"/>
      <c r="EZ92" s="132"/>
      <c r="FA92" s="132"/>
      <c r="FB92" s="132"/>
      <c r="FC92" s="132"/>
      <c r="FD92" s="132"/>
      <c r="FE92" s="132"/>
      <c r="FF92" s="132"/>
      <c r="FG92" s="132"/>
      <c r="FH92" s="132"/>
      <c r="FI92" s="132"/>
      <c r="FJ92" s="132"/>
      <c r="FK92" s="132"/>
      <c r="FL92" s="132"/>
      <c r="FM92" s="132"/>
      <c r="FN92" s="132"/>
      <c r="FO92" s="132"/>
      <c r="FP92" s="132"/>
      <c r="FQ92" s="132"/>
      <c r="FR92" s="132"/>
      <c r="FS92" s="132"/>
      <c r="FT92" s="132"/>
      <c r="FU92" s="132"/>
      <c r="FV92" s="132"/>
      <c r="FW92" s="132"/>
      <c r="FX92" s="132"/>
      <c r="FY92" s="132"/>
      <c r="FZ92" s="132"/>
      <c r="GA92" s="132"/>
      <c r="GB92" s="132"/>
      <c r="GC92" s="132"/>
      <c r="GD92" s="132"/>
      <c r="GE92" s="132"/>
      <c r="GF92" s="132"/>
    </row>
    <row r="93" spans="7:268" x14ac:dyDescent="0.25">
      <c r="G93" s="129"/>
      <c r="CT93" s="132"/>
      <c r="CU93" s="132"/>
      <c r="CV93" s="132"/>
      <c r="CW93" s="132"/>
      <c r="CX93" s="132"/>
      <c r="CY93" s="132"/>
      <c r="CZ93" s="132"/>
      <c r="DA93" s="132"/>
      <c r="DB93" s="132"/>
      <c r="DC93" s="132"/>
      <c r="DD93" s="132"/>
      <c r="DE93" s="132"/>
      <c r="DF93" s="132"/>
      <c r="DG93" s="132"/>
      <c r="DH93" s="132"/>
      <c r="DI93" s="132"/>
      <c r="DJ93" s="132"/>
      <c r="DK93" s="132"/>
      <c r="DL93" s="132"/>
      <c r="DM93" s="132"/>
      <c r="DN93" s="132"/>
      <c r="DO93" s="132"/>
      <c r="DP93" s="132"/>
      <c r="DQ93" s="132"/>
      <c r="DR93" s="132"/>
      <c r="DS93" s="132"/>
      <c r="DT93" s="132"/>
      <c r="DU93" s="132"/>
      <c r="DV93" s="132"/>
      <c r="DW93" s="132"/>
      <c r="DX93" s="133"/>
      <c r="DY93" s="132"/>
      <c r="DZ93" s="132"/>
      <c r="EA93" s="132"/>
      <c r="EB93" s="132"/>
      <c r="EC93" s="132"/>
      <c r="ED93" s="132"/>
      <c r="EE93" s="132"/>
      <c r="EF93" s="132"/>
      <c r="EG93" s="132"/>
      <c r="EH93" s="132"/>
      <c r="EI93" s="132"/>
      <c r="EJ93" s="132"/>
      <c r="EK93" s="132"/>
      <c r="EL93" s="132"/>
      <c r="EM93" s="132"/>
      <c r="EN93" s="132"/>
      <c r="EO93" s="132"/>
      <c r="EP93" s="132"/>
      <c r="EQ93" s="132"/>
      <c r="ER93" s="132"/>
      <c r="ES93" s="132"/>
      <c r="ET93" s="132"/>
      <c r="EU93" s="132"/>
      <c r="EV93" s="132"/>
      <c r="EW93" s="132"/>
      <c r="EX93" s="132"/>
      <c r="EY93" s="132"/>
      <c r="EZ93" s="132"/>
      <c r="FA93" s="132"/>
      <c r="FB93" s="132"/>
      <c r="FC93" s="132"/>
      <c r="FD93" s="132"/>
      <c r="FE93" s="132"/>
      <c r="FF93" s="132"/>
      <c r="FG93" s="132"/>
      <c r="FH93" s="132"/>
      <c r="FI93" s="132"/>
      <c r="FJ93" s="132"/>
      <c r="FK93" s="132"/>
      <c r="FL93" s="132"/>
      <c r="FM93" s="132"/>
      <c r="FN93" s="132"/>
      <c r="FO93" s="132"/>
      <c r="FP93" s="132"/>
      <c r="FQ93" s="132"/>
      <c r="FR93" s="132"/>
      <c r="FS93" s="132"/>
      <c r="FT93" s="132"/>
      <c r="FU93" s="132"/>
      <c r="FV93" s="132"/>
      <c r="FW93" s="132"/>
      <c r="FX93" s="132"/>
      <c r="FY93" s="132"/>
      <c r="FZ93" s="132"/>
      <c r="GA93" s="132"/>
      <c r="GB93" s="132"/>
      <c r="GC93" s="132"/>
      <c r="GD93" s="132"/>
      <c r="GE93" s="132"/>
      <c r="GF93" s="132"/>
    </row>
    <row r="94" spans="7:268" x14ac:dyDescent="0.25">
      <c r="G94" s="129"/>
      <c r="CT94" s="132"/>
      <c r="CU94" s="132"/>
      <c r="CV94" s="132"/>
      <c r="CW94" s="132"/>
      <c r="CX94" s="132"/>
      <c r="CY94" s="132"/>
      <c r="CZ94" s="132"/>
      <c r="DA94" s="132"/>
      <c r="DB94" s="132"/>
      <c r="DC94" s="132"/>
      <c r="DD94" s="132"/>
      <c r="DE94" s="132"/>
      <c r="DF94" s="132"/>
      <c r="DG94" s="132"/>
      <c r="DH94" s="132"/>
      <c r="DI94" s="132"/>
      <c r="DJ94" s="132"/>
      <c r="DK94" s="132"/>
      <c r="DL94" s="132"/>
      <c r="DM94" s="132"/>
      <c r="DN94" s="132"/>
      <c r="DO94" s="132"/>
      <c r="DP94" s="132"/>
      <c r="DQ94" s="132"/>
      <c r="DR94" s="132"/>
      <c r="DS94" s="132"/>
      <c r="DT94" s="132"/>
      <c r="DU94" s="132"/>
      <c r="DV94" s="132"/>
      <c r="DW94" s="132"/>
      <c r="DX94" s="133"/>
      <c r="DY94" s="132"/>
      <c r="DZ94" s="132"/>
      <c r="EA94" s="132"/>
      <c r="EB94" s="132"/>
      <c r="EC94" s="132"/>
      <c r="ED94" s="132"/>
      <c r="EE94" s="132"/>
      <c r="EF94" s="132"/>
      <c r="EG94" s="132"/>
      <c r="EH94" s="132"/>
      <c r="EI94" s="132"/>
      <c r="EJ94" s="132"/>
      <c r="EK94" s="132"/>
      <c r="EL94" s="132"/>
      <c r="EM94" s="132"/>
      <c r="EN94" s="132"/>
      <c r="EO94" s="132"/>
      <c r="EP94" s="132"/>
      <c r="EQ94" s="132"/>
      <c r="ER94" s="132"/>
      <c r="ES94" s="132"/>
      <c r="ET94" s="132"/>
      <c r="EU94" s="132"/>
      <c r="EV94" s="132"/>
      <c r="EW94" s="132"/>
      <c r="EX94" s="132"/>
      <c r="EY94" s="132"/>
      <c r="EZ94" s="132"/>
      <c r="FA94" s="132"/>
      <c r="FB94" s="132"/>
      <c r="FC94" s="132"/>
      <c r="FD94" s="132"/>
      <c r="FE94" s="132"/>
      <c r="FF94" s="132"/>
      <c r="FG94" s="132"/>
      <c r="FH94" s="132"/>
      <c r="FI94" s="132"/>
      <c r="FJ94" s="132"/>
      <c r="FK94" s="132"/>
      <c r="FL94" s="132"/>
      <c r="FM94" s="132"/>
      <c r="FN94" s="132"/>
      <c r="FO94" s="132"/>
      <c r="FP94" s="132"/>
      <c r="FQ94" s="132"/>
      <c r="FR94" s="132"/>
      <c r="FS94" s="132"/>
      <c r="FT94" s="132"/>
      <c r="FU94" s="132"/>
      <c r="FV94" s="132"/>
      <c r="FW94" s="132"/>
      <c r="FX94" s="132"/>
      <c r="FY94" s="132"/>
      <c r="FZ94" s="132"/>
      <c r="GA94" s="132"/>
      <c r="GB94" s="132"/>
      <c r="GC94" s="132"/>
      <c r="GD94" s="132"/>
      <c r="GE94" s="132"/>
      <c r="GF94" s="132"/>
    </row>
    <row r="95" spans="7:268" x14ac:dyDescent="0.25">
      <c r="G95" s="129"/>
      <c r="CT95" s="132"/>
      <c r="CU95" s="132"/>
      <c r="CV95" s="132"/>
      <c r="CW95" s="132"/>
      <c r="CX95" s="132"/>
      <c r="CY95" s="132"/>
      <c r="CZ95" s="132"/>
      <c r="DA95" s="132"/>
      <c r="DB95" s="132"/>
      <c r="DC95" s="132"/>
      <c r="DD95" s="132"/>
      <c r="DE95" s="132"/>
      <c r="DF95" s="132"/>
      <c r="DG95" s="132"/>
      <c r="DH95" s="132"/>
      <c r="DI95" s="132"/>
      <c r="DJ95" s="132"/>
      <c r="DK95" s="132"/>
      <c r="DL95" s="132"/>
      <c r="DM95" s="132"/>
      <c r="DN95" s="132"/>
      <c r="DO95" s="132"/>
      <c r="DP95" s="132"/>
      <c r="DQ95" s="132"/>
      <c r="DR95" s="132"/>
      <c r="DS95" s="132"/>
      <c r="DT95" s="132"/>
      <c r="DU95" s="132"/>
      <c r="DV95" s="132"/>
      <c r="DW95" s="132"/>
      <c r="DX95" s="133"/>
      <c r="DY95" s="132"/>
      <c r="DZ95" s="132"/>
      <c r="EA95" s="132"/>
      <c r="EB95" s="132"/>
      <c r="EC95" s="132"/>
      <c r="ED95" s="132"/>
      <c r="EE95" s="132"/>
      <c r="EF95" s="132"/>
      <c r="EG95" s="132"/>
      <c r="EH95" s="132"/>
      <c r="EI95" s="132"/>
      <c r="EJ95" s="132"/>
      <c r="EK95" s="132"/>
      <c r="EL95" s="132"/>
      <c r="EM95" s="132"/>
      <c r="EN95" s="132"/>
      <c r="EO95" s="132"/>
      <c r="EP95" s="132"/>
      <c r="EQ95" s="132"/>
      <c r="ER95" s="132"/>
      <c r="ES95" s="132"/>
      <c r="ET95" s="132"/>
      <c r="EU95" s="132"/>
      <c r="EV95" s="132"/>
      <c r="EW95" s="132"/>
      <c r="EX95" s="132"/>
      <c r="EY95" s="132"/>
      <c r="EZ95" s="132"/>
      <c r="FA95" s="132"/>
      <c r="FB95" s="132"/>
      <c r="FC95" s="132"/>
      <c r="FD95" s="132"/>
      <c r="FE95" s="132"/>
      <c r="FF95" s="132"/>
      <c r="FG95" s="132"/>
      <c r="FH95" s="132"/>
      <c r="FI95" s="132"/>
      <c r="FJ95" s="132"/>
      <c r="FK95" s="132"/>
      <c r="FL95" s="132"/>
      <c r="FM95" s="132"/>
      <c r="FN95" s="132"/>
      <c r="FO95" s="132"/>
      <c r="FP95" s="132"/>
      <c r="FQ95" s="132"/>
      <c r="FR95" s="132"/>
      <c r="FS95" s="132"/>
      <c r="FT95" s="132"/>
      <c r="FU95" s="132"/>
      <c r="FV95" s="132"/>
      <c r="FW95" s="132"/>
      <c r="FX95" s="132"/>
      <c r="FY95" s="132"/>
      <c r="FZ95" s="132"/>
      <c r="GA95" s="132"/>
      <c r="GB95" s="132"/>
      <c r="GC95" s="132"/>
      <c r="GD95" s="132"/>
      <c r="GE95" s="132"/>
      <c r="GF95" s="132"/>
    </row>
    <row r="96" spans="7:268" x14ac:dyDescent="0.25">
      <c r="CT96" s="132"/>
      <c r="CU96" s="132"/>
      <c r="CV96" s="132"/>
      <c r="CW96" s="132"/>
      <c r="CX96" s="132"/>
      <c r="CY96" s="132"/>
      <c r="CZ96" s="132"/>
      <c r="DA96" s="132"/>
      <c r="DB96" s="132"/>
      <c r="DC96" s="132"/>
      <c r="DD96" s="132"/>
      <c r="DE96" s="132"/>
      <c r="DF96" s="132"/>
      <c r="DG96" s="132"/>
      <c r="DH96" s="132"/>
      <c r="DI96" s="132"/>
      <c r="DJ96" s="132"/>
      <c r="DK96" s="132"/>
      <c r="DL96" s="132"/>
      <c r="DM96" s="132"/>
      <c r="DN96" s="132"/>
      <c r="DO96" s="132"/>
      <c r="DP96" s="132"/>
      <c r="DQ96" s="132"/>
      <c r="DR96" s="132"/>
      <c r="DS96" s="132"/>
      <c r="DT96" s="132"/>
      <c r="DU96" s="132"/>
      <c r="DV96" s="132"/>
      <c r="DW96" s="132"/>
      <c r="DX96" s="133"/>
      <c r="DY96" s="132"/>
      <c r="DZ96" s="132"/>
      <c r="EA96" s="132"/>
      <c r="EB96" s="132"/>
      <c r="EC96" s="132"/>
      <c r="ED96" s="132"/>
      <c r="EE96" s="132"/>
      <c r="EF96" s="132"/>
      <c r="EG96" s="132"/>
      <c r="EH96" s="132"/>
      <c r="EI96" s="132"/>
      <c r="EJ96" s="132"/>
      <c r="EK96" s="132"/>
      <c r="EL96" s="132"/>
      <c r="EM96" s="132"/>
      <c r="EN96" s="132"/>
      <c r="EO96" s="132"/>
      <c r="EP96" s="132"/>
      <c r="EQ96" s="132"/>
      <c r="ER96" s="132"/>
      <c r="ES96" s="132"/>
      <c r="ET96" s="132"/>
      <c r="EU96" s="132"/>
      <c r="EV96" s="132"/>
      <c r="EW96" s="132"/>
      <c r="EX96" s="132"/>
      <c r="EY96" s="132"/>
      <c r="EZ96" s="132"/>
      <c r="FA96" s="132"/>
      <c r="FB96" s="132"/>
      <c r="FC96" s="132"/>
      <c r="FD96" s="132"/>
      <c r="FE96" s="132"/>
      <c r="FF96" s="132"/>
      <c r="FG96" s="132"/>
      <c r="FH96" s="132"/>
      <c r="FI96" s="132"/>
      <c r="FJ96" s="132"/>
      <c r="FK96" s="132"/>
      <c r="FL96" s="132"/>
      <c r="FM96" s="132"/>
      <c r="FN96" s="132"/>
      <c r="FO96" s="132"/>
      <c r="FP96" s="132"/>
      <c r="FQ96" s="132"/>
      <c r="FR96" s="132"/>
      <c r="FS96" s="132"/>
      <c r="FT96" s="132"/>
      <c r="FU96" s="132"/>
      <c r="FV96" s="132"/>
      <c r="FW96" s="132"/>
      <c r="FX96" s="132"/>
      <c r="FY96" s="132"/>
      <c r="FZ96" s="132"/>
      <c r="GA96" s="132"/>
      <c r="GB96" s="132"/>
      <c r="GC96" s="132"/>
      <c r="GD96" s="132"/>
      <c r="GE96" s="132"/>
      <c r="GF96" s="132"/>
    </row>
    <row r="97" spans="7:188" x14ac:dyDescent="0.25">
      <c r="CT97" s="132"/>
      <c r="CU97" s="132"/>
      <c r="CV97" s="132"/>
      <c r="CW97" s="132"/>
      <c r="CX97" s="132"/>
      <c r="CY97" s="132"/>
      <c r="CZ97" s="132"/>
      <c r="DA97" s="132"/>
      <c r="DB97" s="132"/>
      <c r="DC97" s="132"/>
      <c r="DD97" s="132"/>
      <c r="DE97" s="132"/>
      <c r="DF97" s="132"/>
      <c r="DG97" s="132"/>
      <c r="DH97" s="132"/>
      <c r="DI97" s="132"/>
      <c r="DJ97" s="132"/>
      <c r="DK97" s="132"/>
      <c r="DL97" s="132"/>
      <c r="DM97" s="132"/>
      <c r="DN97" s="132"/>
      <c r="DO97" s="132"/>
      <c r="DP97" s="132"/>
      <c r="DQ97" s="132"/>
      <c r="DR97" s="132"/>
      <c r="DS97" s="132"/>
      <c r="DT97" s="132"/>
      <c r="DU97" s="132"/>
      <c r="DV97" s="132"/>
      <c r="DW97" s="132"/>
      <c r="DX97" s="133"/>
      <c r="DY97" s="132"/>
      <c r="DZ97" s="132"/>
      <c r="EA97" s="132"/>
      <c r="EB97" s="132"/>
      <c r="EC97" s="132"/>
      <c r="ED97" s="132"/>
      <c r="EE97" s="132"/>
      <c r="EF97" s="132"/>
      <c r="EG97" s="132"/>
      <c r="EH97" s="132"/>
      <c r="EI97" s="132"/>
      <c r="EJ97" s="132"/>
      <c r="EK97" s="132"/>
      <c r="EL97" s="132"/>
      <c r="EM97" s="132"/>
      <c r="EN97" s="132"/>
      <c r="EO97" s="132"/>
      <c r="EP97" s="132"/>
      <c r="EQ97" s="132"/>
      <c r="ER97" s="132"/>
      <c r="ES97" s="132"/>
      <c r="ET97" s="132"/>
      <c r="EU97" s="132"/>
      <c r="EV97" s="132"/>
      <c r="EW97" s="132"/>
      <c r="EX97" s="132"/>
      <c r="EY97" s="132"/>
      <c r="EZ97" s="132"/>
      <c r="FA97" s="132"/>
      <c r="FB97" s="132"/>
      <c r="FC97" s="132"/>
      <c r="FD97" s="132"/>
      <c r="FE97" s="132"/>
      <c r="FF97" s="132"/>
      <c r="FG97" s="132"/>
      <c r="FH97" s="132"/>
      <c r="FI97" s="132"/>
      <c r="FJ97" s="132"/>
      <c r="FK97" s="132"/>
      <c r="FL97" s="132"/>
      <c r="FM97" s="132"/>
      <c r="FN97" s="132"/>
      <c r="FO97" s="132"/>
      <c r="FP97" s="132"/>
      <c r="FQ97" s="132"/>
      <c r="FR97" s="132"/>
      <c r="FS97" s="132"/>
      <c r="FT97" s="132"/>
      <c r="FU97" s="132"/>
      <c r="FV97" s="132"/>
      <c r="FW97" s="132"/>
      <c r="FX97" s="132"/>
      <c r="FY97" s="132"/>
      <c r="FZ97" s="132"/>
      <c r="GA97" s="132"/>
      <c r="GB97" s="132"/>
      <c r="GC97" s="132"/>
      <c r="GD97" s="132"/>
      <c r="GE97" s="132"/>
      <c r="GF97" s="132"/>
    </row>
    <row r="98" spans="7:188" x14ac:dyDescent="0.25">
      <c r="CT98" s="132"/>
      <c r="CU98" s="132"/>
      <c r="CV98" s="132"/>
      <c r="CW98" s="132"/>
      <c r="CX98" s="132"/>
      <c r="CY98" s="132"/>
      <c r="CZ98" s="132"/>
      <c r="DA98" s="132"/>
      <c r="DB98" s="132"/>
      <c r="DC98" s="132"/>
      <c r="DD98" s="132"/>
      <c r="DE98" s="132"/>
      <c r="DF98" s="132"/>
      <c r="DG98" s="132"/>
      <c r="DH98" s="132"/>
      <c r="DI98" s="132"/>
      <c r="DJ98" s="132"/>
      <c r="DK98" s="132"/>
      <c r="DL98" s="132"/>
      <c r="DM98" s="132"/>
      <c r="DN98" s="132"/>
      <c r="DO98" s="132"/>
      <c r="DP98" s="132"/>
      <c r="DQ98" s="132"/>
      <c r="DR98" s="132"/>
      <c r="DS98" s="132"/>
      <c r="DT98" s="132"/>
      <c r="DU98" s="132"/>
      <c r="DV98" s="132"/>
      <c r="DW98" s="132"/>
      <c r="DX98" s="133"/>
      <c r="DY98" s="132"/>
      <c r="DZ98" s="132"/>
      <c r="EA98" s="132"/>
      <c r="EB98" s="132"/>
      <c r="EC98" s="132"/>
      <c r="ED98" s="132"/>
      <c r="EE98" s="132"/>
      <c r="EF98" s="132"/>
      <c r="EG98" s="132"/>
      <c r="EH98" s="132"/>
      <c r="EI98" s="132"/>
      <c r="EJ98" s="132"/>
      <c r="EK98" s="132"/>
      <c r="EL98" s="132"/>
      <c r="EM98" s="132"/>
      <c r="EN98" s="132"/>
      <c r="EO98" s="132"/>
      <c r="EP98" s="132"/>
      <c r="EQ98" s="132"/>
      <c r="ER98" s="132"/>
      <c r="ES98" s="132"/>
      <c r="ET98" s="132"/>
      <c r="EU98" s="132"/>
      <c r="EV98" s="132"/>
      <c r="EW98" s="132"/>
      <c r="EX98" s="132"/>
      <c r="EY98" s="132"/>
      <c r="EZ98" s="132"/>
      <c r="FA98" s="132"/>
      <c r="FB98" s="132"/>
      <c r="FC98" s="132"/>
      <c r="FD98" s="132"/>
      <c r="FE98" s="132"/>
      <c r="FF98" s="132"/>
      <c r="FG98" s="132"/>
      <c r="FH98" s="132"/>
      <c r="FI98" s="132"/>
      <c r="FJ98" s="132"/>
      <c r="FK98" s="132"/>
      <c r="FL98" s="132"/>
      <c r="FM98" s="132"/>
      <c r="FN98" s="132"/>
      <c r="FO98" s="132"/>
      <c r="FP98" s="132"/>
      <c r="FQ98" s="132"/>
      <c r="FR98" s="132"/>
      <c r="FS98" s="132"/>
      <c r="FT98" s="132"/>
      <c r="FU98" s="132"/>
      <c r="FV98" s="132"/>
      <c r="FW98" s="132"/>
      <c r="FX98" s="132"/>
      <c r="FY98" s="132"/>
      <c r="FZ98" s="132"/>
      <c r="GA98" s="132"/>
      <c r="GB98" s="132"/>
      <c r="GC98" s="132"/>
      <c r="GD98" s="132"/>
      <c r="GE98" s="132"/>
      <c r="GF98" s="132"/>
    </row>
    <row r="99" spans="7:188" x14ac:dyDescent="0.25">
      <c r="G99" s="129"/>
      <c r="CT99" s="132"/>
      <c r="CU99" s="132"/>
      <c r="CV99" s="132"/>
      <c r="CW99" s="132"/>
      <c r="CX99" s="132"/>
      <c r="CY99" s="132"/>
      <c r="CZ99" s="132"/>
      <c r="DA99" s="132"/>
      <c r="DB99" s="132"/>
      <c r="DC99" s="132"/>
      <c r="DD99" s="132"/>
      <c r="DE99" s="132"/>
      <c r="DF99" s="132"/>
      <c r="DG99" s="132"/>
      <c r="DH99" s="132"/>
      <c r="DI99" s="132"/>
      <c r="DJ99" s="132"/>
      <c r="DK99" s="132"/>
      <c r="DL99" s="132"/>
      <c r="DM99" s="132"/>
      <c r="DN99" s="132"/>
      <c r="DO99" s="132"/>
      <c r="DP99" s="132"/>
      <c r="DQ99" s="132"/>
      <c r="DR99" s="132"/>
      <c r="DS99" s="132"/>
      <c r="DT99" s="132"/>
      <c r="DU99" s="132"/>
      <c r="DV99" s="132"/>
      <c r="DW99" s="132"/>
      <c r="DX99" s="133"/>
      <c r="DY99" s="132"/>
      <c r="DZ99" s="132"/>
      <c r="EA99" s="132"/>
      <c r="EB99" s="132"/>
      <c r="EC99" s="132"/>
      <c r="ED99" s="132"/>
      <c r="EE99" s="132"/>
      <c r="EF99" s="132"/>
      <c r="EG99" s="132"/>
      <c r="EH99" s="132"/>
      <c r="EI99" s="132"/>
      <c r="EJ99" s="132"/>
      <c r="EK99" s="132"/>
      <c r="EL99" s="132"/>
      <c r="EM99" s="132"/>
      <c r="EN99" s="132"/>
      <c r="EO99" s="132"/>
      <c r="EP99" s="132"/>
      <c r="EQ99" s="132"/>
      <c r="ER99" s="132"/>
      <c r="ES99" s="132"/>
      <c r="ET99" s="132"/>
      <c r="EU99" s="132"/>
      <c r="EV99" s="132"/>
      <c r="EW99" s="132"/>
      <c r="EX99" s="132"/>
      <c r="EY99" s="132"/>
      <c r="EZ99" s="132"/>
      <c r="FA99" s="132"/>
      <c r="FB99" s="132"/>
      <c r="FC99" s="132"/>
      <c r="FD99" s="132"/>
      <c r="FE99" s="132"/>
      <c r="FF99" s="132"/>
      <c r="FG99" s="132"/>
      <c r="FH99" s="132"/>
      <c r="FI99" s="132"/>
      <c r="FJ99" s="132"/>
      <c r="FK99" s="132"/>
      <c r="FL99" s="132"/>
      <c r="FM99" s="132"/>
      <c r="FN99" s="132"/>
      <c r="FO99" s="132"/>
      <c r="FP99" s="132"/>
      <c r="FQ99" s="132"/>
      <c r="FR99" s="132"/>
      <c r="FS99" s="132"/>
      <c r="FT99" s="132"/>
      <c r="FU99" s="132"/>
      <c r="FV99" s="132"/>
      <c r="FW99" s="132"/>
      <c r="FX99" s="132"/>
      <c r="FY99" s="132"/>
      <c r="FZ99" s="132"/>
      <c r="GA99" s="132"/>
      <c r="GB99" s="132"/>
      <c r="GC99" s="132"/>
      <c r="GD99" s="132"/>
      <c r="GE99" s="132"/>
      <c r="GF99" s="132"/>
    </row>
    <row r="100" spans="7:188" x14ac:dyDescent="0.25">
      <c r="CT100" s="132"/>
      <c r="CU100" s="132"/>
      <c r="CV100" s="132"/>
      <c r="CW100" s="132"/>
      <c r="CX100" s="132"/>
      <c r="CY100" s="132"/>
      <c r="CZ100" s="132"/>
      <c r="DA100" s="132"/>
      <c r="DB100" s="132"/>
      <c r="DC100" s="132"/>
      <c r="DD100" s="132"/>
      <c r="DE100" s="132"/>
      <c r="DF100" s="132"/>
      <c r="DG100" s="132"/>
      <c r="DH100" s="132"/>
      <c r="DI100" s="132"/>
      <c r="DJ100" s="132"/>
      <c r="DK100" s="132"/>
      <c r="DL100" s="132"/>
      <c r="DM100" s="132"/>
      <c r="DN100" s="132"/>
      <c r="DO100" s="132"/>
      <c r="DP100" s="132"/>
      <c r="DQ100" s="132"/>
      <c r="DR100" s="132"/>
      <c r="DS100" s="132"/>
      <c r="DT100" s="132"/>
      <c r="DU100" s="132"/>
      <c r="DV100" s="132"/>
      <c r="DW100" s="132"/>
      <c r="DX100" s="133"/>
      <c r="DY100" s="132"/>
      <c r="DZ100" s="132"/>
      <c r="EA100" s="132"/>
      <c r="EB100" s="132"/>
      <c r="EC100" s="132"/>
      <c r="ED100" s="132"/>
      <c r="EE100" s="132"/>
      <c r="EF100" s="132"/>
      <c r="EG100" s="132"/>
      <c r="EH100" s="132"/>
      <c r="EI100" s="132"/>
      <c r="EJ100" s="132"/>
      <c r="EK100" s="132"/>
      <c r="EL100" s="132"/>
      <c r="EM100" s="132"/>
      <c r="EN100" s="132"/>
      <c r="EO100" s="132"/>
      <c r="EP100" s="132"/>
      <c r="EQ100" s="132"/>
      <c r="ER100" s="132"/>
      <c r="ES100" s="132"/>
      <c r="ET100" s="132"/>
      <c r="EU100" s="132"/>
      <c r="EV100" s="132"/>
      <c r="EW100" s="132"/>
      <c r="EX100" s="132"/>
      <c r="EY100" s="132"/>
      <c r="EZ100" s="132"/>
      <c r="FA100" s="132"/>
      <c r="FB100" s="132"/>
      <c r="FC100" s="132"/>
      <c r="FD100" s="132"/>
      <c r="FE100" s="132"/>
      <c r="FF100" s="132"/>
      <c r="FG100" s="132"/>
      <c r="FH100" s="132"/>
      <c r="FI100" s="132"/>
      <c r="FJ100" s="132"/>
      <c r="FK100" s="132"/>
      <c r="FL100" s="132"/>
      <c r="FM100" s="132"/>
      <c r="FN100" s="132"/>
      <c r="FO100" s="132"/>
      <c r="FP100" s="132"/>
      <c r="FQ100" s="132"/>
      <c r="FR100" s="132"/>
      <c r="FS100" s="132"/>
      <c r="FT100" s="132"/>
      <c r="FU100" s="132"/>
      <c r="FV100" s="132"/>
      <c r="FW100" s="132"/>
      <c r="FX100" s="132"/>
      <c r="FY100" s="132"/>
      <c r="FZ100" s="132"/>
      <c r="GA100" s="132"/>
      <c r="GB100" s="132"/>
      <c r="GC100" s="132"/>
      <c r="GD100" s="132"/>
      <c r="GE100" s="132"/>
      <c r="GF100" s="132"/>
    </row>
    <row r="101" spans="7:188" x14ac:dyDescent="0.25">
      <c r="G101" s="129"/>
      <c r="CT101" s="132"/>
      <c r="CU101" s="132"/>
      <c r="CV101" s="132"/>
      <c r="CW101" s="132"/>
      <c r="CX101" s="132"/>
      <c r="CY101" s="132"/>
      <c r="CZ101" s="132"/>
      <c r="DA101" s="132"/>
      <c r="DB101" s="132"/>
      <c r="DC101" s="132"/>
      <c r="DD101" s="132"/>
      <c r="DE101" s="132"/>
      <c r="DF101" s="132"/>
      <c r="DG101" s="132"/>
      <c r="DH101" s="132"/>
      <c r="DI101" s="132"/>
      <c r="DJ101" s="132"/>
      <c r="DK101" s="132"/>
      <c r="DL101" s="132"/>
      <c r="DM101" s="132"/>
      <c r="DN101" s="132"/>
      <c r="DO101" s="132"/>
      <c r="DP101" s="132"/>
      <c r="DQ101" s="132"/>
      <c r="DR101" s="132"/>
      <c r="DS101" s="132"/>
      <c r="DT101" s="132"/>
      <c r="DU101" s="132"/>
      <c r="DV101" s="132"/>
      <c r="DW101" s="132"/>
      <c r="DX101" s="133"/>
      <c r="DY101" s="132"/>
      <c r="DZ101" s="132"/>
      <c r="EA101" s="132"/>
      <c r="EB101" s="132"/>
      <c r="EC101" s="132"/>
      <c r="ED101" s="132"/>
      <c r="EE101" s="132"/>
      <c r="EF101" s="132"/>
      <c r="EG101" s="132"/>
      <c r="EH101" s="132"/>
      <c r="EI101" s="132"/>
      <c r="EJ101" s="132"/>
      <c r="EK101" s="132"/>
      <c r="EL101" s="132"/>
      <c r="EM101" s="132"/>
      <c r="EN101" s="132"/>
      <c r="EO101" s="132"/>
      <c r="EP101" s="132"/>
      <c r="EQ101" s="132"/>
      <c r="ER101" s="132"/>
      <c r="ES101" s="132"/>
      <c r="ET101" s="132"/>
      <c r="EU101" s="132"/>
      <c r="EV101" s="132"/>
      <c r="EW101" s="132"/>
      <c r="EX101" s="132"/>
      <c r="EY101" s="132"/>
      <c r="EZ101" s="132"/>
      <c r="FA101" s="132"/>
      <c r="FB101" s="132"/>
      <c r="FC101" s="132"/>
      <c r="FD101" s="132"/>
      <c r="FE101" s="132"/>
      <c r="FF101" s="132"/>
      <c r="FG101" s="132"/>
      <c r="FH101" s="132"/>
      <c r="FI101" s="132"/>
      <c r="FJ101" s="132"/>
      <c r="FK101" s="132"/>
      <c r="FL101" s="132"/>
      <c r="FM101" s="132"/>
      <c r="FN101" s="132"/>
      <c r="FO101" s="132"/>
      <c r="FP101" s="132"/>
      <c r="FQ101" s="132"/>
      <c r="FR101" s="132"/>
      <c r="FS101" s="132"/>
      <c r="FT101" s="132"/>
      <c r="FU101" s="132"/>
      <c r="FV101" s="132"/>
      <c r="FW101" s="132"/>
      <c r="FX101" s="132"/>
      <c r="FY101" s="132"/>
      <c r="FZ101" s="132"/>
      <c r="GA101" s="132"/>
      <c r="GB101" s="132"/>
      <c r="GC101" s="132"/>
      <c r="GD101" s="132"/>
      <c r="GE101" s="132"/>
      <c r="GF101" s="132"/>
    </row>
    <row r="102" spans="7:188" x14ac:dyDescent="0.25">
      <c r="G102" s="129"/>
      <c r="CT102" s="132"/>
      <c r="CU102" s="132"/>
      <c r="CV102" s="132"/>
      <c r="CW102" s="132"/>
      <c r="CX102" s="132"/>
      <c r="CY102" s="132"/>
      <c r="CZ102" s="132"/>
      <c r="DA102" s="132"/>
      <c r="DB102" s="132"/>
      <c r="DC102" s="132"/>
      <c r="DD102" s="132"/>
      <c r="DE102" s="132"/>
      <c r="DF102" s="132"/>
      <c r="DG102" s="132"/>
      <c r="DH102" s="132"/>
      <c r="DI102" s="132"/>
      <c r="DJ102" s="132"/>
      <c r="DK102" s="132"/>
      <c r="DL102" s="132"/>
      <c r="DM102" s="132"/>
      <c r="DN102" s="132"/>
      <c r="DO102" s="132"/>
      <c r="DP102" s="132"/>
      <c r="DQ102" s="132"/>
      <c r="DR102" s="132"/>
      <c r="DS102" s="132"/>
      <c r="DT102" s="132"/>
      <c r="DU102" s="132"/>
      <c r="DV102" s="132"/>
      <c r="DW102" s="132"/>
      <c r="DX102" s="133"/>
      <c r="DY102" s="132"/>
      <c r="DZ102" s="132"/>
      <c r="EA102" s="132"/>
      <c r="EB102" s="132"/>
      <c r="EC102" s="132"/>
      <c r="ED102" s="132"/>
      <c r="EE102" s="132"/>
      <c r="EF102" s="132"/>
      <c r="EG102" s="132"/>
      <c r="EH102" s="132"/>
      <c r="EI102" s="132"/>
      <c r="EJ102" s="132"/>
      <c r="EK102" s="132"/>
      <c r="EL102" s="132"/>
      <c r="EM102" s="132"/>
      <c r="EN102" s="132"/>
      <c r="EO102" s="132"/>
      <c r="EP102" s="132"/>
      <c r="EQ102" s="132"/>
      <c r="ER102" s="132"/>
      <c r="ES102" s="132"/>
      <c r="ET102" s="132"/>
      <c r="EU102" s="132"/>
      <c r="EV102" s="132"/>
      <c r="EW102" s="132"/>
      <c r="EX102" s="132"/>
      <c r="EY102" s="132"/>
      <c r="EZ102" s="132"/>
      <c r="FA102" s="132"/>
      <c r="FB102" s="132"/>
      <c r="FC102" s="132"/>
      <c r="FD102" s="132"/>
      <c r="FE102" s="132"/>
      <c r="FF102" s="132"/>
      <c r="FG102" s="132"/>
      <c r="FH102" s="132"/>
      <c r="FI102" s="132"/>
      <c r="FJ102" s="132"/>
      <c r="FK102" s="132"/>
      <c r="FL102" s="132"/>
      <c r="FM102" s="132"/>
      <c r="FN102" s="132"/>
      <c r="FO102" s="132"/>
      <c r="FP102" s="132"/>
      <c r="FQ102" s="132"/>
      <c r="FR102" s="132"/>
      <c r="FS102" s="132"/>
      <c r="FT102" s="132"/>
      <c r="FU102" s="132"/>
      <c r="FV102" s="132"/>
      <c r="FW102" s="132"/>
      <c r="FX102" s="132"/>
      <c r="FY102" s="132"/>
      <c r="FZ102" s="132"/>
      <c r="GA102" s="132"/>
      <c r="GB102" s="132"/>
      <c r="GC102" s="132"/>
      <c r="GD102" s="132"/>
      <c r="GE102" s="132"/>
      <c r="GF102" s="132"/>
    </row>
    <row r="103" spans="7:188" x14ac:dyDescent="0.25">
      <c r="G103" s="129"/>
      <c r="CT103" s="132"/>
      <c r="CU103" s="132"/>
      <c r="CV103" s="132"/>
      <c r="CW103" s="132"/>
      <c r="CX103" s="132"/>
      <c r="CY103" s="132"/>
      <c r="CZ103" s="132"/>
      <c r="DA103" s="132"/>
      <c r="DB103" s="132"/>
      <c r="DC103" s="132"/>
      <c r="DD103" s="132"/>
      <c r="DE103" s="132"/>
      <c r="DF103" s="132"/>
      <c r="DG103" s="132"/>
      <c r="DH103" s="132"/>
      <c r="DI103" s="132"/>
      <c r="DJ103" s="132"/>
      <c r="DK103" s="132"/>
      <c r="DL103" s="132"/>
      <c r="DM103" s="132"/>
      <c r="DN103" s="132"/>
      <c r="DO103" s="132"/>
      <c r="DP103" s="132"/>
      <c r="DQ103" s="132"/>
      <c r="DR103" s="132"/>
      <c r="DS103" s="132"/>
      <c r="DT103" s="132"/>
      <c r="DU103" s="132"/>
      <c r="DV103" s="132"/>
      <c r="DW103" s="132"/>
      <c r="DX103" s="133"/>
      <c r="DY103" s="132"/>
      <c r="DZ103" s="132"/>
      <c r="EA103" s="132"/>
      <c r="EB103" s="132"/>
      <c r="EC103" s="132"/>
      <c r="ED103" s="132"/>
      <c r="EE103" s="132"/>
      <c r="EF103" s="132"/>
      <c r="EG103" s="132"/>
      <c r="EH103" s="132"/>
      <c r="EI103" s="132"/>
      <c r="EJ103" s="132"/>
      <c r="EK103" s="132"/>
      <c r="EL103" s="132"/>
      <c r="EM103" s="132"/>
      <c r="EN103" s="132"/>
      <c r="EO103" s="132"/>
      <c r="EP103" s="132"/>
      <c r="EQ103" s="132"/>
      <c r="ER103" s="132"/>
      <c r="ES103" s="132"/>
      <c r="ET103" s="132"/>
      <c r="EU103" s="132"/>
      <c r="EV103" s="132"/>
      <c r="EW103" s="132"/>
      <c r="EX103" s="132"/>
      <c r="EY103" s="132"/>
      <c r="EZ103" s="132"/>
      <c r="FA103" s="132"/>
      <c r="FB103" s="132"/>
      <c r="FC103" s="132"/>
      <c r="FD103" s="132"/>
      <c r="FE103" s="132"/>
      <c r="FF103" s="132"/>
      <c r="FG103" s="132"/>
      <c r="FH103" s="132"/>
      <c r="FI103" s="132"/>
      <c r="FJ103" s="132"/>
      <c r="FK103" s="132"/>
      <c r="FL103" s="132"/>
      <c r="FM103" s="132"/>
      <c r="FN103" s="132"/>
      <c r="FO103" s="132"/>
      <c r="FP103" s="132"/>
      <c r="FQ103" s="132"/>
      <c r="FR103" s="132"/>
      <c r="FS103" s="132"/>
      <c r="FT103" s="132"/>
      <c r="FU103" s="132"/>
      <c r="FV103" s="132"/>
      <c r="FW103" s="132"/>
      <c r="FX103" s="132"/>
      <c r="FY103" s="132"/>
      <c r="FZ103" s="132"/>
      <c r="GA103" s="132"/>
      <c r="GB103" s="132"/>
      <c r="GC103" s="132"/>
      <c r="GD103" s="132"/>
      <c r="GE103" s="132"/>
      <c r="GF103" s="132"/>
    </row>
    <row r="104" spans="7:188" x14ac:dyDescent="0.25">
      <c r="G104" s="129"/>
      <c r="CT104" s="132"/>
      <c r="CU104" s="132"/>
      <c r="CV104" s="132"/>
      <c r="CW104" s="132"/>
      <c r="CX104" s="132"/>
      <c r="CY104" s="132"/>
      <c r="CZ104" s="132"/>
      <c r="DA104" s="132"/>
      <c r="DB104" s="132"/>
      <c r="DC104" s="132"/>
      <c r="DD104" s="132"/>
      <c r="DE104" s="132"/>
      <c r="DF104" s="132"/>
      <c r="DG104" s="132"/>
      <c r="DH104" s="132"/>
      <c r="DI104" s="132"/>
      <c r="DJ104" s="132"/>
      <c r="DK104" s="132"/>
      <c r="DL104" s="132"/>
      <c r="DM104" s="132"/>
      <c r="DN104" s="132"/>
      <c r="DO104" s="132"/>
      <c r="DP104" s="132"/>
      <c r="DQ104" s="132"/>
      <c r="DR104" s="132"/>
      <c r="DS104" s="132"/>
      <c r="DT104" s="132"/>
      <c r="DU104" s="132"/>
      <c r="DV104" s="132"/>
      <c r="DW104" s="132"/>
      <c r="DX104" s="133"/>
      <c r="DY104" s="132"/>
      <c r="DZ104" s="132"/>
      <c r="EA104" s="132"/>
      <c r="EB104" s="132"/>
      <c r="EC104" s="132"/>
      <c r="ED104" s="132"/>
      <c r="EE104" s="132"/>
      <c r="EF104" s="132"/>
      <c r="EG104" s="132"/>
      <c r="EH104" s="132"/>
      <c r="EI104" s="132"/>
      <c r="EJ104" s="132"/>
      <c r="EK104" s="132"/>
      <c r="EL104" s="132"/>
      <c r="EM104" s="132"/>
      <c r="EN104" s="132"/>
      <c r="EO104" s="132"/>
      <c r="EP104" s="132"/>
      <c r="EQ104" s="132"/>
      <c r="ER104" s="132"/>
      <c r="ES104" s="132"/>
      <c r="ET104" s="132"/>
      <c r="EU104" s="132"/>
      <c r="EV104" s="132"/>
      <c r="EW104" s="132"/>
      <c r="EX104" s="132"/>
      <c r="EY104" s="132"/>
      <c r="EZ104" s="132"/>
      <c r="FA104" s="132"/>
      <c r="FB104" s="132"/>
      <c r="FC104" s="132"/>
      <c r="FD104" s="132"/>
      <c r="FE104" s="132"/>
      <c r="FF104" s="132"/>
      <c r="FG104" s="132"/>
      <c r="FH104" s="132"/>
      <c r="FI104" s="132"/>
      <c r="FJ104" s="132"/>
      <c r="FK104" s="132"/>
      <c r="FL104" s="132"/>
      <c r="FM104" s="132"/>
      <c r="FN104" s="132"/>
      <c r="FO104" s="132"/>
      <c r="FP104" s="132"/>
      <c r="FQ104" s="132"/>
      <c r="FR104" s="132"/>
      <c r="FS104" s="132"/>
      <c r="FT104" s="132"/>
      <c r="FU104" s="132"/>
      <c r="FV104" s="132"/>
      <c r="FW104" s="132"/>
      <c r="FX104" s="132"/>
      <c r="FY104" s="132"/>
      <c r="FZ104" s="132"/>
      <c r="GA104" s="132"/>
      <c r="GB104" s="132"/>
      <c r="GC104" s="132"/>
      <c r="GD104" s="132"/>
      <c r="GE104" s="132"/>
      <c r="GF104" s="132"/>
    </row>
    <row r="105" spans="7:188" x14ac:dyDescent="0.25">
      <c r="G105" s="129"/>
      <c r="CT105" s="132"/>
      <c r="CU105" s="132"/>
      <c r="CV105" s="132"/>
      <c r="CW105" s="132"/>
      <c r="CX105" s="132"/>
      <c r="CY105" s="132"/>
      <c r="CZ105" s="132"/>
      <c r="DA105" s="132"/>
      <c r="DB105" s="132"/>
      <c r="DC105" s="132"/>
      <c r="DD105" s="132"/>
      <c r="DE105" s="132"/>
      <c r="DF105" s="132"/>
      <c r="DG105" s="132"/>
      <c r="DH105" s="132"/>
      <c r="DI105" s="132"/>
      <c r="DJ105" s="132"/>
      <c r="DK105" s="132"/>
      <c r="DL105" s="132"/>
      <c r="DM105" s="132"/>
      <c r="DN105" s="132"/>
      <c r="DO105" s="132"/>
      <c r="DP105" s="132"/>
      <c r="DQ105" s="132"/>
      <c r="DR105" s="132"/>
      <c r="DS105" s="132"/>
      <c r="DT105" s="132"/>
      <c r="DU105" s="132"/>
      <c r="DV105" s="132"/>
      <c r="DW105" s="132"/>
      <c r="DX105" s="133"/>
      <c r="DY105" s="132"/>
      <c r="DZ105" s="132"/>
      <c r="EA105" s="132"/>
      <c r="EB105" s="132"/>
      <c r="EC105" s="132"/>
      <c r="ED105" s="132"/>
      <c r="EE105" s="132"/>
      <c r="EF105" s="132"/>
      <c r="EG105" s="132"/>
      <c r="EH105" s="132"/>
      <c r="EI105" s="132"/>
      <c r="EJ105" s="132"/>
      <c r="EK105" s="132"/>
      <c r="EL105" s="132"/>
      <c r="EM105" s="132"/>
      <c r="EN105" s="132"/>
      <c r="EO105" s="132"/>
      <c r="EP105" s="132"/>
      <c r="EQ105" s="132"/>
      <c r="ER105" s="132"/>
      <c r="ES105" s="132"/>
      <c r="ET105" s="132"/>
      <c r="EU105" s="132"/>
      <c r="EV105" s="132"/>
      <c r="EW105" s="132"/>
      <c r="EX105" s="132"/>
      <c r="EY105" s="132"/>
      <c r="EZ105" s="132"/>
      <c r="FA105" s="132"/>
      <c r="FB105" s="132"/>
      <c r="FC105" s="132"/>
      <c r="FD105" s="132"/>
      <c r="FE105" s="132"/>
      <c r="FF105" s="132"/>
      <c r="FG105" s="132"/>
      <c r="FH105" s="132"/>
      <c r="FI105" s="132"/>
      <c r="FJ105" s="132"/>
      <c r="FK105" s="132"/>
      <c r="FL105" s="132"/>
      <c r="FM105" s="132"/>
      <c r="FN105" s="132"/>
      <c r="FO105" s="132"/>
      <c r="FP105" s="132"/>
      <c r="FQ105" s="132"/>
      <c r="FR105" s="132"/>
      <c r="FS105" s="132"/>
      <c r="FT105" s="132"/>
      <c r="FU105" s="132"/>
      <c r="FV105" s="132"/>
      <c r="FW105" s="132"/>
      <c r="FX105" s="132"/>
      <c r="FY105" s="132"/>
      <c r="FZ105" s="132"/>
      <c r="GA105" s="132"/>
      <c r="GB105" s="132"/>
      <c r="GC105" s="132"/>
      <c r="GD105" s="132"/>
      <c r="GE105" s="132"/>
      <c r="GF105" s="132"/>
    </row>
    <row r="106" spans="7:188" x14ac:dyDescent="0.25">
      <c r="G106" s="129"/>
      <c r="CT106" s="132"/>
      <c r="CU106" s="132"/>
      <c r="CV106" s="132"/>
      <c r="CW106" s="132"/>
      <c r="CX106" s="132"/>
      <c r="CY106" s="132"/>
      <c r="CZ106" s="132"/>
      <c r="DA106" s="132"/>
      <c r="DB106" s="132"/>
      <c r="DC106" s="132"/>
      <c r="DD106" s="132"/>
      <c r="DE106" s="132"/>
      <c r="DF106" s="132"/>
      <c r="DG106" s="132"/>
      <c r="DH106" s="132"/>
      <c r="DI106" s="132"/>
      <c r="DJ106" s="132"/>
      <c r="DK106" s="132"/>
      <c r="DL106" s="132"/>
      <c r="DM106" s="132"/>
      <c r="DN106" s="132"/>
      <c r="DO106" s="132"/>
      <c r="DP106" s="132"/>
      <c r="DQ106" s="132"/>
      <c r="DR106" s="132"/>
      <c r="DS106" s="132"/>
      <c r="DT106" s="132"/>
      <c r="DU106" s="132"/>
      <c r="DV106" s="132"/>
      <c r="DW106" s="132"/>
      <c r="DX106" s="133"/>
      <c r="DY106" s="132"/>
      <c r="DZ106" s="132"/>
      <c r="EA106" s="132"/>
      <c r="EB106" s="132"/>
      <c r="EC106" s="132"/>
      <c r="ED106" s="132"/>
      <c r="EE106" s="132"/>
      <c r="EF106" s="132"/>
      <c r="EG106" s="132"/>
      <c r="EH106" s="132"/>
      <c r="EI106" s="132"/>
      <c r="EJ106" s="132"/>
      <c r="EK106" s="132"/>
      <c r="EL106" s="132"/>
      <c r="EM106" s="132"/>
      <c r="EN106" s="132"/>
      <c r="EO106" s="132"/>
      <c r="EP106" s="132"/>
      <c r="EQ106" s="132"/>
      <c r="ER106" s="132"/>
      <c r="ES106" s="132"/>
      <c r="ET106" s="132"/>
      <c r="EU106" s="132"/>
      <c r="EV106" s="132"/>
      <c r="EW106" s="132"/>
      <c r="EX106" s="132"/>
      <c r="EY106" s="132"/>
      <c r="EZ106" s="132"/>
      <c r="FA106" s="132"/>
      <c r="FB106" s="132"/>
      <c r="FC106" s="132"/>
      <c r="FD106" s="132"/>
      <c r="FE106" s="132"/>
      <c r="FF106" s="132"/>
      <c r="FG106" s="132"/>
      <c r="FH106" s="132"/>
      <c r="FI106" s="132"/>
      <c r="FJ106" s="132"/>
      <c r="FK106" s="132"/>
      <c r="FL106" s="132"/>
      <c r="FM106" s="132"/>
      <c r="FN106" s="132"/>
      <c r="FO106" s="132"/>
      <c r="FP106" s="132"/>
      <c r="FQ106" s="132"/>
      <c r="FR106" s="132"/>
      <c r="FS106" s="132"/>
      <c r="FT106" s="132"/>
      <c r="FU106" s="132"/>
      <c r="FV106" s="132"/>
      <c r="FW106" s="132"/>
      <c r="FX106" s="132"/>
      <c r="FY106" s="132"/>
      <c r="FZ106" s="132"/>
      <c r="GA106" s="132"/>
      <c r="GB106" s="132"/>
      <c r="GC106" s="132"/>
      <c r="GD106" s="132"/>
      <c r="GE106" s="132"/>
      <c r="GF106" s="132"/>
    </row>
    <row r="107" spans="7:188" x14ac:dyDescent="0.25">
      <c r="CT107" s="132"/>
      <c r="CU107" s="132"/>
      <c r="CV107" s="132"/>
      <c r="CW107" s="132"/>
      <c r="CX107" s="132"/>
      <c r="CY107" s="132"/>
      <c r="CZ107" s="132"/>
      <c r="DA107" s="132"/>
      <c r="DB107" s="132"/>
      <c r="DC107" s="132"/>
      <c r="DD107" s="132"/>
      <c r="DE107" s="132"/>
      <c r="DF107" s="132"/>
      <c r="DG107" s="132"/>
      <c r="DH107" s="132"/>
      <c r="DI107" s="132"/>
      <c r="DJ107" s="132"/>
      <c r="DK107" s="132"/>
      <c r="DL107" s="132"/>
      <c r="DM107" s="132"/>
      <c r="DN107" s="132"/>
      <c r="DO107" s="132"/>
      <c r="DP107" s="132"/>
      <c r="DQ107" s="132"/>
      <c r="DR107" s="132"/>
      <c r="DS107" s="132"/>
      <c r="DT107" s="132"/>
      <c r="DU107" s="132"/>
      <c r="DV107" s="132"/>
      <c r="DW107" s="132"/>
      <c r="DX107" s="133"/>
      <c r="DY107" s="132"/>
      <c r="DZ107" s="132"/>
      <c r="EA107" s="132"/>
      <c r="EB107" s="132"/>
      <c r="EC107" s="132"/>
      <c r="ED107" s="132"/>
      <c r="EE107" s="132"/>
      <c r="EF107" s="132"/>
      <c r="EG107" s="132"/>
      <c r="EH107" s="132"/>
      <c r="EI107" s="132"/>
      <c r="EJ107" s="132"/>
      <c r="EK107" s="132"/>
      <c r="EL107" s="132"/>
      <c r="EM107" s="132"/>
      <c r="EN107" s="132"/>
      <c r="EO107" s="132"/>
      <c r="EP107" s="132"/>
      <c r="EQ107" s="132"/>
      <c r="ER107" s="132"/>
      <c r="ES107" s="132"/>
      <c r="ET107" s="132"/>
      <c r="EU107" s="132"/>
      <c r="EV107" s="132"/>
      <c r="EW107" s="132"/>
      <c r="EX107" s="132"/>
      <c r="EY107" s="132"/>
      <c r="EZ107" s="132"/>
      <c r="FA107" s="132"/>
      <c r="FB107" s="132"/>
      <c r="FC107" s="132"/>
      <c r="FD107" s="132"/>
      <c r="FE107" s="132"/>
      <c r="FF107" s="132"/>
      <c r="FG107" s="132"/>
      <c r="FH107" s="132"/>
      <c r="FI107" s="132"/>
      <c r="FJ107" s="132"/>
      <c r="FK107" s="132"/>
      <c r="FL107" s="132"/>
      <c r="FM107" s="132"/>
      <c r="FN107" s="132"/>
      <c r="FO107" s="132"/>
      <c r="FP107" s="132"/>
      <c r="FQ107" s="132"/>
      <c r="FR107" s="132"/>
      <c r="FS107" s="132"/>
      <c r="FT107" s="132"/>
      <c r="FU107" s="132"/>
      <c r="FV107" s="132"/>
      <c r="FW107" s="132"/>
      <c r="FX107" s="132"/>
      <c r="FY107" s="132"/>
      <c r="FZ107" s="132"/>
      <c r="GA107" s="132"/>
      <c r="GB107" s="132"/>
      <c r="GC107" s="132"/>
      <c r="GD107" s="132"/>
      <c r="GE107" s="132"/>
      <c r="GF107" s="132"/>
    </row>
    <row r="108" spans="7:188" x14ac:dyDescent="0.25">
      <c r="CT108" s="132"/>
      <c r="CU108" s="132"/>
      <c r="CV108" s="132"/>
      <c r="CW108" s="132"/>
      <c r="CX108" s="132"/>
      <c r="CY108" s="132"/>
      <c r="CZ108" s="132"/>
      <c r="DA108" s="132"/>
      <c r="DB108" s="132"/>
      <c r="DC108" s="132"/>
      <c r="DD108" s="132"/>
      <c r="DE108" s="132"/>
      <c r="DF108" s="132"/>
      <c r="DG108" s="132"/>
      <c r="DH108" s="132"/>
      <c r="DI108" s="132"/>
      <c r="DJ108" s="132"/>
      <c r="DK108" s="132"/>
      <c r="DL108" s="132"/>
      <c r="DM108" s="132"/>
      <c r="DN108" s="132"/>
      <c r="DO108" s="132"/>
      <c r="DP108" s="132"/>
      <c r="DQ108" s="132"/>
      <c r="DR108" s="132"/>
      <c r="DS108" s="132"/>
      <c r="DT108" s="132"/>
      <c r="DU108" s="132"/>
      <c r="DV108" s="132"/>
      <c r="DW108" s="132"/>
      <c r="DX108" s="133"/>
      <c r="DY108" s="132"/>
      <c r="DZ108" s="132"/>
      <c r="EA108" s="132"/>
      <c r="EB108" s="132"/>
      <c r="EC108" s="132"/>
      <c r="ED108" s="132"/>
      <c r="EE108" s="132"/>
      <c r="EF108" s="132"/>
      <c r="EG108" s="132"/>
      <c r="EH108" s="132"/>
      <c r="EI108" s="132"/>
      <c r="EJ108" s="132"/>
      <c r="EK108" s="132"/>
      <c r="EL108" s="132"/>
      <c r="EM108" s="132"/>
      <c r="EN108" s="132"/>
      <c r="EO108" s="132"/>
      <c r="EP108" s="132"/>
      <c r="EQ108" s="132"/>
      <c r="ER108" s="132"/>
      <c r="ES108" s="132"/>
      <c r="ET108" s="132"/>
      <c r="EU108" s="132"/>
      <c r="EV108" s="132"/>
      <c r="EW108" s="132"/>
      <c r="EX108" s="132"/>
      <c r="EY108" s="132"/>
      <c r="EZ108" s="132"/>
      <c r="FA108" s="132"/>
      <c r="FB108" s="132"/>
      <c r="FC108" s="132"/>
      <c r="FD108" s="132"/>
      <c r="FE108" s="132"/>
      <c r="FF108" s="132"/>
      <c r="FG108" s="132"/>
      <c r="FH108" s="132"/>
      <c r="FI108" s="132"/>
      <c r="FJ108" s="132"/>
      <c r="FK108" s="132"/>
      <c r="FL108" s="132"/>
      <c r="FM108" s="132"/>
      <c r="FN108" s="132"/>
      <c r="FO108" s="132"/>
      <c r="FP108" s="132"/>
      <c r="FQ108" s="132"/>
      <c r="FR108" s="132"/>
      <c r="FS108" s="132"/>
      <c r="FT108" s="132"/>
      <c r="FU108" s="132"/>
      <c r="FV108" s="132"/>
      <c r="FW108" s="132"/>
      <c r="FX108" s="132"/>
      <c r="FY108" s="132"/>
      <c r="FZ108" s="132"/>
      <c r="GA108" s="132"/>
      <c r="GB108" s="132"/>
      <c r="GC108" s="132"/>
      <c r="GD108" s="132"/>
      <c r="GE108" s="132"/>
      <c r="GF108" s="132"/>
    </row>
    <row r="109" spans="7:188" x14ac:dyDescent="0.25">
      <c r="CT109" s="132"/>
      <c r="CU109" s="132"/>
      <c r="CV109" s="132"/>
      <c r="CW109" s="132"/>
      <c r="CX109" s="132"/>
      <c r="CY109" s="132"/>
      <c r="CZ109" s="132"/>
      <c r="DA109" s="132"/>
      <c r="DB109" s="132"/>
      <c r="DC109" s="132"/>
      <c r="DD109" s="132"/>
      <c r="DE109" s="132"/>
      <c r="DF109" s="132"/>
      <c r="DG109" s="132"/>
      <c r="DH109" s="132"/>
      <c r="DI109" s="132"/>
      <c r="DJ109" s="132"/>
      <c r="DK109" s="132"/>
      <c r="DL109" s="132"/>
      <c r="DM109" s="132"/>
      <c r="DN109" s="132"/>
      <c r="DO109" s="132"/>
      <c r="DP109" s="132"/>
      <c r="DQ109" s="132"/>
      <c r="DR109" s="132"/>
      <c r="DS109" s="132"/>
      <c r="DT109" s="132"/>
      <c r="DU109" s="132"/>
      <c r="DV109" s="132"/>
      <c r="DW109" s="132"/>
      <c r="DX109" s="133"/>
      <c r="DY109" s="132"/>
      <c r="DZ109" s="132"/>
      <c r="EA109" s="132"/>
      <c r="EB109" s="132"/>
      <c r="EC109" s="132"/>
      <c r="ED109" s="132"/>
      <c r="EE109" s="132"/>
      <c r="EF109" s="132"/>
      <c r="EG109" s="132"/>
      <c r="EH109" s="132"/>
      <c r="EI109" s="132"/>
      <c r="EJ109" s="132"/>
      <c r="EK109" s="132"/>
      <c r="EL109" s="132"/>
      <c r="EM109" s="132"/>
      <c r="EN109" s="132"/>
      <c r="EO109" s="132"/>
      <c r="EP109" s="132"/>
      <c r="EQ109" s="132"/>
      <c r="ER109" s="132"/>
      <c r="ES109" s="132"/>
      <c r="ET109" s="132"/>
      <c r="EU109" s="132"/>
      <c r="EV109" s="132"/>
      <c r="EW109" s="132"/>
      <c r="EX109" s="132"/>
      <c r="EY109" s="132"/>
      <c r="EZ109" s="132"/>
      <c r="FA109" s="132"/>
      <c r="FB109" s="132"/>
      <c r="FC109" s="132"/>
      <c r="FD109" s="132"/>
      <c r="FE109" s="132"/>
      <c r="FF109" s="132"/>
      <c r="FG109" s="132"/>
      <c r="FH109" s="132"/>
      <c r="FI109" s="132"/>
      <c r="FJ109" s="132"/>
      <c r="FK109" s="132"/>
      <c r="FL109" s="132"/>
      <c r="FM109" s="132"/>
      <c r="FN109" s="132"/>
      <c r="FO109" s="132"/>
      <c r="FP109" s="132"/>
      <c r="FQ109" s="132"/>
      <c r="FR109" s="132"/>
      <c r="FS109" s="132"/>
      <c r="FT109" s="132"/>
      <c r="FU109" s="132"/>
      <c r="FV109" s="132"/>
      <c r="FW109" s="132"/>
      <c r="FX109" s="132"/>
      <c r="FY109" s="132"/>
      <c r="FZ109" s="132"/>
      <c r="GA109" s="132"/>
      <c r="GB109" s="132"/>
      <c r="GC109" s="132"/>
      <c r="GD109" s="132"/>
      <c r="GE109" s="132"/>
      <c r="GF109" s="132"/>
    </row>
    <row r="110" spans="7:188" x14ac:dyDescent="0.25">
      <c r="G110" s="129"/>
      <c r="CT110" s="132"/>
      <c r="CU110" s="132"/>
      <c r="CV110" s="132"/>
      <c r="CW110" s="132"/>
      <c r="CX110" s="132"/>
      <c r="CY110" s="132"/>
      <c r="CZ110" s="132"/>
      <c r="DA110" s="132"/>
      <c r="DB110" s="132"/>
      <c r="DC110" s="132"/>
      <c r="DD110" s="132"/>
      <c r="DE110" s="132"/>
      <c r="DF110" s="132"/>
      <c r="DG110" s="132"/>
      <c r="DH110" s="132"/>
      <c r="DI110" s="132"/>
      <c r="DJ110" s="132"/>
      <c r="DK110" s="132"/>
      <c r="DL110" s="132"/>
      <c r="DM110" s="132"/>
      <c r="DN110" s="132"/>
      <c r="DO110" s="132"/>
      <c r="DP110" s="132"/>
      <c r="DQ110" s="132"/>
      <c r="DR110" s="132"/>
      <c r="DS110" s="132"/>
      <c r="DT110" s="132"/>
      <c r="DU110" s="132"/>
      <c r="DV110" s="132"/>
      <c r="DW110" s="132"/>
      <c r="DX110" s="133"/>
      <c r="DY110" s="132"/>
      <c r="DZ110" s="132"/>
      <c r="EA110" s="132"/>
      <c r="EB110" s="132"/>
      <c r="EC110" s="132"/>
      <c r="ED110" s="132"/>
      <c r="EE110" s="132"/>
      <c r="EF110" s="132"/>
      <c r="EG110" s="132"/>
      <c r="EH110" s="132"/>
      <c r="EI110" s="132"/>
      <c r="EJ110" s="132"/>
      <c r="EK110" s="132"/>
      <c r="EL110" s="132"/>
      <c r="EM110" s="132"/>
      <c r="EN110" s="132"/>
      <c r="EO110" s="132"/>
      <c r="EP110" s="132"/>
      <c r="EQ110" s="132"/>
      <c r="ER110" s="132"/>
      <c r="ES110" s="132"/>
      <c r="ET110" s="132"/>
      <c r="EU110" s="132"/>
      <c r="EV110" s="132"/>
      <c r="EW110" s="132"/>
      <c r="EX110" s="132"/>
      <c r="EY110" s="132"/>
      <c r="EZ110" s="132"/>
      <c r="FA110" s="132"/>
      <c r="FB110" s="132"/>
      <c r="FC110" s="132"/>
      <c r="FD110" s="132"/>
      <c r="FE110" s="132"/>
      <c r="FF110" s="132"/>
      <c r="FG110" s="132"/>
      <c r="FH110" s="132"/>
      <c r="FI110" s="132"/>
      <c r="FJ110" s="132"/>
      <c r="FK110" s="132"/>
      <c r="FL110" s="132"/>
      <c r="FM110" s="132"/>
      <c r="FN110" s="132"/>
      <c r="FO110" s="132"/>
      <c r="FP110" s="132"/>
      <c r="FQ110" s="132"/>
      <c r="FR110" s="132"/>
      <c r="FS110" s="132"/>
      <c r="FT110" s="132"/>
      <c r="FU110" s="132"/>
      <c r="FV110" s="132"/>
      <c r="FW110" s="132"/>
      <c r="FX110" s="132"/>
      <c r="FY110" s="132"/>
      <c r="FZ110" s="132"/>
      <c r="GA110" s="132"/>
      <c r="GB110" s="132"/>
      <c r="GC110" s="132"/>
      <c r="GD110" s="132"/>
      <c r="GE110" s="132"/>
      <c r="GF110" s="132"/>
    </row>
    <row r="111" spans="7:188" x14ac:dyDescent="0.25">
      <c r="G111" s="129"/>
      <c r="H111" s="129"/>
      <c r="CT111" s="132"/>
      <c r="CU111" s="132"/>
      <c r="CV111" s="132"/>
      <c r="CW111" s="132"/>
      <c r="CX111" s="132"/>
      <c r="CY111" s="132"/>
      <c r="CZ111" s="132"/>
      <c r="DA111" s="132"/>
      <c r="DB111" s="132"/>
      <c r="DC111" s="132"/>
      <c r="DD111" s="132"/>
      <c r="DE111" s="132"/>
      <c r="DF111" s="132"/>
      <c r="DG111" s="132"/>
      <c r="DH111" s="132"/>
      <c r="DI111" s="132"/>
      <c r="DJ111" s="132"/>
      <c r="DK111" s="132"/>
      <c r="DL111" s="132"/>
      <c r="DM111" s="132"/>
      <c r="DN111" s="132"/>
      <c r="DO111" s="132"/>
      <c r="DP111" s="132"/>
      <c r="DQ111" s="132"/>
      <c r="DR111" s="132"/>
      <c r="DS111" s="132"/>
      <c r="DT111" s="132"/>
      <c r="DU111" s="132"/>
      <c r="DV111" s="132"/>
      <c r="DW111" s="132"/>
      <c r="DX111" s="133"/>
      <c r="DY111" s="132"/>
      <c r="DZ111" s="132"/>
      <c r="EA111" s="132"/>
      <c r="EB111" s="132"/>
      <c r="EC111" s="132"/>
      <c r="ED111" s="132"/>
      <c r="EE111" s="132"/>
      <c r="EF111" s="132"/>
      <c r="EG111" s="132"/>
      <c r="EH111" s="132"/>
      <c r="EI111" s="132"/>
      <c r="EJ111" s="132"/>
      <c r="EK111" s="132"/>
      <c r="EL111" s="132"/>
      <c r="EM111" s="132"/>
      <c r="EN111" s="132"/>
      <c r="EO111" s="132"/>
      <c r="EP111" s="132"/>
      <c r="EQ111" s="132"/>
      <c r="ER111" s="132"/>
      <c r="ES111" s="132"/>
      <c r="ET111" s="132"/>
      <c r="EU111" s="132"/>
      <c r="EV111" s="132"/>
      <c r="EW111" s="132"/>
      <c r="EX111" s="132"/>
      <c r="EY111" s="132"/>
      <c r="EZ111" s="132"/>
      <c r="FA111" s="132"/>
      <c r="FB111" s="132"/>
      <c r="FC111" s="132"/>
      <c r="FD111" s="132"/>
      <c r="FE111" s="132"/>
      <c r="FF111" s="132"/>
      <c r="FG111" s="132"/>
      <c r="FH111" s="132"/>
      <c r="FI111" s="132"/>
      <c r="FJ111" s="132"/>
      <c r="FK111" s="132"/>
      <c r="FL111" s="132"/>
      <c r="FM111" s="132"/>
      <c r="FN111" s="132"/>
      <c r="FO111" s="132"/>
      <c r="FP111" s="132"/>
      <c r="FQ111" s="132"/>
      <c r="FR111" s="132"/>
      <c r="FS111" s="132"/>
      <c r="FT111" s="132"/>
      <c r="FU111" s="132"/>
      <c r="FV111" s="132"/>
      <c r="FW111" s="132"/>
      <c r="FX111" s="132"/>
      <c r="FY111" s="132"/>
      <c r="FZ111" s="132"/>
      <c r="GA111" s="132"/>
      <c r="GB111" s="132"/>
      <c r="GC111" s="132"/>
      <c r="GD111" s="132"/>
      <c r="GE111" s="132"/>
      <c r="GF111" s="132"/>
    </row>
    <row r="112" spans="7:188" x14ac:dyDescent="0.25">
      <c r="G112" s="129"/>
      <c r="H112" s="129"/>
      <c r="CT112" s="132"/>
      <c r="CU112" s="132"/>
      <c r="CV112" s="132"/>
      <c r="CW112" s="132"/>
      <c r="CX112" s="132"/>
      <c r="CY112" s="132"/>
      <c r="CZ112" s="132"/>
      <c r="DA112" s="132"/>
      <c r="DB112" s="132"/>
      <c r="DC112" s="132"/>
      <c r="DD112" s="132"/>
      <c r="DE112" s="132"/>
      <c r="DF112" s="132"/>
      <c r="DG112" s="132"/>
      <c r="DH112" s="132"/>
      <c r="DI112" s="132"/>
      <c r="DJ112" s="132"/>
      <c r="DK112" s="132"/>
      <c r="DL112" s="132"/>
      <c r="DM112" s="132"/>
      <c r="DN112" s="132"/>
      <c r="DO112" s="132"/>
      <c r="DP112" s="132"/>
      <c r="DQ112" s="132"/>
      <c r="DR112" s="132"/>
      <c r="DS112" s="132"/>
      <c r="DT112" s="132"/>
      <c r="DU112" s="132"/>
      <c r="DV112" s="132"/>
      <c r="DW112" s="132"/>
      <c r="DX112" s="133"/>
      <c r="DY112" s="132"/>
      <c r="DZ112" s="132"/>
      <c r="EA112" s="132"/>
      <c r="EB112" s="132"/>
      <c r="EC112" s="132"/>
      <c r="ED112" s="132"/>
      <c r="EE112" s="132"/>
      <c r="EF112" s="132"/>
      <c r="EG112" s="132"/>
      <c r="EH112" s="132"/>
      <c r="EI112" s="132"/>
      <c r="EJ112" s="132"/>
      <c r="EK112" s="132"/>
      <c r="EL112" s="132"/>
      <c r="EM112" s="132"/>
      <c r="EN112" s="132"/>
      <c r="EO112" s="132"/>
      <c r="EP112" s="132"/>
      <c r="EQ112" s="132"/>
      <c r="ER112" s="132"/>
      <c r="ES112" s="132"/>
      <c r="ET112" s="132"/>
      <c r="EU112" s="132"/>
      <c r="EV112" s="132"/>
      <c r="EW112" s="132"/>
      <c r="EX112" s="132"/>
      <c r="EY112" s="132"/>
      <c r="EZ112" s="132"/>
      <c r="FA112" s="132"/>
      <c r="FB112" s="132"/>
      <c r="FC112" s="132"/>
      <c r="FD112" s="132"/>
      <c r="FE112" s="132"/>
      <c r="FF112" s="132"/>
      <c r="FG112" s="132"/>
      <c r="FH112" s="132"/>
      <c r="FI112" s="132"/>
      <c r="FJ112" s="132"/>
      <c r="FK112" s="132"/>
      <c r="FL112" s="132"/>
      <c r="FM112" s="132"/>
      <c r="FN112" s="132"/>
      <c r="FO112" s="132"/>
      <c r="FP112" s="132"/>
      <c r="FQ112" s="132"/>
      <c r="FR112" s="132"/>
      <c r="FS112" s="132"/>
      <c r="FT112" s="132"/>
      <c r="FU112" s="132"/>
      <c r="FV112" s="132"/>
      <c r="FW112" s="132"/>
      <c r="FX112" s="132"/>
      <c r="FY112" s="132"/>
      <c r="FZ112" s="132"/>
      <c r="GA112" s="132"/>
      <c r="GB112" s="132"/>
      <c r="GC112" s="132"/>
      <c r="GD112" s="132"/>
      <c r="GE112" s="132"/>
      <c r="GF112" s="132"/>
    </row>
    <row r="113" spans="7:188" x14ac:dyDescent="0.25">
      <c r="G113" s="129"/>
      <c r="CT113" s="132"/>
      <c r="CU113" s="132"/>
      <c r="CV113" s="132"/>
      <c r="CW113" s="132"/>
      <c r="CX113" s="132"/>
      <c r="CY113" s="132"/>
      <c r="CZ113" s="132"/>
      <c r="DA113" s="132"/>
      <c r="DB113" s="132"/>
      <c r="DC113" s="132"/>
      <c r="DD113" s="132"/>
      <c r="DE113" s="132"/>
      <c r="DF113" s="132"/>
      <c r="DG113" s="132"/>
      <c r="DH113" s="132"/>
      <c r="DI113" s="132"/>
      <c r="DJ113" s="132"/>
      <c r="DK113" s="132"/>
      <c r="DL113" s="132"/>
      <c r="DM113" s="132"/>
      <c r="DN113" s="132"/>
      <c r="DO113" s="132"/>
      <c r="DP113" s="132"/>
      <c r="DQ113" s="132"/>
      <c r="DR113" s="132"/>
      <c r="DS113" s="132"/>
      <c r="DT113" s="132"/>
      <c r="DU113" s="132"/>
      <c r="DV113" s="132"/>
      <c r="DW113" s="132"/>
      <c r="DX113" s="133"/>
      <c r="DY113" s="132"/>
      <c r="DZ113" s="132"/>
      <c r="EA113" s="132"/>
      <c r="EB113" s="132"/>
      <c r="EC113" s="132"/>
      <c r="ED113" s="132"/>
      <c r="EE113" s="132"/>
      <c r="EF113" s="132"/>
      <c r="EG113" s="132"/>
      <c r="EH113" s="132"/>
      <c r="EI113" s="132"/>
      <c r="EJ113" s="132"/>
      <c r="EK113" s="132"/>
      <c r="EL113" s="132"/>
      <c r="EM113" s="132"/>
      <c r="EN113" s="132"/>
      <c r="EO113" s="132"/>
      <c r="EP113" s="132"/>
      <c r="EQ113" s="132"/>
      <c r="ER113" s="132"/>
      <c r="ES113" s="132"/>
      <c r="ET113" s="132"/>
      <c r="EU113" s="132"/>
      <c r="EV113" s="132"/>
      <c r="EW113" s="132"/>
      <c r="EX113" s="132"/>
      <c r="EY113" s="132"/>
      <c r="EZ113" s="132"/>
      <c r="FA113" s="132"/>
      <c r="FB113" s="132"/>
      <c r="FC113" s="132"/>
      <c r="FD113" s="132"/>
      <c r="FE113" s="132"/>
      <c r="FF113" s="132"/>
      <c r="FG113" s="132"/>
      <c r="FH113" s="132"/>
      <c r="FI113" s="132"/>
      <c r="FJ113" s="132"/>
      <c r="FK113" s="132"/>
      <c r="FL113" s="132"/>
      <c r="FM113" s="132"/>
      <c r="FN113" s="132"/>
      <c r="FO113" s="132"/>
      <c r="FP113" s="132"/>
      <c r="FQ113" s="132"/>
      <c r="FR113" s="132"/>
      <c r="FS113" s="132"/>
      <c r="FT113" s="132"/>
      <c r="FU113" s="132"/>
      <c r="FV113" s="132"/>
      <c r="FW113" s="132"/>
      <c r="FX113" s="132"/>
      <c r="FY113" s="132"/>
      <c r="FZ113" s="132"/>
      <c r="GA113" s="132"/>
      <c r="GB113" s="132"/>
      <c r="GC113" s="132"/>
      <c r="GD113" s="132"/>
      <c r="GE113" s="132"/>
      <c r="GF113" s="132"/>
    </row>
    <row r="114" spans="7:188" x14ac:dyDescent="0.25">
      <c r="G114" s="129"/>
      <c r="CT114" s="132"/>
      <c r="CU114" s="132"/>
      <c r="CV114" s="132"/>
      <c r="CW114" s="132"/>
      <c r="CX114" s="132"/>
      <c r="CY114" s="132"/>
      <c r="CZ114" s="132"/>
      <c r="DA114" s="132"/>
      <c r="DB114" s="132"/>
      <c r="DC114" s="132"/>
      <c r="DD114" s="132"/>
      <c r="DE114" s="132"/>
      <c r="DF114" s="132"/>
      <c r="DG114" s="132"/>
      <c r="DH114" s="132"/>
      <c r="DI114" s="132"/>
      <c r="DJ114" s="132"/>
      <c r="DK114" s="132"/>
      <c r="DL114" s="132"/>
      <c r="DM114" s="132"/>
      <c r="DN114" s="132"/>
      <c r="DO114" s="132"/>
      <c r="DP114" s="132"/>
      <c r="DQ114" s="132"/>
      <c r="DR114" s="132"/>
      <c r="DS114" s="132"/>
      <c r="DT114" s="132"/>
      <c r="DU114" s="132"/>
      <c r="DV114" s="132"/>
      <c r="DW114" s="132"/>
      <c r="DX114" s="133"/>
      <c r="DY114" s="132"/>
      <c r="DZ114" s="132"/>
      <c r="EA114" s="132"/>
      <c r="EB114" s="132"/>
      <c r="EC114" s="132"/>
      <c r="ED114" s="132"/>
      <c r="EE114" s="132"/>
      <c r="EF114" s="132"/>
      <c r="EG114" s="132"/>
      <c r="EH114" s="132"/>
      <c r="EI114" s="132"/>
      <c r="EJ114" s="132"/>
      <c r="EK114" s="132"/>
      <c r="EL114" s="132"/>
      <c r="EM114" s="132"/>
      <c r="EN114" s="132"/>
      <c r="EO114" s="132"/>
      <c r="EP114" s="132"/>
      <c r="EQ114" s="132"/>
      <c r="ER114" s="132"/>
      <c r="ES114" s="132"/>
      <c r="ET114" s="132"/>
      <c r="EU114" s="132"/>
      <c r="EV114" s="132"/>
      <c r="EW114" s="132"/>
      <c r="EX114" s="132"/>
      <c r="EY114" s="132"/>
      <c r="EZ114" s="132"/>
      <c r="FA114" s="132"/>
      <c r="FB114" s="132"/>
      <c r="FC114" s="132"/>
      <c r="FD114" s="132"/>
      <c r="FE114" s="132"/>
      <c r="FF114" s="132"/>
      <c r="FG114" s="132"/>
      <c r="FH114" s="132"/>
      <c r="FI114" s="132"/>
      <c r="FJ114" s="132"/>
      <c r="FK114" s="132"/>
      <c r="FL114" s="132"/>
      <c r="FM114" s="132"/>
      <c r="FN114" s="132"/>
      <c r="FO114" s="132"/>
      <c r="FP114" s="132"/>
      <c r="FQ114" s="132"/>
      <c r="FR114" s="132"/>
      <c r="FS114" s="132"/>
      <c r="FT114" s="132"/>
      <c r="FU114" s="132"/>
      <c r="FV114" s="132"/>
      <c r="FW114" s="132"/>
      <c r="FX114" s="132"/>
      <c r="FY114" s="132"/>
      <c r="FZ114" s="132"/>
      <c r="GA114" s="132"/>
      <c r="GB114" s="132"/>
      <c r="GC114" s="132"/>
      <c r="GD114" s="132"/>
      <c r="GE114" s="132"/>
      <c r="GF114" s="132"/>
    </row>
    <row r="115" spans="7:188" x14ac:dyDescent="0.25">
      <c r="G115" s="129"/>
      <c r="H115" s="129"/>
      <c r="CT115" s="132"/>
      <c r="CU115" s="132"/>
      <c r="CV115" s="132"/>
      <c r="CW115" s="132"/>
      <c r="CX115" s="132"/>
      <c r="CY115" s="132"/>
      <c r="CZ115" s="132"/>
      <c r="DA115" s="132"/>
      <c r="DB115" s="132"/>
      <c r="DC115" s="132"/>
      <c r="DD115" s="132"/>
      <c r="DE115" s="132"/>
      <c r="DF115" s="132"/>
      <c r="DG115" s="132"/>
      <c r="DH115" s="132"/>
      <c r="DI115" s="132"/>
      <c r="DJ115" s="132"/>
      <c r="DK115" s="132"/>
      <c r="DL115" s="132"/>
      <c r="DM115" s="132"/>
      <c r="DN115" s="132"/>
      <c r="DO115" s="132"/>
      <c r="DP115" s="132"/>
      <c r="DQ115" s="132"/>
      <c r="DR115" s="132"/>
      <c r="DS115" s="132"/>
      <c r="DT115" s="132"/>
      <c r="DU115" s="132"/>
      <c r="DV115" s="132"/>
      <c r="DW115" s="132"/>
      <c r="DX115" s="133"/>
      <c r="DY115" s="132"/>
      <c r="DZ115" s="132"/>
      <c r="EA115" s="132"/>
      <c r="EB115" s="132"/>
      <c r="EC115" s="132"/>
      <c r="ED115" s="132"/>
      <c r="EE115" s="132"/>
      <c r="EF115" s="132"/>
      <c r="EG115" s="132"/>
      <c r="EH115" s="132"/>
      <c r="EI115" s="132"/>
      <c r="EJ115" s="132"/>
      <c r="EK115" s="132"/>
      <c r="EL115" s="132"/>
      <c r="EM115" s="132"/>
      <c r="EN115" s="132"/>
      <c r="EO115" s="132"/>
      <c r="EP115" s="132"/>
      <c r="EQ115" s="132"/>
      <c r="ER115" s="132"/>
      <c r="ES115" s="132"/>
      <c r="ET115" s="132"/>
      <c r="EU115" s="132"/>
      <c r="EV115" s="132"/>
      <c r="EW115" s="132"/>
      <c r="EX115" s="132"/>
      <c r="EY115" s="132"/>
      <c r="EZ115" s="132"/>
      <c r="FA115" s="132"/>
      <c r="FB115" s="132"/>
      <c r="FC115" s="132"/>
      <c r="FD115" s="132"/>
      <c r="FE115" s="132"/>
      <c r="FF115" s="132"/>
      <c r="FG115" s="132"/>
      <c r="FH115" s="132"/>
      <c r="FI115" s="132"/>
      <c r="FJ115" s="132"/>
      <c r="FK115" s="132"/>
      <c r="FL115" s="132"/>
      <c r="FM115" s="132"/>
      <c r="FN115" s="132"/>
      <c r="FO115" s="132"/>
      <c r="FP115" s="132"/>
      <c r="FQ115" s="132"/>
      <c r="FR115" s="132"/>
      <c r="FS115" s="132"/>
      <c r="FT115" s="132"/>
      <c r="FU115" s="132"/>
      <c r="FV115" s="132"/>
      <c r="FW115" s="132"/>
      <c r="FX115" s="132"/>
      <c r="FY115" s="132"/>
      <c r="FZ115" s="132"/>
      <c r="GA115" s="132"/>
      <c r="GB115" s="132"/>
      <c r="GC115" s="132"/>
      <c r="GD115" s="132"/>
      <c r="GE115" s="132"/>
      <c r="GF115" s="132"/>
    </row>
    <row r="116" spans="7:188" x14ac:dyDescent="0.25">
      <c r="G116" s="129"/>
      <c r="CT116" s="132"/>
      <c r="CU116" s="132"/>
      <c r="CV116" s="132"/>
      <c r="CW116" s="132"/>
      <c r="CX116" s="132"/>
      <c r="CY116" s="132"/>
      <c r="CZ116" s="132"/>
      <c r="DA116" s="132"/>
      <c r="DB116" s="132"/>
      <c r="DC116" s="132"/>
      <c r="DD116" s="132"/>
      <c r="DE116" s="132"/>
      <c r="DF116" s="132"/>
      <c r="DG116" s="132"/>
      <c r="DH116" s="132"/>
      <c r="DI116" s="132"/>
      <c r="DJ116" s="132"/>
      <c r="DK116" s="132"/>
      <c r="DL116" s="132"/>
      <c r="DM116" s="132"/>
      <c r="DN116" s="132"/>
      <c r="DO116" s="132"/>
      <c r="DP116" s="132"/>
      <c r="DQ116" s="132"/>
      <c r="DR116" s="132"/>
      <c r="DS116" s="132"/>
      <c r="DT116" s="132"/>
      <c r="DU116" s="132"/>
      <c r="DV116" s="132"/>
      <c r="DW116" s="132"/>
      <c r="DX116" s="133"/>
      <c r="DY116" s="132"/>
      <c r="DZ116" s="132"/>
      <c r="EA116" s="132"/>
      <c r="EB116" s="132"/>
      <c r="EC116" s="132"/>
      <c r="ED116" s="132"/>
      <c r="EE116" s="132"/>
      <c r="EF116" s="132"/>
      <c r="EG116" s="132"/>
      <c r="EH116" s="132"/>
      <c r="EI116" s="132"/>
      <c r="EJ116" s="132"/>
      <c r="EK116" s="132"/>
      <c r="EL116" s="132"/>
      <c r="EM116" s="132"/>
      <c r="EN116" s="132"/>
      <c r="EO116" s="132"/>
      <c r="EP116" s="132"/>
      <c r="EQ116" s="132"/>
      <c r="ER116" s="132"/>
      <c r="ES116" s="132"/>
      <c r="ET116" s="132"/>
      <c r="EU116" s="132"/>
      <c r="EV116" s="132"/>
      <c r="EW116" s="132"/>
      <c r="EX116" s="132"/>
      <c r="EY116" s="132"/>
      <c r="EZ116" s="132"/>
      <c r="FA116" s="132"/>
      <c r="FB116" s="132"/>
      <c r="FC116" s="132"/>
      <c r="FD116" s="132"/>
      <c r="FE116" s="132"/>
      <c r="FF116" s="132"/>
      <c r="FG116" s="132"/>
      <c r="FH116" s="132"/>
      <c r="FI116" s="132"/>
      <c r="FJ116" s="132"/>
      <c r="FK116" s="132"/>
      <c r="FL116" s="132"/>
      <c r="FM116" s="132"/>
      <c r="FN116" s="132"/>
      <c r="FO116" s="132"/>
      <c r="FP116" s="132"/>
      <c r="FQ116" s="132"/>
      <c r="FR116" s="132"/>
      <c r="FS116" s="132"/>
      <c r="FT116" s="132"/>
      <c r="FU116" s="132"/>
      <c r="FV116" s="132"/>
      <c r="FW116" s="132"/>
      <c r="FX116" s="132"/>
      <c r="FY116" s="132"/>
      <c r="FZ116" s="132"/>
      <c r="GA116" s="132"/>
      <c r="GB116" s="132"/>
      <c r="GC116" s="132"/>
      <c r="GD116" s="132"/>
      <c r="GE116" s="132"/>
      <c r="GF116" s="132"/>
    </row>
    <row r="117" spans="7:188" x14ac:dyDescent="0.25">
      <c r="G117" s="129"/>
      <c r="H117" s="129"/>
      <c r="CT117" s="132"/>
      <c r="CU117" s="132"/>
      <c r="CV117" s="132"/>
      <c r="CW117" s="132"/>
      <c r="CX117" s="132"/>
      <c r="CY117" s="132"/>
      <c r="CZ117" s="132"/>
      <c r="DA117" s="132"/>
      <c r="DB117" s="132"/>
      <c r="DC117" s="132"/>
      <c r="DD117" s="132"/>
      <c r="DE117" s="132"/>
      <c r="DF117" s="132"/>
      <c r="DG117" s="132"/>
      <c r="DH117" s="132"/>
      <c r="DI117" s="132"/>
      <c r="DJ117" s="132"/>
      <c r="DK117" s="132"/>
      <c r="DL117" s="132"/>
      <c r="DM117" s="132"/>
      <c r="DN117" s="132"/>
      <c r="DO117" s="132"/>
      <c r="DP117" s="132"/>
      <c r="DQ117" s="132"/>
      <c r="DR117" s="132"/>
      <c r="DS117" s="132"/>
      <c r="DT117" s="132"/>
      <c r="DU117" s="132"/>
      <c r="DV117" s="132"/>
      <c r="DW117" s="132"/>
      <c r="DX117" s="133"/>
      <c r="DY117" s="132"/>
      <c r="DZ117" s="132"/>
      <c r="EA117" s="132"/>
      <c r="EB117" s="132"/>
      <c r="EC117" s="132"/>
      <c r="ED117" s="132"/>
      <c r="EE117" s="132"/>
      <c r="EF117" s="132"/>
      <c r="EG117" s="132"/>
      <c r="EH117" s="132"/>
      <c r="EI117" s="132"/>
      <c r="EJ117" s="132"/>
      <c r="EK117" s="132"/>
      <c r="EL117" s="132"/>
      <c r="EM117" s="132"/>
      <c r="EN117" s="132"/>
      <c r="EO117" s="132"/>
      <c r="EP117" s="132"/>
      <c r="EQ117" s="132"/>
      <c r="ER117" s="132"/>
      <c r="ES117" s="132"/>
      <c r="ET117" s="132"/>
      <c r="EU117" s="132"/>
      <c r="EV117" s="132"/>
      <c r="EW117" s="132"/>
      <c r="EX117" s="132"/>
      <c r="EY117" s="132"/>
      <c r="EZ117" s="132"/>
      <c r="FA117" s="132"/>
      <c r="FB117" s="132"/>
      <c r="FC117" s="132"/>
      <c r="FD117" s="132"/>
      <c r="FE117" s="132"/>
      <c r="FF117" s="132"/>
      <c r="FG117" s="132"/>
      <c r="FH117" s="132"/>
      <c r="FI117" s="132"/>
      <c r="FJ117" s="132"/>
      <c r="FK117" s="132"/>
      <c r="FL117" s="132"/>
      <c r="FM117" s="132"/>
      <c r="FN117" s="132"/>
      <c r="FO117" s="132"/>
      <c r="FP117" s="132"/>
      <c r="FQ117" s="132"/>
      <c r="FR117" s="132"/>
      <c r="FS117" s="132"/>
      <c r="FT117" s="132"/>
      <c r="FU117" s="132"/>
      <c r="FV117" s="132"/>
      <c r="FW117" s="132"/>
      <c r="FX117" s="132"/>
      <c r="FY117" s="132"/>
      <c r="FZ117" s="132"/>
      <c r="GA117" s="132"/>
      <c r="GB117" s="132"/>
      <c r="GC117" s="132"/>
      <c r="GD117" s="132"/>
      <c r="GE117" s="132"/>
      <c r="GF117" s="132"/>
    </row>
    <row r="118" spans="7:188" x14ac:dyDescent="0.25">
      <c r="G118" s="129"/>
      <c r="H118" s="129"/>
      <c r="CT118" s="132"/>
      <c r="CU118" s="132"/>
      <c r="CV118" s="132"/>
      <c r="CW118" s="132"/>
      <c r="CX118" s="132"/>
      <c r="CY118" s="132"/>
      <c r="CZ118" s="132"/>
      <c r="DA118" s="132"/>
      <c r="DB118" s="132"/>
      <c r="DC118" s="132"/>
      <c r="DD118" s="132"/>
      <c r="DE118" s="132"/>
      <c r="DF118" s="132"/>
      <c r="DG118" s="132"/>
      <c r="DH118" s="132"/>
      <c r="DI118" s="132"/>
      <c r="DJ118" s="132"/>
      <c r="DK118" s="132"/>
      <c r="DL118" s="132"/>
      <c r="DM118" s="132"/>
      <c r="DN118" s="132"/>
      <c r="DO118" s="132"/>
      <c r="DP118" s="132"/>
      <c r="DQ118" s="132"/>
      <c r="DR118" s="132"/>
      <c r="DS118" s="132"/>
      <c r="DT118" s="132"/>
      <c r="DU118" s="132"/>
      <c r="DV118" s="132"/>
      <c r="DW118" s="132"/>
      <c r="DX118" s="133"/>
      <c r="DY118" s="132"/>
      <c r="DZ118" s="132"/>
      <c r="EA118" s="132"/>
      <c r="EB118" s="132"/>
      <c r="EC118" s="132"/>
      <c r="ED118" s="132"/>
      <c r="EE118" s="132"/>
      <c r="EF118" s="132"/>
      <c r="EG118" s="132"/>
      <c r="EH118" s="132"/>
      <c r="EI118" s="132"/>
      <c r="EJ118" s="132"/>
      <c r="EK118" s="132"/>
      <c r="EL118" s="132"/>
      <c r="EM118" s="132"/>
      <c r="EN118" s="132"/>
      <c r="EO118" s="132"/>
      <c r="EP118" s="132"/>
      <c r="EQ118" s="132"/>
      <c r="ER118" s="132"/>
      <c r="ES118" s="132"/>
      <c r="ET118" s="132"/>
      <c r="EU118" s="132"/>
      <c r="EV118" s="132"/>
      <c r="EW118" s="132"/>
      <c r="EX118" s="132"/>
      <c r="EY118" s="132"/>
      <c r="EZ118" s="132"/>
      <c r="FA118" s="132"/>
      <c r="FB118" s="132"/>
      <c r="FC118" s="132"/>
      <c r="FD118" s="132"/>
      <c r="FE118" s="132"/>
      <c r="FF118" s="132"/>
      <c r="FG118" s="132"/>
      <c r="FH118" s="132"/>
      <c r="FI118" s="132"/>
      <c r="FJ118" s="132"/>
      <c r="FK118" s="132"/>
      <c r="FL118" s="132"/>
      <c r="FM118" s="132"/>
      <c r="FN118" s="132"/>
      <c r="FO118" s="132"/>
      <c r="FP118" s="132"/>
      <c r="FQ118" s="132"/>
      <c r="FR118" s="132"/>
      <c r="FS118" s="132"/>
      <c r="FT118" s="132"/>
      <c r="FU118" s="132"/>
      <c r="FV118" s="132"/>
      <c r="FW118" s="132"/>
      <c r="FX118" s="132"/>
      <c r="FY118" s="132"/>
      <c r="FZ118" s="132"/>
      <c r="GA118" s="132"/>
      <c r="GB118" s="132"/>
      <c r="GC118" s="132"/>
      <c r="GD118" s="132"/>
      <c r="GE118" s="132"/>
      <c r="GF118" s="132"/>
    </row>
    <row r="120" spans="7:188" x14ac:dyDescent="0.25">
      <c r="G120" s="129"/>
      <c r="H120" s="129"/>
    </row>
    <row r="121" spans="7:188" x14ac:dyDescent="0.25">
      <c r="G121" s="129"/>
      <c r="H121" s="129"/>
    </row>
    <row r="122" spans="7:188" x14ac:dyDescent="0.25">
      <c r="G122" s="129"/>
    </row>
    <row r="123" spans="7:188" x14ac:dyDescent="0.25">
      <c r="G123" s="129"/>
    </row>
    <row r="124" spans="7:188" x14ac:dyDescent="0.25">
      <c r="G124" s="129"/>
      <c r="H124" s="129"/>
    </row>
    <row r="125" spans="7:188" x14ac:dyDescent="0.25">
      <c r="G125" s="129"/>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64</vt:i4>
      </vt:variant>
      <vt:variant>
        <vt:lpstr>Named Ranges</vt:lpstr>
      </vt:variant>
      <vt:variant>
        <vt:i4>6</vt:i4>
      </vt:variant>
    </vt:vector>
  </HeadingPairs>
  <TitlesOfParts>
    <vt:vector size="70" baseType="lpstr">
      <vt:lpstr>Summary</vt:lpstr>
      <vt:lpstr>Rate History</vt:lpstr>
      <vt:lpstr>FTSE Summary</vt:lpstr>
      <vt:lpstr>Discipline Summary</vt:lpstr>
      <vt:lpstr>Discipline Analysis</vt:lpstr>
      <vt:lpstr>Neutral</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Data</vt:lpstr>
      <vt:lpstr>'Discipline Analysis'!Print_Area</vt:lpstr>
      <vt:lpstr>'Discipline Analysis'!Print_Titles</vt:lpstr>
      <vt:lpstr>'Discipline Summary'!Print_Titles</vt:lpstr>
      <vt:lpstr>'FTSE Summary'!Print_Titles</vt:lpstr>
      <vt:lpstr>Neutral!Print_Titles</vt:lpstr>
      <vt:lpstr>'Rate History'!Print_Titles</vt:lpstr>
    </vt:vector>
  </TitlesOfParts>
  <Company>THECB</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Community and Technical College</dc:title>
  <dc:subject>Expenditure Study</dc:subject>
  <dc:creator>Paul Turcotte</dc:creator>
  <cp:lastModifiedBy>Paul Turcotte</cp:lastModifiedBy>
  <cp:lastPrinted>2012-11-12T15:51:18Z</cp:lastPrinted>
  <dcterms:created xsi:type="dcterms:W3CDTF">2012-11-10T05:06:36Z</dcterms:created>
  <dcterms:modified xsi:type="dcterms:W3CDTF">2012-11-26T18:47:13Z</dcterms:modified>
</cp:coreProperties>
</file>