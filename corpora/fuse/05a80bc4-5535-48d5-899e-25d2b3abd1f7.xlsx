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30" yWindow="60" windowWidth="18315" windowHeight="10665" tabRatio="890" activeTab="19"/>
  </bookViews>
  <sheets>
    <sheet name="NICC - North Auto" sheetId="4" r:id="rId1"/>
    <sheet name="NICC - West Dubuque Auto&amp;Diesel" sheetId="5" r:id="rId2"/>
    <sheet name="NIACC Career Academies" sheetId="21" r:id="rId3"/>
    <sheet name="ILCC -Emmetsburg Career Academy" sheetId="12" r:id="rId4"/>
    <sheet name="ILCC Estherville Career Academy" sheetId="13" r:id="rId5"/>
    <sheet name="ILCC - Algona Career Academy" sheetId="14" r:id="rId6"/>
    <sheet name="ILCC - Lakes Career Academy" sheetId="15" r:id="rId7"/>
    <sheet name="HCC - Western Outreach Center" sheetId="20" r:id="rId8"/>
    <sheet name="Kirkwood - JREC" sheetId="6" r:id="rId9"/>
    <sheet name="DMACC - Ames Career Academy" sheetId="7" r:id="rId10"/>
    <sheet name="DMACC - Ankeny Career Academy" sheetId="8" r:id="rId11"/>
    <sheet name="DMACC - Perry Carer Academy" sheetId="9" r:id="rId12"/>
    <sheet name="DMACC - Newton Career Academy" sheetId="10" r:id="rId13"/>
    <sheet name="DMACC - Carroll Career Academy" sheetId="11" r:id="rId14"/>
    <sheet name="SWCC - Creston" sheetId="16" r:id="rId15"/>
    <sheet name="SWCC - Clarke" sheetId="17" r:id="rId16"/>
    <sheet name="SWCC - Central Decatur" sheetId="18" r:id="rId17"/>
    <sheet name="SWCC - Red Oak" sheetId="19" r:id="rId18"/>
    <sheet name="IHCC-Mahaska" sheetId="22" r:id="rId19"/>
    <sheet name="IHCC-Keokuk" sheetId="23" r:id="rId20"/>
    <sheet name="IHCC-Fairfield" sheetId="24" r:id="rId21"/>
    <sheet name="IHCC-Rathbun" sheetId="25" r:id="rId22"/>
  </sheets>
  <calcPr calcId="125725"/>
</workbook>
</file>

<file path=xl/calcChain.xml><?xml version="1.0" encoding="utf-8"?>
<calcChain xmlns="http://schemas.openxmlformats.org/spreadsheetml/2006/main">
  <c r="F6" i="20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5"/>
  <c r="E5"/>
  <c r="E6"/>
  <c r="E8"/>
  <c r="E9"/>
  <c r="E10"/>
  <c r="E11"/>
  <c r="E12"/>
  <c r="E13"/>
  <c r="E14"/>
  <c r="E15"/>
  <c r="E17"/>
  <c r="E18"/>
  <c r="E19"/>
  <c r="E20"/>
  <c r="E22"/>
  <c r="E23"/>
  <c r="E24"/>
  <c r="E25"/>
  <c r="E26"/>
  <c r="E15" i="5" l="1"/>
  <c r="F15"/>
  <c r="E26"/>
  <c r="F26"/>
  <c r="E14" i="4"/>
  <c r="F14"/>
</calcChain>
</file>

<file path=xl/comments1.xml><?xml version="1.0" encoding="utf-8"?>
<comments xmlns="http://schemas.openxmlformats.org/spreadsheetml/2006/main">
  <authors>
    <author>Beadle</author>
  </authors>
  <commentList>
    <comment ref="F10" authorId="0">
      <text>
        <r>
          <rPr>
            <b/>
            <sz val="8"/>
            <color indexed="81"/>
            <rFont val="Tahoma"/>
            <family val="2"/>
          </rPr>
          <t>Beadle:</t>
        </r>
        <r>
          <rPr>
            <sz val="8"/>
            <color indexed="81"/>
            <rFont val="Tahoma"/>
            <family val="2"/>
          </rPr>
          <t xml:space="preserve">
Class is hybrid, 1520 face to face and 1360 online minutes = 2880.</t>
        </r>
      </text>
    </comment>
    <comment ref="F21" authorId="0">
      <text>
        <r>
          <rPr>
            <b/>
            <sz val="8"/>
            <color indexed="81"/>
            <rFont val="Tahoma"/>
            <family val="2"/>
          </rPr>
          <t>Beadle:</t>
        </r>
        <r>
          <rPr>
            <sz val="8"/>
            <color indexed="81"/>
            <rFont val="Tahoma"/>
            <family val="2"/>
          </rPr>
          <t xml:space="preserve">
Class is hybrid, 1520 face to face and 1360 online minutes = 2880.</t>
        </r>
      </text>
    </comment>
  </commentList>
</comments>
</file>

<file path=xl/sharedStrings.xml><?xml version="1.0" encoding="utf-8"?>
<sst xmlns="http://schemas.openxmlformats.org/spreadsheetml/2006/main" count="4349" uniqueCount="1670">
  <si>
    <t>2-25-13/5-15-13</t>
  </si>
  <si>
    <t>MWF 12:30-3:15pm</t>
  </si>
  <si>
    <t>Auto Brake Systems</t>
  </si>
  <si>
    <t>AUT505</t>
  </si>
  <si>
    <t>1-14-13/2-22-13</t>
  </si>
  <si>
    <t>App Auto Basics II</t>
  </si>
  <si>
    <t>AUT124</t>
  </si>
  <si>
    <t>2013 Spring Semester</t>
  </si>
  <si>
    <t>App Aut Basics</t>
  </si>
  <si>
    <t>AUT123</t>
  </si>
  <si>
    <t>8-22-12/ 9-21-12</t>
  </si>
  <si>
    <t>Intro to Auto Tech</t>
  </si>
  <si>
    <t>AU102</t>
  </si>
  <si>
    <t>2012 Fall Semester</t>
  </si>
  <si>
    <t>Auto  (13 credits)</t>
  </si>
  <si>
    <t>Comments</t>
  </si>
  <si>
    <t>Contact Minutes</t>
  </si>
  <si>
    <t>Schedule</t>
  </si>
  <si>
    <t>Course Title</t>
  </si>
  <si>
    <t>Course Number</t>
  </si>
  <si>
    <t>Allamakee, North Fayette, Turkey Valley, South Winneshiek, West Central</t>
  </si>
  <si>
    <t>2012-2013 Calmar Auto Consortium</t>
  </si>
  <si>
    <t>North East Iowa Community College</t>
  </si>
  <si>
    <t>Class is hybrid, 1650 face to face and 3150 online</t>
  </si>
  <si>
    <t>F 1:40-3:15 Hybrid</t>
  </si>
  <si>
    <t>Intro to Comp Bus Apps</t>
  </si>
  <si>
    <t>BCA212</t>
  </si>
  <si>
    <t>1-14-13/5-10-13</t>
  </si>
  <si>
    <t>M-Thr 1:40-3:30pm</t>
  </si>
  <si>
    <t>Diesel Engine Principles</t>
  </si>
  <si>
    <t>DSL353</t>
  </si>
  <si>
    <t>Class is hybrid, 1520 face to face and 1360 online minutes = 2880.</t>
  </si>
  <si>
    <t>8-22-12/12-14-12</t>
  </si>
  <si>
    <t>Workplace Communication</t>
  </si>
  <si>
    <t>COM723</t>
  </si>
  <si>
    <t>10-18-12/12-14-12</t>
  </si>
  <si>
    <t>M-Thr 1:30-3:30pm</t>
  </si>
  <si>
    <t>Auto Transmission</t>
  </si>
  <si>
    <t>AUT321</t>
  </si>
  <si>
    <t>8-22-12/ 10-17-12</t>
  </si>
  <si>
    <t>Diesel Brakes</t>
  </si>
  <si>
    <t>DSL632</t>
  </si>
  <si>
    <t>Diesel (14 credits)</t>
  </si>
  <si>
    <t>Suspension &amp; Steering</t>
  </si>
  <si>
    <t>AUT404</t>
  </si>
  <si>
    <t>9-6-12/12-14-12</t>
  </si>
  <si>
    <t>Auto Brakes</t>
  </si>
  <si>
    <t>AUT503</t>
  </si>
  <si>
    <t>8-22-12/ 9-5-12</t>
  </si>
  <si>
    <t>Auto Shop Practices</t>
  </si>
  <si>
    <t>AU110</t>
  </si>
  <si>
    <t>Auto  (13.5 credits)</t>
  </si>
  <si>
    <t>Cascade, West Dubuque</t>
  </si>
  <si>
    <t>2012-2013 West Dubuque Auto &amp; Diesel Consortium</t>
  </si>
  <si>
    <t>Fall Only</t>
  </si>
  <si>
    <t>2 Credits</t>
  </si>
  <si>
    <t>2:10-3:00PM</t>
  </si>
  <si>
    <t>M-F</t>
  </si>
  <si>
    <t>Welding Fundamentals</t>
  </si>
  <si>
    <t>Can take Fall or Spring</t>
  </si>
  <si>
    <t>10:10-11:00AM</t>
  </si>
  <si>
    <t>Spring Only</t>
  </si>
  <si>
    <t>3 Credits</t>
  </si>
  <si>
    <t>MWTH</t>
  </si>
  <si>
    <t>Introduction to Sociology</t>
  </si>
  <si>
    <t>SOC 110</t>
  </si>
  <si>
    <t>MW</t>
  </si>
  <si>
    <t>Career Decision Making</t>
  </si>
  <si>
    <t>SDV 160</t>
  </si>
  <si>
    <t>1 Credit</t>
  </si>
  <si>
    <t>TH</t>
  </si>
  <si>
    <t>How College Works</t>
  </si>
  <si>
    <t>SDV 102</t>
  </si>
  <si>
    <t>Human Relations</t>
  </si>
  <si>
    <t>MGT 145</t>
  </si>
  <si>
    <t>Environmental Science</t>
  </si>
  <si>
    <t>ENV 115</t>
  </si>
  <si>
    <t>M-TH</t>
  </si>
  <si>
    <t>Intro to Computers</t>
  </si>
  <si>
    <t>TTHF</t>
  </si>
  <si>
    <t>Exploring Teaching</t>
  </si>
  <si>
    <t>Other</t>
  </si>
  <si>
    <t>12:30-1:15</t>
  </si>
  <si>
    <t>F</t>
  </si>
  <si>
    <t>12:30-2:00PM</t>
  </si>
  <si>
    <t>TTH</t>
  </si>
  <si>
    <t>Networking Basics</t>
  </si>
  <si>
    <t>1:15-2:00</t>
  </si>
  <si>
    <t>Advanced PC Concepts</t>
  </si>
  <si>
    <t>Year 1 -Spring Semester</t>
  </si>
  <si>
    <t>TTh</t>
  </si>
  <si>
    <t>Programming Concepts</t>
  </si>
  <si>
    <t>Computer Hardware Basics</t>
  </si>
  <si>
    <t>Year 1 - Fall Semester</t>
  </si>
  <si>
    <t>Information Technology Academy (12 Credits)</t>
  </si>
  <si>
    <t>TBD</t>
  </si>
  <si>
    <t>8:30-10:00AM</t>
  </si>
  <si>
    <t>Machinist Mathematics I</t>
  </si>
  <si>
    <t>4 Credits</t>
  </si>
  <si>
    <t>MWF</t>
  </si>
  <si>
    <t>CNC Machine Operations</t>
  </si>
  <si>
    <t>Metal Fabrication Academy (? Credits)</t>
  </si>
  <si>
    <t>Feb. 18-May 14</t>
  </si>
  <si>
    <t>3.5 Credits</t>
  </si>
  <si>
    <t>Nurse Aide</t>
  </si>
  <si>
    <t>HSC 168</t>
  </si>
  <si>
    <t>January 22-Feb. 15</t>
  </si>
  <si>
    <t>Professionals in Health</t>
  </si>
  <si>
    <t>HSC 107</t>
  </si>
  <si>
    <t>1:15-2:00PM</t>
  </si>
  <si>
    <t>Afternoon Acamedy</t>
  </si>
  <si>
    <t>Medical Terminology</t>
  </si>
  <si>
    <t>HSC 115</t>
  </si>
  <si>
    <t>12:30-1:15PM</t>
  </si>
  <si>
    <t>Exploration of Healtcare Careers</t>
  </si>
  <si>
    <t>HSC 205</t>
  </si>
  <si>
    <t>8:30-9:15</t>
  </si>
  <si>
    <t>Morning Academy</t>
  </si>
  <si>
    <t>9:15-10:00AM</t>
  </si>
  <si>
    <t>Health Science Academy:Patient Care (12.5 Credits)</t>
  </si>
  <si>
    <t>3 credits</t>
  </si>
  <si>
    <t>Digital Imaging</t>
  </si>
  <si>
    <t>GRA 131</t>
  </si>
  <si>
    <t>2nd half of semester</t>
  </si>
  <si>
    <t>Digital Layout</t>
  </si>
  <si>
    <t>GRA 140</t>
  </si>
  <si>
    <t>1st half of semester</t>
  </si>
  <si>
    <t>Illustrator I</t>
  </si>
  <si>
    <t>GRA 127</t>
  </si>
  <si>
    <t>Graphics Academy (9 Credits)</t>
  </si>
  <si>
    <t>Year long</t>
  </si>
  <si>
    <t>PLTW-Biotechnical Engineering</t>
  </si>
  <si>
    <t>EGT 440</t>
  </si>
  <si>
    <t>Year 1</t>
  </si>
  <si>
    <t>Project Lead the Way: Engineering (3 Optional Credits</t>
  </si>
  <si>
    <t>PLTW-Principles of Engineering</t>
  </si>
  <si>
    <t>EGT 410</t>
  </si>
  <si>
    <t>PLTW-Intro to Engineering Design</t>
  </si>
  <si>
    <t>EGT 400</t>
  </si>
  <si>
    <t>Year 1 - Spring Semester</t>
  </si>
  <si>
    <t>Project Lead the Way: Engineering (6 Credits)</t>
  </si>
  <si>
    <t>Afternoon Section</t>
  </si>
  <si>
    <t>4 credits</t>
  </si>
  <si>
    <t>1:50-3:00PM</t>
  </si>
  <si>
    <t>Technical Lab I</t>
  </si>
  <si>
    <t>AUT 888</t>
  </si>
  <si>
    <t>Morning Section</t>
  </si>
  <si>
    <t>9:47-11:00AM</t>
  </si>
  <si>
    <t>Auto Technology  (4 Optional Credits) Students take one semester only</t>
  </si>
  <si>
    <t>5 credits</t>
  </si>
  <si>
    <t>12:30-1:40PM</t>
  </si>
  <si>
    <t>Automotive Electricity</t>
  </si>
  <si>
    <t>8:30-9:40 AM</t>
  </si>
  <si>
    <t>8:30-9:45AM</t>
  </si>
  <si>
    <t>Industrial Math</t>
  </si>
  <si>
    <t>MAT 715</t>
  </si>
  <si>
    <t>12:30-1:37PM</t>
  </si>
  <si>
    <t>Introduction to Auto Technology</t>
  </si>
  <si>
    <t>AUT 104</t>
  </si>
  <si>
    <t>12:30-1:45PM</t>
  </si>
  <si>
    <t>8:30-9:37AM</t>
  </si>
  <si>
    <t>Auto Technology (8 Credits)</t>
  </si>
  <si>
    <t>Principles of Macroeconomics</t>
  </si>
  <si>
    <t>ECN 120</t>
  </si>
  <si>
    <t>Human Biology</t>
  </si>
  <si>
    <t>BIO 154</t>
  </si>
  <si>
    <t>Music Appreciation</t>
  </si>
  <si>
    <t>MUS 100</t>
  </si>
  <si>
    <t xml:space="preserve">U.S. History to  1877 </t>
  </si>
  <si>
    <t>HIS 151</t>
  </si>
  <si>
    <t>Arts &amp; Science II (12 Credits )</t>
  </si>
  <si>
    <t>PM Section 1</t>
  </si>
  <si>
    <t>Fundamentals of Oral Communication</t>
  </si>
  <si>
    <t>SPC 101</t>
  </si>
  <si>
    <t>AM Section</t>
  </si>
  <si>
    <t>PM Section 3</t>
  </si>
  <si>
    <t>Intro to Psychology</t>
  </si>
  <si>
    <t>PSY 111</t>
  </si>
  <si>
    <t>PM Section 2</t>
  </si>
  <si>
    <t>Composition II</t>
  </si>
  <si>
    <t>ENG 106</t>
  </si>
  <si>
    <t>AM Section 2nd Half of the semester</t>
  </si>
  <si>
    <t>Composition I</t>
  </si>
  <si>
    <t>ENG 105</t>
  </si>
  <si>
    <t>AM Section 1st Half of the semester</t>
  </si>
  <si>
    <t>Arts &amp; Science I (12 Credits )</t>
  </si>
  <si>
    <t>2012-2013 Jones Regional Education Center Career Academy</t>
  </si>
  <si>
    <t>Kirkwood Community College</t>
  </si>
  <si>
    <t>2 credits</t>
  </si>
  <si>
    <t>M-F 7:30 - 9:30 or 12:50 - 2:50</t>
  </si>
  <si>
    <t>Initial Field Experience</t>
  </si>
  <si>
    <t>EDU218</t>
  </si>
  <si>
    <t>Intro To Education</t>
  </si>
  <si>
    <t>EDU213</t>
  </si>
  <si>
    <t>Teacher Academy (5 credits)</t>
  </si>
  <si>
    <t>Professional Development</t>
  </si>
  <si>
    <t>ADM259</t>
  </si>
  <si>
    <t>Year 2 - Spring Semester</t>
  </si>
  <si>
    <t>Career Skill Development</t>
  </si>
  <si>
    <t>ADM221</t>
  </si>
  <si>
    <t>Begins Fall semster, ends Spring semester</t>
  </si>
  <si>
    <t>Occupational Experience</t>
  </si>
  <si>
    <t>ADM936</t>
  </si>
  <si>
    <t>Career Work Experience (8 credits)</t>
  </si>
  <si>
    <t>M-F 12:50 - 2:50</t>
  </si>
  <si>
    <t>Intro to FLASH</t>
  </si>
  <si>
    <t>WDV261</t>
  </si>
  <si>
    <t>Interactive Media I</t>
  </si>
  <si>
    <t>GRD470</t>
  </si>
  <si>
    <t>Begins Fall semester, ends spring semester</t>
  </si>
  <si>
    <t>Photoshop</t>
  </si>
  <si>
    <t>GRD463</t>
  </si>
  <si>
    <t>Intro to Web Development</t>
  </si>
  <si>
    <t>WDV101</t>
  </si>
  <si>
    <t>Communication Design</t>
  </si>
  <si>
    <t>GRD403</t>
  </si>
  <si>
    <t>Web Page Design (15 credits)</t>
  </si>
  <si>
    <t>M-F 7:30 - 9:30</t>
  </si>
  <si>
    <t>Linux Networking Administration</t>
  </si>
  <si>
    <t>NET402</t>
  </si>
  <si>
    <t>CISCO Networking</t>
  </si>
  <si>
    <t>NET213</t>
  </si>
  <si>
    <t>Digital/Computer Electronics</t>
  </si>
  <si>
    <t>NET144</t>
  </si>
  <si>
    <t>NET123</t>
  </si>
  <si>
    <t>Information Technology Network Administration (14 credits)</t>
  </si>
  <si>
    <t xml:space="preserve">Advanced Nurse Aide </t>
  </si>
  <si>
    <t>HSC182</t>
  </si>
  <si>
    <t>Nurse Aide Training</t>
  </si>
  <si>
    <t>HSC172</t>
  </si>
  <si>
    <t>Med Terms I</t>
  </si>
  <si>
    <t xml:space="preserve">HSC120  </t>
  </si>
  <si>
    <t>Intro to Health Careers</t>
  </si>
  <si>
    <t>HSC109</t>
  </si>
  <si>
    <t>1 credit</t>
  </si>
  <si>
    <t>Survey of Health Careers</t>
  </si>
  <si>
    <t>HSC105</t>
  </si>
  <si>
    <t>Emergency Care</t>
  </si>
  <si>
    <t xml:space="preserve">HSC102 </t>
  </si>
  <si>
    <t>or</t>
  </si>
  <si>
    <t>Health Occupations (14 credits)</t>
  </si>
  <si>
    <t>As arranged</t>
  </si>
  <si>
    <t>Work Experience</t>
  </si>
  <si>
    <t xml:space="preserve">HCM510 </t>
  </si>
  <si>
    <t>M-F 10:00 - 11:50</t>
  </si>
  <si>
    <t>Advanced Baking</t>
  </si>
  <si>
    <t>HCM124</t>
  </si>
  <si>
    <t>Introdction to the Hospitality Industry</t>
  </si>
  <si>
    <t xml:space="preserve">HCM320 </t>
  </si>
  <si>
    <t>Garde Manger</t>
  </si>
  <si>
    <t>HCM270</t>
  </si>
  <si>
    <t>Baking</t>
  </si>
  <si>
    <t>HCM110</t>
  </si>
  <si>
    <t>Year 2 - Fall Semester</t>
  </si>
  <si>
    <t>Food Prep II Lab</t>
  </si>
  <si>
    <t xml:space="preserve">HCM153 </t>
  </si>
  <si>
    <t>Food Prep II Lecture</t>
  </si>
  <si>
    <t xml:space="preserve">HCM152 </t>
  </si>
  <si>
    <t>Sanitation Lab</t>
  </si>
  <si>
    <t xml:space="preserve">HCM104 </t>
  </si>
  <si>
    <t>Sanitation and Safety</t>
  </si>
  <si>
    <t>HCM100</t>
  </si>
  <si>
    <t>Food Prep I Lab</t>
  </si>
  <si>
    <t>HCM144</t>
  </si>
  <si>
    <t>Food Prep I Lecture</t>
  </si>
  <si>
    <t>HCM143</t>
  </si>
  <si>
    <t>Culinary Arts (13 credits)</t>
  </si>
  <si>
    <t>Criminal Law</t>
  </si>
  <si>
    <t>CRJ237</t>
  </si>
  <si>
    <t>Theories of Interviewing</t>
  </si>
  <si>
    <t>CRJ109</t>
  </si>
  <si>
    <t>Year 2 - Spring Semester (no fall semester for year 2)</t>
  </si>
  <si>
    <t>Begins fall semester, ends spring semester</t>
  </si>
  <si>
    <t>Crime Scene Investigation</t>
  </si>
  <si>
    <t>CRJ195</t>
  </si>
  <si>
    <t>Criminal Investigation</t>
  </si>
  <si>
    <t>CRJ141</t>
  </si>
  <si>
    <t>Intro to Criminal Justice</t>
  </si>
  <si>
    <t>CRJ100</t>
  </si>
  <si>
    <t>Criminal Justice (16 credits)</t>
  </si>
  <si>
    <t>M-F 7:50 - 9:50, 10:00 - 11:50, or 12:50 - 2:50</t>
  </si>
  <si>
    <t>Drafting and Design</t>
  </si>
  <si>
    <t xml:space="preserve">CON341 </t>
  </si>
  <si>
    <t>7 credits</t>
  </si>
  <si>
    <t>Construction Techniques</t>
  </si>
  <si>
    <t>CON334</t>
  </si>
  <si>
    <t>Concrete Systems and Forming</t>
  </si>
  <si>
    <t>CON346</t>
  </si>
  <si>
    <t>Materials Takeoff</t>
  </si>
  <si>
    <t>CON338</t>
  </si>
  <si>
    <t>Materials/Construction Theory</t>
  </si>
  <si>
    <t>CON333</t>
  </si>
  <si>
    <t>Blueprint Reading</t>
  </si>
  <si>
    <t xml:space="preserve">CON337 </t>
  </si>
  <si>
    <t>Care and Use of Hand and Power Tools</t>
  </si>
  <si>
    <t>CON336</t>
  </si>
  <si>
    <t>Building Trades/Finish Carpentry (12 credits)</t>
  </si>
  <si>
    <t>M-F 10:00-11:50am</t>
  </si>
  <si>
    <t>Advanced Auto Electricity/Electonics</t>
  </si>
  <si>
    <t>AUT652</t>
  </si>
  <si>
    <t>Auto Brake Systems and Service</t>
  </si>
  <si>
    <t xml:space="preserve">AUT524 </t>
  </si>
  <si>
    <t>Year 2 - Spring Terms</t>
  </si>
  <si>
    <t>Basic Suspension and Steering</t>
  </si>
  <si>
    <t>Auto Engine Repair</t>
  </si>
  <si>
    <t>AUT163</t>
  </si>
  <si>
    <t>Auto Electricty/Electronics</t>
  </si>
  <si>
    <t>AUT615</t>
  </si>
  <si>
    <t>Shop Fundamentals and Minor Repair</t>
  </si>
  <si>
    <t>AUT114</t>
  </si>
  <si>
    <t>Automotive Technology (11 credits)</t>
  </si>
  <si>
    <t>Refinishing Applications</t>
  </si>
  <si>
    <t>CRR 877</t>
  </si>
  <si>
    <t>Advanced Estimating</t>
  </si>
  <si>
    <t>CRR 760</t>
  </si>
  <si>
    <t>Plastic Repair</t>
  </si>
  <si>
    <t>CRR 202</t>
  </si>
  <si>
    <t>Sheet Metal Welding</t>
  </si>
  <si>
    <t>CRR101</t>
  </si>
  <si>
    <t>Estimating Theory</t>
  </si>
  <si>
    <t>CRR 742</t>
  </si>
  <si>
    <t>Principles of Refinishing</t>
  </si>
  <si>
    <t>CRR 841</t>
  </si>
  <si>
    <t>Sheet Metal Fundamentals</t>
  </si>
  <si>
    <t>CRR 325</t>
  </si>
  <si>
    <t>Basic Shop Safety</t>
  </si>
  <si>
    <t>CRR 150</t>
  </si>
  <si>
    <t>Auto Collision (15 credits)</t>
  </si>
  <si>
    <t xml:space="preserve">2012-2013 Ames Hunziker Center Career Academy </t>
  </si>
  <si>
    <t>Des Moines Area Community College</t>
  </si>
  <si>
    <t>M-F 7:45 - 9:45</t>
  </si>
  <si>
    <t>Begins Fall Semester, Ends Spring Semester</t>
  </si>
  <si>
    <t>Typography I</t>
  </si>
  <si>
    <t>GRD405</t>
  </si>
  <si>
    <t>Intro to Desktop Publihsing</t>
  </si>
  <si>
    <t>GRD301</t>
  </si>
  <si>
    <t>Visual Communications (15 credits)</t>
  </si>
  <si>
    <t>Digital Electronics - Lab</t>
  </si>
  <si>
    <t>NET145</t>
  </si>
  <si>
    <t>PLTW - Digital Electronics</t>
  </si>
  <si>
    <t>EGT420</t>
  </si>
  <si>
    <t>Fall Semester OR Spring Semester</t>
  </si>
  <si>
    <t>Project Lead The Way (6 credits)</t>
  </si>
  <si>
    <t>M-F 12:45 - 2:45</t>
  </si>
  <si>
    <t>Machine Trade Print Reading I</t>
  </si>
  <si>
    <t>MFG121</t>
  </si>
  <si>
    <t>Mill Operations Lab</t>
  </si>
  <si>
    <t>MFG261</t>
  </si>
  <si>
    <t>Mill Operations Theory</t>
  </si>
  <si>
    <t>MFG260</t>
  </si>
  <si>
    <t>Machine Shop Measuring</t>
  </si>
  <si>
    <t>MFG105</t>
  </si>
  <si>
    <t>Engine Lathe Lab</t>
  </si>
  <si>
    <t>MFG251</t>
  </si>
  <si>
    <t>Engine Lathe Theory</t>
  </si>
  <si>
    <t>MFG250</t>
  </si>
  <si>
    <t>Machine Operations/Tool and Die (11 credits)</t>
  </si>
  <si>
    <t>6 credits</t>
  </si>
  <si>
    <t>M-F 7:45 - 2:45</t>
  </si>
  <si>
    <t>Power Trains I</t>
  </si>
  <si>
    <t>DSL546</t>
  </si>
  <si>
    <t>Hydraulics and Brakes</t>
  </si>
  <si>
    <t>DSL605</t>
  </si>
  <si>
    <t>Diesel Mechanic (11 credits)</t>
  </si>
  <si>
    <t>Intro to Hospitality Industy</t>
  </si>
  <si>
    <t>HCM320</t>
  </si>
  <si>
    <t>Menu Planning and Design</t>
  </si>
  <si>
    <t>HCM240</t>
  </si>
  <si>
    <t>Dining Management</t>
  </si>
  <si>
    <t>HCM210</t>
  </si>
  <si>
    <t>Nutrition</t>
  </si>
  <si>
    <t xml:space="preserve">HCM231 </t>
  </si>
  <si>
    <t>M-F 12:45-2:45pm</t>
  </si>
  <si>
    <t>M-F 7:45 - 9:45 or 12:45 - 2:45</t>
  </si>
  <si>
    <t>Scientific Investigation</t>
  </si>
  <si>
    <t>CRJ248</t>
  </si>
  <si>
    <t>Survey of Crim Justice Agencies</t>
  </si>
  <si>
    <t>CRJ107</t>
  </si>
  <si>
    <t>Personal Finance</t>
  </si>
  <si>
    <t>FIN 121</t>
  </si>
  <si>
    <t>Macroeconomics</t>
  </si>
  <si>
    <t>Accounting I</t>
  </si>
  <si>
    <t>ACC 131</t>
  </si>
  <si>
    <t>Business Law I</t>
  </si>
  <si>
    <t>BUS 185</t>
  </si>
  <si>
    <t>Intro to Business</t>
  </si>
  <si>
    <t>BUS 102</t>
  </si>
  <si>
    <t>Business Administration (18 credits)</t>
  </si>
  <si>
    <t>M-F 7:45 - 10:15</t>
  </si>
  <si>
    <t>Interior Trim Practices</t>
  </si>
  <si>
    <t>CON342</t>
  </si>
  <si>
    <t>Building Trades/Finish Carpentry (9 credits) (Year 2 Only - No Year 1 Career Academy program on Ankeny Campus)</t>
  </si>
  <si>
    <t>Auto Heating and AC</t>
  </si>
  <si>
    <t>AUT704</t>
  </si>
  <si>
    <t>Auto Fuel Systems</t>
  </si>
  <si>
    <t>AUT834</t>
  </si>
  <si>
    <t xml:space="preserve">M-F 7:45 - 9:45 </t>
  </si>
  <si>
    <t xml:space="preserve">2012-2013 Ankeny Campus Career Academy </t>
  </si>
  <si>
    <t>M-F 1:30 - 3:10</t>
  </si>
  <si>
    <t>Small Business Management</t>
  </si>
  <si>
    <t>BUS148</t>
  </si>
  <si>
    <t>Business Math</t>
  </si>
  <si>
    <t>BUS112</t>
  </si>
  <si>
    <t>Human Relations in Business</t>
  </si>
  <si>
    <t>MGT145</t>
  </si>
  <si>
    <t>General Business</t>
  </si>
  <si>
    <t>M-F 2:20 - 3:10</t>
  </si>
  <si>
    <t>Developmental Psychology</t>
  </si>
  <si>
    <t>PSY121</t>
  </si>
  <si>
    <t>M-F 1:30 - 2:20</t>
  </si>
  <si>
    <t>PSY111</t>
  </si>
  <si>
    <t>M-F 8:40 - 9:40</t>
  </si>
  <si>
    <t>Children's Literature</t>
  </si>
  <si>
    <t>LIT105</t>
  </si>
  <si>
    <t>M-F 7:40 - 8:40</t>
  </si>
  <si>
    <t>ENG106</t>
  </si>
  <si>
    <t>Spring Semester</t>
  </si>
  <si>
    <t>Social Problems</t>
  </si>
  <si>
    <t>SOC115</t>
  </si>
  <si>
    <t>Intro to Sociology</t>
  </si>
  <si>
    <t>SOC110</t>
  </si>
  <si>
    <t>Intro to Literature</t>
  </si>
  <si>
    <t>LIT101</t>
  </si>
  <si>
    <t>ENG105</t>
  </si>
  <si>
    <t>Fall Semester</t>
  </si>
  <si>
    <t>Academic</t>
  </si>
  <si>
    <t>Civil Engineering &amp; Architecture</t>
  </si>
  <si>
    <t>EGT460</t>
  </si>
  <si>
    <t>M-F 8:10 - 9:30</t>
  </si>
  <si>
    <t>Principles of Engineering</t>
  </si>
  <si>
    <t>EGT410</t>
  </si>
  <si>
    <t>Digital Electronics</t>
  </si>
  <si>
    <t>Intro to Engineering Design</t>
  </si>
  <si>
    <t>EGT400</t>
  </si>
  <si>
    <t>Project Lead The Way</t>
  </si>
  <si>
    <t>M-F 1:10 - 3:10</t>
  </si>
  <si>
    <t>Gas Metal Arc Welding</t>
  </si>
  <si>
    <t>WEL181</t>
  </si>
  <si>
    <t>Arc Welding V</t>
  </si>
  <si>
    <t>WEL168</t>
  </si>
  <si>
    <t>Gas Tungsten Arc Welding</t>
  </si>
  <si>
    <t>WEL190</t>
  </si>
  <si>
    <t>Arc Welding IV</t>
  </si>
  <si>
    <t>WEL167</t>
  </si>
  <si>
    <t>ARC Welding III</t>
  </si>
  <si>
    <t>WEL166</t>
  </si>
  <si>
    <t>ARC Welding II</t>
  </si>
  <si>
    <t>WEL165</t>
  </si>
  <si>
    <t>ARC Welding I</t>
  </si>
  <si>
    <t>WEL150</t>
  </si>
  <si>
    <t>OXY Fuel Welding/Cutting</t>
  </si>
  <si>
    <t>WEL120</t>
  </si>
  <si>
    <t>Welding (9 Credits)</t>
  </si>
  <si>
    <t>M-F 7:40 - 9:40</t>
  </si>
  <si>
    <t>Health Occupations (12 credits)</t>
  </si>
  <si>
    <t>Culinary Arts (12 credits)</t>
  </si>
  <si>
    <t>CRJ130</t>
  </si>
  <si>
    <t>M-F 7:40 - 9:40 or 1:10 - 3:10</t>
  </si>
  <si>
    <t xml:space="preserve">2012-2013 Van Kirk Perry Career Academy </t>
  </si>
  <si>
    <t>Arc Welding VI</t>
  </si>
  <si>
    <t>WEL169</t>
  </si>
  <si>
    <t>M-F 7:30 - 9:30 or 1:15 - 3:15</t>
  </si>
  <si>
    <t>Digital/Computer Electronics Lab</t>
  </si>
  <si>
    <t>Information Technology Network Administration/PLTW (13 credits)</t>
  </si>
  <si>
    <t>M-F 1:15 - 3:15</t>
  </si>
  <si>
    <t>M-F 1:15-3:15</t>
  </si>
  <si>
    <t>Advanced Nurse Aide</t>
  </si>
  <si>
    <t>Year 1 Fall Semester</t>
  </si>
  <si>
    <t>M-F  7:30 - 9:30</t>
  </si>
  <si>
    <t xml:space="preserve">M-F 7:30 - 9:30 </t>
  </si>
  <si>
    <t>Year 2 -Spring Semester</t>
  </si>
  <si>
    <t>M-F 7:30 - 9:30 or 1:15 -3:15</t>
  </si>
  <si>
    <t>M-F 1:15-3:15 pm</t>
  </si>
  <si>
    <t xml:space="preserve">2012-2013 Newton Center Career Academy </t>
  </si>
  <si>
    <t xml:space="preserve"> </t>
  </si>
  <si>
    <t>M-F  1:10 - 2:25</t>
  </si>
  <si>
    <t>Programmable Controllers</t>
  </si>
  <si>
    <t>ELT123</t>
  </si>
  <si>
    <t>M-F  9:51 - 11:23</t>
  </si>
  <si>
    <t>Principles of Electricity</t>
  </si>
  <si>
    <t>ELT303</t>
  </si>
  <si>
    <t>Motor Controls</t>
  </si>
  <si>
    <t>ELT131</t>
  </si>
  <si>
    <t xml:space="preserve">Year 1 - Fall Semester </t>
  </si>
  <si>
    <t>Electro-Industrial Maintenance (18 credits)</t>
  </si>
  <si>
    <t>T &amp; R 1:10 - 3:00</t>
  </si>
  <si>
    <t>M-W-F 7:30 - 9:30 or 12:50 - 2:50</t>
  </si>
  <si>
    <t>M &amp; W 7:45-9:35</t>
  </si>
  <si>
    <t>T &amp; R 8:00-9:32</t>
  </si>
  <si>
    <t>M-F 7:45 - 9:35, 10:10-12:00 or 1:10 - 3:00</t>
  </si>
  <si>
    <t>M-F 7:45 - 9:35, 10:0-12:00 or 1:10 - 3:00</t>
  </si>
  <si>
    <t xml:space="preserve">2012-2013 Carroll Center Career Academy </t>
  </si>
  <si>
    <t>M-F 8:00-10:00am</t>
  </si>
  <si>
    <t>Fundamentals of Electricity Lab</t>
  </si>
  <si>
    <t xml:space="preserve">AGM 301 </t>
  </si>
  <si>
    <t>Fundamentals of Hydraulic lab</t>
  </si>
  <si>
    <t xml:space="preserve">AGM 117 </t>
  </si>
  <si>
    <t>Fundamentals of Hydraulic</t>
  </si>
  <si>
    <t>AGM 116</t>
  </si>
  <si>
    <t>Differentials and Final Drives</t>
  </si>
  <si>
    <t>AGM 430</t>
  </si>
  <si>
    <t>Engine Repair</t>
  </si>
  <si>
    <t>AGM 411</t>
  </si>
  <si>
    <t>Farm Equipment &amp; Diesel Technology ( 19 credits)</t>
  </si>
  <si>
    <t>Convention Management</t>
  </si>
  <si>
    <t>HCM 592</t>
  </si>
  <si>
    <t>Hospitality Law</t>
  </si>
  <si>
    <t>HCM 310</t>
  </si>
  <si>
    <t>Food Lab II</t>
  </si>
  <si>
    <t>Food Lab I</t>
  </si>
  <si>
    <t>Fundamentals of Oral Communications</t>
  </si>
  <si>
    <t>Business Law</t>
  </si>
  <si>
    <t>BUS 183</t>
  </si>
  <si>
    <t>CSC 110</t>
  </si>
  <si>
    <t>Front Office Operations/Night Audit</t>
  </si>
  <si>
    <t>HCM 595</t>
  </si>
  <si>
    <t>Business Communications</t>
  </si>
  <si>
    <t>BUS 121</t>
  </si>
  <si>
    <t>Nutrition for the Life Cycle</t>
  </si>
  <si>
    <t>HCM 229</t>
  </si>
  <si>
    <t>Housekeeping Management</t>
  </si>
  <si>
    <t>HCM 591</t>
  </si>
  <si>
    <t>Hotel &amp; Restaurant Management (33 credits)</t>
  </si>
  <si>
    <t>Plant Material II</t>
  </si>
  <si>
    <t>AGH 128</t>
  </si>
  <si>
    <t>Turfgrass Management</t>
  </si>
  <si>
    <t>AGH 113</t>
  </si>
  <si>
    <t>Plant Material III</t>
  </si>
  <si>
    <t>Landscape Design Tech</t>
  </si>
  <si>
    <t>AGH 152</t>
  </si>
  <si>
    <t>Intro to Soils</t>
  </si>
  <si>
    <t>AGA 156</t>
  </si>
  <si>
    <t>Intro to Horticulture</t>
  </si>
  <si>
    <t>AGH 106</t>
  </si>
  <si>
    <t>Landscape and Turfgrass Technology ( 19 credits)</t>
  </si>
  <si>
    <t>Agricultural Finance</t>
  </si>
  <si>
    <t>AGB 466</t>
  </si>
  <si>
    <t>Advanced Beef Cow Production</t>
  </si>
  <si>
    <t>AGS 557</t>
  </si>
  <si>
    <t>Introduction of Soils</t>
  </si>
  <si>
    <t>Principales of Farm Business Management</t>
  </si>
  <si>
    <t>AGB 327</t>
  </si>
  <si>
    <t>Computerized Ag Accounting</t>
  </si>
  <si>
    <t>AGB 281</t>
  </si>
  <si>
    <t>Swine Production</t>
  </si>
  <si>
    <t>AGS 400</t>
  </si>
  <si>
    <t>3 credis</t>
  </si>
  <si>
    <t>Animal Nutrition</t>
  </si>
  <si>
    <t>AGS 319</t>
  </si>
  <si>
    <t>Agriculture Production Technology ( 16 credits)</t>
  </si>
  <si>
    <t xml:space="preserve">Pipe Welding </t>
  </si>
  <si>
    <t>WEL 310</t>
  </si>
  <si>
    <t>Special Processes/Procedures</t>
  </si>
  <si>
    <t>WEL 179</t>
  </si>
  <si>
    <t>GMAW/ATAW</t>
  </si>
  <si>
    <t>WEL 183</t>
  </si>
  <si>
    <t>WEL 180</t>
  </si>
  <si>
    <t>Structural Welding</t>
  </si>
  <si>
    <t>WEL158</t>
  </si>
  <si>
    <t>Brazing/Sodering</t>
  </si>
  <si>
    <t>WEL 128</t>
  </si>
  <si>
    <t>Arc Welding I</t>
  </si>
  <si>
    <t>WEL 160</t>
  </si>
  <si>
    <t>Oxy Fuel Welding and Cutting</t>
  </si>
  <si>
    <t>WEL 121</t>
  </si>
  <si>
    <t>Welding Technology ( 28 credits)</t>
  </si>
  <si>
    <t>Motorcycle Ingnition &amp; Electrical Systems</t>
  </si>
  <si>
    <t>MOT 146</t>
  </si>
  <si>
    <t>Fundamentals of Electricity</t>
  </si>
  <si>
    <t>MSE 153</t>
  </si>
  <si>
    <t>Motorcycle Engines 2 &amp; 4 Lab</t>
  </si>
  <si>
    <t>MOT 129</t>
  </si>
  <si>
    <t>Motorcycle Engines 2 &amp; 4 Stroke</t>
  </si>
  <si>
    <t>MOT 131</t>
  </si>
  <si>
    <t>Shop Saftey &amp; Procedures</t>
  </si>
  <si>
    <t>MSE 151</t>
  </si>
  <si>
    <t>Small Engine Lab</t>
  </si>
  <si>
    <t>MSE 146</t>
  </si>
  <si>
    <t>Small Engine Theory</t>
  </si>
  <si>
    <t>MSE 143</t>
  </si>
  <si>
    <t>Motorcycle &amp; Small Engine Technology ( 15 credits)</t>
  </si>
  <si>
    <t xml:space="preserve">4 credits </t>
  </si>
  <si>
    <t>Marine Electrical Systems Theory &amp; Lab</t>
  </si>
  <si>
    <t>MSE 190</t>
  </si>
  <si>
    <t>Marine Engines 2 &amp; 4 Stroke Theory</t>
  </si>
  <si>
    <t>MSE 164</t>
  </si>
  <si>
    <t>Introduction to Marine Detailing</t>
  </si>
  <si>
    <t>MSE 148</t>
  </si>
  <si>
    <t>Introuduction to Marine Service</t>
  </si>
  <si>
    <t>MSE 147</t>
  </si>
  <si>
    <t>Marine &amp; Small Engine Technology ( 9 credits)</t>
  </si>
  <si>
    <t>Techniques of Exterior Covering</t>
  </si>
  <si>
    <t>CON 225</t>
  </si>
  <si>
    <t>Foundations &amp; Concrete</t>
  </si>
  <si>
    <t>CON 137</t>
  </si>
  <si>
    <t>Methods of Interior Finishing</t>
  </si>
  <si>
    <t>CON 228</t>
  </si>
  <si>
    <t>Construction Estimating</t>
  </si>
  <si>
    <t>CON 120</t>
  </si>
  <si>
    <t>Framing Techniques &amp; Lab I</t>
  </si>
  <si>
    <t>CON 201</t>
  </si>
  <si>
    <t>Construction Printreading</t>
  </si>
  <si>
    <t>CON 113</t>
  </si>
  <si>
    <t>Construction Technology ( 21 credits)</t>
  </si>
  <si>
    <t>Automotive Fuel Systems</t>
  </si>
  <si>
    <t>AUT 834</t>
  </si>
  <si>
    <t>Auto Manual Drive Train &amp; Axles Lab</t>
  </si>
  <si>
    <t>AUT 313</t>
  </si>
  <si>
    <t>Manual Transmission Theory</t>
  </si>
  <si>
    <t>AUT 260</t>
  </si>
  <si>
    <t>Engine Repair lab</t>
  </si>
  <si>
    <t>AUT 184</t>
  </si>
  <si>
    <t>Brakes Theory</t>
  </si>
  <si>
    <t>AUT 510</t>
  </si>
  <si>
    <t>Intro to Automotive Tech</t>
  </si>
  <si>
    <t>AUT 105</t>
  </si>
  <si>
    <t>1 credits</t>
  </si>
  <si>
    <t>Automotive Shop Safety</t>
  </si>
  <si>
    <t>AUT 115</t>
  </si>
  <si>
    <t>Automotive Technology ( 20 credits)</t>
  </si>
  <si>
    <t>Intro to Refinishing Lab</t>
  </si>
  <si>
    <t>CRR 809</t>
  </si>
  <si>
    <t>Intro to Refinishing Theory</t>
  </si>
  <si>
    <t>CRR 808</t>
  </si>
  <si>
    <t>Collision Lab</t>
  </si>
  <si>
    <t>CRR 351</t>
  </si>
  <si>
    <t>Non-Structual Repair Lab</t>
  </si>
  <si>
    <t>CRR 422</t>
  </si>
  <si>
    <t>Non-Structual Repair Theory</t>
  </si>
  <si>
    <t>CRR 421</t>
  </si>
  <si>
    <t>1credits</t>
  </si>
  <si>
    <t>Estimating Lab</t>
  </si>
  <si>
    <t>CRR 749</t>
  </si>
  <si>
    <t>M-F 8:00 - 10:00am</t>
  </si>
  <si>
    <t>Sheet Metal Repair Lab</t>
  </si>
  <si>
    <t>CRR 327</t>
  </si>
  <si>
    <t>Sheet Metal Repair Theory</t>
  </si>
  <si>
    <t>CRR 326</t>
  </si>
  <si>
    <t>M-F 8:00 -10:00am</t>
  </si>
  <si>
    <t>Intro to Collision Repair</t>
  </si>
  <si>
    <t>CRR 302</t>
  </si>
  <si>
    <t>Auto Collision (21 credits)</t>
  </si>
  <si>
    <t xml:space="preserve">2012-2013 Emmetsburg Career Academy </t>
  </si>
  <si>
    <t>Iowa Lakes Community College</t>
  </si>
  <si>
    <t>Elective</t>
  </si>
  <si>
    <t>ELECTIVE</t>
  </si>
  <si>
    <t>Introduction to Private Security</t>
  </si>
  <si>
    <t>CRJ 208</t>
  </si>
  <si>
    <t>Correctional Law</t>
  </si>
  <si>
    <t>CRJ 136</t>
  </si>
  <si>
    <t>Criminology</t>
  </si>
  <si>
    <t>CRJ 200</t>
  </si>
  <si>
    <t>CRJ 100</t>
  </si>
  <si>
    <t xml:space="preserve"> Juvenile Delinquency</t>
  </si>
  <si>
    <t>CRJ 201</t>
  </si>
  <si>
    <t>Criminal Justice ( 18 credits)</t>
  </si>
  <si>
    <t>Intro to Wind Energy Resources</t>
  </si>
  <si>
    <t>SER 111</t>
  </si>
  <si>
    <t>Environmental Studies II Lab</t>
  </si>
  <si>
    <t>Environmental Studies II</t>
  </si>
  <si>
    <t>EVS 124</t>
  </si>
  <si>
    <t>Intro to Sustainable Energy Resources</t>
  </si>
  <si>
    <t>SER 101</t>
  </si>
  <si>
    <t>Environmental Studies I Lab</t>
  </si>
  <si>
    <t>Environmental Studies I</t>
  </si>
  <si>
    <t>EVS 114</t>
  </si>
  <si>
    <t>Sustainable Energy Resources Management ( 22 credits)</t>
  </si>
  <si>
    <t xml:space="preserve">2012-2013 Estherville Career Academy </t>
  </si>
  <si>
    <t>M-F 6:45 - 7:45am</t>
  </si>
  <si>
    <t>Nures Aid II</t>
  </si>
  <si>
    <t>HSC 177</t>
  </si>
  <si>
    <t>Nures Aid</t>
  </si>
  <si>
    <t>HSC 172</t>
  </si>
  <si>
    <t>Health Sciences ( 9 credits)</t>
  </si>
  <si>
    <t>Daily, Evening and Weekend Projects</t>
  </si>
  <si>
    <t>Practicum</t>
  </si>
  <si>
    <t>MMS 941</t>
  </si>
  <si>
    <t>M-F 9:00-10:40am</t>
  </si>
  <si>
    <t>Advanced Television Production</t>
  </si>
  <si>
    <t>MMS 225</t>
  </si>
  <si>
    <t>Television Studio Production I</t>
  </si>
  <si>
    <t>MMS 115</t>
  </si>
  <si>
    <t>M-F 9:00-9:50am</t>
  </si>
  <si>
    <t>Mass Media</t>
  </si>
  <si>
    <t>MMS 101</t>
  </si>
  <si>
    <t>Broadcast Technology ( 14 credits)</t>
  </si>
  <si>
    <t>M-F 12:50-3:20pm</t>
  </si>
  <si>
    <t>Auto Brake Lab</t>
  </si>
  <si>
    <t>Auto Brake Theory</t>
  </si>
  <si>
    <t>M 12:30-3:00pm</t>
  </si>
  <si>
    <t>Auto Heat and AC</t>
  </si>
  <si>
    <t>AUT 704</t>
  </si>
  <si>
    <t>Auto Engine Repair Lab</t>
  </si>
  <si>
    <t>AUT 186</t>
  </si>
  <si>
    <t>M-F12:50-3:20pm</t>
  </si>
  <si>
    <t>Auto Engine Repair Theory</t>
  </si>
  <si>
    <t>AUT 180</t>
  </si>
  <si>
    <t>M-F 8:30-11:30pm</t>
  </si>
  <si>
    <t>Auto Electricity Lab</t>
  </si>
  <si>
    <t>AUT 624</t>
  </si>
  <si>
    <t>Auto Electricity Theory</t>
  </si>
  <si>
    <t>AUT 630</t>
  </si>
  <si>
    <t>Automotive Technology ( 30 credits)</t>
  </si>
  <si>
    <t xml:space="preserve">2012-2013 Algona Career Academy </t>
  </si>
  <si>
    <t>M-F 8:30-11:30am</t>
  </si>
  <si>
    <t>Nurse Aid II</t>
  </si>
  <si>
    <t>Pharmacology</t>
  </si>
  <si>
    <t>MAP 515</t>
  </si>
  <si>
    <t>Exploring Health Careers &amp; Building Teams</t>
  </si>
  <si>
    <t>HSC 114</t>
  </si>
  <si>
    <t>Successful Learning</t>
  </si>
  <si>
    <t>SDV 103</t>
  </si>
  <si>
    <t>M-F 8:30:-11:30am</t>
  </si>
  <si>
    <t>HSC 163</t>
  </si>
  <si>
    <t>Nurse Aid I</t>
  </si>
  <si>
    <t>Medical Terminolgoy</t>
  </si>
  <si>
    <t>Intro to Health Occ.</t>
  </si>
  <si>
    <t>HSC 105</t>
  </si>
  <si>
    <t>Health Sciences ( 20 credits)</t>
  </si>
  <si>
    <t xml:space="preserve">2012-2013 Lakes Career Academy </t>
  </si>
  <si>
    <t>MW 7:30-8:55 am</t>
  </si>
  <si>
    <t>AutoCAD</t>
  </si>
  <si>
    <t>CAD 113</t>
  </si>
  <si>
    <t>TThF 7:30-10 am</t>
  </si>
  <si>
    <t>Advanced Wiring Systems</t>
  </si>
  <si>
    <t>ELE 179</t>
  </si>
  <si>
    <t>Technical Mathematics</t>
  </si>
  <si>
    <t>MAT 743</t>
  </si>
  <si>
    <t>Introduction to Wiring</t>
  </si>
  <si>
    <t>ELE 178</t>
  </si>
  <si>
    <t xml:space="preserve">Electrical Technology (16 credits, 16 week schedule) </t>
  </si>
  <si>
    <t>16 weeks</t>
  </si>
  <si>
    <t>MW 8-9:30 am</t>
  </si>
  <si>
    <t>Pharmacology Basics</t>
  </si>
  <si>
    <t>PNN 208</t>
  </si>
  <si>
    <t>Year 2 - Fall Semester - 16 week schedule</t>
  </si>
  <si>
    <t>18 weeks</t>
  </si>
  <si>
    <t>MWF 7:45-9:15 am</t>
  </si>
  <si>
    <t xml:space="preserve">HSC 172 </t>
  </si>
  <si>
    <t>Year 1 - Spring Semester - 18 week schedule</t>
  </si>
  <si>
    <t>TTh 7:55-9:15 am</t>
  </si>
  <si>
    <t>Introduction to Health Occupations</t>
  </si>
  <si>
    <t>HSC 110</t>
  </si>
  <si>
    <t>Year 1 - Fall Semester - 18 week schedule</t>
  </si>
  <si>
    <t>M-F 8-11 am</t>
  </si>
  <si>
    <t>Carpentry Level IIB</t>
  </si>
  <si>
    <t>CON 267</t>
  </si>
  <si>
    <t>Construction Lab IIB</t>
  </si>
  <si>
    <t>CON 189</t>
  </si>
  <si>
    <t>Carpentry Lab IIA</t>
  </si>
  <si>
    <t>CON 266</t>
  </si>
  <si>
    <t>Construction Lab IIA</t>
  </si>
  <si>
    <t>CON 188</t>
  </si>
  <si>
    <t>Construction Lab IB</t>
  </si>
  <si>
    <t>CON 184</t>
  </si>
  <si>
    <t>Carpentry Level I</t>
  </si>
  <si>
    <t>CON 155</t>
  </si>
  <si>
    <t>Construction Lab IA</t>
  </si>
  <si>
    <t>CON 183</t>
  </si>
  <si>
    <t>Basic Construction Skills</t>
  </si>
  <si>
    <t>CON 141</t>
  </si>
  <si>
    <t>Construction (30 credits - 18 week schedule)</t>
  </si>
  <si>
    <t>2nd 8 weeks</t>
  </si>
  <si>
    <t>M, Th 12:30-3:30 pm</t>
  </si>
  <si>
    <t>Web Infrastructure</t>
  </si>
  <si>
    <t>CIS 230</t>
  </si>
  <si>
    <t>1st 8 weeks</t>
  </si>
  <si>
    <t>Fundamentals of Network Security</t>
  </si>
  <si>
    <t>NET 612</t>
  </si>
  <si>
    <t>T, F 1-2:30 pm</t>
  </si>
  <si>
    <t>Windows Directory Services</t>
  </si>
  <si>
    <t>NET 343</t>
  </si>
  <si>
    <t>Implementing Windows Network Infrastructure</t>
  </si>
  <si>
    <t>NET 333</t>
  </si>
  <si>
    <t>Windows Network Management</t>
  </si>
  <si>
    <t>NET 323</t>
  </si>
  <si>
    <t>M-F 8-9:30 am</t>
  </si>
  <si>
    <t>PC Operating Sysems</t>
  </si>
  <si>
    <t>CIS 650</t>
  </si>
  <si>
    <t>Network Essentials</t>
  </si>
  <si>
    <t>NET 142</t>
  </si>
  <si>
    <t>Operating Systems</t>
  </si>
  <si>
    <t>NET 132</t>
  </si>
  <si>
    <t>NET 122</t>
  </si>
  <si>
    <t>Business Systems Networking (27 credits - 16 week schedule)</t>
  </si>
  <si>
    <t>Jan 14 - Mar 8</t>
  </si>
  <si>
    <t>Automotive Electronic Engine Controls</t>
  </si>
  <si>
    <t>AUT 844</t>
  </si>
  <si>
    <t>Mar 11 - May 10</t>
  </si>
  <si>
    <t>Adv. Automotive Brakes &amp; Alignment</t>
  </si>
  <si>
    <t>AUT 535</t>
  </si>
  <si>
    <t>Nov 8-Dec 21</t>
  </si>
  <si>
    <t>Oct 3-Nov 7</t>
  </si>
  <si>
    <t>Adv. Automotive Engine Repair</t>
  </si>
  <si>
    <t>AUT 173</t>
  </si>
  <si>
    <t>Aug 29-Oct 2</t>
  </si>
  <si>
    <t>Automotive Engine Repair</t>
  </si>
  <si>
    <t>AUT 163</t>
  </si>
  <si>
    <t>Apr 1 - May 10</t>
  </si>
  <si>
    <t>M-F 8-11 am or 12-3 pm</t>
  </si>
  <si>
    <t>Automotive Heating &amp; Air Conditioning</t>
  </si>
  <si>
    <t>Feb 18 - Mar 29</t>
  </si>
  <si>
    <t>Adv. Automotive Electricity</t>
  </si>
  <si>
    <t>AUT 652</t>
  </si>
  <si>
    <t>Jan 14 - Feb 15</t>
  </si>
  <si>
    <t>Basic Automotive Electricity</t>
  </si>
  <si>
    <t>AUT 603</t>
  </si>
  <si>
    <t>Automotive Brake Systems</t>
  </si>
  <si>
    <t>AUT 503</t>
  </si>
  <si>
    <t>Automotive Suspension &amp; Steering</t>
  </si>
  <si>
    <t>AUT 404</t>
  </si>
  <si>
    <t>Intro to Automotive Repair Technology</t>
  </si>
  <si>
    <t>Automotive Repair Technology (40 credits - 16 week schedule)</t>
  </si>
  <si>
    <t>2012-2013 Creston Campus</t>
  </si>
  <si>
    <t>Southwestern Community College Career Academies</t>
  </si>
  <si>
    <t>2012-2013 Osceola Career Academy</t>
  </si>
  <si>
    <t>M-F 8-10 am</t>
  </si>
  <si>
    <t>Introduction to Shielded Metal Arc Welding</t>
  </si>
  <si>
    <t>WEL 162</t>
  </si>
  <si>
    <t>Introduction to Oxy, Cutting, &amp; Brazing</t>
  </si>
  <si>
    <t>WEL 139</t>
  </si>
  <si>
    <t>Welding Blueprint Reading</t>
  </si>
  <si>
    <t>WEL 111</t>
  </si>
  <si>
    <t>Introduction to Fabrication</t>
  </si>
  <si>
    <t>WEL 114</t>
  </si>
  <si>
    <t xml:space="preserve">Welding Technology </t>
  </si>
  <si>
    <t>2012-2013 Central Decatur Career Academy</t>
  </si>
  <si>
    <t>MTWThF 1:48-2:42 pm</t>
  </si>
  <si>
    <t>Layout Design I</t>
  </si>
  <si>
    <t>GRA 176</t>
  </si>
  <si>
    <t xml:space="preserve">Graphic Design (6 credits) </t>
  </si>
  <si>
    <t xml:space="preserve">16 weeks </t>
  </si>
  <si>
    <t>MWF 7:50-8:50 am</t>
  </si>
  <si>
    <t xml:space="preserve">Pharmacology Basics </t>
  </si>
  <si>
    <t>TTh 7:30-8:50 am</t>
  </si>
  <si>
    <t>HSC114</t>
  </si>
  <si>
    <t>MWF 7:20-8:50 am</t>
  </si>
  <si>
    <t>MTWThF 7:50-8:50 am</t>
  </si>
  <si>
    <t>Health Science (12 credits)</t>
  </si>
  <si>
    <t>2012-2013 Red Oak Career Academies</t>
  </si>
  <si>
    <t>M-F 2:10-3:00PM</t>
  </si>
  <si>
    <t>Statistics</t>
  </si>
  <si>
    <t>MAT156</t>
  </si>
  <si>
    <t>M-F 1:10-2:00PM</t>
  </si>
  <si>
    <t>M-F 8:00-8:50AM</t>
  </si>
  <si>
    <t>Principles of Horticulture</t>
  </si>
  <si>
    <t>AGH221</t>
  </si>
  <si>
    <t>M-F 9:10-10:00AM</t>
  </si>
  <si>
    <t>Nursing Assistant</t>
  </si>
  <si>
    <t>PNN100</t>
  </si>
  <si>
    <t>SPC101</t>
  </si>
  <si>
    <t>M 6:00-8:50PM</t>
  </si>
  <si>
    <t>M-F 12:05-1:00PM</t>
  </si>
  <si>
    <t>Calculus I</t>
  </si>
  <si>
    <t>MAT210</t>
  </si>
  <si>
    <t>M-F 12:10-1:00PM</t>
  </si>
  <si>
    <t>Art Appreciation</t>
  </si>
  <si>
    <t>ART101</t>
  </si>
  <si>
    <t>Introduction to Psychology</t>
  </si>
  <si>
    <t>Math for Liberal Arts</t>
  </si>
  <si>
    <t>MAT110</t>
  </si>
  <si>
    <t>M-R 12:05-1:00PM, F 11:25-1:00PM</t>
  </si>
  <si>
    <t>Essentials of Anatomy and Physiology</t>
  </si>
  <si>
    <t>BIO163</t>
  </si>
  <si>
    <t>Survey of the Animal Industry</t>
  </si>
  <si>
    <t>AGS113</t>
  </si>
  <si>
    <t>Principles of Agronomy</t>
  </si>
  <si>
    <t>AGA114</t>
  </si>
  <si>
    <t>2012-2013 Western Outreach Center (Grundy Center)</t>
  </si>
  <si>
    <t>Hawkeye Community College</t>
  </si>
  <si>
    <t>internship hours are also completed outside of regular classroom periods- student must complete 60 hours total</t>
  </si>
  <si>
    <t>F 8:00-10:30</t>
  </si>
  <si>
    <t>Business Internship</t>
  </si>
  <si>
    <t>meets one day each week</t>
  </si>
  <si>
    <t>T 9:10-10:30</t>
  </si>
  <si>
    <t>Business Careers</t>
  </si>
  <si>
    <t>MWR 9:10-10:30</t>
  </si>
  <si>
    <t>Entrepreneurship II (course # not yet assigned)</t>
  </si>
  <si>
    <t>TBA</t>
  </si>
  <si>
    <t>M-R 8:00-9:00</t>
  </si>
  <si>
    <t>Composition &amp; Speech II</t>
  </si>
  <si>
    <t>ENG-103</t>
  </si>
  <si>
    <t>Spring Term- 2013</t>
  </si>
  <si>
    <t>every other day 9:10-10:30</t>
  </si>
  <si>
    <t>Emerging Business Practices &amp; Technologies</t>
  </si>
  <si>
    <t>Introduction to Entrepreneurship</t>
  </si>
  <si>
    <t>Composition &amp; Speech I</t>
  </si>
  <si>
    <t>ENG-102</t>
  </si>
  <si>
    <t>Fall Term- 2012</t>
  </si>
  <si>
    <t>Location:  Garner-Hayfield HS</t>
  </si>
  <si>
    <t>Garner Entrepreneurship Academy</t>
  </si>
  <si>
    <t>class does not meet every week</t>
  </si>
  <si>
    <t>F 8:00-12:00</t>
  </si>
  <si>
    <t>Emergency Medical Responder</t>
  </si>
  <si>
    <t>TR 9:15-10:45</t>
  </si>
  <si>
    <t>Medical Terminology I</t>
  </si>
  <si>
    <t>MW 9:15-10:45</t>
  </si>
  <si>
    <t>2nd eight weeks of term</t>
  </si>
  <si>
    <t>First Aid</t>
  </si>
  <si>
    <t>PEH-140</t>
  </si>
  <si>
    <t>F 7:30-12:00</t>
  </si>
  <si>
    <t>Nurse Aid Clinical Lab</t>
  </si>
  <si>
    <t>HSC-174</t>
  </si>
  <si>
    <t>F 10:00-12:00</t>
  </si>
  <si>
    <t>Lab Group B</t>
  </si>
  <si>
    <t>F 8:00-10:00</t>
  </si>
  <si>
    <t>Lab Group A</t>
  </si>
  <si>
    <t>1st eight weeks of term</t>
  </si>
  <si>
    <t>TR 9:15-11:15</t>
  </si>
  <si>
    <t>Nurse Aide Theory</t>
  </si>
  <si>
    <t>HSC-171</t>
  </si>
  <si>
    <t>PSY-121</t>
  </si>
  <si>
    <t>Location:  West Hancock HS &amp; Hancock County Hospital</t>
  </si>
  <si>
    <t>Britt Health Careers Academy</t>
  </si>
  <si>
    <t xml:space="preserve">2012-2013 </t>
  </si>
  <si>
    <t>North Iowa Area Community College</t>
  </si>
  <si>
    <t>9-24-12/12-19-12</t>
  </si>
  <si>
    <t>Program Total:</t>
  </si>
  <si>
    <t xml:space="preserve">Program Total: </t>
  </si>
  <si>
    <t>College Credit Hours</t>
  </si>
  <si>
    <t>20103C030uu</t>
  </si>
  <si>
    <t>20104C080uu</t>
  </si>
  <si>
    <t>20106C041uu</t>
  </si>
  <si>
    <t>20105C069uu</t>
  </si>
  <si>
    <t>SCED Code           Replace 'uu' with sequencing</t>
  </si>
  <si>
    <t>20106C013uu</t>
  </si>
  <si>
    <t>20105C081uu</t>
  </si>
  <si>
    <t>20105C095uu</t>
  </si>
  <si>
    <t>20105C048uu</t>
  </si>
  <si>
    <t>12009C040uu</t>
  </si>
  <si>
    <t>20108C053uu</t>
  </si>
  <si>
    <t>20107C095uu</t>
  </si>
  <si>
    <t>10005C067uu</t>
  </si>
  <si>
    <t>04254C038uu</t>
  </si>
  <si>
    <t>14154C038uu</t>
  </si>
  <si>
    <t>14055C038uu</t>
  </si>
  <si>
    <t>01156C050uu</t>
  </si>
  <si>
    <t>12001C017uu</t>
  </si>
  <si>
    <t>12998C050uu</t>
  </si>
  <si>
    <t>once course number is assigned the first five digits can be found</t>
  </si>
  <si>
    <t>20115C030uu</t>
  </si>
  <si>
    <t>20117C044uu</t>
  </si>
  <si>
    <t>20117C046uu</t>
  </si>
  <si>
    <t>20117C067uu</t>
  </si>
  <si>
    <t>20116C044uu</t>
  </si>
  <si>
    <t>20115C103uu</t>
  </si>
  <si>
    <t>20106C030uu</t>
  </si>
  <si>
    <t>20103C103uu</t>
  </si>
  <si>
    <t>20105C037uu</t>
  </si>
  <si>
    <t>20105C096uu</t>
  </si>
  <si>
    <t>20105C045uu</t>
  </si>
  <si>
    <t>20105C089uu</t>
  </si>
  <si>
    <t>20105C133uu</t>
  </si>
  <si>
    <t>17004C074uu</t>
  </si>
  <si>
    <t>17002C059uu</t>
  </si>
  <si>
    <t>17002C026uu</t>
  </si>
  <si>
    <t>17005C108uu</t>
  </si>
  <si>
    <t>17008C133uu</t>
  </si>
  <si>
    <t>17005C133uu</t>
  </si>
  <si>
    <t>20111C133uu</t>
  </si>
  <si>
    <t>20110C040uu</t>
  </si>
  <si>
    <t>20110C084uu</t>
  </si>
  <si>
    <t>20111C010uu</t>
  </si>
  <si>
    <t>20109C059uu</t>
  </si>
  <si>
    <t>20109C074uu</t>
  </si>
  <si>
    <t>20109C133uu</t>
  </si>
  <si>
    <t>13208C052uu</t>
  </si>
  <si>
    <t>13208C081uu</t>
  </si>
  <si>
    <t>13208C037uu</t>
  </si>
  <si>
    <t>13208C096uu</t>
  </si>
  <si>
    <t>13208C030uu</t>
  </si>
  <si>
    <t>13208C103uu</t>
  </si>
  <si>
    <t>18106C044uu</t>
  </si>
  <si>
    <t>18101C030uu</t>
  </si>
  <si>
    <t>18101C035uu</t>
  </si>
  <si>
    <t>18201C030uu</t>
  </si>
  <si>
    <t>18201C049uu</t>
  </si>
  <si>
    <t>18055C059uu</t>
  </si>
  <si>
    <t>18055C049uu</t>
  </si>
  <si>
    <t>18052C074uu</t>
  </si>
  <si>
    <t>18054C133uu</t>
  </si>
  <si>
    <t>18054C052uu</t>
  </si>
  <si>
    <t>18053C133uu</t>
  </si>
  <si>
    <t>18053C081uu</t>
  </si>
  <si>
    <t>AGH 129</t>
  </si>
  <si>
    <t>16104C059uu</t>
  </si>
  <si>
    <t>16104C054uu</t>
  </si>
  <si>
    <t>16054C074uu</t>
  </si>
  <si>
    <t>16999C040uu</t>
  </si>
  <si>
    <t>16104C040uu</t>
  </si>
  <si>
    <t>12054C040uu</t>
  </si>
  <si>
    <t>18402C133uu</t>
  </si>
  <si>
    <t>18402C059uu</t>
  </si>
  <si>
    <t>18402C074uu</t>
  </si>
  <si>
    <t>18405C133uu</t>
  </si>
  <si>
    <t>03003C040uu</t>
  </si>
  <si>
    <t>03003C054uu</t>
  </si>
  <si>
    <t>18505C040uu</t>
  </si>
  <si>
    <t>04259C044uu</t>
  </si>
  <si>
    <t>15051C044uu</t>
  </si>
  <si>
    <t>04166C044uu</t>
  </si>
  <si>
    <t>15102C044uu</t>
  </si>
  <si>
    <t>20106C076uu</t>
  </si>
  <si>
    <t>20103C149uu</t>
  </si>
  <si>
    <t>20105C076uu</t>
  </si>
  <si>
    <t>20105C149uu</t>
  </si>
  <si>
    <t>20105C091uu</t>
  </si>
  <si>
    <t>20105C135uu</t>
  </si>
  <si>
    <t>20105C042uu</t>
  </si>
  <si>
    <t>11001C063uu</t>
  </si>
  <si>
    <t>11103C125uu</t>
  </si>
  <si>
    <t>11148C320uu</t>
  </si>
  <si>
    <t>14051C063uu</t>
  </si>
  <si>
    <t>14001C035uu</t>
  </si>
  <si>
    <t>14154C064uu</t>
  </si>
  <si>
    <t>08099C064uu</t>
  </si>
  <si>
    <t>14001C064uu</t>
  </si>
  <si>
    <t>HSC 109</t>
  </si>
  <si>
    <t>14253C064uu</t>
  </si>
  <si>
    <t>22003C035uu</t>
  </si>
  <si>
    <t>18051C042uu</t>
  </si>
  <si>
    <t>18101C042uu</t>
  </si>
  <si>
    <t>03053C056uu</t>
  </si>
  <si>
    <t>01103C042uu</t>
  </si>
  <si>
    <t>02069C042uu</t>
  </si>
  <si>
    <t>04254C042uu</t>
  </si>
  <si>
    <t>01151C033uu</t>
  </si>
  <si>
    <t>01151C042uu</t>
  </si>
  <si>
    <t>05152C042uu</t>
  </si>
  <si>
    <t>02121C046uu</t>
  </si>
  <si>
    <t>14051C042uu</t>
  </si>
  <si>
    <t>02201C042uu</t>
  </si>
  <si>
    <t>18052C042uu</t>
  </si>
  <si>
    <t>01103C040uu</t>
  </si>
  <si>
    <t>04254C040uu</t>
  </si>
  <si>
    <t>01151C040uu</t>
  </si>
  <si>
    <t>04102C040uu</t>
  </si>
  <si>
    <t>05116C040uu</t>
  </si>
  <si>
    <t>03063C040uu</t>
  </si>
  <si>
    <t>04201C040uu</t>
  </si>
  <si>
    <t>20103C044uu</t>
  </si>
  <si>
    <t>02152C033uu</t>
  </si>
  <si>
    <t>20105C100uu</t>
  </si>
  <si>
    <t>20104C078uu</t>
  </si>
  <si>
    <t>21006C100uu</t>
  </si>
  <si>
    <t>21004C100uu</t>
  </si>
  <si>
    <t>21014C111uu</t>
  </si>
  <si>
    <t>11155C050uu</t>
  </si>
  <si>
    <t>11054C050uu</t>
  </si>
  <si>
    <t>11153C060uu</t>
  </si>
  <si>
    <t>14154C050uu</t>
  </si>
  <si>
    <t>14001C050uu</t>
  </si>
  <si>
    <t>14001C024uu</t>
  </si>
  <si>
    <t>14051C076uu</t>
  </si>
  <si>
    <t>13204C060uu</t>
  </si>
  <si>
    <t>02152C029uu</t>
  </si>
  <si>
    <t>10252C050uu</t>
  </si>
  <si>
    <t>10152C050uu</t>
  </si>
  <si>
    <t>10101C050uu</t>
  </si>
  <si>
    <t>19151C033uu</t>
  </si>
  <si>
    <t>10001C044uu</t>
  </si>
  <si>
    <t>03003C033uu</t>
  </si>
  <si>
    <t>12058C033uu</t>
  </si>
  <si>
    <t>22102C011uu</t>
  </si>
  <si>
    <t>22151C022uu</t>
  </si>
  <si>
    <t>04258C033uu</t>
  </si>
  <si>
    <t>13207C056uu</t>
  </si>
  <si>
    <t>20115C025uu</t>
  </si>
  <si>
    <t>20117C100uu</t>
  </si>
  <si>
    <t>20116C088uu</t>
  </si>
  <si>
    <t>20117C038uu</t>
  </si>
  <si>
    <t>20117C050uu</t>
  </si>
  <si>
    <t>20116C125uu</t>
  </si>
  <si>
    <t>20106C125uu</t>
  </si>
  <si>
    <t>20105C075uu</t>
  </si>
  <si>
    <t>20104C050uu</t>
  </si>
  <si>
    <t>20105C125uu</t>
  </si>
  <si>
    <t>20105C063uu</t>
  </si>
  <si>
    <t>17003C025uu</t>
  </si>
  <si>
    <t>17049C100uu</t>
  </si>
  <si>
    <t>17049C050uu</t>
  </si>
  <si>
    <t>17008C100uu</t>
  </si>
  <si>
    <t>17002C150uu</t>
  </si>
  <si>
    <t>15051C038uu</t>
  </si>
  <si>
    <t>15053C038uu</t>
  </si>
  <si>
    <t>15053C100uu</t>
  </si>
  <si>
    <t>16053C043uu</t>
  </si>
  <si>
    <t>16052C028uu</t>
  </si>
  <si>
    <t>16052C014uu</t>
  </si>
  <si>
    <t>16053C042uu</t>
  </si>
  <si>
    <t>16056C063uu</t>
  </si>
  <si>
    <t>16057C063uu</t>
  </si>
  <si>
    <t>16001C025uu</t>
  </si>
  <si>
    <t>16098C150uu</t>
  </si>
  <si>
    <t>16056C025uu</t>
  </si>
  <si>
    <t>14055C021uu</t>
  </si>
  <si>
    <t>14001C021uu</t>
  </si>
  <si>
    <t>14001C042uu</t>
  </si>
  <si>
    <t>14154C042uu</t>
  </si>
  <si>
    <t>10252C075uu</t>
  </si>
  <si>
    <t>10251C050uu</t>
  </si>
  <si>
    <t>10103C075uu</t>
  </si>
  <si>
    <t>10109C050uu</t>
  </si>
  <si>
    <t>11153C050uu</t>
  </si>
  <si>
    <t>11152C050uu</t>
  </si>
  <si>
    <t>10203C050uu</t>
  </si>
  <si>
    <t>12048C150uu</t>
  </si>
  <si>
    <t>22152C038uu</t>
  </si>
  <si>
    <t>12999C050uu</t>
  </si>
  <si>
    <t>19151C100uu</t>
  </si>
  <si>
    <t>19198C100uu</t>
  </si>
  <si>
    <t>17002C050uu</t>
  </si>
  <si>
    <t>17049C025uu</t>
  </si>
  <si>
    <t>17005C075uu</t>
  </si>
  <si>
    <t>12051C063uu</t>
  </si>
  <si>
    <t>12054C063uu</t>
  </si>
  <si>
    <t>12104C050uu</t>
  </si>
  <si>
    <t>04201C038uu</t>
  </si>
  <si>
    <t>22210C038uu</t>
  </si>
  <si>
    <t>16053C063uu</t>
  </si>
  <si>
    <t>16054C042uu</t>
  </si>
  <si>
    <t>16052C031uu</t>
  </si>
  <si>
    <t>16055C031uu</t>
  </si>
  <si>
    <t>16054C031uu</t>
  </si>
  <si>
    <t>16001C031uu</t>
  </si>
  <si>
    <t>20108C125uu</t>
  </si>
  <si>
    <t>13204C025uu</t>
  </si>
  <si>
    <t>13204C063uu</t>
  </si>
  <si>
    <t>13999C050uu</t>
  </si>
  <si>
    <t>21108C050uu</t>
  </si>
  <si>
    <t>21008C050uu</t>
  </si>
  <si>
    <t>10251C075uu</t>
  </si>
  <si>
    <t>14154C063uu</t>
  </si>
  <si>
    <t>14001C063uu</t>
  </si>
  <si>
    <t>13208C063uu</t>
  </si>
  <si>
    <t>21006C125uu</t>
  </si>
  <si>
    <t>21008C125uu</t>
  </si>
  <si>
    <t>21004C125uu</t>
  </si>
  <si>
    <t>21012C125uu</t>
  </si>
  <si>
    <t>01103C063uu</t>
  </si>
  <si>
    <t>01053C063uu</t>
  </si>
  <si>
    <t>04259C063uu</t>
  </si>
  <si>
    <t>04258C063uu</t>
  </si>
  <si>
    <t>01065C063uu</t>
  </si>
  <si>
    <t>04254C063uu</t>
  </si>
  <si>
    <t>04255C063uu</t>
  </si>
  <si>
    <t>12058C063uu</t>
  </si>
  <si>
    <t>02154C063uu</t>
  </si>
  <si>
    <t>12999C063uu</t>
  </si>
  <si>
    <t>12053C063uu</t>
  </si>
  <si>
    <t>16052C042uu</t>
  </si>
  <si>
    <t>20106C069uu</t>
  </si>
  <si>
    <t>20104C056uu</t>
  </si>
  <si>
    <t>20105C065uu</t>
  </si>
  <si>
    <t>17003C063uu</t>
  </si>
  <si>
    <t>17049C150uu</t>
  </si>
  <si>
    <t>12999C038uu</t>
  </si>
  <si>
    <t>22152C063uu</t>
  </si>
  <si>
    <t>17107C051uu</t>
  </si>
  <si>
    <t>17107C042uu</t>
  </si>
  <si>
    <t>17102C051uu</t>
  </si>
  <si>
    <t>17102C042uu</t>
  </si>
  <si>
    <t>17107C104uu</t>
  </si>
  <si>
    <t>17107C083uu</t>
  </si>
  <si>
    <t>20103C053uu</t>
  </si>
  <si>
    <t>20105C080uu</t>
  </si>
  <si>
    <t>20105C053uu</t>
  </si>
  <si>
    <t>20104C053uu</t>
  </si>
  <si>
    <t>20104C067uu</t>
  </si>
  <si>
    <t>20105C106uu</t>
  </si>
  <si>
    <t>20105C119uu</t>
  </si>
  <si>
    <t>10254C050uu</t>
  </si>
  <si>
    <t>10102C050uu</t>
  </si>
  <si>
    <t>10055C050uu</t>
  </si>
  <si>
    <t>10110C040uu</t>
  </si>
  <si>
    <t>10111C040uu</t>
  </si>
  <si>
    <t>10108C040uu</t>
  </si>
  <si>
    <t>10204C040uu</t>
  </si>
  <si>
    <t>17002C027uu</t>
  </si>
  <si>
    <t>17002C198uu</t>
  </si>
  <si>
    <t>17003C053uu</t>
  </si>
  <si>
    <t>17002C172uu</t>
  </si>
  <si>
    <t>17003C027uu</t>
  </si>
  <si>
    <t>14001C068uu</t>
  </si>
  <si>
    <t>14154C040uu</t>
  </si>
  <si>
    <t>14051C068uu</t>
  </si>
  <si>
    <t>14253C040uu</t>
  </si>
  <si>
    <t>17105C100uu</t>
  </si>
  <si>
    <t>02153C040uu</t>
  </si>
  <si>
    <t>21107C053uu</t>
  </si>
  <si>
    <t>13208C075uu</t>
  </si>
  <si>
    <t>14001C075uu</t>
  </si>
  <si>
    <t>11153C068uu</t>
  </si>
  <si>
    <t>HSC120</t>
  </si>
  <si>
    <t>EMS114</t>
  </si>
  <si>
    <t>ENG102</t>
  </si>
  <si>
    <t>BUS130</t>
  </si>
  <si>
    <t>BUS122</t>
  </si>
  <si>
    <t>ENG103</t>
  </si>
  <si>
    <t>BUS107</t>
  </si>
  <si>
    <t>BUS225</t>
  </si>
  <si>
    <t>12053C050uu</t>
  </si>
  <si>
    <t>10001C040uu</t>
  </si>
  <si>
    <t>16053C054uu</t>
  </si>
  <si>
    <t>AUT611</t>
  </si>
  <si>
    <t>AUT612</t>
  </si>
  <si>
    <t>MFG279</t>
  </si>
  <si>
    <t>MAT735</t>
  </si>
  <si>
    <t>NET122</t>
  </si>
  <si>
    <t>CIS128</t>
  </si>
  <si>
    <t>NET137</t>
  </si>
  <si>
    <t>NET154</t>
  </si>
  <si>
    <t>EDU110</t>
  </si>
  <si>
    <t>CSC110</t>
  </si>
  <si>
    <t>WEL331</t>
  </si>
  <si>
    <t>HCM206</t>
  </si>
  <si>
    <t>HCM207</t>
  </si>
  <si>
    <t>10201C050uu</t>
  </si>
  <si>
    <t>Indian Hills Community College</t>
  </si>
  <si>
    <t xml:space="preserve">2012-2013 Mahaska County Career Academy </t>
  </si>
  <si>
    <t>Computer Networks and Security  (31 credits)</t>
  </si>
  <si>
    <t>Year 1 - Fall Term</t>
  </si>
  <si>
    <t xml:space="preserve">ELT 110 </t>
  </si>
  <si>
    <t xml:space="preserve">Electronics </t>
  </si>
  <si>
    <t>M-F 8:30-9:20 am</t>
  </si>
  <si>
    <t xml:space="preserve">NET 122 </t>
  </si>
  <si>
    <t xml:space="preserve">Computer Hardware Basics </t>
  </si>
  <si>
    <t xml:space="preserve">M-F 9:20-11:10 am </t>
  </si>
  <si>
    <t>Year 1 - Winter Term</t>
  </si>
  <si>
    <t>BCA 185</t>
  </si>
  <si>
    <t xml:space="preserve">Beg Webpage Development </t>
  </si>
  <si>
    <t>M-F  8:30-10:20 am</t>
  </si>
  <si>
    <t xml:space="preserve">NET 780 </t>
  </si>
  <si>
    <t>Microcomputer Utilities</t>
  </si>
  <si>
    <t>M-F  10:20-11:10 am</t>
  </si>
  <si>
    <t>Year 1 - SpringTerm</t>
  </si>
  <si>
    <t xml:space="preserve">CSC 110  </t>
  </si>
  <si>
    <t xml:space="preserve">Intro to Computers </t>
  </si>
  <si>
    <t>M-F 8:30-10:20 am</t>
  </si>
  <si>
    <t xml:space="preserve">NET 451 </t>
  </si>
  <si>
    <t>Unix/Linux</t>
  </si>
  <si>
    <t xml:space="preserve">M-F 10:20-11:10 am </t>
  </si>
  <si>
    <t xml:space="preserve">First Year Total </t>
  </si>
  <si>
    <t>16 credits</t>
  </si>
  <si>
    <t>Year 2 - Fall Term</t>
  </si>
  <si>
    <t xml:space="preserve">ELT 424 </t>
  </si>
  <si>
    <t xml:space="preserve">Digital Telecommunications </t>
  </si>
  <si>
    <t>M-F  12:20-1:40 pm</t>
  </si>
  <si>
    <t xml:space="preserve">NET 615 </t>
  </si>
  <si>
    <t xml:space="preserve">Social Engineering </t>
  </si>
  <si>
    <t xml:space="preserve">M-F  1:40 - 3:00 pm </t>
  </si>
  <si>
    <t>3credits</t>
  </si>
  <si>
    <t>Year 2 - Winter Term</t>
  </si>
  <si>
    <t>CFR 156</t>
  </si>
  <si>
    <t xml:space="preserve">Data Storage Analysis </t>
  </si>
  <si>
    <t>M-F  12:20-1:10 pm</t>
  </si>
  <si>
    <t xml:space="preserve">NET 725 </t>
  </si>
  <si>
    <t xml:space="preserve">Networking Essentials </t>
  </si>
  <si>
    <t>M-F  1:10-3:00 pm</t>
  </si>
  <si>
    <t>Year 2 - SpringTerm</t>
  </si>
  <si>
    <t>NET 610</t>
  </si>
  <si>
    <t xml:space="preserve">Security Fundamentals </t>
  </si>
  <si>
    <t xml:space="preserve">NET 319 </t>
  </si>
  <si>
    <t>Microsoft Server</t>
  </si>
  <si>
    <t xml:space="preserve">Second Year Total </t>
  </si>
  <si>
    <t>15 credits</t>
  </si>
  <si>
    <t xml:space="preserve">Engineering &amp; Technology (33 credits) </t>
  </si>
  <si>
    <t>ELT 373</t>
  </si>
  <si>
    <t>DC Circuit Analysis</t>
  </si>
  <si>
    <t>M-F 12:20-2:00</t>
  </si>
  <si>
    <t>MAT 742</t>
  </si>
  <si>
    <t>Technical Math</t>
  </si>
  <si>
    <t>M-F 2:00-3:00</t>
  </si>
  <si>
    <t>ELT 378</t>
  </si>
  <si>
    <t>AC Circuit Analysis</t>
  </si>
  <si>
    <t>M-F  12:20-2:00</t>
  </si>
  <si>
    <t>MAT 761</t>
  </si>
  <si>
    <t>Tech for Elec</t>
  </si>
  <si>
    <t>M-F  2:00-3:00</t>
  </si>
  <si>
    <t xml:space="preserve">EGT 420 </t>
  </si>
  <si>
    <t>PLTW Digital Electronics</t>
  </si>
  <si>
    <t>M-F 12:20-3:00</t>
  </si>
  <si>
    <t xml:space="preserve">ELT 505 </t>
  </si>
  <si>
    <t xml:space="preserve">Power Transfer Tech </t>
  </si>
  <si>
    <t>M-F  12:20 - 1:20 pm</t>
  </si>
  <si>
    <t>LEO 101</t>
  </si>
  <si>
    <r>
      <t>Photonics Concepts</t>
    </r>
    <r>
      <rPr>
        <b/>
        <sz val="11"/>
        <color indexed="8"/>
        <rFont val="Calibri"/>
        <family val="2"/>
      </rPr>
      <t xml:space="preserve"> </t>
    </r>
  </si>
  <si>
    <t>M-F  1:20 -3:00 pm</t>
  </si>
  <si>
    <t>OR BPT 145</t>
  </si>
  <si>
    <t>Applied Microbiology</t>
  </si>
  <si>
    <t>M-F 1:20-3:00</t>
  </si>
  <si>
    <t>ELT 550</t>
  </si>
  <si>
    <t>Analog Devices</t>
  </si>
  <si>
    <t>M-F  12:20 - 2:00 pm</t>
  </si>
  <si>
    <t xml:space="preserve">COM 725 </t>
  </si>
  <si>
    <t xml:space="preserve">Workplace Communications </t>
  </si>
  <si>
    <t>M-F 12:20-1:50</t>
  </si>
  <si>
    <t>PLTW Intro to Biotech Eng</t>
  </si>
  <si>
    <t xml:space="preserve">OR ELT 460 </t>
  </si>
  <si>
    <r>
      <t>Fiber Optics</t>
    </r>
    <r>
      <rPr>
        <b/>
        <sz val="11"/>
        <color indexed="8"/>
        <rFont val="Calibri"/>
        <family val="2"/>
      </rPr>
      <t xml:space="preserve"> </t>
    </r>
  </si>
  <si>
    <t>M-F  1:50 -3:00 pm</t>
  </si>
  <si>
    <t>18 credits</t>
  </si>
  <si>
    <t>Health Occupations  (34.5 credits)</t>
  </si>
  <si>
    <t xml:space="preserve">PNN 147 </t>
  </si>
  <si>
    <t xml:space="preserve">Nursing Essentials I </t>
  </si>
  <si>
    <t>M-TH  8:30-9:45 Friday=Clinicals for 4 Fridays (7.5 hours)</t>
  </si>
  <si>
    <t xml:space="preserve">HSC 113 </t>
  </si>
  <si>
    <t xml:space="preserve">Medical Terminoloy </t>
  </si>
  <si>
    <t>M-W  9:50-11:10</t>
  </si>
  <si>
    <t xml:space="preserve">CSC 105 </t>
  </si>
  <si>
    <t xml:space="preserve">Computer Essentials </t>
  </si>
  <si>
    <t>TH   9:50-11:10</t>
  </si>
  <si>
    <t xml:space="preserve">BIO 175 </t>
  </si>
  <si>
    <t xml:space="preserve">Human Anatomy </t>
  </si>
  <si>
    <t xml:space="preserve">MTW  8:20 - 9:50 </t>
  </si>
  <si>
    <t xml:space="preserve">BIO 176 </t>
  </si>
  <si>
    <t xml:space="preserve">Human Anatomy Lab </t>
  </si>
  <si>
    <t xml:space="preserve">MT  10:00 - 11:10 </t>
  </si>
  <si>
    <t>PNN 148</t>
  </si>
  <si>
    <t>Nursing Essentials II</t>
  </si>
  <si>
    <t xml:space="preserve">M-F 10:00 - 11:10  </t>
  </si>
  <si>
    <t>Year 1 - Spring Term</t>
  </si>
  <si>
    <t xml:space="preserve">PNN 231 </t>
  </si>
  <si>
    <t xml:space="preserve">Pharmacology </t>
  </si>
  <si>
    <t xml:space="preserve">M-T  8:30-9:10 &amp; W-Th  8:30 - 11:10  </t>
  </si>
  <si>
    <t xml:space="preserve">Intro to Psychology </t>
  </si>
  <si>
    <t>M-T  9:20-11:10</t>
  </si>
  <si>
    <t>PNN 401</t>
  </si>
  <si>
    <t>Mental Health Nursing I</t>
  </si>
  <si>
    <t>TH 12:20-3:00</t>
  </si>
  <si>
    <t>PNN 265</t>
  </si>
  <si>
    <t>M-W 12:20-3:00</t>
  </si>
  <si>
    <t>BIO 178</t>
  </si>
  <si>
    <t>Human Physiology</t>
  </si>
  <si>
    <t>M-W 12:20-1:35</t>
  </si>
  <si>
    <t>BIO 179</t>
  </si>
  <si>
    <t>Human Physiology Lab</t>
  </si>
  <si>
    <t>TH 12:20-1:35</t>
  </si>
  <si>
    <t>PNN 502</t>
  </si>
  <si>
    <t>Nursing of Adults 1A</t>
  </si>
  <si>
    <t>M-TH 1:35-3:00</t>
  </si>
  <si>
    <t>1.5 credits</t>
  </si>
  <si>
    <t>PNN 710</t>
  </si>
  <si>
    <t>Nursing Clinical Experience 1A F 7:00am-3:00pm</t>
  </si>
  <si>
    <t>Year 2 - Spring Term</t>
  </si>
  <si>
    <t>PSY 121</t>
  </si>
  <si>
    <t>M-W 12:20-2:10</t>
  </si>
  <si>
    <t>PNN 713</t>
  </si>
  <si>
    <t>Nursing of Adults 1B</t>
  </si>
  <si>
    <t>M-TH 2:10-3:00</t>
  </si>
  <si>
    <t>Nursing Clinical 1B</t>
  </si>
  <si>
    <t>F 7:00am-3:00 pm</t>
  </si>
  <si>
    <t>16.5 credits</t>
  </si>
  <si>
    <t>17106C040uu</t>
  </si>
  <si>
    <t>10252C087uu</t>
  </si>
  <si>
    <t>10201C087uu</t>
  </si>
  <si>
    <t>10102C087uu</t>
  </si>
  <si>
    <t>10001C087uu</t>
  </si>
  <si>
    <t>10109C040uu</t>
  </si>
  <si>
    <t>17109C040uu</t>
  </si>
  <si>
    <t>10108C087uu</t>
  </si>
  <si>
    <t>10099C040uu</t>
  </si>
  <si>
    <t>10110C087uu</t>
  </si>
  <si>
    <t>17112C092uu</t>
  </si>
  <si>
    <t>17111C092uu</t>
  </si>
  <si>
    <t>21008C127uu</t>
  </si>
  <si>
    <t>17105C040uu</t>
  </si>
  <si>
    <t>21056C092uu</t>
  </si>
  <si>
    <t>21014C092uu</t>
  </si>
  <si>
    <t>12009C048uu</t>
  </si>
  <si>
    <t>10001C059uu</t>
  </si>
  <si>
    <t>21014C059uu</t>
  </si>
  <si>
    <t>17149C059uu</t>
  </si>
  <si>
    <t>14051C074uu</t>
  </si>
  <si>
    <t>14154C043uu</t>
  </si>
  <si>
    <t>10001C014uu</t>
  </si>
  <si>
    <t>03054C038uu</t>
  </si>
  <si>
    <t>03054C013uu</t>
  </si>
  <si>
    <t>14253C059uu</t>
  </si>
  <si>
    <t>04254C055uu</t>
  </si>
  <si>
    <t>14051C027uu</t>
  </si>
  <si>
    <t>14254C080uu</t>
  </si>
  <si>
    <t>03055C038uu</t>
  </si>
  <si>
    <t>03055C013uu</t>
  </si>
  <si>
    <t>14051C043uu</t>
  </si>
  <si>
    <t>14098C013uu</t>
  </si>
  <si>
    <t>04255C055uu</t>
  </si>
  <si>
    <t>14098C033uu</t>
  </si>
  <si>
    <t xml:space="preserve">2012-2013 Keokuk County Career Academy </t>
  </si>
  <si>
    <t>Credit Hours</t>
  </si>
  <si>
    <t>Welding Technology (32 credits)</t>
  </si>
  <si>
    <t>WEL 150</t>
  </si>
  <si>
    <t>Arc Welding I (SMAW)</t>
  </si>
  <si>
    <t>M-F  8:20-9:40</t>
  </si>
  <si>
    <t xml:space="preserve">WEL 151 </t>
  </si>
  <si>
    <t xml:space="preserve">Common Arc Welding </t>
  </si>
  <si>
    <t>M-F  9:40-10:25</t>
  </si>
  <si>
    <t>MAT 762</t>
  </si>
  <si>
    <t xml:space="preserve">Technical Math for Industry </t>
  </si>
  <si>
    <t>M-F  10:25-11:00</t>
  </si>
  <si>
    <t xml:space="preserve">WEL 110 </t>
  </si>
  <si>
    <t xml:space="preserve">Welding Blueprint reading </t>
  </si>
  <si>
    <t>M-F  8:20-9:00</t>
  </si>
  <si>
    <t xml:space="preserve">WEL 120 </t>
  </si>
  <si>
    <t xml:space="preserve">Oxy Fuel Welding and Cutting </t>
  </si>
  <si>
    <t>M-F  9:05-10:00</t>
  </si>
  <si>
    <t xml:space="preserve">WEL 190 </t>
  </si>
  <si>
    <t xml:space="preserve">Gas Tungsten Arc Welding </t>
  </si>
  <si>
    <t>M-F  10:05-11:00</t>
  </si>
  <si>
    <t xml:space="preserve">WEL 201 </t>
  </si>
  <si>
    <t xml:space="preserve"> Procedures and Qualificiations </t>
  </si>
  <si>
    <t>M-F  8:20-8:45</t>
  </si>
  <si>
    <t xml:space="preserve">WEL 202 </t>
  </si>
  <si>
    <t xml:space="preserve">Discontinuities and Defects </t>
  </si>
  <si>
    <t>M-F  8:50-9:15</t>
  </si>
  <si>
    <t xml:space="preserve">WEL 181 </t>
  </si>
  <si>
    <t xml:space="preserve">Gas Metal Arc Welding </t>
  </si>
  <si>
    <t>M-F  9:20-11:00</t>
  </si>
  <si>
    <t xml:space="preserve">WEL 173 </t>
  </si>
  <si>
    <t xml:space="preserve">Advanced Welding Procedures I </t>
  </si>
  <si>
    <t xml:space="preserve">WEL 182 </t>
  </si>
  <si>
    <t>FCAW</t>
  </si>
  <si>
    <t>M-F  2:10-3:00</t>
  </si>
  <si>
    <t xml:space="preserve">WEL 174 </t>
  </si>
  <si>
    <t xml:space="preserve">Advanced Welding Procedures II </t>
  </si>
  <si>
    <t xml:space="preserve">WEL 200 </t>
  </si>
  <si>
    <t xml:space="preserve">Metallurgy Fundamentals </t>
  </si>
  <si>
    <t xml:space="preserve">WEL 211 </t>
  </si>
  <si>
    <t xml:space="preserve">Production Welding Procedures </t>
  </si>
  <si>
    <t>M-F  12:20-2:10</t>
  </si>
  <si>
    <t xml:space="preserve">ADM 221 </t>
  </si>
  <si>
    <t>Career Development Skills</t>
  </si>
  <si>
    <t>M-F  2:15-3:00</t>
  </si>
  <si>
    <t>Machine Technology Technology (35 credits)</t>
  </si>
  <si>
    <t xml:space="preserve">MFG 209 </t>
  </si>
  <si>
    <t>Machine Shop Practices</t>
  </si>
  <si>
    <t xml:space="preserve">MFG 121  </t>
  </si>
  <si>
    <t xml:space="preserve">Machine Trade Printreading I </t>
  </si>
  <si>
    <t>M-F  9:05-9:50</t>
  </si>
  <si>
    <t xml:space="preserve">MFG 222 </t>
  </si>
  <si>
    <t>Machine Operations I (1st half)</t>
  </si>
  <si>
    <t>M-F  9:50-11:00</t>
  </si>
  <si>
    <t xml:space="preserve">MFG 131 </t>
  </si>
  <si>
    <t>Machine Trade Printreading II</t>
  </si>
  <si>
    <t>M-F  8:20-9:05</t>
  </si>
  <si>
    <t>MFG 222</t>
  </si>
  <si>
    <t>Machine Operations I (2nd half)</t>
  </si>
  <si>
    <t>M-F  9:10-11:00</t>
  </si>
  <si>
    <t xml:space="preserve">MFG 228 H1 </t>
  </si>
  <si>
    <t xml:space="preserve">Machine Operations II </t>
  </si>
  <si>
    <t>M-F  8:20-9:50</t>
  </si>
  <si>
    <t>MFG 262 H1</t>
  </si>
  <si>
    <t xml:space="preserve">Mill Operations Theory </t>
  </si>
  <si>
    <t>MFG 233 H1</t>
  </si>
  <si>
    <t>Machine Operations III (1st half)</t>
  </si>
  <si>
    <t>M-F  12:20-1:00</t>
  </si>
  <si>
    <t>EGT 450</t>
  </si>
  <si>
    <t>PLTW Computer Integrated Manufacturing</t>
  </si>
  <si>
    <t>M-F  1:00-3:00</t>
  </si>
  <si>
    <t xml:space="preserve">MFG 254 </t>
  </si>
  <si>
    <t xml:space="preserve">Engine Lathe Theory </t>
  </si>
  <si>
    <t xml:space="preserve">MFG 233 </t>
  </si>
  <si>
    <t>Machine Operations III (2nd half)</t>
  </si>
  <si>
    <t xml:space="preserve">CAD 180 </t>
  </si>
  <si>
    <t>Intro to Solidworks</t>
  </si>
  <si>
    <t>M-F  12:20-1:35</t>
  </si>
  <si>
    <t xml:space="preserve">MFG 352 </t>
  </si>
  <si>
    <t xml:space="preserve">CNC Lathe Fundamentals </t>
  </si>
  <si>
    <t>M-F  1:45-3:00</t>
  </si>
  <si>
    <t>17 credits</t>
  </si>
  <si>
    <t>Geospatial Technology  (35 credits)</t>
  </si>
  <si>
    <t xml:space="preserve">CSC 110 </t>
  </si>
  <si>
    <t>TWTH 8:20-9:45</t>
  </si>
  <si>
    <t>GIS 140</t>
  </si>
  <si>
    <t>Introduction to Global Positioning System</t>
  </si>
  <si>
    <t>M-F  9:45-11:00</t>
  </si>
  <si>
    <t>GIS 100</t>
  </si>
  <si>
    <t>Introdution to Geospatial Technologies M-F 8:20-9:45</t>
  </si>
  <si>
    <t>GIS 200</t>
  </si>
  <si>
    <t>Introduction to Cartography</t>
  </si>
  <si>
    <t>M-F 9:45-11:00</t>
  </si>
  <si>
    <t>PLTW Introduction to Engineering Design</t>
  </si>
  <si>
    <t xml:space="preserve">GIS 111 </t>
  </si>
  <si>
    <t>Introduction to Geographic Information Systems</t>
  </si>
  <si>
    <t>M-F  9:40-11:00</t>
  </si>
  <si>
    <t>GIS 230</t>
  </si>
  <si>
    <t>GIS Applications</t>
  </si>
  <si>
    <t>M-F  12:20 - 1:45</t>
  </si>
  <si>
    <t xml:space="preserve">Beginning Webpage Development </t>
  </si>
  <si>
    <t>M-F  1:45 - 3:00</t>
  </si>
  <si>
    <t>GIS 121</t>
  </si>
  <si>
    <t>Introduction to Data Bases</t>
  </si>
  <si>
    <t>GIS 205</t>
  </si>
  <si>
    <t>Data Acquisition and Analysis</t>
  </si>
  <si>
    <t>GIS 170</t>
  </si>
  <si>
    <t>Intro to Raster Based GIS</t>
  </si>
  <si>
    <t xml:space="preserve">GIS 180 </t>
  </si>
  <si>
    <t>GIS tools and Methods</t>
  </si>
  <si>
    <t>M-TH  8:20-9:45 Friday=Clinicals for 4 Fridays (7.5 hours)</t>
  </si>
  <si>
    <t>M-W  9:45-11:10</t>
  </si>
  <si>
    <t>TH   9:45-11:10</t>
  </si>
  <si>
    <t>M-W  8:20-9:50 Th 8:20-11:00;  Friday = Lab/Observations</t>
  </si>
  <si>
    <t>M-W  9:50-11:00</t>
  </si>
  <si>
    <t xml:space="preserve">M-Th  8:20-9:45,  F  8:20 - 11:00  </t>
  </si>
  <si>
    <t xml:space="preserve">M-W  9:45 - 11:00 </t>
  </si>
  <si>
    <t xml:space="preserve">Th  9:45 - 11:00 </t>
  </si>
  <si>
    <t>Nursing Clinical Experience 1A</t>
  </si>
  <si>
    <t>F 7:00am-3:00pm</t>
  </si>
  <si>
    <t>13208C036uu</t>
  </si>
  <si>
    <t>02153028uu</t>
  </si>
  <si>
    <t>13208C032uu</t>
  </si>
  <si>
    <t>13208C044uu</t>
  </si>
  <si>
    <t>13208C020uu</t>
  </si>
  <si>
    <t>13208C024uu</t>
  </si>
  <si>
    <t>13208C079uu</t>
  </si>
  <si>
    <t>13208C040uu</t>
  </si>
  <si>
    <t>13208C087uu</t>
  </si>
  <si>
    <t>22152C036uu</t>
  </si>
  <si>
    <t>13999C032uu</t>
  </si>
  <si>
    <t>21108C036uu</t>
  </si>
  <si>
    <t>13999C087uu</t>
  </si>
  <si>
    <t>13999C064uu</t>
  </si>
  <si>
    <t>13054C055uu</t>
  </si>
  <si>
    <t>21010C095uu</t>
  </si>
  <si>
    <t>13204C032uu</t>
  </si>
  <si>
    <t>13999C095uu</t>
  </si>
  <si>
    <t>21149C059uu</t>
  </si>
  <si>
    <t>13204C059uu</t>
  </si>
  <si>
    <t>10001C038uu</t>
  </si>
  <si>
    <t>21056C059uu</t>
  </si>
  <si>
    <t>21006C101uu</t>
  </si>
  <si>
    <t>21056C063uu</t>
  </si>
  <si>
    <t>21056C067uu</t>
  </si>
  <si>
    <t>10201C067uu</t>
  </si>
  <si>
    <t>14051C033uu</t>
  </si>
  <si>
    <t>14098C043uu</t>
  </si>
  <si>
    <t xml:space="preserve">2012-2013 Fairfield Area Career Academy </t>
  </si>
  <si>
    <t>Credit Hour</t>
  </si>
  <si>
    <t>Industrial Maintenance (28 credits)</t>
  </si>
  <si>
    <t>ELT 302</t>
  </si>
  <si>
    <t>CSC 105</t>
  </si>
  <si>
    <t>Computer Essentials</t>
  </si>
  <si>
    <t>ELT 140</t>
  </si>
  <si>
    <t>Electrical Systems I</t>
  </si>
  <si>
    <t xml:space="preserve">Year 1-Winter Term </t>
  </si>
  <si>
    <t xml:space="preserve">MAT 762 </t>
  </si>
  <si>
    <t>Tech Math for Industry</t>
  </si>
  <si>
    <t>ELT 141</t>
  </si>
  <si>
    <t>Electrical Systems II</t>
  </si>
  <si>
    <t>IND 110</t>
  </si>
  <si>
    <t>CPR, First Aid and Safety</t>
  </si>
  <si>
    <t>Year 1- Spring Term</t>
  </si>
  <si>
    <t xml:space="preserve">ELT 142 </t>
  </si>
  <si>
    <t>Electrical Systems III</t>
  </si>
  <si>
    <t xml:space="preserve">ELT 136 </t>
  </si>
  <si>
    <t>Electrical Systems Analysis</t>
  </si>
  <si>
    <t>ELT 165</t>
  </si>
  <si>
    <t>Indust. PLC Programming</t>
  </si>
  <si>
    <t>First Year Total-15 credits</t>
  </si>
  <si>
    <t>Year 2-Fall Term</t>
  </si>
  <si>
    <t>IND 120</t>
  </si>
  <si>
    <t>Fluid Systems I</t>
  </si>
  <si>
    <t>IND 121</t>
  </si>
  <si>
    <t>Fluid Systems II</t>
  </si>
  <si>
    <t>Year 2-Winter Term</t>
  </si>
  <si>
    <t>IND 122</t>
  </si>
  <si>
    <t>Fluid Systems III</t>
  </si>
  <si>
    <t>IND 140</t>
  </si>
  <si>
    <t>Industrial Maintenance Drives</t>
  </si>
  <si>
    <t>IND 142</t>
  </si>
  <si>
    <t>Industrial Maintenance Pumps</t>
  </si>
  <si>
    <t>Year 2-Spring Term</t>
  </si>
  <si>
    <t>ELT 731</t>
  </si>
  <si>
    <t>Industrial Instrumentation</t>
  </si>
  <si>
    <t>ADM 221</t>
  </si>
  <si>
    <t>Career Develop Skills</t>
  </si>
  <si>
    <t>IND 123</t>
  </si>
  <si>
    <t>Fluid Systems Analysis</t>
  </si>
  <si>
    <t>Second Year Total-13 credits</t>
  </si>
  <si>
    <t>Business Finance (34 credits)</t>
  </si>
  <si>
    <t>Year 1-Fall Term</t>
  </si>
  <si>
    <t xml:space="preserve">BUS 102 </t>
  </si>
  <si>
    <t>M-F 8:45am-10:00am</t>
  </si>
  <si>
    <t>M-F 10:10am-11:25 am</t>
  </si>
  <si>
    <t>OR SPC 101</t>
  </si>
  <si>
    <t>Fund of Oral Comm</t>
  </si>
  <si>
    <t>www</t>
  </si>
  <si>
    <t>Year 1-Winter Term</t>
  </si>
  <si>
    <t>MKT 110</t>
  </si>
  <si>
    <t>Principles of Marketing</t>
  </si>
  <si>
    <t>MGT 101</t>
  </si>
  <si>
    <t>Principles of Management</t>
  </si>
  <si>
    <t>M-F 10:10am-11:25am</t>
  </si>
  <si>
    <t>Year 1-Spring Term</t>
  </si>
  <si>
    <t>M-F 8:45-10:00am</t>
  </si>
  <si>
    <t>BUS 220</t>
  </si>
  <si>
    <t>Intro to International Bus</t>
  </si>
  <si>
    <t>M-F 10:10-11:25am</t>
  </si>
  <si>
    <t>First Year Total-18 credits</t>
  </si>
  <si>
    <t>ACC 121</t>
  </si>
  <si>
    <t>Principles of Accting I</t>
  </si>
  <si>
    <t>M-F 8:45-10:00</t>
  </si>
  <si>
    <t>ENG 111</t>
  </si>
  <si>
    <t>Technical Writing</t>
  </si>
  <si>
    <t>M-F 10:10- 11:25</t>
  </si>
  <si>
    <t>ACC 122</t>
  </si>
  <si>
    <t>Principles of Accting II</t>
  </si>
  <si>
    <t>BUS 204</t>
  </si>
  <si>
    <t>Professionalism in the Workplace M-F 10:10-11:25</t>
  </si>
  <si>
    <t>BUS 188</t>
  </si>
  <si>
    <t>Legal Env of Business</t>
  </si>
  <si>
    <t>BUS 932</t>
  </si>
  <si>
    <t>Internship</t>
  </si>
  <si>
    <t>M-F10:10-11:25</t>
  </si>
  <si>
    <t>Second Year Total-16 credits</t>
  </si>
  <si>
    <t>Health Occupations(34.5 credits)</t>
  </si>
  <si>
    <t>HSC 113</t>
  </si>
  <si>
    <t>TWTH 8:45-10:00</t>
  </si>
  <si>
    <t>M 10:05-11:25</t>
  </si>
  <si>
    <t>PNN 147</t>
  </si>
  <si>
    <t>Nursing Essentials I</t>
  </si>
  <si>
    <t>M-W  8:30-9:50 Th 8:20-11:00;  Friday = Lab/Observations</t>
  </si>
  <si>
    <t>BIO 175</t>
  </si>
  <si>
    <t>Human Anatomy</t>
  </si>
  <si>
    <t>M-W  9:45 - 11:25</t>
  </si>
  <si>
    <t>BIO 176</t>
  </si>
  <si>
    <t>Human Anatomy Lab</t>
  </si>
  <si>
    <t xml:space="preserve">Th  9:45 - 11:25 </t>
  </si>
  <si>
    <t>PNN 231</t>
  </si>
  <si>
    <t>Year 2-Fall Term *YEAR 2 NOT RUNNING IN 2012</t>
  </si>
  <si>
    <t>Mental Nursing I</t>
  </si>
  <si>
    <t>Nursng Clinical Exp. 1A</t>
  </si>
  <si>
    <t>Developmental Psych</t>
  </si>
  <si>
    <t xml:space="preserve">PNN 503 </t>
  </si>
  <si>
    <t>Second Year Total-16.5 credits</t>
  </si>
  <si>
    <t>17102C055uu</t>
  </si>
  <si>
    <t>10001C013uu</t>
  </si>
  <si>
    <t>17107C055uu</t>
  </si>
  <si>
    <t>02153C055uu</t>
  </si>
  <si>
    <t>13004C013uu</t>
  </si>
  <si>
    <t>17107C013uu</t>
  </si>
  <si>
    <t>13999C055uu</t>
  </si>
  <si>
    <t>13999C013uu</t>
  </si>
  <si>
    <t>13302C013uu</t>
  </si>
  <si>
    <t>17149C013uu</t>
  </si>
  <si>
    <t>22152C055uu</t>
  </si>
  <si>
    <t>12051C059uu</t>
  </si>
  <si>
    <t>01151C037uu</t>
  </si>
  <si>
    <t>12152C059uu</t>
  </si>
  <si>
    <t>12052C059uu</t>
  </si>
  <si>
    <t>04201C059uu</t>
  </si>
  <si>
    <t>12056C059uu</t>
  </si>
  <si>
    <t>12104C059uu</t>
  </si>
  <si>
    <t>01105C059uu</t>
  </si>
  <si>
    <t>12999C059uu</t>
  </si>
  <si>
    <t>12054C059uu</t>
  </si>
  <si>
    <t>12998C059uu</t>
  </si>
  <si>
    <t>1415C043uu</t>
  </si>
  <si>
    <t xml:space="preserve">2012-2013 Rathbun Area Career Academy </t>
  </si>
  <si>
    <t>M-TH  8:30-9:45 Friday=Clinicals for 4 Fridays (8 hours)</t>
  </si>
  <si>
    <t>M-W  8:45-10:05 Th 8:45-11:25;  Friday = Lab/Observations</t>
  </si>
  <si>
    <t xml:space="preserve">M-Th  8:45-10:00 F  8:45 - 11:25  </t>
  </si>
  <si>
    <t>Th  9:45 - 11:25</t>
  </si>
  <si>
    <t>M-W 1:35-3:00</t>
  </si>
  <si>
    <t>12162C063uu</t>
  </si>
  <si>
    <t>12053C038uu</t>
  </si>
  <si>
    <t>04255C038uu</t>
  </si>
  <si>
    <t>14051C025uu</t>
  </si>
  <si>
    <t>14098C038uu</t>
  </si>
  <si>
    <t>08055C018uu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</si>
</sst>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[$-409]mmmm\ d\,\ yyyy;@"/>
  </numFmts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MS Sans Serif"/>
      <family val="2"/>
    </font>
    <font>
      <sz val="11"/>
      <color rgb="FF000000"/>
      <name val="Arial"/>
      <family val="2"/>
    </font>
    <font>
      <b/>
      <sz val="11"/>
      <color indexed="8"/>
      <name val="Calibri"/>
      <family val="2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8" fillId="0" borderId="0"/>
    <xf numFmtId="0" fontId="9" fillId="0" borderId="0"/>
    <xf numFmtId="0" fontId="7" fillId="0" borderId="0"/>
    <xf numFmtId="0" fontId="9" fillId="0" borderId="0"/>
    <xf numFmtId="165" fontId="9" fillId="0" borderId="0"/>
    <xf numFmtId="0" fontId="8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6" borderId="7" applyNumberFormat="0" applyAlignment="0" applyProtection="0"/>
    <xf numFmtId="0" fontId="25" fillId="7" borderId="8" applyNumberFormat="0" applyAlignment="0" applyProtection="0"/>
    <xf numFmtId="0" fontId="26" fillId="7" borderId="7" applyNumberFormat="0" applyAlignment="0" applyProtection="0"/>
    <xf numFmtId="0" fontId="27" fillId="0" borderId="9" applyNumberFormat="0" applyFill="0" applyAlignment="0" applyProtection="0"/>
    <xf numFmtId="0" fontId="28" fillId="8" borderId="10" applyNumberFormat="0" applyAlignment="0" applyProtection="0"/>
    <xf numFmtId="0" fontId="29" fillId="0" borderId="0" applyNumberFormat="0" applyFill="0" applyBorder="0" applyAlignment="0" applyProtection="0"/>
    <xf numFmtId="0" fontId="7" fillId="9" borderId="11" applyNumberFormat="0" applyFont="0" applyAlignment="0" applyProtection="0"/>
    <xf numFmtId="0" fontId="30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31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31" fillId="33" borderId="0" applyNumberFormat="0" applyBorder="0" applyAlignment="0" applyProtection="0"/>
    <xf numFmtId="0" fontId="9" fillId="0" borderId="0"/>
    <xf numFmtId="0" fontId="9" fillId="0" borderId="0"/>
    <xf numFmtId="0" fontId="8" fillId="0" borderId="0"/>
  </cellStyleXfs>
  <cellXfs count="126">
    <xf numFmtId="0" fontId="0" fillId="0" borderId="0" xfId="0"/>
    <xf numFmtId="0" fontId="2" fillId="0" borderId="0" xfId="0" applyFont="1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 indent="2"/>
    </xf>
    <xf numFmtId="0" fontId="0" fillId="0" borderId="0" xfId="0" applyBorder="1"/>
    <xf numFmtId="0" fontId="2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wrapText="1"/>
    </xf>
    <xf numFmtId="0" fontId="6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applyFont="1"/>
    <xf numFmtId="0" fontId="2" fillId="0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10" fillId="0" borderId="2" xfId="1" applyFont="1" applyFill="1" applyBorder="1" applyAlignment="1" applyProtection="1">
      <alignment horizontal="center" vertical="center" wrapText="1"/>
    </xf>
    <xf numFmtId="0" fontId="0" fillId="2" borderId="0" xfId="0" applyFill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vertical="center" wrapText="1"/>
    </xf>
    <xf numFmtId="2" fontId="0" fillId="0" borderId="0" xfId="0" applyNumberFormat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0" fillId="0" borderId="0" xfId="0" applyNumberFormat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1" fontId="0" fillId="0" borderId="0" xfId="0" applyNumberFormat="1" applyFont="1" applyAlignment="1">
      <alignment horizontal="center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wrapText="1"/>
    </xf>
    <xf numFmtId="0" fontId="2" fillId="0" borderId="0" xfId="0" applyFont="1" applyFill="1"/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3" fillId="0" borderId="2" xfId="8" applyFont="1" applyFill="1" applyBorder="1" applyAlignment="1" applyProtection="1">
      <alignment horizontal="center" vertical="center" wrapText="1"/>
    </xf>
    <xf numFmtId="0" fontId="13" fillId="0" borderId="2" xfId="7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horizontal="center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vertical="center" wrapText="1"/>
    </xf>
    <xf numFmtId="0" fontId="0" fillId="0" borderId="0" xfId="0" applyFill="1" applyAlignment="1">
      <alignment horizontal="left"/>
    </xf>
    <xf numFmtId="0" fontId="10" fillId="0" borderId="2" xfId="6" applyFont="1" applyFill="1" applyBorder="1" applyAlignment="1" applyProtection="1">
      <alignment vertical="center" wrapText="1"/>
    </xf>
    <xf numFmtId="0" fontId="10" fillId="0" borderId="2" xfId="6" applyFont="1" applyFill="1" applyBorder="1" applyAlignment="1" applyProtection="1">
      <alignment horizontal="center" vertical="center" wrapText="1"/>
    </xf>
    <xf numFmtId="0" fontId="10" fillId="0" borderId="2" xfId="6" applyFont="1" applyFill="1" applyBorder="1" applyAlignment="1" applyProtection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Border="1"/>
    <xf numFmtId="0" fontId="0" fillId="0" borderId="0" xfId="0" applyFont="1" applyFill="1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Fill="1" applyBorder="1"/>
    <xf numFmtId="0" fontId="1" fillId="0" borderId="1" xfId="0" applyFont="1" applyFill="1" applyBorder="1"/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Fill="1" applyBorder="1" applyAlignment="1">
      <alignment horizontal="center" wrapText="1"/>
    </xf>
    <xf numFmtId="0" fontId="15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16" fillId="0" borderId="0" xfId="0" applyFont="1"/>
    <xf numFmtId="0" fontId="0" fillId="0" borderId="0" xfId="0" applyFont="1" applyFill="1" applyBorder="1" applyAlignment="1">
      <alignment wrapText="1"/>
    </xf>
    <xf numFmtId="0" fontId="0" fillId="0" borderId="0" xfId="0"/>
    <xf numFmtId="0" fontId="3" fillId="0" borderId="0" xfId="0" applyFont="1"/>
    <xf numFmtId="0" fontId="0" fillId="0" borderId="0" xfId="0" applyFont="1" applyFill="1" applyBorder="1"/>
    <xf numFmtId="0" fontId="0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Font="1" applyAlignment="1">
      <alignment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32" fillId="0" borderId="2" xfId="6" applyFont="1" applyFill="1" applyBorder="1" applyAlignment="1" applyProtection="1">
      <alignment horizontal="center" vertical="center" wrapText="1"/>
    </xf>
    <xf numFmtId="0" fontId="32" fillId="0" borderId="2" xfId="6" applyFont="1" applyFill="1" applyBorder="1" applyAlignment="1" applyProtection="1">
      <alignment horizontal="center" vertical="top" wrapText="1"/>
    </xf>
  </cellXfs>
  <cellStyles count="53">
    <cellStyle name="20% - Accent1 2" xfId="27"/>
    <cellStyle name="20% - Accent2 2" xfId="31"/>
    <cellStyle name="20% - Accent3 2" xfId="35"/>
    <cellStyle name="20% - Accent4 2" xfId="39"/>
    <cellStyle name="20% - Accent5 2" xfId="43"/>
    <cellStyle name="20% - Accent6 2" xfId="47"/>
    <cellStyle name="40% - Accent1 2" xfId="28"/>
    <cellStyle name="40% - Accent2 2" xfId="32"/>
    <cellStyle name="40% - Accent3 2" xfId="36"/>
    <cellStyle name="40% - Accent4 2" xfId="40"/>
    <cellStyle name="40% - Accent5 2" xfId="44"/>
    <cellStyle name="40% - Accent6 2" xfId="48"/>
    <cellStyle name="60% - Accent1 2" xfId="29"/>
    <cellStyle name="60% - Accent2 2" xfId="33"/>
    <cellStyle name="60% - Accent3 2" xfId="37"/>
    <cellStyle name="60% - Accent4 2" xfId="41"/>
    <cellStyle name="60% - Accent5 2" xfId="45"/>
    <cellStyle name="60% - Accent6 2" xfId="49"/>
    <cellStyle name="Accent1 2" xfId="26"/>
    <cellStyle name="Accent2 2" xfId="30"/>
    <cellStyle name="Accent3 2" xfId="34"/>
    <cellStyle name="Accent4 2" xfId="38"/>
    <cellStyle name="Accent5 2" xfId="42"/>
    <cellStyle name="Accent6 2" xfId="46"/>
    <cellStyle name="Bad 2" xfId="15"/>
    <cellStyle name="Calculation 2" xfId="19"/>
    <cellStyle name="Check Cell 2" xfId="21"/>
    <cellStyle name="Explanatory Text 2" xfId="24"/>
    <cellStyle name="Good 2" xfId="14"/>
    <cellStyle name="Heading 1 2" xfId="10"/>
    <cellStyle name="Heading 2 2" xfId="11"/>
    <cellStyle name="Heading 3 2" xfId="12"/>
    <cellStyle name="Heading 4 2" xfId="13"/>
    <cellStyle name="Input 2" xfId="17"/>
    <cellStyle name="Linked Cell 2" xfId="20"/>
    <cellStyle name="Neutral 2" xfId="16"/>
    <cellStyle name="Normal" xfId="0" builtinId="0"/>
    <cellStyle name="Normal 2" xfId="2"/>
    <cellStyle name="Normal 2 2" xfId="51"/>
    <cellStyle name="Normal 2 3" xfId="50"/>
    <cellStyle name="Normal 3" xfId="4"/>
    <cellStyle name="Normal 4" xfId="5"/>
    <cellStyle name="Normal 5" xfId="3"/>
    <cellStyle name="Normal 6" xfId="6"/>
    <cellStyle name="Normal 6 2" xfId="7"/>
    <cellStyle name="Normal 6 2 2" xfId="52"/>
    <cellStyle name="Normal 7" xfId="1"/>
    <cellStyle name="Normal 8" xfId="8"/>
    <cellStyle name="Note 2" xfId="23"/>
    <cellStyle name="Output 2" xfId="18"/>
    <cellStyle name="Title" xfId="9" builtinId="15" customBuiltin="1"/>
    <cellStyle name="Total 2" xfId="25"/>
    <cellStyle name="Warning Text 2" xfId="2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A26" sqref="A26"/>
    </sheetView>
  </sheetViews>
  <sheetFormatPr defaultRowHeight="15"/>
  <cols>
    <col min="1" max="1" width="20.140625" customWidth="1"/>
    <col min="2" max="2" width="24.28515625" customWidth="1"/>
    <col min="3" max="3" width="18.140625" customWidth="1"/>
    <col min="4" max="4" width="17" customWidth="1"/>
    <col min="5" max="5" width="12.5703125" style="7" customWidth="1"/>
    <col min="6" max="6" width="9.140625" style="7"/>
    <col min="7" max="7" width="18.5703125" style="7" customWidth="1"/>
    <col min="8" max="8" width="37.140625" customWidth="1"/>
  </cols>
  <sheetData>
    <row r="1" spans="1:8" ht="15.75">
      <c r="A1" s="6" t="s">
        <v>22</v>
      </c>
    </row>
    <row r="2" spans="1:8" ht="15.75">
      <c r="A2" s="6" t="s">
        <v>21</v>
      </c>
    </row>
    <row r="3" spans="1:8" ht="15.75">
      <c r="A3" s="6" t="s">
        <v>20</v>
      </c>
    </row>
    <row r="4" spans="1:8" ht="45">
      <c r="A4" s="29" t="s">
        <v>19</v>
      </c>
      <c r="B4" s="30" t="s">
        <v>18</v>
      </c>
      <c r="C4" s="122" t="s">
        <v>17</v>
      </c>
      <c r="D4" s="122"/>
      <c r="E4" s="32" t="s">
        <v>919</v>
      </c>
      <c r="F4" s="32" t="s">
        <v>16</v>
      </c>
      <c r="G4" s="32" t="s">
        <v>924</v>
      </c>
      <c r="H4" s="31" t="s">
        <v>15</v>
      </c>
    </row>
    <row r="6" spans="1:8">
      <c r="A6" s="2" t="s">
        <v>14</v>
      </c>
    </row>
    <row r="7" spans="1:8">
      <c r="A7" t="s">
        <v>13</v>
      </c>
    </row>
    <row r="8" spans="1:8">
      <c r="A8" t="s">
        <v>12</v>
      </c>
      <c r="B8" t="s">
        <v>11</v>
      </c>
      <c r="C8" t="s">
        <v>1</v>
      </c>
      <c r="D8" t="s">
        <v>10</v>
      </c>
      <c r="E8" s="7">
        <v>1</v>
      </c>
      <c r="F8" s="15">
        <v>2145</v>
      </c>
      <c r="G8" s="39" t="s">
        <v>920</v>
      </c>
    </row>
    <row r="9" spans="1:8">
      <c r="A9" t="s">
        <v>9</v>
      </c>
      <c r="B9" t="s">
        <v>8</v>
      </c>
      <c r="C9" t="s">
        <v>1</v>
      </c>
      <c r="D9" t="s">
        <v>916</v>
      </c>
      <c r="E9" s="7">
        <v>4</v>
      </c>
      <c r="F9" s="15">
        <v>5775</v>
      </c>
      <c r="G9" s="41" t="s">
        <v>921</v>
      </c>
    </row>
    <row r="11" spans="1:8">
      <c r="A11" t="s">
        <v>7</v>
      </c>
    </row>
    <row r="12" spans="1:8">
      <c r="A12" t="s">
        <v>6</v>
      </c>
      <c r="B12" t="s">
        <v>5</v>
      </c>
      <c r="C12" t="s">
        <v>1</v>
      </c>
      <c r="D12" t="s">
        <v>4</v>
      </c>
      <c r="E12" s="7">
        <v>3</v>
      </c>
      <c r="F12" s="15">
        <v>2970</v>
      </c>
      <c r="G12" s="41" t="s">
        <v>922</v>
      </c>
    </row>
    <row r="13" spans="1:8">
      <c r="A13" t="s">
        <v>3</v>
      </c>
      <c r="B13" t="s">
        <v>2</v>
      </c>
      <c r="C13" t="s">
        <v>1</v>
      </c>
      <c r="D13" t="s">
        <v>0</v>
      </c>
      <c r="E13" s="7">
        <v>5</v>
      </c>
      <c r="F13" s="15">
        <v>4950</v>
      </c>
      <c r="G13" s="41" t="s">
        <v>923</v>
      </c>
    </row>
    <row r="14" spans="1:8">
      <c r="D14" s="38" t="s">
        <v>918</v>
      </c>
      <c r="E14" s="40">
        <f>SUM(E8:E13)</f>
        <v>13</v>
      </c>
      <c r="F14" s="40">
        <f>SUM(F8:F13)</f>
        <v>15840</v>
      </c>
      <c r="G14" s="40"/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activeCell="G4" sqref="G4"/>
    </sheetView>
  </sheetViews>
  <sheetFormatPr defaultRowHeight="15"/>
  <cols>
    <col min="1" max="1" width="20" customWidth="1"/>
    <col min="2" max="2" width="27.5703125" customWidth="1"/>
    <col min="3" max="3" width="18" customWidth="1"/>
    <col min="4" max="4" width="16.85546875" customWidth="1"/>
    <col min="5" max="5" width="12.5703125" style="7" customWidth="1"/>
    <col min="6" max="6" width="9.140625" style="7"/>
    <col min="7" max="7" width="17.5703125" style="7" customWidth="1"/>
    <col min="8" max="8" width="37.140625" customWidth="1"/>
  </cols>
  <sheetData>
    <row r="1" spans="1:8" ht="15.75">
      <c r="A1" s="6" t="s">
        <v>22</v>
      </c>
    </row>
    <row r="2" spans="1:8" ht="15.75">
      <c r="A2" s="6" t="s">
        <v>53</v>
      </c>
    </row>
    <row r="3" spans="1:8" ht="15.75">
      <c r="A3" s="6" t="s">
        <v>52</v>
      </c>
    </row>
    <row r="4" spans="1:8" ht="45">
      <c r="A4" s="29" t="s">
        <v>19</v>
      </c>
      <c r="B4" s="30" t="s">
        <v>18</v>
      </c>
      <c r="C4" s="122" t="s">
        <v>17</v>
      </c>
      <c r="D4" s="122"/>
      <c r="E4" s="32" t="s">
        <v>919</v>
      </c>
      <c r="F4" s="32" t="s">
        <v>16</v>
      </c>
      <c r="G4" s="32" t="s">
        <v>924</v>
      </c>
      <c r="H4" s="31" t="s">
        <v>15</v>
      </c>
    </row>
    <row r="6" spans="1:8">
      <c r="A6" s="2" t="s">
        <v>51</v>
      </c>
    </row>
    <row r="7" spans="1:8">
      <c r="A7" t="s">
        <v>13</v>
      </c>
    </row>
    <row r="8" spans="1:8">
      <c r="A8" t="s">
        <v>50</v>
      </c>
      <c r="B8" t="s">
        <v>49</v>
      </c>
      <c r="C8" t="s">
        <v>28</v>
      </c>
      <c r="D8" t="s">
        <v>48</v>
      </c>
      <c r="E8" s="7">
        <v>0.5</v>
      </c>
      <c r="F8" s="15">
        <v>960</v>
      </c>
      <c r="G8" s="42" t="s">
        <v>925</v>
      </c>
    </row>
    <row r="9" spans="1:8">
      <c r="A9" t="s">
        <v>47</v>
      </c>
      <c r="B9" t="s">
        <v>46</v>
      </c>
      <c r="C9" t="s">
        <v>28</v>
      </c>
      <c r="D9" t="s">
        <v>45</v>
      </c>
      <c r="E9" s="7">
        <v>3</v>
      </c>
      <c r="F9" s="15">
        <v>5830</v>
      </c>
      <c r="G9" s="42" t="s">
        <v>926</v>
      </c>
    </row>
    <row r="10" spans="1:8">
      <c r="A10" t="s">
        <v>34</v>
      </c>
      <c r="B10" t="s">
        <v>33</v>
      </c>
      <c r="C10" t="s">
        <v>24</v>
      </c>
      <c r="D10" t="s">
        <v>32</v>
      </c>
      <c r="E10" s="7">
        <v>3</v>
      </c>
      <c r="F10" s="15">
        <v>2880</v>
      </c>
      <c r="G10" s="42" t="s">
        <v>929</v>
      </c>
      <c r="H10" t="s">
        <v>31</v>
      </c>
    </row>
    <row r="12" spans="1:8">
      <c r="A12" t="s">
        <v>7</v>
      </c>
    </row>
    <row r="13" spans="1:8">
      <c r="A13" t="s">
        <v>44</v>
      </c>
      <c r="B13" t="s">
        <v>43</v>
      </c>
      <c r="C13" t="s">
        <v>28</v>
      </c>
      <c r="D13" t="s">
        <v>27</v>
      </c>
      <c r="E13" s="7">
        <v>4</v>
      </c>
      <c r="F13" s="15">
        <v>6820</v>
      </c>
      <c r="G13" s="42" t="s">
        <v>927</v>
      </c>
    </row>
    <row r="14" spans="1:8">
      <c r="A14" t="s">
        <v>26</v>
      </c>
      <c r="B14" t="s">
        <v>25</v>
      </c>
      <c r="C14" t="s">
        <v>24</v>
      </c>
      <c r="D14" t="s">
        <v>0</v>
      </c>
      <c r="E14" s="7">
        <v>3</v>
      </c>
      <c r="F14" s="15">
        <v>4800</v>
      </c>
      <c r="G14" s="42" t="s">
        <v>932</v>
      </c>
      <c r="H14" t="s">
        <v>23</v>
      </c>
    </row>
    <row r="15" spans="1:8">
      <c r="D15" s="38" t="s">
        <v>917</v>
      </c>
      <c r="E15" s="40">
        <f>SUM(E8:E14)</f>
        <v>13.5</v>
      </c>
      <c r="F15" s="40">
        <f>SUM(F8:F14)</f>
        <v>21290</v>
      </c>
      <c r="G15" s="40"/>
    </row>
    <row r="17" spans="1:8">
      <c r="A17" s="2" t="s">
        <v>42</v>
      </c>
    </row>
    <row r="18" spans="1:8">
      <c r="A18" t="s">
        <v>13</v>
      </c>
    </row>
    <row r="19" spans="1:8">
      <c r="A19" t="s">
        <v>41</v>
      </c>
      <c r="B19" t="s">
        <v>40</v>
      </c>
      <c r="C19" t="s">
        <v>36</v>
      </c>
      <c r="D19" t="s">
        <v>39</v>
      </c>
      <c r="E19" s="7">
        <v>2</v>
      </c>
      <c r="F19" s="15">
        <v>3840</v>
      </c>
      <c r="G19" s="42" t="s">
        <v>930</v>
      </c>
    </row>
    <row r="20" spans="1:8">
      <c r="A20" t="s">
        <v>38</v>
      </c>
      <c r="B20" t="s">
        <v>37</v>
      </c>
      <c r="C20" t="s">
        <v>36</v>
      </c>
      <c r="D20" t="s">
        <v>35</v>
      </c>
      <c r="E20" s="7">
        <v>2</v>
      </c>
      <c r="F20" s="15">
        <v>3480</v>
      </c>
      <c r="G20" s="42" t="s">
        <v>928</v>
      </c>
    </row>
    <row r="21" spans="1:8">
      <c r="A21" t="s">
        <v>34</v>
      </c>
      <c r="B21" t="s">
        <v>33</v>
      </c>
      <c r="C21" t="s">
        <v>24</v>
      </c>
      <c r="D21" t="s">
        <v>32</v>
      </c>
      <c r="E21" s="7">
        <v>3</v>
      </c>
      <c r="F21" s="15">
        <v>2880</v>
      </c>
      <c r="G21" s="42" t="s">
        <v>929</v>
      </c>
      <c r="H21" t="s">
        <v>31</v>
      </c>
    </row>
    <row r="23" spans="1:8">
      <c r="A23" t="s">
        <v>7</v>
      </c>
    </row>
    <row r="24" spans="1:8">
      <c r="A24" t="s">
        <v>30</v>
      </c>
      <c r="B24" t="s">
        <v>29</v>
      </c>
      <c r="C24" t="s">
        <v>28</v>
      </c>
      <c r="D24" t="s">
        <v>27</v>
      </c>
      <c r="E24" s="7">
        <v>4</v>
      </c>
      <c r="F24" s="15">
        <v>6820</v>
      </c>
      <c r="G24" s="42" t="s">
        <v>931</v>
      </c>
    </row>
    <row r="25" spans="1:8">
      <c r="A25" t="s">
        <v>26</v>
      </c>
      <c r="B25" t="s">
        <v>25</v>
      </c>
      <c r="C25" t="s">
        <v>24</v>
      </c>
      <c r="D25" t="s">
        <v>0</v>
      </c>
      <c r="E25" s="7">
        <v>3</v>
      </c>
      <c r="F25" s="15">
        <v>4800</v>
      </c>
      <c r="G25" s="42" t="s">
        <v>932</v>
      </c>
      <c r="H25" t="s">
        <v>23</v>
      </c>
    </row>
    <row r="26" spans="1:8">
      <c r="D26" s="38" t="s">
        <v>918</v>
      </c>
      <c r="E26" s="40">
        <f>SUM(E19:E25)</f>
        <v>14</v>
      </c>
      <c r="F26" s="40">
        <f>SUM(F19:F25)</f>
        <v>21820</v>
      </c>
      <c r="G26" s="40"/>
    </row>
  </sheetData>
  <mergeCells count="1">
    <mergeCell ref="C4:D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pane ySplit="4" topLeftCell="A5" activePane="bottomLeft" state="frozen"/>
      <selection pane="bottomLeft" activeCell="G25" sqref="G25"/>
    </sheetView>
  </sheetViews>
  <sheetFormatPr defaultRowHeight="15"/>
  <cols>
    <col min="1" max="1" width="10.85546875" customWidth="1"/>
    <col min="2" max="2" width="43.85546875" bestFit="1" customWidth="1"/>
    <col min="3" max="3" width="24.28515625" customWidth="1"/>
    <col min="4" max="4" width="10.5703125" customWidth="1"/>
    <col min="6" max="6" width="15.7109375" style="28" customWidth="1"/>
    <col min="7" max="7" width="57" customWidth="1"/>
  </cols>
  <sheetData>
    <row r="1" spans="1:7" ht="15.75">
      <c r="A1" s="6" t="s">
        <v>915</v>
      </c>
    </row>
    <row r="2" spans="1:7" ht="15.75">
      <c r="A2" s="6" t="s">
        <v>914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5" spans="1:7">
      <c r="E5" s="7"/>
    </row>
    <row r="6" spans="1:7">
      <c r="A6" s="2" t="s">
        <v>913</v>
      </c>
      <c r="E6" s="7"/>
    </row>
    <row r="7" spans="1:7">
      <c r="A7" s="2" t="s">
        <v>912</v>
      </c>
      <c r="E7" s="7"/>
    </row>
    <row r="8" spans="1:7" ht="21" customHeight="1">
      <c r="B8" s="2" t="s">
        <v>888</v>
      </c>
      <c r="E8" s="7"/>
    </row>
    <row r="9" spans="1:7">
      <c r="A9" t="s">
        <v>887</v>
      </c>
      <c r="B9" t="s">
        <v>886</v>
      </c>
      <c r="C9" t="s">
        <v>879</v>
      </c>
      <c r="D9" s="7" t="s">
        <v>142</v>
      </c>
      <c r="E9" s="15">
        <v>3600</v>
      </c>
      <c r="F9" s="124" t="s">
        <v>936</v>
      </c>
    </row>
    <row r="10" spans="1:7">
      <c r="A10" t="s">
        <v>911</v>
      </c>
      <c r="B10" t="s">
        <v>407</v>
      </c>
      <c r="C10" t="s">
        <v>896</v>
      </c>
      <c r="D10" s="7" t="s">
        <v>120</v>
      </c>
      <c r="E10" s="15">
        <v>2700</v>
      </c>
      <c r="F10" s="124" t="s">
        <v>1666</v>
      </c>
    </row>
    <row r="11" spans="1:7">
      <c r="A11" t="s">
        <v>910</v>
      </c>
      <c r="B11" t="s">
        <v>909</v>
      </c>
      <c r="C11" t="s">
        <v>908</v>
      </c>
      <c r="D11" s="7" t="s">
        <v>188</v>
      </c>
      <c r="E11" s="15">
        <v>1800</v>
      </c>
      <c r="F11" s="124" t="s">
        <v>1667</v>
      </c>
      <c r="G11" t="s">
        <v>907</v>
      </c>
    </row>
    <row r="12" spans="1:7">
      <c r="B12" t="s">
        <v>906</v>
      </c>
      <c r="C12" t="s">
        <v>905</v>
      </c>
      <c r="D12" s="7"/>
      <c r="E12" s="15"/>
      <c r="F12" s="15"/>
    </row>
    <row r="13" spans="1:7">
      <c r="B13" t="s">
        <v>904</v>
      </c>
      <c r="C13" t="s">
        <v>903</v>
      </c>
      <c r="D13" s="7"/>
      <c r="E13" s="15"/>
      <c r="F13" s="15"/>
    </row>
    <row r="14" spans="1:7">
      <c r="A14" t="s">
        <v>902</v>
      </c>
      <c r="B14" t="s">
        <v>901</v>
      </c>
      <c r="C14" t="s">
        <v>900</v>
      </c>
      <c r="D14" s="7" t="s">
        <v>234</v>
      </c>
      <c r="E14" s="15">
        <v>2700</v>
      </c>
      <c r="F14" s="124" t="s">
        <v>1668</v>
      </c>
      <c r="G14" t="s">
        <v>897</v>
      </c>
    </row>
    <row r="15" spans="1:7">
      <c r="A15" t="s">
        <v>899</v>
      </c>
      <c r="B15" t="s">
        <v>898</v>
      </c>
      <c r="C15" t="s">
        <v>894</v>
      </c>
      <c r="D15" s="7" t="s">
        <v>234</v>
      </c>
      <c r="E15" s="15">
        <v>1260</v>
      </c>
      <c r="F15" s="124" t="s">
        <v>1669</v>
      </c>
      <c r="G15" t="s">
        <v>897</v>
      </c>
    </row>
    <row r="16" spans="1:7">
      <c r="B16" s="2" t="s">
        <v>882</v>
      </c>
      <c r="D16" s="7"/>
      <c r="E16" s="7"/>
    </row>
    <row r="17" spans="1:7">
      <c r="A17" t="s">
        <v>881</v>
      </c>
      <c r="B17" t="s">
        <v>880</v>
      </c>
      <c r="C17" t="s">
        <v>879</v>
      </c>
      <c r="D17" s="7" t="s">
        <v>142</v>
      </c>
      <c r="E17" s="7">
        <v>3600</v>
      </c>
      <c r="F17" s="124" t="s">
        <v>936</v>
      </c>
    </row>
    <row r="18" spans="1:7">
      <c r="A18" t="s">
        <v>410</v>
      </c>
      <c r="B18" t="s">
        <v>858</v>
      </c>
      <c r="C18" t="s">
        <v>896</v>
      </c>
      <c r="D18" s="7" t="s">
        <v>120</v>
      </c>
      <c r="E18" s="15">
        <v>2700</v>
      </c>
      <c r="F18" s="124" t="s">
        <v>933</v>
      </c>
    </row>
    <row r="19" spans="1:7">
      <c r="A19" t="s">
        <v>1193</v>
      </c>
      <c r="B19" t="s">
        <v>895</v>
      </c>
      <c r="C19" t="s">
        <v>894</v>
      </c>
      <c r="D19" s="7" t="s">
        <v>120</v>
      </c>
      <c r="E19" s="15">
        <v>2700</v>
      </c>
      <c r="F19" s="124" t="s">
        <v>934</v>
      </c>
    </row>
    <row r="20" spans="1:7">
      <c r="A20" t="s">
        <v>1194</v>
      </c>
      <c r="B20" t="s">
        <v>893</v>
      </c>
      <c r="C20" t="s">
        <v>892</v>
      </c>
      <c r="D20" s="7" t="s">
        <v>188</v>
      </c>
      <c r="E20" s="7">
        <v>2700</v>
      </c>
      <c r="F20" s="124" t="s">
        <v>935</v>
      </c>
      <c r="G20" t="s">
        <v>891</v>
      </c>
    </row>
    <row r="21" spans="1:7">
      <c r="D21" s="7"/>
      <c r="E21" s="7"/>
    </row>
    <row r="22" spans="1:7" s="2" customFormat="1">
      <c r="A22" s="2" t="s">
        <v>890</v>
      </c>
      <c r="D22" s="3"/>
      <c r="E22" s="3"/>
      <c r="F22" s="3"/>
    </row>
    <row r="23" spans="1:7" s="2" customFormat="1">
      <c r="A23" s="2" t="s">
        <v>889</v>
      </c>
      <c r="D23" s="3"/>
      <c r="E23" s="3"/>
      <c r="F23" s="3"/>
    </row>
    <row r="24" spans="1:7" s="24" customFormat="1" ht="22.5" customHeight="1">
      <c r="B24" s="2" t="s">
        <v>888</v>
      </c>
      <c r="D24" s="28"/>
      <c r="E24" s="28"/>
      <c r="F24" s="28"/>
    </row>
    <row r="25" spans="1:7">
      <c r="A25" t="s">
        <v>1195</v>
      </c>
      <c r="B25" t="s">
        <v>886</v>
      </c>
      <c r="C25" t="s">
        <v>879</v>
      </c>
      <c r="D25" s="7" t="s">
        <v>142</v>
      </c>
      <c r="E25" s="15">
        <v>3600</v>
      </c>
      <c r="F25" s="124" t="s">
        <v>936</v>
      </c>
    </row>
    <row r="26" spans="1:7">
      <c r="A26" t="s">
        <v>1196</v>
      </c>
      <c r="B26" t="s">
        <v>885</v>
      </c>
      <c r="C26" t="s">
        <v>883</v>
      </c>
      <c r="D26" s="7" t="s">
        <v>120</v>
      </c>
      <c r="E26" s="15">
        <v>2700</v>
      </c>
      <c r="F26" s="124" t="s">
        <v>1665</v>
      </c>
    </row>
    <row r="27" spans="1:7" s="61" customFormat="1">
      <c r="A27" s="61" t="s">
        <v>1197</v>
      </c>
      <c r="B27" s="61" t="s">
        <v>884</v>
      </c>
      <c r="C27" s="61" t="s">
        <v>883</v>
      </c>
      <c r="D27" s="15" t="s">
        <v>120</v>
      </c>
      <c r="E27" s="15">
        <v>4500</v>
      </c>
      <c r="F27" s="15" t="s">
        <v>1664</v>
      </c>
    </row>
    <row r="28" spans="1:7">
      <c r="B28" s="2" t="s">
        <v>882</v>
      </c>
      <c r="D28" s="7"/>
      <c r="E28" s="7"/>
    </row>
    <row r="29" spans="1:7">
      <c r="A29" t="s">
        <v>1198</v>
      </c>
      <c r="B29" t="s">
        <v>880</v>
      </c>
      <c r="C29" t="s">
        <v>879</v>
      </c>
      <c r="D29" s="7" t="s">
        <v>142</v>
      </c>
      <c r="E29" s="7">
        <v>3600</v>
      </c>
      <c r="F29" s="124" t="s">
        <v>936</v>
      </c>
    </row>
    <row r="30" spans="1:7">
      <c r="A30" s="24" t="s">
        <v>878</v>
      </c>
      <c r="B30" t="s">
        <v>877</v>
      </c>
      <c r="C30" t="s">
        <v>876</v>
      </c>
      <c r="D30" s="7" t="s">
        <v>120</v>
      </c>
      <c r="E30" s="7">
        <v>3600</v>
      </c>
      <c r="F30" s="28" t="s">
        <v>1201</v>
      </c>
      <c r="G30" s="7" t="s">
        <v>939</v>
      </c>
    </row>
    <row r="31" spans="1:7">
      <c r="A31" t="s">
        <v>1199</v>
      </c>
      <c r="B31" t="s">
        <v>875</v>
      </c>
      <c r="C31" t="s">
        <v>874</v>
      </c>
      <c r="D31" s="7" t="s">
        <v>234</v>
      </c>
      <c r="E31" s="7">
        <v>1200</v>
      </c>
      <c r="F31" s="124" t="s">
        <v>937</v>
      </c>
      <c r="G31" t="s">
        <v>873</v>
      </c>
    </row>
    <row r="32" spans="1:7" ht="30">
      <c r="A32" s="27" t="s">
        <v>1200</v>
      </c>
      <c r="B32" s="27" t="s">
        <v>872</v>
      </c>
      <c r="C32" s="27" t="s">
        <v>871</v>
      </c>
      <c r="D32" s="26" t="s">
        <v>234</v>
      </c>
      <c r="E32" s="25">
        <v>3600</v>
      </c>
      <c r="F32" s="125" t="s">
        <v>938</v>
      </c>
      <c r="G32" s="19" t="s">
        <v>870</v>
      </c>
    </row>
    <row r="33" spans="2:6">
      <c r="E33" s="1"/>
      <c r="F33" s="15"/>
    </row>
    <row r="34" spans="2:6">
      <c r="E34" s="1"/>
      <c r="F34" s="15"/>
    </row>
    <row r="35" spans="2:6">
      <c r="E35" s="1"/>
      <c r="F35" s="15"/>
    </row>
    <row r="36" spans="2:6">
      <c r="E36" s="1"/>
      <c r="F36" s="15"/>
    </row>
    <row r="37" spans="2:6">
      <c r="E37" s="1"/>
      <c r="F37" s="15"/>
    </row>
    <row r="38" spans="2:6">
      <c r="B38" s="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5"/>
  <sheetViews>
    <sheetView workbookViewId="0">
      <pane ySplit="4" topLeftCell="A5" activePane="bottomLeft" state="frozen"/>
      <selection pane="bottomLeft" activeCell="A153" sqref="A153"/>
    </sheetView>
  </sheetViews>
  <sheetFormatPr defaultRowHeight="15"/>
  <cols>
    <col min="1" max="1" width="22.85546875" customWidth="1"/>
    <col min="2" max="2" width="32" customWidth="1"/>
    <col min="3" max="3" width="19.140625" customWidth="1"/>
    <col min="4" max="4" width="12.7109375" style="7" customWidth="1"/>
    <col min="5" max="5" width="8.140625" style="7" customWidth="1"/>
    <col min="6" max="6" width="16.28515625" style="7" customWidth="1"/>
    <col min="7" max="7" width="37.140625" customWidth="1"/>
  </cols>
  <sheetData>
    <row r="1" spans="1:7" ht="15.75">
      <c r="A1" s="6" t="s">
        <v>643</v>
      </c>
    </row>
    <row r="2" spans="1:7" ht="15.75">
      <c r="A2" s="6" t="s">
        <v>642</v>
      </c>
    </row>
    <row r="3" spans="1:7" ht="15.75">
      <c r="A3" s="6"/>
    </row>
    <row r="4" spans="1:7" ht="45">
      <c r="A4" s="5" t="s">
        <v>19</v>
      </c>
      <c r="B4" s="2" t="s">
        <v>18</v>
      </c>
      <c r="C4" s="2" t="s">
        <v>17</v>
      </c>
      <c r="D4" s="32" t="s">
        <v>919</v>
      </c>
      <c r="E4" s="4" t="s">
        <v>16</v>
      </c>
      <c r="F4" s="32" t="s">
        <v>924</v>
      </c>
      <c r="G4" s="3" t="s">
        <v>15</v>
      </c>
    </row>
    <row r="5" spans="1:7">
      <c r="A5" s="2" t="s">
        <v>641</v>
      </c>
    </row>
    <row r="6" spans="1:7">
      <c r="A6" t="s">
        <v>93</v>
      </c>
    </row>
    <row r="7" spans="1:7">
      <c r="A7" t="s">
        <v>640</v>
      </c>
      <c r="B7" t="s">
        <v>639</v>
      </c>
      <c r="C7" t="s">
        <v>638</v>
      </c>
      <c r="D7" s="7" t="s">
        <v>188</v>
      </c>
      <c r="E7" s="15">
        <v>2144</v>
      </c>
      <c r="F7" s="44" t="s">
        <v>940</v>
      </c>
    </row>
    <row r="8" spans="1:7">
      <c r="A8" t="s">
        <v>637</v>
      </c>
      <c r="B8" t="s">
        <v>636</v>
      </c>
      <c r="C8" t="s">
        <v>633</v>
      </c>
      <c r="D8" s="7" t="s">
        <v>120</v>
      </c>
      <c r="E8" s="15">
        <v>3200</v>
      </c>
      <c r="F8" s="44" t="s">
        <v>941</v>
      </c>
    </row>
    <row r="9" spans="1:7">
      <c r="A9" t="s">
        <v>635</v>
      </c>
      <c r="B9" t="s">
        <v>634</v>
      </c>
      <c r="C9" t="s">
        <v>633</v>
      </c>
      <c r="D9" s="7" t="s">
        <v>188</v>
      </c>
      <c r="E9" s="15">
        <v>3300</v>
      </c>
      <c r="F9" s="44" t="s">
        <v>942</v>
      </c>
    </row>
    <row r="11" spans="1:7">
      <c r="A11" t="s">
        <v>139</v>
      </c>
    </row>
    <row r="12" spans="1:7">
      <c r="A12" t="s">
        <v>320</v>
      </c>
      <c r="B12" t="s">
        <v>319</v>
      </c>
      <c r="C12" t="s">
        <v>492</v>
      </c>
      <c r="D12" s="7" t="s">
        <v>188</v>
      </c>
      <c r="E12" s="15">
        <v>4800</v>
      </c>
      <c r="F12" s="43" t="s">
        <v>943</v>
      </c>
    </row>
    <row r="13" spans="1:7">
      <c r="A13" t="s">
        <v>632</v>
      </c>
      <c r="B13" t="s">
        <v>631</v>
      </c>
      <c r="C13" t="s">
        <v>492</v>
      </c>
      <c r="D13" s="7" t="s">
        <v>630</v>
      </c>
      <c r="E13" s="15">
        <v>4800</v>
      </c>
      <c r="F13" s="43" t="s">
        <v>943</v>
      </c>
    </row>
    <row r="15" spans="1:7">
      <c r="A15" t="s">
        <v>253</v>
      </c>
    </row>
    <row r="16" spans="1:7">
      <c r="A16" t="s">
        <v>629</v>
      </c>
      <c r="B16" t="s">
        <v>628</v>
      </c>
      <c r="C16" t="s">
        <v>492</v>
      </c>
      <c r="D16" s="7" t="s">
        <v>120</v>
      </c>
      <c r="E16" s="15">
        <v>3200</v>
      </c>
      <c r="F16" s="43" t="s">
        <v>941</v>
      </c>
    </row>
    <row r="17" spans="1:6">
      <c r="A17" t="s">
        <v>627</v>
      </c>
      <c r="B17" t="s">
        <v>626</v>
      </c>
      <c r="C17" t="s">
        <v>492</v>
      </c>
      <c r="D17" s="7" t="s">
        <v>188</v>
      </c>
      <c r="E17" s="15">
        <v>3300</v>
      </c>
      <c r="F17" s="43" t="s">
        <v>942</v>
      </c>
    </row>
    <row r="18" spans="1:6">
      <c r="A18" t="s">
        <v>625</v>
      </c>
      <c r="B18" t="s">
        <v>624</v>
      </c>
      <c r="C18" t="s">
        <v>492</v>
      </c>
      <c r="D18" s="7" t="s">
        <v>188</v>
      </c>
      <c r="E18" s="15">
        <v>3200</v>
      </c>
      <c r="F18" s="43" t="s">
        <v>944</v>
      </c>
    </row>
    <row r="19" spans="1:6">
      <c r="E19" s="15"/>
      <c r="F19" s="15"/>
    </row>
    <row r="20" spans="1:6">
      <c r="A20" t="s">
        <v>197</v>
      </c>
    </row>
    <row r="21" spans="1:6">
      <c r="A21" t="s">
        <v>623</v>
      </c>
      <c r="B21" t="s">
        <v>622</v>
      </c>
      <c r="C21" t="s">
        <v>492</v>
      </c>
      <c r="D21" s="7" t="s">
        <v>616</v>
      </c>
      <c r="E21" s="15">
        <v>2160</v>
      </c>
      <c r="F21" s="43" t="s">
        <v>940</v>
      </c>
    </row>
    <row r="22" spans="1:6">
      <c r="A22" t="s">
        <v>621</v>
      </c>
      <c r="B22" t="s">
        <v>620</v>
      </c>
      <c r="C22" t="s">
        <v>492</v>
      </c>
      <c r="D22" s="7" t="s">
        <v>120</v>
      </c>
      <c r="E22" s="15">
        <v>7440</v>
      </c>
      <c r="F22" s="43" t="s">
        <v>945</v>
      </c>
    </row>
    <row r="23" spans="1:6">
      <c r="E23" s="15"/>
      <c r="F23" s="15"/>
    </row>
    <row r="25" spans="1:6">
      <c r="A25" s="2" t="s">
        <v>619</v>
      </c>
    </row>
    <row r="26" spans="1:6">
      <c r="A26" t="s">
        <v>93</v>
      </c>
    </row>
    <row r="27" spans="1:6">
      <c r="A27" t="s">
        <v>618</v>
      </c>
      <c r="B27" t="s">
        <v>617</v>
      </c>
      <c r="C27" t="s">
        <v>492</v>
      </c>
      <c r="D27" s="7" t="s">
        <v>616</v>
      </c>
      <c r="E27" s="15">
        <v>2160</v>
      </c>
      <c r="F27" s="43" t="s">
        <v>946</v>
      </c>
    </row>
    <row r="28" spans="1:6">
      <c r="A28" t="s">
        <v>615</v>
      </c>
      <c r="B28" t="s">
        <v>614</v>
      </c>
      <c r="C28" t="s">
        <v>492</v>
      </c>
      <c r="D28" s="7" t="s">
        <v>142</v>
      </c>
      <c r="E28" s="15">
        <v>7440</v>
      </c>
      <c r="F28" s="43" t="s">
        <v>947</v>
      </c>
    </row>
    <row r="29" spans="1:6">
      <c r="E29" s="15"/>
      <c r="F29" s="15"/>
    </row>
    <row r="30" spans="1:6">
      <c r="A30" t="s">
        <v>139</v>
      </c>
      <c r="E30" s="15"/>
      <c r="F30" s="15"/>
    </row>
    <row r="31" spans="1:6">
      <c r="A31" t="s">
        <v>613</v>
      </c>
      <c r="B31" t="s">
        <v>612</v>
      </c>
      <c r="C31" t="s">
        <v>492</v>
      </c>
      <c r="D31" s="7" t="s">
        <v>188</v>
      </c>
      <c r="E31" s="15">
        <v>2688</v>
      </c>
      <c r="F31" s="43" t="s">
        <v>948</v>
      </c>
    </row>
    <row r="32" spans="1:6" s="9" customFormat="1">
      <c r="A32" s="9" t="s">
        <v>611</v>
      </c>
      <c r="B32" s="9" t="s">
        <v>610</v>
      </c>
      <c r="C32" s="9" t="s">
        <v>492</v>
      </c>
      <c r="D32" s="10" t="s">
        <v>120</v>
      </c>
      <c r="E32" s="15">
        <v>6912</v>
      </c>
      <c r="F32" s="70" t="s">
        <v>949</v>
      </c>
    </row>
    <row r="33" spans="1:6">
      <c r="E33" s="15"/>
      <c r="F33" s="15"/>
    </row>
    <row r="34" spans="1:6">
      <c r="A34" t="s">
        <v>253</v>
      </c>
    </row>
    <row r="35" spans="1:6">
      <c r="A35" t="s">
        <v>609</v>
      </c>
      <c r="B35" t="s">
        <v>608</v>
      </c>
      <c r="C35" t="s">
        <v>492</v>
      </c>
      <c r="D35" s="7" t="s">
        <v>120</v>
      </c>
      <c r="E35" s="7">
        <v>3216</v>
      </c>
      <c r="F35" s="43" t="s">
        <v>950</v>
      </c>
    </row>
    <row r="36" spans="1:6">
      <c r="A36" t="s">
        <v>607</v>
      </c>
      <c r="B36" t="s">
        <v>606</v>
      </c>
      <c r="C36" t="s">
        <v>492</v>
      </c>
      <c r="D36" s="7" t="s">
        <v>120</v>
      </c>
      <c r="E36" s="7">
        <v>6384</v>
      </c>
      <c r="F36" s="43" t="s">
        <v>951</v>
      </c>
    </row>
    <row r="38" spans="1:6">
      <c r="A38" t="s">
        <v>197</v>
      </c>
    </row>
    <row r="39" spans="1:6" s="9" customFormat="1">
      <c r="A39" s="9" t="s">
        <v>605</v>
      </c>
      <c r="B39" s="9" t="s">
        <v>604</v>
      </c>
      <c r="C39" s="9" t="s">
        <v>492</v>
      </c>
      <c r="D39" s="10" t="s">
        <v>142</v>
      </c>
      <c r="E39" s="10">
        <v>9600</v>
      </c>
      <c r="F39" s="43" t="s">
        <v>952</v>
      </c>
    </row>
    <row r="42" spans="1:6">
      <c r="A42" s="2" t="s">
        <v>603</v>
      </c>
    </row>
    <row r="43" spans="1:6">
      <c r="A43" t="s">
        <v>93</v>
      </c>
    </row>
    <row r="44" spans="1:6">
      <c r="A44" t="s">
        <v>602</v>
      </c>
      <c r="B44" t="s">
        <v>601</v>
      </c>
      <c r="C44" t="s">
        <v>492</v>
      </c>
      <c r="D44" s="7" t="s">
        <v>188</v>
      </c>
      <c r="E44" s="7">
        <v>4272</v>
      </c>
      <c r="F44" s="43" t="s">
        <v>954</v>
      </c>
    </row>
    <row r="45" spans="1:6">
      <c r="A45" t="s">
        <v>600</v>
      </c>
      <c r="B45" t="s">
        <v>599</v>
      </c>
      <c r="C45" t="s">
        <v>492</v>
      </c>
      <c r="D45" s="7" t="s">
        <v>188</v>
      </c>
      <c r="E45" s="7">
        <v>5328</v>
      </c>
      <c r="F45" s="43" t="s">
        <v>953</v>
      </c>
    </row>
    <row r="46" spans="1:6">
      <c r="C46" t="s">
        <v>492</v>
      </c>
    </row>
    <row r="47" spans="1:6">
      <c r="A47" t="s">
        <v>139</v>
      </c>
    </row>
    <row r="48" spans="1:6">
      <c r="A48" t="s">
        <v>598</v>
      </c>
      <c r="B48" t="s">
        <v>597</v>
      </c>
      <c r="C48" t="s">
        <v>492</v>
      </c>
      <c r="D48" s="7" t="s">
        <v>234</v>
      </c>
      <c r="E48" s="7">
        <v>1844</v>
      </c>
      <c r="F48" s="43" t="s">
        <v>955</v>
      </c>
    </row>
    <row r="49" spans="1:7">
      <c r="A49" t="s">
        <v>596</v>
      </c>
      <c r="B49" t="s">
        <v>595</v>
      </c>
      <c r="C49" t="s">
        <v>492</v>
      </c>
      <c r="D49" s="7" t="s">
        <v>120</v>
      </c>
      <c r="E49" s="7">
        <v>7756</v>
      </c>
      <c r="F49" s="43" t="s">
        <v>956</v>
      </c>
    </row>
    <row r="50" spans="1:7">
      <c r="C50" t="s">
        <v>492</v>
      </c>
    </row>
    <row r="51" spans="1:7">
      <c r="A51" t="s">
        <v>253</v>
      </c>
    </row>
    <row r="52" spans="1:7">
      <c r="A52" t="s">
        <v>594</v>
      </c>
      <c r="B52" t="s">
        <v>593</v>
      </c>
      <c r="C52" t="s">
        <v>492</v>
      </c>
      <c r="D52" s="7" t="s">
        <v>283</v>
      </c>
      <c r="E52" s="7">
        <v>9600</v>
      </c>
      <c r="F52" s="43" t="s">
        <v>957</v>
      </c>
    </row>
    <row r="54" spans="1:7">
      <c r="A54" t="s">
        <v>197</v>
      </c>
    </row>
    <row r="55" spans="1:7">
      <c r="A55" t="s">
        <v>592</v>
      </c>
      <c r="B55" t="s">
        <v>591</v>
      </c>
      <c r="C55" t="s">
        <v>492</v>
      </c>
      <c r="D55" s="7" t="s">
        <v>357</v>
      </c>
      <c r="E55" s="7">
        <v>9600</v>
      </c>
      <c r="F55" s="43" t="s">
        <v>958</v>
      </c>
    </row>
    <row r="58" spans="1:7">
      <c r="A58" s="2" t="s">
        <v>590</v>
      </c>
      <c r="G58" s="2"/>
    </row>
    <row r="59" spans="1:7">
      <c r="A59" t="s">
        <v>93</v>
      </c>
      <c r="G59" s="2"/>
    </row>
    <row r="60" spans="1:7">
      <c r="A60" t="s">
        <v>589</v>
      </c>
      <c r="B60" t="s">
        <v>588</v>
      </c>
      <c r="C60" t="s">
        <v>492</v>
      </c>
      <c r="D60" s="7" t="s">
        <v>188</v>
      </c>
      <c r="E60" s="7">
        <v>9600</v>
      </c>
      <c r="F60" s="43" t="s">
        <v>959</v>
      </c>
    </row>
    <row r="62" spans="1:7">
      <c r="A62" t="s">
        <v>139</v>
      </c>
    </row>
    <row r="63" spans="1:7">
      <c r="A63" t="s">
        <v>587</v>
      </c>
      <c r="B63" t="s">
        <v>586</v>
      </c>
      <c r="C63" t="s">
        <v>492</v>
      </c>
      <c r="D63" s="7" t="s">
        <v>234</v>
      </c>
      <c r="E63" s="7">
        <v>9600</v>
      </c>
      <c r="F63" s="43" t="s">
        <v>959</v>
      </c>
    </row>
    <row r="65" spans="1:6">
      <c r="A65" t="s">
        <v>253</v>
      </c>
    </row>
    <row r="66" spans="1:6">
      <c r="A66" t="s">
        <v>585</v>
      </c>
      <c r="B66" t="s">
        <v>584</v>
      </c>
      <c r="C66" t="s">
        <v>492</v>
      </c>
      <c r="D66" s="7" t="s">
        <v>188</v>
      </c>
      <c r="E66" s="7">
        <v>9600</v>
      </c>
      <c r="F66" s="43" t="s">
        <v>959</v>
      </c>
    </row>
    <row r="68" spans="1:6">
      <c r="A68" t="s">
        <v>197</v>
      </c>
    </row>
    <row r="69" spans="1:6" s="9" customFormat="1">
      <c r="A69" s="9" t="s">
        <v>583</v>
      </c>
      <c r="B69" s="9" t="s">
        <v>582</v>
      </c>
      <c r="C69" s="9" t="s">
        <v>492</v>
      </c>
      <c r="D69" s="10" t="s">
        <v>581</v>
      </c>
      <c r="E69" s="10">
        <v>9600</v>
      </c>
      <c r="F69" s="70" t="s">
        <v>959</v>
      </c>
    </row>
    <row r="72" spans="1:6">
      <c r="A72" s="2" t="s">
        <v>580</v>
      </c>
    </row>
    <row r="73" spans="1:6">
      <c r="A73" t="s">
        <v>93</v>
      </c>
    </row>
    <row r="74" spans="1:6">
      <c r="A74" t="s">
        <v>579</v>
      </c>
      <c r="B74" t="s">
        <v>578</v>
      </c>
      <c r="C74" t="s">
        <v>492</v>
      </c>
      <c r="D74" s="7" t="s">
        <v>120</v>
      </c>
      <c r="E74" s="7">
        <v>2848</v>
      </c>
      <c r="F74" s="43" t="s">
        <v>960</v>
      </c>
    </row>
    <row r="75" spans="1:6">
      <c r="A75" t="s">
        <v>577</v>
      </c>
      <c r="B75" t="s">
        <v>576</v>
      </c>
      <c r="C75" t="s">
        <v>492</v>
      </c>
      <c r="D75" s="7" t="s">
        <v>120</v>
      </c>
      <c r="E75" s="7">
        <v>6016</v>
      </c>
      <c r="F75" s="43" t="s">
        <v>961</v>
      </c>
    </row>
    <row r="76" spans="1:6">
      <c r="A76" t="s">
        <v>575</v>
      </c>
      <c r="B76" t="s">
        <v>574</v>
      </c>
      <c r="C76" t="s">
        <v>492</v>
      </c>
      <c r="D76" s="7" t="s">
        <v>234</v>
      </c>
      <c r="E76" s="7">
        <v>736</v>
      </c>
      <c r="F76" s="43" t="s">
        <v>962</v>
      </c>
    </row>
    <row r="78" spans="1:6">
      <c r="A78" t="s">
        <v>139</v>
      </c>
    </row>
    <row r="79" spans="1:6" s="9" customFormat="1">
      <c r="A79" s="9" t="s">
        <v>573</v>
      </c>
      <c r="B79" s="9" t="s">
        <v>572</v>
      </c>
      <c r="C79" s="9" t="s">
        <v>492</v>
      </c>
      <c r="D79" s="10" t="s">
        <v>120</v>
      </c>
      <c r="E79" s="10">
        <v>4272</v>
      </c>
      <c r="F79" s="70" t="s">
        <v>963</v>
      </c>
    </row>
    <row r="80" spans="1:6">
      <c r="A80" t="s">
        <v>571</v>
      </c>
      <c r="B80" t="s">
        <v>570</v>
      </c>
      <c r="C80" t="s">
        <v>492</v>
      </c>
      <c r="D80" s="7" t="s">
        <v>188</v>
      </c>
      <c r="E80" s="7">
        <v>5328</v>
      </c>
      <c r="F80" s="43" t="s">
        <v>964</v>
      </c>
    </row>
    <row r="82" spans="1:6">
      <c r="A82" t="s">
        <v>253</v>
      </c>
    </row>
    <row r="83" spans="1:6">
      <c r="A83" t="s">
        <v>569</v>
      </c>
      <c r="B83" t="s">
        <v>568</v>
      </c>
      <c r="C83" t="s">
        <v>492</v>
      </c>
      <c r="D83" s="7" t="s">
        <v>120</v>
      </c>
      <c r="E83" s="7">
        <v>9600</v>
      </c>
      <c r="F83" s="43" t="s">
        <v>959</v>
      </c>
    </row>
    <row r="85" spans="1:6">
      <c r="A85" t="s">
        <v>197</v>
      </c>
    </row>
    <row r="86" spans="1:6">
      <c r="A86" t="s">
        <v>567</v>
      </c>
      <c r="B86" t="s">
        <v>566</v>
      </c>
      <c r="C86" t="s">
        <v>492</v>
      </c>
      <c r="D86" s="7" t="s">
        <v>120</v>
      </c>
      <c r="E86" s="7">
        <v>9600</v>
      </c>
      <c r="F86" s="43" t="s">
        <v>965</v>
      </c>
    </row>
    <row r="89" spans="1:6">
      <c r="A89" s="2" t="s">
        <v>565</v>
      </c>
    </row>
    <row r="90" spans="1:6">
      <c r="A90" t="s">
        <v>93</v>
      </c>
    </row>
    <row r="91" spans="1:6">
      <c r="A91" t="s">
        <v>564</v>
      </c>
      <c r="B91" t="s">
        <v>563</v>
      </c>
      <c r="C91" t="s">
        <v>492</v>
      </c>
      <c r="D91" s="7" t="s">
        <v>142</v>
      </c>
      <c r="E91" s="7">
        <v>3744</v>
      </c>
      <c r="F91" s="43" t="s">
        <v>966</v>
      </c>
    </row>
    <row r="92" spans="1:6">
      <c r="A92" t="s">
        <v>562</v>
      </c>
      <c r="B92" t="s">
        <v>561</v>
      </c>
      <c r="C92" t="s">
        <v>492</v>
      </c>
      <c r="D92" s="7" t="s">
        <v>149</v>
      </c>
      <c r="E92" s="7">
        <v>5856</v>
      </c>
      <c r="F92" s="43" t="s">
        <v>967</v>
      </c>
    </row>
    <row r="94" spans="1:6">
      <c r="A94" t="s">
        <v>139</v>
      </c>
    </row>
    <row r="95" spans="1:6">
      <c r="A95" t="s">
        <v>560</v>
      </c>
      <c r="B95" t="s">
        <v>559</v>
      </c>
      <c r="C95" t="s">
        <v>492</v>
      </c>
      <c r="D95" s="7" t="s">
        <v>188</v>
      </c>
      <c r="E95" s="7">
        <v>2688</v>
      </c>
      <c r="F95" s="43" t="s">
        <v>968</v>
      </c>
    </row>
    <row r="96" spans="1:6">
      <c r="A96" t="s">
        <v>558</v>
      </c>
      <c r="B96" t="s">
        <v>557</v>
      </c>
      <c r="C96" t="s">
        <v>492</v>
      </c>
      <c r="D96" s="7" t="s">
        <v>142</v>
      </c>
      <c r="E96" s="7">
        <v>6912</v>
      </c>
      <c r="F96" s="43" t="s">
        <v>969</v>
      </c>
    </row>
    <row r="98" spans="1:6">
      <c r="A98" t="s">
        <v>253</v>
      </c>
    </row>
    <row r="99" spans="1:6">
      <c r="A99" t="s">
        <v>556</v>
      </c>
      <c r="B99" t="s">
        <v>554</v>
      </c>
      <c r="C99" t="s">
        <v>492</v>
      </c>
      <c r="D99" s="7" t="s">
        <v>188</v>
      </c>
      <c r="E99" s="7">
        <v>2688</v>
      </c>
      <c r="F99" s="43" t="s">
        <v>968</v>
      </c>
    </row>
    <row r="100" spans="1:6">
      <c r="A100" t="s">
        <v>555</v>
      </c>
      <c r="B100" t="s">
        <v>554</v>
      </c>
      <c r="C100" t="s">
        <v>492</v>
      </c>
      <c r="D100" s="7" t="s">
        <v>120</v>
      </c>
      <c r="E100" s="7">
        <v>6912</v>
      </c>
      <c r="F100" s="43" t="s">
        <v>969</v>
      </c>
    </row>
    <row r="101" spans="1:6">
      <c r="C101" t="s">
        <v>492</v>
      </c>
    </row>
    <row r="102" spans="1:6">
      <c r="A102" t="s">
        <v>197</v>
      </c>
    </row>
    <row r="103" spans="1:6">
      <c r="A103" t="s">
        <v>553</v>
      </c>
      <c r="B103" t="s">
        <v>552</v>
      </c>
      <c r="C103" t="s">
        <v>492</v>
      </c>
      <c r="D103" s="7" t="s">
        <v>120</v>
      </c>
      <c r="E103" s="7">
        <v>2168</v>
      </c>
      <c r="F103" s="43" t="s">
        <v>970</v>
      </c>
    </row>
    <row r="104" spans="1:6">
      <c r="A104" t="s">
        <v>551</v>
      </c>
      <c r="B104" t="s">
        <v>550</v>
      </c>
      <c r="C104" t="s">
        <v>492</v>
      </c>
      <c r="D104" s="7" t="s">
        <v>149</v>
      </c>
      <c r="E104" s="7">
        <v>7440</v>
      </c>
      <c r="F104" s="43" t="s">
        <v>971</v>
      </c>
    </row>
    <row r="107" spans="1:6">
      <c r="A107" s="2" t="s">
        <v>549</v>
      </c>
    </row>
    <row r="108" spans="1:6">
      <c r="A108" t="s">
        <v>93</v>
      </c>
    </row>
    <row r="109" spans="1:6">
      <c r="A109" t="s">
        <v>548</v>
      </c>
      <c r="B109" t="s">
        <v>547</v>
      </c>
      <c r="C109" t="s">
        <v>492</v>
      </c>
      <c r="D109" s="7" t="s">
        <v>546</v>
      </c>
      <c r="E109" s="7">
        <v>3192</v>
      </c>
      <c r="F109" s="43" t="s">
        <v>972</v>
      </c>
    </row>
    <row r="110" spans="1:6">
      <c r="A110" t="s">
        <v>545</v>
      </c>
      <c r="B110" t="s">
        <v>544</v>
      </c>
      <c r="C110" t="s">
        <v>492</v>
      </c>
      <c r="D110" s="7" t="s">
        <v>188</v>
      </c>
      <c r="E110" s="7">
        <v>2136</v>
      </c>
      <c r="F110" s="43" t="s">
        <v>973</v>
      </c>
    </row>
    <row r="111" spans="1:6">
      <c r="A111" t="s">
        <v>543</v>
      </c>
      <c r="B111" t="s">
        <v>542</v>
      </c>
      <c r="C111" t="s">
        <v>492</v>
      </c>
      <c r="D111" s="7" t="s">
        <v>234</v>
      </c>
      <c r="E111" s="7">
        <v>2136</v>
      </c>
      <c r="F111" s="43" t="s">
        <v>975</v>
      </c>
    </row>
    <row r="112" spans="1:6">
      <c r="A112" t="s">
        <v>541</v>
      </c>
      <c r="B112" t="s">
        <v>540</v>
      </c>
      <c r="C112" t="s">
        <v>492</v>
      </c>
      <c r="D112" s="7" t="s">
        <v>188</v>
      </c>
      <c r="E112" s="7">
        <v>2136</v>
      </c>
      <c r="F112" s="43" t="s">
        <v>975</v>
      </c>
    </row>
    <row r="114" spans="1:6">
      <c r="A114" t="s">
        <v>139</v>
      </c>
    </row>
    <row r="115" spans="1:6">
      <c r="A115" t="s">
        <v>531</v>
      </c>
      <c r="B115" t="s">
        <v>539</v>
      </c>
      <c r="C115" t="s">
        <v>492</v>
      </c>
      <c r="D115" s="7" t="s">
        <v>120</v>
      </c>
      <c r="E115" s="7">
        <v>3552</v>
      </c>
      <c r="F115" s="43" t="s">
        <v>978</v>
      </c>
    </row>
    <row r="116" spans="1:6">
      <c r="A116" t="s">
        <v>538</v>
      </c>
      <c r="B116" t="s">
        <v>537</v>
      </c>
      <c r="C116" t="s">
        <v>492</v>
      </c>
      <c r="D116" s="7" t="s">
        <v>188</v>
      </c>
      <c r="E116" s="7">
        <v>2496</v>
      </c>
      <c r="F116" s="43" t="s">
        <v>974</v>
      </c>
    </row>
    <row r="117" spans="1:6">
      <c r="A117" t="s">
        <v>536</v>
      </c>
      <c r="B117" t="s">
        <v>535</v>
      </c>
      <c r="C117" t="s">
        <v>492</v>
      </c>
      <c r="D117" s="7" t="s">
        <v>120</v>
      </c>
      <c r="E117" s="7">
        <v>3552</v>
      </c>
      <c r="F117" s="43" t="s">
        <v>976</v>
      </c>
    </row>
    <row r="120" spans="1:6">
      <c r="A120" s="2" t="s">
        <v>534</v>
      </c>
    </row>
    <row r="121" spans="1:6">
      <c r="A121" t="s">
        <v>93</v>
      </c>
    </row>
    <row r="122" spans="1:6">
      <c r="A122" t="s">
        <v>533</v>
      </c>
      <c r="B122" t="s">
        <v>532</v>
      </c>
      <c r="C122" t="s">
        <v>492</v>
      </c>
      <c r="D122" s="7" t="s">
        <v>120</v>
      </c>
      <c r="E122" s="7">
        <v>5328</v>
      </c>
      <c r="F122" s="43" t="s">
        <v>979</v>
      </c>
    </row>
    <row r="123" spans="1:6">
      <c r="A123" t="s">
        <v>531</v>
      </c>
      <c r="B123" t="s">
        <v>530</v>
      </c>
      <c r="C123" t="s">
        <v>492</v>
      </c>
      <c r="D123" s="7" t="s">
        <v>120</v>
      </c>
      <c r="E123" s="7">
        <v>4272</v>
      </c>
      <c r="F123" s="43" t="s">
        <v>977</v>
      </c>
    </row>
    <row r="125" spans="1:6">
      <c r="A125" t="s">
        <v>139</v>
      </c>
    </row>
    <row r="126" spans="1:6">
      <c r="A126" t="s">
        <v>529</v>
      </c>
      <c r="B126" t="s">
        <v>528</v>
      </c>
      <c r="C126" t="s">
        <v>492</v>
      </c>
      <c r="D126" s="7" t="s">
        <v>120</v>
      </c>
      <c r="E126" s="7">
        <v>9600</v>
      </c>
      <c r="F126" s="43" t="s">
        <v>980</v>
      </c>
    </row>
    <row r="128" spans="1:6">
      <c r="A128" t="s">
        <v>253</v>
      </c>
    </row>
    <row r="129" spans="1:6" s="9" customFormat="1">
      <c r="A129" s="9" t="s">
        <v>984</v>
      </c>
      <c r="B129" s="9" t="s">
        <v>527</v>
      </c>
      <c r="C129" s="9" t="s">
        <v>492</v>
      </c>
      <c r="D129" s="10" t="s">
        <v>120</v>
      </c>
      <c r="E129" s="10">
        <v>5856</v>
      </c>
      <c r="F129" s="45" t="s">
        <v>983</v>
      </c>
    </row>
    <row r="130" spans="1:6">
      <c r="A130" t="s">
        <v>526</v>
      </c>
      <c r="B130" t="s">
        <v>525</v>
      </c>
      <c r="C130" t="s">
        <v>492</v>
      </c>
      <c r="D130" s="7" t="s">
        <v>120</v>
      </c>
      <c r="E130" s="7">
        <v>3744</v>
      </c>
      <c r="F130" s="43" t="s">
        <v>981</v>
      </c>
    </row>
    <row r="132" spans="1:6">
      <c r="A132" t="s">
        <v>197</v>
      </c>
    </row>
    <row r="133" spans="1:6">
      <c r="A133" t="s">
        <v>524</v>
      </c>
      <c r="B133" t="s">
        <v>523</v>
      </c>
      <c r="C133" t="s">
        <v>492</v>
      </c>
      <c r="D133" s="7" t="s">
        <v>142</v>
      </c>
      <c r="E133" s="7">
        <v>9600</v>
      </c>
      <c r="F133" s="43" t="s">
        <v>982</v>
      </c>
    </row>
    <row r="136" spans="1:6">
      <c r="A136" s="2" t="s">
        <v>522</v>
      </c>
    </row>
    <row r="137" spans="1:6">
      <c r="A137" t="s">
        <v>93</v>
      </c>
    </row>
    <row r="138" spans="1:6">
      <c r="A138" t="s">
        <v>521</v>
      </c>
      <c r="B138" t="s">
        <v>520</v>
      </c>
      <c r="C138" t="s">
        <v>492</v>
      </c>
      <c r="D138" s="7" t="s">
        <v>120</v>
      </c>
      <c r="E138" s="7">
        <v>4272</v>
      </c>
      <c r="F138" s="46" t="s">
        <v>985</v>
      </c>
    </row>
    <row r="139" spans="1:6">
      <c r="A139" t="s">
        <v>519</v>
      </c>
      <c r="B139" t="s">
        <v>518</v>
      </c>
      <c r="C139" t="s">
        <v>492</v>
      </c>
      <c r="D139" s="7" t="s">
        <v>142</v>
      </c>
      <c r="E139" s="7">
        <v>5328</v>
      </c>
      <c r="F139" s="46" t="s">
        <v>987</v>
      </c>
    </row>
    <row r="141" spans="1:6">
      <c r="A141" t="s">
        <v>139</v>
      </c>
    </row>
    <row r="142" spans="1:6">
      <c r="A142" t="s">
        <v>517</v>
      </c>
      <c r="B142" t="s">
        <v>516</v>
      </c>
      <c r="C142" t="s">
        <v>492</v>
      </c>
      <c r="D142" s="7" t="s">
        <v>120</v>
      </c>
      <c r="E142" s="7">
        <v>2848</v>
      </c>
      <c r="F142" s="46" t="s">
        <v>929</v>
      </c>
    </row>
    <row r="143" spans="1:6">
      <c r="A143" t="s">
        <v>515</v>
      </c>
      <c r="B143" t="s">
        <v>514</v>
      </c>
      <c r="C143" t="s">
        <v>492</v>
      </c>
      <c r="D143" s="7" t="s">
        <v>142</v>
      </c>
      <c r="E143" s="7">
        <v>3904</v>
      </c>
      <c r="F143" s="70" t="s">
        <v>986</v>
      </c>
    </row>
    <row r="144" spans="1:6">
      <c r="A144" t="s">
        <v>513</v>
      </c>
      <c r="B144" t="s">
        <v>78</v>
      </c>
      <c r="C144" t="s">
        <v>492</v>
      </c>
      <c r="D144" s="7" t="s">
        <v>120</v>
      </c>
      <c r="E144" s="7">
        <v>2848</v>
      </c>
      <c r="F144" s="69" t="s">
        <v>1202</v>
      </c>
    </row>
    <row r="146" spans="1:6">
      <c r="A146" t="s">
        <v>253</v>
      </c>
    </row>
    <row r="147" spans="1:6">
      <c r="A147" t="s">
        <v>512</v>
      </c>
      <c r="B147" t="s">
        <v>511</v>
      </c>
      <c r="C147" t="s">
        <v>492</v>
      </c>
      <c r="D147" s="7" t="s">
        <v>120</v>
      </c>
      <c r="E147" s="7">
        <v>2848</v>
      </c>
      <c r="F147" s="46" t="s">
        <v>990</v>
      </c>
    </row>
    <row r="148" spans="1:6">
      <c r="A148" t="s">
        <v>173</v>
      </c>
      <c r="B148" t="s">
        <v>510</v>
      </c>
      <c r="C148" t="s">
        <v>492</v>
      </c>
      <c r="D148" s="7" t="s">
        <v>120</v>
      </c>
      <c r="E148" s="7">
        <v>2848</v>
      </c>
      <c r="F148" s="69" t="s">
        <v>1035</v>
      </c>
    </row>
    <row r="149" spans="1:6" s="9" customFormat="1">
      <c r="A149" s="9" t="s">
        <v>1215</v>
      </c>
      <c r="B149" s="9" t="s">
        <v>509</v>
      </c>
      <c r="C149" s="9" t="s">
        <v>492</v>
      </c>
      <c r="D149" s="10" t="s">
        <v>188</v>
      </c>
      <c r="E149" s="10">
        <v>3904</v>
      </c>
      <c r="F149" s="72" t="s">
        <v>1203</v>
      </c>
    </row>
    <row r="151" spans="1:6">
      <c r="A151" t="s">
        <v>197</v>
      </c>
    </row>
    <row r="152" spans="1:6" s="9" customFormat="1">
      <c r="A152" s="9" t="s">
        <v>1216</v>
      </c>
      <c r="B152" s="9" t="s">
        <v>508</v>
      </c>
      <c r="C152" s="9" t="s">
        <v>492</v>
      </c>
      <c r="D152" s="10" t="s">
        <v>188</v>
      </c>
      <c r="E152" s="10">
        <v>3904</v>
      </c>
      <c r="F152" s="72" t="s">
        <v>1203</v>
      </c>
    </row>
    <row r="153" spans="1:6">
      <c r="A153" t="s">
        <v>507</v>
      </c>
      <c r="B153" t="s">
        <v>506</v>
      </c>
      <c r="C153" t="s">
        <v>492</v>
      </c>
      <c r="D153" s="7" t="s">
        <v>120</v>
      </c>
      <c r="E153" s="7">
        <v>2848</v>
      </c>
      <c r="F153" s="46" t="s">
        <v>988</v>
      </c>
    </row>
    <row r="154" spans="1:6">
      <c r="A154" t="s">
        <v>505</v>
      </c>
      <c r="B154" t="s">
        <v>504</v>
      </c>
      <c r="C154" t="s">
        <v>492</v>
      </c>
      <c r="D154" s="7" t="s">
        <v>120</v>
      </c>
      <c r="E154" s="7">
        <v>2848</v>
      </c>
      <c r="F154" s="46" t="s">
        <v>989</v>
      </c>
    </row>
    <row r="157" spans="1:6">
      <c r="A157" s="2" t="s">
        <v>503</v>
      </c>
    </row>
    <row r="158" spans="1:6">
      <c r="A158" t="s">
        <v>93</v>
      </c>
    </row>
    <row r="159" spans="1:6">
      <c r="A159" t="s">
        <v>502</v>
      </c>
      <c r="B159" t="s">
        <v>501</v>
      </c>
      <c r="C159" t="s">
        <v>492</v>
      </c>
      <c r="D159" s="7" t="s">
        <v>357</v>
      </c>
      <c r="E159" s="7">
        <v>9600</v>
      </c>
      <c r="F159" s="46" t="s">
        <v>991</v>
      </c>
    </row>
    <row r="161" spans="1:6">
      <c r="A161" t="s">
        <v>139</v>
      </c>
    </row>
    <row r="162" spans="1:6">
      <c r="A162" t="s">
        <v>500</v>
      </c>
      <c r="B162" t="s">
        <v>499</v>
      </c>
      <c r="C162" t="s">
        <v>492</v>
      </c>
      <c r="D162" s="7" t="s">
        <v>357</v>
      </c>
      <c r="E162" s="7">
        <v>9600</v>
      </c>
      <c r="F162" s="46" t="s">
        <v>991</v>
      </c>
    </row>
    <row r="163" spans="1:6">
      <c r="C163" t="s">
        <v>492</v>
      </c>
    </row>
    <row r="164" spans="1:6">
      <c r="A164" t="s">
        <v>253</v>
      </c>
    </row>
    <row r="165" spans="1:6">
      <c r="A165" t="s">
        <v>498</v>
      </c>
      <c r="B165" t="s">
        <v>497</v>
      </c>
      <c r="C165" t="s">
        <v>492</v>
      </c>
      <c r="D165" s="7" t="s">
        <v>120</v>
      </c>
      <c r="E165" s="7">
        <v>4278</v>
      </c>
      <c r="F165" s="46" t="s">
        <v>992</v>
      </c>
    </row>
    <row r="166" spans="1:6">
      <c r="A166" t="s">
        <v>496</v>
      </c>
      <c r="B166" t="s">
        <v>495</v>
      </c>
      <c r="C166" t="s">
        <v>492</v>
      </c>
      <c r="D166" s="7" t="s">
        <v>188</v>
      </c>
      <c r="E166" s="7">
        <v>5322</v>
      </c>
      <c r="F166" s="46" t="s">
        <v>993</v>
      </c>
    </row>
    <row r="168" spans="1:6">
      <c r="A168" t="s">
        <v>197</v>
      </c>
    </row>
    <row r="169" spans="1:6">
      <c r="A169" t="s">
        <v>494</v>
      </c>
      <c r="B169" t="s">
        <v>493</v>
      </c>
      <c r="C169" t="s">
        <v>492</v>
      </c>
      <c r="D169" s="7" t="s">
        <v>188</v>
      </c>
      <c r="E169" s="7">
        <v>9600</v>
      </c>
      <c r="F169" s="46" t="s">
        <v>994</v>
      </c>
    </row>
    <row r="175" spans="1:6" ht="15.75">
      <c r="A175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pane ySplit="4" topLeftCell="A5" activePane="bottomLeft" state="frozen"/>
      <selection pane="bottomLeft" activeCell="B17" sqref="B17"/>
    </sheetView>
  </sheetViews>
  <sheetFormatPr defaultRowHeight="15"/>
  <cols>
    <col min="1" max="1" width="22.42578125" customWidth="1"/>
    <col min="2" max="2" width="34.5703125" customWidth="1"/>
    <col min="3" max="3" width="16.85546875" customWidth="1"/>
    <col min="4" max="4" width="12.42578125" style="7" customWidth="1"/>
    <col min="5" max="5" width="9.140625" style="7"/>
    <col min="6" max="6" width="16.5703125" style="7" customWidth="1"/>
    <col min="7" max="7" width="12" customWidth="1"/>
  </cols>
  <sheetData>
    <row r="1" spans="1:7" ht="15.75">
      <c r="A1" s="6" t="s">
        <v>643</v>
      </c>
    </row>
    <row r="2" spans="1:7" ht="15.75">
      <c r="A2" s="6" t="s">
        <v>667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5" spans="1:7">
      <c r="A5" s="2" t="s">
        <v>666</v>
      </c>
    </row>
    <row r="6" spans="1:7">
      <c r="A6" t="s">
        <v>93</v>
      </c>
    </row>
    <row r="7" spans="1:7" ht="15.75">
      <c r="A7" s="20" t="s">
        <v>665</v>
      </c>
      <c r="B7" t="s">
        <v>664</v>
      </c>
      <c r="C7" t="s">
        <v>492</v>
      </c>
      <c r="D7" s="7" t="s">
        <v>142</v>
      </c>
      <c r="E7" s="7">
        <v>2844</v>
      </c>
      <c r="F7" s="48" t="s">
        <v>995</v>
      </c>
    </row>
    <row r="8" spans="1:7" s="9" customFormat="1">
      <c r="A8" s="9" t="s">
        <v>665</v>
      </c>
      <c r="B8" s="9" t="s">
        <v>663</v>
      </c>
      <c r="C8" s="9" t="s">
        <v>492</v>
      </c>
      <c r="D8" s="10" t="s">
        <v>142</v>
      </c>
      <c r="E8" s="10">
        <v>3904</v>
      </c>
      <c r="F8" s="73" t="s">
        <v>996</v>
      </c>
    </row>
    <row r="9" spans="1:7">
      <c r="A9" t="s">
        <v>662</v>
      </c>
      <c r="B9" t="s">
        <v>661</v>
      </c>
      <c r="C9" t="s">
        <v>492</v>
      </c>
      <c r="D9" s="7" t="s">
        <v>120</v>
      </c>
      <c r="E9" s="7">
        <v>2848</v>
      </c>
      <c r="F9" s="48" t="s">
        <v>997</v>
      </c>
    </row>
    <row r="11" spans="1:7">
      <c r="A11" t="s">
        <v>139</v>
      </c>
    </row>
    <row r="12" spans="1:7">
      <c r="A12" t="s">
        <v>660</v>
      </c>
      <c r="B12" t="s">
        <v>659</v>
      </c>
      <c r="C12" t="s">
        <v>492</v>
      </c>
      <c r="D12" s="7" t="s">
        <v>142</v>
      </c>
      <c r="E12" s="7">
        <v>2848</v>
      </c>
      <c r="F12" s="48" t="s">
        <v>995</v>
      </c>
    </row>
    <row r="13" spans="1:7" s="9" customFormat="1">
      <c r="A13" s="9" t="s">
        <v>660</v>
      </c>
      <c r="B13" s="9" t="s">
        <v>658</v>
      </c>
      <c r="C13" s="9" t="s">
        <v>492</v>
      </c>
      <c r="D13" s="10" t="s">
        <v>142</v>
      </c>
      <c r="E13" s="10">
        <v>3901</v>
      </c>
      <c r="F13" s="73" t="s">
        <v>996</v>
      </c>
    </row>
    <row r="14" spans="1:7">
      <c r="A14" t="s">
        <v>657</v>
      </c>
      <c r="B14" t="s">
        <v>656</v>
      </c>
      <c r="C14" t="s">
        <v>492</v>
      </c>
      <c r="D14" s="7" t="s">
        <v>120</v>
      </c>
      <c r="E14" s="7">
        <v>2848</v>
      </c>
      <c r="F14" s="48" t="s">
        <v>997</v>
      </c>
    </row>
    <row r="17" spans="1:6">
      <c r="A17" s="2" t="s">
        <v>655</v>
      </c>
    </row>
    <row r="18" spans="1:6">
      <c r="A18" t="s">
        <v>93</v>
      </c>
    </row>
    <row r="19" spans="1:6">
      <c r="A19" t="s">
        <v>654</v>
      </c>
      <c r="B19" t="s">
        <v>653</v>
      </c>
      <c r="C19" t="s">
        <v>492</v>
      </c>
      <c r="D19" s="7" t="s">
        <v>120</v>
      </c>
      <c r="E19" s="7">
        <v>3200</v>
      </c>
      <c r="F19" s="48" t="s">
        <v>998</v>
      </c>
    </row>
    <row r="20" spans="1:6">
      <c r="A20" t="s">
        <v>652</v>
      </c>
      <c r="B20" t="s">
        <v>277</v>
      </c>
      <c r="C20" t="s">
        <v>492</v>
      </c>
      <c r="D20" s="7" t="s">
        <v>120</v>
      </c>
      <c r="E20" s="7">
        <v>3200</v>
      </c>
      <c r="F20" s="48" t="s">
        <v>999</v>
      </c>
    </row>
    <row r="21" spans="1:6">
      <c r="A21" t="s">
        <v>651</v>
      </c>
      <c r="B21" t="s">
        <v>650</v>
      </c>
      <c r="C21" t="s">
        <v>492</v>
      </c>
      <c r="D21" s="7" t="s">
        <v>120</v>
      </c>
      <c r="E21" s="7">
        <v>3200</v>
      </c>
      <c r="F21" s="48" t="s">
        <v>998</v>
      </c>
    </row>
    <row r="23" spans="1:6">
      <c r="A23" t="s">
        <v>139</v>
      </c>
    </row>
    <row r="24" spans="1:6">
      <c r="A24" t="s">
        <v>649</v>
      </c>
      <c r="B24" t="s">
        <v>648</v>
      </c>
      <c r="C24" t="s">
        <v>492</v>
      </c>
      <c r="D24" s="7" t="s">
        <v>120</v>
      </c>
      <c r="E24" s="7">
        <v>3200</v>
      </c>
      <c r="F24" s="48" t="s">
        <v>1000</v>
      </c>
    </row>
    <row r="25" spans="1:6">
      <c r="A25" t="s">
        <v>647</v>
      </c>
      <c r="B25" t="s">
        <v>646</v>
      </c>
      <c r="C25" t="s">
        <v>492</v>
      </c>
      <c r="D25" s="7" t="s">
        <v>120</v>
      </c>
      <c r="E25" s="7">
        <v>3200</v>
      </c>
      <c r="F25" s="48" t="s">
        <v>1001</v>
      </c>
    </row>
    <row r="26" spans="1:6">
      <c r="A26" t="s">
        <v>645</v>
      </c>
      <c r="B26" t="s">
        <v>644</v>
      </c>
      <c r="C26" t="s">
        <v>492</v>
      </c>
      <c r="D26" s="7" t="s">
        <v>120</v>
      </c>
      <c r="E26" s="7">
        <v>3200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3"/>
  <sheetViews>
    <sheetView workbookViewId="0">
      <pane ySplit="4" topLeftCell="A5" activePane="bottomLeft" state="frozen"/>
      <selection pane="bottomLeft" activeCell="D23" sqref="D23"/>
    </sheetView>
  </sheetViews>
  <sheetFormatPr defaultRowHeight="15"/>
  <cols>
    <col min="1" max="1" width="21.85546875" customWidth="1"/>
    <col min="2" max="2" width="32.7109375" customWidth="1"/>
    <col min="3" max="3" width="19.140625" customWidth="1"/>
    <col min="4" max="4" width="12.28515625" style="7" customWidth="1"/>
    <col min="5" max="5" width="11.28515625" style="7" customWidth="1"/>
    <col min="6" max="6" width="19.5703125" style="7" customWidth="1"/>
    <col min="7" max="7" width="10.85546875" customWidth="1"/>
  </cols>
  <sheetData>
    <row r="1" spans="1:7" ht="15.75">
      <c r="A1" s="6" t="s">
        <v>643</v>
      </c>
    </row>
    <row r="2" spans="1:7" ht="15.75">
      <c r="A2" s="6" t="s">
        <v>703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5" spans="1:7">
      <c r="A5" s="2" t="s">
        <v>702</v>
      </c>
    </row>
    <row r="6" spans="1:7">
      <c r="A6" t="s">
        <v>93</v>
      </c>
    </row>
    <row r="7" spans="1:7">
      <c r="A7" t="s">
        <v>618</v>
      </c>
      <c r="B7" t="s">
        <v>617</v>
      </c>
      <c r="C7" t="s">
        <v>697</v>
      </c>
      <c r="D7" s="7" t="s">
        <v>616</v>
      </c>
      <c r="E7" s="15">
        <v>5460</v>
      </c>
      <c r="F7" s="49" t="s">
        <v>1002</v>
      </c>
    </row>
    <row r="8" spans="1:7">
      <c r="A8" t="s">
        <v>615</v>
      </c>
      <c r="B8" t="s">
        <v>614</v>
      </c>
      <c r="C8" t="s">
        <v>697</v>
      </c>
      <c r="D8" s="7" t="s">
        <v>142</v>
      </c>
      <c r="E8" s="15">
        <v>10740</v>
      </c>
      <c r="F8" s="49" t="s">
        <v>1003</v>
      </c>
    </row>
    <row r="9" spans="1:7">
      <c r="E9" s="15"/>
      <c r="F9" s="15"/>
    </row>
    <row r="10" spans="1:7">
      <c r="A10" t="s">
        <v>139</v>
      </c>
      <c r="E10" s="15"/>
      <c r="F10" s="15"/>
    </row>
    <row r="11" spans="1:7">
      <c r="A11" t="s">
        <v>701</v>
      </c>
      <c r="B11" t="s">
        <v>700</v>
      </c>
      <c r="C11" t="s">
        <v>697</v>
      </c>
      <c r="D11" s="7" t="s">
        <v>149</v>
      </c>
      <c r="E11" s="15">
        <v>5460</v>
      </c>
      <c r="F11" s="49" t="s">
        <v>1004</v>
      </c>
    </row>
    <row r="12" spans="1:7">
      <c r="A12" t="s">
        <v>699</v>
      </c>
      <c r="B12" t="s">
        <v>698</v>
      </c>
      <c r="C12" t="s">
        <v>697</v>
      </c>
      <c r="D12" s="7" t="s">
        <v>149</v>
      </c>
      <c r="E12" s="15">
        <v>10740</v>
      </c>
      <c r="F12" s="49" t="s">
        <v>1005</v>
      </c>
    </row>
    <row r="13" spans="1:7">
      <c r="E13" s="15"/>
      <c r="F13" s="15"/>
    </row>
    <row r="14" spans="1:7">
      <c r="A14" t="s">
        <v>253</v>
      </c>
    </row>
    <row r="15" spans="1:7">
      <c r="A15" t="s">
        <v>696</v>
      </c>
      <c r="B15" t="s">
        <v>695</v>
      </c>
      <c r="C15" t="s">
        <v>694</v>
      </c>
      <c r="D15" s="7" t="s">
        <v>120</v>
      </c>
      <c r="E15" s="7">
        <v>6516</v>
      </c>
      <c r="F15" s="49" t="s">
        <v>1006</v>
      </c>
    </row>
    <row r="16" spans="1:7">
      <c r="A16" t="s">
        <v>693</v>
      </c>
      <c r="B16" t="s">
        <v>692</v>
      </c>
      <c r="C16" t="s">
        <v>686</v>
      </c>
      <c r="D16" s="7" t="s">
        <v>120</v>
      </c>
      <c r="E16" s="7">
        <v>9684</v>
      </c>
      <c r="F16" s="49" t="s">
        <v>1007</v>
      </c>
    </row>
    <row r="18" spans="1:6">
      <c r="A18" t="s">
        <v>197</v>
      </c>
    </row>
    <row r="19" spans="1:6">
      <c r="A19" t="s">
        <v>691</v>
      </c>
      <c r="B19" t="s">
        <v>690</v>
      </c>
      <c r="C19" t="s">
        <v>689</v>
      </c>
      <c r="D19" s="7" t="s">
        <v>142</v>
      </c>
      <c r="E19" s="7">
        <v>6572</v>
      </c>
      <c r="F19" s="49" t="s">
        <v>1006</v>
      </c>
    </row>
    <row r="20" spans="1:6">
      <c r="A20" t="s">
        <v>613</v>
      </c>
      <c r="B20" t="s">
        <v>688</v>
      </c>
      <c r="C20" t="s">
        <v>686</v>
      </c>
      <c r="D20" s="7" t="s">
        <v>188</v>
      </c>
      <c r="E20" s="7">
        <v>3056</v>
      </c>
      <c r="F20" s="49" t="s">
        <v>1008</v>
      </c>
    </row>
    <row r="21" spans="1:6" s="9" customFormat="1">
      <c r="A21" s="9" t="s">
        <v>611</v>
      </c>
      <c r="B21" s="9" t="s">
        <v>687</v>
      </c>
      <c r="C21" s="9" t="s">
        <v>686</v>
      </c>
      <c r="D21" s="10" t="s">
        <v>120</v>
      </c>
      <c r="E21" s="10">
        <v>6572</v>
      </c>
      <c r="F21" s="73" t="s">
        <v>1006</v>
      </c>
    </row>
    <row r="24" spans="1:6">
      <c r="A24" s="2" t="s">
        <v>685</v>
      </c>
    </row>
    <row r="25" spans="1:6">
      <c r="A25" t="s">
        <v>93</v>
      </c>
    </row>
    <row r="26" spans="1:6">
      <c r="A26" t="s">
        <v>684</v>
      </c>
      <c r="B26" t="s">
        <v>683</v>
      </c>
      <c r="C26" t="s">
        <v>682</v>
      </c>
      <c r="D26" s="7" t="s">
        <v>120</v>
      </c>
      <c r="E26" s="7">
        <v>4500</v>
      </c>
      <c r="F26" s="49" t="s">
        <v>1009</v>
      </c>
    </row>
    <row r="28" spans="1:6">
      <c r="A28" t="s">
        <v>139</v>
      </c>
    </row>
    <row r="29" spans="1:6">
      <c r="A29" t="s">
        <v>681</v>
      </c>
      <c r="B29" t="s">
        <v>680</v>
      </c>
      <c r="C29" t="s">
        <v>677</v>
      </c>
      <c r="D29" s="7" t="s">
        <v>120</v>
      </c>
      <c r="E29" s="7">
        <v>9000</v>
      </c>
      <c r="F29" s="49" t="s">
        <v>1010</v>
      </c>
    </row>
    <row r="31" spans="1:6">
      <c r="A31" t="s">
        <v>253</v>
      </c>
    </row>
    <row r="32" spans="1:6">
      <c r="A32" t="s">
        <v>679</v>
      </c>
      <c r="B32" t="s">
        <v>678</v>
      </c>
      <c r="C32" t="s">
        <v>677</v>
      </c>
      <c r="D32" s="7" t="s">
        <v>120</v>
      </c>
      <c r="E32" s="7">
        <v>9000</v>
      </c>
      <c r="F32" s="49" t="s">
        <v>1010</v>
      </c>
    </row>
    <row r="34" spans="1:7">
      <c r="A34" t="s">
        <v>197</v>
      </c>
    </row>
    <row r="35" spans="1:7">
      <c r="A35" t="s">
        <v>676</v>
      </c>
      <c r="B35" t="s">
        <v>675</v>
      </c>
      <c r="C35" t="s">
        <v>674</v>
      </c>
      <c r="D35" s="7" t="s">
        <v>149</v>
      </c>
      <c r="E35" s="7">
        <v>23040</v>
      </c>
      <c r="F35" s="49" t="s">
        <v>1011</v>
      </c>
    </row>
    <row r="38" spans="1:7">
      <c r="A38" s="2" t="s">
        <v>673</v>
      </c>
    </row>
    <row r="39" spans="1:7">
      <c r="A39" t="s">
        <v>93</v>
      </c>
    </row>
    <row r="40" spans="1:7">
      <c r="A40" t="s">
        <v>672</v>
      </c>
      <c r="B40" t="s">
        <v>671</v>
      </c>
      <c r="C40" t="s">
        <v>668</v>
      </c>
      <c r="D40" s="7" t="s">
        <v>120</v>
      </c>
      <c r="E40" s="7">
        <v>4500</v>
      </c>
      <c r="F40" s="49" t="s">
        <v>1012</v>
      </c>
    </row>
    <row r="41" spans="1:7">
      <c r="G41" s="2"/>
    </row>
    <row r="42" spans="1:7">
      <c r="A42" t="s">
        <v>139</v>
      </c>
    </row>
    <row r="43" spans="1:7">
      <c r="A43" t="s">
        <v>670</v>
      </c>
      <c r="B43" t="s">
        <v>669</v>
      </c>
      <c r="C43" t="s">
        <v>668</v>
      </c>
      <c r="D43" s="7" t="s">
        <v>120</v>
      </c>
      <c r="E43" s="7">
        <v>4500</v>
      </c>
      <c r="F43" s="49" t="s">
        <v>1012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H14" sqref="H14"/>
    </sheetView>
  </sheetViews>
  <sheetFormatPr defaultRowHeight="15"/>
  <cols>
    <col min="1" max="1" width="22" customWidth="1"/>
    <col min="2" max="2" width="26" customWidth="1"/>
    <col min="3" max="3" width="17.140625" customWidth="1"/>
    <col min="4" max="4" width="12.7109375" style="7" customWidth="1"/>
    <col min="5" max="5" width="9.140625" style="7"/>
    <col min="6" max="6" width="15.5703125" style="7" customWidth="1"/>
    <col min="7" max="7" width="12" customWidth="1"/>
  </cols>
  <sheetData>
    <row r="1" spans="1:7" ht="15.75">
      <c r="A1" s="6" t="s">
        <v>643</v>
      </c>
    </row>
    <row r="2" spans="1:7" ht="15.75">
      <c r="A2" s="6" t="s">
        <v>719</v>
      </c>
    </row>
    <row r="3" spans="1:7" ht="15.75">
      <c r="A3" s="6"/>
    </row>
    <row r="4" spans="1:7" ht="15.75">
      <c r="A4" s="6"/>
    </row>
    <row r="5" spans="1:7" ht="60">
      <c r="A5" s="29" t="s">
        <v>19</v>
      </c>
      <c r="B5" s="30" t="s">
        <v>18</v>
      </c>
      <c r="C5" s="30" t="s">
        <v>17</v>
      </c>
      <c r="D5" s="32" t="s">
        <v>919</v>
      </c>
      <c r="E5" s="32" t="s">
        <v>16</v>
      </c>
      <c r="F5" s="32" t="s">
        <v>924</v>
      </c>
      <c r="G5" s="31" t="s">
        <v>15</v>
      </c>
    </row>
    <row r="6" spans="1:7">
      <c r="A6" s="2" t="s">
        <v>718</v>
      </c>
    </row>
    <row r="7" spans="1:7">
      <c r="A7" t="s">
        <v>93</v>
      </c>
    </row>
    <row r="8" spans="1:7" ht="15.75">
      <c r="A8" s="20" t="s">
        <v>717</v>
      </c>
      <c r="B8" t="s">
        <v>716</v>
      </c>
      <c r="C8" t="s">
        <v>704</v>
      </c>
      <c r="D8" s="7" t="s">
        <v>234</v>
      </c>
      <c r="E8" s="7">
        <v>2492</v>
      </c>
      <c r="F8" s="73" t="s">
        <v>1013</v>
      </c>
    </row>
    <row r="9" spans="1:7">
      <c r="A9" t="s">
        <v>709</v>
      </c>
      <c r="B9" t="s">
        <v>715</v>
      </c>
      <c r="C9" t="s">
        <v>704</v>
      </c>
      <c r="D9" s="7" t="s">
        <v>120</v>
      </c>
      <c r="E9" s="7">
        <v>4604</v>
      </c>
      <c r="F9" s="73" t="s">
        <v>1014</v>
      </c>
    </row>
    <row r="10" spans="1:7">
      <c r="A10" t="s">
        <v>672</v>
      </c>
      <c r="B10" t="s">
        <v>714</v>
      </c>
      <c r="C10" t="s">
        <v>704</v>
      </c>
      <c r="D10" s="7" t="s">
        <v>120</v>
      </c>
      <c r="E10" s="7">
        <v>4500</v>
      </c>
      <c r="F10" s="73" t="s">
        <v>1012</v>
      </c>
    </row>
    <row r="11" spans="1:7">
      <c r="A11" t="s">
        <v>713</v>
      </c>
      <c r="B11" t="s">
        <v>370</v>
      </c>
      <c r="C11" t="s">
        <v>712</v>
      </c>
      <c r="D11" s="7" t="s">
        <v>120</v>
      </c>
      <c r="E11" s="7">
        <v>4604</v>
      </c>
      <c r="F11" s="73" t="s">
        <v>1015</v>
      </c>
    </row>
    <row r="13" spans="1:7">
      <c r="A13" t="s">
        <v>139</v>
      </c>
    </row>
    <row r="14" spans="1:7">
      <c r="A14" t="s">
        <v>711</v>
      </c>
      <c r="B14" t="s">
        <v>710</v>
      </c>
      <c r="C14" t="s">
        <v>704</v>
      </c>
      <c r="D14" s="7" t="s">
        <v>234</v>
      </c>
      <c r="E14" s="7">
        <v>2492</v>
      </c>
      <c r="F14" s="73" t="s">
        <v>1019</v>
      </c>
    </row>
    <row r="15" spans="1:7" ht="30">
      <c r="A15" s="9" t="s">
        <v>1017</v>
      </c>
      <c r="B15" s="19" t="s">
        <v>708</v>
      </c>
      <c r="C15" t="s">
        <v>704</v>
      </c>
      <c r="D15" s="7" t="s">
        <v>120</v>
      </c>
      <c r="E15" s="7">
        <v>4604</v>
      </c>
      <c r="F15" s="74" t="s">
        <v>1016</v>
      </c>
    </row>
    <row r="16" spans="1:7">
      <c r="A16" t="s">
        <v>707</v>
      </c>
      <c r="B16" t="s">
        <v>706</v>
      </c>
      <c r="C16" t="s">
        <v>704</v>
      </c>
      <c r="D16" s="7" t="s">
        <v>120</v>
      </c>
      <c r="E16" s="7">
        <v>4604</v>
      </c>
      <c r="F16" s="73" t="s">
        <v>1018</v>
      </c>
    </row>
    <row r="17" spans="1:6">
      <c r="A17" t="s">
        <v>670</v>
      </c>
      <c r="B17" t="s">
        <v>705</v>
      </c>
      <c r="C17" t="s">
        <v>704</v>
      </c>
      <c r="D17" s="7" t="s">
        <v>120</v>
      </c>
      <c r="E17" s="7">
        <v>4500</v>
      </c>
      <c r="F17" s="73" t="s">
        <v>1012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4" topLeftCell="A5" activePane="bottomLeft" state="frozen"/>
      <selection pane="bottomLeft" activeCell="D8" sqref="D8"/>
    </sheetView>
  </sheetViews>
  <sheetFormatPr defaultRowHeight="15"/>
  <cols>
    <col min="2" max="2" width="36.140625" bestFit="1" customWidth="1"/>
    <col min="3" max="3" width="31.5703125" bestFit="1" customWidth="1"/>
    <col min="4" max="4" width="17.5703125" style="7" customWidth="1"/>
    <col min="5" max="6" width="9.140625" style="7"/>
    <col min="7" max="7" width="18.140625" style="7" customWidth="1"/>
    <col min="8" max="8" width="37.140625" customWidth="1"/>
  </cols>
  <sheetData>
    <row r="1" spans="1:10" ht="15.75">
      <c r="A1" s="6" t="s">
        <v>869</v>
      </c>
    </row>
    <row r="2" spans="1:10" ht="15.75">
      <c r="A2" s="6" t="s">
        <v>868</v>
      </c>
    </row>
    <row r="3" spans="1:10" ht="15.75">
      <c r="A3" s="6"/>
    </row>
    <row r="4" spans="1:10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/>
      <c r="G4" s="32" t="s">
        <v>924</v>
      </c>
      <c r="H4" s="31" t="s">
        <v>15</v>
      </c>
    </row>
    <row r="5" spans="1:10">
      <c r="A5" s="24" t="s">
        <v>867</v>
      </c>
      <c r="B5" t="s">
        <v>866</v>
      </c>
      <c r="C5" t="s">
        <v>844</v>
      </c>
      <c r="D5" s="7" t="s">
        <v>120</v>
      </c>
      <c r="E5" s="7">
        <f>50*60</f>
        <v>3000</v>
      </c>
      <c r="F5" s="47">
        <f>E5/7200</f>
        <v>0.41666666666666669</v>
      </c>
      <c r="G5" s="50" t="s">
        <v>1020</v>
      </c>
      <c r="I5" s="21"/>
      <c r="J5" s="21"/>
    </row>
    <row r="6" spans="1:10">
      <c r="A6" t="s">
        <v>865</v>
      </c>
      <c r="B6" t="s">
        <v>864</v>
      </c>
      <c r="C6" t="s">
        <v>844</v>
      </c>
      <c r="D6" s="7" t="s">
        <v>120</v>
      </c>
      <c r="E6" s="7">
        <f>50*60</f>
        <v>3000</v>
      </c>
      <c r="F6" s="47">
        <f t="shared" ref="F6:F26" si="0">E6/7200</f>
        <v>0.41666666666666669</v>
      </c>
      <c r="G6" s="50" t="s">
        <v>1021</v>
      </c>
      <c r="I6" s="21"/>
      <c r="J6" s="21"/>
    </row>
    <row r="7" spans="1:10" s="22" customFormat="1">
      <c r="A7" s="22" t="s">
        <v>863</v>
      </c>
      <c r="B7" s="22" t="s">
        <v>862</v>
      </c>
      <c r="C7" s="22" t="s">
        <v>861</v>
      </c>
      <c r="D7" s="33" t="s">
        <v>142</v>
      </c>
      <c r="E7" s="33">
        <v>4020</v>
      </c>
      <c r="F7" s="47">
        <f t="shared" si="0"/>
        <v>0.55833333333333335</v>
      </c>
      <c r="G7" s="50" t="s">
        <v>1022</v>
      </c>
      <c r="I7" s="23"/>
      <c r="J7" s="23"/>
    </row>
    <row r="8" spans="1:10">
      <c r="A8" t="s">
        <v>423</v>
      </c>
      <c r="B8" t="s">
        <v>182</v>
      </c>
      <c r="C8" t="s">
        <v>843</v>
      </c>
      <c r="D8" s="7" t="s">
        <v>120</v>
      </c>
      <c r="E8" s="7">
        <f t="shared" ref="E8:E15" si="1">50*60</f>
        <v>3000</v>
      </c>
      <c r="F8" s="47">
        <f t="shared" si="0"/>
        <v>0.41666666666666669</v>
      </c>
      <c r="G8" s="50" t="s">
        <v>1023</v>
      </c>
      <c r="I8" s="21"/>
      <c r="J8" s="21"/>
    </row>
    <row r="9" spans="1:10">
      <c r="A9" t="s">
        <v>423</v>
      </c>
      <c r="B9" t="s">
        <v>182</v>
      </c>
      <c r="C9" t="s">
        <v>840</v>
      </c>
      <c r="D9" s="7" t="s">
        <v>120</v>
      </c>
      <c r="E9" s="7">
        <f t="shared" si="1"/>
        <v>3000</v>
      </c>
      <c r="F9" s="47">
        <f t="shared" si="0"/>
        <v>0.41666666666666669</v>
      </c>
      <c r="G9" s="50" t="s">
        <v>1023</v>
      </c>
      <c r="I9" s="21"/>
      <c r="J9" s="21"/>
    </row>
    <row r="10" spans="1:10">
      <c r="A10" t="s">
        <v>423</v>
      </c>
      <c r="B10" t="s">
        <v>182</v>
      </c>
      <c r="C10" t="s">
        <v>840</v>
      </c>
      <c r="D10" s="7" t="s">
        <v>120</v>
      </c>
      <c r="E10" s="7">
        <f t="shared" si="1"/>
        <v>3000</v>
      </c>
      <c r="F10" s="47">
        <f t="shared" si="0"/>
        <v>0.41666666666666669</v>
      </c>
      <c r="G10" s="50" t="s">
        <v>1023</v>
      </c>
      <c r="I10" s="21"/>
      <c r="J10" s="21"/>
    </row>
    <row r="11" spans="1:10">
      <c r="A11" t="s">
        <v>860</v>
      </c>
      <c r="B11" t="s">
        <v>859</v>
      </c>
      <c r="C11" t="s">
        <v>843</v>
      </c>
      <c r="D11" s="7" t="s">
        <v>120</v>
      </c>
      <c r="E11" s="7">
        <f t="shared" si="1"/>
        <v>3000</v>
      </c>
      <c r="F11" s="47">
        <f t="shared" si="0"/>
        <v>0.41666666666666669</v>
      </c>
      <c r="G11" s="50" t="s">
        <v>1024</v>
      </c>
      <c r="I11" s="21"/>
      <c r="J11" s="21"/>
    </row>
    <row r="12" spans="1:10">
      <c r="A12" t="s">
        <v>860</v>
      </c>
      <c r="B12" t="s">
        <v>859</v>
      </c>
      <c r="C12" t="s">
        <v>840</v>
      </c>
      <c r="D12" s="7" t="s">
        <v>120</v>
      </c>
      <c r="E12" s="7">
        <f t="shared" si="1"/>
        <v>3000</v>
      </c>
      <c r="F12" s="47">
        <f t="shared" si="0"/>
        <v>0.41666666666666669</v>
      </c>
      <c r="G12" s="50" t="s">
        <v>1024</v>
      </c>
      <c r="I12" s="21"/>
      <c r="J12" s="21"/>
    </row>
    <row r="13" spans="1:10">
      <c r="A13" t="s">
        <v>410</v>
      </c>
      <c r="B13" t="s">
        <v>858</v>
      </c>
      <c r="C13" t="s">
        <v>843</v>
      </c>
      <c r="D13" s="7" t="s">
        <v>120</v>
      </c>
      <c r="E13" s="7">
        <f t="shared" si="1"/>
        <v>3000</v>
      </c>
      <c r="F13" s="47">
        <f t="shared" si="0"/>
        <v>0.41666666666666669</v>
      </c>
      <c r="G13" s="50" t="s">
        <v>1025</v>
      </c>
      <c r="I13" s="21"/>
      <c r="J13" s="21"/>
    </row>
    <row r="14" spans="1:10">
      <c r="A14" t="s">
        <v>410</v>
      </c>
      <c r="B14" t="s">
        <v>858</v>
      </c>
      <c r="C14" t="s">
        <v>840</v>
      </c>
      <c r="D14" s="7" t="s">
        <v>120</v>
      </c>
      <c r="E14" s="7">
        <f t="shared" si="1"/>
        <v>3000</v>
      </c>
      <c r="F14" s="47">
        <f t="shared" si="0"/>
        <v>0.41666666666666669</v>
      </c>
      <c r="G14" s="50" t="s">
        <v>1025</v>
      </c>
      <c r="I14" s="21"/>
      <c r="J14" s="21"/>
    </row>
    <row r="15" spans="1:10">
      <c r="A15" t="s">
        <v>410</v>
      </c>
      <c r="B15" t="s">
        <v>858</v>
      </c>
      <c r="C15" t="s">
        <v>855</v>
      </c>
      <c r="D15" s="7" t="s">
        <v>120</v>
      </c>
      <c r="E15" s="7">
        <f t="shared" si="1"/>
        <v>3000</v>
      </c>
      <c r="F15" s="47">
        <f t="shared" si="0"/>
        <v>0.41666666666666669</v>
      </c>
      <c r="G15" s="50" t="s">
        <v>1025</v>
      </c>
      <c r="I15" s="21"/>
      <c r="J15" s="21"/>
    </row>
    <row r="16" spans="1:10">
      <c r="A16" t="s">
        <v>850</v>
      </c>
      <c r="B16" t="s">
        <v>510</v>
      </c>
      <c r="C16" t="s">
        <v>851</v>
      </c>
      <c r="D16" s="7" t="s">
        <v>120</v>
      </c>
      <c r="E16" s="7">
        <v>2400</v>
      </c>
      <c r="F16" s="47">
        <f t="shared" si="0"/>
        <v>0.33333333333333331</v>
      </c>
      <c r="G16" s="50" t="s">
        <v>1026</v>
      </c>
      <c r="I16" s="21"/>
      <c r="J16" s="21"/>
    </row>
    <row r="17" spans="1:10">
      <c r="A17" t="s">
        <v>850</v>
      </c>
      <c r="B17" t="s">
        <v>510</v>
      </c>
      <c r="C17" t="s">
        <v>843</v>
      </c>
      <c r="D17" s="7" t="s">
        <v>120</v>
      </c>
      <c r="E17" s="7">
        <f>50*60</f>
        <v>3000</v>
      </c>
      <c r="F17" s="47">
        <f t="shared" si="0"/>
        <v>0.41666666666666669</v>
      </c>
      <c r="G17" s="50" t="s">
        <v>1027</v>
      </c>
      <c r="I17" s="21"/>
      <c r="J17" s="21"/>
    </row>
    <row r="18" spans="1:10">
      <c r="A18" t="s">
        <v>857</v>
      </c>
      <c r="B18" t="s">
        <v>856</v>
      </c>
      <c r="C18" t="s">
        <v>855</v>
      </c>
      <c r="D18" s="7" t="s">
        <v>120</v>
      </c>
      <c r="E18" s="7">
        <f>50*60</f>
        <v>3000</v>
      </c>
      <c r="F18" s="47">
        <f t="shared" si="0"/>
        <v>0.41666666666666669</v>
      </c>
      <c r="G18" s="50" t="s">
        <v>1028</v>
      </c>
      <c r="I18" s="21"/>
      <c r="J18" s="21"/>
    </row>
    <row r="19" spans="1:10">
      <c r="A19" t="s">
        <v>854</v>
      </c>
      <c r="B19" t="s">
        <v>853</v>
      </c>
      <c r="C19" t="s">
        <v>852</v>
      </c>
      <c r="D19" s="7" t="s">
        <v>142</v>
      </c>
      <c r="E19" s="7">
        <f>55*60</f>
        <v>3300</v>
      </c>
      <c r="F19" s="47">
        <f t="shared" si="0"/>
        <v>0.45833333333333331</v>
      </c>
      <c r="G19" s="50" t="s">
        <v>1029</v>
      </c>
      <c r="I19" s="21"/>
      <c r="J19" s="21"/>
    </row>
    <row r="20" spans="1:10">
      <c r="A20" t="s">
        <v>415</v>
      </c>
      <c r="B20" t="s">
        <v>179</v>
      </c>
      <c r="C20" t="s">
        <v>843</v>
      </c>
      <c r="D20" s="7" t="s">
        <v>120</v>
      </c>
      <c r="E20" s="7">
        <f>50*60</f>
        <v>3000</v>
      </c>
      <c r="F20" s="47">
        <f t="shared" si="0"/>
        <v>0.41666666666666669</v>
      </c>
      <c r="G20" s="50" t="s">
        <v>1023</v>
      </c>
      <c r="I20" s="21"/>
      <c r="J20" s="21"/>
    </row>
    <row r="21" spans="1:10">
      <c r="A21" t="s">
        <v>850</v>
      </c>
      <c r="B21" t="s">
        <v>510</v>
      </c>
      <c r="C21" t="s">
        <v>851</v>
      </c>
      <c r="D21" s="7" t="s">
        <v>120</v>
      </c>
      <c r="E21" s="7">
        <v>2400</v>
      </c>
      <c r="F21" s="47">
        <f t="shared" si="0"/>
        <v>0.33333333333333331</v>
      </c>
      <c r="G21" s="50" t="s">
        <v>1026</v>
      </c>
      <c r="I21" s="21"/>
      <c r="J21" s="21"/>
    </row>
    <row r="22" spans="1:10">
      <c r="A22" t="s">
        <v>850</v>
      </c>
      <c r="B22" t="s">
        <v>510</v>
      </c>
      <c r="C22" t="s">
        <v>840</v>
      </c>
      <c r="D22" s="7" t="s">
        <v>120</v>
      </c>
      <c r="E22" s="7">
        <f>50*60</f>
        <v>3000</v>
      </c>
      <c r="F22" s="47">
        <f t="shared" si="0"/>
        <v>0.41666666666666669</v>
      </c>
      <c r="G22" s="50" t="s">
        <v>1027</v>
      </c>
      <c r="I22" s="21"/>
      <c r="J22" s="21"/>
    </row>
    <row r="23" spans="1:10">
      <c r="A23" t="s">
        <v>849</v>
      </c>
      <c r="B23" t="s">
        <v>848</v>
      </c>
      <c r="C23" t="s">
        <v>847</v>
      </c>
      <c r="D23" s="7" t="s">
        <v>120</v>
      </c>
      <c r="E23" s="7">
        <f>50*60</f>
        <v>3000</v>
      </c>
      <c r="F23" s="47">
        <f t="shared" si="0"/>
        <v>0.41666666666666669</v>
      </c>
      <c r="G23" s="50" t="s">
        <v>1030</v>
      </c>
      <c r="I23" s="21"/>
      <c r="J23" s="21"/>
    </row>
    <row r="24" spans="1:10">
      <c r="A24" t="s">
        <v>846</v>
      </c>
      <c r="B24" t="s">
        <v>845</v>
      </c>
      <c r="C24" t="s">
        <v>844</v>
      </c>
      <c r="D24" s="7" t="s">
        <v>120</v>
      </c>
      <c r="E24" s="7">
        <f>50*60</f>
        <v>3000</v>
      </c>
      <c r="F24" s="47">
        <f t="shared" si="0"/>
        <v>0.41666666666666669</v>
      </c>
      <c r="G24" s="50" t="s">
        <v>1032</v>
      </c>
      <c r="I24" s="21"/>
      <c r="J24" s="21"/>
    </row>
    <row r="25" spans="1:10">
      <c r="A25" t="s">
        <v>842</v>
      </c>
      <c r="B25" t="s">
        <v>841</v>
      </c>
      <c r="C25" t="s">
        <v>843</v>
      </c>
      <c r="D25" s="7" t="s">
        <v>120</v>
      </c>
      <c r="E25" s="7">
        <f>50*60</f>
        <v>3000</v>
      </c>
      <c r="F25" s="47">
        <f t="shared" si="0"/>
        <v>0.41666666666666669</v>
      </c>
      <c r="G25" s="50" t="s">
        <v>1031</v>
      </c>
      <c r="I25" s="21"/>
      <c r="J25" s="21"/>
    </row>
    <row r="26" spans="1:10">
      <c r="A26" t="s">
        <v>842</v>
      </c>
      <c r="B26" t="s">
        <v>841</v>
      </c>
      <c r="C26" t="s">
        <v>840</v>
      </c>
      <c r="D26" s="7" t="s">
        <v>120</v>
      </c>
      <c r="E26" s="7">
        <f>50*60</f>
        <v>3000</v>
      </c>
      <c r="F26" s="47">
        <f t="shared" si="0"/>
        <v>0.41666666666666669</v>
      </c>
      <c r="G26" s="50" t="s">
        <v>1031</v>
      </c>
      <c r="I26" s="21"/>
      <c r="J26" s="2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4"/>
  <sheetViews>
    <sheetView zoomScaleNormal="100" workbookViewId="0">
      <pane ySplit="3" topLeftCell="A4" activePane="bottomLeft" state="frozen"/>
      <selection pane="bottomLeft" activeCell="B120" sqref="B120"/>
    </sheetView>
  </sheetViews>
  <sheetFormatPr defaultRowHeight="15"/>
  <cols>
    <col min="1" max="1" width="22.5703125" bestFit="1" customWidth="1"/>
    <col min="2" max="2" width="37.140625" bestFit="1" customWidth="1"/>
    <col min="3" max="3" width="6.85546875" bestFit="1" customWidth="1"/>
    <col min="4" max="4" width="14" bestFit="1" customWidth="1"/>
    <col min="5" max="5" width="12" style="7" bestFit="1" customWidth="1"/>
    <col min="6" max="6" width="9.140625" style="7"/>
    <col min="7" max="7" width="16.85546875" style="7" customWidth="1"/>
    <col min="8" max="8" width="19.5703125" customWidth="1"/>
    <col min="9" max="9" width="10.85546875" bestFit="1" customWidth="1"/>
    <col min="10" max="10" width="22.5703125" bestFit="1" customWidth="1"/>
    <col min="11" max="11" width="37.140625" bestFit="1" customWidth="1"/>
  </cols>
  <sheetData>
    <row r="1" spans="1:9" ht="15.75">
      <c r="A1" s="6" t="s">
        <v>187</v>
      </c>
    </row>
    <row r="2" spans="1:9" ht="15.75">
      <c r="A2" s="6" t="s">
        <v>186</v>
      </c>
    </row>
    <row r="3" spans="1:9" s="14" customFormat="1" ht="45">
      <c r="A3" s="29" t="s">
        <v>19</v>
      </c>
      <c r="B3" s="30" t="s">
        <v>18</v>
      </c>
      <c r="C3" s="122" t="s">
        <v>17</v>
      </c>
      <c r="D3" s="122"/>
      <c r="E3" s="32" t="s">
        <v>919</v>
      </c>
      <c r="F3" s="32" t="s">
        <v>16</v>
      </c>
      <c r="G3" s="32" t="s">
        <v>924</v>
      </c>
      <c r="H3" s="31" t="s">
        <v>15</v>
      </c>
      <c r="I3" s="16"/>
    </row>
    <row r="4" spans="1:9">
      <c r="A4" s="2" t="s">
        <v>185</v>
      </c>
    </row>
    <row r="5" spans="1:9" s="14" customFormat="1">
      <c r="A5" s="5"/>
      <c r="B5" s="2"/>
      <c r="C5" s="18"/>
      <c r="D5" s="17"/>
      <c r="E5" s="3"/>
      <c r="F5" s="4"/>
      <c r="G5" s="16"/>
      <c r="H5" s="3"/>
      <c r="I5" s="16"/>
    </row>
    <row r="6" spans="1:9">
      <c r="A6" t="s">
        <v>93</v>
      </c>
    </row>
    <row r="7" spans="1:9">
      <c r="A7" t="s">
        <v>183</v>
      </c>
      <c r="B7" t="s">
        <v>182</v>
      </c>
      <c r="C7" t="s">
        <v>77</v>
      </c>
      <c r="D7" t="s">
        <v>96</v>
      </c>
      <c r="E7" s="7" t="s">
        <v>62</v>
      </c>
      <c r="F7" s="7">
        <v>2880</v>
      </c>
      <c r="G7" s="51" t="s">
        <v>1033</v>
      </c>
      <c r="H7" t="s">
        <v>184</v>
      </c>
    </row>
    <row r="8" spans="1:9">
      <c r="A8" t="s">
        <v>183</v>
      </c>
      <c r="B8" t="s">
        <v>182</v>
      </c>
      <c r="C8" t="s">
        <v>66</v>
      </c>
      <c r="D8" t="s">
        <v>84</v>
      </c>
      <c r="E8" s="7" t="s">
        <v>62</v>
      </c>
      <c r="F8" s="7">
        <v>2880</v>
      </c>
      <c r="G8" s="51" t="s">
        <v>1033</v>
      </c>
      <c r="H8" t="s">
        <v>171</v>
      </c>
    </row>
    <row r="9" spans="1:9">
      <c r="A9" t="s">
        <v>183</v>
      </c>
      <c r="B9" t="s">
        <v>182</v>
      </c>
      <c r="C9" t="s">
        <v>85</v>
      </c>
      <c r="D9" t="s">
        <v>84</v>
      </c>
      <c r="E9" s="7" t="s">
        <v>62</v>
      </c>
      <c r="F9" s="7">
        <v>2880</v>
      </c>
      <c r="G9" s="51" t="s">
        <v>1033</v>
      </c>
      <c r="H9" t="s">
        <v>178</v>
      </c>
    </row>
    <row r="10" spans="1:9">
      <c r="A10" t="s">
        <v>183</v>
      </c>
      <c r="B10" t="s">
        <v>182</v>
      </c>
      <c r="C10" t="s">
        <v>77</v>
      </c>
      <c r="D10" t="s">
        <v>84</v>
      </c>
      <c r="E10" s="7" t="s">
        <v>62</v>
      </c>
      <c r="F10" s="7">
        <v>2880</v>
      </c>
      <c r="G10" s="51" t="s">
        <v>1033</v>
      </c>
      <c r="H10" t="s">
        <v>175</v>
      </c>
    </row>
    <row r="11" spans="1:9">
      <c r="A11" t="s">
        <v>180</v>
      </c>
      <c r="B11" t="s">
        <v>179</v>
      </c>
      <c r="C11" t="s">
        <v>77</v>
      </c>
      <c r="D11" t="s">
        <v>96</v>
      </c>
      <c r="E11" s="7" t="s">
        <v>62</v>
      </c>
      <c r="F11" s="7">
        <v>2880</v>
      </c>
      <c r="G11" s="51" t="s">
        <v>1033</v>
      </c>
      <c r="H11" t="s">
        <v>181</v>
      </c>
    </row>
    <row r="12" spans="1:9">
      <c r="A12" t="s">
        <v>180</v>
      </c>
      <c r="B12" t="s">
        <v>179</v>
      </c>
      <c r="C12" t="s">
        <v>77</v>
      </c>
      <c r="D12" t="s">
        <v>84</v>
      </c>
      <c r="E12" s="7" t="s">
        <v>62</v>
      </c>
      <c r="F12" s="7">
        <v>2880</v>
      </c>
      <c r="G12" s="51" t="s">
        <v>1033</v>
      </c>
      <c r="H12" t="s">
        <v>175</v>
      </c>
    </row>
    <row r="13" spans="1:9">
      <c r="A13" t="s">
        <v>177</v>
      </c>
      <c r="B13" t="s">
        <v>176</v>
      </c>
      <c r="C13" t="s">
        <v>85</v>
      </c>
      <c r="D13" t="s">
        <v>84</v>
      </c>
      <c r="E13" s="7" t="s">
        <v>62</v>
      </c>
      <c r="F13" s="7">
        <v>2880</v>
      </c>
      <c r="G13" s="51" t="s">
        <v>1034</v>
      </c>
      <c r="H13" t="s">
        <v>171</v>
      </c>
    </row>
    <row r="14" spans="1:9">
      <c r="A14" t="s">
        <v>177</v>
      </c>
      <c r="B14" t="s">
        <v>176</v>
      </c>
      <c r="C14" t="s">
        <v>66</v>
      </c>
      <c r="D14" t="s">
        <v>84</v>
      </c>
      <c r="E14" s="7" t="s">
        <v>62</v>
      </c>
      <c r="F14" s="7">
        <v>2880</v>
      </c>
      <c r="G14" s="51" t="s">
        <v>1034</v>
      </c>
      <c r="H14" t="s">
        <v>178</v>
      </c>
    </row>
    <row r="16" spans="1:9">
      <c r="A16" t="s">
        <v>139</v>
      </c>
    </row>
    <row r="17" spans="1:8">
      <c r="A17" t="s">
        <v>180</v>
      </c>
      <c r="B17" t="s">
        <v>179</v>
      </c>
      <c r="C17" t="s">
        <v>66</v>
      </c>
      <c r="D17" t="s">
        <v>84</v>
      </c>
      <c r="E17" s="7" t="s">
        <v>62</v>
      </c>
      <c r="F17" s="7">
        <v>2880</v>
      </c>
      <c r="G17" s="51" t="s">
        <v>1033</v>
      </c>
      <c r="H17" t="s">
        <v>171</v>
      </c>
    </row>
    <row r="18" spans="1:8">
      <c r="A18" t="s">
        <v>180</v>
      </c>
      <c r="B18" t="s">
        <v>179</v>
      </c>
      <c r="C18" t="s">
        <v>85</v>
      </c>
      <c r="D18" t="s">
        <v>84</v>
      </c>
      <c r="E18" s="7" t="s">
        <v>62</v>
      </c>
      <c r="F18" s="7">
        <v>2880</v>
      </c>
      <c r="G18" s="51" t="s">
        <v>1033</v>
      </c>
      <c r="H18" t="s">
        <v>178</v>
      </c>
    </row>
    <row r="19" spans="1:8">
      <c r="A19" t="s">
        <v>177</v>
      </c>
      <c r="B19" t="s">
        <v>176</v>
      </c>
      <c r="C19" t="s">
        <v>66</v>
      </c>
      <c r="D19" t="s">
        <v>96</v>
      </c>
      <c r="E19" s="7" t="s">
        <v>62</v>
      </c>
      <c r="F19" s="7">
        <v>2880</v>
      </c>
      <c r="G19" s="51" t="s">
        <v>1034</v>
      </c>
      <c r="H19" t="s">
        <v>174</v>
      </c>
    </row>
    <row r="20" spans="1:8">
      <c r="A20" t="s">
        <v>177</v>
      </c>
      <c r="B20" t="s">
        <v>176</v>
      </c>
      <c r="C20" t="s">
        <v>85</v>
      </c>
      <c r="D20" t="s">
        <v>84</v>
      </c>
      <c r="E20" s="7" t="s">
        <v>62</v>
      </c>
      <c r="F20" s="7">
        <v>2880</v>
      </c>
      <c r="G20" s="51" t="s">
        <v>1034</v>
      </c>
      <c r="H20" t="s">
        <v>175</v>
      </c>
    </row>
    <row r="21" spans="1:8">
      <c r="A21" t="s">
        <v>173</v>
      </c>
      <c r="B21" t="s">
        <v>172</v>
      </c>
      <c r="C21" t="s">
        <v>85</v>
      </c>
      <c r="D21" t="s">
        <v>96</v>
      </c>
      <c r="E21" s="7" t="s">
        <v>62</v>
      </c>
      <c r="F21" s="7">
        <v>2880</v>
      </c>
      <c r="G21" s="51" t="s">
        <v>1035</v>
      </c>
      <c r="H21" t="s">
        <v>174</v>
      </c>
    </row>
    <row r="22" spans="1:8">
      <c r="A22" t="s">
        <v>173</v>
      </c>
      <c r="B22" t="s">
        <v>172</v>
      </c>
      <c r="C22" t="s">
        <v>85</v>
      </c>
      <c r="D22" t="s">
        <v>84</v>
      </c>
      <c r="E22" s="7" t="s">
        <v>62</v>
      </c>
      <c r="F22" s="7">
        <v>2880</v>
      </c>
      <c r="G22" s="51" t="s">
        <v>1035</v>
      </c>
      <c r="H22" t="s">
        <v>171</v>
      </c>
    </row>
    <row r="23" spans="1:8">
      <c r="A23" t="s">
        <v>173</v>
      </c>
      <c r="B23" t="s">
        <v>172</v>
      </c>
      <c r="C23" t="s">
        <v>85</v>
      </c>
      <c r="D23" t="s">
        <v>84</v>
      </c>
      <c r="E23" s="7" t="s">
        <v>62</v>
      </c>
      <c r="F23" s="7">
        <v>2880</v>
      </c>
      <c r="G23" s="51" t="s">
        <v>1035</v>
      </c>
      <c r="H23" t="s">
        <v>171</v>
      </c>
    </row>
    <row r="24" spans="1:8">
      <c r="A24" t="s">
        <v>173</v>
      </c>
      <c r="B24" t="s">
        <v>172</v>
      </c>
      <c r="C24" t="s">
        <v>66</v>
      </c>
      <c r="D24" t="s">
        <v>84</v>
      </c>
      <c r="E24" s="7" t="s">
        <v>62</v>
      </c>
      <c r="F24" s="7">
        <v>2880</v>
      </c>
      <c r="G24" s="51" t="s">
        <v>1035</v>
      </c>
      <c r="H24" t="s">
        <v>171</v>
      </c>
    </row>
    <row r="26" spans="1:8">
      <c r="A26" s="2" t="s">
        <v>170</v>
      </c>
    </row>
    <row r="27" spans="1:8">
      <c r="A27" t="s">
        <v>93</v>
      </c>
    </row>
    <row r="28" spans="1:8">
      <c r="A28" t="s">
        <v>169</v>
      </c>
      <c r="B28" t="s">
        <v>168</v>
      </c>
      <c r="C28" t="s">
        <v>66</v>
      </c>
      <c r="D28" t="s">
        <v>84</v>
      </c>
      <c r="E28" s="7" t="s">
        <v>62</v>
      </c>
      <c r="F28" s="7">
        <v>2880</v>
      </c>
      <c r="G28" s="51" t="s">
        <v>1036</v>
      </c>
    </row>
    <row r="29" spans="1:8">
      <c r="A29" t="s">
        <v>167</v>
      </c>
      <c r="B29" t="s">
        <v>166</v>
      </c>
      <c r="C29" t="s">
        <v>85</v>
      </c>
      <c r="D29" t="s">
        <v>84</v>
      </c>
      <c r="E29" s="7" t="s">
        <v>62</v>
      </c>
      <c r="F29" s="7">
        <v>2880</v>
      </c>
      <c r="G29" s="51" t="s">
        <v>1037</v>
      </c>
    </row>
    <row r="31" spans="1:8">
      <c r="A31" t="s">
        <v>139</v>
      </c>
    </row>
    <row r="32" spans="1:8">
      <c r="A32" t="s">
        <v>165</v>
      </c>
      <c r="B32" t="s">
        <v>164</v>
      </c>
      <c r="C32" t="s">
        <v>66</v>
      </c>
      <c r="D32" t="s">
        <v>84</v>
      </c>
      <c r="E32" s="7" t="s">
        <v>62</v>
      </c>
      <c r="F32" s="7">
        <v>2880</v>
      </c>
      <c r="G32" s="51" t="s">
        <v>1038</v>
      </c>
    </row>
    <row r="33" spans="1:21">
      <c r="A33" t="s">
        <v>163</v>
      </c>
      <c r="B33" t="s">
        <v>162</v>
      </c>
      <c r="C33" t="s">
        <v>85</v>
      </c>
      <c r="D33" t="s">
        <v>84</v>
      </c>
      <c r="E33" s="7" t="s">
        <v>62</v>
      </c>
      <c r="F33" s="7">
        <v>2880</v>
      </c>
      <c r="G33" s="51" t="s">
        <v>1039</v>
      </c>
    </row>
    <row r="36" spans="1:21">
      <c r="A36" s="2" t="s">
        <v>161</v>
      </c>
    </row>
    <row r="37" spans="1:21">
      <c r="A37" t="s">
        <v>93</v>
      </c>
    </row>
    <row r="38" spans="1:21">
      <c r="A38" t="s">
        <v>158</v>
      </c>
      <c r="B38" t="s">
        <v>157</v>
      </c>
      <c r="C38" t="s">
        <v>99</v>
      </c>
      <c r="D38" t="s">
        <v>160</v>
      </c>
      <c r="E38" s="7" t="s">
        <v>120</v>
      </c>
      <c r="F38" s="15">
        <v>3200</v>
      </c>
      <c r="G38" s="51" t="s">
        <v>1040</v>
      </c>
      <c r="H38" t="s">
        <v>117</v>
      </c>
    </row>
    <row r="39" spans="1:21">
      <c r="A39" t="s">
        <v>155</v>
      </c>
      <c r="B39" t="s">
        <v>154</v>
      </c>
      <c r="C39" t="s">
        <v>85</v>
      </c>
      <c r="D39" t="s">
        <v>159</v>
      </c>
      <c r="E39" s="7" t="s">
        <v>120</v>
      </c>
      <c r="F39" s="15">
        <v>2400</v>
      </c>
      <c r="G39" s="51" t="s">
        <v>1041</v>
      </c>
      <c r="H39" t="s">
        <v>117</v>
      </c>
    </row>
    <row r="40" spans="1:21">
      <c r="A40" t="s">
        <v>158</v>
      </c>
      <c r="B40" t="s">
        <v>157</v>
      </c>
      <c r="C40" t="s">
        <v>99</v>
      </c>
      <c r="D40" t="s">
        <v>156</v>
      </c>
      <c r="E40" s="7" t="s">
        <v>120</v>
      </c>
      <c r="F40" s="15">
        <v>3200</v>
      </c>
      <c r="G40" s="51" t="s">
        <v>1040</v>
      </c>
      <c r="H40" t="s">
        <v>110</v>
      </c>
    </row>
    <row r="41" spans="1:21">
      <c r="A41" t="s">
        <v>155</v>
      </c>
      <c r="B41" t="s">
        <v>154</v>
      </c>
      <c r="C41" t="s">
        <v>85</v>
      </c>
      <c r="D41" t="s">
        <v>153</v>
      </c>
      <c r="E41" s="7" t="s">
        <v>120</v>
      </c>
      <c r="F41" s="15">
        <v>2400</v>
      </c>
      <c r="G41" s="51" t="s">
        <v>1041</v>
      </c>
      <c r="H41" t="s">
        <v>110</v>
      </c>
    </row>
    <row r="42" spans="1:21">
      <c r="Q42" s="11"/>
      <c r="R42" s="11"/>
    </row>
    <row r="43" spans="1:21" s="9" customFormat="1">
      <c r="A43" t="s">
        <v>139</v>
      </c>
      <c r="B43"/>
      <c r="C43"/>
      <c r="D43"/>
      <c r="E43" s="7"/>
      <c r="F43" s="7"/>
      <c r="G43" s="7"/>
      <c r="H43"/>
    </row>
    <row r="44" spans="1:21" s="9" customFormat="1">
      <c r="A44" s="9" t="s">
        <v>1204</v>
      </c>
      <c r="B44" s="9" t="s">
        <v>151</v>
      </c>
      <c r="C44" s="9" t="s">
        <v>57</v>
      </c>
      <c r="D44" s="9" t="s">
        <v>152</v>
      </c>
      <c r="E44" s="10" t="s">
        <v>149</v>
      </c>
      <c r="F44" s="10">
        <v>7200</v>
      </c>
      <c r="G44" s="73" t="s">
        <v>1042</v>
      </c>
      <c r="H44" s="9" t="s">
        <v>117</v>
      </c>
      <c r="T44" s="11"/>
      <c r="U44" s="11"/>
    </row>
    <row r="45" spans="1:21">
      <c r="A45" t="s">
        <v>1205</v>
      </c>
      <c r="B45" t="s">
        <v>151</v>
      </c>
      <c r="C45" t="s">
        <v>57</v>
      </c>
      <c r="D45" t="s">
        <v>150</v>
      </c>
      <c r="E45" s="7" t="s">
        <v>149</v>
      </c>
      <c r="F45" s="7">
        <v>7200</v>
      </c>
      <c r="G45" s="51" t="s">
        <v>1042</v>
      </c>
      <c r="H45" t="s">
        <v>110</v>
      </c>
      <c r="T45" s="11"/>
      <c r="U45" s="11"/>
    </row>
    <row r="47" spans="1:21" s="14" customFormat="1">
      <c r="A47" t="s">
        <v>148</v>
      </c>
      <c r="B47"/>
      <c r="C47"/>
      <c r="D47"/>
      <c r="E47" s="7"/>
      <c r="F47" s="7"/>
      <c r="G47" s="7"/>
      <c r="H47"/>
    </row>
    <row r="48" spans="1:21" s="14" customFormat="1">
      <c r="A48" t="s">
        <v>93</v>
      </c>
      <c r="B48"/>
      <c r="C48"/>
      <c r="D48"/>
      <c r="E48" s="7"/>
      <c r="F48" s="7"/>
      <c r="G48" s="7"/>
      <c r="H48"/>
    </row>
    <row r="49" spans="1:8">
      <c r="A49" t="s">
        <v>145</v>
      </c>
      <c r="B49" t="s">
        <v>144</v>
      </c>
      <c r="C49" t="s">
        <v>57</v>
      </c>
      <c r="D49" t="s">
        <v>147</v>
      </c>
      <c r="E49" s="7" t="s">
        <v>142</v>
      </c>
      <c r="F49" s="7">
        <v>5600</v>
      </c>
      <c r="G49" s="51" t="s">
        <v>1043</v>
      </c>
      <c r="H49" t="s">
        <v>146</v>
      </c>
    </row>
    <row r="50" spans="1:8">
      <c r="A50" t="s">
        <v>139</v>
      </c>
    </row>
    <row r="51" spans="1:8">
      <c r="A51" t="s">
        <v>145</v>
      </c>
      <c r="B51" t="s">
        <v>144</v>
      </c>
      <c r="C51" t="s">
        <v>57</v>
      </c>
      <c r="D51" t="s">
        <v>143</v>
      </c>
      <c r="E51" s="7" t="s">
        <v>142</v>
      </c>
      <c r="F51" s="7">
        <v>5600</v>
      </c>
      <c r="G51" s="51" t="s">
        <v>1043</v>
      </c>
      <c r="H51" t="s">
        <v>141</v>
      </c>
    </row>
    <row r="52" spans="1:8">
      <c r="G52" s="15"/>
    </row>
    <row r="53" spans="1:8" s="9" customFormat="1" ht="15" customHeight="1">
      <c r="A53"/>
      <c r="B53"/>
      <c r="C53"/>
      <c r="D53"/>
      <c r="E53" s="7"/>
      <c r="F53" s="7"/>
      <c r="G53" s="7"/>
      <c r="H53"/>
    </row>
    <row r="54" spans="1:8" s="9" customFormat="1">
      <c r="A54" s="2" t="s">
        <v>140</v>
      </c>
      <c r="B54"/>
      <c r="C54"/>
      <c r="D54"/>
      <c r="E54" s="7"/>
      <c r="F54" s="7"/>
      <c r="G54" s="7"/>
      <c r="H54"/>
    </row>
    <row r="55" spans="1:8" s="9" customFormat="1" ht="15" customHeight="1">
      <c r="A55" t="s">
        <v>93</v>
      </c>
      <c r="B55"/>
      <c r="C55"/>
      <c r="D55"/>
      <c r="E55" s="7"/>
      <c r="F55" s="7"/>
      <c r="G55" s="7"/>
      <c r="H55"/>
    </row>
    <row r="56" spans="1:8" s="9" customFormat="1">
      <c r="A56" t="s">
        <v>138</v>
      </c>
      <c r="B56" t="s">
        <v>137</v>
      </c>
      <c r="C56" t="s">
        <v>57</v>
      </c>
      <c r="D56" t="s">
        <v>96</v>
      </c>
      <c r="E56" s="7" t="s">
        <v>120</v>
      </c>
      <c r="F56" s="7">
        <v>7200</v>
      </c>
      <c r="G56" s="51" t="s">
        <v>1044</v>
      </c>
      <c r="H56" t="s">
        <v>117</v>
      </c>
    </row>
    <row r="57" spans="1:8" s="9" customFormat="1">
      <c r="A57" t="s">
        <v>136</v>
      </c>
      <c r="B57" t="s">
        <v>135</v>
      </c>
      <c r="C57" t="s">
        <v>57</v>
      </c>
      <c r="D57" t="s">
        <v>84</v>
      </c>
      <c r="E57" s="7" t="s">
        <v>120</v>
      </c>
      <c r="F57" s="7">
        <v>7200</v>
      </c>
      <c r="G57" s="51" t="s">
        <v>1045</v>
      </c>
      <c r="H57" t="s">
        <v>110</v>
      </c>
    </row>
    <row r="58" spans="1:8" s="9" customFormat="1">
      <c r="A58"/>
      <c r="B58"/>
      <c r="C58"/>
      <c r="D58"/>
      <c r="E58" s="7"/>
      <c r="F58" s="7"/>
      <c r="G58" s="15"/>
      <c r="H58"/>
    </row>
    <row r="59" spans="1:8" s="9" customFormat="1">
      <c r="A59" t="s">
        <v>139</v>
      </c>
      <c r="B59"/>
      <c r="C59"/>
      <c r="D59"/>
      <c r="E59" s="7"/>
      <c r="F59" s="7"/>
      <c r="G59" s="15"/>
      <c r="H59"/>
    </row>
    <row r="60" spans="1:8" s="9" customFormat="1">
      <c r="A60" t="s">
        <v>138</v>
      </c>
      <c r="B60" t="s">
        <v>137</v>
      </c>
      <c r="C60" t="s">
        <v>57</v>
      </c>
      <c r="D60" t="s">
        <v>84</v>
      </c>
      <c r="E60" s="7" t="s">
        <v>120</v>
      </c>
      <c r="F60" s="7">
        <v>7200</v>
      </c>
      <c r="G60" s="51" t="s">
        <v>1044</v>
      </c>
      <c r="H60" t="s">
        <v>117</v>
      </c>
    </row>
    <row r="61" spans="1:8" s="9" customFormat="1">
      <c r="A61" t="s">
        <v>136</v>
      </c>
      <c r="B61" t="s">
        <v>135</v>
      </c>
      <c r="C61" t="s">
        <v>57</v>
      </c>
      <c r="D61" t="s">
        <v>96</v>
      </c>
      <c r="E61" s="7" t="s">
        <v>120</v>
      </c>
      <c r="F61" s="7">
        <v>7200</v>
      </c>
      <c r="G61" s="51" t="s">
        <v>1045</v>
      </c>
      <c r="H61" t="s">
        <v>110</v>
      </c>
    </row>
    <row r="62" spans="1:8" s="9" customFormat="1">
      <c r="A62"/>
      <c r="B62"/>
      <c r="C62"/>
      <c r="D62"/>
      <c r="E62" s="7"/>
      <c r="F62" s="7"/>
      <c r="G62" s="15"/>
      <c r="H62"/>
    </row>
    <row r="63" spans="1:8" s="9" customFormat="1">
      <c r="A63" t="s">
        <v>134</v>
      </c>
      <c r="B63"/>
      <c r="C63"/>
      <c r="D63"/>
      <c r="E63" s="7"/>
      <c r="F63" s="7"/>
      <c r="G63" s="15"/>
      <c r="H63"/>
    </row>
    <row r="64" spans="1:8" s="9" customFormat="1">
      <c r="A64" t="s">
        <v>133</v>
      </c>
      <c r="B64"/>
      <c r="C64"/>
      <c r="D64"/>
      <c r="E64" s="7"/>
      <c r="F64" s="7"/>
      <c r="G64" s="15"/>
      <c r="H64"/>
    </row>
    <row r="65" spans="1:18" s="9" customFormat="1">
      <c r="A65" t="s">
        <v>132</v>
      </c>
      <c r="B65" t="s">
        <v>131</v>
      </c>
      <c r="C65" t="s">
        <v>57</v>
      </c>
      <c r="D65" t="s">
        <v>56</v>
      </c>
      <c r="E65" s="7" t="s">
        <v>120</v>
      </c>
      <c r="F65" s="7">
        <v>8000</v>
      </c>
      <c r="G65" s="51" t="s">
        <v>1046</v>
      </c>
      <c r="H65" t="s">
        <v>130</v>
      </c>
    </row>
    <row r="66" spans="1:18" s="9" customFormat="1">
      <c r="A66"/>
      <c r="B66"/>
      <c r="C66"/>
      <c r="D66"/>
      <c r="E66" s="7"/>
      <c r="F66" s="7"/>
      <c r="G66" s="15"/>
      <c r="H66"/>
    </row>
    <row r="67" spans="1:18" s="9" customFormat="1">
      <c r="A67" s="2" t="s">
        <v>129</v>
      </c>
      <c r="B67"/>
      <c r="C67"/>
      <c r="D67"/>
      <c r="E67" s="7"/>
      <c r="F67" s="7"/>
      <c r="G67" s="15"/>
      <c r="H67"/>
    </row>
    <row r="68" spans="1:18" s="9" customFormat="1">
      <c r="A68" t="s">
        <v>93</v>
      </c>
      <c r="B68"/>
      <c r="C68"/>
      <c r="D68"/>
      <c r="E68" s="7"/>
      <c r="F68" s="7"/>
      <c r="G68" s="15"/>
      <c r="H68"/>
    </row>
    <row r="69" spans="1:18" s="9" customFormat="1">
      <c r="A69" s="9" t="s">
        <v>128</v>
      </c>
      <c r="B69" s="8" t="s">
        <v>127</v>
      </c>
      <c r="C69" s="9" t="s">
        <v>57</v>
      </c>
      <c r="D69" s="9" t="s">
        <v>84</v>
      </c>
      <c r="E69" s="7" t="s">
        <v>120</v>
      </c>
      <c r="F69" s="10">
        <v>3600</v>
      </c>
      <c r="G69" s="51" t="s">
        <v>1047</v>
      </c>
      <c r="H69" s="9" t="s">
        <v>126</v>
      </c>
    </row>
    <row r="70" spans="1:18" s="9" customFormat="1">
      <c r="A70" s="9" t="s">
        <v>125</v>
      </c>
      <c r="B70" s="8" t="s">
        <v>124</v>
      </c>
      <c r="C70" s="9" t="s">
        <v>57</v>
      </c>
      <c r="D70" s="9" t="s">
        <v>84</v>
      </c>
      <c r="E70" s="7" t="s">
        <v>120</v>
      </c>
      <c r="F70" s="10">
        <v>3600</v>
      </c>
      <c r="G70" s="51" t="s">
        <v>1048</v>
      </c>
      <c r="H70" s="9" t="s">
        <v>123</v>
      </c>
    </row>
    <row r="71" spans="1:18" s="9" customFormat="1">
      <c r="B71" s="13"/>
      <c r="E71" s="10"/>
      <c r="F71" s="10"/>
      <c r="G71" s="10"/>
    </row>
    <row r="72" spans="1:18" s="9" customFormat="1">
      <c r="A72" t="s">
        <v>89</v>
      </c>
      <c r="B72" s="13"/>
      <c r="E72" s="10"/>
      <c r="F72" s="10"/>
      <c r="G72" s="10"/>
    </row>
    <row r="73" spans="1:18" s="9" customFormat="1">
      <c r="A73" s="9" t="s">
        <v>122</v>
      </c>
      <c r="B73" s="12" t="s">
        <v>121</v>
      </c>
      <c r="C73" s="9" t="s">
        <v>99</v>
      </c>
      <c r="D73" s="9" t="s">
        <v>84</v>
      </c>
      <c r="E73" s="7" t="s">
        <v>120</v>
      </c>
      <c r="F73" s="10">
        <v>4320</v>
      </c>
      <c r="G73" s="51" t="s">
        <v>1049</v>
      </c>
      <c r="J73"/>
      <c r="K73"/>
      <c r="L73"/>
      <c r="M73"/>
      <c r="N73"/>
      <c r="O73"/>
      <c r="P73"/>
    </row>
    <row r="74" spans="1:18">
      <c r="Q74" s="11"/>
      <c r="R74" s="11"/>
    </row>
    <row r="75" spans="1:18" s="9" customFormat="1">
      <c r="A75" s="2" t="s">
        <v>119</v>
      </c>
      <c r="E75" s="10"/>
      <c r="F75" s="10"/>
      <c r="G75" s="10"/>
      <c r="J75"/>
      <c r="K75"/>
      <c r="L75"/>
      <c r="M75"/>
      <c r="N75"/>
      <c r="O75"/>
      <c r="P75"/>
    </row>
    <row r="76" spans="1:18" s="9" customFormat="1">
      <c r="A76" t="s">
        <v>93</v>
      </c>
      <c r="E76" s="10"/>
      <c r="F76" s="10"/>
      <c r="G76" s="10"/>
      <c r="J76"/>
      <c r="K76"/>
      <c r="L76"/>
      <c r="M76"/>
      <c r="N76"/>
      <c r="O76"/>
      <c r="P76"/>
    </row>
    <row r="77" spans="1:18" s="9" customFormat="1">
      <c r="A77" s="8" t="s">
        <v>115</v>
      </c>
      <c r="B77" s="9" t="s">
        <v>114</v>
      </c>
      <c r="C77" s="9" t="s">
        <v>66</v>
      </c>
      <c r="D77" s="9" t="s">
        <v>96</v>
      </c>
      <c r="E77" s="10" t="s">
        <v>62</v>
      </c>
      <c r="F77" s="10">
        <v>3600</v>
      </c>
      <c r="G77" s="73" t="s">
        <v>1051</v>
      </c>
      <c r="H77" s="9" t="s">
        <v>117</v>
      </c>
    </row>
    <row r="78" spans="1:18" s="9" customFormat="1">
      <c r="A78" s="8"/>
      <c r="C78" s="9" t="s">
        <v>83</v>
      </c>
      <c r="D78" s="9" t="s">
        <v>118</v>
      </c>
      <c r="E78" s="10"/>
      <c r="F78" s="10"/>
      <c r="G78" s="10"/>
      <c r="J78"/>
      <c r="K78"/>
      <c r="L78"/>
      <c r="M78"/>
      <c r="N78"/>
      <c r="O78"/>
      <c r="P78"/>
    </row>
    <row r="79" spans="1:18" s="9" customFormat="1">
      <c r="A79" s="8" t="s">
        <v>112</v>
      </c>
      <c r="B79" s="9" t="s">
        <v>111</v>
      </c>
      <c r="C79" s="9" t="s">
        <v>85</v>
      </c>
      <c r="D79" t="s">
        <v>96</v>
      </c>
      <c r="E79" s="10" t="s">
        <v>98</v>
      </c>
      <c r="F79" s="10">
        <v>3600</v>
      </c>
      <c r="G79" s="51" t="s">
        <v>1050</v>
      </c>
      <c r="H79" s="9" t="s">
        <v>117</v>
      </c>
      <c r="J79"/>
      <c r="K79"/>
      <c r="L79"/>
      <c r="M79"/>
      <c r="N79"/>
      <c r="O79"/>
      <c r="P79"/>
    </row>
    <row r="80" spans="1:18" s="9" customFormat="1">
      <c r="A80" s="8"/>
      <c r="C80" s="9" t="s">
        <v>83</v>
      </c>
      <c r="D80" s="9" t="s">
        <v>116</v>
      </c>
      <c r="E80" s="10"/>
      <c r="F80" s="10"/>
      <c r="G80" s="10"/>
      <c r="J80"/>
      <c r="K80"/>
      <c r="L80"/>
      <c r="M80"/>
      <c r="N80"/>
      <c r="O80"/>
      <c r="P80"/>
    </row>
    <row r="81" spans="1:16" s="9" customFormat="1">
      <c r="A81" s="8" t="s">
        <v>115</v>
      </c>
      <c r="B81" s="9" t="s">
        <v>114</v>
      </c>
      <c r="C81" s="9" t="s">
        <v>66</v>
      </c>
      <c r="D81" s="9" t="s">
        <v>84</v>
      </c>
      <c r="E81" s="10" t="s">
        <v>62</v>
      </c>
      <c r="F81" s="10">
        <v>3600</v>
      </c>
      <c r="G81" s="73" t="s">
        <v>1051</v>
      </c>
      <c r="H81" s="9" t="s">
        <v>110</v>
      </c>
    </row>
    <row r="82" spans="1:16" s="9" customFormat="1">
      <c r="A82" s="8"/>
      <c r="C82" s="9" t="s">
        <v>83</v>
      </c>
      <c r="D82" s="9" t="s">
        <v>113</v>
      </c>
      <c r="E82" s="10"/>
      <c r="F82" s="10"/>
      <c r="G82" s="10"/>
      <c r="J82"/>
      <c r="K82"/>
      <c r="L82"/>
      <c r="M82"/>
      <c r="N82"/>
      <c r="O82"/>
      <c r="P82"/>
    </row>
    <row r="83" spans="1:16" s="9" customFormat="1">
      <c r="A83" s="8" t="s">
        <v>112</v>
      </c>
      <c r="B83" s="9" t="s">
        <v>111</v>
      </c>
      <c r="C83" s="9" t="s">
        <v>85</v>
      </c>
      <c r="D83" s="9" t="s">
        <v>84</v>
      </c>
      <c r="E83" s="10" t="s">
        <v>98</v>
      </c>
      <c r="F83" s="10">
        <v>3600</v>
      </c>
      <c r="G83" s="51" t="s">
        <v>1050</v>
      </c>
      <c r="H83" t="s">
        <v>110</v>
      </c>
      <c r="J83"/>
      <c r="K83"/>
      <c r="L83"/>
      <c r="M83"/>
      <c r="N83"/>
      <c r="O83"/>
      <c r="P83"/>
    </row>
    <row r="84" spans="1:16" s="9" customFormat="1">
      <c r="A84" s="8"/>
      <c r="C84" s="9" t="s">
        <v>83</v>
      </c>
      <c r="D84" s="9" t="s">
        <v>109</v>
      </c>
      <c r="E84" s="10"/>
      <c r="F84" s="10"/>
      <c r="G84" s="10"/>
      <c r="J84"/>
      <c r="K84"/>
      <c r="L84"/>
      <c r="M84"/>
      <c r="N84"/>
      <c r="O84"/>
      <c r="P84"/>
    </row>
    <row r="85" spans="1:16" s="9" customFormat="1">
      <c r="A85" t="s">
        <v>89</v>
      </c>
      <c r="E85" s="10"/>
      <c r="F85" s="10"/>
      <c r="G85" s="10"/>
      <c r="J85"/>
      <c r="K85"/>
      <c r="L85"/>
      <c r="M85"/>
      <c r="N85"/>
      <c r="O85"/>
      <c r="P85"/>
    </row>
    <row r="86" spans="1:16" s="9" customFormat="1">
      <c r="A86" s="8" t="s">
        <v>108</v>
      </c>
      <c r="B86" s="9" t="s">
        <v>107</v>
      </c>
      <c r="C86" s="9" t="s">
        <v>57</v>
      </c>
      <c r="D86" t="s">
        <v>96</v>
      </c>
      <c r="E86" s="10" t="s">
        <v>55</v>
      </c>
      <c r="F86" s="10">
        <v>1710</v>
      </c>
      <c r="G86" s="51" t="s">
        <v>1052</v>
      </c>
      <c r="H86" s="9" t="s">
        <v>106</v>
      </c>
      <c r="J86"/>
      <c r="K86"/>
      <c r="L86"/>
      <c r="M86"/>
      <c r="N86"/>
      <c r="O86"/>
      <c r="P86"/>
    </row>
    <row r="87" spans="1:16" s="9" customFormat="1">
      <c r="A87" s="8" t="s">
        <v>105</v>
      </c>
      <c r="B87" s="9" t="s">
        <v>104</v>
      </c>
      <c r="C87" s="9" t="s">
        <v>57</v>
      </c>
      <c r="D87" s="9" t="s">
        <v>96</v>
      </c>
      <c r="E87" s="10" t="s">
        <v>103</v>
      </c>
      <c r="F87" s="10">
        <v>5490</v>
      </c>
      <c r="G87" s="73" t="s">
        <v>1053</v>
      </c>
      <c r="H87" s="9" t="s">
        <v>102</v>
      </c>
    </row>
    <row r="88" spans="1:16" s="9" customFormat="1">
      <c r="E88" s="10"/>
      <c r="F88" s="10"/>
      <c r="G88" s="10"/>
      <c r="J88"/>
      <c r="K88"/>
      <c r="L88"/>
      <c r="M88"/>
      <c r="N88"/>
      <c r="O88"/>
      <c r="P88"/>
    </row>
    <row r="89" spans="1:16" s="9" customFormat="1">
      <c r="A89" s="8" t="s">
        <v>108</v>
      </c>
      <c r="B89" s="9" t="s">
        <v>107</v>
      </c>
      <c r="C89" s="9" t="s">
        <v>57</v>
      </c>
      <c r="D89" s="9" t="s">
        <v>84</v>
      </c>
      <c r="E89" s="10" t="s">
        <v>55</v>
      </c>
      <c r="F89" s="10">
        <v>1710</v>
      </c>
      <c r="G89" s="51" t="s">
        <v>1052</v>
      </c>
      <c r="H89" s="9" t="s">
        <v>106</v>
      </c>
      <c r="J89"/>
      <c r="K89"/>
      <c r="L89"/>
      <c r="M89"/>
      <c r="N89"/>
      <c r="O89"/>
      <c r="P89"/>
    </row>
    <row r="90" spans="1:16" s="9" customFormat="1">
      <c r="A90" s="8" t="s">
        <v>105</v>
      </c>
      <c r="B90" s="9" t="s">
        <v>104</v>
      </c>
      <c r="C90" s="9" t="s">
        <v>57</v>
      </c>
      <c r="D90" s="9" t="s">
        <v>84</v>
      </c>
      <c r="E90" s="10" t="s">
        <v>103</v>
      </c>
      <c r="F90" s="10">
        <v>5490</v>
      </c>
      <c r="G90" s="73" t="s">
        <v>1053</v>
      </c>
      <c r="H90" s="9" t="s">
        <v>102</v>
      </c>
    </row>
    <row r="91" spans="1:16" s="9" customFormat="1">
      <c r="E91" s="10"/>
      <c r="F91" s="10"/>
      <c r="G91" s="10"/>
      <c r="J91"/>
      <c r="K91"/>
      <c r="L91"/>
      <c r="M91"/>
      <c r="N91"/>
      <c r="O91"/>
      <c r="P91"/>
    </row>
    <row r="92" spans="1:16" s="9" customFormat="1">
      <c r="E92" s="10"/>
      <c r="F92" s="10"/>
      <c r="G92" s="10"/>
      <c r="J92"/>
      <c r="K92"/>
      <c r="L92"/>
      <c r="M92"/>
      <c r="N92"/>
      <c r="O92"/>
      <c r="P92"/>
    </row>
    <row r="93" spans="1:16" s="9" customFormat="1">
      <c r="A93" s="2" t="s">
        <v>101</v>
      </c>
      <c r="E93" s="10"/>
      <c r="F93" s="10"/>
      <c r="G93" s="10"/>
      <c r="J93"/>
      <c r="K93"/>
      <c r="L93"/>
      <c r="M93"/>
      <c r="N93"/>
      <c r="O93"/>
      <c r="P93"/>
    </row>
    <row r="94" spans="1:16" s="9" customFormat="1">
      <c r="A94" t="s">
        <v>93</v>
      </c>
      <c r="E94" s="10"/>
      <c r="F94" s="10"/>
      <c r="G94" s="10"/>
      <c r="J94"/>
      <c r="K94"/>
      <c r="L94"/>
      <c r="M94"/>
      <c r="N94"/>
      <c r="O94"/>
      <c r="P94"/>
    </row>
    <row r="95" spans="1:16" s="9" customFormat="1">
      <c r="A95" s="9" t="s">
        <v>1206</v>
      </c>
      <c r="B95" s="9" t="s">
        <v>100</v>
      </c>
      <c r="C95" s="9" t="s">
        <v>99</v>
      </c>
      <c r="D95" t="s">
        <v>96</v>
      </c>
      <c r="E95" s="10" t="s">
        <v>98</v>
      </c>
      <c r="F95" s="10">
        <v>4320</v>
      </c>
      <c r="G95" s="51" t="s">
        <v>1054</v>
      </c>
      <c r="H95" s="52"/>
      <c r="J95"/>
      <c r="K95"/>
      <c r="L95"/>
      <c r="M95"/>
      <c r="N95"/>
      <c r="O95"/>
      <c r="P95"/>
    </row>
    <row r="96" spans="1:16" s="9" customFormat="1">
      <c r="A96" s="9" t="s">
        <v>1207</v>
      </c>
      <c r="B96" s="9" t="s">
        <v>97</v>
      </c>
      <c r="C96" s="9" t="s">
        <v>85</v>
      </c>
      <c r="D96" t="s">
        <v>96</v>
      </c>
      <c r="E96" s="10" t="s">
        <v>55</v>
      </c>
      <c r="F96" s="10">
        <v>2080</v>
      </c>
      <c r="G96" s="51" t="s">
        <v>1055</v>
      </c>
      <c r="J96"/>
      <c r="K96"/>
      <c r="L96"/>
      <c r="M96"/>
      <c r="N96"/>
      <c r="O96"/>
      <c r="P96"/>
    </row>
    <row r="97" spans="1:16" s="9" customFormat="1">
      <c r="E97" s="10"/>
      <c r="F97" s="10"/>
      <c r="G97" s="10"/>
      <c r="J97"/>
      <c r="K97"/>
      <c r="L97"/>
      <c r="M97"/>
      <c r="N97"/>
      <c r="O97"/>
      <c r="P97"/>
    </row>
    <row r="98" spans="1:16" s="9" customFormat="1">
      <c r="A98" t="s">
        <v>89</v>
      </c>
      <c r="E98" s="10"/>
      <c r="F98" s="10"/>
      <c r="G98" s="10"/>
      <c r="J98"/>
      <c r="K98"/>
      <c r="L98"/>
      <c r="M98"/>
      <c r="N98"/>
      <c r="O98"/>
      <c r="P98"/>
    </row>
    <row r="99" spans="1:16">
      <c r="A99" t="s">
        <v>95</v>
      </c>
    </row>
    <row r="101" spans="1:16">
      <c r="A101" s="2" t="s">
        <v>94</v>
      </c>
    </row>
    <row r="102" spans="1:16">
      <c r="A102" t="s">
        <v>93</v>
      </c>
    </row>
    <row r="103" spans="1:16">
      <c r="A103" t="s">
        <v>1208</v>
      </c>
      <c r="B103" t="s">
        <v>92</v>
      </c>
      <c r="C103" t="s">
        <v>66</v>
      </c>
      <c r="D103" s="9" t="s">
        <v>84</v>
      </c>
      <c r="E103" s="7" t="s">
        <v>62</v>
      </c>
      <c r="F103" s="7">
        <v>3600</v>
      </c>
      <c r="G103" s="51" t="s">
        <v>1056</v>
      </c>
    </row>
    <row r="104" spans="1:16">
      <c r="C104" t="s">
        <v>83</v>
      </c>
      <c r="D104" s="9" t="s">
        <v>87</v>
      </c>
    </row>
    <row r="105" spans="1:16">
      <c r="A105" t="s">
        <v>1209</v>
      </c>
      <c r="B105" t="s">
        <v>91</v>
      </c>
      <c r="C105" t="s">
        <v>90</v>
      </c>
      <c r="D105" s="9" t="s">
        <v>84</v>
      </c>
      <c r="E105" s="7" t="s">
        <v>62</v>
      </c>
      <c r="F105" s="7">
        <v>3600</v>
      </c>
      <c r="G105" s="51" t="s">
        <v>1057</v>
      </c>
    </row>
    <row r="106" spans="1:16">
      <c r="C106" t="s">
        <v>83</v>
      </c>
      <c r="D106" t="s">
        <v>82</v>
      </c>
    </row>
    <row r="107" spans="1:16">
      <c r="A107" t="s">
        <v>89</v>
      </c>
    </row>
    <row r="108" spans="1:16">
      <c r="A108" t="s">
        <v>1210</v>
      </c>
      <c r="B108" t="s">
        <v>88</v>
      </c>
      <c r="C108" t="s">
        <v>66</v>
      </c>
      <c r="D108" s="9" t="s">
        <v>84</v>
      </c>
      <c r="E108" s="7" t="s">
        <v>62</v>
      </c>
      <c r="F108" s="7">
        <v>3600</v>
      </c>
      <c r="G108" s="51" t="s">
        <v>1056</v>
      </c>
    </row>
    <row r="109" spans="1:16">
      <c r="C109" t="s">
        <v>83</v>
      </c>
      <c r="D109" s="9" t="s">
        <v>87</v>
      </c>
    </row>
    <row r="110" spans="1:16">
      <c r="A110" t="s">
        <v>1211</v>
      </c>
      <c r="B110" t="s">
        <v>86</v>
      </c>
      <c r="C110" t="s">
        <v>85</v>
      </c>
      <c r="D110" s="9" t="s">
        <v>84</v>
      </c>
      <c r="E110" s="7" t="s">
        <v>62</v>
      </c>
      <c r="F110" s="7">
        <v>3600</v>
      </c>
      <c r="G110" s="51" t="s">
        <v>1058</v>
      </c>
    </row>
    <row r="111" spans="1:16">
      <c r="C111" t="s">
        <v>83</v>
      </c>
      <c r="D111" t="s">
        <v>82</v>
      </c>
    </row>
    <row r="114" spans="1:8">
      <c r="A114" s="2" t="s">
        <v>81</v>
      </c>
    </row>
    <row r="115" spans="1:8">
      <c r="A115" s="8" t="s">
        <v>1212</v>
      </c>
      <c r="B115" s="8" t="s">
        <v>80</v>
      </c>
      <c r="C115" t="s">
        <v>79</v>
      </c>
      <c r="D115" t="s">
        <v>56</v>
      </c>
      <c r="E115" s="7" t="s">
        <v>62</v>
      </c>
      <c r="F115" s="7">
        <v>2400</v>
      </c>
      <c r="G115" s="51" t="s">
        <v>1059</v>
      </c>
      <c r="H115" t="s">
        <v>54</v>
      </c>
    </row>
    <row r="116" spans="1:8">
      <c r="A116" s="8" t="s">
        <v>1213</v>
      </c>
      <c r="B116" s="8" t="s">
        <v>78</v>
      </c>
      <c r="C116" t="s">
        <v>77</v>
      </c>
      <c r="D116" t="s">
        <v>60</v>
      </c>
      <c r="E116" s="7" t="s">
        <v>62</v>
      </c>
      <c r="F116" s="7">
        <v>3200</v>
      </c>
      <c r="G116" s="51" t="s">
        <v>1060</v>
      </c>
      <c r="H116" t="s">
        <v>59</v>
      </c>
    </row>
    <row r="117" spans="1:8">
      <c r="A117" s="8" t="s">
        <v>1213</v>
      </c>
      <c r="B117" s="8" t="s">
        <v>78</v>
      </c>
      <c r="C117" t="s">
        <v>77</v>
      </c>
      <c r="D117" t="s">
        <v>56</v>
      </c>
      <c r="E117" s="7" t="s">
        <v>62</v>
      </c>
      <c r="F117" s="7">
        <v>3200</v>
      </c>
      <c r="G117" s="51" t="s">
        <v>1060</v>
      </c>
      <c r="H117" t="s">
        <v>59</v>
      </c>
    </row>
    <row r="118" spans="1:8">
      <c r="A118" s="8" t="s">
        <v>76</v>
      </c>
      <c r="B118" s="8" t="s">
        <v>75</v>
      </c>
      <c r="C118" t="s">
        <v>63</v>
      </c>
      <c r="D118" t="s">
        <v>56</v>
      </c>
      <c r="E118" s="7" t="s">
        <v>62</v>
      </c>
      <c r="F118" s="7">
        <v>2400</v>
      </c>
      <c r="G118" s="51" t="s">
        <v>1061</v>
      </c>
      <c r="H118" t="s">
        <v>61</v>
      </c>
    </row>
    <row r="119" spans="1:8">
      <c r="A119" s="8" t="s">
        <v>74</v>
      </c>
      <c r="B119" s="8" t="s">
        <v>73</v>
      </c>
      <c r="C119" t="s">
        <v>63</v>
      </c>
      <c r="D119" t="s">
        <v>56</v>
      </c>
      <c r="E119" s="7" t="s">
        <v>62</v>
      </c>
      <c r="F119" s="7">
        <v>2400</v>
      </c>
      <c r="G119" s="51" t="s">
        <v>1062</v>
      </c>
      <c r="H119" t="s">
        <v>61</v>
      </c>
    </row>
    <row r="120" spans="1:8">
      <c r="A120" s="8" t="s">
        <v>72</v>
      </c>
      <c r="B120" s="8" t="s">
        <v>71</v>
      </c>
      <c r="C120" t="s">
        <v>70</v>
      </c>
      <c r="D120" t="s">
        <v>56</v>
      </c>
      <c r="E120" s="7" t="s">
        <v>69</v>
      </c>
      <c r="F120" s="7">
        <v>800</v>
      </c>
      <c r="G120" s="51" t="s">
        <v>1063</v>
      </c>
      <c r="H120" t="s">
        <v>54</v>
      </c>
    </row>
    <row r="121" spans="1:8">
      <c r="A121" s="8" t="s">
        <v>68</v>
      </c>
      <c r="B121" s="8" t="s">
        <v>67</v>
      </c>
      <c r="C121" t="s">
        <v>66</v>
      </c>
      <c r="D121" t="s">
        <v>56</v>
      </c>
      <c r="E121" s="7" t="s">
        <v>55</v>
      </c>
      <c r="F121" s="7">
        <v>1600</v>
      </c>
      <c r="G121" s="51" t="s">
        <v>1064</v>
      </c>
      <c r="H121" t="s">
        <v>54</v>
      </c>
    </row>
    <row r="122" spans="1:8">
      <c r="A122" s="8" t="s">
        <v>65</v>
      </c>
      <c r="B122" s="8" t="s">
        <v>64</v>
      </c>
      <c r="C122" t="s">
        <v>63</v>
      </c>
      <c r="D122" t="s">
        <v>56</v>
      </c>
      <c r="E122" s="7" t="s">
        <v>62</v>
      </c>
      <c r="F122" s="7">
        <v>2400</v>
      </c>
      <c r="G122" s="51" t="s">
        <v>1065</v>
      </c>
      <c r="H122" t="s">
        <v>61</v>
      </c>
    </row>
    <row r="123" spans="1:8">
      <c r="A123" s="8" t="s">
        <v>1214</v>
      </c>
      <c r="B123" s="8" t="s">
        <v>58</v>
      </c>
      <c r="C123" t="s">
        <v>57</v>
      </c>
      <c r="D123" t="s">
        <v>60</v>
      </c>
      <c r="E123" s="7" t="s">
        <v>55</v>
      </c>
      <c r="F123" s="7">
        <v>4000</v>
      </c>
      <c r="G123" s="51" t="s">
        <v>1066</v>
      </c>
      <c r="H123" t="s">
        <v>59</v>
      </c>
    </row>
    <row r="124" spans="1:8">
      <c r="A124" s="8" t="s">
        <v>1214</v>
      </c>
      <c r="B124" s="8" t="s">
        <v>58</v>
      </c>
      <c r="C124" t="s">
        <v>57</v>
      </c>
      <c r="D124" t="s">
        <v>56</v>
      </c>
      <c r="E124" s="7" t="s">
        <v>55</v>
      </c>
      <c r="F124" s="7">
        <v>4000</v>
      </c>
      <c r="G124" s="51" t="s">
        <v>1066</v>
      </c>
      <c r="H124" t="s">
        <v>54</v>
      </c>
    </row>
  </sheetData>
  <mergeCells count="1">
    <mergeCell ref="C3:D3"/>
  </mergeCells>
  <pageMargins left="0.7" right="0.7" top="0.75" bottom="0.75" header="0.3" footer="0.3"/>
  <pageSetup scale="91" orientation="landscape" r:id="rId1"/>
  <rowBreaks count="2" manualBreakCount="2">
    <brk id="35" max="16383" man="1"/>
    <brk id="7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1"/>
  <sheetViews>
    <sheetView workbookViewId="0">
      <pane ySplit="4" topLeftCell="A5" activePane="bottomLeft" state="frozen"/>
      <selection pane="bottomLeft" activeCell="D72" sqref="D72"/>
    </sheetView>
  </sheetViews>
  <sheetFormatPr defaultRowHeight="15"/>
  <cols>
    <col min="1" max="1" width="23.140625" customWidth="1"/>
    <col min="2" max="2" width="34.85546875" bestFit="1" customWidth="1"/>
    <col min="3" max="3" width="26.5703125" style="34" bestFit="1" customWidth="1"/>
    <col min="4" max="4" width="12.85546875" style="7" customWidth="1"/>
    <col min="5" max="5" width="9.140625" style="7"/>
    <col min="6" max="6" width="17.5703125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328</v>
      </c>
    </row>
    <row r="3" spans="1:7" ht="15.75">
      <c r="A3" s="6"/>
    </row>
    <row r="4" spans="1:7" ht="45">
      <c r="A4" s="29" t="s">
        <v>19</v>
      </c>
      <c r="B4" s="30" t="s">
        <v>18</v>
      </c>
      <c r="C4" s="35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327</v>
      </c>
    </row>
    <row r="7" spans="1:7">
      <c r="A7" t="s">
        <v>93</v>
      </c>
    </row>
    <row r="8" spans="1:7">
      <c r="A8" t="s">
        <v>326</v>
      </c>
      <c r="B8" t="s">
        <v>325</v>
      </c>
      <c r="C8" s="34" t="s">
        <v>189</v>
      </c>
      <c r="D8" s="7" t="s">
        <v>234</v>
      </c>
      <c r="E8" s="15">
        <v>1800</v>
      </c>
      <c r="F8" s="53" t="s">
        <v>1067</v>
      </c>
    </row>
    <row r="9" spans="1:7">
      <c r="A9" t="s">
        <v>324</v>
      </c>
      <c r="B9" t="s">
        <v>323</v>
      </c>
      <c r="C9" s="34" t="s">
        <v>189</v>
      </c>
      <c r="D9" s="7" t="s">
        <v>149</v>
      </c>
      <c r="E9" s="15">
        <v>7200</v>
      </c>
      <c r="F9" s="53" t="s">
        <v>1068</v>
      </c>
    </row>
    <row r="11" spans="1:7">
      <c r="A11" t="s">
        <v>139</v>
      </c>
    </row>
    <row r="12" spans="1:7">
      <c r="A12" t="s">
        <v>322</v>
      </c>
      <c r="B12" t="s">
        <v>321</v>
      </c>
      <c r="C12" s="34" t="s">
        <v>189</v>
      </c>
      <c r="D12" s="7" t="s">
        <v>149</v>
      </c>
      <c r="E12" s="15">
        <v>6300</v>
      </c>
      <c r="F12" s="53" t="s">
        <v>1069</v>
      </c>
    </row>
    <row r="13" spans="1:7">
      <c r="A13" t="s">
        <v>320</v>
      </c>
      <c r="B13" t="s">
        <v>319</v>
      </c>
      <c r="C13" s="34" t="s">
        <v>189</v>
      </c>
      <c r="D13" s="7" t="s">
        <v>188</v>
      </c>
      <c r="E13" s="15">
        <v>2700</v>
      </c>
      <c r="F13" s="53" t="s">
        <v>1070</v>
      </c>
    </row>
    <row r="14" spans="1:7">
      <c r="A14" t="s">
        <v>318</v>
      </c>
      <c r="B14" t="s">
        <v>317</v>
      </c>
      <c r="C14" s="34" t="s">
        <v>189</v>
      </c>
      <c r="D14" s="7" t="s">
        <v>188</v>
      </c>
      <c r="E14" s="15">
        <v>3600</v>
      </c>
      <c r="F14" s="53" t="s">
        <v>1071</v>
      </c>
      <c r="G14" t="s">
        <v>272</v>
      </c>
    </row>
    <row r="15" spans="1:7">
      <c r="E15" s="15"/>
      <c r="F15" s="15"/>
    </row>
    <row r="16" spans="1:7">
      <c r="A16" t="s">
        <v>253</v>
      </c>
    </row>
    <row r="17" spans="1:6">
      <c r="A17" t="s">
        <v>316</v>
      </c>
      <c r="B17" t="s">
        <v>315</v>
      </c>
      <c r="C17" s="34" t="s">
        <v>297</v>
      </c>
      <c r="D17" s="7" t="s">
        <v>120</v>
      </c>
      <c r="E17" s="7">
        <v>1800</v>
      </c>
      <c r="F17" s="53" t="s">
        <v>1067</v>
      </c>
    </row>
    <row r="18" spans="1:6">
      <c r="A18" t="s">
        <v>314</v>
      </c>
      <c r="B18" t="s">
        <v>313</v>
      </c>
      <c r="C18" s="34" t="s">
        <v>297</v>
      </c>
      <c r="D18" s="7" t="s">
        <v>188</v>
      </c>
      <c r="E18" s="15">
        <v>7200</v>
      </c>
      <c r="F18" s="53" t="s">
        <v>1068</v>
      </c>
    </row>
    <row r="19" spans="1:6">
      <c r="E19" s="15"/>
      <c r="F19" s="15"/>
    </row>
    <row r="20" spans="1:6">
      <c r="A20" t="s">
        <v>197</v>
      </c>
    </row>
    <row r="21" spans="1:6">
      <c r="A21" t="s">
        <v>312</v>
      </c>
      <c r="B21" t="s">
        <v>311</v>
      </c>
      <c r="C21" s="34" t="s">
        <v>297</v>
      </c>
      <c r="D21" s="7" t="s">
        <v>283</v>
      </c>
      <c r="E21" s="15">
        <v>9000</v>
      </c>
      <c r="F21" s="53" t="s">
        <v>1072</v>
      </c>
    </row>
    <row r="24" spans="1:6">
      <c r="A24" s="2" t="s">
        <v>310</v>
      </c>
    </row>
    <row r="25" spans="1:6">
      <c r="A25" t="s">
        <v>93</v>
      </c>
    </row>
    <row r="26" spans="1:6">
      <c r="A26" t="s">
        <v>309</v>
      </c>
      <c r="B26" t="s">
        <v>308</v>
      </c>
      <c r="C26" s="34" t="s">
        <v>189</v>
      </c>
      <c r="D26" s="7" t="s">
        <v>142</v>
      </c>
      <c r="E26" s="15">
        <v>9000</v>
      </c>
      <c r="F26" s="53" t="s">
        <v>1073</v>
      </c>
    </row>
    <row r="28" spans="1:6">
      <c r="A28" t="s">
        <v>139</v>
      </c>
      <c r="E28" s="15"/>
      <c r="F28" s="15"/>
    </row>
    <row r="29" spans="1:6">
      <c r="A29" t="s">
        <v>307</v>
      </c>
      <c r="B29" t="s">
        <v>306</v>
      </c>
      <c r="C29" s="34" t="s">
        <v>189</v>
      </c>
      <c r="D29" s="7" t="s">
        <v>142</v>
      </c>
      <c r="E29" s="15">
        <v>5400</v>
      </c>
      <c r="F29" s="53" t="s">
        <v>1074</v>
      </c>
    </row>
    <row r="30" spans="1:6">
      <c r="A30" t="s">
        <v>305</v>
      </c>
      <c r="B30" t="s">
        <v>304</v>
      </c>
      <c r="C30" s="34" t="s">
        <v>189</v>
      </c>
      <c r="D30" s="7" t="s">
        <v>120</v>
      </c>
      <c r="E30" s="15">
        <v>3600</v>
      </c>
      <c r="F30" s="53" t="s">
        <v>1075</v>
      </c>
    </row>
    <row r="31" spans="1:6">
      <c r="E31" s="15"/>
      <c r="F31" s="15"/>
    </row>
    <row r="32" spans="1:6">
      <c r="A32" t="s">
        <v>253</v>
      </c>
      <c r="E32" s="15"/>
      <c r="F32" s="15"/>
    </row>
    <row r="33" spans="1:6">
      <c r="A33" t="s">
        <v>44</v>
      </c>
      <c r="B33" t="s">
        <v>303</v>
      </c>
      <c r="C33" s="34" t="s">
        <v>297</v>
      </c>
      <c r="D33" s="7" t="s">
        <v>142</v>
      </c>
      <c r="E33" s="15">
        <v>9000</v>
      </c>
      <c r="F33" s="53" t="s">
        <v>1076</v>
      </c>
    </row>
    <row r="35" spans="1:6">
      <c r="A35" t="s">
        <v>302</v>
      </c>
    </row>
    <row r="36" spans="1:6">
      <c r="A36" t="s">
        <v>301</v>
      </c>
      <c r="B36" t="s">
        <v>300</v>
      </c>
      <c r="C36" s="34" t="s">
        <v>297</v>
      </c>
      <c r="D36" s="7" t="s">
        <v>142</v>
      </c>
      <c r="E36" s="7">
        <v>5400</v>
      </c>
      <c r="F36" s="53" t="s">
        <v>1074</v>
      </c>
    </row>
    <row r="37" spans="1:6">
      <c r="A37" t="s">
        <v>299</v>
      </c>
      <c r="B37" t="s">
        <v>298</v>
      </c>
      <c r="C37" s="34" t="s">
        <v>297</v>
      </c>
      <c r="D37" s="7" t="s">
        <v>120</v>
      </c>
      <c r="E37" s="7">
        <v>4500</v>
      </c>
      <c r="F37" s="53" t="s">
        <v>1077</v>
      </c>
    </row>
    <row r="40" spans="1:6">
      <c r="A40" s="2" t="s">
        <v>296</v>
      </c>
    </row>
    <row r="41" spans="1:6">
      <c r="A41" t="s">
        <v>93</v>
      </c>
    </row>
    <row r="42" spans="1:6" ht="30">
      <c r="A42" t="s">
        <v>295</v>
      </c>
      <c r="B42" t="s">
        <v>294</v>
      </c>
      <c r="C42" s="36" t="s">
        <v>280</v>
      </c>
      <c r="D42" s="7" t="s">
        <v>234</v>
      </c>
      <c r="E42" s="7">
        <v>1800</v>
      </c>
      <c r="F42" s="53" t="s">
        <v>1078</v>
      </c>
    </row>
    <row r="43" spans="1:6" ht="30">
      <c r="A43" t="s">
        <v>293</v>
      </c>
      <c r="B43" t="s">
        <v>292</v>
      </c>
      <c r="C43" s="36" t="s">
        <v>280</v>
      </c>
      <c r="D43" s="7" t="s">
        <v>234</v>
      </c>
      <c r="E43" s="7">
        <v>1800</v>
      </c>
      <c r="F43" s="53" t="s">
        <v>1078</v>
      </c>
    </row>
    <row r="44" spans="1:6" ht="30">
      <c r="A44" t="s">
        <v>291</v>
      </c>
      <c r="B44" t="s">
        <v>290</v>
      </c>
      <c r="C44" s="36" t="s">
        <v>280</v>
      </c>
      <c r="D44" s="7" t="s">
        <v>149</v>
      </c>
      <c r="E44" s="7">
        <v>7200</v>
      </c>
      <c r="F44" s="53" t="s">
        <v>1079</v>
      </c>
    </row>
    <row r="46" spans="1:6">
      <c r="A46" t="s">
        <v>139</v>
      </c>
    </row>
    <row r="47" spans="1:6" ht="30">
      <c r="A47" t="s">
        <v>289</v>
      </c>
      <c r="B47" t="s">
        <v>288</v>
      </c>
      <c r="C47" s="36" t="s">
        <v>280</v>
      </c>
      <c r="D47" s="7" t="s">
        <v>234</v>
      </c>
      <c r="E47" s="7">
        <v>3600</v>
      </c>
      <c r="F47" s="53" t="s">
        <v>1080</v>
      </c>
    </row>
    <row r="48" spans="1:6" ht="30">
      <c r="A48" t="s">
        <v>287</v>
      </c>
      <c r="B48" t="s">
        <v>286</v>
      </c>
      <c r="C48" s="36" t="s">
        <v>280</v>
      </c>
      <c r="D48" s="7" t="s">
        <v>142</v>
      </c>
      <c r="E48" s="7">
        <v>7200</v>
      </c>
      <c r="F48" s="53" t="s">
        <v>1081</v>
      </c>
    </row>
    <row r="50" spans="1:6">
      <c r="A50" t="s">
        <v>253</v>
      </c>
    </row>
    <row r="51" spans="1:6" ht="30">
      <c r="A51" t="s">
        <v>285</v>
      </c>
      <c r="B51" t="s">
        <v>284</v>
      </c>
      <c r="C51" s="36" t="s">
        <v>280</v>
      </c>
      <c r="D51" s="7" t="s">
        <v>283</v>
      </c>
      <c r="E51" s="7">
        <v>10800</v>
      </c>
      <c r="F51" s="53" t="s">
        <v>1082</v>
      </c>
    </row>
    <row r="53" spans="1:6">
      <c r="A53" t="s">
        <v>197</v>
      </c>
    </row>
    <row r="54" spans="1:6" ht="30">
      <c r="A54" t="s">
        <v>282</v>
      </c>
      <c r="B54" t="s">
        <v>281</v>
      </c>
      <c r="C54" s="36" t="s">
        <v>280</v>
      </c>
      <c r="D54" s="7" t="s">
        <v>188</v>
      </c>
      <c r="E54" s="7">
        <v>10800</v>
      </c>
      <c r="F54" s="53" t="s">
        <v>1082</v>
      </c>
    </row>
    <row r="57" spans="1:6">
      <c r="A57" s="2" t="s">
        <v>279</v>
      </c>
    </row>
    <row r="58" spans="1:6">
      <c r="A58" t="s">
        <v>93</v>
      </c>
    </row>
    <row r="59" spans="1:6">
      <c r="A59" t="s">
        <v>278</v>
      </c>
      <c r="B59" t="s">
        <v>277</v>
      </c>
      <c r="C59" s="34" t="s">
        <v>189</v>
      </c>
      <c r="D59" s="7" t="s">
        <v>120</v>
      </c>
      <c r="E59" s="7">
        <v>2700</v>
      </c>
      <c r="F59" s="53" t="s">
        <v>1083</v>
      </c>
    </row>
    <row r="60" spans="1:6">
      <c r="A60" t="s">
        <v>276</v>
      </c>
      <c r="B60" t="s">
        <v>275</v>
      </c>
      <c r="C60" s="34" t="s">
        <v>189</v>
      </c>
      <c r="D60" s="7" t="s">
        <v>120</v>
      </c>
      <c r="E60" s="7">
        <v>2700</v>
      </c>
      <c r="F60" s="53" t="s">
        <v>1084</v>
      </c>
    </row>
    <row r="62" spans="1:6">
      <c r="A62" t="s">
        <v>139</v>
      </c>
    </row>
    <row r="63" spans="1:6" s="9" customFormat="1">
      <c r="A63" s="9" t="s">
        <v>268</v>
      </c>
      <c r="B63" s="9" t="s">
        <v>267</v>
      </c>
      <c r="C63" s="71" t="s">
        <v>189</v>
      </c>
      <c r="D63" s="10" t="s">
        <v>120</v>
      </c>
      <c r="E63" s="10">
        <v>2700</v>
      </c>
      <c r="F63" s="73" t="s">
        <v>1084</v>
      </c>
    </row>
    <row r="64" spans="1:6">
      <c r="A64" t="s">
        <v>270</v>
      </c>
      <c r="B64" t="s">
        <v>269</v>
      </c>
      <c r="C64" s="34" t="s">
        <v>189</v>
      </c>
      <c r="D64" s="7" t="s">
        <v>120</v>
      </c>
      <c r="E64" s="7">
        <v>2700</v>
      </c>
      <c r="F64" s="53" t="s">
        <v>1084</v>
      </c>
    </row>
    <row r="65" spans="1:7">
      <c r="A65" t="s">
        <v>274</v>
      </c>
      <c r="B65" t="s">
        <v>273</v>
      </c>
      <c r="C65" s="34" t="s">
        <v>189</v>
      </c>
      <c r="D65" s="7" t="s">
        <v>142</v>
      </c>
      <c r="E65" s="7">
        <v>7200</v>
      </c>
      <c r="F65" s="53" t="s">
        <v>1085</v>
      </c>
      <c r="G65" t="s">
        <v>272</v>
      </c>
    </row>
    <row r="67" spans="1:7">
      <c r="A67" t="s">
        <v>271</v>
      </c>
    </row>
    <row r="68" spans="1:7">
      <c r="A68" t="s">
        <v>270</v>
      </c>
      <c r="B68" t="s">
        <v>269</v>
      </c>
      <c r="C68" s="34" t="s">
        <v>189</v>
      </c>
      <c r="D68" s="7" t="s">
        <v>120</v>
      </c>
      <c r="E68" s="7">
        <v>2700</v>
      </c>
      <c r="F68" s="53" t="s">
        <v>1084</v>
      </c>
    </row>
    <row r="69" spans="1:7" s="9" customFormat="1">
      <c r="A69" s="9" t="s">
        <v>268</v>
      </c>
      <c r="B69" s="9" t="s">
        <v>267</v>
      </c>
      <c r="C69" s="71" t="s">
        <v>189</v>
      </c>
      <c r="D69" s="10" t="s">
        <v>120</v>
      </c>
      <c r="E69" s="10">
        <v>2700</v>
      </c>
      <c r="F69" s="73" t="s">
        <v>1084</v>
      </c>
    </row>
    <row r="72" spans="1:7">
      <c r="A72" s="2" t="s">
        <v>266</v>
      </c>
    </row>
    <row r="73" spans="1:7">
      <c r="A73" t="s">
        <v>93</v>
      </c>
    </row>
    <row r="74" spans="1:7">
      <c r="A74" t="s">
        <v>265</v>
      </c>
      <c r="B74" t="s">
        <v>264</v>
      </c>
      <c r="C74" s="34" t="s">
        <v>189</v>
      </c>
      <c r="D74" s="7" t="s">
        <v>120</v>
      </c>
      <c r="E74" s="7">
        <v>4500</v>
      </c>
      <c r="F74" s="53" t="s">
        <v>1086</v>
      </c>
    </row>
    <row r="75" spans="1:7">
      <c r="A75" t="s">
        <v>263</v>
      </c>
      <c r="B75" t="s">
        <v>262</v>
      </c>
      <c r="C75" s="34" t="s">
        <v>189</v>
      </c>
      <c r="D75" s="7" t="s">
        <v>120</v>
      </c>
      <c r="E75" s="7">
        <v>4500</v>
      </c>
      <c r="F75" s="53" t="s">
        <v>1086</v>
      </c>
    </row>
    <row r="77" spans="1:7">
      <c r="A77" t="s">
        <v>139</v>
      </c>
    </row>
    <row r="78" spans="1:7">
      <c r="A78" t="s">
        <v>261</v>
      </c>
      <c r="B78" t="s">
        <v>260</v>
      </c>
      <c r="C78" s="34" t="s">
        <v>189</v>
      </c>
      <c r="D78" s="7" t="s">
        <v>188</v>
      </c>
      <c r="E78" s="7">
        <v>2000</v>
      </c>
      <c r="F78" s="53" t="s">
        <v>1087</v>
      </c>
    </row>
    <row r="79" spans="1:7">
      <c r="A79" t="s">
        <v>259</v>
      </c>
      <c r="B79" t="s">
        <v>258</v>
      </c>
      <c r="C79" s="34" t="s">
        <v>189</v>
      </c>
      <c r="D79" s="7" t="s">
        <v>234</v>
      </c>
      <c r="E79" s="7">
        <v>1000</v>
      </c>
      <c r="F79" s="53" t="s">
        <v>1088</v>
      </c>
    </row>
    <row r="80" spans="1:7">
      <c r="A80" t="s">
        <v>257</v>
      </c>
      <c r="B80" t="s">
        <v>256</v>
      </c>
      <c r="C80" s="34" t="s">
        <v>189</v>
      </c>
      <c r="D80" s="7" t="s">
        <v>188</v>
      </c>
      <c r="E80" s="7">
        <v>3000</v>
      </c>
      <c r="F80" s="53" t="s">
        <v>1089</v>
      </c>
    </row>
    <row r="81" spans="1:6">
      <c r="A81" t="s">
        <v>255</v>
      </c>
      <c r="B81" t="s">
        <v>254</v>
      </c>
      <c r="C81" s="34" t="s">
        <v>189</v>
      </c>
      <c r="D81" s="7" t="s">
        <v>188</v>
      </c>
      <c r="E81" s="7">
        <v>3000</v>
      </c>
      <c r="F81" s="53" t="s">
        <v>1089</v>
      </c>
    </row>
    <row r="83" spans="1:6">
      <c r="A83" t="s">
        <v>253</v>
      </c>
    </row>
    <row r="84" spans="1:6">
      <c r="A84" t="s">
        <v>252</v>
      </c>
      <c r="B84" t="s">
        <v>251</v>
      </c>
      <c r="C84" s="34" t="s">
        <v>244</v>
      </c>
      <c r="D84" s="7" t="s">
        <v>188</v>
      </c>
      <c r="E84" s="7">
        <v>4500</v>
      </c>
      <c r="F84" s="53" t="s">
        <v>1090</v>
      </c>
    </row>
    <row r="85" spans="1:6">
      <c r="A85" t="s">
        <v>250</v>
      </c>
      <c r="B85" t="s">
        <v>249</v>
      </c>
      <c r="C85" s="34" t="s">
        <v>244</v>
      </c>
      <c r="D85" s="7" t="s">
        <v>188</v>
      </c>
      <c r="E85" s="7">
        <v>4500</v>
      </c>
      <c r="F85" s="53" t="s">
        <v>1091</v>
      </c>
    </row>
    <row r="87" spans="1:6">
      <c r="A87" t="s">
        <v>197</v>
      </c>
    </row>
    <row r="88" spans="1:6">
      <c r="A88" t="s">
        <v>248</v>
      </c>
      <c r="B88" t="s">
        <v>247</v>
      </c>
      <c r="C88" s="34" t="s">
        <v>244</v>
      </c>
      <c r="D88" s="7" t="s">
        <v>188</v>
      </c>
      <c r="E88" s="7">
        <v>1800</v>
      </c>
      <c r="F88" s="53" t="s">
        <v>1092</v>
      </c>
    </row>
    <row r="89" spans="1:6">
      <c r="A89" t="s">
        <v>246</v>
      </c>
      <c r="B89" t="s">
        <v>245</v>
      </c>
      <c r="C89" s="34" t="s">
        <v>244</v>
      </c>
      <c r="D89" s="7" t="s">
        <v>188</v>
      </c>
      <c r="E89" s="7">
        <v>1800</v>
      </c>
      <c r="F89" s="53" t="s">
        <v>1094</v>
      </c>
    </row>
    <row r="90" spans="1:6">
      <c r="A90" t="s">
        <v>243</v>
      </c>
      <c r="B90" t="s">
        <v>242</v>
      </c>
      <c r="C90" s="34" t="s">
        <v>241</v>
      </c>
      <c r="D90" s="7" t="s">
        <v>120</v>
      </c>
      <c r="E90" s="7">
        <v>10800</v>
      </c>
      <c r="F90" s="53" t="s">
        <v>1093</v>
      </c>
    </row>
    <row r="93" spans="1:6">
      <c r="A93" s="2" t="s">
        <v>240</v>
      </c>
    </row>
    <row r="94" spans="1:6">
      <c r="A94" t="s">
        <v>93</v>
      </c>
    </row>
    <row r="95" spans="1:6">
      <c r="A95" t="s">
        <v>229</v>
      </c>
      <c r="B95" t="s">
        <v>228</v>
      </c>
      <c r="C95" s="34" t="s">
        <v>217</v>
      </c>
      <c r="D95" s="7" t="s">
        <v>120</v>
      </c>
      <c r="E95" s="7">
        <v>4500</v>
      </c>
      <c r="F95" s="53" t="s">
        <v>1012</v>
      </c>
    </row>
    <row r="96" spans="1:6">
      <c r="A96" t="s">
        <v>227</v>
      </c>
      <c r="B96" t="s">
        <v>226</v>
      </c>
      <c r="C96" s="34" t="s">
        <v>217</v>
      </c>
      <c r="D96" s="7" t="s">
        <v>120</v>
      </c>
      <c r="E96" s="7">
        <v>4500</v>
      </c>
      <c r="F96" s="53" t="s">
        <v>1012</v>
      </c>
    </row>
    <row r="98" spans="1:6">
      <c r="A98" t="s">
        <v>139</v>
      </c>
    </row>
    <row r="99" spans="1:6" s="9" customFormat="1">
      <c r="A99" s="9" t="s">
        <v>238</v>
      </c>
      <c r="B99" s="9" t="s">
        <v>237</v>
      </c>
      <c r="C99" s="71" t="s">
        <v>217</v>
      </c>
      <c r="D99" s="10" t="s">
        <v>234</v>
      </c>
      <c r="E99" s="10">
        <v>1500</v>
      </c>
      <c r="F99" s="73" t="s">
        <v>1095</v>
      </c>
    </row>
    <row r="100" spans="1:6">
      <c r="A100" t="s">
        <v>236</v>
      </c>
      <c r="B100" t="s">
        <v>235</v>
      </c>
      <c r="C100" s="34" t="s">
        <v>217</v>
      </c>
      <c r="D100" s="7" t="s">
        <v>234</v>
      </c>
      <c r="E100" s="7">
        <v>1500</v>
      </c>
      <c r="F100" s="53" t="s">
        <v>1096</v>
      </c>
    </row>
    <row r="101" spans="1:6">
      <c r="A101" t="s">
        <v>233</v>
      </c>
      <c r="B101" t="s">
        <v>232</v>
      </c>
      <c r="C101" s="34" t="s">
        <v>217</v>
      </c>
      <c r="D101" s="7" t="s">
        <v>120</v>
      </c>
      <c r="E101" s="7">
        <v>3000</v>
      </c>
      <c r="F101" s="53" t="s">
        <v>1097</v>
      </c>
    </row>
    <row r="102" spans="1:6">
      <c r="A102" t="s">
        <v>231</v>
      </c>
      <c r="B102" t="s">
        <v>230</v>
      </c>
      <c r="C102" s="34" t="s">
        <v>217</v>
      </c>
      <c r="D102" s="7" t="s">
        <v>120</v>
      </c>
      <c r="E102" s="7">
        <v>3000</v>
      </c>
      <c r="F102" s="53" t="s">
        <v>1098</v>
      </c>
    </row>
    <row r="104" spans="1:6">
      <c r="A104" t="s">
        <v>239</v>
      </c>
    </row>
    <row r="105" spans="1:6">
      <c r="A105" t="s">
        <v>93</v>
      </c>
    </row>
    <row r="106" spans="1:6" s="9" customFormat="1">
      <c r="A106" s="9" t="s">
        <v>238</v>
      </c>
      <c r="B106" s="9" t="s">
        <v>237</v>
      </c>
      <c r="C106" s="71" t="s">
        <v>204</v>
      </c>
      <c r="D106" s="10" t="s">
        <v>234</v>
      </c>
      <c r="E106" s="10">
        <v>1500</v>
      </c>
      <c r="F106" s="73" t="s">
        <v>1095</v>
      </c>
    </row>
    <row r="107" spans="1:6">
      <c r="A107" t="s">
        <v>236</v>
      </c>
      <c r="B107" t="s">
        <v>235</v>
      </c>
      <c r="C107" s="34" t="s">
        <v>204</v>
      </c>
      <c r="D107" s="7" t="s">
        <v>234</v>
      </c>
      <c r="E107" s="7">
        <v>1500</v>
      </c>
      <c r="F107" s="53" t="s">
        <v>1096</v>
      </c>
    </row>
    <row r="108" spans="1:6">
      <c r="A108" t="s">
        <v>233</v>
      </c>
      <c r="B108" t="s">
        <v>232</v>
      </c>
      <c r="C108" s="34" t="s">
        <v>204</v>
      </c>
      <c r="D108" s="7" t="s">
        <v>120</v>
      </c>
      <c r="E108" s="7">
        <v>3000</v>
      </c>
      <c r="F108" s="53" t="s">
        <v>1097</v>
      </c>
    </row>
    <row r="109" spans="1:6">
      <c r="A109" t="s">
        <v>231</v>
      </c>
      <c r="B109" t="s">
        <v>230</v>
      </c>
      <c r="C109" s="34" t="s">
        <v>204</v>
      </c>
      <c r="D109" s="7" t="s">
        <v>120</v>
      </c>
      <c r="E109" s="7">
        <v>3000</v>
      </c>
      <c r="F109" s="53" t="s">
        <v>1098</v>
      </c>
    </row>
    <row r="111" spans="1:6">
      <c r="A111" t="s">
        <v>139</v>
      </c>
    </row>
    <row r="112" spans="1:6">
      <c r="A112" t="s">
        <v>229</v>
      </c>
      <c r="B112" t="s">
        <v>228</v>
      </c>
      <c r="C112" s="34" t="s">
        <v>204</v>
      </c>
      <c r="D112" s="7" t="s">
        <v>120</v>
      </c>
      <c r="E112" s="7">
        <v>4500</v>
      </c>
      <c r="F112" s="53" t="s">
        <v>1012</v>
      </c>
    </row>
    <row r="113" spans="1:6">
      <c r="A113" t="s">
        <v>227</v>
      </c>
      <c r="B113" t="s">
        <v>226</v>
      </c>
      <c r="C113" s="34" t="s">
        <v>204</v>
      </c>
      <c r="D113" s="7" t="s">
        <v>120</v>
      </c>
      <c r="E113" s="7">
        <v>4500</v>
      </c>
      <c r="F113" s="53" t="s">
        <v>1012</v>
      </c>
    </row>
    <row r="116" spans="1:6">
      <c r="A116" s="2" t="s">
        <v>225</v>
      </c>
    </row>
    <row r="117" spans="1:6">
      <c r="A117" t="s">
        <v>93</v>
      </c>
    </row>
    <row r="118" spans="1:6">
      <c r="A118" t="s">
        <v>224</v>
      </c>
      <c r="B118" t="s">
        <v>92</v>
      </c>
      <c r="C118" s="34" t="s">
        <v>217</v>
      </c>
      <c r="D118" s="7" t="s">
        <v>142</v>
      </c>
      <c r="E118" s="7">
        <v>5400</v>
      </c>
      <c r="F118" s="53" t="s">
        <v>1099</v>
      </c>
    </row>
    <row r="119" spans="1:6">
      <c r="A119" t="s">
        <v>223</v>
      </c>
      <c r="B119" t="s">
        <v>222</v>
      </c>
      <c r="C119" s="34" t="s">
        <v>217</v>
      </c>
      <c r="D119" s="7" t="s">
        <v>120</v>
      </c>
      <c r="E119" s="7">
        <v>3600</v>
      </c>
      <c r="F119" s="53" t="s">
        <v>1100</v>
      </c>
    </row>
    <row r="121" spans="1:6">
      <c r="A121" t="s">
        <v>139</v>
      </c>
    </row>
    <row r="122" spans="1:6">
      <c r="A122" t="s">
        <v>221</v>
      </c>
      <c r="B122" t="s">
        <v>220</v>
      </c>
      <c r="C122" s="34" t="s">
        <v>217</v>
      </c>
      <c r="D122" s="7" t="s">
        <v>142</v>
      </c>
      <c r="E122" s="7">
        <v>5400</v>
      </c>
      <c r="F122" s="53" t="s">
        <v>1101</v>
      </c>
    </row>
    <row r="123" spans="1:6">
      <c r="A123" t="s">
        <v>219</v>
      </c>
      <c r="B123" t="s">
        <v>218</v>
      </c>
      <c r="C123" s="34" t="s">
        <v>217</v>
      </c>
      <c r="D123" s="7" t="s">
        <v>120</v>
      </c>
      <c r="E123" s="7">
        <v>3600</v>
      </c>
      <c r="F123" s="53" t="s">
        <v>1102</v>
      </c>
    </row>
    <row r="126" spans="1:6">
      <c r="A126" s="2" t="s">
        <v>216</v>
      </c>
    </row>
    <row r="127" spans="1:6">
      <c r="A127" t="s">
        <v>93</v>
      </c>
    </row>
    <row r="128" spans="1:6">
      <c r="A128" t="s">
        <v>215</v>
      </c>
      <c r="B128" t="s">
        <v>214</v>
      </c>
      <c r="C128" s="34" t="s">
        <v>204</v>
      </c>
      <c r="D128" s="7" t="s">
        <v>120</v>
      </c>
      <c r="E128" s="7">
        <v>3600</v>
      </c>
      <c r="F128" s="53" t="s">
        <v>1103</v>
      </c>
    </row>
    <row r="129" spans="1:7" s="9" customFormat="1">
      <c r="A129" s="9" t="s">
        <v>213</v>
      </c>
      <c r="B129" s="9" t="s">
        <v>212</v>
      </c>
      <c r="C129" s="71" t="s">
        <v>204</v>
      </c>
      <c r="D129" s="10" t="s">
        <v>120</v>
      </c>
      <c r="E129" s="10">
        <v>3600</v>
      </c>
      <c r="F129" s="68" t="s">
        <v>1217</v>
      </c>
    </row>
    <row r="131" spans="1:7">
      <c r="A131" t="s">
        <v>139</v>
      </c>
    </row>
    <row r="132" spans="1:7">
      <c r="A132" t="s">
        <v>211</v>
      </c>
      <c r="B132" t="s">
        <v>210</v>
      </c>
      <c r="C132" s="34" t="s">
        <v>204</v>
      </c>
      <c r="D132" s="7" t="s">
        <v>120</v>
      </c>
      <c r="E132" s="7">
        <v>3600</v>
      </c>
      <c r="F132" s="53" t="s">
        <v>1104</v>
      </c>
      <c r="G132" t="s">
        <v>209</v>
      </c>
    </row>
    <row r="133" spans="1:7">
      <c r="A133" t="s">
        <v>208</v>
      </c>
      <c r="B133" t="s">
        <v>207</v>
      </c>
      <c r="C133" s="34" t="s">
        <v>204</v>
      </c>
      <c r="D133" s="7" t="s">
        <v>120</v>
      </c>
      <c r="E133" s="7">
        <v>3600</v>
      </c>
      <c r="F133" s="53" t="s">
        <v>1105</v>
      </c>
    </row>
    <row r="134" spans="1:7" s="9" customFormat="1">
      <c r="A134" s="9" t="s">
        <v>206</v>
      </c>
      <c r="B134" s="9" t="s">
        <v>205</v>
      </c>
      <c r="C134" s="71" t="s">
        <v>204</v>
      </c>
      <c r="D134" s="10" t="s">
        <v>120</v>
      </c>
      <c r="E134" s="10">
        <v>3600</v>
      </c>
      <c r="F134" s="73" t="s">
        <v>1105</v>
      </c>
    </row>
    <row r="137" spans="1:7">
      <c r="A137" s="2" t="s">
        <v>203</v>
      </c>
    </row>
    <row r="138" spans="1:7">
      <c r="A138" t="s">
        <v>93</v>
      </c>
    </row>
    <row r="139" spans="1:7">
      <c r="A139" t="s">
        <v>202</v>
      </c>
      <c r="B139" t="s">
        <v>201</v>
      </c>
      <c r="C139" s="34" t="s">
        <v>189</v>
      </c>
      <c r="D139" s="7" t="s">
        <v>120</v>
      </c>
      <c r="E139" s="7">
        <v>10800</v>
      </c>
      <c r="F139" s="53" t="s">
        <v>1106</v>
      </c>
      <c r="G139" t="s">
        <v>200</v>
      </c>
    </row>
    <row r="140" spans="1:7">
      <c r="A140" t="s">
        <v>199</v>
      </c>
      <c r="B140" t="s">
        <v>198</v>
      </c>
      <c r="C140" s="34" t="s">
        <v>189</v>
      </c>
      <c r="D140" s="7" t="s">
        <v>188</v>
      </c>
      <c r="E140" s="7">
        <v>2700</v>
      </c>
      <c r="F140" s="53" t="s">
        <v>1107</v>
      </c>
    </row>
    <row r="142" spans="1:7">
      <c r="A142" t="s">
        <v>197</v>
      </c>
    </row>
    <row r="143" spans="1:7">
      <c r="A143" t="s">
        <v>196</v>
      </c>
      <c r="B143" t="s">
        <v>195</v>
      </c>
      <c r="C143" s="34" t="s">
        <v>189</v>
      </c>
      <c r="D143" s="7" t="s">
        <v>120</v>
      </c>
      <c r="E143" s="7">
        <v>3600</v>
      </c>
      <c r="F143" s="53" t="s">
        <v>1108</v>
      </c>
    </row>
    <row r="146" spans="1:6">
      <c r="A146" s="2" t="s">
        <v>194</v>
      </c>
    </row>
    <row r="147" spans="1:6">
      <c r="A147" t="s">
        <v>93</v>
      </c>
    </row>
    <row r="148" spans="1:6">
      <c r="A148" t="s">
        <v>193</v>
      </c>
      <c r="B148" t="s">
        <v>192</v>
      </c>
      <c r="C148" s="34" t="s">
        <v>189</v>
      </c>
      <c r="D148" s="7" t="s">
        <v>120</v>
      </c>
      <c r="E148" s="7">
        <v>7200</v>
      </c>
      <c r="F148" s="53" t="s">
        <v>1109</v>
      </c>
    </row>
    <row r="150" spans="1:6">
      <c r="A150" t="s">
        <v>139</v>
      </c>
    </row>
    <row r="151" spans="1:6">
      <c r="A151" t="s">
        <v>191</v>
      </c>
      <c r="B151" t="s">
        <v>190</v>
      </c>
      <c r="C151" s="34" t="s">
        <v>189</v>
      </c>
      <c r="D151" s="7" t="s">
        <v>188</v>
      </c>
      <c r="E151" s="7">
        <v>7200</v>
      </c>
      <c r="F151" s="53" t="s">
        <v>1110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3"/>
  <sheetViews>
    <sheetView workbookViewId="0">
      <pane ySplit="4" topLeftCell="A5" activePane="bottomLeft" state="frozen"/>
      <selection pane="bottomLeft" activeCell="A107" sqref="A107:XFD107"/>
    </sheetView>
  </sheetViews>
  <sheetFormatPr defaultRowHeight="15"/>
  <cols>
    <col min="1" max="1" width="33" customWidth="1"/>
    <col min="2" max="2" width="34.85546875" bestFit="1" customWidth="1"/>
    <col min="3" max="3" width="18.140625" style="34" customWidth="1"/>
    <col min="4" max="4" width="12" style="7" bestFit="1" customWidth="1"/>
    <col min="5" max="5" width="8.42578125" style="7" bestFit="1" customWidth="1"/>
    <col min="6" max="6" width="17.85546875" style="7" customWidth="1"/>
    <col min="7" max="7" width="40.28515625" bestFit="1" customWidth="1"/>
  </cols>
  <sheetData>
    <row r="1" spans="1:7" ht="15.75">
      <c r="A1" s="6" t="s">
        <v>329</v>
      </c>
    </row>
    <row r="2" spans="1:7" ht="15.75">
      <c r="A2" s="6" t="s">
        <v>397</v>
      </c>
    </row>
    <row r="3" spans="1:7" ht="15.75">
      <c r="A3" s="6"/>
    </row>
    <row r="4" spans="1:7" ht="45">
      <c r="A4" s="29" t="s">
        <v>19</v>
      </c>
      <c r="B4" s="30" t="s">
        <v>18</v>
      </c>
      <c r="C4" s="35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327</v>
      </c>
    </row>
    <row r="7" spans="1:7">
      <c r="A7" t="s">
        <v>93</v>
      </c>
    </row>
    <row r="8" spans="1:7">
      <c r="A8" t="s">
        <v>326</v>
      </c>
      <c r="B8" t="s">
        <v>325</v>
      </c>
      <c r="C8" s="34" t="s">
        <v>396</v>
      </c>
      <c r="D8" s="7" t="s">
        <v>234</v>
      </c>
      <c r="E8" s="15">
        <v>1800</v>
      </c>
      <c r="F8" s="54" t="s">
        <v>1067</v>
      </c>
    </row>
    <row r="9" spans="1:7">
      <c r="A9" t="s">
        <v>324</v>
      </c>
      <c r="B9" t="s">
        <v>323</v>
      </c>
      <c r="C9" s="34" t="s">
        <v>396</v>
      </c>
      <c r="D9" s="7" t="s">
        <v>149</v>
      </c>
      <c r="E9" s="15">
        <v>7200</v>
      </c>
      <c r="F9" s="54" t="s">
        <v>1068</v>
      </c>
    </row>
    <row r="11" spans="1:7">
      <c r="A11" t="s">
        <v>139</v>
      </c>
    </row>
    <row r="12" spans="1:7">
      <c r="A12" t="s">
        <v>322</v>
      </c>
      <c r="B12" t="s">
        <v>321</v>
      </c>
      <c r="C12" s="34" t="s">
        <v>396</v>
      </c>
      <c r="D12" s="7" t="s">
        <v>149</v>
      </c>
      <c r="E12" s="15">
        <v>6300</v>
      </c>
      <c r="F12" s="54" t="s">
        <v>1069</v>
      </c>
    </row>
    <row r="13" spans="1:7">
      <c r="A13" t="s">
        <v>320</v>
      </c>
      <c r="B13" t="s">
        <v>319</v>
      </c>
      <c r="C13" s="34" t="s">
        <v>396</v>
      </c>
      <c r="D13" s="7" t="s">
        <v>188</v>
      </c>
      <c r="E13" s="15">
        <v>2700</v>
      </c>
      <c r="F13" s="54" t="s">
        <v>1070</v>
      </c>
    </row>
    <row r="14" spans="1:7">
      <c r="A14" t="s">
        <v>318</v>
      </c>
      <c r="B14" t="s">
        <v>317</v>
      </c>
      <c r="C14" s="34" t="s">
        <v>396</v>
      </c>
      <c r="D14" s="7" t="s">
        <v>188</v>
      </c>
      <c r="E14" s="15">
        <v>3600</v>
      </c>
      <c r="F14" s="54" t="s">
        <v>1071</v>
      </c>
    </row>
    <row r="15" spans="1:7">
      <c r="E15" s="15"/>
      <c r="F15" s="15"/>
    </row>
    <row r="17" spans="1:6">
      <c r="A17" s="2" t="s">
        <v>310</v>
      </c>
    </row>
    <row r="18" spans="1:6">
      <c r="A18" t="s">
        <v>93</v>
      </c>
    </row>
    <row r="19" spans="1:6">
      <c r="A19" t="s">
        <v>309</v>
      </c>
      <c r="B19" t="s">
        <v>308</v>
      </c>
      <c r="C19" s="34" t="s">
        <v>343</v>
      </c>
      <c r="D19" s="7" t="s">
        <v>142</v>
      </c>
      <c r="E19" s="15">
        <v>9000</v>
      </c>
      <c r="F19" s="54" t="s">
        <v>1073</v>
      </c>
    </row>
    <row r="21" spans="1:6">
      <c r="A21" t="s">
        <v>139</v>
      </c>
      <c r="E21" s="15"/>
      <c r="F21" s="15"/>
    </row>
    <row r="22" spans="1:6">
      <c r="A22" t="s">
        <v>307</v>
      </c>
      <c r="B22" t="s">
        <v>306</v>
      </c>
      <c r="C22" s="34" t="s">
        <v>343</v>
      </c>
      <c r="D22" s="7" t="s">
        <v>142</v>
      </c>
      <c r="E22" s="15">
        <v>5400</v>
      </c>
      <c r="F22" s="54" t="s">
        <v>1074</v>
      </c>
    </row>
    <row r="23" spans="1:6">
      <c r="A23" t="s">
        <v>305</v>
      </c>
      <c r="B23" t="s">
        <v>304</v>
      </c>
      <c r="C23" s="34" t="s">
        <v>343</v>
      </c>
      <c r="D23" s="7" t="s">
        <v>120</v>
      </c>
      <c r="E23" s="15">
        <v>3600</v>
      </c>
      <c r="F23" s="54" t="s">
        <v>1075</v>
      </c>
    </row>
    <row r="24" spans="1:6">
      <c r="E24" s="15"/>
      <c r="F24" s="15"/>
    </row>
    <row r="25" spans="1:6">
      <c r="A25" t="s">
        <v>253</v>
      </c>
      <c r="E25" s="15"/>
      <c r="F25" s="15"/>
    </row>
    <row r="26" spans="1:6">
      <c r="A26" t="s">
        <v>395</v>
      </c>
      <c r="B26" t="s">
        <v>394</v>
      </c>
      <c r="C26" s="34" t="s">
        <v>388</v>
      </c>
      <c r="D26" s="7" t="s">
        <v>142</v>
      </c>
      <c r="E26" s="7">
        <v>5400</v>
      </c>
      <c r="F26" s="54" t="s">
        <v>1074</v>
      </c>
    </row>
    <row r="27" spans="1:6">
      <c r="A27" t="s">
        <v>299</v>
      </c>
      <c r="B27" t="s">
        <v>298</v>
      </c>
      <c r="C27" s="34" t="s">
        <v>388</v>
      </c>
      <c r="D27" s="7" t="s">
        <v>120</v>
      </c>
      <c r="E27" s="7">
        <v>4500</v>
      </c>
      <c r="F27" s="54" t="s">
        <v>1077</v>
      </c>
    </row>
    <row r="29" spans="1:6">
      <c r="A29" t="s">
        <v>302</v>
      </c>
    </row>
    <row r="30" spans="1:6">
      <c r="A30" t="s">
        <v>393</v>
      </c>
      <c r="B30" t="s">
        <v>392</v>
      </c>
      <c r="C30" s="34" t="s">
        <v>388</v>
      </c>
      <c r="D30" s="7" t="s">
        <v>142</v>
      </c>
      <c r="E30" s="7">
        <v>5400</v>
      </c>
      <c r="F30" s="54" t="s">
        <v>1074</v>
      </c>
    </row>
    <row r="31" spans="1:6">
      <c r="A31" t="s">
        <v>44</v>
      </c>
      <c r="B31" t="s">
        <v>303</v>
      </c>
      <c r="C31" s="34" t="s">
        <v>388</v>
      </c>
      <c r="D31" s="7" t="s">
        <v>142</v>
      </c>
      <c r="E31" s="15">
        <v>5400</v>
      </c>
      <c r="F31" s="54" t="s">
        <v>1074</v>
      </c>
    </row>
    <row r="32" spans="1:6">
      <c r="E32" s="15"/>
      <c r="F32" s="15"/>
    </row>
    <row r="34" spans="1:6">
      <c r="A34" s="2" t="s">
        <v>391</v>
      </c>
    </row>
    <row r="35" spans="1:6">
      <c r="A35" t="s">
        <v>253</v>
      </c>
    </row>
    <row r="36" spans="1:6">
      <c r="A36" t="s">
        <v>285</v>
      </c>
      <c r="B36" t="s">
        <v>284</v>
      </c>
      <c r="C36" s="36" t="s">
        <v>388</v>
      </c>
      <c r="D36" s="7" t="s">
        <v>283</v>
      </c>
      <c r="E36" s="7">
        <v>10800</v>
      </c>
      <c r="F36" s="54" t="s">
        <v>1082</v>
      </c>
    </row>
    <row r="38" spans="1:6">
      <c r="A38" t="s">
        <v>197</v>
      </c>
    </row>
    <row r="39" spans="1:6">
      <c r="A39" t="s">
        <v>282</v>
      </c>
      <c r="B39" t="s">
        <v>281</v>
      </c>
      <c r="C39" s="36" t="s">
        <v>388</v>
      </c>
      <c r="D39" s="7" t="s">
        <v>188</v>
      </c>
      <c r="E39" s="7">
        <v>3600</v>
      </c>
      <c r="F39" s="54" t="s">
        <v>1111</v>
      </c>
    </row>
    <row r="40" spans="1:6">
      <c r="A40" t="s">
        <v>289</v>
      </c>
      <c r="B40" t="s">
        <v>288</v>
      </c>
      <c r="C40" s="36" t="s">
        <v>388</v>
      </c>
      <c r="D40" s="7" t="s">
        <v>234</v>
      </c>
      <c r="E40" s="7">
        <v>1800</v>
      </c>
      <c r="F40" s="54" t="s">
        <v>1112</v>
      </c>
    </row>
    <row r="41" spans="1:6">
      <c r="A41" t="s">
        <v>390</v>
      </c>
      <c r="B41" t="s">
        <v>389</v>
      </c>
      <c r="C41" s="36" t="s">
        <v>388</v>
      </c>
      <c r="D41" s="7" t="s">
        <v>120</v>
      </c>
      <c r="E41" s="7">
        <v>5400</v>
      </c>
      <c r="F41" s="54" t="s">
        <v>1113</v>
      </c>
    </row>
    <row r="42" spans="1:6">
      <c r="C42" s="36"/>
    </row>
    <row r="44" spans="1:6">
      <c r="A44" s="2" t="s">
        <v>387</v>
      </c>
    </row>
    <row r="45" spans="1:6">
      <c r="A45" t="s">
        <v>93</v>
      </c>
    </row>
    <row r="46" spans="1:6">
      <c r="A46" t="s">
        <v>386</v>
      </c>
      <c r="B46" t="s">
        <v>385</v>
      </c>
      <c r="C46" s="34" t="s">
        <v>372</v>
      </c>
      <c r="D46" s="7" t="s">
        <v>120</v>
      </c>
      <c r="E46" s="15">
        <v>4500</v>
      </c>
      <c r="F46" s="54" t="s">
        <v>1114</v>
      </c>
    </row>
    <row r="47" spans="1:6">
      <c r="A47" t="s">
        <v>384</v>
      </c>
      <c r="B47" t="s">
        <v>383</v>
      </c>
      <c r="C47" s="34" t="s">
        <v>372</v>
      </c>
      <c r="D47" s="7" t="s">
        <v>120</v>
      </c>
      <c r="E47" s="15">
        <v>4500</v>
      </c>
      <c r="F47" s="54" t="s">
        <v>1115</v>
      </c>
    </row>
    <row r="48" spans="1:6">
      <c r="E48" s="15"/>
      <c r="F48" s="15"/>
    </row>
    <row r="49" spans="1:7">
      <c r="A49" t="s">
        <v>139</v>
      </c>
      <c r="E49" s="15"/>
      <c r="F49" s="15"/>
    </row>
    <row r="50" spans="1:7">
      <c r="A50" t="s">
        <v>382</v>
      </c>
      <c r="B50" t="s">
        <v>381</v>
      </c>
      <c r="C50" s="34" t="s">
        <v>372</v>
      </c>
      <c r="D50" s="7" t="s">
        <v>142</v>
      </c>
      <c r="E50" s="15">
        <v>3600</v>
      </c>
      <c r="F50" s="54" t="s">
        <v>1116</v>
      </c>
    </row>
    <row r="51" spans="1:7">
      <c r="A51" t="s">
        <v>163</v>
      </c>
      <c r="B51" t="s">
        <v>380</v>
      </c>
      <c r="C51" s="34" t="s">
        <v>372</v>
      </c>
      <c r="D51" s="7" t="s">
        <v>120</v>
      </c>
      <c r="E51" s="15">
        <v>2700</v>
      </c>
      <c r="F51" s="54" t="s">
        <v>1117</v>
      </c>
    </row>
    <row r="52" spans="1:7">
      <c r="A52" t="s">
        <v>379</v>
      </c>
      <c r="B52" t="s">
        <v>378</v>
      </c>
      <c r="C52" s="34" t="s">
        <v>372</v>
      </c>
      <c r="D52" s="7" t="s">
        <v>120</v>
      </c>
      <c r="E52" s="15">
        <v>2700</v>
      </c>
      <c r="F52" s="54" t="s">
        <v>1118</v>
      </c>
    </row>
    <row r="55" spans="1:7">
      <c r="A55" s="2" t="s">
        <v>279</v>
      </c>
    </row>
    <row r="56" spans="1:7">
      <c r="A56" t="s">
        <v>93</v>
      </c>
    </row>
    <row r="57" spans="1:7">
      <c r="A57" t="s">
        <v>278</v>
      </c>
      <c r="B57" t="s">
        <v>277</v>
      </c>
      <c r="C57" s="34" t="s">
        <v>373</v>
      </c>
      <c r="D57" s="7" t="s">
        <v>120</v>
      </c>
      <c r="E57" s="7">
        <v>2700</v>
      </c>
      <c r="F57" s="54" t="s">
        <v>1083</v>
      </c>
    </row>
    <row r="58" spans="1:7">
      <c r="A58" t="s">
        <v>276</v>
      </c>
      <c r="B58" t="s">
        <v>275</v>
      </c>
      <c r="C58" s="34" t="s">
        <v>373</v>
      </c>
      <c r="D58" s="7" t="s">
        <v>120</v>
      </c>
      <c r="E58" s="7">
        <v>2700</v>
      </c>
      <c r="F58" s="54" t="s">
        <v>1084</v>
      </c>
    </row>
    <row r="60" spans="1:7">
      <c r="A60" t="s">
        <v>139</v>
      </c>
    </row>
    <row r="61" spans="1:7">
      <c r="A61" t="s">
        <v>377</v>
      </c>
      <c r="B61" t="s">
        <v>376</v>
      </c>
      <c r="C61" s="34" t="s">
        <v>373</v>
      </c>
      <c r="D61" s="7" t="s">
        <v>120</v>
      </c>
      <c r="E61" s="7">
        <v>2700</v>
      </c>
      <c r="F61" s="54" t="s">
        <v>1083</v>
      </c>
    </row>
    <row r="62" spans="1:7">
      <c r="A62" t="s">
        <v>375</v>
      </c>
      <c r="B62" t="s">
        <v>374</v>
      </c>
      <c r="C62" s="34" t="s">
        <v>373</v>
      </c>
      <c r="D62" s="7" t="s">
        <v>120</v>
      </c>
      <c r="E62" s="7">
        <v>2700</v>
      </c>
      <c r="F62" s="54" t="s">
        <v>1084</v>
      </c>
    </row>
    <row r="63" spans="1:7">
      <c r="A63" t="s">
        <v>274</v>
      </c>
      <c r="B63" t="s">
        <v>273</v>
      </c>
      <c r="C63" s="34" t="s">
        <v>373</v>
      </c>
      <c r="D63" s="7" t="s">
        <v>142</v>
      </c>
      <c r="E63" s="7">
        <v>7200</v>
      </c>
      <c r="F63" s="54" t="s">
        <v>1085</v>
      </c>
      <c r="G63" t="s">
        <v>272</v>
      </c>
    </row>
    <row r="66" spans="1:6">
      <c r="A66" s="2" t="s">
        <v>266</v>
      </c>
    </row>
    <row r="67" spans="1:6">
      <c r="A67" t="s">
        <v>93</v>
      </c>
    </row>
    <row r="68" spans="1:6">
      <c r="A68" t="s">
        <v>265</v>
      </c>
      <c r="B68" t="s">
        <v>264</v>
      </c>
      <c r="C68" s="34" t="s">
        <v>372</v>
      </c>
      <c r="D68" s="7" t="s">
        <v>120</v>
      </c>
      <c r="E68" s="7">
        <v>4500</v>
      </c>
      <c r="F68" s="54" t="s">
        <v>1119</v>
      </c>
    </row>
    <row r="69" spans="1:6">
      <c r="A69" t="s">
        <v>263</v>
      </c>
      <c r="B69" t="s">
        <v>262</v>
      </c>
      <c r="C69" s="34" t="s">
        <v>372</v>
      </c>
      <c r="D69" s="7" t="s">
        <v>120</v>
      </c>
      <c r="E69" s="7">
        <v>4500</v>
      </c>
      <c r="F69" s="54" t="s">
        <v>1119</v>
      </c>
    </row>
    <row r="71" spans="1:6">
      <c r="A71" t="s">
        <v>139</v>
      </c>
    </row>
    <row r="72" spans="1:6">
      <c r="A72" t="s">
        <v>261</v>
      </c>
      <c r="B72" t="s">
        <v>260</v>
      </c>
      <c r="C72" s="34" t="s">
        <v>372</v>
      </c>
      <c r="D72" s="7" t="s">
        <v>188</v>
      </c>
      <c r="E72" s="7">
        <v>2000</v>
      </c>
      <c r="F72" s="54" t="s">
        <v>1087</v>
      </c>
    </row>
    <row r="73" spans="1:6">
      <c r="A73" t="s">
        <v>259</v>
      </c>
      <c r="B73" t="s">
        <v>258</v>
      </c>
      <c r="C73" s="34" t="s">
        <v>372</v>
      </c>
      <c r="D73" s="7" t="s">
        <v>234</v>
      </c>
      <c r="E73" s="7">
        <v>1000</v>
      </c>
      <c r="F73" s="54" t="s">
        <v>1088</v>
      </c>
    </row>
    <row r="74" spans="1:6">
      <c r="A74" t="s">
        <v>257</v>
      </c>
      <c r="B74" t="s">
        <v>256</v>
      </c>
      <c r="C74" s="34" t="s">
        <v>372</v>
      </c>
      <c r="D74" s="7" t="s">
        <v>188</v>
      </c>
      <c r="E74" s="7">
        <v>3000</v>
      </c>
      <c r="F74" s="54" t="s">
        <v>1089</v>
      </c>
    </row>
    <row r="75" spans="1:6">
      <c r="A75" t="s">
        <v>255</v>
      </c>
      <c r="B75" t="s">
        <v>254</v>
      </c>
      <c r="C75" s="34" t="s">
        <v>372</v>
      </c>
      <c r="D75" s="7" t="s">
        <v>188</v>
      </c>
      <c r="E75" s="7">
        <v>3000</v>
      </c>
      <c r="F75" s="54" t="s">
        <v>1089</v>
      </c>
    </row>
    <row r="77" spans="1:6">
      <c r="A77" t="s">
        <v>253</v>
      </c>
    </row>
    <row r="78" spans="1:6">
      <c r="A78" t="s">
        <v>257</v>
      </c>
      <c r="B78" t="s">
        <v>256</v>
      </c>
      <c r="C78" s="34" t="s">
        <v>330</v>
      </c>
      <c r="D78" s="7" t="s">
        <v>188</v>
      </c>
      <c r="E78" s="7">
        <v>3000</v>
      </c>
      <c r="F78" s="54" t="s">
        <v>1089</v>
      </c>
    </row>
    <row r="79" spans="1:6">
      <c r="A79" t="s">
        <v>255</v>
      </c>
      <c r="B79" t="s">
        <v>254</v>
      </c>
      <c r="C79" s="34" t="s">
        <v>330</v>
      </c>
      <c r="D79" s="7" t="s">
        <v>188</v>
      </c>
      <c r="E79" s="7">
        <v>3000</v>
      </c>
      <c r="F79" s="54" t="s">
        <v>1089</v>
      </c>
    </row>
    <row r="80" spans="1:6">
      <c r="A80" t="s">
        <v>371</v>
      </c>
      <c r="B80" t="s">
        <v>370</v>
      </c>
      <c r="C80" s="34" t="s">
        <v>330</v>
      </c>
      <c r="D80" s="7" t="s">
        <v>188</v>
      </c>
      <c r="E80" s="7">
        <v>3000</v>
      </c>
      <c r="F80" s="54" t="s">
        <v>1120</v>
      </c>
    </row>
    <row r="82" spans="1:6">
      <c r="A82" t="s">
        <v>197</v>
      </c>
    </row>
    <row r="83" spans="1:6">
      <c r="A83" t="s">
        <v>261</v>
      </c>
      <c r="B83" t="s">
        <v>260</v>
      </c>
      <c r="C83" s="34" t="s">
        <v>330</v>
      </c>
      <c r="D83" s="7" t="s">
        <v>188</v>
      </c>
      <c r="E83" s="7">
        <v>2250</v>
      </c>
      <c r="F83" s="54" t="s">
        <v>1121</v>
      </c>
    </row>
    <row r="84" spans="1:6">
      <c r="A84" t="s">
        <v>369</v>
      </c>
      <c r="B84" t="s">
        <v>368</v>
      </c>
      <c r="C84" s="34" t="s">
        <v>330</v>
      </c>
      <c r="D84" s="7" t="s">
        <v>188</v>
      </c>
      <c r="E84" s="7">
        <v>2250</v>
      </c>
      <c r="F84" s="54" t="s">
        <v>1122</v>
      </c>
    </row>
    <row r="85" spans="1:6">
      <c r="A85" t="s">
        <v>367</v>
      </c>
      <c r="B85" t="s">
        <v>366</v>
      </c>
      <c r="C85" s="34" t="s">
        <v>330</v>
      </c>
      <c r="D85" s="7" t="s">
        <v>188</v>
      </c>
      <c r="E85" s="7">
        <v>2250</v>
      </c>
      <c r="F85" s="54" t="s">
        <v>1123</v>
      </c>
    </row>
    <row r="86" spans="1:6">
      <c r="A86" t="s">
        <v>365</v>
      </c>
      <c r="B86" t="s">
        <v>364</v>
      </c>
      <c r="C86" s="34" t="s">
        <v>330</v>
      </c>
      <c r="D86" s="7" t="s">
        <v>188</v>
      </c>
      <c r="E86" s="7">
        <v>2250</v>
      </c>
      <c r="F86" s="54" t="s">
        <v>1124</v>
      </c>
    </row>
    <row r="88" spans="1:6">
      <c r="A88" s="2" t="s">
        <v>363</v>
      </c>
    </row>
    <row r="89" spans="1:6">
      <c r="A89" t="s">
        <v>93</v>
      </c>
    </row>
    <row r="90" spans="1:6">
      <c r="A90" t="s">
        <v>362</v>
      </c>
      <c r="B90" t="s">
        <v>361</v>
      </c>
      <c r="C90" s="34" t="s">
        <v>358</v>
      </c>
      <c r="D90" s="7" t="s">
        <v>149</v>
      </c>
      <c r="E90" s="7">
        <v>9000</v>
      </c>
      <c r="F90" s="54" t="s">
        <v>1125</v>
      </c>
    </row>
    <row r="91" spans="1:6">
      <c r="A91" t="s">
        <v>360</v>
      </c>
      <c r="B91" t="s">
        <v>359</v>
      </c>
      <c r="C91" s="34" t="s">
        <v>358</v>
      </c>
      <c r="D91" s="7" t="s">
        <v>357</v>
      </c>
      <c r="E91" s="7">
        <v>9000</v>
      </c>
      <c r="F91" s="54" t="s">
        <v>1125</v>
      </c>
    </row>
    <row r="94" spans="1:6">
      <c r="A94" s="2" t="s">
        <v>240</v>
      </c>
    </row>
    <row r="95" spans="1:6">
      <c r="A95" t="s">
        <v>93</v>
      </c>
    </row>
    <row r="96" spans="1:6">
      <c r="A96" t="s">
        <v>229</v>
      </c>
      <c r="B96" t="s">
        <v>228</v>
      </c>
      <c r="C96" s="34" t="s">
        <v>343</v>
      </c>
      <c r="D96" s="7" t="s">
        <v>120</v>
      </c>
      <c r="E96" s="7">
        <v>4500</v>
      </c>
      <c r="F96" s="54" t="s">
        <v>1012</v>
      </c>
    </row>
    <row r="97" spans="1:6">
      <c r="A97" t="s">
        <v>227</v>
      </c>
      <c r="B97" t="s">
        <v>226</v>
      </c>
      <c r="C97" s="34" t="s">
        <v>343</v>
      </c>
      <c r="D97" s="7" t="s">
        <v>120</v>
      </c>
      <c r="E97" s="7">
        <v>4500</v>
      </c>
      <c r="F97" s="54" t="s">
        <v>1012</v>
      </c>
    </row>
    <row r="99" spans="1:6">
      <c r="A99" t="s">
        <v>139</v>
      </c>
    </row>
    <row r="100" spans="1:6" s="9" customFormat="1">
      <c r="A100" s="9" t="s">
        <v>238</v>
      </c>
      <c r="B100" s="9" t="s">
        <v>237</v>
      </c>
      <c r="C100" s="71" t="s">
        <v>343</v>
      </c>
      <c r="D100" s="10" t="s">
        <v>234</v>
      </c>
      <c r="E100" s="10">
        <v>1500</v>
      </c>
      <c r="F100" s="73" t="s">
        <v>1095</v>
      </c>
    </row>
    <row r="101" spans="1:6">
      <c r="A101" t="s">
        <v>236</v>
      </c>
      <c r="B101" t="s">
        <v>235</v>
      </c>
      <c r="C101" s="34" t="s">
        <v>343</v>
      </c>
      <c r="D101" s="7" t="s">
        <v>234</v>
      </c>
      <c r="E101" s="7">
        <v>1500</v>
      </c>
      <c r="F101" s="54" t="s">
        <v>1096</v>
      </c>
    </row>
    <row r="102" spans="1:6">
      <c r="A102" t="s">
        <v>233</v>
      </c>
      <c r="B102" t="s">
        <v>232</v>
      </c>
      <c r="C102" s="34" t="s">
        <v>343</v>
      </c>
      <c r="D102" s="7" t="s">
        <v>120</v>
      </c>
      <c r="E102" s="7">
        <v>3000</v>
      </c>
      <c r="F102" s="54" t="s">
        <v>1097</v>
      </c>
    </row>
    <row r="103" spans="1:6">
      <c r="A103" t="s">
        <v>231</v>
      </c>
      <c r="B103" t="s">
        <v>230</v>
      </c>
      <c r="C103" s="34" t="s">
        <v>343</v>
      </c>
      <c r="D103" s="7" t="s">
        <v>120</v>
      </c>
      <c r="E103" s="7">
        <v>3000</v>
      </c>
      <c r="F103" s="54" t="s">
        <v>1098</v>
      </c>
    </row>
    <row r="105" spans="1:6">
      <c r="A105" t="s">
        <v>239</v>
      </c>
    </row>
    <row r="106" spans="1:6">
      <c r="A106" t="s">
        <v>93</v>
      </c>
    </row>
    <row r="107" spans="1:6" s="9" customFormat="1">
      <c r="A107" s="9" t="s">
        <v>238</v>
      </c>
      <c r="B107" s="9" t="s">
        <v>237</v>
      </c>
      <c r="C107" s="71" t="s">
        <v>330</v>
      </c>
      <c r="D107" s="10" t="s">
        <v>234</v>
      </c>
      <c r="E107" s="10">
        <v>1500</v>
      </c>
      <c r="F107" s="73" t="s">
        <v>1095</v>
      </c>
    </row>
    <row r="108" spans="1:6">
      <c r="A108" t="s">
        <v>236</v>
      </c>
      <c r="B108" t="s">
        <v>235</v>
      </c>
      <c r="C108" s="34" t="s">
        <v>330</v>
      </c>
      <c r="D108" s="7" t="s">
        <v>234</v>
      </c>
      <c r="E108" s="7">
        <v>1500</v>
      </c>
      <c r="F108" s="54" t="s">
        <v>1096</v>
      </c>
    </row>
    <row r="109" spans="1:6">
      <c r="A109" t="s">
        <v>233</v>
      </c>
      <c r="B109" t="s">
        <v>232</v>
      </c>
      <c r="C109" s="34" t="s">
        <v>330</v>
      </c>
      <c r="D109" s="7" t="s">
        <v>120</v>
      </c>
      <c r="E109" s="7">
        <v>3000</v>
      </c>
      <c r="F109" s="54" t="s">
        <v>1097</v>
      </c>
    </row>
    <row r="110" spans="1:6">
      <c r="A110" t="s">
        <v>231</v>
      </c>
      <c r="B110" t="s">
        <v>230</v>
      </c>
      <c r="C110" s="34" t="s">
        <v>330</v>
      </c>
      <c r="D110" s="7" t="s">
        <v>120</v>
      </c>
      <c r="E110" s="7">
        <v>3000</v>
      </c>
      <c r="F110" s="54" t="s">
        <v>1098</v>
      </c>
    </row>
    <row r="112" spans="1:6">
      <c r="A112" t="s">
        <v>139</v>
      </c>
    </row>
    <row r="113" spans="1:6">
      <c r="A113" t="s">
        <v>229</v>
      </c>
      <c r="B113" t="s">
        <v>228</v>
      </c>
      <c r="C113" s="34" t="s">
        <v>330</v>
      </c>
      <c r="D113" s="7" t="s">
        <v>120</v>
      </c>
      <c r="E113" s="7">
        <v>4500</v>
      </c>
      <c r="F113" s="54" t="s">
        <v>1012</v>
      </c>
    </row>
    <row r="114" spans="1:6">
      <c r="A114" t="s">
        <v>227</v>
      </c>
      <c r="B114" t="s">
        <v>226</v>
      </c>
      <c r="C114" s="34" t="s">
        <v>330</v>
      </c>
      <c r="D114" s="7" t="s">
        <v>120</v>
      </c>
      <c r="E114" s="7">
        <v>4500</v>
      </c>
      <c r="F114" s="54" t="s">
        <v>1012</v>
      </c>
    </row>
    <row r="117" spans="1:6">
      <c r="A117" s="2" t="s">
        <v>356</v>
      </c>
    </row>
    <row r="118" spans="1:6">
      <c r="A118" t="s">
        <v>93</v>
      </c>
    </row>
    <row r="119" spans="1:6">
      <c r="A119" t="s">
        <v>355</v>
      </c>
      <c r="B119" t="s">
        <v>354</v>
      </c>
      <c r="C119" s="34" t="s">
        <v>343</v>
      </c>
      <c r="D119" s="7" t="s">
        <v>234</v>
      </c>
      <c r="E119" s="7">
        <v>1800</v>
      </c>
      <c r="F119" s="54" t="s">
        <v>1126</v>
      </c>
    </row>
    <row r="120" spans="1:6">
      <c r="A120" t="s">
        <v>353</v>
      </c>
      <c r="B120" t="s">
        <v>352</v>
      </c>
      <c r="C120" s="34" t="s">
        <v>343</v>
      </c>
      <c r="D120" s="7" t="s">
        <v>188</v>
      </c>
      <c r="E120" s="7">
        <v>4500</v>
      </c>
      <c r="F120" s="54" t="s">
        <v>1127</v>
      </c>
    </row>
    <row r="121" spans="1:6">
      <c r="A121" t="s">
        <v>351</v>
      </c>
      <c r="B121" t="s">
        <v>350</v>
      </c>
      <c r="C121" s="34" t="s">
        <v>343</v>
      </c>
      <c r="D121" s="7" t="s">
        <v>120</v>
      </c>
      <c r="E121" s="7">
        <v>3600</v>
      </c>
      <c r="F121" s="54" t="s">
        <v>1128</v>
      </c>
    </row>
    <row r="123" spans="1:6">
      <c r="A123" t="s">
        <v>139</v>
      </c>
    </row>
    <row r="124" spans="1:6">
      <c r="A124" t="s">
        <v>349</v>
      </c>
      <c r="B124" t="s">
        <v>348</v>
      </c>
      <c r="C124" s="34" t="s">
        <v>343</v>
      </c>
      <c r="D124" s="7" t="s">
        <v>234</v>
      </c>
      <c r="E124" s="7">
        <v>1800</v>
      </c>
      <c r="F124" s="54" t="s">
        <v>1126</v>
      </c>
    </row>
    <row r="125" spans="1:6">
      <c r="A125" t="s">
        <v>347</v>
      </c>
      <c r="B125" t="s">
        <v>346</v>
      </c>
      <c r="C125" s="34" t="s">
        <v>343</v>
      </c>
      <c r="D125" s="7" t="s">
        <v>188</v>
      </c>
      <c r="E125" s="7">
        <v>4500</v>
      </c>
      <c r="F125" s="54" t="s">
        <v>1127</v>
      </c>
    </row>
    <row r="126" spans="1:6">
      <c r="A126" t="s">
        <v>345</v>
      </c>
      <c r="B126" t="s">
        <v>344</v>
      </c>
      <c r="C126" s="34" t="s">
        <v>343</v>
      </c>
      <c r="D126" s="7" t="s">
        <v>188</v>
      </c>
      <c r="E126" s="7">
        <v>3600</v>
      </c>
      <c r="F126" s="54" t="s">
        <v>1129</v>
      </c>
    </row>
    <row r="129" spans="1:7">
      <c r="A129" s="2" t="s">
        <v>342</v>
      </c>
    </row>
    <row r="130" spans="1:7">
      <c r="A130" t="s">
        <v>341</v>
      </c>
    </row>
    <row r="131" spans="1:7">
      <c r="A131" t="s">
        <v>340</v>
      </c>
      <c r="B131" t="s">
        <v>339</v>
      </c>
      <c r="C131" s="34" t="s">
        <v>330</v>
      </c>
      <c r="D131" s="7" t="s">
        <v>120</v>
      </c>
      <c r="E131" s="7">
        <v>3600</v>
      </c>
      <c r="F131" s="54" t="s">
        <v>1130</v>
      </c>
    </row>
    <row r="132" spans="1:7">
      <c r="A132" t="s">
        <v>338</v>
      </c>
      <c r="B132" t="s">
        <v>337</v>
      </c>
      <c r="C132" s="34" t="s">
        <v>330</v>
      </c>
      <c r="D132" s="7" t="s">
        <v>120</v>
      </c>
      <c r="E132" s="7">
        <v>5400</v>
      </c>
      <c r="F132" s="54" t="s">
        <v>1131</v>
      </c>
    </row>
    <row r="135" spans="1:7">
      <c r="A135" s="2" t="s">
        <v>336</v>
      </c>
    </row>
    <row r="136" spans="1:7">
      <c r="A136" t="s">
        <v>93</v>
      </c>
    </row>
    <row r="137" spans="1:7">
      <c r="A137" t="s">
        <v>335</v>
      </c>
      <c r="B137" t="s">
        <v>334</v>
      </c>
      <c r="C137" s="34" t="s">
        <v>330</v>
      </c>
      <c r="D137" s="7" t="s">
        <v>120</v>
      </c>
      <c r="E137" s="7">
        <v>3600</v>
      </c>
      <c r="F137" s="54" t="s">
        <v>1104</v>
      </c>
    </row>
    <row r="138" spans="1:7">
      <c r="A138" t="s">
        <v>333</v>
      </c>
      <c r="B138" t="s">
        <v>332</v>
      </c>
      <c r="C138" s="34" t="s">
        <v>330</v>
      </c>
      <c r="D138" s="7" t="s">
        <v>120</v>
      </c>
      <c r="E138" s="7">
        <v>3600</v>
      </c>
      <c r="F138" s="54" t="s">
        <v>1047</v>
      </c>
    </row>
    <row r="140" spans="1:7">
      <c r="A140" t="s">
        <v>139</v>
      </c>
    </row>
    <row r="141" spans="1:7">
      <c r="A141" t="s">
        <v>215</v>
      </c>
      <c r="B141" t="s">
        <v>214</v>
      </c>
      <c r="C141" s="34" t="s">
        <v>330</v>
      </c>
      <c r="D141" s="7" t="s">
        <v>120</v>
      </c>
      <c r="E141" s="7">
        <v>3600</v>
      </c>
      <c r="F141" s="54" t="s">
        <v>1103</v>
      </c>
      <c r="G141" t="s">
        <v>331</v>
      </c>
    </row>
    <row r="142" spans="1:7">
      <c r="A142" t="s">
        <v>211</v>
      </c>
      <c r="B142" t="s">
        <v>210</v>
      </c>
      <c r="C142" s="34" t="s">
        <v>330</v>
      </c>
      <c r="D142" s="7" t="s">
        <v>120</v>
      </c>
      <c r="E142" s="7">
        <v>3600</v>
      </c>
      <c r="F142" s="54" t="s">
        <v>1104</v>
      </c>
    </row>
    <row r="143" spans="1:7">
      <c r="A143" t="s">
        <v>208</v>
      </c>
      <c r="B143" t="s">
        <v>207</v>
      </c>
      <c r="C143" s="34" t="s">
        <v>330</v>
      </c>
      <c r="D143" s="7" t="s">
        <v>120</v>
      </c>
      <c r="E143" s="7">
        <v>3600</v>
      </c>
      <c r="F143" s="54" t="s">
        <v>1105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4"/>
  <sheetViews>
    <sheetView workbookViewId="0">
      <pane ySplit="4" topLeftCell="A5" activePane="bottomLeft" state="frozen"/>
      <selection pane="bottomLeft" activeCell="E11" sqref="E11"/>
    </sheetView>
  </sheetViews>
  <sheetFormatPr defaultRowHeight="15"/>
  <cols>
    <col min="1" max="1" width="24" customWidth="1"/>
    <col min="2" max="2" width="34.85546875" bestFit="1" customWidth="1"/>
    <col min="3" max="3" width="26.5703125" bestFit="1" customWidth="1"/>
    <col min="4" max="4" width="13.42578125" style="7" customWidth="1"/>
    <col min="5" max="5" width="9.140625" style="7"/>
    <col min="6" max="6" width="18.7109375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458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310</v>
      </c>
    </row>
    <row r="7" spans="1:7">
      <c r="A7" t="s">
        <v>93</v>
      </c>
    </row>
    <row r="8" spans="1:7">
      <c r="A8" t="s">
        <v>309</v>
      </c>
      <c r="B8" t="s">
        <v>308</v>
      </c>
      <c r="C8" t="s">
        <v>457</v>
      </c>
      <c r="D8" s="7" t="s">
        <v>142</v>
      </c>
      <c r="E8" s="15">
        <v>9000</v>
      </c>
      <c r="F8" s="55" t="s">
        <v>1073</v>
      </c>
    </row>
    <row r="10" spans="1:7">
      <c r="A10" t="s">
        <v>139</v>
      </c>
      <c r="E10" s="15"/>
      <c r="F10" s="15"/>
    </row>
    <row r="11" spans="1:7">
      <c r="A11" t="s">
        <v>307</v>
      </c>
      <c r="B11" t="s">
        <v>306</v>
      </c>
      <c r="C11" t="s">
        <v>457</v>
      </c>
      <c r="D11" s="7" t="s">
        <v>142</v>
      </c>
      <c r="E11" s="15">
        <v>5400</v>
      </c>
      <c r="F11" s="55" t="s">
        <v>1074</v>
      </c>
    </row>
    <row r="12" spans="1:7">
      <c r="A12" t="s">
        <v>305</v>
      </c>
      <c r="B12" t="s">
        <v>304</v>
      </c>
      <c r="C12" t="s">
        <v>457</v>
      </c>
      <c r="D12" s="7" t="s">
        <v>120</v>
      </c>
      <c r="E12" s="15">
        <v>3600</v>
      </c>
      <c r="F12" s="55" t="s">
        <v>1075</v>
      </c>
    </row>
    <row r="13" spans="1:7">
      <c r="E13" s="15"/>
      <c r="F13" s="15"/>
    </row>
    <row r="14" spans="1:7">
      <c r="A14" s="2" t="s">
        <v>296</v>
      </c>
    </row>
    <row r="15" spans="1:7">
      <c r="A15" t="s">
        <v>93</v>
      </c>
    </row>
    <row r="16" spans="1:7">
      <c r="A16" t="s">
        <v>295</v>
      </c>
      <c r="B16" t="s">
        <v>294</v>
      </c>
      <c r="C16" s="19" t="s">
        <v>453</v>
      </c>
      <c r="D16" s="7" t="s">
        <v>234</v>
      </c>
      <c r="E16" s="7">
        <v>1800</v>
      </c>
      <c r="F16" s="55" t="s">
        <v>1078</v>
      </c>
    </row>
    <row r="17" spans="1:7">
      <c r="A17" t="s">
        <v>293</v>
      </c>
      <c r="B17" t="s">
        <v>292</v>
      </c>
      <c r="C17" s="19" t="s">
        <v>453</v>
      </c>
      <c r="D17" s="7" t="s">
        <v>234</v>
      </c>
      <c r="E17" s="7">
        <v>1800</v>
      </c>
      <c r="F17" s="55" t="s">
        <v>1078</v>
      </c>
    </row>
    <row r="18" spans="1:7">
      <c r="A18" t="s">
        <v>291</v>
      </c>
      <c r="B18" t="s">
        <v>290</v>
      </c>
      <c r="C18" s="19" t="s">
        <v>453</v>
      </c>
      <c r="D18" s="7" t="s">
        <v>149</v>
      </c>
      <c r="E18" s="7">
        <v>7200</v>
      </c>
      <c r="F18" s="55" t="s">
        <v>1079</v>
      </c>
      <c r="G18" t="s">
        <v>272</v>
      </c>
    </row>
    <row r="20" spans="1:7">
      <c r="A20" t="s">
        <v>139</v>
      </c>
    </row>
    <row r="21" spans="1:7">
      <c r="A21" t="s">
        <v>289</v>
      </c>
      <c r="B21" t="s">
        <v>288</v>
      </c>
      <c r="C21" s="19" t="s">
        <v>453</v>
      </c>
      <c r="D21" s="7" t="s">
        <v>234</v>
      </c>
      <c r="E21" s="7">
        <v>3600</v>
      </c>
      <c r="F21" s="55" t="s">
        <v>1080</v>
      </c>
    </row>
    <row r="22" spans="1:7">
      <c r="A22" t="s">
        <v>287</v>
      </c>
      <c r="B22" t="s">
        <v>286</v>
      </c>
      <c r="C22" s="19" t="s">
        <v>453</v>
      </c>
      <c r="D22" s="7" t="s">
        <v>142</v>
      </c>
      <c r="E22" s="7">
        <v>7200</v>
      </c>
      <c r="F22" s="55" t="s">
        <v>1081</v>
      </c>
    </row>
    <row r="25" spans="1:7">
      <c r="A25" s="2" t="s">
        <v>279</v>
      </c>
    </row>
    <row r="26" spans="1:7">
      <c r="A26" t="s">
        <v>93</v>
      </c>
    </row>
    <row r="27" spans="1:7">
      <c r="A27" t="s">
        <v>278</v>
      </c>
      <c r="B27" t="s">
        <v>277</v>
      </c>
      <c r="C27" s="19" t="s">
        <v>453</v>
      </c>
      <c r="D27" s="7" t="s">
        <v>120</v>
      </c>
      <c r="E27" s="7">
        <v>2700</v>
      </c>
      <c r="F27" s="55" t="s">
        <v>1083</v>
      </c>
    </row>
    <row r="28" spans="1:7">
      <c r="A28" t="s">
        <v>276</v>
      </c>
      <c r="B28" t="s">
        <v>275</v>
      </c>
      <c r="C28" s="19" t="s">
        <v>453</v>
      </c>
      <c r="D28" s="7" t="s">
        <v>120</v>
      </c>
      <c r="E28" s="7">
        <v>2700</v>
      </c>
      <c r="F28" s="55" t="s">
        <v>1084</v>
      </c>
    </row>
    <row r="30" spans="1:7">
      <c r="A30" t="s">
        <v>139</v>
      </c>
    </row>
    <row r="31" spans="1:7">
      <c r="A31" t="s">
        <v>270</v>
      </c>
      <c r="B31" t="s">
        <v>269</v>
      </c>
      <c r="C31" s="19" t="s">
        <v>453</v>
      </c>
      <c r="D31" s="7" t="s">
        <v>120</v>
      </c>
      <c r="E31" s="7">
        <v>2700</v>
      </c>
      <c r="F31" s="55" t="s">
        <v>1084</v>
      </c>
    </row>
    <row r="32" spans="1:7">
      <c r="A32" t="s">
        <v>456</v>
      </c>
      <c r="B32" t="s">
        <v>267</v>
      </c>
      <c r="C32" s="19" t="s">
        <v>453</v>
      </c>
      <c r="D32" s="7" t="s">
        <v>120</v>
      </c>
      <c r="E32" s="7">
        <v>2700</v>
      </c>
      <c r="F32" s="55" t="s">
        <v>1084</v>
      </c>
    </row>
    <row r="33" spans="1:7">
      <c r="A33" t="s">
        <v>274</v>
      </c>
      <c r="B33" t="s">
        <v>273</v>
      </c>
      <c r="C33" s="19" t="s">
        <v>453</v>
      </c>
      <c r="D33" s="7" t="s">
        <v>142</v>
      </c>
      <c r="E33" s="7">
        <v>7200</v>
      </c>
      <c r="F33" s="55" t="s">
        <v>1085</v>
      </c>
      <c r="G33" t="s">
        <v>272</v>
      </c>
    </row>
    <row r="36" spans="1:7">
      <c r="A36" s="2" t="s">
        <v>455</v>
      </c>
    </row>
    <row r="37" spans="1:7">
      <c r="A37" t="s">
        <v>93</v>
      </c>
    </row>
    <row r="38" spans="1:7">
      <c r="A38" t="s">
        <v>265</v>
      </c>
      <c r="B38" t="s">
        <v>264</v>
      </c>
      <c r="C38" s="19" t="s">
        <v>435</v>
      </c>
      <c r="D38" s="7" t="s">
        <v>120</v>
      </c>
      <c r="E38" s="7">
        <v>4500</v>
      </c>
      <c r="F38" s="55" t="s">
        <v>1119</v>
      </c>
    </row>
    <row r="39" spans="1:7">
      <c r="A39" t="s">
        <v>263</v>
      </c>
      <c r="B39" t="s">
        <v>262</v>
      </c>
      <c r="C39" s="19" t="s">
        <v>435</v>
      </c>
      <c r="D39" s="7" t="s">
        <v>120</v>
      </c>
      <c r="E39" s="7">
        <v>4500</v>
      </c>
      <c r="F39" s="55" t="s">
        <v>1119</v>
      </c>
    </row>
    <row r="41" spans="1:7">
      <c r="A41" t="s">
        <v>139</v>
      </c>
    </row>
    <row r="42" spans="1:7">
      <c r="A42" t="s">
        <v>261</v>
      </c>
      <c r="B42" t="s">
        <v>260</v>
      </c>
      <c r="C42" s="19" t="s">
        <v>435</v>
      </c>
      <c r="D42" s="7" t="s">
        <v>188</v>
      </c>
      <c r="E42" s="7">
        <v>2000</v>
      </c>
      <c r="F42" s="55" t="s">
        <v>1087</v>
      </c>
    </row>
    <row r="43" spans="1:7">
      <c r="A43" t="s">
        <v>257</v>
      </c>
      <c r="B43" t="s">
        <v>256</v>
      </c>
      <c r="C43" s="19" t="s">
        <v>435</v>
      </c>
      <c r="D43" s="7" t="s">
        <v>188</v>
      </c>
      <c r="E43" s="7">
        <v>3000</v>
      </c>
      <c r="F43" s="55" t="s">
        <v>1089</v>
      </c>
    </row>
    <row r="44" spans="1:7">
      <c r="A44" t="s">
        <v>255</v>
      </c>
      <c r="B44" t="s">
        <v>254</v>
      </c>
      <c r="C44" s="19" t="s">
        <v>435</v>
      </c>
      <c r="D44" s="7" t="s">
        <v>188</v>
      </c>
      <c r="E44" s="7">
        <v>3000</v>
      </c>
      <c r="F44" s="55" t="s">
        <v>1089</v>
      </c>
    </row>
    <row r="47" spans="1:7">
      <c r="A47" s="2" t="s">
        <v>454</v>
      </c>
    </row>
    <row r="48" spans="1:7">
      <c r="A48" t="s">
        <v>93</v>
      </c>
    </row>
    <row r="49" spans="1:6">
      <c r="A49" t="s">
        <v>231</v>
      </c>
      <c r="B49" t="s">
        <v>230</v>
      </c>
      <c r="C49" s="19" t="s">
        <v>453</v>
      </c>
      <c r="D49" s="7" t="s">
        <v>120</v>
      </c>
      <c r="E49" s="7">
        <v>4500</v>
      </c>
      <c r="F49" s="55" t="s">
        <v>1132</v>
      </c>
    </row>
    <row r="50" spans="1:6">
      <c r="A50" t="s">
        <v>229</v>
      </c>
      <c r="B50" t="s">
        <v>228</v>
      </c>
      <c r="C50" s="19" t="s">
        <v>453</v>
      </c>
      <c r="D50" s="7" t="s">
        <v>120</v>
      </c>
      <c r="E50" s="7">
        <v>4500</v>
      </c>
      <c r="F50" s="55" t="s">
        <v>1012</v>
      </c>
    </row>
    <row r="52" spans="1:6">
      <c r="A52" t="s">
        <v>139</v>
      </c>
    </row>
    <row r="53" spans="1:6">
      <c r="A53" t="s">
        <v>227</v>
      </c>
      <c r="B53" t="s">
        <v>226</v>
      </c>
      <c r="C53" s="19" t="s">
        <v>453</v>
      </c>
      <c r="D53" s="7" t="s">
        <v>120</v>
      </c>
      <c r="E53" s="7">
        <v>4500</v>
      </c>
      <c r="F53" s="55" t="s">
        <v>1012</v>
      </c>
    </row>
    <row r="54" spans="1:6">
      <c r="A54" t="s">
        <v>233</v>
      </c>
      <c r="B54" t="s">
        <v>232</v>
      </c>
      <c r="C54" s="19" t="s">
        <v>453</v>
      </c>
      <c r="D54" s="7" t="s">
        <v>120</v>
      </c>
      <c r="E54" s="7">
        <v>4500</v>
      </c>
      <c r="F54" s="55" t="s">
        <v>1133</v>
      </c>
    </row>
    <row r="57" spans="1:6">
      <c r="A57" t="s">
        <v>239</v>
      </c>
    </row>
    <row r="58" spans="1:6">
      <c r="A58" t="s">
        <v>93</v>
      </c>
    </row>
    <row r="59" spans="1:6">
      <c r="A59" t="s">
        <v>231</v>
      </c>
      <c r="B59" t="s">
        <v>230</v>
      </c>
      <c r="C59" s="19" t="s">
        <v>453</v>
      </c>
      <c r="D59" s="7" t="s">
        <v>120</v>
      </c>
      <c r="E59" s="7">
        <v>4500</v>
      </c>
      <c r="F59" s="55" t="s">
        <v>1132</v>
      </c>
    </row>
    <row r="60" spans="1:6">
      <c r="A60" t="s">
        <v>233</v>
      </c>
      <c r="B60" t="s">
        <v>232</v>
      </c>
      <c r="C60" s="19" t="s">
        <v>453</v>
      </c>
      <c r="D60" s="7" t="s">
        <v>120</v>
      </c>
      <c r="E60" s="7">
        <v>4500</v>
      </c>
      <c r="F60" s="55" t="s">
        <v>1133</v>
      </c>
    </row>
    <row r="62" spans="1:6">
      <c r="A62" t="s">
        <v>139</v>
      </c>
    </row>
    <row r="63" spans="1:6">
      <c r="A63" t="s">
        <v>229</v>
      </c>
      <c r="B63" t="s">
        <v>228</v>
      </c>
      <c r="C63" s="19" t="s">
        <v>453</v>
      </c>
      <c r="D63" s="7" t="s">
        <v>120</v>
      </c>
      <c r="E63" s="7">
        <v>4500</v>
      </c>
      <c r="F63" s="55" t="s">
        <v>1012</v>
      </c>
    </row>
    <row r="64" spans="1:6">
      <c r="A64" t="s">
        <v>227</v>
      </c>
      <c r="B64" t="s">
        <v>226</v>
      </c>
      <c r="C64" s="19" t="s">
        <v>453</v>
      </c>
      <c r="D64" s="7" t="s">
        <v>120</v>
      </c>
      <c r="E64" s="7">
        <v>4500</v>
      </c>
      <c r="F64" s="55" t="s">
        <v>1012</v>
      </c>
    </row>
    <row r="67" spans="1:7">
      <c r="A67" s="2" t="s">
        <v>216</v>
      </c>
    </row>
    <row r="68" spans="1:7">
      <c r="A68" t="s">
        <v>93</v>
      </c>
    </row>
    <row r="69" spans="1:7">
      <c r="A69" t="s">
        <v>335</v>
      </c>
      <c r="B69" t="s">
        <v>334</v>
      </c>
      <c r="C69" s="19" t="s">
        <v>453</v>
      </c>
      <c r="D69" s="7" t="s">
        <v>120</v>
      </c>
      <c r="E69" s="7">
        <v>3600</v>
      </c>
      <c r="F69" s="55" t="s">
        <v>1104</v>
      </c>
    </row>
    <row r="70" spans="1:7">
      <c r="A70" t="s">
        <v>333</v>
      </c>
      <c r="B70" t="s">
        <v>332</v>
      </c>
      <c r="C70" s="19" t="s">
        <v>453</v>
      </c>
      <c r="D70" s="7" t="s">
        <v>120</v>
      </c>
      <c r="E70" s="7">
        <v>3600</v>
      </c>
      <c r="F70" s="55" t="s">
        <v>1047</v>
      </c>
      <c r="G70" t="s">
        <v>209</v>
      </c>
    </row>
    <row r="71" spans="1:7">
      <c r="A71" t="s">
        <v>215</v>
      </c>
      <c r="B71" t="s">
        <v>214</v>
      </c>
      <c r="C71" s="19" t="s">
        <v>453</v>
      </c>
      <c r="D71" s="7" t="s">
        <v>120</v>
      </c>
      <c r="E71" s="7">
        <v>3600</v>
      </c>
      <c r="F71" s="55" t="s">
        <v>1103</v>
      </c>
    </row>
    <row r="73" spans="1:7">
      <c r="A73" t="s">
        <v>139</v>
      </c>
    </row>
    <row r="74" spans="1:7">
      <c r="A74" t="s">
        <v>211</v>
      </c>
      <c r="B74" t="s">
        <v>210</v>
      </c>
      <c r="C74" s="19" t="s">
        <v>453</v>
      </c>
      <c r="D74" s="7" t="s">
        <v>120</v>
      </c>
      <c r="E74" s="7">
        <v>3600</v>
      </c>
      <c r="F74" s="55" t="s">
        <v>1104</v>
      </c>
    </row>
    <row r="75" spans="1:7">
      <c r="A75" t="s">
        <v>208</v>
      </c>
      <c r="B75" t="s">
        <v>207</v>
      </c>
      <c r="C75" s="19" t="s">
        <v>453</v>
      </c>
      <c r="D75" s="7" t="s">
        <v>120</v>
      </c>
      <c r="E75" s="7">
        <v>3600</v>
      </c>
      <c r="F75" s="55" t="s">
        <v>1105</v>
      </c>
    </row>
    <row r="78" spans="1:7">
      <c r="A78" s="2" t="s">
        <v>194</v>
      </c>
    </row>
    <row r="79" spans="1:7">
      <c r="A79" t="s">
        <v>93</v>
      </c>
    </row>
    <row r="80" spans="1:7">
      <c r="A80" t="s">
        <v>193</v>
      </c>
      <c r="B80" t="s">
        <v>192</v>
      </c>
      <c r="C80" t="s">
        <v>398</v>
      </c>
      <c r="D80" s="7" t="s">
        <v>120</v>
      </c>
      <c r="E80" s="7">
        <v>7200</v>
      </c>
      <c r="F80" s="55" t="s">
        <v>1109</v>
      </c>
    </row>
    <row r="82" spans="1:6">
      <c r="A82" t="s">
        <v>139</v>
      </c>
    </row>
    <row r="83" spans="1:6">
      <c r="A83" t="s">
        <v>191</v>
      </c>
      <c r="B83" t="s">
        <v>190</v>
      </c>
      <c r="C83" t="s">
        <v>398</v>
      </c>
      <c r="D83" s="7" t="s">
        <v>188</v>
      </c>
      <c r="E83" s="7">
        <v>7200</v>
      </c>
      <c r="F83" s="55" t="s">
        <v>1110</v>
      </c>
    </row>
    <row r="86" spans="1:6">
      <c r="A86" s="2" t="s">
        <v>452</v>
      </c>
    </row>
    <row r="87" spans="1:6">
      <c r="A87" t="s">
        <v>93</v>
      </c>
    </row>
    <row r="88" spans="1:6">
      <c r="A88" t="s">
        <v>451</v>
      </c>
      <c r="B88" t="s">
        <v>450</v>
      </c>
      <c r="C88" t="s">
        <v>435</v>
      </c>
      <c r="D88" s="7" t="s">
        <v>188</v>
      </c>
      <c r="E88" s="7">
        <v>4500</v>
      </c>
      <c r="F88" s="55" t="s">
        <v>1134</v>
      </c>
    </row>
    <row r="89" spans="1:6">
      <c r="A89" t="s">
        <v>449</v>
      </c>
      <c r="B89" t="s">
        <v>448</v>
      </c>
      <c r="C89" t="s">
        <v>435</v>
      </c>
      <c r="D89" s="7" t="s">
        <v>188</v>
      </c>
      <c r="E89" s="7">
        <v>4500</v>
      </c>
      <c r="F89" s="55" t="s">
        <v>1134</v>
      </c>
    </row>
    <row r="91" spans="1:6">
      <c r="A91" t="s">
        <v>139</v>
      </c>
    </row>
    <row r="92" spans="1:6">
      <c r="A92" t="s">
        <v>447</v>
      </c>
      <c r="B92" t="s">
        <v>446</v>
      </c>
      <c r="C92" t="s">
        <v>435</v>
      </c>
      <c r="D92" s="7" t="s">
        <v>120</v>
      </c>
      <c r="E92" s="7">
        <v>4500</v>
      </c>
      <c r="F92" s="55" t="s">
        <v>1134</v>
      </c>
    </row>
    <row r="93" spans="1:6">
      <c r="A93" t="s">
        <v>445</v>
      </c>
      <c r="B93" t="s">
        <v>444</v>
      </c>
      <c r="C93" t="s">
        <v>435</v>
      </c>
      <c r="D93" s="7" t="s">
        <v>188</v>
      </c>
      <c r="E93" s="7">
        <v>4500</v>
      </c>
      <c r="F93" s="55" t="s">
        <v>1134</v>
      </c>
    </row>
    <row r="95" spans="1:6">
      <c r="A95" t="s">
        <v>253</v>
      </c>
    </row>
    <row r="96" spans="1:6">
      <c r="A96" t="s">
        <v>443</v>
      </c>
      <c r="B96" t="s">
        <v>442</v>
      </c>
      <c r="C96" t="s">
        <v>435</v>
      </c>
      <c r="D96" s="7" t="s">
        <v>120</v>
      </c>
      <c r="E96" s="7">
        <v>4500</v>
      </c>
      <c r="F96" s="55" t="s">
        <v>1134</v>
      </c>
    </row>
    <row r="97" spans="1:6">
      <c r="A97" t="s">
        <v>441</v>
      </c>
      <c r="B97" t="s">
        <v>440</v>
      </c>
      <c r="C97" t="s">
        <v>435</v>
      </c>
      <c r="D97" s="7" t="s">
        <v>188</v>
      </c>
      <c r="E97" s="7">
        <v>4500</v>
      </c>
      <c r="F97" s="55" t="s">
        <v>1134</v>
      </c>
    </row>
    <row r="99" spans="1:6">
      <c r="A99" t="s">
        <v>197</v>
      </c>
    </row>
    <row r="100" spans="1:6">
      <c r="A100" t="s">
        <v>439</v>
      </c>
      <c r="B100" t="s">
        <v>438</v>
      </c>
      <c r="C100" t="s">
        <v>435</v>
      </c>
      <c r="D100" s="7" t="s">
        <v>120</v>
      </c>
      <c r="E100" s="7">
        <v>4500</v>
      </c>
      <c r="F100" s="55" t="s">
        <v>1134</v>
      </c>
    </row>
    <row r="101" spans="1:6">
      <c r="A101" t="s">
        <v>437</v>
      </c>
      <c r="B101" t="s">
        <v>436</v>
      </c>
      <c r="C101" t="s">
        <v>435</v>
      </c>
      <c r="D101" s="7" t="s">
        <v>188</v>
      </c>
      <c r="E101" s="7">
        <v>4500</v>
      </c>
      <c r="F101" s="55" t="s">
        <v>1134</v>
      </c>
    </row>
    <row r="104" spans="1:6">
      <c r="A104" s="2" t="s">
        <v>203</v>
      </c>
    </row>
    <row r="105" spans="1:6">
      <c r="A105" t="s">
        <v>93</v>
      </c>
    </row>
    <row r="106" spans="1:6">
      <c r="A106" t="s">
        <v>202</v>
      </c>
      <c r="B106" t="s">
        <v>201</v>
      </c>
      <c r="C106" t="s">
        <v>398</v>
      </c>
      <c r="D106" s="7" t="s">
        <v>120</v>
      </c>
      <c r="E106" s="7">
        <v>10800</v>
      </c>
      <c r="F106" s="55" t="s">
        <v>1106</v>
      </c>
    </row>
    <row r="107" spans="1:6">
      <c r="A107" t="s">
        <v>199</v>
      </c>
      <c r="B107" t="s">
        <v>198</v>
      </c>
      <c r="C107" t="s">
        <v>398</v>
      </c>
      <c r="D107" s="7" t="s">
        <v>188</v>
      </c>
      <c r="E107" s="7">
        <v>2700</v>
      </c>
      <c r="F107" s="55" t="s">
        <v>1107</v>
      </c>
    </row>
    <row r="109" spans="1:6">
      <c r="A109" t="s">
        <v>197</v>
      </c>
    </row>
    <row r="110" spans="1:6">
      <c r="A110" t="s">
        <v>196</v>
      </c>
      <c r="B110" t="s">
        <v>195</v>
      </c>
      <c r="C110" t="s">
        <v>398</v>
      </c>
      <c r="D110" s="7" t="s">
        <v>120</v>
      </c>
      <c r="E110" s="7">
        <v>3600</v>
      </c>
      <c r="F110" s="55" t="s">
        <v>1108</v>
      </c>
    </row>
    <row r="113" spans="1:6">
      <c r="A113" s="2" t="s">
        <v>434</v>
      </c>
    </row>
    <row r="114" spans="1:6">
      <c r="A114" t="s">
        <v>424</v>
      </c>
    </row>
    <row r="115" spans="1:6">
      <c r="A115" t="s">
        <v>433</v>
      </c>
      <c r="B115" t="s">
        <v>432</v>
      </c>
      <c r="C115" t="s">
        <v>428</v>
      </c>
      <c r="D115" s="7" t="s">
        <v>120</v>
      </c>
      <c r="E115" s="7">
        <v>9000</v>
      </c>
      <c r="F115" s="55" t="s">
        <v>1135</v>
      </c>
    </row>
    <row r="116" spans="1:6">
      <c r="A116" t="s">
        <v>340</v>
      </c>
      <c r="B116" t="s">
        <v>431</v>
      </c>
      <c r="C116" t="s">
        <v>398</v>
      </c>
      <c r="D116" s="7" t="s">
        <v>120</v>
      </c>
      <c r="E116" s="7">
        <v>9000</v>
      </c>
      <c r="F116" s="55" t="s">
        <v>1136</v>
      </c>
    </row>
    <row r="118" spans="1:6">
      <c r="A118" t="s">
        <v>416</v>
      </c>
    </row>
    <row r="119" spans="1:6">
      <c r="A119" t="s">
        <v>430</v>
      </c>
      <c r="B119" t="s">
        <v>429</v>
      </c>
      <c r="C119" t="s">
        <v>428</v>
      </c>
      <c r="D119" s="7" t="s">
        <v>120</v>
      </c>
      <c r="E119" s="7">
        <v>9000</v>
      </c>
      <c r="F119" s="55" t="s">
        <v>1137</v>
      </c>
    </row>
    <row r="120" spans="1:6">
      <c r="A120" t="s">
        <v>427</v>
      </c>
      <c r="B120" t="s">
        <v>426</v>
      </c>
      <c r="C120" t="s">
        <v>398</v>
      </c>
      <c r="D120" s="7" t="s">
        <v>120</v>
      </c>
      <c r="E120" s="7">
        <v>9000</v>
      </c>
      <c r="F120" s="55" t="s">
        <v>1138</v>
      </c>
    </row>
    <row r="123" spans="1:6">
      <c r="A123" s="2" t="s">
        <v>425</v>
      </c>
    </row>
    <row r="124" spans="1:6">
      <c r="A124" t="s">
        <v>424</v>
      </c>
    </row>
    <row r="125" spans="1:6">
      <c r="A125" t="s">
        <v>423</v>
      </c>
      <c r="B125" t="s">
        <v>182</v>
      </c>
      <c r="C125" s="19" t="s">
        <v>414</v>
      </c>
      <c r="D125" s="7" t="s">
        <v>120</v>
      </c>
      <c r="E125" s="7">
        <v>4500</v>
      </c>
      <c r="F125" s="55" t="s">
        <v>1139</v>
      </c>
    </row>
    <row r="126" spans="1:6">
      <c r="A126" t="s">
        <v>422</v>
      </c>
      <c r="B126" t="s">
        <v>421</v>
      </c>
      <c r="C126" s="19" t="s">
        <v>411</v>
      </c>
      <c r="D126" s="7" t="s">
        <v>120</v>
      </c>
      <c r="E126" s="7">
        <v>4500</v>
      </c>
      <c r="F126" s="55" t="s">
        <v>1140</v>
      </c>
    </row>
    <row r="127" spans="1:6">
      <c r="A127" t="s">
        <v>420</v>
      </c>
      <c r="B127" t="s">
        <v>419</v>
      </c>
      <c r="C127" t="s">
        <v>409</v>
      </c>
      <c r="D127" s="7" t="s">
        <v>120</v>
      </c>
      <c r="E127" s="7">
        <v>4500</v>
      </c>
      <c r="F127" s="55" t="s">
        <v>1142</v>
      </c>
    </row>
    <row r="128" spans="1:6">
      <c r="A128" t="s">
        <v>418</v>
      </c>
      <c r="B128" t="s">
        <v>417</v>
      </c>
      <c r="C128" t="s">
        <v>406</v>
      </c>
      <c r="D128" s="7" t="s">
        <v>120</v>
      </c>
      <c r="E128" s="7">
        <v>4500</v>
      </c>
      <c r="F128" s="55" t="s">
        <v>1141</v>
      </c>
    </row>
    <row r="130" spans="1:6">
      <c r="A130" t="s">
        <v>416</v>
      </c>
    </row>
    <row r="131" spans="1:6">
      <c r="A131" t="s">
        <v>415</v>
      </c>
      <c r="B131" t="s">
        <v>179</v>
      </c>
      <c r="C131" s="19" t="s">
        <v>414</v>
      </c>
      <c r="D131" s="7" t="s">
        <v>120</v>
      </c>
      <c r="E131" s="7">
        <v>4500</v>
      </c>
      <c r="F131" s="55" t="s">
        <v>1139</v>
      </c>
    </row>
    <row r="132" spans="1:6">
      <c r="A132" t="s">
        <v>413</v>
      </c>
      <c r="B132" t="s">
        <v>412</v>
      </c>
      <c r="C132" s="19" t="s">
        <v>411</v>
      </c>
      <c r="D132" s="7" t="s">
        <v>120</v>
      </c>
      <c r="E132" s="7">
        <v>4500</v>
      </c>
      <c r="F132" s="55" t="s">
        <v>1143</v>
      </c>
    </row>
    <row r="133" spans="1:6">
      <c r="A133" t="s">
        <v>410</v>
      </c>
      <c r="B133" t="s">
        <v>176</v>
      </c>
      <c r="C133" t="s">
        <v>409</v>
      </c>
      <c r="D133" s="7" t="s">
        <v>120</v>
      </c>
      <c r="E133" s="7">
        <v>4500</v>
      </c>
      <c r="F133" s="55" t="s">
        <v>1144</v>
      </c>
    </row>
    <row r="134" spans="1:6">
      <c r="A134" t="s">
        <v>408</v>
      </c>
      <c r="B134" t="s">
        <v>407</v>
      </c>
      <c r="C134" t="s">
        <v>406</v>
      </c>
      <c r="D134" s="7" t="s">
        <v>120</v>
      </c>
      <c r="E134" s="7">
        <v>4500</v>
      </c>
      <c r="F134" s="55" t="s">
        <v>1145</v>
      </c>
    </row>
    <row r="137" spans="1:6">
      <c r="A137" s="2" t="s">
        <v>405</v>
      </c>
    </row>
    <row r="138" spans="1:6">
      <c r="A138" t="s">
        <v>93</v>
      </c>
    </row>
    <row r="139" spans="1:6">
      <c r="A139" t="s">
        <v>404</v>
      </c>
      <c r="B139" t="s">
        <v>403</v>
      </c>
      <c r="C139" t="s">
        <v>398</v>
      </c>
      <c r="D139" s="7" t="s">
        <v>120</v>
      </c>
      <c r="E139" s="7">
        <v>4500</v>
      </c>
      <c r="F139" s="55" t="s">
        <v>1146</v>
      </c>
    </row>
    <row r="140" spans="1:6">
      <c r="A140" t="s">
        <v>402</v>
      </c>
      <c r="B140" t="s">
        <v>401</v>
      </c>
      <c r="C140" t="s">
        <v>398</v>
      </c>
      <c r="D140" s="7" t="s">
        <v>120</v>
      </c>
      <c r="E140" s="7">
        <v>4500</v>
      </c>
      <c r="F140" s="55" t="s">
        <v>1147</v>
      </c>
    </row>
    <row r="142" spans="1:6">
      <c r="A142" t="s">
        <v>139</v>
      </c>
    </row>
    <row r="143" spans="1:6">
      <c r="A143" t="s">
        <v>196</v>
      </c>
      <c r="B143" t="s">
        <v>195</v>
      </c>
      <c r="C143" t="s">
        <v>398</v>
      </c>
      <c r="D143" s="7" t="s">
        <v>120</v>
      </c>
      <c r="E143" s="7">
        <v>4500</v>
      </c>
      <c r="F143" s="55" t="s">
        <v>1148</v>
      </c>
    </row>
    <row r="144" spans="1:6">
      <c r="A144" t="s">
        <v>400</v>
      </c>
      <c r="B144" t="s">
        <v>399</v>
      </c>
      <c r="C144" t="s">
        <v>398</v>
      </c>
      <c r="D144" s="7" t="s">
        <v>120</v>
      </c>
      <c r="E144" s="7">
        <v>4500</v>
      </c>
      <c r="F144" s="55" t="s">
        <v>1149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24"/>
  <sheetViews>
    <sheetView workbookViewId="0">
      <pane ySplit="4" topLeftCell="A5" activePane="bottomLeft" state="frozen"/>
      <selection pane="bottomLeft" activeCell="B82" sqref="B82"/>
    </sheetView>
  </sheetViews>
  <sheetFormatPr defaultRowHeight="15"/>
  <cols>
    <col min="1" max="1" width="22.42578125" customWidth="1"/>
    <col min="2" max="2" width="34.85546875" bestFit="1" customWidth="1"/>
    <col min="3" max="3" width="26" customWidth="1"/>
    <col min="4" max="4" width="13.42578125" style="7" customWidth="1"/>
    <col min="5" max="5" width="9.140625" style="7"/>
    <col min="6" max="6" width="16.7109375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473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327</v>
      </c>
    </row>
    <row r="7" spans="1:7">
      <c r="A7" t="s">
        <v>93</v>
      </c>
    </row>
    <row r="8" spans="1:7">
      <c r="A8" t="s">
        <v>326</v>
      </c>
      <c r="B8" t="s">
        <v>325</v>
      </c>
      <c r="C8" t="s">
        <v>469</v>
      </c>
      <c r="D8" s="7" t="s">
        <v>234</v>
      </c>
      <c r="E8" s="15">
        <v>1800</v>
      </c>
      <c r="F8" s="57" t="s">
        <v>1067</v>
      </c>
    </row>
    <row r="9" spans="1:7">
      <c r="A9" t="s">
        <v>324</v>
      </c>
      <c r="B9" t="s">
        <v>323</v>
      </c>
      <c r="C9" t="s">
        <v>217</v>
      </c>
      <c r="D9" s="7" t="s">
        <v>149</v>
      </c>
      <c r="E9" s="15">
        <v>7200</v>
      </c>
      <c r="F9" s="57" t="s">
        <v>1068</v>
      </c>
    </row>
    <row r="11" spans="1:7">
      <c r="A11" t="s">
        <v>139</v>
      </c>
    </row>
    <row r="12" spans="1:7">
      <c r="A12" t="s">
        <v>322</v>
      </c>
      <c r="B12" t="s">
        <v>321</v>
      </c>
      <c r="C12" t="s">
        <v>217</v>
      </c>
      <c r="D12" s="7" t="s">
        <v>149</v>
      </c>
      <c r="E12" s="15">
        <v>6300</v>
      </c>
      <c r="F12" s="57" t="s">
        <v>1069</v>
      </c>
    </row>
    <row r="13" spans="1:7">
      <c r="A13" t="s">
        <v>320</v>
      </c>
      <c r="B13" t="s">
        <v>319</v>
      </c>
      <c r="C13" t="s">
        <v>217</v>
      </c>
      <c r="D13" s="7" t="s">
        <v>188</v>
      </c>
      <c r="E13" s="15">
        <v>2700</v>
      </c>
      <c r="F13" s="57" t="s">
        <v>1070</v>
      </c>
    </row>
    <row r="14" spans="1:7">
      <c r="A14" t="s">
        <v>318</v>
      </c>
      <c r="B14" t="s">
        <v>317</v>
      </c>
      <c r="C14" t="s">
        <v>217</v>
      </c>
      <c r="D14" s="7" t="s">
        <v>188</v>
      </c>
      <c r="E14" s="15">
        <v>3600</v>
      </c>
      <c r="F14" s="57" t="s">
        <v>1071</v>
      </c>
      <c r="G14" t="s">
        <v>272</v>
      </c>
    </row>
    <row r="15" spans="1:7">
      <c r="E15" s="15"/>
      <c r="F15" s="15"/>
    </row>
    <row r="16" spans="1:7">
      <c r="A16" s="2" t="s">
        <v>310</v>
      </c>
    </row>
    <row r="17" spans="1:7">
      <c r="A17" t="s">
        <v>93</v>
      </c>
    </row>
    <row r="18" spans="1:7">
      <c r="A18" t="s">
        <v>309</v>
      </c>
      <c r="B18" t="s">
        <v>308</v>
      </c>
      <c r="C18" t="s">
        <v>217</v>
      </c>
      <c r="D18" s="7" t="s">
        <v>142</v>
      </c>
      <c r="E18" s="15">
        <v>9000</v>
      </c>
      <c r="F18" s="57" t="s">
        <v>1073</v>
      </c>
    </row>
    <row r="20" spans="1:7">
      <c r="A20" t="s">
        <v>139</v>
      </c>
      <c r="E20" s="15"/>
      <c r="F20" s="15"/>
    </row>
    <row r="21" spans="1:7">
      <c r="A21" t="s">
        <v>307</v>
      </c>
      <c r="B21" t="s">
        <v>306</v>
      </c>
      <c r="C21" t="s">
        <v>217</v>
      </c>
      <c r="D21" s="7" t="s">
        <v>142</v>
      </c>
      <c r="E21" s="15">
        <v>5400</v>
      </c>
      <c r="F21" s="57" t="s">
        <v>1074</v>
      </c>
      <c r="G21" t="s">
        <v>272</v>
      </c>
    </row>
    <row r="22" spans="1:7">
      <c r="A22" t="s">
        <v>305</v>
      </c>
      <c r="B22" t="s">
        <v>304</v>
      </c>
      <c r="C22" t="s">
        <v>217</v>
      </c>
      <c r="D22" s="7" t="s">
        <v>120</v>
      </c>
      <c r="E22" s="15">
        <v>3600</v>
      </c>
      <c r="F22" s="57" t="s">
        <v>1075</v>
      </c>
    </row>
    <row r="23" spans="1:7">
      <c r="E23" s="15"/>
      <c r="F23" s="15"/>
    </row>
    <row r="24" spans="1:7">
      <c r="A24" t="s">
        <v>253</v>
      </c>
      <c r="E24" s="15"/>
      <c r="F24" s="15"/>
    </row>
    <row r="25" spans="1:7">
      <c r="A25" t="s">
        <v>44</v>
      </c>
      <c r="B25" t="s">
        <v>303</v>
      </c>
      <c r="C25" t="s">
        <v>472</v>
      </c>
      <c r="D25" s="7" t="s">
        <v>142</v>
      </c>
      <c r="E25" s="15">
        <v>9000</v>
      </c>
      <c r="F25" s="57" t="s">
        <v>1076</v>
      </c>
    </row>
    <row r="27" spans="1:7">
      <c r="A27" t="s">
        <v>302</v>
      </c>
    </row>
    <row r="28" spans="1:7">
      <c r="A28" t="s">
        <v>301</v>
      </c>
      <c r="B28" t="s">
        <v>300</v>
      </c>
      <c r="C28" t="s">
        <v>472</v>
      </c>
      <c r="D28" s="7" t="s">
        <v>142</v>
      </c>
      <c r="E28" s="7">
        <v>5400</v>
      </c>
      <c r="F28" s="57" t="s">
        <v>1074</v>
      </c>
      <c r="G28" t="s">
        <v>272</v>
      </c>
    </row>
    <row r="29" spans="1:7">
      <c r="A29" t="s">
        <v>299</v>
      </c>
      <c r="B29" t="s">
        <v>298</v>
      </c>
      <c r="C29" t="s">
        <v>472</v>
      </c>
      <c r="D29" s="7" t="s">
        <v>120</v>
      </c>
      <c r="E29" s="7">
        <v>4500</v>
      </c>
      <c r="F29" s="57" t="s">
        <v>1077</v>
      </c>
    </row>
    <row r="31" spans="1:7">
      <c r="A31" s="2" t="s">
        <v>296</v>
      </c>
    </row>
    <row r="32" spans="1:7">
      <c r="A32" t="s">
        <v>93</v>
      </c>
    </row>
    <row r="33" spans="1:7">
      <c r="A33" t="s">
        <v>295</v>
      </c>
      <c r="B33" t="s">
        <v>294</v>
      </c>
      <c r="C33" s="19" t="s">
        <v>461</v>
      </c>
      <c r="D33" s="7" t="s">
        <v>234</v>
      </c>
      <c r="E33" s="7">
        <v>1800</v>
      </c>
      <c r="F33" s="57" t="s">
        <v>1078</v>
      </c>
    </row>
    <row r="34" spans="1:7">
      <c r="A34" t="s">
        <v>293</v>
      </c>
      <c r="B34" t="s">
        <v>292</v>
      </c>
      <c r="C34" s="19" t="s">
        <v>461</v>
      </c>
      <c r="D34" s="7" t="s">
        <v>234</v>
      </c>
      <c r="E34" s="7">
        <v>1800</v>
      </c>
      <c r="F34" s="57" t="s">
        <v>1078</v>
      </c>
    </row>
    <row r="35" spans="1:7">
      <c r="A35" t="s">
        <v>291</v>
      </c>
      <c r="B35" t="s">
        <v>290</v>
      </c>
      <c r="C35" s="19" t="s">
        <v>461</v>
      </c>
      <c r="D35" s="7" t="s">
        <v>149</v>
      </c>
      <c r="E35" s="7">
        <v>7200</v>
      </c>
      <c r="F35" s="57" t="s">
        <v>1079</v>
      </c>
      <c r="G35" t="s">
        <v>272</v>
      </c>
    </row>
    <row r="37" spans="1:7">
      <c r="A37" t="s">
        <v>139</v>
      </c>
    </row>
    <row r="38" spans="1:7">
      <c r="A38" t="s">
        <v>289</v>
      </c>
      <c r="B38" t="s">
        <v>288</v>
      </c>
      <c r="C38" s="19" t="s">
        <v>471</v>
      </c>
      <c r="D38" s="7" t="s">
        <v>234</v>
      </c>
      <c r="E38" s="7">
        <v>3600</v>
      </c>
      <c r="F38" s="57" t="s">
        <v>1080</v>
      </c>
    </row>
    <row r="39" spans="1:7">
      <c r="A39" t="s">
        <v>287</v>
      </c>
      <c r="B39" t="s">
        <v>286</v>
      </c>
      <c r="C39" s="19" t="s">
        <v>471</v>
      </c>
      <c r="D39" s="7" t="s">
        <v>142</v>
      </c>
      <c r="E39" s="7">
        <v>7200</v>
      </c>
      <c r="F39" s="57" t="s">
        <v>1081</v>
      </c>
    </row>
    <row r="41" spans="1:7">
      <c r="A41" t="s">
        <v>253</v>
      </c>
    </row>
    <row r="42" spans="1:7">
      <c r="A42" t="s">
        <v>282</v>
      </c>
      <c r="B42" t="s">
        <v>281</v>
      </c>
      <c r="C42" s="19" t="s">
        <v>217</v>
      </c>
      <c r="D42" s="7" t="s">
        <v>188</v>
      </c>
      <c r="E42" s="7">
        <v>10800</v>
      </c>
      <c r="F42" s="57" t="s">
        <v>1082</v>
      </c>
    </row>
    <row r="44" spans="1:7">
      <c r="A44" t="s">
        <v>470</v>
      </c>
    </row>
    <row r="45" spans="1:7">
      <c r="A45" t="s">
        <v>285</v>
      </c>
      <c r="B45" t="s">
        <v>284</v>
      </c>
      <c r="C45" t="s">
        <v>217</v>
      </c>
      <c r="D45" s="7" t="s">
        <v>283</v>
      </c>
      <c r="E45" s="56">
        <v>10800</v>
      </c>
      <c r="F45" s="57" t="s">
        <v>1082</v>
      </c>
      <c r="G45" t="s">
        <v>272</v>
      </c>
    </row>
    <row r="47" spans="1:7">
      <c r="A47" s="2" t="s">
        <v>279</v>
      </c>
    </row>
    <row r="48" spans="1:7">
      <c r="A48" t="s">
        <v>93</v>
      </c>
    </row>
    <row r="49" spans="1:7">
      <c r="A49" t="s">
        <v>278</v>
      </c>
      <c r="B49" t="s">
        <v>277</v>
      </c>
      <c r="C49" t="s">
        <v>461</v>
      </c>
      <c r="D49" s="7" t="s">
        <v>120</v>
      </c>
      <c r="E49" s="7">
        <v>2700</v>
      </c>
      <c r="F49" s="57" t="s">
        <v>1083</v>
      </c>
    </row>
    <row r="50" spans="1:7">
      <c r="A50" t="s">
        <v>276</v>
      </c>
      <c r="B50" t="s">
        <v>275</v>
      </c>
      <c r="C50" t="s">
        <v>461</v>
      </c>
      <c r="D50" s="7" t="s">
        <v>120</v>
      </c>
      <c r="E50" s="7">
        <v>2700</v>
      </c>
      <c r="F50" s="57" t="s">
        <v>1084</v>
      </c>
    </row>
    <row r="52" spans="1:7">
      <c r="A52" t="s">
        <v>139</v>
      </c>
    </row>
    <row r="53" spans="1:7" s="9" customFormat="1">
      <c r="A53" s="9" t="s">
        <v>268</v>
      </c>
      <c r="B53" s="9" t="s">
        <v>267</v>
      </c>
      <c r="C53" s="9" t="s">
        <v>461</v>
      </c>
      <c r="D53" s="10" t="s">
        <v>120</v>
      </c>
      <c r="E53" s="10">
        <v>2700</v>
      </c>
      <c r="F53" s="73" t="s">
        <v>1084</v>
      </c>
    </row>
    <row r="54" spans="1:7">
      <c r="A54" t="s">
        <v>270</v>
      </c>
      <c r="B54" t="s">
        <v>269</v>
      </c>
      <c r="C54" t="s">
        <v>461</v>
      </c>
      <c r="D54" s="7" t="s">
        <v>120</v>
      </c>
      <c r="E54" s="7">
        <v>2700</v>
      </c>
      <c r="F54" s="57" t="s">
        <v>1084</v>
      </c>
    </row>
    <row r="55" spans="1:7">
      <c r="A55" t="s">
        <v>274</v>
      </c>
      <c r="B55" t="s">
        <v>273</v>
      </c>
      <c r="C55" t="s">
        <v>461</v>
      </c>
      <c r="D55" s="7" t="s">
        <v>142</v>
      </c>
      <c r="E55" s="7">
        <v>7200</v>
      </c>
      <c r="F55" s="57" t="s">
        <v>1085</v>
      </c>
      <c r="G55" t="s">
        <v>272</v>
      </c>
    </row>
    <row r="58" spans="1:7">
      <c r="A58" s="2" t="s">
        <v>455</v>
      </c>
    </row>
    <row r="59" spans="1:7">
      <c r="A59" t="s">
        <v>93</v>
      </c>
    </row>
    <row r="60" spans="1:7">
      <c r="A60" t="s">
        <v>265</v>
      </c>
      <c r="B60" t="s">
        <v>264</v>
      </c>
      <c r="C60" t="s">
        <v>469</v>
      </c>
      <c r="D60" s="7" t="s">
        <v>120</v>
      </c>
      <c r="E60" s="7">
        <v>4500</v>
      </c>
      <c r="F60" s="57" t="s">
        <v>1119</v>
      </c>
    </row>
    <row r="61" spans="1:7">
      <c r="A61" t="s">
        <v>263</v>
      </c>
      <c r="B61" t="s">
        <v>262</v>
      </c>
      <c r="C61" t="s">
        <v>469</v>
      </c>
      <c r="D61" s="7" t="s">
        <v>120</v>
      </c>
      <c r="E61" s="7">
        <v>4500</v>
      </c>
      <c r="F61" s="57" t="s">
        <v>1119</v>
      </c>
    </row>
    <row r="63" spans="1:7">
      <c r="A63" t="s">
        <v>139</v>
      </c>
    </row>
    <row r="64" spans="1:7">
      <c r="A64" t="s">
        <v>261</v>
      </c>
      <c r="B64" t="s">
        <v>260</v>
      </c>
      <c r="C64" t="s">
        <v>469</v>
      </c>
      <c r="D64" s="7" t="s">
        <v>188</v>
      </c>
      <c r="E64" s="7">
        <v>3000</v>
      </c>
      <c r="F64" s="57" t="s">
        <v>1150</v>
      </c>
    </row>
    <row r="65" spans="1:6">
      <c r="A65" t="s">
        <v>257</v>
      </c>
      <c r="B65" t="s">
        <v>256</v>
      </c>
      <c r="C65" t="s">
        <v>217</v>
      </c>
      <c r="D65" s="7" t="s">
        <v>188</v>
      </c>
      <c r="E65" s="7">
        <v>3000</v>
      </c>
      <c r="F65" s="57" t="s">
        <v>1089</v>
      </c>
    </row>
    <row r="66" spans="1:6">
      <c r="A66" t="s">
        <v>255</v>
      </c>
      <c r="B66" t="s">
        <v>254</v>
      </c>
      <c r="C66" t="s">
        <v>469</v>
      </c>
      <c r="D66" s="7" t="s">
        <v>188</v>
      </c>
      <c r="E66" s="7">
        <v>3000</v>
      </c>
      <c r="F66" s="57" t="s">
        <v>1089</v>
      </c>
    </row>
    <row r="69" spans="1:6">
      <c r="A69" s="2" t="s">
        <v>240</v>
      </c>
    </row>
    <row r="70" spans="1:6">
      <c r="A70" t="s">
        <v>93</v>
      </c>
    </row>
    <row r="71" spans="1:6">
      <c r="A71" t="s">
        <v>236</v>
      </c>
      <c r="B71" t="s">
        <v>235</v>
      </c>
      <c r="C71" t="s">
        <v>217</v>
      </c>
      <c r="D71" s="7" t="s">
        <v>234</v>
      </c>
      <c r="E71" s="7">
        <v>1500</v>
      </c>
      <c r="F71" s="57" t="s">
        <v>1096</v>
      </c>
    </row>
    <row r="72" spans="1:6">
      <c r="A72" t="s">
        <v>233</v>
      </c>
      <c r="B72" t="s">
        <v>232</v>
      </c>
      <c r="C72" t="s">
        <v>217</v>
      </c>
      <c r="D72" s="7" t="s">
        <v>120</v>
      </c>
      <c r="E72" s="7">
        <v>3000</v>
      </c>
      <c r="F72" s="57" t="s">
        <v>1097</v>
      </c>
    </row>
    <row r="73" spans="1:6">
      <c r="A73" t="s">
        <v>231</v>
      </c>
      <c r="B73" t="s">
        <v>230</v>
      </c>
      <c r="C73" t="s">
        <v>217</v>
      </c>
      <c r="D73" s="7" t="s">
        <v>120</v>
      </c>
      <c r="E73" s="7">
        <v>3000</v>
      </c>
      <c r="F73" s="57" t="s">
        <v>1098</v>
      </c>
    </row>
    <row r="74" spans="1:6" s="9" customFormat="1">
      <c r="A74" s="9" t="s">
        <v>238</v>
      </c>
      <c r="B74" s="9" t="s">
        <v>237</v>
      </c>
      <c r="C74" s="9" t="s">
        <v>217</v>
      </c>
      <c r="D74" s="10" t="s">
        <v>234</v>
      </c>
      <c r="E74" s="10">
        <v>1500</v>
      </c>
      <c r="F74" s="73" t="s">
        <v>1095</v>
      </c>
    </row>
    <row r="76" spans="1:6">
      <c r="A76" t="s">
        <v>139</v>
      </c>
    </row>
    <row r="77" spans="1:6">
      <c r="A77" t="s">
        <v>229</v>
      </c>
      <c r="B77" t="s">
        <v>228</v>
      </c>
      <c r="C77" t="s">
        <v>468</v>
      </c>
      <c r="D77" s="7" t="s">
        <v>120</v>
      </c>
      <c r="E77" s="7">
        <v>4500</v>
      </c>
      <c r="F77" s="57" t="s">
        <v>1012</v>
      </c>
    </row>
    <row r="78" spans="1:6">
      <c r="A78" t="s">
        <v>227</v>
      </c>
      <c r="B78" t="s">
        <v>466</v>
      </c>
      <c r="C78" t="s">
        <v>217</v>
      </c>
      <c r="D78" s="7" t="s">
        <v>120</v>
      </c>
      <c r="E78" s="7">
        <v>4500</v>
      </c>
      <c r="F78" s="57" t="s">
        <v>1012</v>
      </c>
    </row>
    <row r="80" spans="1:6">
      <c r="A80" t="s">
        <v>239</v>
      </c>
    </row>
    <row r="81" spans="1:6">
      <c r="A81" t="s">
        <v>467</v>
      </c>
    </row>
    <row r="82" spans="1:6">
      <c r="A82" t="s">
        <v>229</v>
      </c>
      <c r="B82" t="s">
        <v>228</v>
      </c>
      <c r="C82" t="s">
        <v>465</v>
      </c>
      <c r="D82" s="7" t="s">
        <v>120</v>
      </c>
      <c r="E82" s="7">
        <v>4500</v>
      </c>
      <c r="F82" s="57" t="s">
        <v>1012</v>
      </c>
    </row>
    <row r="83" spans="1:6">
      <c r="A83" t="s">
        <v>227</v>
      </c>
      <c r="B83" t="s">
        <v>466</v>
      </c>
      <c r="C83" t="s">
        <v>465</v>
      </c>
      <c r="D83" s="7" t="s">
        <v>120</v>
      </c>
      <c r="E83" s="7">
        <v>4500</v>
      </c>
      <c r="F83" s="57" t="s">
        <v>1012</v>
      </c>
    </row>
    <row r="85" spans="1:6">
      <c r="A85" t="s">
        <v>139</v>
      </c>
    </row>
    <row r="86" spans="1:6">
      <c r="A86" t="s">
        <v>236</v>
      </c>
      <c r="B86" t="s">
        <v>235</v>
      </c>
      <c r="C86" t="s">
        <v>464</v>
      </c>
      <c r="D86" s="7" t="s">
        <v>234</v>
      </c>
      <c r="E86" s="7">
        <v>1500</v>
      </c>
      <c r="F86" s="57" t="s">
        <v>1096</v>
      </c>
    </row>
    <row r="87" spans="1:6">
      <c r="A87" t="s">
        <v>233</v>
      </c>
      <c r="B87" t="s">
        <v>232</v>
      </c>
      <c r="C87" t="s">
        <v>464</v>
      </c>
      <c r="D87" s="7" t="s">
        <v>120</v>
      </c>
      <c r="E87" s="7">
        <v>3000</v>
      </c>
      <c r="F87" s="57" t="s">
        <v>1097</v>
      </c>
    </row>
    <row r="88" spans="1:6">
      <c r="A88" t="s">
        <v>231</v>
      </c>
      <c r="B88" t="s">
        <v>230</v>
      </c>
      <c r="C88" t="s">
        <v>464</v>
      </c>
      <c r="D88" s="7" t="s">
        <v>120</v>
      </c>
      <c r="E88" s="7">
        <v>3000</v>
      </c>
      <c r="F88" s="57" t="s">
        <v>1098</v>
      </c>
    </row>
    <row r="89" spans="1:6" s="9" customFormat="1">
      <c r="A89" s="9" t="s">
        <v>238</v>
      </c>
      <c r="B89" s="9" t="s">
        <v>237</v>
      </c>
      <c r="C89" s="9" t="s">
        <v>464</v>
      </c>
      <c r="D89" s="10" t="s">
        <v>234</v>
      </c>
      <c r="E89" s="10">
        <v>1500</v>
      </c>
      <c r="F89" s="73" t="s">
        <v>1095</v>
      </c>
    </row>
    <row r="91" spans="1:6">
      <c r="A91" s="2" t="s">
        <v>463</v>
      </c>
    </row>
    <row r="92" spans="1:6">
      <c r="A92" t="s">
        <v>93</v>
      </c>
    </row>
    <row r="93" spans="1:6">
      <c r="A93" t="s">
        <v>340</v>
      </c>
      <c r="B93" t="s">
        <v>431</v>
      </c>
      <c r="C93" t="s">
        <v>217</v>
      </c>
      <c r="D93" s="7" t="s">
        <v>120</v>
      </c>
      <c r="E93" s="7">
        <v>3600</v>
      </c>
      <c r="F93" s="57" t="s">
        <v>1130</v>
      </c>
    </row>
    <row r="94" spans="1:6">
      <c r="A94" t="s">
        <v>338</v>
      </c>
      <c r="B94" t="s">
        <v>462</v>
      </c>
      <c r="C94" t="s">
        <v>217</v>
      </c>
      <c r="D94" s="7" t="s">
        <v>120</v>
      </c>
      <c r="E94" s="7">
        <v>5400</v>
      </c>
      <c r="F94" s="57" t="s">
        <v>1131</v>
      </c>
    </row>
    <row r="96" spans="1:6">
      <c r="A96" t="s">
        <v>139</v>
      </c>
    </row>
    <row r="97" spans="1:6">
      <c r="A97" t="s">
        <v>221</v>
      </c>
      <c r="B97" t="s">
        <v>220</v>
      </c>
      <c r="C97" t="s">
        <v>217</v>
      </c>
      <c r="D97" s="7" t="s">
        <v>142</v>
      </c>
      <c r="E97" s="7">
        <v>5400</v>
      </c>
      <c r="F97" s="57" t="s">
        <v>1101</v>
      </c>
    </row>
    <row r="98" spans="1:6">
      <c r="A98" t="s">
        <v>219</v>
      </c>
      <c r="B98" t="s">
        <v>218</v>
      </c>
      <c r="C98" t="s">
        <v>217</v>
      </c>
      <c r="D98" s="7" t="s">
        <v>120</v>
      </c>
      <c r="E98" s="7">
        <v>3600</v>
      </c>
      <c r="F98" s="57" t="s">
        <v>1102</v>
      </c>
    </row>
    <row r="101" spans="1:6">
      <c r="A101" s="2" t="s">
        <v>194</v>
      </c>
    </row>
    <row r="102" spans="1:6">
      <c r="A102" t="s">
        <v>93</v>
      </c>
    </row>
    <row r="103" spans="1:6">
      <c r="A103" t="s">
        <v>193</v>
      </c>
      <c r="B103" t="s">
        <v>192</v>
      </c>
      <c r="C103" t="s">
        <v>461</v>
      </c>
      <c r="D103" s="7" t="s">
        <v>120</v>
      </c>
      <c r="E103" s="7">
        <v>7200</v>
      </c>
      <c r="F103" s="57" t="s">
        <v>1109</v>
      </c>
    </row>
    <row r="105" spans="1:6">
      <c r="A105" t="s">
        <v>139</v>
      </c>
    </row>
    <row r="106" spans="1:6">
      <c r="A106" t="s">
        <v>191</v>
      </c>
      <c r="B106" t="s">
        <v>190</v>
      </c>
      <c r="C106" t="s">
        <v>461</v>
      </c>
      <c r="D106" s="7" t="s">
        <v>188</v>
      </c>
      <c r="E106" s="7">
        <v>7200</v>
      </c>
      <c r="F106" s="57" t="s">
        <v>1110</v>
      </c>
    </row>
    <row r="109" spans="1:6">
      <c r="A109" s="2" t="s">
        <v>452</v>
      </c>
    </row>
    <row r="110" spans="1:6">
      <c r="A110" t="s">
        <v>93</v>
      </c>
    </row>
    <row r="111" spans="1:6">
      <c r="A111" t="s">
        <v>451</v>
      </c>
      <c r="B111" t="s">
        <v>450</v>
      </c>
      <c r="C111" t="s">
        <v>217</v>
      </c>
      <c r="D111" s="7" t="s">
        <v>188</v>
      </c>
      <c r="E111" s="7">
        <v>4500</v>
      </c>
      <c r="F111" s="57" t="s">
        <v>1134</v>
      </c>
    </row>
    <row r="112" spans="1:6">
      <c r="A112" t="s">
        <v>449</v>
      </c>
      <c r="B112" t="s">
        <v>448</v>
      </c>
      <c r="C112" t="s">
        <v>217</v>
      </c>
      <c r="D112" s="7" t="s">
        <v>188</v>
      </c>
      <c r="E112" s="7">
        <v>4500</v>
      </c>
      <c r="F112" s="57" t="s">
        <v>1134</v>
      </c>
    </row>
    <row r="114" spans="1:6">
      <c r="A114" t="s">
        <v>139</v>
      </c>
    </row>
    <row r="115" spans="1:6">
      <c r="A115" t="s">
        <v>447</v>
      </c>
      <c r="B115" t="s">
        <v>446</v>
      </c>
      <c r="C115" t="s">
        <v>217</v>
      </c>
      <c r="D115" s="7" t="s">
        <v>120</v>
      </c>
      <c r="E115" s="7">
        <v>4500</v>
      </c>
      <c r="F115" s="57" t="s">
        <v>1134</v>
      </c>
    </row>
    <row r="116" spans="1:6">
      <c r="A116" t="s">
        <v>445</v>
      </c>
      <c r="B116" t="s">
        <v>444</v>
      </c>
      <c r="C116" t="s">
        <v>217</v>
      </c>
      <c r="D116" s="7" t="s">
        <v>188</v>
      </c>
      <c r="E116" s="7">
        <v>4500</v>
      </c>
      <c r="F116" s="57" t="s">
        <v>1134</v>
      </c>
    </row>
    <row r="118" spans="1:6">
      <c r="A118" t="s">
        <v>253</v>
      </c>
    </row>
    <row r="119" spans="1:6">
      <c r="A119" t="s">
        <v>443</v>
      </c>
      <c r="B119" t="s">
        <v>442</v>
      </c>
      <c r="C119" t="s">
        <v>217</v>
      </c>
      <c r="D119" s="7" t="s">
        <v>120</v>
      </c>
      <c r="E119" s="7">
        <v>4500</v>
      </c>
      <c r="F119" s="57" t="s">
        <v>1134</v>
      </c>
    </row>
    <row r="120" spans="1:6">
      <c r="A120" t="s">
        <v>439</v>
      </c>
      <c r="B120" t="s">
        <v>438</v>
      </c>
      <c r="C120" t="s">
        <v>217</v>
      </c>
      <c r="D120" s="7" t="s">
        <v>120</v>
      </c>
      <c r="E120" s="7">
        <v>4500</v>
      </c>
      <c r="F120" s="57" t="s">
        <v>1134</v>
      </c>
    </row>
    <row r="122" spans="1:6">
      <c r="A122" t="s">
        <v>197</v>
      </c>
    </row>
    <row r="123" spans="1:6">
      <c r="A123" t="s">
        <v>460</v>
      </c>
      <c r="B123" t="s">
        <v>459</v>
      </c>
      <c r="C123" t="s">
        <v>217</v>
      </c>
      <c r="D123" s="7" t="s">
        <v>188</v>
      </c>
      <c r="E123" s="7">
        <v>4500</v>
      </c>
      <c r="F123" s="57" t="s">
        <v>1134</v>
      </c>
    </row>
    <row r="124" spans="1:6">
      <c r="A124" t="s">
        <v>437</v>
      </c>
      <c r="B124" t="s">
        <v>436</v>
      </c>
      <c r="C124" t="s">
        <v>217</v>
      </c>
      <c r="D124" s="7" t="s">
        <v>188</v>
      </c>
      <c r="E124" s="7">
        <v>4500</v>
      </c>
      <c r="F124" s="57" t="s">
        <v>1134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8"/>
  <sheetViews>
    <sheetView workbookViewId="0">
      <pane ySplit="4" topLeftCell="A5" activePane="bottomLeft" state="frozen"/>
      <selection pane="bottomLeft" activeCell="C29" sqref="C29"/>
    </sheetView>
  </sheetViews>
  <sheetFormatPr defaultRowHeight="15"/>
  <cols>
    <col min="1" max="1" width="23.140625" customWidth="1"/>
    <col min="2" max="2" width="34.85546875" bestFit="1" customWidth="1"/>
    <col min="3" max="3" width="37" customWidth="1"/>
    <col min="4" max="4" width="17.5703125" style="7" customWidth="1"/>
    <col min="5" max="5" width="9.140625" style="7"/>
    <col min="6" max="6" width="19" style="7" customWidth="1"/>
    <col min="7" max="7" width="39.7109375" bestFit="1" customWidth="1"/>
  </cols>
  <sheetData>
    <row r="1" spans="1:7" ht="15.75">
      <c r="A1" s="6" t="s">
        <v>329</v>
      </c>
    </row>
    <row r="2" spans="1:7" ht="15.75">
      <c r="A2" s="6" t="s">
        <v>491</v>
      </c>
    </row>
    <row r="3" spans="1:7" ht="15.75">
      <c r="A3" s="6"/>
    </row>
    <row r="4" spans="1:7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310</v>
      </c>
    </row>
    <row r="7" spans="1:7">
      <c r="A7" t="s">
        <v>93</v>
      </c>
    </row>
    <row r="8" spans="1:7">
      <c r="A8" t="s">
        <v>309</v>
      </c>
      <c r="B8" t="s">
        <v>308</v>
      </c>
      <c r="C8" t="s">
        <v>490</v>
      </c>
      <c r="D8" s="7" t="s">
        <v>142</v>
      </c>
      <c r="E8" s="15">
        <v>5000</v>
      </c>
      <c r="F8" s="59" t="s">
        <v>1151</v>
      </c>
    </row>
    <row r="9" spans="1:7">
      <c r="A9" t="s">
        <v>305</v>
      </c>
      <c r="B9" t="s">
        <v>304</v>
      </c>
      <c r="C9" t="s">
        <v>490</v>
      </c>
      <c r="D9" s="7" t="s">
        <v>120</v>
      </c>
      <c r="E9" s="15">
        <v>4000</v>
      </c>
      <c r="F9" s="59" t="s">
        <v>1152</v>
      </c>
    </row>
    <row r="10" spans="1:7">
      <c r="A10" t="s">
        <v>139</v>
      </c>
      <c r="E10" s="15"/>
      <c r="F10" s="15"/>
    </row>
    <row r="11" spans="1:7">
      <c r="A11" t="s">
        <v>44</v>
      </c>
      <c r="B11" t="s">
        <v>303</v>
      </c>
      <c r="C11" t="s">
        <v>489</v>
      </c>
      <c r="D11" s="7" t="s">
        <v>142</v>
      </c>
      <c r="E11" s="15">
        <v>4675</v>
      </c>
      <c r="F11" s="59" t="s">
        <v>1153</v>
      </c>
    </row>
    <row r="12" spans="1:7">
      <c r="A12" t="s">
        <v>307</v>
      </c>
      <c r="B12" t="s">
        <v>306</v>
      </c>
      <c r="C12" t="s">
        <v>489</v>
      </c>
      <c r="D12" s="7" t="s">
        <v>142</v>
      </c>
      <c r="E12" s="15">
        <v>4675</v>
      </c>
      <c r="F12" s="59" t="s">
        <v>1153</v>
      </c>
    </row>
    <row r="13" spans="1:7">
      <c r="E13" s="15"/>
      <c r="F13" s="15"/>
    </row>
    <row r="15" spans="1:7">
      <c r="A15" s="2" t="s">
        <v>296</v>
      </c>
    </row>
    <row r="16" spans="1:7">
      <c r="A16" t="s">
        <v>93</v>
      </c>
    </row>
    <row r="17" spans="1:7">
      <c r="A17" t="s">
        <v>295</v>
      </c>
      <c r="B17" t="s">
        <v>294</v>
      </c>
      <c r="C17" t="s">
        <v>489</v>
      </c>
      <c r="D17" s="7" t="s">
        <v>234</v>
      </c>
      <c r="E17" s="7">
        <v>4500</v>
      </c>
      <c r="F17" s="59" t="s">
        <v>1154</v>
      </c>
    </row>
    <row r="18" spans="1:7">
      <c r="A18" t="s">
        <v>293</v>
      </c>
      <c r="B18" t="s">
        <v>292</v>
      </c>
      <c r="C18" t="s">
        <v>489</v>
      </c>
      <c r="D18" s="7" t="s">
        <v>234</v>
      </c>
      <c r="E18" s="7">
        <v>4500</v>
      </c>
      <c r="F18" s="59" t="s">
        <v>1154</v>
      </c>
    </row>
    <row r="19" spans="1:7">
      <c r="C19" s="19"/>
    </row>
    <row r="20" spans="1:7">
      <c r="A20" t="s">
        <v>139</v>
      </c>
      <c r="C20" s="19"/>
    </row>
    <row r="21" spans="1:7" ht="30">
      <c r="A21" t="s">
        <v>291</v>
      </c>
      <c r="B21" t="s">
        <v>290</v>
      </c>
      <c r="C21" s="19" t="s">
        <v>280</v>
      </c>
      <c r="D21" s="7" t="s">
        <v>149</v>
      </c>
      <c r="E21" s="7">
        <v>10800</v>
      </c>
      <c r="F21" s="60" t="s">
        <v>1155</v>
      </c>
    </row>
    <row r="24" spans="1:7">
      <c r="A24" s="2" t="s">
        <v>240</v>
      </c>
    </row>
    <row r="25" spans="1:7">
      <c r="A25" t="s">
        <v>93</v>
      </c>
      <c r="G25" t="s">
        <v>474</v>
      </c>
    </row>
    <row r="26" spans="1:7">
      <c r="A26" t="s">
        <v>229</v>
      </c>
      <c r="B26" t="s">
        <v>228</v>
      </c>
      <c r="C26" t="s">
        <v>217</v>
      </c>
      <c r="D26" s="7" t="s">
        <v>120</v>
      </c>
      <c r="E26" s="7">
        <v>4500</v>
      </c>
      <c r="F26" s="59" t="s">
        <v>1012</v>
      </c>
      <c r="G26" t="s">
        <v>474</v>
      </c>
    </row>
    <row r="27" spans="1:7">
      <c r="A27" t="s">
        <v>227</v>
      </c>
      <c r="B27" t="s">
        <v>226</v>
      </c>
      <c r="C27" t="s">
        <v>217</v>
      </c>
      <c r="D27" s="7" t="s">
        <v>120</v>
      </c>
      <c r="E27" s="7">
        <v>4500</v>
      </c>
      <c r="F27" s="59" t="s">
        <v>1012</v>
      </c>
    </row>
    <row r="29" spans="1:7">
      <c r="A29" t="s">
        <v>139</v>
      </c>
    </row>
    <row r="30" spans="1:7" s="9" customFormat="1">
      <c r="A30" s="9" t="s">
        <v>238</v>
      </c>
      <c r="B30" s="9" t="s">
        <v>237</v>
      </c>
      <c r="C30" s="9" t="s">
        <v>217</v>
      </c>
      <c r="D30" s="10" t="s">
        <v>234</v>
      </c>
      <c r="E30" s="10">
        <v>1500</v>
      </c>
      <c r="F30" s="73" t="s">
        <v>1095</v>
      </c>
    </row>
    <row r="31" spans="1:7">
      <c r="A31" s="9" t="s">
        <v>236</v>
      </c>
      <c r="B31" s="9" t="s">
        <v>235</v>
      </c>
      <c r="C31" s="9" t="s">
        <v>217</v>
      </c>
      <c r="D31" s="10" t="s">
        <v>234</v>
      </c>
      <c r="E31" s="10">
        <v>1500</v>
      </c>
      <c r="F31" s="59" t="s">
        <v>1096</v>
      </c>
      <c r="G31" s="9"/>
    </row>
    <row r="32" spans="1:7">
      <c r="A32" t="s">
        <v>233</v>
      </c>
      <c r="B32" t="s">
        <v>232</v>
      </c>
      <c r="C32" t="s">
        <v>217</v>
      </c>
      <c r="D32" s="7" t="s">
        <v>120</v>
      </c>
      <c r="E32" s="7">
        <v>3000</v>
      </c>
      <c r="F32" s="59" t="s">
        <v>1097</v>
      </c>
    </row>
    <row r="33" spans="1:7">
      <c r="A33" t="s">
        <v>231</v>
      </c>
      <c r="B33" t="s">
        <v>230</v>
      </c>
      <c r="C33" t="s">
        <v>217</v>
      </c>
      <c r="D33" s="7" t="s">
        <v>120</v>
      </c>
      <c r="E33" s="7">
        <v>3000</v>
      </c>
      <c r="F33" s="59" t="s">
        <v>1098</v>
      </c>
      <c r="G33" s="9"/>
    </row>
    <row r="35" spans="1:7">
      <c r="A35" t="s">
        <v>239</v>
      </c>
    </row>
    <row r="36" spans="1:7">
      <c r="A36" t="s">
        <v>93</v>
      </c>
    </row>
    <row r="37" spans="1:7" s="9" customFormat="1">
      <c r="A37" s="9" t="s">
        <v>238</v>
      </c>
      <c r="B37" s="9" t="s">
        <v>237</v>
      </c>
      <c r="C37" s="9" t="s">
        <v>204</v>
      </c>
      <c r="D37" s="10" t="s">
        <v>234</v>
      </c>
      <c r="E37" s="10">
        <v>1500</v>
      </c>
      <c r="F37" s="73" t="s">
        <v>1095</v>
      </c>
    </row>
    <row r="38" spans="1:7">
      <c r="A38" t="s">
        <v>236</v>
      </c>
      <c r="B38" t="s">
        <v>235</v>
      </c>
      <c r="C38" t="s">
        <v>204</v>
      </c>
      <c r="D38" s="7" t="s">
        <v>234</v>
      </c>
      <c r="E38" s="7">
        <v>1500</v>
      </c>
      <c r="F38" s="59" t="s">
        <v>1096</v>
      </c>
      <c r="G38" s="9"/>
    </row>
    <row r="39" spans="1:7">
      <c r="A39" t="s">
        <v>233</v>
      </c>
      <c r="B39" t="s">
        <v>232</v>
      </c>
      <c r="C39" t="s">
        <v>488</v>
      </c>
      <c r="D39" s="7" t="s">
        <v>120</v>
      </c>
      <c r="E39" s="7">
        <v>3000</v>
      </c>
      <c r="F39" s="59" t="s">
        <v>1097</v>
      </c>
    </row>
    <row r="40" spans="1:7">
      <c r="A40" t="s">
        <v>231</v>
      </c>
      <c r="B40" t="s">
        <v>230</v>
      </c>
      <c r="C40" t="s">
        <v>204</v>
      </c>
      <c r="D40" s="7" t="s">
        <v>120</v>
      </c>
      <c r="E40" s="7">
        <v>3000</v>
      </c>
      <c r="F40" s="59" t="s">
        <v>1098</v>
      </c>
      <c r="G40" s="9"/>
    </row>
    <row r="42" spans="1:7">
      <c r="A42" t="s">
        <v>139</v>
      </c>
    </row>
    <row r="43" spans="1:7">
      <c r="A43" t="s">
        <v>229</v>
      </c>
      <c r="B43" t="s">
        <v>228</v>
      </c>
      <c r="C43" t="s">
        <v>204</v>
      </c>
      <c r="D43" s="7" t="s">
        <v>120</v>
      </c>
      <c r="E43" s="7">
        <v>4500</v>
      </c>
      <c r="F43" s="59" t="s">
        <v>1012</v>
      </c>
    </row>
    <row r="44" spans="1:7">
      <c r="A44" t="s">
        <v>227</v>
      </c>
      <c r="B44" t="s">
        <v>226</v>
      </c>
      <c r="C44" t="s">
        <v>204</v>
      </c>
      <c r="D44" s="7" t="s">
        <v>120</v>
      </c>
      <c r="E44" s="7">
        <v>4500</v>
      </c>
      <c r="F44" s="59" t="s">
        <v>1012</v>
      </c>
    </row>
    <row r="47" spans="1:7">
      <c r="A47" s="2" t="s">
        <v>203</v>
      </c>
    </row>
    <row r="48" spans="1:7">
      <c r="A48" t="s">
        <v>93</v>
      </c>
    </row>
    <row r="49" spans="1:7">
      <c r="A49" t="s">
        <v>196</v>
      </c>
      <c r="B49" t="s">
        <v>195</v>
      </c>
      <c r="C49" t="s">
        <v>189</v>
      </c>
      <c r="D49" s="7" t="s">
        <v>120</v>
      </c>
      <c r="E49" s="7">
        <v>2700</v>
      </c>
      <c r="F49" s="59" t="s">
        <v>1156</v>
      </c>
      <c r="G49" t="s">
        <v>474</v>
      </c>
    </row>
    <row r="50" spans="1:7">
      <c r="A50" t="s">
        <v>202</v>
      </c>
      <c r="B50" t="s">
        <v>201</v>
      </c>
      <c r="C50" t="s">
        <v>487</v>
      </c>
      <c r="D50" s="7" t="s">
        <v>120</v>
      </c>
      <c r="E50" s="7">
        <v>10800</v>
      </c>
      <c r="F50" s="59" t="s">
        <v>1106</v>
      </c>
    </row>
    <row r="52" spans="1:7">
      <c r="A52" t="s">
        <v>139</v>
      </c>
    </row>
    <row r="53" spans="1:7">
      <c r="A53" t="s">
        <v>196</v>
      </c>
      <c r="B53" t="s">
        <v>195</v>
      </c>
      <c r="C53" t="s">
        <v>486</v>
      </c>
      <c r="D53" s="7" t="s">
        <v>120</v>
      </c>
      <c r="E53" s="7">
        <v>3600</v>
      </c>
      <c r="F53" s="59" t="s">
        <v>1108</v>
      </c>
    </row>
    <row r="54" spans="1:7">
      <c r="A54" t="s">
        <v>199</v>
      </c>
      <c r="B54" t="s">
        <v>198</v>
      </c>
      <c r="C54" t="s">
        <v>485</v>
      </c>
      <c r="D54" s="7" t="s">
        <v>188</v>
      </c>
      <c r="E54" s="7">
        <v>4500</v>
      </c>
      <c r="F54" s="59" t="s">
        <v>1157</v>
      </c>
    </row>
    <row r="56" spans="1:7">
      <c r="G56" t="s">
        <v>474</v>
      </c>
    </row>
    <row r="57" spans="1:7">
      <c r="A57" s="2" t="s">
        <v>484</v>
      </c>
    </row>
    <row r="58" spans="1:7">
      <c r="A58" t="s">
        <v>483</v>
      </c>
    </row>
    <row r="59" spans="1:7">
      <c r="A59" t="s">
        <v>482</v>
      </c>
      <c r="B59" t="s">
        <v>481</v>
      </c>
      <c r="C59" t="s">
        <v>478</v>
      </c>
      <c r="D59" s="7" t="s">
        <v>120</v>
      </c>
      <c r="E59" s="7">
        <v>3680</v>
      </c>
      <c r="F59" s="59" t="s">
        <v>1158</v>
      </c>
    </row>
    <row r="60" spans="1:7">
      <c r="A60" t="s">
        <v>482</v>
      </c>
      <c r="B60" t="s">
        <v>481</v>
      </c>
      <c r="C60" t="s">
        <v>475</v>
      </c>
      <c r="D60" s="7" t="s">
        <v>120</v>
      </c>
      <c r="E60" s="7">
        <v>3000</v>
      </c>
      <c r="F60" s="59" t="s">
        <v>1159</v>
      </c>
    </row>
    <row r="61" spans="1:7">
      <c r="A61" t="s">
        <v>480</v>
      </c>
      <c r="B61" t="s">
        <v>479</v>
      </c>
      <c r="C61" t="s">
        <v>478</v>
      </c>
      <c r="D61" s="7" t="s">
        <v>120</v>
      </c>
      <c r="E61" s="7">
        <v>3680</v>
      </c>
      <c r="F61" s="59" t="s">
        <v>1160</v>
      </c>
    </row>
    <row r="62" spans="1:7">
      <c r="A62" t="s">
        <v>480</v>
      </c>
      <c r="B62" t="s">
        <v>479</v>
      </c>
      <c r="C62" t="s">
        <v>475</v>
      </c>
      <c r="D62" s="7" t="s">
        <v>120</v>
      </c>
      <c r="E62" s="7">
        <v>3000</v>
      </c>
      <c r="F62" s="59" t="s">
        <v>1161</v>
      </c>
    </row>
    <row r="64" spans="1:7">
      <c r="A64" t="s">
        <v>139</v>
      </c>
    </row>
    <row r="65" spans="1:6">
      <c r="A65" t="s">
        <v>477</v>
      </c>
      <c r="B65" t="s">
        <v>476</v>
      </c>
      <c r="C65" t="s">
        <v>478</v>
      </c>
      <c r="D65" s="7" t="s">
        <v>120</v>
      </c>
      <c r="E65" s="7">
        <v>7500</v>
      </c>
      <c r="F65" s="59" t="s">
        <v>1162</v>
      </c>
    </row>
    <row r="66" spans="1:6">
      <c r="A66" t="s">
        <v>477</v>
      </c>
      <c r="B66" t="s">
        <v>476</v>
      </c>
      <c r="C66" t="s">
        <v>475</v>
      </c>
      <c r="D66" s="7" t="s">
        <v>120</v>
      </c>
      <c r="E66" s="7">
        <v>6000</v>
      </c>
      <c r="F66" s="59" t="s">
        <v>1163</v>
      </c>
    </row>
    <row r="67" spans="1:6">
      <c r="D67" s="7" t="s">
        <v>474</v>
      </c>
    </row>
    <row r="68" spans="1:6">
      <c r="C68" t="s">
        <v>474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79"/>
  <sheetViews>
    <sheetView zoomScaleNormal="100" workbookViewId="0">
      <pane ySplit="4" topLeftCell="A5" activePane="bottomLeft" state="frozen"/>
      <selection pane="bottomLeft" activeCell="F4" sqref="F4"/>
    </sheetView>
  </sheetViews>
  <sheetFormatPr defaultRowHeight="15"/>
  <cols>
    <col min="1" max="1" width="22.42578125" style="24" customWidth="1"/>
    <col min="2" max="2" width="36.28515625" style="24" customWidth="1"/>
    <col min="3" max="3" width="25" style="37" customWidth="1"/>
    <col min="4" max="4" width="11.7109375" style="24" customWidth="1"/>
    <col min="5" max="5" width="12.42578125" style="24" customWidth="1"/>
    <col min="6" max="6" width="18" style="28" customWidth="1"/>
    <col min="7" max="7" width="37.140625" style="24" customWidth="1"/>
    <col min="8" max="16384" width="9.140625" style="24"/>
  </cols>
  <sheetData>
    <row r="1" spans="1:7">
      <c r="A1" s="2" t="s">
        <v>814</v>
      </c>
    </row>
    <row r="2" spans="1:7">
      <c r="A2" s="2" t="s">
        <v>813</v>
      </c>
    </row>
    <row r="3" spans="1:7">
      <c r="A3" s="2"/>
    </row>
    <row r="4" spans="1:7" ht="45">
      <c r="A4" s="29" t="s">
        <v>19</v>
      </c>
      <c r="B4" s="30" t="s">
        <v>18</v>
      </c>
      <c r="C4" s="31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812</v>
      </c>
    </row>
    <row r="7" spans="1:7">
      <c r="A7" s="24" t="s">
        <v>93</v>
      </c>
    </row>
    <row r="8" spans="1:7">
      <c r="A8" s="24" t="s">
        <v>158</v>
      </c>
      <c r="B8" s="24" t="s">
        <v>811</v>
      </c>
      <c r="C8" s="37" t="s">
        <v>799</v>
      </c>
      <c r="D8" s="28" t="s">
        <v>120</v>
      </c>
      <c r="E8" s="15">
        <v>3800</v>
      </c>
      <c r="F8" s="62" t="s">
        <v>1164</v>
      </c>
      <c r="G8" s="24" t="s">
        <v>795</v>
      </c>
    </row>
    <row r="9" spans="1:7">
      <c r="A9" s="24" t="s">
        <v>810</v>
      </c>
      <c r="B9" s="24" t="s">
        <v>809</v>
      </c>
      <c r="C9" s="37" t="s">
        <v>799</v>
      </c>
      <c r="D9" s="28" t="s">
        <v>142</v>
      </c>
      <c r="E9" s="15">
        <v>5750</v>
      </c>
      <c r="F9" s="62" t="s">
        <v>1165</v>
      </c>
      <c r="G9" s="24" t="s">
        <v>792</v>
      </c>
    </row>
    <row r="10" spans="1:7">
      <c r="A10" s="24" t="s">
        <v>808</v>
      </c>
      <c r="B10" s="24" t="s">
        <v>807</v>
      </c>
      <c r="C10" s="37" t="s">
        <v>799</v>
      </c>
      <c r="D10" s="28" t="s">
        <v>120</v>
      </c>
      <c r="E10" s="15">
        <v>3800</v>
      </c>
      <c r="F10" s="62" t="s">
        <v>1166</v>
      </c>
      <c r="G10" s="24" t="s">
        <v>791</v>
      </c>
    </row>
    <row r="11" spans="1:7">
      <c r="D11" s="28"/>
      <c r="E11" s="28"/>
    </row>
    <row r="12" spans="1:7">
      <c r="A12" s="24" t="s">
        <v>139</v>
      </c>
      <c r="D12" s="28"/>
      <c r="E12" s="28"/>
    </row>
    <row r="13" spans="1:7">
      <c r="A13" s="24" t="s">
        <v>806</v>
      </c>
      <c r="B13" s="24" t="s">
        <v>805</v>
      </c>
      <c r="C13" s="37" t="s">
        <v>799</v>
      </c>
      <c r="D13" s="28" t="s">
        <v>120</v>
      </c>
      <c r="E13" s="15">
        <v>3800</v>
      </c>
      <c r="F13" s="62" t="s">
        <v>1166</v>
      </c>
      <c r="G13" s="24" t="s">
        <v>804</v>
      </c>
    </row>
    <row r="14" spans="1:7">
      <c r="A14" s="24" t="s">
        <v>803</v>
      </c>
      <c r="B14" s="24" t="s">
        <v>802</v>
      </c>
      <c r="C14" s="37" t="s">
        <v>799</v>
      </c>
      <c r="D14" s="28" t="s">
        <v>120</v>
      </c>
      <c r="E14" s="15">
        <v>3800</v>
      </c>
      <c r="F14" s="62" t="s">
        <v>1166</v>
      </c>
      <c r="G14" s="24" t="s">
        <v>801</v>
      </c>
    </row>
    <row r="15" spans="1:7">
      <c r="A15" s="24" t="s">
        <v>691</v>
      </c>
      <c r="B15" s="24" t="s">
        <v>800</v>
      </c>
      <c r="C15" s="37" t="s">
        <v>799</v>
      </c>
      <c r="D15" s="28" t="s">
        <v>120</v>
      </c>
      <c r="E15" s="15">
        <v>5750</v>
      </c>
      <c r="F15" s="62" t="s">
        <v>1165</v>
      </c>
      <c r="G15" s="24" t="s">
        <v>798</v>
      </c>
    </row>
    <row r="16" spans="1:7">
      <c r="D16" s="28"/>
      <c r="E16" s="28"/>
    </row>
    <row r="17" spans="1:7">
      <c r="A17" s="24" t="s">
        <v>253</v>
      </c>
      <c r="D17" s="28"/>
      <c r="E17" s="28"/>
    </row>
    <row r="18" spans="1:7">
      <c r="A18" s="24" t="s">
        <v>797</v>
      </c>
      <c r="B18" s="24" t="s">
        <v>796</v>
      </c>
      <c r="C18" s="37" t="s">
        <v>744</v>
      </c>
      <c r="D18" s="28" t="s">
        <v>120</v>
      </c>
      <c r="E18" s="28">
        <v>3800</v>
      </c>
      <c r="F18" s="62" t="s">
        <v>1167</v>
      </c>
      <c r="G18" s="24" t="s">
        <v>795</v>
      </c>
    </row>
    <row r="19" spans="1:7">
      <c r="A19" s="24" t="s">
        <v>794</v>
      </c>
      <c r="B19" s="24" t="s">
        <v>793</v>
      </c>
      <c r="C19" s="37" t="s">
        <v>744</v>
      </c>
      <c r="D19" s="28" t="s">
        <v>120</v>
      </c>
      <c r="E19" s="15">
        <v>4800</v>
      </c>
      <c r="F19" s="62" t="s">
        <v>1168</v>
      </c>
      <c r="G19" s="24" t="s">
        <v>792</v>
      </c>
    </row>
    <row r="20" spans="1:7">
      <c r="A20" s="24" t="s">
        <v>605</v>
      </c>
      <c r="B20" s="24" t="s">
        <v>604</v>
      </c>
      <c r="C20" s="37" t="s">
        <v>744</v>
      </c>
      <c r="D20" s="28" t="s">
        <v>142</v>
      </c>
      <c r="E20" s="15">
        <v>5750</v>
      </c>
      <c r="F20" s="62" t="s">
        <v>1165</v>
      </c>
      <c r="G20" s="24" t="s">
        <v>791</v>
      </c>
    </row>
    <row r="21" spans="1:7">
      <c r="D21" s="28"/>
      <c r="E21" s="15"/>
      <c r="F21" s="15"/>
    </row>
    <row r="22" spans="1:7">
      <c r="A22" s="24" t="s">
        <v>197</v>
      </c>
      <c r="D22" s="28"/>
      <c r="E22" s="28"/>
    </row>
    <row r="23" spans="1:7">
      <c r="A23" s="24" t="s">
        <v>790</v>
      </c>
      <c r="B23" s="24" t="s">
        <v>789</v>
      </c>
      <c r="C23" s="37" t="s">
        <v>744</v>
      </c>
      <c r="D23" s="28" t="s">
        <v>149</v>
      </c>
      <c r="E23" s="15">
        <v>7650</v>
      </c>
      <c r="F23" s="62" t="s">
        <v>1169</v>
      </c>
      <c r="G23" s="24" t="s">
        <v>788</v>
      </c>
    </row>
    <row r="24" spans="1:7">
      <c r="A24" s="24" t="s">
        <v>787</v>
      </c>
      <c r="B24" s="24" t="s">
        <v>786</v>
      </c>
      <c r="C24" s="37" t="s">
        <v>744</v>
      </c>
      <c r="D24" s="28" t="s">
        <v>357</v>
      </c>
      <c r="E24" s="28">
        <v>8600</v>
      </c>
      <c r="F24" s="62" t="s">
        <v>1170</v>
      </c>
      <c r="G24" s="24" t="s">
        <v>785</v>
      </c>
    </row>
    <row r="25" spans="1:7">
      <c r="D25" s="28"/>
      <c r="E25" s="28"/>
    </row>
    <row r="26" spans="1:7">
      <c r="A26" s="2" t="s">
        <v>784</v>
      </c>
      <c r="D26" s="28"/>
      <c r="E26" s="28"/>
    </row>
    <row r="27" spans="1:7">
      <c r="A27" s="24" t="s">
        <v>93</v>
      </c>
      <c r="D27" s="28"/>
      <c r="E27" s="28"/>
    </row>
    <row r="28" spans="1:7">
      <c r="A28" s="24" t="s">
        <v>783</v>
      </c>
      <c r="B28" s="24" t="s">
        <v>92</v>
      </c>
      <c r="C28" s="37" t="s">
        <v>776</v>
      </c>
      <c r="D28" s="28" t="s">
        <v>120</v>
      </c>
      <c r="E28" s="15">
        <v>3600</v>
      </c>
      <c r="F28" s="62" t="s">
        <v>1056</v>
      </c>
      <c r="G28" s="24" t="s">
        <v>766</v>
      </c>
    </row>
    <row r="29" spans="1:7">
      <c r="A29" s="24" t="s">
        <v>782</v>
      </c>
      <c r="B29" s="24" t="s">
        <v>781</v>
      </c>
      <c r="C29" s="37" t="s">
        <v>776</v>
      </c>
      <c r="D29" s="28" t="s">
        <v>120</v>
      </c>
      <c r="E29" s="15">
        <v>3600</v>
      </c>
      <c r="F29" s="62" t="s">
        <v>1171</v>
      </c>
      <c r="G29" s="24" t="s">
        <v>762</v>
      </c>
    </row>
    <row r="30" spans="1:7">
      <c r="D30" s="28"/>
      <c r="E30" s="15"/>
      <c r="F30" s="15"/>
    </row>
    <row r="31" spans="1:7">
      <c r="A31" s="24" t="s">
        <v>139</v>
      </c>
      <c r="D31" s="28"/>
      <c r="E31" s="15"/>
      <c r="F31" s="15"/>
    </row>
    <row r="32" spans="1:7">
      <c r="A32" s="24" t="s">
        <v>780</v>
      </c>
      <c r="B32" s="24" t="s">
        <v>779</v>
      </c>
      <c r="C32" s="37" t="s">
        <v>776</v>
      </c>
      <c r="D32" s="28" t="s">
        <v>120</v>
      </c>
      <c r="E32" s="15">
        <v>3600</v>
      </c>
      <c r="F32" s="62" t="s">
        <v>1172</v>
      </c>
      <c r="G32" s="24" t="s">
        <v>766</v>
      </c>
    </row>
    <row r="33" spans="1:7">
      <c r="A33" s="24" t="s">
        <v>778</v>
      </c>
      <c r="B33" s="24" t="s">
        <v>777</v>
      </c>
      <c r="C33" s="37" t="s">
        <v>776</v>
      </c>
      <c r="D33" s="28" t="s">
        <v>120</v>
      </c>
      <c r="E33" s="15">
        <v>3600</v>
      </c>
      <c r="F33" s="62" t="s">
        <v>1173</v>
      </c>
      <c r="G33" s="24" t="s">
        <v>762</v>
      </c>
    </row>
    <row r="34" spans="1:7">
      <c r="D34" s="28"/>
      <c r="E34" s="15"/>
      <c r="F34" s="15"/>
    </row>
    <row r="35" spans="1:7">
      <c r="A35" s="24" t="s">
        <v>253</v>
      </c>
      <c r="D35" s="28"/>
      <c r="E35" s="15"/>
      <c r="F35" s="15"/>
    </row>
    <row r="36" spans="1:7">
      <c r="A36" s="24" t="s">
        <v>775</v>
      </c>
      <c r="B36" s="24" t="s">
        <v>774</v>
      </c>
      <c r="C36" s="37" t="s">
        <v>763</v>
      </c>
      <c r="D36" s="28" t="s">
        <v>120</v>
      </c>
      <c r="E36" s="28">
        <v>2880</v>
      </c>
      <c r="F36" s="62" t="s">
        <v>1174</v>
      </c>
      <c r="G36" s="24" t="s">
        <v>766</v>
      </c>
    </row>
    <row r="37" spans="1:7">
      <c r="A37" s="24" t="s">
        <v>773</v>
      </c>
      <c r="B37" s="24" t="s">
        <v>772</v>
      </c>
      <c r="C37" s="37" t="s">
        <v>763</v>
      </c>
      <c r="D37" s="28" t="s">
        <v>120</v>
      </c>
      <c r="E37" s="28">
        <v>2880</v>
      </c>
      <c r="F37" s="62" t="s">
        <v>1174</v>
      </c>
      <c r="G37" s="24" t="s">
        <v>762</v>
      </c>
    </row>
    <row r="38" spans="1:7">
      <c r="A38" s="24" t="s">
        <v>771</v>
      </c>
      <c r="B38" s="24" t="s">
        <v>770</v>
      </c>
      <c r="C38" s="37" t="s">
        <v>769</v>
      </c>
      <c r="D38" s="28" t="s">
        <v>120</v>
      </c>
      <c r="E38" s="28">
        <v>2880</v>
      </c>
      <c r="F38" s="62" t="s">
        <v>1175</v>
      </c>
      <c r="G38" s="24" t="s">
        <v>731</v>
      </c>
    </row>
    <row r="39" spans="1:7">
      <c r="D39" s="28"/>
      <c r="E39" s="28"/>
    </row>
    <row r="40" spans="1:7">
      <c r="A40" s="24" t="s">
        <v>197</v>
      </c>
      <c r="D40" s="28"/>
      <c r="E40" s="28"/>
    </row>
    <row r="41" spans="1:7">
      <c r="A41" s="24" t="s">
        <v>768</v>
      </c>
      <c r="B41" s="24" t="s">
        <v>767</v>
      </c>
      <c r="C41" s="37" t="s">
        <v>763</v>
      </c>
      <c r="D41" s="28" t="s">
        <v>120</v>
      </c>
      <c r="E41" s="28">
        <v>2880</v>
      </c>
      <c r="F41" s="62" t="s">
        <v>1176</v>
      </c>
      <c r="G41" s="24" t="s">
        <v>766</v>
      </c>
    </row>
    <row r="42" spans="1:7">
      <c r="A42" s="24" t="s">
        <v>765</v>
      </c>
      <c r="B42" s="24" t="s">
        <v>764</v>
      </c>
      <c r="C42" s="37" t="s">
        <v>763</v>
      </c>
      <c r="D42" s="28" t="s">
        <v>120</v>
      </c>
      <c r="E42" s="28">
        <v>2880</v>
      </c>
      <c r="F42" s="62" t="s">
        <v>1177</v>
      </c>
      <c r="G42" s="24" t="s">
        <v>762</v>
      </c>
    </row>
    <row r="43" spans="1:7">
      <c r="D43" s="28"/>
      <c r="E43" s="28"/>
    </row>
    <row r="44" spans="1:7">
      <c r="A44" s="2" t="s">
        <v>761</v>
      </c>
      <c r="D44" s="28"/>
      <c r="E44" s="28"/>
    </row>
    <row r="45" spans="1:7">
      <c r="A45" s="24" t="s">
        <v>93</v>
      </c>
      <c r="D45" s="28"/>
      <c r="E45" s="28"/>
    </row>
    <row r="46" spans="1:7">
      <c r="A46" s="24" t="s">
        <v>760</v>
      </c>
      <c r="B46" s="24" t="s">
        <v>759</v>
      </c>
      <c r="C46" s="37" t="s">
        <v>744</v>
      </c>
      <c r="D46" s="28" t="s">
        <v>188</v>
      </c>
      <c r="E46" s="28">
        <v>1920</v>
      </c>
      <c r="F46" s="62" t="s">
        <v>1178</v>
      </c>
    </row>
    <row r="47" spans="1:7">
      <c r="A47" s="24" t="s">
        <v>758</v>
      </c>
      <c r="B47" s="24" t="s">
        <v>757</v>
      </c>
      <c r="C47" s="37" t="s">
        <v>744</v>
      </c>
      <c r="D47" s="28" t="s">
        <v>149</v>
      </c>
      <c r="E47" s="28">
        <v>14280</v>
      </c>
      <c r="F47" s="62" t="s">
        <v>1179</v>
      </c>
    </row>
    <row r="48" spans="1:7">
      <c r="D48" s="28"/>
      <c r="E48" s="28"/>
    </row>
    <row r="49" spans="1:7">
      <c r="A49" s="24" t="s">
        <v>139</v>
      </c>
      <c r="D49" s="28"/>
      <c r="E49" s="28"/>
    </row>
    <row r="50" spans="1:7">
      <c r="A50" s="24" t="s">
        <v>756</v>
      </c>
      <c r="B50" s="24" t="s">
        <v>755</v>
      </c>
      <c r="C50" s="37" t="s">
        <v>744</v>
      </c>
      <c r="D50" s="28" t="s">
        <v>120</v>
      </c>
      <c r="E50" s="28">
        <v>3840</v>
      </c>
      <c r="F50" s="62" t="s">
        <v>1180</v>
      </c>
    </row>
    <row r="51" spans="1:7">
      <c r="A51" s="24" t="s">
        <v>754</v>
      </c>
      <c r="B51" s="24" t="s">
        <v>753</v>
      </c>
      <c r="C51" s="37" t="s">
        <v>744</v>
      </c>
      <c r="D51" s="28" t="s">
        <v>149</v>
      </c>
      <c r="E51" s="28">
        <v>12360</v>
      </c>
      <c r="F51" s="62" t="s">
        <v>1181</v>
      </c>
    </row>
    <row r="52" spans="1:7">
      <c r="D52" s="28"/>
      <c r="E52" s="28"/>
    </row>
    <row r="53" spans="1:7">
      <c r="A53" s="24" t="s">
        <v>253</v>
      </c>
      <c r="D53" s="28"/>
      <c r="E53" s="28"/>
    </row>
    <row r="54" spans="1:7">
      <c r="A54" s="24" t="s">
        <v>752</v>
      </c>
      <c r="B54" s="24" t="s">
        <v>751</v>
      </c>
      <c r="C54" s="37" t="s">
        <v>744</v>
      </c>
      <c r="D54" s="28" t="s">
        <v>149</v>
      </c>
      <c r="E54" s="28">
        <v>12360</v>
      </c>
      <c r="F54" s="62" t="s">
        <v>1181</v>
      </c>
    </row>
    <row r="55" spans="1:7">
      <c r="A55" s="24" t="s">
        <v>750</v>
      </c>
      <c r="B55" s="24" t="s">
        <v>749</v>
      </c>
      <c r="C55" s="37" t="s">
        <v>744</v>
      </c>
      <c r="D55" s="28" t="s">
        <v>120</v>
      </c>
      <c r="E55" s="28">
        <v>3840</v>
      </c>
      <c r="F55" s="62" t="s">
        <v>1180</v>
      </c>
    </row>
    <row r="56" spans="1:7">
      <c r="D56" s="28"/>
      <c r="E56" s="28"/>
    </row>
    <row r="57" spans="1:7">
      <c r="A57" s="24" t="s">
        <v>197</v>
      </c>
      <c r="D57" s="28"/>
      <c r="E57" s="28"/>
    </row>
    <row r="58" spans="1:7">
      <c r="A58" s="24" t="s">
        <v>748</v>
      </c>
      <c r="B58" s="24" t="s">
        <v>747</v>
      </c>
      <c r="C58" s="37" t="s">
        <v>744</v>
      </c>
      <c r="D58" s="28" t="s">
        <v>149</v>
      </c>
      <c r="E58" s="28">
        <v>14280</v>
      </c>
      <c r="F58" s="62" t="s">
        <v>1179</v>
      </c>
    </row>
    <row r="59" spans="1:7">
      <c r="A59" s="24" t="s">
        <v>746</v>
      </c>
      <c r="B59" s="24" t="s">
        <v>745</v>
      </c>
      <c r="C59" s="37" t="s">
        <v>744</v>
      </c>
      <c r="D59" s="28" t="s">
        <v>188</v>
      </c>
      <c r="E59" s="28">
        <v>1920</v>
      </c>
      <c r="F59" s="62" t="s">
        <v>1182</v>
      </c>
    </row>
    <row r="61" spans="1:7">
      <c r="A61" s="2" t="s">
        <v>838</v>
      </c>
    </row>
    <row r="62" spans="1:7">
      <c r="A62" s="24" t="s">
        <v>743</v>
      </c>
    </row>
    <row r="63" spans="1:7">
      <c r="A63" s="24" t="s">
        <v>742</v>
      </c>
      <c r="B63" s="24" t="s">
        <v>741</v>
      </c>
      <c r="C63" s="37" t="s">
        <v>737</v>
      </c>
      <c r="D63" s="28" t="s">
        <v>120</v>
      </c>
      <c r="E63" s="28">
        <v>4860</v>
      </c>
      <c r="F63" s="62" t="s">
        <v>1183</v>
      </c>
      <c r="G63" s="24" t="s">
        <v>736</v>
      </c>
    </row>
    <row r="64" spans="1:7">
      <c r="A64" s="24" t="s">
        <v>709</v>
      </c>
      <c r="B64" s="24" t="s">
        <v>111</v>
      </c>
      <c r="C64" s="37" t="s">
        <v>740</v>
      </c>
      <c r="D64" s="28" t="s">
        <v>120</v>
      </c>
      <c r="E64" s="28">
        <v>2880</v>
      </c>
      <c r="F64" s="62" t="s">
        <v>1184</v>
      </c>
      <c r="G64" s="24" t="s">
        <v>736</v>
      </c>
    </row>
    <row r="65" spans="1:7">
      <c r="D65" s="28"/>
      <c r="E65" s="28"/>
    </row>
    <row r="66" spans="1:7">
      <c r="A66" s="24" t="s">
        <v>739</v>
      </c>
      <c r="D66" s="28"/>
      <c r="E66" s="28"/>
    </row>
    <row r="67" spans="1:7">
      <c r="A67" s="24" t="s">
        <v>738</v>
      </c>
      <c r="B67" s="24" t="s">
        <v>104</v>
      </c>
      <c r="C67" s="37" t="s">
        <v>737</v>
      </c>
      <c r="D67" s="28" t="s">
        <v>120</v>
      </c>
      <c r="E67" s="28">
        <v>4860</v>
      </c>
      <c r="F67" s="62" t="s">
        <v>1185</v>
      </c>
      <c r="G67" s="24" t="s">
        <v>736</v>
      </c>
    </row>
    <row r="68" spans="1:7">
      <c r="D68" s="28"/>
      <c r="E68" s="28"/>
    </row>
    <row r="69" spans="1:7">
      <c r="A69" s="24" t="s">
        <v>735</v>
      </c>
      <c r="D69" s="28"/>
      <c r="E69" s="28"/>
    </row>
    <row r="70" spans="1:7">
      <c r="A70" s="24" t="s">
        <v>734</v>
      </c>
      <c r="B70" s="24" t="s">
        <v>733</v>
      </c>
      <c r="C70" s="37" t="s">
        <v>732</v>
      </c>
      <c r="D70" s="28" t="s">
        <v>120</v>
      </c>
      <c r="E70" s="28">
        <v>2880</v>
      </c>
      <c r="F70" s="62" t="s">
        <v>1186</v>
      </c>
      <c r="G70" s="24" t="s">
        <v>731</v>
      </c>
    </row>
    <row r="71" spans="1:7">
      <c r="D71" s="28"/>
      <c r="E71" s="28"/>
    </row>
    <row r="72" spans="1:7">
      <c r="A72" s="2" t="s">
        <v>730</v>
      </c>
      <c r="D72" s="28"/>
      <c r="E72" s="28"/>
    </row>
    <row r="73" spans="1:7">
      <c r="A73" s="24" t="s">
        <v>93</v>
      </c>
      <c r="D73" s="28"/>
      <c r="E73" s="28"/>
    </row>
    <row r="74" spans="1:7">
      <c r="A74" s="24" t="s">
        <v>729</v>
      </c>
      <c r="B74" s="24" t="s">
        <v>728</v>
      </c>
      <c r="C74" s="37" t="s">
        <v>723</v>
      </c>
      <c r="D74" s="28" t="s">
        <v>149</v>
      </c>
      <c r="E74" s="28">
        <v>7200</v>
      </c>
      <c r="F74" s="62" t="s">
        <v>1187</v>
      </c>
    </row>
    <row r="75" spans="1:7">
      <c r="A75" s="24" t="s">
        <v>727</v>
      </c>
      <c r="B75" s="24" t="s">
        <v>726</v>
      </c>
      <c r="C75" s="37" t="s">
        <v>720</v>
      </c>
      <c r="D75" s="28" t="s">
        <v>120</v>
      </c>
      <c r="E75" s="28">
        <v>2880</v>
      </c>
      <c r="F75" s="62" t="s">
        <v>1188</v>
      </c>
    </row>
    <row r="76" spans="1:7">
      <c r="D76" s="28"/>
      <c r="E76" s="28"/>
    </row>
    <row r="77" spans="1:7">
      <c r="A77" s="24" t="s">
        <v>139</v>
      </c>
      <c r="D77" s="28"/>
      <c r="E77" s="28"/>
    </row>
    <row r="78" spans="1:7">
      <c r="A78" s="24" t="s">
        <v>725</v>
      </c>
      <c r="B78" s="24" t="s">
        <v>724</v>
      </c>
      <c r="C78" s="37" t="s">
        <v>723</v>
      </c>
      <c r="D78" s="28" t="s">
        <v>149</v>
      </c>
      <c r="E78" s="28">
        <v>7200</v>
      </c>
      <c r="F78" s="62" t="s">
        <v>1187</v>
      </c>
    </row>
    <row r="79" spans="1:7">
      <c r="A79" s="24" t="s">
        <v>722</v>
      </c>
      <c r="B79" s="24" t="s">
        <v>721</v>
      </c>
      <c r="C79" s="37" t="s">
        <v>720</v>
      </c>
      <c r="D79" s="28" t="s">
        <v>120</v>
      </c>
      <c r="E79" s="28">
        <v>3840</v>
      </c>
      <c r="F79" s="62" t="s">
        <v>1189</v>
      </c>
    </row>
  </sheetData>
  <printOptions headings="1" gridLines="1"/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F4" sqref="F4"/>
    </sheetView>
  </sheetViews>
  <sheetFormatPr defaultRowHeight="15"/>
  <cols>
    <col min="1" max="1" width="23.140625" style="24" customWidth="1"/>
    <col min="2" max="2" width="24.28515625" style="24" customWidth="1"/>
    <col min="3" max="3" width="23.5703125" style="28" customWidth="1"/>
    <col min="4" max="4" width="13" style="24" customWidth="1"/>
    <col min="5" max="5" width="9.42578125" style="24" customWidth="1"/>
    <col min="6" max="6" width="18.28515625" style="28" customWidth="1"/>
    <col min="7" max="7" width="36.42578125" style="24" customWidth="1"/>
    <col min="8" max="16384" width="9.140625" style="24"/>
  </cols>
  <sheetData>
    <row r="1" spans="1:7">
      <c r="A1" s="2" t="s">
        <v>814</v>
      </c>
    </row>
    <row r="2" spans="1:7">
      <c r="A2" s="2" t="s">
        <v>815</v>
      </c>
    </row>
    <row r="3" spans="1:7">
      <c r="A3" s="2"/>
    </row>
    <row r="4" spans="1:7" ht="45">
      <c r="A4" s="29" t="s">
        <v>19</v>
      </c>
      <c r="B4" s="30" t="s">
        <v>18</v>
      </c>
      <c r="C4" s="31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761</v>
      </c>
      <c r="D6" s="28"/>
      <c r="E6" s="28"/>
    </row>
    <row r="7" spans="1:7">
      <c r="A7" s="24" t="s">
        <v>93</v>
      </c>
      <c r="D7" s="28"/>
      <c r="E7" s="28"/>
    </row>
    <row r="8" spans="1:7">
      <c r="A8" s="24" t="s">
        <v>760</v>
      </c>
      <c r="B8" s="24" t="s">
        <v>759</v>
      </c>
      <c r="C8" s="28" t="s">
        <v>744</v>
      </c>
      <c r="D8" s="28" t="s">
        <v>188</v>
      </c>
      <c r="E8" s="28">
        <v>1920</v>
      </c>
      <c r="F8" s="63" t="s">
        <v>1178</v>
      </c>
    </row>
    <row r="9" spans="1:7">
      <c r="A9" s="24" t="s">
        <v>758</v>
      </c>
      <c r="B9" s="24" t="s">
        <v>757</v>
      </c>
      <c r="C9" s="28" t="s">
        <v>744</v>
      </c>
      <c r="D9" s="28" t="s">
        <v>149</v>
      </c>
      <c r="E9" s="28">
        <v>14280</v>
      </c>
      <c r="F9" s="63" t="s">
        <v>1179</v>
      </c>
    </row>
    <row r="10" spans="1:7">
      <c r="D10" s="28"/>
      <c r="E10" s="28"/>
    </row>
    <row r="11" spans="1:7">
      <c r="A11" s="24" t="s">
        <v>139</v>
      </c>
      <c r="D11" s="28"/>
      <c r="E11" s="28"/>
    </row>
    <row r="12" spans="1:7">
      <c r="A12" s="24" t="s">
        <v>756</v>
      </c>
      <c r="B12" s="24" t="s">
        <v>755</v>
      </c>
      <c r="C12" s="28" t="s">
        <v>744</v>
      </c>
      <c r="D12" s="28" t="s">
        <v>120</v>
      </c>
      <c r="E12" s="28">
        <v>3840</v>
      </c>
      <c r="F12" s="63" t="s">
        <v>1180</v>
      </c>
    </row>
    <row r="13" spans="1:7">
      <c r="A13" s="24" t="s">
        <v>754</v>
      </c>
      <c r="B13" s="24" t="s">
        <v>753</v>
      </c>
      <c r="C13" s="28" t="s">
        <v>744</v>
      </c>
      <c r="D13" s="28" t="s">
        <v>149</v>
      </c>
      <c r="E13" s="28">
        <v>12360</v>
      </c>
      <c r="F13" s="63" t="s">
        <v>1181</v>
      </c>
    </row>
    <row r="14" spans="1:7">
      <c r="D14" s="28"/>
      <c r="E14" s="28"/>
    </row>
    <row r="15" spans="1:7">
      <c r="A15" s="24" t="s">
        <v>253</v>
      </c>
      <c r="D15" s="28"/>
      <c r="E15" s="28"/>
    </row>
    <row r="16" spans="1:7">
      <c r="A16" s="24" t="s">
        <v>752</v>
      </c>
      <c r="B16" s="24" t="s">
        <v>751</v>
      </c>
      <c r="C16" s="28" t="s">
        <v>744</v>
      </c>
      <c r="D16" s="28" t="s">
        <v>149</v>
      </c>
      <c r="E16" s="28">
        <v>12360</v>
      </c>
      <c r="F16" s="63" t="s">
        <v>1181</v>
      </c>
    </row>
    <row r="17" spans="1:6">
      <c r="A17" s="24" t="s">
        <v>750</v>
      </c>
      <c r="B17" s="24" t="s">
        <v>749</v>
      </c>
      <c r="C17" s="28" t="s">
        <v>744</v>
      </c>
      <c r="D17" s="28" t="s">
        <v>120</v>
      </c>
      <c r="E17" s="28">
        <v>3840</v>
      </c>
      <c r="F17" s="64" t="s">
        <v>1180</v>
      </c>
    </row>
    <row r="18" spans="1:6">
      <c r="D18" s="28"/>
      <c r="E18" s="28"/>
    </row>
    <row r="19" spans="1:6">
      <c r="A19" s="24" t="s">
        <v>197</v>
      </c>
      <c r="D19" s="28"/>
      <c r="E19" s="28"/>
    </row>
    <row r="20" spans="1:6">
      <c r="A20" s="24" t="s">
        <v>748</v>
      </c>
      <c r="B20" s="24" t="s">
        <v>747</v>
      </c>
      <c r="C20" s="28" t="s">
        <v>744</v>
      </c>
      <c r="D20" s="28" t="s">
        <v>149</v>
      </c>
      <c r="E20" s="28">
        <v>14280</v>
      </c>
      <c r="F20" s="65" t="s">
        <v>1179</v>
      </c>
    </row>
    <row r="21" spans="1:6">
      <c r="A21" s="24" t="s">
        <v>746</v>
      </c>
      <c r="B21" s="24" t="s">
        <v>745</v>
      </c>
      <c r="C21" s="28" t="s">
        <v>744</v>
      </c>
      <c r="D21" s="28" t="s">
        <v>188</v>
      </c>
      <c r="E21" s="28">
        <v>1920</v>
      </c>
      <c r="F21" s="65" t="s">
        <v>1182</v>
      </c>
    </row>
  </sheetData>
  <printOptions headings="1" gridLines="1"/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selection activeCell="F4" sqref="F4"/>
    </sheetView>
  </sheetViews>
  <sheetFormatPr defaultRowHeight="15"/>
  <cols>
    <col min="1" max="1" width="22.42578125" style="24" customWidth="1"/>
    <col min="2" max="2" width="40.85546875" style="24" customWidth="1"/>
    <col min="3" max="3" width="16.85546875" style="24" customWidth="1"/>
    <col min="4" max="4" width="12.28515625" style="28" customWidth="1"/>
    <col min="5" max="5" width="10.42578125" style="28" customWidth="1"/>
    <col min="6" max="6" width="19" style="28" customWidth="1"/>
    <col min="7" max="7" width="27.5703125" style="24" customWidth="1"/>
    <col min="8" max="16384" width="9.140625" style="24"/>
  </cols>
  <sheetData>
    <row r="1" spans="1:7">
      <c r="A1" s="2" t="s">
        <v>814</v>
      </c>
    </row>
    <row r="2" spans="1:7">
      <c r="A2" s="2" t="s">
        <v>826</v>
      </c>
    </row>
    <row r="3" spans="1:7">
      <c r="A3" s="2"/>
    </row>
    <row r="4" spans="1:7" ht="45">
      <c r="A4" s="29" t="s">
        <v>19</v>
      </c>
      <c r="B4" s="30" t="s">
        <v>18</v>
      </c>
      <c r="C4" s="30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825</v>
      </c>
    </row>
    <row r="7" spans="1:7">
      <c r="A7" s="123" t="s">
        <v>93</v>
      </c>
      <c r="B7" s="123"/>
    </row>
    <row r="8" spans="1:7">
      <c r="A8" s="24" t="s">
        <v>824</v>
      </c>
      <c r="B8" s="24" t="s">
        <v>823</v>
      </c>
      <c r="C8" s="24" t="s">
        <v>816</v>
      </c>
      <c r="D8" s="28" t="s">
        <v>120</v>
      </c>
      <c r="E8" s="58">
        <v>5400</v>
      </c>
      <c r="F8" s="66" t="s">
        <v>1190</v>
      </c>
    </row>
    <row r="9" spans="1:7">
      <c r="A9" s="24" t="s">
        <v>822</v>
      </c>
      <c r="B9" s="24" t="s">
        <v>821</v>
      </c>
      <c r="C9" s="24" t="s">
        <v>816</v>
      </c>
      <c r="D9" s="28" t="s">
        <v>120</v>
      </c>
      <c r="E9" s="58">
        <v>5400</v>
      </c>
      <c r="F9" s="66" t="s">
        <v>1190</v>
      </c>
    </row>
    <row r="10" spans="1:7">
      <c r="E10" s="58"/>
    </row>
    <row r="11" spans="1:7">
      <c r="A11" s="123" t="s">
        <v>197</v>
      </c>
      <c r="B11" s="123"/>
      <c r="E11" s="58"/>
    </row>
    <row r="12" spans="1:7">
      <c r="A12" s="24" t="s">
        <v>820</v>
      </c>
      <c r="B12" s="24" t="s">
        <v>819</v>
      </c>
      <c r="C12" s="24" t="s">
        <v>816</v>
      </c>
      <c r="D12" s="28" t="s">
        <v>120</v>
      </c>
      <c r="E12" s="58">
        <v>5400</v>
      </c>
      <c r="F12" s="66" t="s">
        <v>1190</v>
      </c>
    </row>
    <row r="13" spans="1:7">
      <c r="A13" s="24" t="s">
        <v>818</v>
      </c>
      <c r="B13" s="24" t="s">
        <v>817</v>
      </c>
      <c r="C13" s="24" t="s">
        <v>816</v>
      </c>
      <c r="D13" s="28" t="s">
        <v>120</v>
      </c>
      <c r="E13" s="58">
        <v>5400</v>
      </c>
      <c r="F13" s="66" t="s">
        <v>1190</v>
      </c>
    </row>
  </sheetData>
  <mergeCells count="2">
    <mergeCell ref="A7:B7"/>
    <mergeCell ref="A11:B11"/>
  </mergeCells>
  <printOptions headings="1" gridLines="1"/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F28" sqref="F28"/>
    </sheetView>
  </sheetViews>
  <sheetFormatPr defaultRowHeight="15"/>
  <cols>
    <col min="1" max="1" width="18.140625" style="24" customWidth="1"/>
    <col min="2" max="2" width="33.28515625" style="24" customWidth="1"/>
    <col min="3" max="3" width="21.140625" style="24" customWidth="1"/>
    <col min="4" max="4" width="11.85546875" style="28" customWidth="1"/>
    <col min="5" max="5" width="11.42578125" style="28" customWidth="1"/>
    <col min="6" max="6" width="17.28515625" style="28" customWidth="1"/>
    <col min="7" max="7" width="27.42578125" style="28" customWidth="1"/>
    <col min="8" max="16384" width="9.140625" style="24"/>
  </cols>
  <sheetData>
    <row r="1" spans="1:7">
      <c r="A1" s="2" t="s">
        <v>814</v>
      </c>
    </row>
    <row r="2" spans="1:7">
      <c r="A2" s="2" t="s">
        <v>839</v>
      </c>
    </row>
    <row r="3" spans="1:7">
      <c r="A3" s="2"/>
    </row>
    <row r="4" spans="1:7" ht="45">
      <c r="A4" s="29" t="s">
        <v>19</v>
      </c>
      <c r="B4" s="30" t="s">
        <v>18</v>
      </c>
      <c r="C4" s="31" t="s">
        <v>17</v>
      </c>
      <c r="D4" s="32" t="s">
        <v>919</v>
      </c>
      <c r="E4" s="32" t="s">
        <v>16</v>
      </c>
      <c r="F4" s="32" t="s">
        <v>924</v>
      </c>
      <c r="G4" s="31" t="s">
        <v>15</v>
      </c>
    </row>
    <row r="6" spans="1:7">
      <c r="A6" s="2" t="s">
        <v>838</v>
      </c>
    </row>
    <row r="7" spans="1:7">
      <c r="A7" s="123" t="s">
        <v>743</v>
      </c>
      <c r="B7" s="123"/>
    </row>
    <row r="8" spans="1:7">
      <c r="A8" s="24" t="s">
        <v>742</v>
      </c>
      <c r="B8" s="24" t="s">
        <v>741</v>
      </c>
      <c r="C8" s="24" t="s">
        <v>837</v>
      </c>
      <c r="D8" s="28" t="s">
        <v>120</v>
      </c>
      <c r="E8" s="28">
        <v>5400</v>
      </c>
      <c r="F8" s="67" t="s">
        <v>1191</v>
      </c>
      <c r="G8" s="28" t="s">
        <v>736</v>
      </c>
    </row>
    <row r="10" spans="1:7">
      <c r="A10" s="123" t="s">
        <v>739</v>
      </c>
      <c r="B10" s="123"/>
    </row>
    <row r="11" spans="1:7">
      <c r="A11" s="24" t="s">
        <v>738</v>
      </c>
      <c r="B11" s="24" t="s">
        <v>104</v>
      </c>
      <c r="C11" s="24" t="s">
        <v>836</v>
      </c>
      <c r="D11" s="28" t="s">
        <v>120</v>
      </c>
      <c r="E11" s="28">
        <v>4860</v>
      </c>
      <c r="F11" s="67" t="s">
        <v>1185</v>
      </c>
      <c r="G11" s="28" t="s">
        <v>736</v>
      </c>
    </row>
    <row r="12" spans="1:7">
      <c r="A12" s="24" t="s">
        <v>835</v>
      </c>
      <c r="B12" s="24" t="s">
        <v>111</v>
      </c>
      <c r="C12" s="24" t="s">
        <v>834</v>
      </c>
      <c r="D12" s="28" t="s">
        <v>120</v>
      </c>
      <c r="E12" s="28">
        <v>2880</v>
      </c>
      <c r="F12" s="67" t="s">
        <v>1184</v>
      </c>
      <c r="G12" s="28" t="s">
        <v>736</v>
      </c>
    </row>
    <row r="13" spans="1:7">
      <c r="A13" s="24" t="s">
        <v>734</v>
      </c>
      <c r="B13" s="24" t="s">
        <v>833</v>
      </c>
      <c r="C13" s="24" t="s">
        <v>832</v>
      </c>
      <c r="D13" s="28" t="s">
        <v>120</v>
      </c>
      <c r="E13" s="28">
        <v>2880</v>
      </c>
      <c r="F13" s="67" t="s">
        <v>1186</v>
      </c>
      <c r="G13" s="28" t="s">
        <v>831</v>
      </c>
    </row>
    <row r="15" spans="1:7">
      <c r="A15" s="2" t="s">
        <v>830</v>
      </c>
    </row>
    <row r="16" spans="1:7">
      <c r="A16" s="123" t="s">
        <v>93</v>
      </c>
      <c r="B16" s="123"/>
    </row>
    <row r="17" spans="1:7">
      <c r="A17" s="24" t="s">
        <v>122</v>
      </c>
      <c r="B17" s="24" t="s">
        <v>124</v>
      </c>
      <c r="C17" s="24" t="s">
        <v>827</v>
      </c>
      <c r="D17" s="28" t="s">
        <v>120</v>
      </c>
      <c r="E17" s="28">
        <v>4860</v>
      </c>
      <c r="F17" s="67" t="s">
        <v>1192</v>
      </c>
      <c r="G17" s="28" t="s">
        <v>736</v>
      </c>
    </row>
    <row r="19" spans="1:7">
      <c r="A19" s="24" t="s">
        <v>197</v>
      </c>
    </row>
    <row r="20" spans="1:7">
      <c r="A20" s="24" t="s">
        <v>829</v>
      </c>
      <c r="B20" s="24" t="s">
        <v>828</v>
      </c>
      <c r="C20" s="24" t="s">
        <v>827</v>
      </c>
      <c r="D20" s="28" t="s">
        <v>120</v>
      </c>
      <c r="E20" s="28">
        <v>4860</v>
      </c>
      <c r="F20" s="67" t="s">
        <v>1192</v>
      </c>
      <c r="G20" s="28" t="s">
        <v>736</v>
      </c>
    </row>
  </sheetData>
  <mergeCells count="3">
    <mergeCell ref="A7:B7"/>
    <mergeCell ref="A10:B10"/>
    <mergeCell ref="A16:B16"/>
  </mergeCells>
  <printOptions headings="1" gridLines="1"/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90"/>
  <sheetViews>
    <sheetView workbookViewId="0">
      <selection activeCell="F4" sqref="F4"/>
    </sheetView>
  </sheetViews>
  <sheetFormatPr defaultRowHeight="15"/>
  <cols>
    <col min="1" max="1" width="26.85546875" customWidth="1"/>
    <col min="2" max="2" width="24.28515625" customWidth="1"/>
    <col min="3" max="3" width="26" customWidth="1"/>
    <col min="4" max="4" width="17.5703125" style="7" customWidth="1"/>
    <col min="5" max="5" width="9.140625" style="7"/>
    <col min="6" max="6" width="17.140625" style="28" customWidth="1"/>
    <col min="257" max="257" width="26.85546875" customWidth="1"/>
    <col min="258" max="258" width="24.28515625" customWidth="1"/>
    <col min="259" max="259" width="26" customWidth="1"/>
    <col min="260" max="260" width="17.5703125" customWidth="1"/>
    <col min="262" max="262" width="37.140625" customWidth="1"/>
    <col min="513" max="513" width="26.85546875" customWidth="1"/>
    <col min="514" max="514" width="24.28515625" customWidth="1"/>
    <col min="515" max="515" width="26" customWidth="1"/>
    <col min="516" max="516" width="17.5703125" customWidth="1"/>
    <col min="518" max="518" width="37.140625" customWidth="1"/>
    <col min="769" max="769" width="26.85546875" customWidth="1"/>
    <col min="770" max="770" width="24.28515625" customWidth="1"/>
    <col min="771" max="771" width="26" customWidth="1"/>
    <col min="772" max="772" width="17.5703125" customWidth="1"/>
    <col min="774" max="774" width="37.140625" customWidth="1"/>
    <col min="1025" max="1025" width="26.85546875" customWidth="1"/>
    <col min="1026" max="1026" width="24.28515625" customWidth="1"/>
    <col min="1027" max="1027" width="26" customWidth="1"/>
    <col min="1028" max="1028" width="17.5703125" customWidth="1"/>
    <col min="1030" max="1030" width="37.140625" customWidth="1"/>
    <col min="1281" max="1281" width="26.85546875" customWidth="1"/>
    <col min="1282" max="1282" width="24.28515625" customWidth="1"/>
    <col min="1283" max="1283" width="26" customWidth="1"/>
    <col min="1284" max="1284" width="17.5703125" customWidth="1"/>
    <col min="1286" max="1286" width="37.140625" customWidth="1"/>
    <col min="1537" max="1537" width="26.85546875" customWidth="1"/>
    <col min="1538" max="1538" width="24.28515625" customWidth="1"/>
    <col min="1539" max="1539" width="26" customWidth="1"/>
    <col min="1540" max="1540" width="17.5703125" customWidth="1"/>
    <col min="1542" max="1542" width="37.140625" customWidth="1"/>
    <col min="1793" max="1793" width="26.85546875" customWidth="1"/>
    <col min="1794" max="1794" width="24.28515625" customWidth="1"/>
    <col min="1795" max="1795" width="26" customWidth="1"/>
    <col min="1796" max="1796" width="17.5703125" customWidth="1"/>
    <col min="1798" max="1798" width="37.140625" customWidth="1"/>
    <col min="2049" max="2049" width="26.85546875" customWidth="1"/>
    <col min="2050" max="2050" width="24.28515625" customWidth="1"/>
    <col min="2051" max="2051" width="26" customWidth="1"/>
    <col min="2052" max="2052" width="17.5703125" customWidth="1"/>
    <col min="2054" max="2054" width="37.140625" customWidth="1"/>
    <col min="2305" max="2305" width="26.85546875" customWidth="1"/>
    <col min="2306" max="2306" width="24.28515625" customWidth="1"/>
    <col min="2307" max="2307" width="26" customWidth="1"/>
    <col min="2308" max="2308" width="17.5703125" customWidth="1"/>
    <col min="2310" max="2310" width="37.140625" customWidth="1"/>
    <col min="2561" max="2561" width="26.85546875" customWidth="1"/>
    <col min="2562" max="2562" width="24.28515625" customWidth="1"/>
    <col min="2563" max="2563" width="26" customWidth="1"/>
    <col min="2564" max="2564" width="17.5703125" customWidth="1"/>
    <col min="2566" max="2566" width="37.140625" customWidth="1"/>
    <col min="2817" max="2817" width="26.85546875" customWidth="1"/>
    <col min="2818" max="2818" width="24.28515625" customWidth="1"/>
    <col min="2819" max="2819" width="26" customWidth="1"/>
    <col min="2820" max="2820" width="17.5703125" customWidth="1"/>
    <col min="2822" max="2822" width="37.140625" customWidth="1"/>
    <col min="3073" max="3073" width="26.85546875" customWidth="1"/>
    <col min="3074" max="3074" width="24.28515625" customWidth="1"/>
    <col min="3075" max="3075" width="26" customWidth="1"/>
    <col min="3076" max="3076" width="17.5703125" customWidth="1"/>
    <col min="3078" max="3078" width="37.140625" customWidth="1"/>
    <col min="3329" max="3329" width="26.85546875" customWidth="1"/>
    <col min="3330" max="3330" width="24.28515625" customWidth="1"/>
    <col min="3331" max="3331" width="26" customWidth="1"/>
    <col min="3332" max="3332" width="17.5703125" customWidth="1"/>
    <col min="3334" max="3334" width="37.140625" customWidth="1"/>
    <col min="3585" max="3585" width="26.85546875" customWidth="1"/>
    <col min="3586" max="3586" width="24.28515625" customWidth="1"/>
    <col min="3587" max="3587" width="26" customWidth="1"/>
    <col min="3588" max="3588" width="17.5703125" customWidth="1"/>
    <col min="3590" max="3590" width="37.140625" customWidth="1"/>
    <col min="3841" max="3841" width="26.85546875" customWidth="1"/>
    <col min="3842" max="3842" width="24.28515625" customWidth="1"/>
    <col min="3843" max="3843" width="26" customWidth="1"/>
    <col min="3844" max="3844" width="17.5703125" customWidth="1"/>
    <col min="3846" max="3846" width="37.140625" customWidth="1"/>
    <col min="4097" max="4097" width="26.85546875" customWidth="1"/>
    <col min="4098" max="4098" width="24.28515625" customWidth="1"/>
    <col min="4099" max="4099" width="26" customWidth="1"/>
    <col min="4100" max="4100" width="17.5703125" customWidth="1"/>
    <col min="4102" max="4102" width="37.140625" customWidth="1"/>
    <col min="4353" max="4353" width="26.85546875" customWidth="1"/>
    <col min="4354" max="4354" width="24.28515625" customWidth="1"/>
    <col min="4355" max="4355" width="26" customWidth="1"/>
    <col min="4356" max="4356" width="17.5703125" customWidth="1"/>
    <col min="4358" max="4358" width="37.140625" customWidth="1"/>
    <col min="4609" max="4609" width="26.85546875" customWidth="1"/>
    <col min="4610" max="4610" width="24.28515625" customWidth="1"/>
    <col min="4611" max="4611" width="26" customWidth="1"/>
    <col min="4612" max="4612" width="17.5703125" customWidth="1"/>
    <col min="4614" max="4614" width="37.140625" customWidth="1"/>
    <col min="4865" max="4865" width="26.85546875" customWidth="1"/>
    <col min="4866" max="4866" width="24.28515625" customWidth="1"/>
    <col min="4867" max="4867" width="26" customWidth="1"/>
    <col min="4868" max="4868" width="17.5703125" customWidth="1"/>
    <col min="4870" max="4870" width="37.140625" customWidth="1"/>
    <col min="5121" max="5121" width="26.85546875" customWidth="1"/>
    <col min="5122" max="5122" width="24.28515625" customWidth="1"/>
    <col min="5123" max="5123" width="26" customWidth="1"/>
    <col min="5124" max="5124" width="17.5703125" customWidth="1"/>
    <col min="5126" max="5126" width="37.140625" customWidth="1"/>
    <col min="5377" max="5377" width="26.85546875" customWidth="1"/>
    <col min="5378" max="5378" width="24.28515625" customWidth="1"/>
    <col min="5379" max="5379" width="26" customWidth="1"/>
    <col min="5380" max="5380" width="17.5703125" customWidth="1"/>
    <col min="5382" max="5382" width="37.140625" customWidth="1"/>
    <col min="5633" max="5633" width="26.85546875" customWidth="1"/>
    <col min="5634" max="5634" width="24.28515625" customWidth="1"/>
    <col min="5635" max="5635" width="26" customWidth="1"/>
    <col min="5636" max="5636" width="17.5703125" customWidth="1"/>
    <col min="5638" max="5638" width="37.140625" customWidth="1"/>
    <col min="5889" max="5889" width="26.85546875" customWidth="1"/>
    <col min="5890" max="5890" width="24.28515625" customWidth="1"/>
    <col min="5891" max="5891" width="26" customWidth="1"/>
    <col min="5892" max="5892" width="17.5703125" customWidth="1"/>
    <col min="5894" max="5894" width="37.140625" customWidth="1"/>
    <col min="6145" max="6145" width="26.85546875" customWidth="1"/>
    <col min="6146" max="6146" width="24.28515625" customWidth="1"/>
    <col min="6147" max="6147" width="26" customWidth="1"/>
    <col min="6148" max="6148" width="17.5703125" customWidth="1"/>
    <col min="6150" max="6150" width="37.140625" customWidth="1"/>
    <col min="6401" max="6401" width="26.85546875" customWidth="1"/>
    <col min="6402" max="6402" width="24.28515625" customWidth="1"/>
    <col min="6403" max="6403" width="26" customWidth="1"/>
    <col min="6404" max="6404" width="17.5703125" customWidth="1"/>
    <col min="6406" max="6406" width="37.140625" customWidth="1"/>
    <col min="6657" max="6657" width="26.85546875" customWidth="1"/>
    <col min="6658" max="6658" width="24.28515625" customWidth="1"/>
    <col min="6659" max="6659" width="26" customWidth="1"/>
    <col min="6660" max="6660" width="17.5703125" customWidth="1"/>
    <col min="6662" max="6662" width="37.140625" customWidth="1"/>
    <col min="6913" max="6913" width="26.85546875" customWidth="1"/>
    <col min="6914" max="6914" width="24.28515625" customWidth="1"/>
    <col min="6915" max="6915" width="26" customWidth="1"/>
    <col min="6916" max="6916" width="17.5703125" customWidth="1"/>
    <col min="6918" max="6918" width="37.140625" customWidth="1"/>
    <col min="7169" max="7169" width="26.85546875" customWidth="1"/>
    <col min="7170" max="7170" width="24.28515625" customWidth="1"/>
    <col min="7171" max="7171" width="26" customWidth="1"/>
    <col min="7172" max="7172" width="17.5703125" customWidth="1"/>
    <col min="7174" max="7174" width="37.140625" customWidth="1"/>
    <col min="7425" max="7425" width="26.85546875" customWidth="1"/>
    <col min="7426" max="7426" width="24.28515625" customWidth="1"/>
    <col min="7427" max="7427" width="26" customWidth="1"/>
    <col min="7428" max="7428" width="17.5703125" customWidth="1"/>
    <col min="7430" max="7430" width="37.140625" customWidth="1"/>
    <col min="7681" max="7681" width="26.85546875" customWidth="1"/>
    <col min="7682" max="7682" width="24.28515625" customWidth="1"/>
    <col min="7683" max="7683" width="26" customWidth="1"/>
    <col min="7684" max="7684" width="17.5703125" customWidth="1"/>
    <col min="7686" max="7686" width="37.140625" customWidth="1"/>
    <col min="7937" max="7937" width="26.85546875" customWidth="1"/>
    <col min="7938" max="7938" width="24.28515625" customWidth="1"/>
    <col min="7939" max="7939" width="26" customWidth="1"/>
    <col min="7940" max="7940" width="17.5703125" customWidth="1"/>
    <col min="7942" max="7942" width="37.140625" customWidth="1"/>
    <col min="8193" max="8193" width="26.85546875" customWidth="1"/>
    <col min="8194" max="8194" width="24.28515625" customWidth="1"/>
    <col min="8195" max="8195" width="26" customWidth="1"/>
    <col min="8196" max="8196" width="17.5703125" customWidth="1"/>
    <col min="8198" max="8198" width="37.140625" customWidth="1"/>
    <col min="8449" max="8449" width="26.85546875" customWidth="1"/>
    <col min="8450" max="8450" width="24.28515625" customWidth="1"/>
    <col min="8451" max="8451" width="26" customWidth="1"/>
    <col min="8452" max="8452" width="17.5703125" customWidth="1"/>
    <col min="8454" max="8454" width="37.140625" customWidth="1"/>
    <col min="8705" max="8705" width="26.85546875" customWidth="1"/>
    <col min="8706" max="8706" width="24.28515625" customWidth="1"/>
    <col min="8707" max="8707" width="26" customWidth="1"/>
    <col min="8708" max="8708" width="17.5703125" customWidth="1"/>
    <col min="8710" max="8710" width="37.140625" customWidth="1"/>
    <col min="8961" max="8961" width="26.85546875" customWidth="1"/>
    <col min="8962" max="8962" width="24.28515625" customWidth="1"/>
    <col min="8963" max="8963" width="26" customWidth="1"/>
    <col min="8964" max="8964" width="17.5703125" customWidth="1"/>
    <col min="8966" max="8966" width="37.140625" customWidth="1"/>
    <col min="9217" max="9217" width="26.85546875" customWidth="1"/>
    <col min="9218" max="9218" width="24.28515625" customWidth="1"/>
    <col min="9219" max="9219" width="26" customWidth="1"/>
    <col min="9220" max="9220" width="17.5703125" customWidth="1"/>
    <col min="9222" max="9222" width="37.140625" customWidth="1"/>
    <col min="9473" max="9473" width="26.85546875" customWidth="1"/>
    <col min="9474" max="9474" width="24.28515625" customWidth="1"/>
    <col min="9475" max="9475" width="26" customWidth="1"/>
    <col min="9476" max="9476" width="17.5703125" customWidth="1"/>
    <col min="9478" max="9478" width="37.140625" customWidth="1"/>
    <col min="9729" max="9729" width="26.85546875" customWidth="1"/>
    <col min="9730" max="9730" width="24.28515625" customWidth="1"/>
    <col min="9731" max="9731" width="26" customWidth="1"/>
    <col min="9732" max="9732" width="17.5703125" customWidth="1"/>
    <col min="9734" max="9734" width="37.140625" customWidth="1"/>
    <col min="9985" max="9985" width="26.85546875" customWidth="1"/>
    <col min="9986" max="9986" width="24.28515625" customWidth="1"/>
    <col min="9987" max="9987" width="26" customWidth="1"/>
    <col min="9988" max="9988" width="17.5703125" customWidth="1"/>
    <col min="9990" max="9990" width="37.140625" customWidth="1"/>
    <col min="10241" max="10241" width="26.85546875" customWidth="1"/>
    <col min="10242" max="10242" width="24.28515625" customWidth="1"/>
    <col min="10243" max="10243" width="26" customWidth="1"/>
    <col min="10244" max="10244" width="17.5703125" customWidth="1"/>
    <col min="10246" max="10246" width="37.140625" customWidth="1"/>
    <col min="10497" max="10497" width="26.85546875" customWidth="1"/>
    <col min="10498" max="10498" width="24.28515625" customWidth="1"/>
    <col min="10499" max="10499" width="26" customWidth="1"/>
    <col min="10500" max="10500" width="17.5703125" customWidth="1"/>
    <col min="10502" max="10502" width="37.140625" customWidth="1"/>
    <col min="10753" max="10753" width="26.85546875" customWidth="1"/>
    <col min="10754" max="10754" width="24.28515625" customWidth="1"/>
    <col min="10755" max="10755" width="26" customWidth="1"/>
    <col min="10756" max="10756" width="17.5703125" customWidth="1"/>
    <col min="10758" max="10758" width="37.140625" customWidth="1"/>
    <col min="11009" max="11009" width="26.85546875" customWidth="1"/>
    <col min="11010" max="11010" width="24.28515625" customWidth="1"/>
    <col min="11011" max="11011" width="26" customWidth="1"/>
    <col min="11012" max="11012" width="17.5703125" customWidth="1"/>
    <col min="11014" max="11014" width="37.140625" customWidth="1"/>
    <col min="11265" max="11265" width="26.85546875" customWidth="1"/>
    <col min="11266" max="11266" width="24.28515625" customWidth="1"/>
    <col min="11267" max="11267" width="26" customWidth="1"/>
    <col min="11268" max="11268" width="17.5703125" customWidth="1"/>
    <col min="11270" max="11270" width="37.140625" customWidth="1"/>
    <col min="11521" max="11521" width="26.85546875" customWidth="1"/>
    <col min="11522" max="11522" width="24.28515625" customWidth="1"/>
    <col min="11523" max="11523" width="26" customWidth="1"/>
    <col min="11524" max="11524" width="17.5703125" customWidth="1"/>
    <col min="11526" max="11526" width="37.140625" customWidth="1"/>
    <col min="11777" max="11777" width="26.85546875" customWidth="1"/>
    <col min="11778" max="11778" width="24.28515625" customWidth="1"/>
    <col min="11779" max="11779" width="26" customWidth="1"/>
    <col min="11780" max="11780" width="17.5703125" customWidth="1"/>
    <col min="11782" max="11782" width="37.140625" customWidth="1"/>
    <col min="12033" max="12033" width="26.85546875" customWidth="1"/>
    <col min="12034" max="12034" width="24.28515625" customWidth="1"/>
    <col min="12035" max="12035" width="26" customWidth="1"/>
    <col min="12036" max="12036" width="17.5703125" customWidth="1"/>
    <col min="12038" max="12038" width="37.140625" customWidth="1"/>
    <col min="12289" max="12289" width="26.85546875" customWidth="1"/>
    <col min="12290" max="12290" width="24.28515625" customWidth="1"/>
    <col min="12291" max="12291" width="26" customWidth="1"/>
    <col min="12292" max="12292" width="17.5703125" customWidth="1"/>
    <col min="12294" max="12294" width="37.140625" customWidth="1"/>
    <col min="12545" max="12545" width="26.85546875" customWidth="1"/>
    <col min="12546" max="12546" width="24.28515625" customWidth="1"/>
    <col min="12547" max="12547" width="26" customWidth="1"/>
    <col min="12548" max="12548" width="17.5703125" customWidth="1"/>
    <col min="12550" max="12550" width="37.140625" customWidth="1"/>
    <col min="12801" max="12801" width="26.85546875" customWidth="1"/>
    <col min="12802" max="12802" width="24.28515625" customWidth="1"/>
    <col min="12803" max="12803" width="26" customWidth="1"/>
    <col min="12804" max="12804" width="17.5703125" customWidth="1"/>
    <col min="12806" max="12806" width="37.140625" customWidth="1"/>
    <col min="13057" max="13057" width="26.85546875" customWidth="1"/>
    <col min="13058" max="13058" width="24.28515625" customWidth="1"/>
    <col min="13059" max="13059" width="26" customWidth="1"/>
    <col min="13060" max="13060" width="17.5703125" customWidth="1"/>
    <col min="13062" max="13062" width="37.140625" customWidth="1"/>
    <col min="13313" max="13313" width="26.85546875" customWidth="1"/>
    <col min="13314" max="13314" width="24.28515625" customWidth="1"/>
    <col min="13315" max="13315" width="26" customWidth="1"/>
    <col min="13316" max="13316" width="17.5703125" customWidth="1"/>
    <col min="13318" max="13318" width="37.140625" customWidth="1"/>
    <col min="13569" max="13569" width="26.85546875" customWidth="1"/>
    <col min="13570" max="13570" width="24.28515625" customWidth="1"/>
    <col min="13571" max="13571" width="26" customWidth="1"/>
    <col min="13572" max="13572" width="17.5703125" customWidth="1"/>
    <col min="13574" max="13574" width="37.140625" customWidth="1"/>
    <col min="13825" max="13825" width="26.85546875" customWidth="1"/>
    <col min="13826" max="13826" width="24.28515625" customWidth="1"/>
    <col min="13827" max="13827" width="26" customWidth="1"/>
    <col min="13828" max="13828" width="17.5703125" customWidth="1"/>
    <col min="13830" max="13830" width="37.140625" customWidth="1"/>
    <col min="14081" max="14081" width="26.85546875" customWidth="1"/>
    <col min="14082" max="14082" width="24.28515625" customWidth="1"/>
    <col min="14083" max="14083" width="26" customWidth="1"/>
    <col min="14084" max="14084" width="17.5703125" customWidth="1"/>
    <col min="14086" max="14086" width="37.140625" customWidth="1"/>
    <col min="14337" max="14337" width="26.85546875" customWidth="1"/>
    <col min="14338" max="14338" width="24.28515625" customWidth="1"/>
    <col min="14339" max="14339" width="26" customWidth="1"/>
    <col min="14340" max="14340" width="17.5703125" customWidth="1"/>
    <col min="14342" max="14342" width="37.140625" customWidth="1"/>
    <col min="14593" max="14593" width="26.85546875" customWidth="1"/>
    <col min="14594" max="14594" width="24.28515625" customWidth="1"/>
    <col min="14595" max="14595" width="26" customWidth="1"/>
    <col min="14596" max="14596" width="17.5703125" customWidth="1"/>
    <col min="14598" max="14598" width="37.140625" customWidth="1"/>
    <col min="14849" max="14849" width="26.85546875" customWidth="1"/>
    <col min="14850" max="14850" width="24.28515625" customWidth="1"/>
    <col min="14851" max="14851" width="26" customWidth="1"/>
    <col min="14852" max="14852" width="17.5703125" customWidth="1"/>
    <col min="14854" max="14854" width="37.140625" customWidth="1"/>
    <col min="15105" max="15105" width="26.85546875" customWidth="1"/>
    <col min="15106" max="15106" width="24.28515625" customWidth="1"/>
    <col min="15107" max="15107" width="26" customWidth="1"/>
    <col min="15108" max="15108" width="17.5703125" customWidth="1"/>
    <col min="15110" max="15110" width="37.140625" customWidth="1"/>
    <col min="15361" max="15361" width="26.85546875" customWidth="1"/>
    <col min="15362" max="15362" width="24.28515625" customWidth="1"/>
    <col min="15363" max="15363" width="26" customWidth="1"/>
    <col min="15364" max="15364" width="17.5703125" customWidth="1"/>
    <col min="15366" max="15366" width="37.140625" customWidth="1"/>
    <col min="15617" max="15617" width="26.85546875" customWidth="1"/>
    <col min="15618" max="15618" width="24.28515625" customWidth="1"/>
    <col min="15619" max="15619" width="26" customWidth="1"/>
    <col min="15620" max="15620" width="17.5703125" customWidth="1"/>
    <col min="15622" max="15622" width="37.140625" customWidth="1"/>
    <col min="15873" max="15873" width="26.85546875" customWidth="1"/>
    <col min="15874" max="15874" width="24.28515625" customWidth="1"/>
    <col min="15875" max="15875" width="26" customWidth="1"/>
    <col min="15876" max="15876" width="17.5703125" customWidth="1"/>
    <col min="15878" max="15878" width="37.140625" customWidth="1"/>
    <col min="16129" max="16129" width="26.85546875" customWidth="1"/>
    <col min="16130" max="16130" width="24.28515625" customWidth="1"/>
    <col min="16131" max="16131" width="26" customWidth="1"/>
    <col min="16132" max="16132" width="17.5703125" customWidth="1"/>
    <col min="16134" max="16134" width="37.140625" customWidth="1"/>
  </cols>
  <sheetData>
    <row r="1" spans="1:7" ht="15.75">
      <c r="A1" s="6" t="s">
        <v>1218</v>
      </c>
    </row>
    <row r="2" spans="1:7" ht="15.75">
      <c r="A2" s="6" t="s">
        <v>1219</v>
      </c>
    </row>
    <row r="4" spans="1:7" ht="45">
      <c r="A4" s="29" t="s">
        <v>19</v>
      </c>
      <c r="B4" s="30" t="s">
        <v>18</v>
      </c>
      <c r="C4" s="75" t="s">
        <v>17</v>
      </c>
      <c r="D4" s="32" t="s">
        <v>919</v>
      </c>
      <c r="E4" s="32" t="s">
        <v>16</v>
      </c>
      <c r="F4" s="32" t="s">
        <v>924</v>
      </c>
      <c r="G4" s="75"/>
    </row>
    <row r="6" spans="1:7" ht="15.75">
      <c r="A6" s="88" t="s">
        <v>1220</v>
      </c>
      <c r="B6" s="89"/>
    </row>
    <row r="7" spans="1:7">
      <c r="A7" t="s">
        <v>1221</v>
      </c>
    </row>
    <row r="8" spans="1:7">
      <c r="A8" s="77" t="s">
        <v>1222</v>
      </c>
      <c r="B8" s="77" t="s">
        <v>1223</v>
      </c>
      <c r="C8" s="78" t="s">
        <v>1224</v>
      </c>
      <c r="D8" s="84" t="s">
        <v>188</v>
      </c>
      <c r="E8" s="15">
        <v>2850</v>
      </c>
      <c r="F8" s="83" t="s">
        <v>1353</v>
      </c>
    </row>
    <row r="9" spans="1:7">
      <c r="A9" s="77" t="s">
        <v>1225</v>
      </c>
      <c r="B9" s="77" t="s">
        <v>1226</v>
      </c>
      <c r="C9" s="24" t="s">
        <v>1227</v>
      </c>
      <c r="D9" s="84" t="s">
        <v>120</v>
      </c>
      <c r="E9" s="15">
        <v>6270</v>
      </c>
      <c r="F9" s="28" t="s">
        <v>1354</v>
      </c>
    </row>
    <row r="11" spans="1:7">
      <c r="A11" t="s">
        <v>1228</v>
      </c>
    </row>
    <row r="12" spans="1:7">
      <c r="A12" s="78" t="s">
        <v>1229</v>
      </c>
      <c r="B12" s="77" t="s">
        <v>1230</v>
      </c>
      <c r="C12" s="78" t="s">
        <v>1231</v>
      </c>
      <c r="D12" s="84" t="s">
        <v>120</v>
      </c>
      <c r="E12" s="15">
        <v>6270</v>
      </c>
      <c r="F12" s="87" t="s">
        <v>1355</v>
      </c>
    </row>
    <row r="13" spans="1:7">
      <c r="A13" s="77" t="s">
        <v>1232</v>
      </c>
      <c r="B13" s="77" t="s">
        <v>1233</v>
      </c>
      <c r="C13" s="78" t="s">
        <v>1234</v>
      </c>
      <c r="D13" s="84" t="s">
        <v>120</v>
      </c>
      <c r="E13" s="15">
        <v>6270</v>
      </c>
      <c r="F13" s="87" t="s">
        <v>1356</v>
      </c>
    </row>
    <row r="14" spans="1:7">
      <c r="E14" s="15"/>
    </row>
    <row r="15" spans="1:7">
      <c r="A15" t="s">
        <v>1235</v>
      </c>
    </row>
    <row r="16" spans="1:7">
      <c r="A16" s="77" t="s">
        <v>1236</v>
      </c>
      <c r="B16" s="77" t="s">
        <v>1237</v>
      </c>
      <c r="C16" s="78" t="s">
        <v>1238</v>
      </c>
      <c r="D16" s="84" t="s">
        <v>120</v>
      </c>
      <c r="E16" s="15">
        <v>6270</v>
      </c>
      <c r="F16" s="87" t="s">
        <v>1357</v>
      </c>
    </row>
    <row r="17" spans="1:6">
      <c r="A17" s="77" t="s">
        <v>1239</v>
      </c>
      <c r="B17" s="77" t="s">
        <v>1240</v>
      </c>
      <c r="C17" s="24" t="s">
        <v>1241</v>
      </c>
      <c r="D17" s="84" t="s">
        <v>188</v>
      </c>
      <c r="E17" s="7">
        <v>2850</v>
      </c>
      <c r="F17" s="87" t="s">
        <v>1358</v>
      </c>
    </row>
    <row r="18" spans="1:6">
      <c r="A18" s="77"/>
      <c r="B18" s="77"/>
      <c r="C18" s="79" t="s">
        <v>1242</v>
      </c>
      <c r="D18" s="85" t="s">
        <v>1243</v>
      </c>
      <c r="F18" s="84"/>
    </row>
    <row r="20" spans="1:6">
      <c r="A20" t="s">
        <v>1244</v>
      </c>
    </row>
    <row r="21" spans="1:6">
      <c r="A21" s="78" t="s">
        <v>1245</v>
      </c>
      <c r="B21" s="78" t="s">
        <v>1246</v>
      </c>
      <c r="C21" s="78" t="s">
        <v>1247</v>
      </c>
      <c r="D21" s="84" t="s">
        <v>188</v>
      </c>
      <c r="E21" s="15">
        <v>2850</v>
      </c>
      <c r="F21" s="87" t="s">
        <v>1359</v>
      </c>
    </row>
    <row r="22" spans="1:6">
      <c r="A22" s="78" t="s">
        <v>1248</v>
      </c>
      <c r="B22" s="78" t="s">
        <v>1249</v>
      </c>
      <c r="C22" s="78" t="s">
        <v>1250</v>
      </c>
      <c r="D22" s="84" t="s">
        <v>1251</v>
      </c>
      <c r="E22" s="15">
        <v>6270</v>
      </c>
      <c r="F22" s="87" t="s">
        <v>1360</v>
      </c>
    </row>
    <row r="24" spans="1:6">
      <c r="A24" t="s">
        <v>1252</v>
      </c>
    </row>
    <row r="25" spans="1:6">
      <c r="A25" s="78" t="s">
        <v>1253</v>
      </c>
      <c r="B25" s="78" t="s">
        <v>1254</v>
      </c>
      <c r="C25" s="78" t="s">
        <v>1255</v>
      </c>
      <c r="D25" s="84" t="s">
        <v>188</v>
      </c>
      <c r="E25" s="7">
        <v>2850</v>
      </c>
      <c r="F25" s="84" t="s">
        <v>1361</v>
      </c>
    </row>
    <row r="26" spans="1:6">
      <c r="A26" s="78" t="s">
        <v>1256</v>
      </c>
      <c r="B26" s="78" t="s">
        <v>1257</v>
      </c>
      <c r="C26" s="78" t="s">
        <v>1258</v>
      </c>
      <c r="D26" s="84" t="s">
        <v>120</v>
      </c>
      <c r="E26" s="7">
        <v>6270</v>
      </c>
      <c r="F26" s="87" t="s">
        <v>1356</v>
      </c>
    </row>
    <row r="27" spans="1:6">
      <c r="E27" s="15"/>
    </row>
    <row r="28" spans="1:6">
      <c r="A28" t="s">
        <v>1259</v>
      </c>
    </row>
    <row r="29" spans="1:6">
      <c r="A29" s="77" t="s">
        <v>1260</v>
      </c>
      <c r="B29" s="77" t="s">
        <v>1261</v>
      </c>
      <c r="C29" s="78" t="s">
        <v>1255</v>
      </c>
      <c r="D29" s="84" t="s">
        <v>188</v>
      </c>
      <c r="E29" s="15">
        <v>2850</v>
      </c>
      <c r="F29" s="87" t="s">
        <v>1176</v>
      </c>
    </row>
    <row r="30" spans="1:6">
      <c r="A30" s="77" t="s">
        <v>1262</v>
      </c>
      <c r="B30" s="77" t="s">
        <v>1263</v>
      </c>
      <c r="C30" s="78" t="s">
        <v>1258</v>
      </c>
      <c r="D30" s="84" t="s">
        <v>120</v>
      </c>
      <c r="E30" s="7">
        <v>6270</v>
      </c>
      <c r="F30" s="87" t="s">
        <v>1362</v>
      </c>
    </row>
    <row r="31" spans="1:6">
      <c r="A31" s="77"/>
      <c r="B31" s="77"/>
      <c r="C31" s="80" t="s">
        <v>1264</v>
      </c>
      <c r="D31" s="86" t="s">
        <v>1265</v>
      </c>
      <c r="F31" s="84"/>
    </row>
    <row r="33" spans="1:6" ht="15.75">
      <c r="A33" s="90" t="s">
        <v>1266</v>
      </c>
      <c r="B33" s="89"/>
    </row>
    <row r="34" spans="1:6">
      <c r="A34" t="s">
        <v>1221</v>
      </c>
    </row>
    <row r="35" spans="1:6">
      <c r="A35" s="77" t="s">
        <v>1267</v>
      </c>
      <c r="B35" s="77" t="s">
        <v>1268</v>
      </c>
      <c r="C35" s="78" t="s">
        <v>1269</v>
      </c>
      <c r="D35" s="84" t="s">
        <v>142</v>
      </c>
      <c r="E35" s="15">
        <v>6600</v>
      </c>
      <c r="F35" s="87" t="s">
        <v>1363</v>
      </c>
    </row>
    <row r="36" spans="1:6">
      <c r="A36" s="77" t="s">
        <v>1270</v>
      </c>
      <c r="B36" s="77" t="s">
        <v>1271</v>
      </c>
      <c r="C36" s="24" t="s">
        <v>1272</v>
      </c>
      <c r="D36" s="84" t="s">
        <v>188</v>
      </c>
      <c r="E36" s="15">
        <v>2850</v>
      </c>
      <c r="F36" s="28" t="s">
        <v>1188</v>
      </c>
    </row>
    <row r="38" spans="1:6">
      <c r="A38" t="s">
        <v>1228</v>
      </c>
    </row>
    <row r="39" spans="1:6">
      <c r="A39" s="78" t="s">
        <v>1273</v>
      </c>
      <c r="B39" s="77" t="s">
        <v>1274</v>
      </c>
      <c r="C39" s="78" t="s">
        <v>1275</v>
      </c>
      <c r="D39" s="84" t="s">
        <v>142</v>
      </c>
      <c r="E39" s="15">
        <v>6600</v>
      </c>
      <c r="F39" s="87" t="s">
        <v>1364</v>
      </c>
    </row>
    <row r="40" spans="1:6">
      <c r="A40" s="77" t="s">
        <v>1276</v>
      </c>
      <c r="B40" s="78" t="s">
        <v>1277</v>
      </c>
      <c r="C40" s="78" t="s">
        <v>1278</v>
      </c>
      <c r="D40" s="84" t="s">
        <v>188</v>
      </c>
      <c r="E40" s="15">
        <v>2850</v>
      </c>
      <c r="F40" s="87" t="s">
        <v>1188</v>
      </c>
    </row>
    <row r="41" spans="1:6">
      <c r="E41" s="15"/>
    </row>
    <row r="42" spans="1:6">
      <c r="A42" t="s">
        <v>1235</v>
      </c>
    </row>
    <row r="43" spans="1:6">
      <c r="A43" s="77" t="s">
        <v>1279</v>
      </c>
      <c r="B43" s="77" t="s">
        <v>1280</v>
      </c>
      <c r="C43" s="78" t="s">
        <v>1281</v>
      </c>
      <c r="D43" s="84" t="s">
        <v>120</v>
      </c>
      <c r="E43" s="15">
        <v>9120</v>
      </c>
      <c r="F43" s="87" t="s">
        <v>1365</v>
      </c>
    </row>
    <row r="44" spans="1:6">
      <c r="A44" s="77"/>
      <c r="B44" s="77"/>
      <c r="C44" s="79" t="s">
        <v>1242</v>
      </c>
      <c r="D44" s="85" t="s">
        <v>1265</v>
      </c>
      <c r="F44" s="84"/>
    </row>
    <row r="45" spans="1:6">
      <c r="A45" s="77"/>
      <c r="B45" s="77"/>
      <c r="C45" s="79"/>
      <c r="D45" s="85"/>
      <c r="F45" s="84"/>
    </row>
    <row r="47" spans="1:6">
      <c r="A47" t="s">
        <v>1244</v>
      </c>
    </row>
    <row r="48" spans="1:6">
      <c r="A48" s="78" t="s">
        <v>1282</v>
      </c>
      <c r="B48" s="78" t="s">
        <v>1283</v>
      </c>
      <c r="C48" s="78" t="s">
        <v>1284</v>
      </c>
      <c r="D48" s="84" t="s">
        <v>188</v>
      </c>
      <c r="E48" s="15">
        <v>2850</v>
      </c>
      <c r="F48" s="87" t="s">
        <v>1366</v>
      </c>
    </row>
    <row r="49" spans="1:7">
      <c r="A49" s="78" t="s">
        <v>1285</v>
      </c>
      <c r="B49" s="78" t="s">
        <v>1286</v>
      </c>
      <c r="C49" s="78" t="s">
        <v>1287</v>
      </c>
      <c r="D49" s="84" t="s">
        <v>142</v>
      </c>
      <c r="E49" s="15">
        <v>6600</v>
      </c>
      <c r="F49" s="87" t="s">
        <v>1367</v>
      </c>
    </row>
    <row r="50" spans="1:7">
      <c r="A50" s="78" t="s">
        <v>1288</v>
      </c>
      <c r="B50" t="s">
        <v>1289</v>
      </c>
      <c r="C50" s="78" t="s">
        <v>1290</v>
      </c>
      <c r="D50" s="87" t="s">
        <v>142</v>
      </c>
      <c r="E50" s="7">
        <v>6600</v>
      </c>
      <c r="F50" s="87" t="s">
        <v>1368</v>
      </c>
    </row>
    <row r="51" spans="1:7">
      <c r="A51" t="s">
        <v>1252</v>
      </c>
    </row>
    <row r="52" spans="1:7">
      <c r="A52" s="78" t="s">
        <v>1291</v>
      </c>
      <c r="B52" s="78" t="s">
        <v>1292</v>
      </c>
      <c r="C52" s="78" t="s">
        <v>1293</v>
      </c>
      <c r="D52" s="84" t="s">
        <v>142</v>
      </c>
      <c r="E52" s="7">
        <v>6600</v>
      </c>
      <c r="F52" s="87" t="s">
        <v>1364</v>
      </c>
    </row>
    <row r="53" spans="1:7">
      <c r="A53" s="78" t="s">
        <v>1294</v>
      </c>
      <c r="B53" s="78" t="s">
        <v>1295</v>
      </c>
      <c r="C53" s="78" t="s">
        <v>1278</v>
      </c>
      <c r="D53" s="84" t="s">
        <v>188</v>
      </c>
      <c r="E53" s="7">
        <v>3420</v>
      </c>
      <c r="F53" s="87" t="s">
        <v>1369</v>
      </c>
    </row>
    <row r="54" spans="1:7">
      <c r="E54" s="15"/>
    </row>
    <row r="55" spans="1:7">
      <c r="A55" t="s">
        <v>1259</v>
      </c>
    </row>
    <row r="56" spans="1:7">
      <c r="A56" s="78" t="s">
        <v>513</v>
      </c>
      <c r="B56" s="78" t="s">
        <v>78</v>
      </c>
      <c r="C56" s="78" t="s">
        <v>1296</v>
      </c>
      <c r="D56" s="84" t="s">
        <v>120</v>
      </c>
      <c r="E56" s="15">
        <v>4275</v>
      </c>
      <c r="F56" s="87" t="s">
        <v>1370</v>
      </c>
    </row>
    <row r="57" spans="1:7">
      <c r="A57" s="78" t="s">
        <v>132</v>
      </c>
      <c r="B57" s="78" t="s">
        <v>1297</v>
      </c>
      <c r="C57" s="78" t="s">
        <v>1296</v>
      </c>
      <c r="D57" s="84" t="s">
        <v>120</v>
      </c>
      <c r="E57" s="7">
        <v>4275</v>
      </c>
      <c r="F57" s="87" t="s">
        <v>1371</v>
      </c>
    </row>
    <row r="58" spans="1:7">
      <c r="A58" s="78" t="s">
        <v>1298</v>
      </c>
      <c r="B58" s="78" t="s">
        <v>1299</v>
      </c>
      <c r="C58" s="78" t="s">
        <v>1300</v>
      </c>
      <c r="D58" s="84" t="s">
        <v>120</v>
      </c>
      <c r="E58" s="7">
        <v>4275</v>
      </c>
      <c r="F58" s="87" t="s">
        <v>1372</v>
      </c>
    </row>
    <row r="59" spans="1:7">
      <c r="A59" s="77"/>
      <c r="B59" s="77"/>
      <c r="C59" s="80" t="s">
        <v>1264</v>
      </c>
      <c r="D59" s="86" t="s">
        <v>1301</v>
      </c>
    </row>
    <row r="60" spans="1:7">
      <c r="A60" s="77"/>
      <c r="B60" s="77"/>
      <c r="C60" s="80"/>
      <c r="D60" s="86"/>
    </row>
    <row r="61" spans="1:7">
      <c r="A61" s="91" t="s">
        <v>1302</v>
      </c>
      <c r="B61" s="92"/>
      <c r="C61" s="80"/>
      <c r="D61" s="86"/>
    </row>
    <row r="62" spans="1:7">
      <c r="A62" t="s">
        <v>1221</v>
      </c>
    </row>
    <row r="63" spans="1:7">
      <c r="A63" s="77" t="s">
        <v>1303</v>
      </c>
      <c r="B63" s="77" t="s">
        <v>1304</v>
      </c>
      <c r="C63" s="78" t="s">
        <v>1305</v>
      </c>
      <c r="D63" s="84" t="s">
        <v>120</v>
      </c>
      <c r="E63" s="15">
        <v>5300</v>
      </c>
      <c r="F63" s="87" t="s">
        <v>1373</v>
      </c>
      <c r="G63" s="77"/>
    </row>
    <row r="64" spans="1:7">
      <c r="A64" s="77" t="s">
        <v>1306</v>
      </c>
      <c r="B64" s="77" t="s">
        <v>1307</v>
      </c>
      <c r="C64" s="78" t="s">
        <v>1308</v>
      </c>
      <c r="D64" s="84" t="s">
        <v>188</v>
      </c>
      <c r="E64" s="15">
        <v>3060</v>
      </c>
      <c r="F64" s="87" t="s">
        <v>1374</v>
      </c>
      <c r="G64" s="77"/>
    </row>
    <row r="65" spans="1:7">
      <c r="A65" s="77" t="s">
        <v>1309</v>
      </c>
      <c r="B65" s="77" t="s">
        <v>1310</v>
      </c>
      <c r="C65" s="24" t="s">
        <v>1311</v>
      </c>
      <c r="D65" s="84" t="s">
        <v>234</v>
      </c>
      <c r="E65" s="7">
        <v>1020</v>
      </c>
      <c r="F65" s="28" t="s">
        <v>1375</v>
      </c>
      <c r="G65" s="77"/>
    </row>
    <row r="66" spans="1:7">
      <c r="A66" t="s">
        <v>1228</v>
      </c>
    </row>
    <row r="67" spans="1:7">
      <c r="A67" s="77" t="s">
        <v>1312</v>
      </c>
      <c r="B67" s="77" t="s">
        <v>1313</v>
      </c>
      <c r="C67" s="78" t="s">
        <v>1314</v>
      </c>
      <c r="D67" s="84" t="s">
        <v>120</v>
      </c>
      <c r="E67" s="15">
        <v>2700</v>
      </c>
      <c r="F67" s="87" t="s">
        <v>1376</v>
      </c>
    </row>
    <row r="68" spans="1:7">
      <c r="A68" s="77" t="s">
        <v>1315</v>
      </c>
      <c r="B68" s="77" t="s">
        <v>1316</v>
      </c>
      <c r="C68" s="78" t="s">
        <v>1317</v>
      </c>
      <c r="D68" s="84" t="s">
        <v>234</v>
      </c>
      <c r="E68" s="15">
        <v>900</v>
      </c>
      <c r="F68" s="87" t="s">
        <v>1377</v>
      </c>
    </row>
    <row r="69" spans="1:7">
      <c r="A69" s="77" t="s">
        <v>1318</v>
      </c>
      <c r="B69" s="77" t="s">
        <v>1319</v>
      </c>
      <c r="C69" s="78" t="s">
        <v>1320</v>
      </c>
      <c r="D69" s="84" t="s">
        <v>188</v>
      </c>
      <c r="E69" s="15">
        <v>4500</v>
      </c>
      <c r="F69" s="87" t="s">
        <v>1012</v>
      </c>
    </row>
    <row r="70" spans="1:7">
      <c r="A70" s="77"/>
      <c r="B70" s="77"/>
      <c r="C70" s="78"/>
      <c r="D70" s="84"/>
      <c r="E70" s="15"/>
      <c r="F70" s="84"/>
    </row>
    <row r="71" spans="1:7">
      <c r="A71" t="s">
        <v>1321</v>
      </c>
    </row>
    <row r="72" spans="1:7">
      <c r="A72" s="77" t="s">
        <v>1322</v>
      </c>
      <c r="B72" s="77" t="s">
        <v>1323</v>
      </c>
      <c r="C72" s="77" t="s">
        <v>1324</v>
      </c>
      <c r="D72" s="84" t="s">
        <v>120</v>
      </c>
      <c r="E72" s="7">
        <v>4275</v>
      </c>
      <c r="F72" s="84" t="s">
        <v>1378</v>
      </c>
    </row>
    <row r="73" spans="1:7">
      <c r="A73" s="77" t="s">
        <v>177</v>
      </c>
      <c r="B73" s="77" t="s">
        <v>1325</v>
      </c>
      <c r="C73" s="78" t="s">
        <v>1326</v>
      </c>
      <c r="D73" s="84" t="s">
        <v>120</v>
      </c>
      <c r="E73" s="7">
        <v>3960</v>
      </c>
      <c r="F73" s="87" t="s">
        <v>1379</v>
      </c>
    </row>
    <row r="74" spans="1:7">
      <c r="A74" s="77"/>
      <c r="B74" s="77"/>
      <c r="C74" s="79" t="s">
        <v>1242</v>
      </c>
      <c r="D74" s="85" t="s">
        <v>1301</v>
      </c>
      <c r="F74" s="84"/>
    </row>
    <row r="76" spans="1:7">
      <c r="A76" t="s">
        <v>1244</v>
      </c>
    </row>
    <row r="77" spans="1:7">
      <c r="A77" s="77" t="s">
        <v>1327</v>
      </c>
      <c r="B77" s="77" t="s">
        <v>1328</v>
      </c>
      <c r="C77" s="77" t="s">
        <v>1329</v>
      </c>
      <c r="D77" s="84" t="s">
        <v>234</v>
      </c>
      <c r="E77" s="15">
        <v>1920</v>
      </c>
      <c r="F77" s="87" t="s">
        <v>1380</v>
      </c>
    </row>
    <row r="78" spans="1:7">
      <c r="A78" s="77" t="s">
        <v>1330</v>
      </c>
      <c r="B78" s="77" t="s">
        <v>370</v>
      </c>
      <c r="C78" s="78" t="s">
        <v>1331</v>
      </c>
      <c r="D78" s="84" t="s">
        <v>120</v>
      </c>
      <c r="E78" s="15">
        <v>5760</v>
      </c>
      <c r="F78" s="87" t="s">
        <v>1381</v>
      </c>
    </row>
    <row r="80" spans="1:7">
      <c r="A80" t="s">
        <v>1252</v>
      </c>
    </row>
    <row r="81" spans="1:6">
      <c r="A81" s="77" t="s">
        <v>1332</v>
      </c>
      <c r="B81" s="78" t="s">
        <v>1333</v>
      </c>
      <c r="C81" t="s">
        <v>1334</v>
      </c>
      <c r="D81" s="84" t="s">
        <v>120</v>
      </c>
      <c r="E81" s="7">
        <v>2700</v>
      </c>
      <c r="F81" s="87" t="s">
        <v>1382</v>
      </c>
    </row>
    <row r="82" spans="1:6">
      <c r="A82" s="78" t="s">
        <v>1335</v>
      </c>
      <c r="B82" s="78" t="s">
        <v>1336</v>
      </c>
      <c r="C82" t="s">
        <v>1337</v>
      </c>
      <c r="D82" s="84" t="s">
        <v>234</v>
      </c>
      <c r="E82" s="7">
        <v>900</v>
      </c>
      <c r="F82" s="87" t="s">
        <v>1383</v>
      </c>
    </row>
    <row r="83" spans="1:6">
      <c r="A83" s="78" t="s">
        <v>1338</v>
      </c>
      <c r="B83" s="78" t="s">
        <v>1339</v>
      </c>
      <c r="C83" t="s">
        <v>1340</v>
      </c>
      <c r="D83" s="84" t="s">
        <v>1341</v>
      </c>
      <c r="E83" s="7">
        <v>3060</v>
      </c>
      <c r="F83" s="87" t="s">
        <v>1384</v>
      </c>
    </row>
    <row r="84" spans="1:6">
      <c r="A84" s="78" t="s">
        <v>1342</v>
      </c>
      <c r="B84" s="78" t="s">
        <v>1343</v>
      </c>
      <c r="D84" s="84" t="s">
        <v>1341</v>
      </c>
      <c r="E84" s="7">
        <v>900</v>
      </c>
      <c r="F84" s="87" t="s">
        <v>1385</v>
      </c>
    </row>
    <row r="85" spans="1:6">
      <c r="E85" s="15"/>
    </row>
    <row r="86" spans="1:6">
      <c r="A86" t="s">
        <v>1344</v>
      </c>
    </row>
    <row r="87" spans="1:6">
      <c r="A87" s="77" t="s">
        <v>1345</v>
      </c>
      <c r="B87" s="77" t="s">
        <v>407</v>
      </c>
      <c r="C87" t="s">
        <v>1346</v>
      </c>
      <c r="D87" s="84" t="s">
        <v>120</v>
      </c>
      <c r="E87" s="7">
        <v>3960</v>
      </c>
      <c r="F87" s="84" t="s">
        <v>1386</v>
      </c>
    </row>
    <row r="88" spans="1:6">
      <c r="A88" s="81" t="s">
        <v>1347</v>
      </c>
      <c r="B88" s="77" t="s">
        <v>1348</v>
      </c>
      <c r="C88" t="s">
        <v>1349</v>
      </c>
      <c r="D88" s="84" t="s">
        <v>1341</v>
      </c>
      <c r="E88" s="7">
        <v>2400</v>
      </c>
      <c r="F88" s="87" t="s">
        <v>1387</v>
      </c>
    </row>
    <row r="89" spans="1:6">
      <c r="A89" s="82" t="s">
        <v>1347</v>
      </c>
      <c r="B89" s="78" t="s">
        <v>1350</v>
      </c>
      <c r="C89" t="s">
        <v>1351</v>
      </c>
      <c r="D89" s="84" t="s">
        <v>234</v>
      </c>
      <c r="E89" s="7">
        <v>900</v>
      </c>
      <c r="F89" s="87" t="s">
        <v>1385</v>
      </c>
    </row>
    <row r="90" spans="1:6">
      <c r="C90" s="79" t="s">
        <v>1264</v>
      </c>
      <c r="D90" s="85" t="s">
        <v>1352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>
      <selection activeCell="B22" sqref="B22"/>
    </sheetView>
  </sheetViews>
  <sheetFormatPr defaultRowHeight="15"/>
  <cols>
    <col min="1" max="1" width="29.85546875" customWidth="1"/>
    <col min="2" max="2" width="31.42578125" customWidth="1"/>
    <col min="3" max="3" width="20.85546875" customWidth="1"/>
    <col min="4" max="4" width="12" customWidth="1"/>
    <col min="5" max="5" width="8.42578125" style="7" bestFit="1" customWidth="1"/>
    <col min="6" max="6" width="18.5703125" style="7" customWidth="1"/>
    <col min="256" max="256" width="29.85546875" customWidth="1"/>
    <col min="257" max="257" width="31.42578125" customWidth="1"/>
    <col min="258" max="258" width="20.85546875" customWidth="1"/>
    <col min="259" max="259" width="12" bestFit="1" customWidth="1"/>
    <col min="260" max="260" width="8.42578125" bestFit="1" customWidth="1"/>
    <col min="261" max="261" width="10.5703125" bestFit="1" customWidth="1"/>
    <col min="512" max="512" width="29.85546875" customWidth="1"/>
    <col min="513" max="513" width="31.42578125" customWidth="1"/>
    <col min="514" max="514" width="20.85546875" customWidth="1"/>
    <col min="515" max="515" width="12" bestFit="1" customWidth="1"/>
    <col min="516" max="516" width="8.42578125" bestFit="1" customWidth="1"/>
    <col min="517" max="517" width="10.5703125" bestFit="1" customWidth="1"/>
    <col min="768" max="768" width="29.85546875" customWidth="1"/>
    <col min="769" max="769" width="31.42578125" customWidth="1"/>
    <col min="770" max="770" width="20.85546875" customWidth="1"/>
    <col min="771" max="771" width="12" bestFit="1" customWidth="1"/>
    <col min="772" max="772" width="8.42578125" bestFit="1" customWidth="1"/>
    <col min="773" max="773" width="10.5703125" bestFit="1" customWidth="1"/>
    <col min="1024" max="1024" width="29.85546875" customWidth="1"/>
    <col min="1025" max="1025" width="31.42578125" customWidth="1"/>
    <col min="1026" max="1026" width="20.85546875" customWidth="1"/>
    <col min="1027" max="1027" width="12" bestFit="1" customWidth="1"/>
    <col min="1028" max="1028" width="8.42578125" bestFit="1" customWidth="1"/>
    <col min="1029" max="1029" width="10.5703125" bestFit="1" customWidth="1"/>
    <col min="1280" max="1280" width="29.85546875" customWidth="1"/>
    <col min="1281" max="1281" width="31.42578125" customWidth="1"/>
    <col min="1282" max="1282" width="20.85546875" customWidth="1"/>
    <col min="1283" max="1283" width="12" bestFit="1" customWidth="1"/>
    <col min="1284" max="1284" width="8.42578125" bestFit="1" customWidth="1"/>
    <col min="1285" max="1285" width="10.5703125" bestFit="1" customWidth="1"/>
    <col min="1536" max="1536" width="29.85546875" customWidth="1"/>
    <col min="1537" max="1537" width="31.42578125" customWidth="1"/>
    <col min="1538" max="1538" width="20.85546875" customWidth="1"/>
    <col min="1539" max="1539" width="12" bestFit="1" customWidth="1"/>
    <col min="1540" max="1540" width="8.42578125" bestFit="1" customWidth="1"/>
    <col min="1541" max="1541" width="10.5703125" bestFit="1" customWidth="1"/>
    <col min="1792" max="1792" width="29.85546875" customWidth="1"/>
    <col min="1793" max="1793" width="31.42578125" customWidth="1"/>
    <col min="1794" max="1794" width="20.85546875" customWidth="1"/>
    <col min="1795" max="1795" width="12" bestFit="1" customWidth="1"/>
    <col min="1796" max="1796" width="8.42578125" bestFit="1" customWidth="1"/>
    <col min="1797" max="1797" width="10.5703125" bestFit="1" customWidth="1"/>
    <col min="2048" max="2048" width="29.85546875" customWidth="1"/>
    <col min="2049" max="2049" width="31.42578125" customWidth="1"/>
    <col min="2050" max="2050" width="20.85546875" customWidth="1"/>
    <col min="2051" max="2051" width="12" bestFit="1" customWidth="1"/>
    <col min="2052" max="2052" width="8.42578125" bestFit="1" customWidth="1"/>
    <col min="2053" max="2053" width="10.5703125" bestFit="1" customWidth="1"/>
    <col min="2304" max="2304" width="29.85546875" customWidth="1"/>
    <col min="2305" max="2305" width="31.42578125" customWidth="1"/>
    <col min="2306" max="2306" width="20.85546875" customWidth="1"/>
    <col min="2307" max="2307" width="12" bestFit="1" customWidth="1"/>
    <col min="2308" max="2308" width="8.42578125" bestFit="1" customWidth="1"/>
    <col min="2309" max="2309" width="10.5703125" bestFit="1" customWidth="1"/>
    <col min="2560" max="2560" width="29.85546875" customWidth="1"/>
    <col min="2561" max="2561" width="31.42578125" customWidth="1"/>
    <col min="2562" max="2562" width="20.85546875" customWidth="1"/>
    <col min="2563" max="2563" width="12" bestFit="1" customWidth="1"/>
    <col min="2564" max="2564" width="8.42578125" bestFit="1" customWidth="1"/>
    <col min="2565" max="2565" width="10.5703125" bestFit="1" customWidth="1"/>
    <col min="2816" max="2816" width="29.85546875" customWidth="1"/>
    <col min="2817" max="2817" width="31.42578125" customWidth="1"/>
    <col min="2818" max="2818" width="20.85546875" customWidth="1"/>
    <col min="2819" max="2819" width="12" bestFit="1" customWidth="1"/>
    <col min="2820" max="2820" width="8.42578125" bestFit="1" customWidth="1"/>
    <col min="2821" max="2821" width="10.5703125" bestFit="1" customWidth="1"/>
    <col min="3072" max="3072" width="29.85546875" customWidth="1"/>
    <col min="3073" max="3073" width="31.42578125" customWidth="1"/>
    <col min="3074" max="3074" width="20.85546875" customWidth="1"/>
    <col min="3075" max="3075" width="12" bestFit="1" customWidth="1"/>
    <col min="3076" max="3076" width="8.42578125" bestFit="1" customWidth="1"/>
    <col min="3077" max="3077" width="10.5703125" bestFit="1" customWidth="1"/>
    <col min="3328" max="3328" width="29.85546875" customWidth="1"/>
    <col min="3329" max="3329" width="31.42578125" customWidth="1"/>
    <col min="3330" max="3330" width="20.85546875" customWidth="1"/>
    <col min="3331" max="3331" width="12" bestFit="1" customWidth="1"/>
    <col min="3332" max="3332" width="8.42578125" bestFit="1" customWidth="1"/>
    <col min="3333" max="3333" width="10.5703125" bestFit="1" customWidth="1"/>
    <col min="3584" max="3584" width="29.85546875" customWidth="1"/>
    <col min="3585" max="3585" width="31.42578125" customWidth="1"/>
    <col min="3586" max="3586" width="20.85546875" customWidth="1"/>
    <col min="3587" max="3587" width="12" bestFit="1" customWidth="1"/>
    <col min="3588" max="3588" width="8.42578125" bestFit="1" customWidth="1"/>
    <col min="3589" max="3589" width="10.5703125" bestFit="1" customWidth="1"/>
    <col min="3840" max="3840" width="29.85546875" customWidth="1"/>
    <col min="3841" max="3841" width="31.42578125" customWidth="1"/>
    <col min="3842" max="3842" width="20.85546875" customWidth="1"/>
    <col min="3843" max="3843" width="12" bestFit="1" customWidth="1"/>
    <col min="3844" max="3844" width="8.42578125" bestFit="1" customWidth="1"/>
    <col min="3845" max="3845" width="10.5703125" bestFit="1" customWidth="1"/>
    <col min="4096" max="4096" width="29.85546875" customWidth="1"/>
    <col min="4097" max="4097" width="31.42578125" customWidth="1"/>
    <col min="4098" max="4098" width="20.85546875" customWidth="1"/>
    <col min="4099" max="4099" width="12" bestFit="1" customWidth="1"/>
    <col min="4100" max="4100" width="8.42578125" bestFit="1" customWidth="1"/>
    <col min="4101" max="4101" width="10.5703125" bestFit="1" customWidth="1"/>
    <col min="4352" max="4352" width="29.85546875" customWidth="1"/>
    <col min="4353" max="4353" width="31.42578125" customWidth="1"/>
    <col min="4354" max="4354" width="20.85546875" customWidth="1"/>
    <col min="4355" max="4355" width="12" bestFit="1" customWidth="1"/>
    <col min="4356" max="4356" width="8.42578125" bestFit="1" customWidth="1"/>
    <col min="4357" max="4357" width="10.5703125" bestFit="1" customWidth="1"/>
    <col min="4608" max="4608" width="29.85546875" customWidth="1"/>
    <col min="4609" max="4609" width="31.42578125" customWidth="1"/>
    <col min="4610" max="4610" width="20.85546875" customWidth="1"/>
    <col min="4611" max="4611" width="12" bestFit="1" customWidth="1"/>
    <col min="4612" max="4612" width="8.42578125" bestFit="1" customWidth="1"/>
    <col min="4613" max="4613" width="10.5703125" bestFit="1" customWidth="1"/>
    <col min="4864" max="4864" width="29.85546875" customWidth="1"/>
    <col min="4865" max="4865" width="31.42578125" customWidth="1"/>
    <col min="4866" max="4866" width="20.85546875" customWidth="1"/>
    <col min="4867" max="4867" width="12" bestFit="1" customWidth="1"/>
    <col min="4868" max="4868" width="8.42578125" bestFit="1" customWidth="1"/>
    <col min="4869" max="4869" width="10.5703125" bestFit="1" customWidth="1"/>
    <col min="5120" max="5120" width="29.85546875" customWidth="1"/>
    <col min="5121" max="5121" width="31.42578125" customWidth="1"/>
    <col min="5122" max="5122" width="20.85546875" customWidth="1"/>
    <col min="5123" max="5123" width="12" bestFit="1" customWidth="1"/>
    <col min="5124" max="5124" width="8.42578125" bestFit="1" customWidth="1"/>
    <col min="5125" max="5125" width="10.5703125" bestFit="1" customWidth="1"/>
    <col min="5376" max="5376" width="29.85546875" customWidth="1"/>
    <col min="5377" max="5377" width="31.42578125" customWidth="1"/>
    <col min="5378" max="5378" width="20.85546875" customWidth="1"/>
    <col min="5379" max="5379" width="12" bestFit="1" customWidth="1"/>
    <col min="5380" max="5380" width="8.42578125" bestFit="1" customWidth="1"/>
    <col min="5381" max="5381" width="10.5703125" bestFit="1" customWidth="1"/>
    <col min="5632" max="5632" width="29.85546875" customWidth="1"/>
    <col min="5633" max="5633" width="31.42578125" customWidth="1"/>
    <col min="5634" max="5634" width="20.85546875" customWidth="1"/>
    <col min="5635" max="5635" width="12" bestFit="1" customWidth="1"/>
    <col min="5636" max="5636" width="8.42578125" bestFit="1" customWidth="1"/>
    <col min="5637" max="5637" width="10.5703125" bestFit="1" customWidth="1"/>
    <col min="5888" max="5888" width="29.85546875" customWidth="1"/>
    <col min="5889" max="5889" width="31.42578125" customWidth="1"/>
    <col min="5890" max="5890" width="20.85546875" customWidth="1"/>
    <col min="5891" max="5891" width="12" bestFit="1" customWidth="1"/>
    <col min="5892" max="5892" width="8.42578125" bestFit="1" customWidth="1"/>
    <col min="5893" max="5893" width="10.5703125" bestFit="1" customWidth="1"/>
    <col min="6144" max="6144" width="29.85546875" customWidth="1"/>
    <col min="6145" max="6145" width="31.42578125" customWidth="1"/>
    <col min="6146" max="6146" width="20.85546875" customWidth="1"/>
    <col min="6147" max="6147" width="12" bestFit="1" customWidth="1"/>
    <col min="6148" max="6148" width="8.42578125" bestFit="1" customWidth="1"/>
    <col min="6149" max="6149" width="10.5703125" bestFit="1" customWidth="1"/>
    <col min="6400" max="6400" width="29.85546875" customWidth="1"/>
    <col min="6401" max="6401" width="31.42578125" customWidth="1"/>
    <col min="6402" max="6402" width="20.85546875" customWidth="1"/>
    <col min="6403" max="6403" width="12" bestFit="1" customWidth="1"/>
    <col min="6404" max="6404" width="8.42578125" bestFit="1" customWidth="1"/>
    <col min="6405" max="6405" width="10.5703125" bestFit="1" customWidth="1"/>
    <col min="6656" max="6656" width="29.85546875" customWidth="1"/>
    <col min="6657" max="6657" width="31.42578125" customWidth="1"/>
    <col min="6658" max="6658" width="20.85546875" customWidth="1"/>
    <col min="6659" max="6659" width="12" bestFit="1" customWidth="1"/>
    <col min="6660" max="6660" width="8.42578125" bestFit="1" customWidth="1"/>
    <col min="6661" max="6661" width="10.5703125" bestFit="1" customWidth="1"/>
    <col min="6912" max="6912" width="29.85546875" customWidth="1"/>
    <col min="6913" max="6913" width="31.42578125" customWidth="1"/>
    <col min="6914" max="6914" width="20.85546875" customWidth="1"/>
    <col min="6915" max="6915" width="12" bestFit="1" customWidth="1"/>
    <col min="6916" max="6916" width="8.42578125" bestFit="1" customWidth="1"/>
    <col min="6917" max="6917" width="10.5703125" bestFit="1" customWidth="1"/>
    <col min="7168" max="7168" width="29.85546875" customWidth="1"/>
    <col min="7169" max="7169" width="31.42578125" customWidth="1"/>
    <col min="7170" max="7170" width="20.85546875" customWidth="1"/>
    <col min="7171" max="7171" width="12" bestFit="1" customWidth="1"/>
    <col min="7172" max="7172" width="8.42578125" bestFit="1" customWidth="1"/>
    <col min="7173" max="7173" width="10.5703125" bestFit="1" customWidth="1"/>
    <col min="7424" max="7424" width="29.85546875" customWidth="1"/>
    <col min="7425" max="7425" width="31.42578125" customWidth="1"/>
    <col min="7426" max="7426" width="20.85546875" customWidth="1"/>
    <col min="7427" max="7427" width="12" bestFit="1" customWidth="1"/>
    <col min="7428" max="7428" width="8.42578125" bestFit="1" customWidth="1"/>
    <col min="7429" max="7429" width="10.5703125" bestFit="1" customWidth="1"/>
    <col min="7680" max="7680" width="29.85546875" customWidth="1"/>
    <col min="7681" max="7681" width="31.42578125" customWidth="1"/>
    <col min="7682" max="7682" width="20.85546875" customWidth="1"/>
    <col min="7683" max="7683" width="12" bestFit="1" customWidth="1"/>
    <col min="7684" max="7684" width="8.42578125" bestFit="1" customWidth="1"/>
    <col min="7685" max="7685" width="10.5703125" bestFit="1" customWidth="1"/>
    <col min="7936" max="7936" width="29.85546875" customWidth="1"/>
    <col min="7937" max="7937" width="31.42578125" customWidth="1"/>
    <col min="7938" max="7938" width="20.85546875" customWidth="1"/>
    <col min="7939" max="7939" width="12" bestFit="1" customWidth="1"/>
    <col min="7940" max="7940" width="8.42578125" bestFit="1" customWidth="1"/>
    <col min="7941" max="7941" width="10.5703125" bestFit="1" customWidth="1"/>
    <col min="8192" max="8192" width="29.85546875" customWidth="1"/>
    <col min="8193" max="8193" width="31.42578125" customWidth="1"/>
    <col min="8194" max="8194" width="20.85546875" customWidth="1"/>
    <col min="8195" max="8195" width="12" bestFit="1" customWidth="1"/>
    <col min="8196" max="8196" width="8.42578125" bestFit="1" customWidth="1"/>
    <col min="8197" max="8197" width="10.5703125" bestFit="1" customWidth="1"/>
    <col min="8448" max="8448" width="29.85546875" customWidth="1"/>
    <col min="8449" max="8449" width="31.42578125" customWidth="1"/>
    <col min="8450" max="8450" width="20.85546875" customWidth="1"/>
    <col min="8451" max="8451" width="12" bestFit="1" customWidth="1"/>
    <col min="8452" max="8452" width="8.42578125" bestFit="1" customWidth="1"/>
    <col min="8453" max="8453" width="10.5703125" bestFit="1" customWidth="1"/>
    <col min="8704" max="8704" width="29.85546875" customWidth="1"/>
    <col min="8705" max="8705" width="31.42578125" customWidth="1"/>
    <col min="8706" max="8706" width="20.85546875" customWidth="1"/>
    <col min="8707" max="8707" width="12" bestFit="1" customWidth="1"/>
    <col min="8708" max="8708" width="8.42578125" bestFit="1" customWidth="1"/>
    <col min="8709" max="8709" width="10.5703125" bestFit="1" customWidth="1"/>
    <col min="8960" max="8960" width="29.85546875" customWidth="1"/>
    <col min="8961" max="8961" width="31.42578125" customWidth="1"/>
    <col min="8962" max="8962" width="20.85546875" customWidth="1"/>
    <col min="8963" max="8963" width="12" bestFit="1" customWidth="1"/>
    <col min="8964" max="8964" width="8.42578125" bestFit="1" customWidth="1"/>
    <col min="8965" max="8965" width="10.5703125" bestFit="1" customWidth="1"/>
    <col min="9216" max="9216" width="29.85546875" customWidth="1"/>
    <col min="9217" max="9217" width="31.42578125" customWidth="1"/>
    <col min="9218" max="9218" width="20.85546875" customWidth="1"/>
    <col min="9219" max="9219" width="12" bestFit="1" customWidth="1"/>
    <col min="9220" max="9220" width="8.42578125" bestFit="1" customWidth="1"/>
    <col min="9221" max="9221" width="10.5703125" bestFit="1" customWidth="1"/>
    <col min="9472" max="9472" width="29.85546875" customWidth="1"/>
    <col min="9473" max="9473" width="31.42578125" customWidth="1"/>
    <col min="9474" max="9474" width="20.85546875" customWidth="1"/>
    <col min="9475" max="9475" width="12" bestFit="1" customWidth="1"/>
    <col min="9476" max="9476" width="8.42578125" bestFit="1" customWidth="1"/>
    <col min="9477" max="9477" width="10.5703125" bestFit="1" customWidth="1"/>
    <col min="9728" max="9728" width="29.85546875" customWidth="1"/>
    <col min="9729" max="9729" width="31.42578125" customWidth="1"/>
    <col min="9730" max="9730" width="20.85546875" customWidth="1"/>
    <col min="9731" max="9731" width="12" bestFit="1" customWidth="1"/>
    <col min="9732" max="9732" width="8.42578125" bestFit="1" customWidth="1"/>
    <col min="9733" max="9733" width="10.5703125" bestFit="1" customWidth="1"/>
    <col min="9984" max="9984" width="29.85546875" customWidth="1"/>
    <col min="9985" max="9985" width="31.42578125" customWidth="1"/>
    <col min="9986" max="9986" width="20.85546875" customWidth="1"/>
    <col min="9987" max="9987" width="12" bestFit="1" customWidth="1"/>
    <col min="9988" max="9988" width="8.42578125" bestFit="1" customWidth="1"/>
    <col min="9989" max="9989" width="10.5703125" bestFit="1" customWidth="1"/>
    <col min="10240" max="10240" width="29.85546875" customWidth="1"/>
    <col min="10241" max="10241" width="31.42578125" customWidth="1"/>
    <col min="10242" max="10242" width="20.85546875" customWidth="1"/>
    <col min="10243" max="10243" width="12" bestFit="1" customWidth="1"/>
    <col min="10244" max="10244" width="8.42578125" bestFit="1" customWidth="1"/>
    <col min="10245" max="10245" width="10.5703125" bestFit="1" customWidth="1"/>
    <col min="10496" max="10496" width="29.85546875" customWidth="1"/>
    <col min="10497" max="10497" width="31.42578125" customWidth="1"/>
    <col min="10498" max="10498" width="20.85546875" customWidth="1"/>
    <col min="10499" max="10499" width="12" bestFit="1" customWidth="1"/>
    <col min="10500" max="10500" width="8.42578125" bestFit="1" customWidth="1"/>
    <col min="10501" max="10501" width="10.5703125" bestFit="1" customWidth="1"/>
    <col min="10752" max="10752" width="29.85546875" customWidth="1"/>
    <col min="10753" max="10753" width="31.42578125" customWidth="1"/>
    <col min="10754" max="10754" width="20.85546875" customWidth="1"/>
    <col min="10755" max="10755" width="12" bestFit="1" customWidth="1"/>
    <col min="10756" max="10756" width="8.42578125" bestFit="1" customWidth="1"/>
    <col min="10757" max="10757" width="10.5703125" bestFit="1" customWidth="1"/>
    <col min="11008" max="11008" width="29.85546875" customWidth="1"/>
    <col min="11009" max="11009" width="31.42578125" customWidth="1"/>
    <col min="11010" max="11010" width="20.85546875" customWidth="1"/>
    <col min="11011" max="11011" width="12" bestFit="1" customWidth="1"/>
    <col min="11012" max="11012" width="8.42578125" bestFit="1" customWidth="1"/>
    <col min="11013" max="11013" width="10.5703125" bestFit="1" customWidth="1"/>
    <col min="11264" max="11264" width="29.85546875" customWidth="1"/>
    <col min="11265" max="11265" width="31.42578125" customWidth="1"/>
    <col min="11266" max="11266" width="20.85546875" customWidth="1"/>
    <col min="11267" max="11267" width="12" bestFit="1" customWidth="1"/>
    <col min="11268" max="11268" width="8.42578125" bestFit="1" customWidth="1"/>
    <col min="11269" max="11269" width="10.5703125" bestFit="1" customWidth="1"/>
    <col min="11520" max="11520" width="29.85546875" customWidth="1"/>
    <col min="11521" max="11521" width="31.42578125" customWidth="1"/>
    <col min="11522" max="11522" width="20.85546875" customWidth="1"/>
    <col min="11523" max="11523" width="12" bestFit="1" customWidth="1"/>
    <col min="11524" max="11524" width="8.42578125" bestFit="1" customWidth="1"/>
    <col min="11525" max="11525" width="10.5703125" bestFit="1" customWidth="1"/>
    <col min="11776" max="11776" width="29.85546875" customWidth="1"/>
    <col min="11777" max="11777" width="31.42578125" customWidth="1"/>
    <col min="11778" max="11778" width="20.85546875" customWidth="1"/>
    <col min="11779" max="11779" width="12" bestFit="1" customWidth="1"/>
    <col min="11780" max="11780" width="8.42578125" bestFit="1" customWidth="1"/>
    <col min="11781" max="11781" width="10.5703125" bestFit="1" customWidth="1"/>
    <col min="12032" max="12032" width="29.85546875" customWidth="1"/>
    <col min="12033" max="12033" width="31.42578125" customWidth="1"/>
    <col min="12034" max="12034" width="20.85546875" customWidth="1"/>
    <col min="12035" max="12035" width="12" bestFit="1" customWidth="1"/>
    <col min="12036" max="12036" width="8.42578125" bestFit="1" customWidth="1"/>
    <col min="12037" max="12037" width="10.5703125" bestFit="1" customWidth="1"/>
    <col min="12288" max="12288" width="29.85546875" customWidth="1"/>
    <col min="12289" max="12289" width="31.42578125" customWidth="1"/>
    <col min="12290" max="12290" width="20.85546875" customWidth="1"/>
    <col min="12291" max="12291" width="12" bestFit="1" customWidth="1"/>
    <col min="12292" max="12292" width="8.42578125" bestFit="1" customWidth="1"/>
    <col min="12293" max="12293" width="10.5703125" bestFit="1" customWidth="1"/>
    <col min="12544" max="12544" width="29.85546875" customWidth="1"/>
    <col min="12545" max="12545" width="31.42578125" customWidth="1"/>
    <col min="12546" max="12546" width="20.85546875" customWidth="1"/>
    <col min="12547" max="12547" width="12" bestFit="1" customWidth="1"/>
    <col min="12548" max="12548" width="8.42578125" bestFit="1" customWidth="1"/>
    <col min="12549" max="12549" width="10.5703125" bestFit="1" customWidth="1"/>
    <col min="12800" max="12800" width="29.85546875" customWidth="1"/>
    <col min="12801" max="12801" width="31.42578125" customWidth="1"/>
    <col min="12802" max="12802" width="20.85546875" customWidth="1"/>
    <col min="12803" max="12803" width="12" bestFit="1" customWidth="1"/>
    <col min="12804" max="12804" width="8.42578125" bestFit="1" customWidth="1"/>
    <col min="12805" max="12805" width="10.5703125" bestFit="1" customWidth="1"/>
    <col min="13056" max="13056" width="29.85546875" customWidth="1"/>
    <col min="13057" max="13057" width="31.42578125" customWidth="1"/>
    <col min="13058" max="13058" width="20.85546875" customWidth="1"/>
    <col min="13059" max="13059" width="12" bestFit="1" customWidth="1"/>
    <col min="13060" max="13060" width="8.42578125" bestFit="1" customWidth="1"/>
    <col min="13061" max="13061" width="10.5703125" bestFit="1" customWidth="1"/>
    <col min="13312" max="13312" width="29.85546875" customWidth="1"/>
    <col min="13313" max="13313" width="31.42578125" customWidth="1"/>
    <col min="13314" max="13314" width="20.85546875" customWidth="1"/>
    <col min="13315" max="13315" width="12" bestFit="1" customWidth="1"/>
    <col min="13316" max="13316" width="8.42578125" bestFit="1" customWidth="1"/>
    <col min="13317" max="13317" width="10.5703125" bestFit="1" customWidth="1"/>
    <col min="13568" max="13568" width="29.85546875" customWidth="1"/>
    <col min="13569" max="13569" width="31.42578125" customWidth="1"/>
    <col min="13570" max="13570" width="20.85546875" customWidth="1"/>
    <col min="13571" max="13571" width="12" bestFit="1" customWidth="1"/>
    <col min="13572" max="13572" width="8.42578125" bestFit="1" customWidth="1"/>
    <col min="13573" max="13573" width="10.5703125" bestFit="1" customWidth="1"/>
    <col min="13824" max="13824" width="29.85546875" customWidth="1"/>
    <col min="13825" max="13825" width="31.42578125" customWidth="1"/>
    <col min="13826" max="13826" width="20.85546875" customWidth="1"/>
    <col min="13827" max="13827" width="12" bestFit="1" customWidth="1"/>
    <col min="13828" max="13828" width="8.42578125" bestFit="1" customWidth="1"/>
    <col min="13829" max="13829" width="10.5703125" bestFit="1" customWidth="1"/>
    <col min="14080" max="14080" width="29.85546875" customWidth="1"/>
    <col min="14081" max="14081" width="31.42578125" customWidth="1"/>
    <col min="14082" max="14082" width="20.85546875" customWidth="1"/>
    <col min="14083" max="14083" width="12" bestFit="1" customWidth="1"/>
    <col min="14084" max="14084" width="8.42578125" bestFit="1" customWidth="1"/>
    <col min="14085" max="14085" width="10.5703125" bestFit="1" customWidth="1"/>
    <col min="14336" max="14336" width="29.85546875" customWidth="1"/>
    <col min="14337" max="14337" width="31.42578125" customWidth="1"/>
    <col min="14338" max="14338" width="20.85546875" customWidth="1"/>
    <col min="14339" max="14339" width="12" bestFit="1" customWidth="1"/>
    <col min="14340" max="14340" width="8.42578125" bestFit="1" customWidth="1"/>
    <col min="14341" max="14341" width="10.5703125" bestFit="1" customWidth="1"/>
    <col min="14592" max="14592" width="29.85546875" customWidth="1"/>
    <col min="14593" max="14593" width="31.42578125" customWidth="1"/>
    <col min="14594" max="14594" width="20.85546875" customWidth="1"/>
    <col min="14595" max="14595" width="12" bestFit="1" customWidth="1"/>
    <col min="14596" max="14596" width="8.42578125" bestFit="1" customWidth="1"/>
    <col min="14597" max="14597" width="10.5703125" bestFit="1" customWidth="1"/>
    <col min="14848" max="14848" width="29.85546875" customWidth="1"/>
    <col min="14849" max="14849" width="31.42578125" customWidth="1"/>
    <col min="14850" max="14850" width="20.85546875" customWidth="1"/>
    <col min="14851" max="14851" width="12" bestFit="1" customWidth="1"/>
    <col min="14852" max="14852" width="8.42578125" bestFit="1" customWidth="1"/>
    <col min="14853" max="14853" width="10.5703125" bestFit="1" customWidth="1"/>
    <col min="15104" max="15104" width="29.85546875" customWidth="1"/>
    <col min="15105" max="15105" width="31.42578125" customWidth="1"/>
    <col min="15106" max="15106" width="20.85546875" customWidth="1"/>
    <col min="15107" max="15107" width="12" bestFit="1" customWidth="1"/>
    <col min="15108" max="15108" width="8.42578125" bestFit="1" customWidth="1"/>
    <col min="15109" max="15109" width="10.5703125" bestFit="1" customWidth="1"/>
    <col min="15360" max="15360" width="29.85546875" customWidth="1"/>
    <col min="15361" max="15361" width="31.42578125" customWidth="1"/>
    <col min="15362" max="15362" width="20.85546875" customWidth="1"/>
    <col min="15363" max="15363" width="12" bestFit="1" customWidth="1"/>
    <col min="15364" max="15364" width="8.42578125" bestFit="1" customWidth="1"/>
    <col min="15365" max="15365" width="10.5703125" bestFit="1" customWidth="1"/>
    <col min="15616" max="15616" width="29.85546875" customWidth="1"/>
    <col min="15617" max="15617" width="31.42578125" customWidth="1"/>
    <col min="15618" max="15618" width="20.85546875" customWidth="1"/>
    <col min="15619" max="15619" width="12" bestFit="1" customWidth="1"/>
    <col min="15620" max="15620" width="8.42578125" bestFit="1" customWidth="1"/>
    <col min="15621" max="15621" width="10.5703125" bestFit="1" customWidth="1"/>
    <col min="15872" max="15872" width="29.85546875" customWidth="1"/>
    <col min="15873" max="15873" width="31.42578125" customWidth="1"/>
    <col min="15874" max="15874" width="20.85546875" customWidth="1"/>
    <col min="15875" max="15875" width="12" bestFit="1" customWidth="1"/>
    <col min="15876" max="15876" width="8.42578125" bestFit="1" customWidth="1"/>
    <col min="15877" max="15877" width="10.5703125" bestFit="1" customWidth="1"/>
    <col min="16128" max="16128" width="29.85546875" customWidth="1"/>
    <col min="16129" max="16129" width="31.42578125" customWidth="1"/>
    <col min="16130" max="16130" width="20.85546875" customWidth="1"/>
    <col min="16131" max="16131" width="12" bestFit="1" customWidth="1"/>
    <col min="16132" max="16132" width="8.42578125" bestFit="1" customWidth="1"/>
    <col min="16133" max="16133" width="10.5703125" bestFit="1" customWidth="1"/>
  </cols>
  <sheetData>
    <row r="1" spans="1:6" ht="15.75">
      <c r="A1" s="6" t="s">
        <v>1218</v>
      </c>
    </row>
    <row r="2" spans="1:6" ht="15.75">
      <c r="A2" s="6" t="s">
        <v>1388</v>
      </c>
    </row>
    <row r="3" spans="1:6" ht="15.75">
      <c r="A3" s="6"/>
    </row>
    <row r="4" spans="1:6" ht="45">
      <c r="A4" s="29" t="s">
        <v>19</v>
      </c>
      <c r="B4" s="30" t="s">
        <v>18</v>
      </c>
      <c r="C4" s="30" t="s">
        <v>17</v>
      </c>
      <c r="D4" s="30" t="s">
        <v>1389</v>
      </c>
      <c r="E4" s="98" t="s">
        <v>16</v>
      </c>
      <c r="F4" s="32" t="s">
        <v>924</v>
      </c>
    </row>
    <row r="6" spans="1:6" ht="15.75">
      <c r="A6" s="99" t="s">
        <v>1390</v>
      </c>
    </row>
    <row r="7" spans="1:6">
      <c r="A7" t="s">
        <v>1221</v>
      </c>
    </row>
    <row r="8" spans="1:6">
      <c r="A8" s="77" t="s">
        <v>1391</v>
      </c>
      <c r="B8" s="77" t="s">
        <v>1392</v>
      </c>
      <c r="C8" s="94" t="s">
        <v>1393</v>
      </c>
      <c r="D8" s="78" t="s">
        <v>188</v>
      </c>
      <c r="E8" s="7">
        <v>4560</v>
      </c>
      <c r="F8" s="16" t="s">
        <v>1134</v>
      </c>
    </row>
    <row r="9" spans="1:6">
      <c r="A9" s="77" t="s">
        <v>1394</v>
      </c>
      <c r="B9" s="77" t="s">
        <v>1395</v>
      </c>
      <c r="C9" s="95" t="s">
        <v>1396</v>
      </c>
      <c r="D9" s="78" t="s">
        <v>188</v>
      </c>
      <c r="E9" s="7">
        <v>2565</v>
      </c>
      <c r="F9" s="16" t="s">
        <v>1508</v>
      </c>
    </row>
    <row r="10" spans="1:6">
      <c r="A10" s="77" t="s">
        <v>1397</v>
      </c>
      <c r="B10" s="77" t="s">
        <v>1398</v>
      </c>
      <c r="C10" s="94" t="s">
        <v>1399</v>
      </c>
      <c r="D10" s="78" t="s">
        <v>188</v>
      </c>
      <c r="E10" s="7">
        <v>1995</v>
      </c>
      <c r="F10" s="16" t="s">
        <v>1509</v>
      </c>
    </row>
    <row r="11" spans="1:6" s="24" customFormat="1">
      <c r="A11" s="77"/>
      <c r="B11" s="77"/>
      <c r="C11" s="77"/>
      <c r="D11" s="78"/>
      <c r="E11" s="87"/>
      <c r="F11" s="28"/>
    </row>
    <row r="12" spans="1:6">
      <c r="A12" t="s">
        <v>1228</v>
      </c>
    </row>
    <row r="13" spans="1:6">
      <c r="A13" s="77" t="s">
        <v>1400</v>
      </c>
      <c r="B13" s="77" t="s">
        <v>1401</v>
      </c>
      <c r="C13" s="94" t="s">
        <v>1402</v>
      </c>
      <c r="D13" s="78" t="s">
        <v>188</v>
      </c>
      <c r="E13" s="7">
        <v>2280</v>
      </c>
      <c r="F13" s="16" t="s">
        <v>1510</v>
      </c>
    </row>
    <row r="14" spans="1:6">
      <c r="A14" s="77" t="s">
        <v>1403</v>
      </c>
      <c r="B14" s="77" t="s">
        <v>1404</v>
      </c>
      <c r="C14" s="94" t="s">
        <v>1405</v>
      </c>
      <c r="D14" s="78" t="s">
        <v>188</v>
      </c>
      <c r="E14" s="7">
        <v>3135</v>
      </c>
      <c r="F14" s="11" t="s">
        <v>1511</v>
      </c>
    </row>
    <row r="15" spans="1:6">
      <c r="A15" s="77" t="s">
        <v>1406</v>
      </c>
      <c r="B15" s="77" t="s">
        <v>1407</v>
      </c>
      <c r="C15" s="94" t="s">
        <v>1408</v>
      </c>
      <c r="D15" s="78" t="s">
        <v>188</v>
      </c>
      <c r="E15" s="7">
        <v>3135</v>
      </c>
      <c r="F15" s="11" t="s">
        <v>1511</v>
      </c>
    </row>
    <row r="16" spans="1:6">
      <c r="A16" s="77"/>
      <c r="B16" s="77"/>
      <c r="C16" s="77"/>
      <c r="D16" s="78"/>
      <c r="E16" s="87"/>
    </row>
    <row r="17" spans="1:6">
      <c r="A17" t="s">
        <v>1235</v>
      </c>
    </row>
    <row r="18" spans="1:6">
      <c r="A18" s="77" t="s">
        <v>1409</v>
      </c>
      <c r="B18" s="77" t="s">
        <v>1410</v>
      </c>
      <c r="C18" s="94" t="s">
        <v>1411</v>
      </c>
      <c r="D18" s="78" t="s">
        <v>234</v>
      </c>
      <c r="E18" s="7">
        <v>1425</v>
      </c>
      <c r="F18" s="16" t="s">
        <v>1512</v>
      </c>
    </row>
    <row r="19" spans="1:6">
      <c r="A19" s="77" t="s">
        <v>1412</v>
      </c>
      <c r="B19" s="77" t="s">
        <v>1413</v>
      </c>
      <c r="C19" s="94" t="s">
        <v>1414</v>
      </c>
      <c r="D19" s="78" t="s">
        <v>234</v>
      </c>
      <c r="E19" s="7">
        <v>1710</v>
      </c>
      <c r="F19" s="11" t="s">
        <v>1513</v>
      </c>
    </row>
    <row r="20" spans="1:6">
      <c r="A20" s="77" t="s">
        <v>1415</v>
      </c>
      <c r="B20" s="77" t="s">
        <v>1416</v>
      </c>
      <c r="C20" s="94" t="s">
        <v>1417</v>
      </c>
      <c r="D20" s="78" t="s">
        <v>188</v>
      </c>
      <c r="E20" s="7">
        <v>5700</v>
      </c>
      <c r="F20" s="11" t="s">
        <v>1514</v>
      </c>
    </row>
    <row r="21" spans="1:6">
      <c r="A21" s="77"/>
      <c r="B21" s="77"/>
      <c r="C21" s="79" t="s">
        <v>1242</v>
      </c>
      <c r="D21" s="96" t="s">
        <v>1243</v>
      </c>
    </row>
    <row r="23" spans="1:6">
      <c r="A23" t="s">
        <v>1244</v>
      </c>
    </row>
    <row r="24" spans="1:6">
      <c r="A24" s="77" t="s">
        <v>1418</v>
      </c>
      <c r="B24" s="77" t="s">
        <v>1419</v>
      </c>
      <c r="C24" s="94" t="s">
        <v>1275</v>
      </c>
      <c r="D24" s="78" t="s">
        <v>120</v>
      </c>
      <c r="E24" s="87">
        <v>5700</v>
      </c>
      <c r="F24" s="16" t="s">
        <v>1514</v>
      </c>
    </row>
    <row r="25" spans="1:6">
      <c r="A25" s="77" t="s">
        <v>1420</v>
      </c>
      <c r="B25" s="77" t="s">
        <v>1421</v>
      </c>
      <c r="C25" s="94" t="s">
        <v>1422</v>
      </c>
      <c r="D25" s="78" t="s">
        <v>188</v>
      </c>
      <c r="E25" s="87">
        <v>2850</v>
      </c>
      <c r="F25" s="16" t="s">
        <v>1515</v>
      </c>
    </row>
    <row r="26" spans="1:6">
      <c r="A26" s="78"/>
      <c r="B26" s="78"/>
      <c r="C26" s="78"/>
      <c r="D26" s="95"/>
      <c r="E26" s="15"/>
    </row>
    <row r="27" spans="1:6">
      <c r="A27" t="s">
        <v>1252</v>
      </c>
    </row>
    <row r="28" spans="1:6">
      <c r="A28" s="77" t="s">
        <v>1423</v>
      </c>
      <c r="B28" s="77" t="s">
        <v>1424</v>
      </c>
      <c r="C28" s="94" t="s">
        <v>1275</v>
      </c>
      <c r="D28" s="78" t="s">
        <v>120</v>
      </c>
      <c r="E28" s="87">
        <v>5700</v>
      </c>
      <c r="F28" s="16" t="s">
        <v>1514</v>
      </c>
    </row>
    <row r="29" spans="1:6">
      <c r="A29" s="77" t="s">
        <v>1425</v>
      </c>
      <c r="B29" s="77" t="s">
        <v>1426</v>
      </c>
      <c r="C29" s="94" t="s">
        <v>1422</v>
      </c>
      <c r="D29" s="78" t="s">
        <v>188</v>
      </c>
      <c r="E29" s="87">
        <v>2850</v>
      </c>
      <c r="F29" s="11" t="s">
        <v>1515</v>
      </c>
    </row>
    <row r="30" spans="1:6">
      <c r="A30" s="78"/>
      <c r="B30" s="78"/>
      <c r="C30" s="78"/>
      <c r="D30" s="95"/>
    </row>
    <row r="31" spans="1:6">
      <c r="A31" t="s">
        <v>1259</v>
      </c>
    </row>
    <row r="32" spans="1:6">
      <c r="A32" s="77" t="s">
        <v>1427</v>
      </c>
      <c r="B32" s="77" t="s">
        <v>1428</v>
      </c>
      <c r="C32" s="94" t="s">
        <v>1429</v>
      </c>
      <c r="D32" s="78" t="s">
        <v>142</v>
      </c>
      <c r="E32" s="7">
        <v>6270</v>
      </c>
      <c r="F32" s="16" t="s">
        <v>1516</v>
      </c>
    </row>
    <row r="33" spans="1:6">
      <c r="A33" s="77" t="s">
        <v>1430</v>
      </c>
      <c r="B33" s="77" t="s">
        <v>1431</v>
      </c>
      <c r="C33" s="94" t="s">
        <v>1432</v>
      </c>
      <c r="D33" s="78" t="s">
        <v>188</v>
      </c>
      <c r="E33" s="7">
        <v>2565</v>
      </c>
      <c r="F33" s="11" t="s">
        <v>1517</v>
      </c>
    </row>
    <row r="34" spans="1:6">
      <c r="A34" s="77"/>
      <c r="B34" s="77"/>
      <c r="C34" s="79" t="s">
        <v>1264</v>
      </c>
      <c r="D34" s="96" t="s">
        <v>1243</v>
      </c>
    </row>
    <row r="35" spans="1:6">
      <c r="A35" s="77"/>
      <c r="B35" s="77"/>
      <c r="C35" s="80"/>
      <c r="D35" s="97"/>
    </row>
    <row r="36" spans="1:6" ht="15.75">
      <c r="A36" s="99" t="s">
        <v>1433</v>
      </c>
      <c r="B36" s="77"/>
      <c r="C36" s="80"/>
      <c r="D36" s="97"/>
    </row>
    <row r="37" spans="1:6">
      <c r="A37" t="s">
        <v>1221</v>
      </c>
    </row>
    <row r="38" spans="1:6">
      <c r="A38" s="77" t="s">
        <v>1434</v>
      </c>
      <c r="B38" s="77" t="s">
        <v>1435</v>
      </c>
      <c r="C38" s="94" t="s">
        <v>1402</v>
      </c>
      <c r="D38" s="78" t="s">
        <v>120</v>
      </c>
      <c r="E38" s="7">
        <v>2280</v>
      </c>
      <c r="F38" s="16" t="s">
        <v>1518</v>
      </c>
    </row>
    <row r="39" spans="1:6">
      <c r="A39" s="77" t="s">
        <v>1436</v>
      </c>
      <c r="B39" s="77" t="s">
        <v>1437</v>
      </c>
      <c r="C39" s="94" t="s">
        <v>1438</v>
      </c>
      <c r="D39" s="78" t="s">
        <v>188</v>
      </c>
      <c r="E39" s="7">
        <v>2565</v>
      </c>
      <c r="F39" s="16" t="s">
        <v>1519</v>
      </c>
    </row>
    <row r="40" spans="1:6">
      <c r="A40" s="77" t="s">
        <v>1439</v>
      </c>
      <c r="B40" s="77" t="s">
        <v>1440</v>
      </c>
      <c r="C40" s="95" t="s">
        <v>1441</v>
      </c>
      <c r="D40" s="78"/>
      <c r="E40" s="7">
        <v>3600</v>
      </c>
      <c r="F40" s="7" t="s">
        <v>1128</v>
      </c>
    </row>
    <row r="41" spans="1:6">
      <c r="A41" s="77"/>
      <c r="B41" s="77"/>
      <c r="C41" s="77"/>
      <c r="D41" s="78"/>
      <c r="E41" s="87"/>
    </row>
    <row r="42" spans="1:6">
      <c r="A42" t="s">
        <v>1228</v>
      </c>
    </row>
    <row r="43" spans="1:6">
      <c r="A43" s="77" t="s">
        <v>1442</v>
      </c>
      <c r="B43" s="77" t="s">
        <v>1443</v>
      </c>
      <c r="C43" s="94" t="s">
        <v>1444</v>
      </c>
      <c r="D43" s="78" t="s">
        <v>188</v>
      </c>
      <c r="E43" s="87">
        <v>2565</v>
      </c>
      <c r="F43" s="16" t="s">
        <v>1519</v>
      </c>
    </row>
    <row r="44" spans="1:6">
      <c r="A44" s="77" t="s">
        <v>1445</v>
      </c>
      <c r="B44" s="77" t="s">
        <v>1446</v>
      </c>
      <c r="C44" s="94" t="s">
        <v>1447</v>
      </c>
      <c r="D44" s="78" t="s">
        <v>142</v>
      </c>
      <c r="E44" s="87">
        <v>6270</v>
      </c>
      <c r="F44" s="11" t="s">
        <v>1520</v>
      </c>
    </row>
    <row r="45" spans="1:6">
      <c r="A45" s="77"/>
      <c r="B45" s="77"/>
      <c r="C45" s="77"/>
      <c r="D45" s="78"/>
      <c r="E45" s="87"/>
    </row>
    <row r="46" spans="1:6">
      <c r="A46" t="s">
        <v>1235</v>
      </c>
    </row>
    <row r="47" spans="1:6">
      <c r="A47" s="78" t="s">
        <v>1448</v>
      </c>
      <c r="B47" s="78" t="s">
        <v>1449</v>
      </c>
      <c r="C47" s="94" t="s">
        <v>1450</v>
      </c>
      <c r="D47" s="78" t="s">
        <v>142</v>
      </c>
      <c r="E47" s="7">
        <v>4590</v>
      </c>
      <c r="F47" s="16" t="s">
        <v>1521</v>
      </c>
    </row>
    <row r="48" spans="1:6">
      <c r="A48" s="78" t="s">
        <v>1451</v>
      </c>
      <c r="B48" s="78" t="s">
        <v>1452</v>
      </c>
      <c r="C48" s="94" t="s">
        <v>1441</v>
      </c>
      <c r="D48" s="78" t="s">
        <v>120</v>
      </c>
      <c r="E48" s="87">
        <v>3990</v>
      </c>
      <c r="F48" s="11" t="s">
        <v>1522</v>
      </c>
    </row>
    <row r="49" spans="1:6">
      <c r="A49" s="77"/>
      <c r="B49" s="77"/>
      <c r="C49" s="79" t="s">
        <v>1242</v>
      </c>
      <c r="D49" s="96" t="s">
        <v>1301</v>
      </c>
    </row>
    <row r="51" spans="1:6">
      <c r="A51" t="s">
        <v>1244</v>
      </c>
    </row>
    <row r="52" spans="1:6">
      <c r="A52" s="77" t="s">
        <v>1453</v>
      </c>
      <c r="B52" s="77" t="s">
        <v>1454</v>
      </c>
      <c r="C52" s="94" t="s">
        <v>1455</v>
      </c>
      <c r="D52" s="78"/>
      <c r="E52" s="7">
        <v>2280</v>
      </c>
      <c r="F52" s="16" t="s">
        <v>1518</v>
      </c>
    </row>
    <row r="53" spans="1:6">
      <c r="A53" s="78" t="s">
        <v>1456</v>
      </c>
      <c r="B53" s="78" t="s">
        <v>1457</v>
      </c>
      <c r="C53" s="95" t="s">
        <v>1458</v>
      </c>
      <c r="D53" s="78" t="s">
        <v>120</v>
      </c>
      <c r="E53" s="7">
        <v>6840</v>
      </c>
      <c r="F53" s="11" t="s">
        <v>1523</v>
      </c>
    </row>
    <row r="54" spans="1:6">
      <c r="A54" s="78"/>
      <c r="B54" s="78"/>
      <c r="C54" s="78"/>
      <c r="D54" s="95"/>
      <c r="E54" s="15"/>
    </row>
    <row r="55" spans="1:6">
      <c r="A55" t="s">
        <v>1252</v>
      </c>
    </row>
    <row r="56" spans="1:6">
      <c r="A56" s="78" t="s">
        <v>1459</v>
      </c>
      <c r="B56" s="78" t="s">
        <v>1460</v>
      </c>
      <c r="C56" s="94" t="s">
        <v>1455</v>
      </c>
      <c r="D56" s="78" t="s">
        <v>120</v>
      </c>
      <c r="E56" s="84">
        <v>2280</v>
      </c>
      <c r="F56" s="11" t="s">
        <v>1524</v>
      </c>
    </row>
    <row r="57" spans="1:6">
      <c r="A57" s="77" t="s">
        <v>1461</v>
      </c>
      <c r="B57" s="77" t="s">
        <v>1462</v>
      </c>
      <c r="C57" s="95" t="s">
        <v>1458</v>
      </c>
      <c r="D57" s="78" t="s">
        <v>357</v>
      </c>
      <c r="E57" s="87">
        <v>6840</v>
      </c>
      <c r="F57" s="11" t="s">
        <v>1525</v>
      </c>
    </row>
    <row r="58" spans="1:6">
      <c r="A58" s="78"/>
      <c r="B58" s="78"/>
      <c r="C58" s="78"/>
      <c r="D58" s="95"/>
    </row>
    <row r="59" spans="1:6">
      <c r="A59" t="s">
        <v>1259</v>
      </c>
    </row>
    <row r="60" spans="1:6">
      <c r="A60" s="78" t="s">
        <v>1463</v>
      </c>
      <c r="B60" s="78" t="s">
        <v>1464</v>
      </c>
      <c r="C60" s="94" t="s">
        <v>1465</v>
      </c>
      <c r="D60" s="78" t="s">
        <v>120</v>
      </c>
      <c r="E60" s="7">
        <v>4275</v>
      </c>
      <c r="F60" s="7" t="s">
        <v>1526</v>
      </c>
    </row>
    <row r="61" spans="1:6">
      <c r="A61" s="78" t="s">
        <v>1466</v>
      </c>
      <c r="B61" s="78" t="s">
        <v>1467</v>
      </c>
      <c r="C61" s="94" t="s">
        <v>1468</v>
      </c>
      <c r="D61" s="78" t="s">
        <v>188</v>
      </c>
      <c r="E61" s="7">
        <v>4275</v>
      </c>
      <c r="F61" s="7" t="s">
        <v>1527</v>
      </c>
    </row>
    <row r="62" spans="1:6">
      <c r="A62" s="77"/>
      <c r="B62" s="77"/>
      <c r="C62" s="79" t="s">
        <v>1264</v>
      </c>
      <c r="D62" s="96" t="s">
        <v>1469</v>
      </c>
    </row>
    <row r="64" spans="1:6" ht="15.75">
      <c r="A64" s="99" t="s">
        <v>1470</v>
      </c>
    </row>
    <row r="65" spans="1:6">
      <c r="A65" t="s">
        <v>1221</v>
      </c>
    </row>
    <row r="66" spans="1:6">
      <c r="A66" s="77" t="s">
        <v>1471</v>
      </c>
      <c r="B66" s="77" t="s">
        <v>1237</v>
      </c>
      <c r="C66" s="94" t="s">
        <v>1472</v>
      </c>
      <c r="D66" s="78" t="s">
        <v>120</v>
      </c>
      <c r="E66" s="7">
        <v>2700</v>
      </c>
      <c r="F66" s="16" t="s">
        <v>1528</v>
      </c>
    </row>
    <row r="67" spans="1:6">
      <c r="A67" s="78" t="s">
        <v>1473</v>
      </c>
      <c r="B67" s="78" t="s">
        <v>1474</v>
      </c>
      <c r="C67" s="95" t="s">
        <v>1475</v>
      </c>
      <c r="D67" s="78" t="s">
        <v>188</v>
      </c>
      <c r="E67" s="7">
        <v>4275</v>
      </c>
      <c r="F67" s="11" t="s">
        <v>1529</v>
      </c>
    </row>
    <row r="68" spans="1:6">
      <c r="A68" s="77"/>
      <c r="B68" s="77"/>
      <c r="C68" s="77"/>
      <c r="D68" s="78"/>
      <c r="E68" s="87"/>
    </row>
    <row r="69" spans="1:6">
      <c r="A69" t="s">
        <v>1228</v>
      </c>
    </row>
    <row r="70" spans="1:6">
      <c r="A70" s="78" t="s">
        <v>1476</v>
      </c>
      <c r="B70" s="78" t="s">
        <v>1477</v>
      </c>
      <c r="D70" s="78" t="s">
        <v>120</v>
      </c>
      <c r="E70" s="87">
        <v>4275</v>
      </c>
      <c r="F70" s="11" t="s">
        <v>1529</v>
      </c>
    </row>
    <row r="71" spans="1:6">
      <c r="A71" s="77" t="s">
        <v>1478</v>
      </c>
      <c r="B71" s="77" t="s">
        <v>1479</v>
      </c>
      <c r="C71" t="s">
        <v>1480</v>
      </c>
      <c r="D71" s="78" t="s">
        <v>120</v>
      </c>
      <c r="E71" s="84">
        <v>4275</v>
      </c>
      <c r="F71" s="87" t="s">
        <v>1529</v>
      </c>
    </row>
    <row r="72" spans="1:6">
      <c r="A72" s="77"/>
      <c r="B72" s="77"/>
      <c r="C72" s="77"/>
      <c r="D72" s="78"/>
      <c r="E72" s="87"/>
    </row>
    <row r="73" spans="1:6">
      <c r="A73" t="s">
        <v>1235</v>
      </c>
    </row>
    <row r="74" spans="1:6">
      <c r="A74" s="77" t="s">
        <v>138</v>
      </c>
      <c r="B74" s="77" t="s">
        <v>1481</v>
      </c>
      <c r="C74" s="94" t="s">
        <v>1393</v>
      </c>
      <c r="D74" s="78" t="s">
        <v>120</v>
      </c>
      <c r="E74" s="87">
        <v>7300</v>
      </c>
      <c r="F74" s="7" t="s">
        <v>1530</v>
      </c>
    </row>
    <row r="75" spans="1:6">
      <c r="A75" s="77" t="s">
        <v>1482</v>
      </c>
      <c r="B75" s="77" t="s">
        <v>1483</v>
      </c>
      <c r="C75" s="95" t="s">
        <v>1484</v>
      </c>
      <c r="D75" s="78" t="s">
        <v>120</v>
      </c>
      <c r="E75" s="84">
        <v>4560</v>
      </c>
      <c r="F75" s="7" t="s">
        <v>1531</v>
      </c>
    </row>
    <row r="76" spans="1:6">
      <c r="A76" s="77"/>
      <c r="B76" s="77"/>
      <c r="C76" s="79" t="s">
        <v>1242</v>
      </c>
      <c r="D76" s="96" t="s">
        <v>1469</v>
      </c>
    </row>
    <row r="78" spans="1:6">
      <c r="A78" t="s">
        <v>1244</v>
      </c>
    </row>
    <row r="79" spans="1:6">
      <c r="A79" s="77" t="s">
        <v>1485</v>
      </c>
      <c r="B79" s="77" t="s">
        <v>1486</v>
      </c>
      <c r="C79" s="94" t="s">
        <v>1487</v>
      </c>
      <c r="D79" s="78" t="s">
        <v>120</v>
      </c>
      <c r="E79" s="7">
        <v>4845</v>
      </c>
      <c r="F79" s="16" t="s">
        <v>1532</v>
      </c>
    </row>
    <row r="80" spans="1:6">
      <c r="A80" s="77" t="s">
        <v>1229</v>
      </c>
      <c r="B80" s="77" t="s">
        <v>1488</v>
      </c>
      <c r="C80" s="95" t="s">
        <v>1489</v>
      </c>
      <c r="D80" s="78" t="s">
        <v>120</v>
      </c>
      <c r="E80" s="7">
        <v>4845</v>
      </c>
      <c r="F80" s="16" t="s">
        <v>1533</v>
      </c>
    </row>
    <row r="81" spans="1:7">
      <c r="A81" s="78"/>
      <c r="B81" s="78"/>
      <c r="C81" s="78"/>
      <c r="D81" s="95"/>
      <c r="E81" s="15"/>
    </row>
    <row r="82" spans="1:7">
      <c r="A82" t="s">
        <v>1252</v>
      </c>
    </row>
    <row r="83" spans="1:7">
      <c r="A83" s="77" t="s">
        <v>1490</v>
      </c>
      <c r="B83" s="77" t="s">
        <v>1491</v>
      </c>
      <c r="C83" s="94" t="s">
        <v>1487</v>
      </c>
      <c r="D83" s="78" t="s">
        <v>120</v>
      </c>
      <c r="E83" s="87">
        <v>4845</v>
      </c>
      <c r="F83" s="16" t="s">
        <v>1532</v>
      </c>
    </row>
    <row r="84" spans="1:7">
      <c r="A84" s="77" t="s">
        <v>1492</v>
      </c>
      <c r="B84" s="77" t="s">
        <v>1493</v>
      </c>
      <c r="C84" s="95" t="s">
        <v>1489</v>
      </c>
      <c r="D84" s="78" t="s">
        <v>120</v>
      </c>
      <c r="E84" s="84">
        <v>4845</v>
      </c>
      <c r="F84" s="11" t="s">
        <v>1532</v>
      </c>
    </row>
    <row r="85" spans="1:7">
      <c r="A85" s="78"/>
      <c r="B85" s="78"/>
      <c r="C85" s="78"/>
      <c r="D85" s="95"/>
    </row>
    <row r="86" spans="1:7">
      <c r="A86" t="s">
        <v>1259</v>
      </c>
    </row>
    <row r="87" spans="1:7">
      <c r="A87" s="77" t="s">
        <v>1494</v>
      </c>
      <c r="B87" s="77" t="s">
        <v>1495</v>
      </c>
      <c r="C87" s="94" t="s">
        <v>1487</v>
      </c>
      <c r="D87" s="78" t="s">
        <v>120</v>
      </c>
      <c r="E87" s="87">
        <v>4845</v>
      </c>
      <c r="F87" s="7" t="s">
        <v>1532</v>
      </c>
    </row>
    <row r="88" spans="1:7">
      <c r="A88" s="77" t="s">
        <v>1496</v>
      </c>
      <c r="B88" s="77" t="s">
        <v>1497</v>
      </c>
      <c r="C88" s="95" t="s">
        <v>1489</v>
      </c>
      <c r="D88" s="78" t="s">
        <v>120</v>
      </c>
      <c r="E88" s="84">
        <v>4845</v>
      </c>
      <c r="F88" s="7" t="s">
        <v>1532</v>
      </c>
    </row>
    <row r="89" spans="1:7">
      <c r="A89" s="77"/>
      <c r="B89" s="77"/>
      <c r="C89" s="79" t="s">
        <v>1264</v>
      </c>
      <c r="D89" s="96" t="s">
        <v>1301</v>
      </c>
    </row>
    <row r="90" spans="1:7">
      <c r="A90" s="77"/>
      <c r="B90" s="77"/>
      <c r="C90" s="80"/>
      <c r="D90" s="97"/>
    </row>
    <row r="91" spans="1:7" ht="15.75">
      <c r="A91" s="99" t="s">
        <v>1302</v>
      </c>
    </row>
    <row r="92" spans="1:7">
      <c r="A92" t="s">
        <v>1221</v>
      </c>
    </row>
    <row r="93" spans="1:7">
      <c r="A93" s="77" t="s">
        <v>1303</v>
      </c>
      <c r="B93" s="77" t="s">
        <v>1304</v>
      </c>
      <c r="C93" s="78" t="s">
        <v>1498</v>
      </c>
      <c r="D93" s="95" t="s">
        <v>120</v>
      </c>
      <c r="E93" s="15">
        <v>5300</v>
      </c>
      <c r="F93" s="7" t="s">
        <v>1373</v>
      </c>
      <c r="G93" s="76"/>
    </row>
    <row r="94" spans="1:7">
      <c r="A94" s="77" t="s">
        <v>1306</v>
      </c>
      <c r="B94" s="77" t="s">
        <v>1307</v>
      </c>
      <c r="C94" s="78" t="s">
        <v>1499</v>
      </c>
      <c r="D94" s="95" t="s">
        <v>188</v>
      </c>
      <c r="E94" s="15">
        <v>3060</v>
      </c>
      <c r="F94" s="7" t="s">
        <v>1374</v>
      </c>
      <c r="G94" s="94"/>
    </row>
    <row r="95" spans="1:7">
      <c r="A95" s="77" t="s">
        <v>1309</v>
      </c>
      <c r="B95" s="77" t="s">
        <v>1310</v>
      </c>
      <c r="C95" s="24" t="s">
        <v>1500</v>
      </c>
      <c r="D95" s="95" t="s">
        <v>234</v>
      </c>
      <c r="E95" s="7">
        <v>1020</v>
      </c>
      <c r="F95" s="7" t="s">
        <v>1375</v>
      </c>
      <c r="G95" s="76"/>
    </row>
    <row r="96" spans="1:7">
      <c r="A96" s="77"/>
      <c r="B96" s="77"/>
      <c r="C96" s="24"/>
    </row>
    <row r="97" spans="1:8">
      <c r="A97" t="s">
        <v>1228</v>
      </c>
    </row>
    <row r="98" spans="1:8">
      <c r="A98" s="77" t="s">
        <v>1318</v>
      </c>
      <c r="B98" s="77" t="s">
        <v>1319</v>
      </c>
      <c r="C98" s="94" t="s">
        <v>1501</v>
      </c>
      <c r="D98" s="95" t="s">
        <v>188</v>
      </c>
      <c r="E98" s="15">
        <v>4500</v>
      </c>
      <c r="F98" s="7" t="s">
        <v>1012</v>
      </c>
    </row>
    <row r="99" spans="1:8">
      <c r="A99" s="77" t="s">
        <v>177</v>
      </c>
      <c r="B99" s="77" t="s">
        <v>1325</v>
      </c>
      <c r="C99" s="76" t="s">
        <v>1502</v>
      </c>
      <c r="D99" s="95" t="s">
        <v>120</v>
      </c>
      <c r="E99" s="7">
        <v>3960</v>
      </c>
      <c r="F99" s="7" t="s">
        <v>1379</v>
      </c>
      <c r="H99" s="76"/>
    </row>
    <row r="100" spans="1:8">
      <c r="H100" s="94"/>
    </row>
    <row r="101" spans="1:8">
      <c r="A101" t="s">
        <v>1235</v>
      </c>
      <c r="H101" s="76"/>
    </row>
    <row r="102" spans="1:8">
      <c r="A102" s="77" t="s">
        <v>1322</v>
      </c>
      <c r="B102" s="77" t="s">
        <v>1323</v>
      </c>
      <c r="C102" s="77" t="s">
        <v>1503</v>
      </c>
      <c r="D102" s="95" t="s">
        <v>120</v>
      </c>
      <c r="E102" s="7">
        <v>4275</v>
      </c>
      <c r="F102" s="7" t="s">
        <v>1378</v>
      </c>
    </row>
    <row r="103" spans="1:8">
      <c r="A103" s="77" t="s">
        <v>1312</v>
      </c>
      <c r="B103" s="77" t="s">
        <v>1313</v>
      </c>
      <c r="C103" s="78" t="s">
        <v>1504</v>
      </c>
      <c r="D103" s="95" t="s">
        <v>120</v>
      </c>
      <c r="E103" s="15">
        <v>2700</v>
      </c>
      <c r="F103" s="7" t="s">
        <v>1376</v>
      </c>
    </row>
    <row r="104" spans="1:8">
      <c r="A104" s="77" t="s">
        <v>1315</v>
      </c>
      <c r="B104" s="77" t="s">
        <v>1316</v>
      </c>
      <c r="C104" s="78" t="s">
        <v>1505</v>
      </c>
      <c r="D104" s="95" t="s">
        <v>234</v>
      </c>
      <c r="E104" s="15">
        <v>900</v>
      </c>
      <c r="F104" s="7" t="s">
        <v>1377</v>
      </c>
    </row>
    <row r="105" spans="1:8">
      <c r="A105" s="77"/>
      <c r="B105" s="77"/>
      <c r="C105" s="79" t="s">
        <v>1242</v>
      </c>
      <c r="D105" s="96" t="s">
        <v>1301</v>
      </c>
    </row>
    <row r="107" spans="1:8">
      <c r="A107" t="s">
        <v>1244</v>
      </c>
    </row>
    <row r="108" spans="1:8">
      <c r="A108" s="77" t="s">
        <v>1327</v>
      </c>
      <c r="B108" s="77" t="s">
        <v>1328</v>
      </c>
      <c r="C108" s="77" t="s">
        <v>1329</v>
      </c>
      <c r="D108" s="95" t="s">
        <v>234</v>
      </c>
      <c r="E108" s="15">
        <v>1920</v>
      </c>
      <c r="F108" s="7" t="s">
        <v>1380</v>
      </c>
    </row>
    <row r="109" spans="1:8">
      <c r="A109" s="77" t="s">
        <v>1330</v>
      </c>
      <c r="B109" s="77" t="s">
        <v>370</v>
      </c>
      <c r="C109" s="78" t="s">
        <v>1331</v>
      </c>
      <c r="D109" s="95" t="s">
        <v>120</v>
      </c>
      <c r="E109" s="15">
        <v>5760</v>
      </c>
      <c r="F109" s="7" t="s">
        <v>1381</v>
      </c>
    </row>
    <row r="111" spans="1:8">
      <c r="A111" t="s">
        <v>1252</v>
      </c>
    </row>
    <row r="112" spans="1:8">
      <c r="A112" s="77" t="s">
        <v>1345</v>
      </c>
      <c r="B112" s="77" t="s">
        <v>407</v>
      </c>
      <c r="C112" t="s">
        <v>1346</v>
      </c>
      <c r="D112" s="95" t="s">
        <v>120</v>
      </c>
      <c r="E112" s="7">
        <v>3960</v>
      </c>
      <c r="F112" s="7" t="s">
        <v>1386</v>
      </c>
    </row>
    <row r="113" spans="1:6">
      <c r="A113" s="78" t="s">
        <v>1338</v>
      </c>
      <c r="B113" s="78" t="s">
        <v>1339</v>
      </c>
      <c r="C113" t="s">
        <v>1349</v>
      </c>
      <c r="D113" s="95" t="s">
        <v>1341</v>
      </c>
      <c r="E113" s="7">
        <v>2400</v>
      </c>
      <c r="F113" s="7" t="s">
        <v>1534</v>
      </c>
    </row>
    <row r="114" spans="1:6">
      <c r="A114" s="78" t="s">
        <v>1342</v>
      </c>
      <c r="B114" s="78" t="s">
        <v>1506</v>
      </c>
      <c r="C114" t="s">
        <v>1507</v>
      </c>
      <c r="D114" s="95" t="s">
        <v>1341</v>
      </c>
      <c r="E114" s="7">
        <v>900</v>
      </c>
      <c r="F114" s="7" t="s">
        <v>1385</v>
      </c>
    </row>
    <row r="115" spans="1:6">
      <c r="E115" s="15"/>
    </row>
    <row r="116" spans="1:6">
      <c r="A116" t="s">
        <v>1259</v>
      </c>
    </row>
    <row r="117" spans="1:6">
      <c r="A117" s="77" t="s">
        <v>1332</v>
      </c>
      <c r="B117" s="78" t="s">
        <v>1333</v>
      </c>
      <c r="C117" t="s">
        <v>1334</v>
      </c>
      <c r="D117" s="95" t="s">
        <v>120</v>
      </c>
      <c r="E117" s="15">
        <v>2700</v>
      </c>
      <c r="F117" s="7" t="s">
        <v>1382</v>
      </c>
    </row>
    <row r="118" spans="1:6">
      <c r="A118" s="78" t="s">
        <v>1335</v>
      </c>
      <c r="B118" s="78" t="s">
        <v>1336</v>
      </c>
      <c r="C118" t="s">
        <v>1329</v>
      </c>
      <c r="D118" s="95" t="s">
        <v>234</v>
      </c>
      <c r="E118" s="15">
        <v>900</v>
      </c>
      <c r="F118" s="7" t="s">
        <v>1383</v>
      </c>
    </row>
    <row r="119" spans="1:6">
      <c r="A119" s="81" t="s">
        <v>1347</v>
      </c>
      <c r="B119" s="77" t="s">
        <v>1348</v>
      </c>
      <c r="C119" t="s">
        <v>1340</v>
      </c>
      <c r="D119" s="95" t="s">
        <v>1341</v>
      </c>
      <c r="E119" s="7">
        <v>3060</v>
      </c>
      <c r="F119" s="7" t="s">
        <v>1535</v>
      </c>
    </row>
    <row r="120" spans="1:6">
      <c r="A120" s="82" t="s">
        <v>1347</v>
      </c>
      <c r="B120" s="78" t="s">
        <v>1350</v>
      </c>
      <c r="C120" t="s">
        <v>1351</v>
      </c>
      <c r="D120" s="95" t="s">
        <v>234</v>
      </c>
      <c r="E120" s="7">
        <v>900</v>
      </c>
      <c r="F120" s="7" t="s">
        <v>1385</v>
      </c>
    </row>
    <row r="121" spans="1:6">
      <c r="C121" s="79" t="s">
        <v>1264</v>
      </c>
      <c r="D121" s="96" t="s">
        <v>1352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91"/>
  <sheetViews>
    <sheetView workbookViewId="0">
      <selection activeCell="H4" sqref="H4"/>
    </sheetView>
  </sheetViews>
  <sheetFormatPr defaultRowHeight="15"/>
  <cols>
    <col min="2" max="2" width="9" customWidth="1"/>
    <col min="3" max="3" width="24.7109375" customWidth="1"/>
    <col min="4" max="5" width="9.140625" customWidth="1"/>
    <col min="6" max="6" width="11.7109375" style="7" customWidth="1"/>
    <col min="7" max="7" width="12.5703125" style="7" customWidth="1"/>
    <col min="8" max="8" width="17.140625" style="7" customWidth="1"/>
  </cols>
  <sheetData>
    <row r="1" spans="1:9" ht="15.75">
      <c r="A1" s="102" t="s">
        <v>1218</v>
      </c>
      <c r="B1" s="100"/>
      <c r="C1" s="100"/>
      <c r="D1" s="100"/>
      <c r="E1" s="100"/>
      <c r="I1" s="100"/>
    </row>
    <row r="2" spans="1:9" ht="15.75">
      <c r="A2" s="102" t="s">
        <v>1536</v>
      </c>
      <c r="B2" s="100"/>
      <c r="C2" s="100"/>
      <c r="D2" s="100"/>
      <c r="E2" s="100"/>
      <c r="I2" s="100"/>
    </row>
    <row r="3" spans="1:9" ht="15.75">
      <c r="A3" s="102"/>
      <c r="B3" s="100"/>
      <c r="C3" s="100"/>
      <c r="D3" s="100"/>
      <c r="E3" s="100"/>
      <c r="I3" s="100"/>
    </row>
    <row r="4" spans="1:9" s="19" customFormat="1" ht="45">
      <c r="A4" s="29" t="s">
        <v>19</v>
      </c>
      <c r="B4" s="29"/>
      <c r="C4" s="29" t="s">
        <v>18</v>
      </c>
      <c r="D4" s="29" t="s">
        <v>17</v>
      </c>
      <c r="E4" s="108"/>
      <c r="F4" s="32" t="s">
        <v>1537</v>
      </c>
      <c r="G4" s="32" t="s">
        <v>16</v>
      </c>
      <c r="H4" s="32" t="s">
        <v>924</v>
      </c>
      <c r="I4" s="103"/>
    </row>
    <row r="6" spans="1:9">
      <c r="A6" s="109" t="s">
        <v>1538</v>
      </c>
      <c r="B6" s="100"/>
      <c r="C6" s="100"/>
      <c r="D6" s="100"/>
      <c r="E6" s="100"/>
      <c r="I6" s="100"/>
    </row>
    <row r="7" spans="1:9">
      <c r="A7" s="100" t="s">
        <v>1221</v>
      </c>
      <c r="B7" s="100"/>
      <c r="C7" s="100"/>
      <c r="D7" s="100"/>
      <c r="E7" s="100"/>
      <c r="I7" s="100"/>
    </row>
    <row r="8" spans="1:9">
      <c r="A8" s="100" t="s">
        <v>1539</v>
      </c>
      <c r="B8" s="100"/>
      <c r="C8" s="100" t="s">
        <v>479</v>
      </c>
      <c r="D8" s="100"/>
      <c r="E8" s="100"/>
      <c r="F8" s="7" t="s">
        <v>188</v>
      </c>
      <c r="G8" s="7">
        <v>3950</v>
      </c>
      <c r="H8" s="7" t="s">
        <v>1635</v>
      </c>
      <c r="I8" s="100"/>
    </row>
    <row r="9" spans="1:9">
      <c r="A9" s="100" t="s">
        <v>1540</v>
      </c>
      <c r="B9" s="100"/>
      <c r="C9" s="100" t="s">
        <v>1541</v>
      </c>
      <c r="D9" s="100"/>
      <c r="E9" s="100"/>
      <c r="F9" s="7" t="s">
        <v>234</v>
      </c>
      <c r="G9" s="7">
        <v>950</v>
      </c>
      <c r="H9" s="7" t="s">
        <v>1636</v>
      </c>
      <c r="I9" s="100"/>
    </row>
    <row r="10" spans="1:9">
      <c r="A10" s="100" t="s">
        <v>1542</v>
      </c>
      <c r="B10" s="100"/>
      <c r="C10" s="100" t="s">
        <v>1543</v>
      </c>
      <c r="D10" s="100"/>
      <c r="E10" s="100"/>
      <c r="F10" s="7" t="s">
        <v>188</v>
      </c>
      <c r="G10" s="7">
        <v>3950</v>
      </c>
      <c r="H10" s="7" t="s">
        <v>1637</v>
      </c>
      <c r="I10" s="100"/>
    </row>
    <row r="11" spans="1:9">
      <c r="A11" s="100"/>
      <c r="B11" s="100"/>
      <c r="C11" s="100"/>
      <c r="D11" s="100"/>
      <c r="E11" s="100"/>
      <c r="I11" s="100"/>
    </row>
    <row r="12" spans="1:9">
      <c r="A12" s="100" t="s">
        <v>1544</v>
      </c>
      <c r="B12" s="100"/>
      <c r="C12" s="100"/>
      <c r="D12" s="100"/>
      <c r="E12" s="100"/>
      <c r="I12" s="100"/>
    </row>
    <row r="13" spans="1:9">
      <c r="A13" s="100" t="s">
        <v>1545</v>
      </c>
      <c r="B13" s="100"/>
      <c r="C13" s="100" t="s">
        <v>1546</v>
      </c>
      <c r="D13" s="100"/>
      <c r="E13" s="100"/>
      <c r="F13" s="7" t="s">
        <v>188</v>
      </c>
      <c r="G13" s="7">
        <v>3950</v>
      </c>
      <c r="H13" s="7" t="s">
        <v>1638</v>
      </c>
      <c r="I13" s="100"/>
    </row>
    <row r="14" spans="1:9">
      <c r="A14" s="100" t="s">
        <v>1547</v>
      </c>
      <c r="B14" s="100"/>
      <c r="C14" s="100" t="s">
        <v>1548</v>
      </c>
      <c r="D14" s="100"/>
      <c r="E14" s="100"/>
      <c r="F14" s="7" t="s">
        <v>188</v>
      </c>
      <c r="G14" s="7">
        <v>3950</v>
      </c>
      <c r="H14" s="7" t="s">
        <v>1637</v>
      </c>
      <c r="I14" s="100"/>
    </row>
    <row r="15" spans="1:9">
      <c r="A15" s="100" t="s">
        <v>1549</v>
      </c>
      <c r="B15" s="100"/>
      <c r="C15" s="100" t="s">
        <v>1550</v>
      </c>
      <c r="D15" s="100"/>
      <c r="E15" s="100"/>
      <c r="F15" s="7" t="s">
        <v>234</v>
      </c>
      <c r="G15" s="7">
        <v>950</v>
      </c>
      <c r="H15" s="7" t="s">
        <v>1639</v>
      </c>
      <c r="I15" s="100"/>
    </row>
    <row r="16" spans="1:9">
      <c r="A16" s="100"/>
      <c r="B16" s="100"/>
      <c r="C16" s="100"/>
      <c r="D16" s="100"/>
      <c r="E16" s="100"/>
      <c r="I16" s="100"/>
    </row>
    <row r="17" spans="1:8">
      <c r="A17" s="100" t="s">
        <v>1551</v>
      </c>
      <c r="B17" s="100"/>
      <c r="C17" s="100"/>
      <c r="D17" s="100"/>
      <c r="E17" s="100"/>
    </row>
    <row r="18" spans="1:8">
      <c r="A18" s="100" t="s">
        <v>1552</v>
      </c>
      <c r="B18" s="100"/>
      <c r="C18" s="100" t="s">
        <v>1553</v>
      </c>
      <c r="D18" s="100"/>
      <c r="E18" s="100"/>
      <c r="F18" s="7" t="s">
        <v>188</v>
      </c>
      <c r="G18" s="7">
        <v>3950</v>
      </c>
      <c r="H18" s="7" t="s">
        <v>1637</v>
      </c>
    </row>
    <row r="19" spans="1:8">
      <c r="A19" s="100" t="s">
        <v>1554</v>
      </c>
      <c r="B19" s="100"/>
      <c r="C19" s="100" t="s">
        <v>1555</v>
      </c>
      <c r="D19" s="100"/>
      <c r="E19" s="100"/>
      <c r="F19" s="7" t="s">
        <v>188</v>
      </c>
      <c r="G19" s="7">
        <v>3950</v>
      </c>
      <c r="H19" s="7" t="s">
        <v>1637</v>
      </c>
    </row>
    <row r="20" spans="1:8">
      <c r="A20" s="100" t="s">
        <v>1556</v>
      </c>
      <c r="B20" s="100"/>
      <c r="C20" s="100" t="s">
        <v>1557</v>
      </c>
      <c r="D20" s="100"/>
      <c r="E20" s="100"/>
      <c r="F20" s="7" t="s">
        <v>234</v>
      </c>
      <c r="G20" s="7">
        <v>950</v>
      </c>
      <c r="H20" s="7" t="s">
        <v>1640</v>
      </c>
    </row>
    <row r="21" spans="1:8">
      <c r="A21" s="100"/>
      <c r="B21" s="100"/>
      <c r="C21" s="100"/>
      <c r="D21" s="101"/>
      <c r="E21" s="101" t="s">
        <v>1558</v>
      </c>
    </row>
    <row r="22" spans="1:8">
      <c r="A22" s="100" t="s">
        <v>1559</v>
      </c>
      <c r="B22" s="100"/>
      <c r="C22" s="100"/>
      <c r="D22" s="100"/>
      <c r="E22" s="100"/>
    </row>
    <row r="23" spans="1:8">
      <c r="A23" s="100" t="s">
        <v>1560</v>
      </c>
      <c r="B23" s="100"/>
      <c r="C23" s="100" t="s">
        <v>1561</v>
      </c>
      <c r="D23" s="100"/>
      <c r="E23" s="100"/>
      <c r="F23" s="7" t="s">
        <v>188</v>
      </c>
      <c r="G23" s="7">
        <v>3950</v>
      </c>
      <c r="H23" s="7" t="s">
        <v>1641</v>
      </c>
    </row>
    <row r="24" spans="1:8">
      <c r="A24" s="105" t="s">
        <v>1562</v>
      </c>
      <c r="B24" s="100"/>
      <c r="C24" s="100" t="s">
        <v>1563</v>
      </c>
      <c r="D24" s="100"/>
      <c r="E24" s="100"/>
      <c r="F24" s="7" t="s">
        <v>188</v>
      </c>
      <c r="G24" s="7">
        <v>3950</v>
      </c>
      <c r="H24" s="7" t="s">
        <v>1641</v>
      </c>
    </row>
    <row r="25" spans="1:8">
      <c r="A25" s="105" t="s">
        <v>1564</v>
      </c>
      <c r="B25" s="100"/>
      <c r="C25" s="100"/>
      <c r="D25" s="100"/>
      <c r="E25" s="100"/>
    </row>
    <row r="26" spans="1:8">
      <c r="A26" s="100" t="s">
        <v>1565</v>
      </c>
      <c r="B26" s="100"/>
      <c r="C26" s="100" t="s">
        <v>1566</v>
      </c>
      <c r="D26" s="100"/>
      <c r="E26" s="100"/>
      <c r="F26" s="7" t="s">
        <v>188</v>
      </c>
      <c r="G26" s="7">
        <v>3950</v>
      </c>
      <c r="H26" s="7" t="s">
        <v>1641</v>
      </c>
    </row>
    <row r="27" spans="1:8">
      <c r="A27" s="100" t="s">
        <v>1567</v>
      </c>
      <c r="B27" s="100"/>
      <c r="C27" s="100" t="s">
        <v>1568</v>
      </c>
      <c r="D27" s="100"/>
      <c r="E27" s="100"/>
      <c r="F27" s="7" t="s">
        <v>234</v>
      </c>
      <c r="G27" s="7">
        <v>950</v>
      </c>
      <c r="H27" s="7" t="s">
        <v>1642</v>
      </c>
    </row>
    <row r="28" spans="1:8">
      <c r="A28" s="100" t="s">
        <v>1569</v>
      </c>
      <c r="B28" s="100"/>
      <c r="C28" s="100" t="s">
        <v>1570</v>
      </c>
      <c r="D28" s="100"/>
      <c r="E28" s="100"/>
      <c r="F28" s="7" t="s">
        <v>234</v>
      </c>
      <c r="G28" s="7">
        <v>950</v>
      </c>
      <c r="H28" s="7" t="s">
        <v>1643</v>
      </c>
    </row>
    <row r="29" spans="1:8">
      <c r="A29" s="100" t="s">
        <v>1571</v>
      </c>
      <c r="B29" s="100"/>
      <c r="C29" s="100"/>
      <c r="D29" s="100"/>
      <c r="E29" s="100"/>
    </row>
    <row r="30" spans="1:8">
      <c r="A30" s="100" t="s">
        <v>1572</v>
      </c>
      <c r="B30" s="100"/>
      <c r="C30" s="100" t="s">
        <v>1573</v>
      </c>
      <c r="D30" s="100"/>
      <c r="E30" s="100"/>
      <c r="F30" s="7" t="s">
        <v>234</v>
      </c>
      <c r="G30" s="7">
        <v>950</v>
      </c>
      <c r="H30" s="7" t="s">
        <v>1644</v>
      </c>
    </row>
    <row r="31" spans="1:8">
      <c r="A31" s="100" t="s">
        <v>1574</v>
      </c>
      <c r="B31" s="100"/>
      <c r="C31" s="100" t="s">
        <v>1575</v>
      </c>
      <c r="D31" s="100"/>
      <c r="E31" s="100"/>
      <c r="F31" s="7" t="s">
        <v>188</v>
      </c>
      <c r="G31" s="7">
        <v>3950</v>
      </c>
      <c r="H31" s="7" t="s">
        <v>1645</v>
      </c>
    </row>
    <row r="32" spans="1:8">
      <c r="A32" s="100" t="s">
        <v>1576</v>
      </c>
      <c r="B32" s="100"/>
      <c r="C32" s="100" t="s">
        <v>1577</v>
      </c>
      <c r="D32" s="100"/>
      <c r="E32" s="100"/>
      <c r="F32" s="7" t="s">
        <v>188</v>
      </c>
      <c r="G32" s="7">
        <v>3950</v>
      </c>
      <c r="H32" s="7" t="s">
        <v>1641</v>
      </c>
    </row>
    <row r="33" spans="1:8">
      <c r="A33" s="100"/>
      <c r="B33" s="100"/>
      <c r="C33" s="100"/>
      <c r="D33" s="100"/>
      <c r="E33" s="101" t="s">
        <v>1578</v>
      </c>
    </row>
    <row r="35" spans="1:8">
      <c r="A35" s="109" t="s">
        <v>1579</v>
      </c>
      <c r="B35" s="100"/>
      <c r="C35" s="100"/>
      <c r="D35" s="100"/>
      <c r="E35" s="100"/>
    </row>
    <row r="36" spans="1:8">
      <c r="A36" s="100" t="s">
        <v>1580</v>
      </c>
      <c r="B36" s="100"/>
      <c r="C36" s="100"/>
      <c r="D36" s="100"/>
      <c r="E36" s="100"/>
    </row>
    <row r="37" spans="1:8">
      <c r="A37" s="100" t="s">
        <v>1581</v>
      </c>
      <c r="B37" s="100"/>
      <c r="C37" s="100" t="s">
        <v>385</v>
      </c>
      <c r="D37" s="100" t="s">
        <v>1582</v>
      </c>
      <c r="E37" s="100"/>
      <c r="F37" s="7" t="s">
        <v>120</v>
      </c>
      <c r="G37" s="7">
        <v>4275</v>
      </c>
      <c r="H37" s="7" t="s">
        <v>1646</v>
      </c>
    </row>
    <row r="38" spans="1:8">
      <c r="A38" s="100" t="s">
        <v>513</v>
      </c>
      <c r="B38" s="100"/>
      <c r="C38" s="100" t="s">
        <v>78</v>
      </c>
      <c r="D38" s="100" t="s">
        <v>1583</v>
      </c>
      <c r="E38" s="100"/>
      <c r="F38" s="7" t="s">
        <v>120</v>
      </c>
      <c r="G38" s="7">
        <v>4275</v>
      </c>
      <c r="H38" s="7" t="s">
        <v>1370</v>
      </c>
    </row>
    <row r="39" spans="1:8">
      <c r="A39" s="100" t="s">
        <v>1584</v>
      </c>
      <c r="B39" s="100"/>
      <c r="C39" s="100" t="s">
        <v>1585</v>
      </c>
      <c r="D39" s="100" t="s">
        <v>1586</v>
      </c>
      <c r="E39" s="100"/>
      <c r="F39" s="7" t="s">
        <v>120</v>
      </c>
      <c r="G39" s="7">
        <v>2640</v>
      </c>
      <c r="H39" s="7" t="s">
        <v>1647</v>
      </c>
    </row>
    <row r="41" spans="1:8">
      <c r="A41" s="100" t="s">
        <v>1587</v>
      </c>
      <c r="B41" s="100"/>
      <c r="C41" s="100"/>
      <c r="D41" s="100"/>
      <c r="E41" s="100"/>
    </row>
    <row r="42" spans="1:8">
      <c r="A42" s="100" t="s">
        <v>1588</v>
      </c>
      <c r="B42" s="100"/>
      <c r="C42" s="100" t="s">
        <v>1589</v>
      </c>
      <c r="D42" s="100" t="s">
        <v>1582</v>
      </c>
      <c r="E42" s="100"/>
      <c r="F42" s="7" t="s">
        <v>120</v>
      </c>
      <c r="G42" s="7">
        <v>4275</v>
      </c>
      <c r="H42" s="7" t="s">
        <v>1648</v>
      </c>
    </row>
    <row r="43" spans="1:8">
      <c r="A43" s="100" t="s">
        <v>1590</v>
      </c>
      <c r="B43" s="100"/>
      <c r="C43" s="100" t="s">
        <v>1591</v>
      </c>
      <c r="D43" s="100" t="s">
        <v>1592</v>
      </c>
      <c r="E43" s="100"/>
      <c r="F43" s="7" t="s">
        <v>120</v>
      </c>
      <c r="G43" s="7">
        <v>4275</v>
      </c>
      <c r="H43" s="7" t="s">
        <v>1649</v>
      </c>
    </row>
    <row r="45" spans="1:8">
      <c r="A45" s="100" t="s">
        <v>1593</v>
      </c>
      <c r="B45" s="100"/>
      <c r="C45" s="100"/>
      <c r="D45" s="100"/>
      <c r="E45" s="100"/>
    </row>
    <row r="46" spans="1:8">
      <c r="A46" s="100" t="s">
        <v>163</v>
      </c>
      <c r="B46" s="100"/>
      <c r="C46" s="100" t="s">
        <v>162</v>
      </c>
      <c r="D46" s="100" t="s">
        <v>1594</v>
      </c>
      <c r="E46" s="100"/>
      <c r="F46" s="7" t="s">
        <v>120</v>
      </c>
      <c r="G46" s="7">
        <v>4275</v>
      </c>
      <c r="H46" s="7" t="s">
        <v>1650</v>
      </c>
    </row>
    <row r="47" spans="1:8">
      <c r="A47" s="100" t="s">
        <v>1595</v>
      </c>
      <c r="B47" s="100"/>
      <c r="C47" s="100" t="s">
        <v>1596</v>
      </c>
      <c r="D47" s="100" t="s">
        <v>1597</v>
      </c>
      <c r="E47" s="100"/>
      <c r="F47" s="7" t="s">
        <v>120</v>
      </c>
      <c r="G47" s="7">
        <v>4275</v>
      </c>
      <c r="H47" s="7" t="s">
        <v>1651</v>
      </c>
    </row>
    <row r="48" spans="1:8">
      <c r="A48" s="100"/>
      <c r="B48" s="100"/>
      <c r="C48" s="100"/>
      <c r="D48" s="100"/>
      <c r="E48" s="101" t="s">
        <v>1598</v>
      </c>
    </row>
    <row r="49" spans="1:8">
      <c r="A49" s="100" t="s">
        <v>1559</v>
      </c>
      <c r="B49" s="100"/>
      <c r="C49" s="100"/>
      <c r="D49" s="100"/>
      <c r="E49" s="100"/>
    </row>
    <row r="50" spans="1:8">
      <c r="A50" s="100" t="s">
        <v>1599</v>
      </c>
      <c r="B50" s="100"/>
      <c r="C50" s="100" t="s">
        <v>1600</v>
      </c>
      <c r="D50" s="100" t="s">
        <v>1601</v>
      </c>
      <c r="E50" s="100"/>
      <c r="F50" s="7" t="s">
        <v>120</v>
      </c>
      <c r="G50" s="7">
        <v>4275</v>
      </c>
      <c r="H50" s="7" t="s">
        <v>1652</v>
      </c>
    </row>
    <row r="51" spans="1:8">
      <c r="A51" s="100" t="s">
        <v>1602</v>
      </c>
      <c r="B51" s="100"/>
      <c r="C51" s="100" t="s">
        <v>1603</v>
      </c>
      <c r="D51" s="100" t="s">
        <v>1604</v>
      </c>
      <c r="E51" s="100"/>
      <c r="F51" s="7" t="s">
        <v>120</v>
      </c>
      <c r="G51" s="7">
        <v>4275</v>
      </c>
      <c r="H51" s="7" t="s">
        <v>1653</v>
      </c>
    </row>
    <row r="53" spans="1:8">
      <c r="A53" s="100" t="s">
        <v>1564</v>
      </c>
      <c r="B53" s="100"/>
      <c r="C53" s="100"/>
      <c r="D53" s="100"/>
      <c r="E53" s="100"/>
    </row>
    <row r="54" spans="1:8">
      <c r="A54" s="100" t="s">
        <v>1605</v>
      </c>
      <c r="B54" s="100"/>
      <c r="C54" s="100" t="s">
        <v>1606</v>
      </c>
      <c r="D54" s="100" t="s">
        <v>1601</v>
      </c>
      <c r="E54" s="100"/>
      <c r="F54" s="7" t="s">
        <v>120</v>
      </c>
      <c r="G54" s="7">
        <v>4275</v>
      </c>
      <c r="H54" s="7" t="s">
        <v>1652</v>
      </c>
    </row>
    <row r="55" spans="1:8">
      <c r="A55" s="100" t="s">
        <v>1607</v>
      </c>
      <c r="B55" s="100"/>
      <c r="C55" s="100" t="s">
        <v>1608</v>
      </c>
      <c r="D55" s="100"/>
      <c r="E55" s="100"/>
      <c r="F55" s="7" t="s">
        <v>120</v>
      </c>
      <c r="G55" s="7">
        <v>4275</v>
      </c>
      <c r="H55" s="7" t="s">
        <v>1654</v>
      </c>
    </row>
    <row r="57" spans="1:8">
      <c r="A57" s="100" t="s">
        <v>1571</v>
      </c>
      <c r="B57" s="100"/>
      <c r="C57" s="100"/>
      <c r="D57" s="100"/>
      <c r="E57" s="100"/>
    </row>
    <row r="58" spans="1:8">
      <c r="A58" s="100" t="s">
        <v>1609</v>
      </c>
      <c r="B58" s="100"/>
      <c r="C58" s="100" t="s">
        <v>1610</v>
      </c>
      <c r="D58" s="100" t="s">
        <v>1601</v>
      </c>
      <c r="E58" s="100"/>
      <c r="F58" s="7" t="s">
        <v>120</v>
      </c>
      <c r="G58" s="7">
        <v>4275</v>
      </c>
      <c r="H58" s="7" t="s">
        <v>1655</v>
      </c>
    </row>
    <row r="59" spans="1:8">
      <c r="A59" s="100" t="s">
        <v>1611</v>
      </c>
      <c r="B59" s="100"/>
      <c r="C59" s="100" t="s">
        <v>1612</v>
      </c>
      <c r="D59" s="100" t="s">
        <v>1613</v>
      </c>
      <c r="E59" s="100"/>
      <c r="F59" s="7" t="s">
        <v>234</v>
      </c>
      <c r="G59" s="7">
        <v>4275</v>
      </c>
      <c r="H59" s="7" t="s">
        <v>1656</v>
      </c>
    </row>
    <row r="60" spans="1:8">
      <c r="A60" s="100"/>
      <c r="B60" s="100"/>
      <c r="C60" s="100"/>
      <c r="D60" s="100"/>
      <c r="E60" s="101" t="s">
        <v>1614</v>
      </c>
    </row>
    <row r="62" spans="1:8">
      <c r="A62" s="109" t="s">
        <v>1615</v>
      </c>
      <c r="B62" s="100"/>
      <c r="C62" s="100"/>
      <c r="D62" s="100"/>
      <c r="E62" s="100"/>
    </row>
    <row r="63" spans="1:8">
      <c r="A63" s="100" t="s">
        <v>1580</v>
      </c>
      <c r="B63" s="100"/>
      <c r="C63" s="100"/>
      <c r="D63" s="100"/>
      <c r="E63" s="100"/>
    </row>
    <row r="64" spans="1:8">
      <c r="A64" s="100" t="s">
        <v>1616</v>
      </c>
      <c r="B64" s="100"/>
      <c r="C64" s="100" t="s">
        <v>111</v>
      </c>
      <c r="D64" s="100" t="s">
        <v>1617</v>
      </c>
      <c r="E64" s="100"/>
      <c r="F64" s="7" t="s">
        <v>188</v>
      </c>
      <c r="G64" s="7">
        <v>3060</v>
      </c>
      <c r="H64" s="7" t="s">
        <v>1657</v>
      </c>
    </row>
    <row r="65" spans="1:8">
      <c r="A65" s="100" t="s">
        <v>1540</v>
      </c>
      <c r="B65" s="100"/>
      <c r="C65" s="100" t="s">
        <v>1541</v>
      </c>
      <c r="D65" s="100" t="s">
        <v>1618</v>
      </c>
      <c r="E65" s="100"/>
      <c r="F65" s="7" t="s">
        <v>234</v>
      </c>
      <c r="G65" s="7">
        <v>1020</v>
      </c>
      <c r="H65" s="7" t="s">
        <v>1375</v>
      </c>
    </row>
    <row r="66" spans="1:8">
      <c r="A66" s="100" t="s">
        <v>1619</v>
      </c>
      <c r="B66" s="100"/>
      <c r="C66" s="100" t="s">
        <v>1620</v>
      </c>
      <c r="D66" s="100" t="s">
        <v>1617</v>
      </c>
      <c r="E66" s="100"/>
      <c r="F66" s="7" t="s">
        <v>120</v>
      </c>
      <c r="G66" s="15">
        <v>5300</v>
      </c>
      <c r="H66" s="7" t="s">
        <v>1373</v>
      </c>
    </row>
    <row r="68" spans="1:8">
      <c r="A68" s="100" t="s">
        <v>1587</v>
      </c>
      <c r="B68" s="100"/>
      <c r="C68" s="100"/>
      <c r="D68" s="100"/>
      <c r="E68" s="100"/>
    </row>
    <row r="69" spans="1:8">
      <c r="A69" s="100" t="s">
        <v>1318</v>
      </c>
      <c r="B69" s="100"/>
      <c r="C69" s="100" t="s">
        <v>1319</v>
      </c>
      <c r="D69" s="106" t="s">
        <v>1621</v>
      </c>
      <c r="E69" s="100"/>
      <c r="F69" s="7" t="s">
        <v>188</v>
      </c>
      <c r="G69" s="7">
        <v>4500</v>
      </c>
      <c r="H69" s="7" t="s">
        <v>1012</v>
      </c>
    </row>
    <row r="70" spans="1:8">
      <c r="A70" s="100" t="s">
        <v>177</v>
      </c>
      <c r="B70" s="100"/>
      <c r="C70" s="100" t="s">
        <v>176</v>
      </c>
      <c r="D70" s="107" t="s">
        <v>1502</v>
      </c>
      <c r="E70" s="100"/>
      <c r="F70" s="7" t="s">
        <v>120</v>
      </c>
      <c r="G70" s="7">
        <v>3960</v>
      </c>
      <c r="H70" s="7" t="s">
        <v>1379</v>
      </c>
    </row>
    <row r="72" spans="1:8">
      <c r="A72" s="100" t="s">
        <v>1593</v>
      </c>
      <c r="B72" s="100"/>
      <c r="C72" s="100"/>
      <c r="D72" s="100"/>
      <c r="E72" s="100"/>
    </row>
    <row r="73" spans="1:8">
      <c r="A73" s="100" t="s">
        <v>1622</v>
      </c>
      <c r="B73" s="100"/>
      <c r="C73" s="100" t="s">
        <v>1623</v>
      </c>
      <c r="D73" s="104" t="s">
        <v>1624</v>
      </c>
      <c r="E73" s="100"/>
      <c r="F73" s="7" t="s">
        <v>120</v>
      </c>
      <c r="G73" s="7">
        <v>2700</v>
      </c>
      <c r="H73" s="7" t="s">
        <v>1376</v>
      </c>
    </row>
    <row r="74" spans="1:8">
      <c r="A74" s="100" t="s">
        <v>1625</v>
      </c>
      <c r="B74" s="100"/>
      <c r="C74" s="100" t="s">
        <v>1626</v>
      </c>
      <c r="D74" s="104" t="s">
        <v>1627</v>
      </c>
      <c r="E74" s="100"/>
      <c r="F74" s="7" t="s">
        <v>234</v>
      </c>
      <c r="G74" s="7">
        <v>900</v>
      </c>
      <c r="H74" s="7" t="s">
        <v>1377</v>
      </c>
    </row>
    <row r="75" spans="1:8">
      <c r="A75" s="100" t="s">
        <v>1628</v>
      </c>
      <c r="B75" s="100"/>
      <c r="C75" s="100" t="s">
        <v>706</v>
      </c>
      <c r="D75" s="100"/>
      <c r="E75" s="100"/>
      <c r="F75" s="7" t="s">
        <v>120</v>
      </c>
      <c r="G75" s="7">
        <v>4275</v>
      </c>
      <c r="H75" s="7" t="s">
        <v>1378</v>
      </c>
    </row>
    <row r="76" spans="1:8">
      <c r="A76" s="100"/>
      <c r="B76" s="100"/>
      <c r="C76" s="100"/>
      <c r="D76" s="100"/>
      <c r="E76" s="101" t="s">
        <v>1598</v>
      </c>
    </row>
    <row r="77" spans="1:8">
      <c r="A77" s="100" t="s">
        <v>1629</v>
      </c>
      <c r="B77" s="100"/>
      <c r="C77" s="100"/>
      <c r="D77" s="100"/>
      <c r="E77" s="100"/>
    </row>
    <row r="78" spans="1:8">
      <c r="A78" s="100" t="s">
        <v>1330</v>
      </c>
      <c r="B78" s="100"/>
      <c r="C78" s="100" t="s">
        <v>370</v>
      </c>
      <c r="D78" s="100"/>
      <c r="E78" s="100"/>
      <c r="F78" s="7" t="s">
        <v>120</v>
      </c>
      <c r="G78" s="7">
        <v>5760</v>
      </c>
      <c r="H78" s="7" t="s">
        <v>1381</v>
      </c>
    </row>
    <row r="79" spans="1:8">
      <c r="A79" s="100" t="s">
        <v>1327</v>
      </c>
      <c r="B79" s="100"/>
      <c r="C79" s="100" t="s">
        <v>1630</v>
      </c>
      <c r="D79" s="100"/>
      <c r="E79" s="100"/>
      <c r="F79" s="7" t="s">
        <v>234</v>
      </c>
      <c r="G79" s="7">
        <v>1920</v>
      </c>
      <c r="H79" s="7" t="s">
        <v>1380</v>
      </c>
    </row>
    <row r="81" spans="1:8">
      <c r="A81" s="100" t="s">
        <v>1564</v>
      </c>
      <c r="B81" s="100"/>
      <c r="C81" s="100"/>
      <c r="D81" s="100"/>
      <c r="E81" s="100"/>
    </row>
    <row r="82" spans="1:8">
      <c r="A82" s="100" t="s">
        <v>1338</v>
      </c>
      <c r="B82" s="100"/>
      <c r="C82" s="100" t="s">
        <v>1339</v>
      </c>
      <c r="D82" s="100"/>
      <c r="E82" s="100"/>
      <c r="F82" s="7" t="s">
        <v>1341</v>
      </c>
      <c r="G82" s="7">
        <v>2400</v>
      </c>
      <c r="H82" s="7" t="s">
        <v>1534</v>
      </c>
    </row>
    <row r="83" spans="1:8">
      <c r="A83" s="100" t="s">
        <v>1342</v>
      </c>
      <c r="B83" s="100"/>
      <c r="C83" s="100" t="s">
        <v>1631</v>
      </c>
      <c r="D83" s="100"/>
      <c r="E83" s="100"/>
      <c r="F83" s="7" t="s">
        <v>1341</v>
      </c>
      <c r="G83" s="7">
        <v>900</v>
      </c>
      <c r="H83" s="7" t="s">
        <v>1385</v>
      </c>
    </row>
    <row r="84" spans="1:8">
      <c r="A84" s="100" t="s">
        <v>1345</v>
      </c>
      <c r="B84" s="100"/>
      <c r="C84" s="100" t="s">
        <v>1632</v>
      </c>
      <c r="D84" s="100"/>
      <c r="E84" s="100"/>
      <c r="F84" s="7" t="s">
        <v>120</v>
      </c>
      <c r="G84" s="7">
        <v>3960</v>
      </c>
      <c r="H84" s="7" t="s">
        <v>1386</v>
      </c>
    </row>
    <row r="86" spans="1:8">
      <c r="A86" s="100" t="s">
        <v>1571</v>
      </c>
      <c r="B86" s="100"/>
      <c r="C86" s="100"/>
      <c r="D86" s="100"/>
      <c r="E86" s="100"/>
    </row>
    <row r="87" spans="1:8">
      <c r="A87" s="100" t="s">
        <v>1332</v>
      </c>
      <c r="B87" s="100"/>
      <c r="C87" s="100" t="s">
        <v>1333</v>
      </c>
      <c r="D87" s="100"/>
      <c r="E87" s="100"/>
      <c r="F87" s="7" t="s">
        <v>120</v>
      </c>
      <c r="G87" s="7">
        <v>2700</v>
      </c>
      <c r="H87" s="7" t="s">
        <v>1382</v>
      </c>
    </row>
    <row r="88" spans="1:8">
      <c r="A88" s="100" t="s">
        <v>1335</v>
      </c>
      <c r="B88" s="100"/>
      <c r="C88" s="100" t="s">
        <v>1336</v>
      </c>
      <c r="D88" s="100"/>
      <c r="E88" s="100"/>
      <c r="F88" s="7" t="s">
        <v>234</v>
      </c>
      <c r="G88" s="7">
        <v>900</v>
      </c>
      <c r="H88" s="7" t="s">
        <v>1383</v>
      </c>
    </row>
    <row r="89" spans="1:8">
      <c r="A89" s="100" t="s">
        <v>1633</v>
      </c>
      <c r="B89" s="100"/>
      <c r="C89" s="100" t="s">
        <v>1348</v>
      </c>
      <c r="D89" s="100"/>
      <c r="E89" s="100"/>
      <c r="F89" s="7" t="s">
        <v>1341</v>
      </c>
      <c r="G89" s="7">
        <v>3060</v>
      </c>
      <c r="H89" s="7" t="s">
        <v>1384</v>
      </c>
    </row>
    <row r="90" spans="1:8">
      <c r="A90" s="100" t="s">
        <v>1347</v>
      </c>
      <c r="B90" s="100"/>
      <c r="C90" s="100" t="s">
        <v>1350</v>
      </c>
      <c r="D90" s="100"/>
      <c r="E90" s="100"/>
      <c r="F90" s="7" t="s">
        <v>630</v>
      </c>
      <c r="G90" s="7">
        <v>900</v>
      </c>
      <c r="H90" s="7" t="s">
        <v>1385</v>
      </c>
    </row>
    <row r="91" spans="1:8">
      <c r="A91" s="100"/>
      <c r="B91" s="100"/>
      <c r="C91" s="100"/>
      <c r="D91" s="100"/>
      <c r="E91" s="101" t="s">
        <v>1634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selection activeCell="I13" sqref="I13"/>
    </sheetView>
  </sheetViews>
  <sheetFormatPr defaultRowHeight="15"/>
  <cols>
    <col min="2" max="2" width="28.140625" customWidth="1"/>
    <col min="3" max="3" width="31.5703125" style="19" customWidth="1"/>
    <col min="4" max="4" width="12.28515625" style="7" customWidth="1"/>
    <col min="5" max="5" width="9.140625" style="7"/>
    <col min="6" max="6" width="18.5703125" style="7" customWidth="1"/>
  </cols>
  <sheetData>
    <row r="1" spans="1:6" ht="15.75">
      <c r="A1" s="112" t="s">
        <v>1218</v>
      </c>
    </row>
    <row r="2" spans="1:6" ht="15.75">
      <c r="A2" s="112" t="s">
        <v>1658</v>
      </c>
      <c r="B2" s="111"/>
    </row>
    <row r="3" spans="1:6" ht="15.75">
      <c r="A3" s="112"/>
      <c r="B3" s="111"/>
    </row>
    <row r="4" spans="1:6" ht="45">
      <c r="A4" s="29" t="s">
        <v>19</v>
      </c>
      <c r="B4" s="30" t="s">
        <v>18</v>
      </c>
      <c r="C4" s="29" t="s">
        <v>17</v>
      </c>
      <c r="D4" s="93" t="s">
        <v>1389</v>
      </c>
      <c r="E4" s="32" t="s">
        <v>16</v>
      </c>
      <c r="F4" s="32" t="s">
        <v>924</v>
      </c>
    </row>
    <row r="6" spans="1:6" ht="15.75">
      <c r="A6" s="99" t="s">
        <v>1302</v>
      </c>
      <c r="B6" s="111"/>
    </row>
    <row r="7" spans="1:6">
      <c r="A7" s="111" t="s">
        <v>1221</v>
      </c>
      <c r="B7" s="111"/>
    </row>
    <row r="8" spans="1:6" ht="30">
      <c r="A8" s="114" t="s">
        <v>1303</v>
      </c>
      <c r="B8" s="114" t="s">
        <v>1304</v>
      </c>
      <c r="C8" s="110" t="s">
        <v>1659</v>
      </c>
      <c r="D8" s="84" t="s">
        <v>120</v>
      </c>
      <c r="E8" s="15">
        <v>5300</v>
      </c>
      <c r="F8" s="7" t="s">
        <v>1373</v>
      </c>
    </row>
    <row r="9" spans="1:6">
      <c r="A9" s="114" t="s">
        <v>1306</v>
      </c>
      <c r="B9" s="114" t="s">
        <v>1307</v>
      </c>
      <c r="C9" s="110" t="s">
        <v>1499</v>
      </c>
      <c r="D9" s="84" t="s">
        <v>188</v>
      </c>
      <c r="E9" s="15">
        <v>3060</v>
      </c>
      <c r="F9" s="7" t="s">
        <v>1374</v>
      </c>
    </row>
    <row r="10" spans="1:6">
      <c r="A10" s="114" t="s">
        <v>1309</v>
      </c>
      <c r="B10" s="114" t="s">
        <v>1310</v>
      </c>
      <c r="C10" s="117" t="s">
        <v>1500</v>
      </c>
      <c r="D10" s="84" t="s">
        <v>234</v>
      </c>
      <c r="E10" s="7">
        <v>1020</v>
      </c>
      <c r="F10" s="7" t="s">
        <v>1375</v>
      </c>
    </row>
    <row r="11" spans="1:6">
      <c r="A11" s="114"/>
      <c r="B11" s="114"/>
      <c r="C11" s="117"/>
    </row>
    <row r="12" spans="1:6">
      <c r="A12" s="111" t="s">
        <v>1228</v>
      </c>
      <c r="B12" s="111"/>
    </row>
    <row r="13" spans="1:6" ht="30">
      <c r="A13" s="114" t="s">
        <v>1318</v>
      </c>
      <c r="B13" s="114" t="s">
        <v>1319</v>
      </c>
      <c r="C13" s="118" t="s">
        <v>1660</v>
      </c>
      <c r="D13" s="84" t="s">
        <v>188</v>
      </c>
      <c r="E13" s="15">
        <v>4500</v>
      </c>
      <c r="F13" s="7" t="s">
        <v>1012</v>
      </c>
    </row>
    <row r="14" spans="1:6">
      <c r="A14" s="114" t="s">
        <v>177</v>
      </c>
      <c r="B14" s="114" t="s">
        <v>1325</v>
      </c>
      <c r="C14" s="119" t="s">
        <v>1502</v>
      </c>
      <c r="D14" s="84" t="s">
        <v>120</v>
      </c>
      <c r="E14" s="7">
        <v>3960</v>
      </c>
      <c r="F14" s="7" t="s">
        <v>1379</v>
      </c>
    </row>
    <row r="15" spans="1:6">
      <c r="A15" s="111"/>
      <c r="B15" s="111"/>
    </row>
    <row r="16" spans="1:6">
      <c r="A16" s="111" t="s">
        <v>1235</v>
      </c>
      <c r="B16" s="111"/>
    </row>
    <row r="17" spans="1:6">
      <c r="A17" s="114" t="s">
        <v>1322</v>
      </c>
      <c r="B17" s="114" t="s">
        <v>1323</v>
      </c>
      <c r="C17" s="120" t="s">
        <v>1661</v>
      </c>
      <c r="D17" s="84" t="s">
        <v>120</v>
      </c>
      <c r="E17" s="15">
        <v>4275</v>
      </c>
      <c r="F17" s="7" t="s">
        <v>1378</v>
      </c>
    </row>
    <row r="18" spans="1:6">
      <c r="A18" s="114" t="s">
        <v>1312</v>
      </c>
      <c r="B18" s="114" t="s">
        <v>1313</v>
      </c>
      <c r="C18" s="110" t="s">
        <v>1624</v>
      </c>
      <c r="D18" s="84" t="s">
        <v>120</v>
      </c>
      <c r="E18" s="15">
        <v>2700</v>
      </c>
      <c r="F18" s="7" t="s">
        <v>1376</v>
      </c>
    </row>
    <row r="19" spans="1:6">
      <c r="A19" s="114" t="s">
        <v>1315</v>
      </c>
      <c r="B19" s="114" t="s">
        <v>1316</v>
      </c>
      <c r="C19" s="110" t="s">
        <v>1662</v>
      </c>
      <c r="D19" s="84" t="s">
        <v>234</v>
      </c>
      <c r="E19" s="15">
        <v>900</v>
      </c>
      <c r="F19" s="7" t="s">
        <v>1377</v>
      </c>
    </row>
    <row r="20" spans="1:6">
      <c r="A20" s="114"/>
      <c r="B20" s="114"/>
      <c r="C20" s="121" t="s">
        <v>1242</v>
      </c>
      <c r="D20" s="85" t="s">
        <v>1301</v>
      </c>
    </row>
    <row r="21" spans="1:6">
      <c r="A21" s="111"/>
      <c r="B21" s="111"/>
    </row>
    <row r="22" spans="1:6">
      <c r="A22" s="111" t="s">
        <v>1244</v>
      </c>
      <c r="B22" s="111"/>
    </row>
    <row r="23" spans="1:6">
      <c r="A23" s="114" t="s">
        <v>1327</v>
      </c>
      <c r="B23" s="114" t="s">
        <v>1328</v>
      </c>
      <c r="C23" s="120" t="s">
        <v>1329</v>
      </c>
      <c r="D23" s="84" t="s">
        <v>234</v>
      </c>
      <c r="E23" s="15">
        <v>1920</v>
      </c>
      <c r="F23" s="7" t="s">
        <v>1380</v>
      </c>
    </row>
    <row r="24" spans="1:6">
      <c r="A24" s="114" t="s">
        <v>1330</v>
      </c>
      <c r="B24" s="114" t="s">
        <v>370</v>
      </c>
      <c r="C24" s="110" t="s">
        <v>1331</v>
      </c>
      <c r="D24" s="84" t="s">
        <v>120</v>
      </c>
      <c r="E24" s="15">
        <v>5760</v>
      </c>
      <c r="F24" s="7" t="s">
        <v>1381</v>
      </c>
    </row>
    <row r="25" spans="1:6">
      <c r="A25" s="111"/>
      <c r="B25" s="111"/>
    </row>
    <row r="26" spans="1:6">
      <c r="A26" s="111" t="s">
        <v>1252</v>
      </c>
      <c r="B26" s="111"/>
    </row>
    <row r="27" spans="1:6">
      <c r="A27" s="114" t="s">
        <v>1332</v>
      </c>
      <c r="B27" s="113" t="s">
        <v>1333</v>
      </c>
      <c r="C27" s="19" t="s">
        <v>1334</v>
      </c>
      <c r="D27" s="84" t="s">
        <v>120</v>
      </c>
      <c r="E27" s="7">
        <v>2700</v>
      </c>
      <c r="F27" s="7" t="s">
        <v>1382</v>
      </c>
    </row>
    <row r="28" spans="1:6">
      <c r="A28" s="113" t="s">
        <v>1335</v>
      </c>
      <c r="B28" s="113" t="s">
        <v>1336</v>
      </c>
      <c r="C28" s="19" t="s">
        <v>1329</v>
      </c>
      <c r="D28" s="84" t="s">
        <v>234</v>
      </c>
      <c r="E28" s="7">
        <v>900</v>
      </c>
      <c r="F28" s="7" t="s">
        <v>1383</v>
      </c>
    </row>
    <row r="29" spans="1:6">
      <c r="A29" s="113" t="s">
        <v>1338</v>
      </c>
      <c r="B29" s="113" t="s">
        <v>1339</v>
      </c>
      <c r="C29" s="19" t="s">
        <v>1663</v>
      </c>
      <c r="D29" s="84" t="s">
        <v>1341</v>
      </c>
      <c r="E29" s="7">
        <v>3060</v>
      </c>
      <c r="F29" s="7" t="s">
        <v>1384</v>
      </c>
    </row>
    <row r="30" spans="1:6">
      <c r="A30" s="113" t="s">
        <v>1342</v>
      </c>
      <c r="B30" s="113" t="s">
        <v>1343</v>
      </c>
      <c r="D30" s="84" t="s">
        <v>1341</v>
      </c>
      <c r="E30" s="7">
        <v>900</v>
      </c>
      <c r="F30" s="7" t="s">
        <v>1385</v>
      </c>
    </row>
    <row r="31" spans="1:6">
      <c r="A31" s="111"/>
      <c r="B31" s="111"/>
      <c r="E31" s="15"/>
    </row>
    <row r="32" spans="1:6">
      <c r="A32" s="111" t="s">
        <v>1259</v>
      </c>
      <c r="B32" s="111"/>
    </row>
    <row r="33" spans="1:6">
      <c r="A33" s="114" t="s">
        <v>1345</v>
      </c>
      <c r="B33" s="114" t="s">
        <v>407</v>
      </c>
      <c r="C33" s="19" t="s">
        <v>1346</v>
      </c>
      <c r="D33" s="84" t="s">
        <v>120</v>
      </c>
      <c r="E33" s="15">
        <v>3960</v>
      </c>
      <c r="F33" s="7" t="s">
        <v>1386</v>
      </c>
    </row>
    <row r="34" spans="1:6">
      <c r="A34" s="115" t="s">
        <v>1347</v>
      </c>
      <c r="B34" s="114" t="s">
        <v>1348</v>
      </c>
      <c r="C34" s="19" t="s">
        <v>1349</v>
      </c>
      <c r="D34" s="84" t="s">
        <v>1341</v>
      </c>
      <c r="E34" s="7">
        <v>2400</v>
      </c>
      <c r="F34" s="7" t="s">
        <v>1387</v>
      </c>
    </row>
    <row r="35" spans="1:6">
      <c r="A35" s="116" t="s">
        <v>1347</v>
      </c>
      <c r="B35" s="113" t="s">
        <v>1350</v>
      </c>
      <c r="C35" s="19" t="s">
        <v>1507</v>
      </c>
      <c r="D35" s="84" t="s">
        <v>234</v>
      </c>
      <c r="E35" s="7">
        <v>900</v>
      </c>
      <c r="F35" s="7" t="s">
        <v>1385</v>
      </c>
    </row>
    <row r="36" spans="1:6">
      <c r="A36" s="111"/>
      <c r="B36" s="111"/>
      <c r="C36" s="121" t="s">
        <v>1264</v>
      </c>
      <c r="D36" s="85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NICC - North Auto</vt:lpstr>
      <vt:lpstr>NICC - West Dubuque Auto&amp;Diesel</vt:lpstr>
      <vt:lpstr>NIACC Career Academies</vt:lpstr>
      <vt:lpstr>ILCC -Emmetsburg Career Academy</vt:lpstr>
      <vt:lpstr>ILCC Estherville Career Academy</vt:lpstr>
      <vt:lpstr>ILCC - Algona Career Academy</vt:lpstr>
      <vt:lpstr>ILCC - Lakes Career Academy</vt:lpstr>
      <vt:lpstr>HCC - Western Outreach Center</vt:lpstr>
      <vt:lpstr>Kirkwood - JREC</vt:lpstr>
      <vt:lpstr>DMACC - Ames Career Academy</vt:lpstr>
      <vt:lpstr>DMACC - Ankeny Career Academy</vt:lpstr>
      <vt:lpstr>DMACC - Perry Carer Academy</vt:lpstr>
      <vt:lpstr>DMACC - Newton Career Academy</vt:lpstr>
      <vt:lpstr>DMACC - Carroll Career Academy</vt:lpstr>
      <vt:lpstr>SWCC - Creston</vt:lpstr>
      <vt:lpstr>SWCC - Clarke</vt:lpstr>
      <vt:lpstr>SWCC - Central Decatur</vt:lpstr>
      <vt:lpstr>SWCC - Red Oak</vt:lpstr>
      <vt:lpstr>IHCC-Mahaska</vt:lpstr>
      <vt:lpstr>IHCC-Keokuk</vt:lpstr>
      <vt:lpstr>IHCC-Fairfield</vt:lpstr>
      <vt:lpstr>IHCC-Rathbun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Varner</dc:creator>
  <cp:lastModifiedBy>rkruse</cp:lastModifiedBy>
  <dcterms:created xsi:type="dcterms:W3CDTF">2012-08-01T20:29:54Z</dcterms:created>
  <dcterms:modified xsi:type="dcterms:W3CDTF">2012-09-14T12:53:00Z</dcterms:modified>
</cp:coreProperties>
</file>